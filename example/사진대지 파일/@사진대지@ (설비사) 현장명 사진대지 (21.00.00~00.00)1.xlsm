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현재_통합_문서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\\192.168.0.11\공유폴더\6) 사진대지\++사진대지\"/>
    </mc:Choice>
  </mc:AlternateContent>
  <bookViews>
    <workbookView xWindow="0" yWindow="0" windowWidth="28800" windowHeight="12000" activeTab="1"/>
  </bookViews>
  <sheets>
    <sheet name="사진대지" sheetId="29" r:id="rId1"/>
    <sheet name="집계표" sheetId="33" r:id="rId2"/>
    <sheet name="누계" sheetId="31" r:id="rId3"/>
  </sheets>
  <definedNames>
    <definedName name="_xlnm.Print_Area" localSheetId="0">사진대지!$A$1:$L$5611</definedName>
    <definedName name="_xlnm.Print_Titles" localSheetId="0">사진대지!$1:$1</definedName>
  </definedNames>
  <calcPr calcId="152511"/>
</workbook>
</file>

<file path=xl/calcChain.xml><?xml version="1.0" encoding="utf-8"?>
<calcChain xmlns="http://schemas.openxmlformats.org/spreadsheetml/2006/main">
  <c r="W150" i="33" l="1"/>
  <c r="AA150" i="33" s="1"/>
  <c r="W133" i="33"/>
  <c r="AA133" i="33" s="1"/>
  <c r="B6" i="31"/>
  <c r="B7" i="31"/>
  <c r="B8" i="31"/>
  <c r="B9" i="31"/>
  <c r="B10" i="31"/>
  <c r="B11" i="31"/>
  <c r="B12" i="31"/>
  <c r="B13" i="31"/>
  <c r="B14" i="31"/>
  <c r="B15" i="31"/>
  <c r="B16" i="31"/>
  <c r="B17" i="31"/>
  <c r="B18" i="31"/>
  <c r="B19" i="31"/>
  <c r="B20" i="31"/>
  <c r="B21" i="31"/>
  <c r="B22" i="31"/>
  <c r="B23" i="31"/>
  <c r="B24" i="31"/>
  <c r="B25" i="31"/>
  <c r="B26" i="31"/>
  <c r="B27" i="31"/>
  <c r="B28" i="31"/>
  <c r="B29" i="31"/>
  <c r="B30" i="31"/>
  <c r="B31" i="31"/>
  <c r="B32" i="31"/>
  <c r="B33" i="31"/>
  <c r="B34" i="31"/>
  <c r="B35" i="31"/>
  <c r="B36" i="31"/>
  <c r="B37" i="31"/>
  <c r="B38" i="31"/>
  <c r="B39" i="31"/>
  <c r="B40" i="31"/>
  <c r="B41" i="31"/>
  <c r="B42" i="31"/>
  <c r="B43" i="31"/>
  <c r="B44" i="31"/>
  <c r="B45" i="31"/>
  <c r="B46" i="31"/>
  <c r="B47" i="31"/>
  <c r="B48" i="31"/>
  <c r="B49" i="31"/>
  <c r="B50" i="31"/>
  <c r="B51" i="31"/>
  <c r="B52" i="31"/>
  <c r="B53" i="31"/>
  <c r="B54" i="31"/>
  <c r="B55" i="31"/>
  <c r="B56" i="31"/>
  <c r="B57" i="31"/>
  <c r="B58" i="31"/>
  <c r="B59" i="31"/>
  <c r="B60" i="31"/>
  <c r="B61" i="31"/>
  <c r="B62" i="31"/>
  <c r="B63" i="31"/>
  <c r="B64" i="31"/>
  <c r="B65" i="31"/>
  <c r="B66" i="31"/>
  <c r="B67" i="31"/>
  <c r="B68" i="31"/>
  <c r="B69" i="31"/>
  <c r="B70" i="31"/>
  <c r="B71" i="31"/>
  <c r="B72" i="31"/>
  <c r="B73" i="31"/>
  <c r="B74" i="31"/>
  <c r="B75" i="31"/>
  <c r="B76" i="31"/>
  <c r="B77" i="31"/>
  <c r="B78" i="31"/>
  <c r="B79" i="31"/>
  <c r="B80" i="31"/>
  <c r="B81" i="31"/>
  <c r="B82" i="31"/>
  <c r="B83" i="31"/>
  <c r="B84" i="31"/>
  <c r="B85" i="31"/>
  <c r="B86" i="31"/>
  <c r="B87" i="31"/>
  <c r="B88" i="31"/>
  <c r="B89" i="31"/>
  <c r="B90" i="31"/>
  <c r="B91" i="31"/>
  <c r="B92" i="31"/>
  <c r="B93" i="31"/>
  <c r="B94" i="31"/>
  <c r="B95" i="31"/>
  <c r="B96" i="31"/>
  <c r="B97" i="31"/>
  <c r="B98" i="31"/>
  <c r="B99" i="31"/>
  <c r="B100" i="31"/>
  <c r="B101" i="31"/>
  <c r="B102" i="31"/>
  <c r="B103" i="31"/>
  <c r="B104" i="31"/>
  <c r="B105" i="31"/>
  <c r="L26" i="31"/>
  <c r="L25" i="31"/>
  <c r="L24" i="31"/>
  <c r="L23" i="31"/>
  <c r="L22" i="31"/>
  <c r="L21" i="31"/>
  <c r="L20" i="31"/>
  <c r="L19" i="31"/>
  <c r="L18" i="31"/>
  <c r="L17" i="31"/>
  <c r="L16" i="31"/>
  <c r="W109" i="33"/>
  <c r="AA109" i="33" s="1"/>
  <c r="W15" i="33"/>
  <c r="AA15" i="33" s="1"/>
  <c r="W25" i="33"/>
  <c r="AA25" i="33" s="1"/>
  <c r="W24" i="33"/>
  <c r="AA24" i="33" s="1"/>
  <c r="W23" i="33"/>
  <c r="AA23" i="33" s="1"/>
  <c r="W22" i="33"/>
  <c r="AA22" i="33" s="1"/>
  <c r="W21" i="33"/>
  <c r="AA21" i="33" s="1"/>
  <c r="W20" i="33"/>
  <c r="AA20" i="33" s="1"/>
  <c r="W19" i="33"/>
  <c r="AA19" i="33" s="1"/>
  <c r="W18" i="33"/>
  <c r="AA18" i="33" s="1"/>
  <c r="W17" i="33"/>
  <c r="AA17" i="33" s="1"/>
  <c r="W16" i="33"/>
  <c r="AA16" i="33" s="1"/>
  <c r="W72" i="33" l="1"/>
  <c r="AA72" i="33" s="1"/>
  <c r="L72" i="31"/>
  <c r="W158" i="33" l="1"/>
  <c r="AA158" i="33" s="1"/>
  <c r="L95" i="31"/>
  <c r="W121" i="33"/>
  <c r="AA121" i="33" s="1"/>
  <c r="W95" i="33"/>
  <c r="AA95" i="33" s="1"/>
  <c r="W119" i="33"/>
  <c r="AA119" i="33" s="1"/>
  <c r="L93" i="31"/>
  <c r="W93" i="33"/>
  <c r="AA93" i="33" s="1"/>
  <c r="W154" i="33"/>
  <c r="AA154" i="33" s="1"/>
  <c r="W155" i="33"/>
  <c r="AA155" i="33" s="1"/>
  <c r="W153" i="33"/>
  <c r="AA153" i="33" s="1"/>
  <c r="W152" i="33"/>
  <c r="AA152" i="33" s="1"/>
  <c r="W151" i="33"/>
  <c r="AA151" i="33" s="1"/>
  <c r="W147" i="33"/>
  <c r="AA147" i="33" s="1"/>
  <c r="W146" i="33"/>
  <c r="AA146" i="33" s="1"/>
  <c r="W145" i="33"/>
  <c r="AA145" i="33" s="1"/>
  <c r="W144" i="33"/>
  <c r="AA144" i="33" s="1"/>
  <c r="W143" i="33"/>
  <c r="AA143" i="33" s="1"/>
  <c r="W142" i="33"/>
  <c r="AA142" i="33" s="1"/>
  <c r="W141" i="33"/>
  <c r="AA141" i="33" s="1"/>
  <c r="W140" i="33"/>
  <c r="AA140" i="33" s="1"/>
  <c r="W139" i="33"/>
  <c r="AA139" i="33" s="1"/>
  <c r="W138" i="33"/>
  <c r="AA138" i="33" s="1"/>
  <c r="W137" i="33"/>
  <c r="AA137" i="33" s="1"/>
  <c r="W136" i="33"/>
  <c r="AA136" i="33" s="1"/>
  <c r="W135" i="33"/>
  <c r="AA135" i="33" s="1"/>
  <c r="W134" i="33"/>
  <c r="AA134" i="33" s="1"/>
  <c r="W128" i="33"/>
  <c r="AA128" i="33" s="1"/>
  <c r="W125" i="33" l="1"/>
  <c r="AA125" i="33" s="1"/>
  <c r="W126" i="33"/>
  <c r="AA126" i="33" s="1"/>
  <c r="W127" i="33"/>
  <c r="AA127" i="33" s="1"/>
  <c r="W120" i="33"/>
  <c r="AA120" i="33" s="1"/>
  <c r="W122" i="33"/>
  <c r="AA122" i="33" s="1"/>
  <c r="W118" i="33"/>
  <c r="AA118" i="33" s="1"/>
  <c r="W115" i="33"/>
  <c r="AA115" i="33" s="1"/>
  <c r="W123" i="33"/>
  <c r="AA123" i="33" s="1"/>
  <c r="W112" i="33"/>
  <c r="AA112" i="33" s="1"/>
  <c r="W113" i="33"/>
  <c r="AA113" i="33" s="1"/>
  <c r="W111" i="33"/>
  <c r="AA111" i="33" s="1"/>
  <c r="L96" i="31"/>
  <c r="W96" i="33"/>
  <c r="AA96" i="33" s="1"/>
  <c r="W94" i="33"/>
  <c r="AA94" i="33" s="1"/>
  <c r="L94" i="31"/>
  <c r="L102" i="31"/>
  <c r="L92" i="31"/>
  <c r="W62" i="33"/>
  <c r="AA62" i="33" s="1"/>
  <c r="W102" i="33" l="1"/>
  <c r="AA102" i="33" s="1"/>
  <c r="L99" i="31"/>
  <c r="L100" i="31"/>
  <c r="W99" i="33"/>
  <c r="AA99" i="33" s="1"/>
  <c r="W100" i="33"/>
  <c r="AA100" i="33" s="1"/>
  <c r="L32" i="31"/>
  <c r="W32" i="33"/>
  <c r="AA32" i="33" s="1"/>
  <c r="L63" i="31"/>
  <c r="L64" i="31"/>
  <c r="L65" i="31"/>
  <c r="L66" i="31"/>
  <c r="W75" i="33"/>
  <c r="AA75" i="33" s="1"/>
  <c r="W76" i="33"/>
  <c r="AA76" i="33" s="1"/>
  <c r="W77" i="33"/>
  <c r="AA77" i="33" s="1"/>
  <c r="W78" i="33"/>
  <c r="AA78" i="33" s="1"/>
  <c r="L91" i="31"/>
  <c r="L89" i="31"/>
  <c r="L87" i="31"/>
  <c r="L84" i="31"/>
  <c r="L85" i="31"/>
  <c r="L82" i="31"/>
  <c r="W61" i="33"/>
  <c r="AA61" i="33" s="1"/>
  <c r="W59" i="33"/>
  <c r="AA59" i="33" s="1"/>
  <c r="W57" i="33"/>
  <c r="AA57" i="33" s="1"/>
  <c r="W34" i="33"/>
  <c r="AA34" i="33" s="1"/>
  <c r="W36" i="33"/>
  <c r="AA36" i="33" s="1"/>
  <c r="W37" i="33"/>
  <c r="AA37" i="33" s="1"/>
  <c r="L80" i="31" l="1"/>
  <c r="L61" i="31"/>
  <c r="W91" i="33"/>
  <c r="AA91" i="33" s="1"/>
  <c r="W73" i="33"/>
  <c r="AA73" i="33" s="1"/>
  <c r="B5" i="31" l="1"/>
  <c r="K106" i="31" l="1"/>
  <c r="L3" i="31"/>
  <c r="X3" i="33"/>
  <c r="W161" i="33"/>
  <c r="AA161" i="33" s="1"/>
  <c r="W160" i="33"/>
  <c r="AA160" i="33" s="1"/>
  <c r="W159" i="33"/>
  <c r="AA159" i="33" s="1"/>
  <c r="W157" i="33"/>
  <c r="AA157" i="33" s="1"/>
  <c r="W156" i="33"/>
  <c r="AA156" i="33" s="1"/>
  <c r="W131" i="33"/>
  <c r="AA131" i="33" s="1"/>
  <c r="W130" i="33"/>
  <c r="AA130" i="33" s="1"/>
  <c r="W129" i="33"/>
  <c r="AA129" i="33" s="1"/>
  <c r="W124" i="33"/>
  <c r="AA124" i="33" s="1"/>
  <c r="W117" i="33"/>
  <c r="AA117" i="33" s="1"/>
  <c r="W116" i="33"/>
  <c r="AA116" i="33" s="1"/>
  <c r="W114" i="33"/>
  <c r="AA114" i="33" s="1"/>
  <c r="W110" i="33"/>
  <c r="AA110" i="33" s="1"/>
  <c r="W105" i="33"/>
  <c r="AA105" i="33" s="1"/>
  <c r="W104" i="33"/>
  <c r="AA104" i="33" s="1"/>
  <c r="W103" i="33"/>
  <c r="AA103" i="33" s="1"/>
  <c r="W101" i="33"/>
  <c r="AA101" i="33" s="1"/>
  <c r="W98" i="33"/>
  <c r="AA98" i="33" s="1"/>
  <c r="W97" i="33"/>
  <c r="AA97" i="33" s="1"/>
  <c r="W60" i="33"/>
  <c r="AA60" i="33" s="1"/>
  <c r="W58" i="33"/>
  <c r="AA58" i="33" s="1"/>
  <c r="W38" i="33"/>
  <c r="AA38" i="33" s="1"/>
  <c r="W35" i="33"/>
  <c r="AA35" i="33" s="1"/>
  <c r="W92" i="33"/>
  <c r="AA92" i="33" s="1"/>
  <c r="W90" i="33"/>
  <c r="AA90" i="33" s="1"/>
  <c r="W89" i="33"/>
  <c r="AA89" i="33" s="1"/>
  <c r="W88" i="33"/>
  <c r="AA88" i="33" s="1"/>
  <c r="W87" i="33"/>
  <c r="AA87" i="33" s="1"/>
  <c r="W86" i="33"/>
  <c r="AA86" i="33" s="1"/>
  <c r="W85" i="33"/>
  <c r="AA85" i="33" s="1"/>
  <c r="W84" i="33"/>
  <c r="AA84" i="33" s="1"/>
  <c r="W83" i="33"/>
  <c r="AA83" i="33" s="1"/>
  <c r="W82" i="33"/>
  <c r="AA82" i="33" s="1"/>
  <c r="W81" i="33"/>
  <c r="AA81" i="33" s="1"/>
  <c r="W80" i="33"/>
  <c r="AA80" i="33" s="1"/>
  <c r="W79" i="33"/>
  <c r="AA79" i="33" s="1"/>
  <c r="W74" i="33"/>
  <c r="AA74" i="33" s="1"/>
  <c r="W71" i="33"/>
  <c r="AA71" i="33" s="1"/>
  <c r="W70" i="33"/>
  <c r="AA70" i="33" s="1"/>
  <c r="W69" i="33"/>
  <c r="AA69" i="33" s="1"/>
  <c r="W68" i="33"/>
  <c r="AA68" i="33" s="1"/>
  <c r="W67" i="33"/>
  <c r="AA67" i="33" s="1"/>
  <c r="W66" i="33"/>
  <c r="AA66" i="33" s="1"/>
  <c r="W65" i="33"/>
  <c r="AA65" i="33" s="1"/>
  <c r="W64" i="33"/>
  <c r="AA64" i="33" s="1"/>
  <c r="W63" i="33"/>
  <c r="AA63" i="33" s="1"/>
  <c r="W56" i="33"/>
  <c r="AA56" i="33" s="1"/>
  <c r="W55" i="33"/>
  <c r="AA55" i="33" s="1"/>
  <c r="W54" i="33"/>
  <c r="AA54" i="33" s="1"/>
  <c r="W53" i="33"/>
  <c r="AA53" i="33" s="1"/>
  <c r="W52" i="33"/>
  <c r="AA52" i="33" s="1"/>
  <c r="W51" i="33"/>
  <c r="AA51" i="33" s="1"/>
  <c r="W50" i="33"/>
  <c r="AA50" i="33" s="1"/>
  <c r="W49" i="33"/>
  <c r="AA49" i="33" s="1"/>
  <c r="W48" i="33"/>
  <c r="AA48" i="33" s="1"/>
  <c r="W47" i="33"/>
  <c r="AA47" i="33" s="1"/>
  <c r="W46" i="33"/>
  <c r="AA46" i="33" s="1"/>
  <c r="W45" i="33"/>
  <c r="AA45" i="33" s="1"/>
  <c r="W44" i="33"/>
  <c r="AA44" i="33" s="1"/>
  <c r="W43" i="33"/>
  <c r="AA43" i="33" s="1"/>
  <c r="W42" i="33"/>
  <c r="AA42" i="33" s="1"/>
  <c r="W41" i="33"/>
  <c r="AA41" i="33" s="1"/>
  <c r="W40" i="33"/>
  <c r="AA40" i="33" s="1"/>
  <c r="W39" i="33"/>
  <c r="AA39" i="33" s="1"/>
  <c r="W33" i="33"/>
  <c r="AA33" i="33" s="1"/>
  <c r="W31" i="33"/>
  <c r="AA31" i="33" s="1"/>
  <c r="W30" i="33"/>
  <c r="AA30" i="33" s="1"/>
  <c r="W29" i="33"/>
  <c r="AA29" i="33" s="1"/>
  <c r="W28" i="33"/>
  <c r="AA28" i="33" s="1"/>
  <c r="W27" i="33"/>
  <c r="AA27" i="33" s="1"/>
  <c r="W26" i="33"/>
  <c r="AA26" i="33" s="1"/>
  <c r="W14" i="33"/>
  <c r="AA14" i="33" s="1"/>
  <c r="W13" i="33"/>
  <c r="AA13" i="33" s="1"/>
  <c r="W12" i="33"/>
  <c r="AA12" i="33" s="1"/>
  <c r="W11" i="33"/>
  <c r="AA11" i="33" s="1"/>
  <c r="W10" i="33"/>
  <c r="AA10" i="33" s="1"/>
  <c r="W9" i="33"/>
  <c r="AA9" i="33" s="1"/>
  <c r="W8" i="33"/>
  <c r="AA8" i="33" s="1"/>
  <c r="W7" i="33"/>
  <c r="AA7" i="33" s="1"/>
  <c r="W6" i="33"/>
  <c r="AA6" i="33" s="1"/>
  <c r="W5" i="33"/>
  <c r="AA5" i="33" s="1"/>
  <c r="AB3" i="33" l="1"/>
  <c r="L50" i="31"/>
  <c r="L31" i="31" l="1"/>
  <c r="L103" i="31" l="1"/>
  <c r="C106" i="31" l="1"/>
  <c r="L105" i="31" l="1"/>
  <c r="L104" i="31" l="1"/>
  <c r="J106" i="31" l="1"/>
  <c r="I106" i="31"/>
  <c r="H106" i="31"/>
  <c r="G106" i="31"/>
  <c r="F106" i="31"/>
  <c r="E106" i="31"/>
  <c r="D106" i="31"/>
  <c r="L101" i="31"/>
  <c r="L98" i="31"/>
  <c r="L97" i="31"/>
  <c r="L90" i="31"/>
  <c r="L88" i="31"/>
  <c r="L86" i="31"/>
  <c r="L83" i="31"/>
  <c r="L81" i="31"/>
  <c r="L79" i="31"/>
  <c r="L78" i="31"/>
  <c r="L77" i="31"/>
  <c r="L76" i="31"/>
  <c r="L75" i="31"/>
  <c r="L74" i="31"/>
  <c r="L73" i="31"/>
  <c r="L71" i="31"/>
  <c r="L70" i="31"/>
  <c r="L69" i="31"/>
  <c r="L68" i="31"/>
  <c r="L67" i="31"/>
  <c r="L62" i="31"/>
  <c r="L60" i="31"/>
  <c r="L59" i="31"/>
  <c r="L58" i="31"/>
  <c r="L57" i="31"/>
  <c r="L56" i="31"/>
  <c r="L55" i="31"/>
  <c r="L54" i="31"/>
  <c r="L53" i="31"/>
  <c r="L52" i="31"/>
  <c r="L51" i="31"/>
  <c r="L49" i="31"/>
  <c r="L48" i="31"/>
  <c r="L47" i="31"/>
  <c r="L46" i="31"/>
  <c r="L45" i="31"/>
  <c r="L44" i="31"/>
  <c r="L43" i="31"/>
  <c r="L42" i="31"/>
  <c r="L41" i="31"/>
  <c r="L40" i="31"/>
  <c r="L39" i="31"/>
  <c r="L38" i="31"/>
  <c r="L37" i="31"/>
  <c r="L36" i="31"/>
  <c r="L35" i="31"/>
  <c r="L34" i="31"/>
  <c r="L33" i="31"/>
  <c r="L30" i="31"/>
  <c r="L29" i="31"/>
  <c r="L28" i="31"/>
  <c r="L27" i="31"/>
  <c r="L15" i="31"/>
  <c r="L14" i="31"/>
  <c r="L13" i="31"/>
  <c r="L12" i="31"/>
  <c r="L11" i="31"/>
  <c r="L10" i="31"/>
  <c r="L9" i="31"/>
  <c r="L8" i="31"/>
  <c r="L7" i="31"/>
  <c r="L6" i="31"/>
  <c r="L5" i="31"/>
  <c r="L106" i="31" l="1"/>
  <c r="V5609" i="29" l="1"/>
  <c r="U5609" i="29"/>
  <c r="T5609" i="29"/>
  <c r="R5609" i="29"/>
  <c r="Q5609" i="29"/>
  <c r="V5608" i="29"/>
  <c r="U5608" i="29"/>
  <c r="W5608" i="29" s="1"/>
  <c r="X5608" i="29" s="1"/>
  <c r="T5608" i="29"/>
  <c r="R5608" i="29"/>
  <c r="Q5608" i="29"/>
  <c r="V5607" i="29"/>
  <c r="U5607" i="29"/>
  <c r="T5607" i="29"/>
  <c r="R5607" i="29"/>
  <c r="Q5607" i="29"/>
  <c r="V5606" i="29"/>
  <c r="U5606" i="29"/>
  <c r="T5606" i="29"/>
  <c r="R5606" i="29"/>
  <c r="Q5606" i="29"/>
  <c r="V5605" i="29"/>
  <c r="U5605" i="29"/>
  <c r="T5605" i="29"/>
  <c r="R5605" i="29"/>
  <c r="Q5605" i="29"/>
  <c r="V5604" i="29"/>
  <c r="U5604" i="29"/>
  <c r="T5604" i="29"/>
  <c r="R5604" i="29"/>
  <c r="Q5604" i="29"/>
  <c r="V5603" i="29"/>
  <c r="U5603" i="29"/>
  <c r="W5603" i="29" s="1"/>
  <c r="X5603" i="29" s="1"/>
  <c r="T5603" i="29"/>
  <c r="R5603" i="29"/>
  <c r="Q5603" i="29"/>
  <c r="V5602" i="29"/>
  <c r="U5602" i="29"/>
  <c r="T5602" i="29"/>
  <c r="R5602" i="29"/>
  <c r="Q5602" i="29"/>
  <c r="V5601" i="29"/>
  <c r="U5601" i="29"/>
  <c r="T5601" i="29"/>
  <c r="R5601" i="29"/>
  <c r="Q5601" i="29"/>
  <c r="V5598" i="29"/>
  <c r="U5598" i="29"/>
  <c r="T5598" i="29"/>
  <c r="R5598" i="29"/>
  <c r="Q5598" i="29"/>
  <c r="V5597" i="29"/>
  <c r="U5597" i="29"/>
  <c r="T5597" i="29"/>
  <c r="R5597" i="29"/>
  <c r="Q5597" i="29"/>
  <c r="V5596" i="29"/>
  <c r="U5596" i="29"/>
  <c r="T5596" i="29"/>
  <c r="R5596" i="29"/>
  <c r="Q5596" i="29"/>
  <c r="V5595" i="29"/>
  <c r="U5595" i="29"/>
  <c r="T5595" i="29"/>
  <c r="R5595" i="29"/>
  <c r="Q5595" i="29"/>
  <c r="V5594" i="29"/>
  <c r="U5594" i="29"/>
  <c r="T5594" i="29"/>
  <c r="R5594" i="29"/>
  <c r="Q5594" i="29"/>
  <c r="V5593" i="29"/>
  <c r="U5593" i="29"/>
  <c r="T5593" i="29"/>
  <c r="R5593" i="29"/>
  <c r="Q5593" i="29"/>
  <c r="V5592" i="29"/>
  <c r="U5592" i="29"/>
  <c r="T5592" i="29"/>
  <c r="R5592" i="29"/>
  <c r="Q5592" i="29"/>
  <c r="V5591" i="29"/>
  <c r="U5591" i="29"/>
  <c r="T5591" i="29"/>
  <c r="R5591" i="29"/>
  <c r="Q5591" i="29"/>
  <c r="V5590" i="29"/>
  <c r="U5590" i="29"/>
  <c r="T5590" i="29"/>
  <c r="R5590" i="29"/>
  <c r="Q5590" i="29"/>
  <c r="V5587" i="29"/>
  <c r="U5587" i="29"/>
  <c r="T5587" i="29"/>
  <c r="R5587" i="29"/>
  <c r="Q5587" i="29"/>
  <c r="V5586" i="29"/>
  <c r="U5586" i="29"/>
  <c r="T5586" i="29"/>
  <c r="R5586" i="29"/>
  <c r="Q5586" i="29"/>
  <c r="V5585" i="29"/>
  <c r="U5585" i="29"/>
  <c r="T5585" i="29"/>
  <c r="R5585" i="29"/>
  <c r="Q5585" i="29"/>
  <c r="V5584" i="29"/>
  <c r="W5584" i="29" s="1"/>
  <c r="X5584" i="29" s="1"/>
  <c r="U5584" i="29"/>
  <c r="T5584" i="29"/>
  <c r="R5584" i="29"/>
  <c r="Q5584" i="29"/>
  <c r="V5583" i="29"/>
  <c r="U5583" i="29"/>
  <c r="T5583" i="29"/>
  <c r="R5583" i="29"/>
  <c r="Q5583" i="29"/>
  <c r="V5582" i="29"/>
  <c r="U5582" i="29"/>
  <c r="T5582" i="29"/>
  <c r="R5582" i="29"/>
  <c r="Q5582" i="29"/>
  <c r="V5581" i="29"/>
  <c r="U5581" i="29"/>
  <c r="T5581" i="29"/>
  <c r="R5581" i="29"/>
  <c r="Q5581" i="29"/>
  <c r="V5580" i="29"/>
  <c r="U5580" i="29"/>
  <c r="T5580" i="29"/>
  <c r="R5580" i="29"/>
  <c r="Q5580" i="29"/>
  <c r="V5579" i="29"/>
  <c r="U5579" i="29"/>
  <c r="T5579" i="29"/>
  <c r="R5579" i="29"/>
  <c r="Q5579" i="29"/>
  <c r="V5576" i="29"/>
  <c r="U5576" i="29"/>
  <c r="T5576" i="29"/>
  <c r="R5576" i="29"/>
  <c r="Q5576" i="29"/>
  <c r="V5575" i="29"/>
  <c r="U5575" i="29"/>
  <c r="W5575" i="29" s="1"/>
  <c r="X5575" i="29" s="1"/>
  <c r="T5575" i="29"/>
  <c r="R5575" i="29"/>
  <c r="Q5575" i="29"/>
  <c r="V5574" i="29"/>
  <c r="U5574" i="29"/>
  <c r="T5574" i="29"/>
  <c r="R5574" i="29"/>
  <c r="Q5574" i="29"/>
  <c r="V5573" i="29"/>
  <c r="U5573" i="29"/>
  <c r="W5573" i="29" s="1"/>
  <c r="X5573" i="29" s="1"/>
  <c r="T5573" i="29"/>
  <c r="R5573" i="29"/>
  <c r="Q5573" i="29"/>
  <c r="V5572" i="29"/>
  <c r="U5572" i="29"/>
  <c r="T5572" i="29"/>
  <c r="R5572" i="29"/>
  <c r="Q5572" i="29"/>
  <c r="V5571" i="29"/>
  <c r="U5571" i="29"/>
  <c r="T5571" i="29"/>
  <c r="R5571" i="29"/>
  <c r="Q5571" i="29"/>
  <c r="V5570" i="29"/>
  <c r="U5570" i="29"/>
  <c r="T5570" i="29"/>
  <c r="R5570" i="29"/>
  <c r="Q5570" i="29"/>
  <c r="V5569" i="29"/>
  <c r="U5569" i="29"/>
  <c r="T5569" i="29"/>
  <c r="R5569" i="29"/>
  <c r="Q5569" i="29"/>
  <c r="V5568" i="29"/>
  <c r="W5568" i="29" s="1"/>
  <c r="X5568" i="29" s="1"/>
  <c r="U5568" i="29"/>
  <c r="T5568" i="29"/>
  <c r="R5568" i="29"/>
  <c r="Q5568" i="29"/>
  <c r="V5565" i="29"/>
  <c r="U5565" i="29"/>
  <c r="T5565" i="29"/>
  <c r="R5565" i="29"/>
  <c r="Q5565" i="29"/>
  <c r="V5564" i="29"/>
  <c r="U5564" i="29"/>
  <c r="T5564" i="29"/>
  <c r="R5564" i="29"/>
  <c r="Q5564" i="29"/>
  <c r="V5563" i="29"/>
  <c r="U5563" i="29"/>
  <c r="T5563" i="29"/>
  <c r="R5563" i="29"/>
  <c r="Q5563" i="29"/>
  <c r="V5562" i="29"/>
  <c r="U5562" i="29"/>
  <c r="T5562" i="29"/>
  <c r="R5562" i="29"/>
  <c r="Q5562" i="29"/>
  <c r="V5561" i="29"/>
  <c r="U5561" i="29"/>
  <c r="T5561" i="29"/>
  <c r="R5561" i="29"/>
  <c r="Q5561" i="29"/>
  <c r="V5560" i="29"/>
  <c r="U5560" i="29"/>
  <c r="T5560" i="29"/>
  <c r="R5560" i="29"/>
  <c r="Q5560" i="29"/>
  <c r="V5559" i="29"/>
  <c r="U5559" i="29"/>
  <c r="T5559" i="29"/>
  <c r="R5559" i="29"/>
  <c r="Q5559" i="29"/>
  <c r="V5558" i="29"/>
  <c r="U5558" i="29"/>
  <c r="T5558" i="29"/>
  <c r="R5558" i="29"/>
  <c r="Q5558" i="29"/>
  <c r="V5557" i="29"/>
  <c r="U5557" i="29"/>
  <c r="T5557" i="29"/>
  <c r="R5557" i="29"/>
  <c r="Q5557" i="29"/>
  <c r="V5554" i="29"/>
  <c r="W5554" i="29" s="1"/>
  <c r="X5554" i="29" s="1"/>
  <c r="U5554" i="29"/>
  <c r="T5554" i="29"/>
  <c r="R5554" i="29"/>
  <c r="Q5554" i="29"/>
  <c r="V5553" i="29"/>
  <c r="U5553" i="29"/>
  <c r="T5553" i="29"/>
  <c r="R5553" i="29"/>
  <c r="Q5553" i="29"/>
  <c r="V5552" i="29"/>
  <c r="U5552" i="29"/>
  <c r="T5552" i="29"/>
  <c r="R5552" i="29"/>
  <c r="Q5552" i="29"/>
  <c r="V5551" i="29"/>
  <c r="U5551" i="29"/>
  <c r="T5551" i="29"/>
  <c r="R5551" i="29"/>
  <c r="Q5551" i="29"/>
  <c r="V5550" i="29"/>
  <c r="U5550" i="29"/>
  <c r="T5550" i="29"/>
  <c r="R5550" i="29"/>
  <c r="Q5550" i="29"/>
  <c r="V5549" i="29"/>
  <c r="U5549" i="29"/>
  <c r="T5549" i="29"/>
  <c r="R5549" i="29"/>
  <c r="Q5549" i="29"/>
  <c r="V5548" i="29"/>
  <c r="U5548" i="29"/>
  <c r="T5548" i="29"/>
  <c r="R5548" i="29"/>
  <c r="Q5548" i="29"/>
  <c r="V5547" i="29"/>
  <c r="U5547" i="29"/>
  <c r="W5547" i="29" s="1"/>
  <c r="X5547" i="29" s="1"/>
  <c r="T5547" i="29"/>
  <c r="R5547" i="29"/>
  <c r="Q5547" i="29"/>
  <c r="V5546" i="29"/>
  <c r="U5546" i="29"/>
  <c r="T5546" i="29"/>
  <c r="R5546" i="29"/>
  <c r="Q5546" i="29"/>
  <c r="V5543" i="29"/>
  <c r="U5543" i="29"/>
  <c r="T5543" i="29"/>
  <c r="R5543" i="29"/>
  <c r="Q5543" i="29"/>
  <c r="V5542" i="29"/>
  <c r="U5542" i="29"/>
  <c r="W5542" i="29" s="1"/>
  <c r="X5542" i="29" s="1"/>
  <c r="T5542" i="29"/>
  <c r="R5542" i="29"/>
  <c r="Q5542" i="29"/>
  <c r="V5541" i="29"/>
  <c r="U5541" i="29"/>
  <c r="T5541" i="29"/>
  <c r="R5541" i="29"/>
  <c r="Q5541" i="29"/>
  <c r="V5540" i="29"/>
  <c r="U5540" i="29"/>
  <c r="T5540" i="29"/>
  <c r="R5540" i="29"/>
  <c r="Q5540" i="29"/>
  <c r="V5539" i="29"/>
  <c r="U5539" i="29"/>
  <c r="T5539" i="29"/>
  <c r="R5539" i="29"/>
  <c r="Q5539" i="29"/>
  <c r="V5538" i="29"/>
  <c r="U5538" i="29"/>
  <c r="T5538" i="29"/>
  <c r="R5538" i="29"/>
  <c r="Q5538" i="29"/>
  <c r="V5537" i="29"/>
  <c r="U5537" i="29"/>
  <c r="T5537" i="29"/>
  <c r="R5537" i="29"/>
  <c r="Q5537" i="29"/>
  <c r="V5536" i="29"/>
  <c r="U5536" i="29"/>
  <c r="T5536" i="29"/>
  <c r="R5536" i="29"/>
  <c r="Q5536" i="29"/>
  <c r="V5535" i="29"/>
  <c r="U5535" i="29"/>
  <c r="T5535" i="29"/>
  <c r="R5535" i="29"/>
  <c r="Q5535" i="29"/>
  <c r="V5532" i="29"/>
  <c r="U5532" i="29"/>
  <c r="W5532" i="29" s="1"/>
  <c r="X5532" i="29" s="1"/>
  <c r="T5532" i="29"/>
  <c r="R5532" i="29"/>
  <c r="Q5532" i="29"/>
  <c r="V5531" i="29"/>
  <c r="U5531" i="29"/>
  <c r="T5531" i="29"/>
  <c r="R5531" i="29"/>
  <c r="Q5531" i="29"/>
  <c r="V5530" i="29"/>
  <c r="U5530" i="29"/>
  <c r="W5530" i="29" s="1"/>
  <c r="X5530" i="29" s="1"/>
  <c r="T5530" i="29"/>
  <c r="R5530" i="29"/>
  <c r="Q5530" i="29"/>
  <c r="V5529" i="29"/>
  <c r="U5529" i="29"/>
  <c r="T5529" i="29"/>
  <c r="R5529" i="29"/>
  <c r="Q5529" i="29"/>
  <c r="V5528" i="29"/>
  <c r="U5528" i="29"/>
  <c r="T5528" i="29"/>
  <c r="R5528" i="29"/>
  <c r="Q5528" i="29"/>
  <c r="V5527" i="29"/>
  <c r="U5527" i="29"/>
  <c r="T5527" i="29"/>
  <c r="R5527" i="29"/>
  <c r="Q5527" i="29"/>
  <c r="V5526" i="29"/>
  <c r="U5526" i="29"/>
  <c r="T5526" i="29"/>
  <c r="R5526" i="29"/>
  <c r="Q5526" i="29"/>
  <c r="V5525" i="29"/>
  <c r="U5525" i="29"/>
  <c r="T5525" i="29"/>
  <c r="R5525" i="29"/>
  <c r="Q5525" i="29"/>
  <c r="V5524" i="29"/>
  <c r="U5524" i="29"/>
  <c r="T5524" i="29"/>
  <c r="R5524" i="29"/>
  <c r="Q5524" i="29"/>
  <c r="V5521" i="29"/>
  <c r="U5521" i="29"/>
  <c r="T5521" i="29"/>
  <c r="R5521" i="29"/>
  <c r="Q5521" i="29"/>
  <c r="V5520" i="29"/>
  <c r="U5520" i="29"/>
  <c r="T5520" i="29"/>
  <c r="R5520" i="29"/>
  <c r="Q5520" i="29"/>
  <c r="V5519" i="29"/>
  <c r="U5519" i="29"/>
  <c r="T5519" i="29"/>
  <c r="R5519" i="29"/>
  <c r="Q5519" i="29"/>
  <c r="V5518" i="29"/>
  <c r="U5518" i="29"/>
  <c r="T5518" i="29"/>
  <c r="R5518" i="29"/>
  <c r="Q5518" i="29"/>
  <c r="V5517" i="29"/>
  <c r="U5517" i="29"/>
  <c r="T5517" i="29"/>
  <c r="R5517" i="29"/>
  <c r="Q5517" i="29"/>
  <c r="V5516" i="29"/>
  <c r="U5516" i="29"/>
  <c r="T5516" i="29"/>
  <c r="R5516" i="29"/>
  <c r="Q5516" i="29"/>
  <c r="V5515" i="29"/>
  <c r="U5515" i="29"/>
  <c r="T5515" i="29"/>
  <c r="R5515" i="29"/>
  <c r="Q5515" i="29"/>
  <c r="V5514" i="29"/>
  <c r="U5514" i="29"/>
  <c r="T5514" i="29"/>
  <c r="R5514" i="29"/>
  <c r="Q5514" i="29"/>
  <c r="V5513" i="29"/>
  <c r="U5513" i="29"/>
  <c r="T5513" i="29"/>
  <c r="R5513" i="29"/>
  <c r="Q5513" i="29"/>
  <c r="V5510" i="29"/>
  <c r="U5510" i="29"/>
  <c r="T5510" i="29"/>
  <c r="R5510" i="29"/>
  <c r="Q5510" i="29"/>
  <c r="V5509" i="29"/>
  <c r="U5509" i="29"/>
  <c r="T5509" i="29"/>
  <c r="R5509" i="29"/>
  <c r="Q5509" i="29"/>
  <c r="V5508" i="29"/>
  <c r="U5508" i="29"/>
  <c r="T5508" i="29"/>
  <c r="R5508" i="29"/>
  <c r="Q5508" i="29"/>
  <c r="V5507" i="29"/>
  <c r="U5507" i="29"/>
  <c r="T5507" i="29"/>
  <c r="R5507" i="29"/>
  <c r="Q5507" i="29"/>
  <c r="V5506" i="29"/>
  <c r="U5506" i="29"/>
  <c r="T5506" i="29"/>
  <c r="R5506" i="29"/>
  <c r="Q5506" i="29"/>
  <c r="V5505" i="29"/>
  <c r="U5505" i="29"/>
  <c r="T5505" i="29"/>
  <c r="R5505" i="29"/>
  <c r="Q5505" i="29"/>
  <c r="V5504" i="29"/>
  <c r="U5504" i="29"/>
  <c r="T5504" i="29"/>
  <c r="R5504" i="29"/>
  <c r="Q5504" i="29"/>
  <c r="V5503" i="29"/>
  <c r="U5503" i="29"/>
  <c r="T5503" i="29"/>
  <c r="R5503" i="29"/>
  <c r="Q5503" i="29"/>
  <c r="V5502" i="29"/>
  <c r="U5502" i="29"/>
  <c r="T5502" i="29"/>
  <c r="R5502" i="29"/>
  <c r="Q5502" i="29"/>
  <c r="V5499" i="29"/>
  <c r="U5499" i="29"/>
  <c r="T5499" i="29"/>
  <c r="R5499" i="29"/>
  <c r="Q5499" i="29"/>
  <c r="V5498" i="29"/>
  <c r="U5498" i="29"/>
  <c r="T5498" i="29"/>
  <c r="R5498" i="29"/>
  <c r="Q5498" i="29"/>
  <c r="V5497" i="29"/>
  <c r="U5497" i="29"/>
  <c r="T5497" i="29"/>
  <c r="R5497" i="29"/>
  <c r="Q5497" i="29"/>
  <c r="V5496" i="29"/>
  <c r="U5496" i="29"/>
  <c r="T5496" i="29"/>
  <c r="R5496" i="29"/>
  <c r="Q5496" i="29"/>
  <c r="V5495" i="29"/>
  <c r="U5495" i="29"/>
  <c r="T5495" i="29"/>
  <c r="R5495" i="29"/>
  <c r="Q5495" i="29"/>
  <c r="V5494" i="29"/>
  <c r="U5494" i="29"/>
  <c r="T5494" i="29"/>
  <c r="R5494" i="29"/>
  <c r="Q5494" i="29"/>
  <c r="V5493" i="29"/>
  <c r="U5493" i="29"/>
  <c r="T5493" i="29"/>
  <c r="R5493" i="29"/>
  <c r="Q5493" i="29"/>
  <c r="V5492" i="29"/>
  <c r="U5492" i="29"/>
  <c r="T5492" i="29"/>
  <c r="R5492" i="29"/>
  <c r="Q5492" i="29"/>
  <c r="V5491" i="29"/>
  <c r="U5491" i="29"/>
  <c r="T5491" i="29"/>
  <c r="R5491" i="29"/>
  <c r="Q5491" i="29"/>
  <c r="V5488" i="29"/>
  <c r="U5488" i="29"/>
  <c r="T5488" i="29"/>
  <c r="R5488" i="29"/>
  <c r="Q5488" i="29"/>
  <c r="V5487" i="29"/>
  <c r="U5487" i="29"/>
  <c r="T5487" i="29"/>
  <c r="R5487" i="29"/>
  <c r="Q5487" i="29"/>
  <c r="V5486" i="29"/>
  <c r="U5486" i="29"/>
  <c r="T5486" i="29"/>
  <c r="R5486" i="29"/>
  <c r="Q5486" i="29"/>
  <c r="V5485" i="29"/>
  <c r="U5485" i="29"/>
  <c r="T5485" i="29"/>
  <c r="R5485" i="29"/>
  <c r="Q5485" i="29"/>
  <c r="V5484" i="29"/>
  <c r="U5484" i="29"/>
  <c r="W5484" i="29" s="1"/>
  <c r="X5484" i="29" s="1"/>
  <c r="T5484" i="29"/>
  <c r="R5484" i="29"/>
  <c r="Q5484" i="29"/>
  <c r="V5483" i="29"/>
  <c r="U5483" i="29"/>
  <c r="T5483" i="29"/>
  <c r="R5483" i="29"/>
  <c r="Q5483" i="29"/>
  <c r="V5482" i="29"/>
  <c r="U5482" i="29"/>
  <c r="T5482" i="29"/>
  <c r="R5482" i="29"/>
  <c r="Q5482" i="29"/>
  <c r="V5481" i="29"/>
  <c r="U5481" i="29"/>
  <c r="T5481" i="29"/>
  <c r="R5481" i="29"/>
  <c r="Q5481" i="29"/>
  <c r="V5480" i="29"/>
  <c r="U5480" i="29"/>
  <c r="T5480" i="29"/>
  <c r="R5480" i="29"/>
  <c r="Q5480" i="29"/>
  <c r="V5477" i="29"/>
  <c r="U5477" i="29"/>
  <c r="T5477" i="29"/>
  <c r="R5477" i="29"/>
  <c r="Q5477" i="29"/>
  <c r="V5476" i="29"/>
  <c r="U5476" i="29"/>
  <c r="T5476" i="29"/>
  <c r="R5476" i="29"/>
  <c r="Q5476" i="29"/>
  <c r="V5475" i="29"/>
  <c r="U5475" i="29"/>
  <c r="T5475" i="29"/>
  <c r="R5475" i="29"/>
  <c r="Q5475" i="29"/>
  <c r="V5474" i="29"/>
  <c r="U5474" i="29"/>
  <c r="T5474" i="29"/>
  <c r="R5474" i="29"/>
  <c r="Q5474" i="29"/>
  <c r="V5473" i="29"/>
  <c r="U5473" i="29"/>
  <c r="T5473" i="29"/>
  <c r="R5473" i="29"/>
  <c r="Q5473" i="29"/>
  <c r="V5472" i="29"/>
  <c r="U5472" i="29"/>
  <c r="T5472" i="29"/>
  <c r="R5472" i="29"/>
  <c r="Q5472" i="29"/>
  <c r="V5471" i="29"/>
  <c r="U5471" i="29"/>
  <c r="T5471" i="29"/>
  <c r="R5471" i="29"/>
  <c r="Q5471" i="29"/>
  <c r="V5470" i="29"/>
  <c r="U5470" i="29"/>
  <c r="T5470" i="29"/>
  <c r="R5470" i="29"/>
  <c r="Q5470" i="29"/>
  <c r="V5469" i="29"/>
  <c r="U5469" i="29"/>
  <c r="T5469" i="29"/>
  <c r="R5469" i="29"/>
  <c r="Q5469" i="29"/>
  <c r="V5466" i="29"/>
  <c r="U5466" i="29"/>
  <c r="T5466" i="29"/>
  <c r="R5466" i="29"/>
  <c r="Q5466" i="29"/>
  <c r="V5465" i="29"/>
  <c r="U5465" i="29"/>
  <c r="T5465" i="29"/>
  <c r="R5465" i="29"/>
  <c r="Q5465" i="29"/>
  <c r="V5464" i="29"/>
  <c r="U5464" i="29"/>
  <c r="T5464" i="29"/>
  <c r="R5464" i="29"/>
  <c r="Q5464" i="29"/>
  <c r="V5463" i="29"/>
  <c r="U5463" i="29"/>
  <c r="T5463" i="29"/>
  <c r="R5463" i="29"/>
  <c r="Q5463" i="29"/>
  <c r="V5462" i="29"/>
  <c r="U5462" i="29"/>
  <c r="T5462" i="29"/>
  <c r="R5462" i="29"/>
  <c r="Q5462" i="29"/>
  <c r="V5461" i="29"/>
  <c r="U5461" i="29"/>
  <c r="T5461" i="29"/>
  <c r="R5461" i="29"/>
  <c r="Q5461" i="29"/>
  <c r="V5460" i="29"/>
  <c r="U5460" i="29"/>
  <c r="T5460" i="29"/>
  <c r="R5460" i="29"/>
  <c r="Q5460" i="29"/>
  <c r="V5459" i="29"/>
  <c r="U5459" i="29"/>
  <c r="T5459" i="29"/>
  <c r="R5459" i="29"/>
  <c r="Q5459" i="29"/>
  <c r="V5458" i="29"/>
  <c r="U5458" i="29"/>
  <c r="T5458" i="29"/>
  <c r="R5458" i="29"/>
  <c r="Q5458" i="29"/>
  <c r="V5455" i="29"/>
  <c r="U5455" i="29"/>
  <c r="T5455" i="29"/>
  <c r="R5455" i="29"/>
  <c r="Q5455" i="29"/>
  <c r="V5454" i="29"/>
  <c r="U5454" i="29"/>
  <c r="T5454" i="29"/>
  <c r="R5454" i="29"/>
  <c r="Q5454" i="29"/>
  <c r="V5453" i="29"/>
  <c r="U5453" i="29"/>
  <c r="T5453" i="29"/>
  <c r="R5453" i="29"/>
  <c r="Q5453" i="29"/>
  <c r="V5452" i="29"/>
  <c r="U5452" i="29"/>
  <c r="T5452" i="29"/>
  <c r="R5452" i="29"/>
  <c r="Q5452" i="29"/>
  <c r="V5451" i="29"/>
  <c r="U5451" i="29"/>
  <c r="T5451" i="29"/>
  <c r="R5451" i="29"/>
  <c r="Q5451" i="29"/>
  <c r="V5450" i="29"/>
  <c r="U5450" i="29"/>
  <c r="T5450" i="29"/>
  <c r="R5450" i="29"/>
  <c r="Q5450" i="29"/>
  <c r="V5449" i="29"/>
  <c r="U5449" i="29"/>
  <c r="T5449" i="29"/>
  <c r="R5449" i="29"/>
  <c r="Q5449" i="29"/>
  <c r="V5448" i="29"/>
  <c r="U5448" i="29"/>
  <c r="T5448" i="29"/>
  <c r="R5448" i="29"/>
  <c r="Q5448" i="29"/>
  <c r="V5447" i="29"/>
  <c r="U5447" i="29"/>
  <c r="T5447" i="29"/>
  <c r="R5447" i="29"/>
  <c r="Q5447" i="29"/>
  <c r="V5444" i="29"/>
  <c r="U5444" i="29"/>
  <c r="T5444" i="29"/>
  <c r="R5444" i="29"/>
  <c r="Q5444" i="29"/>
  <c r="V5443" i="29"/>
  <c r="U5443" i="29"/>
  <c r="T5443" i="29"/>
  <c r="R5443" i="29"/>
  <c r="Q5443" i="29"/>
  <c r="V5442" i="29"/>
  <c r="U5442" i="29"/>
  <c r="T5442" i="29"/>
  <c r="R5442" i="29"/>
  <c r="Q5442" i="29"/>
  <c r="V5441" i="29"/>
  <c r="U5441" i="29"/>
  <c r="T5441" i="29"/>
  <c r="R5441" i="29"/>
  <c r="Q5441" i="29"/>
  <c r="V5440" i="29"/>
  <c r="U5440" i="29"/>
  <c r="T5440" i="29"/>
  <c r="R5440" i="29"/>
  <c r="Q5440" i="29"/>
  <c r="V5439" i="29"/>
  <c r="U5439" i="29"/>
  <c r="T5439" i="29"/>
  <c r="R5439" i="29"/>
  <c r="Q5439" i="29"/>
  <c r="V5438" i="29"/>
  <c r="U5438" i="29"/>
  <c r="T5438" i="29"/>
  <c r="R5438" i="29"/>
  <c r="Q5438" i="29"/>
  <c r="V5437" i="29"/>
  <c r="U5437" i="29"/>
  <c r="T5437" i="29"/>
  <c r="R5437" i="29"/>
  <c r="Q5437" i="29"/>
  <c r="V5436" i="29"/>
  <c r="U5436" i="29"/>
  <c r="T5436" i="29"/>
  <c r="R5436" i="29"/>
  <c r="Q5436" i="29"/>
  <c r="V5433" i="29"/>
  <c r="U5433" i="29"/>
  <c r="T5433" i="29"/>
  <c r="R5433" i="29"/>
  <c r="Q5433" i="29"/>
  <c r="V5432" i="29"/>
  <c r="U5432" i="29"/>
  <c r="T5432" i="29"/>
  <c r="R5432" i="29"/>
  <c r="Q5432" i="29"/>
  <c r="V5431" i="29"/>
  <c r="U5431" i="29"/>
  <c r="T5431" i="29"/>
  <c r="R5431" i="29"/>
  <c r="Q5431" i="29"/>
  <c r="V5430" i="29"/>
  <c r="U5430" i="29"/>
  <c r="T5430" i="29"/>
  <c r="R5430" i="29"/>
  <c r="Q5430" i="29"/>
  <c r="V5429" i="29"/>
  <c r="U5429" i="29"/>
  <c r="T5429" i="29"/>
  <c r="R5429" i="29"/>
  <c r="Q5429" i="29"/>
  <c r="V5428" i="29"/>
  <c r="U5428" i="29"/>
  <c r="T5428" i="29"/>
  <c r="R5428" i="29"/>
  <c r="Q5428" i="29"/>
  <c r="V5427" i="29"/>
  <c r="U5427" i="29"/>
  <c r="T5427" i="29"/>
  <c r="R5427" i="29"/>
  <c r="Q5427" i="29"/>
  <c r="V5426" i="29"/>
  <c r="U5426" i="29"/>
  <c r="T5426" i="29"/>
  <c r="R5426" i="29"/>
  <c r="Q5426" i="29"/>
  <c r="V5425" i="29"/>
  <c r="U5425" i="29"/>
  <c r="T5425" i="29"/>
  <c r="R5425" i="29"/>
  <c r="Q5425" i="29"/>
  <c r="V5422" i="29"/>
  <c r="U5422" i="29"/>
  <c r="T5422" i="29"/>
  <c r="R5422" i="29"/>
  <c r="Q5422" i="29"/>
  <c r="V5421" i="29"/>
  <c r="U5421" i="29"/>
  <c r="T5421" i="29"/>
  <c r="R5421" i="29"/>
  <c r="Q5421" i="29"/>
  <c r="V5420" i="29"/>
  <c r="U5420" i="29"/>
  <c r="T5420" i="29"/>
  <c r="R5420" i="29"/>
  <c r="Q5420" i="29"/>
  <c r="V5419" i="29"/>
  <c r="U5419" i="29"/>
  <c r="T5419" i="29"/>
  <c r="R5419" i="29"/>
  <c r="Q5419" i="29"/>
  <c r="V5418" i="29"/>
  <c r="U5418" i="29"/>
  <c r="T5418" i="29"/>
  <c r="R5418" i="29"/>
  <c r="Q5418" i="29"/>
  <c r="V5417" i="29"/>
  <c r="U5417" i="29"/>
  <c r="T5417" i="29"/>
  <c r="R5417" i="29"/>
  <c r="Q5417" i="29"/>
  <c r="V5416" i="29"/>
  <c r="U5416" i="29"/>
  <c r="T5416" i="29"/>
  <c r="R5416" i="29"/>
  <c r="Q5416" i="29"/>
  <c r="V5415" i="29"/>
  <c r="U5415" i="29"/>
  <c r="T5415" i="29"/>
  <c r="R5415" i="29"/>
  <c r="Q5415" i="29"/>
  <c r="V5414" i="29"/>
  <c r="U5414" i="29"/>
  <c r="T5414" i="29"/>
  <c r="R5414" i="29"/>
  <c r="Q5414" i="29"/>
  <c r="V5411" i="29"/>
  <c r="U5411" i="29"/>
  <c r="T5411" i="29"/>
  <c r="R5411" i="29"/>
  <c r="Q5411" i="29"/>
  <c r="V5410" i="29"/>
  <c r="U5410" i="29"/>
  <c r="T5410" i="29"/>
  <c r="R5410" i="29"/>
  <c r="Q5410" i="29"/>
  <c r="V5409" i="29"/>
  <c r="U5409" i="29"/>
  <c r="T5409" i="29"/>
  <c r="R5409" i="29"/>
  <c r="Q5409" i="29"/>
  <c r="V5408" i="29"/>
  <c r="U5408" i="29"/>
  <c r="T5408" i="29"/>
  <c r="R5408" i="29"/>
  <c r="Q5408" i="29"/>
  <c r="V5407" i="29"/>
  <c r="U5407" i="29"/>
  <c r="T5407" i="29"/>
  <c r="R5407" i="29"/>
  <c r="Q5407" i="29"/>
  <c r="V5406" i="29"/>
  <c r="U5406" i="29"/>
  <c r="T5406" i="29"/>
  <c r="R5406" i="29"/>
  <c r="Q5406" i="29"/>
  <c r="V5405" i="29"/>
  <c r="U5405" i="29"/>
  <c r="T5405" i="29"/>
  <c r="R5405" i="29"/>
  <c r="Q5405" i="29"/>
  <c r="V5404" i="29"/>
  <c r="U5404" i="29"/>
  <c r="T5404" i="29"/>
  <c r="R5404" i="29"/>
  <c r="Q5404" i="29"/>
  <c r="V5403" i="29"/>
  <c r="U5403" i="29"/>
  <c r="T5403" i="29"/>
  <c r="R5403" i="29"/>
  <c r="Q5403" i="29"/>
  <c r="V5400" i="29"/>
  <c r="U5400" i="29"/>
  <c r="T5400" i="29"/>
  <c r="R5400" i="29"/>
  <c r="Q5400" i="29"/>
  <c r="V5399" i="29"/>
  <c r="U5399" i="29"/>
  <c r="T5399" i="29"/>
  <c r="R5399" i="29"/>
  <c r="Q5399" i="29"/>
  <c r="V5398" i="29"/>
  <c r="U5398" i="29"/>
  <c r="T5398" i="29"/>
  <c r="R5398" i="29"/>
  <c r="Q5398" i="29"/>
  <c r="V5397" i="29"/>
  <c r="U5397" i="29"/>
  <c r="T5397" i="29"/>
  <c r="R5397" i="29"/>
  <c r="Q5397" i="29"/>
  <c r="V5396" i="29"/>
  <c r="U5396" i="29"/>
  <c r="T5396" i="29"/>
  <c r="R5396" i="29"/>
  <c r="Q5396" i="29"/>
  <c r="V5395" i="29"/>
  <c r="U5395" i="29"/>
  <c r="T5395" i="29"/>
  <c r="R5395" i="29"/>
  <c r="Q5395" i="29"/>
  <c r="V5394" i="29"/>
  <c r="U5394" i="29"/>
  <c r="T5394" i="29"/>
  <c r="R5394" i="29"/>
  <c r="Q5394" i="29"/>
  <c r="V5393" i="29"/>
  <c r="U5393" i="29"/>
  <c r="T5393" i="29"/>
  <c r="R5393" i="29"/>
  <c r="Q5393" i="29"/>
  <c r="V5392" i="29"/>
  <c r="U5392" i="29"/>
  <c r="T5392" i="29"/>
  <c r="R5392" i="29"/>
  <c r="Q5392" i="29"/>
  <c r="V5389" i="29"/>
  <c r="U5389" i="29"/>
  <c r="T5389" i="29"/>
  <c r="R5389" i="29"/>
  <c r="Q5389" i="29"/>
  <c r="V5388" i="29"/>
  <c r="U5388" i="29"/>
  <c r="T5388" i="29"/>
  <c r="R5388" i="29"/>
  <c r="Q5388" i="29"/>
  <c r="V5387" i="29"/>
  <c r="U5387" i="29"/>
  <c r="T5387" i="29"/>
  <c r="R5387" i="29"/>
  <c r="Q5387" i="29"/>
  <c r="V5386" i="29"/>
  <c r="U5386" i="29"/>
  <c r="T5386" i="29"/>
  <c r="R5386" i="29"/>
  <c r="Q5386" i="29"/>
  <c r="V5385" i="29"/>
  <c r="U5385" i="29"/>
  <c r="W5385" i="29" s="1"/>
  <c r="X5385" i="29" s="1"/>
  <c r="T5385" i="29"/>
  <c r="R5385" i="29"/>
  <c r="Q5385" i="29"/>
  <c r="V5384" i="29"/>
  <c r="U5384" i="29"/>
  <c r="T5384" i="29"/>
  <c r="R5384" i="29"/>
  <c r="Q5384" i="29"/>
  <c r="V5383" i="29"/>
  <c r="U5383" i="29"/>
  <c r="T5383" i="29"/>
  <c r="R5383" i="29"/>
  <c r="Q5383" i="29"/>
  <c r="V5382" i="29"/>
  <c r="U5382" i="29"/>
  <c r="T5382" i="29"/>
  <c r="R5382" i="29"/>
  <c r="Q5382" i="29"/>
  <c r="V5381" i="29"/>
  <c r="U5381" i="29"/>
  <c r="T5381" i="29"/>
  <c r="R5381" i="29"/>
  <c r="Q5381" i="29"/>
  <c r="V5378" i="29"/>
  <c r="U5378" i="29"/>
  <c r="T5378" i="29"/>
  <c r="R5378" i="29"/>
  <c r="Q5378" i="29"/>
  <c r="V5377" i="29"/>
  <c r="U5377" i="29"/>
  <c r="T5377" i="29"/>
  <c r="R5377" i="29"/>
  <c r="Q5377" i="29"/>
  <c r="V5376" i="29"/>
  <c r="U5376" i="29"/>
  <c r="T5376" i="29"/>
  <c r="R5376" i="29"/>
  <c r="Q5376" i="29"/>
  <c r="V5375" i="29"/>
  <c r="U5375" i="29"/>
  <c r="T5375" i="29"/>
  <c r="R5375" i="29"/>
  <c r="Q5375" i="29"/>
  <c r="V5374" i="29"/>
  <c r="U5374" i="29"/>
  <c r="T5374" i="29"/>
  <c r="R5374" i="29"/>
  <c r="Q5374" i="29"/>
  <c r="V5373" i="29"/>
  <c r="U5373" i="29"/>
  <c r="T5373" i="29"/>
  <c r="R5373" i="29"/>
  <c r="Q5373" i="29"/>
  <c r="V5372" i="29"/>
  <c r="U5372" i="29"/>
  <c r="T5372" i="29"/>
  <c r="R5372" i="29"/>
  <c r="Q5372" i="29"/>
  <c r="V5371" i="29"/>
  <c r="U5371" i="29"/>
  <c r="T5371" i="29"/>
  <c r="R5371" i="29"/>
  <c r="Q5371" i="29"/>
  <c r="V5370" i="29"/>
  <c r="U5370" i="29"/>
  <c r="T5370" i="29"/>
  <c r="R5370" i="29"/>
  <c r="Q5370" i="29"/>
  <c r="V5367" i="29"/>
  <c r="U5367" i="29"/>
  <c r="T5367" i="29"/>
  <c r="R5367" i="29"/>
  <c r="Q5367" i="29"/>
  <c r="V5366" i="29"/>
  <c r="U5366" i="29"/>
  <c r="T5366" i="29"/>
  <c r="R5366" i="29"/>
  <c r="Q5366" i="29"/>
  <c r="V5365" i="29"/>
  <c r="U5365" i="29"/>
  <c r="T5365" i="29"/>
  <c r="R5365" i="29"/>
  <c r="Q5365" i="29"/>
  <c r="V5364" i="29"/>
  <c r="U5364" i="29"/>
  <c r="T5364" i="29"/>
  <c r="R5364" i="29"/>
  <c r="Q5364" i="29"/>
  <c r="V5363" i="29"/>
  <c r="U5363" i="29"/>
  <c r="T5363" i="29"/>
  <c r="R5363" i="29"/>
  <c r="Q5363" i="29"/>
  <c r="V5362" i="29"/>
  <c r="U5362" i="29"/>
  <c r="T5362" i="29"/>
  <c r="R5362" i="29"/>
  <c r="Q5362" i="29"/>
  <c r="V5361" i="29"/>
  <c r="U5361" i="29"/>
  <c r="T5361" i="29"/>
  <c r="R5361" i="29"/>
  <c r="Q5361" i="29"/>
  <c r="V5360" i="29"/>
  <c r="W5360" i="29" s="1"/>
  <c r="X5360" i="29" s="1"/>
  <c r="U5360" i="29"/>
  <c r="T5360" i="29"/>
  <c r="R5360" i="29"/>
  <c r="Q5360" i="29"/>
  <c r="V5359" i="29"/>
  <c r="U5359" i="29"/>
  <c r="T5359" i="29"/>
  <c r="R5359" i="29"/>
  <c r="Q5359" i="29"/>
  <c r="V5356" i="29"/>
  <c r="U5356" i="29"/>
  <c r="T5356" i="29"/>
  <c r="R5356" i="29"/>
  <c r="Q5356" i="29"/>
  <c r="V5355" i="29"/>
  <c r="U5355" i="29"/>
  <c r="W5355" i="29" s="1"/>
  <c r="X5355" i="29" s="1"/>
  <c r="T5355" i="29"/>
  <c r="R5355" i="29"/>
  <c r="Q5355" i="29"/>
  <c r="V5354" i="29"/>
  <c r="U5354" i="29"/>
  <c r="T5354" i="29"/>
  <c r="R5354" i="29"/>
  <c r="Q5354" i="29"/>
  <c r="V5353" i="29"/>
  <c r="U5353" i="29"/>
  <c r="T5353" i="29"/>
  <c r="R5353" i="29"/>
  <c r="Q5353" i="29"/>
  <c r="V5352" i="29"/>
  <c r="U5352" i="29"/>
  <c r="T5352" i="29"/>
  <c r="R5352" i="29"/>
  <c r="Q5352" i="29"/>
  <c r="V5351" i="29"/>
  <c r="U5351" i="29"/>
  <c r="T5351" i="29"/>
  <c r="R5351" i="29"/>
  <c r="Q5351" i="29"/>
  <c r="V5350" i="29"/>
  <c r="W5350" i="29" s="1"/>
  <c r="X5350" i="29" s="1"/>
  <c r="U5350" i="29"/>
  <c r="T5350" i="29"/>
  <c r="R5350" i="29"/>
  <c r="Q5350" i="29"/>
  <c r="V5349" i="29"/>
  <c r="U5349" i="29"/>
  <c r="T5349" i="29"/>
  <c r="R5349" i="29"/>
  <c r="Q5349" i="29"/>
  <c r="V5348" i="29"/>
  <c r="U5348" i="29"/>
  <c r="T5348" i="29"/>
  <c r="R5348" i="29"/>
  <c r="Q5348" i="29"/>
  <c r="V5345" i="29"/>
  <c r="U5345" i="29"/>
  <c r="T5345" i="29"/>
  <c r="R5345" i="29"/>
  <c r="Q5345" i="29"/>
  <c r="V5344" i="29"/>
  <c r="U5344" i="29"/>
  <c r="T5344" i="29"/>
  <c r="R5344" i="29"/>
  <c r="Q5344" i="29"/>
  <c r="V5343" i="29"/>
  <c r="U5343" i="29"/>
  <c r="T5343" i="29"/>
  <c r="R5343" i="29"/>
  <c r="Q5343" i="29"/>
  <c r="V5342" i="29"/>
  <c r="U5342" i="29"/>
  <c r="T5342" i="29"/>
  <c r="R5342" i="29"/>
  <c r="Q5342" i="29"/>
  <c r="V5341" i="29"/>
  <c r="U5341" i="29"/>
  <c r="T5341" i="29"/>
  <c r="R5341" i="29"/>
  <c r="Q5341" i="29"/>
  <c r="V5340" i="29"/>
  <c r="W5340" i="29" s="1"/>
  <c r="X5340" i="29" s="1"/>
  <c r="U5340" i="29"/>
  <c r="T5340" i="29"/>
  <c r="R5340" i="29"/>
  <c r="Q5340" i="29"/>
  <c r="V5339" i="29"/>
  <c r="U5339" i="29"/>
  <c r="T5339" i="29"/>
  <c r="R5339" i="29"/>
  <c r="Q5339" i="29"/>
  <c r="V5338" i="29"/>
  <c r="U5338" i="29"/>
  <c r="T5338" i="29"/>
  <c r="R5338" i="29"/>
  <c r="Q5338" i="29"/>
  <c r="V5337" i="29"/>
  <c r="U5337" i="29"/>
  <c r="T5337" i="29"/>
  <c r="R5337" i="29"/>
  <c r="Q5337" i="29"/>
  <c r="V5334" i="29"/>
  <c r="U5334" i="29"/>
  <c r="T5334" i="29"/>
  <c r="R5334" i="29"/>
  <c r="Q5334" i="29"/>
  <c r="V5333" i="29"/>
  <c r="U5333" i="29"/>
  <c r="T5333" i="29"/>
  <c r="R5333" i="29"/>
  <c r="Q5333" i="29"/>
  <c r="V5332" i="29"/>
  <c r="U5332" i="29"/>
  <c r="T5332" i="29"/>
  <c r="R5332" i="29"/>
  <c r="Q5332" i="29"/>
  <c r="V5331" i="29"/>
  <c r="U5331" i="29"/>
  <c r="T5331" i="29"/>
  <c r="R5331" i="29"/>
  <c r="Q5331" i="29"/>
  <c r="V5330" i="29"/>
  <c r="U5330" i="29"/>
  <c r="T5330" i="29"/>
  <c r="R5330" i="29"/>
  <c r="Q5330" i="29"/>
  <c r="V5329" i="29"/>
  <c r="U5329" i="29"/>
  <c r="T5329" i="29"/>
  <c r="R5329" i="29"/>
  <c r="Q5329" i="29"/>
  <c r="V5328" i="29"/>
  <c r="U5328" i="29"/>
  <c r="T5328" i="29"/>
  <c r="R5328" i="29"/>
  <c r="Q5328" i="29"/>
  <c r="V5327" i="29"/>
  <c r="U5327" i="29"/>
  <c r="T5327" i="29"/>
  <c r="R5327" i="29"/>
  <c r="Q5327" i="29"/>
  <c r="V5326" i="29"/>
  <c r="U5326" i="29"/>
  <c r="T5326" i="29"/>
  <c r="R5326" i="29"/>
  <c r="Q5326" i="29"/>
  <c r="V5323" i="29"/>
  <c r="U5323" i="29"/>
  <c r="T5323" i="29"/>
  <c r="R5323" i="29"/>
  <c r="Q5323" i="29"/>
  <c r="V5322" i="29"/>
  <c r="U5322" i="29"/>
  <c r="T5322" i="29"/>
  <c r="R5322" i="29"/>
  <c r="Q5322" i="29"/>
  <c r="V5321" i="29"/>
  <c r="U5321" i="29"/>
  <c r="T5321" i="29"/>
  <c r="R5321" i="29"/>
  <c r="Q5321" i="29"/>
  <c r="V5320" i="29"/>
  <c r="W5320" i="29" s="1"/>
  <c r="X5320" i="29" s="1"/>
  <c r="U5320" i="29"/>
  <c r="T5320" i="29"/>
  <c r="R5320" i="29"/>
  <c r="Q5320" i="29"/>
  <c r="V5319" i="29"/>
  <c r="U5319" i="29"/>
  <c r="T5319" i="29"/>
  <c r="R5319" i="29"/>
  <c r="Q5319" i="29"/>
  <c r="V5318" i="29"/>
  <c r="U5318" i="29"/>
  <c r="T5318" i="29"/>
  <c r="R5318" i="29"/>
  <c r="Q5318" i="29"/>
  <c r="V5317" i="29"/>
  <c r="U5317" i="29"/>
  <c r="T5317" i="29"/>
  <c r="R5317" i="29"/>
  <c r="Q5317" i="29"/>
  <c r="V5316" i="29"/>
  <c r="U5316" i="29"/>
  <c r="T5316" i="29"/>
  <c r="R5316" i="29"/>
  <c r="Q5316" i="29"/>
  <c r="V5315" i="29"/>
  <c r="U5315" i="29"/>
  <c r="T5315" i="29"/>
  <c r="R5315" i="29"/>
  <c r="Q5315" i="29"/>
  <c r="V5312" i="29"/>
  <c r="U5312" i="29"/>
  <c r="T5312" i="29"/>
  <c r="R5312" i="29"/>
  <c r="Q5312" i="29"/>
  <c r="V5311" i="29"/>
  <c r="U5311" i="29"/>
  <c r="T5311" i="29"/>
  <c r="R5311" i="29"/>
  <c r="Q5311" i="29"/>
  <c r="V5310" i="29"/>
  <c r="U5310" i="29"/>
  <c r="T5310" i="29"/>
  <c r="R5310" i="29"/>
  <c r="Q5310" i="29"/>
  <c r="V5309" i="29"/>
  <c r="U5309" i="29"/>
  <c r="W5309" i="29" s="1"/>
  <c r="X5309" i="29" s="1"/>
  <c r="T5309" i="29"/>
  <c r="R5309" i="29"/>
  <c r="Q5309" i="29"/>
  <c r="V5308" i="29"/>
  <c r="U5308" i="29"/>
  <c r="T5308" i="29"/>
  <c r="R5308" i="29"/>
  <c r="Q5308" i="29"/>
  <c r="V5307" i="29"/>
  <c r="U5307" i="29"/>
  <c r="T5307" i="29"/>
  <c r="R5307" i="29"/>
  <c r="Q5307" i="29"/>
  <c r="V5306" i="29"/>
  <c r="U5306" i="29"/>
  <c r="T5306" i="29"/>
  <c r="R5306" i="29"/>
  <c r="Q5306" i="29"/>
  <c r="V5305" i="29"/>
  <c r="U5305" i="29"/>
  <c r="T5305" i="29"/>
  <c r="R5305" i="29"/>
  <c r="Q5305" i="29"/>
  <c r="V5304" i="29"/>
  <c r="U5304" i="29"/>
  <c r="T5304" i="29"/>
  <c r="R5304" i="29"/>
  <c r="Q5304" i="29"/>
  <c r="V5301" i="29"/>
  <c r="U5301" i="29"/>
  <c r="T5301" i="29"/>
  <c r="R5301" i="29"/>
  <c r="Q5301" i="29"/>
  <c r="V5300" i="29"/>
  <c r="U5300" i="29"/>
  <c r="T5300" i="29"/>
  <c r="R5300" i="29"/>
  <c r="Q5300" i="29"/>
  <c r="V5299" i="29"/>
  <c r="U5299" i="29"/>
  <c r="T5299" i="29"/>
  <c r="R5299" i="29"/>
  <c r="Q5299" i="29"/>
  <c r="V5298" i="29"/>
  <c r="U5298" i="29"/>
  <c r="T5298" i="29"/>
  <c r="R5298" i="29"/>
  <c r="Q5298" i="29"/>
  <c r="V5297" i="29"/>
  <c r="U5297" i="29"/>
  <c r="T5297" i="29"/>
  <c r="R5297" i="29"/>
  <c r="Q5297" i="29"/>
  <c r="V5296" i="29"/>
  <c r="U5296" i="29"/>
  <c r="T5296" i="29"/>
  <c r="R5296" i="29"/>
  <c r="Q5296" i="29"/>
  <c r="V5295" i="29"/>
  <c r="U5295" i="29"/>
  <c r="T5295" i="29"/>
  <c r="R5295" i="29"/>
  <c r="Q5295" i="29"/>
  <c r="V5294" i="29"/>
  <c r="U5294" i="29"/>
  <c r="T5294" i="29"/>
  <c r="R5294" i="29"/>
  <c r="Q5294" i="29"/>
  <c r="V5293" i="29"/>
  <c r="U5293" i="29"/>
  <c r="T5293" i="29"/>
  <c r="R5293" i="29"/>
  <c r="Q5293" i="29"/>
  <c r="V5290" i="29"/>
  <c r="U5290" i="29"/>
  <c r="T5290" i="29"/>
  <c r="R5290" i="29"/>
  <c r="Q5290" i="29"/>
  <c r="V5289" i="29"/>
  <c r="U5289" i="29"/>
  <c r="W5289" i="29" s="1"/>
  <c r="X5289" i="29" s="1"/>
  <c r="T5289" i="29"/>
  <c r="R5289" i="29"/>
  <c r="Q5289" i="29"/>
  <c r="V5288" i="29"/>
  <c r="U5288" i="29"/>
  <c r="T5288" i="29"/>
  <c r="R5288" i="29"/>
  <c r="Q5288" i="29"/>
  <c r="V5287" i="29"/>
  <c r="U5287" i="29"/>
  <c r="T5287" i="29"/>
  <c r="R5287" i="29"/>
  <c r="Q5287" i="29"/>
  <c r="V5286" i="29"/>
  <c r="U5286" i="29"/>
  <c r="T5286" i="29"/>
  <c r="R5286" i="29"/>
  <c r="Q5286" i="29"/>
  <c r="V5285" i="29"/>
  <c r="U5285" i="29"/>
  <c r="T5285" i="29"/>
  <c r="R5285" i="29"/>
  <c r="Q5285" i="29"/>
  <c r="V5284" i="29"/>
  <c r="U5284" i="29"/>
  <c r="T5284" i="29"/>
  <c r="R5284" i="29"/>
  <c r="Q5284" i="29"/>
  <c r="V5283" i="29"/>
  <c r="U5283" i="29"/>
  <c r="T5283" i="29"/>
  <c r="R5283" i="29"/>
  <c r="Q5283" i="29"/>
  <c r="V5282" i="29"/>
  <c r="U5282" i="29"/>
  <c r="T5282" i="29"/>
  <c r="R5282" i="29"/>
  <c r="Q5282" i="29"/>
  <c r="V5279" i="29"/>
  <c r="U5279" i="29"/>
  <c r="T5279" i="29"/>
  <c r="R5279" i="29"/>
  <c r="Q5279" i="29"/>
  <c r="V5278" i="29"/>
  <c r="U5278" i="29"/>
  <c r="W5278" i="29" s="1"/>
  <c r="X5278" i="29" s="1"/>
  <c r="T5278" i="29"/>
  <c r="R5278" i="29"/>
  <c r="Q5278" i="29"/>
  <c r="V5277" i="29"/>
  <c r="U5277" i="29"/>
  <c r="W5277" i="29" s="1"/>
  <c r="X5277" i="29" s="1"/>
  <c r="T5277" i="29"/>
  <c r="R5277" i="29"/>
  <c r="Q5277" i="29"/>
  <c r="V5276" i="29"/>
  <c r="U5276" i="29"/>
  <c r="T5276" i="29"/>
  <c r="R5276" i="29"/>
  <c r="Q5276" i="29"/>
  <c r="V5275" i="29"/>
  <c r="U5275" i="29"/>
  <c r="T5275" i="29"/>
  <c r="R5275" i="29"/>
  <c r="Q5275" i="29"/>
  <c r="V5274" i="29"/>
  <c r="U5274" i="29"/>
  <c r="T5274" i="29"/>
  <c r="R5274" i="29"/>
  <c r="Q5274" i="29"/>
  <c r="V5273" i="29"/>
  <c r="U5273" i="29"/>
  <c r="T5273" i="29"/>
  <c r="R5273" i="29"/>
  <c r="Q5273" i="29"/>
  <c r="V5272" i="29"/>
  <c r="U5272" i="29"/>
  <c r="T5272" i="29"/>
  <c r="R5272" i="29"/>
  <c r="Q5272" i="29"/>
  <c r="V5271" i="29"/>
  <c r="U5271" i="29"/>
  <c r="T5271" i="29"/>
  <c r="R5271" i="29"/>
  <c r="Q5271" i="29"/>
  <c r="V5268" i="29"/>
  <c r="U5268" i="29"/>
  <c r="T5268" i="29"/>
  <c r="R5268" i="29"/>
  <c r="Q5268" i="29"/>
  <c r="V5267" i="29"/>
  <c r="U5267" i="29"/>
  <c r="T5267" i="29"/>
  <c r="R5267" i="29"/>
  <c r="Q5267" i="29"/>
  <c r="V5266" i="29"/>
  <c r="U5266" i="29"/>
  <c r="W5266" i="29" s="1"/>
  <c r="X5266" i="29" s="1"/>
  <c r="T5266" i="29"/>
  <c r="R5266" i="29"/>
  <c r="Q5266" i="29"/>
  <c r="V5265" i="29"/>
  <c r="U5265" i="29"/>
  <c r="T5265" i="29"/>
  <c r="R5265" i="29"/>
  <c r="Q5265" i="29"/>
  <c r="V5264" i="29"/>
  <c r="U5264" i="29"/>
  <c r="T5264" i="29"/>
  <c r="R5264" i="29"/>
  <c r="Q5264" i="29"/>
  <c r="V5263" i="29"/>
  <c r="U5263" i="29"/>
  <c r="T5263" i="29"/>
  <c r="R5263" i="29"/>
  <c r="Q5263" i="29"/>
  <c r="V5262" i="29"/>
  <c r="U5262" i="29"/>
  <c r="T5262" i="29"/>
  <c r="R5262" i="29"/>
  <c r="Q5262" i="29"/>
  <c r="V5261" i="29"/>
  <c r="U5261" i="29"/>
  <c r="T5261" i="29"/>
  <c r="R5261" i="29"/>
  <c r="Q5261" i="29"/>
  <c r="V5260" i="29"/>
  <c r="U5260" i="29"/>
  <c r="T5260" i="29"/>
  <c r="R5260" i="29"/>
  <c r="Q5260" i="29"/>
  <c r="V5257" i="29"/>
  <c r="U5257" i="29"/>
  <c r="T5257" i="29"/>
  <c r="R5257" i="29"/>
  <c r="Q5257" i="29"/>
  <c r="V5256" i="29"/>
  <c r="U5256" i="29"/>
  <c r="T5256" i="29"/>
  <c r="R5256" i="29"/>
  <c r="Q5256" i="29"/>
  <c r="V5255" i="29"/>
  <c r="U5255" i="29"/>
  <c r="T5255" i="29"/>
  <c r="R5255" i="29"/>
  <c r="Q5255" i="29"/>
  <c r="V5254" i="29"/>
  <c r="U5254" i="29"/>
  <c r="T5254" i="29"/>
  <c r="R5254" i="29"/>
  <c r="Q5254" i="29"/>
  <c r="V5253" i="29"/>
  <c r="U5253" i="29"/>
  <c r="T5253" i="29"/>
  <c r="R5253" i="29"/>
  <c r="Q5253" i="29"/>
  <c r="V5252" i="29"/>
  <c r="U5252" i="29"/>
  <c r="T5252" i="29"/>
  <c r="R5252" i="29"/>
  <c r="Q5252" i="29"/>
  <c r="V5251" i="29"/>
  <c r="U5251" i="29"/>
  <c r="T5251" i="29"/>
  <c r="R5251" i="29"/>
  <c r="Q5251" i="29"/>
  <c r="V5250" i="29"/>
  <c r="U5250" i="29"/>
  <c r="T5250" i="29"/>
  <c r="R5250" i="29"/>
  <c r="Q5250" i="29"/>
  <c r="V5249" i="29"/>
  <c r="U5249" i="29"/>
  <c r="T5249" i="29"/>
  <c r="R5249" i="29"/>
  <c r="Q5249" i="29"/>
  <c r="V5246" i="29"/>
  <c r="U5246" i="29"/>
  <c r="T5246" i="29"/>
  <c r="R5246" i="29"/>
  <c r="Q5246" i="29"/>
  <c r="V5245" i="29"/>
  <c r="U5245" i="29"/>
  <c r="T5245" i="29"/>
  <c r="R5245" i="29"/>
  <c r="Q5245" i="29"/>
  <c r="V5244" i="29"/>
  <c r="U5244" i="29"/>
  <c r="T5244" i="29"/>
  <c r="R5244" i="29"/>
  <c r="Q5244" i="29"/>
  <c r="V5243" i="29"/>
  <c r="U5243" i="29"/>
  <c r="T5243" i="29"/>
  <c r="R5243" i="29"/>
  <c r="Q5243" i="29"/>
  <c r="V5242" i="29"/>
  <c r="U5242" i="29"/>
  <c r="T5242" i="29"/>
  <c r="R5242" i="29"/>
  <c r="Q5242" i="29"/>
  <c r="V5241" i="29"/>
  <c r="U5241" i="29"/>
  <c r="T5241" i="29"/>
  <c r="R5241" i="29"/>
  <c r="Q5241" i="29"/>
  <c r="V5240" i="29"/>
  <c r="U5240" i="29"/>
  <c r="T5240" i="29"/>
  <c r="R5240" i="29"/>
  <c r="Q5240" i="29"/>
  <c r="V5239" i="29"/>
  <c r="U5239" i="29"/>
  <c r="T5239" i="29"/>
  <c r="R5239" i="29"/>
  <c r="Q5239" i="29"/>
  <c r="V5238" i="29"/>
  <c r="U5238" i="29"/>
  <c r="T5238" i="29"/>
  <c r="R5238" i="29"/>
  <c r="Q5238" i="29"/>
  <c r="V5235" i="29"/>
  <c r="U5235" i="29"/>
  <c r="T5235" i="29"/>
  <c r="R5235" i="29"/>
  <c r="Q5235" i="29"/>
  <c r="V5234" i="29"/>
  <c r="U5234" i="29"/>
  <c r="T5234" i="29"/>
  <c r="R5234" i="29"/>
  <c r="Q5234" i="29"/>
  <c r="V5233" i="29"/>
  <c r="U5233" i="29"/>
  <c r="T5233" i="29"/>
  <c r="R5233" i="29"/>
  <c r="Q5233" i="29"/>
  <c r="V5232" i="29"/>
  <c r="U5232" i="29"/>
  <c r="T5232" i="29"/>
  <c r="R5232" i="29"/>
  <c r="Q5232" i="29"/>
  <c r="V5231" i="29"/>
  <c r="U5231" i="29"/>
  <c r="T5231" i="29"/>
  <c r="R5231" i="29"/>
  <c r="Q5231" i="29"/>
  <c r="V5230" i="29"/>
  <c r="U5230" i="29"/>
  <c r="T5230" i="29"/>
  <c r="R5230" i="29"/>
  <c r="Q5230" i="29"/>
  <c r="V5229" i="29"/>
  <c r="U5229" i="29"/>
  <c r="T5229" i="29"/>
  <c r="R5229" i="29"/>
  <c r="Q5229" i="29"/>
  <c r="V5228" i="29"/>
  <c r="U5228" i="29"/>
  <c r="T5228" i="29"/>
  <c r="R5228" i="29"/>
  <c r="Q5228" i="29"/>
  <c r="V5227" i="29"/>
  <c r="U5227" i="29"/>
  <c r="T5227" i="29"/>
  <c r="R5227" i="29"/>
  <c r="Q5227" i="29"/>
  <c r="V5224" i="29"/>
  <c r="U5224" i="29"/>
  <c r="T5224" i="29"/>
  <c r="R5224" i="29"/>
  <c r="Q5224" i="29"/>
  <c r="V5223" i="29"/>
  <c r="U5223" i="29"/>
  <c r="T5223" i="29"/>
  <c r="R5223" i="29"/>
  <c r="Q5223" i="29"/>
  <c r="V5222" i="29"/>
  <c r="U5222" i="29"/>
  <c r="T5222" i="29"/>
  <c r="R5222" i="29"/>
  <c r="Q5222" i="29"/>
  <c r="V5221" i="29"/>
  <c r="U5221" i="29"/>
  <c r="T5221" i="29"/>
  <c r="R5221" i="29"/>
  <c r="Q5221" i="29"/>
  <c r="V5220" i="29"/>
  <c r="U5220" i="29"/>
  <c r="T5220" i="29"/>
  <c r="R5220" i="29"/>
  <c r="Q5220" i="29"/>
  <c r="V5219" i="29"/>
  <c r="U5219" i="29"/>
  <c r="T5219" i="29"/>
  <c r="R5219" i="29"/>
  <c r="Q5219" i="29"/>
  <c r="V5218" i="29"/>
  <c r="U5218" i="29"/>
  <c r="T5218" i="29"/>
  <c r="R5218" i="29"/>
  <c r="Q5218" i="29"/>
  <c r="V5217" i="29"/>
  <c r="U5217" i="29"/>
  <c r="T5217" i="29"/>
  <c r="R5217" i="29"/>
  <c r="Q5217" i="29"/>
  <c r="V5216" i="29"/>
  <c r="U5216" i="29"/>
  <c r="W5216" i="29" s="1"/>
  <c r="X5216" i="29" s="1"/>
  <c r="T5216" i="29"/>
  <c r="R5216" i="29"/>
  <c r="Q5216" i="29"/>
  <c r="V5213" i="29"/>
  <c r="U5213" i="29"/>
  <c r="T5213" i="29"/>
  <c r="R5213" i="29"/>
  <c r="Q5213" i="29"/>
  <c r="V5212" i="29"/>
  <c r="U5212" i="29"/>
  <c r="T5212" i="29"/>
  <c r="R5212" i="29"/>
  <c r="Q5212" i="29"/>
  <c r="V5211" i="29"/>
  <c r="U5211" i="29"/>
  <c r="T5211" i="29"/>
  <c r="R5211" i="29"/>
  <c r="Q5211" i="29"/>
  <c r="V5210" i="29"/>
  <c r="U5210" i="29"/>
  <c r="T5210" i="29"/>
  <c r="R5210" i="29"/>
  <c r="Q5210" i="29"/>
  <c r="V5209" i="29"/>
  <c r="U5209" i="29"/>
  <c r="T5209" i="29"/>
  <c r="R5209" i="29"/>
  <c r="Q5209" i="29"/>
  <c r="V5208" i="29"/>
  <c r="U5208" i="29"/>
  <c r="T5208" i="29"/>
  <c r="R5208" i="29"/>
  <c r="Q5208" i="29"/>
  <c r="V5207" i="29"/>
  <c r="U5207" i="29"/>
  <c r="T5207" i="29"/>
  <c r="R5207" i="29"/>
  <c r="Q5207" i="29"/>
  <c r="V5206" i="29"/>
  <c r="U5206" i="29"/>
  <c r="T5206" i="29"/>
  <c r="R5206" i="29"/>
  <c r="Q5206" i="29"/>
  <c r="V5205" i="29"/>
  <c r="U5205" i="29"/>
  <c r="T5205" i="29"/>
  <c r="R5205" i="29"/>
  <c r="Q5205" i="29"/>
  <c r="V5202" i="29"/>
  <c r="U5202" i="29"/>
  <c r="T5202" i="29"/>
  <c r="R5202" i="29"/>
  <c r="Q5202" i="29"/>
  <c r="V5201" i="29"/>
  <c r="U5201" i="29"/>
  <c r="T5201" i="29"/>
  <c r="R5201" i="29"/>
  <c r="Q5201" i="29"/>
  <c r="V5200" i="29"/>
  <c r="U5200" i="29"/>
  <c r="T5200" i="29"/>
  <c r="R5200" i="29"/>
  <c r="Q5200" i="29"/>
  <c r="V5199" i="29"/>
  <c r="U5199" i="29"/>
  <c r="T5199" i="29"/>
  <c r="R5199" i="29"/>
  <c r="Q5199" i="29"/>
  <c r="V5198" i="29"/>
  <c r="U5198" i="29"/>
  <c r="T5198" i="29"/>
  <c r="R5198" i="29"/>
  <c r="Q5198" i="29"/>
  <c r="V5197" i="29"/>
  <c r="U5197" i="29"/>
  <c r="T5197" i="29"/>
  <c r="R5197" i="29"/>
  <c r="Q5197" i="29"/>
  <c r="V5196" i="29"/>
  <c r="U5196" i="29"/>
  <c r="T5196" i="29"/>
  <c r="R5196" i="29"/>
  <c r="Q5196" i="29"/>
  <c r="V5195" i="29"/>
  <c r="U5195" i="29"/>
  <c r="T5195" i="29"/>
  <c r="R5195" i="29"/>
  <c r="Q5195" i="29"/>
  <c r="V5194" i="29"/>
  <c r="U5194" i="29"/>
  <c r="T5194" i="29"/>
  <c r="R5194" i="29"/>
  <c r="Q5194" i="29"/>
  <c r="V5191" i="29"/>
  <c r="U5191" i="29"/>
  <c r="T5191" i="29"/>
  <c r="R5191" i="29"/>
  <c r="Q5191" i="29"/>
  <c r="V5190" i="29"/>
  <c r="U5190" i="29"/>
  <c r="T5190" i="29"/>
  <c r="R5190" i="29"/>
  <c r="Q5190" i="29"/>
  <c r="V5189" i="29"/>
  <c r="U5189" i="29"/>
  <c r="T5189" i="29"/>
  <c r="R5189" i="29"/>
  <c r="Q5189" i="29"/>
  <c r="V5188" i="29"/>
  <c r="U5188" i="29"/>
  <c r="T5188" i="29"/>
  <c r="R5188" i="29"/>
  <c r="Q5188" i="29"/>
  <c r="V5187" i="29"/>
  <c r="U5187" i="29"/>
  <c r="T5187" i="29"/>
  <c r="R5187" i="29"/>
  <c r="Q5187" i="29"/>
  <c r="V5186" i="29"/>
  <c r="U5186" i="29"/>
  <c r="T5186" i="29"/>
  <c r="R5186" i="29"/>
  <c r="Q5186" i="29"/>
  <c r="V5185" i="29"/>
  <c r="U5185" i="29"/>
  <c r="T5185" i="29"/>
  <c r="R5185" i="29"/>
  <c r="Q5185" i="29"/>
  <c r="V5184" i="29"/>
  <c r="U5184" i="29"/>
  <c r="T5184" i="29"/>
  <c r="R5184" i="29"/>
  <c r="Q5184" i="29"/>
  <c r="V5183" i="29"/>
  <c r="U5183" i="29"/>
  <c r="T5183" i="29"/>
  <c r="R5183" i="29"/>
  <c r="Q5183" i="29"/>
  <c r="V5180" i="29"/>
  <c r="U5180" i="29"/>
  <c r="T5180" i="29"/>
  <c r="R5180" i="29"/>
  <c r="Q5180" i="29"/>
  <c r="V5179" i="29"/>
  <c r="U5179" i="29"/>
  <c r="T5179" i="29"/>
  <c r="R5179" i="29"/>
  <c r="Q5179" i="29"/>
  <c r="V5178" i="29"/>
  <c r="U5178" i="29"/>
  <c r="T5178" i="29"/>
  <c r="R5178" i="29"/>
  <c r="Q5178" i="29"/>
  <c r="V5177" i="29"/>
  <c r="U5177" i="29"/>
  <c r="T5177" i="29"/>
  <c r="R5177" i="29"/>
  <c r="Q5177" i="29"/>
  <c r="V5176" i="29"/>
  <c r="U5176" i="29"/>
  <c r="T5176" i="29"/>
  <c r="R5176" i="29"/>
  <c r="Q5176" i="29"/>
  <c r="V5175" i="29"/>
  <c r="U5175" i="29"/>
  <c r="T5175" i="29"/>
  <c r="R5175" i="29"/>
  <c r="Q5175" i="29"/>
  <c r="V5174" i="29"/>
  <c r="U5174" i="29"/>
  <c r="T5174" i="29"/>
  <c r="R5174" i="29"/>
  <c r="Q5174" i="29"/>
  <c r="V5173" i="29"/>
  <c r="U5173" i="29"/>
  <c r="T5173" i="29"/>
  <c r="R5173" i="29"/>
  <c r="Q5173" i="29"/>
  <c r="V5172" i="29"/>
  <c r="U5172" i="29"/>
  <c r="T5172" i="29"/>
  <c r="R5172" i="29"/>
  <c r="Q5172" i="29"/>
  <c r="V5169" i="29"/>
  <c r="U5169" i="29"/>
  <c r="T5169" i="29"/>
  <c r="R5169" i="29"/>
  <c r="Q5169" i="29"/>
  <c r="V5168" i="29"/>
  <c r="U5168" i="29"/>
  <c r="T5168" i="29"/>
  <c r="R5168" i="29"/>
  <c r="Q5168" i="29"/>
  <c r="V5167" i="29"/>
  <c r="U5167" i="29"/>
  <c r="T5167" i="29"/>
  <c r="R5167" i="29"/>
  <c r="Q5167" i="29"/>
  <c r="V5166" i="29"/>
  <c r="U5166" i="29"/>
  <c r="T5166" i="29"/>
  <c r="R5166" i="29"/>
  <c r="Q5166" i="29"/>
  <c r="V5165" i="29"/>
  <c r="U5165" i="29"/>
  <c r="T5165" i="29"/>
  <c r="R5165" i="29"/>
  <c r="Q5165" i="29"/>
  <c r="V5164" i="29"/>
  <c r="U5164" i="29"/>
  <c r="T5164" i="29"/>
  <c r="R5164" i="29"/>
  <c r="Q5164" i="29"/>
  <c r="V5163" i="29"/>
  <c r="U5163" i="29"/>
  <c r="T5163" i="29"/>
  <c r="R5163" i="29"/>
  <c r="Q5163" i="29"/>
  <c r="V5162" i="29"/>
  <c r="U5162" i="29"/>
  <c r="T5162" i="29"/>
  <c r="R5162" i="29"/>
  <c r="Q5162" i="29"/>
  <c r="V5161" i="29"/>
  <c r="U5161" i="29"/>
  <c r="T5161" i="29"/>
  <c r="R5161" i="29"/>
  <c r="Q5161" i="29"/>
  <c r="V5158" i="29"/>
  <c r="U5158" i="29"/>
  <c r="T5158" i="29"/>
  <c r="R5158" i="29"/>
  <c r="Q5158" i="29"/>
  <c r="V5157" i="29"/>
  <c r="U5157" i="29"/>
  <c r="T5157" i="29"/>
  <c r="R5157" i="29"/>
  <c r="Q5157" i="29"/>
  <c r="V5156" i="29"/>
  <c r="U5156" i="29"/>
  <c r="T5156" i="29"/>
  <c r="R5156" i="29"/>
  <c r="Q5156" i="29"/>
  <c r="V5155" i="29"/>
  <c r="U5155" i="29"/>
  <c r="T5155" i="29"/>
  <c r="R5155" i="29"/>
  <c r="Q5155" i="29"/>
  <c r="V5154" i="29"/>
  <c r="U5154" i="29"/>
  <c r="T5154" i="29"/>
  <c r="R5154" i="29"/>
  <c r="Q5154" i="29"/>
  <c r="V5153" i="29"/>
  <c r="U5153" i="29"/>
  <c r="T5153" i="29"/>
  <c r="R5153" i="29"/>
  <c r="Q5153" i="29"/>
  <c r="V5152" i="29"/>
  <c r="U5152" i="29"/>
  <c r="T5152" i="29"/>
  <c r="R5152" i="29"/>
  <c r="Q5152" i="29"/>
  <c r="V5151" i="29"/>
  <c r="U5151" i="29"/>
  <c r="T5151" i="29"/>
  <c r="R5151" i="29"/>
  <c r="Q5151" i="29"/>
  <c r="V5150" i="29"/>
  <c r="U5150" i="29"/>
  <c r="T5150" i="29"/>
  <c r="R5150" i="29"/>
  <c r="Q5150" i="29"/>
  <c r="V5147" i="29"/>
  <c r="U5147" i="29"/>
  <c r="T5147" i="29"/>
  <c r="R5147" i="29"/>
  <c r="Q5147" i="29"/>
  <c r="V5146" i="29"/>
  <c r="U5146" i="29"/>
  <c r="T5146" i="29"/>
  <c r="R5146" i="29"/>
  <c r="Q5146" i="29"/>
  <c r="V5145" i="29"/>
  <c r="U5145" i="29"/>
  <c r="T5145" i="29"/>
  <c r="R5145" i="29"/>
  <c r="Q5145" i="29"/>
  <c r="V5144" i="29"/>
  <c r="U5144" i="29"/>
  <c r="T5144" i="29"/>
  <c r="R5144" i="29"/>
  <c r="Q5144" i="29"/>
  <c r="V5143" i="29"/>
  <c r="U5143" i="29"/>
  <c r="T5143" i="29"/>
  <c r="R5143" i="29"/>
  <c r="Q5143" i="29"/>
  <c r="V5142" i="29"/>
  <c r="U5142" i="29"/>
  <c r="T5142" i="29"/>
  <c r="R5142" i="29"/>
  <c r="Q5142" i="29"/>
  <c r="V5141" i="29"/>
  <c r="U5141" i="29"/>
  <c r="T5141" i="29"/>
  <c r="R5141" i="29"/>
  <c r="Q5141" i="29"/>
  <c r="V5140" i="29"/>
  <c r="U5140" i="29"/>
  <c r="T5140" i="29"/>
  <c r="R5140" i="29"/>
  <c r="Q5140" i="29"/>
  <c r="V5139" i="29"/>
  <c r="U5139" i="29"/>
  <c r="T5139" i="29"/>
  <c r="R5139" i="29"/>
  <c r="Q5139" i="29"/>
  <c r="V5136" i="29"/>
  <c r="U5136" i="29"/>
  <c r="T5136" i="29"/>
  <c r="R5136" i="29"/>
  <c r="Q5136" i="29"/>
  <c r="V5135" i="29"/>
  <c r="U5135" i="29"/>
  <c r="T5135" i="29"/>
  <c r="R5135" i="29"/>
  <c r="Q5135" i="29"/>
  <c r="V5134" i="29"/>
  <c r="U5134" i="29"/>
  <c r="T5134" i="29"/>
  <c r="R5134" i="29"/>
  <c r="Q5134" i="29"/>
  <c r="V5133" i="29"/>
  <c r="U5133" i="29"/>
  <c r="T5133" i="29"/>
  <c r="R5133" i="29"/>
  <c r="Q5133" i="29"/>
  <c r="V5132" i="29"/>
  <c r="U5132" i="29"/>
  <c r="T5132" i="29"/>
  <c r="R5132" i="29"/>
  <c r="Q5132" i="29"/>
  <c r="V5131" i="29"/>
  <c r="U5131" i="29"/>
  <c r="T5131" i="29"/>
  <c r="R5131" i="29"/>
  <c r="Q5131" i="29"/>
  <c r="V5130" i="29"/>
  <c r="U5130" i="29"/>
  <c r="T5130" i="29"/>
  <c r="R5130" i="29"/>
  <c r="Q5130" i="29"/>
  <c r="V5129" i="29"/>
  <c r="U5129" i="29"/>
  <c r="T5129" i="29"/>
  <c r="R5129" i="29"/>
  <c r="Q5129" i="29"/>
  <c r="V5128" i="29"/>
  <c r="U5128" i="29"/>
  <c r="T5128" i="29"/>
  <c r="R5128" i="29"/>
  <c r="Q5128" i="29"/>
  <c r="V5125" i="29"/>
  <c r="U5125" i="29"/>
  <c r="T5125" i="29"/>
  <c r="R5125" i="29"/>
  <c r="Q5125" i="29"/>
  <c r="V5124" i="29"/>
  <c r="U5124" i="29"/>
  <c r="T5124" i="29"/>
  <c r="R5124" i="29"/>
  <c r="Q5124" i="29"/>
  <c r="V5123" i="29"/>
  <c r="U5123" i="29"/>
  <c r="T5123" i="29"/>
  <c r="R5123" i="29"/>
  <c r="Q5123" i="29"/>
  <c r="V5122" i="29"/>
  <c r="U5122" i="29"/>
  <c r="T5122" i="29"/>
  <c r="R5122" i="29"/>
  <c r="Q5122" i="29"/>
  <c r="V5121" i="29"/>
  <c r="U5121" i="29"/>
  <c r="T5121" i="29"/>
  <c r="R5121" i="29"/>
  <c r="Q5121" i="29"/>
  <c r="V5120" i="29"/>
  <c r="U5120" i="29"/>
  <c r="T5120" i="29"/>
  <c r="R5120" i="29"/>
  <c r="Q5120" i="29"/>
  <c r="V5119" i="29"/>
  <c r="U5119" i="29"/>
  <c r="T5119" i="29"/>
  <c r="R5119" i="29"/>
  <c r="Q5119" i="29"/>
  <c r="V5118" i="29"/>
  <c r="U5118" i="29"/>
  <c r="T5118" i="29"/>
  <c r="R5118" i="29"/>
  <c r="Q5118" i="29"/>
  <c r="V5117" i="29"/>
  <c r="U5117" i="29"/>
  <c r="T5117" i="29"/>
  <c r="R5117" i="29"/>
  <c r="Q5117" i="29"/>
  <c r="V5114" i="29"/>
  <c r="U5114" i="29"/>
  <c r="T5114" i="29"/>
  <c r="R5114" i="29"/>
  <c r="Q5114" i="29"/>
  <c r="V5113" i="29"/>
  <c r="U5113" i="29"/>
  <c r="T5113" i="29"/>
  <c r="R5113" i="29"/>
  <c r="Q5113" i="29"/>
  <c r="V5112" i="29"/>
  <c r="U5112" i="29"/>
  <c r="W5112" i="29" s="1"/>
  <c r="X5112" i="29" s="1"/>
  <c r="T5112" i="29"/>
  <c r="R5112" i="29"/>
  <c r="Q5112" i="29"/>
  <c r="V5111" i="29"/>
  <c r="U5111" i="29"/>
  <c r="T5111" i="29"/>
  <c r="R5111" i="29"/>
  <c r="Q5111" i="29"/>
  <c r="V5110" i="29"/>
  <c r="U5110" i="29"/>
  <c r="T5110" i="29"/>
  <c r="R5110" i="29"/>
  <c r="Q5110" i="29"/>
  <c r="V5109" i="29"/>
  <c r="U5109" i="29"/>
  <c r="W5109" i="29" s="1"/>
  <c r="X5109" i="29" s="1"/>
  <c r="T5109" i="29"/>
  <c r="R5109" i="29"/>
  <c r="Q5109" i="29"/>
  <c r="V5108" i="29"/>
  <c r="U5108" i="29"/>
  <c r="T5108" i="29"/>
  <c r="R5108" i="29"/>
  <c r="Q5108" i="29"/>
  <c r="V5107" i="29"/>
  <c r="U5107" i="29"/>
  <c r="T5107" i="29"/>
  <c r="R5107" i="29"/>
  <c r="Q5107" i="29"/>
  <c r="V5106" i="29"/>
  <c r="U5106" i="29"/>
  <c r="T5106" i="29"/>
  <c r="R5106" i="29"/>
  <c r="Q5106" i="29"/>
  <c r="V5103" i="29"/>
  <c r="U5103" i="29"/>
  <c r="T5103" i="29"/>
  <c r="R5103" i="29"/>
  <c r="Q5103" i="29"/>
  <c r="V5102" i="29"/>
  <c r="U5102" i="29"/>
  <c r="T5102" i="29"/>
  <c r="R5102" i="29"/>
  <c r="Q5102" i="29"/>
  <c r="V5101" i="29"/>
  <c r="U5101" i="29"/>
  <c r="T5101" i="29"/>
  <c r="R5101" i="29"/>
  <c r="Q5101" i="29"/>
  <c r="V5100" i="29"/>
  <c r="U5100" i="29"/>
  <c r="T5100" i="29"/>
  <c r="R5100" i="29"/>
  <c r="Q5100" i="29"/>
  <c r="V5099" i="29"/>
  <c r="U5099" i="29"/>
  <c r="W5099" i="29" s="1"/>
  <c r="X5099" i="29" s="1"/>
  <c r="T5099" i="29"/>
  <c r="R5099" i="29"/>
  <c r="Q5099" i="29"/>
  <c r="V5098" i="29"/>
  <c r="U5098" i="29"/>
  <c r="T5098" i="29"/>
  <c r="R5098" i="29"/>
  <c r="Q5098" i="29"/>
  <c r="V5097" i="29"/>
  <c r="U5097" i="29"/>
  <c r="T5097" i="29"/>
  <c r="R5097" i="29"/>
  <c r="Q5097" i="29"/>
  <c r="V5096" i="29"/>
  <c r="U5096" i="29"/>
  <c r="T5096" i="29"/>
  <c r="R5096" i="29"/>
  <c r="Q5096" i="29"/>
  <c r="V5095" i="29"/>
  <c r="U5095" i="29"/>
  <c r="T5095" i="29"/>
  <c r="R5095" i="29"/>
  <c r="Q5095" i="29"/>
  <c r="V5092" i="29"/>
  <c r="U5092" i="29"/>
  <c r="T5092" i="29"/>
  <c r="R5092" i="29"/>
  <c r="Q5092" i="29"/>
  <c r="V5091" i="29"/>
  <c r="U5091" i="29"/>
  <c r="T5091" i="29"/>
  <c r="R5091" i="29"/>
  <c r="Q5091" i="29"/>
  <c r="V5090" i="29"/>
  <c r="U5090" i="29"/>
  <c r="T5090" i="29"/>
  <c r="R5090" i="29"/>
  <c r="Q5090" i="29"/>
  <c r="V5089" i="29"/>
  <c r="U5089" i="29"/>
  <c r="T5089" i="29"/>
  <c r="R5089" i="29"/>
  <c r="Q5089" i="29"/>
  <c r="V5088" i="29"/>
  <c r="U5088" i="29"/>
  <c r="T5088" i="29"/>
  <c r="R5088" i="29"/>
  <c r="Q5088" i="29"/>
  <c r="V5087" i="29"/>
  <c r="U5087" i="29"/>
  <c r="T5087" i="29"/>
  <c r="R5087" i="29"/>
  <c r="Q5087" i="29"/>
  <c r="V5086" i="29"/>
  <c r="U5086" i="29"/>
  <c r="T5086" i="29"/>
  <c r="R5086" i="29"/>
  <c r="Q5086" i="29"/>
  <c r="V5085" i="29"/>
  <c r="U5085" i="29"/>
  <c r="T5085" i="29"/>
  <c r="R5085" i="29"/>
  <c r="Q5085" i="29"/>
  <c r="V5084" i="29"/>
  <c r="U5084" i="29"/>
  <c r="T5084" i="29"/>
  <c r="R5084" i="29"/>
  <c r="Q5084" i="29"/>
  <c r="V5081" i="29"/>
  <c r="U5081" i="29"/>
  <c r="T5081" i="29"/>
  <c r="R5081" i="29"/>
  <c r="Q5081" i="29"/>
  <c r="V5080" i="29"/>
  <c r="U5080" i="29"/>
  <c r="T5080" i="29"/>
  <c r="R5080" i="29"/>
  <c r="Q5080" i="29"/>
  <c r="V5079" i="29"/>
  <c r="U5079" i="29"/>
  <c r="T5079" i="29"/>
  <c r="R5079" i="29"/>
  <c r="Q5079" i="29"/>
  <c r="V5078" i="29"/>
  <c r="U5078" i="29"/>
  <c r="T5078" i="29"/>
  <c r="R5078" i="29"/>
  <c r="Q5078" i="29"/>
  <c r="V5077" i="29"/>
  <c r="U5077" i="29"/>
  <c r="T5077" i="29"/>
  <c r="R5077" i="29"/>
  <c r="Q5077" i="29"/>
  <c r="V5076" i="29"/>
  <c r="U5076" i="29"/>
  <c r="T5076" i="29"/>
  <c r="R5076" i="29"/>
  <c r="Q5076" i="29"/>
  <c r="V5075" i="29"/>
  <c r="U5075" i="29"/>
  <c r="T5075" i="29"/>
  <c r="R5075" i="29"/>
  <c r="Q5075" i="29"/>
  <c r="V5074" i="29"/>
  <c r="U5074" i="29"/>
  <c r="T5074" i="29"/>
  <c r="R5074" i="29"/>
  <c r="Q5074" i="29"/>
  <c r="V5073" i="29"/>
  <c r="U5073" i="29"/>
  <c r="T5073" i="29"/>
  <c r="R5073" i="29"/>
  <c r="Q5073" i="29"/>
  <c r="V5070" i="29"/>
  <c r="U5070" i="29"/>
  <c r="T5070" i="29"/>
  <c r="R5070" i="29"/>
  <c r="Q5070" i="29"/>
  <c r="V5069" i="29"/>
  <c r="U5069" i="29"/>
  <c r="T5069" i="29"/>
  <c r="R5069" i="29"/>
  <c r="Q5069" i="29"/>
  <c r="V5068" i="29"/>
  <c r="U5068" i="29"/>
  <c r="T5068" i="29"/>
  <c r="R5068" i="29"/>
  <c r="Q5068" i="29"/>
  <c r="V5067" i="29"/>
  <c r="U5067" i="29"/>
  <c r="T5067" i="29"/>
  <c r="R5067" i="29"/>
  <c r="Q5067" i="29"/>
  <c r="V5066" i="29"/>
  <c r="U5066" i="29"/>
  <c r="T5066" i="29"/>
  <c r="R5066" i="29"/>
  <c r="Q5066" i="29"/>
  <c r="V5065" i="29"/>
  <c r="U5065" i="29"/>
  <c r="T5065" i="29"/>
  <c r="R5065" i="29"/>
  <c r="Q5065" i="29"/>
  <c r="V5064" i="29"/>
  <c r="U5064" i="29"/>
  <c r="T5064" i="29"/>
  <c r="R5064" i="29"/>
  <c r="Q5064" i="29"/>
  <c r="V5063" i="29"/>
  <c r="U5063" i="29"/>
  <c r="T5063" i="29"/>
  <c r="R5063" i="29"/>
  <c r="Q5063" i="29"/>
  <c r="V5062" i="29"/>
  <c r="U5062" i="29"/>
  <c r="T5062" i="29"/>
  <c r="R5062" i="29"/>
  <c r="Q5062" i="29"/>
  <c r="V5059" i="29"/>
  <c r="U5059" i="29"/>
  <c r="T5059" i="29"/>
  <c r="R5059" i="29"/>
  <c r="Q5059" i="29"/>
  <c r="V5058" i="29"/>
  <c r="U5058" i="29"/>
  <c r="T5058" i="29"/>
  <c r="R5058" i="29"/>
  <c r="Q5058" i="29"/>
  <c r="V5057" i="29"/>
  <c r="U5057" i="29"/>
  <c r="T5057" i="29"/>
  <c r="R5057" i="29"/>
  <c r="Q5057" i="29"/>
  <c r="V5056" i="29"/>
  <c r="U5056" i="29"/>
  <c r="T5056" i="29"/>
  <c r="R5056" i="29"/>
  <c r="Q5056" i="29"/>
  <c r="V5055" i="29"/>
  <c r="U5055" i="29"/>
  <c r="T5055" i="29"/>
  <c r="R5055" i="29"/>
  <c r="Q5055" i="29"/>
  <c r="V5054" i="29"/>
  <c r="U5054" i="29"/>
  <c r="T5054" i="29"/>
  <c r="R5054" i="29"/>
  <c r="Q5054" i="29"/>
  <c r="V5053" i="29"/>
  <c r="U5053" i="29"/>
  <c r="T5053" i="29"/>
  <c r="R5053" i="29"/>
  <c r="Q5053" i="29"/>
  <c r="V5052" i="29"/>
  <c r="U5052" i="29"/>
  <c r="T5052" i="29"/>
  <c r="R5052" i="29"/>
  <c r="Q5052" i="29"/>
  <c r="V5051" i="29"/>
  <c r="U5051" i="29"/>
  <c r="W5051" i="29" s="1"/>
  <c r="X5051" i="29" s="1"/>
  <c r="T5051" i="29"/>
  <c r="R5051" i="29"/>
  <c r="Q5051" i="29"/>
  <c r="V5048" i="29"/>
  <c r="U5048" i="29"/>
  <c r="T5048" i="29"/>
  <c r="R5048" i="29"/>
  <c r="Q5048" i="29"/>
  <c r="V5047" i="29"/>
  <c r="U5047" i="29"/>
  <c r="T5047" i="29"/>
  <c r="R5047" i="29"/>
  <c r="Q5047" i="29"/>
  <c r="V5046" i="29"/>
  <c r="U5046" i="29"/>
  <c r="T5046" i="29"/>
  <c r="R5046" i="29"/>
  <c r="Q5046" i="29"/>
  <c r="V5045" i="29"/>
  <c r="U5045" i="29"/>
  <c r="T5045" i="29"/>
  <c r="R5045" i="29"/>
  <c r="Q5045" i="29"/>
  <c r="V5044" i="29"/>
  <c r="U5044" i="29"/>
  <c r="W5044" i="29" s="1"/>
  <c r="X5044" i="29" s="1"/>
  <c r="T5044" i="29"/>
  <c r="R5044" i="29"/>
  <c r="Q5044" i="29"/>
  <c r="V5043" i="29"/>
  <c r="U5043" i="29"/>
  <c r="T5043" i="29"/>
  <c r="R5043" i="29"/>
  <c r="Q5043" i="29"/>
  <c r="V5042" i="29"/>
  <c r="U5042" i="29"/>
  <c r="T5042" i="29"/>
  <c r="R5042" i="29"/>
  <c r="Q5042" i="29"/>
  <c r="V5041" i="29"/>
  <c r="U5041" i="29"/>
  <c r="T5041" i="29"/>
  <c r="R5041" i="29"/>
  <c r="Q5041" i="29"/>
  <c r="V5040" i="29"/>
  <c r="U5040" i="29"/>
  <c r="T5040" i="29"/>
  <c r="R5040" i="29"/>
  <c r="Q5040" i="29"/>
  <c r="V5037" i="29"/>
  <c r="U5037" i="29"/>
  <c r="T5037" i="29"/>
  <c r="R5037" i="29"/>
  <c r="Q5037" i="29"/>
  <c r="V5036" i="29"/>
  <c r="U5036" i="29"/>
  <c r="T5036" i="29"/>
  <c r="R5036" i="29"/>
  <c r="Q5036" i="29"/>
  <c r="V5035" i="29"/>
  <c r="U5035" i="29"/>
  <c r="T5035" i="29"/>
  <c r="R5035" i="29"/>
  <c r="Q5035" i="29"/>
  <c r="V5034" i="29"/>
  <c r="U5034" i="29"/>
  <c r="T5034" i="29"/>
  <c r="R5034" i="29"/>
  <c r="Q5034" i="29"/>
  <c r="V5033" i="29"/>
  <c r="U5033" i="29"/>
  <c r="T5033" i="29"/>
  <c r="R5033" i="29"/>
  <c r="Q5033" i="29"/>
  <c r="V5032" i="29"/>
  <c r="U5032" i="29"/>
  <c r="T5032" i="29"/>
  <c r="R5032" i="29"/>
  <c r="Q5032" i="29"/>
  <c r="V5031" i="29"/>
  <c r="U5031" i="29"/>
  <c r="W5031" i="29" s="1"/>
  <c r="X5031" i="29" s="1"/>
  <c r="T5031" i="29"/>
  <c r="R5031" i="29"/>
  <c r="Q5031" i="29"/>
  <c r="V5030" i="29"/>
  <c r="U5030" i="29"/>
  <c r="T5030" i="29"/>
  <c r="R5030" i="29"/>
  <c r="Q5030" i="29"/>
  <c r="V5029" i="29"/>
  <c r="U5029" i="29"/>
  <c r="T5029" i="29"/>
  <c r="R5029" i="29"/>
  <c r="Q5029" i="29"/>
  <c r="V5026" i="29"/>
  <c r="U5026" i="29"/>
  <c r="T5026" i="29"/>
  <c r="R5026" i="29"/>
  <c r="Q5026" i="29"/>
  <c r="V5025" i="29"/>
  <c r="U5025" i="29"/>
  <c r="T5025" i="29"/>
  <c r="R5025" i="29"/>
  <c r="Q5025" i="29"/>
  <c r="V5024" i="29"/>
  <c r="U5024" i="29"/>
  <c r="T5024" i="29"/>
  <c r="R5024" i="29"/>
  <c r="Q5024" i="29"/>
  <c r="V5023" i="29"/>
  <c r="U5023" i="29"/>
  <c r="T5023" i="29"/>
  <c r="R5023" i="29"/>
  <c r="Q5023" i="29"/>
  <c r="V5022" i="29"/>
  <c r="U5022" i="29"/>
  <c r="T5022" i="29"/>
  <c r="R5022" i="29"/>
  <c r="Q5022" i="29"/>
  <c r="V5021" i="29"/>
  <c r="U5021" i="29"/>
  <c r="T5021" i="29"/>
  <c r="R5021" i="29"/>
  <c r="Q5021" i="29"/>
  <c r="V5020" i="29"/>
  <c r="U5020" i="29"/>
  <c r="T5020" i="29"/>
  <c r="R5020" i="29"/>
  <c r="Q5020" i="29"/>
  <c r="V5019" i="29"/>
  <c r="U5019" i="29"/>
  <c r="T5019" i="29"/>
  <c r="R5019" i="29"/>
  <c r="Q5019" i="29"/>
  <c r="V5018" i="29"/>
  <c r="U5018" i="29"/>
  <c r="T5018" i="29"/>
  <c r="R5018" i="29"/>
  <c r="Q5018" i="29"/>
  <c r="V5015" i="29"/>
  <c r="U5015" i="29"/>
  <c r="T5015" i="29"/>
  <c r="R5015" i="29"/>
  <c r="Q5015" i="29"/>
  <c r="V5014" i="29"/>
  <c r="U5014" i="29"/>
  <c r="T5014" i="29"/>
  <c r="R5014" i="29"/>
  <c r="Q5014" i="29"/>
  <c r="V5013" i="29"/>
  <c r="U5013" i="29"/>
  <c r="T5013" i="29"/>
  <c r="R5013" i="29"/>
  <c r="Q5013" i="29"/>
  <c r="V5012" i="29"/>
  <c r="W5012" i="29" s="1"/>
  <c r="X5012" i="29" s="1"/>
  <c r="U5012" i="29"/>
  <c r="T5012" i="29"/>
  <c r="R5012" i="29"/>
  <c r="Q5012" i="29"/>
  <c r="V5011" i="29"/>
  <c r="U5011" i="29"/>
  <c r="T5011" i="29"/>
  <c r="R5011" i="29"/>
  <c r="Q5011" i="29"/>
  <c r="V5010" i="29"/>
  <c r="U5010" i="29"/>
  <c r="T5010" i="29"/>
  <c r="R5010" i="29"/>
  <c r="Q5010" i="29"/>
  <c r="V5009" i="29"/>
  <c r="U5009" i="29"/>
  <c r="W5009" i="29" s="1"/>
  <c r="X5009" i="29" s="1"/>
  <c r="T5009" i="29"/>
  <c r="R5009" i="29"/>
  <c r="Q5009" i="29"/>
  <c r="V5008" i="29"/>
  <c r="U5008" i="29"/>
  <c r="T5008" i="29"/>
  <c r="R5008" i="29"/>
  <c r="Q5008" i="29"/>
  <c r="V5007" i="29"/>
  <c r="U5007" i="29"/>
  <c r="T5007" i="29"/>
  <c r="R5007" i="29"/>
  <c r="Q5007" i="29"/>
  <c r="V5004" i="29"/>
  <c r="U5004" i="29"/>
  <c r="T5004" i="29"/>
  <c r="R5004" i="29"/>
  <c r="Q5004" i="29"/>
  <c r="V5003" i="29"/>
  <c r="U5003" i="29"/>
  <c r="T5003" i="29"/>
  <c r="R5003" i="29"/>
  <c r="Q5003" i="29"/>
  <c r="V5002" i="29"/>
  <c r="U5002" i="29"/>
  <c r="T5002" i="29"/>
  <c r="R5002" i="29"/>
  <c r="Q5002" i="29"/>
  <c r="V5001" i="29"/>
  <c r="U5001" i="29"/>
  <c r="T5001" i="29"/>
  <c r="R5001" i="29"/>
  <c r="Q5001" i="29"/>
  <c r="V5000" i="29"/>
  <c r="U5000" i="29"/>
  <c r="T5000" i="29"/>
  <c r="R5000" i="29"/>
  <c r="Q5000" i="29"/>
  <c r="V4999" i="29"/>
  <c r="U4999" i="29"/>
  <c r="T4999" i="29"/>
  <c r="R4999" i="29"/>
  <c r="Q4999" i="29"/>
  <c r="V4998" i="29"/>
  <c r="U4998" i="29"/>
  <c r="T4998" i="29"/>
  <c r="R4998" i="29"/>
  <c r="Q4998" i="29"/>
  <c r="V4997" i="29"/>
  <c r="U4997" i="29"/>
  <c r="T4997" i="29"/>
  <c r="R4997" i="29"/>
  <c r="Q4997" i="29"/>
  <c r="V4996" i="29"/>
  <c r="U4996" i="29"/>
  <c r="T4996" i="29"/>
  <c r="R4996" i="29"/>
  <c r="Q4996" i="29"/>
  <c r="V4993" i="29"/>
  <c r="U4993" i="29"/>
  <c r="T4993" i="29"/>
  <c r="R4993" i="29"/>
  <c r="Q4993" i="29"/>
  <c r="V4992" i="29"/>
  <c r="U4992" i="29"/>
  <c r="T4992" i="29"/>
  <c r="R4992" i="29"/>
  <c r="Q4992" i="29"/>
  <c r="V4991" i="29"/>
  <c r="U4991" i="29"/>
  <c r="T4991" i="29"/>
  <c r="R4991" i="29"/>
  <c r="Q4991" i="29"/>
  <c r="V4990" i="29"/>
  <c r="U4990" i="29"/>
  <c r="T4990" i="29"/>
  <c r="R4990" i="29"/>
  <c r="Q4990" i="29"/>
  <c r="V4989" i="29"/>
  <c r="U4989" i="29"/>
  <c r="T4989" i="29"/>
  <c r="R4989" i="29"/>
  <c r="Q4989" i="29"/>
  <c r="V4988" i="29"/>
  <c r="U4988" i="29"/>
  <c r="T4988" i="29"/>
  <c r="R4988" i="29"/>
  <c r="Q4988" i="29"/>
  <c r="V4987" i="29"/>
  <c r="U4987" i="29"/>
  <c r="T4987" i="29"/>
  <c r="R4987" i="29"/>
  <c r="Q4987" i="29"/>
  <c r="V4986" i="29"/>
  <c r="U4986" i="29"/>
  <c r="T4986" i="29"/>
  <c r="R4986" i="29"/>
  <c r="Q4986" i="29"/>
  <c r="V4985" i="29"/>
  <c r="U4985" i="29"/>
  <c r="T4985" i="29"/>
  <c r="R4985" i="29"/>
  <c r="Q4985" i="29"/>
  <c r="V4982" i="29"/>
  <c r="U4982" i="29"/>
  <c r="T4982" i="29"/>
  <c r="R4982" i="29"/>
  <c r="Q4982" i="29"/>
  <c r="V4981" i="29"/>
  <c r="U4981" i="29"/>
  <c r="T4981" i="29"/>
  <c r="R4981" i="29"/>
  <c r="Q4981" i="29"/>
  <c r="V4980" i="29"/>
  <c r="U4980" i="29"/>
  <c r="T4980" i="29"/>
  <c r="R4980" i="29"/>
  <c r="Q4980" i="29"/>
  <c r="V4979" i="29"/>
  <c r="U4979" i="29"/>
  <c r="T4979" i="29"/>
  <c r="R4979" i="29"/>
  <c r="Q4979" i="29"/>
  <c r="V4978" i="29"/>
  <c r="U4978" i="29"/>
  <c r="T4978" i="29"/>
  <c r="R4978" i="29"/>
  <c r="Q4978" i="29"/>
  <c r="V4977" i="29"/>
  <c r="U4977" i="29"/>
  <c r="T4977" i="29"/>
  <c r="R4977" i="29"/>
  <c r="Q4977" i="29"/>
  <c r="V4976" i="29"/>
  <c r="U4976" i="29"/>
  <c r="T4976" i="29"/>
  <c r="R4976" i="29"/>
  <c r="Q4976" i="29"/>
  <c r="V4975" i="29"/>
  <c r="U4975" i="29"/>
  <c r="T4975" i="29"/>
  <c r="R4975" i="29"/>
  <c r="Q4975" i="29"/>
  <c r="V4974" i="29"/>
  <c r="U4974" i="29"/>
  <c r="T4974" i="29"/>
  <c r="R4974" i="29"/>
  <c r="Q4974" i="29"/>
  <c r="V4971" i="29"/>
  <c r="U4971" i="29"/>
  <c r="T4971" i="29"/>
  <c r="R4971" i="29"/>
  <c r="Q4971" i="29"/>
  <c r="V4970" i="29"/>
  <c r="U4970" i="29"/>
  <c r="T4970" i="29"/>
  <c r="R4970" i="29"/>
  <c r="Q4970" i="29"/>
  <c r="V4969" i="29"/>
  <c r="U4969" i="29"/>
  <c r="T4969" i="29"/>
  <c r="R4969" i="29"/>
  <c r="Q4969" i="29"/>
  <c r="V4968" i="29"/>
  <c r="U4968" i="29"/>
  <c r="T4968" i="29"/>
  <c r="R4968" i="29"/>
  <c r="Q4968" i="29"/>
  <c r="V4967" i="29"/>
  <c r="U4967" i="29"/>
  <c r="T4967" i="29"/>
  <c r="R4967" i="29"/>
  <c r="Q4967" i="29"/>
  <c r="V4966" i="29"/>
  <c r="U4966" i="29"/>
  <c r="T4966" i="29"/>
  <c r="R4966" i="29"/>
  <c r="Q4966" i="29"/>
  <c r="V4965" i="29"/>
  <c r="U4965" i="29"/>
  <c r="T4965" i="29"/>
  <c r="R4965" i="29"/>
  <c r="Q4965" i="29"/>
  <c r="V4964" i="29"/>
  <c r="U4964" i="29"/>
  <c r="T4964" i="29"/>
  <c r="R4964" i="29"/>
  <c r="Q4964" i="29"/>
  <c r="V4963" i="29"/>
  <c r="U4963" i="29"/>
  <c r="T4963" i="29"/>
  <c r="R4963" i="29"/>
  <c r="Q4963" i="29"/>
  <c r="V4960" i="29"/>
  <c r="U4960" i="29"/>
  <c r="T4960" i="29"/>
  <c r="R4960" i="29"/>
  <c r="Q4960" i="29"/>
  <c r="V4959" i="29"/>
  <c r="U4959" i="29"/>
  <c r="T4959" i="29"/>
  <c r="R4959" i="29"/>
  <c r="Q4959" i="29"/>
  <c r="V4958" i="29"/>
  <c r="U4958" i="29"/>
  <c r="T4958" i="29"/>
  <c r="R4958" i="29"/>
  <c r="Q4958" i="29"/>
  <c r="V4957" i="29"/>
  <c r="U4957" i="29"/>
  <c r="T4957" i="29"/>
  <c r="R4957" i="29"/>
  <c r="Q4957" i="29"/>
  <c r="V4956" i="29"/>
  <c r="U4956" i="29"/>
  <c r="T4956" i="29"/>
  <c r="R4956" i="29"/>
  <c r="Q4956" i="29"/>
  <c r="V4955" i="29"/>
  <c r="U4955" i="29"/>
  <c r="T4955" i="29"/>
  <c r="R4955" i="29"/>
  <c r="Q4955" i="29"/>
  <c r="V4954" i="29"/>
  <c r="U4954" i="29"/>
  <c r="T4954" i="29"/>
  <c r="R4954" i="29"/>
  <c r="Q4954" i="29"/>
  <c r="V4953" i="29"/>
  <c r="U4953" i="29"/>
  <c r="T4953" i="29"/>
  <c r="R4953" i="29"/>
  <c r="Q4953" i="29"/>
  <c r="V4952" i="29"/>
  <c r="U4952" i="29"/>
  <c r="T4952" i="29"/>
  <c r="R4952" i="29"/>
  <c r="Q4952" i="29"/>
  <c r="V4949" i="29"/>
  <c r="U4949" i="29"/>
  <c r="T4949" i="29"/>
  <c r="R4949" i="29"/>
  <c r="Q4949" i="29"/>
  <c r="V4948" i="29"/>
  <c r="U4948" i="29"/>
  <c r="T4948" i="29"/>
  <c r="R4948" i="29"/>
  <c r="Q4948" i="29"/>
  <c r="V4947" i="29"/>
  <c r="U4947" i="29"/>
  <c r="W4947" i="29" s="1"/>
  <c r="X4947" i="29" s="1"/>
  <c r="T4947" i="29"/>
  <c r="R4947" i="29"/>
  <c r="Q4947" i="29"/>
  <c r="V4946" i="29"/>
  <c r="U4946" i="29"/>
  <c r="T4946" i="29"/>
  <c r="R4946" i="29"/>
  <c r="Q4946" i="29"/>
  <c r="V4945" i="29"/>
  <c r="U4945" i="29"/>
  <c r="T4945" i="29"/>
  <c r="R4945" i="29"/>
  <c r="Q4945" i="29"/>
  <c r="V4944" i="29"/>
  <c r="U4944" i="29"/>
  <c r="T4944" i="29"/>
  <c r="R4944" i="29"/>
  <c r="Q4944" i="29"/>
  <c r="V4943" i="29"/>
  <c r="U4943" i="29"/>
  <c r="T4943" i="29"/>
  <c r="R4943" i="29"/>
  <c r="Q4943" i="29"/>
  <c r="V4942" i="29"/>
  <c r="U4942" i="29"/>
  <c r="T4942" i="29"/>
  <c r="R4942" i="29"/>
  <c r="Q4942" i="29"/>
  <c r="V4941" i="29"/>
  <c r="U4941" i="29"/>
  <c r="T4941" i="29"/>
  <c r="R4941" i="29"/>
  <c r="Q4941" i="29"/>
  <c r="V4938" i="29"/>
  <c r="U4938" i="29"/>
  <c r="T4938" i="29"/>
  <c r="R4938" i="29"/>
  <c r="Q4938" i="29"/>
  <c r="V4937" i="29"/>
  <c r="U4937" i="29"/>
  <c r="T4937" i="29"/>
  <c r="R4937" i="29"/>
  <c r="Q4937" i="29"/>
  <c r="V4936" i="29"/>
  <c r="U4936" i="29"/>
  <c r="T4936" i="29"/>
  <c r="R4936" i="29"/>
  <c r="Q4936" i="29"/>
  <c r="V4935" i="29"/>
  <c r="U4935" i="29"/>
  <c r="T4935" i="29"/>
  <c r="R4935" i="29"/>
  <c r="Q4935" i="29"/>
  <c r="V4934" i="29"/>
  <c r="U4934" i="29"/>
  <c r="T4934" i="29"/>
  <c r="R4934" i="29"/>
  <c r="Q4934" i="29"/>
  <c r="V4933" i="29"/>
  <c r="U4933" i="29"/>
  <c r="T4933" i="29"/>
  <c r="R4933" i="29"/>
  <c r="Q4933" i="29"/>
  <c r="V4932" i="29"/>
  <c r="U4932" i="29"/>
  <c r="T4932" i="29"/>
  <c r="R4932" i="29"/>
  <c r="Q4932" i="29"/>
  <c r="V4931" i="29"/>
  <c r="U4931" i="29"/>
  <c r="T4931" i="29"/>
  <c r="R4931" i="29"/>
  <c r="Q4931" i="29"/>
  <c r="V4930" i="29"/>
  <c r="U4930" i="29"/>
  <c r="T4930" i="29"/>
  <c r="R4930" i="29"/>
  <c r="Q4930" i="29"/>
  <c r="V4927" i="29"/>
  <c r="U4927" i="29"/>
  <c r="T4927" i="29"/>
  <c r="R4927" i="29"/>
  <c r="Q4927" i="29"/>
  <c r="V4926" i="29"/>
  <c r="U4926" i="29"/>
  <c r="T4926" i="29"/>
  <c r="R4926" i="29"/>
  <c r="Q4926" i="29"/>
  <c r="V4925" i="29"/>
  <c r="U4925" i="29"/>
  <c r="T4925" i="29"/>
  <c r="R4925" i="29"/>
  <c r="Q4925" i="29"/>
  <c r="V4924" i="29"/>
  <c r="U4924" i="29"/>
  <c r="T4924" i="29"/>
  <c r="R4924" i="29"/>
  <c r="Q4924" i="29"/>
  <c r="V4923" i="29"/>
  <c r="U4923" i="29"/>
  <c r="T4923" i="29"/>
  <c r="R4923" i="29"/>
  <c r="Q4923" i="29"/>
  <c r="V4922" i="29"/>
  <c r="U4922" i="29"/>
  <c r="T4922" i="29"/>
  <c r="R4922" i="29"/>
  <c r="Q4922" i="29"/>
  <c r="V4921" i="29"/>
  <c r="U4921" i="29"/>
  <c r="T4921" i="29"/>
  <c r="R4921" i="29"/>
  <c r="Q4921" i="29"/>
  <c r="V4920" i="29"/>
  <c r="U4920" i="29"/>
  <c r="T4920" i="29"/>
  <c r="R4920" i="29"/>
  <c r="Q4920" i="29"/>
  <c r="V4919" i="29"/>
  <c r="U4919" i="29"/>
  <c r="T4919" i="29"/>
  <c r="R4919" i="29"/>
  <c r="Q4919" i="29"/>
  <c r="V4916" i="29"/>
  <c r="U4916" i="29"/>
  <c r="T4916" i="29"/>
  <c r="R4916" i="29"/>
  <c r="Q4916" i="29"/>
  <c r="V4915" i="29"/>
  <c r="U4915" i="29"/>
  <c r="T4915" i="29"/>
  <c r="R4915" i="29"/>
  <c r="Q4915" i="29"/>
  <c r="V4914" i="29"/>
  <c r="U4914" i="29"/>
  <c r="T4914" i="29"/>
  <c r="R4914" i="29"/>
  <c r="Q4914" i="29"/>
  <c r="V4913" i="29"/>
  <c r="U4913" i="29"/>
  <c r="T4913" i="29"/>
  <c r="R4913" i="29"/>
  <c r="Q4913" i="29"/>
  <c r="V4912" i="29"/>
  <c r="U4912" i="29"/>
  <c r="T4912" i="29"/>
  <c r="R4912" i="29"/>
  <c r="Q4912" i="29"/>
  <c r="V4911" i="29"/>
  <c r="U4911" i="29"/>
  <c r="T4911" i="29"/>
  <c r="R4911" i="29"/>
  <c r="Q4911" i="29"/>
  <c r="V4910" i="29"/>
  <c r="U4910" i="29"/>
  <c r="T4910" i="29"/>
  <c r="R4910" i="29"/>
  <c r="Q4910" i="29"/>
  <c r="V4909" i="29"/>
  <c r="U4909" i="29"/>
  <c r="T4909" i="29"/>
  <c r="R4909" i="29"/>
  <c r="Q4909" i="29"/>
  <c r="V4908" i="29"/>
  <c r="U4908" i="29"/>
  <c r="T4908" i="29"/>
  <c r="R4908" i="29"/>
  <c r="Q4908" i="29"/>
  <c r="V4905" i="29"/>
  <c r="U4905" i="29"/>
  <c r="T4905" i="29"/>
  <c r="R4905" i="29"/>
  <c r="Q4905" i="29"/>
  <c r="V4904" i="29"/>
  <c r="U4904" i="29"/>
  <c r="T4904" i="29"/>
  <c r="R4904" i="29"/>
  <c r="Q4904" i="29"/>
  <c r="V4903" i="29"/>
  <c r="U4903" i="29"/>
  <c r="W4903" i="29" s="1"/>
  <c r="X4903" i="29" s="1"/>
  <c r="T4903" i="29"/>
  <c r="R4903" i="29"/>
  <c r="Q4903" i="29"/>
  <c r="V4902" i="29"/>
  <c r="U4902" i="29"/>
  <c r="T4902" i="29"/>
  <c r="R4902" i="29"/>
  <c r="Q4902" i="29"/>
  <c r="V4901" i="29"/>
  <c r="U4901" i="29"/>
  <c r="T4901" i="29"/>
  <c r="R4901" i="29"/>
  <c r="Q4901" i="29"/>
  <c r="V4900" i="29"/>
  <c r="U4900" i="29"/>
  <c r="T4900" i="29"/>
  <c r="R4900" i="29"/>
  <c r="Q4900" i="29"/>
  <c r="V4899" i="29"/>
  <c r="U4899" i="29"/>
  <c r="T4899" i="29"/>
  <c r="R4899" i="29"/>
  <c r="Q4899" i="29"/>
  <c r="V4898" i="29"/>
  <c r="U4898" i="29"/>
  <c r="T4898" i="29"/>
  <c r="R4898" i="29"/>
  <c r="Q4898" i="29"/>
  <c r="V4897" i="29"/>
  <c r="U4897" i="29"/>
  <c r="T4897" i="29"/>
  <c r="R4897" i="29"/>
  <c r="Q4897" i="29"/>
  <c r="V4894" i="29"/>
  <c r="U4894" i="29"/>
  <c r="T4894" i="29"/>
  <c r="R4894" i="29"/>
  <c r="Q4894" i="29"/>
  <c r="V4893" i="29"/>
  <c r="U4893" i="29"/>
  <c r="T4893" i="29"/>
  <c r="R4893" i="29"/>
  <c r="Q4893" i="29"/>
  <c r="V4892" i="29"/>
  <c r="U4892" i="29"/>
  <c r="T4892" i="29"/>
  <c r="R4892" i="29"/>
  <c r="Q4892" i="29"/>
  <c r="V4891" i="29"/>
  <c r="U4891" i="29"/>
  <c r="T4891" i="29"/>
  <c r="R4891" i="29"/>
  <c r="Q4891" i="29"/>
  <c r="V4890" i="29"/>
  <c r="U4890" i="29"/>
  <c r="T4890" i="29"/>
  <c r="R4890" i="29"/>
  <c r="Q4890" i="29"/>
  <c r="V4889" i="29"/>
  <c r="U4889" i="29"/>
  <c r="W4889" i="29" s="1"/>
  <c r="X4889" i="29" s="1"/>
  <c r="T4889" i="29"/>
  <c r="R4889" i="29"/>
  <c r="Q4889" i="29"/>
  <c r="V4888" i="29"/>
  <c r="U4888" i="29"/>
  <c r="T4888" i="29"/>
  <c r="R4888" i="29"/>
  <c r="Q4888" i="29"/>
  <c r="V4887" i="29"/>
  <c r="U4887" i="29"/>
  <c r="T4887" i="29"/>
  <c r="R4887" i="29"/>
  <c r="Q4887" i="29"/>
  <c r="V4886" i="29"/>
  <c r="U4886" i="29"/>
  <c r="T4886" i="29"/>
  <c r="R4886" i="29"/>
  <c r="Q4886" i="29"/>
  <c r="V4883" i="29"/>
  <c r="U4883" i="29"/>
  <c r="T4883" i="29"/>
  <c r="R4883" i="29"/>
  <c r="Q4883" i="29"/>
  <c r="V4882" i="29"/>
  <c r="U4882" i="29"/>
  <c r="T4882" i="29"/>
  <c r="R4882" i="29"/>
  <c r="Q4882" i="29"/>
  <c r="V4881" i="29"/>
  <c r="U4881" i="29"/>
  <c r="T4881" i="29"/>
  <c r="R4881" i="29"/>
  <c r="Q4881" i="29"/>
  <c r="V4880" i="29"/>
  <c r="U4880" i="29"/>
  <c r="T4880" i="29"/>
  <c r="R4880" i="29"/>
  <c r="Q4880" i="29"/>
  <c r="V4879" i="29"/>
  <c r="U4879" i="29"/>
  <c r="T4879" i="29"/>
  <c r="R4879" i="29"/>
  <c r="Q4879" i="29"/>
  <c r="V4878" i="29"/>
  <c r="U4878" i="29"/>
  <c r="T4878" i="29"/>
  <c r="R4878" i="29"/>
  <c r="Q4878" i="29"/>
  <c r="V4877" i="29"/>
  <c r="U4877" i="29"/>
  <c r="T4877" i="29"/>
  <c r="R4877" i="29"/>
  <c r="Q4877" i="29"/>
  <c r="V4876" i="29"/>
  <c r="U4876" i="29"/>
  <c r="T4876" i="29"/>
  <c r="R4876" i="29"/>
  <c r="Q4876" i="29"/>
  <c r="V4875" i="29"/>
  <c r="U4875" i="29"/>
  <c r="T4875" i="29"/>
  <c r="R4875" i="29"/>
  <c r="Q4875" i="29"/>
  <c r="V4872" i="29"/>
  <c r="U4872" i="29"/>
  <c r="T4872" i="29"/>
  <c r="R4872" i="29"/>
  <c r="Q4872" i="29"/>
  <c r="V4871" i="29"/>
  <c r="U4871" i="29"/>
  <c r="T4871" i="29"/>
  <c r="R4871" i="29"/>
  <c r="Q4871" i="29"/>
  <c r="V4870" i="29"/>
  <c r="U4870" i="29"/>
  <c r="T4870" i="29"/>
  <c r="R4870" i="29"/>
  <c r="Q4870" i="29"/>
  <c r="V4869" i="29"/>
  <c r="U4869" i="29"/>
  <c r="T4869" i="29"/>
  <c r="R4869" i="29"/>
  <c r="Q4869" i="29"/>
  <c r="V4868" i="29"/>
  <c r="U4868" i="29"/>
  <c r="T4868" i="29"/>
  <c r="R4868" i="29"/>
  <c r="Q4868" i="29"/>
  <c r="V4867" i="29"/>
  <c r="W4867" i="29" s="1"/>
  <c r="X4867" i="29" s="1"/>
  <c r="U4867" i="29"/>
  <c r="T4867" i="29"/>
  <c r="R4867" i="29"/>
  <c r="Q4867" i="29"/>
  <c r="V4866" i="29"/>
  <c r="U4866" i="29"/>
  <c r="T4866" i="29"/>
  <c r="R4866" i="29"/>
  <c r="Q4866" i="29"/>
  <c r="V4865" i="29"/>
  <c r="U4865" i="29"/>
  <c r="T4865" i="29"/>
  <c r="R4865" i="29"/>
  <c r="Q4865" i="29"/>
  <c r="V4864" i="29"/>
  <c r="U4864" i="29"/>
  <c r="T4864" i="29"/>
  <c r="R4864" i="29"/>
  <c r="Q4864" i="29"/>
  <c r="V4861" i="29"/>
  <c r="U4861" i="29"/>
  <c r="T4861" i="29"/>
  <c r="R4861" i="29"/>
  <c r="Q4861" i="29"/>
  <c r="V4860" i="29"/>
  <c r="U4860" i="29"/>
  <c r="T4860" i="29"/>
  <c r="R4860" i="29"/>
  <c r="Q4860" i="29"/>
  <c r="V4859" i="29"/>
  <c r="U4859" i="29"/>
  <c r="T4859" i="29"/>
  <c r="R4859" i="29"/>
  <c r="Q4859" i="29"/>
  <c r="V4858" i="29"/>
  <c r="U4858" i="29"/>
  <c r="T4858" i="29"/>
  <c r="R4858" i="29"/>
  <c r="Q4858" i="29"/>
  <c r="V4857" i="29"/>
  <c r="U4857" i="29"/>
  <c r="T4857" i="29"/>
  <c r="R4857" i="29"/>
  <c r="Q4857" i="29"/>
  <c r="V4856" i="29"/>
  <c r="U4856" i="29"/>
  <c r="T4856" i="29"/>
  <c r="R4856" i="29"/>
  <c r="Q4856" i="29"/>
  <c r="V4855" i="29"/>
  <c r="U4855" i="29"/>
  <c r="T4855" i="29"/>
  <c r="R4855" i="29"/>
  <c r="Q4855" i="29"/>
  <c r="V4854" i="29"/>
  <c r="U4854" i="29"/>
  <c r="T4854" i="29"/>
  <c r="R4854" i="29"/>
  <c r="Q4854" i="29"/>
  <c r="V4853" i="29"/>
  <c r="U4853" i="29"/>
  <c r="T4853" i="29"/>
  <c r="R4853" i="29"/>
  <c r="Q4853" i="29"/>
  <c r="V4850" i="29"/>
  <c r="U4850" i="29"/>
  <c r="T4850" i="29"/>
  <c r="R4850" i="29"/>
  <c r="Q4850" i="29"/>
  <c r="V4849" i="29"/>
  <c r="U4849" i="29"/>
  <c r="T4849" i="29"/>
  <c r="R4849" i="29"/>
  <c r="Q4849" i="29"/>
  <c r="V4848" i="29"/>
  <c r="U4848" i="29"/>
  <c r="T4848" i="29"/>
  <c r="R4848" i="29"/>
  <c r="Q4848" i="29"/>
  <c r="V4847" i="29"/>
  <c r="U4847" i="29"/>
  <c r="T4847" i="29"/>
  <c r="R4847" i="29"/>
  <c r="Q4847" i="29"/>
  <c r="V4846" i="29"/>
  <c r="U4846" i="29"/>
  <c r="T4846" i="29"/>
  <c r="R4846" i="29"/>
  <c r="Q4846" i="29"/>
  <c r="V4845" i="29"/>
  <c r="U4845" i="29"/>
  <c r="T4845" i="29"/>
  <c r="R4845" i="29"/>
  <c r="Q4845" i="29"/>
  <c r="V4844" i="29"/>
  <c r="U4844" i="29"/>
  <c r="T4844" i="29"/>
  <c r="R4844" i="29"/>
  <c r="Q4844" i="29"/>
  <c r="V4843" i="29"/>
  <c r="U4843" i="29"/>
  <c r="T4843" i="29"/>
  <c r="R4843" i="29"/>
  <c r="Q4843" i="29"/>
  <c r="V4842" i="29"/>
  <c r="U4842" i="29"/>
  <c r="T4842" i="29"/>
  <c r="R4842" i="29"/>
  <c r="Q4842" i="29"/>
  <c r="V4839" i="29"/>
  <c r="U4839" i="29"/>
  <c r="T4839" i="29"/>
  <c r="R4839" i="29"/>
  <c r="Q4839" i="29"/>
  <c r="V4838" i="29"/>
  <c r="U4838" i="29"/>
  <c r="T4838" i="29"/>
  <c r="R4838" i="29"/>
  <c r="Q4838" i="29"/>
  <c r="V4837" i="29"/>
  <c r="U4837" i="29"/>
  <c r="T4837" i="29"/>
  <c r="R4837" i="29"/>
  <c r="Q4837" i="29"/>
  <c r="V4836" i="29"/>
  <c r="U4836" i="29"/>
  <c r="T4836" i="29"/>
  <c r="R4836" i="29"/>
  <c r="Q4836" i="29"/>
  <c r="V4835" i="29"/>
  <c r="U4835" i="29"/>
  <c r="T4835" i="29"/>
  <c r="R4835" i="29"/>
  <c r="Q4835" i="29"/>
  <c r="V4834" i="29"/>
  <c r="U4834" i="29"/>
  <c r="T4834" i="29"/>
  <c r="R4834" i="29"/>
  <c r="Q4834" i="29"/>
  <c r="V4833" i="29"/>
  <c r="U4833" i="29"/>
  <c r="T4833" i="29"/>
  <c r="R4833" i="29"/>
  <c r="Q4833" i="29"/>
  <c r="V4832" i="29"/>
  <c r="U4832" i="29"/>
  <c r="T4832" i="29"/>
  <c r="R4832" i="29"/>
  <c r="Q4832" i="29"/>
  <c r="V4831" i="29"/>
  <c r="U4831" i="29"/>
  <c r="T4831" i="29"/>
  <c r="R4831" i="29"/>
  <c r="Q4831" i="29"/>
  <c r="V4828" i="29"/>
  <c r="U4828" i="29"/>
  <c r="T4828" i="29"/>
  <c r="R4828" i="29"/>
  <c r="Q4828" i="29"/>
  <c r="V4827" i="29"/>
  <c r="U4827" i="29"/>
  <c r="T4827" i="29"/>
  <c r="R4827" i="29"/>
  <c r="Q4827" i="29"/>
  <c r="V4826" i="29"/>
  <c r="U4826" i="29"/>
  <c r="T4826" i="29"/>
  <c r="R4826" i="29"/>
  <c r="Q4826" i="29"/>
  <c r="V4825" i="29"/>
  <c r="U4825" i="29"/>
  <c r="T4825" i="29"/>
  <c r="R4825" i="29"/>
  <c r="Q4825" i="29"/>
  <c r="V4824" i="29"/>
  <c r="U4824" i="29"/>
  <c r="T4824" i="29"/>
  <c r="R4824" i="29"/>
  <c r="Q4824" i="29"/>
  <c r="V4823" i="29"/>
  <c r="U4823" i="29"/>
  <c r="T4823" i="29"/>
  <c r="R4823" i="29"/>
  <c r="Q4823" i="29"/>
  <c r="V4822" i="29"/>
  <c r="U4822" i="29"/>
  <c r="T4822" i="29"/>
  <c r="R4822" i="29"/>
  <c r="Q4822" i="29"/>
  <c r="V4821" i="29"/>
  <c r="U4821" i="29"/>
  <c r="T4821" i="29"/>
  <c r="R4821" i="29"/>
  <c r="Q4821" i="29"/>
  <c r="V4820" i="29"/>
  <c r="U4820" i="29"/>
  <c r="T4820" i="29"/>
  <c r="R4820" i="29"/>
  <c r="Q4820" i="29"/>
  <c r="V4817" i="29"/>
  <c r="U4817" i="29"/>
  <c r="T4817" i="29"/>
  <c r="R4817" i="29"/>
  <c r="Q4817" i="29"/>
  <c r="V4816" i="29"/>
  <c r="U4816" i="29"/>
  <c r="T4816" i="29"/>
  <c r="R4816" i="29"/>
  <c r="Q4816" i="29"/>
  <c r="V4815" i="29"/>
  <c r="U4815" i="29"/>
  <c r="T4815" i="29"/>
  <c r="R4815" i="29"/>
  <c r="Q4815" i="29"/>
  <c r="V4814" i="29"/>
  <c r="U4814" i="29"/>
  <c r="T4814" i="29"/>
  <c r="R4814" i="29"/>
  <c r="Q4814" i="29"/>
  <c r="V4813" i="29"/>
  <c r="U4813" i="29"/>
  <c r="T4813" i="29"/>
  <c r="R4813" i="29"/>
  <c r="Q4813" i="29"/>
  <c r="V4812" i="29"/>
  <c r="U4812" i="29"/>
  <c r="T4812" i="29"/>
  <c r="R4812" i="29"/>
  <c r="Q4812" i="29"/>
  <c r="V4811" i="29"/>
  <c r="U4811" i="29"/>
  <c r="T4811" i="29"/>
  <c r="R4811" i="29"/>
  <c r="Q4811" i="29"/>
  <c r="V4810" i="29"/>
  <c r="U4810" i="29"/>
  <c r="T4810" i="29"/>
  <c r="R4810" i="29"/>
  <c r="Q4810" i="29"/>
  <c r="V4809" i="29"/>
  <c r="U4809" i="29"/>
  <c r="T4809" i="29"/>
  <c r="R4809" i="29"/>
  <c r="Q4809" i="29"/>
  <c r="V4806" i="29"/>
  <c r="U4806" i="29"/>
  <c r="T4806" i="29"/>
  <c r="R4806" i="29"/>
  <c r="Q4806" i="29"/>
  <c r="V4805" i="29"/>
  <c r="U4805" i="29"/>
  <c r="T4805" i="29"/>
  <c r="R4805" i="29"/>
  <c r="Q4805" i="29"/>
  <c r="V4804" i="29"/>
  <c r="W4804" i="29" s="1"/>
  <c r="X4804" i="29" s="1"/>
  <c r="U4804" i="29"/>
  <c r="T4804" i="29"/>
  <c r="R4804" i="29"/>
  <c r="Q4804" i="29"/>
  <c r="V4803" i="29"/>
  <c r="U4803" i="29"/>
  <c r="T4803" i="29"/>
  <c r="R4803" i="29"/>
  <c r="Q4803" i="29"/>
  <c r="V4802" i="29"/>
  <c r="U4802" i="29"/>
  <c r="T4802" i="29"/>
  <c r="R4802" i="29"/>
  <c r="Q4802" i="29"/>
  <c r="V4801" i="29"/>
  <c r="U4801" i="29"/>
  <c r="T4801" i="29"/>
  <c r="R4801" i="29"/>
  <c r="Q4801" i="29"/>
  <c r="V4800" i="29"/>
  <c r="U4800" i="29"/>
  <c r="T4800" i="29"/>
  <c r="R4800" i="29"/>
  <c r="Q4800" i="29"/>
  <c r="V4799" i="29"/>
  <c r="U4799" i="29"/>
  <c r="T4799" i="29"/>
  <c r="R4799" i="29"/>
  <c r="Q4799" i="29"/>
  <c r="V4798" i="29"/>
  <c r="U4798" i="29"/>
  <c r="T4798" i="29"/>
  <c r="R4798" i="29"/>
  <c r="Q4798" i="29"/>
  <c r="V4795" i="29"/>
  <c r="U4795" i="29"/>
  <c r="T4795" i="29"/>
  <c r="R4795" i="29"/>
  <c r="Q4795" i="29"/>
  <c r="V4794" i="29"/>
  <c r="U4794" i="29"/>
  <c r="T4794" i="29"/>
  <c r="R4794" i="29"/>
  <c r="Q4794" i="29"/>
  <c r="V4793" i="29"/>
  <c r="U4793" i="29"/>
  <c r="T4793" i="29"/>
  <c r="R4793" i="29"/>
  <c r="Q4793" i="29"/>
  <c r="V4792" i="29"/>
  <c r="U4792" i="29"/>
  <c r="T4792" i="29"/>
  <c r="R4792" i="29"/>
  <c r="Q4792" i="29"/>
  <c r="V4791" i="29"/>
  <c r="U4791" i="29"/>
  <c r="T4791" i="29"/>
  <c r="R4791" i="29"/>
  <c r="Q4791" i="29"/>
  <c r="V4790" i="29"/>
  <c r="U4790" i="29"/>
  <c r="T4790" i="29"/>
  <c r="R4790" i="29"/>
  <c r="Q4790" i="29"/>
  <c r="V4789" i="29"/>
  <c r="U4789" i="29"/>
  <c r="T4789" i="29"/>
  <c r="R4789" i="29"/>
  <c r="Q4789" i="29"/>
  <c r="V4788" i="29"/>
  <c r="U4788" i="29"/>
  <c r="T4788" i="29"/>
  <c r="R4788" i="29"/>
  <c r="Q4788" i="29"/>
  <c r="V4787" i="29"/>
  <c r="U4787" i="29"/>
  <c r="T4787" i="29"/>
  <c r="R4787" i="29"/>
  <c r="Q4787" i="29"/>
  <c r="V4784" i="29"/>
  <c r="U4784" i="29"/>
  <c r="T4784" i="29"/>
  <c r="R4784" i="29"/>
  <c r="Q4784" i="29"/>
  <c r="V4783" i="29"/>
  <c r="U4783" i="29"/>
  <c r="T4783" i="29"/>
  <c r="R4783" i="29"/>
  <c r="Q4783" i="29"/>
  <c r="V4782" i="29"/>
  <c r="U4782" i="29"/>
  <c r="T4782" i="29"/>
  <c r="R4782" i="29"/>
  <c r="Q4782" i="29"/>
  <c r="V4781" i="29"/>
  <c r="U4781" i="29"/>
  <c r="T4781" i="29"/>
  <c r="R4781" i="29"/>
  <c r="Q4781" i="29"/>
  <c r="V4780" i="29"/>
  <c r="U4780" i="29"/>
  <c r="T4780" i="29"/>
  <c r="R4780" i="29"/>
  <c r="Q4780" i="29"/>
  <c r="V4779" i="29"/>
  <c r="U4779" i="29"/>
  <c r="T4779" i="29"/>
  <c r="R4779" i="29"/>
  <c r="Q4779" i="29"/>
  <c r="V4778" i="29"/>
  <c r="U4778" i="29"/>
  <c r="T4778" i="29"/>
  <c r="R4778" i="29"/>
  <c r="Q4778" i="29"/>
  <c r="V4777" i="29"/>
  <c r="U4777" i="29"/>
  <c r="T4777" i="29"/>
  <c r="R4777" i="29"/>
  <c r="Q4777" i="29"/>
  <c r="V4776" i="29"/>
  <c r="U4776" i="29"/>
  <c r="T4776" i="29"/>
  <c r="R4776" i="29"/>
  <c r="Q4776" i="29"/>
  <c r="V4773" i="29"/>
  <c r="U4773" i="29"/>
  <c r="T4773" i="29"/>
  <c r="R4773" i="29"/>
  <c r="Q4773" i="29"/>
  <c r="V4772" i="29"/>
  <c r="U4772" i="29"/>
  <c r="T4772" i="29"/>
  <c r="R4772" i="29"/>
  <c r="Q4772" i="29"/>
  <c r="V4771" i="29"/>
  <c r="U4771" i="29"/>
  <c r="T4771" i="29"/>
  <c r="R4771" i="29"/>
  <c r="Q4771" i="29"/>
  <c r="V4770" i="29"/>
  <c r="U4770" i="29"/>
  <c r="T4770" i="29"/>
  <c r="R4770" i="29"/>
  <c r="Q4770" i="29"/>
  <c r="V4769" i="29"/>
  <c r="U4769" i="29"/>
  <c r="T4769" i="29"/>
  <c r="R4769" i="29"/>
  <c r="Q4769" i="29"/>
  <c r="V4768" i="29"/>
  <c r="U4768" i="29"/>
  <c r="T4768" i="29"/>
  <c r="R4768" i="29"/>
  <c r="Q4768" i="29"/>
  <c r="V4767" i="29"/>
  <c r="U4767" i="29"/>
  <c r="T4767" i="29"/>
  <c r="R4767" i="29"/>
  <c r="Q4767" i="29"/>
  <c r="V4766" i="29"/>
  <c r="U4766" i="29"/>
  <c r="T4766" i="29"/>
  <c r="R4766" i="29"/>
  <c r="Q4766" i="29"/>
  <c r="V4765" i="29"/>
  <c r="U4765" i="29"/>
  <c r="T4765" i="29"/>
  <c r="R4765" i="29"/>
  <c r="Q4765" i="29"/>
  <c r="V4762" i="29"/>
  <c r="U4762" i="29"/>
  <c r="T4762" i="29"/>
  <c r="R4762" i="29"/>
  <c r="Q4762" i="29"/>
  <c r="V4761" i="29"/>
  <c r="U4761" i="29"/>
  <c r="T4761" i="29"/>
  <c r="R4761" i="29"/>
  <c r="Q4761" i="29"/>
  <c r="V4760" i="29"/>
  <c r="U4760" i="29"/>
  <c r="W4760" i="29" s="1"/>
  <c r="X4760" i="29" s="1"/>
  <c r="T4760" i="29"/>
  <c r="R4760" i="29"/>
  <c r="Q4760" i="29"/>
  <c r="V4759" i="29"/>
  <c r="U4759" i="29"/>
  <c r="T4759" i="29"/>
  <c r="R4759" i="29"/>
  <c r="Q4759" i="29"/>
  <c r="V4758" i="29"/>
  <c r="U4758" i="29"/>
  <c r="T4758" i="29"/>
  <c r="R4758" i="29"/>
  <c r="Q4758" i="29"/>
  <c r="V4757" i="29"/>
  <c r="U4757" i="29"/>
  <c r="T4757" i="29"/>
  <c r="R4757" i="29"/>
  <c r="Q4757" i="29"/>
  <c r="V4756" i="29"/>
  <c r="U4756" i="29"/>
  <c r="T4756" i="29"/>
  <c r="R4756" i="29"/>
  <c r="Q4756" i="29"/>
  <c r="V4755" i="29"/>
  <c r="U4755" i="29"/>
  <c r="T4755" i="29"/>
  <c r="R4755" i="29"/>
  <c r="Q4755" i="29"/>
  <c r="V4754" i="29"/>
  <c r="U4754" i="29"/>
  <c r="T4754" i="29"/>
  <c r="R4754" i="29"/>
  <c r="Q4754" i="29"/>
  <c r="V4751" i="29"/>
  <c r="U4751" i="29"/>
  <c r="T4751" i="29"/>
  <c r="R4751" i="29"/>
  <c r="Q4751" i="29"/>
  <c r="V4750" i="29"/>
  <c r="U4750" i="29"/>
  <c r="W4750" i="29" s="1"/>
  <c r="X4750" i="29" s="1"/>
  <c r="T4750" i="29"/>
  <c r="R4750" i="29"/>
  <c r="Q4750" i="29"/>
  <c r="V4749" i="29"/>
  <c r="U4749" i="29"/>
  <c r="T4749" i="29"/>
  <c r="R4749" i="29"/>
  <c r="Q4749" i="29"/>
  <c r="V4748" i="29"/>
  <c r="U4748" i="29"/>
  <c r="W4748" i="29" s="1"/>
  <c r="X4748" i="29" s="1"/>
  <c r="T4748" i="29"/>
  <c r="R4748" i="29"/>
  <c r="Q4748" i="29"/>
  <c r="V4747" i="29"/>
  <c r="U4747" i="29"/>
  <c r="T4747" i="29"/>
  <c r="R4747" i="29"/>
  <c r="Q4747" i="29"/>
  <c r="V4746" i="29"/>
  <c r="U4746" i="29"/>
  <c r="T4746" i="29"/>
  <c r="R4746" i="29"/>
  <c r="Q4746" i="29"/>
  <c r="V4745" i="29"/>
  <c r="U4745" i="29"/>
  <c r="T4745" i="29"/>
  <c r="R4745" i="29"/>
  <c r="Q4745" i="29"/>
  <c r="V4744" i="29"/>
  <c r="U4744" i="29"/>
  <c r="T4744" i="29"/>
  <c r="R4744" i="29"/>
  <c r="Q4744" i="29"/>
  <c r="V4743" i="29"/>
  <c r="U4743" i="29"/>
  <c r="T4743" i="29"/>
  <c r="R4743" i="29"/>
  <c r="Q4743" i="29"/>
  <c r="V4740" i="29"/>
  <c r="U4740" i="29"/>
  <c r="T4740" i="29"/>
  <c r="R4740" i="29"/>
  <c r="Q4740" i="29"/>
  <c r="V4739" i="29"/>
  <c r="U4739" i="29"/>
  <c r="T4739" i="29"/>
  <c r="R4739" i="29"/>
  <c r="Q4739" i="29"/>
  <c r="V4738" i="29"/>
  <c r="U4738" i="29"/>
  <c r="T4738" i="29"/>
  <c r="R4738" i="29"/>
  <c r="Q4738" i="29"/>
  <c r="V4737" i="29"/>
  <c r="U4737" i="29"/>
  <c r="W4737" i="29" s="1"/>
  <c r="X4737" i="29" s="1"/>
  <c r="T4737" i="29"/>
  <c r="R4737" i="29"/>
  <c r="Q4737" i="29"/>
  <c r="V4736" i="29"/>
  <c r="U4736" i="29"/>
  <c r="T4736" i="29"/>
  <c r="R4736" i="29"/>
  <c r="Q4736" i="29"/>
  <c r="V4735" i="29"/>
  <c r="U4735" i="29"/>
  <c r="T4735" i="29"/>
  <c r="R4735" i="29"/>
  <c r="Q4735" i="29"/>
  <c r="V4734" i="29"/>
  <c r="U4734" i="29"/>
  <c r="T4734" i="29"/>
  <c r="R4734" i="29"/>
  <c r="Q4734" i="29"/>
  <c r="V4733" i="29"/>
  <c r="U4733" i="29"/>
  <c r="T4733" i="29"/>
  <c r="R4733" i="29"/>
  <c r="Q4733" i="29"/>
  <c r="V4732" i="29"/>
  <c r="U4732" i="29"/>
  <c r="T4732" i="29"/>
  <c r="R4732" i="29"/>
  <c r="Q4732" i="29"/>
  <c r="V4729" i="29"/>
  <c r="U4729" i="29"/>
  <c r="T4729" i="29"/>
  <c r="R4729" i="29"/>
  <c r="Q4729" i="29"/>
  <c r="V4728" i="29"/>
  <c r="U4728" i="29"/>
  <c r="T4728" i="29"/>
  <c r="R4728" i="29"/>
  <c r="Q4728" i="29"/>
  <c r="V4727" i="29"/>
  <c r="U4727" i="29"/>
  <c r="T4727" i="29"/>
  <c r="R4727" i="29"/>
  <c r="Q4727" i="29"/>
  <c r="V4726" i="29"/>
  <c r="U4726" i="29"/>
  <c r="T4726" i="29"/>
  <c r="R4726" i="29"/>
  <c r="Q4726" i="29"/>
  <c r="V4725" i="29"/>
  <c r="U4725" i="29"/>
  <c r="W4725" i="29" s="1"/>
  <c r="X4725" i="29" s="1"/>
  <c r="T4725" i="29"/>
  <c r="R4725" i="29"/>
  <c r="Q4725" i="29"/>
  <c r="V4724" i="29"/>
  <c r="U4724" i="29"/>
  <c r="T4724" i="29"/>
  <c r="R4724" i="29"/>
  <c r="Q4724" i="29"/>
  <c r="V4723" i="29"/>
  <c r="U4723" i="29"/>
  <c r="T4723" i="29"/>
  <c r="R4723" i="29"/>
  <c r="Q4723" i="29"/>
  <c r="V4722" i="29"/>
  <c r="U4722" i="29"/>
  <c r="T4722" i="29"/>
  <c r="R4722" i="29"/>
  <c r="Q4722" i="29"/>
  <c r="V4721" i="29"/>
  <c r="U4721" i="29"/>
  <c r="T4721" i="29"/>
  <c r="R4721" i="29"/>
  <c r="Q4721" i="29"/>
  <c r="V4718" i="29"/>
  <c r="U4718" i="29"/>
  <c r="T4718" i="29"/>
  <c r="R4718" i="29"/>
  <c r="Q4718" i="29"/>
  <c r="V4717" i="29"/>
  <c r="U4717" i="29"/>
  <c r="T4717" i="29"/>
  <c r="R4717" i="29"/>
  <c r="Q4717" i="29"/>
  <c r="V4716" i="29"/>
  <c r="U4716" i="29"/>
  <c r="T4716" i="29"/>
  <c r="R4716" i="29"/>
  <c r="Q4716" i="29"/>
  <c r="V4715" i="29"/>
  <c r="U4715" i="29"/>
  <c r="T4715" i="29"/>
  <c r="R4715" i="29"/>
  <c r="Q4715" i="29"/>
  <c r="V4714" i="29"/>
  <c r="U4714" i="29"/>
  <c r="T4714" i="29"/>
  <c r="R4714" i="29"/>
  <c r="Q4714" i="29"/>
  <c r="V4713" i="29"/>
  <c r="U4713" i="29"/>
  <c r="T4713" i="29"/>
  <c r="R4713" i="29"/>
  <c r="Q4713" i="29"/>
  <c r="V4712" i="29"/>
  <c r="U4712" i="29"/>
  <c r="T4712" i="29"/>
  <c r="R4712" i="29"/>
  <c r="Q4712" i="29"/>
  <c r="V4711" i="29"/>
  <c r="U4711" i="29"/>
  <c r="T4711" i="29"/>
  <c r="R4711" i="29"/>
  <c r="Q4711" i="29"/>
  <c r="V4710" i="29"/>
  <c r="U4710" i="29"/>
  <c r="T4710" i="29"/>
  <c r="R4710" i="29"/>
  <c r="Q4710" i="29"/>
  <c r="V4707" i="29"/>
  <c r="U4707" i="29"/>
  <c r="W4707" i="29" s="1"/>
  <c r="X4707" i="29" s="1"/>
  <c r="T4707" i="29"/>
  <c r="R4707" i="29"/>
  <c r="Q4707" i="29"/>
  <c r="V4706" i="29"/>
  <c r="U4706" i="29"/>
  <c r="T4706" i="29"/>
  <c r="R4706" i="29"/>
  <c r="Q4706" i="29"/>
  <c r="V4705" i="29"/>
  <c r="U4705" i="29"/>
  <c r="T4705" i="29"/>
  <c r="R4705" i="29"/>
  <c r="Q4705" i="29"/>
  <c r="V4704" i="29"/>
  <c r="U4704" i="29"/>
  <c r="T4704" i="29"/>
  <c r="R4704" i="29"/>
  <c r="Q4704" i="29"/>
  <c r="V4703" i="29"/>
  <c r="U4703" i="29"/>
  <c r="T4703" i="29"/>
  <c r="R4703" i="29"/>
  <c r="Q4703" i="29"/>
  <c r="V4702" i="29"/>
  <c r="U4702" i="29"/>
  <c r="T4702" i="29"/>
  <c r="R4702" i="29"/>
  <c r="Q4702" i="29"/>
  <c r="V4701" i="29"/>
  <c r="U4701" i="29"/>
  <c r="T4701" i="29"/>
  <c r="R4701" i="29"/>
  <c r="Q4701" i="29"/>
  <c r="V4700" i="29"/>
  <c r="U4700" i="29"/>
  <c r="T4700" i="29"/>
  <c r="R4700" i="29"/>
  <c r="Q4700" i="29"/>
  <c r="V4699" i="29"/>
  <c r="U4699" i="29"/>
  <c r="T4699" i="29"/>
  <c r="R4699" i="29"/>
  <c r="Q4699" i="29"/>
  <c r="V4696" i="29"/>
  <c r="U4696" i="29"/>
  <c r="T4696" i="29"/>
  <c r="R4696" i="29"/>
  <c r="Q4696" i="29"/>
  <c r="V4695" i="29"/>
  <c r="U4695" i="29"/>
  <c r="T4695" i="29"/>
  <c r="R4695" i="29"/>
  <c r="Q4695" i="29"/>
  <c r="V4694" i="29"/>
  <c r="U4694" i="29"/>
  <c r="W4694" i="29" s="1"/>
  <c r="X4694" i="29" s="1"/>
  <c r="T4694" i="29"/>
  <c r="R4694" i="29"/>
  <c r="Q4694" i="29"/>
  <c r="V4693" i="29"/>
  <c r="U4693" i="29"/>
  <c r="T4693" i="29"/>
  <c r="R4693" i="29"/>
  <c r="Q4693" i="29"/>
  <c r="V4692" i="29"/>
  <c r="U4692" i="29"/>
  <c r="T4692" i="29"/>
  <c r="R4692" i="29"/>
  <c r="Q4692" i="29"/>
  <c r="V4691" i="29"/>
  <c r="U4691" i="29"/>
  <c r="T4691" i="29"/>
  <c r="R4691" i="29"/>
  <c r="Q4691" i="29"/>
  <c r="V4690" i="29"/>
  <c r="U4690" i="29"/>
  <c r="T4690" i="29"/>
  <c r="R4690" i="29"/>
  <c r="Q4690" i="29"/>
  <c r="V4689" i="29"/>
  <c r="U4689" i="29"/>
  <c r="T4689" i="29"/>
  <c r="R4689" i="29"/>
  <c r="Q4689" i="29"/>
  <c r="V4688" i="29"/>
  <c r="U4688" i="29"/>
  <c r="T4688" i="29"/>
  <c r="R4688" i="29"/>
  <c r="Q4688" i="29"/>
  <c r="V4685" i="29"/>
  <c r="U4685" i="29"/>
  <c r="T4685" i="29"/>
  <c r="R4685" i="29"/>
  <c r="Q4685" i="29"/>
  <c r="V4684" i="29"/>
  <c r="U4684" i="29"/>
  <c r="T4684" i="29"/>
  <c r="R4684" i="29"/>
  <c r="Q4684" i="29"/>
  <c r="V4683" i="29"/>
  <c r="U4683" i="29"/>
  <c r="T4683" i="29"/>
  <c r="R4683" i="29"/>
  <c r="Q4683" i="29"/>
  <c r="V4682" i="29"/>
  <c r="U4682" i="29"/>
  <c r="T4682" i="29"/>
  <c r="R4682" i="29"/>
  <c r="Q4682" i="29"/>
  <c r="V4681" i="29"/>
  <c r="U4681" i="29"/>
  <c r="T4681" i="29"/>
  <c r="R4681" i="29"/>
  <c r="Q4681" i="29"/>
  <c r="V4680" i="29"/>
  <c r="U4680" i="29"/>
  <c r="T4680" i="29"/>
  <c r="R4680" i="29"/>
  <c r="Q4680" i="29"/>
  <c r="V4679" i="29"/>
  <c r="U4679" i="29"/>
  <c r="W4679" i="29" s="1"/>
  <c r="X4679" i="29" s="1"/>
  <c r="T4679" i="29"/>
  <c r="R4679" i="29"/>
  <c r="Q4679" i="29"/>
  <c r="V4678" i="29"/>
  <c r="U4678" i="29"/>
  <c r="T4678" i="29"/>
  <c r="R4678" i="29"/>
  <c r="Q4678" i="29"/>
  <c r="V4677" i="29"/>
  <c r="U4677" i="29"/>
  <c r="T4677" i="29"/>
  <c r="R4677" i="29"/>
  <c r="Q4677" i="29"/>
  <c r="V4674" i="29"/>
  <c r="U4674" i="29"/>
  <c r="T4674" i="29"/>
  <c r="R4674" i="29"/>
  <c r="Q4674" i="29"/>
  <c r="V4673" i="29"/>
  <c r="U4673" i="29"/>
  <c r="T4673" i="29"/>
  <c r="R4673" i="29"/>
  <c r="Q4673" i="29"/>
  <c r="V4672" i="29"/>
  <c r="W4672" i="29" s="1"/>
  <c r="X4672" i="29" s="1"/>
  <c r="U4672" i="29"/>
  <c r="T4672" i="29"/>
  <c r="R4672" i="29"/>
  <c r="Q4672" i="29"/>
  <c r="V4671" i="29"/>
  <c r="U4671" i="29"/>
  <c r="T4671" i="29"/>
  <c r="R4671" i="29"/>
  <c r="Q4671" i="29"/>
  <c r="V4670" i="29"/>
  <c r="U4670" i="29"/>
  <c r="T4670" i="29"/>
  <c r="R4670" i="29"/>
  <c r="Q4670" i="29"/>
  <c r="V4669" i="29"/>
  <c r="U4669" i="29"/>
  <c r="T4669" i="29"/>
  <c r="R4669" i="29"/>
  <c r="Q4669" i="29"/>
  <c r="V4668" i="29"/>
  <c r="U4668" i="29"/>
  <c r="T4668" i="29"/>
  <c r="R4668" i="29"/>
  <c r="Q4668" i="29"/>
  <c r="V4667" i="29"/>
  <c r="U4667" i="29"/>
  <c r="T4667" i="29"/>
  <c r="R4667" i="29"/>
  <c r="Q4667" i="29"/>
  <c r="V4666" i="29"/>
  <c r="U4666" i="29"/>
  <c r="W4666" i="29" s="1"/>
  <c r="X4666" i="29" s="1"/>
  <c r="T4666" i="29"/>
  <c r="R4666" i="29"/>
  <c r="Q4666" i="29"/>
  <c r="V4663" i="29"/>
  <c r="U4663" i="29"/>
  <c r="T4663" i="29"/>
  <c r="R4663" i="29"/>
  <c r="Q4663" i="29"/>
  <c r="V4662" i="29"/>
  <c r="U4662" i="29"/>
  <c r="T4662" i="29"/>
  <c r="R4662" i="29"/>
  <c r="Q4662" i="29"/>
  <c r="V4661" i="29"/>
  <c r="U4661" i="29"/>
  <c r="T4661" i="29"/>
  <c r="R4661" i="29"/>
  <c r="Q4661" i="29"/>
  <c r="V4660" i="29"/>
  <c r="U4660" i="29"/>
  <c r="T4660" i="29"/>
  <c r="R4660" i="29"/>
  <c r="Q4660" i="29"/>
  <c r="V4659" i="29"/>
  <c r="U4659" i="29"/>
  <c r="T4659" i="29"/>
  <c r="R4659" i="29"/>
  <c r="Q4659" i="29"/>
  <c r="V4658" i="29"/>
  <c r="U4658" i="29"/>
  <c r="T4658" i="29"/>
  <c r="R4658" i="29"/>
  <c r="Q4658" i="29"/>
  <c r="V4657" i="29"/>
  <c r="U4657" i="29"/>
  <c r="T4657" i="29"/>
  <c r="R4657" i="29"/>
  <c r="Q4657" i="29"/>
  <c r="V4656" i="29"/>
  <c r="U4656" i="29"/>
  <c r="T4656" i="29"/>
  <c r="R4656" i="29"/>
  <c r="Q4656" i="29"/>
  <c r="V4655" i="29"/>
  <c r="U4655" i="29"/>
  <c r="T4655" i="29"/>
  <c r="R4655" i="29"/>
  <c r="Q4655" i="29"/>
  <c r="V4652" i="29"/>
  <c r="U4652" i="29"/>
  <c r="T4652" i="29"/>
  <c r="R4652" i="29"/>
  <c r="Q4652" i="29"/>
  <c r="V4651" i="29"/>
  <c r="U4651" i="29"/>
  <c r="W4651" i="29" s="1"/>
  <c r="X4651" i="29" s="1"/>
  <c r="T4651" i="29"/>
  <c r="R4651" i="29"/>
  <c r="Q4651" i="29"/>
  <c r="V4650" i="29"/>
  <c r="U4650" i="29"/>
  <c r="T4650" i="29"/>
  <c r="R4650" i="29"/>
  <c r="Q4650" i="29"/>
  <c r="V4649" i="29"/>
  <c r="U4649" i="29"/>
  <c r="T4649" i="29"/>
  <c r="R4649" i="29"/>
  <c r="Q4649" i="29"/>
  <c r="V4648" i="29"/>
  <c r="U4648" i="29"/>
  <c r="T4648" i="29"/>
  <c r="R4648" i="29"/>
  <c r="Q4648" i="29"/>
  <c r="V4647" i="29"/>
  <c r="U4647" i="29"/>
  <c r="T4647" i="29"/>
  <c r="R4647" i="29"/>
  <c r="Q4647" i="29"/>
  <c r="V4646" i="29"/>
  <c r="U4646" i="29"/>
  <c r="T4646" i="29"/>
  <c r="R4646" i="29"/>
  <c r="Q4646" i="29"/>
  <c r="V4645" i="29"/>
  <c r="U4645" i="29"/>
  <c r="T4645" i="29"/>
  <c r="R4645" i="29"/>
  <c r="Q4645" i="29"/>
  <c r="V4644" i="29"/>
  <c r="U4644" i="29"/>
  <c r="T4644" i="29"/>
  <c r="R4644" i="29"/>
  <c r="Q4644" i="29"/>
  <c r="V4641" i="29"/>
  <c r="U4641" i="29"/>
  <c r="T4641" i="29"/>
  <c r="R4641" i="29"/>
  <c r="Q4641" i="29"/>
  <c r="V4640" i="29"/>
  <c r="U4640" i="29"/>
  <c r="T4640" i="29"/>
  <c r="R4640" i="29"/>
  <c r="Q4640" i="29"/>
  <c r="V4639" i="29"/>
  <c r="U4639" i="29"/>
  <c r="T4639" i="29"/>
  <c r="R4639" i="29"/>
  <c r="Q4639" i="29"/>
  <c r="V4638" i="29"/>
  <c r="U4638" i="29"/>
  <c r="W4638" i="29" s="1"/>
  <c r="X4638" i="29" s="1"/>
  <c r="T4638" i="29"/>
  <c r="R4638" i="29"/>
  <c r="Q4638" i="29"/>
  <c r="V4637" i="29"/>
  <c r="U4637" i="29"/>
  <c r="T4637" i="29"/>
  <c r="R4637" i="29"/>
  <c r="Q4637" i="29"/>
  <c r="V4636" i="29"/>
  <c r="U4636" i="29"/>
  <c r="T4636" i="29"/>
  <c r="R4636" i="29"/>
  <c r="Q4636" i="29"/>
  <c r="V4635" i="29"/>
  <c r="U4635" i="29"/>
  <c r="T4635" i="29"/>
  <c r="R4635" i="29"/>
  <c r="Q4635" i="29"/>
  <c r="V4634" i="29"/>
  <c r="U4634" i="29"/>
  <c r="T4634" i="29"/>
  <c r="R4634" i="29"/>
  <c r="Q4634" i="29"/>
  <c r="V4633" i="29"/>
  <c r="U4633" i="29"/>
  <c r="T4633" i="29"/>
  <c r="R4633" i="29"/>
  <c r="Q4633" i="29"/>
  <c r="V4630" i="29"/>
  <c r="U4630" i="29"/>
  <c r="T4630" i="29"/>
  <c r="R4630" i="29"/>
  <c r="Q4630" i="29"/>
  <c r="V4629" i="29"/>
  <c r="U4629" i="29"/>
  <c r="T4629" i="29"/>
  <c r="R4629" i="29"/>
  <c r="Q4629" i="29"/>
  <c r="V4628" i="29"/>
  <c r="U4628" i="29"/>
  <c r="T4628" i="29"/>
  <c r="R4628" i="29"/>
  <c r="Q4628" i="29"/>
  <c r="V4627" i="29"/>
  <c r="U4627" i="29"/>
  <c r="T4627" i="29"/>
  <c r="R4627" i="29"/>
  <c r="Q4627" i="29"/>
  <c r="V4626" i="29"/>
  <c r="U4626" i="29"/>
  <c r="T4626" i="29"/>
  <c r="R4626" i="29"/>
  <c r="Q4626" i="29"/>
  <c r="V4625" i="29"/>
  <c r="U4625" i="29"/>
  <c r="T4625" i="29"/>
  <c r="R4625" i="29"/>
  <c r="Q4625" i="29"/>
  <c r="V4624" i="29"/>
  <c r="U4624" i="29"/>
  <c r="T4624" i="29"/>
  <c r="R4624" i="29"/>
  <c r="Q4624" i="29"/>
  <c r="V4623" i="29"/>
  <c r="U4623" i="29"/>
  <c r="T4623" i="29"/>
  <c r="R4623" i="29"/>
  <c r="Q4623" i="29"/>
  <c r="V4622" i="29"/>
  <c r="U4622" i="29"/>
  <c r="T4622" i="29"/>
  <c r="R4622" i="29"/>
  <c r="Q4622" i="29"/>
  <c r="V4619" i="29"/>
  <c r="U4619" i="29"/>
  <c r="T4619" i="29"/>
  <c r="R4619" i="29"/>
  <c r="Q4619" i="29"/>
  <c r="V4618" i="29"/>
  <c r="U4618" i="29"/>
  <c r="T4618" i="29"/>
  <c r="R4618" i="29"/>
  <c r="Q4618" i="29"/>
  <c r="V4617" i="29"/>
  <c r="U4617" i="29"/>
  <c r="T4617" i="29"/>
  <c r="R4617" i="29"/>
  <c r="Q4617" i="29"/>
  <c r="V4616" i="29"/>
  <c r="U4616" i="29"/>
  <c r="T4616" i="29"/>
  <c r="R4616" i="29"/>
  <c r="Q4616" i="29"/>
  <c r="V4615" i="29"/>
  <c r="U4615" i="29"/>
  <c r="T4615" i="29"/>
  <c r="R4615" i="29"/>
  <c r="Q4615" i="29"/>
  <c r="V4614" i="29"/>
  <c r="U4614" i="29"/>
  <c r="T4614" i="29"/>
  <c r="R4614" i="29"/>
  <c r="Q4614" i="29"/>
  <c r="V4613" i="29"/>
  <c r="U4613" i="29"/>
  <c r="T4613" i="29"/>
  <c r="R4613" i="29"/>
  <c r="Q4613" i="29"/>
  <c r="V4612" i="29"/>
  <c r="U4612" i="29"/>
  <c r="T4612" i="29"/>
  <c r="R4612" i="29"/>
  <c r="Q4612" i="29"/>
  <c r="V4611" i="29"/>
  <c r="U4611" i="29"/>
  <c r="T4611" i="29"/>
  <c r="R4611" i="29"/>
  <c r="Q4611" i="29"/>
  <c r="V4608" i="29"/>
  <c r="U4608" i="29"/>
  <c r="W4608" i="29" s="1"/>
  <c r="X4608" i="29" s="1"/>
  <c r="T4608" i="29"/>
  <c r="R4608" i="29"/>
  <c r="Q4608" i="29"/>
  <c r="V4607" i="29"/>
  <c r="U4607" i="29"/>
  <c r="T4607" i="29"/>
  <c r="R4607" i="29"/>
  <c r="Q4607" i="29"/>
  <c r="V4606" i="29"/>
  <c r="U4606" i="29"/>
  <c r="T4606" i="29"/>
  <c r="R4606" i="29"/>
  <c r="Q4606" i="29"/>
  <c r="V4605" i="29"/>
  <c r="U4605" i="29"/>
  <c r="T4605" i="29"/>
  <c r="R4605" i="29"/>
  <c r="Q4605" i="29"/>
  <c r="V4604" i="29"/>
  <c r="U4604" i="29"/>
  <c r="T4604" i="29"/>
  <c r="R4604" i="29"/>
  <c r="Q4604" i="29"/>
  <c r="V4603" i="29"/>
  <c r="U4603" i="29"/>
  <c r="T4603" i="29"/>
  <c r="R4603" i="29"/>
  <c r="Q4603" i="29"/>
  <c r="V4602" i="29"/>
  <c r="U4602" i="29"/>
  <c r="T4602" i="29"/>
  <c r="R4602" i="29"/>
  <c r="Q4602" i="29"/>
  <c r="V4601" i="29"/>
  <c r="U4601" i="29"/>
  <c r="T4601" i="29"/>
  <c r="R4601" i="29"/>
  <c r="Q4601" i="29"/>
  <c r="V4600" i="29"/>
  <c r="U4600" i="29"/>
  <c r="T4600" i="29"/>
  <c r="R4600" i="29"/>
  <c r="Q4600" i="29"/>
  <c r="V4597" i="29"/>
  <c r="U4597" i="29"/>
  <c r="T4597" i="29"/>
  <c r="R4597" i="29"/>
  <c r="Q4597" i="29"/>
  <c r="V4596" i="29"/>
  <c r="U4596" i="29"/>
  <c r="T4596" i="29"/>
  <c r="R4596" i="29"/>
  <c r="Q4596" i="29"/>
  <c r="V4595" i="29"/>
  <c r="U4595" i="29"/>
  <c r="T4595" i="29"/>
  <c r="R4595" i="29"/>
  <c r="Q4595" i="29"/>
  <c r="V4594" i="29"/>
  <c r="U4594" i="29"/>
  <c r="T4594" i="29"/>
  <c r="R4594" i="29"/>
  <c r="Q4594" i="29"/>
  <c r="V4593" i="29"/>
  <c r="U4593" i="29"/>
  <c r="T4593" i="29"/>
  <c r="R4593" i="29"/>
  <c r="Q4593" i="29"/>
  <c r="V4592" i="29"/>
  <c r="U4592" i="29"/>
  <c r="T4592" i="29"/>
  <c r="R4592" i="29"/>
  <c r="Q4592" i="29"/>
  <c r="V4591" i="29"/>
  <c r="U4591" i="29"/>
  <c r="T4591" i="29"/>
  <c r="R4591" i="29"/>
  <c r="Q4591" i="29"/>
  <c r="V4590" i="29"/>
  <c r="U4590" i="29"/>
  <c r="W4590" i="29" s="1"/>
  <c r="X4590" i="29" s="1"/>
  <c r="T4590" i="29"/>
  <c r="R4590" i="29"/>
  <c r="Q4590" i="29"/>
  <c r="V4589" i="29"/>
  <c r="U4589" i="29"/>
  <c r="T4589" i="29"/>
  <c r="R4589" i="29"/>
  <c r="Q4589" i="29"/>
  <c r="V4586" i="29"/>
  <c r="U4586" i="29"/>
  <c r="T4586" i="29"/>
  <c r="R4586" i="29"/>
  <c r="Q4586" i="29"/>
  <c r="V4585" i="29"/>
  <c r="U4585" i="29"/>
  <c r="T4585" i="29"/>
  <c r="R4585" i="29"/>
  <c r="Q4585" i="29"/>
  <c r="V4584" i="29"/>
  <c r="U4584" i="29"/>
  <c r="W4584" i="29" s="1"/>
  <c r="X4584" i="29" s="1"/>
  <c r="T4584" i="29"/>
  <c r="R4584" i="29"/>
  <c r="Q4584" i="29"/>
  <c r="V4583" i="29"/>
  <c r="U4583" i="29"/>
  <c r="T4583" i="29"/>
  <c r="R4583" i="29"/>
  <c r="Q4583" i="29"/>
  <c r="V4582" i="29"/>
  <c r="U4582" i="29"/>
  <c r="T4582" i="29"/>
  <c r="R4582" i="29"/>
  <c r="Q4582" i="29"/>
  <c r="V4581" i="29"/>
  <c r="U4581" i="29"/>
  <c r="T4581" i="29"/>
  <c r="R4581" i="29"/>
  <c r="Q4581" i="29"/>
  <c r="V4580" i="29"/>
  <c r="U4580" i="29"/>
  <c r="T4580" i="29"/>
  <c r="R4580" i="29"/>
  <c r="Q4580" i="29"/>
  <c r="V4579" i="29"/>
  <c r="U4579" i="29"/>
  <c r="T4579" i="29"/>
  <c r="R4579" i="29"/>
  <c r="Q4579" i="29"/>
  <c r="V4578" i="29"/>
  <c r="U4578" i="29"/>
  <c r="T4578" i="29"/>
  <c r="R4578" i="29"/>
  <c r="Q4578" i="29"/>
  <c r="V4575" i="29"/>
  <c r="U4575" i="29"/>
  <c r="T4575" i="29"/>
  <c r="R4575" i="29"/>
  <c r="Q4575" i="29"/>
  <c r="V4574" i="29"/>
  <c r="U4574" i="29"/>
  <c r="T4574" i="29"/>
  <c r="R4574" i="29"/>
  <c r="Q4574" i="29"/>
  <c r="V4573" i="29"/>
  <c r="U4573" i="29"/>
  <c r="T4573" i="29"/>
  <c r="R4573" i="29"/>
  <c r="Q4573" i="29"/>
  <c r="V4572" i="29"/>
  <c r="U4572" i="29"/>
  <c r="T4572" i="29"/>
  <c r="R4572" i="29"/>
  <c r="Q4572" i="29"/>
  <c r="V4571" i="29"/>
  <c r="U4571" i="29"/>
  <c r="T4571" i="29"/>
  <c r="R4571" i="29"/>
  <c r="Q4571" i="29"/>
  <c r="V4570" i="29"/>
  <c r="U4570" i="29"/>
  <c r="T4570" i="29"/>
  <c r="R4570" i="29"/>
  <c r="Q4570" i="29"/>
  <c r="V4569" i="29"/>
  <c r="U4569" i="29"/>
  <c r="T4569" i="29"/>
  <c r="R4569" i="29"/>
  <c r="Q4569" i="29"/>
  <c r="V4568" i="29"/>
  <c r="U4568" i="29"/>
  <c r="T4568" i="29"/>
  <c r="R4568" i="29"/>
  <c r="Q4568" i="29"/>
  <c r="V4567" i="29"/>
  <c r="U4567" i="29"/>
  <c r="T4567" i="29"/>
  <c r="R4567" i="29"/>
  <c r="Q4567" i="29"/>
  <c r="V4564" i="29"/>
  <c r="U4564" i="29"/>
  <c r="T4564" i="29"/>
  <c r="R4564" i="29"/>
  <c r="Q4564" i="29"/>
  <c r="V4563" i="29"/>
  <c r="U4563" i="29"/>
  <c r="T4563" i="29"/>
  <c r="R4563" i="29"/>
  <c r="Q4563" i="29"/>
  <c r="V4562" i="29"/>
  <c r="U4562" i="29"/>
  <c r="T4562" i="29"/>
  <c r="R4562" i="29"/>
  <c r="Q4562" i="29"/>
  <c r="V4561" i="29"/>
  <c r="U4561" i="29"/>
  <c r="T4561" i="29"/>
  <c r="R4561" i="29"/>
  <c r="Q4561" i="29"/>
  <c r="V4560" i="29"/>
  <c r="U4560" i="29"/>
  <c r="T4560" i="29"/>
  <c r="R4560" i="29"/>
  <c r="Q4560" i="29"/>
  <c r="V4559" i="29"/>
  <c r="U4559" i="29"/>
  <c r="T4559" i="29"/>
  <c r="R4559" i="29"/>
  <c r="Q4559" i="29"/>
  <c r="V4558" i="29"/>
  <c r="U4558" i="29"/>
  <c r="W4558" i="29" s="1"/>
  <c r="X4558" i="29" s="1"/>
  <c r="T4558" i="29"/>
  <c r="R4558" i="29"/>
  <c r="Q4558" i="29"/>
  <c r="V4557" i="29"/>
  <c r="U4557" i="29"/>
  <c r="T4557" i="29"/>
  <c r="R4557" i="29"/>
  <c r="Q4557" i="29"/>
  <c r="V4556" i="29"/>
  <c r="U4556" i="29"/>
  <c r="T4556" i="29"/>
  <c r="R4556" i="29"/>
  <c r="Q4556" i="29"/>
  <c r="V4553" i="29"/>
  <c r="U4553" i="29"/>
  <c r="T4553" i="29"/>
  <c r="R4553" i="29"/>
  <c r="Q4553" i="29"/>
  <c r="V4552" i="29"/>
  <c r="U4552" i="29"/>
  <c r="T4552" i="29"/>
  <c r="R4552" i="29"/>
  <c r="Q4552" i="29"/>
  <c r="V4551" i="29"/>
  <c r="U4551" i="29"/>
  <c r="T4551" i="29"/>
  <c r="R4551" i="29"/>
  <c r="Q4551" i="29"/>
  <c r="V4550" i="29"/>
  <c r="U4550" i="29"/>
  <c r="T4550" i="29"/>
  <c r="R4550" i="29"/>
  <c r="Q4550" i="29"/>
  <c r="V4549" i="29"/>
  <c r="U4549" i="29"/>
  <c r="T4549" i="29"/>
  <c r="R4549" i="29"/>
  <c r="Q4549" i="29"/>
  <c r="V4548" i="29"/>
  <c r="U4548" i="29"/>
  <c r="T4548" i="29"/>
  <c r="R4548" i="29"/>
  <c r="Q4548" i="29"/>
  <c r="V4547" i="29"/>
  <c r="U4547" i="29"/>
  <c r="T4547" i="29"/>
  <c r="R4547" i="29"/>
  <c r="Q4547" i="29"/>
  <c r="V4546" i="29"/>
  <c r="U4546" i="29"/>
  <c r="T4546" i="29"/>
  <c r="R4546" i="29"/>
  <c r="Q4546" i="29"/>
  <c r="V4545" i="29"/>
  <c r="U4545" i="29"/>
  <c r="T4545" i="29"/>
  <c r="R4545" i="29"/>
  <c r="Q4545" i="29"/>
  <c r="V4542" i="29"/>
  <c r="U4542" i="29"/>
  <c r="T4542" i="29"/>
  <c r="R4542" i="29"/>
  <c r="Q4542" i="29"/>
  <c r="V4541" i="29"/>
  <c r="U4541" i="29"/>
  <c r="T4541" i="29"/>
  <c r="R4541" i="29"/>
  <c r="Q4541" i="29"/>
  <c r="V4540" i="29"/>
  <c r="U4540" i="29"/>
  <c r="T4540" i="29"/>
  <c r="R4540" i="29"/>
  <c r="Q4540" i="29"/>
  <c r="V4539" i="29"/>
  <c r="U4539" i="29"/>
  <c r="T4539" i="29"/>
  <c r="R4539" i="29"/>
  <c r="Q4539" i="29"/>
  <c r="V4538" i="29"/>
  <c r="U4538" i="29"/>
  <c r="W4538" i="29" s="1"/>
  <c r="X4538" i="29" s="1"/>
  <c r="T4538" i="29"/>
  <c r="R4538" i="29"/>
  <c r="Q4538" i="29"/>
  <c r="V4537" i="29"/>
  <c r="U4537" i="29"/>
  <c r="T4537" i="29"/>
  <c r="R4537" i="29"/>
  <c r="Q4537" i="29"/>
  <c r="V4536" i="29"/>
  <c r="U4536" i="29"/>
  <c r="T4536" i="29"/>
  <c r="R4536" i="29"/>
  <c r="Q4536" i="29"/>
  <c r="V4535" i="29"/>
  <c r="U4535" i="29"/>
  <c r="T4535" i="29"/>
  <c r="R4535" i="29"/>
  <c r="Q4535" i="29"/>
  <c r="V4534" i="29"/>
  <c r="U4534" i="29"/>
  <c r="T4534" i="29"/>
  <c r="R4534" i="29"/>
  <c r="Q4534" i="29"/>
  <c r="V4531" i="29"/>
  <c r="U4531" i="29"/>
  <c r="T4531" i="29"/>
  <c r="R4531" i="29"/>
  <c r="Q4531" i="29"/>
  <c r="V4530" i="29"/>
  <c r="U4530" i="29"/>
  <c r="T4530" i="29"/>
  <c r="R4530" i="29"/>
  <c r="Q4530" i="29"/>
  <c r="V4529" i="29"/>
  <c r="U4529" i="29"/>
  <c r="T4529" i="29"/>
  <c r="R4529" i="29"/>
  <c r="Q4529" i="29"/>
  <c r="V4528" i="29"/>
  <c r="U4528" i="29"/>
  <c r="T4528" i="29"/>
  <c r="R4528" i="29"/>
  <c r="Q4528" i="29"/>
  <c r="V4527" i="29"/>
  <c r="U4527" i="29"/>
  <c r="T4527" i="29"/>
  <c r="R4527" i="29"/>
  <c r="Q4527" i="29"/>
  <c r="V4526" i="29"/>
  <c r="U4526" i="29"/>
  <c r="T4526" i="29"/>
  <c r="R4526" i="29"/>
  <c r="Q4526" i="29"/>
  <c r="V4525" i="29"/>
  <c r="U4525" i="29"/>
  <c r="T4525" i="29"/>
  <c r="R4525" i="29"/>
  <c r="Q4525" i="29"/>
  <c r="V4524" i="29"/>
  <c r="U4524" i="29"/>
  <c r="T4524" i="29"/>
  <c r="R4524" i="29"/>
  <c r="Q4524" i="29"/>
  <c r="V4523" i="29"/>
  <c r="U4523" i="29"/>
  <c r="T4523" i="29"/>
  <c r="R4523" i="29"/>
  <c r="Q4523" i="29"/>
  <c r="V4520" i="29"/>
  <c r="U4520" i="29"/>
  <c r="W4520" i="29" s="1"/>
  <c r="X4520" i="29" s="1"/>
  <c r="T4520" i="29"/>
  <c r="R4520" i="29"/>
  <c r="Q4520" i="29"/>
  <c r="V4519" i="29"/>
  <c r="U4519" i="29"/>
  <c r="T4519" i="29"/>
  <c r="R4519" i="29"/>
  <c r="Q4519" i="29"/>
  <c r="V4518" i="29"/>
  <c r="U4518" i="29"/>
  <c r="T4518" i="29"/>
  <c r="R4518" i="29"/>
  <c r="Q4518" i="29"/>
  <c r="V4517" i="29"/>
  <c r="U4517" i="29"/>
  <c r="T4517" i="29"/>
  <c r="R4517" i="29"/>
  <c r="Q4517" i="29"/>
  <c r="V4516" i="29"/>
  <c r="U4516" i="29"/>
  <c r="T4516" i="29"/>
  <c r="R4516" i="29"/>
  <c r="Q4516" i="29"/>
  <c r="V4515" i="29"/>
  <c r="U4515" i="29"/>
  <c r="T4515" i="29"/>
  <c r="R4515" i="29"/>
  <c r="Q4515" i="29"/>
  <c r="V4514" i="29"/>
  <c r="U4514" i="29"/>
  <c r="T4514" i="29"/>
  <c r="R4514" i="29"/>
  <c r="Q4514" i="29"/>
  <c r="V4513" i="29"/>
  <c r="U4513" i="29"/>
  <c r="T4513" i="29"/>
  <c r="R4513" i="29"/>
  <c r="Q4513" i="29"/>
  <c r="V4512" i="29"/>
  <c r="U4512" i="29"/>
  <c r="T4512" i="29"/>
  <c r="R4512" i="29"/>
  <c r="Q4512" i="29"/>
  <c r="V4509" i="29"/>
  <c r="U4509" i="29"/>
  <c r="T4509" i="29"/>
  <c r="R4509" i="29"/>
  <c r="Q4509" i="29"/>
  <c r="V4508" i="29"/>
  <c r="U4508" i="29"/>
  <c r="T4508" i="29"/>
  <c r="R4508" i="29"/>
  <c r="Q4508" i="29"/>
  <c r="V4507" i="29"/>
  <c r="U4507" i="29"/>
  <c r="T4507" i="29"/>
  <c r="R4507" i="29"/>
  <c r="Q4507" i="29"/>
  <c r="V4506" i="29"/>
  <c r="U4506" i="29"/>
  <c r="T4506" i="29"/>
  <c r="R4506" i="29"/>
  <c r="Q4506" i="29"/>
  <c r="V4505" i="29"/>
  <c r="U4505" i="29"/>
  <c r="T4505" i="29"/>
  <c r="R4505" i="29"/>
  <c r="Q4505" i="29"/>
  <c r="V4504" i="29"/>
  <c r="U4504" i="29"/>
  <c r="T4504" i="29"/>
  <c r="R4504" i="29"/>
  <c r="Q4504" i="29"/>
  <c r="V4503" i="29"/>
  <c r="U4503" i="29"/>
  <c r="T4503" i="29"/>
  <c r="R4503" i="29"/>
  <c r="Q4503" i="29"/>
  <c r="V4502" i="29"/>
  <c r="U4502" i="29"/>
  <c r="T4502" i="29"/>
  <c r="R4502" i="29"/>
  <c r="Q4502" i="29"/>
  <c r="V4501" i="29"/>
  <c r="U4501" i="29"/>
  <c r="T4501" i="29"/>
  <c r="R4501" i="29"/>
  <c r="Q4501" i="29"/>
  <c r="V4498" i="29"/>
  <c r="U4498" i="29"/>
  <c r="T4498" i="29"/>
  <c r="R4498" i="29"/>
  <c r="Q4498" i="29"/>
  <c r="V4497" i="29"/>
  <c r="U4497" i="29"/>
  <c r="T4497" i="29"/>
  <c r="R4497" i="29"/>
  <c r="Q4497" i="29"/>
  <c r="V4496" i="29"/>
  <c r="U4496" i="29"/>
  <c r="T4496" i="29"/>
  <c r="R4496" i="29"/>
  <c r="Q4496" i="29"/>
  <c r="V4495" i="29"/>
  <c r="U4495" i="29"/>
  <c r="T4495" i="29"/>
  <c r="R4495" i="29"/>
  <c r="Q4495" i="29"/>
  <c r="V4494" i="29"/>
  <c r="U4494" i="29"/>
  <c r="T4494" i="29"/>
  <c r="R4494" i="29"/>
  <c r="Q4494" i="29"/>
  <c r="V4493" i="29"/>
  <c r="U4493" i="29"/>
  <c r="T4493" i="29"/>
  <c r="R4493" i="29"/>
  <c r="Q4493" i="29"/>
  <c r="V4492" i="29"/>
  <c r="U4492" i="29"/>
  <c r="W4492" i="29" s="1"/>
  <c r="X4492" i="29" s="1"/>
  <c r="T4492" i="29"/>
  <c r="R4492" i="29"/>
  <c r="Q4492" i="29"/>
  <c r="V4491" i="29"/>
  <c r="W4491" i="29" s="1"/>
  <c r="X4491" i="29" s="1"/>
  <c r="U4491" i="29"/>
  <c r="T4491" i="29"/>
  <c r="R4491" i="29"/>
  <c r="Q4491" i="29"/>
  <c r="V4490" i="29"/>
  <c r="U4490" i="29"/>
  <c r="T4490" i="29"/>
  <c r="R4490" i="29"/>
  <c r="Q4490" i="29"/>
  <c r="V4487" i="29"/>
  <c r="U4487" i="29"/>
  <c r="T4487" i="29"/>
  <c r="R4487" i="29"/>
  <c r="Q4487" i="29"/>
  <c r="V4486" i="29"/>
  <c r="U4486" i="29"/>
  <c r="T4486" i="29"/>
  <c r="R4486" i="29"/>
  <c r="Q4486" i="29"/>
  <c r="V4485" i="29"/>
  <c r="U4485" i="29"/>
  <c r="T4485" i="29"/>
  <c r="R4485" i="29"/>
  <c r="Q4485" i="29"/>
  <c r="V4484" i="29"/>
  <c r="U4484" i="29"/>
  <c r="T4484" i="29"/>
  <c r="R4484" i="29"/>
  <c r="Q4484" i="29"/>
  <c r="V4483" i="29"/>
  <c r="U4483" i="29"/>
  <c r="T4483" i="29"/>
  <c r="R4483" i="29"/>
  <c r="Q4483" i="29"/>
  <c r="V4482" i="29"/>
  <c r="U4482" i="29"/>
  <c r="T4482" i="29"/>
  <c r="R4482" i="29"/>
  <c r="Q4482" i="29"/>
  <c r="V4481" i="29"/>
  <c r="U4481" i="29"/>
  <c r="T4481" i="29"/>
  <c r="R4481" i="29"/>
  <c r="Q4481" i="29"/>
  <c r="V4480" i="29"/>
  <c r="U4480" i="29"/>
  <c r="T4480" i="29"/>
  <c r="R4480" i="29"/>
  <c r="Q4480" i="29"/>
  <c r="V4479" i="29"/>
  <c r="U4479" i="29"/>
  <c r="T4479" i="29"/>
  <c r="R4479" i="29"/>
  <c r="Q4479" i="29"/>
  <c r="V4476" i="29"/>
  <c r="U4476" i="29"/>
  <c r="T4476" i="29"/>
  <c r="R4476" i="29"/>
  <c r="Q4476" i="29"/>
  <c r="V4475" i="29"/>
  <c r="U4475" i="29"/>
  <c r="T4475" i="29"/>
  <c r="R4475" i="29"/>
  <c r="Q4475" i="29"/>
  <c r="V4474" i="29"/>
  <c r="U4474" i="29"/>
  <c r="T4474" i="29"/>
  <c r="R4474" i="29"/>
  <c r="Q4474" i="29"/>
  <c r="V4473" i="29"/>
  <c r="U4473" i="29"/>
  <c r="T4473" i="29"/>
  <c r="R4473" i="29"/>
  <c r="Q4473" i="29"/>
  <c r="V4472" i="29"/>
  <c r="U4472" i="29"/>
  <c r="T4472" i="29"/>
  <c r="R4472" i="29"/>
  <c r="Q4472" i="29"/>
  <c r="V4471" i="29"/>
  <c r="U4471" i="29"/>
  <c r="T4471" i="29"/>
  <c r="R4471" i="29"/>
  <c r="Q4471" i="29"/>
  <c r="V4470" i="29"/>
  <c r="U4470" i="29"/>
  <c r="T4470" i="29"/>
  <c r="R4470" i="29"/>
  <c r="Q4470" i="29"/>
  <c r="V4469" i="29"/>
  <c r="U4469" i="29"/>
  <c r="W4469" i="29" s="1"/>
  <c r="X4469" i="29" s="1"/>
  <c r="T4469" i="29"/>
  <c r="R4469" i="29"/>
  <c r="Q4469" i="29"/>
  <c r="V4468" i="29"/>
  <c r="U4468" i="29"/>
  <c r="T4468" i="29"/>
  <c r="R4468" i="29"/>
  <c r="Q4468" i="29"/>
  <c r="V4465" i="29"/>
  <c r="U4465" i="29"/>
  <c r="T4465" i="29"/>
  <c r="R4465" i="29"/>
  <c r="Q4465" i="29"/>
  <c r="V4464" i="29"/>
  <c r="U4464" i="29"/>
  <c r="T4464" i="29"/>
  <c r="R4464" i="29"/>
  <c r="Q4464" i="29"/>
  <c r="V4463" i="29"/>
  <c r="U4463" i="29"/>
  <c r="T4463" i="29"/>
  <c r="R4463" i="29"/>
  <c r="Q4463" i="29"/>
  <c r="V4462" i="29"/>
  <c r="U4462" i="29"/>
  <c r="T4462" i="29"/>
  <c r="R4462" i="29"/>
  <c r="Q4462" i="29"/>
  <c r="V4461" i="29"/>
  <c r="U4461" i="29"/>
  <c r="T4461" i="29"/>
  <c r="R4461" i="29"/>
  <c r="Q4461" i="29"/>
  <c r="V4460" i="29"/>
  <c r="U4460" i="29"/>
  <c r="T4460" i="29"/>
  <c r="R4460" i="29"/>
  <c r="Q4460" i="29"/>
  <c r="V4459" i="29"/>
  <c r="U4459" i="29"/>
  <c r="W4459" i="29" s="1"/>
  <c r="X4459" i="29" s="1"/>
  <c r="T4459" i="29"/>
  <c r="R4459" i="29"/>
  <c r="Q4459" i="29"/>
  <c r="V4458" i="29"/>
  <c r="U4458" i="29"/>
  <c r="T4458" i="29"/>
  <c r="R4458" i="29"/>
  <c r="Q4458" i="29"/>
  <c r="V4457" i="29"/>
  <c r="U4457" i="29"/>
  <c r="T4457" i="29"/>
  <c r="R4457" i="29"/>
  <c r="Q4457" i="29"/>
  <c r="V4454" i="29"/>
  <c r="U4454" i="29"/>
  <c r="T4454" i="29"/>
  <c r="R4454" i="29"/>
  <c r="Q4454" i="29"/>
  <c r="V4453" i="29"/>
  <c r="U4453" i="29"/>
  <c r="T4453" i="29"/>
  <c r="R4453" i="29"/>
  <c r="Q4453" i="29"/>
  <c r="V4452" i="29"/>
  <c r="U4452" i="29"/>
  <c r="T4452" i="29"/>
  <c r="R4452" i="29"/>
  <c r="Q4452" i="29"/>
  <c r="V4451" i="29"/>
  <c r="U4451" i="29"/>
  <c r="T4451" i="29"/>
  <c r="R4451" i="29"/>
  <c r="Q4451" i="29"/>
  <c r="V4450" i="29"/>
  <c r="U4450" i="29"/>
  <c r="T4450" i="29"/>
  <c r="R4450" i="29"/>
  <c r="Q4450" i="29"/>
  <c r="V4449" i="29"/>
  <c r="U4449" i="29"/>
  <c r="T4449" i="29"/>
  <c r="R4449" i="29"/>
  <c r="Q4449" i="29"/>
  <c r="V4448" i="29"/>
  <c r="U4448" i="29"/>
  <c r="T4448" i="29"/>
  <c r="R4448" i="29"/>
  <c r="Q4448" i="29"/>
  <c r="V4447" i="29"/>
  <c r="U4447" i="29"/>
  <c r="T4447" i="29"/>
  <c r="R4447" i="29"/>
  <c r="Q4447" i="29"/>
  <c r="V4446" i="29"/>
  <c r="U4446" i="29"/>
  <c r="T4446" i="29"/>
  <c r="R4446" i="29"/>
  <c r="Q4446" i="29"/>
  <c r="V4443" i="29"/>
  <c r="U4443" i="29"/>
  <c r="T4443" i="29"/>
  <c r="R4443" i="29"/>
  <c r="Q4443" i="29"/>
  <c r="V4442" i="29"/>
  <c r="U4442" i="29"/>
  <c r="T4442" i="29"/>
  <c r="R4442" i="29"/>
  <c r="Q4442" i="29"/>
  <c r="V4441" i="29"/>
  <c r="U4441" i="29"/>
  <c r="T4441" i="29"/>
  <c r="R4441" i="29"/>
  <c r="Q4441" i="29"/>
  <c r="V4440" i="29"/>
  <c r="U4440" i="29"/>
  <c r="T4440" i="29"/>
  <c r="R4440" i="29"/>
  <c r="Q4440" i="29"/>
  <c r="V4439" i="29"/>
  <c r="U4439" i="29"/>
  <c r="T4439" i="29"/>
  <c r="R4439" i="29"/>
  <c r="Q4439" i="29"/>
  <c r="V4438" i="29"/>
  <c r="U4438" i="29"/>
  <c r="T4438" i="29"/>
  <c r="R4438" i="29"/>
  <c r="Q4438" i="29"/>
  <c r="V4437" i="29"/>
  <c r="U4437" i="29"/>
  <c r="T4437" i="29"/>
  <c r="R4437" i="29"/>
  <c r="Q4437" i="29"/>
  <c r="V4436" i="29"/>
  <c r="U4436" i="29"/>
  <c r="T4436" i="29"/>
  <c r="R4436" i="29"/>
  <c r="Q4436" i="29"/>
  <c r="V4435" i="29"/>
  <c r="U4435" i="29"/>
  <c r="T4435" i="29"/>
  <c r="R4435" i="29"/>
  <c r="Q4435" i="29"/>
  <c r="V4432" i="29"/>
  <c r="U4432" i="29"/>
  <c r="T4432" i="29"/>
  <c r="R4432" i="29"/>
  <c r="Q4432" i="29"/>
  <c r="V4431" i="29"/>
  <c r="U4431" i="29"/>
  <c r="T4431" i="29"/>
  <c r="R4431" i="29"/>
  <c r="Q4431" i="29"/>
  <c r="V4430" i="29"/>
  <c r="U4430" i="29"/>
  <c r="T4430" i="29"/>
  <c r="R4430" i="29"/>
  <c r="Q4430" i="29"/>
  <c r="V4429" i="29"/>
  <c r="U4429" i="29"/>
  <c r="T4429" i="29"/>
  <c r="R4429" i="29"/>
  <c r="Q4429" i="29"/>
  <c r="V4428" i="29"/>
  <c r="U4428" i="29"/>
  <c r="T4428" i="29"/>
  <c r="R4428" i="29"/>
  <c r="Q4428" i="29"/>
  <c r="V4427" i="29"/>
  <c r="U4427" i="29"/>
  <c r="T4427" i="29"/>
  <c r="R4427" i="29"/>
  <c r="Q4427" i="29"/>
  <c r="V4426" i="29"/>
  <c r="U4426" i="29"/>
  <c r="T4426" i="29"/>
  <c r="R4426" i="29"/>
  <c r="Q4426" i="29"/>
  <c r="V4425" i="29"/>
  <c r="U4425" i="29"/>
  <c r="T4425" i="29"/>
  <c r="R4425" i="29"/>
  <c r="Q4425" i="29"/>
  <c r="V4424" i="29"/>
  <c r="U4424" i="29"/>
  <c r="T4424" i="29"/>
  <c r="R4424" i="29"/>
  <c r="Q4424" i="29"/>
  <c r="V4421" i="29"/>
  <c r="U4421" i="29"/>
  <c r="T4421" i="29"/>
  <c r="R4421" i="29"/>
  <c r="Q4421" i="29"/>
  <c r="V4420" i="29"/>
  <c r="U4420" i="29"/>
  <c r="T4420" i="29"/>
  <c r="R4420" i="29"/>
  <c r="Q4420" i="29"/>
  <c r="V4419" i="29"/>
  <c r="U4419" i="29"/>
  <c r="T4419" i="29"/>
  <c r="R4419" i="29"/>
  <c r="Q4419" i="29"/>
  <c r="V4418" i="29"/>
  <c r="U4418" i="29"/>
  <c r="T4418" i="29"/>
  <c r="R4418" i="29"/>
  <c r="Q4418" i="29"/>
  <c r="V4417" i="29"/>
  <c r="U4417" i="29"/>
  <c r="T4417" i="29"/>
  <c r="R4417" i="29"/>
  <c r="Q4417" i="29"/>
  <c r="V4416" i="29"/>
  <c r="U4416" i="29"/>
  <c r="T4416" i="29"/>
  <c r="R4416" i="29"/>
  <c r="Q4416" i="29"/>
  <c r="V4415" i="29"/>
  <c r="U4415" i="29"/>
  <c r="T4415" i="29"/>
  <c r="R4415" i="29"/>
  <c r="Q4415" i="29"/>
  <c r="V4414" i="29"/>
  <c r="U4414" i="29"/>
  <c r="T4414" i="29"/>
  <c r="R4414" i="29"/>
  <c r="Q4414" i="29"/>
  <c r="V4413" i="29"/>
  <c r="U4413" i="29"/>
  <c r="T4413" i="29"/>
  <c r="R4413" i="29"/>
  <c r="Q4413" i="29"/>
  <c r="V4410" i="29"/>
  <c r="U4410" i="29"/>
  <c r="T4410" i="29"/>
  <c r="R4410" i="29"/>
  <c r="Q4410" i="29"/>
  <c r="V4409" i="29"/>
  <c r="U4409" i="29"/>
  <c r="T4409" i="29"/>
  <c r="R4409" i="29"/>
  <c r="Q4409" i="29"/>
  <c r="V4408" i="29"/>
  <c r="U4408" i="29"/>
  <c r="T4408" i="29"/>
  <c r="R4408" i="29"/>
  <c r="Q4408" i="29"/>
  <c r="V4407" i="29"/>
  <c r="U4407" i="29"/>
  <c r="T4407" i="29"/>
  <c r="R4407" i="29"/>
  <c r="Q4407" i="29"/>
  <c r="V4406" i="29"/>
  <c r="W4406" i="29" s="1"/>
  <c r="X4406" i="29" s="1"/>
  <c r="U4406" i="29"/>
  <c r="T4406" i="29"/>
  <c r="R4406" i="29"/>
  <c r="Q4406" i="29"/>
  <c r="V4405" i="29"/>
  <c r="W4405" i="29" s="1"/>
  <c r="X4405" i="29" s="1"/>
  <c r="U4405" i="29"/>
  <c r="T4405" i="29"/>
  <c r="R4405" i="29"/>
  <c r="Q4405" i="29"/>
  <c r="V4404" i="29"/>
  <c r="U4404" i="29"/>
  <c r="T4404" i="29"/>
  <c r="R4404" i="29"/>
  <c r="Q4404" i="29"/>
  <c r="V4403" i="29"/>
  <c r="U4403" i="29"/>
  <c r="T4403" i="29"/>
  <c r="R4403" i="29"/>
  <c r="Q4403" i="29"/>
  <c r="V4402" i="29"/>
  <c r="U4402" i="29"/>
  <c r="T4402" i="29"/>
  <c r="R4402" i="29"/>
  <c r="Q4402" i="29"/>
  <c r="V4399" i="29"/>
  <c r="U4399" i="29"/>
  <c r="T4399" i="29"/>
  <c r="R4399" i="29"/>
  <c r="Q4399" i="29"/>
  <c r="V4398" i="29"/>
  <c r="U4398" i="29"/>
  <c r="T4398" i="29"/>
  <c r="R4398" i="29"/>
  <c r="Q4398" i="29"/>
  <c r="V4397" i="29"/>
  <c r="U4397" i="29"/>
  <c r="T4397" i="29"/>
  <c r="R4397" i="29"/>
  <c r="Q4397" i="29"/>
  <c r="V4396" i="29"/>
  <c r="U4396" i="29"/>
  <c r="T4396" i="29"/>
  <c r="R4396" i="29"/>
  <c r="Q4396" i="29"/>
  <c r="V4395" i="29"/>
  <c r="U4395" i="29"/>
  <c r="T4395" i="29"/>
  <c r="R4395" i="29"/>
  <c r="Q4395" i="29"/>
  <c r="V4394" i="29"/>
  <c r="U4394" i="29"/>
  <c r="T4394" i="29"/>
  <c r="R4394" i="29"/>
  <c r="Q4394" i="29"/>
  <c r="V4393" i="29"/>
  <c r="U4393" i="29"/>
  <c r="T4393" i="29"/>
  <c r="R4393" i="29"/>
  <c r="Q4393" i="29"/>
  <c r="V4392" i="29"/>
  <c r="U4392" i="29"/>
  <c r="T4392" i="29"/>
  <c r="R4392" i="29"/>
  <c r="Q4392" i="29"/>
  <c r="V4391" i="29"/>
  <c r="U4391" i="29"/>
  <c r="T4391" i="29"/>
  <c r="R4391" i="29"/>
  <c r="Q4391" i="29"/>
  <c r="V4388" i="29"/>
  <c r="U4388" i="29"/>
  <c r="T4388" i="29"/>
  <c r="R4388" i="29"/>
  <c r="Q4388" i="29"/>
  <c r="V4387" i="29"/>
  <c r="U4387" i="29"/>
  <c r="T4387" i="29"/>
  <c r="R4387" i="29"/>
  <c r="Q4387" i="29"/>
  <c r="V4386" i="29"/>
  <c r="U4386" i="29"/>
  <c r="T4386" i="29"/>
  <c r="R4386" i="29"/>
  <c r="Q4386" i="29"/>
  <c r="V4385" i="29"/>
  <c r="U4385" i="29"/>
  <c r="T4385" i="29"/>
  <c r="R4385" i="29"/>
  <c r="Q4385" i="29"/>
  <c r="V4384" i="29"/>
  <c r="U4384" i="29"/>
  <c r="T4384" i="29"/>
  <c r="R4384" i="29"/>
  <c r="Q4384" i="29"/>
  <c r="V4383" i="29"/>
  <c r="U4383" i="29"/>
  <c r="W4383" i="29" s="1"/>
  <c r="X4383" i="29" s="1"/>
  <c r="T4383" i="29"/>
  <c r="R4383" i="29"/>
  <c r="Q4383" i="29"/>
  <c r="V4382" i="29"/>
  <c r="U4382" i="29"/>
  <c r="T4382" i="29"/>
  <c r="R4382" i="29"/>
  <c r="Q4382" i="29"/>
  <c r="V4381" i="29"/>
  <c r="U4381" i="29"/>
  <c r="T4381" i="29"/>
  <c r="R4381" i="29"/>
  <c r="Q4381" i="29"/>
  <c r="V4380" i="29"/>
  <c r="U4380" i="29"/>
  <c r="T4380" i="29"/>
  <c r="R4380" i="29"/>
  <c r="Q4380" i="29"/>
  <c r="V4377" i="29"/>
  <c r="U4377" i="29"/>
  <c r="T4377" i="29"/>
  <c r="R4377" i="29"/>
  <c r="Q4377" i="29"/>
  <c r="V4376" i="29"/>
  <c r="U4376" i="29"/>
  <c r="T4376" i="29"/>
  <c r="R4376" i="29"/>
  <c r="Q4376" i="29"/>
  <c r="V4375" i="29"/>
  <c r="U4375" i="29"/>
  <c r="T4375" i="29"/>
  <c r="R4375" i="29"/>
  <c r="Q4375" i="29"/>
  <c r="V4374" i="29"/>
  <c r="U4374" i="29"/>
  <c r="T4374" i="29"/>
  <c r="R4374" i="29"/>
  <c r="Q4374" i="29"/>
  <c r="V4373" i="29"/>
  <c r="U4373" i="29"/>
  <c r="T4373" i="29"/>
  <c r="R4373" i="29"/>
  <c r="Q4373" i="29"/>
  <c r="V4372" i="29"/>
  <c r="U4372" i="29"/>
  <c r="T4372" i="29"/>
  <c r="R4372" i="29"/>
  <c r="Q4372" i="29"/>
  <c r="V4371" i="29"/>
  <c r="U4371" i="29"/>
  <c r="T4371" i="29"/>
  <c r="R4371" i="29"/>
  <c r="Q4371" i="29"/>
  <c r="V4370" i="29"/>
  <c r="U4370" i="29"/>
  <c r="T4370" i="29"/>
  <c r="R4370" i="29"/>
  <c r="Q4370" i="29"/>
  <c r="V4369" i="29"/>
  <c r="U4369" i="29"/>
  <c r="W4369" i="29" s="1"/>
  <c r="X4369" i="29" s="1"/>
  <c r="T4369" i="29"/>
  <c r="R4369" i="29"/>
  <c r="Q4369" i="29"/>
  <c r="V4366" i="29"/>
  <c r="U4366" i="29"/>
  <c r="T4366" i="29"/>
  <c r="R4366" i="29"/>
  <c r="Q4366" i="29"/>
  <c r="V4365" i="29"/>
  <c r="U4365" i="29"/>
  <c r="T4365" i="29"/>
  <c r="R4365" i="29"/>
  <c r="Q4365" i="29"/>
  <c r="V4364" i="29"/>
  <c r="U4364" i="29"/>
  <c r="T4364" i="29"/>
  <c r="R4364" i="29"/>
  <c r="Q4364" i="29"/>
  <c r="V4363" i="29"/>
  <c r="U4363" i="29"/>
  <c r="T4363" i="29"/>
  <c r="R4363" i="29"/>
  <c r="Q4363" i="29"/>
  <c r="V4362" i="29"/>
  <c r="U4362" i="29"/>
  <c r="T4362" i="29"/>
  <c r="R4362" i="29"/>
  <c r="Q4362" i="29"/>
  <c r="V4361" i="29"/>
  <c r="U4361" i="29"/>
  <c r="T4361" i="29"/>
  <c r="R4361" i="29"/>
  <c r="Q4361" i="29"/>
  <c r="V4360" i="29"/>
  <c r="U4360" i="29"/>
  <c r="T4360" i="29"/>
  <c r="R4360" i="29"/>
  <c r="Q4360" i="29"/>
  <c r="V4359" i="29"/>
  <c r="U4359" i="29"/>
  <c r="T4359" i="29"/>
  <c r="R4359" i="29"/>
  <c r="Q4359" i="29"/>
  <c r="V4358" i="29"/>
  <c r="U4358" i="29"/>
  <c r="T4358" i="29"/>
  <c r="R4358" i="29"/>
  <c r="Q4358" i="29"/>
  <c r="V4355" i="29"/>
  <c r="U4355" i="29"/>
  <c r="T4355" i="29"/>
  <c r="R4355" i="29"/>
  <c r="Q4355" i="29"/>
  <c r="V4354" i="29"/>
  <c r="U4354" i="29"/>
  <c r="T4354" i="29"/>
  <c r="R4354" i="29"/>
  <c r="Q4354" i="29"/>
  <c r="V4353" i="29"/>
  <c r="U4353" i="29"/>
  <c r="T4353" i="29"/>
  <c r="R4353" i="29"/>
  <c r="Q4353" i="29"/>
  <c r="V4352" i="29"/>
  <c r="U4352" i="29"/>
  <c r="T4352" i="29"/>
  <c r="R4352" i="29"/>
  <c r="Q4352" i="29"/>
  <c r="V4351" i="29"/>
  <c r="U4351" i="29"/>
  <c r="T4351" i="29"/>
  <c r="R4351" i="29"/>
  <c r="Q4351" i="29"/>
  <c r="V4350" i="29"/>
  <c r="U4350" i="29"/>
  <c r="T4350" i="29"/>
  <c r="R4350" i="29"/>
  <c r="Q4350" i="29"/>
  <c r="V4349" i="29"/>
  <c r="U4349" i="29"/>
  <c r="T4349" i="29"/>
  <c r="R4349" i="29"/>
  <c r="Q4349" i="29"/>
  <c r="V4348" i="29"/>
  <c r="U4348" i="29"/>
  <c r="T4348" i="29"/>
  <c r="R4348" i="29"/>
  <c r="Q4348" i="29"/>
  <c r="V4347" i="29"/>
  <c r="U4347" i="29"/>
  <c r="T4347" i="29"/>
  <c r="R4347" i="29"/>
  <c r="Q4347" i="29"/>
  <c r="V4344" i="29"/>
  <c r="U4344" i="29"/>
  <c r="W4344" i="29" s="1"/>
  <c r="X4344" i="29" s="1"/>
  <c r="T4344" i="29"/>
  <c r="R4344" i="29"/>
  <c r="Q4344" i="29"/>
  <c r="V4343" i="29"/>
  <c r="U4343" i="29"/>
  <c r="T4343" i="29"/>
  <c r="R4343" i="29"/>
  <c r="Q4343" i="29"/>
  <c r="V4342" i="29"/>
  <c r="U4342" i="29"/>
  <c r="T4342" i="29"/>
  <c r="R4342" i="29"/>
  <c r="Q4342" i="29"/>
  <c r="V4341" i="29"/>
  <c r="U4341" i="29"/>
  <c r="T4341" i="29"/>
  <c r="R4341" i="29"/>
  <c r="Q4341" i="29"/>
  <c r="V4340" i="29"/>
  <c r="U4340" i="29"/>
  <c r="T4340" i="29"/>
  <c r="R4340" i="29"/>
  <c r="Q4340" i="29"/>
  <c r="V4339" i="29"/>
  <c r="U4339" i="29"/>
  <c r="T4339" i="29"/>
  <c r="R4339" i="29"/>
  <c r="Q4339" i="29"/>
  <c r="V4338" i="29"/>
  <c r="U4338" i="29"/>
  <c r="T4338" i="29"/>
  <c r="R4338" i="29"/>
  <c r="Q4338" i="29"/>
  <c r="V4337" i="29"/>
  <c r="U4337" i="29"/>
  <c r="T4337" i="29"/>
  <c r="R4337" i="29"/>
  <c r="Q4337" i="29"/>
  <c r="V4336" i="29"/>
  <c r="U4336" i="29"/>
  <c r="T4336" i="29"/>
  <c r="R4336" i="29"/>
  <c r="Q4336" i="29"/>
  <c r="V4333" i="29"/>
  <c r="U4333" i="29"/>
  <c r="T4333" i="29"/>
  <c r="R4333" i="29"/>
  <c r="Q4333" i="29"/>
  <c r="V4332" i="29"/>
  <c r="U4332" i="29"/>
  <c r="T4332" i="29"/>
  <c r="R4332" i="29"/>
  <c r="Q4332" i="29"/>
  <c r="V4331" i="29"/>
  <c r="U4331" i="29"/>
  <c r="T4331" i="29"/>
  <c r="R4331" i="29"/>
  <c r="Q4331" i="29"/>
  <c r="V4330" i="29"/>
  <c r="U4330" i="29"/>
  <c r="T4330" i="29"/>
  <c r="R4330" i="29"/>
  <c r="Q4330" i="29"/>
  <c r="V4329" i="29"/>
  <c r="U4329" i="29"/>
  <c r="T4329" i="29"/>
  <c r="R4329" i="29"/>
  <c r="Q4329" i="29"/>
  <c r="V4328" i="29"/>
  <c r="U4328" i="29"/>
  <c r="T4328" i="29"/>
  <c r="R4328" i="29"/>
  <c r="Q4328" i="29"/>
  <c r="V4327" i="29"/>
  <c r="U4327" i="29"/>
  <c r="T4327" i="29"/>
  <c r="R4327" i="29"/>
  <c r="Q4327" i="29"/>
  <c r="V4326" i="29"/>
  <c r="U4326" i="29"/>
  <c r="T4326" i="29"/>
  <c r="R4326" i="29"/>
  <c r="Q4326" i="29"/>
  <c r="V4325" i="29"/>
  <c r="U4325" i="29"/>
  <c r="T4325" i="29"/>
  <c r="R4325" i="29"/>
  <c r="Q4325" i="29"/>
  <c r="V4322" i="29"/>
  <c r="U4322" i="29"/>
  <c r="T4322" i="29"/>
  <c r="R4322" i="29"/>
  <c r="Q4322" i="29"/>
  <c r="V4321" i="29"/>
  <c r="U4321" i="29"/>
  <c r="T4321" i="29"/>
  <c r="R4321" i="29"/>
  <c r="Q4321" i="29"/>
  <c r="V4320" i="29"/>
  <c r="U4320" i="29"/>
  <c r="T4320" i="29"/>
  <c r="R4320" i="29"/>
  <c r="Q4320" i="29"/>
  <c r="V4319" i="29"/>
  <c r="U4319" i="29"/>
  <c r="T4319" i="29"/>
  <c r="R4319" i="29"/>
  <c r="Q4319" i="29"/>
  <c r="V4318" i="29"/>
  <c r="U4318" i="29"/>
  <c r="T4318" i="29"/>
  <c r="R4318" i="29"/>
  <c r="Q4318" i="29"/>
  <c r="V4317" i="29"/>
  <c r="U4317" i="29"/>
  <c r="T4317" i="29"/>
  <c r="R4317" i="29"/>
  <c r="Q4317" i="29"/>
  <c r="V4316" i="29"/>
  <c r="U4316" i="29"/>
  <c r="T4316" i="29"/>
  <c r="R4316" i="29"/>
  <c r="Q4316" i="29"/>
  <c r="V4315" i="29"/>
  <c r="U4315" i="29"/>
  <c r="T4315" i="29"/>
  <c r="R4315" i="29"/>
  <c r="Q4315" i="29"/>
  <c r="V4314" i="29"/>
  <c r="U4314" i="29"/>
  <c r="T4314" i="29"/>
  <c r="R4314" i="29"/>
  <c r="Q4314" i="29"/>
  <c r="V4311" i="29"/>
  <c r="U4311" i="29"/>
  <c r="T4311" i="29"/>
  <c r="R4311" i="29"/>
  <c r="Q4311" i="29"/>
  <c r="V4310" i="29"/>
  <c r="U4310" i="29"/>
  <c r="T4310" i="29"/>
  <c r="R4310" i="29"/>
  <c r="Q4310" i="29"/>
  <c r="V4309" i="29"/>
  <c r="U4309" i="29"/>
  <c r="T4309" i="29"/>
  <c r="R4309" i="29"/>
  <c r="Q4309" i="29"/>
  <c r="V4308" i="29"/>
  <c r="U4308" i="29"/>
  <c r="T4308" i="29"/>
  <c r="R4308" i="29"/>
  <c r="Q4308" i="29"/>
  <c r="V4307" i="29"/>
  <c r="W4307" i="29" s="1"/>
  <c r="X4307" i="29" s="1"/>
  <c r="U4307" i="29"/>
  <c r="T4307" i="29"/>
  <c r="R4307" i="29"/>
  <c r="Q4307" i="29"/>
  <c r="V4306" i="29"/>
  <c r="U4306" i="29"/>
  <c r="T4306" i="29"/>
  <c r="R4306" i="29"/>
  <c r="Q4306" i="29"/>
  <c r="V4305" i="29"/>
  <c r="U4305" i="29"/>
  <c r="T4305" i="29"/>
  <c r="R4305" i="29"/>
  <c r="Q4305" i="29"/>
  <c r="V4304" i="29"/>
  <c r="U4304" i="29"/>
  <c r="T4304" i="29"/>
  <c r="R4304" i="29"/>
  <c r="Q4304" i="29"/>
  <c r="V4303" i="29"/>
  <c r="U4303" i="29"/>
  <c r="T4303" i="29"/>
  <c r="R4303" i="29"/>
  <c r="Q4303" i="29"/>
  <c r="V4300" i="29"/>
  <c r="U4300" i="29"/>
  <c r="T4300" i="29"/>
  <c r="R4300" i="29"/>
  <c r="Q4300" i="29"/>
  <c r="V4299" i="29"/>
  <c r="U4299" i="29"/>
  <c r="T4299" i="29"/>
  <c r="R4299" i="29"/>
  <c r="Q4299" i="29"/>
  <c r="V4298" i="29"/>
  <c r="U4298" i="29"/>
  <c r="T4298" i="29"/>
  <c r="R4298" i="29"/>
  <c r="Q4298" i="29"/>
  <c r="V4297" i="29"/>
  <c r="U4297" i="29"/>
  <c r="T4297" i="29"/>
  <c r="R4297" i="29"/>
  <c r="Q4297" i="29"/>
  <c r="V4296" i="29"/>
  <c r="U4296" i="29"/>
  <c r="T4296" i="29"/>
  <c r="R4296" i="29"/>
  <c r="Q4296" i="29"/>
  <c r="V4295" i="29"/>
  <c r="U4295" i="29"/>
  <c r="T4295" i="29"/>
  <c r="R4295" i="29"/>
  <c r="Q4295" i="29"/>
  <c r="V4294" i="29"/>
  <c r="U4294" i="29"/>
  <c r="T4294" i="29"/>
  <c r="R4294" i="29"/>
  <c r="Q4294" i="29"/>
  <c r="V4293" i="29"/>
  <c r="U4293" i="29"/>
  <c r="T4293" i="29"/>
  <c r="R4293" i="29"/>
  <c r="Q4293" i="29"/>
  <c r="V4292" i="29"/>
  <c r="U4292" i="29"/>
  <c r="T4292" i="29"/>
  <c r="R4292" i="29"/>
  <c r="Q4292" i="29"/>
  <c r="V4289" i="29"/>
  <c r="U4289" i="29"/>
  <c r="T4289" i="29"/>
  <c r="R4289" i="29"/>
  <c r="Q4289" i="29"/>
  <c r="V4288" i="29"/>
  <c r="U4288" i="29"/>
  <c r="T4288" i="29"/>
  <c r="R4288" i="29"/>
  <c r="Q4288" i="29"/>
  <c r="V4287" i="29"/>
  <c r="U4287" i="29"/>
  <c r="T4287" i="29"/>
  <c r="R4287" i="29"/>
  <c r="Q4287" i="29"/>
  <c r="V4286" i="29"/>
  <c r="U4286" i="29"/>
  <c r="T4286" i="29"/>
  <c r="R4286" i="29"/>
  <c r="Q4286" i="29"/>
  <c r="V4285" i="29"/>
  <c r="U4285" i="29"/>
  <c r="T4285" i="29"/>
  <c r="R4285" i="29"/>
  <c r="Q4285" i="29"/>
  <c r="V4284" i="29"/>
  <c r="U4284" i="29"/>
  <c r="T4284" i="29"/>
  <c r="R4284" i="29"/>
  <c r="Q4284" i="29"/>
  <c r="V4283" i="29"/>
  <c r="U4283" i="29"/>
  <c r="T4283" i="29"/>
  <c r="R4283" i="29"/>
  <c r="Q4283" i="29"/>
  <c r="V4282" i="29"/>
  <c r="U4282" i="29"/>
  <c r="T4282" i="29"/>
  <c r="R4282" i="29"/>
  <c r="Q4282" i="29"/>
  <c r="V4281" i="29"/>
  <c r="U4281" i="29"/>
  <c r="T4281" i="29"/>
  <c r="R4281" i="29"/>
  <c r="Q4281" i="29"/>
  <c r="V4278" i="29"/>
  <c r="U4278" i="29"/>
  <c r="T4278" i="29"/>
  <c r="R4278" i="29"/>
  <c r="Q4278" i="29"/>
  <c r="V4277" i="29"/>
  <c r="U4277" i="29"/>
  <c r="T4277" i="29"/>
  <c r="R4277" i="29"/>
  <c r="Q4277" i="29"/>
  <c r="V4276" i="29"/>
  <c r="U4276" i="29"/>
  <c r="T4276" i="29"/>
  <c r="R4276" i="29"/>
  <c r="Q4276" i="29"/>
  <c r="V4275" i="29"/>
  <c r="U4275" i="29"/>
  <c r="T4275" i="29"/>
  <c r="R4275" i="29"/>
  <c r="Q4275" i="29"/>
  <c r="V4274" i="29"/>
  <c r="U4274" i="29"/>
  <c r="T4274" i="29"/>
  <c r="R4274" i="29"/>
  <c r="Q4274" i="29"/>
  <c r="V4273" i="29"/>
  <c r="U4273" i="29"/>
  <c r="T4273" i="29"/>
  <c r="R4273" i="29"/>
  <c r="Q4273" i="29"/>
  <c r="V4272" i="29"/>
  <c r="U4272" i="29"/>
  <c r="T4272" i="29"/>
  <c r="R4272" i="29"/>
  <c r="Q4272" i="29"/>
  <c r="V4271" i="29"/>
  <c r="U4271" i="29"/>
  <c r="T4271" i="29"/>
  <c r="R4271" i="29"/>
  <c r="Q4271" i="29"/>
  <c r="V4270" i="29"/>
  <c r="U4270" i="29"/>
  <c r="T4270" i="29"/>
  <c r="R4270" i="29"/>
  <c r="Q4270" i="29"/>
  <c r="V4267" i="29"/>
  <c r="U4267" i="29"/>
  <c r="T4267" i="29"/>
  <c r="R4267" i="29"/>
  <c r="Q4267" i="29"/>
  <c r="V4266" i="29"/>
  <c r="U4266" i="29"/>
  <c r="T4266" i="29"/>
  <c r="R4266" i="29"/>
  <c r="Q4266" i="29"/>
  <c r="V4265" i="29"/>
  <c r="U4265" i="29"/>
  <c r="W4265" i="29" s="1"/>
  <c r="X4265" i="29" s="1"/>
  <c r="T4265" i="29"/>
  <c r="R4265" i="29"/>
  <c r="Q4265" i="29"/>
  <c r="V4264" i="29"/>
  <c r="U4264" i="29"/>
  <c r="T4264" i="29"/>
  <c r="R4264" i="29"/>
  <c r="Q4264" i="29"/>
  <c r="V4263" i="29"/>
  <c r="U4263" i="29"/>
  <c r="T4263" i="29"/>
  <c r="R4263" i="29"/>
  <c r="Q4263" i="29"/>
  <c r="V4262" i="29"/>
  <c r="U4262" i="29"/>
  <c r="T4262" i="29"/>
  <c r="R4262" i="29"/>
  <c r="Q4262" i="29"/>
  <c r="V4261" i="29"/>
  <c r="U4261" i="29"/>
  <c r="T4261" i="29"/>
  <c r="R4261" i="29"/>
  <c r="Q4261" i="29"/>
  <c r="V4260" i="29"/>
  <c r="U4260" i="29"/>
  <c r="T4260" i="29"/>
  <c r="R4260" i="29"/>
  <c r="Q4260" i="29"/>
  <c r="V4259" i="29"/>
  <c r="U4259" i="29"/>
  <c r="T4259" i="29"/>
  <c r="R4259" i="29"/>
  <c r="Q4259" i="29"/>
  <c r="V4256" i="29"/>
  <c r="U4256" i="29"/>
  <c r="T4256" i="29"/>
  <c r="R4256" i="29"/>
  <c r="Q4256" i="29"/>
  <c r="V4255" i="29"/>
  <c r="U4255" i="29"/>
  <c r="T4255" i="29"/>
  <c r="R4255" i="29"/>
  <c r="Q4255" i="29"/>
  <c r="V4254" i="29"/>
  <c r="U4254" i="29"/>
  <c r="T4254" i="29"/>
  <c r="R4254" i="29"/>
  <c r="Q4254" i="29"/>
  <c r="V4253" i="29"/>
  <c r="U4253" i="29"/>
  <c r="T4253" i="29"/>
  <c r="R4253" i="29"/>
  <c r="Q4253" i="29"/>
  <c r="V4252" i="29"/>
  <c r="U4252" i="29"/>
  <c r="T4252" i="29"/>
  <c r="R4252" i="29"/>
  <c r="Q4252" i="29"/>
  <c r="V4251" i="29"/>
  <c r="U4251" i="29"/>
  <c r="T4251" i="29"/>
  <c r="R4251" i="29"/>
  <c r="Q4251" i="29"/>
  <c r="V4250" i="29"/>
  <c r="U4250" i="29"/>
  <c r="T4250" i="29"/>
  <c r="R4250" i="29"/>
  <c r="Q4250" i="29"/>
  <c r="V4249" i="29"/>
  <c r="U4249" i="29"/>
  <c r="T4249" i="29"/>
  <c r="R4249" i="29"/>
  <c r="Q4249" i="29"/>
  <c r="V4248" i="29"/>
  <c r="U4248" i="29"/>
  <c r="T4248" i="29"/>
  <c r="R4248" i="29"/>
  <c r="Q4248" i="29"/>
  <c r="V4245" i="29"/>
  <c r="U4245" i="29"/>
  <c r="T4245" i="29"/>
  <c r="R4245" i="29"/>
  <c r="Q4245" i="29"/>
  <c r="V4244" i="29"/>
  <c r="U4244" i="29"/>
  <c r="T4244" i="29"/>
  <c r="R4244" i="29"/>
  <c r="Q4244" i="29"/>
  <c r="V4243" i="29"/>
  <c r="U4243" i="29"/>
  <c r="T4243" i="29"/>
  <c r="R4243" i="29"/>
  <c r="Q4243" i="29"/>
  <c r="V4242" i="29"/>
  <c r="U4242" i="29"/>
  <c r="T4242" i="29"/>
  <c r="R4242" i="29"/>
  <c r="Q4242" i="29"/>
  <c r="V4241" i="29"/>
  <c r="U4241" i="29"/>
  <c r="T4241" i="29"/>
  <c r="R4241" i="29"/>
  <c r="Q4241" i="29"/>
  <c r="V4240" i="29"/>
  <c r="U4240" i="29"/>
  <c r="T4240" i="29"/>
  <c r="R4240" i="29"/>
  <c r="Q4240" i="29"/>
  <c r="V4239" i="29"/>
  <c r="U4239" i="29"/>
  <c r="T4239" i="29"/>
  <c r="R4239" i="29"/>
  <c r="Q4239" i="29"/>
  <c r="V4238" i="29"/>
  <c r="U4238" i="29"/>
  <c r="T4238" i="29"/>
  <c r="R4238" i="29"/>
  <c r="Q4238" i="29"/>
  <c r="V4237" i="29"/>
  <c r="U4237" i="29"/>
  <c r="T4237" i="29"/>
  <c r="R4237" i="29"/>
  <c r="Q4237" i="29"/>
  <c r="V4234" i="29"/>
  <c r="U4234" i="29"/>
  <c r="T4234" i="29"/>
  <c r="R4234" i="29"/>
  <c r="Q4234" i="29"/>
  <c r="V4233" i="29"/>
  <c r="U4233" i="29"/>
  <c r="T4233" i="29"/>
  <c r="R4233" i="29"/>
  <c r="Q4233" i="29"/>
  <c r="V4232" i="29"/>
  <c r="U4232" i="29"/>
  <c r="T4232" i="29"/>
  <c r="R4232" i="29"/>
  <c r="Q4232" i="29"/>
  <c r="V4231" i="29"/>
  <c r="U4231" i="29"/>
  <c r="T4231" i="29"/>
  <c r="R4231" i="29"/>
  <c r="Q4231" i="29"/>
  <c r="V4230" i="29"/>
  <c r="U4230" i="29"/>
  <c r="T4230" i="29"/>
  <c r="R4230" i="29"/>
  <c r="Q4230" i="29"/>
  <c r="V4229" i="29"/>
  <c r="U4229" i="29"/>
  <c r="T4229" i="29"/>
  <c r="R4229" i="29"/>
  <c r="Q4229" i="29"/>
  <c r="V4228" i="29"/>
  <c r="U4228" i="29"/>
  <c r="T4228" i="29"/>
  <c r="R4228" i="29"/>
  <c r="Q4228" i="29"/>
  <c r="V4227" i="29"/>
  <c r="U4227" i="29"/>
  <c r="T4227" i="29"/>
  <c r="R4227" i="29"/>
  <c r="Q4227" i="29"/>
  <c r="V4226" i="29"/>
  <c r="U4226" i="29"/>
  <c r="T4226" i="29"/>
  <c r="R4226" i="29"/>
  <c r="Q4226" i="29"/>
  <c r="V4223" i="29"/>
  <c r="U4223" i="29"/>
  <c r="T4223" i="29"/>
  <c r="R4223" i="29"/>
  <c r="Q4223" i="29"/>
  <c r="V4222" i="29"/>
  <c r="U4222" i="29"/>
  <c r="T4222" i="29"/>
  <c r="R4222" i="29"/>
  <c r="Q4222" i="29"/>
  <c r="V4221" i="29"/>
  <c r="U4221" i="29"/>
  <c r="T4221" i="29"/>
  <c r="R4221" i="29"/>
  <c r="Q4221" i="29"/>
  <c r="V4220" i="29"/>
  <c r="U4220" i="29"/>
  <c r="T4220" i="29"/>
  <c r="R4220" i="29"/>
  <c r="Q4220" i="29"/>
  <c r="V4219" i="29"/>
  <c r="U4219" i="29"/>
  <c r="T4219" i="29"/>
  <c r="R4219" i="29"/>
  <c r="Q4219" i="29"/>
  <c r="V4218" i="29"/>
  <c r="U4218" i="29"/>
  <c r="T4218" i="29"/>
  <c r="R4218" i="29"/>
  <c r="Q4218" i="29"/>
  <c r="V4217" i="29"/>
  <c r="U4217" i="29"/>
  <c r="T4217" i="29"/>
  <c r="R4217" i="29"/>
  <c r="Q4217" i="29"/>
  <c r="V4216" i="29"/>
  <c r="U4216" i="29"/>
  <c r="T4216" i="29"/>
  <c r="R4216" i="29"/>
  <c r="Q4216" i="29"/>
  <c r="V4215" i="29"/>
  <c r="U4215" i="29"/>
  <c r="T4215" i="29"/>
  <c r="R4215" i="29"/>
  <c r="Q4215" i="29"/>
  <c r="V4212" i="29"/>
  <c r="U4212" i="29"/>
  <c r="T4212" i="29"/>
  <c r="R4212" i="29"/>
  <c r="Q4212" i="29"/>
  <c r="V4211" i="29"/>
  <c r="U4211" i="29"/>
  <c r="T4211" i="29"/>
  <c r="R4211" i="29"/>
  <c r="Q4211" i="29"/>
  <c r="V4210" i="29"/>
  <c r="U4210" i="29"/>
  <c r="T4210" i="29"/>
  <c r="R4210" i="29"/>
  <c r="Q4210" i="29"/>
  <c r="V4209" i="29"/>
  <c r="U4209" i="29"/>
  <c r="T4209" i="29"/>
  <c r="R4209" i="29"/>
  <c r="Q4209" i="29"/>
  <c r="V4208" i="29"/>
  <c r="U4208" i="29"/>
  <c r="T4208" i="29"/>
  <c r="R4208" i="29"/>
  <c r="Q4208" i="29"/>
  <c r="V4207" i="29"/>
  <c r="U4207" i="29"/>
  <c r="T4207" i="29"/>
  <c r="R4207" i="29"/>
  <c r="Q4207" i="29"/>
  <c r="V4206" i="29"/>
  <c r="U4206" i="29"/>
  <c r="T4206" i="29"/>
  <c r="R4206" i="29"/>
  <c r="Q4206" i="29"/>
  <c r="V4205" i="29"/>
  <c r="U4205" i="29"/>
  <c r="W4205" i="29" s="1"/>
  <c r="X4205" i="29" s="1"/>
  <c r="T4205" i="29"/>
  <c r="R4205" i="29"/>
  <c r="Q4205" i="29"/>
  <c r="V4204" i="29"/>
  <c r="U4204" i="29"/>
  <c r="T4204" i="29"/>
  <c r="R4204" i="29"/>
  <c r="Q4204" i="29"/>
  <c r="V4201" i="29"/>
  <c r="U4201" i="29"/>
  <c r="T4201" i="29"/>
  <c r="R4201" i="29"/>
  <c r="Q4201" i="29"/>
  <c r="V4200" i="29"/>
  <c r="W4200" i="29" s="1"/>
  <c r="X4200" i="29" s="1"/>
  <c r="U4200" i="29"/>
  <c r="T4200" i="29"/>
  <c r="R4200" i="29"/>
  <c r="Q4200" i="29"/>
  <c r="V4199" i="29"/>
  <c r="U4199" i="29"/>
  <c r="T4199" i="29"/>
  <c r="R4199" i="29"/>
  <c r="Q4199" i="29"/>
  <c r="V4198" i="29"/>
  <c r="U4198" i="29"/>
  <c r="T4198" i="29"/>
  <c r="R4198" i="29"/>
  <c r="Q4198" i="29"/>
  <c r="V4197" i="29"/>
  <c r="U4197" i="29"/>
  <c r="T4197" i="29"/>
  <c r="R4197" i="29"/>
  <c r="Q4197" i="29"/>
  <c r="V4196" i="29"/>
  <c r="U4196" i="29"/>
  <c r="T4196" i="29"/>
  <c r="R4196" i="29"/>
  <c r="Q4196" i="29"/>
  <c r="V4195" i="29"/>
  <c r="U4195" i="29"/>
  <c r="T4195" i="29"/>
  <c r="R4195" i="29"/>
  <c r="Q4195" i="29"/>
  <c r="V4194" i="29"/>
  <c r="U4194" i="29"/>
  <c r="T4194" i="29"/>
  <c r="R4194" i="29"/>
  <c r="Q4194" i="29"/>
  <c r="V4193" i="29"/>
  <c r="U4193" i="29"/>
  <c r="T4193" i="29"/>
  <c r="R4193" i="29"/>
  <c r="Q4193" i="29"/>
  <c r="V4190" i="29"/>
  <c r="U4190" i="29"/>
  <c r="T4190" i="29"/>
  <c r="R4190" i="29"/>
  <c r="Q4190" i="29"/>
  <c r="V4189" i="29"/>
  <c r="U4189" i="29"/>
  <c r="T4189" i="29"/>
  <c r="R4189" i="29"/>
  <c r="Q4189" i="29"/>
  <c r="V4188" i="29"/>
  <c r="U4188" i="29"/>
  <c r="T4188" i="29"/>
  <c r="R4188" i="29"/>
  <c r="Q4188" i="29"/>
  <c r="V4187" i="29"/>
  <c r="U4187" i="29"/>
  <c r="T4187" i="29"/>
  <c r="R4187" i="29"/>
  <c r="Q4187" i="29"/>
  <c r="V4186" i="29"/>
  <c r="U4186" i="29"/>
  <c r="T4186" i="29"/>
  <c r="R4186" i="29"/>
  <c r="Q4186" i="29"/>
  <c r="V4185" i="29"/>
  <c r="U4185" i="29"/>
  <c r="T4185" i="29"/>
  <c r="R4185" i="29"/>
  <c r="Q4185" i="29"/>
  <c r="V4184" i="29"/>
  <c r="U4184" i="29"/>
  <c r="T4184" i="29"/>
  <c r="R4184" i="29"/>
  <c r="Q4184" i="29"/>
  <c r="V4183" i="29"/>
  <c r="U4183" i="29"/>
  <c r="T4183" i="29"/>
  <c r="R4183" i="29"/>
  <c r="Q4183" i="29"/>
  <c r="V4182" i="29"/>
  <c r="U4182" i="29"/>
  <c r="T4182" i="29"/>
  <c r="R4182" i="29"/>
  <c r="Q4182" i="29"/>
  <c r="V4179" i="29"/>
  <c r="U4179" i="29"/>
  <c r="T4179" i="29"/>
  <c r="R4179" i="29"/>
  <c r="Q4179" i="29"/>
  <c r="V4178" i="29"/>
  <c r="U4178" i="29"/>
  <c r="T4178" i="29"/>
  <c r="R4178" i="29"/>
  <c r="Q4178" i="29"/>
  <c r="V4177" i="29"/>
  <c r="U4177" i="29"/>
  <c r="T4177" i="29"/>
  <c r="R4177" i="29"/>
  <c r="Q4177" i="29"/>
  <c r="V4176" i="29"/>
  <c r="U4176" i="29"/>
  <c r="T4176" i="29"/>
  <c r="R4176" i="29"/>
  <c r="Q4176" i="29"/>
  <c r="V4175" i="29"/>
  <c r="U4175" i="29"/>
  <c r="T4175" i="29"/>
  <c r="R4175" i="29"/>
  <c r="Q4175" i="29"/>
  <c r="V4174" i="29"/>
  <c r="U4174" i="29"/>
  <c r="T4174" i="29"/>
  <c r="R4174" i="29"/>
  <c r="Q4174" i="29"/>
  <c r="V4173" i="29"/>
  <c r="U4173" i="29"/>
  <c r="T4173" i="29"/>
  <c r="R4173" i="29"/>
  <c r="Q4173" i="29"/>
  <c r="V4172" i="29"/>
  <c r="U4172" i="29"/>
  <c r="T4172" i="29"/>
  <c r="R4172" i="29"/>
  <c r="Q4172" i="29"/>
  <c r="V4171" i="29"/>
  <c r="U4171" i="29"/>
  <c r="T4171" i="29"/>
  <c r="R4171" i="29"/>
  <c r="Q4171" i="29"/>
  <c r="V4168" i="29"/>
  <c r="U4168" i="29"/>
  <c r="T4168" i="29"/>
  <c r="R4168" i="29"/>
  <c r="Q4168" i="29"/>
  <c r="V4167" i="29"/>
  <c r="U4167" i="29"/>
  <c r="T4167" i="29"/>
  <c r="R4167" i="29"/>
  <c r="Q4167" i="29"/>
  <c r="V4166" i="29"/>
  <c r="U4166" i="29"/>
  <c r="T4166" i="29"/>
  <c r="R4166" i="29"/>
  <c r="Q4166" i="29"/>
  <c r="V4165" i="29"/>
  <c r="U4165" i="29"/>
  <c r="T4165" i="29"/>
  <c r="R4165" i="29"/>
  <c r="Q4165" i="29"/>
  <c r="V4164" i="29"/>
  <c r="U4164" i="29"/>
  <c r="T4164" i="29"/>
  <c r="R4164" i="29"/>
  <c r="Q4164" i="29"/>
  <c r="V4163" i="29"/>
  <c r="U4163" i="29"/>
  <c r="T4163" i="29"/>
  <c r="R4163" i="29"/>
  <c r="Q4163" i="29"/>
  <c r="V4162" i="29"/>
  <c r="U4162" i="29"/>
  <c r="T4162" i="29"/>
  <c r="R4162" i="29"/>
  <c r="Q4162" i="29"/>
  <c r="V4161" i="29"/>
  <c r="U4161" i="29"/>
  <c r="T4161" i="29"/>
  <c r="R4161" i="29"/>
  <c r="Q4161" i="29"/>
  <c r="V4160" i="29"/>
  <c r="U4160" i="29"/>
  <c r="T4160" i="29"/>
  <c r="R4160" i="29"/>
  <c r="Q4160" i="29"/>
  <c r="V4157" i="29"/>
  <c r="U4157" i="29"/>
  <c r="T4157" i="29"/>
  <c r="R4157" i="29"/>
  <c r="Q4157" i="29"/>
  <c r="V4156" i="29"/>
  <c r="U4156" i="29"/>
  <c r="T4156" i="29"/>
  <c r="R4156" i="29"/>
  <c r="Q4156" i="29"/>
  <c r="V4155" i="29"/>
  <c r="U4155" i="29"/>
  <c r="T4155" i="29"/>
  <c r="R4155" i="29"/>
  <c r="Q4155" i="29"/>
  <c r="V4154" i="29"/>
  <c r="U4154" i="29"/>
  <c r="T4154" i="29"/>
  <c r="R4154" i="29"/>
  <c r="Q4154" i="29"/>
  <c r="V4153" i="29"/>
  <c r="U4153" i="29"/>
  <c r="T4153" i="29"/>
  <c r="R4153" i="29"/>
  <c r="Q4153" i="29"/>
  <c r="V4152" i="29"/>
  <c r="U4152" i="29"/>
  <c r="T4152" i="29"/>
  <c r="R4152" i="29"/>
  <c r="Q4152" i="29"/>
  <c r="V4151" i="29"/>
  <c r="U4151" i="29"/>
  <c r="T4151" i="29"/>
  <c r="R4151" i="29"/>
  <c r="Q4151" i="29"/>
  <c r="V4150" i="29"/>
  <c r="U4150" i="29"/>
  <c r="T4150" i="29"/>
  <c r="R4150" i="29"/>
  <c r="Q4150" i="29"/>
  <c r="V4149" i="29"/>
  <c r="U4149" i="29"/>
  <c r="T4149" i="29"/>
  <c r="R4149" i="29"/>
  <c r="Q4149" i="29"/>
  <c r="V4146" i="29"/>
  <c r="U4146" i="29"/>
  <c r="T4146" i="29"/>
  <c r="R4146" i="29"/>
  <c r="Q4146" i="29"/>
  <c r="V4145" i="29"/>
  <c r="U4145" i="29"/>
  <c r="T4145" i="29"/>
  <c r="R4145" i="29"/>
  <c r="Q4145" i="29"/>
  <c r="V4144" i="29"/>
  <c r="U4144" i="29"/>
  <c r="T4144" i="29"/>
  <c r="R4144" i="29"/>
  <c r="Q4144" i="29"/>
  <c r="V4143" i="29"/>
  <c r="U4143" i="29"/>
  <c r="T4143" i="29"/>
  <c r="R4143" i="29"/>
  <c r="Q4143" i="29"/>
  <c r="V4142" i="29"/>
  <c r="U4142" i="29"/>
  <c r="T4142" i="29"/>
  <c r="R4142" i="29"/>
  <c r="Q4142" i="29"/>
  <c r="V4141" i="29"/>
  <c r="U4141" i="29"/>
  <c r="T4141" i="29"/>
  <c r="R4141" i="29"/>
  <c r="Q4141" i="29"/>
  <c r="V4140" i="29"/>
  <c r="U4140" i="29"/>
  <c r="T4140" i="29"/>
  <c r="R4140" i="29"/>
  <c r="Q4140" i="29"/>
  <c r="V4139" i="29"/>
  <c r="U4139" i="29"/>
  <c r="T4139" i="29"/>
  <c r="R4139" i="29"/>
  <c r="Q4139" i="29"/>
  <c r="V4138" i="29"/>
  <c r="U4138" i="29"/>
  <c r="T4138" i="29"/>
  <c r="R4138" i="29"/>
  <c r="Q4138" i="29"/>
  <c r="V4135" i="29"/>
  <c r="U4135" i="29"/>
  <c r="T4135" i="29"/>
  <c r="R4135" i="29"/>
  <c r="Q4135" i="29"/>
  <c r="V4134" i="29"/>
  <c r="U4134" i="29"/>
  <c r="T4134" i="29"/>
  <c r="R4134" i="29"/>
  <c r="Q4134" i="29"/>
  <c r="V4133" i="29"/>
  <c r="U4133" i="29"/>
  <c r="W4133" i="29" s="1"/>
  <c r="X4133" i="29" s="1"/>
  <c r="T4133" i="29"/>
  <c r="R4133" i="29"/>
  <c r="Q4133" i="29"/>
  <c r="V4132" i="29"/>
  <c r="U4132" i="29"/>
  <c r="T4132" i="29"/>
  <c r="R4132" i="29"/>
  <c r="Q4132" i="29"/>
  <c r="V4131" i="29"/>
  <c r="U4131" i="29"/>
  <c r="T4131" i="29"/>
  <c r="R4131" i="29"/>
  <c r="Q4131" i="29"/>
  <c r="V4130" i="29"/>
  <c r="U4130" i="29"/>
  <c r="T4130" i="29"/>
  <c r="R4130" i="29"/>
  <c r="Q4130" i="29"/>
  <c r="V4129" i="29"/>
  <c r="U4129" i="29"/>
  <c r="T4129" i="29"/>
  <c r="R4129" i="29"/>
  <c r="Q4129" i="29"/>
  <c r="V4128" i="29"/>
  <c r="U4128" i="29"/>
  <c r="T4128" i="29"/>
  <c r="R4128" i="29"/>
  <c r="Q4128" i="29"/>
  <c r="V4127" i="29"/>
  <c r="U4127" i="29"/>
  <c r="T4127" i="29"/>
  <c r="R4127" i="29"/>
  <c r="Q4127" i="29"/>
  <c r="V4124" i="29"/>
  <c r="U4124" i="29"/>
  <c r="T4124" i="29"/>
  <c r="R4124" i="29"/>
  <c r="Q4124" i="29"/>
  <c r="V4123" i="29"/>
  <c r="U4123" i="29"/>
  <c r="T4123" i="29"/>
  <c r="R4123" i="29"/>
  <c r="Q4123" i="29"/>
  <c r="V4122" i="29"/>
  <c r="U4122" i="29"/>
  <c r="T4122" i="29"/>
  <c r="R4122" i="29"/>
  <c r="Q4122" i="29"/>
  <c r="V4121" i="29"/>
  <c r="U4121" i="29"/>
  <c r="T4121" i="29"/>
  <c r="R4121" i="29"/>
  <c r="Q4121" i="29"/>
  <c r="V4120" i="29"/>
  <c r="U4120" i="29"/>
  <c r="T4120" i="29"/>
  <c r="R4120" i="29"/>
  <c r="Q4120" i="29"/>
  <c r="V4119" i="29"/>
  <c r="U4119" i="29"/>
  <c r="T4119" i="29"/>
  <c r="R4119" i="29"/>
  <c r="Q4119" i="29"/>
  <c r="V4118" i="29"/>
  <c r="U4118" i="29"/>
  <c r="T4118" i="29"/>
  <c r="R4118" i="29"/>
  <c r="Q4118" i="29"/>
  <c r="V4117" i="29"/>
  <c r="U4117" i="29"/>
  <c r="W4117" i="29" s="1"/>
  <c r="X4117" i="29" s="1"/>
  <c r="T4117" i="29"/>
  <c r="R4117" i="29"/>
  <c r="Q4117" i="29"/>
  <c r="V4116" i="29"/>
  <c r="U4116" i="29"/>
  <c r="T4116" i="29"/>
  <c r="R4116" i="29"/>
  <c r="Q4116" i="29"/>
  <c r="V4113" i="29"/>
  <c r="U4113" i="29"/>
  <c r="T4113" i="29"/>
  <c r="R4113" i="29"/>
  <c r="Q4113" i="29"/>
  <c r="V4112" i="29"/>
  <c r="U4112" i="29"/>
  <c r="T4112" i="29"/>
  <c r="R4112" i="29"/>
  <c r="Q4112" i="29"/>
  <c r="V4111" i="29"/>
  <c r="U4111" i="29"/>
  <c r="T4111" i="29"/>
  <c r="R4111" i="29"/>
  <c r="Q4111" i="29"/>
  <c r="V4110" i="29"/>
  <c r="U4110" i="29"/>
  <c r="T4110" i="29"/>
  <c r="R4110" i="29"/>
  <c r="Q4110" i="29"/>
  <c r="V4109" i="29"/>
  <c r="U4109" i="29"/>
  <c r="W4109" i="29" s="1"/>
  <c r="X4109" i="29" s="1"/>
  <c r="T4109" i="29"/>
  <c r="R4109" i="29"/>
  <c r="Q4109" i="29"/>
  <c r="V4108" i="29"/>
  <c r="U4108" i="29"/>
  <c r="T4108" i="29"/>
  <c r="R4108" i="29"/>
  <c r="Q4108" i="29"/>
  <c r="V4107" i="29"/>
  <c r="U4107" i="29"/>
  <c r="T4107" i="29"/>
  <c r="R4107" i="29"/>
  <c r="Q4107" i="29"/>
  <c r="V4106" i="29"/>
  <c r="U4106" i="29"/>
  <c r="T4106" i="29"/>
  <c r="R4106" i="29"/>
  <c r="Q4106" i="29"/>
  <c r="V4105" i="29"/>
  <c r="U4105" i="29"/>
  <c r="T4105" i="29"/>
  <c r="R4105" i="29"/>
  <c r="Q4105" i="29"/>
  <c r="V4102" i="29"/>
  <c r="U4102" i="29"/>
  <c r="T4102" i="29"/>
  <c r="R4102" i="29"/>
  <c r="Q4102" i="29"/>
  <c r="V4101" i="29"/>
  <c r="U4101" i="29"/>
  <c r="T4101" i="29"/>
  <c r="R4101" i="29"/>
  <c r="Q4101" i="29"/>
  <c r="V4100" i="29"/>
  <c r="U4100" i="29"/>
  <c r="T4100" i="29"/>
  <c r="R4100" i="29"/>
  <c r="Q4100" i="29"/>
  <c r="V4099" i="29"/>
  <c r="U4099" i="29"/>
  <c r="T4099" i="29"/>
  <c r="R4099" i="29"/>
  <c r="Q4099" i="29"/>
  <c r="V4098" i="29"/>
  <c r="U4098" i="29"/>
  <c r="T4098" i="29"/>
  <c r="R4098" i="29"/>
  <c r="Q4098" i="29"/>
  <c r="V4097" i="29"/>
  <c r="U4097" i="29"/>
  <c r="T4097" i="29"/>
  <c r="R4097" i="29"/>
  <c r="Q4097" i="29"/>
  <c r="V4096" i="29"/>
  <c r="U4096" i="29"/>
  <c r="T4096" i="29"/>
  <c r="R4096" i="29"/>
  <c r="Q4096" i="29"/>
  <c r="V4095" i="29"/>
  <c r="U4095" i="29"/>
  <c r="T4095" i="29"/>
  <c r="R4095" i="29"/>
  <c r="Q4095" i="29"/>
  <c r="V4094" i="29"/>
  <c r="U4094" i="29"/>
  <c r="T4094" i="29"/>
  <c r="R4094" i="29"/>
  <c r="Q4094" i="29"/>
  <c r="V4091" i="29"/>
  <c r="U4091" i="29"/>
  <c r="T4091" i="29"/>
  <c r="R4091" i="29"/>
  <c r="Q4091" i="29"/>
  <c r="V4090" i="29"/>
  <c r="U4090" i="29"/>
  <c r="T4090" i="29"/>
  <c r="R4090" i="29"/>
  <c r="Q4090" i="29"/>
  <c r="V4089" i="29"/>
  <c r="U4089" i="29"/>
  <c r="T4089" i="29"/>
  <c r="R4089" i="29"/>
  <c r="Q4089" i="29"/>
  <c r="V4088" i="29"/>
  <c r="U4088" i="29"/>
  <c r="T4088" i="29"/>
  <c r="R4088" i="29"/>
  <c r="Q4088" i="29"/>
  <c r="V4087" i="29"/>
  <c r="U4087" i="29"/>
  <c r="T4087" i="29"/>
  <c r="R4087" i="29"/>
  <c r="Q4087" i="29"/>
  <c r="V4086" i="29"/>
  <c r="U4086" i="29"/>
  <c r="T4086" i="29"/>
  <c r="R4086" i="29"/>
  <c r="Q4086" i="29"/>
  <c r="V4085" i="29"/>
  <c r="U4085" i="29"/>
  <c r="T4085" i="29"/>
  <c r="R4085" i="29"/>
  <c r="Q4085" i="29"/>
  <c r="V4084" i="29"/>
  <c r="U4084" i="29"/>
  <c r="T4084" i="29"/>
  <c r="R4084" i="29"/>
  <c r="Q4084" i="29"/>
  <c r="V4083" i="29"/>
  <c r="U4083" i="29"/>
  <c r="T4083" i="29"/>
  <c r="R4083" i="29"/>
  <c r="Q4083" i="29"/>
  <c r="V4080" i="29"/>
  <c r="U4080" i="29"/>
  <c r="T4080" i="29"/>
  <c r="R4080" i="29"/>
  <c r="Q4080" i="29"/>
  <c r="V4079" i="29"/>
  <c r="U4079" i="29"/>
  <c r="T4079" i="29"/>
  <c r="R4079" i="29"/>
  <c r="Q4079" i="29"/>
  <c r="V4078" i="29"/>
  <c r="U4078" i="29"/>
  <c r="T4078" i="29"/>
  <c r="R4078" i="29"/>
  <c r="Q4078" i="29"/>
  <c r="V4077" i="29"/>
  <c r="U4077" i="29"/>
  <c r="T4077" i="29"/>
  <c r="R4077" i="29"/>
  <c r="Q4077" i="29"/>
  <c r="V4076" i="29"/>
  <c r="U4076" i="29"/>
  <c r="T4076" i="29"/>
  <c r="R4076" i="29"/>
  <c r="Q4076" i="29"/>
  <c r="V4075" i="29"/>
  <c r="U4075" i="29"/>
  <c r="T4075" i="29"/>
  <c r="R4075" i="29"/>
  <c r="Q4075" i="29"/>
  <c r="V4074" i="29"/>
  <c r="U4074" i="29"/>
  <c r="T4074" i="29"/>
  <c r="R4074" i="29"/>
  <c r="Q4074" i="29"/>
  <c r="V4073" i="29"/>
  <c r="U4073" i="29"/>
  <c r="T4073" i="29"/>
  <c r="R4073" i="29"/>
  <c r="Q4073" i="29"/>
  <c r="V4072" i="29"/>
  <c r="U4072" i="29"/>
  <c r="T4072" i="29"/>
  <c r="R4072" i="29"/>
  <c r="Q4072" i="29"/>
  <c r="V4069" i="29"/>
  <c r="U4069" i="29"/>
  <c r="T4069" i="29"/>
  <c r="R4069" i="29"/>
  <c r="Q4069" i="29"/>
  <c r="V4068" i="29"/>
  <c r="U4068" i="29"/>
  <c r="T4068" i="29"/>
  <c r="R4068" i="29"/>
  <c r="Q4068" i="29"/>
  <c r="V4067" i="29"/>
  <c r="U4067" i="29"/>
  <c r="T4067" i="29"/>
  <c r="R4067" i="29"/>
  <c r="Q4067" i="29"/>
  <c r="V4066" i="29"/>
  <c r="U4066" i="29"/>
  <c r="T4066" i="29"/>
  <c r="R4066" i="29"/>
  <c r="Q4066" i="29"/>
  <c r="V4065" i="29"/>
  <c r="U4065" i="29"/>
  <c r="T4065" i="29"/>
  <c r="R4065" i="29"/>
  <c r="Q4065" i="29"/>
  <c r="V4064" i="29"/>
  <c r="U4064" i="29"/>
  <c r="T4064" i="29"/>
  <c r="R4064" i="29"/>
  <c r="Q4064" i="29"/>
  <c r="V4063" i="29"/>
  <c r="U4063" i="29"/>
  <c r="T4063" i="29"/>
  <c r="R4063" i="29"/>
  <c r="Q4063" i="29"/>
  <c r="V4062" i="29"/>
  <c r="U4062" i="29"/>
  <c r="T4062" i="29"/>
  <c r="R4062" i="29"/>
  <c r="Q4062" i="29"/>
  <c r="V4061" i="29"/>
  <c r="U4061" i="29"/>
  <c r="T4061" i="29"/>
  <c r="R4061" i="29"/>
  <c r="Q4061" i="29"/>
  <c r="V4058" i="29"/>
  <c r="U4058" i="29"/>
  <c r="T4058" i="29"/>
  <c r="R4058" i="29"/>
  <c r="Q4058" i="29"/>
  <c r="V4057" i="29"/>
  <c r="U4057" i="29"/>
  <c r="T4057" i="29"/>
  <c r="R4057" i="29"/>
  <c r="Q4057" i="29"/>
  <c r="V4056" i="29"/>
  <c r="U4056" i="29"/>
  <c r="T4056" i="29"/>
  <c r="R4056" i="29"/>
  <c r="Q4056" i="29"/>
  <c r="V4055" i="29"/>
  <c r="U4055" i="29"/>
  <c r="W4055" i="29" s="1"/>
  <c r="X4055" i="29" s="1"/>
  <c r="T4055" i="29"/>
  <c r="R4055" i="29"/>
  <c r="Q4055" i="29"/>
  <c r="V4054" i="29"/>
  <c r="U4054" i="29"/>
  <c r="T4054" i="29"/>
  <c r="R4054" i="29"/>
  <c r="Q4054" i="29"/>
  <c r="V4053" i="29"/>
  <c r="U4053" i="29"/>
  <c r="T4053" i="29"/>
  <c r="R4053" i="29"/>
  <c r="Q4053" i="29"/>
  <c r="V4052" i="29"/>
  <c r="U4052" i="29"/>
  <c r="T4052" i="29"/>
  <c r="R4052" i="29"/>
  <c r="Q4052" i="29"/>
  <c r="V4051" i="29"/>
  <c r="U4051" i="29"/>
  <c r="W4051" i="29" s="1"/>
  <c r="X4051" i="29" s="1"/>
  <c r="T4051" i="29"/>
  <c r="R4051" i="29"/>
  <c r="Q4051" i="29"/>
  <c r="V4050" i="29"/>
  <c r="U4050" i="29"/>
  <c r="T4050" i="29"/>
  <c r="R4050" i="29"/>
  <c r="Q4050" i="29"/>
  <c r="V4047" i="29"/>
  <c r="U4047" i="29"/>
  <c r="T4047" i="29"/>
  <c r="R4047" i="29"/>
  <c r="Q4047" i="29"/>
  <c r="V4046" i="29"/>
  <c r="U4046" i="29"/>
  <c r="T4046" i="29"/>
  <c r="R4046" i="29"/>
  <c r="Q4046" i="29"/>
  <c r="V4045" i="29"/>
  <c r="U4045" i="29"/>
  <c r="T4045" i="29"/>
  <c r="R4045" i="29"/>
  <c r="Q4045" i="29"/>
  <c r="V4044" i="29"/>
  <c r="U4044" i="29"/>
  <c r="T4044" i="29"/>
  <c r="R4044" i="29"/>
  <c r="Q4044" i="29"/>
  <c r="V4043" i="29"/>
  <c r="U4043" i="29"/>
  <c r="T4043" i="29"/>
  <c r="R4043" i="29"/>
  <c r="Q4043" i="29"/>
  <c r="V4042" i="29"/>
  <c r="U4042" i="29"/>
  <c r="T4042" i="29"/>
  <c r="R4042" i="29"/>
  <c r="Q4042" i="29"/>
  <c r="V4041" i="29"/>
  <c r="U4041" i="29"/>
  <c r="T4041" i="29"/>
  <c r="R4041" i="29"/>
  <c r="Q4041" i="29"/>
  <c r="V4040" i="29"/>
  <c r="U4040" i="29"/>
  <c r="T4040" i="29"/>
  <c r="R4040" i="29"/>
  <c r="Q4040" i="29"/>
  <c r="V4039" i="29"/>
  <c r="U4039" i="29"/>
  <c r="T4039" i="29"/>
  <c r="R4039" i="29"/>
  <c r="Q4039" i="29"/>
  <c r="V4036" i="29"/>
  <c r="U4036" i="29"/>
  <c r="T4036" i="29"/>
  <c r="R4036" i="29"/>
  <c r="Q4036" i="29"/>
  <c r="V4035" i="29"/>
  <c r="U4035" i="29"/>
  <c r="W4035" i="29" s="1"/>
  <c r="X4035" i="29" s="1"/>
  <c r="T4035" i="29"/>
  <c r="R4035" i="29"/>
  <c r="Q4035" i="29"/>
  <c r="V4034" i="29"/>
  <c r="U4034" i="29"/>
  <c r="T4034" i="29"/>
  <c r="R4034" i="29"/>
  <c r="Q4034" i="29"/>
  <c r="V4033" i="29"/>
  <c r="U4033" i="29"/>
  <c r="T4033" i="29"/>
  <c r="R4033" i="29"/>
  <c r="Q4033" i="29"/>
  <c r="V4032" i="29"/>
  <c r="U4032" i="29"/>
  <c r="W4032" i="29" s="1"/>
  <c r="X4032" i="29" s="1"/>
  <c r="T4032" i="29"/>
  <c r="R4032" i="29"/>
  <c r="Q4032" i="29"/>
  <c r="V4031" i="29"/>
  <c r="U4031" i="29"/>
  <c r="T4031" i="29"/>
  <c r="R4031" i="29"/>
  <c r="Q4031" i="29"/>
  <c r="V4030" i="29"/>
  <c r="U4030" i="29"/>
  <c r="T4030" i="29"/>
  <c r="R4030" i="29"/>
  <c r="Q4030" i="29"/>
  <c r="V4029" i="29"/>
  <c r="U4029" i="29"/>
  <c r="T4029" i="29"/>
  <c r="R4029" i="29"/>
  <c r="Q4029" i="29"/>
  <c r="V4028" i="29"/>
  <c r="U4028" i="29"/>
  <c r="T4028" i="29"/>
  <c r="R4028" i="29"/>
  <c r="Q4028" i="29"/>
  <c r="V4025" i="29"/>
  <c r="U4025" i="29"/>
  <c r="T4025" i="29"/>
  <c r="R4025" i="29"/>
  <c r="Q4025" i="29"/>
  <c r="V4024" i="29"/>
  <c r="U4024" i="29"/>
  <c r="T4024" i="29"/>
  <c r="R4024" i="29"/>
  <c r="Q4024" i="29"/>
  <c r="V4023" i="29"/>
  <c r="U4023" i="29"/>
  <c r="T4023" i="29"/>
  <c r="R4023" i="29"/>
  <c r="Q4023" i="29"/>
  <c r="V4022" i="29"/>
  <c r="U4022" i="29"/>
  <c r="T4022" i="29"/>
  <c r="R4022" i="29"/>
  <c r="Q4022" i="29"/>
  <c r="V4021" i="29"/>
  <c r="U4021" i="29"/>
  <c r="T4021" i="29"/>
  <c r="R4021" i="29"/>
  <c r="Q4021" i="29"/>
  <c r="V4020" i="29"/>
  <c r="U4020" i="29"/>
  <c r="T4020" i="29"/>
  <c r="R4020" i="29"/>
  <c r="Q4020" i="29"/>
  <c r="V4019" i="29"/>
  <c r="U4019" i="29"/>
  <c r="T4019" i="29"/>
  <c r="R4019" i="29"/>
  <c r="Q4019" i="29"/>
  <c r="V4018" i="29"/>
  <c r="U4018" i="29"/>
  <c r="W4018" i="29" s="1"/>
  <c r="X4018" i="29" s="1"/>
  <c r="T4018" i="29"/>
  <c r="R4018" i="29"/>
  <c r="Q4018" i="29"/>
  <c r="V4017" i="29"/>
  <c r="U4017" i="29"/>
  <c r="T4017" i="29"/>
  <c r="R4017" i="29"/>
  <c r="Q4017" i="29"/>
  <c r="V4014" i="29"/>
  <c r="U4014" i="29"/>
  <c r="T4014" i="29"/>
  <c r="R4014" i="29"/>
  <c r="Q4014" i="29"/>
  <c r="V4013" i="29"/>
  <c r="U4013" i="29"/>
  <c r="T4013" i="29"/>
  <c r="R4013" i="29"/>
  <c r="Q4013" i="29"/>
  <c r="V4012" i="29"/>
  <c r="U4012" i="29"/>
  <c r="T4012" i="29"/>
  <c r="R4012" i="29"/>
  <c r="Q4012" i="29"/>
  <c r="V4011" i="29"/>
  <c r="U4011" i="29"/>
  <c r="T4011" i="29"/>
  <c r="R4011" i="29"/>
  <c r="Q4011" i="29"/>
  <c r="V4010" i="29"/>
  <c r="U4010" i="29"/>
  <c r="T4010" i="29"/>
  <c r="R4010" i="29"/>
  <c r="Q4010" i="29"/>
  <c r="V4009" i="29"/>
  <c r="U4009" i="29"/>
  <c r="T4009" i="29"/>
  <c r="R4009" i="29"/>
  <c r="Q4009" i="29"/>
  <c r="V4008" i="29"/>
  <c r="U4008" i="29"/>
  <c r="T4008" i="29"/>
  <c r="R4008" i="29"/>
  <c r="Q4008" i="29"/>
  <c r="V4007" i="29"/>
  <c r="U4007" i="29"/>
  <c r="T4007" i="29"/>
  <c r="R4007" i="29"/>
  <c r="Q4007" i="29"/>
  <c r="V4006" i="29"/>
  <c r="U4006" i="29"/>
  <c r="T4006" i="29"/>
  <c r="R4006" i="29"/>
  <c r="Q4006" i="29"/>
  <c r="V4003" i="29"/>
  <c r="U4003" i="29"/>
  <c r="T4003" i="29"/>
  <c r="R4003" i="29"/>
  <c r="Q4003" i="29"/>
  <c r="V4002" i="29"/>
  <c r="U4002" i="29"/>
  <c r="T4002" i="29"/>
  <c r="R4002" i="29"/>
  <c r="Q4002" i="29"/>
  <c r="V4001" i="29"/>
  <c r="U4001" i="29"/>
  <c r="T4001" i="29"/>
  <c r="R4001" i="29"/>
  <c r="Q4001" i="29"/>
  <c r="V4000" i="29"/>
  <c r="U4000" i="29"/>
  <c r="T4000" i="29"/>
  <c r="R4000" i="29"/>
  <c r="Q4000" i="29"/>
  <c r="V3999" i="29"/>
  <c r="U3999" i="29"/>
  <c r="T3999" i="29"/>
  <c r="R3999" i="29"/>
  <c r="Q3999" i="29"/>
  <c r="V3998" i="29"/>
  <c r="U3998" i="29"/>
  <c r="T3998" i="29"/>
  <c r="R3998" i="29"/>
  <c r="Q3998" i="29"/>
  <c r="V3997" i="29"/>
  <c r="U3997" i="29"/>
  <c r="T3997" i="29"/>
  <c r="R3997" i="29"/>
  <c r="Q3997" i="29"/>
  <c r="V3996" i="29"/>
  <c r="U3996" i="29"/>
  <c r="T3996" i="29"/>
  <c r="R3996" i="29"/>
  <c r="Q3996" i="29"/>
  <c r="V3995" i="29"/>
  <c r="U3995" i="29"/>
  <c r="T3995" i="29"/>
  <c r="R3995" i="29"/>
  <c r="Q3995" i="29"/>
  <c r="V3992" i="29"/>
  <c r="U3992" i="29"/>
  <c r="T3992" i="29"/>
  <c r="R3992" i="29"/>
  <c r="Q3992" i="29"/>
  <c r="V3991" i="29"/>
  <c r="U3991" i="29"/>
  <c r="T3991" i="29"/>
  <c r="R3991" i="29"/>
  <c r="Q3991" i="29"/>
  <c r="V3990" i="29"/>
  <c r="U3990" i="29"/>
  <c r="T3990" i="29"/>
  <c r="R3990" i="29"/>
  <c r="Q3990" i="29"/>
  <c r="V3989" i="29"/>
  <c r="U3989" i="29"/>
  <c r="T3989" i="29"/>
  <c r="R3989" i="29"/>
  <c r="Q3989" i="29"/>
  <c r="V3988" i="29"/>
  <c r="U3988" i="29"/>
  <c r="W3988" i="29" s="1"/>
  <c r="X3988" i="29" s="1"/>
  <c r="T3988" i="29"/>
  <c r="R3988" i="29"/>
  <c r="Q3988" i="29"/>
  <c r="V3987" i="29"/>
  <c r="U3987" i="29"/>
  <c r="T3987" i="29"/>
  <c r="R3987" i="29"/>
  <c r="Q3987" i="29"/>
  <c r="V3986" i="29"/>
  <c r="U3986" i="29"/>
  <c r="T3986" i="29"/>
  <c r="R3986" i="29"/>
  <c r="Q3986" i="29"/>
  <c r="V3985" i="29"/>
  <c r="U3985" i="29"/>
  <c r="T3985" i="29"/>
  <c r="R3985" i="29"/>
  <c r="Q3985" i="29"/>
  <c r="V3984" i="29"/>
  <c r="U3984" i="29"/>
  <c r="T3984" i="29"/>
  <c r="R3984" i="29"/>
  <c r="Q3984" i="29"/>
  <c r="V3981" i="29"/>
  <c r="U3981" i="29"/>
  <c r="T3981" i="29"/>
  <c r="R3981" i="29"/>
  <c r="Q3981" i="29"/>
  <c r="V3980" i="29"/>
  <c r="U3980" i="29"/>
  <c r="T3980" i="29"/>
  <c r="R3980" i="29"/>
  <c r="Q3980" i="29"/>
  <c r="V3979" i="29"/>
  <c r="U3979" i="29"/>
  <c r="T3979" i="29"/>
  <c r="R3979" i="29"/>
  <c r="Q3979" i="29"/>
  <c r="V3978" i="29"/>
  <c r="U3978" i="29"/>
  <c r="T3978" i="29"/>
  <c r="R3978" i="29"/>
  <c r="Q3978" i="29"/>
  <c r="V3977" i="29"/>
  <c r="U3977" i="29"/>
  <c r="W3977" i="29" s="1"/>
  <c r="X3977" i="29" s="1"/>
  <c r="T3977" i="29"/>
  <c r="R3977" i="29"/>
  <c r="Q3977" i="29"/>
  <c r="V3976" i="29"/>
  <c r="U3976" i="29"/>
  <c r="T3976" i="29"/>
  <c r="R3976" i="29"/>
  <c r="Q3976" i="29"/>
  <c r="V3975" i="29"/>
  <c r="U3975" i="29"/>
  <c r="T3975" i="29"/>
  <c r="R3975" i="29"/>
  <c r="Q3975" i="29"/>
  <c r="V3974" i="29"/>
  <c r="U3974" i="29"/>
  <c r="T3974" i="29"/>
  <c r="R3974" i="29"/>
  <c r="Q3974" i="29"/>
  <c r="V3973" i="29"/>
  <c r="U3973" i="29"/>
  <c r="T3973" i="29"/>
  <c r="R3973" i="29"/>
  <c r="Q3973" i="29"/>
  <c r="V3970" i="29"/>
  <c r="U3970" i="29"/>
  <c r="T3970" i="29"/>
  <c r="R3970" i="29"/>
  <c r="Q3970" i="29"/>
  <c r="V3969" i="29"/>
  <c r="U3969" i="29"/>
  <c r="W3969" i="29" s="1"/>
  <c r="X3969" i="29" s="1"/>
  <c r="T3969" i="29"/>
  <c r="R3969" i="29"/>
  <c r="Q3969" i="29"/>
  <c r="V3968" i="29"/>
  <c r="U3968" i="29"/>
  <c r="T3968" i="29"/>
  <c r="R3968" i="29"/>
  <c r="Q3968" i="29"/>
  <c r="V3967" i="29"/>
  <c r="U3967" i="29"/>
  <c r="W3967" i="29" s="1"/>
  <c r="X3967" i="29" s="1"/>
  <c r="T3967" i="29"/>
  <c r="R3967" i="29"/>
  <c r="Q3967" i="29"/>
  <c r="V3966" i="29"/>
  <c r="U3966" i="29"/>
  <c r="T3966" i="29"/>
  <c r="R3966" i="29"/>
  <c r="Q3966" i="29"/>
  <c r="V3965" i="29"/>
  <c r="U3965" i="29"/>
  <c r="T3965" i="29"/>
  <c r="R3965" i="29"/>
  <c r="Q3965" i="29"/>
  <c r="V3964" i="29"/>
  <c r="U3964" i="29"/>
  <c r="T3964" i="29"/>
  <c r="R3964" i="29"/>
  <c r="Q3964" i="29"/>
  <c r="V3963" i="29"/>
  <c r="U3963" i="29"/>
  <c r="T3963" i="29"/>
  <c r="R3963" i="29"/>
  <c r="Q3963" i="29"/>
  <c r="V3962" i="29"/>
  <c r="U3962" i="29"/>
  <c r="T3962" i="29"/>
  <c r="R3962" i="29"/>
  <c r="Q3962" i="29"/>
  <c r="V3959" i="29"/>
  <c r="U3959" i="29"/>
  <c r="T3959" i="29"/>
  <c r="R3959" i="29"/>
  <c r="Q3959" i="29"/>
  <c r="V3958" i="29"/>
  <c r="U3958" i="29"/>
  <c r="T3958" i="29"/>
  <c r="R3958" i="29"/>
  <c r="Q3958" i="29"/>
  <c r="V3957" i="29"/>
  <c r="U3957" i="29"/>
  <c r="T3957" i="29"/>
  <c r="R3957" i="29"/>
  <c r="Q3957" i="29"/>
  <c r="V3956" i="29"/>
  <c r="U3956" i="29"/>
  <c r="T3956" i="29"/>
  <c r="R3956" i="29"/>
  <c r="Q3956" i="29"/>
  <c r="V3955" i="29"/>
  <c r="U3955" i="29"/>
  <c r="T3955" i="29"/>
  <c r="R3955" i="29"/>
  <c r="Q3955" i="29"/>
  <c r="V3954" i="29"/>
  <c r="U3954" i="29"/>
  <c r="T3954" i="29"/>
  <c r="R3954" i="29"/>
  <c r="Q3954" i="29"/>
  <c r="V3953" i="29"/>
  <c r="U3953" i="29"/>
  <c r="T3953" i="29"/>
  <c r="R3953" i="29"/>
  <c r="Q3953" i="29"/>
  <c r="V3952" i="29"/>
  <c r="U3952" i="29"/>
  <c r="T3952" i="29"/>
  <c r="R3952" i="29"/>
  <c r="Q3952" i="29"/>
  <c r="V3951" i="29"/>
  <c r="U3951" i="29"/>
  <c r="T3951" i="29"/>
  <c r="R3951" i="29"/>
  <c r="Q3951" i="29"/>
  <c r="V3948" i="29"/>
  <c r="U3948" i="29"/>
  <c r="T3948" i="29"/>
  <c r="R3948" i="29"/>
  <c r="Q3948" i="29"/>
  <c r="V3947" i="29"/>
  <c r="U3947" i="29"/>
  <c r="T3947" i="29"/>
  <c r="R3947" i="29"/>
  <c r="Q3947" i="29"/>
  <c r="V3946" i="29"/>
  <c r="U3946" i="29"/>
  <c r="T3946" i="29"/>
  <c r="R3946" i="29"/>
  <c r="Q3946" i="29"/>
  <c r="V3945" i="29"/>
  <c r="U3945" i="29"/>
  <c r="T3945" i="29"/>
  <c r="R3945" i="29"/>
  <c r="Q3945" i="29"/>
  <c r="V3944" i="29"/>
  <c r="U3944" i="29"/>
  <c r="T3944" i="29"/>
  <c r="R3944" i="29"/>
  <c r="Q3944" i="29"/>
  <c r="V3943" i="29"/>
  <c r="U3943" i="29"/>
  <c r="T3943" i="29"/>
  <c r="R3943" i="29"/>
  <c r="Q3943" i="29"/>
  <c r="V3942" i="29"/>
  <c r="U3942" i="29"/>
  <c r="W3942" i="29" s="1"/>
  <c r="X3942" i="29" s="1"/>
  <c r="T3942" i="29"/>
  <c r="R3942" i="29"/>
  <c r="Q3942" i="29"/>
  <c r="V3941" i="29"/>
  <c r="U3941" i="29"/>
  <c r="T3941" i="29"/>
  <c r="R3941" i="29"/>
  <c r="Q3941" i="29"/>
  <c r="V3940" i="29"/>
  <c r="U3940" i="29"/>
  <c r="T3940" i="29"/>
  <c r="R3940" i="29"/>
  <c r="Q3940" i="29"/>
  <c r="V3937" i="29"/>
  <c r="U3937" i="29"/>
  <c r="T3937" i="29"/>
  <c r="R3937" i="29"/>
  <c r="Q3937" i="29"/>
  <c r="V3936" i="29"/>
  <c r="U3936" i="29"/>
  <c r="T3936" i="29"/>
  <c r="R3936" i="29"/>
  <c r="Q3936" i="29"/>
  <c r="V3935" i="29"/>
  <c r="U3935" i="29"/>
  <c r="T3935" i="29"/>
  <c r="R3935" i="29"/>
  <c r="Q3935" i="29"/>
  <c r="V3934" i="29"/>
  <c r="U3934" i="29"/>
  <c r="T3934" i="29"/>
  <c r="R3934" i="29"/>
  <c r="Q3934" i="29"/>
  <c r="V3933" i="29"/>
  <c r="U3933" i="29"/>
  <c r="W3933" i="29" s="1"/>
  <c r="X3933" i="29" s="1"/>
  <c r="T3933" i="29"/>
  <c r="R3933" i="29"/>
  <c r="Q3933" i="29"/>
  <c r="V3932" i="29"/>
  <c r="U3932" i="29"/>
  <c r="T3932" i="29"/>
  <c r="R3932" i="29"/>
  <c r="Q3932" i="29"/>
  <c r="V3931" i="29"/>
  <c r="U3931" i="29"/>
  <c r="T3931" i="29"/>
  <c r="R3931" i="29"/>
  <c r="Q3931" i="29"/>
  <c r="V3930" i="29"/>
  <c r="U3930" i="29"/>
  <c r="W3930" i="29" s="1"/>
  <c r="X3930" i="29" s="1"/>
  <c r="T3930" i="29"/>
  <c r="R3930" i="29"/>
  <c r="Q3930" i="29"/>
  <c r="V3929" i="29"/>
  <c r="U3929" i="29"/>
  <c r="T3929" i="29"/>
  <c r="R3929" i="29"/>
  <c r="Q3929" i="29"/>
  <c r="V3926" i="29"/>
  <c r="U3926" i="29"/>
  <c r="T3926" i="29"/>
  <c r="R3926" i="29"/>
  <c r="Q3926" i="29"/>
  <c r="V3925" i="29"/>
  <c r="U3925" i="29"/>
  <c r="T3925" i="29"/>
  <c r="R3925" i="29"/>
  <c r="Q3925" i="29"/>
  <c r="V3924" i="29"/>
  <c r="U3924" i="29"/>
  <c r="T3924" i="29"/>
  <c r="R3924" i="29"/>
  <c r="Q3924" i="29"/>
  <c r="V3923" i="29"/>
  <c r="U3923" i="29"/>
  <c r="T3923" i="29"/>
  <c r="R3923" i="29"/>
  <c r="Q3923" i="29"/>
  <c r="V3922" i="29"/>
  <c r="U3922" i="29"/>
  <c r="T3922" i="29"/>
  <c r="R3922" i="29"/>
  <c r="Q3922" i="29"/>
  <c r="V3921" i="29"/>
  <c r="U3921" i="29"/>
  <c r="T3921" i="29"/>
  <c r="R3921" i="29"/>
  <c r="Q3921" i="29"/>
  <c r="V3920" i="29"/>
  <c r="U3920" i="29"/>
  <c r="T3920" i="29"/>
  <c r="R3920" i="29"/>
  <c r="Q3920" i="29"/>
  <c r="V3919" i="29"/>
  <c r="U3919" i="29"/>
  <c r="T3919" i="29"/>
  <c r="R3919" i="29"/>
  <c r="Q3919" i="29"/>
  <c r="V3918" i="29"/>
  <c r="U3918" i="29"/>
  <c r="T3918" i="29"/>
  <c r="R3918" i="29"/>
  <c r="Q3918" i="29"/>
  <c r="V3915" i="29"/>
  <c r="U3915" i="29"/>
  <c r="T3915" i="29"/>
  <c r="R3915" i="29"/>
  <c r="Q3915" i="29"/>
  <c r="V3914" i="29"/>
  <c r="U3914" i="29"/>
  <c r="T3914" i="29"/>
  <c r="R3914" i="29"/>
  <c r="Q3914" i="29"/>
  <c r="V3913" i="29"/>
  <c r="U3913" i="29"/>
  <c r="T3913" i="29"/>
  <c r="R3913" i="29"/>
  <c r="Q3913" i="29"/>
  <c r="V3912" i="29"/>
  <c r="U3912" i="29"/>
  <c r="T3912" i="29"/>
  <c r="R3912" i="29"/>
  <c r="Q3912" i="29"/>
  <c r="V3911" i="29"/>
  <c r="U3911" i="29"/>
  <c r="T3911" i="29"/>
  <c r="R3911" i="29"/>
  <c r="Q3911" i="29"/>
  <c r="V3910" i="29"/>
  <c r="U3910" i="29"/>
  <c r="T3910" i="29"/>
  <c r="R3910" i="29"/>
  <c r="Q3910" i="29"/>
  <c r="V3909" i="29"/>
  <c r="U3909" i="29"/>
  <c r="T3909" i="29"/>
  <c r="R3909" i="29"/>
  <c r="Q3909" i="29"/>
  <c r="V3908" i="29"/>
  <c r="U3908" i="29"/>
  <c r="T3908" i="29"/>
  <c r="R3908" i="29"/>
  <c r="Q3908" i="29"/>
  <c r="V3907" i="29"/>
  <c r="U3907" i="29"/>
  <c r="T3907" i="29"/>
  <c r="R3907" i="29"/>
  <c r="Q3907" i="29"/>
  <c r="V3904" i="29"/>
  <c r="U3904" i="29"/>
  <c r="T3904" i="29"/>
  <c r="R3904" i="29"/>
  <c r="Q3904" i="29"/>
  <c r="V3903" i="29"/>
  <c r="U3903" i="29"/>
  <c r="T3903" i="29"/>
  <c r="R3903" i="29"/>
  <c r="Q3903" i="29"/>
  <c r="V3902" i="29"/>
  <c r="U3902" i="29"/>
  <c r="T3902" i="29"/>
  <c r="R3902" i="29"/>
  <c r="Q3902" i="29"/>
  <c r="V3901" i="29"/>
  <c r="U3901" i="29"/>
  <c r="T3901" i="29"/>
  <c r="R3901" i="29"/>
  <c r="Q3901" i="29"/>
  <c r="V3900" i="29"/>
  <c r="U3900" i="29"/>
  <c r="T3900" i="29"/>
  <c r="R3900" i="29"/>
  <c r="Q3900" i="29"/>
  <c r="V3899" i="29"/>
  <c r="U3899" i="29"/>
  <c r="W3899" i="29" s="1"/>
  <c r="X3899" i="29" s="1"/>
  <c r="T3899" i="29"/>
  <c r="R3899" i="29"/>
  <c r="Q3899" i="29"/>
  <c r="V3898" i="29"/>
  <c r="U3898" i="29"/>
  <c r="T3898" i="29"/>
  <c r="R3898" i="29"/>
  <c r="Q3898" i="29"/>
  <c r="V3897" i="29"/>
  <c r="U3897" i="29"/>
  <c r="T3897" i="29"/>
  <c r="R3897" i="29"/>
  <c r="Q3897" i="29"/>
  <c r="V3896" i="29"/>
  <c r="U3896" i="29"/>
  <c r="T3896" i="29"/>
  <c r="R3896" i="29"/>
  <c r="Q3896" i="29"/>
  <c r="V3893" i="29"/>
  <c r="U3893" i="29"/>
  <c r="T3893" i="29"/>
  <c r="R3893" i="29"/>
  <c r="Q3893" i="29"/>
  <c r="V3892" i="29"/>
  <c r="U3892" i="29"/>
  <c r="T3892" i="29"/>
  <c r="R3892" i="29"/>
  <c r="Q3892" i="29"/>
  <c r="V3891" i="29"/>
  <c r="U3891" i="29"/>
  <c r="T3891" i="29"/>
  <c r="R3891" i="29"/>
  <c r="Q3891" i="29"/>
  <c r="V3890" i="29"/>
  <c r="U3890" i="29"/>
  <c r="T3890" i="29"/>
  <c r="R3890" i="29"/>
  <c r="Q3890" i="29"/>
  <c r="V3889" i="29"/>
  <c r="U3889" i="29"/>
  <c r="T3889" i="29"/>
  <c r="R3889" i="29"/>
  <c r="Q3889" i="29"/>
  <c r="V3888" i="29"/>
  <c r="U3888" i="29"/>
  <c r="T3888" i="29"/>
  <c r="R3888" i="29"/>
  <c r="Q3888" i="29"/>
  <c r="V3887" i="29"/>
  <c r="U3887" i="29"/>
  <c r="T3887" i="29"/>
  <c r="R3887" i="29"/>
  <c r="Q3887" i="29"/>
  <c r="V3886" i="29"/>
  <c r="U3886" i="29"/>
  <c r="T3886" i="29"/>
  <c r="R3886" i="29"/>
  <c r="Q3886" i="29"/>
  <c r="V3885" i="29"/>
  <c r="U3885" i="29"/>
  <c r="T3885" i="29"/>
  <c r="R3885" i="29"/>
  <c r="Q3885" i="29"/>
  <c r="V3882" i="29"/>
  <c r="U3882" i="29"/>
  <c r="T3882" i="29"/>
  <c r="R3882" i="29"/>
  <c r="Q3882" i="29"/>
  <c r="V3881" i="29"/>
  <c r="U3881" i="29"/>
  <c r="T3881" i="29"/>
  <c r="R3881" i="29"/>
  <c r="Q3881" i="29"/>
  <c r="V3880" i="29"/>
  <c r="U3880" i="29"/>
  <c r="T3880" i="29"/>
  <c r="R3880" i="29"/>
  <c r="Q3880" i="29"/>
  <c r="V3879" i="29"/>
  <c r="U3879" i="29"/>
  <c r="T3879" i="29"/>
  <c r="R3879" i="29"/>
  <c r="Q3879" i="29"/>
  <c r="V3878" i="29"/>
  <c r="U3878" i="29"/>
  <c r="T3878" i="29"/>
  <c r="R3878" i="29"/>
  <c r="Q3878" i="29"/>
  <c r="V3877" i="29"/>
  <c r="U3877" i="29"/>
  <c r="T3877" i="29"/>
  <c r="R3877" i="29"/>
  <c r="Q3877" i="29"/>
  <c r="V3876" i="29"/>
  <c r="U3876" i="29"/>
  <c r="T3876" i="29"/>
  <c r="R3876" i="29"/>
  <c r="Q3876" i="29"/>
  <c r="V3875" i="29"/>
  <c r="U3875" i="29"/>
  <c r="T3875" i="29"/>
  <c r="R3875" i="29"/>
  <c r="Q3875" i="29"/>
  <c r="V3874" i="29"/>
  <c r="U3874" i="29"/>
  <c r="T3874" i="29"/>
  <c r="R3874" i="29"/>
  <c r="Q3874" i="29"/>
  <c r="V3871" i="29"/>
  <c r="U3871" i="29"/>
  <c r="T3871" i="29"/>
  <c r="R3871" i="29"/>
  <c r="Q3871" i="29"/>
  <c r="V3870" i="29"/>
  <c r="U3870" i="29"/>
  <c r="W3870" i="29" s="1"/>
  <c r="X3870" i="29" s="1"/>
  <c r="T3870" i="29"/>
  <c r="R3870" i="29"/>
  <c r="Q3870" i="29"/>
  <c r="V3869" i="29"/>
  <c r="U3869" i="29"/>
  <c r="T3869" i="29"/>
  <c r="R3869" i="29"/>
  <c r="Q3869" i="29"/>
  <c r="V3868" i="29"/>
  <c r="U3868" i="29"/>
  <c r="T3868" i="29"/>
  <c r="R3868" i="29"/>
  <c r="Q3868" i="29"/>
  <c r="V3867" i="29"/>
  <c r="U3867" i="29"/>
  <c r="T3867" i="29"/>
  <c r="R3867" i="29"/>
  <c r="Q3867" i="29"/>
  <c r="V3866" i="29"/>
  <c r="U3866" i="29"/>
  <c r="T3866" i="29"/>
  <c r="R3866" i="29"/>
  <c r="Q3866" i="29"/>
  <c r="V3865" i="29"/>
  <c r="U3865" i="29"/>
  <c r="T3865" i="29"/>
  <c r="R3865" i="29"/>
  <c r="Q3865" i="29"/>
  <c r="V3864" i="29"/>
  <c r="U3864" i="29"/>
  <c r="T3864" i="29"/>
  <c r="R3864" i="29"/>
  <c r="Q3864" i="29"/>
  <c r="V3863" i="29"/>
  <c r="U3863" i="29"/>
  <c r="T3863" i="29"/>
  <c r="R3863" i="29"/>
  <c r="Q3863" i="29"/>
  <c r="V3860" i="29"/>
  <c r="U3860" i="29"/>
  <c r="T3860" i="29"/>
  <c r="R3860" i="29"/>
  <c r="Q3860" i="29"/>
  <c r="V3859" i="29"/>
  <c r="U3859" i="29"/>
  <c r="W3859" i="29" s="1"/>
  <c r="X3859" i="29" s="1"/>
  <c r="T3859" i="29"/>
  <c r="R3859" i="29"/>
  <c r="Q3859" i="29"/>
  <c r="V3858" i="29"/>
  <c r="U3858" i="29"/>
  <c r="T3858" i="29"/>
  <c r="R3858" i="29"/>
  <c r="Q3858" i="29"/>
  <c r="V3857" i="29"/>
  <c r="U3857" i="29"/>
  <c r="T3857" i="29"/>
  <c r="R3857" i="29"/>
  <c r="Q3857" i="29"/>
  <c r="V3856" i="29"/>
  <c r="U3856" i="29"/>
  <c r="T3856" i="29"/>
  <c r="R3856" i="29"/>
  <c r="Q3856" i="29"/>
  <c r="V3855" i="29"/>
  <c r="U3855" i="29"/>
  <c r="T3855" i="29"/>
  <c r="R3855" i="29"/>
  <c r="Q3855" i="29"/>
  <c r="V3854" i="29"/>
  <c r="U3854" i="29"/>
  <c r="T3854" i="29"/>
  <c r="R3854" i="29"/>
  <c r="Q3854" i="29"/>
  <c r="V3853" i="29"/>
  <c r="U3853" i="29"/>
  <c r="T3853" i="29"/>
  <c r="R3853" i="29"/>
  <c r="Q3853" i="29"/>
  <c r="V3852" i="29"/>
  <c r="U3852" i="29"/>
  <c r="T3852" i="29"/>
  <c r="R3852" i="29"/>
  <c r="Q3852" i="29"/>
  <c r="V3849" i="29"/>
  <c r="U3849" i="29"/>
  <c r="T3849" i="29"/>
  <c r="R3849" i="29"/>
  <c r="Q3849" i="29"/>
  <c r="V3848" i="29"/>
  <c r="U3848" i="29"/>
  <c r="T3848" i="29"/>
  <c r="R3848" i="29"/>
  <c r="Q3848" i="29"/>
  <c r="V3847" i="29"/>
  <c r="U3847" i="29"/>
  <c r="T3847" i="29"/>
  <c r="R3847" i="29"/>
  <c r="Q3847" i="29"/>
  <c r="V3846" i="29"/>
  <c r="U3846" i="29"/>
  <c r="W3846" i="29" s="1"/>
  <c r="X3846" i="29" s="1"/>
  <c r="T3846" i="29"/>
  <c r="R3846" i="29"/>
  <c r="Q3846" i="29"/>
  <c r="V3845" i="29"/>
  <c r="U3845" i="29"/>
  <c r="T3845" i="29"/>
  <c r="R3845" i="29"/>
  <c r="Q3845" i="29"/>
  <c r="V3844" i="29"/>
  <c r="U3844" i="29"/>
  <c r="T3844" i="29"/>
  <c r="R3844" i="29"/>
  <c r="Q3844" i="29"/>
  <c r="V3843" i="29"/>
  <c r="U3843" i="29"/>
  <c r="T3843" i="29"/>
  <c r="R3843" i="29"/>
  <c r="Q3843" i="29"/>
  <c r="V3842" i="29"/>
  <c r="U3842" i="29"/>
  <c r="W3842" i="29" s="1"/>
  <c r="X3842" i="29" s="1"/>
  <c r="T3842" i="29"/>
  <c r="R3842" i="29"/>
  <c r="Q3842" i="29"/>
  <c r="V3841" i="29"/>
  <c r="U3841" i="29"/>
  <c r="T3841" i="29"/>
  <c r="R3841" i="29"/>
  <c r="Q3841" i="29"/>
  <c r="V3838" i="29"/>
  <c r="U3838" i="29"/>
  <c r="T3838" i="29"/>
  <c r="R3838" i="29"/>
  <c r="Q3838" i="29"/>
  <c r="V3837" i="29"/>
  <c r="U3837" i="29"/>
  <c r="T3837" i="29"/>
  <c r="R3837" i="29"/>
  <c r="Q3837" i="29"/>
  <c r="V3836" i="29"/>
  <c r="U3836" i="29"/>
  <c r="T3836" i="29"/>
  <c r="R3836" i="29"/>
  <c r="Q3836" i="29"/>
  <c r="V3835" i="29"/>
  <c r="U3835" i="29"/>
  <c r="T3835" i="29"/>
  <c r="R3835" i="29"/>
  <c r="Q3835" i="29"/>
  <c r="V3834" i="29"/>
  <c r="U3834" i="29"/>
  <c r="W3834" i="29" s="1"/>
  <c r="X3834" i="29" s="1"/>
  <c r="T3834" i="29"/>
  <c r="R3834" i="29"/>
  <c r="Q3834" i="29"/>
  <c r="V3833" i="29"/>
  <c r="U3833" i="29"/>
  <c r="T3833" i="29"/>
  <c r="R3833" i="29"/>
  <c r="Q3833" i="29"/>
  <c r="V3832" i="29"/>
  <c r="U3832" i="29"/>
  <c r="T3832" i="29"/>
  <c r="R3832" i="29"/>
  <c r="Q3832" i="29"/>
  <c r="V3831" i="29"/>
  <c r="U3831" i="29"/>
  <c r="T3831" i="29"/>
  <c r="R3831" i="29"/>
  <c r="Q3831" i="29"/>
  <c r="V3830" i="29"/>
  <c r="U3830" i="29"/>
  <c r="T3830" i="29"/>
  <c r="R3830" i="29"/>
  <c r="Q3830" i="29"/>
  <c r="V3827" i="29"/>
  <c r="U3827" i="29"/>
  <c r="T3827" i="29"/>
  <c r="R3827" i="29"/>
  <c r="Q3827" i="29"/>
  <c r="V3826" i="29"/>
  <c r="U3826" i="29"/>
  <c r="T3826" i="29"/>
  <c r="R3826" i="29"/>
  <c r="Q3826" i="29"/>
  <c r="V3825" i="29"/>
  <c r="U3825" i="29"/>
  <c r="T3825" i="29"/>
  <c r="R3825" i="29"/>
  <c r="Q3825" i="29"/>
  <c r="V3824" i="29"/>
  <c r="U3824" i="29"/>
  <c r="T3824" i="29"/>
  <c r="R3824" i="29"/>
  <c r="Q3824" i="29"/>
  <c r="V3823" i="29"/>
  <c r="U3823" i="29"/>
  <c r="T3823" i="29"/>
  <c r="R3823" i="29"/>
  <c r="Q3823" i="29"/>
  <c r="V3822" i="29"/>
  <c r="U3822" i="29"/>
  <c r="T3822" i="29"/>
  <c r="R3822" i="29"/>
  <c r="Q3822" i="29"/>
  <c r="V3821" i="29"/>
  <c r="U3821" i="29"/>
  <c r="T3821" i="29"/>
  <c r="R3821" i="29"/>
  <c r="Q3821" i="29"/>
  <c r="V3820" i="29"/>
  <c r="U3820" i="29"/>
  <c r="T3820" i="29"/>
  <c r="R3820" i="29"/>
  <c r="Q3820" i="29"/>
  <c r="V3819" i="29"/>
  <c r="U3819" i="29"/>
  <c r="T3819" i="29"/>
  <c r="R3819" i="29"/>
  <c r="Q3819" i="29"/>
  <c r="V3816" i="29"/>
  <c r="U3816" i="29"/>
  <c r="T3816" i="29"/>
  <c r="R3816" i="29"/>
  <c r="Q3816" i="29"/>
  <c r="V3815" i="29"/>
  <c r="U3815" i="29"/>
  <c r="T3815" i="29"/>
  <c r="R3815" i="29"/>
  <c r="Q3815" i="29"/>
  <c r="V3814" i="29"/>
  <c r="U3814" i="29"/>
  <c r="T3814" i="29"/>
  <c r="R3814" i="29"/>
  <c r="Q3814" i="29"/>
  <c r="V3813" i="29"/>
  <c r="U3813" i="29"/>
  <c r="T3813" i="29"/>
  <c r="R3813" i="29"/>
  <c r="Q3813" i="29"/>
  <c r="V3812" i="29"/>
  <c r="U3812" i="29"/>
  <c r="T3812" i="29"/>
  <c r="R3812" i="29"/>
  <c r="Q3812" i="29"/>
  <c r="V3811" i="29"/>
  <c r="U3811" i="29"/>
  <c r="T3811" i="29"/>
  <c r="R3811" i="29"/>
  <c r="Q3811" i="29"/>
  <c r="V3810" i="29"/>
  <c r="U3810" i="29"/>
  <c r="T3810" i="29"/>
  <c r="R3810" i="29"/>
  <c r="Q3810" i="29"/>
  <c r="V3809" i="29"/>
  <c r="U3809" i="29"/>
  <c r="T3809" i="29"/>
  <c r="R3809" i="29"/>
  <c r="Q3809" i="29"/>
  <c r="V3808" i="29"/>
  <c r="U3808" i="29"/>
  <c r="T3808" i="29"/>
  <c r="R3808" i="29"/>
  <c r="Q3808" i="29"/>
  <c r="V3805" i="29"/>
  <c r="U3805" i="29"/>
  <c r="T3805" i="29"/>
  <c r="R3805" i="29"/>
  <c r="Q3805" i="29"/>
  <c r="V3804" i="29"/>
  <c r="U3804" i="29"/>
  <c r="T3804" i="29"/>
  <c r="R3804" i="29"/>
  <c r="Q3804" i="29"/>
  <c r="V3803" i="29"/>
  <c r="U3803" i="29"/>
  <c r="T3803" i="29"/>
  <c r="R3803" i="29"/>
  <c r="Q3803" i="29"/>
  <c r="V3802" i="29"/>
  <c r="U3802" i="29"/>
  <c r="T3802" i="29"/>
  <c r="R3802" i="29"/>
  <c r="Q3802" i="29"/>
  <c r="V3801" i="29"/>
  <c r="U3801" i="29"/>
  <c r="T3801" i="29"/>
  <c r="R3801" i="29"/>
  <c r="Q3801" i="29"/>
  <c r="V3800" i="29"/>
  <c r="U3800" i="29"/>
  <c r="T3800" i="29"/>
  <c r="R3800" i="29"/>
  <c r="Q3800" i="29"/>
  <c r="V3799" i="29"/>
  <c r="U3799" i="29"/>
  <c r="T3799" i="29"/>
  <c r="R3799" i="29"/>
  <c r="Q3799" i="29"/>
  <c r="V3798" i="29"/>
  <c r="U3798" i="29"/>
  <c r="T3798" i="29"/>
  <c r="R3798" i="29"/>
  <c r="Q3798" i="29"/>
  <c r="V3797" i="29"/>
  <c r="U3797" i="29"/>
  <c r="T3797" i="29"/>
  <c r="R3797" i="29"/>
  <c r="Q3797" i="29"/>
  <c r="V3794" i="29"/>
  <c r="U3794" i="29"/>
  <c r="W3794" i="29" s="1"/>
  <c r="X3794" i="29" s="1"/>
  <c r="T3794" i="29"/>
  <c r="R3794" i="29"/>
  <c r="Q3794" i="29"/>
  <c r="V3793" i="29"/>
  <c r="U3793" i="29"/>
  <c r="T3793" i="29"/>
  <c r="R3793" i="29"/>
  <c r="Q3793" i="29"/>
  <c r="V3792" i="29"/>
  <c r="U3792" i="29"/>
  <c r="T3792" i="29"/>
  <c r="R3792" i="29"/>
  <c r="Q3792" i="29"/>
  <c r="V3791" i="29"/>
  <c r="U3791" i="29"/>
  <c r="T3791" i="29"/>
  <c r="R3791" i="29"/>
  <c r="Q3791" i="29"/>
  <c r="V3790" i="29"/>
  <c r="U3790" i="29"/>
  <c r="T3790" i="29"/>
  <c r="R3790" i="29"/>
  <c r="Q3790" i="29"/>
  <c r="V3789" i="29"/>
  <c r="U3789" i="29"/>
  <c r="T3789" i="29"/>
  <c r="R3789" i="29"/>
  <c r="Q3789" i="29"/>
  <c r="V3788" i="29"/>
  <c r="U3788" i="29"/>
  <c r="T3788" i="29"/>
  <c r="R3788" i="29"/>
  <c r="Q3788" i="29"/>
  <c r="V3787" i="29"/>
  <c r="U3787" i="29"/>
  <c r="T3787" i="29"/>
  <c r="R3787" i="29"/>
  <c r="Q3787" i="29"/>
  <c r="V3786" i="29"/>
  <c r="U3786" i="29"/>
  <c r="T3786" i="29"/>
  <c r="R3786" i="29"/>
  <c r="Q3786" i="29"/>
  <c r="V3783" i="29"/>
  <c r="U3783" i="29"/>
  <c r="T3783" i="29"/>
  <c r="R3783" i="29"/>
  <c r="Q3783" i="29"/>
  <c r="V3782" i="29"/>
  <c r="U3782" i="29"/>
  <c r="T3782" i="29"/>
  <c r="R3782" i="29"/>
  <c r="Q3782" i="29"/>
  <c r="V3781" i="29"/>
  <c r="U3781" i="29"/>
  <c r="T3781" i="29"/>
  <c r="R3781" i="29"/>
  <c r="Q3781" i="29"/>
  <c r="V3780" i="29"/>
  <c r="U3780" i="29"/>
  <c r="T3780" i="29"/>
  <c r="R3780" i="29"/>
  <c r="Q3780" i="29"/>
  <c r="V3779" i="29"/>
  <c r="U3779" i="29"/>
  <c r="T3779" i="29"/>
  <c r="R3779" i="29"/>
  <c r="Q3779" i="29"/>
  <c r="V3778" i="29"/>
  <c r="U3778" i="29"/>
  <c r="T3778" i="29"/>
  <c r="R3778" i="29"/>
  <c r="Q3778" i="29"/>
  <c r="V3777" i="29"/>
  <c r="U3777" i="29"/>
  <c r="T3777" i="29"/>
  <c r="R3777" i="29"/>
  <c r="Q3777" i="29"/>
  <c r="V3776" i="29"/>
  <c r="U3776" i="29"/>
  <c r="T3776" i="29"/>
  <c r="R3776" i="29"/>
  <c r="Q3776" i="29"/>
  <c r="V3775" i="29"/>
  <c r="U3775" i="29"/>
  <c r="T3775" i="29"/>
  <c r="R3775" i="29"/>
  <c r="Q3775" i="29"/>
  <c r="V3772" i="29"/>
  <c r="U3772" i="29"/>
  <c r="T3772" i="29"/>
  <c r="R3772" i="29"/>
  <c r="Q3772" i="29"/>
  <c r="V3771" i="29"/>
  <c r="U3771" i="29"/>
  <c r="T3771" i="29"/>
  <c r="R3771" i="29"/>
  <c r="Q3771" i="29"/>
  <c r="V3770" i="29"/>
  <c r="U3770" i="29"/>
  <c r="T3770" i="29"/>
  <c r="R3770" i="29"/>
  <c r="Q3770" i="29"/>
  <c r="V3769" i="29"/>
  <c r="U3769" i="29"/>
  <c r="T3769" i="29"/>
  <c r="R3769" i="29"/>
  <c r="Q3769" i="29"/>
  <c r="V3768" i="29"/>
  <c r="U3768" i="29"/>
  <c r="W3768" i="29" s="1"/>
  <c r="X3768" i="29" s="1"/>
  <c r="T3768" i="29"/>
  <c r="R3768" i="29"/>
  <c r="Q3768" i="29"/>
  <c r="V3767" i="29"/>
  <c r="U3767" i="29"/>
  <c r="T3767" i="29"/>
  <c r="R3767" i="29"/>
  <c r="Q3767" i="29"/>
  <c r="V3766" i="29"/>
  <c r="U3766" i="29"/>
  <c r="T3766" i="29"/>
  <c r="R3766" i="29"/>
  <c r="Q3766" i="29"/>
  <c r="V3765" i="29"/>
  <c r="U3765" i="29"/>
  <c r="T3765" i="29"/>
  <c r="R3765" i="29"/>
  <c r="Q3765" i="29"/>
  <c r="V3764" i="29"/>
  <c r="U3764" i="29"/>
  <c r="T3764" i="29"/>
  <c r="R3764" i="29"/>
  <c r="Q3764" i="29"/>
  <c r="V3761" i="29"/>
  <c r="U3761" i="29"/>
  <c r="T3761" i="29"/>
  <c r="R3761" i="29"/>
  <c r="Q3761" i="29"/>
  <c r="V3760" i="29"/>
  <c r="U3760" i="29"/>
  <c r="T3760" i="29"/>
  <c r="R3760" i="29"/>
  <c r="Q3760" i="29"/>
  <c r="V3759" i="29"/>
  <c r="U3759" i="29"/>
  <c r="T3759" i="29"/>
  <c r="R3759" i="29"/>
  <c r="Q3759" i="29"/>
  <c r="V3758" i="29"/>
  <c r="U3758" i="29"/>
  <c r="W3758" i="29" s="1"/>
  <c r="X3758" i="29" s="1"/>
  <c r="T3758" i="29"/>
  <c r="R3758" i="29"/>
  <c r="Q3758" i="29"/>
  <c r="V3757" i="29"/>
  <c r="U3757" i="29"/>
  <c r="T3757" i="29"/>
  <c r="R3757" i="29"/>
  <c r="Q3757" i="29"/>
  <c r="V3756" i="29"/>
  <c r="U3756" i="29"/>
  <c r="T3756" i="29"/>
  <c r="R3756" i="29"/>
  <c r="Q3756" i="29"/>
  <c r="V3755" i="29"/>
  <c r="U3755" i="29"/>
  <c r="T3755" i="29"/>
  <c r="R3755" i="29"/>
  <c r="Q3755" i="29"/>
  <c r="V3754" i="29"/>
  <c r="U3754" i="29"/>
  <c r="T3754" i="29"/>
  <c r="R3754" i="29"/>
  <c r="Q3754" i="29"/>
  <c r="V3753" i="29"/>
  <c r="U3753" i="29"/>
  <c r="T3753" i="29"/>
  <c r="R3753" i="29"/>
  <c r="Q3753" i="29"/>
  <c r="V3750" i="29"/>
  <c r="U3750" i="29"/>
  <c r="T3750" i="29"/>
  <c r="R3750" i="29"/>
  <c r="Q3750" i="29"/>
  <c r="V3749" i="29"/>
  <c r="U3749" i="29"/>
  <c r="T3749" i="29"/>
  <c r="R3749" i="29"/>
  <c r="Q3749" i="29"/>
  <c r="V3748" i="29"/>
  <c r="U3748" i="29"/>
  <c r="T3748" i="29"/>
  <c r="R3748" i="29"/>
  <c r="Q3748" i="29"/>
  <c r="V3747" i="29"/>
  <c r="U3747" i="29"/>
  <c r="T3747" i="29"/>
  <c r="R3747" i="29"/>
  <c r="Q3747" i="29"/>
  <c r="V3746" i="29"/>
  <c r="U3746" i="29"/>
  <c r="T3746" i="29"/>
  <c r="R3746" i="29"/>
  <c r="Q3746" i="29"/>
  <c r="V3745" i="29"/>
  <c r="U3745" i="29"/>
  <c r="T3745" i="29"/>
  <c r="R3745" i="29"/>
  <c r="Q3745" i="29"/>
  <c r="V3744" i="29"/>
  <c r="U3744" i="29"/>
  <c r="T3744" i="29"/>
  <c r="R3744" i="29"/>
  <c r="Q3744" i="29"/>
  <c r="V3743" i="29"/>
  <c r="U3743" i="29"/>
  <c r="T3743" i="29"/>
  <c r="R3743" i="29"/>
  <c r="Q3743" i="29"/>
  <c r="V3742" i="29"/>
  <c r="U3742" i="29"/>
  <c r="T3742" i="29"/>
  <c r="R3742" i="29"/>
  <c r="Q3742" i="29"/>
  <c r="V3739" i="29"/>
  <c r="U3739" i="29"/>
  <c r="T3739" i="29"/>
  <c r="R3739" i="29"/>
  <c r="Q3739" i="29"/>
  <c r="V3738" i="29"/>
  <c r="U3738" i="29"/>
  <c r="T3738" i="29"/>
  <c r="R3738" i="29"/>
  <c r="Q3738" i="29"/>
  <c r="V3737" i="29"/>
  <c r="U3737" i="29"/>
  <c r="T3737" i="29"/>
  <c r="R3737" i="29"/>
  <c r="Q3737" i="29"/>
  <c r="V3736" i="29"/>
  <c r="U3736" i="29"/>
  <c r="T3736" i="29"/>
  <c r="R3736" i="29"/>
  <c r="Q3736" i="29"/>
  <c r="V3735" i="29"/>
  <c r="U3735" i="29"/>
  <c r="T3735" i="29"/>
  <c r="R3735" i="29"/>
  <c r="Q3735" i="29"/>
  <c r="V3734" i="29"/>
  <c r="U3734" i="29"/>
  <c r="T3734" i="29"/>
  <c r="R3734" i="29"/>
  <c r="Q3734" i="29"/>
  <c r="V3733" i="29"/>
  <c r="U3733" i="29"/>
  <c r="T3733" i="29"/>
  <c r="R3733" i="29"/>
  <c r="Q3733" i="29"/>
  <c r="V3732" i="29"/>
  <c r="U3732" i="29"/>
  <c r="T3732" i="29"/>
  <c r="R3732" i="29"/>
  <c r="Q3732" i="29"/>
  <c r="V3731" i="29"/>
  <c r="U3731" i="29"/>
  <c r="T3731" i="29"/>
  <c r="R3731" i="29"/>
  <c r="Q3731" i="29"/>
  <c r="V3728" i="29"/>
  <c r="U3728" i="29"/>
  <c r="T3728" i="29"/>
  <c r="R3728" i="29"/>
  <c r="Q3728" i="29"/>
  <c r="V3727" i="29"/>
  <c r="U3727" i="29"/>
  <c r="T3727" i="29"/>
  <c r="R3727" i="29"/>
  <c r="Q3727" i="29"/>
  <c r="V3726" i="29"/>
  <c r="U3726" i="29"/>
  <c r="T3726" i="29"/>
  <c r="R3726" i="29"/>
  <c r="Q3726" i="29"/>
  <c r="V3725" i="29"/>
  <c r="U3725" i="29"/>
  <c r="T3725" i="29"/>
  <c r="R3725" i="29"/>
  <c r="Q3725" i="29"/>
  <c r="V3724" i="29"/>
  <c r="U3724" i="29"/>
  <c r="T3724" i="29"/>
  <c r="R3724" i="29"/>
  <c r="Q3724" i="29"/>
  <c r="V3723" i="29"/>
  <c r="U3723" i="29"/>
  <c r="T3723" i="29"/>
  <c r="R3723" i="29"/>
  <c r="Q3723" i="29"/>
  <c r="V3722" i="29"/>
  <c r="U3722" i="29"/>
  <c r="T3722" i="29"/>
  <c r="R3722" i="29"/>
  <c r="Q3722" i="29"/>
  <c r="V3721" i="29"/>
  <c r="U3721" i="29"/>
  <c r="T3721" i="29"/>
  <c r="R3721" i="29"/>
  <c r="Q3721" i="29"/>
  <c r="V3720" i="29"/>
  <c r="U3720" i="29"/>
  <c r="T3720" i="29"/>
  <c r="R3720" i="29"/>
  <c r="Q3720" i="29"/>
  <c r="V3717" i="29"/>
  <c r="U3717" i="29"/>
  <c r="T3717" i="29"/>
  <c r="R3717" i="29"/>
  <c r="Q3717" i="29"/>
  <c r="V3716" i="29"/>
  <c r="U3716" i="29"/>
  <c r="T3716" i="29"/>
  <c r="R3716" i="29"/>
  <c r="Q3716" i="29"/>
  <c r="V3715" i="29"/>
  <c r="U3715" i="29"/>
  <c r="T3715" i="29"/>
  <c r="R3715" i="29"/>
  <c r="Q3715" i="29"/>
  <c r="V3714" i="29"/>
  <c r="U3714" i="29"/>
  <c r="T3714" i="29"/>
  <c r="R3714" i="29"/>
  <c r="Q3714" i="29"/>
  <c r="V3713" i="29"/>
  <c r="U3713" i="29"/>
  <c r="T3713" i="29"/>
  <c r="R3713" i="29"/>
  <c r="Q3713" i="29"/>
  <c r="V3712" i="29"/>
  <c r="U3712" i="29"/>
  <c r="T3712" i="29"/>
  <c r="R3712" i="29"/>
  <c r="Q3712" i="29"/>
  <c r="V3711" i="29"/>
  <c r="U3711" i="29"/>
  <c r="T3711" i="29"/>
  <c r="R3711" i="29"/>
  <c r="Q3711" i="29"/>
  <c r="V3710" i="29"/>
  <c r="U3710" i="29"/>
  <c r="W3710" i="29" s="1"/>
  <c r="X3710" i="29" s="1"/>
  <c r="T3710" i="29"/>
  <c r="R3710" i="29"/>
  <c r="Q3710" i="29"/>
  <c r="V3709" i="29"/>
  <c r="U3709" i="29"/>
  <c r="T3709" i="29"/>
  <c r="R3709" i="29"/>
  <c r="Q3709" i="29"/>
  <c r="V3706" i="29"/>
  <c r="U3706" i="29"/>
  <c r="W3706" i="29" s="1"/>
  <c r="X3706" i="29" s="1"/>
  <c r="T3706" i="29"/>
  <c r="R3706" i="29"/>
  <c r="Q3706" i="29"/>
  <c r="V3705" i="29"/>
  <c r="U3705" i="29"/>
  <c r="T3705" i="29"/>
  <c r="R3705" i="29"/>
  <c r="Q3705" i="29"/>
  <c r="V3704" i="29"/>
  <c r="U3704" i="29"/>
  <c r="T3704" i="29"/>
  <c r="R3704" i="29"/>
  <c r="Q3704" i="29"/>
  <c r="V3703" i="29"/>
  <c r="U3703" i="29"/>
  <c r="T3703" i="29"/>
  <c r="R3703" i="29"/>
  <c r="Q3703" i="29"/>
  <c r="V3702" i="29"/>
  <c r="U3702" i="29"/>
  <c r="T3702" i="29"/>
  <c r="R3702" i="29"/>
  <c r="Q3702" i="29"/>
  <c r="V3701" i="29"/>
  <c r="U3701" i="29"/>
  <c r="T3701" i="29"/>
  <c r="R3701" i="29"/>
  <c r="Q3701" i="29"/>
  <c r="V3700" i="29"/>
  <c r="U3700" i="29"/>
  <c r="T3700" i="29"/>
  <c r="R3700" i="29"/>
  <c r="Q3700" i="29"/>
  <c r="V3699" i="29"/>
  <c r="U3699" i="29"/>
  <c r="W3699" i="29" s="1"/>
  <c r="X3699" i="29" s="1"/>
  <c r="T3699" i="29"/>
  <c r="R3699" i="29"/>
  <c r="Q3699" i="29"/>
  <c r="V3698" i="29"/>
  <c r="U3698" i="29"/>
  <c r="T3698" i="29"/>
  <c r="R3698" i="29"/>
  <c r="Q3698" i="29"/>
  <c r="V3695" i="29"/>
  <c r="U3695" i="29"/>
  <c r="T3695" i="29"/>
  <c r="R3695" i="29"/>
  <c r="Q3695" i="29"/>
  <c r="V3694" i="29"/>
  <c r="U3694" i="29"/>
  <c r="T3694" i="29"/>
  <c r="R3694" i="29"/>
  <c r="Q3694" i="29"/>
  <c r="V3693" i="29"/>
  <c r="U3693" i="29"/>
  <c r="T3693" i="29"/>
  <c r="R3693" i="29"/>
  <c r="Q3693" i="29"/>
  <c r="V3692" i="29"/>
  <c r="U3692" i="29"/>
  <c r="T3692" i="29"/>
  <c r="R3692" i="29"/>
  <c r="Q3692" i="29"/>
  <c r="V3691" i="29"/>
  <c r="W3691" i="29" s="1"/>
  <c r="X3691" i="29" s="1"/>
  <c r="U3691" i="29"/>
  <c r="T3691" i="29"/>
  <c r="R3691" i="29"/>
  <c r="Q3691" i="29"/>
  <c r="V3690" i="29"/>
  <c r="U3690" i="29"/>
  <c r="T3690" i="29"/>
  <c r="R3690" i="29"/>
  <c r="Q3690" i="29"/>
  <c r="V3689" i="29"/>
  <c r="U3689" i="29"/>
  <c r="T3689" i="29"/>
  <c r="R3689" i="29"/>
  <c r="Q3689" i="29"/>
  <c r="V3688" i="29"/>
  <c r="U3688" i="29"/>
  <c r="T3688" i="29"/>
  <c r="R3688" i="29"/>
  <c r="Q3688" i="29"/>
  <c r="V3687" i="29"/>
  <c r="U3687" i="29"/>
  <c r="T3687" i="29"/>
  <c r="R3687" i="29"/>
  <c r="Q3687" i="29"/>
  <c r="V3684" i="29"/>
  <c r="U3684" i="29"/>
  <c r="T3684" i="29"/>
  <c r="R3684" i="29"/>
  <c r="Q3684" i="29"/>
  <c r="V3683" i="29"/>
  <c r="U3683" i="29"/>
  <c r="T3683" i="29"/>
  <c r="R3683" i="29"/>
  <c r="Q3683" i="29"/>
  <c r="V3682" i="29"/>
  <c r="U3682" i="29"/>
  <c r="T3682" i="29"/>
  <c r="R3682" i="29"/>
  <c r="Q3682" i="29"/>
  <c r="V3681" i="29"/>
  <c r="U3681" i="29"/>
  <c r="T3681" i="29"/>
  <c r="R3681" i="29"/>
  <c r="Q3681" i="29"/>
  <c r="V3680" i="29"/>
  <c r="U3680" i="29"/>
  <c r="T3680" i="29"/>
  <c r="R3680" i="29"/>
  <c r="Q3680" i="29"/>
  <c r="V3679" i="29"/>
  <c r="U3679" i="29"/>
  <c r="T3679" i="29"/>
  <c r="R3679" i="29"/>
  <c r="Q3679" i="29"/>
  <c r="V3678" i="29"/>
  <c r="U3678" i="29"/>
  <c r="T3678" i="29"/>
  <c r="R3678" i="29"/>
  <c r="Q3678" i="29"/>
  <c r="V3677" i="29"/>
  <c r="U3677" i="29"/>
  <c r="T3677" i="29"/>
  <c r="R3677" i="29"/>
  <c r="Q3677" i="29"/>
  <c r="V3676" i="29"/>
  <c r="U3676" i="29"/>
  <c r="T3676" i="29"/>
  <c r="R3676" i="29"/>
  <c r="Q3676" i="29"/>
  <c r="V3673" i="29"/>
  <c r="U3673" i="29"/>
  <c r="T3673" i="29"/>
  <c r="R3673" i="29"/>
  <c r="Q3673" i="29"/>
  <c r="V3672" i="29"/>
  <c r="U3672" i="29"/>
  <c r="T3672" i="29"/>
  <c r="R3672" i="29"/>
  <c r="Q3672" i="29"/>
  <c r="V3671" i="29"/>
  <c r="U3671" i="29"/>
  <c r="T3671" i="29"/>
  <c r="R3671" i="29"/>
  <c r="Q3671" i="29"/>
  <c r="V3670" i="29"/>
  <c r="U3670" i="29"/>
  <c r="T3670" i="29"/>
  <c r="R3670" i="29"/>
  <c r="Q3670" i="29"/>
  <c r="V3669" i="29"/>
  <c r="U3669" i="29"/>
  <c r="T3669" i="29"/>
  <c r="R3669" i="29"/>
  <c r="Q3669" i="29"/>
  <c r="V3668" i="29"/>
  <c r="U3668" i="29"/>
  <c r="T3668" i="29"/>
  <c r="R3668" i="29"/>
  <c r="Q3668" i="29"/>
  <c r="V3667" i="29"/>
  <c r="U3667" i="29"/>
  <c r="T3667" i="29"/>
  <c r="R3667" i="29"/>
  <c r="Q3667" i="29"/>
  <c r="V3666" i="29"/>
  <c r="U3666" i="29"/>
  <c r="T3666" i="29"/>
  <c r="R3666" i="29"/>
  <c r="Q3666" i="29"/>
  <c r="V3665" i="29"/>
  <c r="U3665" i="29"/>
  <c r="T3665" i="29"/>
  <c r="R3665" i="29"/>
  <c r="Q3665" i="29"/>
  <c r="V3662" i="29"/>
  <c r="U3662" i="29"/>
  <c r="T3662" i="29"/>
  <c r="R3662" i="29"/>
  <c r="Q3662" i="29"/>
  <c r="V3661" i="29"/>
  <c r="U3661" i="29"/>
  <c r="T3661" i="29"/>
  <c r="R3661" i="29"/>
  <c r="Q3661" i="29"/>
  <c r="V3660" i="29"/>
  <c r="U3660" i="29"/>
  <c r="T3660" i="29"/>
  <c r="R3660" i="29"/>
  <c r="Q3660" i="29"/>
  <c r="V3659" i="29"/>
  <c r="U3659" i="29"/>
  <c r="T3659" i="29"/>
  <c r="R3659" i="29"/>
  <c r="Q3659" i="29"/>
  <c r="V3658" i="29"/>
  <c r="U3658" i="29"/>
  <c r="T3658" i="29"/>
  <c r="R3658" i="29"/>
  <c r="Q3658" i="29"/>
  <c r="V3657" i="29"/>
  <c r="U3657" i="29"/>
  <c r="T3657" i="29"/>
  <c r="R3657" i="29"/>
  <c r="Q3657" i="29"/>
  <c r="V3656" i="29"/>
  <c r="U3656" i="29"/>
  <c r="T3656" i="29"/>
  <c r="R3656" i="29"/>
  <c r="Q3656" i="29"/>
  <c r="V3655" i="29"/>
  <c r="U3655" i="29"/>
  <c r="T3655" i="29"/>
  <c r="R3655" i="29"/>
  <c r="Q3655" i="29"/>
  <c r="V3654" i="29"/>
  <c r="U3654" i="29"/>
  <c r="T3654" i="29"/>
  <c r="R3654" i="29"/>
  <c r="Q3654" i="29"/>
  <c r="V3651" i="29"/>
  <c r="U3651" i="29"/>
  <c r="T3651" i="29"/>
  <c r="R3651" i="29"/>
  <c r="Q3651" i="29"/>
  <c r="V3650" i="29"/>
  <c r="U3650" i="29"/>
  <c r="W3650" i="29" s="1"/>
  <c r="X3650" i="29" s="1"/>
  <c r="T3650" i="29"/>
  <c r="R3650" i="29"/>
  <c r="Q3650" i="29"/>
  <c r="V3649" i="29"/>
  <c r="U3649" i="29"/>
  <c r="T3649" i="29"/>
  <c r="R3649" i="29"/>
  <c r="Q3649" i="29"/>
  <c r="V3648" i="29"/>
  <c r="U3648" i="29"/>
  <c r="T3648" i="29"/>
  <c r="R3648" i="29"/>
  <c r="Q3648" i="29"/>
  <c r="V3647" i="29"/>
  <c r="U3647" i="29"/>
  <c r="T3647" i="29"/>
  <c r="R3647" i="29"/>
  <c r="Q3647" i="29"/>
  <c r="V3646" i="29"/>
  <c r="U3646" i="29"/>
  <c r="T3646" i="29"/>
  <c r="R3646" i="29"/>
  <c r="Q3646" i="29"/>
  <c r="V3645" i="29"/>
  <c r="U3645" i="29"/>
  <c r="T3645" i="29"/>
  <c r="R3645" i="29"/>
  <c r="Q3645" i="29"/>
  <c r="V3644" i="29"/>
  <c r="U3644" i="29"/>
  <c r="T3644" i="29"/>
  <c r="R3644" i="29"/>
  <c r="Q3644" i="29"/>
  <c r="V3643" i="29"/>
  <c r="U3643" i="29"/>
  <c r="T3643" i="29"/>
  <c r="R3643" i="29"/>
  <c r="Q3643" i="29"/>
  <c r="V3640" i="29"/>
  <c r="U3640" i="29"/>
  <c r="T3640" i="29"/>
  <c r="R3640" i="29"/>
  <c r="Q3640" i="29"/>
  <c r="V3639" i="29"/>
  <c r="U3639" i="29"/>
  <c r="T3639" i="29"/>
  <c r="R3639" i="29"/>
  <c r="Q3639" i="29"/>
  <c r="V3638" i="29"/>
  <c r="U3638" i="29"/>
  <c r="T3638" i="29"/>
  <c r="R3638" i="29"/>
  <c r="Q3638" i="29"/>
  <c r="V3637" i="29"/>
  <c r="U3637" i="29"/>
  <c r="T3637" i="29"/>
  <c r="R3637" i="29"/>
  <c r="Q3637" i="29"/>
  <c r="V3636" i="29"/>
  <c r="U3636" i="29"/>
  <c r="T3636" i="29"/>
  <c r="R3636" i="29"/>
  <c r="Q3636" i="29"/>
  <c r="V3635" i="29"/>
  <c r="U3635" i="29"/>
  <c r="T3635" i="29"/>
  <c r="R3635" i="29"/>
  <c r="Q3635" i="29"/>
  <c r="V3634" i="29"/>
  <c r="U3634" i="29"/>
  <c r="T3634" i="29"/>
  <c r="R3634" i="29"/>
  <c r="Q3634" i="29"/>
  <c r="V3633" i="29"/>
  <c r="U3633" i="29"/>
  <c r="T3633" i="29"/>
  <c r="R3633" i="29"/>
  <c r="Q3633" i="29"/>
  <c r="V3632" i="29"/>
  <c r="U3632" i="29"/>
  <c r="T3632" i="29"/>
  <c r="R3632" i="29"/>
  <c r="Q3632" i="29"/>
  <c r="V3629" i="29"/>
  <c r="U3629" i="29"/>
  <c r="T3629" i="29"/>
  <c r="R3629" i="29"/>
  <c r="Q3629" i="29"/>
  <c r="V3628" i="29"/>
  <c r="U3628" i="29"/>
  <c r="T3628" i="29"/>
  <c r="R3628" i="29"/>
  <c r="Q3628" i="29"/>
  <c r="V3627" i="29"/>
  <c r="U3627" i="29"/>
  <c r="T3627" i="29"/>
  <c r="R3627" i="29"/>
  <c r="Q3627" i="29"/>
  <c r="V3626" i="29"/>
  <c r="U3626" i="29"/>
  <c r="W3626" i="29" s="1"/>
  <c r="X3626" i="29" s="1"/>
  <c r="T3626" i="29"/>
  <c r="R3626" i="29"/>
  <c r="Q3626" i="29"/>
  <c r="V3625" i="29"/>
  <c r="U3625" i="29"/>
  <c r="W3625" i="29" s="1"/>
  <c r="X3625" i="29" s="1"/>
  <c r="T3625" i="29"/>
  <c r="R3625" i="29"/>
  <c r="Q3625" i="29"/>
  <c r="V3624" i="29"/>
  <c r="U3624" i="29"/>
  <c r="T3624" i="29"/>
  <c r="R3624" i="29"/>
  <c r="Q3624" i="29"/>
  <c r="V3623" i="29"/>
  <c r="U3623" i="29"/>
  <c r="T3623" i="29"/>
  <c r="R3623" i="29"/>
  <c r="Q3623" i="29"/>
  <c r="V3622" i="29"/>
  <c r="U3622" i="29"/>
  <c r="T3622" i="29"/>
  <c r="R3622" i="29"/>
  <c r="Q3622" i="29"/>
  <c r="V3621" i="29"/>
  <c r="U3621" i="29"/>
  <c r="T3621" i="29"/>
  <c r="R3621" i="29"/>
  <c r="Q3621" i="29"/>
  <c r="V3618" i="29"/>
  <c r="U3618" i="29"/>
  <c r="T3618" i="29"/>
  <c r="R3618" i="29"/>
  <c r="Q3618" i="29"/>
  <c r="V3617" i="29"/>
  <c r="U3617" i="29"/>
  <c r="T3617" i="29"/>
  <c r="R3617" i="29"/>
  <c r="Q3617" i="29"/>
  <c r="V3616" i="29"/>
  <c r="U3616" i="29"/>
  <c r="T3616" i="29"/>
  <c r="R3616" i="29"/>
  <c r="Q3616" i="29"/>
  <c r="V3615" i="29"/>
  <c r="U3615" i="29"/>
  <c r="T3615" i="29"/>
  <c r="R3615" i="29"/>
  <c r="Q3615" i="29"/>
  <c r="V3614" i="29"/>
  <c r="U3614" i="29"/>
  <c r="T3614" i="29"/>
  <c r="R3614" i="29"/>
  <c r="Q3614" i="29"/>
  <c r="V3613" i="29"/>
  <c r="U3613" i="29"/>
  <c r="T3613" i="29"/>
  <c r="R3613" i="29"/>
  <c r="Q3613" i="29"/>
  <c r="V3612" i="29"/>
  <c r="U3612" i="29"/>
  <c r="T3612" i="29"/>
  <c r="R3612" i="29"/>
  <c r="Q3612" i="29"/>
  <c r="V3611" i="29"/>
  <c r="U3611" i="29"/>
  <c r="T3611" i="29"/>
  <c r="R3611" i="29"/>
  <c r="Q3611" i="29"/>
  <c r="V3610" i="29"/>
  <c r="U3610" i="29"/>
  <c r="T3610" i="29"/>
  <c r="R3610" i="29"/>
  <c r="Q3610" i="29"/>
  <c r="V3607" i="29"/>
  <c r="U3607" i="29"/>
  <c r="T3607" i="29"/>
  <c r="R3607" i="29"/>
  <c r="Q3607" i="29"/>
  <c r="V3606" i="29"/>
  <c r="U3606" i="29"/>
  <c r="W3606" i="29" s="1"/>
  <c r="X3606" i="29" s="1"/>
  <c r="T3606" i="29"/>
  <c r="R3606" i="29"/>
  <c r="Q3606" i="29"/>
  <c r="V3605" i="29"/>
  <c r="U3605" i="29"/>
  <c r="T3605" i="29"/>
  <c r="R3605" i="29"/>
  <c r="Q3605" i="29"/>
  <c r="V3604" i="29"/>
  <c r="U3604" i="29"/>
  <c r="T3604" i="29"/>
  <c r="R3604" i="29"/>
  <c r="Q3604" i="29"/>
  <c r="V3603" i="29"/>
  <c r="U3603" i="29"/>
  <c r="T3603" i="29"/>
  <c r="R3603" i="29"/>
  <c r="Q3603" i="29"/>
  <c r="V3602" i="29"/>
  <c r="U3602" i="29"/>
  <c r="W3602" i="29" s="1"/>
  <c r="X3602" i="29" s="1"/>
  <c r="T3602" i="29"/>
  <c r="R3602" i="29"/>
  <c r="Q3602" i="29"/>
  <c r="V3601" i="29"/>
  <c r="U3601" i="29"/>
  <c r="T3601" i="29"/>
  <c r="R3601" i="29"/>
  <c r="Q3601" i="29"/>
  <c r="V3600" i="29"/>
  <c r="U3600" i="29"/>
  <c r="W3600" i="29" s="1"/>
  <c r="X3600" i="29" s="1"/>
  <c r="T3600" i="29"/>
  <c r="R3600" i="29"/>
  <c r="Q3600" i="29"/>
  <c r="V3599" i="29"/>
  <c r="U3599" i="29"/>
  <c r="W3599" i="29" s="1"/>
  <c r="X3599" i="29" s="1"/>
  <c r="T3599" i="29"/>
  <c r="R3599" i="29"/>
  <c r="Q3599" i="29"/>
  <c r="V3596" i="29"/>
  <c r="U3596" i="29"/>
  <c r="T3596" i="29"/>
  <c r="R3596" i="29"/>
  <c r="Q3596" i="29"/>
  <c r="V3595" i="29"/>
  <c r="U3595" i="29"/>
  <c r="T3595" i="29"/>
  <c r="R3595" i="29"/>
  <c r="Q3595" i="29"/>
  <c r="V3594" i="29"/>
  <c r="U3594" i="29"/>
  <c r="T3594" i="29"/>
  <c r="R3594" i="29"/>
  <c r="Q3594" i="29"/>
  <c r="V3593" i="29"/>
  <c r="U3593" i="29"/>
  <c r="T3593" i="29"/>
  <c r="R3593" i="29"/>
  <c r="Q3593" i="29"/>
  <c r="V3592" i="29"/>
  <c r="U3592" i="29"/>
  <c r="T3592" i="29"/>
  <c r="R3592" i="29"/>
  <c r="Q3592" i="29"/>
  <c r="V3591" i="29"/>
  <c r="U3591" i="29"/>
  <c r="T3591" i="29"/>
  <c r="R3591" i="29"/>
  <c r="Q3591" i="29"/>
  <c r="V3590" i="29"/>
  <c r="U3590" i="29"/>
  <c r="T3590" i="29"/>
  <c r="R3590" i="29"/>
  <c r="Q3590" i="29"/>
  <c r="V3589" i="29"/>
  <c r="U3589" i="29"/>
  <c r="T3589" i="29"/>
  <c r="R3589" i="29"/>
  <c r="Q3589" i="29"/>
  <c r="V3588" i="29"/>
  <c r="U3588" i="29"/>
  <c r="T3588" i="29"/>
  <c r="R3588" i="29"/>
  <c r="Q3588" i="29"/>
  <c r="V3585" i="29"/>
  <c r="U3585" i="29"/>
  <c r="T3585" i="29"/>
  <c r="R3585" i="29"/>
  <c r="Q3585" i="29"/>
  <c r="V3584" i="29"/>
  <c r="U3584" i="29"/>
  <c r="T3584" i="29"/>
  <c r="R3584" i="29"/>
  <c r="Q3584" i="29"/>
  <c r="V3583" i="29"/>
  <c r="U3583" i="29"/>
  <c r="T3583" i="29"/>
  <c r="R3583" i="29"/>
  <c r="Q3583" i="29"/>
  <c r="V3582" i="29"/>
  <c r="U3582" i="29"/>
  <c r="T3582" i="29"/>
  <c r="R3582" i="29"/>
  <c r="Q3582" i="29"/>
  <c r="V3581" i="29"/>
  <c r="U3581" i="29"/>
  <c r="T3581" i="29"/>
  <c r="R3581" i="29"/>
  <c r="Q3581" i="29"/>
  <c r="V3580" i="29"/>
  <c r="U3580" i="29"/>
  <c r="T3580" i="29"/>
  <c r="R3580" i="29"/>
  <c r="Q3580" i="29"/>
  <c r="V3579" i="29"/>
  <c r="U3579" i="29"/>
  <c r="W3579" i="29" s="1"/>
  <c r="X3579" i="29" s="1"/>
  <c r="T3579" i="29"/>
  <c r="R3579" i="29"/>
  <c r="Q3579" i="29"/>
  <c r="V3578" i="29"/>
  <c r="U3578" i="29"/>
  <c r="T3578" i="29"/>
  <c r="R3578" i="29"/>
  <c r="Q3578" i="29"/>
  <c r="V3577" i="29"/>
  <c r="U3577" i="29"/>
  <c r="T3577" i="29"/>
  <c r="R3577" i="29"/>
  <c r="Q3577" i="29"/>
  <c r="V3574" i="29"/>
  <c r="U3574" i="29"/>
  <c r="T3574" i="29"/>
  <c r="R3574" i="29"/>
  <c r="Q3574" i="29"/>
  <c r="V3573" i="29"/>
  <c r="U3573" i="29"/>
  <c r="T3573" i="29"/>
  <c r="R3573" i="29"/>
  <c r="Q3573" i="29"/>
  <c r="V3572" i="29"/>
  <c r="U3572" i="29"/>
  <c r="T3572" i="29"/>
  <c r="R3572" i="29"/>
  <c r="Q3572" i="29"/>
  <c r="V3571" i="29"/>
  <c r="U3571" i="29"/>
  <c r="T3571" i="29"/>
  <c r="R3571" i="29"/>
  <c r="Q3571" i="29"/>
  <c r="V3570" i="29"/>
  <c r="U3570" i="29"/>
  <c r="T3570" i="29"/>
  <c r="R3570" i="29"/>
  <c r="Q3570" i="29"/>
  <c r="V3569" i="29"/>
  <c r="U3569" i="29"/>
  <c r="T3569" i="29"/>
  <c r="R3569" i="29"/>
  <c r="Q3569" i="29"/>
  <c r="V3568" i="29"/>
  <c r="U3568" i="29"/>
  <c r="T3568" i="29"/>
  <c r="R3568" i="29"/>
  <c r="Q3568" i="29"/>
  <c r="V3567" i="29"/>
  <c r="U3567" i="29"/>
  <c r="T3567" i="29"/>
  <c r="R3567" i="29"/>
  <c r="Q3567" i="29"/>
  <c r="V3566" i="29"/>
  <c r="U3566" i="29"/>
  <c r="T3566" i="29"/>
  <c r="R3566" i="29"/>
  <c r="Q3566" i="29"/>
  <c r="V3563" i="29"/>
  <c r="U3563" i="29"/>
  <c r="T3563" i="29"/>
  <c r="R3563" i="29"/>
  <c r="Q3563" i="29"/>
  <c r="V3562" i="29"/>
  <c r="U3562" i="29"/>
  <c r="T3562" i="29"/>
  <c r="R3562" i="29"/>
  <c r="Q3562" i="29"/>
  <c r="V3561" i="29"/>
  <c r="U3561" i="29"/>
  <c r="T3561" i="29"/>
  <c r="R3561" i="29"/>
  <c r="Q3561" i="29"/>
  <c r="V3560" i="29"/>
  <c r="U3560" i="29"/>
  <c r="T3560" i="29"/>
  <c r="R3560" i="29"/>
  <c r="Q3560" i="29"/>
  <c r="V3559" i="29"/>
  <c r="U3559" i="29"/>
  <c r="W3559" i="29" s="1"/>
  <c r="X3559" i="29" s="1"/>
  <c r="T3559" i="29"/>
  <c r="R3559" i="29"/>
  <c r="Q3559" i="29"/>
  <c r="V3558" i="29"/>
  <c r="U3558" i="29"/>
  <c r="T3558" i="29"/>
  <c r="R3558" i="29"/>
  <c r="Q3558" i="29"/>
  <c r="V3557" i="29"/>
  <c r="U3557" i="29"/>
  <c r="T3557" i="29"/>
  <c r="R3557" i="29"/>
  <c r="Q3557" i="29"/>
  <c r="V3556" i="29"/>
  <c r="U3556" i="29"/>
  <c r="T3556" i="29"/>
  <c r="R3556" i="29"/>
  <c r="Q3556" i="29"/>
  <c r="V3555" i="29"/>
  <c r="U3555" i="29"/>
  <c r="T3555" i="29"/>
  <c r="R3555" i="29"/>
  <c r="Q3555" i="29"/>
  <c r="V3552" i="29"/>
  <c r="U3552" i="29"/>
  <c r="T3552" i="29"/>
  <c r="R3552" i="29"/>
  <c r="Q3552" i="29"/>
  <c r="V3551" i="29"/>
  <c r="U3551" i="29"/>
  <c r="T3551" i="29"/>
  <c r="R3551" i="29"/>
  <c r="Q3551" i="29"/>
  <c r="V3550" i="29"/>
  <c r="U3550" i="29"/>
  <c r="T3550" i="29"/>
  <c r="R3550" i="29"/>
  <c r="Q3550" i="29"/>
  <c r="V3549" i="29"/>
  <c r="U3549" i="29"/>
  <c r="T3549" i="29"/>
  <c r="R3549" i="29"/>
  <c r="Q3549" i="29"/>
  <c r="V3548" i="29"/>
  <c r="U3548" i="29"/>
  <c r="T3548" i="29"/>
  <c r="R3548" i="29"/>
  <c r="Q3548" i="29"/>
  <c r="V3547" i="29"/>
  <c r="U3547" i="29"/>
  <c r="T3547" i="29"/>
  <c r="R3547" i="29"/>
  <c r="Q3547" i="29"/>
  <c r="V3546" i="29"/>
  <c r="U3546" i="29"/>
  <c r="T3546" i="29"/>
  <c r="R3546" i="29"/>
  <c r="Q3546" i="29"/>
  <c r="V3545" i="29"/>
  <c r="U3545" i="29"/>
  <c r="T3545" i="29"/>
  <c r="R3545" i="29"/>
  <c r="Q3545" i="29"/>
  <c r="V3544" i="29"/>
  <c r="U3544" i="29"/>
  <c r="T3544" i="29"/>
  <c r="R3544" i="29"/>
  <c r="Q3544" i="29"/>
  <c r="V3541" i="29"/>
  <c r="U3541" i="29"/>
  <c r="T3541" i="29"/>
  <c r="R3541" i="29"/>
  <c r="Q3541" i="29"/>
  <c r="V3540" i="29"/>
  <c r="U3540" i="29"/>
  <c r="T3540" i="29"/>
  <c r="R3540" i="29"/>
  <c r="Q3540" i="29"/>
  <c r="V3539" i="29"/>
  <c r="U3539" i="29"/>
  <c r="T3539" i="29"/>
  <c r="R3539" i="29"/>
  <c r="Q3539" i="29"/>
  <c r="V3538" i="29"/>
  <c r="U3538" i="29"/>
  <c r="T3538" i="29"/>
  <c r="R3538" i="29"/>
  <c r="Q3538" i="29"/>
  <c r="V3537" i="29"/>
  <c r="U3537" i="29"/>
  <c r="T3537" i="29"/>
  <c r="R3537" i="29"/>
  <c r="Q3537" i="29"/>
  <c r="V3536" i="29"/>
  <c r="U3536" i="29"/>
  <c r="T3536" i="29"/>
  <c r="R3536" i="29"/>
  <c r="Q3536" i="29"/>
  <c r="V3535" i="29"/>
  <c r="U3535" i="29"/>
  <c r="T3535" i="29"/>
  <c r="R3535" i="29"/>
  <c r="Q3535" i="29"/>
  <c r="V3534" i="29"/>
  <c r="U3534" i="29"/>
  <c r="T3534" i="29"/>
  <c r="R3534" i="29"/>
  <c r="Q3534" i="29"/>
  <c r="V3533" i="29"/>
  <c r="U3533" i="29"/>
  <c r="T3533" i="29"/>
  <c r="R3533" i="29"/>
  <c r="Q3533" i="29"/>
  <c r="V3530" i="29"/>
  <c r="U3530" i="29"/>
  <c r="T3530" i="29"/>
  <c r="R3530" i="29"/>
  <c r="Q3530" i="29"/>
  <c r="V3529" i="29"/>
  <c r="U3529" i="29"/>
  <c r="T3529" i="29"/>
  <c r="R3529" i="29"/>
  <c r="Q3529" i="29"/>
  <c r="V3528" i="29"/>
  <c r="U3528" i="29"/>
  <c r="T3528" i="29"/>
  <c r="R3528" i="29"/>
  <c r="Q3528" i="29"/>
  <c r="V3527" i="29"/>
  <c r="U3527" i="29"/>
  <c r="T3527" i="29"/>
  <c r="R3527" i="29"/>
  <c r="Q3527" i="29"/>
  <c r="V3526" i="29"/>
  <c r="U3526" i="29"/>
  <c r="T3526" i="29"/>
  <c r="R3526" i="29"/>
  <c r="Q3526" i="29"/>
  <c r="V3525" i="29"/>
  <c r="U3525" i="29"/>
  <c r="T3525" i="29"/>
  <c r="R3525" i="29"/>
  <c r="Q3525" i="29"/>
  <c r="V3524" i="29"/>
  <c r="U3524" i="29"/>
  <c r="T3524" i="29"/>
  <c r="R3524" i="29"/>
  <c r="Q3524" i="29"/>
  <c r="V3523" i="29"/>
  <c r="U3523" i="29"/>
  <c r="T3523" i="29"/>
  <c r="R3523" i="29"/>
  <c r="Q3523" i="29"/>
  <c r="V3522" i="29"/>
  <c r="U3522" i="29"/>
  <c r="T3522" i="29"/>
  <c r="R3522" i="29"/>
  <c r="Q3522" i="29"/>
  <c r="V3519" i="29"/>
  <c r="U3519" i="29"/>
  <c r="T3519" i="29"/>
  <c r="R3519" i="29"/>
  <c r="Q3519" i="29"/>
  <c r="V3518" i="29"/>
  <c r="U3518" i="29"/>
  <c r="T3518" i="29"/>
  <c r="R3518" i="29"/>
  <c r="Q3518" i="29"/>
  <c r="V3517" i="29"/>
  <c r="U3517" i="29"/>
  <c r="T3517" i="29"/>
  <c r="R3517" i="29"/>
  <c r="Q3517" i="29"/>
  <c r="V3516" i="29"/>
  <c r="U3516" i="29"/>
  <c r="T3516" i="29"/>
  <c r="R3516" i="29"/>
  <c r="Q3516" i="29"/>
  <c r="V3515" i="29"/>
  <c r="U3515" i="29"/>
  <c r="T3515" i="29"/>
  <c r="R3515" i="29"/>
  <c r="Q3515" i="29"/>
  <c r="V3514" i="29"/>
  <c r="U3514" i="29"/>
  <c r="T3514" i="29"/>
  <c r="R3514" i="29"/>
  <c r="Q3514" i="29"/>
  <c r="V3513" i="29"/>
  <c r="U3513" i="29"/>
  <c r="T3513" i="29"/>
  <c r="R3513" i="29"/>
  <c r="Q3513" i="29"/>
  <c r="V3512" i="29"/>
  <c r="U3512" i="29"/>
  <c r="T3512" i="29"/>
  <c r="R3512" i="29"/>
  <c r="Q3512" i="29"/>
  <c r="V3511" i="29"/>
  <c r="U3511" i="29"/>
  <c r="T3511" i="29"/>
  <c r="R3511" i="29"/>
  <c r="Q3511" i="29"/>
  <c r="V3508" i="29"/>
  <c r="U3508" i="29"/>
  <c r="T3508" i="29"/>
  <c r="R3508" i="29"/>
  <c r="Q3508" i="29"/>
  <c r="V3507" i="29"/>
  <c r="U3507" i="29"/>
  <c r="T3507" i="29"/>
  <c r="R3507" i="29"/>
  <c r="Q3507" i="29"/>
  <c r="V3506" i="29"/>
  <c r="U3506" i="29"/>
  <c r="T3506" i="29"/>
  <c r="R3506" i="29"/>
  <c r="Q3506" i="29"/>
  <c r="V3505" i="29"/>
  <c r="U3505" i="29"/>
  <c r="T3505" i="29"/>
  <c r="R3505" i="29"/>
  <c r="Q3505" i="29"/>
  <c r="V3504" i="29"/>
  <c r="U3504" i="29"/>
  <c r="T3504" i="29"/>
  <c r="R3504" i="29"/>
  <c r="Q3504" i="29"/>
  <c r="V3503" i="29"/>
  <c r="U3503" i="29"/>
  <c r="T3503" i="29"/>
  <c r="R3503" i="29"/>
  <c r="Q3503" i="29"/>
  <c r="V3502" i="29"/>
  <c r="U3502" i="29"/>
  <c r="T3502" i="29"/>
  <c r="R3502" i="29"/>
  <c r="Q3502" i="29"/>
  <c r="V3501" i="29"/>
  <c r="U3501" i="29"/>
  <c r="T3501" i="29"/>
  <c r="R3501" i="29"/>
  <c r="Q3501" i="29"/>
  <c r="V3500" i="29"/>
  <c r="U3500" i="29"/>
  <c r="T3500" i="29"/>
  <c r="R3500" i="29"/>
  <c r="Q3500" i="29"/>
  <c r="V3497" i="29"/>
  <c r="U3497" i="29"/>
  <c r="T3497" i="29"/>
  <c r="R3497" i="29"/>
  <c r="Q3497" i="29"/>
  <c r="V3496" i="29"/>
  <c r="U3496" i="29"/>
  <c r="T3496" i="29"/>
  <c r="R3496" i="29"/>
  <c r="Q3496" i="29"/>
  <c r="V3495" i="29"/>
  <c r="U3495" i="29"/>
  <c r="T3495" i="29"/>
  <c r="R3495" i="29"/>
  <c r="Q3495" i="29"/>
  <c r="V3494" i="29"/>
  <c r="U3494" i="29"/>
  <c r="T3494" i="29"/>
  <c r="R3494" i="29"/>
  <c r="Q3494" i="29"/>
  <c r="V3493" i="29"/>
  <c r="U3493" i="29"/>
  <c r="T3493" i="29"/>
  <c r="R3493" i="29"/>
  <c r="Q3493" i="29"/>
  <c r="V3492" i="29"/>
  <c r="U3492" i="29"/>
  <c r="T3492" i="29"/>
  <c r="R3492" i="29"/>
  <c r="Q3492" i="29"/>
  <c r="V3491" i="29"/>
  <c r="U3491" i="29"/>
  <c r="T3491" i="29"/>
  <c r="R3491" i="29"/>
  <c r="Q3491" i="29"/>
  <c r="V3490" i="29"/>
  <c r="U3490" i="29"/>
  <c r="T3490" i="29"/>
  <c r="R3490" i="29"/>
  <c r="Q3490" i="29"/>
  <c r="V3489" i="29"/>
  <c r="U3489" i="29"/>
  <c r="T3489" i="29"/>
  <c r="R3489" i="29"/>
  <c r="Q3489" i="29"/>
  <c r="V3486" i="29"/>
  <c r="U3486" i="29"/>
  <c r="T3486" i="29"/>
  <c r="R3486" i="29"/>
  <c r="Q3486" i="29"/>
  <c r="V3485" i="29"/>
  <c r="U3485" i="29"/>
  <c r="T3485" i="29"/>
  <c r="R3485" i="29"/>
  <c r="Q3485" i="29"/>
  <c r="V3484" i="29"/>
  <c r="U3484" i="29"/>
  <c r="T3484" i="29"/>
  <c r="R3484" i="29"/>
  <c r="Q3484" i="29"/>
  <c r="V3483" i="29"/>
  <c r="U3483" i="29"/>
  <c r="T3483" i="29"/>
  <c r="R3483" i="29"/>
  <c r="Q3483" i="29"/>
  <c r="V3482" i="29"/>
  <c r="U3482" i="29"/>
  <c r="T3482" i="29"/>
  <c r="R3482" i="29"/>
  <c r="Q3482" i="29"/>
  <c r="V3481" i="29"/>
  <c r="U3481" i="29"/>
  <c r="T3481" i="29"/>
  <c r="R3481" i="29"/>
  <c r="Q3481" i="29"/>
  <c r="V3480" i="29"/>
  <c r="U3480" i="29"/>
  <c r="T3480" i="29"/>
  <c r="R3480" i="29"/>
  <c r="Q3480" i="29"/>
  <c r="V3479" i="29"/>
  <c r="U3479" i="29"/>
  <c r="T3479" i="29"/>
  <c r="R3479" i="29"/>
  <c r="Q3479" i="29"/>
  <c r="V3478" i="29"/>
  <c r="U3478" i="29"/>
  <c r="T3478" i="29"/>
  <c r="R3478" i="29"/>
  <c r="Q3478" i="29"/>
  <c r="V3475" i="29"/>
  <c r="U3475" i="29"/>
  <c r="T3475" i="29"/>
  <c r="R3475" i="29"/>
  <c r="Q3475" i="29"/>
  <c r="V3474" i="29"/>
  <c r="U3474" i="29"/>
  <c r="T3474" i="29"/>
  <c r="R3474" i="29"/>
  <c r="Q3474" i="29"/>
  <c r="V3473" i="29"/>
  <c r="U3473" i="29"/>
  <c r="T3473" i="29"/>
  <c r="R3473" i="29"/>
  <c r="Q3473" i="29"/>
  <c r="V3472" i="29"/>
  <c r="U3472" i="29"/>
  <c r="T3472" i="29"/>
  <c r="R3472" i="29"/>
  <c r="Q3472" i="29"/>
  <c r="V3471" i="29"/>
  <c r="U3471" i="29"/>
  <c r="T3471" i="29"/>
  <c r="R3471" i="29"/>
  <c r="Q3471" i="29"/>
  <c r="V3470" i="29"/>
  <c r="U3470" i="29"/>
  <c r="W3470" i="29" s="1"/>
  <c r="X3470" i="29" s="1"/>
  <c r="T3470" i="29"/>
  <c r="R3470" i="29"/>
  <c r="Q3470" i="29"/>
  <c r="V3469" i="29"/>
  <c r="U3469" i="29"/>
  <c r="T3469" i="29"/>
  <c r="R3469" i="29"/>
  <c r="Q3469" i="29"/>
  <c r="V3468" i="29"/>
  <c r="U3468" i="29"/>
  <c r="T3468" i="29"/>
  <c r="R3468" i="29"/>
  <c r="Q3468" i="29"/>
  <c r="V3467" i="29"/>
  <c r="U3467" i="29"/>
  <c r="T3467" i="29"/>
  <c r="R3467" i="29"/>
  <c r="Q3467" i="29"/>
  <c r="V3464" i="29"/>
  <c r="U3464" i="29"/>
  <c r="T3464" i="29"/>
  <c r="R3464" i="29"/>
  <c r="Q3464" i="29"/>
  <c r="V3463" i="29"/>
  <c r="U3463" i="29"/>
  <c r="W3463" i="29" s="1"/>
  <c r="X3463" i="29" s="1"/>
  <c r="T3463" i="29"/>
  <c r="R3463" i="29"/>
  <c r="Q3463" i="29"/>
  <c r="V3462" i="29"/>
  <c r="U3462" i="29"/>
  <c r="T3462" i="29"/>
  <c r="R3462" i="29"/>
  <c r="Q3462" i="29"/>
  <c r="V3461" i="29"/>
  <c r="U3461" i="29"/>
  <c r="T3461" i="29"/>
  <c r="R3461" i="29"/>
  <c r="Q3461" i="29"/>
  <c r="V3460" i="29"/>
  <c r="U3460" i="29"/>
  <c r="T3460" i="29"/>
  <c r="R3460" i="29"/>
  <c r="Q3460" i="29"/>
  <c r="V3459" i="29"/>
  <c r="U3459" i="29"/>
  <c r="T3459" i="29"/>
  <c r="R3459" i="29"/>
  <c r="Q3459" i="29"/>
  <c r="V3458" i="29"/>
  <c r="U3458" i="29"/>
  <c r="T3458" i="29"/>
  <c r="R3458" i="29"/>
  <c r="Q3458" i="29"/>
  <c r="V3457" i="29"/>
  <c r="U3457" i="29"/>
  <c r="T3457" i="29"/>
  <c r="R3457" i="29"/>
  <c r="Q3457" i="29"/>
  <c r="V3456" i="29"/>
  <c r="U3456" i="29"/>
  <c r="T3456" i="29"/>
  <c r="R3456" i="29"/>
  <c r="Q3456" i="29"/>
  <c r="V3453" i="29"/>
  <c r="U3453" i="29"/>
  <c r="T3453" i="29"/>
  <c r="R3453" i="29"/>
  <c r="Q3453" i="29"/>
  <c r="V3452" i="29"/>
  <c r="U3452" i="29"/>
  <c r="T3452" i="29"/>
  <c r="R3452" i="29"/>
  <c r="Q3452" i="29"/>
  <c r="V3451" i="29"/>
  <c r="U3451" i="29"/>
  <c r="T3451" i="29"/>
  <c r="R3451" i="29"/>
  <c r="Q3451" i="29"/>
  <c r="V3450" i="29"/>
  <c r="U3450" i="29"/>
  <c r="T3450" i="29"/>
  <c r="R3450" i="29"/>
  <c r="Q3450" i="29"/>
  <c r="V3449" i="29"/>
  <c r="U3449" i="29"/>
  <c r="T3449" i="29"/>
  <c r="R3449" i="29"/>
  <c r="Q3449" i="29"/>
  <c r="V3448" i="29"/>
  <c r="U3448" i="29"/>
  <c r="T3448" i="29"/>
  <c r="R3448" i="29"/>
  <c r="Q3448" i="29"/>
  <c r="V3447" i="29"/>
  <c r="U3447" i="29"/>
  <c r="T3447" i="29"/>
  <c r="R3447" i="29"/>
  <c r="Q3447" i="29"/>
  <c r="V3446" i="29"/>
  <c r="U3446" i="29"/>
  <c r="T3446" i="29"/>
  <c r="R3446" i="29"/>
  <c r="Q3446" i="29"/>
  <c r="V3445" i="29"/>
  <c r="U3445" i="29"/>
  <c r="T3445" i="29"/>
  <c r="R3445" i="29"/>
  <c r="Q3445" i="29"/>
  <c r="V3442" i="29"/>
  <c r="U3442" i="29"/>
  <c r="T3442" i="29"/>
  <c r="R3442" i="29"/>
  <c r="Q3442" i="29"/>
  <c r="V3441" i="29"/>
  <c r="U3441" i="29"/>
  <c r="T3441" i="29"/>
  <c r="R3441" i="29"/>
  <c r="Q3441" i="29"/>
  <c r="V3440" i="29"/>
  <c r="U3440" i="29"/>
  <c r="T3440" i="29"/>
  <c r="R3440" i="29"/>
  <c r="Q3440" i="29"/>
  <c r="V3439" i="29"/>
  <c r="U3439" i="29"/>
  <c r="T3439" i="29"/>
  <c r="R3439" i="29"/>
  <c r="Q3439" i="29"/>
  <c r="V3438" i="29"/>
  <c r="U3438" i="29"/>
  <c r="T3438" i="29"/>
  <c r="R3438" i="29"/>
  <c r="Q3438" i="29"/>
  <c r="V3437" i="29"/>
  <c r="U3437" i="29"/>
  <c r="T3437" i="29"/>
  <c r="R3437" i="29"/>
  <c r="Q3437" i="29"/>
  <c r="V3436" i="29"/>
  <c r="U3436" i="29"/>
  <c r="T3436" i="29"/>
  <c r="R3436" i="29"/>
  <c r="Q3436" i="29"/>
  <c r="V3435" i="29"/>
  <c r="U3435" i="29"/>
  <c r="T3435" i="29"/>
  <c r="R3435" i="29"/>
  <c r="Q3435" i="29"/>
  <c r="V3434" i="29"/>
  <c r="U3434" i="29"/>
  <c r="T3434" i="29"/>
  <c r="R3434" i="29"/>
  <c r="Q3434" i="29"/>
  <c r="V3431" i="29"/>
  <c r="U3431" i="29"/>
  <c r="T3431" i="29"/>
  <c r="R3431" i="29"/>
  <c r="Q3431" i="29"/>
  <c r="V3430" i="29"/>
  <c r="U3430" i="29"/>
  <c r="T3430" i="29"/>
  <c r="R3430" i="29"/>
  <c r="Q3430" i="29"/>
  <c r="V3429" i="29"/>
  <c r="U3429" i="29"/>
  <c r="T3429" i="29"/>
  <c r="R3429" i="29"/>
  <c r="Q3429" i="29"/>
  <c r="V3428" i="29"/>
  <c r="U3428" i="29"/>
  <c r="T3428" i="29"/>
  <c r="R3428" i="29"/>
  <c r="Q3428" i="29"/>
  <c r="V3427" i="29"/>
  <c r="U3427" i="29"/>
  <c r="T3427" i="29"/>
  <c r="R3427" i="29"/>
  <c r="Q3427" i="29"/>
  <c r="V3426" i="29"/>
  <c r="U3426" i="29"/>
  <c r="T3426" i="29"/>
  <c r="R3426" i="29"/>
  <c r="Q3426" i="29"/>
  <c r="V3425" i="29"/>
  <c r="U3425" i="29"/>
  <c r="T3425" i="29"/>
  <c r="R3425" i="29"/>
  <c r="Q3425" i="29"/>
  <c r="V3424" i="29"/>
  <c r="U3424" i="29"/>
  <c r="T3424" i="29"/>
  <c r="R3424" i="29"/>
  <c r="Q3424" i="29"/>
  <c r="V3423" i="29"/>
  <c r="U3423" i="29"/>
  <c r="T3423" i="29"/>
  <c r="R3423" i="29"/>
  <c r="Q3423" i="29"/>
  <c r="V3420" i="29"/>
  <c r="U3420" i="29"/>
  <c r="T3420" i="29"/>
  <c r="R3420" i="29"/>
  <c r="Q3420" i="29"/>
  <c r="V3419" i="29"/>
  <c r="U3419" i="29"/>
  <c r="W3419" i="29" s="1"/>
  <c r="X3419" i="29" s="1"/>
  <c r="T3419" i="29"/>
  <c r="R3419" i="29"/>
  <c r="Q3419" i="29"/>
  <c r="V3418" i="29"/>
  <c r="U3418" i="29"/>
  <c r="T3418" i="29"/>
  <c r="R3418" i="29"/>
  <c r="Q3418" i="29"/>
  <c r="V3417" i="29"/>
  <c r="U3417" i="29"/>
  <c r="T3417" i="29"/>
  <c r="R3417" i="29"/>
  <c r="Q3417" i="29"/>
  <c r="V3416" i="29"/>
  <c r="U3416" i="29"/>
  <c r="T3416" i="29"/>
  <c r="R3416" i="29"/>
  <c r="Q3416" i="29"/>
  <c r="V3415" i="29"/>
  <c r="U3415" i="29"/>
  <c r="T3415" i="29"/>
  <c r="R3415" i="29"/>
  <c r="Q3415" i="29"/>
  <c r="V3414" i="29"/>
  <c r="U3414" i="29"/>
  <c r="T3414" i="29"/>
  <c r="R3414" i="29"/>
  <c r="Q3414" i="29"/>
  <c r="V3413" i="29"/>
  <c r="U3413" i="29"/>
  <c r="T3413" i="29"/>
  <c r="R3413" i="29"/>
  <c r="Q3413" i="29"/>
  <c r="V3412" i="29"/>
  <c r="U3412" i="29"/>
  <c r="T3412" i="29"/>
  <c r="R3412" i="29"/>
  <c r="Q3412" i="29"/>
  <c r="V3409" i="29"/>
  <c r="U3409" i="29"/>
  <c r="T3409" i="29"/>
  <c r="R3409" i="29"/>
  <c r="Q3409" i="29"/>
  <c r="V3408" i="29"/>
  <c r="U3408" i="29"/>
  <c r="T3408" i="29"/>
  <c r="R3408" i="29"/>
  <c r="Q3408" i="29"/>
  <c r="V3407" i="29"/>
  <c r="U3407" i="29"/>
  <c r="T3407" i="29"/>
  <c r="R3407" i="29"/>
  <c r="Q3407" i="29"/>
  <c r="V3406" i="29"/>
  <c r="U3406" i="29"/>
  <c r="T3406" i="29"/>
  <c r="R3406" i="29"/>
  <c r="Q3406" i="29"/>
  <c r="V3405" i="29"/>
  <c r="U3405" i="29"/>
  <c r="T3405" i="29"/>
  <c r="R3405" i="29"/>
  <c r="Q3405" i="29"/>
  <c r="V3404" i="29"/>
  <c r="U3404" i="29"/>
  <c r="T3404" i="29"/>
  <c r="R3404" i="29"/>
  <c r="Q3404" i="29"/>
  <c r="V3403" i="29"/>
  <c r="U3403" i="29"/>
  <c r="T3403" i="29"/>
  <c r="R3403" i="29"/>
  <c r="Q3403" i="29"/>
  <c r="V3402" i="29"/>
  <c r="U3402" i="29"/>
  <c r="T3402" i="29"/>
  <c r="R3402" i="29"/>
  <c r="Q3402" i="29"/>
  <c r="V3401" i="29"/>
  <c r="U3401" i="29"/>
  <c r="T3401" i="29"/>
  <c r="R3401" i="29"/>
  <c r="Q3401" i="29"/>
  <c r="V3398" i="29"/>
  <c r="U3398" i="29"/>
  <c r="T3398" i="29"/>
  <c r="R3398" i="29"/>
  <c r="Q3398" i="29"/>
  <c r="V3397" i="29"/>
  <c r="U3397" i="29"/>
  <c r="T3397" i="29"/>
  <c r="R3397" i="29"/>
  <c r="Q3397" i="29"/>
  <c r="V3396" i="29"/>
  <c r="U3396" i="29"/>
  <c r="T3396" i="29"/>
  <c r="R3396" i="29"/>
  <c r="Q3396" i="29"/>
  <c r="V3395" i="29"/>
  <c r="U3395" i="29"/>
  <c r="T3395" i="29"/>
  <c r="R3395" i="29"/>
  <c r="Q3395" i="29"/>
  <c r="V3394" i="29"/>
  <c r="U3394" i="29"/>
  <c r="T3394" i="29"/>
  <c r="R3394" i="29"/>
  <c r="Q3394" i="29"/>
  <c r="V3393" i="29"/>
  <c r="U3393" i="29"/>
  <c r="T3393" i="29"/>
  <c r="R3393" i="29"/>
  <c r="Q3393" i="29"/>
  <c r="V3392" i="29"/>
  <c r="U3392" i="29"/>
  <c r="T3392" i="29"/>
  <c r="R3392" i="29"/>
  <c r="Q3392" i="29"/>
  <c r="V3391" i="29"/>
  <c r="U3391" i="29"/>
  <c r="T3391" i="29"/>
  <c r="R3391" i="29"/>
  <c r="Q3391" i="29"/>
  <c r="V3390" i="29"/>
  <c r="U3390" i="29"/>
  <c r="T3390" i="29"/>
  <c r="R3390" i="29"/>
  <c r="Q3390" i="29"/>
  <c r="V3387" i="29"/>
  <c r="U3387" i="29"/>
  <c r="T3387" i="29"/>
  <c r="R3387" i="29"/>
  <c r="Q3387" i="29"/>
  <c r="V3386" i="29"/>
  <c r="U3386" i="29"/>
  <c r="T3386" i="29"/>
  <c r="R3386" i="29"/>
  <c r="Q3386" i="29"/>
  <c r="V3385" i="29"/>
  <c r="U3385" i="29"/>
  <c r="T3385" i="29"/>
  <c r="R3385" i="29"/>
  <c r="Q3385" i="29"/>
  <c r="V3384" i="29"/>
  <c r="U3384" i="29"/>
  <c r="T3384" i="29"/>
  <c r="R3384" i="29"/>
  <c r="Q3384" i="29"/>
  <c r="V3383" i="29"/>
  <c r="U3383" i="29"/>
  <c r="T3383" i="29"/>
  <c r="R3383" i="29"/>
  <c r="Q3383" i="29"/>
  <c r="V3382" i="29"/>
  <c r="U3382" i="29"/>
  <c r="T3382" i="29"/>
  <c r="R3382" i="29"/>
  <c r="Q3382" i="29"/>
  <c r="V3381" i="29"/>
  <c r="U3381" i="29"/>
  <c r="T3381" i="29"/>
  <c r="R3381" i="29"/>
  <c r="Q3381" i="29"/>
  <c r="V3380" i="29"/>
  <c r="U3380" i="29"/>
  <c r="T3380" i="29"/>
  <c r="R3380" i="29"/>
  <c r="Q3380" i="29"/>
  <c r="V3379" i="29"/>
  <c r="U3379" i="29"/>
  <c r="T3379" i="29"/>
  <c r="R3379" i="29"/>
  <c r="Q3379" i="29"/>
  <c r="V3376" i="29"/>
  <c r="U3376" i="29"/>
  <c r="T3376" i="29"/>
  <c r="R3376" i="29"/>
  <c r="Q3376" i="29"/>
  <c r="V3375" i="29"/>
  <c r="U3375" i="29"/>
  <c r="T3375" i="29"/>
  <c r="R3375" i="29"/>
  <c r="Q3375" i="29"/>
  <c r="V3374" i="29"/>
  <c r="U3374" i="29"/>
  <c r="T3374" i="29"/>
  <c r="R3374" i="29"/>
  <c r="Q3374" i="29"/>
  <c r="V3373" i="29"/>
  <c r="U3373" i="29"/>
  <c r="T3373" i="29"/>
  <c r="R3373" i="29"/>
  <c r="Q3373" i="29"/>
  <c r="V3372" i="29"/>
  <c r="U3372" i="29"/>
  <c r="T3372" i="29"/>
  <c r="R3372" i="29"/>
  <c r="Q3372" i="29"/>
  <c r="V3371" i="29"/>
  <c r="U3371" i="29"/>
  <c r="T3371" i="29"/>
  <c r="R3371" i="29"/>
  <c r="Q3371" i="29"/>
  <c r="V3370" i="29"/>
  <c r="U3370" i="29"/>
  <c r="T3370" i="29"/>
  <c r="R3370" i="29"/>
  <c r="Q3370" i="29"/>
  <c r="V3369" i="29"/>
  <c r="U3369" i="29"/>
  <c r="T3369" i="29"/>
  <c r="R3369" i="29"/>
  <c r="Q3369" i="29"/>
  <c r="V3368" i="29"/>
  <c r="U3368" i="29"/>
  <c r="T3368" i="29"/>
  <c r="R3368" i="29"/>
  <c r="Q3368" i="29"/>
  <c r="V3365" i="29"/>
  <c r="U3365" i="29"/>
  <c r="T3365" i="29"/>
  <c r="R3365" i="29"/>
  <c r="Q3365" i="29"/>
  <c r="V3364" i="29"/>
  <c r="U3364" i="29"/>
  <c r="T3364" i="29"/>
  <c r="R3364" i="29"/>
  <c r="Q3364" i="29"/>
  <c r="V3363" i="29"/>
  <c r="U3363" i="29"/>
  <c r="T3363" i="29"/>
  <c r="R3363" i="29"/>
  <c r="Q3363" i="29"/>
  <c r="V3362" i="29"/>
  <c r="U3362" i="29"/>
  <c r="T3362" i="29"/>
  <c r="R3362" i="29"/>
  <c r="Q3362" i="29"/>
  <c r="V3361" i="29"/>
  <c r="U3361" i="29"/>
  <c r="W3361" i="29" s="1"/>
  <c r="X3361" i="29" s="1"/>
  <c r="T3361" i="29"/>
  <c r="R3361" i="29"/>
  <c r="Q3361" i="29"/>
  <c r="V3360" i="29"/>
  <c r="U3360" i="29"/>
  <c r="T3360" i="29"/>
  <c r="R3360" i="29"/>
  <c r="Q3360" i="29"/>
  <c r="V3359" i="29"/>
  <c r="U3359" i="29"/>
  <c r="T3359" i="29"/>
  <c r="R3359" i="29"/>
  <c r="Q3359" i="29"/>
  <c r="V3358" i="29"/>
  <c r="U3358" i="29"/>
  <c r="T3358" i="29"/>
  <c r="R3358" i="29"/>
  <c r="Q3358" i="29"/>
  <c r="V3357" i="29"/>
  <c r="U3357" i="29"/>
  <c r="T3357" i="29"/>
  <c r="R3357" i="29"/>
  <c r="Q3357" i="29"/>
  <c r="V3354" i="29"/>
  <c r="U3354" i="29"/>
  <c r="T3354" i="29"/>
  <c r="R3354" i="29"/>
  <c r="Q3354" i="29"/>
  <c r="V3353" i="29"/>
  <c r="U3353" i="29"/>
  <c r="T3353" i="29"/>
  <c r="R3353" i="29"/>
  <c r="Q3353" i="29"/>
  <c r="V3352" i="29"/>
  <c r="U3352" i="29"/>
  <c r="T3352" i="29"/>
  <c r="R3352" i="29"/>
  <c r="Q3352" i="29"/>
  <c r="V3351" i="29"/>
  <c r="U3351" i="29"/>
  <c r="T3351" i="29"/>
  <c r="R3351" i="29"/>
  <c r="Q3351" i="29"/>
  <c r="V3350" i="29"/>
  <c r="U3350" i="29"/>
  <c r="T3350" i="29"/>
  <c r="R3350" i="29"/>
  <c r="Q3350" i="29"/>
  <c r="V3349" i="29"/>
  <c r="U3349" i="29"/>
  <c r="T3349" i="29"/>
  <c r="R3349" i="29"/>
  <c r="Q3349" i="29"/>
  <c r="V3348" i="29"/>
  <c r="U3348" i="29"/>
  <c r="T3348" i="29"/>
  <c r="R3348" i="29"/>
  <c r="Q3348" i="29"/>
  <c r="V3347" i="29"/>
  <c r="U3347" i="29"/>
  <c r="T3347" i="29"/>
  <c r="R3347" i="29"/>
  <c r="Q3347" i="29"/>
  <c r="V3346" i="29"/>
  <c r="U3346" i="29"/>
  <c r="T3346" i="29"/>
  <c r="R3346" i="29"/>
  <c r="Q3346" i="29"/>
  <c r="V3343" i="29"/>
  <c r="U3343" i="29"/>
  <c r="T3343" i="29"/>
  <c r="R3343" i="29"/>
  <c r="Q3343" i="29"/>
  <c r="V3342" i="29"/>
  <c r="U3342" i="29"/>
  <c r="T3342" i="29"/>
  <c r="R3342" i="29"/>
  <c r="Q3342" i="29"/>
  <c r="V3341" i="29"/>
  <c r="U3341" i="29"/>
  <c r="T3341" i="29"/>
  <c r="R3341" i="29"/>
  <c r="Q3341" i="29"/>
  <c r="V3340" i="29"/>
  <c r="U3340" i="29"/>
  <c r="T3340" i="29"/>
  <c r="R3340" i="29"/>
  <c r="Q3340" i="29"/>
  <c r="V3339" i="29"/>
  <c r="U3339" i="29"/>
  <c r="T3339" i="29"/>
  <c r="R3339" i="29"/>
  <c r="Q3339" i="29"/>
  <c r="V3338" i="29"/>
  <c r="U3338" i="29"/>
  <c r="T3338" i="29"/>
  <c r="R3338" i="29"/>
  <c r="Q3338" i="29"/>
  <c r="V3337" i="29"/>
  <c r="U3337" i="29"/>
  <c r="T3337" i="29"/>
  <c r="R3337" i="29"/>
  <c r="Q3337" i="29"/>
  <c r="V3336" i="29"/>
  <c r="U3336" i="29"/>
  <c r="T3336" i="29"/>
  <c r="R3336" i="29"/>
  <c r="Q3336" i="29"/>
  <c r="V3335" i="29"/>
  <c r="U3335" i="29"/>
  <c r="T3335" i="29"/>
  <c r="R3335" i="29"/>
  <c r="Q3335" i="29"/>
  <c r="V3332" i="29"/>
  <c r="U3332" i="29"/>
  <c r="T3332" i="29"/>
  <c r="R3332" i="29"/>
  <c r="Q3332" i="29"/>
  <c r="V3331" i="29"/>
  <c r="U3331" i="29"/>
  <c r="W3331" i="29" s="1"/>
  <c r="X3331" i="29" s="1"/>
  <c r="T3331" i="29"/>
  <c r="R3331" i="29"/>
  <c r="Q3331" i="29"/>
  <c r="V3330" i="29"/>
  <c r="U3330" i="29"/>
  <c r="T3330" i="29"/>
  <c r="R3330" i="29"/>
  <c r="Q3330" i="29"/>
  <c r="V3329" i="29"/>
  <c r="U3329" i="29"/>
  <c r="T3329" i="29"/>
  <c r="R3329" i="29"/>
  <c r="Q3329" i="29"/>
  <c r="V3328" i="29"/>
  <c r="U3328" i="29"/>
  <c r="T3328" i="29"/>
  <c r="R3328" i="29"/>
  <c r="Q3328" i="29"/>
  <c r="V3327" i="29"/>
  <c r="U3327" i="29"/>
  <c r="T3327" i="29"/>
  <c r="R3327" i="29"/>
  <c r="Q3327" i="29"/>
  <c r="V3326" i="29"/>
  <c r="U3326" i="29"/>
  <c r="T3326" i="29"/>
  <c r="R3326" i="29"/>
  <c r="Q3326" i="29"/>
  <c r="V3325" i="29"/>
  <c r="U3325" i="29"/>
  <c r="T3325" i="29"/>
  <c r="R3325" i="29"/>
  <c r="Q3325" i="29"/>
  <c r="V3324" i="29"/>
  <c r="U3324" i="29"/>
  <c r="T3324" i="29"/>
  <c r="R3324" i="29"/>
  <c r="Q3324" i="29"/>
  <c r="V3321" i="29"/>
  <c r="U3321" i="29"/>
  <c r="T3321" i="29"/>
  <c r="R3321" i="29"/>
  <c r="Q3321" i="29"/>
  <c r="V3320" i="29"/>
  <c r="U3320" i="29"/>
  <c r="T3320" i="29"/>
  <c r="R3320" i="29"/>
  <c r="Q3320" i="29"/>
  <c r="V3319" i="29"/>
  <c r="U3319" i="29"/>
  <c r="T3319" i="29"/>
  <c r="R3319" i="29"/>
  <c r="Q3319" i="29"/>
  <c r="V3318" i="29"/>
  <c r="U3318" i="29"/>
  <c r="T3318" i="29"/>
  <c r="R3318" i="29"/>
  <c r="Q3318" i="29"/>
  <c r="V3317" i="29"/>
  <c r="U3317" i="29"/>
  <c r="T3317" i="29"/>
  <c r="R3317" i="29"/>
  <c r="Q3317" i="29"/>
  <c r="V3316" i="29"/>
  <c r="U3316" i="29"/>
  <c r="T3316" i="29"/>
  <c r="R3316" i="29"/>
  <c r="Q3316" i="29"/>
  <c r="V3315" i="29"/>
  <c r="U3315" i="29"/>
  <c r="T3315" i="29"/>
  <c r="R3315" i="29"/>
  <c r="Q3315" i="29"/>
  <c r="V3314" i="29"/>
  <c r="U3314" i="29"/>
  <c r="T3314" i="29"/>
  <c r="R3314" i="29"/>
  <c r="Q3314" i="29"/>
  <c r="V3313" i="29"/>
  <c r="U3313" i="29"/>
  <c r="T3313" i="29"/>
  <c r="R3313" i="29"/>
  <c r="Q3313" i="29"/>
  <c r="V3310" i="29"/>
  <c r="U3310" i="29"/>
  <c r="T3310" i="29"/>
  <c r="R3310" i="29"/>
  <c r="Q3310" i="29"/>
  <c r="V3309" i="29"/>
  <c r="U3309" i="29"/>
  <c r="T3309" i="29"/>
  <c r="R3309" i="29"/>
  <c r="Q3309" i="29"/>
  <c r="V3308" i="29"/>
  <c r="U3308" i="29"/>
  <c r="T3308" i="29"/>
  <c r="R3308" i="29"/>
  <c r="Q3308" i="29"/>
  <c r="V3307" i="29"/>
  <c r="U3307" i="29"/>
  <c r="T3307" i="29"/>
  <c r="R3307" i="29"/>
  <c r="Q3307" i="29"/>
  <c r="V3306" i="29"/>
  <c r="U3306" i="29"/>
  <c r="T3306" i="29"/>
  <c r="R3306" i="29"/>
  <c r="Q3306" i="29"/>
  <c r="V3305" i="29"/>
  <c r="U3305" i="29"/>
  <c r="T3305" i="29"/>
  <c r="R3305" i="29"/>
  <c r="Q3305" i="29"/>
  <c r="V3304" i="29"/>
  <c r="U3304" i="29"/>
  <c r="T3304" i="29"/>
  <c r="R3304" i="29"/>
  <c r="Q3304" i="29"/>
  <c r="V3303" i="29"/>
  <c r="U3303" i="29"/>
  <c r="T3303" i="29"/>
  <c r="R3303" i="29"/>
  <c r="Q3303" i="29"/>
  <c r="V3302" i="29"/>
  <c r="U3302" i="29"/>
  <c r="T3302" i="29"/>
  <c r="R3302" i="29"/>
  <c r="Q3302" i="29"/>
  <c r="V3299" i="29"/>
  <c r="U3299" i="29"/>
  <c r="T3299" i="29"/>
  <c r="R3299" i="29"/>
  <c r="Q3299" i="29"/>
  <c r="V3298" i="29"/>
  <c r="U3298" i="29"/>
  <c r="T3298" i="29"/>
  <c r="R3298" i="29"/>
  <c r="Q3298" i="29"/>
  <c r="V3297" i="29"/>
  <c r="U3297" i="29"/>
  <c r="T3297" i="29"/>
  <c r="R3297" i="29"/>
  <c r="Q3297" i="29"/>
  <c r="V3296" i="29"/>
  <c r="U3296" i="29"/>
  <c r="T3296" i="29"/>
  <c r="R3296" i="29"/>
  <c r="Q3296" i="29"/>
  <c r="V3295" i="29"/>
  <c r="U3295" i="29"/>
  <c r="T3295" i="29"/>
  <c r="R3295" i="29"/>
  <c r="Q3295" i="29"/>
  <c r="V3294" i="29"/>
  <c r="U3294" i="29"/>
  <c r="T3294" i="29"/>
  <c r="R3294" i="29"/>
  <c r="Q3294" i="29"/>
  <c r="V3293" i="29"/>
  <c r="U3293" i="29"/>
  <c r="T3293" i="29"/>
  <c r="R3293" i="29"/>
  <c r="Q3293" i="29"/>
  <c r="V3292" i="29"/>
  <c r="U3292" i="29"/>
  <c r="T3292" i="29"/>
  <c r="R3292" i="29"/>
  <c r="Q3292" i="29"/>
  <c r="V3291" i="29"/>
  <c r="U3291" i="29"/>
  <c r="T3291" i="29"/>
  <c r="R3291" i="29"/>
  <c r="Q3291" i="29"/>
  <c r="V3288" i="29"/>
  <c r="U3288" i="29"/>
  <c r="T3288" i="29"/>
  <c r="R3288" i="29"/>
  <c r="Q3288" i="29"/>
  <c r="V3287" i="29"/>
  <c r="U3287" i="29"/>
  <c r="T3287" i="29"/>
  <c r="R3287" i="29"/>
  <c r="Q3287" i="29"/>
  <c r="V3286" i="29"/>
  <c r="U3286" i="29"/>
  <c r="T3286" i="29"/>
  <c r="R3286" i="29"/>
  <c r="Q3286" i="29"/>
  <c r="V3285" i="29"/>
  <c r="U3285" i="29"/>
  <c r="T3285" i="29"/>
  <c r="R3285" i="29"/>
  <c r="Q3285" i="29"/>
  <c r="V3284" i="29"/>
  <c r="U3284" i="29"/>
  <c r="T3284" i="29"/>
  <c r="R3284" i="29"/>
  <c r="Q3284" i="29"/>
  <c r="V3283" i="29"/>
  <c r="U3283" i="29"/>
  <c r="T3283" i="29"/>
  <c r="R3283" i="29"/>
  <c r="Q3283" i="29"/>
  <c r="V3282" i="29"/>
  <c r="U3282" i="29"/>
  <c r="T3282" i="29"/>
  <c r="R3282" i="29"/>
  <c r="Q3282" i="29"/>
  <c r="V3281" i="29"/>
  <c r="U3281" i="29"/>
  <c r="T3281" i="29"/>
  <c r="R3281" i="29"/>
  <c r="Q3281" i="29"/>
  <c r="V3280" i="29"/>
  <c r="U3280" i="29"/>
  <c r="W3280" i="29" s="1"/>
  <c r="X3280" i="29" s="1"/>
  <c r="T3280" i="29"/>
  <c r="R3280" i="29"/>
  <c r="Q3280" i="29"/>
  <c r="V3277" i="29"/>
  <c r="U3277" i="29"/>
  <c r="T3277" i="29"/>
  <c r="R3277" i="29"/>
  <c r="Q3277" i="29"/>
  <c r="V3276" i="29"/>
  <c r="U3276" i="29"/>
  <c r="T3276" i="29"/>
  <c r="R3276" i="29"/>
  <c r="Q3276" i="29"/>
  <c r="V3275" i="29"/>
  <c r="U3275" i="29"/>
  <c r="T3275" i="29"/>
  <c r="R3275" i="29"/>
  <c r="Q3275" i="29"/>
  <c r="V3274" i="29"/>
  <c r="U3274" i="29"/>
  <c r="T3274" i="29"/>
  <c r="R3274" i="29"/>
  <c r="Q3274" i="29"/>
  <c r="V3273" i="29"/>
  <c r="U3273" i="29"/>
  <c r="T3273" i="29"/>
  <c r="R3273" i="29"/>
  <c r="Q3273" i="29"/>
  <c r="V3272" i="29"/>
  <c r="U3272" i="29"/>
  <c r="T3272" i="29"/>
  <c r="R3272" i="29"/>
  <c r="Q3272" i="29"/>
  <c r="V3271" i="29"/>
  <c r="U3271" i="29"/>
  <c r="T3271" i="29"/>
  <c r="R3271" i="29"/>
  <c r="Q3271" i="29"/>
  <c r="V3270" i="29"/>
  <c r="U3270" i="29"/>
  <c r="T3270" i="29"/>
  <c r="R3270" i="29"/>
  <c r="Q3270" i="29"/>
  <c r="V3269" i="29"/>
  <c r="U3269" i="29"/>
  <c r="T3269" i="29"/>
  <c r="R3269" i="29"/>
  <c r="Q3269" i="29"/>
  <c r="V3266" i="29"/>
  <c r="U3266" i="29"/>
  <c r="T3266" i="29"/>
  <c r="R3266" i="29"/>
  <c r="Q3266" i="29"/>
  <c r="V3265" i="29"/>
  <c r="U3265" i="29"/>
  <c r="T3265" i="29"/>
  <c r="R3265" i="29"/>
  <c r="Q3265" i="29"/>
  <c r="V3264" i="29"/>
  <c r="U3264" i="29"/>
  <c r="T3264" i="29"/>
  <c r="R3264" i="29"/>
  <c r="Q3264" i="29"/>
  <c r="V3263" i="29"/>
  <c r="U3263" i="29"/>
  <c r="T3263" i="29"/>
  <c r="R3263" i="29"/>
  <c r="Q3263" i="29"/>
  <c r="V3262" i="29"/>
  <c r="U3262" i="29"/>
  <c r="T3262" i="29"/>
  <c r="R3262" i="29"/>
  <c r="Q3262" i="29"/>
  <c r="V3261" i="29"/>
  <c r="U3261" i="29"/>
  <c r="T3261" i="29"/>
  <c r="R3261" i="29"/>
  <c r="Q3261" i="29"/>
  <c r="V3260" i="29"/>
  <c r="U3260" i="29"/>
  <c r="T3260" i="29"/>
  <c r="R3260" i="29"/>
  <c r="Q3260" i="29"/>
  <c r="V3259" i="29"/>
  <c r="U3259" i="29"/>
  <c r="T3259" i="29"/>
  <c r="R3259" i="29"/>
  <c r="Q3259" i="29"/>
  <c r="V3258" i="29"/>
  <c r="U3258" i="29"/>
  <c r="W3258" i="29" s="1"/>
  <c r="X3258" i="29" s="1"/>
  <c r="T3258" i="29"/>
  <c r="R3258" i="29"/>
  <c r="Q3258" i="29"/>
  <c r="V3255" i="29"/>
  <c r="U3255" i="29"/>
  <c r="T3255" i="29"/>
  <c r="R3255" i="29"/>
  <c r="Q3255" i="29"/>
  <c r="V3254" i="29"/>
  <c r="U3254" i="29"/>
  <c r="T3254" i="29"/>
  <c r="R3254" i="29"/>
  <c r="Q3254" i="29"/>
  <c r="V3253" i="29"/>
  <c r="U3253" i="29"/>
  <c r="T3253" i="29"/>
  <c r="R3253" i="29"/>
  <c r="Q3253" i="29"/>
  <c r="V3252" i="29"/>
  <c r="U3252" i="29"/>
  <c r="T3252" i="29"/>
  <c r="R3252" i="29"/>
  <c r="Q3252" i="29"/>
  <c r="V3251" i="29"/>
  <c r="U3251" i="29"/>
  <c r="T3251" i="29"/>
  <c r="R3251" i="29"/>
  <c r="Q3251" i="29"/>
  <c r="V3250" i="29"/>
  <c r="U3250" i="29"/>
  <c r="T3250" i="29"/>
  <c r="R3250" i="29"/>
  <c r="Q3250" i="29"/>
  <c r="V3249" i="29"/>
  <c r="U3249" i="29"/>
  <c r="T3249" i="29"/>
  <c r="R3249" i="29"/>
  <c r="Q3249" i="29"/>
  <c r="V3248" i="29"/>
  <c r="U3248" i="29"/>
  <c r="T3248" i="29"/>
  <c r="R3248" i="29"/>
  <c r="Q3248" i="29"/>
  <c r="V3247" i="29"/>
  <c r="U3247" i="29"/>
  <c r="T3247" i="29"/>
  <c r="R3247" i="29"/>
  <c r="Q3247" i="29"/>
  <c r="V3244" i="29"/>
  <c r="U3244" i="29"/>
  <c r="T3244" i="29"/>
  <c r="R3244" i="29"/>
  <c r="Q3244" i="29"/>
  <c r="V3243" i="29"/>
  <c r="U3243" i="29"/>
  <c r="T3243" i="29"/>
  <c r="R3243" i="29"/>
  <c r="Q3243" i="29"/>
  <c r="V3242" i="29"/>
  <c r="U3242" i="29"/>
  <c r="T3242" i="29"/>
  <c r="R3242" i="29"/>
  <c r="Q3242" i="29"/>
  <c r="V3241" i="29"/>
  <c r="U3241" i="29"/>
  <c r="T3241" i="29"/>
  <c r="R3241" i="29"/>
  <c r="Q3241" i="29"/>
  <c r="V3240" i="29"/>
  <c r="U3240" i="29"/>
  <c r="T3240" i="29"/>
  <c r="R3240" i="29"/>
  <c r="Q3240" i="29"/>
  <c r="V3239" i="29"/>
  <c r="U3239" i="29"/>
  <c r="T3239" i="29"/>
  <c r="R3239" i="29"/>
  <c r="Q3239" i="29"/>
  <c r="V3238" i="29"/>
  <c r="U3238" i="29"/>
  <c r="T3238" i="29"/>
  <c r="R3238" i="29"/>
  <c r="Q3238" i="29"/>
  <c r="V3237" i="29"/>
  <c r="U3237" i="29"/>
  <c r="W3237" i="29" s="1"/>
  <c r="X3237" i="29" s="1"/>
  <c r="T3237" i="29"/>
  <c r="R3237" i="29"/>
  <c r="Q3237" i="29"/>
  <c r="V3236" i="29"/>
  <c r="U3236" i="29"/>
  <c r="T3236" i="29"/>
  <c r="R3236" i="29"/>
  <c r="Q3236" i="29"/>
  <c r="V3233" i="29"/>
  <c r="U3233" i="29"/>
  <c r="T3233" i="29"/>
  <c r="R3233" i="29"/>
  <c r="Q3233" i="29"/>
  <c r="V3232" i="29"/>
  <c r="U3232" i="29"/>
  <c r="T3232" i="29"/>
  <c r="R3232" i="29"/>
  <c r="Q3232" i="29"/>
  <c r="V3231" i="29"/>
  <c r="U3231" i="29"/>
  <c r="T3231" i="29"/>
  <c r="R3231" i="29"/>
  <c r="Q3231" i="29"/>
  <c r="V3230" i="29"/>
  <c r="U3230" i="29"/>
  <c r="T3230" i="29"/>
  <c r="R3230" i="29"/>
  <c r="Q3230" i="29"/>
  <c r="V3229" i="29"/>
  <c r="U3229" i="29"/>
  <c r="T3229" i="29"/>
  <c r="R3229" i="29"/>
  <c r="Q3229" i="29"/>
  <c r="V3228" i="29"/>
  <c r="U3228" i="29"/>
  <c r="W3228" i="29" s="1"/>
  <c r="X3228" i="29" s="1"/>
  <c r="T3228" i="29"/>
  <c r="R3228" i="29"/>
  <c r="Q3228" i="29"/>
  <c r="V3227" i="29"/>
  <c r="U3227" i="29"/>
  <c r="W3227" i="29" s="1"/>
  <c r="X3227" i="29" s="1"/>
  <c r="T3227" i="29"/>
  <c r="R3227" i="29"/>
  <c r="Q3227" i="29"/>
  <c r="V3226" i="29"/>
  <c r="U3226" i="29"/>
  <c r="T3226" i="29"/>
  <c r="R3226" i="29"/>
  <c r="Q3226" i="29"/>
  <c r="V3225" i="29"/>
  <c r="U3225" i="29"/>
  <c r="T3225" i="29"/>
  <c r="R3225" i="29"/>
  <c r="Q3225" i="29"/>
  <c r="V3222" i="29"/>
  <c r="U3222" i="29"/>
  <c r="T3222" i="29"/>
  <c r="R3222" i="29"/>
  <c r="Q3222" i="29"/>
  <c r="V3221" i="29"/>
  <c r="U3221" i="29"/>
  <c r="T3221" i="29"/>
  <c r="R3221" i="29"/>
  <c r="Q3221" i="29"/>
  <c r="V3220" i="29"/>
  <c r="U3220" i="29"/>
  <c r="T3220" i="29"/>
  <c r="R3220" i="29"/>
  <c r="Q3220" i="29"/>
  <c r="V3219" i="29"/>
  <c r="U3219" i="29"/>
  <c r="T3219" i="29"/>
  <c r="R3219" i="29"/>
  <c r="Q3219" i="29"/>
  <c r="V3218" i="29"/>
  <c r="U3218" i="29"/>
  <c r="T3218" i="29"/>
  <c r="R3218" i="29"/>
  <c r="Q3218" i="29"/>
  <c r="V3217" i="29"/>
  <c r="U3217" i="29"/>
  <c r="T3217" i="29"/>
  <c r="R3217" i="29"/>
  <c r="Q3217" i="29"/>
  <c r="V3216" i="29"/>
  <c r="U3216" i="29"/>
  <c r="T3216" i="29"/>
  <c r="R3216" i="29"/>
  <c r="Q3216" i="29"/>
  <c r="V3215" i="29"/>
  <c r="U3215" i="29"/>
  <c r="W3215" i="29" s="1"/>
  <c r="X3215" i="29" s="1"/>
  <c r="T3215" i="29"/>
  <c r="R3215" i="29"/>
  <c r="Q3215" i="29"/>
  <c r="V3214" i="29"/>
  <c r="U3214" i="29"/>
  <c r="T3214" i="29"/>
  <c r="R3214" i="29"/>
  <c r="Q3214" i="29"/>
  <c r="V3211" i="29"/>
  <c r="U3211" i="29"/>
  <c r="T3211" i="29"/>
  <c r="R3211" i="29"/>
  <c r="Q3211" i="29"/>
  <c r="V3210" i="29"/>
  <c r="U3210" i="29"/>
  <c r="T3210" i="29"/>
  <c r="R3210" i="29"/>
  <c r="Q3210" i="29"/>
  <c r="V3209" i="29"/>
  <c r="U3209" i="29"/>
  <c r="T3209" i="29"/>
  <c r="R3209" i="29"/>
  <c r="Q3209" i="29"/>
  <c r="V3208" i="29"/>
  <c r="U3208" i="29"/>
  <c r="T3208" i="29"/>
  <c r="R3208" i="29"/>
  <c r="Q3208" i="29"/>
  <c r="V3207" i="29"/>
  <c r="U3207" i="29"/>
  <c r="T3207" i="29"/>
  <c r="R3207" i="29"/>
  <c r="Q3207" i="29"/>
  <c r="V3206" i="29"/>
  <c r="U3206" i="29"/>
  <c r="T3206" i="29"/>
  <c r="R3206" i="29"/>
  <c r="Q3206" i="29"/>
  <c r="V3205" i="29"/>
  <c r="U3205" i="29"/>
  <c r="T3205" i="29"/>
  <c r="R3205" i="29"/>
  <c r="Q3205" i="29"/>
  <c r="V3204" i="29"/>
  <c r="U3204" i="29"/>
  <c r="T3204" i="29"/>
  <c r="R3204" i="29"/>
  <c r="Q3204" i="29"/>
  <c r="V3203" i="29"/>
  <c r="U3203" i="29"/>
  <c r="T3203" i="29"/>
  <c r="R3203" i="29"/>
  <c r="Q3203" i="29"/>
  <c r="V3200" i="29"/>
  <c r="U3200" i="29"/>
  <c r="T3200" i="29"/>
  <c r="R3200" i="29"/>
  <c r="Q3200" i="29"/>
  <c r="V3199" i="29"/>
  <c r="U3199" i="29"/>
  <c r="T3199" i="29"/>
  <c r="R3199" i="29"/>
  <c r="Q3199" i="29"/>
  <c r="V3198" i="29"/>
  <c r="U3198" i="29"/>
  <c r="W3198" i="29" s="1"/>
  <c r="X3198" i="29" s="1"/>
  <c r="T3198" i="29"/>
  <c r="R3198" i="29"/>
  <c r="Q3198" i="29"/>
  <c r="V3197" i="29"/>
  <c r="U3197" i="29"/>
  <c r="T3197" i="29"/>
  <c r="R3197" i="29"/>
  <c r="Q3197" i="29"/>
  <c r="V3196" i="29"/>
  <c r="U3196" i="29"/>
  <c r="T3196" i="29"/>
  <c r="R3196" i="29"/>
  <c r="Q3196" i="29"/>
  <c r="V3195" i="29"/>
  <c r="U3195" i="29"/>
  <c r="T3195" i="29"/>
  <c r="R3195" i="29"/>
  <c r="Q3195" i="29"/>
  <c r="V3194" i="29"/>
  <c r="U3194" i="29"/>
  <c r="T3194" i="29"/>
  <c r="R3194" i="29"/>
  <c r="Q3194" i="29"/>
  <c r="V3193" i="29"/>
  <c r="U3193" i="29"/>
  <c r="T3193" i="29"/>
  <c r="R3193" i="29"/>
  <c r="Q3193" i="29"/>
  <c r="V3192" i="29"/>
  <c r="U3192" i="29"/>
  <c r="T3192" i="29"/>
  <c r="R3192" i="29"/>
  <c r="Q3192" i="29"/>
  <c r="V3189" i="29"/>
  <c r="U3189" i="29"/>
  <c r="T3189" i="29"/>
  <c r="R3189" i="29"/>
  <c r="Q3189" i="29"/>
  <c r="V3188" i="29"/>
  <c r="U3188" i="29"/>
  <c r="T3188" i="29"/>
  <c r="R3188" i="29"/>
  <c r="Q3188" i="29"/>
  <c r="V3187" i="29"/>
  <c r="U3187" i="29"/>
  <c r="T3187" i="29"/>
  <c r="R3187" i="29"/>
  <c r="Q3187" i="29"/>
  <c r="V3186" i="29"/>
  <c r="U3186" i="29"/>
  <c r="T3186" i="29"/>
  <c r="R3186" i="29"/>
  <c r="Q3186" i="29"/>
  <c r="V3185" i="29"/>
  <c r="U3185" i="29"/>
  <c r="T3185" i="29"/>
  <c r="R3185" i="29"/>
  <c r="Q3185" i="29"/>
  <c r="V3184" i="29"/>
  <c r="U3184" i="29"/>
  <c r="T3184" i="29"/>
  <c r="R3184" i="29"/>
  <c r="Q3184" i="29"/>
  <c r="V3183" i="29"/>
  <c r="U3183" i="29"/>
  <c r="T3183" i="29"/>
  <c r="R3183" i="29"/>
  <c r="Q3183" i="29"/>
  <c r="V3182" i="29"/>
  <c r="U3182" i="29"/>
  <c r="T3182" i="29"/>
  <c r="R3182" i="29"/>
  <c r="Q3182" i="29"/>
  <c r="V3181" i="29"/>
  <c r="U3181" i="29"/>
  <c r="T3181" i="29"/>
  <c r="R3181" i="29"/>
  <c r="Q3181" i="29"/>
  <c r="V3178" i="29"/>
  <c r="U3178" i="29"/>
  <c r="T3178" i="29"/>
  <c r="R3178" i="29"/>
  <c r="Q3178" i="29"/>
  <c r="V3177" i="29"/>
  <c r="U3177" i="29"/>
  <c r="T3177" i="29"/>
  <c r="R3177" i="29"/>
  <c r="Q3177" i="29"/>
  <c r="V3176" i="29"/>
  <c r="U3176" i="29"/>
  <c r="T3176" i="29"/>
  <c r="R3176" i="29"/>
  <c r="Q3176" i="29"/>
  <c r="V3175" i="29"/>
  <c r="U3175" i="29"/>
  <c r="T3175" i="29"/>
  <c r="R3175" i="29"/>
  <c r="Q3175" i="29"/>
  <c r="V3174" i="29"/>
  <c r="U3174" i="29"/>
  <c r="T3174" i="29"/>
  <c r="R3174" i="29"/>
  <c r="Q3174" i="29"/>
  <c r="V3173" i="29"/>
  <c r="U3173" i="29"/>
  <c r="T3173" i="29"/>
  <c r="R3173" i="29"/>
  <c r="Q3173" i="29"/>
  <c r="V3172" i="29"/>
  <c r="U3172" i="29"/>
  <c r="T3172" i="29"/>
  <c r="R3172" i="29"/>
  <c r="Q3172" i="29"/>
  <c r="V3171" i="29"/>
  <c r="U3171" i="29"/>
  <c r="T3171" i="29"/>
  <c r="R3171" i="29"/>
  <c r="Q3171" i="29"/>
  <c r="V3170" i="29"/>
  <c r="U3170" i="29"/>
  <c r="T3170" i="29"/>
  <c r="R3170" i="29"/>
  <c r="Q3170" i="29"/>
  <c r="V3167" i="29"/>
  <c r="U3167" i="29"/>
  <c r="W3167" i="29" s="1"/>
  <c r="X3167" i="29" s="1"/>
  <c r="T3167" i="29"/>
  <c r="R3167" i="29"/>
  <c r="Q3167" i="29"/>
  <c r="V3166" i="29"/>
  <c r="U3166" i="29"/>
  <c r="T3166" i="29"/>
  <c r="R3166" i="29"/>
  <c r="Q3166" i="29"/>
  <c r="V3165" i="29"/>
  <c r="U3165" i="29"/>
  <c r="T3165" i="29"/>
  <c r="R3165" i="29"/>
  <c r="Q3165" i="29"/>
  <c r="V3164" i="29"/>
  <c r="U3164" i="29"/>
  <c r="T3164" i="29"/>
  <c r="R3164" i="29"/>
  <c r="Q3164" i="29"/>
  <c r="V3163" i="29"/>
  <c r="U3163" i="29"/>
  <c r="T3163" i="29"/>
  <c r="R3163" i="29"/>
  <c r="Q3163" i="29"/>
  <c r="V3162" i="29"/>
  <c r="U3162" i="29"/>
  <c r="T3162" i="29"/>
  <c r="R3162" i="29"/>
  <c r="Q3162" i="29"/>
  <c r="V3161" i="29"/>
  <c r="U3161" i="29"/>
  <c r="T3161" i="29"/>
  <c r="R3161" i="29"/>
  <c r="Q3161" i="29"/>
  <c r="V3160" i="29"/>
  <c r="U3160" i="29"/>
  <c r="T3160" i="29"/>
  <c r="R3160" i="29"/>
  <c r="Q3160" i="29"/>
  <c r="V3159" i="29"/>
  <c r="U3159" i="29"/>
  <c r="T3159" i="29"/>
  <c r="R3159" i="29"/>
  <c r="Q3159" i="29"/>
  <c r="V3156" i="29"/>
  <c r="U3156" i="29"/>
  <c r="T3156" i="29"/>
  <c r="R3156" i="29"/>
  <c r="Q3156" i="29"/>
  <c r="V3155" i="29"/>
  <c r="U3155" i="29"/>
  <c r="T3155" i="29"/>
  <c r="R3155" i="29"/>
  <c r="Q3155" i="29"/>
  <c r="V3154" i="29"/>
  <c r="U3154" i="29"/>
  <c r="T3154" i="29"/>
  <c r="R3154" i="29"/>
  <c r="Q3154" i="29"/>
  <c r="V3153" i="29"/>
  <c r="U3153" i="29"/>
  <c r="T3153" i="29"/>
  <c r="R3153" i="29"/>
  <c r="Q3153" i="29"/>
  <c r="V3152" i="29"/>
  <c r="U3152" i="29"/>
  <c r="T3152" i="29"/>
  <c r="R3152" i="29"/>
  <c r="Q3152" i="29"/>
  <c r="V3151" i="29"/>
  <c r="U3151" i="29"/>
  <c r="T3151" i="29"/>
  <c r="R3151" i="29"/>
  <c r="Q3151" i="29"/>
  <c r="V3150" i="29"/>
  <c r="U3150" i="29"/>
  <c r="T3150" i="29"/>
  <c r="R3150" i="29"/>
  <c r="Q3150" i="29"/>
  <c r="V3149" i="29"/>
  <c r="U3149" i="29"/>
  <c r="T3149" i="29"/>
  <c r="R3149" i="29"/>
  <c r="Q3149" i="29"/>
  <c r="V3148" i="29"/>
  <c r="U3148" i="29"/>
  <c r="W3148" i="29" s="1"/>
  <c r="X3148" i="29" s="1"/>
  <c r="T3148" i="29"/>
  <c r="R3148" i="29"/>
  <c r="Q3148" i="29"/>
  <c r="V3145" i="29"/>
  <c r="U3145" i="29"/>
  <c r="T3145" i="29"/>
  <c r="R3145" i="29"/>
  <c r="Q3145" i="29"/>
  <c r="V3144" i="29"/>
  <c r="U3144" i="29"/>
  <c r="T3144" i="29"/>
  <c r="R3144" i="29"/>
  <c r="Q3144" i="29"/>
  <c r="V3143" i="29"/>
  <c r="U3143" i="29"/>
  <c r="T3143" i="29"/>
  <c r="R3143" i="29"/>
  <c r="Q3143" i="29"/>
  <c r="V3142" i="29"/>
  <c r="U3142" i="29"/>
  <c r="T3142" i="29"/>
  <c r="R3142" i="29"/>
  <c r="Q3142" i="29"/>
  <c r="V3141" i="29"/>
  <c r="U3141" i="29"/>
  <c r="T3141" i="29"/>
  <c r="R3141" i="29"/>
  <c r="Q3141" i="29"/>
  <c r="V3140" i="29"/>
  <c r="U3140" i="29"/>
  <c r="W3140" i="29" s="1"/>
  <c r="X3140" i="29" s="1"/>
  <c r="T3140" i="29"/>
  <c r="R3140" i="29"/>
  <c r="Q3140" i="29"/>
  <c r="V3139" i="29"/>
  <c r="U3139" i="29"/>
  <c r="T3139" i="29"/>
  <c r="R3139" i="29"/>
  <c r="Q3139" i="29"/>
  <c r="V3138" i="29"/>
  <c r="U3138" i="29"/>
  <c r="W3138" i="29" s="1"/>
  <c r="X3138" i="29" s="1"/>
  <c r="T3138" i="29"/>
  <c r="R3138" i="29"/>
  <c r="Q3138" i="29"/>
  <c r="V3137" i="29"/>
  <c r="U3137" i="29"/>
  <c r="T3137" i="29"/>
  <c r="R3137" i="29"/>
  <c r="Q3137" i="29"/>
  <c r="V3134" i="29"/>
  <c r="U3134" i="29"/>
  <c r="T3134" i="29"/>
  <c r="R3134" i="29"/>
  <c r="Q3134" i="29"/>
  <c r="V3133" i="29"/>
  <c r="U3133" i="29"/>
  <c r="T3133" i="29"/>
  <c r="R3133" i="29"/>
  <c r="Q3133" i="29"/>
  <c r="V3132" i="29"/>
  <c r="U3132" i="29"/>
  <c r="T3132" i="29"/>
  <c r="R3132" i="29"/>
  <c r="Q3132" i="29"/>
  <c r="V3131" i="29"/>
  <c r="W3131" i="29" s="1"/>
  <c r="X3131" i="29" s="1"/>
  <c r="U3131" i="29"/>
  <c r="T3131" i="29"/>
  <c r="R3131" i="29"/>
  <c r="Q3131" i="29"/>
  <c r="V3130" i="29"/>
  <c r="U3130" i="29"/>
  <c r="T3130" i="29"/>
  <c r="R3130" i="29"/>
  <c r="Q3130" i="29"/>
  <c r="V3129" i="29"/>
  <c r="U3129" i="29"/>
  <c r="T3129" i="29"/>
  <c r="R3129" i="29"/>
  <c r="Q3129" i="29"/>
  <c r="V3128" i="29"/>
  <c r="U3128" i="29"/>
  <c r="T3128" i="29"/>
  <c r="R3128" i="29"/>
  <c r="Q3128" i="29"/>
  <c r="V3127" i="29"/>
  <c r="U3127" i="29"/>
  <c r="T3127" i="29"/>
  <c r="R3127" i="29"/>
  <c r="Q3127" i="29"/>
  <c r="V3126" i="29"/>
  <c r="U3126" i="29"/>
  <c r="T3126" i="29"/>
  <c r="R3126" i="29"/>
  <c r="Q3126" i="29"/>
  <c r="V3123" i="29"/>
  <c r="U3123" i="29"/>
  <c r="T3123" i="29"/>
  <c r="R3123" i="29"/>
  <c r="Q3123" i="29"/>
  <c r="V3122" i="29"/>
  <c r="U3122" i="29"/>
  <c r="T3122" i="29"/>
  <c r="R3122" i="29"/>
  <c r="Q3122" i="29"/>
  <c r="V3121" i="29"/>
  <c r="U3121" i="29"/>
  <c r="T3121" i="29"/>
  <c r="R3121" i="29"/>
  <c r="Q3121" i="29"/>
  <c r="V3120" i="29"/>
  <c r="U3120" i="29"/>
  <c r="T3120" i="29"/>
  <c r="R3120" i="29"/>
  <c r="Q3120" i="29"/>
  <c r="V3119" i="29"/>
  <c r="U3119" i="29"/>
  <c r="T3119" i="29"/>
  <c r="R3119" i="29"/>
  <c r="Q3119" i="29"/>
  <c r="V3118" i="29"/>
  <c r="U3118" i="29"/>
  <c r="T3118" i="29"/>
  <c r="R3118" i="29"/>
  <c r="Q3118" i="29"/>
  <c r="V3117" i="29"/>
  <c r="U3117" i="29"/>
  <c r="W3117" i="29" s="1"/>
  <c r="X3117" i="29" s="1"/>
  <c r="T3117" i="29"/>
  <c r="R3117" i="29"/>
  <c r="Q3117" i="29"/>
  <c r="V3116" i="29"/>
  <c r="U3116" i="29"/>
  <c r="T3116" i="29"/>
  <c r="R3116" i="29"/>
  <c r="Q3116" i="29"/>
  <c r="V3115" i="29"/>
  <c r="U3115" i="29"/>
  <c r="W3115" i="29" s="1"/>
  <c r="X3115" i="29" s="1"/>
  <c r="T3115" i="29"/>
  <c r="R3115" i="29"/>
  <c r="Q3115" i="29"/>
  <c r="V3112" i="29"/>
  <c r="U3112" i="29"/>
  <c r="T3112" i="29"/>
  <c r="R3112" i="29"/>
  <c r="Q3112" i="29"/>
  <c r="V3111" i="29"/>
  <c r="U3111" i="29"/>
  <c r="T3111" i="29"/>
  <c r="R3111" i="29"/>
  <c r="Q3111" i="29"/>
  <c r="V3110" i="29"/>
  <c r="U3110" i="29"/>
  <c r="T3110" i="29"/>
  <c r="R3110" i="29"/>
  <c r="Q3110" i="29"/>
  <c r="V3109" i="29"/>
  <c r="U3109" i="29"/>
  <c r="T3109" i="29"/>
  <c r="R3109" i="29"/>
  <c r="Q3109" i="29"/>
  <c r="V3108" i="29"/>
  <c r="U3108" i="29"/>
  <c r="T3108" i="29"/>
  <c r="R3108" i="29"/>
  <c r="Q3108" i="29"/>
  <c r="V3107" i="29"/>
  <c r="U3107" i="29"/>
  <c r="T3107" i="29"/>
  <c r="R3107" i="29"/>
  <c r="Q3107" i="29"/>
  <c r="V3106" i="29"/>
  <c r="U3106" i="29"/>
  <c r="W3106" i="29" s="1"/>
  <c r="X3106" i="29" s="1"/>
  <c r="T3106" i="29"/>
  <c r="R3106" i="29"/>
  <c r="Q3106" i="29"/>
  <c r="V3105" i="29"/>
  <c r="U3105" i="29"/>
  <c r="W3105" i="29" s="1"/>
  <c r="X3105" i="29" s="1"/>
  <c r="T3105" i="29"/>
  <c r="R3105" i="29"/>
  <c r="Q3105" i="29"/>
  <c r="V3104" i="29"/>
  <c r="U3104" i="29"/>
  <c r="T3104" i="29"/>
  <c r="R3104" i="29"/>
  <c r="Q3104" i="29"/>
  <c r="V3101" i="29"/>
  <c r="U3101" i="29"/>
  <c r="T3101" i="29"/>
  <c r="R3101" i="29"/>
  <c r="Q3101" i="29"/>
  <c r="V3100" i="29"/>
  <c r="U3100" i="29"/>
  <c r="T3100" i="29"/>
  <c r="R3100" i="29"/>
  <c r="Q3100" i="29"/>
  <c r="V3099" i="29"/>
  <c r="U3099" i="29"/>
  <c r="T3099" i="29"/>
  <c r="R3099" i="29"/>
  <c r="Q3099" i="29"/>
  <c r="V3098" i="29"/>
  <c r="U3098" i="29"/>
  <c r="T3098" i="29"/>
  <c r="R3098" i="29"/>
  <c r="Q3098" i="29"/>
  <c r="V3097" i="29"/>
  <c r="U3097" i="29"/>
  <c r="T3097" i="29"/>
  <c r="R3097" i="29"/>
  <c r="Q3097" i="29"/>
  <c r="V3096" i="29"/>
  <c r="U3096" i="29"/>
  <c r="T3096" i="29"/>
  <c r="R3096" i="29"/>
  <c r="Q3096" i="29"/>
  <c r="V3095" i="29"/>
  <c r="U3095" i="29"/>
  <c r="T3095" i="29"/>
  <c r="R3095" i="29"/>
  <c r="Q3095" i="29"/>
  <c r="V3094" i="29"/>
  <c r="U3094" i="29"/>
  <c r="T3094" i="29"/>
  <c r="R3094" i="29"/>
  <c r="Q3094" i="29"/>
  <c r="V3093" i="29"/>
  <c r="U3093" i="29"/>
  <c r="T3093" i="29"/>
  <c r="R3093" i="29"/>
  <c r="Q3093" i="29"/>
  <c r="V3090" i="29"/>
  <c r="U3090" i="29"/>
  <c r="T3090" i="29"/>
  <c r="R3090" i="29"/>
  <c r="Q3090" i="29"/>
  <c r="V3089" i="29"/>
  <c r="U3089" i="29"/>
  <c r="T3089" i="29"/>
  <c r="R3089" i="29"/>
  <c r="Q3089" i="29"/>
  <c r="V3088" i="29"/>
  <c r="U3088" i="29"/>
  <c r="T3088" i="29"/>
  <c r="R3088" i="29"/>
  <c r="Q3088" i="29"/>
  <c r="V3087" i="29"/>
  <c r="U3087" i="29"/>
  <c r="T3087" i="29"/>
  <c r="R3087" i="29"/>
  <c r="Q3087" i="29"/>
  <c r="V3086" i="29"/>
  <c r="U3086" i="29"/>
  <c r="T3086" i="29"/>
  <c r="R3086" i="29"/>
  <c r="Q3086" i="29"/>
  <c r="V3085" i="29"/>
  <c r="U3085" i="29"/>
  <c r="W3085" i="29" s="1"/>
  <c r="X3085" i="29" s="1"/>
  <c r="T3085" i="29"/>
  <c r="R3085" i="29"/>
  <c r="Q3085" i="29"/>
  <c r="V3084" i="29"/>
  <c r="U3084" i="29"/>
  <c r="T3084" i="29"/>
  <c r="R3084" i="29"/>
  <c r="Q3084" i="29"/>
  <c r="V3083" i="29"/>
  <c r="U3083" i="29"/>
  <c r="T3083" i="29"/>
  <c r="R3083" i="29"/>
  <c r="Q3083" i="29"/>
  <c r="V3082" i="29"/>
  <c r="U3082" i="29"/>
  <c r="T3082" i="29"/>
  <c r="R3082" i="29"/>
  <c r="Q3082" i="29"/>
  <c r="V3079" i="29"/>
  <c r="U3079" i="29"/>
  <c r="T3079" i="29"/>
  <c r="R3079" i="29"/>
  <c r="Q3079" i="29"/>
  <c r="V3078" i="29"/>
  <c r="U3078" i="29"/>
  <c r="T3078" i="29"/>
  <c r="R3078" i="29"/>
  <c r="Q3078" i="29"/>
  <c r="V3077" i="29"/>
  <c r="U3077" i="29"/>
  <c r="T3077" i="29"/>
  <c r="R3077" i="29"/>
  <c r="Q3077" i="29"/>
  <c r="V3076" i="29"/>
  <c r="U3076" i="29"/>
  <c r="T3076" i="29"/>
  <c r="R3076" i="29"/>
  <c r="Q3076" i="29"/>
  <c r="V3075" i="29"/>
  <c r="U3075" i="29"/>
  <c r="T3075" i="29"/>
  <c r="R3075" i="29"/>
  <c r="Q3075" i="29"/>
  <c r="V3074" i="29"/>
  <c r="U3074" i="29"/>
  <c r="W3074" i="29" s="1"/>
  <c r="X3074" i="29" s="1"/>
  <c r="T3074" i="29"/>
  <c r="R3074" i="29"/>
  <c r="Q3074" i="29"/>
  <c r="V3073" i="29"/>
  <c r="U3073" i="29"/>
  <c r="T3073" i="29"/>
  <c r="R3073" i="29"/>
  <c r="Q3073" i="29"/>
  <c r="V3072" i="29"/>
  <c r="U3072" i="29"/>
  <c r="T3072" i="29"/>
  <c r="R3072" i="29"/>
  <c r="Q3072" i="29"/>
  <c r="V3071" i="29"/>
  <c r="U3071" i="29"/>
  <c r="T3071" i="29"/>
  <c r="R3071" i="29"/>
  <c r="Q3071" i="29"/>
  <c r="V3068" i="29"/>
  <c r="U3068" i="29"/>
  <c r="T3068" i="29"/>
  <c r="R3068" i="29"/>
  <c r="Q3068" i="29"/>
  <c r="V3067" i="29"/>
  <c r="U3067" i="29"/>
  <c r="T3067" i="29"/>
  <c r="R3067" i="29"/>
  <c r="Q3067" i="29"/>
  <c r="V3066" i="29"/>
  <c r="U3066" i="29"/>
  <c r="T3066" i="29"/>
  <c r="R3066" i="29"/>
  <c r="Q3066" i="29"/>
  <c r="V3065" i="29"/>
  <c r="U3065" i="29"/>
  <c r="W3065" i="29" s="1"/>
  <c r="X3065" i="29" s="1"/>
  <c r="T3065" i="29"/>
  <c r="R3065" i="29"/>
  <c r="Q3065" i="29"/>
  <c r="V3064" i="29"/>
  <c r="U3064" i="29"/>
  <c r="T3064" i="29"/>
  <c r="R3064" i="29"/>
  <c r="Q3064" i="29"/>
  <c r="V3063" i="29"/>
  <c r="U3063" i="29"/>
  <c r="T3063" i="29"/>
  <c r="R3063" i="29"/>
  <c r="Q3063" i="29"/>
  <c r="V3062" i="29"/>
  <c r="U3062" i="29"/>
  <c r="T3062" i="29"/>
  <c r="R3062" i="29"/>
  <c r="Q3062" i="29"/>
  <c r="V3061" i="29"/>
  <c r="U3061" i="29"/>
  <c r="T3061" i="29"/>
  <c r="R3061" i="29"/>
  <c r="Q3061" i="29"/>
  <c r="V3060" i="29"/>
  <c r="U3060" i="29"/>
  <c r="T3060" i="29"/>
  <c r="R3060" i="29"/>
  <c r="Q3060" i="29"/>
  <c r="V3057" i="29"/>
  <c r="U3057" i="29"/>
  <c r="T3057" i="29"/>
  <c r="R3057" i="29"/>
  <c r="Q3057" i="29"/>
  <c r="V3056" i="29"/>
  <c r="U3056" i="29"/>
  <c r="T3056" i="29"/>
  <c r="R3056" i="29"/>
  <c r="Q3056" i="29"/>
  <c r="V3055" i="29"/>
  <c r="U3055" i="29"/>
  <c r="W3055" i="29" s="1"/>
  <c r="X3055" i="29" s="1"/>
  <c r="T3055" i="29"/>
  <c r="R3055" i="29"/>
  <c r="Q3055" i="29"/>
  <c r="V3054" i="29"/>
  <c r="U3054" i="29"/>
  <c r="T3054" i="29"/>
  <c r="R3054" i="29"/>
  <c r="Q3054" i="29"/>
  <c r="V3053" i="29"/>
  <c r="U3053" i="29"/>
  <c r="T3053" i="29"/>
  <c r="R3053" i="29"/>
  <c r="Q3053" i="29"/>
  <c r="V3052" i="29"/>
  <c r="U3052" i="29"/>
  <c r="T3052" i="29"/>
  <c r="R3052" i="29"/>
  <c r="Q3052" i="29"/>
  <c r="V3051" i="29"/>
  <c r="U3051" i="29"/>
  <c r="T3051" i="29"/>
  <c r="R3051" i="29"/>
  <c r="Q3051" i="29"/>
  <c r="V3050" i="29"/>
  <c r="U3050" i="29"/>
  <c r="T3050" i="29"/>
  <c r="R3050" i="29"/>
  <c r="Q3050" i="29"/>
  <c r="V3049" i="29"/>
  <c r="U3049" i="29"/>
  <c r="T3049" i="29"/>
  <c r="R3049" i="29"/>
  <c r="Q3049" i="29"/>
  <c r="V3046" i="29"/>
  <c r="U3046" i="29"/>
  <c r="T3046" i="29"/>
  <c r="R3046" i="29"/>
  <c r="Q3046" i="29"/>
  <c r="V3045" i="29"/>
  <c r="U3045" i="29"/>
  <c r="T3045" i="29"/>
  <c r="R3045" i="29"/>
  <c r="Q3045" i="29"/>
  <c r="V3044" i="29"/>
  <c r="U3044" i="29"/>
  <c r="T3044" i="29"/>
  <c r="R3044" i="29"/>
  <c r="Q3044" i="29"/>
  <c r="V3043" i="29"/>
  <c r="U3043" i="29"/>
  <c r="T3043" i="29"/>
  <c r="R3043" i="29"/>
  <c r="Q3043" i="29"/>
  <c r="V3042" i="29"/>
  <c r="U3042" i="29"/>
  <c r="T3042" i="29"/>
  <c r="R3042" i="29"/>
  <c r="Q3042" i="29"/>
  <c r="V3041" i="29"/>
  <c r="U3041" i="29"/>
  <c r="T3041" i="29"/>
  <c r="R3041" i="29"/>
  <c r="Q3041" i="29"/>
  <c r="V3040" i="29"/>
  <c r="U3040" i="29"/>
  <c r="T3040" i="29"/>
  <c r="R3040" i="29"/>
  <c r="Q3040" i="29"/>
  <c r="V3039" i="29"/>
  <c r="U3039" i="29"/>
  <c r="T3039" i="29"/>
  <c r="R3039" i="29"/>
  <c r="Q3039" i="29"/>
  <c r="V3038" i="29"/>
  <c r="U3038" i="29"/>
  <c r="T3038" i="29"/>
  <c r="R3038" i="29"/>
  <c r="Q3038" i="29"/>
  <c r="V3035" i="29"/>
  <c r="U3035" i="29"/>
  <c r="T3035" i="29"/>
  <c r="R3035" i="29"/>
  <c r="Q3035" i="29"/>
  <c r="V3034" i="29"/>
  <c r="U3034" i="29"/>
  <c r="T3034" i="29"/>
  <c r="R3034" i="29"/>
  <c r="Q3034" i="29"/>
  <c r="V3033" i="29"/>
  <c r="U3033" i="29"/>
  <c r="T3033" i="29"/>
  <c r="R3033" i="29"/>
  <c r="Q3033" i="29"/>
  <c r="V3032" i="29"/>
  <c r="U3032" i="29"/>
  <c r="T3032" i="29"/>
  <c r="R3032" i="29"/>
  <c r="Q3032" i="29"/>
  <c r="V3031" i="29"/>
  <c r="U3031" i="29"/>
  <c r="T3031" i="29"/>
  <c r="R3031" i="29"/>
  <c r="Q3031" i="29"/>
  <c r="V3030" i="29"/>
  <c r="U3030" i="29"/>
  <c r="T3030" i="29"/>
  <c r="R3030" i="29"/>
  <c r="Q3030" i="29"/>
  <c r="V3029" i="29"/>
  <c r="U3029" i="29"/>
  <c r="T3029" i="29"/>
  <c r="R3029" i="29"/>
  <c r="Q3029" i="29"/>
  <c r="V3028" i="29"/>
  <c r="U3028" i="29"/>
  <c r="T3028" i="29"/>
  <c r="R3028" i="29"/>
  <c r="Q3028" i="29"/>
  <c r="V3027" i="29"/>
  <c r="U3027" i="29"/>
  <c r="T3027" i="29"/>
  <c r="R3027" i="29"/>
  <c r="Q3027" i="29"/>
  <c r="V3024" i="29"/>
  <c r="U3024" i="29"/>
  <c r="T3024" i="29"/>
  <c r="R3024" i="29"/>
  <c r="Q3024" i="29"/>
  <c r="V3023" i="29"/>
  <c r="U3023" i="29"/>
  <c r="T3023" i="29"/>
  <c r="R3023" i="29"/>
  <c r="Q3023" i="29"/>
  <c r="V3022" i="29"/>
  <c r="U3022" i="29"/>
  <c r="T3022" i="29"/>
  <c r="R3022" i="29"/>
  <c r="Q3022" i="29"/>
  <c r="V3021" i="29"/>
  <c r="U3021" i="29"/>
  <c r="T3021" i="29"/>
  <c r="R3021" i="29"/>
  <c r="Q3021" i="29"/>
  <c r="V3020" i="29"/>
  <c r="U3020" i="29"/>
  <c r="T3020" i="29"/>
  <c r="R3020" i="29"/>
  <c r="Q3020" i="29"/>
  <c r="V3019" i="29"/>
  <c r="U3019" i="29"/>
  <c r="T3019" i="29"/>
  <c r="R3019" i="29"/>
  <c r="Q3019" i="29"/>
  <c r="V3018" i="29"/>
  <c r="U3018" i="29"/>
  <c r="W3018" i="29" s="1"/>
  <c r="X3018" i="29" s="1"/>
  <c r="T3018" i="29"/>
  <c r="R3018" i="29"/>
  <c r="Q3018" i="29"/>
  <c r="V3017" i="29"/>
  <c r="U3017" i="29"/>
  <c r="T3017" i="29"/>
  <c r="R3017" i="29"/>
  <c r="Q3017" i="29"/>
  <c r="V3016" i="29"/>
  <c r="U3016" i="29"/>
  <c r="W3016" i="29" s="1"/>
  <c r="X3016" i="29" s="1"/>
  <c r="T3016" i="29"/>
  <c r="R3016" i="29"/>
  <c r="Q3016" i="29"/>
  <c r="V3013" i="29"/>
  <c r="U3013" i="29"/>
  <c r="T3013" i="29"/>
  <c r="R3013" i="29"/>
  <c r="Q3013" i="29"/>
  <c r="V3012" i="29"/>
  <c r="U3012" i="29"/>
  <c r="T3012" i="29"/>
  <c r="R3012" i="29"/>
  <c r="Q3012" i="29"/>
  <c r="V3011" i="29"/>
  <c r="U3011" i="29"/>
  <c r="T3011" i="29"/>
  <c r="R3011" i="29"/>
  <c r="Q3011" i="29"/>
  <c r="V3010" i="29"/>
  <c r="U3010" i="29"/>
  <c r="T3010" i="29"/>
  <c r="R3010" i="29"/>
  <c r="Q3010" i="29"/>
  <c r="V3009" i="29"/>
  <c r="U3009" i="29"/>
  <c r="T3009" i="29"/>
  <c r="R3009" i="29"/>
  <c r="Q3009" i="29"/>
  <c r="V3008" i="29"/>
  <c r="U3008" i="29"/>
  <c r="T3008" i="29"/>
  <c r="R3008" i="29"/>
  <c r="Q3008" i="29"/>
  <c r="V3007" i="29"/>
  <c r="U3007" i="29"/>
  <c r="W3007" i="29" s="1"/>
  <c r="X3007" i="29" s="1"/>
  <c r="T3007" i="29"/>
  <c r="R3007" i="29"/>
  <c r="Q3007" i="29"/>
  <c r="V3006" i="29"/>
  <c r="U3006" i="29"/>
  <c r="T3006" i="29"/>
  <c r="R3006" i="29"/>
  <c r="Q3006" i="29"/>
  <c r="V3005" i="29"/>
  <c r="U3005" i="29"/>
  <c r="T3005" i="29"/>
  <c r="R3005" i="29"/>
  <c r="Q3005" i="29"/>
  <c r="V3002" i="29"/>
  <c r="U3002" i="29"/>
  <c r="T3002" i="29"/>
  <c r="R3002" i="29"/>
  <c r="Q3002" i="29"/>
  <c r="V3001" i="29"/>
  <c r="U3001" i="29"/>
  <c r="T3001" i="29"/>
  <c r="R3001" i="29"/>
  <c r="Q3001" i="29"/>
  <c r="V3000" i="29"/>
  <c r="U3000" i="29"/>
  <c r="T3000" i="29"/>
  <c r="R3000" i="29"/>
  <c r="Q3000" i="29"/>
  <c r="V2999" i="29"/>
  <c r="U2999" i="29"/>
  <c r="W2999" i="29" s="1"/>
  <c r="X2999" i="29" s="1"/>
  <c r="T2999" i="29"/>
  <c r="R2999" i="29"/>
  <c r="Q2999" i="29"/>
  <c r="V2998" i="29"/>
  <c r="U2998" i="29"/>
  <c r="T2998" i="29"/>
  <c r="R2998" i="29"/>
  <c r="Q2998" i="29"/>
  <c r="V2997" i="29"/>
  <c r="U2997" i="29"/>
  <c r="T2997" i="29"/>
  <c r="R2997" i="29"/>
  <c r="Q2997" i="29"/>
  <c r="V2996" i="29"/>
  <c r="U2996" i="29"/>
  <c r="T2996" i="29"/>
  <c r="R2996" i="29"/>
  <c r="Q2996" i="29"/>
  <c r="V2995" i="29"/>
  <c r="U2995" i="29"/>
  <c r="T2995" i="29"/>
  <c r="R2995" i="29"/>
  <c r="Q2995" i="29"/>
  <c r="V2994" i="29"/>
  <c r="U2994" i="29"/>
  <c r="T2994" i="29"/>
  <c r="R2994" i="29"/>
  <c r="Q2994" i="29"/>
  <c r="V2991" i="29"/>
  <c r="U2991" i="29"/>
  <c r="T2991" i="29"/>
  <c r="R2991" i="29"/>
  <c r="Q2991" i="29"/>
  <c r="V2990" i="29"/>
  <c r="U2990" i="29"/>
  <c r="T2990" i="29"/>
  <c r="R2990" i="29"/>
  <c r="Q2990" i="29"/>
  <c r="V2989" i="29"/>
  <c r="U2989" i="29"/>
  <c r="T2989" i="29"/>
  <c r="R2989" i="29"/>
  <c r="Q2989" i="29"/>
  <c r="V2988" i="29"/>
  <c r="U2988" i="29"/>
  <c r="T2988" i="29"/>
  <c r="R2988" i="29"/>
  <c r="Q2988" i="29"/>
  <c r="V2987" i="29"/>
  <c r="U2987" i="29"/>
  <c r="W2987" i="29" s="1"/>
  <c r="X2987" i="29" s="1"/>
  <c r="T2987" i="29"/>
  <c r="R2987" i="29"/>
  <c r="Q2987" i="29"/>
  <c r="V2986" i="29"/>
  <c r="U2986" i="29"/>
  <c r="W2986" i="29" s="1"/>
  <c r="X2986" i="29" s="1"/>
  <c r="T2986" i="29"/>
  <c r="R2986" i="29"/>
  <c r="Q2986" i="29"/>
  <c r="V2985" i="29"/>
  <c r="U2985" i="29"/>
  <c r="T2985" i="29"/>
  <c r="R2985" i="29"/>
  <c r="Q2985" i="29"/>
  <c r="V2984" i="29"/>
  <c r="U2984" i="29"/>
  <c r="T2984" i="29"/>
  <c r="R2984" i="29"/>
  <c r="Q2984" i="29"/>
  <c r="V2983" i="29"/>
  <c r="U2983" i="29"/>
  <c r="T2983" i="29"/>
  <c r="R2983" i="29"/>
  <c r="Q2983" i="29"/>
  <c r="V2980" i="29"/>
  <c r="U2980" i="29"/>
  <c r="T2980" i="29"/>
  <c r="R2980" i="29"/>
  <c r="Q2980" i="29"/>
  <c r="V2979" i="29"/>
  <c r="U2979" i="29"/>
  <c r="T2979" i="29"/>
  <c r="R2979" i="29"/>
  <c r="Q2979" i="29"/>
  <c r="V2978" i="29"/>
  <c r="U2978" i="29"/>
  <c r="T2978" i="29"/>
  <c r="R2978" i="29"/>
  <c r="Q2978" i="29"/>
  <c r="V2977" i="29"/>
  <c r="U2977" i="29"/>
  <c r="T2977" i="29"/>
  <c r="R2977" i="29"/>
  <c r="Q2977" i="29"/>
  <c r="V2976" i="29"/>
  <c r="U2976" i="29"/>
  <c r="T2976" i="29"/>
  <c r="R2976" i="29"/>
  <c r="Q2976" i="29"/>
  <c r="V2975" i="29"/>
  <c r="U2975" i="29"/>
  <c r="T2975" i="29"/>
  <c r="R2975" i="29"/>
  <c r="Q2975" i="29"/>
  <c r="V2974" i="29"/>
  <c r="U2974" i="29"/>
  <c r="T2974" i="29"/>
  <c r="R2974" i="29"/>
  <c r="Q2974" i="29"/>
  <c r="V2973" i="29"/>
  <c r="U2973" i="29"/>
  <c r="T2973" i="29"/>
  <c r="R2973" i="29"/>
  <c r="Q2973" i="29"/>
  <c r="V2972" i="29"/>
  <c r="U2972" i="29"/>
  <c r="T2972" i="29"/>
  <c r="R2972" i="29"/>
  <c r="Q2972" i="29"/>
  <c r="V2969" i="29"/>
  <c r="U2969" i="29"/>
  <c r="T2969" i="29"/>
  <c r="R2969" i="29"/>
  <c r="Q2969" i="29"/>
  <c r="V2968" i="29"/>
  <c r="U2968" i="29"/>
  <c r="T2968" i="29"/>
  <c r="R2968" i="29"/>
  <c r="Q2968" i="29"/>
  <c r="V2967" i="29"/>
  <c r="U2967" i="29"/>
  <c r="T2967" i="29"/>
  <c r="R2967" i="29"/>
  <c r="Q2967" i="29"/>
  <c r="V2966" i="29"/>
  <c r="U2966" i="29"/>
  <c r="T2966" i="29"/>
  <c r="R2966" i="29"/>
  <c r="Q2966" i="29"/>
  <c r="V2965" i="29"/>
  <c r="U2965" i="29"/>
  <c r="T2965" i="29"/>
  <c r="R2965" i="29"/>
  <c r="Q2965" i="29"/>
  <c r="V2964" i="29"/>
  <c r="U2964" i="29"/>
  <c r="T2964" i="29"/>
  <c r="R2964" i="29"/>
  <c r="Q2964" i="29"/>
  <c r="V2963" i="29"/>
  <c r="U2963" i="29"/>
  <c r="T2963" i="29"/>
  <c r="R2963" i="29"/>
  <c r="Q2963" i="29"/>
  <c r="V2962" i="29"/>
  <c r="U2962" i="29"/>
  <c r="T2962" i="29"/>
  <c r="R2962" i="29"/>
  <c r="Q2962" i="29"/>
  <c r="V2961" i="29"/>
  <c r="U2961" i="29"/>
  <c r="T2961" i="29"/>
  <c r="R2961" i="29"/>
  <c r="Q2961" i="29"/>
  <c r="V2958" i="29"/>
  <c r="U2958" i="29"/>
  <c r="T2958" i="29"/>
  <c r="R2958" i="29"/>
  <c r="Q2958" i="29"/>
  <c r="V2957" i="29"/>
  <c r="U2957" i="29"/>
  <c r="T2957" i="29"/>
  <c r="R2957" i="29"/>
  <c r="Q2957" i="29"/>
  <c r="V2956" i="29"/>
  <c r="U2956" i="29"/>
  <c r="T2956" i="29"/>
  <c r="R2956" i="29"/>
  <c r="Q2956" i="29"/>
  <c r="V2955" i="29"/>
  <c r="U2955" i="29"/>
  <c r="T2955" i="29"/>
  <c r="R2955" i="29"/>
  <c r="Q2955" i="29"/>
  <c r="V2954" i="29"/>
  <c r="U2954" i="29"/>
  <c r="T2954" i="29"/>
  <c r="R2954" i="29"/>
  <c r="Q2954" i="29"/>
  <c r="V2953" i="29"/>
  <c r="U2953" i="29"/>
  <c r="W2953" i="29" s="1"/>
  <c r="X2953" i="29" s="1"/>
  <c r="T2953" i="29"/>
  <c r="R2953" i="29"/>
  <c r="Q2953" i="29"/>
  <c r="V2952" i="29"/>
  <c r="U2952" i="29"/>
  <c r="T2952" i="29"/>
  <c r="R2952" i="29"/>
  <c r="Q2952" i="29"/>
  <c r="V2951" i="29"/>
  <c r="U2951" i="29"/>
  <c r="T2951" i="29"/>
  <c r="R2951" i="29"/>
  <c r="Q2951" i="29"/>
  <c r="V2950" i="29"/>
  <c r="U2950" i="29"/>
  <c r="T2950" i="29"/>
  <c r="R2950" i="29"/>
  <c r="Q2950" i="29"/>
  <c r="V2947" i="29"/>
  <c r="U2947" i="29"/>
  <c r="T2947" i="29"/>
  <c r="R2947" i="29"/>
  <c r="Q2947" i="29"/>
  <c r="V2946" i="29"/>
  <c r="U2946" i="29"/>
  <c r="T2946" i="29"/>
  <c r="R2946" i="29"/>
  <c r="Q2946" i="29"/>
  <c r="V2945" i="29"/>
  <c r="U2945" i="29"/>
  <c r="T2945" i="29"/>
  <c r="R2945" i="29"/>
  <c r="Q2945" i="29"/>
  <c r="V2944" i="29"/>
  <c r="U2944" i="29"/>
  <c r="T2944" i="29"/>
  <c r="R2944" i="29"/>
  <c r="Q2944" i="29"/>
  <c r="V2943" i="29"/>
  <c r="U2943" i="29"/>
  <c r="W2943" i="29" s="1"/>
  <c r="X2943" i="29" s="1"/>
  <c r="T2943" i="29"/>
  <c r="R2943" i="29"/>
  <c r="Q2943" i="29"/>
  <c r="V2942" i="29"/>
  <c r="U2942" i="29"/>
  <c r="T2942" i="29"/>
  <c r="R2942" i="29"/>
  <c r="Q2942" i="29"/>
  <c r="V2941" i="29"/>
  <c r="U2941" i="29"/>
  <c r="T2941" i="29"/>
  <c r="R2941" i="29"/>
  <c r="Q2941" i="29"/>
  <c r="V2940" i="29"/>
  <c r="U2940" i="29"/>
  <c r="T2940" i="29"/>
  <c r="R2940" i="29"/>
  <c r="Q2940" i="29"/>
  <c r="V2939" i="29"/>
  <c r="U2939" i="29"/>
  <c r="T2939" i="29"/>
  <c r="R2939" i="29"/>
  <c r="Q2939" i="29"/>
  <c r="V2936" i="29"/>
  <c r="U2936" i="29"/>
  <c r="T2936" i="29"/>
  <c r="R2936" i="29"/>
  <c r="Q2936" i="29"/>
  <c r="V2935" i="29"/>
  <c r="U2935" i="29"/>
  <c r="T2935" i="29"/>
  <c r="R2935" i="29"/>
  <c r="Q2935" i="29"/>
  <c r="V2934" i="29"/>
  <c r="U2934" i="29"/>
  <c r="T2934" i="29"/>
  <c r="R2934" i="29"/>
  <c r="Q2934" i="29"/>
  <c r="V2933" i="29"/>
  <c r="U2933" i="29"/>
  <c r="T2933" i="29"/>
  <c r="R2933" i="29"/>
  <c r="Q2933" i="29"/>
  <c r="V2932" i="29"/>
  <c r="U2932" i="29"/>
  <c r="T2932" i="29"/>
  <c r="R2932" i="29"/>
  <c r="Q2932" i="29"/>
  <c r="V2931" i="29"/>
  <c r="U2931" i="29"/>
  <c r="T2931" i="29"/>
  <c r="R2931" i="29"/>
  <c r="Q2931" i="29"/>
  <c r="V2930" i="29"/>
  <c r="U2930" i="29"/>
  <c r="T2930" i="29"/>
  <c r="R2930" i="29"/>
  <c r="Q2930" i="29"/>
  <c r="V2929" i="29"/>
  <c r="U2929" i="29"/>
  <c r="T2929" i="29"/>
  <c r="R2929" i="29"/>
  <c r="Q2929" i="29"/>
  <c r="V2928" i="29"/>
  <c r="U2928" i="29"/>
  <c r="W2928" i="29" s="1"/>
  <c r="X2928" i="29" s="1"/>
  <c r="T2928" i="29"/>
  <c r="R2928" i="29"/>
  <c r="Q2928" i="29"/>
  <c r="V2925" i="29"/>
  <c r="U2925" i="29"/>
  <c r="T2925" i="29"/>
  <c r="R2925" i="29"/>
  <c r="Q2925" i="29"/>
  <c r="V2924" i="29"/>
  <c r="U2924" i="29"/>
  <c r="T2924" i="29"/>
  <c r="R2924" i="29"/>
  <c r="Q2924" i="29"/>
  <c r="V2923" i="29"/>
  <c r="U2923" i="29"/>
  <c r="W2923" i="29" s="1"/>
  <c r="X2923" i="29" s="1"/>
  <c r="T2923" i="29"/>
  <c r="R2923" i="29"/>
  <c r="Q2923" i="29"/>
  <c r="V2922" i="29"/>
  <c r="U2922" i="29"/>
  <c r="T2922" i="29"/>
  <c r="R2922" i="29"/>
  <c r="Q2922" i="29"/>
  <c r="V2921" i="29"/>
  <c r="U2921" i="29"/>
  <c r="T2921" i="29"/>
  <c r="R2921" i="29"/>
  <c r="Q2921" i="29"/>
  <c r="V2920" i="29"/>
  <c r="U2920" i="29"/>
  <c r="T2920" i="29"/>
  <c r="R2920" i="29"/>
  <c r="Q2920" i="29"/>
  <c r="V2919" i="29"/>
  <c r="U2919" i="29"/>
  <c r="T2919" i="29"/>
  <c r="R2919" i="29"/>
  <c r="Q2919" i="29"/>
  <c r="V2918" i="29"/>
  <c r="U2918" i="29"/>
  <c r="T2918" i="29"/>
  <c r="R2918" i="29"/>
  <c r="Q2918" i="29"/>
  <c r="V2917" i="29"/>
  <c r="U2917" i="29"/>
  <c r="T2917" i="29"/>
  <c r="R2917" i="29"/>
  <c r="Q2917" i="29"/>
  <c r="V2914" i="29"/>
  <c r="U2914" i="29"/>
  <c r="T2914" i="29"/>
  <c r="R2914" i="29"/>
  <c r="Q2914" i="29"/>
  <c r="V2913" i="29"/>
  <c r="U2913" i="29"/>
  <c r="T2913" i="29"/>
  <c r="R2913" i="29"/>
  <c r="Q2913" i="29"/>
  <c r="V2912" i="29"/>
  <c r="U2912" i="29"/>
  <c r="T2912" i="29"/>
  <c r="R2912" i="29"/>
  <c r="Q2912" i="29"/>
  <c r="V2911" i="29"/>
  <c r="U2911" i="29"/>
  <c r="T2911" i="29"/>
  <c r="R2911" i="29"/>
  <c r="Q2911" i="29"/>
  <c r="V2910" i="29"/>
  <c r="U2910" i="29"/>
  <c r="T2910" i="29"/>
  <c r="R2910" i="29"/>
  <c r="Q2910" i="29"/>
  <c r="V2909" i="29"/>
  <c r="U2909" i="29"/>
  <c r="T2909" i="29"/>
  <c r="R2909" i="29"/>
  <c r="Q2909" i="29"/>
  <c r="V2908" i="29"/>
  <c r="U2908" i="29"/>
  <c r="T2908" i="29"/>
  <c r="R2908" i="29"/>
  <c r="Q2908" i="29"/>
  <c r="V2907" i="29"/>
  <c r="U2907" i="29"/>
  <c r="T2907" i="29"/>
  <c r="R2907" i="29"/>
  <c r="Q2907" i="29"/>
  <c r="V2906" i="29"/>
  <c r="U2906" i="29"/>
  <c r="T2906" i="29"/>
  <c r="R2906" i="29"/>
  <c r="Q2906" i="29"/>
  <c r="V2903" i="29"/>
  <c r="U2903" i="29"/>
  <c r="W2903" i="29" s="1"/>
  <c r="X2903" i="29" s="1"/>
  <c r="T2903" i="29"/>
  <c r="R2903" i="29"/>
  <c r="Q2903" i="29"/>
  <c r="V2902" i="29"/>
  <c r="U2902" i="29"/>
  <c r="T2902" i="29"/>
  <c r="R2902" i="29"/>
  <c r="Q2902" i="29"/>
  <c r="V2901" i="29"/>
  <c r="U2901" i="29"/>
  <c r="T2901" i="29"/>
  <c r="R2901" i="29"/>
  <c r="Q2901" i="29"/>
  <c r="V2900" i="29"/>
  <c r="U2900" i="29"/>
  <c r="T2900" i="29"/>
  <c r="R2900" i="29"/>
  <c r="Q2900" i="29"/>
  <c r="V2899" i="29"/>
  <c r="U2899" i="29"/>
  <c r="T2899" i="29"/>
  <c r="R2899" i="29"/>
  <c r="Q2899" i="29"/>
  <c r="V2898" i="29"/>
  <c r="U2898" i="29"/>
  <c r="T2898" i="29"/>
  <c r="R2898" i="29"/>
  <c r="Q2898" i="29"/>
  <c r="V2897" i="29"/>
  <c r="U2897" i="29"/>
  <c r="T2897" i="29"/>
  <c r="R2897" i="29"/>
  <c r="Q2897" i="29"/>
  <c r="V2896" i="29"/>
  <c r="U2896" i="29"/>
  <c r="T2896" i="29"/>
  <c r="R2896" i="29"/>
  <c r="Q2896" i="29"/>
  <c r="V2895" i="29"/>
  <c r="U2895" i="29"/>
  <c r="T2895" i="29"/>
  <c r="R2895" i="29"/>
  <c r="Q2895" i="29"/>
  <c r="V2892" i="29"/>
  <c r="U2892" i="29"/>
  <c r="T2892" i="29"/>
  <c r="R2892" i="29"/>
  <c r="Q2892" i="29"/>
  <c r="V2891" i="29"/>
  <c r="U2891" i="29"/>
  <c r="T2891" i="29"/>
  <c r="R2891" i="29"/>
  <c r="Q2891" i="29"/>
  <c r="V2890" i="29"/>
  <c r="U2890" i="29"/>
  <c r="T2890" i="29"/>
  <c r="R2890" i="29"/>
  <c r="Q2890" i="29"/>
  <c r="V2889" i="29"/>
  <c r="U2889" i="29"/>
  <c r="T2889" i="29"/>
  <c r="R2889" i="29"/>
  <c r="Q2889" i="29"/>
  <c r="V2888" i="29"/>
  <c r="U2888" i="29"/>
  <c r="T2888" i="29"/>
  <c r="R2888" i="29"/>
  <c r="Q2888" i="29"/>
  <c r="V2887" i="29"/>
  <c r="U2887" i="29"/>
  <c r="T2887" i="29"/>
  <c r="R2887" i="29"/>
  <c r="Q2887" i="29"/>
  <c r="V2886" i="29"/>
  <c r="U2886" i="29"/>
  <c r="T2886" i="29"/>
  <c r="R2886" i="29"/>
  <c r="Q2886" i="29"/>
  <c r="V2885" i="29"/>
  <c r="U2885" i="29"/>
  <c r="T2885" i="29"/>
  <c r="R2885" i="29"/>
  <c r="Q2885" i="29"/>
  <c r="V2884" i="29"/>
  <c r="U2884" i="29"/>
  <c r="T2884" i="29"/>
  <c r="R2884" i="29"/>
  <c r="Q2884" i="29"/>
  <c r="V2881" i="29"/>
  <c r="U2881" i="29"/>
  <c r="T2881" i="29"/>
  <c r="R2881" i="29"/>
  <c r="Q2881" i="29"/>
  <c r="V2880" i="29"/>
  <c r="U2880" i="29"/>
  <c r="T2880" i="29"/>
  <c r="R2880" i="29"/>
  <c r="Q2880" i="29"/>
  <c r="V2879" i="29"/>
  <c r="U2879" i="29"/>
  <c r="T2879" i="29"/>
  <c r="R2879" i="29"/>
  <c r="Q2879" i="29"/>
  <c r="V2878" i="29"/>
  <c r="U2878" i="29"/>
  <c r="T2878" i="29"/>
  <c r="R2878" i="29"/>
  <c r="Q2878" i="29"/>
  <c r="V2877" i="29"/>
  <c r="U2877" i="29"/>
  <c r="T2877" i="29"/>
  <c r="R2877" i="29"/>
  <c r="Q2877" i="29"/>
  <c r="V2876" i="29"/>
  <c r="U2876" i="29"/>
  <c r="T2876" i="29"/>
  <c r="R2876" i="29"/>
  <c r="Q2876" i="29"/>
  <c r="V2875" i="29"/>
  <c r="U2875" i="29"/>
  <c r="W2875" i="29" s="1"/>
  <c r="X2875" i="29" s="1"/>
  <c r="T2875" i="29"/>
  <c r="R2875" i="29"/>
  <c r="Q2875" i="29"/>
  <c r="V2874" i="29"/>
  <c r="U2874" i="29"/>
  <c r="T2874" i="29"/>
  <c r="R2874" i="29"/>
  <c r="Q2874" i="29"/>
  <c r="V2873" i="29"/>
  <c r="U2873" i="29"/>
  <c r="T2873" i="29"/>
  <c r="R2873" i="29"/>
  <c r="Q2873" i="29"/>
  <c r="V2870" i="29"/>
  <c r="U2870" i="29"/>
  <c r="T2870" i="29"/>
  <c r="R2870" i="29"/>
  <c r="Q2870" i="29"/>
  <c r="V2869" i="29"/>
  <c r="U2869" i="29"/>
  <c r="T2869" i="29"/>
  <c r="R2869" i="29"/>
  <c r="Q2869" i="29"/>
  <c r="V2868" i="29"/>
  <c r="U2868" i="29"/>
  <c r="T2868" i="29"/>
  <c r="R2868" i="29"/>
  <c r="Q2868" i="29"/>
  <c r="V2867" i="29"/>
  <c r="U2867" i="29"/>
  <c r="T2867" i="29"/>
  <c r="R2867" i="29"/>
  <c r="Q2867" i="29"/>
  <c r="V2866" i="29"/>
  <c r="U2866" i="29"/>
  <c r="T2866" i="29"/>
  <c r="R2866" i="29"/>
  <c r="Q2866" i="29"/>
  <c r="V2865" i="29"/>
  <c r="U2865" i="29"/>
  <c r="T2865" i="29"/>
  <c r="R2865" i="29"/>
  <c r="Q2865" i="29"/>
  <c r="V2864" i="29"/>
  <c r="U2864" i="29"/>
  <c r="T2864" i="29"/>
  <c r="R2864" i="29"/>
  <c r="Q2864" i="29"/>
  <c r="V2863" i="29"/>
  <c r="U2863" i="29"/>
  <c r="T2863" i="29"/>
  <c r="R2863" i="29"/>
  <c r="Q2863" i="29"/>
  <c r="V2862" i="29"/>
  <c r="U2862" i="29"/>
  <c r="T2862" i="29"/>
  <c r="R2862" i="29"/>
  <c r="Q2862" i="29"/>
  <c r="V2859" i="29"/>
  <c r="U2859" i="29"/>
  <c r="T2859" i="29"/>
  <c r="R2859" i="29"/>
  <c r="Q2859" i="29"/>
  <c r="V2858" i="29"/>
  <c r="U2858" i="29"/>
  <c r="T2858" i="29"/>
  <c r="R2858" i="29"/>
  <c r="Q2858" i="29"/>
  <c r="V2857" i="29"/>
  <c r="U2857" i="29"/>
  <c r="T2857" i="29"/>
  <c r="R2857" i="29"/>
  <c r="Q2857" i="29"/>
  <c r="V2856" i="29"/>
  <c r="U2856" i="29"/>
  <c r="T2856" i="29"/>
  <c r="R2856" i="29"/>
  <c r="Q2856" i="29"/>
  <c r="V2855" i="29"/>
  <c r="U2855" i="29"/>
  <c r="W2855" i="29" s="1"/>
  <c r="X2855" i="29" s="1"/>
  <c r="T2855" i="29"/>
  <c r="R2855" i="29"/>
  <c r="Q2855" i="29"/>
  <c r="V2854" i="29"/>
  <c r="U2854" i="29"/>
  <c r="T2854" i="29"/>
  <c r="R2854" i="29"/>
  <c r="Q2854" i="29"/>
  <c r="V2853" i="29"/>
  <c r="U2853" i="29"/>
  <c r="T2853" i="29"/>
  <c r="R2853" i="29"/>
  <c r="Q2853" i="29"/>
  <c r="V2852" i="29"/>
  <c r="U2852" i="29"/>
  <c r="T2852" i="29"/>
  <c r="R2852" i="29"/>
  <c r="Q2852" i="29"/>
  <c r="V2851" i="29"/>
  <c r="U2851" i="29"/>
  <c r="T2851" i="29"/>
  <c r="R2851" i="29"/>
  <c r="Q2851" i="29"/>
  <c r="V2848" i="29"/>
  <c r="U2848" i="29"/>
  <c r="T2848" i="29"/>
  <c r="R2848" i="29"/>
  <c r="Q2848" i="29"/>
  <c r="V2847" i="29"/>
  <c r="U2847" i="29"/>
  <c r="T2847" i="29"/>
  <c r="R2847" i="29"/>
  <c r="Q2847" i="29"/>
  <c r="V2846" i="29"/>
  <c r="U2846" i="29"/>
  <c r="T2846" i="29"/>
  <c r="R2846" i="29"/>
  <c r="Q2846" i="29"/>
  <c r="V2845" i="29"/>
  <c r="U2845" i="29"/>
  <c r="T2845" i="29"/>
  <c r="R2845" i="29"/>
  <c r="Q2845" i="29"/>
  <c r="V2844" i="29"/>
  <c r="U2844" i="29"/>
  <c r="T2844" i="29"/>
  <c r="R2844" i="29"/>
  <c r="Q2844" i="29"/>
  <c r="V2843" i="29"/>
  <c r="U2843" i="29"/>
  <c r="T2843" i="29"/>
  <c r="R2843" i="29"/>
  <c r="Q2843" i="29"/>
  <c r="V2842" i="29"/>
  <c r="U2842" i="29"/>
  <c r="T2842" i="29"/>
  <c r="R2842" i="29"/>
  <c r="Q2842" i="29"/>
  <c r="V2841" i="29"/>
  <c r="U2841" i="29"/>
  <c r="T2841" i="29"/>
  <c r="R2841" i="29"/>
  <c r="Q2841" i="29"/>
  <c r="V2840" i="29"/>
  <c r="U2840" i="29"/>
  <c r="T2840" i="29"/>
  <c r="R2840" i="29"/>
  <c r="Q2840" i="29"/>
  <c r="V2837" i="29"/>
  <c r="U2837" i="29"/>
  <c r="T2837" i="29"/>
  <c r="R2837" i="29"/>
  <c r="Q2837" i="29"/>
  <c r="V2836" i="29"/>
  <c r="U2836" i="29"/>
  <c r="T2836" i="29"/>
  <c r="R2836" i="29"/>
  <c r="Q2836" i="29"/>
  <c r="V2835" i="29"/>
  <c r="U2835" i="29"/>
  <c r="T2835" i="29"/>
  <c r="R2835" i="29"/>
  <c r="Q2835" i="29"/>
  <c r="V2834" i="29"/>
  <c r="U2834" i="29"/>
  <c r="T2834" i="29"/>
  <c r="R2834" i="29"/>
  <c r="Q2834" i="29"/>
  <c r="V2833" i="29"/>
  <c r="U2833" i="29"/>
  <c r="T2833" i="29"/>
  <c r="R2833" i="29"/>
  <c r="Q2833" i="29"/>
  <c r="V2832" i="29"/>
  <c r="U2832" i="29"/>
  <c r="T2832" i="29"/>
  <c r="R2832" i="29"/>
  <c r="Q2832" i="29"/>
  <c r="V2831" i="29"/>
  <c r="U2831" i="29"/>
  <c r="T2831" i="29"/>
  <c r="R2831" i="29"/>
  <c r="Q2831" i="29"/>
  <c r="V2830" i="29"/>
  <c r="U2830" i="29"/>
  <c r="T2830" i="29"/>
  <c r="R2830" i="29"/>
  <c r="Q2830" i="29"/>
  <c r="V2829" i="29"/>
  <c r="U2829" i="29"/>
  <c r="T2829" i="29"/>
  <c r="R2829" i="29"/>
  <c r="Q2829" i="29"/>
  <c r="V2826" i="29"/>
  <c r="U2826" i="29"/>
  <c r="T2826" i="29"/>
  <c r="R2826" i="29"/>
  <c r="Q2826" i="29"/>
  <c r="V2825" i="29"/>
  <c r="U2825" i="29"/>
  <c r="T2825" i="29"/>
  <c r="R2825" i="29"/>
  <c r="Q2825" i="29"/>
  <c r="V2824" i="29"/>
  <c r="U2824" i="29"/>
  <c r="W2824" i="29" s="1"/>
  <c r="X2824" i="29" s="1"/>
  <c r="T2824" i="29"/>
  <c r="R2824" i="29"/>
  <c r="Q2824" i="29"/>
  <c r="V2823" i="29"/>
  <c r="U2823" i="29"/>
  <c r="T2823" i="29"/>
  <c r="R2823" i="29"/>
  <c r="Q2823" i="29"/>
  <c r="V2822" i="29"/>
  <c r="U2822" i="29"/>
  <c r="W2822" i="29" s="1"/>
  <c r="X2822" i="29" s="1"/>
  <c r="T2822" i="29"/>
  <c r="R2822" i="29"/>
  <c r="Q2822" i="29"/>
  <c r="V2821" i="29"/>
  <c r="U2821" i="29"/>
  <c r="T2821" i="29"/>
  <c r="R2821" i="29"/>
  <c r="Q2821" i="29"/>
  <c r="V2820" i="29"/>
  <c r="U2820" i="29"/>
  <c r="T2820" i="29"/>
  <c r="R2820" i="29"/>
  <c r="Q2820" i="29"/>
  <c r="V2819" i="29"/>
  <c r="U2819" i="29"/>
  <c r="T2819" i="29"/>
  <c r="R2819" i="29"/>
  <c r="Q2819" i="29"/>
  <c r="V2818" i="29"/>
  <c r="U2818" i="29"/>
  <c r="T2818" i="29"/>
  <c r="R2818" i="29"/>
  <c r="Q2818" i="29"/>
  <c r="V2815" i="29"/>
  <c r="U2815" i="29"/>
  <c r="T2815" i="29"/>
  <c r="R2815" i="29"/>
  <c r="Q2815" i="29"/>
  <c r="V2814" i="29"/>
  <c r="U2814" i="29"/>
  <c r="T2814" i="29"/>
  <c r="R2814" i="29"/>
  <c r="Q2814" i="29"/>
  <c r="V2813" i="29"/>
  <c r="U2813" i="29"/>
  <c r="T2813" i="29"/>
  <c r="R2813" i="29"/>
  <c r="Q2813" i="29"/>
  <c r="V2812" i="29"/>
  <c r="U2812" i="29"/>
  <c r="T2812" i="29"/>
  <c r="R2812" i="29"/>
  <c r="Q2812" i="29"/>
  <c r="V2811" i="29"/>
  <c r="U2811" i="29"/>
  <c r="T2811" i="29"/>
  <c r="R2811" i="29"/>
  <c r="Q2811" i="29"/>
  <c r="V2810" i="29"/>
  <c r="U2810" i="29"/>
  <c r="T2810" i="29"/>
  <c r="R2810" i="29"/>
  <c r="Q2810" i="29"/>
  <c r="V2809" i="29"/>
  <c r="U2809" i="29"/>
  <c r="T2809" i="29"/>
  <c r="R2809" i="29"/>
  <c r="Q2809" i="29"/>
  <c r="V2808" i="29"/>
  <c r="U2808" i="29"/>
  <c r="T2808" i="29"/>
  <c r="R2808" i="29"/>
  <c r="Q2808" i="29"/>
  <c r="V2807" i="29"/>
  <c r="U2807" i="29"/>
  <c r="T2807" i="29"/>
  <c r="R2807" i="29"/>
  <c r="Q2807" i="29"/>
  <c r="V2804" i="29"/>
  <c r="U2804" i="29"/>
  <c r="T2804" i="29"/>
  <c r="R2804" i="29"/>
  <c r="Q2804" i="29"/>
  <c r="V2803" i="29"/>
  <c r="U2803" i="29"/>
  <c r="T2803" i="29"/>
  <c r="R2803" i="29"/>
  <c r="Q2803" i="29"/>
  <c r="V2802" i="29"/>
  <c r="U2802" i="29"/>
  <c r="T2802" i="29"/>
  <c r="R2802" i="29"/>
  <c r="Q2802" i="29"/>
  <c r="V2801" i="29"/>
  <c r="U2801" i="29"/>
  <c r="T2801" i="29"/>
  <c r="R2801" i="29"/>
  <c r="Q2801" i="29"/>
  <c r="V2800" i="29"/>
  <c r="U2800" i="29"/>
  <c r="T2800" i="29"/>
  <c r="R2800" i="29"/>
  <c r="Q2800" i="29"/>
  <c r="V2799" i="29"/>
  <c r="U2799" i="29"/>
  <c r="T2799" i="29"/>
  <c r="R2799" i="29"/>
  <c r="Q2799" i="29"/>
  <c r="V2798" i="29"/>
  <c r="U2798" i="29"/>
  <c r="T2798" i="29"/>
  <c r="R2798" i="29"/>
  <c r="Q2798" i="29"/>
  <c r="V2797" i="29"/>
  <c r="U2797" i="29"/>
  <c r="T2797" i="29"/>
  <c r="R2797" i="29"/>
  <c r="Q2797" i="29"/>
  <c r="V2796" i="29"/>
  <c r="U2796" i="29"/>
  <c r="T2796" i="29"/>
  <c r="R2796" i="29"/>
  <c r="Q2796" i="29"/>
  <c r="V2793" i="29"/>
  <c r="U2793" i="29"/>
  <c r="T2793" i="29"/>
  <c r="R2793" i="29"/>
  <c r="Q2793" i="29"/>
  <c r="V2792" i="29"/>
  <c r="U2792" i="29"/>
  <c r="T2792" i="29"/>
  <c r="R2792" i="29"/>
  <c r="Q2792" i="29"/>
  <c r="V2791" i="29"/>
  <c r="U2791" i="29"/>
  <c r="T2791" i="29"/>
  <c r="R2791" i="29"/>
  <c r="Q2791" i="29"/>
  <c r="V2790" i="29"/>
  <c r="U2790" i="29"/>
  <c r="T2790" i="29"/>
  <c r="R2790" i="29"/>
  <c r="Q2790" i="29"/>
  <c r="V2789" i="29"/>
  <c r="U2789" i="29"/>
  <c r="T2789" i="29"/>
  <c r="R2789" i="29"/>
  <c r="Q2789" i="29"/>
  <c r="V2788" i="29"/>
  <c r="U2788" i="29"/>
  <c r="T2788" i="29"/>
  <c r="R2788" i="29"/>
  <c r="Q2788" i="29"/>
  <c r="V2787" i="29"/>
  <c r="U2787" i="29"/>
  <c r="T2787" i="29"/>
  <c r="R2787" i="29"/>
  <c r="Q2787" i="29"/>
  <c r="V2786" i="29"/>
  <c r="U2786" i="29"/>
  <c r="T2786" i="29"/>
  <c r="R2786" i="29"/>
  <c r="Q2786" i="29"/>
  <c r="V2785" i="29"/>
  <c r="U2785" i="29"/>
  <c r="T2785" i="29"/>
  <c r="R2785" i="29"/>
  <c r="Q2785" i="29"/>
  <c r="V2782" i="29"/>
  <c r="U2782" i="29"/>
  <c r="W2782" i="29" s="1"/>
  <c r="X2782" i="29" s="1"/>
  <c r="T2782" i="29"/>
  <c r="R2782" i="29"/>
  <c r="Q2782" i="29"/>
  <c r="V2781" i="29"/>
  <c r="U2781" i="29"/>
  <c r="W2781" i="29" s="1"/>
  <c r="X2781" i="29" s="1"/>
  <c r="T2781" i="29"/>
  <c r="R2781" i="29"/>
  <c r="Q2781" i="29"/>
  <c r="V2780" i="29"/>
  <c r="U2780" i="29"/>
  <c r="T2780" i="29"/>
  <c r="R2780" i="29"/>
  <c r="Q2780" i="29"/>
  <c r="V2779" i="29"/>
  <c r="U2779" i="29"/>
  <c r="T2779" i="29"/>
  <c r="R2779" i="29"/>
  <c r="Q2779" i="29"/>
  <c r="V2778" i="29"/>
  <c r="U2778" i="29"/>
  <c r="T2778" i="29"/>
  <c r="R2778" i="29"/>
  <c r="Q2778" i="29"/>
  <c r="V2777" i="29"/>
  <c r="U2777" i="29"/>
  <c r="T2777" i="29"/>
  <c r="R2777" i="29"/>
  <c r="Q2777" i="29"/>
  <c r="V2776" i="29"/>
  <c r="U2776" i="29"/>
  <c r="T2776" i="29"/>
  <c r="R2776" i="29"/>
  <c r="Q2776" i="29"/>
  <c r="V2775" i="29"/>
  <c r="U2775" i="29"/>
  <c r="T2775" i="29"/>
  <c r="R2775" i="29"/>
  <c r="Q2775" i="29"/>
  <c r="V2774" i="29"/>
  <c r="U2774" i="29"/>
  <c r="T2774" i="29"/>
  <c r="R2774" i="29"/>
  <c r="Q2774" i="29"/>
  <c r="V2771" i="29"/>
  <c r="U2771" i="29"/>
  <c r="W2771" i="29" s="1"/>
  <c r="X2771" i="29" s="1"/>
  <c r="T2771" i="29"/>
  <c r="R2771" i="29"/>
  <c r="Q2771" i="29"/>
  <c r="V2770" i="29"/>
  <c r="U2770" i="29"/>
  <c r="T2770" i="29"/>
  <c r="R2770" i="29"/>
  <c r="Q2770" i="29"/>
  <c r="V2769" i="29"/>
  <c r="U2769" i="29"/>
  <c r="T2769" i="29"/>
  <c r="R2769" i="29"/>
  <c r="Q2769" i="29"/>
  <c r="V2768" i="29"/>
  <c r="U2768" i="29"/>
  <c r="T2768" i="29"/>
  <c r="R2768" i="29"/>
  <c r="Q2768" i="29"/>
  <c r="V2767" i="29"/>
  <c r="U2767" i="29"/>
  <c r="T2767" i="29"/>
  <c r="R2767" i="29"/>
  <c r="Q2767" i="29"/>
  <c r="V2766" i="29"/>
  <c r="U2766" i="29"/>
  <c r="T2766" i="29"/>
  <c r="R2766" i="29"/>
  <c r="Q2766" i="29"/>
  <c r="V2765" i="29"/>
  <c r="U2765" i="29"/>
  <c r="T2765" i="29"/>
  <c r="R2765" i="29"/>
  <c r="Q2765" i="29"/>
  <c r="V2764" i="29"/>
  <c r="U2764" i="29"/>
  <c r="T2764" i="29"/>
  <c r="R2764" i="29"/>
  <c r="Q2764" i="29"/>
  <c r="V2763" i="29"/>
  <c r="U2763" i="29"/>
  <c r="T2763" i="29"/>
  <c r="R2763" i="29"/>
  <c r="Q2763" i="29"/>
  <c r="V2760" i="29"/>
  <c r="U2760" i="29"/>
  <c r="T2760" i="29"/>
  <c r="R2760" i="29"/>
  <c r="Q2760" i="29"/>
  <c r="V2759" i="29"/>
  <c r="U2759" i="29"/>
  <c r="T2759" i="29"/>
  <c r="R2759" i="29"/>
  <c r="Q2759" i="29"/>
  <c r="V2758" i="29"/>
  <c r="W2758" i="29" s="1"/>
  <c r="X2758" i="29" s="1"/>
  <c r="U2758" i="29"/>
  <c r="T2758" i="29"/>
  <c r="R2758" i="29"/>
  <c r="Q2758" i="29"/>
  <c r="V2757" i="29"/>
  <c r="U2757" i="29"/>
  <c r="T2757" i="29"/>
  <c r="R2757" i="29"/>
  <c r="Q2757" i="29"/>
  <c r="V2756" i="29"/>
  <c r="U2756" i="29"/>
  <c r="T2756" i="29"/>
  <c r="R2756" i="29"/>
  <c r="Q2756" i="29"/>
  <c r="V2755" i="29"/>
  <c r="U2755" i="29"/>
  <c r="T2755" i="29"/>
  <c r="R2755" i="29"/>
  <c r="Q2755" i="29"/>
  <c r="V2754" i="29"/>
  <c r="U2754" i="29"/>
  <c r="T2754" i="29"/>
  <c r="R2754" i="29"/>
  <c r="Q2754" i="29"/>
  <c r="V2753" i="29"/>
  <c r="U2753" i="29"/>
  <c r="T2753" i="29"/>
  <c r="R2753" i="29"/>
  <c r="Q2753" i="29"/>
  <c r="V2752" i="29"/>
  <c r="U2752" i="29"/>
  <c r="T2752" i="29"/>
  <c r="R2752" i="29"/>
  <c r="Q2752" i="29"/>
  <c r="V2749" i="29"/>
  <c r="U2749" i="29"/>
  <c r="T2749" i="29"/>
  <c r="R2749" i="29"/>
  <c r="Q2749" i="29"/>
  <c r="V2748" i="29"/>
  <c r="U2748" i="29"/>
  <c r="T2748" i="29"/>
  <c r="R2748" i="29"/>
  <c r="Q2748" i="29"/>
  <c r="V2747" i="29"/>
  <c r="U2747" i="29"/>
  <c r="T2747" i="29"/>
  <c r="R2747" i="29"/>
  <c r="Q2747" i="29"/>
  <c r="V2746" i="29"/>
  <c r="U2746" i="29"/>
  <c r="T2746" i="29"/>
  <c r="R2746" i="29"/>
  <c r="Q2746" i="29"/>
  <c r="V2745" i="29"/>
  <c r="U2745" i="29"/>
  <c r="T2745" i="29"/>
  <c r="R2745" i="29"/>
  <c r="Q2745" i="29"/>
  <c r="V2744" i="29"/>
  <c r="U2744" i="29"/>
  <c r="T2744" i="29"/>
  <c r="R2744" i="29"/>
  <c r="Q2744" i="29"/>
  <c r="V2743" i="29"/>
  <c r="U2743" i="29"/>
  <c r="T2743" i="29"/>
  <c r="R2743" i="29"/>
  <c r="Q2743" i="29"/>
  <c r="V2742" i="29"/>
  <c r="U2742" i="29"/>
  <c r="T2742" i="29"/>
  <c r="R2742" i="29"/>
  <c r="Q2742" i="29"/>
  <c r="V2741" i="29"/>
  <c r="U2741" i="29"/>
  <c r="T2741" i="29"/>
  <c r="R2741" i="29"/>
  <c r="Q2741" i="29"/>
  <c r="V2738" i="29"/>
  <c r="U2738" i="29"/>
  <c r="T2738" i="29"/>
  <c r="R2738" i="29"/>
  <c r="Q2738" i="29"/>
  <c r="V2737" i="29"/>
  <c r="U2737" i="29"/>
  <c r="W2737" i="29" s="1"/>
  <c r="X2737" i="29" s="1"/>
  <c r="T2737" i="29"/>
  <c r="R2737" i="29"/>
  <c r="Q2737" i="29"/>
  <c r="V2736" i="29"/>
  <c r="U2736" i="29"/>
  <c r="T2736" i="29"/>
  <c r="R2736" i="29"/>
  <c r="Q2736" i="29"/>
  <c r="V2735" i="29"/>
  <c r="U2735" i="29"/>
  <c r="T2735" i="29"/>
  <c r="R2735" i="29"/>
  <c r="Q2735" i="29"/>
  <c r="V2734" i="29"/>
  <c r="U2734" i="29"/>
  <c r="T2734" i="29"/>
  <c r="R2734" i="29"/>
  <c r="Q2734" i="29"/>
  <c r="V2733" i="29"/>
  <c r="U2733" i="29"/>
  <c r="T2733" i="29"/>
  <c r="R2733" i="29"/>
  <c r="Q2733" i="29"/>
  <c r="V2732" i="29"/>
  <c r="U2732" i="29"/>
  <c r="T2732" i="29"/>
  <c r="R2732" i="29"/>
  <c r="Q2732" i="29"/>
  <c r="V2731" i="29"/>
  <c r="U2731" i="29"/>
  <c r="T2731" i="29"/>
  <c r="R2731" i="29"/>
  <c r="Q2731" i="29"/>
  <c r="V2730" i="29"/>
  <c r="U2730" i="29"/>
  <c r="T2730" i="29"/>
  <c r="R2730" i="29"/>
  <c r="Q2730" i="29"/>
  <c r="V2727" i="29"/>
  <c r="U2727" i="29"/>
  <c r="T2727" i="29"/>
  <c r="R2727" i="29"/>
  <c r="Q2727" i="29"/>
  <c r="V2726" i="29"/>
  <c r="U2726" i="29"/>
  <c r="T2726" i="29"/>
  <c r="R2726" i="29"/>
  <c r="Q2726" i="29"/>
  <c r="V2725" i="29"/>
  <c r="U2725" i="29"/>
  <c r="T2725" i="29"/>
  <c r="R2725" i="29"/>
  <c r="Q2725" i="29"/>
  <c r="V2724" i="29"/>
  <c r="U2724" i="29"/>
  <c r="T2724" i="29"/>
  <c r="R2724" i="29"/>
  <c r="Q2724" i="29"/>
  <c r="V2723" i="29"/>
  <c r="U2723" i="29"/>
  <c r="T2723" i="29"/>
  <c r="R2723" i="29"/>
  <c r="Q2723" i="29"/>
  <c r="V2722" i="29"/>
  <c r="U2722" i="29"/>
  <c r="T2722" i="29"/>
  <c r="R2722" i="29"/>
  <c r="Q2722" i="29"/>
  <c r="V2721" i="29"/>
  <c r="U2721" i="29"/>
  <c r="T2721" i="29"/>
  <c r="R2721" i="29"/>
  <c r="Q2721" i="29"/>
  <c r="V2720" i="29"/>
  <c r="U2720" i="29"/>
  <c r="T2720" i="29"/>
  <c r="R2720" i="29"/>
  <c r="Q2720" i="29"/>
  <c r="V2719" i="29"/>
  <c r="U2719" i="29"/>
  <c r="T2719" i="29"/>
  <c r="R2719" i="29"/>
  <c r="Q2719" i="29"/>
  <c r="V2716" i="29"/>
  <c r="U2716" i="29"/>
  <c r="T2716" i="29"/>
  <c r="R2716" i="29"/>
  <c r="Q2716" i="29"/>
  <c r="V2715" i="29"/>
  <c r="U2715" i="29"/>
  <c r="T2715" i="29"/>
  <c r="R2715" i="29"/>
  <c r="Q2715" i="29"/>
  <c r="V2714" i="29"/>
  <c r="U2714" i="29"/>
  <c r="T2714" i="29"/>
  <c r="R2714" i="29"/>
  <c r="Q2714" i="29"/>
  <c r="V2713" i="29"/>
  <c r="U2713" i="29"/>
  <c r="T2713" i="29"/>
  <c r="R2713" i="29"/>
  <c r="Q2713" i="29"/>
  <c r="V2712" i="29"/>
  <c r="U2712" i="29"/>
  <c r="T2712" i="29"/>
  <c r="R2712" i="29"/>
  <c r="Q2712" i="29"/>
  <c r="V2711" i="29"/>
  <c r="U2711" i="29"/>
  <c r="T2711" i="29"/>
  <c r="R2711" i="29"/>
  <c r="Q2711" i="29"/>
  <c r="V2710" i="29"/>
  <c r="U2710" i="29"/>
  <c r="T2710" i="29"/>
  <c r="R2710" i="29"/>
  <c r="Q2710" i="29"/>
  <c r="V2709" i="29"/>
  <c r="U2709" i="29"/>
  <c r="T2709" i="29"/>
  <c r="R2709" i="29"/>
  <c r="Q2709" i="29"/>
  <c r="V2708" i="29"/>
  <c r="U2708" i="29"/>
  <c r="T2708" i="29"/>
  <c r="R2708" i="29"/>
  <c r="Q2708" i="29"/>
  <c r="V2705" i="29"/>
  <c r="U2705" i="29"/>
  <c r="T2705" i="29"/>
  <c r="R2705" i="29"/>
  <c r="Q2705" i="29"/>
  <c r="V2704" i="29"/>
  <c r="U2704" i="29"/>
  <c r="T2704" i="29"/>
  <c r="R2704" i="29"/>
  <c r="Q2704" i="29"/>
  <c r="V2703" i="29"/>
  <c r="U2703" i="29"/>
  <c r="T2703" i="29"/>
  <c r="R2703" i="29"/>
  <c r="Q2703" i="29"/>
  <c r="V2702" i="29"/>
  <c r="U2702" i="29"/>
  <c r="T2702" i="29"/>
  <c r="R2702" i="29"/>
  <c r="Q2702" i="29"/>
  <c r="V2701" i="29"/>
  <c r="U2701" i="29"/>
  <c r="T2701" i="29"/>
  <c r="R2701" i="29"/>
  <c r="Q2701" i="29"/>
  <c r="V2700" i="29"/>
  <c r="U2700" i="29"/>
  <c r="T2700" i="29"/>
  <c r="R2700" i="29"/>
  <c r="Q2700" i="29"/>
  <c r="V2699" i="29"/>
  <c r="U2699" i="29"/>
  <c r="T2699" i="29"/>
  <c r="R2699" i="29"/>
  <c r="Q2699" i="29"/>
  <c r="V2698" i="29"/>
  <c r="U2698" i="29"/>
  <c r="T2698" i="29"/>
  <c r="R2698" i="29"/>
  <c r="Q2698" i="29"/>
  <c r="V2697" i="29"/>
  <c r="U2697" i="29"/>
  <c r="T2697" i="29"/>
  <c r="R2697" i="29"/>
  <c r="Q2697" i="29"/>
  <c r="V2694" i="29"/>
  <c r="U2694" i="29"/>
  <c r="T2694" i="29"/>
  <c r="R2694" i="29"/>
  <c r="Q2694" i="29"/>
  <c r="V2693" i="29"/>
  <c r="U2693" i="29"/>
  <c r="T2693" i="29"/>
  <c r="R2693" i="29"/>
  <c r="Q2693" i="29"/>
  <c r="V2692" i="29"/>
  <c r="U2692" i="29"/>
  <c r="T2692" i="29"/>
  <c r="R2692" i="29"/>
  <c r="Q2692" i="29"/>
  <c r="V2691" i="29"/>
  <c r="U2691" i="29"/>
  <c r="T2691" i="29"/>
  <c r="R2691" i="29"/>
  <c r="Q2691" i="29"/>
  <c r="V2690" i="29"/>
  <c r="U2690" i="29"/>
  <c r="T2690" i="29"/>
  <c r="R2690" i="29"/>
  <c r="Q2690" i="29"/>
  <c r="V2689" i="29"/>
  <c r="U2689" i="29"/>
  <c r="T2689" i="29"/>
  <c r="R2689" i="29"/>
  <c r="Q2689" i="29"/>
  <c r="V2688" i="29"/>
  <c r="U2688" i="29"/>
  <c r="T2688" i="29"/>
  <c r="R2688" i="29"/>
  <c r="Q2688" i="29"/>
  <c r="V2687" i="29"/>
  <c r="U2687" i="29"/>
  <c r="T2687" i="29"/>
  <c r="R2687" i="29"/>
  <c r="Q2687" i="29"/>
  <c r="V2686" i="29"/>
  <c r="U2686" i="29"/>
  <c r="T2686" i="29"/>
  <c r="R2686" i="29"/>
  <c r="Q2686" i="29"/>
  <c r="V2683" i="29"/>
  <c r="U2683" i="29"/>
  <c r="T2683" i="29"/>
  <c r="R2683" i="29"/>
  <c r="Q2683" i="29"/>
  <c r="V2682" i="29"/>
  <c r="U2682" i="29"/>
  <c r="T2682" i="29"/>
  <c r="R2682" i="29"/>
  <c r="Q2682" i="29"/>
  <c r="V2681" i="29"/>
  <c r="U2681" i="29"/>
  <c r="T2681" i="29"/>
  <c r="R2681" i="29"/>
  <c r="Q2681" i="29"/>
  <c r="V2680" i="29"/>
  <c r="U2680" i="29"/>
  <c r="T2680" i="29"/>
  <c r="R2680" i="29"/>
  <c r="Q2680" i="29"/>
  <c r="V2679" i="29"/>
  <c r="U2679" i="29"/>
  <c r="W2679" i="29" s="1"/>
  <c r="X2679" i="29" s="1"/>
  <c r="T2679" i="29"/>
  <c r="R2679" i="29"/>
  <c r="Q2679" i="29"/>
  <c r="V2678" i="29"/>
  <c r="U2678" i="29"/>
  <c r="W2678" i="29" s="1"/>
  <c r="X2678" i="29" s="1"/>
  <c r="T2678" i="29"/>
  <c r="R2678" i="29"/>
  <c r="Q2678" i="29"/>
  <c r="V2677" i="29"/>
  <c r="U2677" i="29"/>
  <c r="T2677" i="29"/>
  <c r="R2677" i="29"/>
  <c r="Q2677" i="29"/>
  <c r="V2676" i="29"/>
  <c r="U2676" i="29"/>
  <c r="T2676" i="29"/>
  <c r="R2676" i="29"/>
  <c r="Q2676" i="29"/>
  <c r="V2675" i="29"/>
  <c r="U2675" i="29"/>
  <c r="T2675" i="29"/>
  <c r="R2675" i="29"/>
  <c r="Q2675" i="29"/>
  <c r="V2672" i="29"/>
  <c r="U2672" i="29"/>
  <c r="T2672" i="29"/>
  <c r="R2672" i="29"/>
  <c r="Q2672" i="29"/>
  <c r="V2671" i="29"/>
  <c r="U2671" i="29"/>
  <c r="T2671" i="29"/>
  <c r="R2671" i="29"/>
  <c r="Q2671" i="29"/>
  <c r="V2670" i="29"/>
  <c r="U2670" i="29"/>
  <c r="T2670" i="29"/>
  <c r="R2670" i="29"/>
  <c r="Q2670" i="29"/>
  <c r="V2669" i="29"/>
  <c r="U2669" i="29"/>
  <c r="T2669" i="29"/>
  <c r="R2669" i="29"/>
  <c r="Q2669" i="29"/>
  <c r="V2668" i="29"/>
  <c r="U2668" i="29"/>
  <c r="T2668" i="29"/>
  <c r="R2668" i="29"/>
  <c r="Q2668" i="29"/>
  <c r="V2667" i="29"/>
  <c r="U2667" i="29"/>
  <c r="T2667" i="29"/>
  <c r="R2667" i="29"/>
  <c r="Q2667" i="29"/>
  <c r="V2666" i="29"/>
  <c r="U2666" i="29"/>
  <c r="T2666" i="29"/>
  <c r="R2666" i="29"/>
  <c r="Q2666" i="29"/>
  <c r="V2665" i="29"/>
  <c r="U2665" i="29"/>
  <c r="T2665" i="29"/>
  <c r="R2665" i="29"/>
  <c r="Q2665" i="29"/>
  <c r="V2664" i="29"/>
  <c r="U2664" i="29"/>
  <c r="T2664" i="29"/>
  <c r="R2664" i="29"/>
  <c r="Q2664" i="29"/>
  <c r="V2661" i="29"/>
  <c r="U2661" i="29"/>
  <c r="T2661" i="29"/>
  <c r="R2661" i="29"/>
  <c r="Q2661" i="29"/>
  <c r="V2660" i="29"/>
  <c r="U2660" i="29"/>
  <c r="T2660" i="29"/>
  <c r="R2660" i="29"/>
  <c r="Q2660" i="29"/>
  <c r="V2659" i="29"/>
  <c r="U2659" i="29"/>
  <c r="T2659" i="29"/>
  <c r="R2659" i="29"/>
  <c r="Q2659" i="29"/>
  <c r="V2658" i="29"/>
  <c r="U2658" i="29"/>
  <c r="T2658" i="29"/>
  <c r="R2658" i="29"/>
  <c r="Q2658" i="29"/>
  <c r="V2657" i="29"/>
  <c r="U2657" i="29"/>
  <c r="T2657" i="29"/>
  <c r="R2657" i="29"/>
  <c r="Q2657" i="29"/>
  <c r="V2656" i="29"/>
  <c r="U2656" i="29"/>
  <c r="T2656" i="29"/>
  <c r="R2656" i="29"/>
  <c r="Q2656" i="29"/>
  <c r="V2655" i="29"/>
  <c r="U2655" i="29"/>
  <c r="T2655" i="29"/>
  <c r="R2655" i="29"/>
  <c r="Q2655" i="29"/>
  <c r="V2654" i="29"/>
  <c r="U2654" i="29"/>
  <c r="T2654" i="29"/>
  <c r="R2654" i="29"/>
  <c r="Q2654" i="29"/>
  <c r="V2653" i="29"/>
  <c r="U2653" i="29"/>
  <c r="T2653" i="29"/>
  <c r="R2653" i="29"/>
  <c r="Q2653" i="29"/>
  <c r="V2650" i="29"/>
  <c r="U2650" i="29"/>
  <c r="T2650" i="29"/>
  <c r="R2650" i="29"/>
  <c r="Q2650" i="29"/>
  <c r="V2649" i="29"/>
  <c r="U2649" i="29"/>
  <c r="T2649" i="29"/>
  <c r="R2649" i="29"/>
  <c r="Q2649" i="29"/>
  <c r="V2648" i="29"/>
  <c r="U2648" i="29"/>
  <c r="T2648" i="29"/>
  <c r="R2648" i="29"/>
  <c r="Q2648" i="29"/>
  <c r="V2647" i="29"/>
  <c r="U2647" i="29"/>
  <c r="T2647" i="29"/>
  <c r="R2647" i="29"/>
  <c r="Q2647" i="29"/>
  <c r="V2646" i="29"/>
  <c r="U2646" i="29"/>
  <c r="T2646" i="29"/>
  <c r="R2646" i="29"/>
  <c r="Q2646" i="29"/>
  <c r="V2645" i="29"/>
  <c r="U2645" i="29"/>
  <c r="T2645" i="29"/>
  <c r="R2645" i="29"/>
  <c r="Q2645" i="29"/>
  <c r="V2644" i="29"/>
  <c r="U2644" i="29"/>
  <c r="T2644" i="29"/>
  <c r="R2644" i="29"/>
  <c r="Q2644" i="29"/>
  <c r="V2643" i="29"/>
  <c r="U2643" i="29"/>
  <c r="T2643" i="29"/>
  <c r="R2643" i="29"/>
  <c r="Q2643" i="29"/>
  <c r="V2642" i="29"/>
  <c r="U2642" i="29"/>
  <c r="T2642" i="29"/>
  <c r="R2642" i="29"/>
  <c r="Q2642" i="29"/>
  <c r="V2639" i="29"/>
  <c r="U2639" i="29"/>
  <c r="T2639" i="29"/>
  <c r="R2639" i="29"/>
  <c r="Q2639" i="29"/>
  <c r="V2638" i="29"/>
  <c r="U2638" i="29"/>
  <c r="T2638" i="29"/>
  <c r="R2638" i="29"/>
  <c r="Q2638" i="29"/>
  <c r="V2637" i="29"/>
  <c r="U2637" i="29"/>
  <c r="T2637" i="29"/>
  <c r="R2637" i="29"/>
  <c r="Q2637" i="29"/>
  <c r="V2636" i="29"/>
  <c r="U2636" i="29"/>
  <c r="T2636" i="29"/>
  <c r="R2636" i="29"/>
  <c r="Q2636" i="29"/>
  <c r="V2635" i="29"/>
  <c r="U2635" i="29"/>
  <c r="T2635" i="29"/>
  <c r="R2635" i="29"/>
  <c r="Q2635" i="29"/>
  <c r="V2634" i="29"/>
  <c r="U2634" i="29"/>
  <c r="W2634" i="29" s="1"/>
  <c r="X2634" i="29" s="1"/>
  <c r="T2634" i="29"/>
  <c r="R2634" i="29"/>
  <c r="Q2634" i="29"/>
  <c r="V2633" i="29"/>
  <c r="U2633" i="29"/>
  <c r="T2633" i="29"/>
  <c r="R2633" i="29"/>
  <c r="Q2633" i="29"/>
  <c r="V2632" i="29"/>
  <c r="U2632" i="29"/>
  <c r="T2632" i="29"/>
  <c r="R2632" i="29"/>
  <c r="Q2632" i="29"/>
  <c r="V2631" i="29"/>
  <c r="U2631" i="29"/>
  <c r="T2631" i="29"/>
  <c r="R2631" i="29"/>
  <c r="Q2631" i="29"/>
  <c r="V2628" i="29"/>
  <c r="U2628" i="29"/>
  <c r="W2628" i="29" s="1"/>
  <c r="X2628" i="29" s="1"/>
  <c r="T2628" i="29"/>
  <c r="R2628" i="29"/>
  <c r="Q2628" i="29"/>
  <c r="V2627" i="29"/>
  <c r="U2627" i="29"/>
  <c r="T2627" i="29"/>
  <c r="R2627" i="29"/>
  <c r="Q2627" i="29"/>
  <c r="V2626" i="29"/>
  <c r="U2626" i="29"/>
  <c r="T2626" i="29"/>
  <c r="R2626" i="29"/>
  <c r="Q2626" i="29"/>
  <c r="V2625" i="29"/>
  <c r="U2625" i="29"/>
  <c r="T2625" i="29"/>
  <c r="R2625" i="29"/>
  <c r="Q2625" i="29"/>
  <c r="V2624" i="29"/>
  <c r="U2624" i="29"/>
  <c r="T2624" i="29"/>
  <c r="R2624" i="29"/>
  <c r="Q2624" i="29"/>
  <c r="V2623" i="29"/>
  <c r="U2623" i="29"/>
  <c r="T2623" i="29"/>
  <c r="R2623" i="29"/>
  <c r="Q2623" i="29"/>
  <c r="V2622" i="29"/>
  <c r="U2622" i="29"/>
  <c r="T2622" i="29"/>
  <c r="R2622" i="29"/>
  <c r="Q2622" i="29"/>
  <c r="V2621" i="29"/>
  <c r="U2621" i="29"/>
  <c r="T2621" i="29"/>
  <c r="R2621" i="29"/>
  <c r="Q2621" i="29"/>
  <c r="V2620" i="29"/>
  <c r="U2620" i="29"/>
  <c r="T2620" i="29"/>
  <c r="R2620" i="29"/>
  <c r="Q2620" i="29"/>
  <c r="V2617" i="29"/>
  <c r="U2617" i="29"/>
  <c r="T2617" i="29"/>
  <c r="R2617" i="29"/>
  <c r="Q2617" i="29"/>
  <c r="V2616" i="29"/>
  <c r="U2616" i="29"/>
  <c r="T2616" i="29"/>
  <c r="R2616" i="29"/>
  <c r="Q2616" i="29"/>
  <c r="V2615" i="29"/>
  <c r="U2615" i="29"/>
  <c r="T2615" i="29"/>
  <c r="R2615" i="29"/>
  <c r="Q2615" i="29"/>
  <c r="V2614" i="29"/>
  <c r="U2614" i="29"/>
  <c r="T2614" i="29"/>
  <c r="R2614" i="29"/>
  <c r="Q2614" i="29"/>
  <c r="V2613" i="29"/>
  <c r="U2613" i="29"/>
  <c r="T2613" i="29"/>
  <c r="R2613" i="29"/>
  <c r="Q2613" i="29"/>
  <c r="V2612" i="29"/>
  <c r="U2612" i="29"/>
  <c r="T2612" i="29"/>
  <c r="R2612" i="29"/>
  <c r="Q2612" i="29"/>
  <c r="V2611" i="29"/>
  <c r="U2611" i="29"/>
  <c r="W2611" i="29" s="1"/>
  <c r="X2611" i="29" s="1"/>
  <c r="T2611" i="29"/>
  <c r="R2611" i="29"/>
  <c r="Q2611" i="29"/>
  <c r="V2610" i="29"/>
  <c r="U2610" i="29"/>
  <c r="T2610" i="29"/>
  <c r="R2610" i="29"/>
  <c r="Q2610" i="29"/>
  <c r="V2609" i="29"/>
  <c r="U2609" i="29"/>
  <c r="T2609" i="29"/>
  <c r="R2609" i="29"/>
  <c r="Q2609" i="29"/>
  <c r="V2606" i="29"/>
  <c r="U2606" i="29"/>
  <c r="T2606" i="29"/>
  <c r="R2606" i="29"/>
  <c r="Q2606" i="29"/>
  <c r="V2605" i="29"/>
  <c r="U2605" i="29"/>
  <c r="T2605" i="29"/>
  <c r="R2605" i="29"/>
  <c r="Q2605" i="29"/>
  <c r="V2604" i="29"/>
  <c r="U2604" i="29"/>
  <c r="T2604" i="29"/>
  <c r="R2604" i="29"/>
  <c r="Q2604" i="29"/>
  <c r="V2603" i="29"/>
  <c r="U2603" i="29"/>
  <c r="T2603" i="29"/>
  <c r="R2603" i="29"/>
  <c r="Q2603" i="29"/>
  <c r="V2602" i="29"/>
  <c r="U2602" i="29"/>
  <c r="T2602" i="29"/>
  <c r="R2602" i="29"/>
  <c r="Q2602" i="29"/>
  <c r="V2601" i="29"/>
  <c r="U2601" i="29"/>
  <c r="T2601" i="29"/>
  <c r="R2601" i="29"/>
  <c r="Q2601" i="29"/>
  <c r="V2600" i="29"/>
  <c r="U2600" i="29"/>
  <c r="T2600" i="29"/>
  <c r="R2600" i="29"/>
  <c r="Q2600" i="29"/>
  <c r="V2599" i="29"/>
  <c r="U2599" i="29"/>
  <c r="T2599" i="29"/>
  <c r="R2599" i="29"/>
  <c r="Q2599" i="29"/>
  <c r="V2598" i="29"/>
  <c r="U2598" i="29"/>
  <c r="T2598" i="29"/>
  <c r="R2598" i="29"/>
  <c r="Q2598" i="29"/>
  <c r="V2595" i="29"/>
  <c r="U2595" i="29"/>
  <c r="W2595" i="29" s="1"/>
  <c r="X2595" i="29" s="1"/>
  <c r="T2595" i="29"/>
  <c r="R2595" i="29"/>
  <c r="Q2595" i="29"/>
  <c r="V2594" i="29"/>
  <c r="U2594" i="29"/>
  <c r="W2594" i="29" s="1"/>
  <c r="X2594" i="29" s="1"/>
  <c r="T2594" i="29"/>
  <c r="R2594" i="29"/>
  <c r="Q2594" i="29"/>
  <c r="V2593" i="29"/>
  <c r="U2593" i="29"/>
  <c r="T2593" i="29"/>
  <c r="R2593" i="29"/>
  <c r="Q2593" i="29"/>
  <c r="V2592" i="29"/>
  <c r="U2592" i="29"/>
  <c r="T2592" i="29"/>
  <c r="R2592" i="29"/>
  <c r="Q2592" i="29"/>
  <c r="V2591" i="29"/>
  <c r="U2591" i="29"/>
  <c r="T2591" i="29"/>
  <c r="R2591" i="29"/>
  <c r="Q2591" i="29"/>
  <c r="V2590" i="29"/>
  <c r="U2590" i="29"/>
  <c r="T2590" i="29"/>
  <c r="R2590" i="29"/>
  <c r="Q2590" i="29"/>
  <c r="V2589" i="29"/>
  <c r="U2589" i="29"/>
  <c r="T2589" i="29"/>
  <c r="R2589" i="29"/>
  <c r="Q2589" i="29"/>
  <c r="V2588" i="29"/>
  <c r="U2588" i="29"/>
  <c r="T2588" i="29"/>
  <c r="R2588" i="29"/>
  <c r="Q2588" i="29"/>
  <c r="V2587" i="29"/>
  <c r="U2587" i="29"/>
  <c r="T2587" i="29"/>
  <c r="R2587" i="29"/>
  <c r="Q2587" i="29"/>
  <c r="V2584" i="29"/>
  <c r="U2584" i="29"/>
  <c r="T2584" i="29"/>
  <c r="R2584" i="29"/>
  <c r="Q2584" i="29"/>
  <c r="V2583" i="29"/>
  <c r="U2583" i="29"/>
  <c r="T2583" i="29"/>
  <c r="R2583" i="29"/>
  <c r="Q2583" i="29"/>
  <c r="V2582" i="29"/>
  <c r="U2582" i="29"/>
  <c r="T2582" i="29"/>
  <c r="R2582" i="29"/>
  <c r="Q2582" i="29"/>
  <c r="V2581" i="29"/>
  <c r="U2581" i="29"/>
  <c r="T2581" i="29"/>
  <c r="R2581" i="29"/>
  <c r="Q2581" i="29"/>
  <c r="V2580" i="29"/>
  <c r="U2580" i="29"/>
  <c r="T2580" i="29"/>
  <c r="R2580" i="29"/>
  <c r="Q2580" i="29"/>
  <c r="V2579" i="29"/>
  <c r="U2579" i="29"/>
  <c r="T2579" i="29"/>
  <c r="R2579" i="29"/>
  <c r="Q2579" i="29"/>
  <c r="V2578" i="29"/>
  <c r="U2578" i="29"/>
  <c r="T2578" i="29"/>
  <c r="R2578" i="29"/>
  <c r="Q2578" i="29"/>
  <c r="V2577" i="29"/>
  <c r="U2577" i="29"/>
  <c r="W2577" i="29" s="1"/>
  <c r="X2577" i="29" s="1"/>
  <c r="T2577" i="29"/>
  <c r="R2577" i="29"/>
  <c r="Q2577" i="29"/>
  <c r="V2576" i="29"/>
  <c r="U2576" i="29"/>
  <c r="T2576" i="29"/>
  <c r="R2576" i="29"/>
  <c r="Q2576" i="29"/>
  <c r="V2573" i="29"/>
  <c r="U2573" i="29"/>
  <c r="T2573" i="29"/>
  <c r="R2573" i="29"/>
  <c r="Q2573" i="29"/>
  <c r="V2572" i="29"/>
  <c r="U2572" i="29"/>
  <c r="T2572" i="29"/>
  <c r="R2572" i="29"/>
  <c r="Q2572" i="29"/>
  <c r="V2571" i="29"/>
  <c r="U2571" i="29"/>
  <c r="T2571" i="29"/>
  <c r="R2571" i="29"/>
  <c r="Q2571" i="29"/>
  <c r="V2570" i="29"/>
  <c r="U2570" i="29"/>
  <c r="T2570" i="29"/>
  <c r="R2570" i="29"/>
  <c r="Q2570" i="29"/>
  <c r="V2569" i="29"/>
  <c r="U2569" i="29"/>
  <c r="T2569" i="29"/>
  <c r="R2569" i="29"/>
  <c r="Q2569" i="29"/>
  <c r="V2568" i="29"/>
  <c r="U2568" i="29"/>
  <c r="T2568" i="29"/>
  <c r="R2568" i="29"/>
  <c r="Q2568" i="29"/>
  <c r="V2567" i="29"/>
  <c r="U2567" i="29"/>
  <c r="T2567" i="29"/>
  <c r="R2567" i="29"/>
  <c r="Q2567" i="29"/>
  <c r="V2566" i="29"/>
  <c r="U2566" i="29"/>
  <c r="T2566" i="29"/>
  <c r="R2566" i="29"/>
  <c r="Q2566" i="29"/>
  <c r="V2565" i="29"/>
  <c r="U2565" i="29"/>
  <c r="T2565" i="29"/>
  <c r="R2565" i="29"/>
  <c r="Q2565" i="29"/>
  <c r="V2562" i="29"/>
  <c r="U2562" i="29"/>
  <c r="T2562" i="29"/>
  <c r="R2562" i="29"/>
  <c r="Q2562" i="29"/>
  <c r="V2561" i="29"/>
  <c r="U2561" i="29"/>
  <c r="T2561" i="29"/>
  <c r="R2561" i="29"/>
  <c r="Q2561" i="29"/>
  <c r="V2560" i="29"/>
  <c r="U2560" i="29"/>
  <c r="T2560" i="29"/>
  <c r="R2560" i="29"/>
  <c r="Q2560" i="29"/>
  <c r="V2559" i="29"/>
  <c r="U2559" i="29"/>
  <c r="T2559" i="29"/>
  <c r="R2559" i="29"/>
  <c r="Q2559" i="29"/>
  <c r="V2558" i="29"/>
  <c r="U2558" i="29"/>
  <c r="T2558" i="29"/>
  <c r="R2558" i="29"/>
  <c r="Q2558" i="29"/>
  <c r="V2557" i="29"/>
  <c r="U2557" i="29"/>
  <c r="T2557" i="29"/>
  <c r="R2557" i="29"/>
  <c r="Q2557" i="29"/>
  <c r="V2556" i="29"/>
  <c r="U2556" i="29"/>
  <c r="T2556" i="29"/>
  <c r="R2556" i="29"/>
  <c r="Q2556" i="29"/>
  <c r="V2555" i="29"/>
  <c r="U2555" i="29"/>
  <c r="T2555" i="29"/>
  <c r="R2555" i="29"/>
  <c r="Q2555" i="29"/>
  <c r="V2554" i="29"/>
  <c r="U2554" i="29"/>
  <c r="T2554" i="29"/>
  <c r="R2554" i="29"/>
  <c r="Q2554" i="29"/>
  <c r="V2551" i="29"/>
  <c r="U2551" i="29"/>
  <c r="T2551" i="29"/>
  <c r="R2551" i="29"/>
  <c r="Q2551" i="29"/>
  <c r="V2550" i="29"/>
  <c r="U2550" i="29"/>
  <c r="T2550" i="29"/>
  <c r="R2550" i="29"/>
  <c r="Q2550" i="29"/>
  <c r="V2549" i="29"/>
  <c r="U2549" i="29"/>
  <c r="T2549" i="29"/>
  <c r="R2549" i="29"/>
  <c r="Q2549" i="29"/>
  <c r="V2548" i="29"/>
  <c r="U2548" i="29"/>
  <c r="T2548" i="29"/>
  <c r="R2548" i="29"/>
  <c r="Q2548" i="29"/>
  <c r="V2547" i="29"/>
  <c r="U2547" i="29"/>
  <c r="T2547" i="29"/>
  <c r="R2547" i="29"/>
  <c r="Q2547" i="29"/>
  <c r="V2546" i="29"/>
  <c r="U2546" i="29"/>
  <c r="T2546" i="29"/>
  <c r="R2546" i="29"/>
  <c r="Q2546" i="29"/>
  <c r="V2545" i="29"/>
  <c r="U2545" i="29"/>
  <c r="T2545" i="29"/>
  <c r="R2545" i="29"/>
  <c r="Q2545" i="29"/>
  <c r="V2544" i="29"/>
  <c r="U2544" i="29"/>
  <c r="T2544" i="29"/>
  <c r="R2544" i="29"/>
  <c r="Q2544" i="29"/>
  <c r="V2543" i="29"/>
  <c r="U2543" i="29"/>
  <c r="T2543" i="29"/>
  <c r="R2543" i="29"/>
  <c r="Q2543" i="29"/>
  <c r="V2540" i="29"/>
  <c r="U2540" i="29"/>
  <c r="T2540" i="29"/>
  <c r="R2540" i="29"/>
  <c r="Q2540" i="29"/>
  <c r="V2539" i="29"/>
  <c r="U2539" i="29"/>
  <c r="W2539" i="29" s="1"/>
  <c r="X2539" i="29" s="1"/>
  <c r="T2539" i="29"/>
  <c r="R2539" i="29"/>
  <c r="Q2539" i="29"/>
  <c r="V2538" i="29"/>
  <c r="U2538" i="29"/>
  <c r="T2538" i="29"/>
  <c r="R2538" i="29"/>
  <c r="Q2538" i="29"/>
  <c r="V2537" i="29"/>
  <c r="U2537" i="29"/>
  <c r="W2537" i="29" s="1"/>
  <c r="X2537" i="29" s="1"/>
  <c r="T2537" i="29"/>
  <c r="R2537" i="29"/>
  <c r="Q2537" i="29"/>
  <c r="V2536" i="29"/>
  <c r="U2536" i="29"/>
  <c r="W2536" i="29" s="1"/>
  <c r="X2536" i="29" s="1"/>
  <c r="T2536" i="29"/>
  <c r="R2536" i="29"/>
  <c r="Q2536" i="29"/>
  <c r="V2535" i="29"/>
  <c r="U2535" i="29"/>
  <c r="T2535" i="29"/>
  <c r="R2535" i="29"/>
  <c r="Q2535" i="29"/>
  <c r="V2534" i="29"/>
  <c r="W2534" i="29" s="1"/>
  <c r="X2534" i="29" s="1"/>
  <c r="U2534" i="29"/>
  <c r="T2534" i="29"/>
  <c r="R2534" i="29"/>
  <c r="Q2534" i="29"/>
  <c r="V2533" i="29"/>
  <c r="U2533" i="29"/>
  <c r="T2533" i="29"/>
  <c r="R2533" i="29"/>
  <c r="Q2533" i="29"/>
  <c r="V2532" i="29"/>
  <c r="U2532" i="29"/>
  <c r="T2532" i="29"/>
  <c r="R2532" i="29"/>
  <c r="Q2532" i="29"/>
  <c r="V2529" i="29"/>
  <c r="U2529" i="29"/>
  <c r="T2529" i="29"/>
  <c r="R2529" i="29"/>
  <c r="Q2529" i="29"/>
  <c r="V2528" i="29"/>
  <c r="U2528" i="29"/>
  <c r="W2528" i="29" s="1"/>
  <c r="X2528" i="29" s="1"/>
  <c r="T2528" i="29"/>
  <c r="R2528" i="29"/>
  <c r="Q2528" i="29"/>
  <c r="V2527" i="29"/>
  <c r="U2527" i="29"/>
  <c r="T2527" i="29"/>
  <c r="R2527" i="29"/>
  <c r="Q2527" i="29"/>
  <c r="V2526" i="29"/>
  <c r="U2526" i="29"/>
  <c r="T2526" i="29"/>
  <c r="R2526" i="29"/>
  <c r="Q2526" i="29"/>
  <c r="V2525" i="29"/>
  <c r="U2525" i="29"/>
  <c r="T2525" i="29"/>
  <c r="R2525" i="29"/>
  <c r="Q2525" i="29"/>
  <c r="V2524" i="29"/>
  <c r="U2524" i="29"/>
  <c r="T2524" i="29"/>
  <c r="R2524" i="29"/>
  <c r="Q2524" i="29"/>
  <c r="V2523" i="29"/>
  <c r="U2523" i="29"/>
  <c r="T2523" i="29"/>
  <c r="R2523" i="29"/>
  <c r="Q2523" i="29"/>
  <c r="V2522" i="29"/>
  <c r="U2522" i="29"/>
  <c r="T2522" i="29"/>
  <c r="R2522" i="29"/>
  <c r="Q2522" i="29"/>
  <c r="V2521" i="29"/>
  <c r="U2521" i="29"/>
  <c r="T2521" i="29"/>
  <c r="R2521" i="29"/>
  <c r="Q2521" i="29"/>
  <c r="V2518" i="29"/>
  <c r="U2518" i="29"/>
  <c r="T2518" i="29"/>
  <c r="R2518" i="29"/>
  <c r="Q2518" i="29"/>
  <c r="V2517" i="29"/>
  <c r="U2517" i="29"/>
  <c r="T2517" i="29"/>
  <c r="R2517" i="29"/>
  <c r="Q2517" i="29"/>
  <c r="V2516" i="29"/>
  <c r="U2516" i="29"/>
  <c r="T2516" i="29"/>
  <c r="R2516" i="29"/>
  <c r="Q2516" i="29"/>
  <c r="V2515" i="29"/>
  <c r="U2515" i="29"/>
  <c r="T2515" i="29"/>
  <c r="R2515" i="29"/>
  <c r="Q2515" i="29"/>
  <c r="V2514" i="29"/>
  <c r="U2514" i="29"/>
  <c r="T2514" i="29"/>
  <c r="R2514" i="29"/>
  <c r="Q2514" i="29"/>
  <c r="V2513" i="29"/>
  <c r="U2513" i="29"/>
  <c r="T2513" i="29"/>
  <c r="R2513" i="29"/>
  <c r="Q2513" i="29"/>
  <c r="V2512" i="29"/>
  <c r="U2512" i="29"/>
  <c r="T2512" i="29"/>
  <c r="R2512" i="29"/>
  <c r="Q2512" i="29"/>
  <c r="V2511" i="29"/>
  <c r="U2511" i="29"/>
  <c r="W2511" i="29" s="1"/>
  <c r="X2511" i="29" s="1"/>
  <c r="T2511" i="29"/>
  <c r="R2511" i="29"/>
  <c r="Q2511" i="29"/>
  <c r="V2510" i="29"/>
  <c r="U2510" i="29"/>
  <c r="T2510" i="29"/>
  <c r="R2510" i="29"/>
  <c r="Q2510" i="29"/>
  <c r="V2507" i="29"/>
  <c r="U2507" i="29"/>
  <c r="W2507" i="29" s="1"/>
  <c r="X2507" i="29" s="1"/>
  <c r="T2507" i="29"/>
  <c r="R2507" i="29"/>
  <c r="Q2507" i="29"/>
  <c r="V2506" i="29"/>
  <c r="U2506" i="29"/>
  <c r="W2506" i="29" s="1"/>
  <c r="X2506" i="29" s="1"/>
  <c r="T2506" i="29"/>
  <c r="R2506" i="29"/>
  <c r="Q2506" i="29"/>
  <c r="V2505" i="29"/>
  <c r="U2505" i="29"/>
  <c r="T2505" i="29"/>
  <c r="R2505" i="29"/>
  <c r="Q2505" i="29"/>
  <c r="V2504" i="29"/>
  <c r="U2504" i="29"/>
  <c r="T2504" i="29"/>
  <c r="R2504" i="29"/>
  <c r="Q2504" i="29"/>
  <c r="V2503" i="29"/>
  <c r="U2503" i="29"/>
  <c r="T2503" i="29"/>
  <c r="R2503" i="29"/>
  <c r="Q2503" i="29"/>
  <c r="V2502" i="29"/>
  <c r="U2502" i="29"/>
  <c r="T2502" i="29"/>
  <c r="R2502" i="29"/>
  <c r="Q2502" i="29"/>
  <c r="V2501" i="29"/>
  <c r="U2501" i="29"/>
  <c r="T2501" i="29"/>
  <c r="R2501" i="29"/>
  <c r="Q2501" i="29"/>
  <c r="V2500" i="29"/>
  <c r="U2500" i="29"/>
  <c r="T2500" i="29"/>
  <c r="R2500" i="29"/>
  <c r="Q2500" i="29"/>
  <c r="V2499" i="29"/>
  <c r="U2499" i="29"/>
  <c r="T2499" i="29"/>
  <c r="R2499" i="29"/>
  <c r="Q2499" i="29"/>
  <c r="V2496" i="29"/>
  <c r="U2496" i="29"/>
  <c r="T2496" i="29"/>
  <c r="R2496" i="29"/>
  <c r="Q2496" i="29"/>
  <c r="V2495" i="29"/>
  <c r="U2495" i="29"/>
  <c r="T2495" i="29"/>
  <c r="R2495" i="29"/>
  <c r="Q2495" i="29"/>
  <c r="V2494" i="29"/>
  <c r="U2494" i="29"/>
  <c r="T2494" i="29"/>
  <c r="R2494" i="29"/>
  <c r="Q2494" i="29"/>
  <c r="V2493" i="29"/>
  <c r="U2493" i="29"/>
  <c r="T2493" i="29"/>
  <c r="R2493" i="29"/>
  <c r="Q2493" i="29"/>
  <c r="V2492" i="29"/>
  <c r="U2492" i="29"/>
  <c r="T2492" i="29"/>
  <c r="R2492" i="29"/>
  <c r="Q2492" i="29"/>
  <c r="V2491" i="29"/>
  <c r="U2491" i="29"/>
  <c r="T2491" i="29"/>
  <c r="R2491" i="29"/>
  <c r="Q2491" i="29"/>
  <c r="V2490" i="29"/>
  <c r="U2490" i="29"/>
  <c r="T2490" i="29"/>
  <c r="R2490" i="29"/>
  <c r="Q2490" i="29"/>
  <c r="V2489" i="29"/>
  <c r="U2489" i="29"/>
  <c r="T2489" i="29"/>
  <c r="R2489" i="29"/>
  <c r="Q2489" i="29"/>
  <c r="V2488" i="29"/>
  <c r="U2488" i="29"/>
  <c r="T2488" i="29"/>
  <c r="R2488" i="29"/>
  <c r="Q2488" i="29"/>
  <c r="V2485" i="29"/>
  <c r="U2485" i="29"/>
  <c r="T2485" i="29"/>
  <c r="R2485" i="29"/>
  <c r="Q2485" i="29"/>
  <c r="V2484" i="29"/>
  <c r="U2484" i="29"/>
  <c r="T2484" i="29"/>
  <c r="R2484" i="29"/>
  <c r="Q2484" i="29"/>
  <c r="V2483" i="29"/>
  <c r="U2483" i="29"/>
  <c r="T2483" i="29"/>
  <c r="R2483" i="29"/>
  <c r="Q2483" i="29"/>
  <c r="V2482" i="29"/>
  <c r="U2482" i="29"/>
  <c r="T2482" i="29"/>
  <c r="R2482" i="29"/>
  <c r="Q2482" i="29"/>
  <c r="V2481" i="29"/>
  <c r="U2481" i="29"/>
  <c r="T2481" i="29"/>
  <c r="R2481" i="29"/>
  <c r="Q2481" i="29"/>
  <c r="V2480" i="29"/>
  <c r="U2480" i="29"/>
  <c r="T2480" i="29"/>
  <c r="R2480" i="29"/>
  <c r="Q2480" i="29"/>
  <c r="V2479" i="29"/>
  <c r="U2479" i="29"/>
  <c r="T2479" i="29"/>
  <c r="R2479" i="29"/>
  <c r="Q2479" i="29"/>
  <c r="V2478" i="29"/>
  <c r="U2478" i="29"/>
  <c r="T2478" i="29"/>
  <c r="R2478" i="29"/>
  <c r="Q2478" i="29"/>
  <c r="V2477" i="29"/>
  <c r="U2477" i="29"/>
  <c r="T2477" i="29"/>
  <c r="R2477" i="29"/>
  <c r="Q2477" i="29"/>
  <c r="V2474" i="29"/>
  <c r="U2474" i="29"/>
  <c r="T2474" i="29"/>
  <c r="R2474" i="29"/>
  <c r="Q2474" i="29"/>
  <c r="V2473" i="29"/>
  <c r="U2473" i="29"/>
  <c r="T2473" i="29"/>
  <c r="R2473" i="29"/>
  <c r="Q2473" i="29"/>
  <c r="V2472" i="29"/>
  <c r="U2472" i="29"/>
  <c r="T2472" i="29"/>
  <c r="R2472" i="29"/>
  <c r="Q2472" i="29"/>
  <c r="V2471" i="29"/>
  <c r="U2471" i="29"/>
  <c r="T2471" i="29"/>
  <c r="R2471" i="29"/>
  <c r="Q2471" i="29"/>
  <c r="V2470" i="29"/>
  <c r="U2470" i="29"/>
  <c r="T2470" i="29"/>
  <c r="R2470" i="29"/>
  <c r="Q2470" i="29"/>
  <c r="V2469" i="29"/>
  <c r="U2469" i="29"/>
  <c r="T2469" i="29"/>
  <c r="R2469" i="29"/>
  <c r="Q2469" i="29"/>
  <c r="V2468" i="29"/>
  <c r="U2468" i="29"/>
  <c r="T2468" i="29"/>
  <c r="R2468" i="29"/>
  <c r="Q2468" i="29"/>
  <c r="V2467" i="29"/>
  <c r="U2467" i="29"/>
  <c r="T2467" i="29"/>
  <c r="R2467" i="29"/>
  <c r="Q2467" i="29"/>
  <c r="V2466" i="29"/>
  <c r="U2466" i="29"/>
  <c r="T2466" i="29"/>
  <c r="R2466" i="29"/>
  <c r="Q2466" i="29"/>
  <c r="V2463" i="29"/>
  <c r="U2463" i="29"/>
  <c r="W2463" i="29" s="1"/>
  <c r="X2463" i="29" s="1"/>
  <c r="T2463" i="29"/>
  <c r="R2463" i="29"/>
  <c r="Q2463" i="29"/>
  <c r="V2462" i="29"/>
  <c r="U2462" i="29"/>
  <c r="W2462" i="29" s="1"/>
  <c r="X2462" i="29" s="1"/>
  <c r="T2462" i="29"/>
  <c r="R2462" i="29"/>
  <c r="Q2462" i="29"/>
  <c r="V2461" i="29"/>
  <c r="U2461" i="29"/>
  <c r="T2461" i="29"/>
  <c r="R2461" i="29"/>
  <c r="Q2461" i="29"/>
  <c r="V2460" i="29"/>
  <c r="U2460" i="29"/>
  <c r="T2460" i="29"/>
  <c r="R2460" i="29"/>
  <c r="Q2460" i="29"/>
  <c r="V2459" i="29"/>
  <c r="U2459" i="29"/>
  <c r="T2459" i="29"/>
  <c r="R2459" i="29"/>
  <c r="Q2459" i="29"/>
  <c r="V2458" i="29"/>
  <c r="U2458" i="29"/>
  <c r="T2458" i="29"/>
  <c r="R2458" i="29"/>
  <c r="Q2458" i="29"/>
  <c r="V2457" i="29"/>
  <c r="W2457" i="29" s="1"/>
  <c r="X2457" i="29" s="1"/>
  <c r="U2457" i="29"/>
  <c r="T2457" i="29"/>
  <c r="R2457" i="29"/>
  <c r="Q2457" i="29"/>
  <c r="V2456" i="29"/>
  <c r="U2456" i="29"/>
  <c r="T2456" i="29"/>
  <c r="R2456" i="29"/>
  <c r="Q2456" i="29"/>
  <c r="V2455" i="29"/>
  <c r="U2455" i="29"/>
  <c r="T2455" i="29"/>
  <c r="R2455" i="29"/>
  <c r="Q2455" i="29"/>
  <c r="V2452" i="29"/>
  <c r="U2452" i="29"/>
  <c r="T2452" i="29"/>
  <c r="R2452" i="29"/>
  <c r="Q2452" i="29"/>
  <c r="V2451" i="29"/>
  <c r="U2451" i="29"/>
  <c r="T2451" i="29"/>
  <c r="R2451" i="29"/>
  <c r="Q2451" i="29"/>
  <c r="V2450" i="29"/>
  <c r="U2450" i="29"/>
  <c r="T2450" i="29"/>
  <c r="R2450" i="29"/>
  <c r="Q2450" i="29"/>
  <c r="V2449" i="29"/>
  <c r="U2449" i="29"/>
  <c r="T2449" i="29"/>
  <c r="R2449" i="29"/>
  <c r="Q2449" i="29"/>
  <c r="V2448" i="29"/>
  <c r="U2448" i="29"/>
  <c r="T2448" i="29"/>
  <c r="R2448" i="29"/>
  <c r="Q2448" i="29"/>
  <c r="V2447" i="29"/>
  <c r="U2447" i="29"/>
  <c r="T2447" i="29"/>
  <c r="R2447" i="29"/>
  <c r="Q2447" i="29"/>
  <c r="V2446" i="29"/>
  <c r="U2446" i="29"/>
  <c r="T2446" i="29"/>
  <c r="R2446" i="29"/>
  <c r="Q2446" i="29"/>
  <c r="V2445" i="29"/>
  <c r="U2445" i="29"/>
  <c r="T2445" i="29"/>
  <c r="R2445" i="29"/>
  <c r="Q2445" i="29"/>
  <c r="V2444" i="29"/>
  <c r="U2444" i="29"/>
  <c r="T2444" i="29"/>
  <c r="R2444" i="29"/>
  <c r="Q2444" i="29"/>
  <c r="V2441" i="29"/>
  <c r="U2441" i="29"/>
  <c r="T2441" i="29"/>
  <c r="R2441" i="29"/>
  <c r="Q2441" i="29"/>
  <c r="V2440" i="29"/>
  <c r="U2440" i="29"/>
  <c r="T2440" i="29"/>
  <c r="R2440" i="29"/>
  <c r="Q2440" i="29"/>
  <c r="V2439" i="29"/>
  <c r="U2439" i="29"/>
  <c r="T2439" i="29"/>
  <c r="R2439" i="29"/>
  <c r="Q2439" i="29"/>
  <c r="V2438" i="29"/>
  <c r="U2438" i="29"/>
  <c r="T2438" i="29"/>
  <c r="R2438" i="29"/>
  <c r="Q2438" i="29"/>
  <c r="V2437" i="29"/>
  <c r="U2437" i="29"/>
  <c r="T2437" i="29"/>
  <c r="R2437" i="29"/>
  <c r="Q2437" i="29"/>
  <c r="V2436" i="29"/>
  <c r="U2436" i="29"/>
  <c r="T2436" i="29"/>
  <c r="R2436" i="29"/>
  <c r="Q2436" i="29"/>
  <c r="V2435" i="29"/>
  <c r="U2435" i="29"/>
  <c r="T2435" i="29"/>
  <c r="R2435" i="29"/>
  <c r="Q2435" i="29"/>
  <c r="V2434" i="29"/>
  <c r="U2434" i="29"/>
  <c r="T2434" i="29"/>
  <c r="R2434" i="29"/>
  <c r="Q2434" i="29"/>
  <c r="V2433" i="29"/>
  <c r="U2433" i="29"/>
  <c r="T2433" i="29"/>
  <c r="R2433" i="29"/>
  <c r="Q2433" i="29"/>
  <c r="V2430" i="29"/>
  <c r="U2430" i="29"/>
  <c r="T2430" i="29"/>
  <c r="R2430" i="29"/>
  <c r="Q2430" i="29"/>
  <c r="V2429" i="29"/>
  <c r="U2429" i="29"/>
  <c r="T2429" i="29"/>
  <c r="R2429" i="29"/>
  <c r="Q2429" i="29"/>
  <c r="V2428" i="29"/>
  <c r="U2428" i="29"/>
  <c r="T2428" i="29"/>
  <c r="R2428" i="29"/>
  <c r="Q2428" i="29"/>
  <c r="V2427" i="29"/>
  <c r="U2427" i="29"/>
  <c r="T2427" i="29"/>
  <c r="R2427" i="29"/>
  <c r="Q2427" i="29"/>
  <c r="V2426" i="29"/>
  <c r="U2426" i="29"/>
  <c r="T2426" i="29"/>
  <c r="R2426" i="29"/>
  <c r="Q2426" i="29"/>
  <c r="V2425" i="29"/>
  <c r="U2425" i="29"/>
  <c r="T2425" i="29"/>
  <c r="R2425" i="29"/>
  <c r="Q2425" i="29"/>
  <c r="V2424" i="29"/>
  <c r="U2424" i="29"/>
  <c r="T2424" i="29"/>
  <c r="R2424" i="29"/>
  <c r="Q2424" i="29"/>
  <c r="V2423" i="29"/>
  <c r="U2423" i="29"/>
  <c r="T2423" i="29"/>
  <c r="R2423" i="29"/>
  <c r="Q2423" i="29"/>
  <c r="V2422" i="29"/>
  <c r="U2422" i="29"/>
  <c r="T2422" i="29"/>
  <c r="R2422" i="29"/>
  <c r="Q2422" i="29"/>
  <c r="V2419" i="29"/>
  <c r="U2419" i="29"/>
  <c r="T2419" i="29"/>
  <c r="R2419" i="29"/>
  <c r="Q2419" i="29"/>
  <c r="V2418" i="29"/>
  <c r="U2418" i="29"/>
  <c r="T2418" i="29"/>
  <c r="R2418" i="29"/>
  <c r="Q2418" i="29"/>
  <c r="V2417" i="29"/>
  <c r="U2417" i="29"/>
  <c r="T2417" i="29"/>
  <c r="R2417" i="29"/>
  <c r="Q2417" i="29"/>
  <c r="V2416" i="29"/>
  <c r="U2416" i="29"/>
  <c r="T2416" i="29"/>
  <c r="R2416" i="29"/>
  <c r="Q2416" i="29"/>
  <c r="V2415" i="29"/>
  <c r="U2415" i="29"/>
  <c r="T2415" i="29"/>
  <c r="R2415" i="29"/>
  <c r="Q2415" i="29"/>
  <c r="V2414" i="29"/>
  <c r="U2414" i="29"/>
  <c r="T2414" i="29"/>
  <c r="R2414" i="29"/>
  <c r="Q2414" i="29"/>
  <c r="V2413" i="29"/>
  <c r="U2413" i="29"/>
  <c r="T2413" i="29"/>
  <c r="R2413" i="29"/>
  <c r="Q2413" i="29"/>
  <c r="V2412" i="29"/>
  <c r="U2412" i="29"/>
  <c r="T2412" i="29"/>
  <c r="R2412" i="29"/>
  <c r="Q2412" i="29"/>
  <c r="V2411" i="29"/>
  <c r="U2411" i="29"/>
  <c r="T2411" i="29"/>
  <c r="R2411" i="29"/>
  <c r="Q2411" i="29"/>
  <c r="V2408" i="29"/>
  <c r="U2408" i="29"/>
  <c r="T2408" i="29"/>
  <c r="R2408" i="29"/>
  <c r="Q2408" i="29"/>
  <c r="V2407" i="29"/>
  <c r="U2407" i="29"/>
  <c r="T2407" i="29"/>
  <c r="R2407" i="29"/>
  <c r="Q2407" i="29"/>
  <c r="V2406" i="29"/>
  <c r="U2406" i="29"/>
  <c r="T2406" i="29"/>
  <c r="R2406" i="29"/>
  <c r="Q2406" i="29"/>
  <c r="V2405" i="29"/>
  <c r="U2405" i="29"/>
  <c r="T2405" i="29"/>
  <c r="R2405" i="29"/>
  <c r="Q2405" i="29"/>
  <c r="V2404" i="29"/>
  <c r="U2404" i="29"/>
  <c r="T2404" i="29"/>
  <c r="R2404" i="29"/>
  <c r="Q2404" i="29"/>
  <c r="V2403" i="29"/>
  <c r="U2403" i="29"/>
  <c r="T2403" i="29"/>
  <c r="R2403" i="29"/>
  <c r="Q2403" i="29"/>
  <c r="V2402" i="29"/>
  <c r="U2402" i="29"/>
  <c r="T2402" i="29"/>
  <c r="R2402" i="29"/>
  <c r="Q2402" i="29"/>
  <c r="V2401" i="29"/>
  <c r="U2401" i="29"/>
  <c r="T2401" i="29"/>
  <c r="R2401" i="29"/>
  <c r="Q2401" i="29"/>
  <c r="V2400" i="29"/>
  <c r="U2400" i="29"/>
  <c r="T2400" i="29"/>
  <c r="R2400" i="29"/>
  <c r="Q2400" i="29"/>
  <c r="V2397" i="29"/>
  <c r="U2397" i="29"/>
  <c r="T2397" i="29"/>
  <c r="R2397" i="29"/>
  <c r="Q2397" i="29"/>
  <c r="V2396" i="29"/>
  <c r="U2396" i="29"/>
  <c r="T2396" i="29"/>
  <c r="R2396" i="29"/>
  <c r="Q2396" i="29"/>
  <c r="V2395" i="29"/>
  <c r="U2395" i="29"/>
  <c r="T2395" i="29"/>
  <c r="R2395" i="29"/>
  <c r="Q2395" i="29"/>
  <c r="V2394" i="29"/>
  <c r="U2394" i="29"/>
  <c r="T2394" i="29"/>
  <c r="R2394" i="29"/>
  <c r="Q2394" i="29"/>
  <c r="V2393" i="29"/>
  <c r="U2393" i="29"/>
  <c r="T2393" i="29"/>
  <c r="R2393" i="29"/>
  <c r="Q2393" i="29"/>
  <c r="V2392" i="29"/>
  <c r="U2392" i="29"/>
  <c r="T2392" i="29"/>
  <c r="R2392" i="29"/>
  <c r="Q2392" i="29"/>
  <c r="V2391" i="29"/>
  <c r="U2391" i="29"/>
  <c r="T2391" i="29"/>
  <c r="R2391" i="29"/>
  <c r="Q2391" i="29"/>
  <c r="V2390" i="29"/>
  <c r="U2390" i="29"/>
  <c r="T2390" i="29"/>
  <c r="R2390" i="29"/>
  <c r="Q2390" i="29"/>
  <c r="V2389" i="29"/>
  <c r="U2389" i="29"/>
  <c r="T2389" i="29"/>
  <c r="R2389" i="29"/>
  <c r="Q2389" i="29"/>
  <c r="V2386" i="29"/>
  <c r="U2386" i="29"/>
  <c r="T2386" i="29"/>
  <c r="R2386" i="29"/>
  <c r="Q2386" i="29"/>
  <c r="V2385" i="29"/>
  <c r="U2385" i="29"/>
  <c r="T2385" i="29"/>
  <c r="R2385" i="29"/>
  <c r="Q2385" i="29"/>
  <c r="V2384" i="29"/>
  <c r="U2384" i="29"/>
  <c r="T2384" i="29"/>
  <c r="R2384" i="29"/>
  <c r="Q2384" i="29"/>
  <c r="V2383" i="29"/>
  <c r="U2383" i="29"/>
  <c r="T2383" i="29"/>
  <c r="R2383" i="29"/>
  <c r="Q2383" i="29"/>
  <c r="V2382" i="29"/>
  <c r="U2382" i="29"/>
  <c r="T2382" i="29"/>
  <c r="R2382" i="29"/>
  <c r="Q2382" i="29"/>
  <c r="V2381" i="29"/>
  <c r="U2381" i="29"/>
  <c r="T2381" i="29"/>
  <c r="R2381" i="29"/>
  <c r="Q2381" i="29"/>
  <c r="V2380" i="29"/>
  <c r="U2380" i="29"/>
  <c r="T2380" i="29"/>
  <c r="R2380" i="29"/>
  <c r="Q2380" i="29"/>
  <c r="V2379" i="29"/>
  <c r="U2379" i="29"/>
  <c r="T2379" i="29"/>
  <c r="R2379" i="29"/>
  <c r="Q2379" i="29"/>
  <c r="V2378" i="29"/>
  <c r="U2378" i="29"/>
  <c r="T2378" i="29"/>
  <c r="R2378" i="29"/>
  <c r="Q2378" i="29"/>
  <c r="V2375" i="29"/>
  <c r="U2375" i="29"/>
  <c r="T2375" i="29"/>
  <c r="R2375" i="29"/>
  <c r="Q2375" i="29"/>
  <c r="V2374" i="29"/>
  <c r="U2374" i="29"/>
  <c r="T2374" i="29"/>
  <c r="R2374" i="29"/>
  <c r="Q2374" i="29"/>
  <c r="V2373" i="29"/>
  <c r="U2373" i="29"/>
  <c r="T2373" i="29"/>
  <c r="R2373" i="29"/>
  <c r="Q2373" i="29"/>
  <c r="V2372" i="29"/>
  <c r="U2372" i="29"/>
  <c r="T2372" i="29"/>
  <c r="R2372" i="29"/>
  <c r="Q2372" i="29"/>
  <c r="V2371" i="29"/>
  <c r="U2371" i="29"/>
  <c r="T2371" i="29"/>
  <c r="R2371" i="29"/>
  <c r="Q2371" i="29"/>
  <c r="V2370" i="29"/>
  <c r="U2370" i="29"/>
  <c r="T2370" i="29"/>
  <c r="R2370" i="29"/>
  <c r="Q2370" i="29"/>
  <c r="V2369" i="29"/>
  <c r="U2369" i="29"/>
  <c r="T2369" i="29"/>
  <c r="R2369" i="29"/>
  <c r="Q2369" i="29"/>
  <c r="V2368" i="29"/>
  <c r="U2368" i="29"/>
  <c r="T2368" i="29"/>
  <c r="R2368" i="29"/>
  <c r="Q2368" i="29"/>
  <c r="V2367" i="29"/>
  <c r="U2367" i="29"/>
  <c r="T2367" i="29"/>
  <c r="R2367" i="29"/>
  <c r="Q2367" i="29"/>
  <c r="V2364" i="29"/>
  <c r="U2364" i="29"/>
  <c r="T2364" i="29"/>
  <c r="R2364" i="29"/>
  <c r="Q2364" i="29"/>
  <c r="V2363" i="29"/>
  <c r="U2363" i="29"/>
  <c r="T2363" i="29"/>
  <c r="R2363" i="29"/>
  <c r="Q2363" i="29"/>
  <c r="V2362" i="29"/>
  <c r="U2362" i="29"/>
  <c r="T2362" i="29"/>
  <c r="R2362" i="29"/>
  <c r="Q2362" i="29"/>
  <c r="V2361" i="29"/>
  <c r="U2361" i="29"/>
  <c r="T2361" i="29"/>
  <c r="R2361" i="29"/>
  <c r="Q2361" i="29"/>
  <c r="V2360" i="29"/>
  <c r="U2360" i="29"/>
  <c r="T2360" i="29"/>
  <c r="R2360" i="29"/>
  <c r="Q2360" i="29"/>
  <c r="V2359" i="29"/>
  <c r="W2359" i="29" s="1"/>
  <c r="X2359" i="29" s="1"/>
  <c r="U2359" i="29"/>
  <c r="T2359" i="29"/>
  <c r="R2359" i="29"/>
  <c r="Q2359" i="29"/>
  <c r="V2358" i="29"/>
  <c r="U2358" i="29"/>
  <c r="T2358" i="29"/>
  <c r="R2358" i="29"/>
  <c r="Q2358" i="29"/>
  <c r="V2357" i="29"/>
  <c r="U2357" i="29"/>
  <c r="T2357" i="29"/>
  <c r="R2357" i="29"/>
  <c r="Q2357" i="29"/>
  <c r="V2356" i="29"/>
  <c r="U2356" i="29"/>
  <c r="T2356" i="29"/>
  <c r="R2356" i="29"/>
  <c r="Q2356" i="29"/>
  <c r="V2353" i="29"/>
  <c r="U2353" i="29"/>
  <c r="T2353" i="29"/>
  <c r="R2353" i="29"/>
  <c r="Q2353" i="29"/>
  <c r="V2352" i="29"/>
  <c r="U2352" i="29"/>
  <c r="T2352" i="29"/>
  <c r="R2352" i="29"/>
  <c r="Q2352" i="29"/>
  <c r="V2351" i="29"/>
  <c r="U2351" i="29"/>
  <c r="T2351" i="29"/>
  <c r="R2351" i="29"/>
  <c r="Q2351" i="29"/>
  <c r="V2350" i="29"/>
  <c r="U2350" i="29"/>
  <c r="T2350" i="29"/>
  <c r="R2350" i="29"/>
  <c r="Q2350" i="29"/>
  <c r="V2349" i="29"/>
  <c r="U2349" i="29"/>
  <c r="T2349" i="29"/>
  <c r="R2349" i="29"/>
  <c r="Q2349" i="29"/>
  <c r="V2348" i="29"/>
  <c r="U2348" i="29"/>
  <c r="T2348" i="29"/>
  <c r="R2348" i="29"/>
  <c r="Q2348" i="29"/>
  <c r="V2347" i="29"/>
  <c r="U2347" i="29"/>
  <c r="T2347" i="29"/>
  <c r="R2347" i="29"/>
  <c r="Q2347" i="29"/>
  <c r="V2346" i="29"/>
  <c r="U2346" i="29"/>
  <c r="T2346" i="29"/>
  <c r="R2346" i="29"/>
  <c r="Q2346" i="29"/>
  <c r="V2345" i="29"/>
  <c r="U2345" i="29"/>
  <c r="T2345" i="29"/>
  <c r="R2345" i="29"/>
  <c r="Q2345" i="29"/>
  <c r="V2342" i="29"/>
  <c r="U2342" i="29"/>
  <c r="T2342" i="29"/>
  <c r="R2342" i="29"/>
  <c r="Q2342" i="29"/>
  <c r="V2341" i="29"/>
  <c r="U2341" i="29"/>
  <c r="W2341" i="29" s="1"/>
  <c r="X2341" i="29" s="1"/>
  <c r="T2341" i="29"/>
  <c r="R2341" i="29"/>
  <c r="Q2341" i="29"/>
  <c r="V2340" i="29"/>
  <c r="U2340" i="29"/>
  <c r="T2340" i="29"/>
  <c r="R2340" i="29"/>
  <c r="Q2340" i="29"/>
  <c r="V2339" i="29"/>
  <c r="U2339" i="29"/>
  <c r="T2339" i="29"/>
  <c r="R2339" i="29"/>
  <c r="Q2339" i="29"/>
  <c r="V2338" i="29"/>
  <c r="U2338" i="29"/>
  <c r="T2338" i="29"/>
  <c r="R2338" i="29"/>
  <c r="Q2338" i="29"/>
  <c r="V2337" i="29"/>
  <c r="U2337" i="29"/>
  <c r="T2337" i="29"/>
  <c r="R2337" i="29"/>
  <c r="Q2337" i="29"/>
  <c r="V2336" i="29"/>
  <c r="U2336" i="29"/>
  <c r="T2336" i="29"/>
  <c r="R2336" i="29"/>
  <c r="Q2336" i="29"/>
  <c r="V2335" i="29"/>
  <c r="U2335" i="29"/>
  <c r="T2335" i="29"/>
  <c r="R2335" i="29"/>
  <c r="Q2335" i="29"/>
  <c r="V2334" i="29"/>
  <c r="U2334" i="29"/>
  <c r="T2334" i="29"/>
  <c r="R2334" i="29"/>
  <c r="Q2334" i="29"/>
  <c r="V2331" i="29"/>
  <c r="U2331" i="29"/>
  <c r="W2331" i="29" s="1"/>
  <c r="X2331" i="29" s="1"/>
  <c r="T2331" i="29"/>
  <c r="R2331" i="29"/>
  <c r="Q2331" i="29"/>
  <c r="V2330" i="29"/>
  <c r="U2330" i="29"/>
  <c r="T2330" i="29"/>
  <c r="R2330" i="29"/>
  <c r="Q2330" i="29"/>
  <c r="V2329" i="29"/>
  <c r="W2329" i="29" s="1"/>
  <c r="X2329" i="29" s="1"/>
  <c r="U2329" i="29"/>
  <c r="T2329" i="29"/>
  <c r="R2329" i="29"/>
  <c r="Q2329" i="29"/>
  <c r="V2328" i="29"/>
  <c r="U2328" i="29"/>
  <c r="T2328" i="29"/>
  <c r="R2328" i="29"/>
  <c r="Q2328" i="29"/>
  <c r="V2327" i="29"/>
  <c r="U2327" i="29"/>
  <c r="T2327" i="29"/>
  <c r="R2327" i="29"/>
  <c r="Q2327" i="29"/>
  <c r="V2326" i="29"/>
  <c r="U2326" i="29"/>
  <c r="T2326" i="29"/>
  <c r="R2326" i="29"/>
  <c r="Q2326" i="29"/>
  <c r="V2325" i="29"/>
  <c r="U2325" i="29"/>
  <c r="T2325" i="29"/>
  <c r="R2325" i="29"/>
  <c r="Q2325" i="29"/>
  <c r="V2324" i="29"/>
  <c r="U2324" i="29"/>
  <c r="T2324" i="29"/>
  <c r="R2324" i="29"/>
  <c r="Q2324" i="29"/>
  <c r="V2323" i="29"/>
  <c r="U2323" i="29"/>
  <c r="T2323" i="29"/>
  <c r="R2323" i="29"/>
  <c r="Q2323" i="29"/>
  <c r="V2320" i="29"/>
  <c r="U2320" i="29"/>
  <c r="T2320" i="29"/>
  <c r="R2320" i="29"/>
  <c r="Q2320" i="29"/>
  <c r="V2319" i="29"/>
  <c r="U2319" i="29"/>
  <c r="T2319" i="29"/>
  <c r="R2319" i="29"/>
  <c r="Q2319" i="29"/>
  <c r="V2318" i="29"/>
  <c r="U2318" i="29"/>
  <c r="T2318" i="29"/>
  <c r="R2318" i="29"/>
  <c r="Q2318" i="29"/>
  <c r="V2317" i="29"/>
  <c r="U2317" i="29"/>
  <c r="T2317" i="29"/>
  <c r="R2317" i="29"/>
  <c r="Q2317" i="29"/>
  <c r="V2316" i="29"/>
  <c r="U2316" i="29"/>
  <c r="T2316" i="29"/>
  <c r="R2316" i="29"/>
  <c r="Q2316" i="29"/>
  <c r="V2315" i="29"/>
  <c r="U2315" i="29"/>
  <c r="T2315" i="29"/>
  <c r="R2315" i="29"/>
  <c r="Q2315" i="29"/>
  <c r="V2314" i="29"/>
  <c r="U2314" i="29"/>
  <c r="T2314" i="29"/>
  <c r="R2314" i="29"/>
  <c r="Q2314" i="29"/>
  <c r="V2313" i="29"/>
  <c r="U2313" i="29"/>
  <c r="T2313" i="29"/>
  <c r="R2313" i="29"/>
  <c r="Q2313" i="29"/>
  <c r="V2312" i="29"/>
  <c r="U2312" i="29"/>
  <c r="T2312" i="29"/>
  <c r="R2312" i="29"/>
  <c r="Q2312" i="29"/>
  <c r="V2309" i="29"/>
  <c r="U2309" i="29"/>
  <c r="T2309" i="29"/>
  <c r="R2309" i="29"/>
  <c r="Q2309" i="29"/>
  <c r="V2308" i="29"/>
  <c r="U2308" i="29"/>
  <c r="T2308" i="29"/>
  <c r="R2308" i="29"/>
  <c r="Q2308" i="29"/>
  <c r="V2307" i="29"/>
  <c r="U2307" i="29"/>
  <c r="T2307" i="29"/>
  <c r="R2307" i="29"/>
  <c r="Q2307" i="29"/>
  <c r="V2306" i="29"/>
  <c r="U2306" i="29"/>
  <c r="T2306" i="29"/>
  <c r="R2306" i="29"/>
  <c r="Q2306" i="29"/>
  <c r="V2305" i="29"/>
  <c r="U2305" i="29"/>
  <c r="T2305" i="29"/>
  <c r="R2305" i="29"/>
  <c r="Q2305" i="29"/>
  <c r="V2304" i="29"/>
  <c r="U2304" i="29"/>
  <c r="T2304" i="29"/>
  <c r="R2304" i="29"/>
  <c r="Q2304" i="29"/>
  <c r="V2303" i="29"/>
  <c r="U2303" i="29"/>
  <c r="T2303" i="29"/>
  <c r="R2303" i="29"/>
  <c r="Q2303" i="29"/>
  <c r="V2302" i="29"/>
  <c r="U2302" i="29"/>
  <c r="T2302" i="29"/>
  <c r="R2302" i="29"/>
  <c r="Q2302" i="29"/>
  <c r="V2301" i="29"/>
  <c r="U2301" i="29"/>
  <c r="T2301" i="29"/>
  <c r="R2301" i="29"/>
  <c r="Q2301" i="29"/>
  <c r="V2298" i="29"/>
  <c r="U2298" i="29"/>
  <c r="T2298" i="29"/>
  <c r="R2298" i="29"/>
  <c r="Q2298" i="29"/>
  <c r="V2297" i="29"/>
  <c r="U2297" i="29"/>
  <c r="T2297" i="29"/>
  <c r="R2297" i="29"/>
  <c r="Q2297" i="29"/>
  <c r="V2296" i="29"/>
  <c r="U2296" i="29"/>
  <c r="T2296" i="29"/>
  <c r="R2296" i="29"/>
  <c r="Q2296" i="29"/>
  <c r="V2295" i="29"/>
  <c r="U2295" i="29"/>
  <c r="T2295" i="29"/>
  <c r="R2295" i="29"/>
  <c r="Q2295" i="29"/>
  <c r="V2294" i="29"/>
  <c r="U2294" i="29"/>
  <c r="T2294" i="29"/>
  <c r="R2294" i="29"/>
  <c r="Q2294" i="29"/>
  <c r="V2293" i="29"/>
  <c r="U2293" i="29"/>
  <c r="T2293" i="29"/>
  <c r="R2293" i="29"/>
  <c r="Q2293" i="29"/>
  <c r="V2292" i="29"/>
  <c r="U2292" i="29"/>
  <c r="T2292" i="29"/>
  <c r="R2292" i="29"/>
  <c r="Q2292" i="29"/>
  <c r="V2291" i="29"/>
  <c r="U2291" i="29"/>
  <c r="T2291" i="29"/>
  <c r="R2291" i="29"/>
  <c r="Q2291" i="29"/>
  <c r="V2290" i="29"/>
  <c r="U2290" i="29"/>
  <c r="T2290" i="29"/>
  <c r="R2290" i="29"/>
  <c r="Q2290" i="29"/>
  <c r="V2287" i="29"/>
  <c r="U2287" i="29"/>
  <c r="T2287" i="29"/>
  <c r="R2287" i="29"/>
  <c r="Q2287" i="29"/>
  <c r="V2286" i="29"/>
  <c r="U2286" i="29"/>
  <c r="T2286" i="29"/>
  <c r="R2286" i="29"/>
  <c r="Q2286" i="29"/>
  <c r="V2285" i="29"/>
  <c r="U2285" i="29"/>
  <c r="T2285" i="29"/>
  <c r="R2285" i="29"/>
  <c r="Q2285" i="29"/>
  <c r="V2284" i="29"/>
  <c r="U2284" i="29"/>
  <c r="T2284" i="29"/>
  <c r="R2284" i="29"/>
  <c r="Q2284" i="29"/>
  <c r="V2283" i="29"/>
  <c r="U2283" i="29"/>
  <c r="T2283" i="29"/>
  <c r="R2283" i="29"/>
  <c r="Q2283" i="29"/>
  <c r="V2282" i="29"/>
  <c r="U2282" i="29"/>
  <c r="T2282" i="29"/>
  <c r="R2282" i="29"/>
  <c r="Q2282" i="29"/>
  <c r="V2281" i="29"/>
  <c r="U2281" i="29"/>
  <c r="T2281" i="29"/>
  <c r="R2281" i="29"/>
  <c r="Q2281" i="29"/>
  <c r="V2280" i="29"/>
  <c r="U2280" i="29"/>
  <c r="T2280" i="29"/>
  <c r="R2280" i="29"/>
  <c r="Q2280" i="29"/>
  <c r="V2279" i="29"/>
  <c r="U2279" i="29"/>
  <c r="T2279" i="29"/>
  <c r="R2279" i="29"/>
  <c r="Q2279" i="29"/>
  <c r="V2276" i="29"/>
  <c r="U2276" i="29"/>
  <c r="T2276" i="29"/>
  <c r="R2276" i="29"/>
  <c r="Q2276" i="29"/>
  <c r="V2275" i="29"/>
  <c r="U2275" i="29"/>
  <c r="T2275" i="29"/>
  <c r="R2275" i="29"/>
  <c r="Q2275" i="29"/>
  <c r="V2274" i="29"/>
  <c r="U2274" i="29"/>
  <c r="T2274" i="29"/>
  <c r="R2274" i="29"/>
  <c r="Q2274" i="29"/>
  <c r="V2273" i="29"/>
  <c r="U2273" i="29"/>
  <c r="T2273" i="29"/>
  <c r="R2273" i="29"/>
  <c r="Q2273" i="29"/>
  <c r="V2272" i="29"/>
  <c r="U2272" i="29"/>
  <c r="W2272" i="29" s="1"/>
  <c r="X2272" i="29" s="1"/>
  <c r="T2272" i="29"/>
  <c r="R2272" i="29"/>
  <c r="Q2272" i="29"/>
  <c r="V2271" i="29"/>
  <c r="U2271" i="29"/>
  <c r="T2271" i="29"/>
  <c r="R2271" i="29"/>
  <c r="Q2271" i="29"/>
  <c r="V2270" i="29"/>
  <c r="U2270" i="29"/>
  <c r="T2270" i="29"/>
  <c r="R2270" i="29"/>
  <c r="Q2270" i="29"/>
  <c r="V2269" i="29"/>
  <c r="U2269" i="29"/>
  <c r="T2269" i="29"/>
  <c r="R2269" i="29"/>
  <c r="Q2269" i="29"/>
  <c r="V2268" i="29"/>
  <c r="U2268" i="29"/>
  <c r="T2268" i="29"/>
  <c r="R2268" i="29"/>
  <c r="Q2268" i="29"/>
  <c r="V2265" i="29"/>
  <c r="U2265" i="29"/>
  <c r="T2265" i="29"/>
  <c r="R2265" i="29"/>
  <c r="Q2265" i="29"/>
  <c r="V2264" i="29"/>
  <c r="U2264" i="29"/>
  <c r="T2264" i="29"/>
  <c r="R2264" i="29"/>
  <c r="Q2264" i="29"/>
  <c r="V2263" i="29"/>
  <c r="U2263" i="29"/>
  <c r="T2263" i="29"/>
  <c r="R2263" i="29"/>
  <c r="Q2263" i="29"/>
  <c r="V2262" i="29"/>
  <c r="U2262" i="29"/>
  <c r="T2262" i="29"/>
  <c r="R2262" i="29"/>
  <c r="Q2262" i="29"/>
  <c r="V2261" i="29"/>
  <c r="U2261" i="29"/>
  <c r="T2261" i="29"/>
  <c r="R2261" i="29"/>
  <c r="Q2261" i="29"/>
  <c r="V2260" i="29"/>
  <c r="U2260" i="29"/>
  <c r="T2260" i="29"/>
  <c r="R2260" i="29"/>
  <c r="Q2260" i="29"/>
  <c r="V2259" i="29"/>
  <c r="U2259" i="29"/>
  <c r="W2259" i="29" s="1"/>
  <c r="X2259" i="29" s="1"/>
  <c r="T2259" i="29"/>
  <c r="R2259" i="29"/>
  <c r="Q2259" i="29"/>
  <c r="V2258" i="29"/>
  <c r="U2258" i="29"/>
  <c r="T2258" i="29"/>
  <c r="R2258" i="29"/>
  <c r="Q2258" i="29"/>
  <c r="V2257" i="29"/>
  <c r="U2257" i="29"/>
  <c r="T2257" i="29"/>
  <c r="R2257" i="29"/>
  <c r="Q2257" i="29"/>
  <c r="V2254" i="29"/>
  <c r="U2254" i="29"/>
  <c r="T2254" i="29"/>
  <c r="R2254" i="29"/>
  <c r="Q2254" i="29"/>
  <c r="V2253" i="29"/>
  <c r="U2253" i="29"/>
  <c r="W2253" i="29" s="1"/>
  <c r="X2253" i="29" s="1"/>
  <c r="T2253" i="29"/>
  <c r="R2253" i="29"/>
  <c r="Q2253" i="29"/>
  <c r="V2252" i="29"/>
  <c r="U2252" i="29"/>
  <c r="T2252" i="29"/>
  <c r="R2252" i="29"/>
  <c r="Q2252" i="29"/>
  <c r="V2251" i="29"/>
  <c r="U2251" i="29"/>
  <c r="T2251" i="29"/>
  <c r="R2251" i="29"/>
  <c r="Q2251" i="29"/>
  <c r="V2250" i="29"/>
  <c r="U2250" i="29"/>
  <c r="T2250" i="29"/>
  <c r="R2250" i="29"/>
  <c r="Q2250" i="29"/>
  <c r="V2249" i="29"/>
  <c r="U2249" i="29"/>
  <c r="T2249" i="29"/>
  <c r="R2249" i="29"/>
  <c r="Q2249" i="29"/>
  <c r="V2248" i="29"/>
  <c r="U2248" i="29"/>
  <c r="T2248" i="29"/>
  <c r="R2248" i="29"/>
  <c r="Q2248" i="29"/>
  <c r="V2247" i="29"/>
  <c r="U2247" i="29"/>
  <c r="T2247" i="29"/>
  <c r="R2247" i="29"/>
  <c r="Q2247" i="29"/>
  <c r="V2246" i="29"/>
  <c r="U2246" i="29"/>
  <c r="T2246" i="29"/>
  <c r="R2246" i="29"/>
  <c r="Q2246" i="29"/>
  <c r="V2243" i="29"/>
  <c r="U2243" i="29"/>
  <c r="T2243" i="29"/>
  <c r="R2243" i="29"/>
  <c r="Q2243" i="29"/>
  <c r="V2242" i="29"/>
  <c r="U2242" i="29"/>
  <c r="T2242" i="29"/>
  <c r="R2242" i="29"/>
  <c r="Q2242" i="29"/>
  <c r="V2241" i="29"/>
  <c r="U2241" i="29"/>
  <c r="T2241" i="29"/>
  <c r="R2241" i="29"/>
  <c r="Q2241" i="29"/>
  <c r="V2240" i="29"/>
  <c r="U2240" i="29"/>
  <c r="T2240" i="29"/>
  <c r="R2240" i="29"/>
  <c r="Q2240" i="29"/>
  <c r="V2239" i="29"/>
  <c r="U2239" i="29"/>
  <c r="T2239" i="29"/>
  <c r="R2239" i="29"/>
  <c r="Q2239" i="29"/>
  <c r="V2238" i="29"/>
  <c r="U2238" i="29"/>
  <c r="W2238" i="29" s="1"/>
  <c r="X2238" i="29" s="1"/>
  <c r="T2238" i="29"/>
  <c r="R2238" i="29"/>
  <c r="Q2238" i="29"/>
  <c r="V2237" i="29"/>
  <c r="U2237" i="29"/>
  <c r="T2237" i="29"/>
  <c r="R2237" i="29"/>
  <c r="Q2237" i="29"/>
  <c r="V2236" i="29"/>
  <c r="U2236" i="29"/>
  <c r="W2236" i="29" s="1"/>
  <c r="X2236" i="29" s="1"/>
  <c r="T2236" i="29"/>
  <c r="R2236" i="29"/>
  <c r="Q2236" i="29"/>
  <c r="V2235" i="29"/>
  <c r="U2235" i="29"/>
  <c r="T2235" i="29"/>
  <c r="R2235" i="29"/>
  <c r="Q2235" i="29"/>
  <c r="V2232" i="29"/>
  <c r="U2232" i="29"/>
  <c r="T2232" i="29"/>
  <c r="R2232" i="29"/>
  <c r="Q2232" i="29"/>
  <c r="V2231" i="29"/>
  <c r="U2231" i="29"/>
  <c r="T2231" i="29"/>
  <c r="R2231" i="29"/>
  <c r="Q2231" i="29"/>
  <c r="V2230" i="29"/>
  <c r="U2230" i="29"/>
  <c r="T2230" i="29"/>
  <c r="R2230" i="29"/>
  <c r="Q2230" i="29"/>
  <c r="V2229" i="29"/>
  <c r="U2229" i="29"/>
  <c r="T2229" i="29"/>
  <c r="R2229" i="29"/>
  <c r="Q2229" i="29"/>
  <c r="V2228" i="29"/>
  <c r="U2228" i="29"/>
  <c r="T2228" i="29"/>
  <c r="R2228" i="29"/>
  <c r="Q2228" i="29"/>
  <c r="V2227" i="29"/>
  <c r="U2227" i="29"/>
  <c r="T2227" i="29"/>
  <c r="R2227" i="29"/>
  <c r="Q2227" i="29"/>
  <c r="V2226" i="29"/>
  <c r="U2226" i="29"/>
  <c r="T2226" i="29"/>
  <c r="R2226" i="29"/>
  <c r="Q2226" i="29"/>
  <c r="V2225" i="29"/>
  <c r="U2225" i="29"/>
  <c r="T2225" i="29"/>
  <c r="R2225" i="29"/>
  <c r="Q2225" i="29"/>
  <c r="V2224" i="29"/>
  <c r="U2224" i="29"/>
  <c r="W2224" i="29" s="1"/>
  <c r="X2224" i="29" s="1"/>
  <c r="T2224" i="29"/>
  <c r="R2224" i="29"/>
  <c r="Q2224" i="29"/>
  <c r="V2221" i="29"/>
  <c r="U2221" i="29"/>
  <c r="T2221" i="29"/>
  <c r="R2221" i="29"/>
  <c r="Q2221" i="29"/>
  <c r="V2220" i="29"/>
  <c r="U2220" i="29"/>
  <c r="T2220" i="29"/>
  <c r="R2220" i="29"/>
  <c r="Q2220" i="29"/>
  <c r="V2219" i="29"/>
  <c r="U2219" i="29"/>
  <c r="T2219" i="29"/>
  <c r="R2219" i="29"/>
  <c r="Q2219" i="29"/>
  <c r="V2218" i="29"/>
  <c r="U2218" i="29"/>
  <c r="T2218" i="29"/>
  <c r="R2218" i="29"/>
  <c r="Q2218" i="29"/>
  <c r="V2217" i="29"/>
  <c r="U2217" i="29"/>
  <c r="T2217" i="29"/>
  <c r="R2217" i="29"/>
  <c r="Q2217" i="29"/>
  <c r="V2216" i="29"/>
  <c r="U2216" i="29"/>
  <c r="T2216" i="29"/>
  <c r="R2216" i="29"/>
  <c r="Q2216" i="29"/>
  <c r="V2215" i="29"/>
  <c r="U2215" i="29"/>
  <c r="T2215" i="29"/>
  <c r="R2215" i="29"/>
  <c r="Q2215" i="29"/>
  <c r="V2214" i="29"/>
  <c r="U2214" i="29"/>
  <c r="T2214" i="29"/>
  <c r="R2214" i="29"/>
  <c r="Q2214" i="29"/>
  <c r="V2213" i="29"/>
  <c r="U2213" i="29"/>
  <c r="T2213" i="29"/>
  <c r="R2213" i="29"/>
  <c r="Q2213" i="29"/>
  <c r="V2210" i="29"/>
  <c r="U2210" i="29"/>
  <c r="T2210" i="29"/>
  <c r="R2210" i="29"/>
  <c r="Q2210" i="29"/>
  <c r="V2209" i="29"/>
  <c r="U2209" i="29"/>
  <c r="T2209" i="29"/>
  <c r="R2209" i="29"/>
  <c r="Q2209" i="29"/>
  <c r="V2208" i="29"/>
  <c r="U2208" i="29"/>
  <c r="W2208" i="29" s="1"/>
  <c r="X2208" i="29" s="1"/>
  <c r="T2208" i="29"/>
  <c r="R2208" i="29"/>
  <c r="Q2208" i="29"/>
  <c r="V2207" i="29"/>
  <c r="U2207" i="29"/>
  <c r="T2207" i="29"/>
  <c r="R2207" i="29"/>
  <c r="Q2207" i="29"/>
  <c r="V2206" i="29"/>
  <c r="U2206" i="29"/>
  <c r="T2206" i="29"/>
  <c r="R2206" i="29"/>
  <c r="Q2206" i="29"/>
  <c r="V2205" i="29"/>
  <c r="U2205" i="29"/>
  <c r="T2205" i="29"/>
  <c r="R2205" i="29"/>
  <c r="Q2205" i="29"/>
  <c r="V2204" i="29"/>
  <c r="U2204" i="29"/>
  <c r="T2204" i="29"/>
  <c r="R2204" i="29"/>
  <c r="Q2204" i="29"/>
  <c r="V2203" i="29"/>
  <c r="U2203" i="29"/>
  <c r="T2203" i="29"/>
  <c r="R2203" i="29"/>
  <c r="Q2203" i="29"/>
  <c r="V2202" i="29"/>
  <c r="U2202" i="29"/>
  <c r="T2202" i="29"/>
  <c r="R2202" i="29"/>
  <c r="Q2202" i="29"/>
  <c r="V2199" i="29"/>
  <c r="U2199" i="29"/>
  <c r="T2199" i="29"/>
  <c r="R2199" i="29"/>
  <c r="Q2199" i="29"/>
  <c r="V2198" i="29"/>
  <c r="U2198" i="29"/>
  <c r="T2198" i="29"/>
  <c r="R2198" i="29"/>
  <c r="Q2198" i="29"/>
  <c r="V2197" i="29"/>
  <c r="U2197" i="29"/>
  <c r="T2197" i="29"/>
  <c r="R2197" i="29"/>
  <c r="Q2197" i="29"/>
  <c r="V2196" i="29"/>
  <c r="U2196" i="29"/>
  <c r="T2196" i="29"/>
  <c r="R2196" i="29"/>
  <c r="Q2196" i="29"/>
  <c r="V2195" i="29"/>
  <c r="U2195" i="29"/>
  <c r="T2195" i="29"/>
  <c r="R2195" i="29"/>
  <c r="Q2195" i="29"/>
  <c r="V2194" i="29"/>
  <c r="U2194" i="29"/>
  <c r="T2194" i="29"/>
  <c r="R2194" i="29"/>
  <c r="Q2194" i="29"/>
  <c r="V2193" i="29"/>
  <c r="U2193" i="29"/>
  <c r="T2193" i="29"/>
  <c r="R2193" i="29"/>
  <c r="Q2193" i="29"/>
  <c r="V2192" i="29"/>
  <c r="U2192" i="29"/>
  <c r="T2192" i="29"/>
  <c r="R2192" i="29"/>
  <c r="Q2192" i="29"/>
  <c r="V2191" i="29"/>
  <c r="U2191" i="29"/>
  <c r="T2191" i="29"/>
  <c r="R2191" i="29"/>
  <c r="Q2191" i="29"/>
  <c r="V2188" i="29"/>
  <c r="U2188" i="29"/>
  <c r="T2188" i="29"/>
  <c r="R2188" i="29"/>
  <c r="Q2188" i="29"/>
  <c r="V2187" i="29"/>
  <c r="U2187" i="29"/>
  <c r="T2187" i="29"/>
  <c r="R2187" i="29"/>
  <c r="Q2187" i="29"/>
  <c r="V2186" i="29"/>
  <c r="U2186" i="29"/>
  <c r="T2186" i="29"/>
  <c r="R2186" i="29"/>
  <c r="Q2186" i="29"/>
  <c r="V2185" i="29"/>
  <c r="U2185" i="29"/>
  <c r="T2185" i="29"/>
  <c r="R2185" i="29"/>
  <c r="Q2185" i="29"/>
  <c r="V2184" i="29"/>
  <c r="U2184" i="29"/>
  <c r="T2184" i="29"/>
  <c r="R2184" i="29"/>
  <c r="Q2184" i="29"/>
  <c r="V2183" i="29"/>
  <c r="U2183" i="29"/>
  <c r="T2183" i="29"/>
  <c r="R2183" i="29"/>
  <c r="Q2183" i="29"/>
  <c r="V2182" i="29"/>
  <c r="U2182" i="29"/>
  <c r="T2182" i="29"/>
  <c r="R2182" i="29"/>
  <c r="Q2182" i="29"/>
  <c r="V2181" i="29"/>
  <c r="U2181" i="29"/>
  <c r="T2181" i="29"/>
  <c r="R2181" i="29"/>
  <c r="Q2181" i="29"/>
  <c r="V2180" i="29"/>
  <c r="U2180" i="29"/>
  <c r="T2180" i="29"/>
  <c r="R2180" i="29"/>
  <c r="Q2180" i="29"/>
  <c r="V2177" i="29"/>
  <c r="U2177" i="29"/>
  <c r="T2177" i="29"/>
  <c r="R2177" i="29"/>
  <c r="Q2177" i="29"/>
  <c r="V2176" i="29"/>
  <c r="U2176" i="29"/>
  <c r="T2176" i="29"/>
  <c r="R2176" i="29"/>
  <c r="Q2176" i="29"/>
  <c r="V2175" i="29"/>
  <c r="U2175" i="29"/>
  <c r="T2175" i="29"/>
  <c r="R2175" i="29"/>
  <c r="Q2175" i="29"/>
  <c r="V2174" i="29"/>
  <c r="U2174" i="29"/>
  <c r="T2174" i="29"/>
  <c r="R2174" i="29"/>
  <c r="Q2174" i="29"/>
  <c r="V2173" i="29"/>
  <c r="U2173" i="29"/>
  <c r="T2173" i="29"/>
  <c r="R2173" i="29"/>
  <c r="Q2173" i="29"/>
  <c r="V2172" i="29"/>
  <c r="U2172" i="29"/>
  <c r="T2172" i="29"/>
  <c r="R2172" i="29"/>
  <c r="Q2172" i="29"/>
  <c r="V2171" i="29"/>
  <c r="U2171" i="29"/>
  <c r="T2171" i="29"/>
  <c r="R2171" i="29"/>
  <c r="Q2171" i="29"/>
  <c r="V2170" i="29"/>
  <c r="U2170" i="29"/>
  <c r="T2170" i="29"/>
  <c r="R2170" i="29"/>
  <c r="Q2170" i="29"/>
  <c r="V2169" i="29"/>
  <c r="U2169" i="29"/>
  <c r="T2169" i="29"/>
  <c r="R2169" i="29"/>
  <c r="Q2169" i="29"/>
  <c r="V2166" i="29"/>
  <c r="U2166" i="29"/>
  <c r="T2166" i="29"/>
  <c r="R2166" i="29"/>
  <c r="Q2166" i="29"/>
  <c r="V2165" i="29"/>
  <c r="U2165" i="29"/>
  <c r="T2165" i="29"/>
  <c r="R2165" i="29"/>
  <c r="Q2165" i="29"/>
  <c r="V2164" i="29"/>
  <c r="U2164" i="29"/>
  <c r="T2164" i="29"/>
  <c r="R2164" i="29"/>
  <c r="Q2164" i="29"/>
  <c r="V2163" i="29"/>
  <c r="U2163" i="29"/>
  <c r="T2163" i="29"/>
  <c r="R2163" i="29"/>
  <c r="Q2163" i="29"/>
  <c r="V2162" i="29"/>
  <c r="U2162" i="29"/>
  <c r="T2162" i="29"/>
  <c r="R2162" i="29"/>
  <c r="Q2162" i="29"/>
  <c r="V2161" i="29"/>
  <c r="U2161" i="29"/>
  <c r="T2161" i="29"/>
  <c r="R2161" i="29"/>
  <c r="Q2161" i="29"/>
  <c r="V2160" i="29"/>
  <c r="U2160" i="29"/>
  <c r="T2160" i="29"/>
  <c r="R2160" i="29"/>
  <c r="Q2160" i="29"/>
  <c r="V2159" i="29"/>
  <c r="U2159" i="29"/>
  <c r="T2159" i="29"/>
  <c r="R2159" i="29"/>
  <c r="Q2159" i="29"/>
  <c r="V2158" i="29"/>
  <c r="U2158" i="29"/>
  <c r="W2158" i="29" s="1"/>
  <c r="X2158" i="29" s="1"/>
  <c r="T2158" i="29"/>
  <c r="R2158" i="29"/>
  <c r="Q2158" i="29"/>
  <c r="V2155" i="29"/>
  <c r="U2155" i="29"/>
  <c r="W2155" i="29" s="1"/>
  <c r="X2155" i="29" s="1"/>
  <c r="T2155" i="29"/>
  <c r="R2155" i="29"/>
  <c r="Q2155" i="29"/>
  <c r="V2154" i="29"/>
  <c r="U2154" i="29"/>
  <c r="T2154" i="29"/>
  <c r="R2154" i="29"/>
  <c r="Q2154" i="29"/>
  <c r="V2153" i="29"/>
  <c r="U2153" i="29"/>
  <c r="T2153" i="29"/>
  <c r="R2153" i="29"/>
  <c r="Q2153" i="29"/>
  <c r="V2152" i="29"/>
  <c r="U2152" i="29"/>
  <c r="T2152" i="29"/>
  <c r="R2152" i="29"/>
  <c r="Q2152" i="29"/>
  <c r="V2151" i="29"/>
  <c r="U2151" i="29"/>
  <c r="W2151" i="29" s="1"/>
  <c r="X2151" i="29" s="1"/>
  <c r="T2151" i="29"/>
  <c r="R2151" i="29"/>
  <c r="Q2151" i="29"/>
  <c r="V2150" i="29"/>
  <c r="U2150" i="29"/>
  <c r="T2150" i="29"/>
  <c r="R2150" i="29"/>
  <c r="Q2150" i="29"/>
  <c r="V2149" i="29"/>
  <c r="U2149" i="29"/>
  <c r="T2149" i="29"/>
  <c r="R2149" i="29"/>
  <c r="Q2149" i="29"/>
  <c r="V2148" i="29"/>
  <c r="U2148" i="29"/>
  <c r="T2148" i="29"/>
  <c r="R2148" i="29"/>
  <c r="Q2148" i="29"/>
  <c r="V2147" i="29"/>
  <c r="U2147" i="29"/>
  <c r="W2147" i="29" s="1"/>
  <c r="X2147" i="29" s="1"/>
  <c r="T2147" i="29"/>
  <c r="R2147" i="29"/>
  <c r="Q2147" i="29"/>
  <c r="V2144" i="29"/>
  <c r="U2144" i="29"/>
  <c r="T2144" i="29"/>
  <c r="R2144" i="29"/>
  <c r="Q2144" i="29"/>
  <c r="V2143" i="29"/>
  <c r="U2143" i="29"/>
  <c r="T2143" i="29"/>
  <c r="R2143" i="29"/>
  <c r="Q2143" i="29"/>
  <c r="V2142" i="29"/>
  <c r="U2142" i="29"/>
  <c r="T2142" i="29"/>
  <c r="R2142" i="29"/>
  <c r="Q2142" i="29"/>
  <c r="V2141" i="29"/>
  <c r="U2141" i="29"/>
  <c r="T2141" i="29"/>
  <c r="R2141" i="29"/>
  <c r="Q2141" i="29"/>
  <c r="V2140" i="29"/>
  <c r="U2140" i="29"/>
  <c r="T2140" i="29"/>
  <c r="R2140" i="29"/>
  <c r="Q2140" i="29"/>
  <c r="V2139" i="29"/>
  <c r="U2139" i="29"/>
  <c r="T2139" i="29"/>
  <c r="R2139" i="29"/>
  <c r="Q2139" i="29"/>
  <c r="V2138" i="29"/>
  <c r="U2138" i="29"/>
  <c r="T2138" i="29"/>
  <c r="R2138" i="29"/>
  <c r="Q2138" i="29"/>
  <c r="V2137" i="29"/>
  <c r="U2137" i="29"/>
  <c r="W2137" i="29" s="1"/>
  <c r="X2137" i="29" s="1"/>
  <c r="T2137" i="29"/>
  <c r="R2137" i="29"/>
  <c r="Q2137" i="29"/>
  <c r="V2136" i="29"/>
  <c r="U2136" i="29"/>
  <c r="T2136" i="29"/>
  <c r="R2136" i="29"/>
  <c r="Q2136" i="29"/>
  <c r="V2133" i="29"/>
  <c r="U2133" i="29"/>
  <c r="T2133" i="29"/>
  <c r="R2133" i="29"/>
  <c r="Q2133" i="29"/>
  <c r="V2132" i="29"/>
  <c r="U2132" i="29"/>
  <c r="W2132" i="29" s="1"/>
  <c r="X2132" i="29" s="1"/>
  <c r="T2132" i="29"/>
  <c r="R2132" i="29"/>
  <c r="Q2132" i="29"/>
  <c r="V2131" i="29"/>
  <c r="U2131" i="29"/>
  <c r="T2131" i="29"/>
  <c r="R2131" i="29"/>
  <c r="Q2131" i="29"/>
  <c r="V2130" i="29"/>
  <c r="U2130" i="29"/>
  <c r="T2130" i="29"/>
  <c r="R2130" i="29"/>
  <c r="Q2130" i="29"/>
  <c r="V2129" i="29"/>
  <c r="U2129" i="29"/>
  <c r="T2129" i="29"/>
  <c r="R2129" i="29"/>
  <c r="Q2129" i="29"/>
  <c r="V2128" i="29"/>
  <c r="U2128" i="29"/>
  <c r="T2128" i="29"/>
  <c r="R2128" i="29"/>
  <c r="Q2128" i="29"/>
  <c r="V2127" i="29"/>
  <c r="U2127" i="29"/>
  <c r="T2127" i="29"/>
  <c r="R2127" i="29"/>
  <c r="Q2127" i="29"/>
  <c r="V2126" i="29"/>
  <c r="U2126" i="29"/>
  <c r="T2126" i="29"/>
  <c r="R2126" i="29"/>
  <c r="Q2126" i="29"/>
  <c r="V2125" i="29"/>
  <c r="U2125" i="29"/>
  <c r="T2125" i="29"/>
  <c r="R2125" i="29"/>
  <c r="Q2125" i="29"/>
  <c r="V2122" i="29"/>
  <c r="U2122" i="29"/>
  <c r="T2122" i="29"/>
  <c r="R2122" i="29"/>
  <c r="Q2122" i="29"/>
  <c r="V2121" i="29"/>
  <c r="U2121" i="29"/>
  <c r="W2121" i="29" s="1"/>
  <c r="X2121" i="29" s="1"/>
  <c r="T2121" i="29"/>
  <c r="R2121" i="29"/>
  <c r="Q2121" i="29"/>
  <c r="V2120" i="29"/>
  <c r="U2120" i="29"/>
  <c r="T2120" i="29"/>
  <c r="R2120" i="29"/>
  <c r="Q2120" i="29"/>
  <c r="V2119" i="29"/>
  <c r="U2119" i="29"/>
  <c r="T2119" i="29"/>
  <c r="R2119" i="29"/>
  <c r="Q2119" i="29"/>
  <c r="V2118" i="29"/>
  <c r="U2118" i="29"/>
  <c r="T2118" i="29"/>
  <c r="R2118" i="29"/>
  <c r="Q2118" i="29"/>
  <c r="V2117" i="29"/>
  <c r="U2117" i="29"/>
  <c r="T2117" i="29"/>
  <c r="R2117" i="29"/>
  <c r="Q2117" i="29"/>
  <c r="V2116" i="29"/>
  <c r="U2116" i="29"/>
  <c r="T2116" i="29"/>
  <c r="R2116" i="29"/>
  <c r="Q2116" i="29"/>
  <c r="V2115" i="29"/>
  <c r="U2115" i="29"/>
  <c r="T2115" i="29"/>
  <c r="R2115" i="29"/>
  <c r="Q2115" i="29"/>
  <c r="V2114" i="29"/>
  <c r="U2114" i="29"/>
  <c r="T2114" i="29"/>
  <c r="R2114" i="29"/>
  <c r="Q2114" i="29"/>
  <c r="V2111" i="29"/>
  <c r="U2111" i="29"/>
  <c r="T2111" i="29"/>
  <c r="R2111" i="29"/>
  <c r="Q2111" i="29"/>
  <c r="V2110" i="29"/>
  <c r="U2110" i="29"/>
  <c r="T2110" i="29"/>
  <c r="R2110" i="29"/>
  <c r="Q2110" i="29"/>
  <c r="V2109" i="29"/>
  <c r="U2109" i="29"/>
  <c r="T2109" i="29"/>
  <c r="R2109" i="29"/>
  <c r="Q2109" i="29"/>
  <c r="V2108" i="29"/>
  <c r="U2108" i="29"/>
  <c r="T2108" i="29"/>
  <c r="R2108" i="29"/>
  <c r="Q2108" i="29"/>
  <c r="V2107" i="29"/>
  <c r="U2107" i="29"/>
  <c r="T2107" i="29"/>
  <c r="R2107" i="29"/>
  <c r="Q2107" i="29"/>
  <c r="V2106" i="29"/>
  <c r="U2106" i="29"/>
  <c r="T2106" i="29"/>
  <c r="R2106" i="29"/>
  <c r="Q2106" i="29"/>
  <c r="V2105" i="29"/>
  <c r="U2105" i="29"/>
  <c r="T2105" i="29"/>
  <c r="R2105" i="29"/>
  <c r="Q2105" i="29"/>
  <c r="V2104" i="29"/>
  <c r="U2104" i="29"/>
  <c r="T2104" i="29"/>
  <c r="R2104" i="29"/>
  <c r="Q2104" i="29"/>
  <c r="V2103" i="29"/>
  <c r="U2103" i="29"/>
  <c r="T2103" i="29"/>
  <c r="R2103" i="29"/>
  <c r="Q2103" i="29"/>
  <c r="V2100" i="29"/>
  <c r="U2100" i="29"/>
  <c r="T2100" i="29"/>
  <c r="R2100" i="29"/>
  <c r="Q2100" i="29"/>
  <c r="V2099" i="29"/>
  <c r="U2099" i="29"/>
  <c r="T2099" i="29"/>
  <c r="R2099" i="29"/>
  <c r="Q2099" i="29"/>
  <c r="V2098" i="29"/>
  <c r="U2098" i="29"/>
  <c r="T2098" i="29"/>
  <c r="R2098" i="29"/>
  <c r="Q2098" i="29"/>
  <c r="V2097" i="29"/>
  <c r="U2097" i="29"/>
  <c r="T2097" i="29"/>
  <c r="R2097" i="29"/>
  <c r="Q2097" i="29"/>
  <c r="V2096" i="29"/>
  <c r="U2096" i="29"/>
  <c r="T2096" i="29"/>
  <c r="R2096" i="29"/>
  <c r="Q2096" i="29"/>
  <c r="V2095" i="29"/>
  <c r="U2095" i="29"/>
  <c r="T2095" i="29"/>
  <c r="R2095" i="29"/>
  <c r="Q2095" i="29"/>
  <c r="V2094" i="29"/>
  <c r="U2094" i="29"/>
  <c r="T2094" i="29"/>
  <c r="R2094" i="29"/>
  <c r="Q2094" i="29"/>
  <c r="V2093" i="29"/>
  <c r="U2093" i="29"/>
  <c r="T2093" i="29"/>
  <c r="R2093" i="29"/>
  <c r="Q2093" i="29"/>
  <c r="V2092" i="29"/>
  <c r="U2092" i="29"/>
  <c r="T2092" i="29"/>
  <c r="R2092" i="29"/>
  <c r="Q2092" i="29"/>
  <c r="V2089" i="29"/>
  <c r="U2089" i="29"/>
  <c r="T2089" i="29"/>
  <c r="R2089" i="29"/>
  <c r="Q2089" i="29"/>
  <c r="V2088" i="29"/>
  <c r="U2088" i="29"/>
  <c r="T2088" i="29"/>
  <c r="R2088" i="29"/>
  <c r="Q2088" i="29"/>
  <c r="V2087" i="29"/>
  <c r="U2087" i="29"/>
  <c r="T2087" i="29"/>
  <c r="R2087" i="29"/>
  <c r="Q2087" i="29"/>
  <c r="V2086" i="29"/>
  <c r="U2086" i="29"/>
  <c r="T2086" i="29"/>
  <c r="R2086" i="29"/>
  <c r="Q2086" i="29"/>
  <c r="V2085" i="29"/>
  <c r="U2085" i="29"/>
  <c r="T2085" i="29"/>
  <c r="R2085" i="29"/>
  <c r="Q2085" i="29"/>
  <c r="V2084" i="29"/>
  <c r="U2084" i="29"/>
  <c r="T2084" i="29"/>
  <c r="R2084" i="29"/>
  <c r="Q2084" i="29"/>
  <c r="V2083" i="29"/>
  <c r="U2083" i="29"/>
  <c r="T2083" i="29"/>
  <c r="R2083" i="29"/>
  <c r="Q2083" i="29"/>
  <c r="V2082" i="29"/>
  <c r="U2082" i="29"/>
  <c r="T2082" i="29"/>
  <c r="R2082" i="29"/>
  <c r="Q2082" i="29"/>
  <c r="V2081" i="29"/>
  <c r="U2081" i="29"/>
  <c r="T2081" i="29"/>
  <c r="R2081" i="29"/>
  <c r="Q2081" i="29"/>
  <c r="V2078" i="29"/>
  <c r="U2078" i="29"/>
  <c r="T2078" i="29"/>
  <c r="R2078" i="29"/>
  <c r="Q2078" i="29"/>
  <c r="V2077" i="29"/>
  <c r="U2077" i="29"/>
  <c r="T2077" i="29"/>
  <c r="R2077" i="29"/>
  <c r="Q2077" i="29"/>
  <c r="V2076" i="29"/>
  <c r="U2076" i="29"/>
  <c r="W2076" i="29" s="1"/>
  <c r="X2076" i="29" s="1"/>
  <c r="T2076" i="29"/>
  <c r="R2076" i="29"/>
  <c r="Q2076" i="29"/>
  <c r="V2075" i="29"/>
  <c r="U2075" i="29"/>
  <c r="T2075" i="29"/>
  <c r="R2075" i="29"/>
  <c r="Q2075" i="29"/>
  <c r="V2074" i="29"/>
  <c r="U2074" i="29"/>
  <c r="T2074" i="29"/>
  <c r="R2074" i="29"/>
  <c r="Q2074" i="29"/>
  <c r="V2073" i="29"/>
  <c r="U2073" i="29"/>
  <c r="T2073" i="29"/>
  <c r="R2073" i="29"/>
  <c r="Q2073" i="29"/>
  <c r="V2072" i="29"/>
  <c r="U2072" i="29"/>
  <c r="T2072" i="29"/>
  <c r="R2072" i="29"/>
  <c r="Q2072" i="29"/>
  <c r="V2071" i="29"/>
  <c r="U2071" i="29"/>
  <c r="T2071" i="29"/>
  <c r="R2071" i="29"/>
  <c r="Q2071" i="29"/>
  <c r="V2070" i="29"/>
  <c r="U2070" i="29"/>
  <c r="T2070" i="29"/>
  <c r="R2070" i="29"/>
  <c r="Q2070" i="29"/>
  <c r="V2067" i="29"/>
  <c r="U2067" i="29"/>
  <c r="T2067" i="29"/>
  <c r="R2067" i="29"/>
  <c r="Q2067" i="29"/>
  <c r="V2066" i="29"/>
  <c r="U2066" i="29"/>
  <c r="T2066" i="29"/>
  <c r="R2066" i="29"/>
  <c r="Q2066" i="29"/>
  <c r="V2065" i="29"/>
  <c r="U2065" i="29"/>
  <c r="T2065" i="29"/>
  <c r="R2065" i="29"/>
  <c r="Q2065" i="29"/>
  <c r="V2064" i="29"/>
  <c r="U2064" i="29"/>
  <c r="T2064" i="29"/>
  <c r="R2064" i="29"/>
  <c r="Q2064" i="29"/>
  <c r="V2063" i="29"/>
  <c r="U2063" i="29"/>
  <c r="T2063" i="29"/>
  <c r="R2063" i="29"/>
  <c r="Q2063" i="29"/>
  <c r="V2062" i="29"/>
  <c r="U2062" i="29"/>
  <c r="T2062" i="29"/>
  <c r="R2062" i="29"/>
  <c r="Q2062" i="29"/>
  <c r="V2061" i="29"/>
  <c r="U2061" i="29"/>
  <c r="T2061" i="29"/>
  <c r="R2061" i="29"/>
  <c r="Q2061" i="29"/>
  <c r="V2060" i="29"/>
  <c r="U2060" i="29"/>
  <c r="T2060" i="29"/>
  <c r="R2060" i="29"/>
  <c r="Q2060" i="29"/>
  <c r="V2059" i="29"/>
  <c r="U2059" i="29"/>
  <c r="W2059" i="29" s="1"/>
  <c r="X2059" i="29" s="1"/>
  <c r="T2059" i="29"/>
  <c r="R2059" i="29"/>
  <c r="Q2059" i="29"/>
  <c r="V2056" i="29"/>
  <c r="U2056" i="29"/>
  <c r="T2056" i="29"/>
  <c r="R2056" i="29"/>
  <c r="Q2056" i="29"/>
  <c r="V2055" i="29"/>
  <c r="U2055" i="29"/>
  <c r="W2055" i="29" s="1"/>
  <c r="X2055" i="29" s="1"/>
  <c r="T2055" i="29"/>
  <c r="R2055" i="29"/>
  <c r="Q2055" i="29"/>
  <c r="V2054" i="29"/>
  <c r="U2054" i="29"/>
  <c r="T2054" i="29"/>
  <c r="R2054" i="29"/>
  <c r="Q2054" i="29"/>
  <c r="V2053" i="29"/>
  <c r="U2053" i="29"/>
  <c r="T2053" i="29"/>
  <c r="R2053" i="29"/>
  <c r="Q2053" i="29"/>
  <c r="V2052" i="29"/>
  <c r="U2052" i="29"/>
  <c r="T2052" i="29"/>
  <c r="R2052" i="29"/>
  <c r="Q2052" i="29"/>
  <c r="V2051" i="29"/>
  <c r="U2051" i="29"/>
  <c r="T2051" i="29"/>
  <c r="R2051" i="29"/>
  <c r="Q2051" i="29"/>
  <c r="V2050" i="29"/>
  <c r="U2050" i="29"/>
  <c r="T2050" i="29"/>
  <c r="R2050" i="29"/>
  <c r="Q2050" i="29"/>
  <c r="V2049" i="29"/>
  <c r="U2049" i="29"/>
  <c r="T2049" i="29"/>
  <c r="R2049" i="29"/>
  <c r="Q2049" i="29"/>
  <c r="V2048" i="29"/>
  <c r="U2048" i="29"/>
  <c r="T2048" i="29"/>
  <c r="R2048" i="29"/>
  <c r="Q2048" i="29"/>
  <c r="V2045" i="29"/>
  <c r="U2045" i="29"/>
  <c r="T2045" i="29"/>
  <c r="R2045" i="29"/>
  <c r="Q2045" i="29"/>
  <c r="V2044" i="29"/>
  <c r="U2044" i="29"/>
  <c r="T2044" i="29"/>
  <c r="R2044" i="29"/>
  <c r="Q2044" i="29"/>
  <c r="V2043" i="29"/>
  <c r="U2043" i="29"/>
  <c r="T2043" i="29"/>
  <c r="R2043" i="29"/>
  <c r="Q2043" i="29"/>
  <c r="V2042" i="29"/>
  <c r="U2042" i="29"/>
  <c r="T2042" i="29"/>
  <c r="R2042" i="29"/>
  <c r="Q2042" i="29"/>
  <c r="V2041" i="29"/>
  <c r="U2041" i="29"/>
  <c r="T2041" i="29"/>
  <c r="R2041" i="29"/>
  <c r="Q2041" i="29"/>
  <c r="V2040" i="29"/>
  <c r="U2040" i="29"/>
  <c r="T2040" i="29"/>
  <c r="R2040" i="29"/>
  <c r="Q2040" i="29"/>
  <c r="V2039" i="29"/>
  <c r="U2039" i="29"/>
  <c r="T2039" i="29"/>
  <c r="R2039" i="29"/>
  <c r="Q2039" i="29"/>
  <c r="V2038" i="29"/>
  <c r="U2038" i="29"/>
  <c r="T2038" i="29"/>
  <c r="R2038" i="29"/>
  <c r="Q2038" i="29"/>
  <c r="V2037" i="29"/>
  <c r="U2037" i="29"/>
  <c r="T2037" i="29"/>
  <c r="R2037" i="29"/>
  <c r="Q2037" i="29"/>
  <c r="V2034" i="29"/>
  <c r="U2034" i="29"/>
  <c r="T2034" i="29"/>
  <c r="R2034" i="29"/>
  <c r="Q2034" i="29"/>
  <c r="V2033" i="29"/>
  <c r="U2033" i="29"/>
  <c r="W2033" i="29" s="1"/>
  <c r="X2033" i="29" s="1"/>
  <c r="T2033" i="29"/>
  <c r="R2033" i="29"/>
  <c r="Q2033" i="29"/>
  <c r="V2032" i="29"/>
  <c r="U2032" i="29"/>
  <c r="T2032" i="29"/>
  <c r="R2032" i="29"/>
  <c r="Q2032" i="29"/>
  <c r="V2031" i="29"/>
  <c r="U2031" i="29"/>
  <c r="T2031" i="29"/>
  <c r="R2031" i="29"/>
  <c r="Q2031" i="29"/>
  <c r="V2030" i="29"/>
  <c r="U2030" i="29"/>
  <c r="T2030" i="29"/>
  <c r="R2030" i="29"/>
  <c r="Q2030" i="29"/>
  <c r="V2029" i="29"/>
  <c r="U2029" i="29"/>
  <c r="T2029" i="29"/>
  <c r="R2029" i="29"/>
  <c r="Q2029" i="29"/>
  <c r="V2028" i="29"/>
  <c r="U2028" i="29"/>
  <c r="T2028" i="29"/>
  <c r="R2028" i="29"/>
  <c r="Q2028" i="29"/>
  <c r="V2027" i="29"/>
  <c r="U2027" i="29"/>
  <c r="W2027" i="29" s="1"/>
  <c r="X2027" i="29" s="1"/>
  <c r="T2027" i="29"/>
  <c r="R2027" i="29"/>
  <c r="Q2027" i="29"/>
  <c r="V2026" i="29"/>
  <c r="U2026" i="29"/>
  <c r="W2026" i="29" s="1"/>
  <c r="X2026" i="29" s="1"/>
  <c r="T2026" i="29"/>
  <c r="R2026" i="29"/>
  <c r="Q2026" i="29"/>
  <c r="V2023" i="29"/>
  <c r="U2023" i="29"/>
  <c r="T2023" i="29"/>
  <c r="R2023" i="29"/>
  <c r="Q2023" i="29"/>
  <c r="V2022" i="29"/>
  <c r="U2022" i="29"/>
  <c r="T2022" i="29"/>
  <c r="R2022" i="29"/>
  <c r="Q2022" i="29"/>
  <c r="V2021" i="29"/>
  <c r="U2021" i="29"/>
  <c r="T2021" i="29"/>
  <c r="R2021" i="29"/>
  <c r="Q2021" i="29"/>
  <c r="V2020" i="29"/>
  <c r="U2020" i="29"/>
  <c r="T2020" i="29"/>
  <c r="R2020" i="29"/>
  <c r="Q2020" i="29"/>
  <c r="V2019" i="29"/>
  <c r="U2019" i="29"/>
  <c r="T2019" i="29"/>
  <c r="R2019" i="29"/>
  <c r="Q2019" i="29"/>
  <c r="V2018" i="29"/>
  <c r="U2018" i="29"/>
  <c r="T2018" i="29"/>
  <c r="R2018" i="29"/>
  <c r="Q2018" i="29"/>
  <c r="V2017" i="29"/>
  <c r="U2017" i="29"/>
  <c r="T2017" i="29"/>
  <c r="R2017" i="29"/>
  <c r="Q2017" i="29"/>
  <c r="V2016" i="29"/>
  <c r="U2016" i="29"/>
  <c r="T2016" i="29"/>
  <c r="R2016" i="29"/>
  <c r="Q2016" i="29"/>
  <c r="V2015" i="29"/>
  <c r="U2015" i="29"/>
  <c r="T2015" i="29"/>
  <c r="R2015" i="29"/>
  <c r="Q2015" i="29"/>
  <c r="V2012" i="29"/>
  <c r="U2012" i="29"/>
  <c r="T2012" i="29"/>
  <c r="R2012" i="29"/>
  <c r="Q2012" i="29"/>
  <c r="V2011" i="29"/>
  <c r="U2011" i="29"/>
  <c r="T2011" i="29"/>
  <c r="R2011" i="29"/>
  <c r="Q2011" i="29"/>
  <c r="V2010" i="29"/>
  <c r="U2010" i="29"/>
  <c r="W2010" i="29" s="1"/>
  <c r="X2010" i="29" s="1"/>
  <c r="T2010" i="29"/>
  <c r="R2010" i="29"/>
  <c r="Q2010" i="29"/>
  <c r="V2009" i="29"/>
  <c r="U2009" i="29"/>
  <c r="T2009" i="29"/>
  <c r="R2009" i="29"/>
  <c r="Q2009" i="29"/>
  <c r="V2008" i="29"/>
  <c r="U2008" i="29"/>
  <c r="T2008" i="29"/>
  <c r="R2008" i="29"/>
  <c r="Q2008" i="29"/>
  <c r="V2007" i="29"/>
  <c r="U2007" i="29"/>
  <c r="T2007" i="29"/>
  <c r="R2007" i="29"/>
  <c r="Q2007" i="29"/>
  <c r="V2006" i="29"/>
  <c r="U2006" i="29"/>
  <c r="T2006" i="29"/>
  <c r="R2006" i="29"/>
  <c r="Q2006" i="29"/>
  <c r="V2005" i="29"/>
  <c r="U2005" i="29"/>
  <c r="T2005" i="29"/>
  <c r="R2005" i="29"/>
  <c r="Q2005" i="29"/>
  <c r="V2004" i="29"/>
  <c r="U2004" i="29"/>
  <c r="T2004" i="29"/>
  <c r="R2004" i="29"/>
  <c r="Q2004" i="29"/>
  <c r="V2001" i="29"/>
  <c r="U2001" i="29"/>
  <c r="T2001" i="29"/>
  <c r="R2001" i="29"/>
  <c r="Q2001" i="29"/>
  <c r="V2000" i="29"/>
  <c r="U2000" i="29"/>
  <c r="T2000" i="29"/>
  <c r="R2000" i="29"/>
  <c r="Q2000" i="29"/>
  <c r="V1999" i="29"/>
  <c r="U1999" i="29"/>
  <c r="T1999" i="29"/>
  <c r="R1999" i="29"/>
  <c r="Q1999" i="29"/>
  <c r="V1998" i="29"/>
  <c r="U1998" i="29"/>
  <c r="T1998" i="29"/>
  <c r="R1998" i="29"/>
  <c r="Q1998" i="29"/>
  <c r="V1997" i="29"/>
  <c r="U1997" i="29"/>
  <c r="T1997" i="29"/>
  <c r="R1997" i="29"/>
  <c r="Q1997" i="29"/>
  <c r="V1996" i="29"/>
  <c r="U1996" i="29"/>
  <c r="T1996" i="29"/>
  <c r="R1996" i="29"/>
  <c r="Q1996" i="29"/>
  <c r="V1995" i="29"/>
  <c r="U1995" i="29"/>
  <c r="T1995" i="29"/>
  <c r="R1995" i="29"/>
  <c r="Q1995" i="29"/>
  <c r="V1994" i="29"/>
  <c r="U1994" i="29"/>
  <c r="T1994" i="29"/>
  <c r="R1994" i="29"/>
  <c r="Q1994" i="29"/>
  <c r="V1993" i="29"/>
  <c r="U1993" i="29"/>
  <c r="T1993" i="29"/>
  <c r="R1993" i="29"/>
  <c r="Q1993" i="29"/>
  <c r="V1990" i="29"/>
  <c r="U1990" i="29"/>
  <c r="T1990" i="29"/>
  <c r="R1990" i="29"/>
  <c r="Q1990" i="29"/>
  <c r="V1989" i="29"/>
  <c r="U1989" i="29"/>
  <c r="T1989" i="29"/>
  <c r="R1989" i="29"/>
  <c r="Q1989" i="29"/>
  <c r="V1988" i="29"/>
  <c r="U1988" i="29"/>
  <c r="T1988" i="29"/>
  <c r="R1988" i="29"/>
  <c r="Q1988" i="29"/>
  <c r="V1987" i="29"/>
  <c r="U1987" i="29"/>
  <c r="T1987" i="29"/>
  <c r="R1987" i="29"/>
  <c r="Q1987" i="29"/>
  <c r="V1986" i="29"/>
  <c r="U1986" i="29"/>
  <c r="T1986" i="29"/>
  <c r="R1986" i="29"/>
  <c r="Q1986" i="29"/>
  <c r="V1985" i="29"/>
  <c r="U1985" i="29"/>
  <c r="T1985" i="29"/>
  <c r="R1985" i="29"/>
  <c r="Q1985" i="29"/>
  <c r="V1984" i="29"/>
  <c r="U1984" i="29"/>
  <c r="T1984" i="29"/>
  <c r="R1984" i="29"/>
  <c r="Q1984" i="29"/>
  <c r="V1983" i="29"/>
  <c r="U1983" i="29"/>
  <c r="T1983" i="29"/>
  <c r="R1983" i="29"/>
  <c r="Q1983" i="29"/>
  <c r="V1982" i="29"/>
  <c r="U1982" i="29"/>
  <c r="T1982" i="29"/>
  <c r="R1982" i="29"/>
  <c r="Q1982" i="29"/>
  <c r="V1979" i="29"/>
  <c r="U1979" i="29"/>
  <c r="T1979" i="29"/>
  <c r="R1979" i="29"/>
  <c r="Q1979" i="29"/>
  <c r="V1978" i="29"/>
  <c r="U1978" i="29"/>
  <c r="T1978" i="29"/>
  <c r="R1978" i="29"/>
  <c r="Q1978" i="29"/>
  <c r="V1977" i="29"/>
  <c r="U1977" i="29"/>
  <c r="W1977" i="29" s="1"/>
  <c r="X1977" i="29" s="1"/>
  <c r="T1977" i="29"/>
  <c r="R1977" i="29"/>
  <c r="Q1977" i="29"/>
  <c r="V1976" i="29"/>
  <c r="U1976" i="29"/>
  <c r="W1976" i="29" s="1"/>
  <c r="X1976" i="29" s="1"/>
  <c r="T1976" i="29"/>
  <c r="R1976" i="29"/>
  <c r="Q1976" i="29"/>
  <c r="V1975" i="29"/>
  <c r="U1975" i="29"/>
  <c r="T1975" i="29"/>
  <c r="R1975" i="29"/>
  <c r="Q1975" i="29"/>
  <c r="V1974" i="29"/>
  <c r="U1974" i="29"/>
  <c r="T1974" i="29"/>
  <c r="R1974" i="29"/>
  <c r="Q1974" i="29"/>
  <c r="V1973" i="29"/>
  <c r="U1973" i="29"/>
  <c r="T1973" i="29"/>
  <c r="R1973" i="29"/>
  <c r="Q1973" i="29"/>
  <c r="V1972" i="29"/>
  <c r="U1972" i="29"/>
  <c r="T1972" i="29"/>
  <c r="R1972" i="29"/>
  <c r="Q1972" i="29"/>
  <c r="V1971" i="29"/>
  <c r="U1971" i="29"/>
  <c r="T1971" i="29"/>
  <c r="R1971" i="29"/>
  <c r="Q1971" i="29"/>
  <c r="V1968" i="29"/>
  <c r="U1968" i="29"/>
  <c r="T1968" i="29"/>
  <c r="R1968" i="29"/>
  <c r="Q1968" i="29"/>
  <c r="V1967" i="29"/>
  <c r="U1967" i="29"/>
  <c r="T1967" i="29"/>
  <c r="R1967" i="29"/>
  <c r="Q1967" i="29"/>
  <c r="V1966" i="29"/>
  <c r="U1966" i="29"/>
  <c r="W1966" i="29" s="1"/>
  <c r="X1966" i="29" s="1"/>
  <c r="T1966" i="29"/>
  <c r="R1966" i="29"/>
  <c r="Q1966" i="29"/>
  <c r="V1965" i="29"/>
  <c r="U1965" i="29"/>
  <c r="W1965" i="29" s="1"/>
  <c r="X1965" i="29" s="1"/>
  <c r="T1965" i="29"/>
  <c r="R1965" i="29"/>
  <c r="Q1965" i="29"/>
  <c r="V1964" i="29"/>
  <c r="U1964" i="29"/>
  <c r="T1964" i="29"/>
  <c r="R1964" i="29"/>
  <c r="Q1964" i="29"/>
  <c r="V1963" i="29"/>
  <c r="U1963" i="29"/>
  <c r="T1963" i="29"/>
  <c r="R1963" i="29"/>
  <c r="Q1963" i="29"/>
  <c r="V1962" i="29"/>
  <c r="U1962" i="29"/>
  <c r="T1962" i="29"/>
  <c r="R1962" i="29"/>
  <c r="Q1962" i="29"/>
  <c r="V1961" i="29"/>
  <c r="U1961" i="29"/>
  <c r="T1961" i="29"/>
  <c r="R1961" i="29"/>
  <c r="Q1961" i="29"/>
  <c r="V1960" i="29"/>
  <c r="U1960" i="29"/>
  <c r="T1960" i="29"/>
  <c r="R1960" i="29"/>
  <c r="Q1960" i="29"/>
  <c r="V1957" i="29"/>
  <c r="U1957" i="29"/>
  <c r="W1957" i="29" s="1"/>
  <c r="X1957" i="29" s="1"/>
  <c r="T1957" i="29"/>
  <c r="R1957" i="29"/>
  <c r="Q1957" i="29"/>
  <c r="V1956" i="29"/>
  <c r="U1956" i="29"/>
  <c r="T1956" i="29"/>
  <c r="R1956" i="29"/>
  <c r="Q1956" i="29"/>
  <c r="V1955" i="29"/>
  <c r="U1955" i="29"/>
  <c r="T1955" i="29"/>
  <c r="R1955" i="29"/>
  <c r="Q1955" i="29"/>
  <c r="V1954" i="29"/>
  <c r="U1954" i="29"/>
  <c r="T1954" i="29"/>
  <c r="R1954" i="29"/>
  <c r="Q1954" i="29"/>
  <c r="V1953" i="29"/>
  <c r="U1953" i="29"/>
  <c r="T1953" i="29"/>
  <c r="R1953" i="29"/>
  <c r="Q1953" i="29"/>
  <c r="V1952" i="29"/>
  <c r="U1952" i="29"/>
  <c r="T1952" i="29"/>
  <c r="R1952" i="29"/>
  <c r="Q1952" i="29"/>
  <c r="V1951" i="29"/>
  <c r="U1951" i="29"/>
  <c r="T1951" i="29"/>
  <c r="R1951" i="29"/>
  <c r="Q1951" i="29"/>
  <c r="V1950" i="29"/>
  <c r="U1950" i="29"/>
  <c r="T1950" i="29"/>
  <c r="R1950" i="29"/>
  <c r="Q1950" i="29"/>
  <c r="V1949" i="29"/>
  <c r="U1949" i="29"/>
  <c r="T1949" i="29"/>
  <c r="R1949" i="29"/>
  <c r="Q1949" i="29"/>
  <c r="V1946" i="29"/>
  <c r="U1946" i="29"/>
  <c r="T1946" i="29"/>
  <c r="R1946" i="29"/>
  <c r="Q1946" i="29"/>
  <c r="V1945" i="29"/>
  <c r="U1945" i="29"/>
  <c r="T1945" i="29"/>
  <c r="R1945" i="29"/>
  <c r="Q1945" i="29"/>
  <c r="V1944" i="29"/>
  <c r="U1944" i="29"/>
  <c r="T1944" i="29"/>
  <c r="R1944" i="29"/>
  <c r="Q1944" i="29"/>
  <c r="V1943" i="29"/>
  <c r="U1943" i="29"/>
  <c r="T1943" i="29"/>
  <c r="R1943" i="29"/>
  <c r="Q1943" i="29"/>
  <c r="V1942" i="29"/>
  <c r="U1942" i="29"/>
  <c r="T1942" i="29"/>
  <c r="R1942" i="29"/>
  <c r="Q1942" i="29"/>
  <c r="V1941" i="29"/>
  <c r="U1941" i="29"/>
  <c r="T1941" i="29"/>
  <c r="R1941" i="29"/>
  <c r="Q1941" i="29"/>
  <c r="V1940" i="29"/>
  <c r="U1940" i="29"/>
  <c r="T1940" i="29"/>
  <c r="R1940" i="29"/>
  <c r="Q1940" i="29"/>
  <c r="V1939" i="29"/>
  <c r="U1939" i="29"/>
  <c r="T1939" i="29"/>
  <c r="R1939" i="29"/>
  <c r="Q1939" i="29"/>
  <c r="V1938" i="29"/>
  <c r="U1938" i="29"/>
  <c r="T1938" i="29"/>
  <c r="R1938" i="29"/>
  <c r="Q1938" i="29"/>
  <c r="V1935" i="29"/>
  <c r="U1935" i="29"/>
  <c r="W1935" i="29" s="1"/>
  <c r="X1935" i="29" s="1"/>
  <c r="T1935" i="29"/>
  <c r="R1935" i="29"/>
  <c r="Q1935" i="29"/>
  <c r="V1934" i="29"/>
  <c r="U1934" i="29"/>
  <c r="T1934" i="29"/>
  <c r="R1934" i="29"/>
  <c r="Q1934" i="29"/>
  <c r="V1933" i="29"/>
  <c r="U1933" i="29"/>
  <c r="T1933" i="29"/>
  <c r="R1933" i="29"/>
  <c r="Q1933" i="29"/>
  <c r="V1932" i="29"/>
  <c r="U1932" i="29"/>
  <c r="T1932" i="29"/>
  <c r="R1932" i="29"/>
  <c r="Q1932" i="29"/>
  <c r="V1931" i="29"/>
  <c r="U1931" i="29"/>
  <c r="T1931" i="29"/>
  <c r="R1931" i="29"/>
  <c r="Q1931" i="29"/>
  <c r="V1930" i="29"/>
  <c r="U1930" i="29"/>
  <c r="T1930" i="29"/>
  <c r="R1930" i="29"/>
  <c r="Q1930" i="29"/>
  <c r="V1929" i="29"/>
  <c r="U1929" i="29"/>
  <c r="W1929" i="29" s="1"/>
  <c r="X1929" i="29" s="1"/>
  <c r="T1929" i="29"/>
  <c r="R1929" i="29"/>
  <c r="Q1929" i="29"/>
  <c r="V1928" i="29"/>
  <c r="U1928" i="29"/>
  <c r="T1928" i="29"/>
  <c r="R1928" i="29"/>
  <c r="Q1928" i="29"/>
  <c r="V1927" i="29"/>
  <c r="U1927" i="29"/>
  <c r="T1927" i="29"/>
  <c r="R1927" i="29"/>
  <c r="Q1927" i="29"/>
  <c r="V1924" i="29"/>
  <c r="U1924" i="29"/>
  <c r="T1924" i="29"/>
  <c r="R1924" i="29"/>
  <c r="Q1924" i="29"/>
  <c r="V1923" i="29"/>
  <c r="U1923" i="29"/>
  <c r="T1923" i="29"/>
  <c r="R1923" i="29"/>
  <c r="Q1923" i="29"/>
  <c r="V1922" i="29"/>
  <c r="U1922" i="29"/>
  <c r="T1922" i="29"/>
  <c r="R1922" i="29"/>
  <c r="Q1922" i="29"/>
  <c r="V1921" i="29"/>
  <c r="U1921" i="29"/>
  <c r="T1921" i="29"/>
  <c r="R1921" i="29"/>
  <c r="Q1921" i="29"/>
  <c r="V1920" i="29"/>
  <c r="U1920" i="29"/>
  <c r="W1920" i="29" s="1"/>
  <c r="X1920" i="29" s="1"/>
  <c r="T1920" i="29"/>
  <c r="R1920" i="29"/>
  <c r="Q1920" i="29"/>
  <c r="V1919" i="29"/>
  <c r="U1919" i="29"/>
  <c r="T1919" i="29"/>
  <c r="R1919" i="29"/>
  <c r="Q1919" i="29"/>
  <c r="V1918" i="29"/>
  <c r="U1918" i="29"/>
  <c r="T1918" i="29"/>
  <c r="R1918" i="29"/>
  <c r="Q1918" i="29"/>
  <c r="V1917" i="29"/>
  <c r="U1917" i="29"/>
  <c r="T1917" i="29"/>
  <c r="R1917" i="29"/>
  <c r="Q1917" i="29"/>
  <c r="V1916" i="29"/>
  <c r="U1916" i="29"/>
  <c r="T1916" i="29"/>
  <c r="R1916" i="29"/>
  <c r="Q1916" i="29"/>
  <c r="V1913" i="29"/>
  <c r="U1913" i="29"/>
  <c r="T1913" i="29"/>
  <c r="R1913" i="29"/>
  <c r="Q1913" i="29"/>
  <c r="V1912" i="29"/>
  <c r="U1912" i="29"/>
  <c r="T1912" i="29"/>
  <c r="R1912" i="29"/>
  <c r="Q1912" i="29"/>
  <c r="V1911" i="29"/>
  <c r="U1911" i="29"/>
  <c r="T1911" i="29"/>
  <c r="R1911" i="29"/>
  <c r="Q1911" i="29"/>
  <c r="V1910" i="29"/>
  <c r="U1910" i="29"/>
  <c r="T1910" i="29"/>
  <c r="R1910" i="29"/>
  <c r="Q1910" i="29"/>
  <c r="V1909" i="29"/>
  <c r="U1909" i="29"/>
  <c r="T1909" i="29"/>
  <c r="R1909" i="29"/>
  <c r="Q1909" i="29"/>
  <c r="V1908" i="29"/>
  <c r="U1908" i="29"/>
  <c r="T1908" i="29"/>
  <c r="R1908" i="29"/>
  <c r="Q1908" i="29"/>
  <c r="V1907" i="29"/>
  <c r="U1907" i="29"/>
  <c r="T1907" i="29"/>
  <c r="R1907" i="29"/>
  <c r="Q1907" i="29"/>
  <c r="V1906" i="29"/>
  <c r="U1906" i="29"/>
  <c r="T1906" i="29"/>
  <c r="R1906" i="29"/>
  <c r="Q1906" i="29"/>
  <c r="V1905" i="29"/>
  <c r="U1905" i="29"/>
  <c r="T1905" i="29"/>
  <c r="R1905" i="29"/>
  <c r="Q1905" i="29"/>
  <c r="V1902" i="29"/>
  <c r="U1902" i="29"/>
  <c r="T1902" i="29"/>
  <c r="R1902" i="29"/>
  <c r="Q1902" i="29"/>
  <c r="V1901" i="29"/>
  <c r="U1901" i="29"/>
  <c r="T1901" i="29"/>
  <c r="R1901" i="29"/>
  <c r="Q1901" i="29"/>
  <c r="V1900" i="29"/>
  <c r="U1900" i="29"/>
  <c r="T1900" i="29"/>
  <c r="R1900" i="29"/>
  <c r="Q1900" i="29"/>
  <c r="V1899" i="29"/>
  <c r="U1899" i="29"/>
  <c r="T1899" i="29"/>
  <c r="R1899" i="29"/>
  <c r="Q1899" i="29"/>
  <c r="V1898" i="29"/>
  <c r="U1898" i="29"/>
  <c r="W1898" i="29" s="1"/>
  <c r="X1898" i="29" s="1"/>
  <c r="T1898" i="29"/>
  <c r="R1898" i="29"/>
  <c r="Q1898" i="29"/>
  <c r="V1897" i="29"/>
  <c r="U1897" i="29"/>
  <c r="T1897" i="29"/>
  <c r="R1897" i="29"/>
  <c r="Q1897" i="29"/>
  <c r="V1896" i="29"/>
  <c r="U1896" i="29"/>
  <c r="T1896" i="29"/>
  <c r="R1896" i="29"/>
  <c r="Q1896" i="29"/>
  <c r="V1895" i="29"/>
  <c r="U1895" i="29"/>
  <c r="T1895" i="29"/>
  <c r="R1895" i="29"/>
  <c r="Q1895" i="29"/>
  <c r="V1894" i="29"/>
  <c r="U1894" i="29"/>
  <c r="T1894" i="29"/>
  <c r="R1894" i="29"/>
  <c r="Q1894" i="29"/>
  <c r="V1891" i="29"/>
  <c r="U1891" i="29"/>
  <c r="T1891" i="29"/>
  <c r="R1891" i="29"/>
  <c r="Q1891" i="29"/>
  <c r="V1890" i="29"/>
  <c r="U1890" i="29"/>
  <c r="T1890" i="29"/>
  <c r="R1890" i="29"/>
  <c r="Q1890" i="29"/>
  <c r="V1889" i="29"/>
  <c r="U1889" i="29"/>
  <c r="T1889" i="29"/>
  <c r="R1889" i="29"/>
  <c r="Q1889" i="29"/>
  <c r="V1888" i="29"/>
  <c r="U1888" i="29"/>
  <c r="T1888" i="29"/>
  <c r="R1888" i="29"/>
  <c r="Q1888" i="29"/>
  <c r="V1887" i="29"/>
  <c r="U1887" i="29"/>
  <c r="T1887" i="29"/>
  <c r="R1887" i="29"/>
  <c r="Q1887" i="29"/>
  <c r="V1886" i="29"/>
  <c r="U1886" i="29"/>
  <c r="T1886" i="29"/>
  <c r="R1886" i="29"/>
  <c r="Q1886" i="29"/>
  <c r="V1885" i="29"/>
  <c r="U1885" i="29"/>
  <c r="T1885" i="29"/>
  <c r="R1885" i="29"/>
  <c r="Q1885" i="29"/>
  <c r="V1884" i="29"/>
  <c r="U1884" i="29"/>
  <c r="W1884" i="29" s="1"/>
  <c r="X1884" i="29" s="1"/>
  <c r="T1884" i="29"/>
  <c r="R1884" i="29"/>
  <c r="Q1884" i="29"/>
  <c r="V1883" i="29"/>
  <c r="U1883" i="29"/>
  <c r="T1883" i="29"/>
  <c r="R1883" i="29"/>
  <c r="Q1883" i="29"/>
  <c r="V1880" i="29"/>
  <c r="U1880" i="29"/>
  <c r="W1880" i="29" s="1"/>
  <c r="X1880" i="29" s="1"/>
  <c r="T1880" i="29"/>
  <c r="R1880" i="29"/>
  <c r="Q1880" i="29"/>
  <c r="V1879" i="29"/>
  <c r="U1879" i="29"/>
  <c r="T1879" i="29"/>
  <c r="R1879" i="29"/>
  <c r="Q1879" i="29"/>
  <c r="V1878" i="29"/>
  <c r="U1878" i="29"/>
  <c r="T1878" i="29"/>
  <c r="R1878" i="29"/>
  <c r="Q1878" i="29"/>
  <c r="V1877" i="29"/>
  <c r="U1877" i="29"/>
  <c r="T1877" i="29"/>
  <c r="R1877" i="29"/>
  <c r="Q1877" i="29"/>
  <c r="V1876" i="29"/>
  <c r="U1876" i="29"/>
  <c r="T1876" i="29"/>
  <c r="R1876" i="29"/>
  <c r="Q1876" i="29"/>
  <c r="V1875" i="29"/>
  <c r="U1875" i="29"/>
  <c r="T1875" i="29"/>
  <c r="R1875" i="29"/>
  <c r="Q1875" i="29"/>
  <c r="V1874" i="29"/>
  <c r="U1874" i="29"/>
  <c r="T1874" i="29"/>
  <c r="R1874" i="29"/>
  <c r="Q1874" i="29"/>
  <c r="V1873" i="29"/>
  <c r="U1873" i="29"/>
  <c r="T1873" i="29"/>
  <c r="R1873" i="29"/>
  <c r="Q1873" i="29"/>
  <c r="V1872" i="29"/>
  <c r="U1872" i="29"/>
  <c r="T1872" i="29"/>
  <c r="R1872" i="29"/>
  <c r="Q1872" i="29"/>
  <c r="V1869" i="29"/>
  <c r="U1869" i="29"/>
  <c r="T1869" i="29"/>
  <c r="R1869" i="29"/>
  <c r="Q1869" i="29"/>
  <c r="V1868" i="29"/>
  <c r="U1868" i="29"/>
  <c r="T1868" i="29"/>
  <c r="R1868" i="29"/>
  <c r="Q1868" i="29"/>
  <c r="V1867" i="29"/>
  <c r="U1867" i="29"/>
  <c r="W1867" i="29" s="1"/>
  <c r="X1867" i="29" s="1"/>
  <c r="T1867" i="29"/>
  <c r="R1867" i="29"/>
  <c r="Q1867" i="29"/>
  <c r="V1866" i="29"/>
  <c r="U1866" i="29"/>
  <c r="T1866" i="29"/>
  <c r="R1866" i="29"/>
  <c r="Q1866" i="29"/>
  <c r="V1865" i="29"/>
  <c r="U1865" i="29"/>
  <c r="T1865" i="29"/>
  <c r="R1865" i="29"/>
  <c r="Q1865" i="29"/>
  <c r="V1864" i="29"/>
  <c r="U1864" i="29"/>
  <c r="T1864" i="29"/>
  <c r="R1864" i="29"/>
  <c r="Q1864" i="29"/>
  <c r="V1863" i="29"/>
  <c r="U1863" i="29"/>
  <c r="T1863" i="29"/>
  <c r="R1863" i="29"/>
  <c r="Q1863" i="29"/>
  <c r="V1862" i="29"/>
  <c r="U1862" i="29"/>
  <c r="T1862" i="29"/>
  <c r="R1862" i="29"/>
  <c r="Q1862" i="29"/>
  <c r="V1861" i="29"/>
  <c r="U1861" i="29"/>
  <c r="T1861" i="29"/>
  <c r="R1861" i="29"/>
  <c r="Q1861" i="29"/>
  <c r="V1858" i="29"/>
  <c r="U1858" i="29"/>
  <c r="T1858" i="29"/>
  <c r="R1858" i="29"/>
  <c r="Q1858" i="29"/>
  <c r="V1857" i="29"/>
  <c r="U1857" i="29"/>
  <c r="T1857" i="29"/>
  <c r="R1857" i="29"/>
  <c r="Q1857" i="29"/>
  <c r="V1856" i="29"/>
  <c r="U1856" i="29"/>
  <c r="T1856" i="29"/>
  <c r="R1856" i="29"/>
  <c r="Q1856" i="29"/>
  <c r="V1855" i="29"/>
  <c r="U1855" i="29"/>
  <c r="T1855" i="29"/>
  <c r="R1855" i="29"/>
  <c r="Q1855" i="29"/>
  <c r="V1854" i="29"/>
  <c r="U1854" i="29"/>
  <c r="T1854" i="29"/>
  <c r="R1854" i="29"/>
  <c r="Q1854" i="29"/>
  <c r="V1853" i="29"/>
  <c r="U1853" i="29"/>
  <c r="T1853" i="29"/>
  <c r="R1853" i="29"/>
  <c r="Q1853" i="29"/>
  <c r="V1852" i="29"/>
  <c r="W1852" i="29" s="1"/>
  <c r="X1852" i="29" s="1"/>
  <c r="U1852" i="29"/>
  <c r="T1852" i="29"/>
  <c r="R1852" i="29"/>
  <c r="Q1852" i="29"/>
  <c r="V1851" i="29"/>
  <c r="U1851" i="29"/>
  <c r="T1851" i="29"/>
  <c r="R1851" i="29"/>
  <c r="Q1851" i="29"/>
  <c r="V1850" i="29"/>
  <c r="U1850" i="29"/>
  <c r="T1850" i="29"/>
  <c r="R1850" i="29"/>
  <c r="Q1850" i="29"/>
  <c r="V1847" i="29"/>
  <c r="U1847" i="29"/>
  <c r="T1847" i="29"/>
  <c r="R1847" i="29"/>
  <c r="Q1847" i="29"/>
  <c r="V1846" i="29"/>
  <c r="U1846" i="29"/>
  <c r="T1846" i="29"/>
  <c r="R1846" i="29"/>
  <c r="Q1846" i="29"/>
  <c r="V1845" i="29"/>
  <c r="U1845" i="29"/>
  <c r="T1845" i="29"/>
  <c r="R1845" i="29"/>
  <c r="Q1845" i="29"/>
  <c r="V1844" i="29"/>
  <c r="U1844" i="29"/>
  <c r="T1844" i="29"/>
  <c r="R1844" i="29"/>
  <c r="Q1844" i="29"/>
  <c r="V1843" i="29"/>
  <c r="U1843" i="29"/>
  <c r="T1843" i="29"/>
  <c r="R1843" i="29"/>
  <c r="Q1843" i="29"/>
  <c r="V1842" i="29"/>
  <c r="U1842" i="29"/>
  <c r="T1842" i="29"/>
  <c r="R1842" i="29"/>
  <c r="Q1842" i="29"/>
  <c r="V1841" i="29"/>
  <c r="U1841" i="29"/>
  <c r="T1841" i="29"/>
  <c r="R1841" i="29"/>
  <c r="Q1841" i="29"/>
  <c r="V1840" i="29"/>
  <c r="U1840" i="29"/>
  <c r="T1840" i="29"/>
  <c r="R1840" i="29"/>
  <c r="Q1840" i="29"/>
  <c r="V1839" i="29"/>
  <c r="U1839" i="29"/>
  <c r="T1839" i="29"/>
  <c r="R1839" i="29"/>
  <c r="Q1839" i="29"/>
  <c r="V1836" i="29"/>
  <c r="U1836" i="29"/>
  <c r="T1836" i="29"/>
  <c r="R1836" i="29"/>
  <c r="Q1836" i="29"/>
  <c r="V1835" i="29"/>
  <c r="U1835" i="29"/>
  <c r="T1835" i="29"/>
  <c r="R1835" i="29"/>
  <c r="Q1835" i="29"/>
  <c r="V1834" i="29"/>
  <c r="U1834" i="29"/>
  <c r="T1834" i="29"/>
  <c r="R1834" i="29"/>
  <c r="Q1834" i="29"/>
  <c r="V1833" i="29"/>
  <c r="U1833" i="29"/>
  <c r="T1833" i="29"/>
  <c r="R1833" i="29"/>
  <c r="Q1833" i="29"/>
  <c r="V1832" i="29"/>
  <c r="U1832" i="29"/>
  <c r="T1832" i="29"/>
  <c r="R1832" i="29"/>
  <c r="Q1832" i="29"/>
  <c r="V1831" i="29"/>
  <c r="U1831" i="29"/>
  <c r="T1831" i="29"/>
  <c r="R1831" i="29"/>
  <c r="Q1831" i="29"/>
  <c r="V1830" i="29"/>
  <c r="U1830" i="29"/>
  <c r="T1830" i="29"/>
  <c r="R1830" i="29"/>
  <c r="Q1830" i="29"/>
  <c r="V1829" i="29"/>
  <c r="U1829" i="29"/>
  <c r="T1829" i="29"/>
  <c r="R1829" i="29"/>
  <c r="Q1829" i="29"/>
  <c r="V1828" i="29"/>
  <c r="U1828" i="29"/>
  <c r="T1828" i="29"/>
  <c r="R1828" i="29"/>
  <c r="Q1828" i="29"/>
  <c r="V1825" i="29"/>
  <c r="U1825" i="29"/>
  <c r="T1825" i="29"/>
  <c r="R1825" i="29"/>
  <c r="Q1825" i="29"/>
  <c r="V1824" i="29"/>
  <c r="U1824" i="29"/>
  <c r="T1824" i="29"/>
  <c r="R1824" i="29"/>
  <c r="Q1824" i="29"/>
  <c r="V1823" i="29"/>
  <c r="U1823" i="29"/>
  <c r="T1823" i="29"/>
  <c r="R1823" i="29"/>
  <c r="Q1823" i="29"/>
  <c r="V1822" i="29"/>
  <c r="U1822" i="29"/>
  <c r="T1822" i="29"/>
  <c r="R1822" i="29"/>
  <c r="Q1822" i="29"/>
  <c r="V1821" i="29"/>
  <c r="U1821" i="29"/>
  <c r="T1821" i="29"/>
  <c r="R1821" i="29"/>
  <c r="Q1821" i="29"/>
  <c r="V1820" i="29"/>
  <c r="U1820" i="29"/>
  <c r="T1820" i="29"/>
  <c r="R1820" i="29"/>
  <c r="Q1820" i="29"/>
  <c r="V1819" i="29"/>
  <c r="U1819" i="29"/>
  <c r="T1819" i="29"/>
  <c r="R1819" i="29"/>
  <c r="Q1819" i="29"/>
  <c r="V1818" i="29"/>
  <c r="U1818" i="29"/>
  <c r="T1818" i="29"/>
  <c r="R1818" i="29"/>
  <c r="Q1818" i="29"/>
  <c r="V1817" i="29"/>
  <c r="U1817" i="29"/>
  <c r="T1817" i="29"/>
  <c r="R1817" i="29"/>
  <c r="Q1817" i="29"/>
  <c r="V1814" i="29"/>
  <c r="U1814" i="29"/>
  <c r="T1814" i="29"/>
  <c r="R1814" i="29"/>
  <c r="Q1814" i="29"/>
  <c r="V1813" i="29"/>
  <c r="U1813" i="29"/>
  <c r="T1813" i="29"/>
  <c r="R1813" i="29"/>
  <c r="Q1813" i="29"/>
  <c r="V1812" i="29"/>
  <c r="U1812" i="29"/>
  <c r="T1812" i="29"/>
  <c r="R1812" i="29"/>
  <c r="Q1812" i="29"/>
  <c r="V1811" i="29"/>
  <c r="U1811" i="29"/>
  <c r="T1811" i="29"/>
  <c r="R1811" i="29"/>
  <c r="Q1811" i="29"/>
  <c r="V1810" i="29"/>
  <c r="U1810" i="29"/>
  <c r="T1810" i="29"/>
  <c r="R1810" i="29"/>
  <c r="Q1810" i="29"/>
  <c r="V1809" i="29"/>
  <c r="U1809" i="29"/>
  <c r="T1809" i="29"/>
  <c r="R1809" i="29"/>
  <c r="Q1809" i="29"/>
  <c r="V1808" i="29"/>
  <c r="U1808" i="29"/>
  <c r="T1808" i="29"/>
  <c r="R1808" i="29"/>
  <c r="Q1808" i="29"/>
  <c r="V1807" i="29"/>
  <c r="U1807" i="29"/>
  <c r="T1807" i="29"/>
  <c r="R1807" i="29"/>
  <c r="Q1807" i="29"/>
  <c r="V1806" i="29"/>
  <c r="U1806" i="29"/>
  <c r="T1806" i="29"/>
  <c r="R1806" i="29"/>
  <c r="Q1806" i="29"/>
  <c r="V1803" i="29"/>
  <c r="U1803" i="29"/>
  <c r="T1803" i="29"/>
  <c r="R1803" i="29"/>
  <c r="Q1803" i="29"/>
  <c r="V1802" i="29"/>
  <c r="U1802" i="29"/>
  <c r="T1802" i="29"/>
  <c r="R1802" i="29"/>
  <c r="Q1802" i="29"/>
  <c r="V1801" i="29"/>
  <c r="U1801" i="29"/>
  <c r="T1801" i="29"/>
  <c r="R1801" i="29"/>
  <c r="Q1801" i="29"/>
  <c r="V1800" i="29"/>
  <c r="U1800" i="29"/>
  <c r="T1800" i="29"/>
  <c r="R1800" i="29"/>
  <c r="Q1800" i="29"/>
  <c r="V1799" i="29"/>
  <c r="U1799" i="29"/>
  <c r="T1799" i="29"/>
  <c r="R1799" i="29"/>
  <c r="Q1799" i="29"/>
  <c r="V1798" i="29"/>
  <c r="U1798" i="29"/>
  <c r="T1798" i="29"/>
  <c r="R1798" i="29"/>
  <c r="Q1798" i="29"/>
  <c r="V1797" i="29"/>
  <c r="U1797" i="29"/>
  <c r="T1797" i="29"/>
  <c r="R1797" i="29"/>
  <c r="Q1797" i="29"/>
  <c r="V1796" i="29"/>
  <c r="U1796" i="29"/>
  <c r="T1796" i="29"/>
  <c r="R1796" i="29"/>
  <c r="Q1796" i="29"/>
  <c r="V1795" i="29"/>
  <c r="U1795" i="29"/>
  <c r="T1795" i="29"/>
  <c r="R1795" i="29"/>
  <c r="Q1795" i="29"/>
  <c r="V1792" i="29"/>
  <c r="U1792" i="29"/>
  <c r="T1792" i="29"/>
  <c r="R1792" i="29"/>
  <c r="Q1792" i="29"/>
  <c r="V1791" i="29"/>
  <c r="U1791" i="29"/>
  <c r="T1791" i="29"/>
  <c r="R1791" i="29"/>
  <c r="Q1791" i="29"/>
  <c r="V1790" i="29"/>
  <c r="U1790" i="29"/>
  <c r="T1790" i="29"/>
  <c r="R1790" i="29"/>
  <c r="Q1790" i="29"/>
  <c r="V1789" i="29"/>
  <c r="U1789" i="29"/>
  <c r="T1789" i="29"/>
  <c r="R1789" i="29"/>
  <c r="Q1789" i="29"/>
  <c r="V1788" i="29"/>
  <c r="U1788" i="29"/>
  <c r="T1788" i="29"/>
  <c r="R1788" i="29"/>
  <c r="Q1788" i="29"/>
  <c r="V1787" i="29"/>
  <c r="U1787" i="29"/>
  <c r="T1787" i="29"/>
  <c r="R1787" i="29"/>
  <c r="Q1787" i="29"/>
  <c r="V1786" i="29"/>
  <c r="U1786" i="29"/>
  <c r="T1786" i="29"/>
  <c r="R1786" i="29"/>
  <c r="Q1786" i="29"/>
  <c r="V1785" i="29"/>
  <c r="U1785" i="29"/>
  <c r="T1785" i="29"/>
  <c r="R1785" i="29"/>
  <c r="Q1785" i="29"/>
  <c r="V1784" i="29"/>
  <c r="U1784" i="29"/>
  <c r="T1784" i="29"/>
  <c r="R1784" i="29"/>
  <c r="Q1784" i="29"/>
  <c r="V1781" i="29"/>
  <c r="U1781" i="29"/>
  <c r="T1781" i="29"/>
  <c r="R1781" i="29"/>
  <c r="Q1781" i="29"/>
  <c r="V1780" i="29"/>
  <c r="U1780" i="29"/>
  <c r="T1780" i="29"/>
  <c r="R1780" i="29"/>
  <c r="Q1780" i="29"/>
  <c r="V1779" i="29"/>
  <c r="U1779" i="29"/>
  <c r="T1779" i="29"/>
  <c r="R1779" i="29"/>
  <c r="Q1779" i="29"/>
  <c r="V1778" i="29"/>
  <c r="U1778" i="29"/>
  <c r="T1778" i="29"/>
  <c r="R1778" i="29"/>
  <c r="Q1778" i="29"/>
  <c r="V1777" i="29"/>
  <c r="U1777" i="29"/>
  <c r="T1777" i="29"/>
  <c r="R1777" i="29"/>
  <c r="Q1777" i="29"/>
  <c r="V1776" i="29"/>
  <c r="U1776" i="29"/>
  <c r="T1776" i="29"/>
  <c r="R1776" i="29"/>
  <c r="Q1776" i="29"/>
  <c r="V1775" i="29"/>
  <c r="U1775" i="29"/>
  <c r="T1775" i="29"/>
  <c r="R1775" i="29"/>
  <c r="Q1775" i="29"/>
  <c r="V1774" i="29"/>
  <c r="U1774" i="29"/>
  <c r="T1774" i="29"/>
  <c r="R1774" i="29"/>
  <c r="Q1774" i="29"/>
  <c r="V1773" i="29"/>
  <c r="U1773" i="29"/>
  <c r="T1773" i="29"/>
  <c r="R1773" i="29"/>
  <c r="Q1773" i="29"/>
  <c r="V1770" i="29"/>
  <c r="U1770" i="29"/>
  <c r="T1770" i="29"/>
  <c r="R1770" i="29"/>
  <c r="Q1770" i="29"/>
  <c r="V1769" i="29"/>
  <c r="U1769" i="29"/>
  <c r="T1769" i="29"/>
  <c r="R1769" i="29"/>
  <c r="Q1769" i="29"/>
  <c r="V1768" i="29"/>
  <c r="U1768" i="29"/>
  <c r="T1768" i="29"/>
  <c r="R1768" i="29"/>
  <c r="Q1768" i="29"/>
  <c r="V1767" i="29"/>
  <c r="U1767" i="29"/>
  <c r="T1767" i="29"/>
  <c r="R1767" i="29"/>
  <c r="Q1767" i="29"/>
  <c r="V1766" i="29"/>
  <c r="U1766" i="29"/>
  <c r="T1766" i="29"/>
  <c r="R1766" i="29"/>
  <c r="Q1766" i="29"/>
  <c r="V1765" i="29"/>
  <c r="U1765" i="29"/>
  <c r="T1765" i="29"/>
  <c r="R1765" i="29"/>
  <c r="Q1765" i="29"/>
  <c r="V1764" i="29"/>
  <c r="U1764" i="29"/>
  <c r="T1764" i="29"/>
  <c r="R1764" i="29"/>
  <c r="Q1764" i="29"/>
  <c r="V1763" i="29"/>
  <c r="U1763" i="29"/>
  <c r="T1763" i="29"/>
  <c r="R1763" i="29"/>
  <c r="Q1763" i="29"/>
  <c r="V1762" i="29"/>
  <c r="U1762" i="29"/>
  <c r="T1762" i="29"/>
  <c r="R1762" i="29"/>
  <c r="Q1762" i="29"/>
  <c r="V1759" i="29"/>
  <c r="U1759" i="29"/>
  <c r="T1759" i="29"/>
  <c r="R1759" i="29"/>
  <c r="Q1759" i="29"/>
  <c r="V1758" i="29"/>
  <c r="U1758" i="29"/>
  <c r="T1758" i="29"/>
  <c r="R1758" i="29"/>
  <c r="Q1758" i="29"/>
  <c r="V1757" i="29"/>
  <c r="U1757" i="29"/>
  <c r="T1757" i="29"/>
  <c r="R1757" i="29"/>
  <c r="Q1757" i="29"/>
  <c r="V1756" i="29"/>
  <c r="U1756" i="29"/>
  <c r="T1756" i="29"/>
  <c r="R1756" i="29"/>
  <c r="Q1756" i="29"/>
  <c r="V1755" i="29"/>
  <c r="U1755" i="29"/>
  <c r="T1755" i="29"/>
  <c r="R1755" i="29"/>
  <c r="Q1755" i="29"/>
  <c r="V1754" i="29"/>
  <c r="U1754" i="29"/>
  <c r="T1754" i="29"/>
  <c r="R1754" i="29"/>
  <c r="Q1754" i="29"/>
  <c r="V1753" i="29"/>
  <c r="U1753" i="29"/>
  <c r="T1753" i="29"/>
  <c r="R1753" i="29"/>
  <c r="Q1753" i="29"/>
  <c r="V1752" i="29"/>
  <c r="U1752" i="29"/>
  <c r="T1752" i="29"/>
  <c r="R1752" i="29"/>
  <c r="Q1752" i="29"/>
  <c r="V1751" i="29"/>
  <c r="U1751" i="29"/>
  <c r="T1751" i="29"/>
  <c r="R1751" i="29"/>
  <c r="Q1751" i="29"/>
  <c r="V1748" i="29"/>
  <c r="U1748" i="29"/>
  <c r="T1748" i="29"/>
  <c r="R1748" i="29"/>
  <c r="Q1748" i="29"/>
  <c r="V1747" i="29"/>
  <c r="U1747" i="29"/>
  <c r="T1747" i="29"/>
  <c r="R1747" i="29"/>
  <c r="Q1747" i="29"/>
  <c r="V1746" i="29"/>
  <c r="U1746" i="29"/>
  <c r="T1746" i="29"/>
  <c r="R1746" i="29"/>
  <c r="Q1746" i="29"/>
  <c r="V1745" i="29"/>
  <c r="U1745" i="29"/>
  <c r="T1745" i="29"/>
  <c r="R1745" i="29"/>
  <c r="Q1745" i="29"/>
  <c r="V1744" i="29"/>
  <c r="U1744" i="29"/>
  <c r="T1744" i="29"/>
  <c r="R1744" i="29"/>
  <c r="Q1744" i="29"/>
  <c r="V1743" i="29"/>
  <c r="U1743" i="29"/>
  <c r="T1743" i="29"/>
  <c r="R1743" i="29"/>
  <c r="Q1743" i="29"/>
  <c r="V1742" i="29"/>
  <c r="U1742" i="29"/>
  <c r="T1742" i="29"/>
  <c r="R1742" i="29"/>
  <c r="Q1742" i="29"/>
  <c r="V1741" i="29"/>
  <c r="U1741" i="29"/>
  <c r="T1741" i="29"/>
  <c r="R1741" i="29"/>
  <c r="Q1741" i="29"/>
  <c r="V1740" i="29"/>
  <c r="U1740" i="29"/>
  <c r="T1740" i="29"/>
  <c r="R1740" i="29"/>
  <c r="Q1740" i="29"/>
  <c r="V1737" i="29"/>
  <c r="U1737" i="29"/>
  <c r="T1737" i="29"/>
  <c r="R1737" i="29"/>
  <c r="Q1737" i="29"/>
  <c r="V1736" i="29"/>
  <c r="U1736" i="29"/>
  <c r="T1736" i="29"/>
  <c r="R1736" i="29"/>
  <c r="Q1736" i="29"/>
  <c r="V1735" i="29"/>
  <c r="U1735" i="29"/>
  <c r="T1735" i="29"/>
  <c r="R1735" i="29"/>
  <c r="Q1735" i="29"/>
  <c r="V1734" i="29"/>
  <c r="U1734" i="29"/>
  <c r="T1734" i="29"/>
  <c r="R1734" i="29"/>
  <c r="Q1734" i="29"/>
  <c r="V1733" i="29"/>
  <c r="U1733" i="29"/>
  <c r="T1733" i="29"/>
  <c r="R1733" i="29"/>
  <c r="Q1733" i="29"/>
  <c r="V1732" i="29"/>
  <c r="U1732" i="29"/>
  <c r="T1732" i="29"/>
  <c r="R1732" i="29"/>
  <c r="Q1732" i="29"/>
  <c r="V1731" i="29"/>
  <c r="U1731" i="29"/>
  <c r="T1731" i="29"/>
  <c r="R1731" i="29"/>
  <c r="Q1731" i="29"/>
  <c r="V1730" i="29"/>
  <c r="U1730" i="29"/>
  <c r="T1730" i="29"/>
  <c r="R1730" i="29"/>
  <c r="Q1730" i="29"/>
  <c r="V1729" i="29"/>
  <c r="U1729" i="29"/>
  <c r="T1729" i="29"/>
  <c r="R1729" i="29"/>
  <c r="Q1729" i="29"/>
  <c r="V1726" i="29"/>
  <c r="U1726" i="29"/>
  <c r="T1726" i="29"/>
  <c r="R1726" i="29"/>
  <c r="Q1726" i="29"/>
  <c r="V1725" i="29"/>
  <c r="U1725" i="29"/>
  <c r="T1725" i="29"/>
  <c r="R1725" i="29"/>
  <c r="Q1725" i="29"/>
  <c r="V1724" i="29"/>
  <c r="U1724" i="29"/>
  <c r="T1724" i="29"/>
  <c r="R1724" i="29"/>
  <c r="Q1724" i="29"/>
  <c r="V1723" i="29"/>
  <c r="U1723" i="29"/>
  <c r="T1723" i="29"/>
  <c r="R1723" i="29"/>
  <c r="Q1723" i="29"/>
  <c r="V1722" i="29"/>
  <c r="U1722" i="29"/>
  <c r="T1722" i="29"/>
  <c r="R1722" i="29"/>
  <c r="Q1722" i="29"/>
  <c r="V1721" i="29"/>
  <c r="U1721" i="29"/>
  <c r="T1721" i="29"/>
  <c r="R1721" i="29"/>
  <c r="Q1721" i="29"/>
  <c r="V1720" i="29"/>
  <c r="U1720" i="29"/>
  <c r="T1720" i="29"/>
  <c r="R1720" i="29"/>
  <c r="Q1720" i="29"/>
  <c r="V1719" i="29"/>
  <c r="U1719" i="29"/>
  <c r="T1719" i="29"/>
  <c r="R1719" i="29"/>
  <c r="Q1719" i="29"/>
  <c r="V1718" i="29"/>
  <c r="U1718" i="29"/>
  <c r="T1718" i="29"/>
  <c r="R1718" i="29"/>
  <c r="Q1718" i="29"/>
  <c r="V1715" i="29"/>
  <c r="U1715" i="29"/>
  <c r="T1715" i="29"/>
  <c r="R1715" i="29"/>
  <c r="Q1715" i="29"/>
  <c r="V1714" i="29"/>
  <c r="U1714" i="29"/>
  <c r="T1714" i="29"/>
  <c r="R1714" i="29"/>
  <c r="Q1714" i="29"/>
  <c r="V1713" i="29"/>
  <c r="U1713" i="29"/>
  <c r="T1713" i="29"/>
  <c r="R1713" i="29"/>
  <c r="Q1713" i="29"/>
  <c r="V1712" i="29"/>
  <c r="U1712" i="29"/>
  <c r="T1712" i="29"/>
  <c r="R1712" i="29"/>
  <c r="Q1712" i="29"/>
  <c r="V1711" i="29"/>
  <c r="U1711" i="29"/>
  <c r="T1711" i="29"/>
  <c r="R1711" i="29"/>
  <c r="Q1711" i="29"/>
  <c r="V1710" i="29"/>
  <c r="U1710" i="29"/>
  <c r="T1710" i="29"/>
  <c r="R1710" i="29"/>
  <c r="Q1710" i="29"/>
  <c r="V1709" i="29"/>
  <c r="U1709" i="29"/>
  <c r="W1709" i="29" s="1"/>
  <c r="X1709" i="29" s="1"/>
  <c r="T1709" i="29"/>
  <c r="R1709" i="29"/>
  <c r="Q1709" i="29"/>
  <c r="V1708" i="29"/>
  <c r="U1708" i="29"/>
  <c r="T1708" i="29"/>
  <c r="R1708" i="29"/>
  <c r="Q1708" i="29"/>
  <c r="V1707" i="29"/>
  <c r="U1707" i="29"/>
  <c r="T1707" i="29"/>
  <c r="R1707" i="29"/>
  <c r="Q1707" i="29"/>
  <c r="V1704" i="29"/>
  <c r="U1704" i="29"/>
  <c r="T1704" i="29"/>
  <c r="R1704" i="29"/>
  <c r="Q1704" i="29"/>
  <c r="V1703" i="29"/>
  <c r="U1703" i="29"/>
  <c r="T1703" i="29"/>
  <c r="R1703" i="29"/>
  <c r="Q1703" i="29"/>
  <c r="V1702" i="29"/>
  <c r="U1702" i="29"/>
  <c r="W1702" i="29" s="1"/>
  <c r="X1702" i="29" s="1"/>
  <c r="T1702" i="29"/>
  <c r="R1702" i="29"/>
  <c r="Q1702" i="29"/>
  <c r="V1701" i="29"/>
  <c r="U1701" i="29"/>
  <c r="T1701" i="29"/>
  <c r="R1701" i="29"/>
  <c r="Q1701" i="29"/>
  <c r="V1700" i="29"/>
  <c r="U1700" i="29"/>
  <c r="T1700" i="29"/>
  <c r="R1700" i="29"/>
  <c r="Q1700" i="29"/>
  <c r="V1699" i="29"/>
  <c r="U1699" i="29"/>
  <c r="T1699" i="29"/>
  <c r="R1699" i="29"/>
  <c r="Q1699" i="29"/>
  <c r="V1698" i="29"/>
  <c r="U1698" i="29"/>
  <c r="T1698" i="29"/>
  <c r="R1698" i="29"/>
  <c r="Q1698" i="29"/>
  <c r="V1697" i="29"/>
  <c r="U1697" i="29"/>
  <c r="T1697" i="29"/>
  <c r="R1697" i="29"/>
  <c r="Q1697" i="29"/>
  <c r="V1696" i="29"/>
  <c r="U1696" i="29"/>
  <c r="T1696" i="29"/>
  <c r="R1696" i="29"/>
  <c r="Q1696" i="29"/>
  <c r="V1693" i="29"/>
  <c r="U1693" i="29"/>
  <c r="T1693" i="29"/>
  <c r="R1693" i="29"/>
  <c r="Q1693" i="29"/>
  <c r="V1692" i="29"/>
  <c r="U1692" i="29"/>
  <c r="T1692" i="29"/>
  <c r="R1692" i="29"/>
  <c r="Q1692" i="29"/>
  <c r="V1691" i="29"/>
  <c r="U1691" i="29"/>
  <c r="T1691" i="29"/>
  <c r="R1691" i="29"/>
  <c r="Q1691" i="29"/>
  <c r="V1690" i="29"/>
  <c r="U1690" i="29"/>
  <c r="T1690" i="29"/>
  <c r="R1690" i="29"/>
  <c r="Q1690" i="29"/>
  <c r="V1689" i="29"/>
  <c r="U1689" i="29"/>
  <c r="T1689" i="29"/>
  <c r="R1689" i="29"/>
  <c r="Q1689" i="29"/>
  <c r="V1688" i="29"/>
  <c r="U1688" i="29"/>
  <c r="T1688" i="29"/>
  <c r="R1688" i="29"/>
  <c r="Q1688" i="29"/>
  <c r="V1687" i="29"/>
  <c r="U1687" i="29"/>
  <c r="T1687" i="29"/>
  <c r="R1687" i="29"/>
  <c r="Q1687" i="29"/>
  <c r="V1686" i="29"/>
  <c r="U1686" i="29"/>
  <c r="T1686" i="29"/>
  <c r="R1686" i="29"/>
  <c r="Q1686" i="29"/>
  <c r="V1685" i="29"/>
  <c r="U1685" i="29"/>
  <c r="T1685" i="29"/>
  <c r="R1685" i="29"/>
  <c r="Q1685" i="29"/>
  <c r="V1682" i="29"/>
  <c r="U1682" i="29"/>
  <c r="T1682" i="29"/>
  <c r="R1682" i="29"/>
  <c r="Q1682" i="29"/>
  <c r="V1681" i="29"/>
  <c r="U1681" i="29"/>
  <c r="T1681" i="29"/>
  <c r="R1681" i="29"/>
  <c r="Q1681" i="29"/>
  <c r="V1680" i="29"/>
  <c r="U1680" i="29"/>
  <c r="T1680" i="29"/>
  <c r="R1680" i="29"/>
  <c r="Q1680" i="29"/>
  <c r="V1679" i="29"/>
  <c r="U1679" i="29"/>
  <c r="T1679" i="29"/>
  <c r="R1679" i="29"/>
  <c r="Q1679" i="29"/>
  <c r="V1678" i="29"/>
  <c r="U1678" i="29"/>
  <c r="T1678" i="29"/>
  <c r="R1678" i="29"/>
  <c r="Q1678" i="29"/>
  <c r="V1677" i="29"/>
  <c r="U1677" i="29"/>
  <c r="T1677" i="29"/>
  <c r="R1677" i="29"/>
  <c r="Q1677" i="29"/>
  <c r="V1676" i="29"/>
  <c r="U1676" i="29"/>
  <c r="T1676" i="29"/>
  <c r="R1676" i="29"/>
  <c r="Q1676" i="29"/>
  <c r="V1675" i="29"/>
  <c r="U1675" i="29"/>
  <c r="T1675" i="29"/>
  <c r="R1675" i="29"/>
  <c r="Q1675" i="29"/>
  <c r="V1674" i="29"/>
  <c r="U1674" i="29"/>
  <c r="T1674" i="29"/>
  <c r="R1674" i="29"/>
  <c r="Q1674" i="29"/>
  <c r="V1671" i="29"/>
  <c r="U1671" i="29"/>
  <c r="W1671" i="29" s="1"/>
  <c r="X1671" i="29" s="1"/>
  <c r="T1671" i="29"/>
  <c r="R1671" i="29"/>
  <c r="Q1671" i="29"/>
  <c r="V1670" i="29"/>
  <c r="U1670" i="29"/>
  <c r="T1670" i="29"/>
  <c r="R1670" i="29"/>
  <c r="Q1670" i="29"/>
  <c r="V1669" i="29"/>
  <c r="U1669" i="29"/>
  <c r="T1669" i="29"/>
  <c r="R1669" i="29"/>
  <c r="Q1669" i="29"/>
  <c r="V1668" i="29"/>
  <c r="U1668" i="29"/>
  <c r="T1668" i="29"/>
  <c r="R1668" i="29"/>
  <c r="Q1668" i="29"/>
  <c r="V1667" i="29"/>
  <c r="U1667" i="29"/>
  <c r="T1667" i="29"/>
  <c r="R1667" i="29"/>
  <c r="Q1667" i="29"/>
  <c r="V1666" i="29"/>
  <c r="U1666" i="29"/>
  <c r="T1666" i="29"/>
  <c r="R1666" i="29"/>
  <c r="Q1666" i="29"/>
  <c r="V1665" i="29"/>
  <c r="U1665" i="29"/>
  <c r="T1665" i="29"/>
  <c r="R1665" i="29"/>
  <c r="Q1665" i="29"/>
  <c r="V1664" i="29"/>
  <c r="U1664" i="29"/>
  <c r="T1664" i="29"/>
  <c r="R1664" i="29"/>
  <c r="Q1664" i="29"/>
  <c r="V1663" i="29"/>
  <c r="U1663" i="29"/>
  <c r="W1663" i="29" s="1"/>
  <c r="X1663" i="29" s="1"/>
  <c r="T1663" i="29"/>
  <c r="R1663" i="29"/>
  <c r="Q1663" i="29"/>
  <c r="V1660" i="29"/>
  <c r="U1660" i="29"/>
  <c r="W1660" i="29" s="1"/>
  <c r="X1660" i="29" s="1"/>
  <c r="T1660" i="29"/>
  <c r="R1660" i="29"/>
  <c r="Q1660" i="29"/>
  <c r="V1659" i="29"/>
  <c r="U1659" i="29"/>
  <c r="T1659" i="29"/>
  <c r="R1659" i="29"/>
  <c r="Q1659" i="29"/>
  <c r="V1658" i="29"/>
  <c r="U1658" i="29"/>
  <c r="T1658" i="29"/>
  <c r="R1658" i="29"/>
  <c r="Q1658" i="29"/>
  <c r="V1657" i="29"/>
  <c r="U1657" i="29"/>
  <c r="T1657" i="29"/>
  <c r="R1657" i="29"/>
  <c r="Q1657" i="29"/>
  <c r="V1656" i="29"/>
  <c r="U1656" i="29"/>
  <c r="T1656" i="29"/>
  <c r="R1656" i="29"/>
  <c r="Q1656" i="29"/>
  <c r="V1655" i="29"/>
  <c r="U1655" i="29"/>
  <c r="T1655" i="29"/>
  <c r="R1655" i="29"/>
  <c r="Q1655" i="29"/>
  <c r="V1654" i="29"/>
  <c r="U1654" i="29"/>
  <c r="W1654" i="29" s="1"/>
  <c r="X1654" i="29" s="1"/>
  <c r="T1654" i="29"/>
  <c r="R1654" i="29"/>
  <c r="Q1654" i="29"/>
  <c r="V1653" i="29"/>
  <c r="U1653" i="29"/>
  <c r="T1653" i="29"/>
  <c r="R1653" i="29"/>
  <c r="Q1653" i="29"/>
  <c r="V1652" i="29"/>
  <c r="U1652" i="29"/>
  <c r="T1652" i="29"/>
  <c r="R1652" i="29"/>
  <c r="Q1652" i="29"/>
  <c r="V1649" i="29"/>
  <c r="U1649" i="29"/>
  <c r="T1649" i="29"/>
  <c r="R1649" i="29"/>
  <c r="Q1649" i="29"/>
  <c r="V1648" i="29"/>
  <c r="U1648" i="29"/>
  <c r="T1648" i="29"/>
  <c r="R1648" i="29"/>
  <c r="Q1648" i="29"/>
  <c r="V1647" i="29"/>
  <c r="U1647" i="29"/>
  <c r="T1647" i="29"/>
  <c r="R1647" i="29"/>
  <c r="Q1647" i="29"/>
  <c r="V1646" i="29"/>
  <c r="U1646" i="29"/>
  <c r="T1646" i="29"/>
  <c r="R1646" i="29"/>
  <c r="Q1646" i="29"/>
  <c r="V1645" i="29"/>
  <c r="U1645" i="29"/>
  <c r="T1645" i="29"/>
  <c r="R1645" i="29"/>
  <c r="Q1645" i="29"/>
  <c r="V1644" i="29"/>
  <c r="U1644" i="29"/>
  <c r="T1644" i="29"/>
  <c r="R1644" i="29"/>
  <c r="Q1644" i="29"/>
  <c r="V1643" i="29"/>
  <c r="U1643" i="29"/>
  <c r="T1643" i="29"/>
  <c r="R1643" i="29"/>
  <c r="Q1643" i="29"/>
  <c r="V1642" i="29"/>
  <c r="U1642" i="29"/>
  <c r="T1642" i="29"/>
  <c r="R1642" i="29"/>
  <c r="Q1642" i="29"/>
  <c r="V1641" i="29"/>
  <c r="U1641" i="29"/>
  <c r="T1641" i="29"/>
  <c r="R1641" i="29"/>
  <c r="Q1641" i="29"/>
  <c r="V1638" i="29"/>
  <c r="U1638" i="29"/>
  <c r="T1638" i="29"/>
  <c r="R1638" i="29"/>
  <c r="Q1638" i="29"/>
  <c r="V1637" i="29"/>
  <c r="U1637" i="29"/>
  <c r="T1637" i="29"/>
  <c r="R1637" i="29"/>
  <c r="Q1637" i="29"/>
  <c r="V1636" i="29"/>
  <c r="U1636" i="29"/>
  <c r="T1636" i="29"/>
  <c r="R1636" i="29"/>
  <c r="Q1636" i="29"/>
  <c r="V1635" i="29"/>
  <c r="U1635" i="29"/>
  <c r="T1635" i="29"/>
  <c r="R1635" i="29"/>
  <c r="Q1635" i="29"/>
  <c r="V1634" i="29"/>
  <c r="U1634" i="29"/>
  <c r="T1634" i="29"/>
  <c r="R1634" i="29"/>
  <c r="Q1634" i="29"/>
  <c r="V1633" i="29"/>
  <c r="U1633" i="29"/>
  <c r="T1633" i="29"/>
  <c r="R1633" i="29"/>
  <c r="Q1633" i="29"/>
  <c r="V1632" i="29"/>
  <c r="U1632" i="29"/>
  <c r="T1632" i="29"/>
  <c r="R1632" i="29"/>
  <c r="Q1632" i="29"/>
  <c r="V1631" i="29"/>
  <c r="U1631" i="29"/>
  <c r="T1631" i="29"/>
  <c r="R1631" i="29"/>
  <c r="Q1631" i="29"/>
  <c r="V1630" i="29"/>
  <c r="U1630" i="29"/>
  <c r="T1630" i="29"/>
  <c r="R1630" i="29"/>
  <c r="Q1630" i="29"/>
  <c r="V1627" i="29"/>
  <c r="U1627" i="29"/>
  <c r="T1627" i="29"/>
  <c r="R1627" i="29"/>
  <c r="Q1627" i="29"/>
  <c r="V1626" i="29"/>
  <c r="U1626" i="29"/>
  <c r="T1626" i="29"/>
  <c r="R1626" i="29"/>
  <c r="Q1626" i="29"/>
  <c r="V1625" i="29"/>
  <c r="U1625" i="29"/>
  <c r="T1625" i="29"/>
  <c r="R1625" i="29"/>
  <c r="Q1625" i="29"/>
  <c r="V1624" i="29"/>
  <c r="U1624" i="29"/>
  <c r="T1624" i="29"/>
  <c r="R1624" i="29"/>
  <c r="Q1624" i="29"/>
  <c r="V1623" i="29"/>
  <c r="U1623" i="29"/>
  <c r="T1623" i="29"/>
  <c r="R1623" i="29"/>
  <c r="Q1623" i="29"/>
  <c r="V1622" i="29"/>
  <c r="U1622" i="29"/>
  <c r="T1622" i="29"/>
  <c r="R1622" i="29"/>
  <c r="Q1622" i="29"/>
  <c r="V1621" i="29"/>
  <c r="U1621" i="29"/>
  <c r="T1621" i="29"/>
  <c r="R1621" i="29"/>
  <c r="Q1621" i="29"/>
  <c r="V1620" i="29"/>
  <c r="U1620" i="29"/>
  <c r="T1620" i="29"/>
  <c r="R1620" i="29"/>
  <c r="Q1620" i="29"/>
  <c r="V1619" i="29"/>
  <c r="U1619" i="29"/>
  <c r="T1619" i="29"/>
  <c r="R1619" i="29"/>
  <c r="Q1619" i="29"/>
  <c r="V1616" i="29"/>
  <c r="U1616" i="29"/>
  <c r="T1616" i="29"/>
  <c r="R1616" i="29"/>
  <c r="Q1616" i="29"/>
  <c r="V1615" i="29"/>
  <c r="U1615" i="29"/>
  <c r="T1615" i="29"/>
  <c r="R1615" i="29"/>
  <c r="Q1615" i="29"/>
  <c r="V1614" i="29"/>
  <c r="U1614" i="29"/>
  <c r="T1614" i="29"/>
  <c r="R1614" i="29"/>
  <c r="Q1614" i="29"/>
  <c r="V1613" i="29"/>
  <c r="U1613" i="29"/>
  <c r="T1613" i="29"/>
  <c r="R1613" i="29"/>
  <c r="Q1613" i="29"/>
  <c r="V1612" i="29"/>
  <c r="U1612" i="29"/>
  <c r="T1612" i="29"/>
  <c r="R1612" i="29"/>
  <c r="Q1612" i="29"/>
  <c r="V1611" i="29"/>
  <c r="U1611" i="29"/>
  <c r="T1611" i="29"/>
  <c r="R1611" i="29"/>
  <c r="Q1611" i="29"/>
  <c r="V1610" i="29"/>
  <c r="U1610" i="29"/>
  <c r="W1610" i="29" s="1"/>
  <c r="X1610" i="29" s="1"/>
  <c r="T1610" i="29"/>
  <c r="R1610" i="29"/>
  <c r="Q1610" i="29"/>
  <c r="V1609" i="29"/>
  <c r="W1609" i="29" s="1"/>
  <c r="X1609" i="29" s="1"/>
  <c r="U1609" i="29"/>
  <c r="T1609" i="29"/>
  <c r="R1609" i="29"/>
  <c r="Q1609" i="29"/>
  <c r="V1608" i="29"/>
  <c r="U1608" i="29"/>
  <c r="T1608" i="29"/>
  <c r="R1608" i="29"/>
  <c r="Q1608" i="29"/>
  <c r="V1605" i="29"/>
  <c r="U1605" i="29"/>
  <c r="T1605" i="29"/>
  <c r="R1605" i="29"/>
  <c r="Q1605" i="29"/>
  <c r="V1604" i="29"/>
  <c r="U1604" i="29"/>
  <c r="T1604" i="29"/>
  <c r="R1604" i="29"/>
  <c r="Q1604" i="29"/>
  <c r="V1603" i="29"/>
  <c r="U1603" i="29"/>
  <c r="T1603" i="29"/>
  <c r="R1603" i="29"/>
  <c r="Q1603" i="29"/>
  <c r="V1602" i="29"/>
  <c r="U1602" i="29"/>
  <c r="T1602" i="29"/>
  <c r="R1602" i="29"/>
  <c r="Q1602" i="29"/>
  <c r="V1601" i="29"/>
  <c r="U1601" i="29"/>
  <c r="T1601" i="29"/>
  <c r="R1601" i="29"/>
  <c r="Q1601" i="29"/>
  <c r="V1600" i="29"/>
  <c r="U1600" i="29"/>
  <c r="T1600" i="29"/>
  <c r="R1600" i="29"/>
  <c r="Q1600" i="29"/>
  <c r="V1599" i="29"/>
  <c r="U1599" i="29"/>
  <c r="T1599" i="29"/>
  <c r="R1599" i="29"/>
  <c r="Q1599" i="29"/>
  <c r="V1598" i="29"/>
  <c r="U1598" i="29"/>
  <c r="T1598" i="29"/>
  <c r="R1598" i="29"/>
  <c r="Q1598" i="29"/>
  <c r="V1597" i="29"/>
  <c r="U1597" i="29"/>
  <c r="T1597" i="29"/>
  <c r="R1597" i="29"/>
  <c r="Q1597" i="29"/>
  <c r="V1594" i="29"/>
  <c r="U1594" i="29"/>
  <c r="W1594" i="29" s="1"/>
  <c r="X1594" i="29" s="1"/>
  <c r="T1594" i="29"/>
  <c r="R1594" i="29"/>
  <c r="Q1594" i="29"/>
  <c r="V1593" i="29"/>
  <c r="U1593" i="29"/>
  <c r="T1593" i="29"/>
  <c r="R1593" i="29"/>
  <c r="Q1593" i="29"/>
  <c r="V1592" i="29"/>
  <c r="U1592" i="29"/>
  <c r="T1592" i="29"/>
  <c r="R1592" i="29"/>
  <c r="Q1592" i="29"/>
  <c r="V1591" i="29"/>
  <c r="U1591" i="29"/>
  <c r="T1591" i="29"/>
  <c r="R1591" i="29"/>
  <c r="Q1591" i="29"/>
  <c r="V1590" i="29"/>
  <c r="U1590" i="29"/>
  <c r="T1590" i="29"/>
  <c r="R1590" i="29"/>
  <c r="Q1590" i="29"/>
  <c r="V1589" i="29"/>
  <c r="W1589" i="29" s="1"/>
  <c r="X1589" i="29" s="1"/>
  <c r="U1589" i="29"/>
  <c r="T1589" i="29"/>
  <c r="R1589" i="29"/>
  <c r="Q1589" i="29"/>
  <c r="V1588" i="29"/>
  <c r="U1588" i="29"/>
  <c r="T1588" i="29"/>
  <c r="R1588" i="29"/>
  <c r="Q1588" i="29"/>
  <c r="V1587" i="29"/>
  <c r="U1587" i="29"/>
  <c r="T1587" i="29"/>
  <c r="R1587" i="29"/>
  <c r="Q1587" i="29"/>
  <c r="V1586" i="29"/>
  <c r="U1586" i="29"/>
  <c r="T1586" i="29"/>
  <c r="R1586" i="29"/>
  <c r="Q1586" i="29"/>
  <c r="V1583" i="29"/>
  <c r="U1583" i="29"/>
  <c r="T1583" i="29"/>
  <c r="R1583" i="29"/>
  <c r="Q1583" i="29"/>
  <c r="V1582" i="29"/>
  <c r="U1582" i="29"/>
  <c r="T1582" i="29"/>
  <c r="R1582" i="29"/>
  <c r="Q1582" i="29"/>
  <c r="V1581" i="29"/>
  <c r="U1581" i="29"/>
  <c r="T1581" i="29"/>
  <c r="R1581" i="29"/>
  <c r="Q1581" i="29"/>
  <c r="V1580" i="29"/>
  <c r="U1580" i="29"/>
  <c r="W1580" i="29" s="1"/>
  <c r="X1580" i="29" s="1"/>
  <c r="T1580" i="29"/>
  <c r="R1580" i="29"/>
  <c r="Q1580" i="29"/>
  <c r="V1579" i="29"/>
  <c r="U1579" i="29"/>
  <c r="T1579" i="29"/>
  <c r="R1579" i="29"/>
  <c r="Q1579" i="29"/>
  <c r="V1578" i="29"/>
  <c r="U1578" i="29"/>
  <c r="T1578" i="29"/>
  <c r="R1578" i="29"/>
  <c r="Q1578" i="29"/>
  <c r="V1577" i="29"/>
  <c r="U1577" i="29"/>
  <c r="W1577" i="29" s="1"/>
  <c r="X1577" i="29" s="1"/>
  <c r="T1577" i="29"/>
  <c r="R1577" i="29"/>
  <c r="Q1577" i="29"/>
  <c r="V1576" i="29"/>
  <c r="U1576" i="29"/>
  <c r="T1576" i="29"/>
  <c r="R1576" i="29"/>
  <c r="Q1576" i="29"/>
  <c r="V1575" i="29"/>
  <c r="U1575" i="29"/>
  <c r="T1575" i="29"/>
  <c r="R1575" i="29"/>
  <c r="Q1575" i="29"/>
  <c r="V1572" i="29"/>
  <c r="U1572" i="29"/>
  <c r="T1572" i="29"/>
  <c r="R1572" i="29"/>
  <c r="Q1572" i="29"/>
  <c r="V1571" i="29"/>
  <c r="U1571" i="29"/>
  <c r="W1571" i="29" s="1"/>
  <c r="X1571" i="29" s="1"/>
  <c r="T1571" i="29"/>
  <c r="R1571" i="29"/>
  <c r="Q1571" i="29"/>
  <c r="V1570" i="29"/>
  <c r="U1570" i="29"/>
  <c r="T1570" i="29"/>
  <c r="R1570" i="29"/>
  <c r="Q1570" i="29"/>
  <c r="V1569" i="29"/>
  <c r="U1569" i="29"/>
  <c r="T1569" i="29"/>
  <c r="R1569" i="29"/>
  <c r="Q1569" i="29"/>
  <c r="V1568" i="29"/>
  <c r="U1568" i="29"/>
  <c r="T1568" i="29"/>
  <c r="R1568" i="29"/>
  <c r="Q1568" i="29"/>
  <c r="V1567" i="29"/>
  <c r="U1567" i="29"/>
  <c r="T1567" i="29"/>
  <c r="R1567" i="29"/>
  <c r="Q1567" i="29"/>
  <c r="V1566" i="29"/>
  <c r="U1566" i="29"/>
  <c r="T1566" i="29"/>
  <c r="R1566" i="29"/>
  <c r="Q1566" i="29"/>
  <c r="V1565" i="29"/>
  <c r="U1565" i="29"/>
  <c r="T1565" i="29"/>
  <c r="R1565" i="29"/>
  <c r="Q1565" i="29"/>
  <c r="V1564" i="29"/>
  <c r="U1564" i="29"/>
  <c r="T1564" i="29"/>
  <c r="R1564" i="29"/>
  <c r="Q1564" i="29"/>
  <c r="V1561" i="29"/>
  <c r="U1561" i="29"/>
  <c r="W1561" i="29" s="1"/>
  <c r="X1561" i="29" s="1"/>
  <c r="T1561" i="29"/>
  <c r="R1561" i="29"/>
  <c r="Q1561" i="29"/>
  <c r="V1560" i="29"/>
  <c r="U1560" i="29"/>
  <c r="T1560" i="29"/>
  <c r="R1560" i="29"/>
  <c r="Q1560" i="29"/>
  <c r="V1559" i="29"/>
  <c r="U1559" i="29"/>
  <c r="T1559" i="29"/>
  <c r="R1559" i="29"/>
  <c r="Q1559" i="29"/>
  <c r="V1558" i="29"/>
  <c r="U1558" i="29"/>
  <c r="T1558" i="29"/>
  <c r="R1558" i="29"/>
  <c r="Q1558" i="29"/>
  <c r="V1557" i="29"/>
  <c r="U1557" i="29"/>
  <c r="T1557" i="29"/>
  <c r="R1557" i="29"/>
  <c r="Q1557" i="29"/>
  <c r="V1556" i="29"/>
  <c r="U1556" i="29"/>
  <c r="T1556" i="29"/>
  <c r="R1556" i="29"/>
  <c r="Q1556" i="29"/>
  <c r="V1555" i="29"/>
  <c r="U1555" i="29"/>
  <c r="T1555" i="29"/>
  <c r="R1555" i="29"/>
  <c r="Q1555" i="29"/>
  <c r="V1554" i="29"/>
  <c r="U1554" i="29"/>
  <c r="T1554" i="29"/>
  <c r="R1554" i="29"/>
  <c r="Q1554" i="29"/>
  <c r="V1553" i="29"/>
  <c r="U1553" i="29"/>
  <c r="T1553" i="29"/>
  <c r="R1553" i="29"/>
  <c r="Q1553" i="29"/>
  <c r="V1550" i="29"/>
  <c r="U1550" i="29"/>
  <c r="T1550" i="29"/>
  <c r="R1550" i="29"/>
  <c r="Q1550" i="29"/>
  <c r="V1549" i="29"/>
  <c r="U1549" i="29"/>
  <c r="T1549" i="29"/>
  <c r="R1549" i="29"/>
  <c r="Q1549" i="29"/>
  <c r="V1548" i="29"/>
  <c r="U1548" i="29"/>
  <c r="T1548" i="29"/>
  <c r="R1548" i="29"/>
  <c r="Q1548" i="29"/>
  <c r="V1547" i="29"/>
  <c r="U1547" i="29"/>
  <c r="T1547" i="29"/>
  <c r="R1547" i="29"/>
  <c r="Q1547" i="29"/>
  <c r="V1546" i="29"/>
  <c r="U1546" i="29"/>
  <c r="W1546" i="29" s="1"/>
  <c r="X1546" i="29" s="1"/>
  <c r="T1546" i="29"/>
  <c r="R1546" i="29"/>
  <c r="Q1546" i="29"/>
  <c r="V1545" i="29"/>
  <c r="U1545" i="29"/>
  <c r="T1545" i="29"/>
  <c r="R1545" i="29"/>
  <c r="Q1545" i="29"/>
  <c r="V1544" i="29"/>
  <c r="U1544" i="29"/>
  <c r="W1544" i="29" s="1"/>
  <c r="X1544" i="29" s="1"/>
  <c r="T1544" i="29"/>
  <c r="R1544" i="29"/>
  <c r="Q1544" i="29"/>
  <c r="V1543" i="29"/>
  <c r="U1543" i="29"/>
  <c r="T1543" i="29"/>
  <c r="R1543" i="29"/>
  <c r="Q1543" i="29"/>
  <c r="V1542" i="29"/>
  <c r="U1542" i="29"/>
  <c r="T1542" i="29"/>
  <c r="R1542" i="29"/>
  <c r="Q1542" i="29"/>
  <c r="V1539" i="29"/>
  <c r="U1539" i="29"/>
  <c r="T1539" i="29"/>
  <c r="R1539" i="29"/>
  <c r="Q1539" i="29"/>
  <c r="V1538" i="29"/>
  <c r="U1538" i="29"/>
  <c r="T1538" i="29"/>
  <c r="R1538" i="29"/>
  <c r="Q1538" i="29"/>
  <c r="V1537" i="29"/>
  <c r="U1537" i="29"/>
  <c r="T1537" i="29"/>
  <c r="R1537" i="29"/>
  <c r="Q1537" i="29"/>
  <c r="V1536" i="29"/>
  <c r="U1536" i="29"/>
  <c r="T1536" i="29"/>
  <c r="R1536" i="29"/>
  <c r="Q1536" i="29"/>
  <c r="V1535" i="29"/>
  <c r="U1535" i="29"/>
  <c r="T1535" i="29"/>
  <c r="R1535" i="29"/>
  <c r="Q1535" i="29"/>
  <c r="V1534" i="29"/>
  <c r="U1534" i="29"/>
  <c r="T1534" i="29"/>
  <c r="R1534" i="29"/>
  <c r="Q1534" i="29"/>
  <c r="V1533" i="29"/>
  <c r="U1533" i="29"/>
  <c r="T1533" i="29"/>
  <c r="R1533" i="29"/>
  <c r="Q1533" i="29"/>
  <c r="V1532" i="29"/>
  <c r="U1532" i="29"/>
  <c r="T1532" i="29"/>
  <c r="R1532" i="29"/>
  <c r="Q1532" i="29"/>
  <c r="V1531" i="29"/>
  <c r="U1531" i="29"/>
  <c r="T1531" i="29"/>
  <c r="R1531" i="29"/>
  <c r="Q1531" i="29"/>
  <c r="V1528" i="29"/>
  <c r="U1528" i="29"/>
  <c r="T1528" i="29"/>
  <c r="R1528" i="29"/>
  <c r="Q1528" i="29"/>
  <c r="V1527" i="29"/>
  <c r="U1527" i="29"/>
  <c r="T1527" i="29"/>
  <c r="R1527" i="29"/>
  <c r="Q1527" i="29"/>
  <c r="V1526" i="29"/>
  <c r="U1526" i="29"/>
  <c r="T1526" i="29"/>
  <c r="R1526" i="29"/>
  <c r="Q1526" i="29"/>
  <c r="V1525" i="29"/>
  <c r="U1525" i="29"/>
  <c r="T1525" i="29"/>
  <c r="R1525" i="29"/>
  <c r="Q1525" i="29"/>
  <c r="V1524" i="29"/>
  <c r="U1524" i="29"/>
  <c r="T1524" i="29"/>
  <c r="R1524" i="29"/>
  <c r="Q1524" i="29"/>
  <c r="V1523" i="29"/>
  <c r="U1523" i="29"/>
  <c r="T1523" i="29"/>
  <c r="R1523" i="29"/>
  <c r="Q1523" i="29"/>
  <c r="V1522" i="29"/>
  <c r="U1522" i="29"/>
  <c r="T1522" i="29"/>
  <c r="R1522" i="29"/>
  <c r="Q1522" i="29"/>
  <c r="V1521" i="29"/>
  <c r="U1521" i="29"/>
  <c r="T1521" i="29"/>
  <c r="R1521" i="29"/>
  <c r="Q1521" i="29"/>
  <c r="V1520" i="29"/>
  <c r="U1520" i="29"/>
  <c r="T1520" i="29"/>
  <c r="R1520" i="29"/>
  <c r="Q1520" i="29"/>
  <c r="V1517" i="29"/>
  <c r="U1517" i="29"/>
  <c r="T1517" i="29"/>
  <c r="R1517" i="29"/>
  <c r="Q1517" i="29"/>
  <c r="V1516" i="29"/>
  <c r="U1516" i="29"/>
  <c r="T1516" i="29"/>
  <c r="R1516" i="29"/>
  <c r="Q1516" i="29"/>
  <c r="V1515" i="29"/>
  <c r="U1515" i="29"/>
  <c r="T1515" i="29"/>
  <c r="R1515" i="29"/>
  <c r="Q1515" i="29"/>
  <c r="V1514" i="29"/>
  <c r="U1514" i="29"/>
  <c r="T1514" i="29"/>
  <c r="R1514" i="29"/>
  <c r="Q1514" i="29"/>
  <c r="V1513" i="29"/>
  <c r="U1513" i="29"/>
  <c r="T1513" i="29"/>
  <c r="R1513" i="29"/>
  <c r="Q1513" i="29"/>
  <c r="V1512" i="29"/>
  <c r="U1512" i="29"/>
  <c r="T1512" i="29"/>
  <c r="R1512" i="29"/>
  <c r="Q1512" i="29"/>
  <c r="V1511" i="29"/>
  <c r="U1511" i="29"/>
  <c r="T1511" i="29"/>
  <c r="R1511" i="29"/>
  <c r="Q1511" i="29"/>
  <c r="V1510" i="29"/>
  <c r="U1510" i="29"/>
  <c r="T1510" i="29"/>
  <c r="R1510" i="29"/>
  <c r="Q1510" i="29"/>
  <c r="V1509" i="29"/>
  <c r="U1509" i="29"/>
  <c r="T1509" i="29"/>
  <c r="R1509" i="29"/>
  <c r="Q1509" i="29"/>
  <c r="V1506" i="29"/>
  <c r="U1506" i="29"/>
  <c r="T1506" i="29"/>
  <c r="R1506" i="29"/>
  <c r="Q1506" i="29"/>
  <c r="V1505" i="29"/>
  <c r="U1505" i="29"/>
  <c r="W1505" i="29" s="1"/>
  <c r="X1505" i="29" s="1"/>
  <c r="T1505" i="29"/>
  <c r="R1505" i="29"/>
  <c r="Q1505" i="29"/>
  <c r="V1504" i="29"/>
  <c r="U1504" i="29"/>
  <c r="T1504" i="29"/>
  <c r="R1504" i="29"/>
  <c r="Q1504" i="29"/>
  <c r="V1503" i="29"/>
  <c r="U1503" i="29"/>
  <c r="T1503" i="29"/>
  <c r="R1503" i="29"/>
  <c r="Q1503" i="29"/>
  <c r="V1502" i="29"/>
  <c r="U1502" i="29"/>
  <c r="T1502" i="29"/>
  <c r="R1502" i="29"/>
  <c r="Q1502" i="29"/>
  <c r="V1501" i="29"/>
  <c r="U1501" i="29"/>
  <c r="T1501" i="29"/>
  <c r="R1501" i="29"/>
  <c r="Q1501" i="29"/>
  <c r="V1500" i="29"/>
  <c r="U1500" i="29"/>
  <c r="T1500" i="29"/>
  <c r="R1500" i="29"/>
  <c r="Q1500" i="29"/>
  <c r="V1499" i="29"/>
  <c r="U1499" i="29"/>
  <c r="T1499" i="29"/>
  <c r="R1499" i="29"/>
  <c r="Q1499" i="29"/>
  <c r="V1498" i="29"/>
  <c r="U1498" i="29"/>
  <c r="T1498" i="29"/>
  <c r="R1498" i="29"/>
  <c r="Q1498" i="29"/>
  <c r="V1495" i="29"/>
  <c r="U1495" i="29"/>
  <c r="T1495" i="29"/>
  <c r="R1495" i="29"/>
  <c r="Q1495" i="29"/>
  <c r="V1494" i="29"/>
  <c r="U1494" i="29"/>
  <c r="T1494" i="29"/>
  <c r="R1494" i="29"/>
  <c r="Q1494" i="29"/>
  <c r="V1493" i="29"/>
  <c r="U1493" i="29"/>
  <c r="T1493" i="29"/>
  <c r="R1493" i="29"/>
  <c r="Q1493" i="29"/>
  <c r="V1492" i="29"/>
  <c r="U1492" i="29"/>
  <c r="T1492" i="29"/>
  <c r="R1492" i="29"/>
  <c r="Q1492" i="29"/>
  <c r="V1491" i="29"/>
  <c r="U1491" i="29"/>
  <c r="T1491" i="29"/>
  <c r="R1491" i="29"/>
  <c r="Q1491" i="29"/>
  <c r="V1490" i="29"/>
  <c r="U1490" i="29"/>
  <c r="T1490" i="29"/>
  <c r="R1490" i="29"/>
  <c r="Q1490" i="29"/>
  <c r="V1489" i="29"/>
  <c r="U1489" i="29"/>
  <c r="T1489" i="29"/>
  <c r="R1489" i="29"/>
  <c r="Q1489" i="29"/>
  <c r="V1488" i="29"/>
  <c r="U1488" i="29"/>
  <c r="T1488" i="29"/>
  <c r="R1488" i="29"/>
  <c r="Q1488" i="29"/>
  <c r="V1487" i="29"/>
  <c r="U1487" i="29"/>
  <c r="T1487" i="29"/>
  <c r="R1487" i="29"/>
  <c r="Q1487" i="29"/>
  <c r="V1484" i="29"/>
  <c r="U1484" i="29"/>
  <c r="T1484" i="29"/>
  <c r="R1484" i="29"/>
  <c r="Q1484" i="29"/>
  <c r="V1483" i="29"/>
  <c r="U1483" i="29"/>
  <c r="T1483" i="29"/>
  <c r="R1483" i="29"/>
  <c r="Q1483" i="29"/>
  <c r="V1482" i="29"/>
  <c r="U1482" i="29"/>
  <c r="T1482" i="29"/>
  <c r="R1482" i="29"/>
  <c r="Q1482" i="29"/>
  <c r="V1481" i="29"/>
  <c r="U1481" i="29"/>
  <c r="T1481" i="29"/>
  <c r="R1481" i="29"/>
  <c r="Q1481" i="29"/>
  <c r="V1480" i="29"/>
  <c r="U1480" i="29"/>
  <c r="T1480" i="29"/>
  <c r="R1480" i="29"/>
  <c r="Q1480" i="29"/>
  <c r="V1479" i="29"/>
  <c r="U1479" i="29"/>
  <c r="T1479" i="29"/>
  <c r="R1479" i="29"/>
  <c r="Q1479" i="29"/>
  <c r="V1478" i="29"/>
  <c r="U1478" i="29"/>
  <c r="T1478" i="29"/>
  <c r="R1478" i="29"/>
  <c r="Q1478" i="29"/>
  <c r="V1477" i="29"/>
  <c r="U1477" i="29"/>
  <c r="T1477" i="29"/>
  <c r="R1477" i="29"/>
  <c r="Q1477" i="29"/>
  <c r="V1476" i="29"/>
  <c r="U1476" i="29"/>
  <c r="T1476" i="29"/>
  <c r="R1476" i="29"/>
  <c r="Q1476" i="29"/>
  <c r="V1473" i="29"/>
  <c r="U1473" i="29"/>
  <c r="T1473" i="29"/>
  <c r="R1473" i="29"/>
  <c r="Q1473" i="29"/>
  <c r="V1472" i="29"/>
  <c r="U1472" i="29"/>
  <c r="T1472" i="29"/>
  <c r="R1472" i="29"/>
  <c r="Q1472" i="29"/>
  <c r="V1471" i="29"/>
  <c r="U1471" i="29"/>
  <c r="T1471" i="29"/>
  <c r="R1471" i="29"/>
  <c r="Q1471" i="29"/>
  <c r="V1470" i="29"/>
  <c r="U1470" i="29"/>
  <c r="T1470" i="29"/>
  <c r="R1470" i="29"/>
  <c r="Q1470" i="29"/>
  <c r="V1469" i="29"/>
  <c r="U1469" i="29"/>
  <c r="T1469" i="29"/>
  <c r="R1469" i="29"/>
  <c r="Q1469" i="29"/>
  <c r="V1468" i="29"/>
  <c r="U1468" i="29"/>
  <c r="T1468" i="29"/>
  <c r="R1468" i="29"/>
  <c r="Q1468" i="29"/>
  <c r="V1467" i="29"/>
  <c r="U1467" i="29"/>
  <c r="T1467" i="29"/>
  <c r="R1467" i="29"/>
  <c r="Q1467" i="29"/>
  <c r="V1466" i="29"/>
  <c r="U1466" i="29"/>
  <c r="T1466" i="29"/>
  <c r="R1466" i="29"/>
  <c r="Q1466" i="29"/>
  <c r="V1465" i="29"/>
  <c r="U1465" i="29"/>
  <c r="T1465" i="29"/>
  <c r="R1465" i="29"/>
  <c r="Q1465" i="29"/>
  <c r="V1462" i="29"/>
  <c r="U1462" i="29"/>
  <c r="T1462" i="29"/>
  <c r="R1462" i="29"/>
  <c r="Q1462" i="29"/>
  <c r="V1461" i="29"/>
  <c r="U1461" i="29"/>
  <c r="T1461" i="29"/>
  <c r="R1461" i="29"/>
  <c r="Q1461" i="29"/>
  <c r="V1460" i="29"/>
  <c r="U1460" i="29"/>
  <c r="T1460" i="29"/>
  <c r="R1460" i="29"/>
  <c r="Q1460" i="29"/>
  <c r="V1459" i="29"/>
  <c r="U1459" i="29"/>
  <c r="T1459" i="29"/>
  <c r="R1459" i="29"/>
  <c r="Q1459" i="29"/>
  <c r="V1458" i="29"/>
  <c r="U1458" i="29"/>
  <c r="T1458" i="29"/>
  <c r="R1458" i="29"/>
  <c r="Q1458" i="29"/>
  <c r="V1457" i="29"/>
  <c r="U1457" i="29"/>
  <c r="W1457" i="29" s="1"/>
  <c r="X1457" i="29" s="1"/>
  <c r="T1457" i="29"/>
  <c r="R1457" i="29"/>
  <c r="Q1457" i="29"/>
  <c r="V1456" i="29"/>
  <c r="U1456" i="29"/>
  <c r="T1456" i="29"/>
  <c r="R1456" i="29"/>
  <c r="Q1456" i="29"/>
  <c r="V1455" i="29"/>
  <c r="U1455" i="29"/>
  <c r="T1455" i="29"/>
  <c r="R1455" i="29"/>
  <c r="Q1455" i="29"/>
  <c r="V1454" i="29"/>
  <c r="U1454" i="29"/>
  <c r="T1454" i="29"/>
  <c r="R1454" i="29"/>
  <c r="Q1454" i="29"/>
  <c r="V1451" i="29"/>
  <c r="U1451" i="29"/>
  <c r="T1451" i="29"/>
  <c r="R1451" i="29"/>
  <c r="Q1451" i="29"/>
  <c r="V1450" i="29"/>
  <c r="U1450" i="29"/>
  <c r="T1450" i="29"/>
  <c r="R1450" i="29"/>
  <c r="Q1450" i="29"/>
  <c r="V1449" i="29"/>
  <c r="U1449" i="29"/>
  <c r="T1449" i="29"/>
  <c r="R1449" i="29"/>
  <c r="Q1449" i="29"/>
  <c r="V1448" i="29"/>
  <c r="U1448" i="29"/>
  <c r="T1448" i="29"/>
  <c r="R1448" i="29"/>
  <c r="Q1448" i="29"/>
  <c r="V1447" i="29"/>
  <c r="U1447" i="29"/>
  <c r="W1447" i="29" s="1"/>
  <c r="X1447" i="29" s="1"/>
  <c r="T1447" i="29"/>
  <c r="R1447" i="29"/>
  <c r="Q1447" i="29"/>
  <c r="V1446" i="29"/>
  <c r="U1446" i="29"/>
  <c r="T1446" i="29"/>
  <c r="R1446" i="29"/>
  <c r="Q1446" i="29"/>
  <c r="V1445" i="29"/>
  <c r="U1445" i="29"/>
  <c r="T1445" i="29"/>
  <c r="R1445" i="29"/>
  <c r="Q1445" i="29"/>
  <c r="V1444" i="29"/>
  <c r="U1444" i="29"/>
  <c r="T1444" i="29"/>
  <c r="R1444" i="29"/>
  <c r="Q1444" i="29"/>
  <c r="V1443" i="29"/>
  <c r="U1443" i="29"/>
  <c r="T1443" i="29"/>
  <c r="R1443" i="29"/>
  <c r="Q1443" i="29"/>
  <c r="V1440" i="29"/>
  <c r="U1440" i="29"/>
  <c r="T1440" i="29"/>
  <c r="R1440" i="29"/>
  <c r="Q1440" i="29"/>
  <c r="V1439" i="29"/>
  <c r="U1439" i="29"/>
  <c r="T1439" i="29"/>
  <c r="R1439" i="29"/>
  <c r="Q1439" i="29"/>
  <c r="V1438" i="29"/>
  <c r="U1438" i="29"/>
  <c r="W1438" i="29" s="1"/>
  <c r="X1438" i="29" s="1"/>
  <c r="T1438" i="29"/>
  <c r="R1438" i="29"/>
  <c r="Q1438" i="29"/>
  <c r="V1437" i="29"/>
  <c r="U1437" i="29"/>
  <c r="T1437" i="29"/>
  <c r="R1437" i="29"/>
  <c r="Q1437" i="29"/>
  <c r="V1436" i="29"/>
  <c r="U1436" i="29"/>
  <c r="T1436" i="29"/>
  <c r="R1436" i="29"/>
  <c r="Q1436" i="29"/>
  <c r="V1435" i="29"/>
  <c r="U1435" i="29"/>
  <c r="T1435" i="29"/>
  <c r="R1435" i="29"/>
  <c r="Q1435" i="29"/>
  <c r="V1434" i="29"/>
  <c r="U1434" i="29"/>
  <c r="T1434" i="29"/>
  <c r="R1434" i="29"/>
  <c r="Q1434" i="29"/>
  <c r="V1433" i="29"/>
  <c r="W1433" i="29" s="1"/>
  <c r="X1433" i="29" s="1"/>
  <c r="U1433" i="29"/>
  <c r="T1433" i="29"/>
  <c r="R1433" i="29"/>
  <c r="Q1433" i="29"/>
  <c r="V1432" i="29"/>
  <c r="U1432" i="29"/>
  <c r="T1432" i="29"/>
  <c r="R1432" i="29"/>
  <c r="Q1432" i="29"/>
  <c r="V1429" i="29"/>
  <c r="U1429" i="29"/>
  <c r="T1429" i="29"/>
  <c r="R1429" i="29"/>
  <c r="Q1429" i="29"/>
  <c r="V1428" i="29"/>
  <c r="U1428" i="29"/>
  <c r="T1428" i="29"/>
  <c r="R1428" i="29"/>
  <c r="Q1428" i="29"/>
  <c r="V1427" i="29"/>
  <c r="U1427" i="29"/>
  <c r="T1427" i="29"/>
  <c r="R1427" i="29"/>
  <c r="Q1427" i="29"/>
  <c r="V1426" i="29"/>
  <c r="U1426" i="29"/>
  <c r="T1426" i="29"/>
  <c r="R1426" i="29"/>
  <c r="Q1426" i="29"/>
  <c r="V1425" i="29"/>
  <c r="U1425" i="29"/>
  <c r="T1425" i="29"/>
  <c r="R1425" i="29"/>
  <c r="Q1425" i="29"/>
  <c r="V1424" i="29"/>
  <c r="U1424" i="29"/>
  <c r="W1424" i="29" s="1"/>
  <c r="X1424" i="29" s="1"/>
  <c r="T1424" i="29"/>
  <c r="R1424" i="29"/>
  <c r="Q1424" i="29"/>
  <c r="V1423" i="29"/>
  <c r="U1423" i="29"/>
  <c r="T1423" i="29"/>
  <c r="R1423" i="29"/>
  <c r="Q1423" i="29"/>
  <c r="V1422" i="29"/>
  <c r="U1422" i="29"/>
  <c r="T1422" i="29"/>
  <c r="R1422" i="29"/>
  <c r="Q1422" i="29"/>
  <c r="V1421" i="29"/>
  <c r="U1421" i="29"/>
  <c r="T1421" i="29"/>
  <c r="R1421" i="29"/>
  <c r="Q1421" i="29"/>
  <c r="V1418" i="29"/>
  <c r="U1418" i="29"/>
  <c r="W1418" i="29" s="1"/>
  <c r="X1418" i="29" s="1"/>
  <c r="T1418" i="29"/>
  <c r="R1418" i="29"/>
  <c r="Q1418" i="29"/>
  <c r="V1417" i="29"/>
  <c r="U1417" i="29"/>
  <c r="T1417" i="29"/>
  <c r="R1417" i="29"/>
  <c r="Q1417" i="29"/>
  <c r="V1416" i="29"/>
  <c r="U1416" i="29"/>
  <c r="T1416" i="29"/>
  <c r="R1416" i="29"/>
  <c r="Q1416" i="29"/>
  <c r="V1415" i="29"/>
  <c r="U1415" i="29"/>
  <c r="T1415" i="29"/>
  <c r="R1415" i="29"/>
  <c r="Q1415" i="29"/>
  <c r="V1414" i="29"/>
  <c r="U1414" i="29"/>
  <c r="T1414" i="29"/>
  <c r="R1414" i="29"/>
  <c r="Q1414" i="29"/>
  <c r="V1413" i="29"/>
  <c r="U1413" i="29"/>
  <c r="T1413" i="29"/>
  <c r="R1413" i="29"/>
  <c r="Q1413" i="29"/>
  <c r="V1412" i="29"/>
  <c r="U1412" i="29"/>
  <c r="T1412" i="29"/>
  <c r="R1412" i="29"/>
  <c r="Q1412" i="29"/>
  <c r="V1411" i="29"/>
  <c r="U1411" i="29"/>
  <c r="T1411" i="29"/>
  <c r="R1411" i="29"/>
  <c r="Q1411" i="29"/>
  <c r="V1410" i="29"/>
  <c r="U1410" i="29"/>
  <c r="T1410" i="29"/>
  <c r="R1410" i="29"/>
  <c r="Q1410" i="29"/>
  <c r="V1407" i="29"/>
  <c r="U1407" i="29"/>
  <c r="T1407" i="29"/>
  <c r="R1407" i="29"/>
  <c r="Q1407" i="29"/>
  <c r="V1406" i="29"/>
  <c r="U1406" i="29"/>
  <c r="T1406" i="29"/>
  <c r="R1406" i="29"/>
  <c r="Q1406" i="29"/>
  <c r="V1405" i="29"/>
  <c r="U1405" i="29"/>
  <c r="T1405" i="29"/>
  <c r="R1405" i="29"/>
  <c r="Q1405" i="29"/>
  <c r="V1404" i="29"/>
  <c r="U1404" i="29"/>
  <c r="T1404" i="29"/>
  <c r="R1404" i="29"/>
  <c r="Q1404" i="29"/>
  <c r="V1403" i="29"/>
  <c r="U1403" i="29"/>
  <c r="T1403" i="29"/>
  <c r="R1403" i="29"/>
  <c r="Q1403" i="29"/>
  <c r="V1402" i="29"/>
  <c r="U1402" i="29"/>
  <c r="T1402" i="29"/>
  <c r="R1402" i="29"/>
  <c r="Q1402" i="29"/>
  <c r="V1401" i="29"/>
  <c r="U1401" i="29"/>
  <c r="T1401" i="29"/>
  <c r="R1401" i="29"/>
  <c r="Q1401" i="29"/>
  <c r="V1400" i="29"/>
  <c r="U1400" i="29"/>
  <c r="T1400" i="29"/>
  <c r="R1400" i="29"/>
  <c r="Q1400" i="29"/>
  <c r="V1399" i="29"/>
  <c r="U1399" i="29"/>
  <c r="T1399" i="29"/>
  <c r="R1399" i="29"/>
  <c r="Q1399" i="29"/>
  <c r="V1396" i="29"/>
  <c r="U1396" i="29"/>
  <c r="T1396" i="29"/>
  <c r="R1396" i="29"/>
  <c r="Q1396" i="29"/>
  <c r="V1395" i="29"/>
  <c r="U1395" i="29"/>
  <c r="T1395" i="29"/>
  <c r="R1395" i="29"/>
  <c r="Q1395" i="29"/>
  <c r="V1394" i="29"/>
  <c r="U1394" i="29"/>
  <c r="T1394" i="29"/>
  <c r="R1394" i="29"/>
  <c r="Q1394" i="29"/>
  <c r="V1393" i="29"/>
  <c r="U1393" i="29"/>
  <c r="T1393" i="29"/>
  <c r="R1393" i="29"/>
  <c r="Q1393" i="29"/>
  <c r="V1392" i="29"/>
  <c r="U1392" i="29"/>
  <c r="T1392" i="29"/>
  <c r="R1392" i="29"/>
  <c r="Q1392" i="29"/>
  <c r="V1391" i="29"/>
  <c r="U1391" i="29"/>
  <c r="T1391" i="29"/>
  <c r="R1391" i="29"/>
  <c r="Q1391" i="29"/>
  <c r="V1390" i="29"/>
  <c r="U1390" i="29"/>
  <c r="T1390" i="29"/>
  <c r="R1390" i="29"/>
  <c r="Q1390" i="29"/>
  <c r="V1389" i="29"/>
  <c r="U1389" i="29"/>
  <c r="T1389" i="29"/>
  <c r="R1389" i="29"/>
  <c r="Q1389" i="29"/>
  <c r="V1388" i="29"/>
  <c r="U1388" i="29"/>
  <c r="T1388" i="29"/>
  <c r="R1388" i="29"/>
  <c r="Q1388" i="29"/>
  <c r="V1385" i="29"/>
  <c r="U1385" i="29"/>
  <c r="T1385" i="29"/>
  <c r="R1385" i="29"/>
  <c r="Q1385" i="29"/>
  <c r="V1384" i="29"/>
  <c r="U1384" i="29"/>
  <c r="T1384" i="29"/>
  <c r="R1384" i="29"/>
  <c r="Q1384" i="29"/>
  <c r="V1383" i="29"/>
  <c r="U1383" i="29"/>
  <c r="T1383" i="29"/>
  <c r="R1383" i="29"/>
  <c r="Q1383" i="29"/>
  <c r="V1382" i="29"/>
  <c r="U1382" i="29"/>
  <c r="T1382" i="29"/>
  <c r="R1382" i="29"/>
  <c r="Q1382" i="29"/>
  <c r="V1381" i="29"/>
  <c r="U1381" i="29"/>
  <c r="T1381" i="29"/>
  <c r="R1381" i="29"/>
  <c r="Q1381" i="29"/>
  <c r="V1380" i="29"/>
  <c r="U1380" i="29"/>
  <c r="T1380" i="29"/>
  <c r="R1380" i="29"/>
  <c r="Q1380" i="29"/>
  <c r="V1379" i="29"/>
  <c r="U1379" i="29"/>
  <c r="T1379" i="29"/>
  <c r="R1379" i="29"/>
  <c r="Q1379" i="29"/>
  <c r="V1378" i="29"/>
  <c r="U1378" i="29"/>
  <c r="T1378" i="29"/>
  <c r="R1378" i="29"/>
  <c r="Q1378" i="29"/>
  <c r="V1377" i="29"/>
  <c r="U1377" i="29"/>
  <c r="T1377" i="29"/>
  <c r="R1377" i="29"/>
  <c r="Q1377" i="29"/>
  <c r="V1374" i="29"/>
  <c r="U1374" i="29"/>
  <c r="T1374" i="29"/>
  <c r="R1374" i="29"/>
  <c r="Q1374" i="29"/>
  <c r="V1373" i="29"/>
  <c r="U1373" i="29"/>
  <c r="T1373" i="29"/>
  <c r="R1373" i="29"/>
  <c r="Q1373" i="29"/>
  <c r="V1372" i="29"/>
  <c r="U1372" i="29"/>
  <c r="T1372" i="29"/>
  <c r="R1372" i="29"/>
  <c r="Q1372" i="29"/>
  <c r="V1371" i="29"/>
  <c r="U1371" i="29"/>
  <c r="T1371" i="29"/>
  <c r="R1371" i="29"/>
  <c r="Q1371" i="29"/>
  <c r="V1370" i="29"/>
  <c r="U1370" i="29"/>
  <c r="T1370" i="29"/>
  <c r="R1370" i="29"/>
  <c r="Q1370" i="29"/>
  <c r="V1369" i="29"/>
  <c r="U1369" i="29"/>
  <c r="T1369" i="29"/>
  <c r="R1369" i="29"/>
  <c r="Q1369" i="29"/>
  <c r="V1368" i="29"/>
  <c r="U1368" i="29"/>
  <c r="T1368" i="29"/>
  <c r="R1368" i="29"/>
  <c r="Q1368" i="29"/>
  <c r="V1367" i="29"/>
  <c r="U1367" i="29"/>
  <c r="T1367" i="29"/>
  <c r="R1367" i="29"/>
  <c r="Q1367" i="29"/>
  <c r="V1366" i="29"/>
  <c r="U1366" i="29"/>
  <c r="T1366" i="29"/>
  <c r="R1366" i="29"/>
  <c r="Q1366" i="29"/>
  <c r="V1363" i="29"/>
  <c r="U1363" i="29"/>
  <c r="T1363" i="29"/>
  <c r="R1363" i="29"/>
  <c r="Q1363" i="29"/>
  <c r="V1362" i="29"/>
  <c r="U1362" i="29"/>
  <c r="T1362" i="29"/>
  <c r="R1362" i="29"/>
  <c r="Q1362" i="29"/>
  <c r="V1361" i="29"/>
  <c r="U1361" i="29"/>
  <c r="T1361" i="29"/>
  <c r="R1361" i="29"/>
  <c r="Q1361" i="29"/>
  <c r="V1360" i="29"/>
  <c r="U1360" i="29"/>
  <c r="T1360" i="29"/>
  <c r="R1360" i="29"/>
  <c r="Q1360" i="29"/>
  <c r="V1359" i="29"/>
  <c r="U1359" i="29"/>
  <c r="W1359" i="29" s="1"/>
  <c r="X1359" i="29" s="1"/>
  <c r="T1359" i="29"/>
  <c r="R1359" i="29"/>
  <c r="Q1359" i="29"/>
  <c r="V1358" i="29"/>
  <c r="U1358" i="29"/>
  <c r="T1358" i="29"/>
  <c r="R1358" i="29"/>
  <c r="Q1358" i="29"/>
  <c r="V1357" i="29"/>
  <c r="U1357" i="29"/>
  <c r="T1357" i="29"/>
  <c r="R1357" i="29"/>
  <c r="Q1357" i="29"/>
  <c r="V1356" i="29"/>
  <c r="U1356" i="29"/>
  <c r="T1356" i="29"/>
  <c r="R1356" i="29"/>
  <c r="Q1356" i="29"/>
  <c r="V1355" i="29"/>
  <c r="U1355" i="29"/>
  <c r="T1355" i="29"/>
  <c r="R1355" i="29"/>
  <c r="Q1355" i="29"/>
  <c r="V1352" i="29"/>
  <c r="U1352" i="29"/>
  <c r="T1352" i="29"/>
  <c r="R1352" i="29"/>
  <c r="Q1352" i="29"/>
  <c r="V1351" i="29"/>
  <c r="U1351" i="29"/>
  <c r="T1351" i="29"/>
  <c r="R1351" i="29"/>
  <c r="Q1351" i="29"/>
  <c r="V1350" i="29"/>
  <c r="U1350" i="29"/>
  <c r="T1350" i="29"/>
  <c r="R1350" i="29"/>
  <c r="Q1350" i="29"/>
  <c r="V1349" i="29"/>
  <c r="U1349" i="29"/>
  <c r="T1349" i="29"/>
  <c r="R1349" i="29"/>
  <c r="Q1349" i="29"/>
  <c r="V1348" i="29"/>
  <c r="U1348" i="29"/>
  <c r="T1348" i="29"/>
  <c r="R1348" i="29"/>
  <c r="Q1348" i="29"/>
  <c r="V1347" i="29"/>
  <c r="U1347" i="29"/>
  <c r="T1347" i="29"/>
  <c r="R1347" i="29"/>
  <c r="Q1347" i="29"/>
  <c r="V1346" i="29"/>
  <c r="U1346" i="29"/>
  <c r="T1346" i="29"/>
  <c r="R1346" i="29"/>
  <c r="Q1346" i="29"/>
  <c r="V1345" i="29"/>
  <c r="U1345" i="29"/>
  <c r="T1345" i="29"/>
  <c r="R1345" i="29"/>
  <c r="Q1345" i="29"/>
  <c r="V1344" i="29"/>
  <c r="U1344" i="29"/>
  <c r="T1344" i="29"/>
  <c r="R1344" i="29"/>
  <c r="Q1344" i="29"/>
  <c r="V1341" i="29"/>
  <c r="U1341" i="29"/>
  <c r="T1341" i="29"/>
  <c r="R1341" i="29"/>
  <c r="Q1341" i="29"/>
  <c r="V1340" i="29"/>
  <c r="U1340" i="29"/>
  <c r="T1340" i="29"/>
  <c r="R1340" i="29"/>
  <c r="Q1340" i="29"/>
  <c r="V1339" i="29"/>
  <c r="U1339" i="29"/>
  <c r="T1339" i="29"/>
  <c r="R1339" i="29"/>
  <c r="Q1339" i="29"/>
  <c r="V1338" i="29"/>
  <c r="U1338" i="29"/>
  <c r="T1338" i="29"/>
  <c r="R1338" i="29"/>
  <c r="Q1338" i="29"/>
  <c r="V1337" i="29"/>
  <c r="U1337" i="29"/>
  <c r="T1337" i="29"/>
  <c r="R1337" i="29"/>
  <c r="Q1337" i="29"/>
  <c r="V1336" i="29"/>
  <c r="U1336" i="29"/>
  <c r="W1336" i="29" s="1"/>
  <c r="X1336" i="29" s="1"/>
  <c r="T1336" i="29"/>
  <c r="R1336" i="29"/>
  <c r="Q1336" i="29"/>
  <c r="V1335" i="29"/>
  <c r="U1335" i="29"/>
  <c r="T1335" i="29"/>
  <c r="R1335" i="29"/>
  <c r="Q1335" i="29"/>
  <c r="V1334" i="29"/>
  <c r="U1334" i="29"/>
  <c r="T1334" i="29"/>
  <c r="R1334" i="29"/>
  <c r="Q1334" i="29"/>
  <c r="V1333" i="29"/>
  <c r="U1333" i="29"/>
  <c r="T1333" i="29"/>
  <c r="R1333" i="29"/>
  <c r="Q1333" i="29"/>
  <c r="V1330" i="29"/>
  <c r="U1330" i="29"/>
  <c r="T1330" i="29"/>
  <c r="R1330" i="29"/>
  <c r="Q1330" i="29"/>
  <c r="V1329" i="29"/>
  <c r="U1329" i="29"/>
  <c r="T1329" i="29"/>
  <c r="R1329" i="29"/>
  <c r="Q1329" i="29"/>
  <c r="V1328" i="29"/>
  <c r="U1328" i="29"/>
  <c r="T1328" i="29"/>
  <c r="R1328" i="29"/>
  <c r="Q1328" i="29"/>
  <c r="V1327" i="29"/>
  <c r="U1327" i="29"/>
  <c r="T1327" i="29"/>
  <c r="R1327" i="29"/>
  <c r="Q1327" i="29"/>
  <c r="V1326" i="29"/>
  <c r="U1326" i="29"/>
  <c r="T1326" i="29"/>
  <c r="R1326" i="29"/>
  <c r="Q1326" i="29"/>
  <c r="V1325" i="29"/>
  <c r="U1325" i="29"/>
  <c r="T1325" i="29"/>
  <c r="R1325" i="29"/>
  <c r="Q1325" i="29"/>
  <c r="V1324" i="29"/>
  <c r="U1324" i="29"/>
  <c r="T1324" i="29"/>
  <c r="R1324" i="29"/>
  <c r="Q1324" i="29"/>
  <c r="V1323" i="29"/>
  <c r="U1323" i="29"/>
  <c r="T1323" i="29"/>
  <c r="R1323" i="29"/>
  <c r="Q1323" i="29"/>
  <c r="V1322" i="29"/>
  <c r="U1322" i="29"/>
  <c r="T1322" i="29"/>
  <c r="R1322" i="29"/>
  <c r="Q1322" i="29"/>
  <c r="V1319" i="29"/>
  <c r="U1319" i="29"/>
  <c r="T1319" i="29"/>
  <c r="R1319" i="29"/>
  <c r="Q1319" i="29"/>
  <c r="V1318" i="29"/>
  <c r="U1318" i="29"/>
  <c r="T1318" i="29"/>
  <c r="R1318" i="29"/>
  <c r="Q1318" i="29"/>
  <c r="V1317" i="29"/>
  <c r="U1317" i="29"/>
  <c r="T1317" i="29"/>
  <c r="R1317" i="29"/>
  <c r="Q1317" i="29"/>
  <c r="V1316" i="29"/>
  <c r="U1316" i="29"/>
  <c r="T1316" i="29"/>
  <c r="R1316" i="29"/>
  <c r="Q1316" i="29"/>
  <c r="V1315" i="29"/>
  <c r="U1315" i="29"/>
  <c r="T1315" i="29"/>
  <c r="R1315" i="29"/>
  <c r="Q1315" i="29"/>
  <c r="V1314" i="29"/>
  <c r="U1314" i="29"/>
  <c r="T1314" i="29"/>
  <c r="R1314" i="29"/>
  <c r="Q1314" i="29"/>
  <c r="V1313" i="29"/>
  <c r="U1313" i="29"/>
  <c r="T1313" i="29"/>
  <c r="R1313" i="29"/>
  <c r="Q1313" i="29"/>
  <c r="V1312" i="29"/>
  <c r="U1312" i="29"/>
  <c r="W1312" i="29" s="1"/>
  <c r="X1312" i="29" s="1"/>
  <c r="T1312" i="29"/>
  <c r="R1312" i="29"/>
  <c r="Q1312" i="29"/>
  <c r="V1311" i="29"/>
  <c r="U1311" i="29"/>
  <c r="T1311" i="29"/>
  <c r="R1311" i="29"/>
  <c r="Q1311" i="29"/>
  <c r="V1308" i="29"/>
  <c r="U1308" i="29"/>
  <c r="T1308" i="29"/>
  <c r="R1308" i="29"/>
  <c r="Q1308" i="29"/>
  <c r="V1307" i="29"/>
  <c r="U1307" i="29"/>
  <c r="T1307" i="29"/>
  <c r="R1307" i="29"/>
  <c r="Q1307" i="29"/>
  <c r="V1306" i="29"/>
  <c r="U1306" i="29"/>
  <c r="T1306" i="29"/>
  <c r="R1306" i="29"/>
  <c r="Q1306" i="29"/>
  <c r="V1305" i="29"/>
  <c r="U1305" i="29"/>
  <c r="T1305" i="29"/>
  <c r="R1305" i="29"/>
  <c r="Q1305" i="29"/>
  <c r="V1304" i="29"/>
  <c r="U1304" i="29"/>
  <c r="T1304" i="29"/>
  <c r="R1304" i="29"/>
  <c r="Q1304" i="29"/>
  <c r="V1303" i="29"/>
  <c r="U1303" i="29"/>
  <c r="T1303" i="29"/>
  <c r="R1303" i="29"/>
  <c r="Q1303" i="29"/>
  <c r="V1302" i="29"/>
  <c r="U1302" i="29"/>
  <c r="T1302" i="29"/>
  <c r="R1302" i="29"/>
  <c r="Q1302" i="29"/>
  <c r="V1301" i="29"/>
  <c r="U1301" i="29"/>
  <c r="T1301" i="29"/>
  <c r="R1301" i="29"/>
  <c r="Q1301" i="29"/>
  <c r="V1300" i="29"/>
  <c r="U1300" i="29"/>
  <c r="W1300" i="29" s="1"/>
  <c r="X1300" i="29" s="1"/>
  <c r="T1300" i="29"/>
  <c r="R1300" i="29"/>
  <c r="Q1300" i="29"/>
  <c r="V1297" i="29"/>
  <c r="U1297" i="29"/>
  <c r="T1297" i="29"/>
  <c r="R1297" i="29"/>
  <c r="Q1297" i="29"/>
  <c r="V1296" i="29"/>
  <c r="U1296" i="29"/>
  <c r="T1296" i="29"/>
  <c r="R1296" i="29"/>
  <c r="Q1296" i="29"/>
  <c r="V1295" i="29"/>
  <c r="U1295" i="29"/>
  <c r="T1295" i="29"/>
  <c r="R1295" i="29"/>
  <c r="Q1295" i="29"/>
  <c r="V1294" i="29"/>
  <c r="U1294" i="29"/>
  <c r="T1294" i="29"/>
  <c r="R1294" i="29"/>
  <c r="Q1294" i="29"/>
  <c r="V1293" i="29"/>
  <c r="U1293" i="29"/>
  <c r="T1293" i="29"/>
  <c r="R1293" i="29"/>
  <c r="Q1293" i="29"/>
  <c r="V1292" i="29"/>
  <c r="U1292" i="29"/>
  <c r="T1292" i="29"/>
  <c r="R1292" i="29"/>
  <c r="Q1292" i="29"/>
  <c r="V1291" i="29"/>
  <c r="U1291" i="29"/>
  <c r="T1291" i="29"/>
  <c r="R1291" i="29"/>
  <c r="Q1291" i="29"/>
  <c r="V1290" i="29"/>
  <c r="U1290" i="29"/>
  <c r="W1290" i="29" s="1"/>
  <c r="X1290" i="29" s="1"/>
  <c r="T1290" i="29"/>
  <c r="R1290" i="29"/>
  <c r="Q1290" i="29"/>
  <c r="V1289" i="29"/>
  <c r="U1289" i="29"/>
  <c r="W1289" i="29" s="1"/>
  <c r="X1289" i="29" s="1"/>
  <c r="T1289" i="29"/>
  <c r="R1289" i="29"/>
  <c r="Q1289" i="29"/>
  <c r="V1286" i="29"/>
  <c r="U1286" i="29"/>
  <c r="T1286" i="29"/>
  <c r="R1286" i="29"/>
  <c r="Q1286" i="29"/>
  <c r="V1285" i="29"/>
  <c r="U1285" i="29"/>
  <c r="T1285" i="29"/>
  <c r="R1285" i="29"/>
  <c r="Q1285" i="29"/>
  <c r="V1284" i="29"/>
  <c r="U1284" i="29"/>
  <c r="T1284" i="29"/>
  <c r="R1284" i="29"/>
  <c r="Q1284" i="29"/>
  <c r="V1283" i="29"/>
  <c r="U1283" i="29"/>
  <c r="T1283" i="29"/>
  <c r="R1283" i="29"/>
  <c r="Q1283" i="29"/>
  <c r="V1282" i="29"/>
  <c r="U1282" i="29"/>
  <c r="T1282" i="29"/>
  <c r="R1282" i="29"/>
  <c r="Q1282" i="29"/>
  <c r="V1281" i="29"/>
  <c r="U1281" i="29"/>
  <c r="W1281" i="29" s="1"/>
  <c r="X1281" i="29" s="1"/>
  <c r="T1281" i="29"/>
  <c r="R1281" i="29"/>
  <c r="Q1281" i="29"/>
  <c r="V1280" i="29"/>
  <c r="U1280" i="29"/>
  <c r="T1280" i="29"/>
  <c r="R1280" i="29"/>
  <c r="Q1280" i="29"/>
  <c r="V1279" i="29"/>
  <c r="U1279" i="29"/>
  <c r="T1279" i="29"/>
  <c r="R1279" i="29"/>
  <c r="Q1279" i="29"/>
  <c r="V1278" i="29"/>
  <c r="U1278" i="29"/>
  <c r="T1278" i="29"/>
  <c r="R1278" i="29"/>
  <c r="Q1278" i="29"/>
  <c r="V1275" i="29"/>
  <c r="U1275" i="29"/>
  <c r="T1275" i="29"/>
  <c r="R1275" i="29"/>
  <c r="Q1275" i="29"/>
  <c r="V1274" i="29"/>
  <c r="U1274" i="29"/>
  <c r="T1274" i="29"/>
  <c r="R1274" i="29"/>
  <c r="Q1274" i="29"/>
  <c r="V1273" i="29"/>
  <c r="U1273" i="29"/>
  <c r="T1273" i="29"/>
  <c r="R1273" i="29"/>
  <c r="Q1273" i="29"/>
  <c r="V1272" i="29"/>
  <c r="U1272" i="29"/>
  <c r="T1272" i="29"/>
  <c r="R1272" i="29"/>
  <c r="Q1272" i="29"/>
  <c r="V1271" i="29"/>
  <c r="U1271" i="29"/>
  <c r="T1271" i="29"/>
  <c r="R1271" i="29"/>
  <c r="Q1271" i="29"/>
  <c r="V1270" i="29"/>
  <c r="U1270" i="29"/>
  <c r="T1270" i="29"/>
  <c r="R1270" i="29"/>
  <c r="Q1270" i="29"/>
  <c r="V1269" i="29"/>
  <c r="U1269" i="29"/>
  <c r="T1269" i="29"/>
  <c r="R1269" i="29"/>
  <c r="Q1269" i="29"/>
  <c r="V1268" i="29"/>
  <c r="U1268" i="29"/>
  <c r="T1268" i="29"/>
  <c r="R1268" i="29"/>
  <c r="Q1268" i="29"/>
  <c r="V1267" i="29"/>
  <c r="U1267" i="29"/>
  <c r="T1267" i="29"/>
  <c r="R1267" i="29"/>
  <c r="Q1267" i="29"/>
  <c r="V1264" i="29"/>
  <c r="U1264" i="29"/>
  <c r="T1264" i="29"/>
  <c r="R1264" i="29"/>
  <c r="Q1264" i="29"/>
  <c r="V1263" i="29"/>
  <c r="U1263" i="29"/>
  <c r="T1263" i="29"/>
  <c r="R1263" i="29"/>
  <c r="Q1263" i="29"/>
  <c r="V1262" i="29"/>
  <c r="U1262" i="29"/>
  <c r="T1262" i="29"/>
  <c r="R1262" i="29"/>
  <c r="Q1262" i="29"/>
  <c r="V1261" i="29"/>
  <c r="U1261" i="29"/>
  <c r="T1261" i="29"/>
  <c r="R1261" i="29"/>
  <c r="Q1261" i="29"/>
  <c r="V1260" i="29"/>
  <c r="U1260" i="29"/>
  <c r="W1260" i="29" s="1"/>
  <c r="X1260" i="29" s="1"/>
  <c r="T1260" i="29"/>
  <c r="R1260" i="29"/>
  <c r="Q1260" i="29"/>
  <c r="V1259" i="29"/>
  <c r="U1259" i="29"/>
  <c r="T1259" i="29"/>
  <c r="R1259" i="29"/>
  <c r="Q1259" i="29"/>
  <c r="V1258" i="29"/>
  <c r="U1258" i="29"/>
  <c r="T1258" i="29"/>
  <c r="R1258" i="29"/>
  <c r="Q1258" i="29"/>
  <c r="V1257" i="29"/>
  <c r="U1257" i="29"/>
  <c r="T1257" i="29"/>
  <c r="R1257" i="29"/>
  <c r="Q1257" i="29"/>
  <c r="V1256" i="29"/>
  <c r="U1256" i="29"/>
  <c r="T1256" i="29"/>
  <c r="R1256" i="29"/>
  <c r="Q1256" i="29"/>
  <c r="V1253" i="29"/>
  <c r="U1253" i="29"/>
  <c r="T1253" i="29"/>
  <c r="R1253" i="29"/>
  <c r="Q1253" i="29"/>
  <c r="V1252" i="29"/>
  <c r="U1252" i="29"/>
  <c r="T1252" i="29"/>
  <c r="R1252" i="29"/>
  <c r="Q1252" i="29"/>
  <c r="V1251" i="29"/>
  <c r="U1251" i="29"/>
  <c r="T1251" i="29"/>
  <c r="R1251" i="29"/>
  <c r="Q1251" i="29"/>
  <c r="V1250" i="29"/>
  <c r="U1250" i="29"/>
  <c r="T1250" i="29"/>
  <c r="R1250" i="29"/>
  <c r="Q1250" i="29"/>
  <c r="V1249" i="29"/>
  <c r="U1249" i="29"/>
  <c r="T1249" i="29"/>
  <c r="R1249" i="29"/>
  <c r="Q1249" i="29"/>
  <c r="V1248" i="29"/>
  <c r="U1248" i="29"/>
  <c r="W1248" i="29" s="1"/>
  <c r="X1248" i="29" s="1"/>
  <c r="T1248" i="29"/>
  <c r="R1248" i="29"/>
  <c r="Q1248" i="29"/>
  <c r="V1247" i="29"/>
  <c r="U1247" i="29"/>
  <c r="T1247" i="29"/>
  <c r="R1247" i="29"/>
  <c r="Q1247" i="29"/>
  <c r="V1246" i="29"/>
  <c r="U1246" i="29"/>
  <c r="T1246" i="29"/>
  <c r="R1246" i="29"/>
  <c r="Q1246" i="29"/>
  <c r="V1245" i="29"/>
  <c r="U1245" i="29"/>
  <c r="T1245" i="29"/>
  <c r="R1245" i="29"/>
  <c r="Q1245" i="29"/>
  <c r="V1242" i="29"/>
  <c r="U1242" i="29"/>
  <c r="T1242" i="29"/>
  <c r="R1242" i="29"/>
  <c r="Q1242" i="29"/>
  <c r="V1241" i="29"/>
  <c r="U1241" i="29"/>
  <c r="T1241" i="29"/>
  <c r="R1241" i="29"/>
  <c r="Q1241" i="29"/>
  <c r="V1240" i="29"/>
  <c r="U1240" i="29"/>
  <c r="T1240" i="29"/>
  <c r="R1240" i="29"/>
  <c r="Q1240" i="29"/>
  <c r="V1239" i="29"/>
  <c r="U1239" i="29"/>
  <c r="T1239" i="29"/>
  <c r="R1239" i="29"/>
  <c r="Q1239" i="29"/>
  <c r="V1238" i="29"/>
  <c r="U1238" i="29"/>
  <c r="T1238" i="29"/>
  <c r="R1238" i="29"/>
  <c r="Q1238" i="29"/>
  <c r="V1237" i="29"/>
  <c r="U1237" i="29"/>
  <c r="T1237" i="29"/>
  <c r="R1237" i="29"/>
  <c r="Q1237" i="29"/>
  <c r="V1236" i="29"/>
  <c r="U1236" i="29"/>
  <c r="T1236" i="29"/>
  <c r="R1236" i="29"/>
  <c r="Q1236" i="29"/>
  <c r="V1235" i="29"/>
  <c r="U1235" i="29"/>
  <c r="T1235" i="29"/>
  <c r="R1235" i="29"/>
  <c r="Q1235" i="29"/>
  <c r="V1234" i="29"/>
  <c r="U1234" i="29"/>
  <c r="T1234" i="29"/>
  <c r="R1234" i="29"/>
  <c r="Q1234" i="29"/>
  <c r="V1231" i="29"/>
  <c r="U1231" i="29"/>
  <c r="T1231" i="29"/>
  <c r="R1231" i="29"/>
  <c r="Q1231" i="29"/>
  <c r="V1230" i="29"/>
  <c r="U1230" i="29"/>
  <c r="T1230" i="29"/>
  <c r="R1230" i="29"/>
  <c r="Q1230" i="29"/>
  <c r="V1229" i="29"/>
  <c r="U1229" i="29"/>
  <c r="W1229" i="29" s="1"/>
  <c r="X1229" i="29" s="1"/>
  <c r="T1229" i="29"/>
  <c r="R1229" i="29"/>
  <c r="Q1229" i="29"/>
  <c r="V1228" i="29"/>
  <c r="U1228" i="29"/>
  <c r="T1228" i="29"/>
  <c r="R1228" i="29"/>
  <c r="Q1228" i="29"/>
  <c r="V1227" i="29"/>
  <c r="U1227" i="29"/>
  <c r="T1227" i="29"/>
  <c r="R1227" i="29"/>
  <c r="Q1227" i="29"/>
  <c r="V1226" i="29"/>
  <c r="U1226" i="29"/>
  <c r="T1226" i="29"/>
  <c r="R1226" i="29"/>
  <c r="Q1226" i="29"/>
  <c r="V1225" i="29"/>
  <c r="U1225" i="29"/>
  <c r="T1225" i="29"/>
  <c r="R1225" i="29"/>
  <c r="Q1225" i="29"/>
  <c r="V1224" i="29"/>
  <c r="U1224" i="29"/>
  <c r="T1224" i="29"/>
  <c r="R1224" i="29"/>
  <c r="Q1224" i="29"/>
  <c r="V1223" i="29"/>
  <c r="U1223" i="29"/>
  <c r="T1223" i="29"/>
  <c r="R1223" i="29"/>
  <c r="Q1223" i="29"/>
  <c r="V1220" i="29"/>
  <c r="U1220" i="29"/>
  <c r="T1220" i="29"/>
  <c r="R1220" i="29"/>
  <c r="Q1220" i="29"/>
  <c r="V1219" i="29"/>
  <c r="U1219" i="29"/>
  <c r="T1219" i="29"/>
  <c r="R1219" i="29"/>
  <c r="Q1219" i="29"/>
  <c r="V1218" i="29"/>
  <c r="U1218" i="29"/>
  <c r="T1218" i="29"/>
  <c r="R1218" i="29"/>
  <c r="Q1218" i="29"/>
  <c r="V1217" i="29"/>
  <c r="U1217" i="29"/>
  <c r="T1217" i="29"/>
  <c r="R1217" i="29"/>
  <c r="Q1217" i="29"/>
  <c r="V1216" i="29"/>
  <c r="U1216" i="29"/>
  <c r="T1216" i="29"/>
  <c r="R1216" i="29"/>
  <c r="Q1216" i="29"/>
  <c r="V1215" i="29"/>
  <c r="U1215" i="29"/>
  <c r="W1215" i="29" s="1"/>
  <c r="X1215" i="29" s="1"/>
  <c r="T1215" i="29"/>
  <c r="R1215" i="29"/>
  <c r="Q1215" i="29"/>
  <c r="V1214" i="29"/>
  <c r="U1214" i="29"/>
  <c r="T1214" i="29"/>
  <c r="R1214" i="29"/>
  <c r="Q1214" i="29"/>
  <c r="V1213" i="29"/>
  <c r="U1213" i="29"/>
  <c r="T1213" i="29"/>
  <c r="R1213" i="29"/>
  <c r="Q1213" i="29"/>
  <c r="V1212" i="29"/>
  <c r="U1212" i="29"/>
  <c r="T1212" i="29"/>
  <c r="R1212" i="29"/>
  <c r="Q1212" i="29"/>
  <c r="V1209" i="29"/>
  <c r="U1209" i="29"/>
  <c r="W1209" i="29" s="1"/>
  <c r="X1209" i="29" s="1"/>
  <c r="T1209" i="29"/>
  <c r="R1209" i="29"/>
  <c r="Q1209" i="29"/>
  <c r="V1208" i="29"/>
  <c r="U1208" i="29"/>
  <c r="T1208" i="29"/>
  <c r="R1208" i="29"/>
  <c r="Q1208" i="29"/>
  <c r="V1207" i="29"/>
  <c r="U1207" i="29"/>
  <c r="T1207" i="29"/>
  <c r="R1207" i="29"/>
  <c r="Q1207" i="29"/>
  <c r="V1206" i="29"/>
  <c r="U1206" i="29"/>
  <c r="T1206" i="29"/>
  <c r="R1206" i="29"/>
  <c r="Q1206" i="29"/>
  <c r="V1205" i="29"/>
  <c r="U1205" i="29"/>
  <c r="T1205" i="29"/>
  <c r="R1205" i="29"/>
  <c r="Q1205" i="29"/>
  <c r="V1204" i="29"/>
  <c r="U1204" i="29"/>
  <c r="T1204" i="29"/>
  <c r="R1204" i="29"/>
  <c r="Q1204" i="29"/>
  <c r="V1203" i="29"/>
  <c r="U1203" i="29"/>
  <c r="T1203" i="29"/>
  <c r="R1203" i="29"/>
  <c r="Q1203" i="29"/>
  <c r="V1202" i="29"/>
  <c r="U1202" i="29"/>
  <c r="T1202" i="29"/>
  <c r="R1202" i="29"/>
  <c r="Q1202" i="29"/>
  <c r="V1201" i="29"/>
  <c r="U1201" i="29"/>
  <c r="T1201" i="29"/>
  <c r="R1201" i="29"/>
  <c r="Q1201" i="29"/>
  <c r="V1198" i="29"/>
  <c r="U1198" i="29"/>
  <c r="T1198" i="29"/>
  <c r="R1198" i="29"/>
  <c r="Q1198" i="29"/>
  <c r="V1197" i="29"/>
  <c r="U1197" i="29"/>
  <c r="T1197" i="29"/>
  <c r="R1197" i="29"/>
  <c r="Q1197" i="29"/>
  <c r="V1196" i="29"/>
  <c r="U1196" i="29"/>
  <c r="T1196" i="29"/>
  <c r="R1196" i="29"/>
  <c r="Q1196" i="29"/>
  <c r="V1195" i="29"/>
  <c r="U1195" i="29"/>
  <c r="W1195" i="29" s="1"/>
  <c r="X1195" i="29" s="1"/>
  <c r="T1195" i="29"/>
  <c r="R1195" i="29"/>
  <c r="Q1195" i="29"/>
  <c r="V1194" i="29"/>
  <c r="U1194" i="29"/>
  <c r="T1194" i="29"/>
  <c r="R1194" i="29"/>
  <c r="Q1194" i="29"/>
  <c r="V1193" i="29"/>
  <c r="U1193" i="29"/>
  <c r="W1193" i="29" s="1"/>
  <c r="X1193" i="29" s="1"/>
  <c r="T1193" i="29"/>
  <c r="R1193" i="29"/>
  <c r="Q1193" i="29"/>
  <c r="V1192" i="29"/>
  <c r="U1192" i="29"/>
  <c r="T1192" i="29"/>
  <c r="R1192" i="29"/>
  <c r="Q1192" i="29"/>
  <c r="V1191" i="29"/>
  <c r="U1191" i="29"/>
  <c r="T1191" i="29"/>
  <c r="R1191" i="29"/>
  <c r="Q1191" i="29"/>
  <c r="V1190" i="29"/>
  <c r="U1190" i="29"/>
  <c r="T1190" i="29"/>
  <c r="R1190" i="29"/>
  <c r="Q1190" i="29"/>
  <c r="V1187" i="29"/>
  <c r="U1187" i="29"/>
  <c r="T1187" i="29"/>
  <c r="R1187" i="29"/>
  <c r="Q1187" i="29"/>
  <c r="V1186" i="29"/>
  <c r="U1186" i="29"/>
  <c r="T1186" i="29"/>
  <c r="R1186" i="29"/>
  <c r="Q1186" i="29"/>
  <c r="V1185" i="29"/>
  <c r="U1185" i="29"/>
  <c r="W1185" i="29" s="1"/>
  <c r="X1185" i="29" s="1"/>
  <c r="T1185" i="29"/>
  <c r="R1185" i="29"/>
  <c r="Q1185" i="29"/>
  <c r="V1184" i="29"/>
  <c r="U1184" i="29"/>
  <c r="T1184" i="29"/>
  <c r="R1184" i="29"/>
  <c r="Q1184" i="29"/>
  <c r="V1183" i="29"/>
  <c r="U1183" i="29"/>
  <c r="T1183" i="29"/>
  <c r="R1183" i="29"/>
  <c r="Q1183" i="29"/>
  <c r="V1182" i="29"/>
  <c r="U1182" i="29"/>
  <c r="W1182" i="29" s="1"/>
  <c r="X1182" i="29" s="1"/>
  <c r="T1182" i="29"/>
  <c r="R1182" i="29"/>
  <c r="Q1182" i="29"/>
  <c r="V1181" i="29"/>
  <c r="U1181" i="29"/>
  <c r="T1181" i="29"/>
  <c r="R1181" i="29"/>
  <c r="Q1181" i="29"/>
  <c r="V1180" i="29"/>
  <c r="U1180" i="29"/>
  <c r="T1180" i="29"/>
  <c r="R1180" i="29"/>
  <c r="Q1180" i="29"/>
  <c r="V1179" i="29"/>
  <c r="U1179" i="29"/>
  <c r="T1179" i="29"/>
  <c r="R1179" i="29"/>
  <c r="Q1179" i="29"/>
  <c r="V1176" i="29"/>
  <c r="U1176" i="29"/>
  <c r="T1176" i="29"/>
  <c r="R1176" i="29"/>
  <c r="Q1176" i="29"/>
  <c r="V1175" i="29"/>
  <c r="U1175" i="29"/>
  <c r="T1175" i="29"/>
  <c r="R1175" i="29"/>
  <c r="Q1175" i="29"/>
  <c r="V1174" i="29"/>
  <c r="U1174" i="29"/>
  <c r="T1174" i="29"/>
  <c r="R1174" i="29"/>
  <c r="Q1174" i="29"/>
  <c r="V1173" i="29"/>
  <c r="U1173" i="29"/>
  <c r="T1173" i="29"/>
  <c r="R1173" i="29"/>
  <c r="Q1173" i="29"/>
  <c r="V1172" i="29"/>
  <c r="U1172" i="29"/>
  <c r="T1172" i="29"/>
  <c r="R1172" i="29"/>
  <c r="Q1172" i="29"/>
  <c r="V1171" i="29"/>
  <c r="U1171" i="29"/>
  <c r="T1171" i="29"/>
  <c r="R1171" i="29"/>
  <c r="Q1171" i="29"/>
  <c r="V1170" i="29"/>
  <c r="U1170" i="29"/>
  <c r="T1170" i="29"/>
  <c r="R1170" i="29"/>
  <c r="Q1170" i="29"/>
  <c r="V1169" i="29"/>
  <c r="U1169" i="29"/>
  <c r="T1169" i="29"/>
  <c r="R1169" i="29"/>
  <c r="Q1169" i="29"/>
  <c r="V1168" i="29"/>
  <c r="U1168" i="29"/>
  <c r="T1168" i="29"/>
  <c r="R1168" i="29"/>
  <c r="Q1168" i="29"/>
  <c r="V1165" i="29"/>
  <c r="U1165" i="29"/>
  <c r="T1165" i="29"/>
  <c r="R1165" i="29"/>
  <c r="Q1165" i="29"/>
  <c r="V1164" i="29"/>
  <c r="U1164" i="29"/>
  <c r="T1164" i="29"/>
  <c r="R1164" i="29"/>
  <c r="Q1164" i="29"/>
  <c r="V1163" i="29"/>
  <c r="U1163" i="29"/>
  <c r="T1163" i="29"/>
  <c r="R1163" i="29"/>
  <c r="Q1163" i="29"/>
  <c r="V1162" i="29"/>
  <c r="U1162" i="29"/>
  <c r="T1162" i="29"/>
  <c r="R1162" i="29"/>
  <c r="Q1162" i="29"/>
  <c r="V1161" i="29"/>
  <c r="U1161" i="29"/>
  <c r="T1161" i="29"/>
  <c r="R1161" i="29"/>
  <c r="Q1161" i="29"/>
  <c r="V1160" i="29"/>
  <c r="U1160" i="29"/>
  <c r="T1160" i="29"/>
  <c r="R1160" i="29"/>
  <c r="Q1160" i="29"/>
  <c r="V1159" i="29"/>
  <c r="U1159" i="29"/>
  <c r="T1159" i="29"/>
  <c r="R1159" i="29"/>
  <c r="Q1159" i="29"/>
  <c r="V1158" i="29"/>
  <c r="W1158" i="29" s="1"/>
  <c r="X1158" i="29" s="1"/>
  <c r="U1158" i="29"/>
  <c r="T1158" i="29"/>
  <c r="R1158" i="29"/>
  <c r="Q1158" i="29"/>
  <c r="V1157" i="29"/>
  <c r="U1157" i="29"/>
  <c r="W1157" i="29" s="1"/>
  <c r="X1157" i="29" s="1"/>
  <c r="T1157" i="29"/>
  <c r="R1157" i="29"/>
  <c r="Q1157" i="29"/>
  <c r="V1154" i="29"/>
  <c r="U1154" i="29"/>
  <c r="T1154" i="29"/>
  <c r="R1154" i="29"/>
  <c r="Q1154" i="29"/>
  <c r="V1153" i="29"/>
  <c r="U1153" i="29"/>
  <c r="T1153" i="29"/>
  <c r="R1153" i="29"/>
  <c r="Q1153" i="29"/>
  <c r="V1152" i="29"/>
  <c r="U1152" i="29"/>
  <c r="T1152" i="29"/>
  <c r="R1152" i="29"/>
  <c r="Q1152" i="29"/>
  <c r="V1151" i="29"/>
  <c r="U1151" i="29"/>
  <c r="W1151" i="29" s="1"/>
  <c r="X1151" i="29" s="1"/>
  <c r="T1151" i="29"/>
  <c r="R1151" i="29"/>
  <c r="Q1151" i="29"/>
  <c r="V1150" i="29"/>
  <c r="U1150" i="29"/>
  <c r="T1150" i="29"/>
  <c r="R1150" i="29"/>
  <c r="Q1150" i="29"/>
  <c r="V1149" i="29"/>
  <c r="U1149" i="29"/>
  <c r="T1149" i="29"/>
  <c r="R1149" i="29"/>
  <c r="Q1149" i="29"/>
  <c r="V1148" i="29"/>
  <c r="U1148" i="29"/>
  <c r="T1148" i="29"/>
  <c r="R1148" i="29"/>
  <c r="Q1148" i="29"/>
  <c r="V1147" i="29"/>
  <c r="U1147" i="29"/>
  <c r="T1147" i="29"/>
  <c r="R1147" i="29"/>
  <c r="Q1147" i="29"/>
  <c r="V1146" i="29"/>
  <c r="U1146" i="29"/>
  <c r="T1146" i="29"/>
  <c r="R1146" i="29"/>
  <c r="Q1146" i="29"/>
  <c r="V1143" i="29"/>
  <c r="U1143" i="29"/>
  <c r="T1143" i="29"/>
  <c r="R1143" i="29"/>
  <c r="Q1143" i="29"/>
  <c r="V1142" i="29"/>
  <c r="U1142" i="29"/>
  <c r="T1142" i="29"/>
  <c r="R1142" i="29"/>
  <c r="Q1142" i="29"/>
  <c r="V1141" i="29"/>
  <c r="U1141" i="29"/>
  <c r="T1141" i="29"/>
  <c r="R1141" i="29"/>
  <c r="Q1141" i="29"/>
  <c r="V1140" i="29"/>
  <c r="U1140" i="29"/>
  <c r="T1140" i="29"/>
  <c r="R1140" i="29"/>
  <c r="Q1140" i="29"/>
  <c r="V1139" i="29"/>
  <c r="U1139" i="29"/>
  <c r="T1139" i="29"/>
  <c r="R1139" i="29"/>
  <c r="Q1139" i="29"/>
  <c r="V1138" i="29"/>
  <c r="U1138" i="29"/>
  <c r="T1138" i="29"/>
  <c r="R1138" i="29"/>
  <c r="Q1138" i="29"/>
  <c r="V1137" i="29"/>
  <c r="U1137" i="29"/>
  <c r="T1137" i="29"/>
  <c r="R1137" i="29"/>
  <c r="Q1137" i="29"/>
  <c r="V1136" i="29"/>
  <c r="U1136" i="29"/>
  <c r="T1136" i="29"/>
  <c r="R1136" i="29"/>
  <c r="Q1136" i="29"/>
  <c r="V1135" i="29"/>
  <c r="U1135" i="29"/>
  <c r="T1135" i="29"/>
  <c r="R1135" i="29"/>
  <c r="Q1135" i="29"/>
  <c r="V1132" i="29"/>
  <c r="U1132" i="29"/>
  <c r="T1132" i="29"/>
  <c r="R1132" i="29"/>
  <c r="Q1132" i="29"/>
  <c r="V1131" i="29"/>
  <c r="U1131" i="29"/>
  <c r="T1131" i="29"/>
  <c r="R1131" i="29"/>
  <c r="Q1131" i="29"/>
  <c r="V1130" i="29"/>
  <c r="U1130" i="29"/>
  <c r="T1130" i="29"/>
  <c r="R1130" i="29"/>
  <c r="Q1130" i="29"/>
  <c r="V1129" i="29"/>
  <c r="U1129" i="29"/>
  <c r="T1129" i="29"/>
  <c r="R1129" i="29"/>
  <c r="Q1129" i="29"/>
  <c r="V1128" i="29"/>
  <c r="U1128" i="29"/>
  <c r="T1128" i="29"/>
  <c r="R1128" i="29"/>
  <c r="Q1128" i="29"/>
  <c r="V1127" i="29"/>
  <c r="U1127" i="29"/>
  <c r="T1127" i="29"/>
  <c r="R1127" i="29"/>
  <c r="Q1127" i="29"/>
  <c r="V1126" i="29"/>
  <c r="U1126" i="29"/>
  <c r="T1126" i="29"/>
  <c r="R1126" i="29"/>
  <c r="Q1126" i="29"/>
  <c r="V1125" i="29"/>
  <c r="U1125" i="29"/>
  <c r="T1125" i="29"/>
  <c r="R1125" i="29"/>
  <c r="Q1125" i="29"/>
  <c r="V1124" i="29"/>
  <c r="U1124" i="29"/>
  <c r="W1124" i="29" s="1"/>
  <c r="X1124" i="29" s="1"/>
  <c r="T1124" i="29"/>
  <c r="R1124" i="29"/>
  <c r="Q1124" i="29"/>
  <c r="V1121" i="29"/>
  <c r="U1121" i="29"/>
  <c r="T1121" i="29"/>
  <c r="R1121" i="29"/>
  <c r="Q1121" i="29"/>
  <c r="V1120" i="29"/>
  <c r="U1120" i="29"/>
  <c r="T1120" i="29"/>
  <c r="R1120" i="29"/>
  <c r="Q1120" i="29"/>
  <c r="V1119" i="29"/>
  <c r="U1119" i="29"/>
  <c r="T1119" i="29"/>
  <c r="R1119" i="29"/>
  <c r="Q1119" i="29"/>
  <c r="V1118" i="29"/>
  <c r="U1118" i="29"/>
  <c r="T1118" i="29"/>
  <c r="R1118" i="29"/>
  <c r="Q1118" i="29"/>
  <c r="V1117" i="29"/>
  <c r="U1117" i="29"/>
  <c r="T1117" i="29"/>
  <c r="R1117" i="29"/>
  <c r="Q1117" i="29"/>
  <c r="V1116" i="29"/>
  <c r="U1116" i="29"/>
  <c r="T1116" i="29"/>
  <c r="R1116" i="29"/>
  <c r="Q1116" i="29"/>
  <c r="V1115" i="29"/>
  <c r="U1115" i="29"/>
  <c r="T1115" i="29"/>
  <c r="R1115" i="29"/>
  <c r="Q1115" i="29"/>
  <c r="V1114" i="29"/>
  <c r="U1114" i="29"/>
  <c r="T1114" i="29"/>
  <c r="R1114" i="29"/>
  <c r="Q1114" i="29"/>
  <c r="V1113" i="29"/>
  <c r="U1113" i="29"/>
  <c r="T1113" i="29"/>
  <c r="R1113" i="29"/>
  <c r="Q1113" i="29"/>
  <c r="V1110" i="29"/>
  <c r="U1110" i="29"/>
  <c r="T1110" i="29"/>
  <c r="R1110" i="29"/>
  <c r="Q1110" i="29"/>
  <c r="V1109" i="29"/>
  <c r="U1109" i="29"/>
  <c r="T1109" i="29"/>
  <c r="R1109" i="29"/>
  <c r="Q1109" i="29"/>
  <c r="V1108" i="29"/>
  <c r="U1108" i="29"/>
  <c r="T1108" i="29"/>
  <c r="R1108" i="29"/>
  <c r="Q1108" i="29"/>
  <c r="V1107" i="29"/>
  <c r="U1107" i="29"/>
  <c r="T1107" i="29"/>
  <c r="R1107" i="29"/>
  <c r="Q1107" i="29"/>
  <c r="V1106" i="29"/>
  <c r="U1106" i="29"/>
  <c r="T1106" i="29"/>
  <c r="R1106" i="29"/>
  <c r="Q1106" i="29"/>
  <c r="V1105" i="29"/>
  <c r="U1105" i="29"/>
  <c r="T1105" i="29"/>
  <c r="R1105" i="29"/>
  <c r="Q1105" i="29"/>
  <c r="V1104" i="29"/>
  <c r="U1104" i="29"/>
  <c r="T1104" i="29"/>
  <c r="R1104" i="29"/>
  <c r="Q1104" i="29"/>
  <c r="V1103" i="29"/>
  <c r="U1103" i="29"/>
  <c r="T1103" i="29"/>
  <c r="R1103" i="29"/>
  <c r="Q1103" i="29"/>
  <c r="V1102" i="29"/>
  <c r="U1102" i="29"/>
  <c r="T1102" i="29"/>
  <c r="R1102" i="29"/>
  <c r="Q1102" i="29"/>
  <c r="V1099" i="29"/>
  <c r="U1099" i="29"/>
  <c r="T1099" i="29"/>
  <c r="R1099" i="29"/>
  <c r="Q1099" i="29"/>
  <c r="V1098" i="29"/>
  <c r="U1098" i="29"/>
  <c r="T1098" i="29"/>
  <c r="R1098" i="29"/>
  <c r="Q1098" i="29"/>
  <c r="V1097" i="29"/>
  <c r="U1097" i="29"/>
  <c r="W1097" i="29" s="1"/>
  <c r="X1097" i="29" s="1"/>
  <c r="T1097" i="29"/>
  <c r="R1097" i="29"/>
  <c r="Q1097" i="29"/>
  <c r="V1096" i="29"/>
  <c r="U1096" i="29"/>
  <c r="T1096" i="29"/>
  <c r="R1096" i="29"/>
  <c r="Q1096" i="29"/>
  <c r="V1095" i="29"/>
  <c r="U1095" i="29"/>
  <c r="T1095" i="29"/>
  <c r="R1095" i="29"/>
  <c r="Q1095" i="29"/>
  <c r="V1094" i="29"/>
  <c r="U1094" i="29"/>
  <c r="T1094" i="29"/>
  <c r="R1094" i="29"/>
  <c r="Q1094" i="29"/>
  <c r="V1093" i="29"/>
  <c r="U1093" i="29"/>
  <c r="W1093" i="29" s="1"/>
  <c r="X1093" i="29" s="1"/>
  <c r="T1093" i="29"/>
  <c r="R1093" i="29"/>
  <c r="Q1093" i="29"/>
  <c r="V1092" i="29"/>
  <c r="U1092" i="29"/>
  <c r="W1092" i="29" s="1"/>
  <c r="X1092" i="29" s="1"/>
  <c r="T1092" i="29"/>
  <c r="R1092" i="29"/>
  <c r="Q1092" i="29"/>
  <c r="V1091" i="29"/>
  <c r="U1091" i="29"/>
  <c r="T1091" i="29"/>
  <c r="R1091" i="29"/>
  <c r="Q1091" i="29"/>
  <c r="V1088" i="29"/>
  <c r="U1088" i="29"/>
  <c r="T1088" i="29"/>
  <c r="R1088" i="29"/>
  <c r="Q1088" i="29"/>
  <c r="V1087" i="29"/>
  <c r="U1087" i="29"/>
  <c r="T1087" i="29"/>
  <c r="R1087" i="29"/>
  <c r="Q1087" i="29"/>
  <c r="V1086" i="29"/>
  <c r="U1086" i="29"/>
  <c r="T1086" i="29"/>
  <c r="R1086" i="29"/>
  <c r="Q1086" i="29"/>
  <c r="V1085" i="29"/>
  <c r="W1085" i="29" s="1"/>
  <c r="X1085" i="29" s="1"/>
  <c r="U1085" i="29"/>
  <c r="T1085" i="29"/>
  <c r="R1085" i="29"/>
  <c r="Q1085" i="29"/>
  <c r="V1084" i="29"/>
  <c r="U1084" i="29"/>
  <c r="T1084" i="29"/>
  <c r="R1084" i="29"/>
  <c r="Q1084" i="29"/>
  <c r="V1083" i="29"/>
  <c r="U1083" i="29"/>
  <c r="T1083" i="29"/>
  <c r="R1083" i="29"/>
  <c r="Q1083" i="29"/>
  <c r="V1082" i="29"/>
  <c r="U1082" i="29"/>
  <c r="T1082" i="29"/>
  <c r="R1082" i="29"/>
  <c r="Q1082" i="29"/>
  <c r="V1081" i="29"/>
  <c r="U1081" i="29"/>
  <c r="T1081" i="29"/>
  <c r="R1081" i="29"/>
  <c r="Q1081" i="29"/>
  <c r="V1080" i="29"/>
  <c r="U1080" i="29"/>
  <c r="T1080" i="29"/>
  <c r="R1080" i="29"/>
  <c r="Q1080" i="29"/>
  <c r="V1077" i="29"/>
  <c r="U1077" i="29"/>
  <c r="T1077" i="29"/>
  <c r="R1077" i="29"/>
  <c r="Q1077" i="29"/>
  <c r="V1076" i="29"/>
  <c r="U1076" i="29"/>
  <c r="T1076" i="29"/>
  <c r="R1076" i="29"/>
  <c r="Q1076" i="29"/>
  <c r="V1075" i="29"/>
  <c r="U1075" i="29"/>
  <c r="T1075" i="29"/>
  <c r="R1075" i="29"/>
  <c r="Q1075" i="29"/>
  <c r="V1074" i="29"/>
  <c r="U1074" i="29"/>
  <c r="T1074" i="29"/>
  <c r="R1074" i="29"/>
  <c r="Q1074" i="29"/>
  <c r="V1073" i="29"/>
  <c r="U1073" i="29"/>
  <c r="T1073" i="29"/>
  <c r="R1073" i="29"/>
  <c r="Q1073" i="29"/>
  <c r="V1072" i="29"/>
  <c r="U1072" i="29"/>
  <c r="T1072" i="29"/>
  <c r="R1072" i="29"/>
  <c r="Q1072" i="29"/>
  <c r="V1071" i="29"/>
  <c r="U1071" i="29"/>
  <c r="T1071" i="29"/>
  <c r="R1071" i="29"/>
  <c r="Q1071" i="29"/>
  <c r="V1070" i="29"/>
  <c r="U1070" i="29"/>
  <c r="T1070" i="29"/>
  <c r="R1070" i="29"/>
  <c r="Q1070" i="29"/>
  <c r="V1069" i="29"/>
  <c r="U1069" i="29"/>
  <c r="T1069" i="29"/>
  <c r="R1069" i="29"/>
  <c r="Q1069" i="29"/>
  <c r="V1066" i="29"/>
  <c r="U1066" i="29"/>
  <c r="T1066" i="29"/>
  <c r="R1066" i="29"/>
  <c r="Q1066" i="29"/>
  <c r="V1065" i="29"/>
  <c r="U1065" i="29"/>
  <c r="T1065" i="29"/>
  <c r="R1065" i="29"/>
  <c r="Q1065" i="29"/>
  <c r="V1064" i="29"/>
  <c r="U1064" i="29"/>
  <c r="W1064" i="29" s="1"/>
  <c r="X1064" i="29" s="1"/>
  <c r="T1064" i="29"/>
  <c r="R1064" i="29"/>
  <c r="Q1064" i="29"/>
  <c r="V1063" i="29"/>
  <c r="U1063" i="29"/>
  <c r="T1063" i="29"/>
  <c r="R1063" i="29"/>
  <c r="Q1063" i="29"/>
  <c r="V1062" i="29"/>
  <c r="U1062" i="29"/>
  <c r="T1062" i="29"/>
  <c r="R1062" i="29"/>
  <c r="Q1062" i="29"/>
  <c r="V1061" i="29"/>
  <c r="U1061" i="29"/>
  <c r="W1061" i="29" s="1"/>
  <c r="X1061" i="29" s="1"/>
  <c r="T1061" i="29"/>
  <c r="R1061" i="29"/>
  <c r="Q1061" i="29"/>
  <c r="V1060" i="29"/>
  <c r="U1060" i="29"/>
  <c r="T1060" i="29"/>
  <c r="R1060" i="29"/>
  <c r="Q1060" i="29"/>
  <c r="V1059" i="29"/>
  <c r="U1059" i="29"/>
  <c r="W1059" i="29" s="1"/>
  <c r="X1059" i="29" s="1"/>
  <c r="T1059" i="29"/>
  <c r="R1059" i="29"/>
  <c r="Q1059" i="29"/>
  <c r="V1058" i="29"/>
  <c r="U1058" i="29"/>
  <c r="T1058" i="29"/>
  <c r="R1058" i="29"/>
  <c r="Q1058" i="29"/>
  <c r="V1055" i="29"/>
  <c r="U1055" i="29"/>
  <c r="T1055" i="29"/>
  <c r="R1055" i="29"/>
  <c r="Q1055" i="29"/>
  <c r="V1054" i="29"/>
  <c r="U1054" i="29"/>
  <c r="T1054" i="29"/>
  <c r="R1054" i="29"/>
  <c r="Q1054" i="29"/>
  <c r="V1053" i="29"/>
  <c r="U1053" i="29"/>
  <c r="W1053" i="29" s="1"/>
  <c r="X1053" i="29" s="1"/>
  <c r="T1053" i="29"/>
  <c r="R1053" i="29"/>
  <c r="Q1053" i="29"/>
  <c r="V1052" i="29"/>
  <c r="U1052" i="29"/>
  <c r="T1052" i="29"/>
  <c r="R1052" i="29"/>
  <c r="Q1052" i="29"/>
  <c r="V1051" i="29"/>
  <c r="U1051" i="29"/>
  <c r="T1051" i="29"/>
  <c r="R1051" i="29"/>
  <c r="Q1051" i="29"/>
  <c r="V1050" i="29"/>
  <c r="U1050" i="29"/>
  <c r="T1050" i="29"/>
  <c r="R1050" i="29"/>
  <c r="Q1050" i="29"/>
  <c r="V1049" i="29"/>
  <c r="U1049" i="29"/>
  <c r="T1049" i="29"/>
  <c r="R1049" i="29"/>
  <c r="Q1049" i="29"/>
  <c r="V1048" i="29"/>
  <c r="U1048" i="29"/>
  <c r="T1048" i="29"/>
  <c r="R1048" i="29"/>
  <c r="Q1048" i="29"/>
  <c r="V1047" i="29"/>
  <c r="U1047" i="29"/>
  <c r="T1047" i="29"/>
  <c r="R1047" i="29"/>
  <c r="Q1047" i="29"/>
  <c r="V1044" i="29"/>
  <c r="U1044" i="29"/>
  <c r="T1044" i="29"/>
  <c r="R1044" i="29"/>
  <c r="Q1044" i="29"/>
  <c r="V1043" i="29"/>
  <c r="U1043" i="29"/>
  <c r="W1043" i="29" s="1"/>
  <c r="X1043" i="29" s="1"/>
  <c r="T1043" i="29"/>
  <c r="R1043" i="29"/>
  <c r="Q1043" i="29"/>
  <c r="V1042" i="29"/>
  <c r="U1042" i="29"/>
  <c r="T1042" i="29"/>
  <c r="R1042" i="29"/>
  <c r="Q1042" i="29"/>
  <c r="V1041" i="29"/>
  <c r="U1041" i="29"/>
  <c r="T1041" i="29"/>
  <c r="R1041" i="29"/>
  <c r="Q1041" i="29"/>
  <c r="V1040" i="29"/>
  <c r="U1040" i="29"/>
  <c r="T1040" i="29"/>
  <c r="R1040" i="29"/>
  <c r="Q1040" i="29"/>
  <c r="V1039" i="29"/>
  <c r="U1039" i="29"/>
  <c r="T1039" i="29"/>
  <c r="R1039" i="29"/>
  <c r="Q1039" i="29"/>
  <c r="V1038" i="29"/>
  <c r="U1038" i="29"/>
  <c r="T1038" i="29"/>
  <c r="R1038" i="29"/>
  <c r="Q1038" i="29"/>
  <c r="V1037" i="29"/>
  <c r="U1037" i="29"/>
  <c r="T1037" i="29"/>
  <c r="R1037" i="29"/>
  <c r="Q1037" i="29"/>
  <c r="V1036" i="29"/>
  <c r="U1036" i="29"/>
  <c r="T1036" i="29"/>
  <c r="R1036" i="29"/>
  <c r="Q1036" i="29"/>
  <c r="V1033" i="29"/>
  <c r="U1033" i="29"/>
  <c r="T1033" i="29"/>
  <c r="R1033" i="29"/>
  <c r="Q1033" i="29"/>
  <c r="V1032" i="29"/>
  <c r="U1032" i="29"/>
  <c r="T1032" i="29"/>
  <c r="R1032" i="29"/>
  <c r="Q1032" i="29"/>
  <c r="V1031" i="29"/>
  <c r="U1031" i="29"/>
  <c r="T1031" i="29"/>
  <c r="R1031" i="29"/>
  <c r="Q1031" i="29"/>
  <c r="V1030" i="29"/>
  <c r="U1030" i="29"/>
  <c r="T1030" i="29"/>
  <c r="R1030" i="29"/>
  <c r="Q1030" i="29"/>
  <c r="V1029" i="29"/>
  <c r="U1029" i="29"/>
  <c r="T1029" i="29"/>
  <c r="R1029" i="29"/>
  <c r="Q1029" i="29"/>
  <c r="V1028" i="29"/>
  <c r="U1028" i="29"/>
  <c r="T1028" i="29"/>
  <c r="R1028" i="29"/>
  <c r="Q1028" i="29"/>
  <c r="V1027" i="29"/>
  <c r="U1027" i="29"/>
  <c r="T1027" i="29"/>
  <c r="R1027" i="29"/>
  <c r="Q1027" i="29"/>
  <c r="V1026" i="29"/>
  <c r="U1026" i="29"/>
  <c r="W1026" i="29" s="1"/>
  <c r="X1026" i="29" s="1"/>
  <c r="T1026" i="29"/>
  <c r="R1026" i="29"/>
  <c r="Q1026" i="29"/>
  <c r="V1025" i="29"/>
  <c r="U1025" i="29"/>
  <c r="T1025" i="29"/>
  <c r="R1025" i="29"/>
  <c r="Q1025" i="29"/>
  <c r="V1022" i="29"/>
  <c r="U1022" i="29"/>
  <c r="T1022" i="29"/>
  <c r="R1022" i="29"/>
  <c r="Q1022" i="29"/>
  <c r="V1021" i="29"/>
  <c r="U1021" i="29"/>
  <c r="W1021" i="29" s="1"/>
  <c r="X1021" i="29" s="1"/>
  <c r="T1021" i="29"/>
  <c r="R1021" i="29"/>
  <c r="Q1021" i="29"/>
  <c r="V1020" i="29"/>
  <c r="U1020" i="29"/>
  <c r="T1020" i="29"/>
  <c r="R1020" i="29"/>
  <c r="Q1020" i="29"/>
  <c r="V1019" i="29"/>
  <c r="U1019" i="29"/>
  <c r="T1019" i="29"/>
  <c r="R1019" i="29"/>
  <c r="Q1019" i="29"/>
  <c r="V1018" i="29"/>
  <c r="U1018" i="29"/>
  <c r="T1018" i="29"/>
  <c r="R1018" i="29"/>
  <c r="Q1018" i="29"/>
  <c r="V1017" i="29"/>
  <c r="U1017" i="29"/>
  <c r="T1017" i="29"/>
  <c r="R1017" i="29"/>
  <c r="Q1017" i="29"/>
  <c r="V1016" i="29"/>
  <c r="U1016" i="29"/>
  <c r="T1016" i="29"/>
  <c r="R1016" i="29"/>
  <c r="Q1016" i="29"/>
  <c r="V1015" i="29"/>
  <c r="U1015" i="29"/>
  <c r="T1015" i="29"/>
  <c r="R1015" i="29"/>
  <c r="Q1015" i="29"/>
  <c r="V1014" i="29"/>
  <c r="W1014" i="29" s="1"/>
  <c r="X1014" i="29" s="1"/>
  <c r="U1014" i="29"/>
  <c r="T1014" i="29"/>
  <c r="R1014" i="29"/>
  <c r="Q1014" i="29"/>
  <c r="V1011" i="29"/>
  <c r="U1011" i="29"/>
  <c r="W1011" i="29" s="1"/>
  <c r="X1011" i="29" s="1"/>
  <c r="T1011" i="29"/>
  <c r="R1011" i="29"/>
  <c r="Q1011" i="29"/>
  <c r="V1010" i="29"/>
  <c r="U1010" i="29"/>
  <c r="T1010" i="29"/>
  <c r="R1010" i="29"/>
  <c r="Q1010" i="29"/>
  <c r="V1009" i="29"/>
  <c r="U1009" i="29"/>
  <c r="T1009" i="29"/>
  <c r="R1009" i="29"/>
  <c r="Q1009" i="29"/>
  <c r="V1008" i="29"/>
  <c r="U1008" i="29"/>
  <c r="T1008" i="29"/>
  <c r="R1008" i="29"/>
  <c r="Q1008" i="29"/>
  <c r="V1007" i="29"/>
  <c r="U1007" i="29"/>
  <c r="T1007" i="29"/>
  <c r="R1007" i="29"/>
  <c r="Q1007" i="29"/>
  <c r="V1006" i="29"/>
  <c r="U1006" i="29"/>
  <c r="T1006" i="29"/>
  <c r="R1006" i="29"/>
  <c r="Q1006" i="29"/>
  <c r="V1005" i="29"/>
  <c r="U1005" i="29"/>
  <c r="T1005" i="29"/>
  <c r="R1005" i="29"/>
  <c r="Q1005" i="29"/>
  <c r="V1004" i="29"/>
  <c r="U1004" i="29"/>
  <c r="T1004" i="29"/>
  <c r="R1004" i="29"/>
  <c r="Q1004" i="29"/>
  <c r="V1003" i="29"/>
  <c r="U1003" i="29"/>
  <c r="T1003" i="29"/>
  <c r="R1003" i="29"/>
  <c r="Q1003" i="29"/>
  <c r="V1000" i="29"/>
  <c r="U1000" i="29"/>
  <c r="T1000" i="29"/>
  <c r="R1000" i="29"/>
  <c r="Q1000" i="29"/>
  <c r="V999" i="29"/>
  <c r="U999" i="29"/>
  <c r="T999" i="29"/>
  <c r="R999" i="29"/>
  <c r="Q999" i="29"/>
  <c r="V998" i="29"/>
  <c r="U998" i="29"/>
  <c r="T998" i="29"/>
  <c r="R998" i="29"/>
  <c r="Q998" i="29"/>
  <c r="V997" i="29"/>
  <c r="U997" i="29"/>
  <c r="T997" i="29"/>
  <c r="R997" i="29"/>
  <c r="Q997" i="29"/>
  <c r="V996" i="29"/>
  <c r="U996" i="29"/>
  <c r="T996" i="29"/>
  <c r="R996" i="29"/>
  <c r="Q996" i="29"/>
  <c r="V995" i="29"/>
  <c r="U995" i="29"/>
  <c r="T995" i="29"/>
  <c r="R995" i="29"/>
  <c r="Q995" i="29"/>
  <c r="V994" i="29"/>
  <c r="U994" i="29"/>
  <c r="T994" i="29"/>
  <c r="R994" i="29"/>
  <c r="Q994" i="29"/>
  <c r="V993" i="29"/>
  <c r="U993" i="29"/>
  <c r="T993" i="29"/>
  <c r="R993" i="29"/>
  <c r="Q993" i="29"/>
  <c r="V992" i="29"/>
  <c r="U992" i="29"/>
  <c r="T992" i="29"/>
  <c r="R992" i="29"/>
  <c r="Q992" i="29"/>
  <c r="V989" i="29"/>
  <c r="U989" i="29"/>
  <c r="T989" i="29"/>
  <c r="R989" i="29"/>
  <c r="Q989" i="29"/>
  <c r="V988" i="29"/>
  <c r="U988" i="29"/>
  <c r="T988" i="29"/>
  <c r="R988" i="29"/>
  <c r="Q988" i="29"/>
  <c r="V987" i="29"/>
  <c r="U987" i="29"/>
  <c r="T987" i="29"/>
  <c r="R987" i="29"/>
  <c r="Q987" i="29"/>
  <c r="V986" i="29"/>
  <c r="U986" i="29"/>
  <c r="T986" i="29"/>
  <c r="R986" i="29"/>
  <c r="Q986" i="29"/>
  <c r="V985" i="29"/>
  <c r="U985" i="29"/>
  <c r="T985" i="29"/>
  <c r="R985" i="29"/>
  <c r="Q985" i="29"/>
  <c r="V984" i="29"/>
  <c r="U984" i="29"/>
  <c r="T984" i="29"/>
  <c r="R984" i="29"/>
  <c r="Q984" i="29"/>
  <c r="V983" i="29"/>
  <c r="U983" i="29"/>
  <c r="T983" i="29"/>
  <c r="R983" i="29"/>
  <c r="Q983" i="29"/>
  <c r="V982" i="29"/>
  <c r="U982" i="29"/>
  <c r="T982" i="29"/>
  <c r="R982" i="29"/>
  <c r="Q982" i="29"/>
  <c r="V981" i="29"/>
  <c r="U981" i="29"/>
  <c r="T981" i="29"/>
  <c r="R981" i="29"/>
  <c r="Q981" i="29"/>
  <c r="V978" i="29"/>
  <c r="U978" i="29"/>
  <c r="T978" i="29"/>
  <c r="R978" i="29"/>
  <c r="Q978" i="29"/>
  <c r="V977" i="29"/>
  <c r="U977" i="29"/>
  <c r="T977" i="29"/>
  <c r="R977" i="29"/>
  <c r="Q977" i="29"/>
  <c r="V976" i="29"/>
  <c r="U976" i="29"/>
  <c r="T976" i="29"/>
  <c r="R976" i="29"/>
  <c r="Q976" i="29"/>
  <c r="V975" i="29"/>
  <c r="U975" i="29"/>
  <c r="T975" i="29"/>
  <c r="R975" i="29"/>
  <c r="Q975" i="29"/>
  <c r="V974" i="29"/>
  <c r="U974" i="29"/>
  <c r="T974" i="29"/>
  <c r="R974" i="29"/>
  <c r="Q974" i="29"/>
  <c r="V973" i="29"/>
  <c r="U973" i="29"/>
  <c r="T973" i="29"/>
  <c r="R973" i="29"/>
  <c r="Q973" i="29"/>
  <c r="V972" i="29"/>
  <c r="U972" i="29"/>
  <c r="T972" i="29"/>
  <c r="R972" i="29"/>
  <c r="Q972" i="29"/>
  <c r="V971" i="29"/>
  <c r="U971" i="29"/>
  <c r="T971" i="29"/>
  <c r="R971" i="29"/>
  <c r="Q971" i="29"/>
  <c r="V970" i="29"/>
  <c r="U970" i="29"/>
  <c r="T970" i="29"/>
  <c r="R970" i="29"/>
  <c r="Q970" i="29"/>
  <c r="V967" i="29"/>
  <c r="U967" i="29"/>
  <c r="T967" i="29"/>
  <c r="R967" i="29"/>
  <c r="Q967" i="29"/>
  <c r="V966" i="29"/>
  <c r="U966" i="29"/>
  <c r="T966" i="29"/>
  <c r="R966" i="29"/>
  <c r="Q966" i="29"/>
  <c r="V965" i="29"/>
  <c r="U965" i="29"/>
  <c r="T965" i="29"/>
  <c r="R965" i="29"/>
  <c r="Q965" i="29"/>
  <c r="V964" i="29"/>
  <c r="U964" i="29"/>
  <c r="T964" i="29"/>
  <c r="R964" i="29"/>
  <c r="Q964" i="29"/>
  <c r="V963" i="29"/>
  <c r="U963" i="29"/>
  <c r="T963" i="29"/>
  <c r="R963" i="29"/>
  <c r="Q963" i="29"/>
  <c r="V962" i="29"/>
  <c r="U962" i="29"/>
  <c r="T962" i="29"/>
  <c r="R962" i="29"/>
  <c r="Q962" i="29"/>
  <c r="V961" i="29"/>
  <c r="U961" i="29"/>
  <c r="T961" i="29"/>
  <c r="R961" i="29"/>
  <c r="Q961" i="29"/>
  <c r="V960" i="29"/>
  <c r="U960" i="29"/>
  <c r="T960" i="29"/>
  <c r="R960" i="29"/>
  <c r="Q960" i="29"/>
  <c r="V959" i="29"/>
  <c r="U959" i="29"/>
  <c r="T959" i="29"/>
  <c r="R959" i="29"/>
  <c r="Q959" i="29"/>
  <c r="V956" i="29"/>
  <c r="U956" i="29"/>
  <c r="T956" i="29"/>
  <c r="R956" i="29"/>
  <c r="Q956" i="29"/>
  <c r="V955" i="29"/>
  <c r="U955" i="29"/>
  <c r="T955" i="29"/>
  <c r="R955" i="29"/>
  <c r="Q955" i="29"/>
  <c r="V954" i="29"/>
  <c r="U954" i="29"/>
  <c r="T954" i="29"/>
  <c r="R954" i="29"/>
  <c r="Q954" i="29"/>
  <c r="V953" i="29"/>
  <c r="U953" i="29"/>
  <c r="T953" i="29"/>
  <c r="R953" i="29"/>
  <c r="Q953" i="29"/>
  <c r="V952" i="29"/>
  <c r="U952" i="29"/>
  <c r="T952" i="29"/>
  <c r="R952" i="29"/>
  <c r="Q952" i="29"/>
  <c r="V951" i="29"/>
  <c r="U951" i="29"/>
  <c r="T951" i="29"/>
  <c r="R951" i="29"/>
  <c r="Q951" i="29"/>
  <c r="V950" i="29"/>
  <c r="U950" i="29"/>
  <c r="T950" i="29"/>
  <c r="R950" i="29"/>
  <c r="Q950" i="29"/>
  <c r="V949" i="29"/>
  <c r="U949" i="29"/>
  <c r="T949" i="29"/>
  <c r="R949" i="29"/>
  <c r="Q949" i="29"/>
  <c r="V948" i="29"/>
  <c r="U948" i="29"/>
  <c r="T948" i="29"/>
  <c r="R948" i="29"/>
  <c r="Q948" i="29"/>
  <c r="V945" i="29"/>
  <c r="U945" i="29"/>
  <c r="T945" i="29"/>
  <c r="R945" i="29"/>
  <c r="Q945" i="29"/>
  <c r="V944" i="29"/>
  <c r="U944" i="29"/>
  <c r="T944" i="29"/>
  <c r="R944" i="29"/>
  <c r="Q944" i="29"/>
  <c r="V943" i="29"/>
  <c r="U943" i="29"/>
  <c r="T943" i="29"/>
  <c r="R943" i="29"/>
  <c r="Q943" i="29"/>
  <c r="V942" i="29"/>
  <c r="U942" i="29"/>
  <c r="T942" i="29"/>
  <c r="R942" i="29"/>
  <c r="Q942" i="29"/>
  <c r="V941" i="29"/>
  <c r="U941" i="29"/>
  <c r="T941" i="29"/>
  <c r="R941" i="29"/>
  <c r="Q941" i="29"/>
  <c r="V940" i="29"/>
  <c r="U940" i="29"/>
  <c r="T940" i="29"/>
  <c r="R940" i="29"/>
  <c r="Q940" i="29"/>
  <c r="V939" i="29"/>
  <c r="U939" i="29"/>
  <c r="T939" i="29"/>
  <c r="R939" i="29"/>
  <c r="Q939" i="29"/>
  <c r="V938" i="29"/>
  <c r="U938" i="29"/>
  <c r="T938" i="29"/>
  <c r="R938" i="29"/>
  <c r="Q938" i="29"/>
  <c r="V937" i="29"/>
  <c r="U937" i="29"/>
  <c r="T937" i="29"/>
  <c r="R937" i="29"/>
  <c r="Q937" i="29"/>
  <c r="V934" i="29"/>
  <c r="U934" i="29"/>
  <c r="T934" i="29"/>
  <c r="R934" i="29"/>
  <c r="Q934" i="29"/>
  <c r="V933" i="29"/>
  <c r="U933" i="29"/>
  <c r="W933" i="29" s="1"/>
  <c r="X933" i="29" s="1"/>
  <c r="T933" i="29"/>
  <c r="R933" i="29"/>
  <c r="Q933" i="29"/>
  <c r="V932" i="29"/>
  <c r="U932" i="29"/>
  <c r="T932" i="29"/>
  <c r="R932" i="29"/>
  <c r="Q932" i="29"/>
  <c r="V931" i="29"/>
  <c r="U931" i="29"/>
  <c r="W931" i="29" s="1"/>
  <c r="X931" i="29" s="1"/>
  <c r="T931" i="29"/>
  <c r="R931" i="29"/>
  <c r="Q931" i="29"/>
  <c r="V930" i="29"/>
  <c r="U930" i="29"/>
  <c r="T930" i="29"/>
  <c r="R930" i="29"/>
  <c r="Q930" i="29"/>
  <c r="V929" i="29"/>
  <c r="U929" i="29"/>
  <c r="T929" i="29"/>
  <c r="R929" i="29"/>
  <c r="Q929" i="29"/>
  <c r="V928" i="29"/>
  <c r="U928" i="29"/>
  <c r="T928" i="29"/>
  <c r="R928" i="29"/>
  <c r="Q928" i="29"/>
  <c r="V927" i="29"/>
  <c r="U927" i="29"/>
  <c r="T927" i="29"/>
  <c r="R927" i="29"/>
  <c r="Q927" i="29"/>
  <c r="V926" i="29"/>
  <c r="U926" i="29"/>
  <c r="T926" i="29"/>
  <c r="R926" i="29"/>
  <c r="Q926" i="29"/>
  <c r="V923" i="29"/>
  <c r="U923" i="29"/>
  <c r="T923" i="29"/>
  <c r="R923" i="29"/>
  <c r="Q923" i="29"/>
  <c r="V922" i="29"/>
  <c r="U922" i="29"/>
  <c r="T922" i="29"/>
  <c r="R922" i="29"/>
  <c r="Q922" i="29"/>
  <c r="V921" i="29"/>
  <c r="U921" i="29"/>
  <c r="T921" i="29"/>
  <c r="R921" i="29"/>
  <c r="Q921" i="29"/>
  <c r="V920" i="29"/>
  <c r="U920" i="29"/>
  <c r="T920" i="29"/>
  <c r="R920" i="29"/>
  <c r="Q920" i="29"/>
  <c r="V919" i="29"/>
  <c r="U919" i="29"/>
  <c r="T919" i="29"/>
  <c r="R919" i="29"/>
  <c r="Q919" i="29"/>
  <c r="V918" i="29"/>
  <c r="U918" i="29"/>
  <c r="T918" i="29"/>
  <c r="R918" i="29"/>
  <c r="Q918" i="29"/>
  <c r="V917" i="29"/>
  <c r="U917" i="29"/>
  <c r="T917" i="29"/>
  <c r="R917" i="29"/>
  <c r="Q917" i="29"/>
  <c r="V916" i="29"/>
  <c r="U916" i="29"/>
  <c r="T916" i="29"/>
  <c r="R916" i="29"/>
  <c r="Q916" i="29"/>
  <c r="V915" i="29"/>
  <c r="U915" i="29"/>
  <c r="T915" i="29"/>
  <c r="R915" i="29"/>
  <c r="Q915" i="29"/>
  <c r="V912" i="29"/>
  <c r="U912" i="29"/>
  <c r="T912" i="29"/>
  <c r="R912" i="29"/>
  <c r="Q912" i="29"/>
  <c r="V911" i="29"/>
  <c r="U911" i="29"/>
  <c r="T911" i="29"/>
  <c r="R911" i="29"/>
  <c r="Q911" i="29"/>
  <c r="V910" i="29"/>
  <c r="U910" i="29"/>
  <c r="T910" i="29"/>
  <c r="R910" i="29"/>
  <c r="Q910" i="29"/>
  <c r="V909" i="29"/>
  <c r="U909" i="29"/>
  <c r="T909" i="29"/>
  <c r="R909" i="29"/>
  <c r="Q909" i="29"/>
  <c r="V908" i="29"/>
  <c r="U908" i="29"/>
  <c r="T908" i="29"/>
  <c r="R908" i="29"/>
  <c r="Q908" i="29"/>
  <c r="V907" i="29"/>
  <c r="U907" i="29"/>
  <c r="T907" i="29"/>
  <c r="R907" i="29"/>
  <c r="Q907" i="29"/>
  <c r="V906" i="29"/>
  <c r="U906" i="29"/>
  <c r="T906" i="29"/>
  <c r="R906" i="29"/>
  <c r="Q906" i="29"/>
  <c r="V905" i="29"/>
  <c r="U905" i="29"/>
  <c r="T905" i="29"/>
  <c r="R905" i="29"/>
  <c r="Q905" i="29"/>
  <c r="V904" i="29"/>
  <c r="U904" i="29"/>
  <c r="T904" i="29"/>
  <c r="R904" i="29"/>
  <c r="Q904" i="29"/>
  <c r="V901" i="29"/>
  <c r="U901" i="29"/>
  <c r="T901" i="29"/>
  <c r="R901" i="29"/>
  <c r="Q901" i="29"/>
  <c r="V900" i="29"/>
  <c r="U900" i="29"/>
  <c r="T900" i="29"/>
  <c r="R900" i="29"/>
  <c r="Q900" i="29"/>
  <c r="V899" i="29"/>
  <c r="U899" i="29"/>
  <c r="T899" i="29"/>
  <c r="R899" i="29"/>
  <c r="Q899" i="29"/>
  <c r="V898" i="29"/>
  <c r="U898" i="29"/>
  <c r="T898" i="29"/>
  <c r="R898" i="29"/>
  <c r="Q898" i="29"/>
  <c r="V897" i="29"/>
  <c r="U897" i="29"/>
  <c r="T897" i="29"/>
  <c r="R897" i="29"/>
  <c r="Q897" i="29"/>
  <c r="V896" i="29"/>
  <c r="U896" i="29"/>
  <c r="T896" i="29"/>
  <c r="R896" i="29"/>
  <c r="Q896" i="29"/>
  <c r="V895" i="29"/>
  <c r="U895" i="29"/>
  <c r="T895" i="29"/>
  <c r="R895" i="29"/>
  <c r="Q895" i="29"/>
  <c r="V894" i="29"/>
  <c r="U894" i="29"/>
  <c r="T894" i="29"/>
  <c r="R894" i="29"/>
  <c r="Q894" i="29"/>
  <c r="V893" i="29"/>
  <c r="U893" i="29"/>
  <c r="T893" i="29"/>
  <c r="R893" i="29"/>
  <c r="Q893" i="29"/>
  <c r="V890" i="29"/>
  <c r="U890" i="29"/>
  <c r="T890" i="29"/>
  <c r="R890" i="29"/>
  <c r="Q890" i="29"/>
  <c r="V889" i="29"/>
  <c r="U889" i="29"/>
  <c r="T889" i="29"/>
  <c r="R889" i="29"/>
  <c r="Q889" i="29"/>
  <c r="V888" i="29"/>
  <c r="U888" i="29"/>
  <c r="T888" i="29"/>
  <c r="R888" i="29"/>
  <c r="Q888" i="29"/>
  <c r="V887" i="29"/>
  <c r="U887" i="29"/>
  <c r="T887" i="29"/>
  <c r="R887" i="29"/>
  <c r="Q887" i="29"/>
  <c r="V886" i="29"/>
  <c r="U886" i="29"/>
  <c r="T886" i="29"/>
  <c r="R886" i="29"/>
  <c r="Q886" i="29"/>
  <c r="V885" i="29"/>
  <c r="U885" i="29"/>
  <c r="T885" i="29"/>
  <c r="R885" i="29"/>
  <c r="Q885" i="29"/>
  <c r="V884" i="29"/>
  <c r="U884" i="29"/>
  <c r="T884" i="29"/>
  <c r="R884" i="29"/>
  <c r="Q884" i="29"/>
  <c r="V883" i="29"/>
  <c r="U883" i="29"/>
  <c r="T883" i="29"/>
  <c r="R883" i="29"/>
  <c r="Q883" i="29"/>
  <c r="V882" i="29"/>
  <c r="U882" i="29"/>
  <c r="T882" i="29"/>
  <c r="R882" i="29"/>
  <c r="Q882" i="29"/>
  <c r="V879" i="29"/>
  <c r="U879" i="29"/>
  <c r="T879" i="29"/>
  <c r="R879" i="29"/>
  <c r="Q879" i="29"/>
  <c r="V878" i="29"/>
  <c r="U878" i="29"/>
  <c r="T878" i="29"/>
  <c r="R878" i="29"/>
  <c r="Q878" i="29"/>
  <c r="V877" i="29"/>
  <c r="U877" i="29"/>
  <c r="T877" i="29"/>
  <c r="R877" i="29"/>
  <c r="Q877" i="29"/>
  <c r="V876" i="29"/>
  <c r="U876" i="29"/>
  <c r="T876" i="29"/>
  <c r="R876" i="29"/>
  <c r="Q876" i="29"/>
  <c r="V875" i="29"/>
  <c r="U875" i="29"/>
  <c r="T875" i="29"/>
  <c r="R875" i="29"/>
  <c r="Q875" i="29"/>
  <c r="V874" i="29"/>
  <c r="U874" i="29"/>
  <c r="T874" i="29"/>
  <c r="R874" i="29"/>
  <c r="Q874" i="29"/>
  <c r="V873" i="29"/>
  <c r="U873" i="29"/>
  <c r="T873" i="29"/>
  <c r="R873" i="29"/>
  <c r="Q873" i="29"/>
  <c r="V872" i="29"/>
  <c r="U872" i="29"/>
  <c r="T872" i="29"/>
  <c r="R872" i="29"/>
  <c r="Q872" i="29"/>
  <c r="V871" i="29"/>
  <c r="U871" i="29"/>
  <c r="T871" i="29"/>
  <c r="R871" i="29"/>
  <c r="Q871" i="29"/>
  <c r="V868" i="29"/>
  <c r="U868" i="29"/>
  <c r="T868" i="29"/>
  <c r="R868" i="29"/>
  <c r="Q868" i="29"/>
  <c r="V867" i="29"/>
  <c r="U867" i="29"/>
  <c r="T867" i="29"/>
  <c r="R867" i="29"/>
  <c r="Q867" i="29"/>
  <c r="V866" i="29"/>
  <c r="U866" i="29"/>
  <c r="T866" i="29"/>
  <c r="R866" i="29"/>
  <c r="Q866" i="29"/>
  <c r="V865" i="29"/>
  <c r="U865" i="29"/>
  <c r="T865" i="29"/>
  <c r="R865" i="29"/>
  <c r="Q865" i="29"/>
  <c r="V864" i="29"/>
  <c r="U864" i="29"/>
  <c r="T864" i="29"/>
  <c r="R864" i="29"/>
  <c r="Q864" i="29"/>
  <c r="V863" i="29"/>
  <c r="U863" i="29"/>
  <c r="T863" i="29"/>
  <c r="R863" i="29"/>
  <c r="Q863" i="29"/>
  <c r="V862" i="29"/>
  <c r="U862" i="29"/>
  <c r="T862" i="29"/>
  <c r="R862" i="29"/>
  <c r="Q862" i="29"/>
  <c r="V861" i="29"/>
  <c r="U861" i="29"/>
  <c r="T861" i="29"/>
  <c r="R861" i="29"/>
  <c r="Q861" i="29"/>
  <c r="V860" i="29"/>
  <c r="U860" i="29"/>
  <c r="T860" i="29"/>
  <c r="R860" i="29"/>
  <c r="Q860" i="29"/>
  <c r="V857" i="29"/>
  <c r="U857" i="29"/>
  <c r="T857" i="29"/>
  <c r="R857" i="29"/>
  <c r="Q857" i="29"/>
  <c r="V856" i="29"/>
  <c r="U856" i="29"/>
  <c r="T856" i="29"/>
  <c r="R856" i="29"/>
  <c r="Q856" i="29"/>
  <c r="V855" i="29"/>
  <c r="U855" i="29"/>
  <c r="T855" i="29"/>
  <c r="R855" i="29"/>
  <c r="Q855" i="29"/>
  <c r="V854" i="29"/>
  <c r="U854" i="29"/>
  <c r="T854" i="29"/>
  <c r="R854" i="29"/>
  <c r="Q854" i="29"/>
  <c r="V853" i="29"/>
  <c r="U853" i="29"/>
  <c r="T853" i="29"/>
  <c r="R853" i="29"/>
  <c r="Q853" i="29"/>
  <c r="V852" i="29"/>
  <c r="U852" i="29"/>
  <c r="T852" i="29"/>
  <c r="R852" i="29"/>
  <c r="Q852" i="29"/>
  <c r="V851" i="29"/>
  <c r="U851" i="29"/>
  <c r="T851" i="29"/>
  <c r="R851" i="29"/>
  <c r="Q851" i="29"/>
  <c r="V850" i="29"/>
  <c r="U850" i="29"/>
  <c r="T850" i="29"/>
  <c r="R850" i="29"/>
  <c r="Q850" i="29"/>
  <c r="V849" i="29"/>
  <c r="U849" i="29"/>
  <c r="T849" i="29"/>
  <c r="R849" i="29"/>
  <c r="Q849" i="29"/>
  <c r="V846" i="29"/>
  <c r="U846" i="29"/>
  <c r="T846" i="29"/>
  <c r="R846" i="29"/>
  <c r="Q846" i="29"/>
  <c r="V845" i="29"/>
  <c r="U845" i="29"/>
  <c r="T845" i="29"/>
  <c r="R845" i="29"/>
  <c r="Q845" i="29"/>
  <c r="V844" i="29"/>
  <c r="U844" i="29"/>
  <c r="T844" i="29"/>
  <c r="R844" i="29"/>
  <c r="Q844" i="29"/>
  <c r="V843" i="29"/>
  <c r="U843" i="29"/>
  <c r="T843" i="29"/>
  <c r="R843" i="29"/>
  <c r="Q843" i="29"/>
  <c r="V842" i="29"/>
  <c r="U842" i="29"/>
  <c r="T842" i="29"/>
  <c r="R842" i="29"/>
  <c r="Q842" i="29"/>
  <c r="V841" i="29"/>
  <c r="U841" i="29"/>
  <c r="T841" i="29"/>
  <c r="R841" i="29"/>
  <c r="Q841" i="29"/>
  <c r="V840" i="29"/>
  <c r="U840" i="29"/>
  <c r="T840" i="29"/>
  <c r="R840" i="29"/>
  <c r="Q840" i="29"/>
  <c r="V839" i="29"/>
  <c r="U839" i="29"/>
  <c r="T839" i="29"/>
  <c r="R839" i="29"/>
  <c r="Q839" i="29"/>
  <c r="V838" i="29"/>
  <c r="U838" i="29"/>
  <c r="T838" i="29"/>
  <c r="R838" i="29"/>
  <c r="Q838" i="29"/>
  <c r="V835" i="29"/>
  <c r="U835" i="29"/>
  <c r="T835" i="29"/>
  <c r="R835" i="29"/>
  <c r="Q835" i="29"/>
  <c r="V834" i="29"/>
  <c r="U834" i="29"/>
  <c r="T834" i="29"/>
  <c r="R834" i="29"/>
  <c r="Q834" i="29"/>
  <c r="V833" i="29"/>
  <c r="U833" i="29"/>
  <c r="T833" i="29"/>
  <c r="R833" i="29"/>
  <c r="Q833" i="29"/>
  <c r="V832" i="29"/>
  <c r="U832" i="29"/>
  <c r="T832" i="29"/>
  <c r="R832" i="29"/>
  <c r="Q832" i="29"/>
  <c r="V831" i="29"/>
  <c r="U831" i="29"/>
  <c r="T831" i="29"/>
  <c r="R831" i="29"/>
  <c r="Q831" i="29"/>
  <c r="V830" i="29"/>
  <c r="U830" i="29"/>
  <c r="T830" i="29"/>
  <c r="R830" i="29"/>
  <c r="Q830" i="29"/>
  <c r="V829" i="29"/>
  <c r="U829" i="29"/>
  <c r="T829" i="29"/>
  <c r="R829" i="29"/>
  <c r="Q829" i="29"/>
  <c r="V828" i="29"/>
  <c r="U828" i="29"/>
  <c r="T828" i="29"/>
  <c r="R828" i="29"/>
  <c r="Q828" i="29"/>
  <c r="V827" i="29"/>
  <c r="U827" i="29"/>
  <c r="T827" i="29"/>
  <c r="R827" i="29"/>
  <c r="Q827" i="29"/>
  <c r="V824" i="29"/>
  <c r="U824" i="29"/>
  <c r="T824" i="29"/>
  <c r="R824" i="29"/>
  <c r="Q824" i="29"/>
  <c r="V823" i="29"/>
  <c r="U823" i="29"/>
  <c r="T823" i="29"/>
  <c r="R823" i="29"/>
  <c r="Q823" i="29"/>
  <c r="V822" i="29"/>
  <c r="U822" i="29"/>
  <c r="T822" i="29"/>
  <c r="R822" i="29"/>
  <c r="Q822" i="29"/>
  <c r="V821" i="29"/>
  <c r="U821" i="29"/>
  <c r="T821" i="29"/>
  <c r="R821" i="29"/>
  <c r="Q821" i="29"/>
  <c r="V820" i="29"/>
  <c r="U820" i="29"/>
  <c r="T820" i="29"/>
  <c r="R820" i="29"/>
  <c r="Q820" i="29"/>
  <c r="V819" i="29"/>
  <c r="U819" i="29"/>
  <c r="T819" i="29"/>
  <c r="R819" i="29"/>
  <c r="Q819" i="29"/>
  <c r="V818" i="29"/>
  <c r="U818" i="29"/>
  <c r="T818" i="29"/>
  <c r="R818" i="29"/>
  <c r="Q818" i="29"/>
  <c r="V817" i="29"/>
  <c r="U817" i="29"/>
  <c r="T817" i="29"/>
  <c r="R817" i="29"/>
  <c r="Q817" i="29"/>
  <c r="V816" i="29"/>
  <c r="U816" i="29"/>
  <c r="T816" i="29"/>
  <c r="R816" i="29"/>
  <c r="Q816" i="29"/>
  <c r="V813" i="29"/>
  <c r="U813" i="29"/>
  <c r="T813" i="29"/>
  <c r="R813" i="29"/>
  <c r="Q813" i="29"/>
  <c r="V812" i="29"/>
  <c r="U812" i="29"/>
  <c r="T812" i="29"/>
  <c r="R812" i="29"/>
  <c r="Q812" i="29"/>
  <c r="V811" i="29"/>
  <c r="U811" i="29"/>
  <c r="T811" i="29"/>
  <c r="R811" i="29"/>
  <c r="Q811" i="29"/>
  <c r="V810" i="29"/>
  <c r="U810" i="29"/>
  <c r="T810" i="29"/>
  <c r="R810" i="29"/>
  <c r="Q810" i="29"/>
  <c r="V809" i="29"/>
  <c r="U809" i="29"/>
  <c r="T809" i="29"/>
  <c r="R809" i="29"/>
  <c r="Q809" i="29"/>
  <c r="V808" i="29"/>
  <c r="U808" i="29"/>
  <c r="T808" i="29"/>
  <c r="R808" i="29"/>
  <c r="Q808" i="29"/>
  <c r="V807" i="29"/>
  <c r="U807" i="29"/>
  <c r="T807" i="29"/>
  <c r="R807" i="29"/>
  <c r="Q807" i="29"/>
  <c r="V806" i="29"/>
  <c r="U806" i="29"/>
  <c r="T806" i="29"/>
  <c r="R806" i="29"/>
  <c r="Q806" i="29"/>
  <c r="V805" i="29"/>
  <c r="U805" i="29"/>
  <c r="T805" i="29"/>
  <c r="R805" i="29"/>
  <c r="Q805" i="29"/>
  <c r="V802" i="29"/>
  <c r="U802" i="29"/>
  <c r="T802" i="29"/>
  <c r="R802" i="29"/>
  <c r="Q802" i="29"/>
  <c r="V801" i="29"/>
  <c r="U801" i="29"/>
  <c r="T801" i="29"/>
  <c r="R801" i="29"/>
  <c r="Q801" i="29"/>
  <c r="V800" i="29"/>
  <c r="U800" i="29"/>
  <c r="T800" i="29"/>
  <c r="R800" i="29"/>
  <c r="Q800" i="29"/>
  <c r="V799" i="29"/>
  <c r="U799" i="29"/>
  <c r="T799" i="29"/>
  <c r="R799" i="29"/>
  <c r="Q799" i="29"/>
  <c r="V798" i="29"/>
  <c r="U798" i="29"/>
  <c r="T798" i="29"/>
  <c r="R798" i="29"/>
  <c r="Q798" i="29"/>
  <c r="V797" i="29"/>
  <c r="U797" i="29"/>
  <c r="T797" i="29"/>
  <c r="R797" i="29"/>
  <c r="Q797" i="29"/>
  <c r="V796" i="29"/>
  <c r="U796" i="29"/>
  <c r="T796" i="29"/>
  <c r="R796" i="29"/>
  <c r="Q796" i="29"/>
  <c r="V795" i="29"/>
  <c r="U795" i="29"/>
  <c r="T795" i="29"/>
  <c r="R795" i="29"/>
  <c r="Q795" i="29"/>
  <c r="V794" i="29"/>
  <c r="U794" i="29"/>
  <c r="T794" i="29"/>
  <c r="R794" i="29"/>
  <c r="Q794" i="29"/>
  <c r="V791" i="29"/>
  <c r="U791" i="29"/>
  <c r="T791" i="29"/>
  <c r="R791" i="29"/>
  <c r="Q791" i="29"/>
  <c r="V790" i="29"/>
  <c r="U790" i="29"/>
  <c r="T790" i="29"/>
  <c r="R790" i="29"/>
  <c r="Q790" i="29"/>
  <c r="V789" i="29"/>
  <c r="U789" i="29"/>
  <c r="T789" i="29"/>
  <c r="R789" i="29"/>
  <c r="Q789" i="29"/>
  <c r="V788" i="29"/>
  <c r="U788" i="29"/>
  <c r="T788" i="29"/>
  <c r="R788" i="29"/>
  <c r="Q788" i="29"/>
  <c r="V787" i="29"/>
  <c r="U787" i="29"/>
  <c r="T787" i="29"/>
  <c r="R787" i="29"/>
  <c r="Q787" i="29"/>
  <c r="V786" i="29"/>
  <c r="U786" i="29"/>
  <c r="T786" i="29"/>
  <c r="R786" i="29"/>
  <c r="Q786" i="29"/>
  <c r="V785" i="29"/>
  <c r="U785" i="29"/>
  <c r="T785" i="29"/>
  <c r="R785" i="29"/>
  <c r="Q785" i="29"/>
  <c r="V784" i="29"/>
  <c r="U784" i="29"/>
  <c r="T784" i="29"/>
  <c r="R784" i="29"/>
  <c r="Q784" i="29"/>
  <c r="V783" i="29"/>
  <c r="U783" i="29"/>
  <c r="T783" i="29"/>
  <c r="R783" i="29"/>
  <c r="Q783" i="29"/>
  <c r="V780" i="29"/>
  <c r="U780" i="29"/>
  <c r="T780" i="29"/>
  <c r="R780" i="29"/>
  <c r="Q780" i="29"/>
  <c r="V779" i="29"/>
  <c r="U779" i="29"/>
  <c r="T779" i="29"/>
  <c r="R779" i="29"/>
  <c r="Q779" i="29"/>
  <c r="V778" i="29"/>
  <c r="U778" i="29"/>
  <c r="T778" i="29"/>
  <c r="R778" i="29"/>
  <c r="Q778" i="29"/>
  <c r="V777" i="29"/>
  <c r="U777" i="29"/>
  <c r="T777" i="29"/>
  <c r="R777" i="29"/>
  <c r="Q777" i="29"/>
  <c r="V776" i="29"/>
  <c r="U776" i="29"/>
  <c r="T776" i="29"/>
  <c r="R776" i="29"/>
  <c r="Q776" i="29"/>
  <c r="V775" i="29"/>
  <c r="U775" i="29"/>
  <c r="T775" i="29"/>
  <c r="R775" i="29"/>
  <c r="Q775" i="29"/>
  <c r="V774" i="29"/>
  <c r="U774" i="29"/>
  <c r="T774" i="29"/>
  <c r="R774" i="29"/>
  <c r="Q774" i="29"/>
  <c r="V773" i="29"/>
  <c r="U773" i="29"/>
  <c r="T773" i="29"/>
  <c r="R773" i="29"/>
  <c r="Q773" i="29"/>
  <c r="V772" i="29"/>
  <c r="U772" i="29"/>
  <c r="T772" i="29"/>
  <c r="R772" i="29"/>
  <c r="Q772" i="29"/>
  <c r="V769" i="29"/>
  <c r="U769" i="29"/>
  <c r="T769" i="29"/>
  <c r="R769" i="29"/>
  <c r="Q769" i="29"/>
  <c r="V768" i="29"/>
  <c r="U768" i="29"/>
  <c r="T768" i="29"/>
  <c r="R768" i="29"/>
  <c r="Q768" i="29"/>
  <c r="V767" i="29"/>
  <c r="U767" i="29"/>
  <c r="T767" i="29"/>
  <c r="R767" i="29"/>
  <c r="Q767" i="29"/>
  <c r="V766" i="29"/>
  <c r="U766" i="29"/>
  <c r="T766" i="29"/>
  <c r="R766" i="29"/>
  <c r="Q766" i="29"/>
  <c r="V765" i="29"/>
  <c r="U765" i="29"/>
  <c r="T765" i="29"/>
  <c r="R765" i="29"/>
  <c r="Q765" i="29"/>
  <c r="V764" i="29"/>
  <c r="U764" i="29"/>
  <c r="T764" i="29"/>
  <c r="R764" i="29"/>
  <c r="Q764" i="29"/>
  <c r="V763" i="29"/>
  <c r="U763" i="29"/>
  <c r="T763" i="29"/>
  <c r="R763" i="29"/>
  <c r="Q763" i="29"/>
  <c r="V762" i="29"/>
  <c r="U762" i="29"/>
  <c r="T762" i="29"/>
  <c r="R762" i="29"/>
  <c r="Q762" i="29"/>
  <c r="V761" i="29"/>
  <c r="U761" i="29"/>
  <c r="T761" i="29"/>
  <c r="R761" i="29"/>
  <c r="Q761" i="29"/>
  <c r="V758" i="29"/>
  <c r="U758" i="29"/>
  <c r="T758" i="29"/>
  <c r="R758" i="29"/>
  <c r="Q758" i="29"/>
  <c r="V757" i="29"/>
  <c r="U757" i="29"/>
  <c r="T757" i="29"/>
  <c r="R757" i="29"/>
  <c r="Q757" i="29"/>
  <c r="V756" i="29"/>
  <c r="U756" i="29"/>
  <c r="T756" i="29"/>
  <c r="R756" i="29"/>
  <c r="Q756" i="29"/>
  <c r="V755" i="29"/>
  <c r="U755" i="29"/>
  <c r="T755" i="29"/>
  <c r="R755" i="29"/>
  <c r="Q755" i="29"/>
  <c r="V754" i="29"/>
  <c r="U754" i="29"/>
  <c r="T754" i="29"/>
  <c r="R754" i="29"/>
  <c r="Q754" i="29"/>
  <c r="V753" i="29"/>
  <c r="U753" i="29"/>
  <c r="T753" i="29"/>
  <c r="R753" i="29"/>
  <c r="Q753" i="29"/>
  <c r="V752" i="29"/>
  <c r="U752" i="29"/>
  <c r="T752" i="29"/>
  <c r="R752" i="29"/>
  <c r="Q752" i="29"/>
  <c r="V751" i="29"/>
  <c r="U751" i="29"/>
  <c r="T751" i="29"/>
  <c r="R751" i="29"/>
  <c r="Q751" i="29"/>
  <c r="V750" i="29"/>
  <c r="U750" i="29"/>
  <c r="T750" i="29"/>
  <c r="R750" i="29"/>
  <c r="Q750" i="29"/>
  <c r="V747" i="29"/>
  <c r="U747" i="29"/>
  <c r="T747" i="29"/>
  <c r="R747" i="29"/>
  <c r="Q747" i="29"/>
  <c r="V746" i="29"/>
  <c r="U746" i="29"/>
  <c r="T746" i="29"/>
  <c r="R746" i="29"/>
  <c r="Q746" i="29"/>
  <c r="V745" i="29"/>
  <c r="U745" i="29"/>
  <c r="T745" i="29"/>
  <c r="R745" i="29"/>
  <c r="Q745" i="29"/>
  <c r="V744" i="29"/>
  <c r="U744" i="29"/>
  <c r="T744" i="29"/>
  <c r="R744" i="29"/>
  <c r="Q744" i="29"/>
  <c r="V743" i="29"/>
  <c r="U743" i="29"/>
  <c r="T743" i="29"/>
  <c r="R743" i="29"/>
  <c r="Q743" i="29"/>
  <c r="V742" i="29"/>
  <c r="U742" i="29"/>
  <c r="T742" i="29"/>
  <c r="R742" i="29"/>
  <c r="Q742" i="29"/>
  <c r="V741" i="29"/>
  <c r="U741" i="29"/>
  <c r="T741" i="29"/>
  <c r="R741" i="29"/>
  <c r="Q741" i="29"/>
  <c r="V740" i="29"/>
  <c r="U740" i="29"/>
  <c r="T740" i="29"/>
  <c r="R740" i="29"/>
  <c r="Q740" i="29"/>
  <c r="V739" i="29"/>
  <c r="U739" i="29"/>
  <c r="T739" i="29"/>
  <c r="R739" i="29"/>
  <c r="Q739" i="29"/>
  <c r="V736" i="29"/>
  <c r="U736" i="29"/>
  <c r="T736" i="29"/>
  <c r="R736" i="29"/>
  <c r="Q736" i="29"/>
  <c r="V735" i="29"/>
  <c r="U735" i="29"/>
  <c r="W735" i="29" s="1"/>
  <c r="X735" i="29" s="1"/>
  <c r="T735" i="29"/>
  <c r="R735" i="29"/>
  <c r="Q735" i="29"/>
  <c r="V734" i="29"/>
  <c r="U734" i="29"/>
  <c r="T734" i="29"/>
  <c r="R734" i="29"/>
  <c r="Q734" i="29"/>
  <c r="V733" i="29"/>
  <c r="U733" i="29"/>
  <c r="T733" i="29"/>
  <c r="R733" i="29"/>
  <c r="Q733" i="29"/>
  <c r="V732" i="29"/>
  <c r="U732" i="29"/>
  <c r="T732" i="29"/>
  <c r="R732" i="29"/>
  <c r="Q732" i="29"/>
  <c r="V731" i="29"/>
  <c r="U731" i="29"/>
  <c r="T731" i="29"/>
  <c r="R731" i="29"/>
  <c r="Q731" i="29"/>
  <c r="V730" i="29"/>
  <c r="U730" i="29"/>
  <c r="T730" i="29"/>
  <c r="R730" i="29"/>
  <c r="Q730" i="29"/>
  <c r="V729" i="29"/>
  <c r="U729" i="29"/>
  <c r="T729" i="29"/>
  <c r="R729" i="29"/>
  <c r="Q729" i="29"/>
  <c r="V728" i="29"/>
  <c r="U728" i="29"/>
  <c r="T728" i="29"/>
  <c r="R728" i="29"/>
  <c r="Q728" i="29"/>
  <c r="V725" i="29"/>
  <c r="U725" i="29"/>
  <c r="T725" i="29"/>
  <c r="R725" i="29"/>
  <c r="Q725" i="29"/>
  <c r="V724" i="29"/>
  <c r="U724" i="29"/>
  <c r="T724" i="29"/>
  <c r="R724" i="29"/>
  <c r="Q724" i="29"/>
  <c r="V723" i="29"/>
  <c r="U723" i="29"/>
  <c r="T723" i="29"/>
  <c r="R723" i="29"/>
  <c r="Q723" i="29"/>
  <c r="V722" i="29"/>
  <c r="U722" i="29"/>
  <c r="T722" i="29"/>
  <c r="R722" i="29"/>
  <c r="Q722" i="29"/>
  <c r="V721" i="29"/>
  <c r="U721" i="29"/>
  <c r="T721" i="29"/>
  <c r="R721" i="29"/>
  <c r="Q721" i="29"/>
  <c r="V720" i="29"/>
  <c r="U720" i="29"/>
  <c r="T720" i="29"/>
  <c r="R720" i="29"/>
  <c r="Q720" i="29"/>
  <c r="V719" i="29"/>
  <c r="U719" i="29"/>
  <c r="T719" i="29"/>
  <c r="R719" i="29"/>
  <c r="Q719" i="29"/>
  <c r="V718" i="29"/>
  <c r="U718" i="29"/>
  <c r="T718" i="29"/>
  <c r="R718" i="29"/>
  <c r="Q718" i="29"/>
  <c r="V717" i="29"/>
  <c r="U717" i="29"/>
  <c r="T717" i="29"/>
  <c r="R717" i="29"/>
  <c r="Q717" i="29"/>
  <c r="V714" i="29"/>
  <c r="U714" i="29"/>
  <c r="T714" i="29"/>
  <c r="R714" i="29"/>
  <c r="Q714" i="29"/>
  <c r="V713" i="29"/>
  <c r="U713" i="29"/>
  <c r="T713" i="29"/>
  <c r="R713" i="29"/>
  <c r="Q713" i="29"/>
  <c r="V712" i="29"/>
  <c r="U712" i="29"/>
  <c r="T712" i="29"/>
  <c r="R712" i="29"/>
  <c r="Q712" i="29"/>
  <c r="V711" i="29"/>
  <c r="U711" i="29"/>
  <c r="T711" i="29"/>
  <c r="R711" i="29"/>
  <c r="Q711" i="29"/>
  <c r="V710" i="29"/>
  <c r="U710" i="29"/>
  <c r="T710" i="29"/>
  <c r="R710" i="29"/>
  <c r="Q710" i="29"/>
  <c r="V709" i="29"/>
  <c r="U709" i="29"/>
  <c r="T709" i="29"/>
  <c r="R709" i="29"/>
  <c r="Q709" i="29"/>
  <c r="V708" i="29"/>
  <c r="U708" i="29"/>
  <c r="T708" i="29"/>
  <c r="R708" i="29"/>
  <c r="Q708" i="29"/>
  <c r="V707" i="29"/>
  <c r="U707" i="29"/>
  <c r="T707" i="29"/>
  <c r="R707" i="29"/>
  <c r="Q707" i="29"/>
  <c r="V706" i="29"/>
  <c r="U706" i="29"/>
  <c r="T706" i="29"/>
  <c r="R706" i="29"/>
  <c r="Q706" i="29"/>
  <c r="V703" i="29"/>
  <c r="U703" i="29"/>
  <c r="T703" i="29"/>
  <c r="R703" i="29"/>
  <c r="Q703" i="29"/>
  <c r="V702" i="29"/>
  <c r="U702" i="29"/>
  <c r="T702" i="29"/>
  <c r="R702" i="29"/>
  <c r="Q702" i="29"/>
  <c r="V701" i="29"/>
  <c r="U701" i="29"/>
  <c r="T701" i="29"/>
  <c r="R701" i="29"/>
  <c r="Q701" i="29"/>
  <c r="V700" i="29"/>
  <c r="U700" i="29"/>
  <c r="T700" i="29"/>
  <c r="R700" i="29"/>
  <c r="Q700" i="29"/>
  <c r="V699" i="29"/>
  <c r="U699" i="29"/>
  <c r="T699" i="29"/>
  <c r="R699" i="29"/>
  <c r="Q699" i="29"/>
  <c r="V698" i="29"/>
  <c r="U698" i="29"/>
  <c r="T698" i="29"/>
  <c r="R698" i="29"/>
  <c r="Q698" i="29"/>
  <c r="V697" i="29"/>
  <c r="U697" i="29"/>
  <c r="T697" i="29"/>
  <c r="R697" i="29"/>
  <c r="Q697" i="29"/>
  <c r="V696" i="29"/>
  <c r="U696" i="29"/>
  <c r="T696" i="29"/>
  <c r="R696" i="29"/>
  <c r="Q696" i="29"/>
  <c r="V695" i="29"/>
  <c r="U695" i="29"/>
  <c r="T695" i="29"/>
  <c r="R695" i="29"/>
  <c r="Q695" i="29"/>
  <c r="V692" i="29"/>
  <c r="U692" i="29"/>
  <c r="T692" i="29"/>
  <c r="R692" i="29"/>
  <c r="Q692" i="29"/>
  <c r="V691" i="29"/>
  <c r="U691" i="29"/>
  <c r="T691" i="29"/>
  <c r="R691" i="29"/>
  <c r="Q691" i="29"/>
  <c r="V690" i="29"/>
  <c r="U690" i="29"/>
  <c r="T690" i="29"/>
  <c r="R690" i="29"/>
  <c r="Q690" i="29"/>
  <c r="V689" i="29"/>
  <c r="U689" i="29"/>
  <c r="T689" i="29"/>
  <c r="R689" i="29"/>
  <c r="Q689" i="29"/>
  <c r="V688" i="29"/>
  <c r="U688" i="29"/>
  <c r="T688" i="29"/>
  <c r="R688" i="29"/>
  <c r="Q688" i="29"/>
  <c r="V687" i="29"/>
  <c r="U687" i="29"/>
  <c r="T687" i="29"/>
  <c r="R687" i="29"/>
  <c r="Q687" i="29"/>
  <c r="V686" i="29"/>
  <c r="U686" i="29"/>
  <c r="T686" i="29"/>
  <c r="R686" i="29"/>
  <c r="Q686" i="29"/>
  <c r="V685" i="29"/>
  <c r="U685" i="29"/>
  <c r="T685" i="29"/>
  <c r="R685" i="29"/>
  <c r="Q685" i="29"/>
  <c r="V684" i="29"/>
  <c r="U684" i="29"/>
  <c r="T684" i="29"/>
  <c r="R684" i="29"/>
  <c r="Q684" i="29"/>
  <c r="V681" i="29"/>
  <c r="U681" i="29"/>
  <c r="T681" i="29"/>
  <c r="R681" i="29"/>
  <c r="Q681" i="29"/>
  <c r="V680" i="29"/>
  <c r="U680" i="29"/>
  <c r="T680" i="29"/>
  <c r="R680" i="29"/>
  <c r="Q680" i="29"/>
  <c r="V679" i="29"/>
  <c r="U679" i="29"/>
  <c r="T679" i="29"/>
  <c r="R679" i="29"/>
  <c r="Q679" i="29"/>
  <c r="V678" i="29"/>
  <c r="U678" i="29"/>
  <c r="T678" i="29"/>
  <c r="R678" i="29"/>
  <c r="Q678" i="29"/>
  <c r="V677" i="29"/>
  <c r="U677" i="29"/>
  <c r="T677" i="29"/>
  <c r="R677" i="29"/>
  <c r="Q677" i="29"/>
  <c r="V676" i="29"/>
  <c r="U676" i="29"/>
  <c r="T676" i="29"/>
  <c r="R676" i="29"/>
  <c r="Q676" i="29"/>
  <c r="V675" i="29"/>
  <c r="U675" i="29"/>
  <c r="T675" i="29"/>
  <c r="R675" i="29"/>
  <c r="Q675" i="29"/>
  <c r="V674" i="29"/>
  <c r="U674" i="29"/>
  <c r="T674" i="29"/>
  <c r="R674" i="29"/>
  <c r="Q674" i="29"/>
  <c r="V673" i="29"/>
  <c r="U673" i="29"/>
  <c r="T673" i="29"/>
  <c r="R673" i="29"/>
  <c r="Q673" i="29"/>
  <c r="V670" i="29"/>
  <c r="U670" i="29"/>
  <c r="T670" i="29"/>
  <c r="R670" i="29"/>
  <c r="Q670" i="29"/>
  <c r="V669" i="29"/>
  <c r="U669" i="29"/>
  <c r="T669" i="29"/>
  <c r="R669" i="29"/>
  <c r="Q669" i="29"/>
  <c r="V668" i="29"/>
  <c r="U668" i="29"/>
  <c r="T668" i="29"/>
  <c r="R668" i="29"/>
  <c r="Q668" i="29"/>
  <c r="V667" i="29"/>
  <c r="U667" i="29"/>
  <c r="T667" i="29"/>
  <c r="R667" i="29"/>
  <c r="Q667" i="29"/>
  <c r="V666" i="29"/>
  <c r="U666" i="29"/>
  <c r="T666" i="29"/>
  <c r="R666" i="29"/>
  <c r="Q666" i="29"/>
  <c r="V665" i="29"/>
  <c r="U665" i="29"/>
  <c r="T665" i="29"/>
  <c r="R665" i="29"/>
  <c r="Q665" i="29"/>
  <c r="V664" i="29"/>
  <c r="U664" i="29"/>
  <c r="T664" i="29"/>
  <c r="R664" i="29"/>
  <c r="Q664" i="29"/>
  <c r="V663" i="29"/>
  <c r="U663" i="29"/>
  <c r="T663" i="29"/>
  <c r="R663" i="29"/>
  <c r="Q663" i="29"/>
  <c r="V662" i="29"/>
  <c r="U662" i="29"/>
  <c r="T662" i="29"/>
  <c r="R662" i="29"/>
  <c r="Q662" i="29"/>
  <c r="V659" i="29"/>
  <c r="U659" i="29"/>
  <c r="T659" i="29"/>
  <c r="R659" i="29"/>
  <c r="Q659" i="29"/>
  <c r="V658" i="29"/>
  <c r="U658" i="29"/>
  <c r="T658" i="29"/>
  <c r="R658" i="29"/>
  <c r="Q658" i="29"/>
  <c r="V657" i="29"/>
  <c r="U657" i="29"/>
  <c r="T657" i="29"/>
  <c r="R657" i="29"/>
  <c r="Q657" i="29"/>
  <c r="V656" i="29"/>
  <c r="U656" i="29"/>
  <c r="T656" i="29"/>
  <c r="R656" i="29"/>
  <c r="Q656" i="29"/>
  <c r="V655" i="29"/>
  <c r="U655" i="29"/>
  <c r="T655" i="29"/>
  <c r="R655" i="29"/>
  <c r="Q655" i="29"/>
  <c r="V654" i="29"/>
  <c r="U654" i="29"/>
  <c r="T654" i="29"/>
  <c r="R654" i="29"/>
  <c r="Q654" i="29"/>
  <c r="V653" i="29"/>
  <c r="U653" i="29"/>
  <c r="T653" i="29"/>
  <c r="R653" i="29"/>
  <c r="Q653" i="29"/>
  <c r="V652" i="29"/>
  <c r="U652" i="29"/>
  <c r="T652" i="29"/>
  <c r="R652" i="29"/>
  <c r="Q652" i="29"/>
  <c r="V651" i="29"/>
  <c r="U651" i="29"/>
  <c r="T651" i="29"/>
  <c r="R651" i="29"/>
  <c r="Q651" i="29"/>
  <c r="V648" i="29"/>
  <c r="U648" i="29"/>
  <c r="T648" i="29"/>
  <c r="R648" i="29"/>
  <c r="Q648" i="29"/>
  <c r="V647" i="29"/>
  <c r="U647" i="29"/>
  <c r="T647" i="29"/>
  <c r="R647" i="29"/>
  <c r="Q647" i="29"/>
  <c r="V646" i="29"/>
  <c r="U646" i="29"/>
  <c r="T646" i="29"/>
  <c r="R646" i="29"/>
  <c r="Q646" i="29"/>
  <c r="V645" i="29"/>
  <c r="U645" i="29"/>
  <c r="T645" i="29"/>
  <c r="R645" i="29"/>
  <c r="Q645" i="29"/>
  <c r="V644" i="29"/>
  <c r="U644" i="29"/>
  <c r="T644" i="29"/>
  <c r="R644" i="29"/>
  <c r="Q644" i="29"/>
  <c r="V643" i="29"/>
  <c r="U643" i="29"/>
  <c r="T643" i="29"/>
  <c r="R643" i="29"/>
  <c r="Q643" i="29"/>
  <c r="V642" i="29"/>
  <c r="U642" i="29"/>
  <c r="T642" i="29"/>
  <c r="R642" i="29"/>
  <c r="Q642" i="29"/>
  <c r="V641" i="29"/>
  <c r="U641" i="29"/>
  <c r="T641" i="29"/>
  <c r="R641" i="29"/>
  <c r="Q641" i="29"/>
  <c r="V640" i="29"/>
  <c r="U640" i="29"/>
  <c r="T640" i="29"/>
  <c r="R640" i="29"/>
  <c r="Q640" i="29"/>
  <c r="V637" i="29"/>
  <c r="U637" i="29"/>
  <c r="T637" i="29"/>
  <c r="R637" i="29"/>
  <c r="Q637" i="29"/>
  <c r="V636" i="29"/>
  <c r="U636" i="29"/>
  <c r="T636" i="29"/>
  <c r="R636" i="29"/>
  <c r="Q636" i="29"/>
  <c r="V635" i="29"/>
  <c r="U635" i="29"/>
  <c r="T635" i="29"/>
  <c r="R635" i="29"/>
  <c r="Q635" i="29"/>
  <c r="V634" i="29"/>
  <c r="U634" i="29"/>
  <c r="T634" i="29"/>
  <c r="R634" i="29"/>
  <c r="Q634" i="29"/>
  <c r="V633" i="29"/>
  <c r="U633" i="29"/>
  <c r="T633" i="29"/>
  <c r="R633" i="29"/>
  <c r="Q633" i="29"/>
  <c r="V632" i="29"/>
  <c r="U632" i="29"/>
  <c r="T632" i="29"/>
  <c r="R632" i="29"/>
  <c r="Q632" i="29"/>
  <c r="V631" i="29"/>
  <c r="U631" i="29"/>
  <c r="T631" i="29"/>
  <c r="R631" i="29"/>
  <c r="Q631" i="29"/>
  <c r="V630" i="29"/>
  <c r="U630" i="29"/>
  <c r="W630" i="29" s="1"/>
  <c r="X630" i="29" s="1"/>
  <c r="T630" i="29"/>
  <c r="R630" i="29"/>
  <c r="Q630" i="29"/>
  <c r="V629" i="29"/>
  <c r="U629" i="29"/>
  <c r="T629" i="29"/>
  <c r="R629" i="29"/>
  <c r="Q629" i="29"/>
  <c r="V626" i="29"/>
  <c r="U626" i="29"/>
  <c r="T626" i="29"/>
  <c r="R626" i="29"/>
  <c r="Q626" i="29"/>
  <c r="V625" i="29"/>
  <c r="U625" i="29"/>
  <c r="T625" i="29"/>
  <c r="R625" i="29"/>
  <c r="Q625" i="29"/>
  <c r="V624" i="29"/>
  <c r="U624" i="29"/>
  <c r="T624" i="29"/>
  <c r="R624" i="29"/>
  <c r="Q624" i="29"/>
  <c r="V623" i="29"/>
  <c r="U623" i="29"/>
  <c r="T623" i="29"/>
  <c r="R623" i="29"/>
  <c r="Q623" i="29"/>
  <c r="V622" i="29"/>
  <c r="U622" i="29"/>
  <c r="T622" i="29"/>
  <c r="R622" i="29"/>
  <c r="Q622" i="29"/>
  <c r="V621" i="29"/>
  <c r="U621" i="29"/>
  <c r="T621" i="29"/>
  <c r="R621" i="29"/>
  <c r="Q621" i="29"/>
  <c r="V620" i="29"/>
  <c r="U620" i="29"/>
  <c r="W620" i="29" s="1"/>
  <c r="X620" i="29" s="1"/>
  <c r="T620" i="29"/>
  <c r="R620" i="29"/>
  <c r="Q620" i="29"/>
  <c r="V619" i="29"/>
  <c r="U619" i="29"/>
  <c r="T619" i="29"/>
  <c r="R619" i="29"/>
  <c r="Q619" i="29"/>
  <c r="V618" i="29"/>
  <c r="U618" i="29"/>
  <c r="T618" i="29"/>
  <c r="R618" i="29"/>
  <c r="Q618" i="29"/>
  <c r="V615" i="29"/>
  <c r="U615" i="29"/>
  <c r="T615" i="29"/>
  <c r="R615" i="29"/>
  <c r="Q615" i="29"/>
  <c r="V614" i="29"/>
  <c r="U614" i="29"/>
  <c r="T614" i="29"/>
  <c r="R614" i="29"/>
  <c r="Q614" i="29"/>
  <c r="V613" i="29"/>
  <c r="U613" i="29"/>
  <c r="T613" i="29"/>
  <c r="R613" i="29"/>
  <c r="Q613" i="29"/>
  <c r="V612" i="29"/>
  <c r="U612" i="29"/>
  <c r="T612" i="29"/>
  <c r="R612" i="29"/>
  <c r="Q612" i="29"/>
  <c r="V611" i="29"/>
  <c r="U611" i="29"/>
  <c r="T611" i="29"/>
  <c r="R611" i="29"/>
  <c r="Q611" i="29"/>
  <c r="V610" i="29"/>
  <c r="U610" i="29"/>
  <c r="T610" i="29"/>
  <c r="R610" i="29"/>
  <c r="Q610" i="29"/>
  <c r="V609" i="29"/>
  <c r="U609" i="29"/>
  <c r="T609" i="29"/>
  <c r="R609" i="29"/>
  <c r="Q609" i="29"/>
  <c r="V608" i="29"/>
  <c r="U608" i="29"/>
  <c r="T608" i="29"/>
  <c r="R608" i="29"/>
  <c r="Q608" i="29"/>
  <c r="V607" i="29"/>
  <c r="U607" i="29"/>
  <c r="T607" i="29"/>
  <c r="R607" i="29"/>
  <c r="Q607" i="29"/>
  <c r="V604" i="29"/>
  <c r="U604" i="29"/>
  <c r="T604" i="29"/>
  <c r="R604" i="29"/>
  <c r="Q604" i="29"/>
  <c r="V603" i="29"/>
  <c r="U603" i="29"/>
  <c r="T603" i="29"/>
  <c r="R603" i="29"/>
  <c r="Q603" i="29"/>
  <c r="V602" i="29"/>
  <c r="U602" i="29"/>
  <c r="T602" i="29"/>
  <c r="R602" i="29"/>
  <c r="Q602" i="29"/>
  <c r="V601" i="29"/>
  <c r="U601" i="29"/>
  <c r="T601" i="29"/>
  <c r="R601" i="29"/>
  <c r="Q601" i="29"/>
  <c r="V600" i="29"/>
  <c r="U600" i="29"/>
  <c r="T600" i="29"/>
  <c r="R600" i="29"/>
  <c r="Q600" i="29"/>
  <c r="V599" i="29"/>
  <c r="U599" i="29"/>
  <c r="T599" i="29"/>
  <c r="R599" i="29"/>
  <c r="Q599" i="29"/>
  <c r="V598" i="29"/>
  <c r="U598" i="29"/>
  <c r="W598" i="29" s="1"/>
  <c r="X598" i="29" s="1"/>
  <c r="T598" i="29"/>
  <c r="R598" i="29"/>
  <c r="Q598" i="29"/>
  <c r="V597" i="29"/>
  <c r="U597" i="29"/>
  <c r="T597" i="29"/>
  <c r="R597" i="29"/>
  <c r="Q597" i="29"/>
  <c r="V596" i="29"/>
  <c r="U596" i="29"/>
  <c r="T596" i="29"/>
  <c r="R596" i="29"/>
  <c r="Q596" i="29"/>
  <c r="V593" i="29"/>
  <c r="U593" i="29"/>
  <c r="T593" i="29"/>
  <c r="R593" i="29"/>
  <c r="Q593" i="29"/>
  <c r="V592" i="29"/>
  <c r="U592" i="29"/>
  <c r="T592" i="29"/>
  <c r="R592" i="29"/>
  <c r="Q592" i="29"/>
  <c r="V591" i="29"/>
  <c r="U591" i="29"/>
  <c r="T591" i="29"/>
  <c r="R591" i="29"/>
  <c r="Q591" i="29"/>
  <c r="V590" i="29"/>
  <c r="U590" i="29"/>
  <c r="T590" i="29"/>
  <c r="R590" i="29"/>
  <c r="Q590" i="29"/>
  <c r="V589" i="29"/>
  <c r="U589" i="29"/>
  <c r="T589" i="29"/>
  <c r="R589" i="29"/>
  <c r="Q589" i="29"/>
  <c r="V588" i="29"/>
  <c r="U588" i="29"/>
  <c r="T588" i="29"/>
  <c r="R588" i="29"/>
  <c r="Q588" i="29"/>
  <c r="V587" i="29"/>
  <c r="U587" i="29"/>
  <c r="T587" i="29"/>
  <c r="R587" i="29"/>
  <c r="Q587" i="29"/>
  <c r="V586" i="29"/>
  <c r="U586" i="29"/>
  <c r="T586" i="29"/>
  <c r="R586" i="29"/>
  <c r="Q586" i="29"/>
  <c r="V585" i="29"/>
  <c r="U585" i="29"/>
  <c r="T585" i="29"/>
  <c r="R585" i="29"/>
  <c r="Q585" i="29"/>
  <c r="V582" i="29"/>
  <c r="U582" i="29"/>
  <c r="T582" i="29"/>
  <c r="R582" i="29"/>
  <c r="Q582" i="29"/>
  <c r="V581" i="29"/>
  <c r="U581" i="29"/>
  <c r="T581" i="29"/>
  <c r="R581" i="29"/>
  <c r="Q581" i="29"/>
  <c r="V580" i="29"/>
  <c r="U580" i="29"/>
  <c r="T580" i="29"/>
  <c r="R580" i="29"/>
  <c r="Q580" i="29"/>
  <c r="V579" i="29"/>
  <c r="U579" i="29"/>
  <c r="T579" i="29"/>
  <c r="R579" i="29"/>
  <c r="Q579" i="29"/>
  <c r="V578" i="29"/>
  <c r="U578" i="29"/>
  <c r="T578" i="29"/>
  <c r="R578" i="29"/>
  <c r="Q578" i="29"/>
  <c r="V577" i="29"/>
  <c r="U577" i="29"/>
  <c r="T577" i="29"/>
  <c r="R577" i="29"/>
  <c r="Q577" i="29"/>
  <c r="V576" i="29"/>
  <c r="U576" i="29"/>
  <c r="T576" i="29"/>
  <c r="R576" i="29"/>
  <c r="Q576" i="29"/>
  <c r="V575" i="29"/>
  <c r="U575" i="29"/>
  <c r="T575" i="29"/>
  <c r="R575" i="29"/>
  <c r="Q575" i="29"/>
  <c r="V574" i="29"/>
  <c r="U574" i="29"/>
  <c r="T574" i="29"/>
  <c r="R574" i="29"/>
  <c r="Q574" i="29"/>
  <c r="V571" i="29"/>
  <c r="U571" i="29"/>
  <c r="T571" i="29"/>
  <c r="R571" i="29"/>
  <c r="Q571" i="29"/>
  <c r="V570" i="29"/>
  <c r="U570" i="29"/>
  <c r="W570" i="29" s="1"/>
  <c r="X570" i="29" s="1"/>
  <c r="T570" i="29"/>
  <c r="R570" i="29"/>
  <c r="Q570" i="29"/>
  <c r="V569" i="29"/>
  <c r="U569" i="29"/>
  <c r="T569" i="29"/>
  <c r="R569" i="29"/>
  <c r="Q569" i="29"/>
  <c r="V568" i="29"/>
  <c r="U568" i="29"/>
  <c r="T568" i="29"/>
  <c r="R568" i="29"/>
  <c r="Q568" i="29"/>
  <c r="V567" i="29"/>
  <c r="U567" i="29"/>
  <c r="T567" i="29"/>
  <c r="R567" i="29"/>
  <c r="Q567" i="29"/>
  <c r="V566" i="29"/>
  <c r="U566" i="29"/>
  <c r="T566" i="29"/>
  <c r="R566" i="29"/>
  <c r="Q566" i="29"/>
  <c r="V565" i="29"/>
  <c r="U565" i="29"/>
  <c r="T565" i="29"/>
  <c r="R565" i="29"/>
  <c r="Q565" i="29"/>
  <c r="V564" i="29"/>
  <c r="U564" i="29"/>
  <c r="T564" i="29"/>
  <c r="R564" i="29"/>
  <c r="Q564" i="29"/>
  <c r="V563" i="29"/>
  <c r="U563" i="29"/>
  <c r="T563" i="29"/>
  <c r="R563" i="29"/>
  <c r="Q563" i="29"/>
  <c r="V560" i="29"/>
  <c r="U560" i="29"/>
  <c r="T560" i="29"/>
  <c r="R560" i="29"/>
  <c r="Q560" i="29"/>
  <c r="V559" i="29"/>
  <c r="U559" i="29"/>
  <c r="T559" i="29"/>
  <c r="R559" i="29"/>
  <c r="Q559" i="29"/>
  <c r="V558" i="29"/>
  <c r="U558" i="29"/>
  <c r="T558" i="29"/>
  <c r="R558" i="29"/>
  <c r="Q558" i="29"/>
  <c r="V557" i="29"/>
  <c r="U557" i="29"/>
  <c r="T557" i="29"/>
  <c r="R557" i="29"/>
  <c r="Q557" i="29"/>
  <c r="V556" i="29"/>
  <c r="U556" i="29"/>
  <c r="T556" i="29"/>
  <c r="R556" i="29"/>
  <c r="Q556" i="29"/>
  <c r="V555" i="29"/>
  <c r="U555" i="29"/>
  <c r="T555" i="29"/>
  <c r="R555" i="29"/>
  <c r="Q555" i="29"/>
  <c r="V554" i="29"/>
  <c r="U554" i="29"/>
  <c r="T554" i="29"/>
  <c r="R554" i="29"/>
  <c r="Q554" i="29"/>
  <c r="V553" i="29"/>
  <c r="U553" i="29"/>
  <c r="T553" i="29"/>
  <c r="R553" i="29"/>
  <c r="Q553" i="29"/>
  <c r="V552" i="29"/>
  <c r="U552" i="29"/>
  <c r="T552" i="29"/>
  <c r="R552" i="29"/>
  <c r="Q552" i="29"/>
  <c r="V549" i="29"/>
  <c r="U549" i="29"/>
  <c r="T549" i="29"/>
  <c r="R549" i="29"/>
  <c r="Q549" i="29"/>
  <c r="V548" i="29"/>
  <c r="U548" i="29"/>
  <c r="T548" i="29"/>
  <c r="R548" i="29"/>
  <c r="Q548" i="29"/>
  <c r="V547" i="29"/>
  <c r="U547" i="29"/>
  <c r="T547" i="29"/>
  <c r="R547" i="29"/>
  <c r="Q547" i="29"/>
  <c r="V546" i="29"/>
  <c r="U546" i="29"/>
  <c r="T546" i="29"/>
  <c r="R546" i="29"/>
  <c r="Q546" i="29"/>
  <c r="V545" i="29"/>
  <c r="U545" i="29"/>
  <c r="T545" i="29"/>
  <c r="R545" i="29"/>
  <c r="Q545" i="29"/>
  <c r="V544" i="29"/>
  <c r="U544" i="29"/>
  <c r="T544" i="29"/>
  <c r="R544" i="29"/>
  <c r="Q544" i="29"/>
  <c r="V543" i="29"/>
  <c r="U543" i="29"/>
  <c r="T543" i="29"/>
  <c r="R543" i="29"/>
  <c r="Q543" i="29"/>
  <c r="V542" i="29"/>
  <c r="U542" i="29"/>
  <c r="T542" i="29"/>
  <c r="R542" i="29"/>
  <c r="Q542" i="29"/>
  <c r="V541" i="29"/>
  <c r="U541" i="29"/>
  <c r="T541" i="29"/>
  <c r="R541" i="29"/>
  <c r="Q541" i="29"/>
  <c r="V538" i="29"/>
  <c r="U538" i="29"/>
  <c r="T538" i="29"/>
  <c r="R538" i="29"/>
  <c r="Q538" i="29"/>
  <c r="V537" i="29"/>
  <c r="U537" i="29"/>
  <c r="T537" i="29"/>
  <c r="R537" i="29"/>
  <c r="Q537" i="29"/>
  <c r="V536" i="29"/>
  <c r="U536" i="29"/>
  <c r="T536" i="29"/>
  <c r="R536" i="29"/>
  <c r="Q536" i="29"/>
  <c r="V535" i="29"/>
  <c r="W535" i="29" s="1"/>
  <c r="X535" i="29" s="1"/>
  <c r="U535" i="29"/>
  <c r="T535" i="29"/>
  <c r="R535" i="29"/>
  <c r="Q535" i="29"/>
  <c r="V534" i="29"/>
  <c r="U534" i="29"/>
  <c r="T534" i="29"/>
  <c r="R534" i="29"/>
  <c r="Q534" i="29"/>
  <c r="V533" i="29"/>
  <c r="U533" i="29"/>
  <c r="T533" i="29"/>
  <c r="R533" i="29"/>
  <c r="Q533" i="29"/>
  <c r="V532" i="29"/>
  <c r="U532" i="29"/>
  <c r="T532" i="29"/>
  <c r="R532" i="29"/>
  <c r="Q532" i="29"/>
  <c r="V531" i="29"/>
  <c r="U531" i="29"/>
  <c r="T531" i="29"/>
  <c r="R531" i="29"/>
  <c r="Q531" i="29"/>
  <c r="V530" i="29"/>
  <c r="U530" i="29"/>
  <c r="T530" i="29"/>
  <c r="R530" i="29"/>
  <c r="Q530" i="29"/>
  <c r="V527" i="29"/>
  <c r="U527" i="29"/>
  <c r="T527" i="29"/>
  <c r="R527" i="29"/>
  <c r="Q527" i="29"/>
  <c r="V526" i="29"/>
  <c r="U526" i="29"/>
  <c r="W526" i="29" s="1"/>
  <c r="X526" i="29" s="1"/>
  <c r="T526" i="29"/>
  <c r="R526" i="29"/>
  <c r="Q526" i="29"/>
  <c r="V525" i="29"/>
  <c r="U525" i="29"/>
  <c r="T525" i="29"/>
  <c r="R525" i="29"/>
  <c r="Q525" i="29"/>
  <c r="V524" i="29"/>
  <c r="U524" i="29"/>
  <c r="T524" i="29"/>
  <c r="R524" i="29"/>
  <c r="Q524" i="29"/>
  <c r="V523" i="29"/>
  <c r="U523" i="29"/>
  <c r="T523" i="29"/>
  <c r="R523" i="29"/>
  <c r="Q523" i="29"/>
  <c r="V522" i="29"/>
  <c r="U522" i="29"/>
  <c r="T522" i="29"/>
  <c r="R522" i="29"/>
  <c r="Q522" i="29"/>
  <c r="V521" i="29"/>
  <c r="U521" i="29"/>
  <c r="T521" i="29"/>
  <c r="R521" i="29"/>
  <c r="Q521" i="29"/>
  <c r="V520" i="29"/>
  <c r="U520" i="29"/>
  <c r="T520" i="29"/>
  <c r="R520" i="29"/>
  <c r="Q520" i="29"/>
  <c r="V519" i="29"/>
  <c r="U519" i="29"/>
  <c r="T519" i="29"/>
  <c r="R519" i="29"/>
  <c r="Q519" i="29"/>
  <c r="V516" i="29"/>
  <c r="U516" i="29"/>
  <c r="T516" i="29"/>
  <c r="R516" i="29"/>
  <c r="Q516" i="29"/>
  <c r="V515" i="29"/>
  <c r="U515" i="29"/>
  <c r="T515" i="29"/>
  <c r="R515" i="29"/>
  <c r="Q515" i="29"/>
  <c r="V514" i="29"/>
  <c r="U514" i="29"/>
  <c r="T514" i="29"/>
  <c r="R514" i="29"/>
  <c r="Q514" i="29"/>
  <c r="V513" i="29"/>
  <c r="U513" i="29"/>
  <c r="W513" i="29" s="1"/>
  <c r="X513" i="29" s="1"/>
  <c r="T513" i="29"/>
  <c r="R513" i="29"/>
  <c r="Q513" i="29"/>
  <c r="V512" i="29"/>
  <c r="U512" i="29"/>
  <c r="T512" i="29"/>
  <c r="R512" i="29"/>
  <c r="Q512" i="29"/>
  <c r="V511" i="29"/>
  <c r="U511" i="29"/>
  <c r="T511" i="29"/>
  <c r="R511" i="29"/>
  <c r="Q511" i="29"/>
  <c r="V510" i="29"/>
  <c r="U510" i="29"/>
  <c r="T510" i="29"/>
  <c r="R510" i="29"/>
  <c r="Q510" i="29"/>
  <c r="V509" i="29"/>
  <c r="U509" i="29"/>
  <c r="T509" i="29"/>
  <c r="R509" i="29"/>
  <c r="Q509" i="29"/>
  <c r="V508" i="29"/>
  <c r="U508" i="29"/>
  <c r="T508" i="29"/>
  <c r="R508" i="29"/>
  <c r="Q508" i="29"/>
  <c r="V505" i="29"/>
  <c r="U505" i="29"/>
  <c r="T505" i="29"/>
  <c r="R505" i="29"/>
  <c r="Q505" i="29"/>
  <c r="V504" i="29"/>
  <c r="U504" i="29"/>
  <c r="T504" i="29"/>
  <c r="R504" i="29"/>
  <c r="Q504" i="29"/>
  <c r="V503" i="29"/>
  <c r="U503" i="29"/>
  <c r="T503" i="29"/>
  <c r="R503" i="29"/>
  <c r="Q503" i="29"/>
  <c r="V502" i="29"/>
  <c r="U502" i="29"/>
  <c r="T502" i="29"/>
  <c r="R502" i="29"/>
  <c r="Q502" i="29"/>
  <c r="V501" i="29"/>
  <c r="U501" i="29"/>
  <c r="T501" i="29"/>
  <c r="R501" i="29"/>
  <c r="Q501" i="29"/>
  <c r="V500" i="29"/>
  <c r="U500" i="29"/>
  <c r="T500" i="29"/>
  <c r="R500" i="29"/>
  <c r="Q500" i="29"/>
  <c r="V499" i="29"/>
  <c r="U499" i="29"/>
  <c r="T499" i="29"/>
  <c r="R499" i="29"/>
  <c r="Q499" i="29"/>
  <c r="V498" i="29"/>
  <c r="U498" i="29"/>
  <c r="T498" i="29"/>
  <c r="R498" i="29"/>
  <c r="Q498" i="29"/>
  <c r="V497" i="29"/>
  <c r="U497" i="29"/>
  <c r="T497" i="29"/>
  <c r="R497" i="29"/>
  <c r="Q497" i="29"/>
  <c r="V494" i="29"/>
  <c r="U494" i="29"/>
  <c r="T494" i="29"/>
  <c r="R494" i="29"/>
  <c r="Q494" i="29"/>
  <c r="V493" i="29"/>
  <c r="U493" i="29"/>
  <c r="T493" i="29"/>
  <c r="R493" i="29"/>
  <c r="Q493" i="29"/>
  <c r="V492" i="29"/>
  <c r="U492" i="29"/>
  <c r="T492" i="29"/>
  <c r="R492" i="29"/>
  <c r="Q492" i="29"/>
  <c r="V491" i="29"/>
  <c r="U491" i="29"/>
  <c r="T491" i="29"/>
  <c r="R491" i="29"/>
  <c r="Q491" i="29"/>
  <c r="V490" i="29"/>
  <c r="U490" i="29"/>
  <c r="T490" i="29"/>
  <c r="R490" i="29"/>
  <c r="Q490" i="29"/>
  <c r="V489" i="29"/>
  <c r="U489" i="29"/>
  <c r="T489" i="29"/>
  <c r="R489" i="29"/>
  <c r="Q489" i="29"/>
  <c r="V488" i="29"/>
  <c r="U488" i="29"/>
  <c r="T488" i="29"/>
  <c r="R488" i="29"/>
  <c r="Q488" i="29"/>
  <c r="V487" i="29"/>
  <c r="U487" i="29"/>
  <c r="T487" i="29"/>
  <c r="R487" i="29"/>
  <c r="Q487" i="29"/>
  <c r="V486" i="29"/>
  <c r="U486" i="29"/>
  <c r="T486" i="29"/>
  <c r="R486" i="29"/>
  <c r="Q486" i="29"/>
  <c r="V483" i="29"/>
  <c r="U483" i="29"/>
  <c r="T483" i="29"/>
  <c r="R483" i="29"/>
  <c r="Q483" i="29"/>
  <c r="V482" i="29"/>
  <c r="U482" i="29"/>
  <c r="T482" i="29"/>
  <c r="R482" i="29"/>
  <c r="Q482" i="29"/>
  <c r="V481" i="29"/>
  <c r="U481" i="29"/>
  <c r="T481" i="29"/>
  <c r="R481" i="29"/>
  <c r="Q481" i="29"/>
  <c r="V480" i="29"/>
  <c r="U480" i="29"/>
  <c r="T480" i="29"/>
  <c r="R480" i="29"/>
  <c r="Q480" i="29"/>
  <c r="V479" i="29"/>
  <c r="U479" i="29"/>
  <c r="T479" i="29"/>
  <c r="R479" i="29"/>
  <c r="Q479" i="29"/>
  <c r="V478" i="29"/>
  <c r="U478" i="29"/>
  <c r="T478" i="29"/>
  <c r="R478" i="29"/>
  <c r="Q478" i="29"/>
  <c r="V477" i="29"/>
  <c r="U477" i="29"/>
  <c r="T477" i="29"/>
  <c r="R477" i="29"/>
  <c r="Q477" i="29"/>
  <c r="V476" i="29"/>
  <c r="U476" i="29"/>
  <c r="T476" i="29"/>
  <c r="R476" i="29"/>
  <c r="Q476" i="29"/>
  <c r="V475" i="29"/>
  <c r="U475" i="29"/>
  <c r="T475" i="29"/>
  <c r="R475" i="29"/>
  <c r="Q475" i="29"/>
  <c r="V472" i="29"/>
  <c r="U472" i="29"/>
  <c r="T472" i="29"/>
  <c r="R472" i="29"/>
  <c r="Q472" i="29"/>
  <c r="V471" i="29"/>
  <c r="U471" i="29"/>
  <c r="T471" i="29"/>
  <c r="R471" i="29"/>
  <c r="Q471" i="29"/>
  <c r="V470" i="29"/>
  <c r="U470" i="29"/>
  <c r="W470" i="29" s="1"/>
  <c r="X470" i="29" s="1"/>
  <c r="T470" i="29"/>
  <c r="R470" i="29"/>
  <c r="Q470" i="29"/>
  <c r="V469" i="29"/>
  <c r="U469" i="29"/>
  <c r="T469" i="29"/>
  <c r="R469" i="29"/>
  <c r="Q469" i="29"/>
  <c r="V468" i="29"/>
  <c r="U468" i="29"/>
  <c r="T468" i="29"/>
  <c r="R468" i="29"/>
  <c r="Q468" i="29"/>
  <c r="V467" i="29"/>
  <c r="U467" i="29"/>
  <c r="T467" i="29"/>
  <c r="R467" i="29"/>
  <c r="Q467" i="29"/>
  <c r="V466" i="29"/>
  <c r="U466" i="29"/>
  <c r="T466" i="29"/>
  <c r="R466" i="29"/>
  <c r="Q466" i="29"/>
  <c r="V465" i="29"/>
  <c r="U465" i="29"/>
  <c r="T465" i="29"/>
  <c r="R465" i="29"/>
  <c r="Q465" i="29"/>
  <c r="V464" i="29"/>
  <c r="U464" i="29"/>
  <c r="T464" i="29"/>
  <c r="R464" i="29"/>
  <c r="Q464" i="29"/>
  <c r="V461" i="29"/>
  <c r="U461" i="29"/>
  <c r="T461" i="29"/>
  <c r="R461" i="29"/>
  <c r="Q461" i="29"/>
  <c r="V460" i="29"/>
  <c r="U460" i="29"/>
  <c r="T460" i="29"/>
  <c r="R460" i="29"/>
  <c r="Q460" i="29"/>
  <c r="V459" i="29"/>
  <c r="U459" i="29"/>
  <c r="T459" i="29"/>
  <c r="R459" i="29"/>
  <c r="Q459" i="29"/>
  <c r="V458" i="29"/>
  <c r="U458" i="29"/>
  <c r="T458" i="29"/>
  <c r="R458" i="29"/>
  <c r="Q458" i="29"/>
  <c r="V457" i="29"/>
  <c r="U457" i="29"/>
  <c r="T457" i="29"/>
  <c r="R457" i="29"/>
  <c r="Q457" i="29"/>
  <c r="V456" i="29"/>
  <c r="U456" i="29"/>
  <c r="T456" i="29"/>
  <c r="R456" i="29"/>
  <c r="Q456" i="29"/>
  <c r="V455" i="29"/>
  <c r="U455" i="29"/>
  <c r="T455" i="29"/>
  <c r="R455" i="29"/>
  <c r="Q455" i="29"/>
  <c r="V454" i="29"/>
  <c r="U454" i="29"/>
  <c r="T454" i="29"/>
  <c r="R454" i="29"/>
  <c r="Q454" i="29"/>
  <c r="V453" i="29"/>
  <c r="U453" i="29"/>
  <c r="T453" i="29"/>
  <c r="R453" i="29"/>
  <c r="Q453" i="29"/>
  <c r="V450" i="29"/>
  <c r="U450" i="29"/>
  <c r="T450" i="29"/>
  <c r="R450" i="29"/>
  <c r="Q450" i="29"/>
  <c r="V449" i="29"/>
  <c r="U449" i="29"/>
  <c r="T449" i="29"/>
  <c r="R449" i="29"/>
  <c r="Q449" i="29"/>
  <c r="V448" i="29"/>
  <c r="U448" i="29"/>
  <c r="T448" i="29"/>
  <c r="R448" i="29"/>
  <c r="Q448" i="29"/>
  <c r="V447" i="29"/>
  <c r="U447" i="29"/>
  <c r="T447" i="29"/>
  <c r="R447" i="29"/>
  <c r="Q447" i="29"/>
  <c r="V446" i="29"/>
  <c r="U446" i="29"/>
  <c r="T446" i="29"/>
  <c r="R446" i="29"/>
  <c r="Q446" i="29"/>
  <c r="V445" i="29"/>
  <c r="U445" i="29"/>
  <c r="T445" i="29"/>
  <c r="R445" i="29"/>
  <c r="Q445" i="29"/>
  <c r="V444" i="29"/>
  <c r="U444" i="29"/>
  <c r="T444" i="29"/>
  <c r="R444" i="29"/>
  <c r="Q444" i="29"/>
  <c r="V443" i="29"/>
  <c r="U443" i="29"/>
  <c r="T443" i="29"/>
  <c r="R443" i="29"/>
  <c r="Q443" i="29"/>
  <c r="V442" i="29"/>
  <c r="U442" i="29"/>
  <c r="T442" i="29"/>
  <c r="R442" i="29"/>
  <c r="Q442" i="29"/>
  <c r="V439" i="29"/>
  <c r="U439" i="29"/>
  <c r="T439" i="29"/>
  <c r="R439" i="29"/>
  <c r="Q439" i="29"/>
  <c r="V438" i="29"/>
  <c r="U438" i="29"/>
  <c r="W438" i="29" s="1"/>
  <c r="X438" i="29" s="1"/>
  <c r="T438" i="29"/>
  <c r="R438" i="29"/>
  <c r="Q438" i="29"/>
  <c r="V437" i="29"/>
  <c r="U437" i="29"/>
  <c r="T437" i="29"/>
  <c r="R437" i="29"/>
  <c r="Q437" i="29"/>
  <c r="V436" i="29"/>
  <c r="U436" i="29"/>
  <c r="T436" i="29"/>
  <c r="R436" i="29"/>
  <c r="Q436" i="29"/>
  <c r="V435" i="29"/>
  <c r="U435" i="29"/>
  <c r="T435" i="29"/>
  <c r="R435" i="29"/>
  <c r="Q435" i="29"/>
  <c r="V434" i="29"/>
  <c r="U434" i="29"/>
  <c r="T434" i="29"/>
  <c r="R434" i="29"/>
  <c r="Q434" i="29"/>
  <c r="V433" i="29"/>
  <c r="U433" i="29"/>
  <c r="T433" i="29"/>
  <c r="R433" i="29"/>
  <c r="Q433" i="29"/>
  <c r="V432" i="29"/>
  <c r="U432" i="29"/>
  <c r="T432" i="29"/>
  <c r="R432" i="29"/>
  <c r="Q432" i="29"/>
  <c r="V431" i="29"/>
  <c r="U431" i="29"/>
  <c r="T431" i="29"/>
  <c r="R431" i="29"/>
  <c r="Q431" i="29"/>
  <c r="V428" i="29"/>
  <c r="U428" i="29"/>
  <c r="T428" i="29"/>
  <c r="R428" i="29"/>
  <c r="Q428" i="29"/>
  <c r="V427" i="29"/>
  <c r="U427" i="29"/>
  <c r="T427" i="29"/>
  <c r="R427" i="29"/>
  <c r="Q427" i="29"/>
  <c r="V426" i="29"/>
  <c r="U426" i="29"/>
  <c r="T426" i="29"/>
  <c r="R426" i="29"/>
  <c r="Q426" i="29"/>
  <c r="V425" i="29"/>
  <c r="U425" i="29"/>
  <c r="T425" i="29"/>
  <c r="R425" i="29"/>
  <c r="Q425" i="29"/>
  <c r="V424" i="29"/>
  <c r="U424" i="29"/>
  <c r="W424" i="29" s="1"/>
  <c r="X424" i="29" s="1"/>
  <c r="T424" i="29"/>
  <c r="R424" i="29"/>
  <c r="Q424" i="29"/>
  <c r="V423" i="29"/>
  <c r="U423" i="29"/>
  <c r="T423" i="29"/>
  <c r="R423" i="29"/>
  <c r="Q423" i="29"/>
  <c r="V422" i="29"/>
  <c r="U422" i="29"/>
  <c r="T422" i="29"/>
  <c r="R422" i="29"/>
  <c r="Q422" i="29"/>
  <c r="V421" i="29"/>
  <c r="U421" i="29"/>
  <c r="T421" i="29"/>
  <c r="R421" i="29"/>
  <c r="Q421" i="29"/>
  <c r="V420" i="29"/>
  <c r="U420" i="29"/>
  <c r="T420" i="29"/>
  <c r="R420" i="29"/>
  <c r="Q420" i="29"/>
  <c r="V417" i="29"/>
  <c r="U417" i="29"/>
  <c r="T417" i="29"/>
  <c r="R417" i="29"/>
  <c r="Q417" i="29"/>
  <c r="V416" i="29"/>
  <c r="U416" i="29"/>
  <c r="T416" i="29"/>
  <c r="R416" i="29"/>
  <c r="Q416" i="29"/>
  <c r="V415" i="29"/>
  <c r="U415" i="29"/>
  <c r="T415" i="29"/>
  <c r="R415" i="29"/>
  <c r="Q415" i="29"/>
  <c r="V414" i="29"/>
  <c r="U414" i="29"/>
  <c r="T414" i="29"/>
  <c r="R414" i="29"/>
  <c r="Q414" i="29"/>
  <c r="V413" i="29"/>
  <c r="U413" i="29"/>
  <c r="T413" i="29"/>
  <c r="R413" i="29"/>
  <c r="Q413" i="29"/>
  <c r="V412" i="29"/>
  <c r="U412" i="29"/>
  <c r="W412" i="29" s="1"/>
  <c r="X412" i="29" s="1"/>
  <c r="T412" i="29"/>
  <c r="R412" i="29"/>
  <c r="Q412" i="29"/>
  <c r="V411" i="29"/>
  <c r="U411" i="29"/>
  <c r="T411" i="29"/>
  <c r="R411" i="29"/>
  <c r="Q411" i="29"/>
  <c r="V410" i="29"/>
  <c r="U410" i="29"/>
  <c r="W410" i="29" s="1"/>
  <c r="X410" i="29" s="1"/>
  <c r="T410" i="29"/>
  <c r="R410" i="29"/>
  <c r="Q410" i="29"/>
  <c r="V409" i="29"/>
  <c r="U409" i="29"/>
  <c r="T409" i="29"/>
  <c r="R409" i="29"/>
  <c r="Q409" i="29"/>
  <c r="V406" i="29"/>
  <c r="U406" i="29"/>
  <c r="T406" i="29"/>
  <c r="R406" i="29"/>
  <c r="Q406" i="29"/>
  <c r="V405" i="29"/>
  <c r="U405" i="29"/>
  <c r="T405" i="29"/>
  <c r="R405" i="29"/>
  <c r="Q405" i="29"/>
  <c r="V404" i="29"/>
  <c r="U404" i="29"/>
  <c r="T404" i="29"/>
  <c r="R404" i="29"/>
  <c r="Q404" i="29"/>
  <c r="V403" i="29"/>
  <c r="U403" i="29"/>
  <c r="T403" i="29"/>
  <c r="R403" i="29"/>
  <c r="Q403" i="29"/>
  <c r="V402" i="29"/>
  <c r="U402" i="29"/>
  <c r="W402" i="29" s="1"/>
  <c r="X402" i="29" s="1"/>
  <c r="T402" i="29"/>
  <c r="R402" i="29"/>
  <c r="Q402" i="29"/>
  <c r="V401" i="29"/>
  <c r="U401" i="29"/>
  <c r="T401" i="29"/>
  <c r="R401" i="29"/>
  <c r="Q401" i="29"/>
  <c r="V400" i="29"/>
  <c r="U400" i="29"/>
  <c r="T400" i="29"/>
  <c r="R400" i="29"/>
  <c r="Q400" i="29"/>
  <c r="V399" i="29"/>
  <c r="U399" i="29"/>
  <c r="T399" i="29"/>
  <c r="R399" i="29"/>
  <c r="Q399" i="29"/>
  <c r="V398" i="29"/>
  <c r="U398" i="29"/>
  <c r="T398" i="29"/>
  <c r="R398" i="29"/>
  <c r="Q398" i="29"/>
  <c r="V395" i="29"/>
  <c r="U395" i="29"/>
  <c r="T395" i="29"/>
  <c r="R395" i="29"/>
  <c r="Q395" i="29"/>
  <c r="V394" i="29"/>
  <c r="U394" i="29"/>
  <c r="W394" i="29" s="1"/>
  <c r="X394" i="29" s="1"/>
  <c r="T394" i="29"/>
  <c r="R394" i="29"/>
  <c r="Q394" i="29"/>
  <c r="V393" i="29"/>
  <c r="U393" i="29"/>
  <c r="T393" i="29"/>
  <c r="R393" i="29"/>
  <c r="Q393" i="29"/>
  <c r="V392" i="29"/>
  <c r="U392" i="29"/>
  <c r="T392" i="29"/>
  <c r="R392" i="29"/>
  <c r="Q392" i="29"/>
  <c r="V391" i="29"/>
  <c r="U391" i="29"/>
  <c r="T391" i="29"/>
  <c r="R391" i="29"/>
  <c r="Q391" i="29"/>
  <c r="V390" i="29"/>
  <c r="U390" i="29"/>
  <c r="T390" i="29"/>
  <c r="R390" i="29"/>
  <c r="Q390" i="29"/>
  <c r="V389" i="29"/>
  <c r="U389" i="29"/>
  <c r="T389" i="29"/>
  <c r="R389" i="29"/>
  <c r="Q389" i="29"/>
  <c r="V388" i="29"/>
  <c r="U388" i="29"/>
  <c r="T388" i="29"/>
  <c r="R388" i="29"/>
  <c r="Q388" i="29"/>
  <c r="V387" i="29"/>
  <c r="U387" i="29"/>
  <c r="T387" i="29"/>
  <c r="R387" i="29"/>
  <c r="Q387" i="29"/>
  <c r="V384" i="29"/>
  <c r="U384" i="29"/>
  <c r="T384" i="29"/>
  <c r="R384" i="29"/>
  <c r="Q384" i="29"/>
  <c r="V383" i="29"/>
  <c r="U383" i="29"/>
  <c r="T383" i="29"/>
  <c r="R383" i="29"/>
  <c r="Q383" i="29"/>
  <c r="V382" i="29"/>
  <c r="U382" i="29"/>
  <c r="T382" i="29"/>
  <c r="R382" i="29"/>
  <c r="Q382" i="29"/>
  <c r="V381" i="29"/>
  <c r="U381" i="29"/>
  <c r="T381" i="29"/>
  <c r="R381" i="29"/>
  <c r="Q381" i="29"/>
  <c r="V380" i="29"/>
  <c r="U380" i="29"/>
  <c r="W380" i="29" s="1"/>
  <c r="X380" i="29" s="1"/>
  <c r="T380" i="29"/>
  <c r="R380" i="29"/>
  <c r="Q380" i="29"/>
  <c r="V379" i="29"/>
  <c r="U379" i="29"/>
  <c r="T379" i="29"/>
  <c r="R379" i="29"/>
  <c r="Q379" i="29"/>
  <c r="V378" i="29"/>
  <c r="U378" i="29"/>
  <c r="T378" i="29"/>
  <c r="R378" i="29"/>
  <c r="Q378" i="29"/>
  <c r="V377" i="29"/>
  <c r="U377" i="29"/>
  <c r="T377" i="29"/>
  <c r="R377" i="29"/>
  <c r="Q377" i="29"/>
  <c r="V376" i="29"/>
  <c r="U376" i="29"/>
  <c r="T376" i="29"/>
  <c r="R376" i="29"/>
  <c r="Q376" i="29"/>
  <c r="V373" i="29"/>
  <c r="U373" i="29"/>
  <c r="T373" i="29"/>
  <c r="R373" i="29"/>
  <c r="Q373" i="29"/>
  <c r="V372" i="29"/>
  <c r="U372" i="29"/>
  <c r="T372" i="29"/>
  <c r="R372" i="29"/>
  <c r="Q372" i="29"/>
  <c r="V371" i="29"/>
  <c r="U371" i="29"/>
  <c r="T371" i="29"/>
  <c r="R371" i="29"/>
  <c r="Q371" i="29"/>
  <c r="V370" i="29"/>
  <c r="U370" i="29"/>
  <c r="T370" i="29"/>
  <c r="R370" i="29"/>
  <c r="Q370" i="29"/>
  <c r="V369" i="29"/>
  <c r="U369" i="29"/>
  <c r="T369" i="29"/>
  <c r="R369" i="29"/>
  <c r="Q369" i="29"/>
  <c r="V368" i="29"/>
  <c r="U368" i="29"/>
  <c r="T368" i="29"/>
  <c r="R368" i="29"/>
  <c r="Q368" i="29"/>
  <c r="V367" i="29"/>
  <c r="U367" i="29"/>
  <c r="T367" i="29"/>
  <c r="R367" i="29"/>
  <c r="Q367" i="29"/>
  <c r="V366" i="29"/>
  <c r="U366" i="29"/>
  <c r="T366" i="29"/>
  <c r="R366" i="29"/>
  <c r="Q366" i="29"/>
  <c r="V365" i="29"/>
  <c r="U365" i="29"/>
  <c r="T365" i="29"/>
  <c r="R365" i="29"/>
  <c r="Q365" i="29"/>
  <c r="V362" i="29"/>
  <c r="U362" i="29"/>
  <c r="T362" i="29"/>
  <c r="R362" i="29"/>
  <c r="Q362" i="29"/>
  <c r="V361" i="29"/>
  <c r="U361" i="29"/>
  <c r="T361" i="29"/>
  <c r="R361" i="29"/>
  <c r="Q361" i="29"/>
  <c r="V360" i="29"/>
  <c r="U360" i="29"/>
  <c r="T360" i="29"/>
  <c r="R360" i="29"/>
  <c r="Q360" i="29"/>
  <c r="V359" i="29"/>
  <c r="U359" i="29"/>
  <c r="T359" i="29"/>
  <c r="R359" i="29"/>
  <c r="Q359" i="29"/>
  <c r="V358" i="29"/>
  <c r="U358" i="29"/>
  <c r="T358" i="29"/>
  <c r="R358" i="29"/>
  <c r="Q358" i="29"/>
  <c r="V357" i="29"/>
  <c r="U357" i="29"/>
  <c r="T357" i="29"/>
  <c r="R357" i="29"/>
  <c r="Q357" i="29"/>
  <c r="V356" i="29"/>
  <c r="U356" i="29"/>
  <c r="T356" i="29"/>
  <c r="R356" i="29"/>
  <c r="Q356" i="29"/>
  <c r="V355" i="29"/>
  <c r="U355" i="29"/>
  <c r="T355" i="29"/>
  <c r="R355" i="29"/>
  <c r="Q355" i="29"/>
  <c r="V354" i="29"/>
  <c r="U354" i="29"/>
  <c r="T354" i="29"/>
  <c r="R354" i="29"/>
  <c r="Q354" i="29"/>
  <c r="V351" i="29"/>
  <c r="U351" i="29"/>
  <c r="T351" i="29"/>
  <c r="R351" i="29"/>
  <c r="Q351" i="29"/>
  <c r="V350" i="29"/>
  <c r="U350" i="29"/>
  <c r="T350" i="29"/>
  <c r="R350" i="29"/>
  <c r="Q350" i="29"/>
  <c r="V349" i="29"/>
  <c r="U349" i="29"/>
  <c r="T349" i="29"/>
  <c r="R349" i="29"/>
  <c r="Q349" i="29"/>
  <c r="V348" i="29"/>
  <c r="U348" i="29"/>
  <c r="T348" i="29"/>
  <c r="R348" i="29"/>
  <c r="Q348" i="29"/>
  <c r="V347" i="29"/>
  <c r="U347" i="29"/>
  <c r="T347" i="29"/>
  <c r="R347" i="29"/>
  <c r="Q347" i="29"/>
  <c r="V346" i="29"/>
  <c r="U346" i="29"/>
  <c r="T346" i="29"/>
  <c r="R346" i="29"/>
  <c r="Q346" i="29"/>
  <c r="V345" i="29"/>
  <c r="U345" i="29"/>
  <c r="T345" i="29"/>
  <c r="R345" i="29"/>
  <c r="Q345" i="29"/>
  <c r="V344" i="29"/>
  <c r="U344" i="29"/>
  <c r="T344" i="29"/>
  <c r="R344" i="29"/>
  <c r="Q344" i="29"/>
  <c r="V343" i="29"/>
  <c r="U343" i="29"/>
  <c r="T343" i="29"/>
  <c r="R343" i="29"/>
  <c r="Q343" i="29"/>
  <c r="V340" i="29"/>
  <c r="U340" i="29"/>
  <c r="T340" i="29"/>
  <c r="R340" i="29"/>
  <c r="Q340" i="29"/>
  <c r="V339" i="29"/>
  <c r="U339" i="29"/>
  <c r="T339" i="29"/>
  <c r="R339" i="29"/>
  <c r="Q339" i="29"/>
  <c r="V338" i="29"/>
  <c r="U338" i="29"/>
  <c r="T338" i="29"/>
  <c r="R338" i="29"/>
  <c r="Q338" i="29"/>
  <c r="V337" i="29"/>
  <c r="U337" i="29"/>
  <c r="T337" i="29"/>
  <c r="R337" i="29"/>
  <c r="Q337" i="29"/>
  <c r="V336" i="29"/>
  <c r="U336" i="29"/>
  <c r="W336" i="29" s="1"/>
  <c r="X336" i="29" s="1"/>
  <c r="T336" i="29"/>
  <c r="R336" i="29"/>
  <c r="Q336" i="29"/>
  <c r="V335" i="29"/>
  <c r="U335" i="29"/>
  <c r="T335" i="29"/>
  <c r="R335" i="29"/>
  <c r="Q335" i="29"/>
  <c r="V334" i="29"/>
  <c r="U334" i="29"/>
  <c r="T334" i="29"/>
  <c r="R334" i="29"/>
  <c r="Q334" i="29"/>
  <c r="V333" i="29"/>
  <c r="U333" i="29"/>
  <c r="T333" i="29"/>
  <c r="R333" i="29"/>
  <c r="Q333" i="29"/>
  <c r="V332" i="29"/>
  <c r="U332" i="29"/>
  <c r="T332" i="29"/>
  <c r="R332" i="29"/>
  <c r="Q332" i="29"/>
  <c r="V329" i="29"/>
  <c r="U329" i="29"/>
  <c r="T329" i="29"/>
  <c r="R329" i="29"/>
  <c r="Q329" i="29"/>
  <c r="V328" i="29"/>
  <c r="U328" i="29"/>
  <c r="T328" i="29"/>
  <c r="R328" i="29"/>
  <c r="Q328" i="29"/>
  <c r="V327" i="29"/>
  <c r="U327" i="29"/>
  <c r="T327" i="29"/>
  <c r="R327" i="29"/>
  <c r="Q327" i="29"/>
  <c r="V326" i="29"/>
  <c r="U326" i="29"/>
  <c r="T326" i="29"/>
  <c r="R326" i="29"/>
  <c r="Q326" i="29"/>
  <c r="V325" i="29"/>
  <c r="U325" i="29"/>
  <c r="T325" i="29"/>
  <c r="R325" i="29"/>
  <c r="Q325" i="29"/>
  <c r="V324" i="29"/>
  <c r="U324" i="29"/>
  <c r="T324" i="29"/>
  <c r="R324" i="29"/>
  <c r="Q324" i="29"/>
  <c r="V323" i="29"/>
  <c r="U323" i="29"/>
  <c r="T323" i="29"/>
  <c r="R323" i="29"/>
  <c r="Q323" i="29"/>
  <c r="V322" i="29"/>
  <c r="U322" i="29"/>
  <c r="T322" i="29"/>
  <c r="R322" i="29"/>
  <c r="Q322" i="29"/>
  <c r="V321" i="29"/>
  <c r="U321" i="29"/>
  <c r="T321" i="29"/>
  <c r="R321" i="29"/>
  <c r="Q321" i="29"/>
  <c r="V318" i="29"/>
  <c r="U318" i="29"/>
  <c r="T318" i="29"/>
  <c r="R318" i="29"/>
  <c r="Q318" i="29"/>
  <c r="V317" i="29"/>
  <c r="U317" i="29"/>
  <c r="T317" i="29"/>
  <c r="R317" i="29"/>
  <c r="Q317" i="29"/>
  <c r="V316" i="29"/>
  <c r="U316" i="29"/>
  <c r="T316" i="29"/>
  <c r="R316" i="29"/>
  <c r="Q316" i="29"/>
  <c r="V315" i="29"/>
  <c r="U315" i="29"/>
  <c r="T315" i="29"/>
  <c r="R315" i="29"/>
  <c r="Q315" i="29"/>
  <c r="V314" i="29"/>
  <c r="U314" i="29"/>
  <c r="T314" i="29"/>
  <c r="R314" i="29"/>
  <c r="Q314" i="29"/>
  <c r="V313" i="29"/>
  <c r="U313" i="29"/>
  <c r="T313" i="29"/>
  <c r="R313" i="29"/>
  <c r="Q313" i="29"/>
  <c r="V312" i="29"/>
  <c r="U312" i="29"/>
  <c r="T312" i="29"/>
  <c r="R312" i="29"/>
  <c r="Q312" i="29"/>
  <c r="V311" i="29"/>
  <c r="U311" i="29"/>
  <c r="T311" i="29"/>
  <c r="R311" i="29"/>
  <c r="Q311" i="29"/>
  <c r="V310" i="29"/>
  <c r="U310" i="29"/>
  <c r="T310" i="29"/>
  <c r="R310" i="29"/>
  <c r="Q310" i="29"/>
  <c r="V307" i="29"/>
  <c r="U307" i="29"/>
  <c r="T307" i="29"/>
  <c r="R307" i="29"/>
  <c r="Q307" i="29"/>
  <c r="V306" i="29"/>
  <c r="U306" i="29"/>
  <c r="T306" i="29"/>
  <c r="R306" i="29"/>
  <c r="Q306" i="29"/>
  <c r="V305" i="29"/>
  <c r="U305" i="29"/>
  <c r="T305" i="29"/>
  <c r="R305" i="29"/>
  <c r="Q305" i="29"/>
  <c r="V304" i="29"/>
  <c r="U304" i="29"/>
  <c r="T304" i="29"/>
  <c r="R304" i="29"/>
  <c r="Q304" i="29"/>
  <c r="V303" i="29"/>
  <c r="U303" i="29"/>
  <c r="T303" i="29"/>
  <c r="R303" i="29"/>
  <c r="Q303" i="29"/>
  <c r="V302" i="29"/>
  <c r="U302" i="29"/>
  <c r="T302" i="29"/>
  <c r="R302" i="29"/>
  <c r="Q302" i="29"/>
  <c r="V301" i="29"/>
  <c r="U301" i="29"/>
  <c r="T301" i="29"/>
  <c r="R301" i="29"/>
  <c r="Q301" i="29"/>
  <c r="V300" i="29"/>
  <c r="U300" i="29"/>
  <c r="T300" i="29"/>
  <c r="R300" i="29"/>
  <c r="Q300" i="29"/>
  <c r="V299" i="29"/>
  <c r="U299" i="29"/>
  <c r="T299" i="29"/>
  <c r="R299" i="29"/>
  <c r="Q299" i="29"/>
  <c r="V296" i="29"/>
  <c r="U296" i="29"/>
  <c r="T296" i="29"/>
  <c r="R296" i="29"/>
  <c r="Q296" i="29"/>
  <c r="V295" i="29"/>
  <c r="U295" i="29"/>
  <c r="T295" i="29"/>
  <c r="R295" i="29"/>
  <c r="Q295" i="29"/>
  <c r="V294" i="29"/>
  <c r="U294" i="29"/>
  <c r="T294" i="29"/>
  <c r="R294" i="29"/>
  <c r="Q294" i="29"/>
  <c r="V293" i="29"/>
  <c r="U293" i="29"/>
  <c r="T293" i="29"/>
  <c r="R293" i="29"/>
  <c r="Q293" i="29"/>
  <c r="V292" i="29"/>
  <c r="U292" i="29"/>
  <c r="T292" i="29"/>
  <c r="R292" i="29"/>
  <c r="Q292" i="29"/>
  <c r="V291" i="29"/>
  <c r="U291" i="29"/>
  <c r="T291" i="29"/>
  <c r="R291" i="29"/>
  <c r="Q291" i="29"/>
  <c r="V290" i="29"/>
  <c r="U290" i="29"/>
  <c r="T290" i="29"/>
  <c r="R290" i="29"/>
  <c r="Q290" i="29"/>
  <c r="V289" i="29"/>
  <c r="U289" i="29"/>
  <c r="T289" i="29"/>
  <c r="R289" i="29"/>
  <c r="Q289" i="29"/>
  <c r="V288" i="29"/>
  <c r="U288" i="29"/>
  <c r="T288" i="29"/>
  <c r="R288" i="29"/>
  <c r="Q288" i="29"/>
  <c r="V285" i="29"/>
  <c r="U285" i="29"/>
  <c r="T285" i="29"/>
  <c r="R285" i="29"/>
  <c r="Q285" i="29"/>
  <c r="V284" i="29"/>
  <c r="U284" i="29"/>
  <c r="T284" i="29"/>
  <c r="R284" i="29"/>
  <c r="Q284" i="29"/>
  <c r="V283" i="29"/>
  <c r="U283" i="29"/>
  <c r="T283" i="29"/>
  <c r="R283" i="29"/>
  <c r="Q283" i="29"/>
  <c r="V282" i="29"/>
  <c r="U282" i="29"/>
  <c r="T282" i="29"/>
  <c r="R282" i="29"/>
  <c r="Q282" i="29"/>
  <c r="V281" i="29"/>
  <c r="U281" i="29"/>
  <c r="T281" i="29"/>
  <c r="R281" i="29"/>
  <c r="Q281" i="29"/>
  <c r="V280" i="29"/>
  <c r="U280" i="29"/>
  <c r="T280" i="29"/>
  <c r="R280" i="29"/>
  <c r="Q280" i="29"/>
  <c r="V279" i="29"/>
  <c r="U279" i="29"/>
  <c r="T279" i="29"/>
  <c r="R279" i="29"/>
  <c r="Q279" i="29"/>
  <c r="V278" i="29"/>
  <c r="U278" i="29"/>
  <c r="T278" i="29"/>
  <c r="R278" i="29"/>
  <c r="Q278" i="29"/>
  <c r="V277" i="29"/>
  <c r="U277" i="29"/>
  <c r="T277" i="29"/>
  <c r="R277" i="29"/>
  <c r="Q277" i="29"/>
  <c r="V274" i="29"/>
  <c r="U274" i="29"/>
  <c r="T274" i="29"/>
  <c r="R274" i="29"/>
  <c r="Q274" i="29"/>
  <c r="V273" i="29"/>
  <c r="U273" i="29"/>
  <c r="T273" i="29"/>
  <c r="R273" i="29"/>
  <c r="Q273" i="29"/>
  <c r="V272" i="29"/>
  <c r="U272" i="29"/>
  <c r="T272" i="29"/>
  <c r="R272" i="29"/>
  <c r="Q272" i="29"/>
  <c r="V271" i="29"/>
  <c r="U271" i="29"/>
  <c r="T271" i="29"/>
  <c r="R271" i="29"/>
  <c r="Q271" i="29"/>
  <c r="V270" i="29"/>
  <c r="U270" i="29"/>
  <c r="T270" i="29"/>
  <c r="R270" i="29"/>
  <c r="Q270" i="29"/>
  <c r="V269" i="29"/>
  <c r="U269" i="29"/>
  <c r="T269" i="29"/>
  <c r="R269" i="29"/>
  <c r="Q269" i="29"/>
  <c r="V268" i="29"/>
  <c r="U268" i="29"/>
  <c r="T268" i="29"/>
  <c r="R268" i="29"/>
  <c r="Q268" i="29"/>
  <c r="V267" i="29"/>
  <c r="U267" i="29"/>
  <c r="T267" i="29"/>
  <c r="R267" i="29"/>
  <c r="Q267" i="29"/>
  <c r="V266" i="29"/>
  <c r="U266" i="29"/>
  <c r="T266" i="29"/>
  <c r="R266" i="29"/>
  <c r="Q266" i="29"/>
  <c r="V263" i="29"/>
  <c r="U263" i="29"/>
  <c r="T263" i="29"/>
  <c r="R263" i="29"/>
  <c r="Q263" i="29"/>
  <c r="V262" i="29"/>
  <c r="U262" i="29"/>
  <c r="T262" i="29"/>
  <c r="R262" i="29"/>
  <c r="Q262" i="29"/>
  <c r="V261" i="29"/>
  <c r="U261" i="29"/>
  <c r="T261" i="29"/>
  <c r="R261" i="29"/>
  <c r="Q261" i="29"/>
  <c r="V260" i="29"/>
  <c r="U260" i="29"/>
  <c r="T260" i="29"/>
  <c r="R260" i="29"/>
  <c r="Q260" i="29"/>
  <c r="V259" i="29"/>
  <c r="U259" i="29"/>
  <c r="T259" i="29"/>
  <c r="R259" i="29"/>
  <c r="Q259" i="29"/>
  <c r="V258" i="29"/>
  <c r="U258" i="29"/>
  <c r="T258" i="29"/>
  <c r="R258" i="29"/>
  <c r="Q258" i="29"/>
  <c r="V257" i="29"/>
  <c r="U257" i="29"/>
  <c r="T257" i="29"/>
  <c r="R257" i="29"/>
  <c r="Q257" i="29"/>
  <c r="V256" i="29"/>
  <c r="U256" i="29"/>
  <c r="T256" i="29"/>
  <c r="R256" i="29"/>
  <c r="Q256" i="29"/>
  <c r="V255" i="29"/>
  <c r="U255" i="29"/>
  <c r="T255" i="29"/>
  <c r="R255" i="29"/>
  <c r="Q255" i="29"/>
  <c r="V252" i="29"/>
  <c r="U252" i="29"/>
  <c r="T252" i="29"/>
  <c r="R252" i="29"/>
  <c r="Q252" i="29"/>
  <c r="V251" i="29"/>
  <c r="U251" i="29"/>
  <c r="T251" i="29"/>
  <c r="R251" i="29"/>
  <c r="Q251" i="29"/>
  <c r="V250" i="29"/>
  <c r="U250" i="29"/>
  <c r="T250" i="29"/>
  <c r="R250" i="29"/>
  <c r="Q250" i="29"/>
  <c r="V249" i="29"/>
  <c r="U249" i="29"/>
  <c r="T249" i="29"/>
  <c r="R249" i="29"/>
  <c r="Q249" i="29"/>
  <c r="V248" i="29"/>
  <c r="U248" i="29"/>
  <c r="T248" i="29"/>
  <c r="R248" i="29"/>
  <c r="Q248" i="29"/>
  <c r="V247" i="29"/>
  <c r="U247" i="29"/>
  <c r="T247" i="29"/>
  <c r="R247" i="29"/>
  <c r="Q247" i="29"/>
  <c r="V246" i="29"/>
  <c r="U246" i="29"/>
  <c r="T246" i="29"/>
  <c r="R246" i="29"/>
  <c r="Q246" i="29"/>
  <c r="V245" i="29"/>
  <c r="U245" i="29"/>
  <c r="T245" i="29"/>
  <c r="R245" i="29"/>
  <c r="Q245" i="29"/>
  <c r="V244" i="29"/>
  <c r="U244" i="29"/>
  <c r="T244" i="29"/>
  <c r="R244" i="29"/>
  <c r="Q244" i="29"/>
  <c r="V241" i="29"/>
  <c r="U241" i="29"/>
  <c r="T241" i="29"/>
  <c r="R241" i="29"/>
  <c r="Q241" i="29"/>
  <c r="V240" i="29"/>
  <c r="U240" i="29"/>
  <c r="T240" i="29"/>
  <c r="R240" i="29"/>
  <c r="Q240" i="29"/>
  <c r="V239" i="29"/>
  <c r="U239" i="29"/>
  <c r="T239" i="29"/>
  <c r="R239" i="29"/>
  <c r="Q239" i="29"/>
  <c r="V238" i="29"/>
  <c r="U238" i="29"/>
  <c r="T238" i="29"/>
  <c r="R238" i="29"/>
  <c r="Q238" i="29"/>
  <c r="V237" i="29"/>
  <c r="U237" i="29"/>
  <c r="T237" i="29"/>
  <c r="R237" i="29"/>
  <c r="Q237" i="29"/>
  <c r="V236" i="29"/>
  <c r="U236" i="29"/>
  <c r="W236" i="29" s="1"/>
  <c r="X236" i="29" s="1"/>
  <c r="T236" i="29"/>
  <c r="R236" i="29"/>
  <c r="Q236" i="29"/>
  <c r="V235" i="29"/>
  <c r="U235" i="29"/>
  <c r="T235" i="29"/>
  <c r="R235" i="29"/>
  <c r="Q235" i="29"/>
  <c r="V234" i="29"/>
  <c r="U234" i="29"/>
  <c r="T234" i="29"/>
  <c r="R234" i="29"/>
  <c r="Q234" i="29"/>
  <c r="V233" i="29"/>
  <c r="U233" i="29"/>
  <c r="T233" i="29"/>
  <c r="R233" i="29"/>
  <c r="Q233" i="29"/>
  <c r="V230" i="29"/>
  <c r="U230" i="29"/>
  <c r="T230" i="29"/>
  <c r="R230" i="29"/>
  <c r="Q230" i="29"/>
  <c r="V229" i="29"/>
  <c r="U229" i="29"/>
  <c r="T229" i="29"/>
  <c r="R229" i="29"/>
  <c r="Q229" i="29"/>
  <c r="V228" i="29"/>
  <c r="U228" i="29"/>
  <c r="T228" i="29"/>
  <c r="R228" i="29"/>
  <c r="Q228" i="29"/>
  <c r="V227" i="29"/>
  <c r="U227" i="29"/>
  <c r="T227" i="29"/>
  <c r="R227" i="29"/>
  <c r="Q227" i="29"/>
  <c r="V226" i="29"/>
  <c r="U226" i="29"/>
  <c r="T226" i="29"/>
  <c r="R226" i="29"/>
  <c r="Q226" i="29"/>
  <c r="V225" i="29"/>
  <c r="U225" i="29"/>
  <c r="T225" i="29"/>
  <c r="R225" i="29"/>
  <c r="Q225" i="29"/>
  <c r="V224" i="29"/>
  <c r="U224" i="29"/>
  <c r="T224" i="29"/>
  <c r="R224" i="29"/>
  <c r="Q224" i="29"/>
  <c r="V223" i="29"/>
  <c r="U223" i="29"/>
  <c r="T223" i="29"/>
  <c r="R223" i="29"/>
  <c r="Q223" i="29"/>
  <c r="V222" i="29"/>
  <c r="U222" i="29"/>
  <c r="T222" i="29"/>
  <c r="R222" i="29"/>
  <c r="Q222" i="29"/>
  <c r="V219" i="29"/>
  <c r="U219" i="29"/>
  <c r="T219" i="29"/>
  <c r="R219" i="29"/>
  <c r="Q219" i="29"/>
  <c r="V218" i="29"/>
  <c r="U218" i="29"/>
  <c r="W218" i="29" s="1"/>
  <c r="X218" i="29" s="1"/>
  <c r="T218" i="29"/>
  <c r="R218" i="29"/>
  <c r="Q218" i="29"/>
  <c r="V217" i="29"/>
  <c r="U217" i="29"/>
  <c r="T217" i="29"/>
  <c r="R217" i="29"/>
  <c r="Q217" i="29"/>
  <c r="V216" i="29"/>
  <c r="U216" i="29"/>
  <c r="W216" i="29" s="1"/>
  <c r="X216" i="29" s="1"/>
  <c r="T216" i="29"/>
  <c r="R216" i="29"/>
  <c r="Q216" i="29"/>
  <c r="V215" i="29"/>
  <c r="U215" i="29"/>
  <c r="T215" i="29"/>
  <c r="R215" i="29"/>
  <c r="Q215" i="29"/>
  <c r="V214" i="29"/>
  <c r="U214" i="29"/>
  <c r="T214" i="29"/>
  <c r="R214" i="29"/>
  <c r="Q214" i="29"/>
  <c r="V213" i="29"/>
  <c r="U213" i="29"/>
  <c r="T213" i="29"/>
  <c r="R213" i="29"/>
  <c r="Q213" i="29"/>
  <c r="V212" i="29"/>
  <c r="U212" i="29"/>
  <c r="T212" i="29"/>
  <c r="R212" i="29"/>
  <c r="Q212" i="29"/>
  <c r="V211" i="29"/>
  <c r="U211" i="29"/>
  <c r="T211" i="29"/>
  <c r="R211" i="29"/>
  <c r="Q211" i="29"/>
  <c r="V208" i="29"/>
  <c r="U208" i="29"/>
  <c r="T208" i="29"/>
  <c r="R208" i="29"/>
  <c r="Q208" i="29"/>
  <c r="V207" i="29"/>
  <c r="U207" i="29"/>
  <c r="T207" i="29"/>
  <c r="R207" i="29"/>
  <c r="Q207" i="29"/>
  <c r="V206" i="29"/>
  <c r="U206" i="29"/>
  <c r="T206" i="29"/>
  <c r="R206" i="29"/>
  <c r="Q206" i="29"/>
  <c r="V205" i="29"/>
  <c r="U205" i="29"/>
  <c r="T205" i="29"/>
  <c r="R205" i="29"/>
  <c r="Q205" i="29"/>
  <c r="V204" i="29"/>
  <c r="U204" i="29"/>
  <c r="T204" i="29"/>
  <c r="R204" i="29"/>
  <c r="Q204" i="29"/>
  <c r="V203" i="29"/>
  <c r="U203" i="29"/>
  <c r="T203" i="29"/>
  <c r="R203" i="29"/>
  <c r="Q203" i="29"/>
  <c r="V202" i="29"/>
  <c r="U202" i="29"/>
  <c r="T202" i="29"/>
  <c r="R202" i="29"/>
  <c r="Q202" i="29"/>
  <c r="V201" i="29"/>
  <c r="U201" i="29"/>
  <c r="T201" i="29"/>
  <c r="R201" i="29"/>
  <c r="Q201" i="29"/>
  <c r="V200" i="29"/>
  <c r="U200" i="29"/>
  <c r="T200" i="29"/>
  <c r="R200" i="29"/>
  <c r="Q200" i="29"/>
  <c r="V197" i="29"/>
  <c r="U197" i="29"/>
  <c r="T197" i="29"/>
  <c r="R197" i="29"/>
  <c r="Q197" i="29"/>
  <c r="V196" i="29"/>
  <c r="U196" i="29"/>
  <c r="W196" i="29" s="1"/>
  <c r="X196" i="29" s="1"/>
  <c r="T196" i="29"/>
  <c r="R196" i="29"/>
  <c r="Q196" i="29"/>
  <c r="V195" i="29"/>
  <c r="U195" i="29"/>
  <c r="T195" i="29"/>
  <c r="R195" i="29"/>
  <c r="Q195" i="29"/>
  <c r="V194" i="29"/>
  <c r="U194" i="29"/>
  <c r="T194" i="29"/>
  <c r="R194" i="29"/>
  <c r="Q194" i="29"/>
  <c r="V193" i="29"/>
  <c r="U193" i="29"/>
  <c r="T193" i="29"/>
  <c r="R193" i="29"/>
  <c r="Q193" i="29"/>
  <c r="V192" i="29"/>
  <c r="U192" i="29"/>
  <c r="T192" i="29"/>
  <c r="R192" i="29"/>
  <c r="Q192" i="29"/>
  <c r="V191" i="29"/>
  <c r="U191" i="29"/>
  <c r="T191" i="29"/>
  <c r="R191" i="29"/>
  <c r="Q191" i="29"/>
  <c r="V190" i="29"/>
  <c r="U190" i="29"/>
  <c r="T190" i="29"/>
  <c r="R190" i="29"/>
  <c r="Q190" i="29"/>
  <c r="V189" i="29"/>
  <c r="U189" i="29"/>
  <c r="T189" i="29"/>
  <c r="R189" i="29"/>
  <c r="Q189" i="29"/>
  <c r="V186" i="29"/>
  <c r="U186" i="29"/>
  <c r="T186" i="29"/>
  <c r="R186" i="29"/>
  <c r="Q186" i="29"/>
  <c r="V185" i="29"/>
  <c r="U185" i="29"/>
  <c r="T185" i="29"/>
  <c r="R185" i="29"/>
  <c r="Q185" i="29"/>
  <c r="V184" i="29"/>
  <c r="U184" i="29"/>
  <c r="T184" i="29"/>
  <c r="R184" i="29"/>
  <c r="Q184" i="29"/>
  <c r="V183" i="29"/>
  <c r="U183" i="29"/>
  <c r="T183" i="29"/>
  <c r="R183" i="29"/>
  <c r="Q183" i="29"/>
  <c r="V182" i="29"/>
  <c r="U182" i="29"/>
  <c r="T182" i="29"/>
  <c r="R182" i="29"/>
  <c r="Q182" i="29"/>
  <c r="V181" i="29"/>
  <c r="U181" i="29"/>
  <c r="T181" i="29"/>
  <c r="R181" i="29"/>
  <c r="Q181" i="29"/>
  <c r="V180" i="29"/>
  <c r="U180" i="29"/>
  <c r="T180" i="29"/>
  <c r="R180" i="29"/>
  <c r="Q180" i="29"/>
  <c r="V179" i="29"/>
  <c r="U179" i="29"/>
  <c r="T179" i="29"/>
  <c r="R179" i="29"/>
  <c r="Q179" i="29"/>
  <c r="V178" i="29"/>
  <c r="U178" i="29"/>
  <c r="T178" i="29"/>
  <c r="R178" i="29"/>
  <c r="Q178" i="29"/>
  <c r="V175" i="29"/>
  <c r="U175" i="29"/>
  <c r="T175" i="29"/>
  <c r="R175" i="29"/>
  <c r="Q175" i="29"/>
  <c r="V174" i="29"/>
  <c r="U174" i="29"/>
  <c r="T174" i="29"/>
  <c r="R174" i="29"/>
  <c r="Q174" i="29"/>
  <c r="V173" i="29"/>
  <c r="U173" i="29"/>
  <c r="T173" i="29"/>
  <c r="R173" i="29"/>
  <c r="Q173" i="29"/>
  <c r="V172" i="29"/>
  <c r="U172" i="29"/>
  <c r="T172" i="29"/>
  <c r="R172" i="29"/>
  <c r="Q172" i="29"/>
  <c r="V171" i="29"/>
  <c r="U171" i="29"/>
  <c r="T171" i="29"/>
  <c r="R171" i="29"/>
  <c r="Q171" i="29"/>
  <c r="V170" i="29"/>
  <c r="U170" i="29"/>
  <c r="T170" i="29"/>
  <c r="R170" i="29"/>
  <c r="Q170" i="29"/>
  <c r="V169" i="29"/>
  <c r="U169" i="29"/>
  <c r="T169" i="29"/>
  <c r="R169" i="29"/>
  <c r="Q169" i="29"/>
  <c r="V168" i="29"/>
  <c r="U168" i="29"/>
  <c r="W168" i="29" s="1"/>
  <c r="X168" i="29" s="1"/>
  <c r="T168" i="29"/>
  <c r="R168" i="29"/>
  <c r="Q168" i="29"/>
  <c r="V167" i="29"/>
  <c r="U167" i="29"/>
  <c r="T167" i="29"/>
  <c r="R167" i="29"/>
  <c r="Q167" i="29"/>
  <c r="V164" i="29"/>
  <c r="U164" i="29"/>
  <c r="T164" i="29"/>
  <c r="R164" i="29"/>
  <c r="Q164" i="29"/>
  <c r="V163" i="29"/>
  <c r="U163" i="29"/>
  <c r="T163" i="29"/>
  <c r="R163" i="29"/>
  <c r="Q163" i="29"/>
  <c r="V162" i="29"/>
  <c r="U162" i="29"/>
  <c r="T162" i="29"/>
  <c r="R162" i="29"/>
  <c r="Q162" i="29"/>
  <c r="V161" i="29"/>
  <c r="U161" i="29"/>
  <c r="T161" i="29"/>
  <c r="R161" i="29"/>
  <c r="Q161" i="29"/>
  <c r="V160" i="29"/>
  <c r="U160" i="29"/>
  <c r="T160" i="29"/>
  <c r="R160" i="29"/>
  <c r="Q160" i="29"/>
  <c r="V159" i="29"/>
  <c r="U159" i="29"/>
  <c r="T159" i="29"/>
  <c r="R159" i="29"/>
  <c r="Q159" i="29"/>
  <c r="V158" i="29"/>
  <c r="U158" i="29"/>
  <c r="W158" i="29" s="1"/>
  <c r="X158" i="29" s="1"/>
  <c r="T158" i="29"/>
  <c r="R158" i="29"/>
  <c r="Q158" i="29"/>
  <c r="V157" i="29"/>
  <c r="U157" i="29"/>
  <c r="T157" i="29"/>
  <c r="R157" i="29"/>
  <c r="Q157" i="29"/>
  <c r="V156" i="29"/>
  <c r="U156" i="29"/>
  <c r="T156" i="29"/>
  <c r="R156" i="29"/>
  <c r="Q156" i="29"/>
  <c r="V153" i="29"/>
  <c r="U153" i="29"/>
  <c r="T153" i="29"/>
  <c r="R153" i="29"/>
  <c r="Q153" i="29"/>
  <c r="V152" i="29"/>
  <c r="U152" i="29"/>
  <c r="T152" i="29"/>
  <c r="R152" i="29"/>
  <c r="Q152" i="29"/>
  <c r="V151" i="29"/>
  <c r="U151" i="29"/>
  <c r="T151" i="29"/>
  <c r="R151" i="29"/>
  <c r="Q151" i="29"/>
  <c r="V150" i="29"/>
  <c r="U150" i="29"/>
  <c r="W150" i="29" s="1"/>
  <c r="X150" i="29" s="1"/>
  <c r="T150" i="29"/>
  <c r="R150" i="29"/>
  <c r="Q150" i="29"/>
  <c r="V149" i="29"/>
  <c r="U149" i="29"/>
  <c r="T149" i="29"/>
  <c r="R149" i="29"/>
  <c r="Q149" i="29"/>
  <c r="V148" i="29"/>
  <c r="U148" i="29"/>
  <c r="T148" i="29"/>
  <c r="R148" i="29"/>
  <c r="Q148" i="29"/>
  <c r="V147" i="29"/>
  <c r="U147" i="29"/>
  <c r="T147" i="29"/>
  <c r="R147" i="29"/>
  <c r="Q147" i="29"/>
  <c r="V146" i="29"/>
  <c r="U146" i="29"/>
  <c r="T146" i="29"/>
  <c r="R146" i="29"/>
  <c r="Q146" i="29"/>
  <c r="V145" i="29"/>
  <c r="W145" i="29" s="1"/>
  <c r="X145" i="29" s="1"/>
  <c r="U145" i="29"/>
  <c r="T145" i="29"/>
  <c r="R145" i="29"/>
  <c r="Q145" i="29"/>
  <c r="V142" i="29"/>
  <c r="U142" i="29"/>
  <c r="T142" i="29"/>
  <c r="R142" i="29"/>
  <c r="Q142" i="29"/>
  <c r="V141" i="29"/>
  <c r="U141" i="29"/>
  <c r="T141" i="29"/>
  <c r="R141" i="29"/>
  <c r="Q141" i="29"/>
  <c r="V140" i="29"/>
  <c r="U140" i="29"/>
  <c r="T140" i="29"/>
  <c r="R140" i="29"/>
  <c r="Q140" i="29"/>
  <c r="V139" i="29"/>
  <c r="U139" i="29"/>
  <c r="T139" i="29"/>
  <c r="R139" i="29"/>
  <c r="Q139" i="29"/>
  <c r="V138" i="29"/>
  <c r="U138" i="29"/>
  <c r="T138" i="29"/>
  <c r="R138" i="29"/>
  <c r="Q138" i="29"/>
  <c r="V137" i="29"/>
  <c r="U137" i="29"/>
  <c r="T137" i="29"/>
  <c r="R137" i="29"/>
  <c r="Q137" i="29"/>
  <c r="V136" i="29"/>
  <c r="U136" i="29"/>
  <c r="T136" i="29"/>
  <c r="R136" i="29"/>
  <c r="Q136" i="29"/>
  <c r="V135" i="29"/>
  <c r="U135" i="29"/>
  <c r="T135" i="29"/>
  <c r="R135" i="29"/>
  <c r="Q135" i="29"/>
  <c r="V134" i="29"/>
  <c r="U134" i="29"/>
  <c r="T134" i="29"/>
  <c r="R134" i="29"/>
  <c r="Q134" i="29"/>
  <c r="V131" i="29"/>
  <c r="U131" i="29"/>
  <c r="T131" i="29"/>
  <c r="R131" i="29"/>
  <c r="Q131" i="29"/>
  <c r="V130" i="29"/>
  <c r="U130" i="29"/>
  <c r="W130" i="29" s="1"/>
  <c r="X130" i="29" s="1"/>
  <c r="T130" i="29"/>
  <c r="R130" i="29"/>
  <c r="Q130" i="29"/>
  <c r="V129" i="29"/>
  <c r="U129" i="29"/>
  <c r="T129" i="29"/>
  <c r="R129" i="29"/>
  <c r="Q129" i="29"/>
  <c r="V128" i="29"/>
  <c r="U128" i="29"/>
  <c r="W128" i="29" s="1"/>
  <c r="X128" i="29" s="1"/>
  <c r="T128" i="29"/>
  <c r="R128" i="29"/>
  <c r="Q128" i="29"/>
  <c r="V127" i="29"/>
  <c r="U127" i="29"/>
  <c r="W127" i="29" s="1"/>
  <c r="X127" i="29" s="1"/>
  <c r="T127" i="29"/>
  <c r="R127" i="29"/>
  <c r="Q127" i="29"/>
  <c r="V126" i="29"/>
  <c r="U126" i="29"/>
  <c r="T126" i="29"/>
  <c r="R126" i="29"/>
  <c r="Q126" i="29"/>
  <c r="V125" i="29"/>
  <c r="W125" i="29" s="1"/>
  <c r="X125" i="29" s="1"/>
  <c r="U125" i="29"/>
  <c r="T125" i="29"/>
  <c r="R125" i="29"/>
  <c r="Q125" i="29"/>
  <c r="V124" i="29"/>
  <c r="U124" i="29"/>
  <c r="T124" i="29"/>
  <c r="R124" i="29"/>
  <c r="Q124" i="29"/>
  <c r="V123" i="29"/>
  <c r="U123" i="29"/>
  <c r="T123" i="29"/>
  <c r="R123" i="29"/>
  <c r="Q123" i="29"/>
  <c r="V120" i="29"/>
  <c r="U120" i="29"/>
  <c r="W120" i="29" s="1"/>
  <c r="X120" i="29" s="1"/>
  <c r="T120" i="29"/>
  <c r="R120" i="29"/>
  <c r="Q120" i="29"/>
  <c r="V119" i="29"/>
  <c r="U119" i="29"/>
  <c r="T119" i="29"/>
  <c r="R119" i="29"/>
  <c r="Q119" i="29"/>
  <c r="V118" i="29"/>
  <c r="U118" i="29"/>
  <c r="T118" i="29"/>
  <c r="R118" i="29"/>
  <c r="Q118" i="29"/>
  <c r="V117" i="29"/>
  <c r="U117" i="29"/>
  <c r="T117" i="29"/>
  <c r="R117" i="29"/>
  <c r="Q117" i="29"/>
  <c r="V116" i="29"/>
  <c r="U116" i="29"/>
  <c r="T116" i="29"/>
  <c r="R116" i="29"/>
  <c r="Q116" i="29"/>
  <c r="V115" i="29"/>
  <c r="U115" i="29"/>
  <c r="T115" i="29"/>
  <c r="R115" i="29"/>
  <c r="Q115" i="29"/>
  <c r="V114" i="29"/>
  <c r="U114" i="29"/>
  <c r="T114" i="29"/>
  <c r="R114" i="29"/>
  <c r="Q114" i="29"/>
  <c r="V113" i="29"/>
  <c r="U113" i="29"/>
  <c r="T113" i="29"/>
  <c r="R113" i="29"/>
  <c r="Q113" i="29"/>
  <c r="V112" i="29"/>
  <c r="U112" i="29"/>
  <c r="T112" i="29"/>
  <c r="R112" i="29"/>
  <c r="Q112" i="29"/>
  <c r="W371" i="29" l="1"/>
  <c r="X371" i="29" s="1"/>
  <c r="W475" i="29"/>
  <c r="X475" i="29" s="1"/>
  <c r="W489" i="29"/>
  <c r="X489" i="29" s="1"/>
  <c r="W503" i="29"/>
  <c r="X503" i="29" s="1"/>
  <c r="W200" i="29"/>
  <c r="X200" i="29" s="1"/>
  <c r="W624" i="29"/>
  <c r="X624" i="29" s="1"/>
  <c r="W277" i="29"/>
  <c r="X277" i="29" s="1"/>
  <c r="W664" i="29"/>
  <c r="X664" i="29" s="1"/>
  <c r="W157" i="29"/>
  <c r="X157" i="29" s="1"/>
  <c r="W185" i="29"/>
  <c r="X185" i="29" s="1"/>
  <c r="W273" i="29"/>
  <c r="X273" i="29" s="1"/>
  <c r="W289" i="29"/>
  <c r="X289" i="29" s="1"/>
  <c r="W558" i="29"/>
  <c r="X558" i="29" s="1"/>
  <c r="W588" i="29"/>
  <c r="X588" i="29" s="1"/>
  <c r="W1555" i="29"/>
  <c r="X1555" i="29" s="1"/>
  <c r="W2599" i="29"/>
  <c r="X2599" i="29" s="1"/>
  <c r="W3874" i="29"/>
  <c r="X3874" i="29" s="1"/>
  <c r="W4372" i="29"/>
  <c r="X4372" i="29" s="1"/>
  <c r="W1570" i="29"/>
  <c r="X1570" i="29" s="1"/>
  <c r="W3263" i="29"/>
  <c r="X3263" i="29" s="1"/>
  <c r="W3557" i="29"/>
  <c r="X3557" i="29" s="1"/>
  <c r="W3761" i="29"/>
  <c r="X3761" i="29" s="1"/>
  <c r="W3841" i="29"/>
  <c r="X3841" i="29" s="1"/>
  <c r="W4465" i="29"/>
  <c r="X4465" i="29" s="1"/>
  <c r="W4646" i="29"/>
  <c r="X4646" i="29" s="1"/>
  <c r="W4926" i="29"/>
  <c r="X4926" i="29" s="1"/>
  <c r="W5024" i="29"/>
  <c r="X5024" i="29" s="1"/>
  <c r="W2931" i="29"/>
  <c r="X2931" i="29" s="1"/>
  <c r="W3590" i="29"/>
  <c r="X3590" i="29" s="1"/>
  <c r="W2546" i="29"/>
  <c r="X2546" i="29" s="1"/>
  <c r="W1054" i="29"/>
  <c r="X1054" i="29" s="1"/>
  <c r="W2513" i="29"/>
  <c r="X2513" i="29" s="1"/>
  <c r="W2601" i="29"/>
  <c r="X2601" i="29" s="1"/>
  <c r="W3866" i="29"/>
  <c r="X3866" i="29" s="1"/>
  <c r="W4052" i="29"/>
  <c r="X4052" i="29" s="1"/>
  <c r="W4072" i="29"/>
  <c r="X4072" i="29" s="1"/>
  <c r="W5497" i="29"/>
  <c r="X5497" i="29" s="1"/>
  <c r="W2609" i="29"/>
  <c r="X2609" i="29" s="1"/>
  <c r="W4853" i="29"/>
  <c r="X4853" i="29" s="1"/>
  <c r="W191" i="29"/>
  <c r="X191" i="29" s="1"/>
  <c r="W261" i="29"/>
  <c r="X261" i="29" s="1"/>
  <c r="W321" i="29"/>
  <c r="X321" i="29" s="1"/>
  <c r="W339" i="29"/>
  <c r="X339" i="29" s="1"/>
  <c r="W457" i="29"/>
  <c r="X457" i="29" s="1"/>
  <c r="W761" i="29"/>
  <c r="X761" i="29" s="1"/>
  <c r="W779" i="29"/>
  <c r="X779" i="29" s="1"/>
  <c r="W789" i="29"/>
  <c r="X789" i="29" s="1"/>
  <c r="W927" i="29"/>
  <c r="X927" i="29" s="1"/>
  <c r="W1028" i="29"/>
  <c r="X1028" i="29" s="1"/>
  <c r="W1086" i="29"/>
  <c r="X1086" i="29" s="1"/>
  <c r="W1207" i="29"/>
  <c r="X1207" i="29" s="1"/>
  <c r="W1325" i="29"/>
  <c r="X1325" i="29" s="1"/>
  <c r="W1471" i="29"/>
  <c r="X1471" i="29" s="1"/>
  <c r="W1521" i="29"/>
  <c r="X1521" i="29" s="1"/>
  <c r="W1730" i="29"/>
  <c r="X1730" i="29" s="1"/>
  <c r="W1765" i="29"/>
  <c r="X1765" i="29" s="1"/>
  <c r="W1768" i="29"/>
  <c r="X1768" i="29" s="1"/>
  <c r="W1803" i="29"/>
  <c r="X1803" i="29" s="1"/>
  <c r="W1954" i="29"/>
  <c r="X1954" i="29" s="1"/>
  <c r="W1974" i="29"/>
  <c r="X1974" i="29" s="1"/>
  <c r="W2004" i="29"/>
  <c r="X2004" i="29" s="1"/>
  <c r="W2193" i="29"/>
  <c r="X2193" i="29" s="1"/>
  <c r="W2213" i="29"/>
  <c r="X2213" i="29" s="1"/>
  <c r="W2261" i="29"/>
  <c r="X2261" i="29" s="1"/>
  <c r="W2304" i="29"/>
  <c r="X2304" i="29" s="1"/>
  <c r="W2437" i="29"/>
  <c r="X2437" i="29" s="1"/>
  <c r="W2653" i="29"/>
  <c r="X2653" i="29" s="1"/>
  <c r="W2671" i="29"/>
  <c r="X2671" i="29" s="1"/>
  <c r="W2701" i="29"/>
  <c r="X2701" i="29" s="1"/>
  <c r="W2711" i="29"/>
  <c r="X2711" i="29" s="1"/>
  <c r="W2741" i="29"/>
  <c r="X2741" i="29" s="1"/>
  <c r="W2809" i="29"/>
  <c r="X2809" i="29" s="1"/>
  <c r="W2950" i="29"/>
  <c r="X2950" i="29" s="1"/>
  <c r="W3617" i="29"/>
  <c r="X3617" i="29" s="1"/>
  <c r="W3627" i="29"/>
  <c r="X3627" i="29" s="1"/>
  <c r="W3634" i="29"/>
  <c r="X3634" i="29" s="1"/>
  <c r="W3662" i="29"/>
  <c r="X3662" i="29" s="1"/>
  <c r="W3732" i="29"/>
  <c r="X3732" i="29" s="1"/>
  <c r="W3775" i="29"/>
  <c r="X3775" i="29" s="1"/>
  <c r="W3780" i="29"/>
  <c r="X3780" i="29" s="1"/>
  <c r="W3868" i="29"/>
  <c r="X3868" i="29" s="1"/>
  <c r="W3926" i="29"/>
  <c r="X3926" i="29" s="1"/>
  <c r="W4074" i="29"/>
  <c r="X4074" i="29" s="1"/>
  <c r="W4273" i="29"/>
  <c r="X4273" i="29" s="1"/>
  <c r="W4318" i="29"/>
  <c r="X4318" i="29" s="1"/>
  <c r="W4366" i="29"/>
  <c r="X4366" i="29" s="1"/>
  <c r="W4484" i="29"/>
  <c r="X4484" i="29" s="1"/>
  <c r="W4542" i="29"/>
  <c r="X4542" i="29" s="1"/>
  <c r="W4746" i="29"/>
  <c r="X4746" i="29" s="1"/>
  <c r="W4789" i="29"/>
  <c r="X4789" i="29" s="1"/>
  <c r="W4945" i="29"/>
  <c r="X4945" i="29" s="1"/>
  <c r="W4975" i="29"/>
  <c r="X4975" i="29" s="1"/>
  <c r="W4993" i="29"/>
  <c r="X4993" i="29" s="1"/>
  <c r="W5018" i="29"/>
  <c r="X5018" i="29" s="1"/>
  <c r="W5023" i="29"/>
  <c r="X5023" i="29" s="1"/>
  <c r="W5212" i="29"/>
  <c r="X5212" i="29" s="1"/>
  <c r="W3814" i="29"/>
  <c r="X3814" i="29" s="1"/>
  <c r="W4413" i="29"/>
  <c r="X4413" i="29" s="1"/>
  <c r="W4441" i="29"/>
  <c r="X4441" i="29" s="1"/>
  <c r="W4680" i="29"/>
  <c r="X4680" i="29" s="1"/>
  <c r="W4872" i="29"/>
  <c r="X4872" i="29" s="1"/>
  <c r="W4902" i="29"/>
  <c r="X4902" i="29" s="1"/>
  <c r="W4960" i="29"/>
  <c r="X4960" i="29" s="1"/>
  <c r="W4990" i="29"/>
  <c r="X4990" i="29" s="1"/>
  <c r="W217" i="29"/>
  <c r="X217" i="29" s="1"/>
  <c r="W3698" i="29"/>
  <c r="X3698" i="29" s="1"/>
  <c r="W1897" i="29"/>
  <c r="X1897" i="29" s="1"/>
  <c r="W1083" i="29"/>
  <c r="X1083" i="29" s="1"/>
  <c r="W1224" i="29"/>
  <c r="X1224" i="29" s="1"/>
  <c r="W1400" i="29"/>
  <c r="X1400" i="29" s="1"/>
  <c r="W1478" i="29"/>
  <c r="X1478" i="29" s="1"/>
  <c r="W2019" i="29"/>
  <c r="X2019" i="29" s="1"/>
  <c r="W2326" i="29"/>
  <c r="X2326" i="29" s="1"/>
  <c r="W2590" i="29"/>
  <c r="X2590" i="29" s="1"/>
  <c r="W2990" i="29"/>
  <c r="X2990" i="29" s="1"/>
  <c r="W3098" i="29"/>
  <c r="X3098" i="29" s="1"/>
  <c r="W3128" i="29"/>
  <c r="X3128" i="29" s="1"/>
  <c r="W3161" i="29"/>
  <c r="X3161" i="29" s="1"/>
  <c r="W3166" i="29"/>
  <c r="X3166" i="29" s="1"/>
  <c r="W3219" i="29"/>
  <c r="X3219" i="29" s="1"/>
  <c r="W3297" i="29"/>
  <c r="X3297" i="29" s="1"/>
  <c r="W3425" i="29"/>
  <c r="X3425" i="29" s="1"/>
  <c r="W1515" i="29"/>
  <c r="X1515" i="29" s="1"/>
  <c r="W5525" i="29"/>
  <c r="X5525" i="29" s="1"/>
  <c r="W114" i="29"/>
  <c r="X114" i="29" s="1"/>
  <c r="W124" i="29"/>
  <c r="X124" i="29" s="1"/>
  <c r="W142" i="29"/>
  <c r="X142" i="29" s="1"/>
  <c r="W182" i="29"/>
  <c r="X182" i="29" s="1"/>
  <c r="W212" i="29"/>
  <c r="X212" i="29" s="1"/>
  <c r="W388" i="29"/>
  <c r="X388" i="29" s="1"/>
  <c r="W426" i="29"/>
  <c r="X426" i="29" s="1"/>
  <c r="W514" i="29"/>
  <c r="X514" i="29" s="1"/>
  <c r="W554" i="29"/>
  <c r="X554" i="29" s="1"/>
  <c r="W632" i="29"/>
  <c r="X632" i="29" s="1"/>
  <c r="W720" i="29"/>
  <c r="X720" i="29" s="1"/>
  <c r="W1050" i="29"/>
  <c r="X1050" i="29" s="1"/>
  <c r="W1118" i="29"/>
  <c r="X1118" i="29" s="1"/>
  <c r="W1168" i="29"/>
  <c r="X1168" i="29" s="1"/>
  <c r="W1274" i="29"/>
  <c r="X1274" i="29" s="1"/>
  <c r="W1297" i="29"/>
  <c r="X1297" i="29" s="1"/>
  <c r="W1314" i="29"/>
  <c r="X1314" i="29" s="1"/>
  <c r="W1490" i="29"/>
  <c r="X1490" i="29" s="1"/>
  <c r="W1528" i="29"/>
  <c r="X1528" i="29" s="1"/>
  <c r="W1581" i="29"/>
  <c r="X1581" i="29" s="1"/>
  <c r="W1631" i="29"/>
  <c r="X1631" i="29" s="1"/>
  <c r="W1704" i="29"/>
  <c r="X1704" i="29" s="1"/>
  <c r="W2099" i="29"/>
  <c r="X2099" i="29" s="1"/>
  <c r="W2263" i="29"/>
  <c r="X2263" i="29" s="1"/>
  <c r="W2308" i="29"/>
  <c r="X2308" i="29" s="1"/>
  <c r="W2396" i="29"/>
  <c r="X2396" i="29" s="1"/>
  <c r="W2572" i="29"/>
  <c r="X2572" i="29" s="1"/>
  <c r="W2886" i="29"/>
  <c r="X2886" i="29" s="1"/>
  <c r="W2944" i="29"/>
  <c r="X2944" i="29" s="1"/>
  <c r="W3241" i="29"/>
  <c r="X3241" i="29" s="1"/>
  <c r="W3281" i="29"/>
  <c r="X3281" i="29" s="1"/>
  <c r="W3291" i="29"/>
  <c r="X3291" i="29" s="1"/>
  <c r="W3299" i="29"/>
  <c r="X3299" i="29" s="1"/>
  <c r="W3339" i="29"/>
  <c r="X3339" i="29" s="1"/>
  <c r="W3349" i="29"/>
  <c r="X3349" i="29" s="1"/>
  <c r="W3397" i="29"/>
  <c r="X3397" i="29" s="1"/>
  <c r="W3437" i="29"/>
  <c r="X3437" i="29" s="1"/>
  <c r="W3495" i="29"/>
  <c r="X3495" i="29" s="1"/>
  <c r="W3515" i="29"/>
  <c r="X3515" i="29" s="1"/>
  <c r="W3535" i="29"/>
  <c r="X3535" i="29" s="1"/>
  <c r="W3593" i="29"/>
  <c r="X3593" i="29" s="1"/>
  <c r="W4043" i="29"/>
  <c r="X4043" i="29" s="1"/>
  <c r="W4086" i="29"/>
  <c r="X4086" i="29" s="1"/>
  <c r="W4161" i="29"/>
  <c r="X4161" i="29" s="1"/>
  <c r="W4194" i="29"/>
  <c r="X4194" i="29" s="1"/>
  <c r="W4212" i="29"/>
  <c r="X4212" i="29" s="1"/>
  <c r="W4219" i="29"/>
  <c r="X4219" i="29" s="1"/>
  <c r="W4483" i="29"/>
  <c r="X4483" i="29" s="1"/>
  <c r="W4523" i="29"/>
  <c r="X4523" i="29" s="1"/>
  <c r="W4594" i="29"/>
  <c r="X4594" i="29" s="1"/>
  <c r="W4846" i="29"/>
  <c r="X4846" i="29" s="1"/>
  <c r="W5035" i="29"/>
  <c r="X5035" i="29" s="1"/>
  <c r="W5042" i="29"/>
  <c r="X5042" i="29" s="1"/>
  <c r="W5065" i="29"/>
  <c r="X5065" i="29" s="1"/>
  <c r="W5085" i="29"/>
  <c r="X5085" i="29" s="1"/>
  <c r="W5264" i="29"/>
  <c r="X5264" i="29" s="1"/>
  <c r="W5322" i="29"/>
  <c r="X5322" i="29" s="1"/>
  <c r="W5372" i="29"/>
  <c r="X5372" i="29" s="1"/>
  <c r="W5521" i="29"/>
  <c r="X5521" i="29" s="1"/>
  <c r="W5508" i="29"/>
  <c r="X5508" i="29" s="1"/>
  <c r="W5524" i="29"/>
  <c r="X5524" i="29" s="1"/>
  <c r="W5564" i="29"/>
  <c r="X5564" i="29" s="1"/>
  <c r="W5580" i="29"/>
  <c r="X5580" i="29" s="1"/>
  <c r="W5585" i="29"/>
  <c r="X5585" i="29" s="1"/>
  <c r="W5609" i="29"/>
  <c r="X5609" i="29" s="1"/>
  <c r="W5593" i="29"/>
  <c r="X5593" i="29" s="1"/>
  <c r="W5607" i="29"/>
  <c r="X5607" i="29" s="1"/>
  <c r="W4957" i="29"/>
  <c r="X4957" i="29" s="1"/>
  <c r="W5001" i="29"/>
  <c r="X5001" i="29" s="1"/>
  <c r="W5040" i="29"/>
  <c r="X5040" i="29" s="1"/>
  <c r="W5063" i="29"/>
  <c r="X5063" i="29" s="1"/>
  <c r="W5223" i="29"/>
  <c r="X5223" i="29" s="1"/>
  <c r="W5253" i="29"/>
  <c r="X5253" i="29" s="1"/>
  <c r="W5408" i="29"/>
  <c r="X5408" i="29" s="1"/>
  <c r="W5482" i="29"/>
  <c r="X5482" i="29" s="1"/>
  <c r="W5013" i="29"/>
  <c r="X5013" i="29" s="1"/>
  <c r="W5029" i="29"/>
  <c r="X5029" i="29" s="1"/>
  <c r="W5059" i="29"/>
  <c r="X5059" i="29" s="1"/>
  <c r="W5244" i="29"/>
  <c r="X5244" i="29" s="1"/>
  <c r="W5251" i="29"/>
  <c r="X5251" i="29" s="1"/>
  <c r="W5332" i="29"/>
  <c r="X5332" i="29" s="1"/>
  <c r="W5376" i="29"/>
  <c r="X5376" i="29" s="1"/>
  <c r="W5057" i="29"/>
  <c r="X5057" i="29" s="1"/>
  <c r="W5233" i="29"/>
  <c r="X5233" i="29" s="1"/>
  <c r="W5249" i="29"/>
  <c r="X5249" i="29" s="1"/>
  <c r="W5263" i="29"/>
  <c r="X5263" i="29" s="1"/>
  <c r="W5388" i="29"/>
  <c r="X5388" i="29" s="1"/>
  <c r="W5485" i="29"/>
  <c r="X5485" i="29" s="1"/>
  <c r="W5122" i="29"/>
  <c r="X5122" i="29" s="1"/>
  <c r="W5152" i="29"/>
  <c r="X5152" i="29" s="1"/>
  <c r="W5210" i="29"/>
  <c r="X5210" i="29" s="1"/>
  <c r="W5351" i="29"/>
  <c r="X5351" i="29" s="1"/>
  <c r="W5365" i="29"/>
  <c r="X5365" i="29" s="1"/>
  <c r="W4991" i="29"/>
  <c r="X4991" i="29" s="1"/>
  <c r="W5185" i="29"/>
  <c r="X5185" i="29" s="1"/>
  <c r="W5243" i="29"/>
  <c r="X5243" i="29" s="1"/>
  <c r="W5282" i="29"/>
  <c r="X5282" i="29" s="1"/>
  <c r="W5384" i="29"/>
  <c r="X5384" i="29" s="1"/>
  <c r="W5458" i="29"/>
  <c r="X5458" i="29" s="1"/>
  <c r="W5276" i="29"/>
  <c r="X5276" i="29" s="1"/>
  <c r="W5315" i="29"/>
  <c r="X5315" i="29" s="1"/>
  <c r="W4421" i="29"/>
  <c r="X4421" i="29" s="1"/>
  <c r="W4481" i="29"/>
  <c r="X4481" i="29" s="1"/>
  <c r="W4518" i="29"/>
  <c r="X4518" i="29" s="1"/>
  <c r="W4550" i="29"/>
  <c r="X4550" i="29" s="1"/>
  <c r="W4661" i="29"/>
  <c r="X4661" i="29" s="1"/>
  <c r="W4744" i="29"/>
  <c r="X4744" i="29" s="1"/>
  <c r="W4767" i="29"/>
  <c r="X4767" i="29" s="1"/>
  <c r="W4811" i="29"/>
  <c r="X4811" i="29" s="1"/>
  <c r="W4883" i="29"/>
  <c r="X4883" i="29" s="1"/>
  <c r="W4899" i="29"/>
  <c r="X4899" i="29" s="1"/>
  <c r="W4927" i="29"/>
  <c r="X4927" i="29" s="1"/>
  <c r="W4943" i="29"/>
  <c r="X4943" i="29" s="1"/>
  <c r="W4463" i="29"/>
  <c r="X4463" i="29" s="1"/>
  <c r="W4479" i="29"/>
  <c r="X4479" i="29" s="1"/>
  <c r="W4557" i="29"/>
  <c r="X4557" i="29" s="1"/>
  <c r="W4615" i="29"/>
  <c r="X4615" i="29" s="1"/>
  <c r="W4673" i="29"/>
  <c r="X4673" i="29" s="1"/>
  <c r="W4779" i="29"/>
  <c r="X4779" i="29" s="1"/>
  <c r="W4793" i="29"/>
  <c r="X4793" i="29" s="1"/>
  <c r="W4897" i="29"/>
  <c r="X4897" i="29" s="1"/>
  <c r="W4403" i="29"/>
  <c r="X4403" i="29" s="1"/>
  <c r="W4431" i="29"/>
  <c r="X4431" i="29" s="1"/>
  <c r="W4537" i="29"/>
  <c r="X4537" i="29" s="1"/>
  <c r="W4701" i="29"/>
  <c r="X4701" i="29" s="1"/>
  <c r="W4729" i="29"/>
  <c r="X4729" i="29" s="1"/>
  <c r="W4738" i="29"/>
  <c r="X4738" i="29" s="1"/>
  <c r="W4747" i="29"/>
  <c r="X4747" i="29" s="1"/>
  <c r="W4754" i="29"/>
  <c r="X4754" i="29" s="1"/>
  <c r="W4777" i="29"/>
  <c r="X4777" i="29" s="1"/>
  <c r="W4946" i="29"/>
  <c r="X4946" i="29" s="1"/>
  <c r="W4452" i="29"/>
  <c r="X4452" i="29" s="1"/>
  <c r="W4618" i="29"/>
  <c r="X4618" i="29" s="1"/>
  <c r="W4464" i="29"/>
  <c r="X4464" i="29" s="1"/>
  <c r="W4512" i="29"/>
  <c r="X4512" i="29" s="1"/>
  <c r="W4549" i="29"/>
  <c r="X4549" i="29" s="1"/>
  <c r="W4690" i="29"/>
  <c r="X4690" i="29" s="1"/>
  <c r="W4810" i="29"/>
  <c r="X4810" i="29" s="1"/>
  <c r="W4847" i="29"/>
  <c r="X4847" i="29" s="1"/>
  <c r="W4868" i="29"/>
  <c r="X4868" i="29" s="1"/>
  <c r="W4877" i="29"/>
  <c r="X4877" i="29" s="1"/>
  <c r="W4912" i="29"/>
  <c r="X4912" i="29" s="1"/>
  <c r="W4457" i="29"/>
  <c r="X4457" i="29" s="1"/>
  <c r="W4476" i="29"/>
  <c r="X4476" i="29" s="1"/>
  <c r="W4501" i="29"/>
  <c r="X4501" i="29" s="1"/>
  <c r="W4688" i="29"/>
  <c r="X4688" i="29" s="1"/>
  <c r="W4439" i="29"/>
  <c r="X4439" i="29" s="1"/>
  <c r="W4474" i="29"/>
  <c r="X4474" i="29" s="1"/>
  <c r="W4490" i="29"/>
  <c r="X4490" i="29" s="1"/>
  <c r="W4497" i="29"/>
  <c r="X4497" i="29" s="1"/>
  <c r="W4513" i="29"/>
  <c r="X4513" i="29" s="1"/>
  <c r="W4559" i="29"/>
  <c r="X4559" i="29" s="1"/>
  <c r="W4612" i="29"/>
  <c r="X4612" i="29" s="1"/>
  <c r="W4649" i="29"/>
  <c r="X4649" i="29" s="1"/>
  <c r="W4684" i="29"/>
  <c r="X4684" i="29" s="1"/>
  <c r="W4693" i="29"/>
  <c r="X4693" i="29" s="1"/>
  <c r="W4827" i="29"/>
  <c r="X4827" i="29" s="1"/>
  <c r="W4848" i="29"/>
  <c r="X4848" i="29" s="1"/>
  <c r="W4878" i="29"/>
  <c r="X4878" i="29" s="1"/>
  <c r="W3995" i="29"/>
  <c r="X3995" i="29" s="1"/>
  <c r="W4039" i="29"/>
  <c r="X4039" i="29" s="1"/>
  <c r="W4097" i="29"/>
  <c r="X4097" i="29" s="1"/>
  <c r="W4199" i="29"/>
  <c r="X4199" i="29" s="1"/>
  <c r="W4259" i="29"/>
  <c r="X4259" i="29" s="1"/>
  <c r="W4058" i="29"/>
  <c r="X4058" i="29" s="1"/>
  <c r="W3924" i="29"/>
  <c r="X3924" i="29" s="1"/>
  <c r="W3968" i="29"/>
  <c r="X3968" i="29" s="1"/>
  <c r="W3998" i="29"/>
  <c r="X3998" i="29" s="1"/>
  <c r="W4028" i="29"/>
  <c r="X4028" i="29" s="1"/>
  <c r="W4153" i="29"/>
  <c r="X4153" i="29" s="1"/>
  <c r="W4241" i="29"/>
  <c r="X4241" i="29" s="1"/>
  <c r="W3959" i="29"/>
  <c r="X3959" i="29" s="1"/>
  <c r="W4063" i="29"/>
  <c r="X4063" i="29" s="1"/>
  <c r="W4077" i="29"/>
  <c r="X4077" i="29" s="1"/>
  <c r="W4091" i="29"/>
  <c r="X4091" i="29" s="1"/>
  <c r="W4135" i="29"/>
  <c r="X4135" i="29" s="1"/>
  <c r="W4165" i="29"/>
  <c r="X4165" i="29" s="1"/>
  <c r="W4195" i="29"/>
  <c r="X4195" i="29" s="1"/>
  <c r="W4209" i="29"/>
  <c r="X4209" i="29" s="1"/>
  <c r="W4306" i="29"/>
  <c r="X4306" i="29" s="1"/>
  <c r="W3966" i="29"/>
  <c r="X3966" i="29" s="1"/>
  <c r="W4156" i="29"/>
  <c r="X4156" i="29" s="1"/>
  <c r="W4380" i="29"/>
  <c r="X4380" i="29" s="1"/>
  <c r="W3876" i="29"/>
  <c r="X3876" i="29" s="1"/>
  <c r="W3964" i="29"/>
  <c r="X3964" i="29" s="1"/>
  <c r="W4154" i="29"/>
  <c r="X4154" i="29" s="1"/>
  <c r="W4325" i="29"/>
  <c r="X4325" i="29" s="1"/>
  <c r="W3932" i="29"/>
  <c r="X3932" i="29" s="1"/>
  <c r="W4064" i="29"/>
  <c r="X4064" i="29" s="1"/>
  <c r="W4138" i="29"/>
  <c r="X4138" i="29" s="1"/>
  <c r="W4321" i="29"/>
  <c r="X4321" i="29" s="1"/>
  <c r="W4178" i="29"/>
  <c r="X4178" i="29" s="1"/>
  <c r="W4238" i="29"/>
  <c r="X4238" i="29" s="1"/>
  <c r="W4261" i="29"/>
  <c r="X4261" i="29" s="1"/>
  <c r="W4289" i="29"/>
  <c r="X4289" i="29" s="1"/>
  <c r="W4319" i="29"/>
  <c r="X4319" i="29" s="1"/>
  <c r="W3340" i="29"/>
  <c r="X3340" i="29" s="1"/>
  <c r="W3370" i="29"/>
  <c r="X3370" i="29" s="1"/>
  <c r="W3428" i="29"/>
  <c r="X3428" i="29" s="1"/>
  <c r="W3680" i="29"/>
  <c r="X3680" i="29" s="1"/>
  <c r="W3408" i="29"/>
  <c r="X3408" i="29" s="1"/>
  <c r="W3438" i="29"/>
  <c r="X3438" i="29" s="1"/>
  <c r="W3482" i="29"/>
  <c r="X3482" i="29" s="1"/>
  <c r="W3813" i="29"/>
  <c r="X3813" i="29" s="1"/>
  <c r="W3827" i="29"/>
  <c r="X3827" i="29" s="1"/>
  <c r="W3304" i="29"/>
  <c r="X3304" i="29" s="1"/>
  <c r="W3332" i="29"/>
  <c r="X3332" i="29" s="1"/>
  <c r="W3362" i="29"/>
  <c r="X3362" i="29" s="1"/>
  <c r="W3480" i="29"/>
  <c r="X3480" i="29" s="1"/>
  <c r="W3494" i="29"/>
  <c r="X3494" i="29" s="1"/>
  <c r="W3517" i="29"/>
  <c r="X3517" i="29" s="1"/>
  <c r="W3582" i="29"/>
  <c r="X3582" i="29" s="1"/>
  <c r="W3605" i="29"/>
  <c r="X3605" i="29" s="1"/>
  <c r="W3658" i="29"/>
  <c r="X3658" i="29" s="1"/>
  <c r="W3693" i="29"/>
  <c r="X3693" i="29" s="1"/>
  <c r="W3804" i="29"/>
  <c r="X3804" i="29" s="1"/>
  <c r="W3811" i="29"/>
  <c r="X3811" i="29" s="1"/>
  <c r="W3325" i="29"/>
  <c r="X3325" i="29" s="1"/>
  <c r="W3462" i="29"/>
  <c r="X3462" i="29" s="1"/>
  <c r="W3485" i="29"/>
  <c r="X3485" i="29" s="1"/>
  <c r="W3536" i="29"/>
  <c r="X3536" i="29" s="1"/>
  <c r="W3677" i="29"/>
  <c r="X3677" i="29" s="1"/>
  <c r="W3700" i="29"/>
  <c r="X3700" i="29" s="1"/>
  <c r="W3513" i="29"/>
  <c r="X3513" i="29" s="1"/>
  <c r="W3756" i="29"/>
  <c r="X3756" i="29" s="1"/>
  <c r="W3395" i="29"/>
  <c r="X3395" i="29" s="1"/>
  <c r="W3402" i="29"/>
  <c r="X3402" i="29" s="1"/>
  <c r="W3534" i="29"/>
  <c r="X3534" i="29" s="1"/>
  <c r="W3703" i="29"/>
  <c r="X3703" i="29" s="1"/>
  <c r="W2877" i="29"/>
  <c r="X2877" i="29" s="1"/>
  <c r="W2930" i="29"/>
  <c r="X2930" i="29" s="1"/>
  <c r="W2935" i="29"/>
  <c r="X2935" i="29" s="1"/>
  <c r="W3009" i="29"/>
  <c r="X3009" i="29" s="1"/>
  <c r="W3039" i="29"/>
  <c r="X3039" i="29" s="1"/>
  <c r="W3097" i="29"/>
  <c r="X3097" i="29" s="1"/>
  <c r="W3238" i="29"/>
  <c r="X3238" i="29" s="1"/>
  <c r="W3266" i="29"/>
  <c r="X3266" i="29" s="1"/>
  <c r="W2884" i="29"/>
  <c r="X2884" i="29" s="1"/>
  <c r="W2942" i="29"/>
  <c r="X2942" i="29" s="1"/>
  <c r="W2831" i="29"/>
  <c r="X2831" i="29" s="1"/>
  <c r="W3021" i="29"/>
  <c r="X3021" i="29" s="1"/>
  <c r="W2769" i="29"/>
  <c r="X2769" i="29" s="1"/>
  <c r="W2975" i="29"/>
  <c r="X2975" i="29" s="1"/>
  <c r="W2989" i="29"/>
  <c r="X2989" i="29" s="1"/>
  <c r="W3019" i="29"/>
  <c r="X3019" i="29" s="1"/>
  <c r="W3077" i="29"/>
  <c r="X3077" i="29" s="1"/>
  <c r="W3153" i="29"/>
  <c r="X3153" i="29" s="1"/>
  <c r="W3285" i="29"/>
  <c r="X3285" i="29" s="1"/>
  <c r="W2908" i="29"/>
  <c r="X2908" i="29" s="1"/>
  <c r="W2996" i="29"/>
  <c r="X2996" i="29" s="1"/>
  <c r="W3054" i="29"/>
  <c r="X3054" i="29" s="1"/>
  <c r="W3165" i="29"/>
  <c r="X3165" i="29" s="1"/>
  <c r="W3239" i="29"/>
  <c r="X3239" i="29" s="1"/>
  <c r="W3269" i="29"/>
  <c r="X3269" i="29" s="1"/>
  <c r="W2869" i="29"/>
  <c r="X2869" i="29" s="1"/>
  <c r="W2876" i="29"/>
  <c r="X2876" i="29" s="1"/>
  <c r="W2934" i="29"/>
  <c r="X2934" i="29" s="1"/>
  <c r="W2957" i="29"/>
  <c r="X2957" i="29" s="1"/>
  <c r="W3066" i="29"/>
  <c r="X3066" i="29" s="1"/>
  <c r="W2766" i="29"/>
  <c r="X2766" i="29" s="1"/>
  <c r="W3193" i="29"/>
  <c r="X3193" i="29" s="1"/>
  <c r="W2770" i="29"/>
  <c r="X2770" i="29" s="1"/>
  <c r="W2844" i="29"/>
  <c r="X2844" i="29" s="1"/>
  <c r="W2888" i="29"/>
  <c r="X2888" i="29" s="1"/>
  <c r="W2946" i="29"/>
  <c r="X2946" i="29" s="1"/>
  <c r="W2976" i="29"/>
  <c r="X2976" i="29" s="1"/>
  <c r="W3233" i="29"/>
  <c r="X3233" i="29" s="1"/>
  <c r="W3270" i="29"/>
  <c r="X3270" i="29" s="1"/>
  <c r="W2303" i="29"/>
  <c r="X2303" i="29" s="1"/>
  <c r="W2271" i="29"/>
  <c r="X2271" i="29" s="1"/>
  <c r="W2345" i="29"/>
  <c r="X2345" i="29" s="1"/>
  <c r="W2373" i="29"/>
  <c r="X2373" i="29" s="1"/>
  <c r="W2484" i="29"/>
  <c r="X2484" i="29" s="1"/>
  <c r="W2727" i="29"/>
  <c r="X2727" i="29" s="1"/>
  <c r="W2743" i="29"/>
  <c r="X2743" i="29" s="1"/>
  <c r="W2347" i="29"/>
  <c r="X2347" i="29" s="1"/>
  <c r="W2320" i="29"/>
  <c r="X2320" i="29" s="1"/>
  <c r="W2221" i="29"/>
  <c r="X2221" i="29" s="1"/>
  <c r="W2318" i="29"/>
  <c r="X2318" i="29" s="1"/>
  <c r="W2362" i="29"/>
  <c r="X2362" i="29" s="1"/>
  <c r="W2378" i="29"/>
  <c r="X2378" i="29" s="1"/>
  <c r="W2503" i="29"/>
  <c r="X2503" i="29" s="1"/>
  <c r="W2538" i="29"/>
  <c r="X2538" i="29" s="1"/>
  <c r="W2637" i="29"/>
  <c r="X2637" i="29" s="1"/>
  <c r="W2725" i="29"/>
  <c r="X2725" i="29" s="1"/>
  <c r="W2523" i="29"/>
  <c r="X2523" i="29" s="1"/>
  <c r="W2567" i="29"/>
  <c r="X2567" i="29" s="1"/>
  <c r="W2228" i="29"/>
  <c r="X2228" i="29" s="1"/>
  <c r="W2589" i="29"/>
  <c r="X2589" i="29" s="1"/>
  <c r="W2744" i="29"/>
  <c r="X2744" i="29" s="1"/>
  <c r="W2220" i="29"/>
  <c r="X2220" i="29" s="1"/>
  <c r="W2210" i="29"/>
  <c r="X2210" i="29" s="1"/>
  <c r="W2307" i="29"/>
  <c r="X2307" i="29" s="1"/>
  <c r="W2434" i="29"/>
  <c r="X2434" i="29" s="1"/>
  <c r="W2499" i="29"/>
  <c r="X2499" i="29" s="1"/>
  <c r="W2721" i="29"/>
  <c r="X2721" i="29" s="1"/>
  <c r="W2298" i="29"/>
  <c r="X2298" i="29" s="1"/>
  <c r="W2668" i="29"/>
  <c r="X2668" i="29" s="1"/>
  <c r="W2726" i="29"/>
  <c r="X2726" i="29" s="1"/>
  <c r="W2282" i="29"/>
  <c r="X2282" i="29" s="1"/>
  <c r="W2370" i="29"/>
  <c r="X2370" i="29" s="1"/>
  <c r="W2384" i="29"/>
  <c r="X2384" i="29" s="1"/>
  <c r="W2604" i="29"/>
  <c r="X2604" i="29" s="1"/>
  <c r="W2627" i="29"/>
  <c r="X2627" i="29" s="1"/>
  <c r="W2650" i="29"/>
  <c r="X2650" i="29" s="1"/>
  <c r="W2710" i="29"/>
  <c r="X2710" i="29" s="1"/>
  <c r="W1647" i="29"/>
  <c r="X1647" i="29" s="1"/>
  <c r="W1913" i="29"/>
  <c r="X1913" i="29" s="1"/>
  <c r="W1120" i="29"/>
  <c r="X1120" i="29" s="1"/>
  <c r="W1173" i="29"/>
  <c r="X1173" i="29" s="1"/>
  <c r="W1621" i="29"/>
  <c r="X1621" i="29" s="1"/>
  <c r="W1665" i="29"/>
  <c r="X1665" i="29" s="1"/>
  <c r="W1686" i="29"/>
  <c r="X1686" i="29" s="1"/>
  <c r="W1700" i="29"/>
  <c r="X1700" i="29" s="1"/>
  <c r="W1753" i="29"/>
  <c r="X1753" i="29" s="1"/>
  <c r="W1908" i="29"/>
  <c r="X1908" i="29" s="1"/>
  <c r="W1975" i="29"/>
  <c r="X1975" i="29" s="1"/>
  <c r="W2144" i="29"/>
  <c r="X2144" i="29" s="1"/>
  <c r="W2192" i="29"/>
  <c r="X2192" i="29" s="1"/>
  <c r="W1996" i="29"/>
  <c r="X1996" i="29" s="1"/>
  <c r="W1206" i="29"/>
  <c r="X1206" i="29" s="1"/>
  <c r="W1250" i="29"/>
  <c r="X1250" i="29" s="1"/>
  <c r="W1303" i="29"/>
  <c r="X1303" i="29" s="1"/>
  <c r="W1347" i="29"/>
  <c r="X1347" i="29" s="1"/>
  <c r="W1352" i="29"/>
  <c r="X1352" i="29" s="1"/>
  <c r="W1370" i="29"/>
  <c r="X1370" i="29" s="1"/>
  <c r="W1379" i="29"/>
  <c r="X1379" i="29" s="1"/>
  <c r="W1384" i="29"/>
  <c r="X1384" i="29" s="1"/>
  <c r="W1414" i="29"/>
  <c r="X1414" i="29" s="1"/>
  <c r="W1437" i="29"/>
  <c r="X1437" i="29" s="1"/>
  <c r="W1548" i="29"/>
  <c r="X1548" i="29" s="1"/>
  <c r="W1578" i="29"/>
  <c r="X1578" i="29" s="1"/>
  <c r="W1698" i="29"/>
  <c r="X1698" i="29" s="1"/>
  <c r="W1703" i="29"/>
  <c r="X1703" i="29" s="1"/>
  <c r="W1719" i="29"/>
  <c r="X1719" i="29" s="1"/>
  <c r="W1733" i="29"/>
  <c r="X1733" i="29" s="1"/>
  <c r="W1964" i="29"/>
  <c r="X1964" i="29" s="1"/>
  <c r="W1405" i="29"/>
  <c r="X1405" i="29" s="1"/>
  <c r="W1622" i="29"/>
  <c r="X1622" i="29" s="1"/>
  <c r="W1636" i="29"/>
  <c r="X1636" i="29" s="1"/>
  <c r="W1680" i="29"/>
  <c r="X1680" i="29" s="1"/>
  <c r="W1865" i="29"/>
  <c r="X1865" i="29" s="1"/>
  <c r="W1927" i="29"/>
  <c r="X1927" i="29" s="1"/>
  <c r="W2066" i="29"/>
  <c r="X2066" i="29" s="1"/>
  <c r="W2172" i="29"/>
  <c r="X2172" i="29" s="1"/>
  <c r="W1116" i="29"/>
  <c r="X1116" i="29" s="1"/>
  <c r="W1257" i="29"/>
  <c r="X1257" i="29" s="1"/>
  <c r="W1361" i="29"/>
  <c r="X1361" i="29" s="1"/>
  <c r="W1128" i="29"/>
  <c r="X1128" i="29" s="1"/>
  <c r="W1142" i="29"/>
  <c r="X1142" i="29" s="1"/>
  <c r="W1165" i="29"/>
  <c r="X1165" i="29" s="1"/>
  <c r="W1216" i="29"/>
  <c r="X1216" i="29" s="1"/>
  <c r="W1283" i="29"/>
  <c r="X1283" i="29" s="1"/>
  <c r="W1327" i="29"/>
  <c r="X1327" i="29" s="1"/>
  <c r="W1412" i="29"/>
  <c r="X1412" i="29" s="1"/>
  <c r="W1484" i="29"/>
  <c r="X1484" i="29" s="1"/>
  <c r="W1516" i="29"/>
  <c r="X1516" i="29" s="1"/>
  <c r="W1576" i="29"/>
  <c r="X1576" i="29" s="1"/>
  <c r="W1731" i="29"/>
  <c r="X1731" i="29" s="1"/>
  <c r="W1872" i="29"/>
  <c r="X1872" i="29" s="1"/>
  <c r="W1900" i="29"/>
  <c r="X1900" i="29" s="1"/>
  <c r="W1967" i="29"/>
  <c r="X1967" i="29" s="1"/>
  <c r="W1990" i="29"/>
  <c r="X1990" i="29" s="1"/>
  <c r="W1997" i="29"/>
  <c r="X1997" i="29" s="1"/>
  <c r="W2078" i="29"/>
  <c r="X2078" i="29" s="1"/>
  <c r="W2177" i="29"/>
  <c r="X2177" i="29" s="1"/>
  <c r="W1149" i="29"/>
  <c r="X1149" i="29" s="1"/>
  <c r="W1394" i="29"/>
  <c r="X1394" i="29" s="1"/>
  <c r="W1845" i="29"/>
  <c r="X1845" i="29" s="1"/>
  <c r="W1930" i="29"/>
  <c r="X1930" i="29" s="1"/>
  <c r="W2092" i="29"/>
  <c r="X2092" i="29" s="1"/>
  <c r="W1198" i="29"/>
  <c r="X1198" i="29" s="1"/>
  <c r="W1330" i="29"/>
  <c r="X1330" i="29" s="1"/>
  <c r="W1436" i="29"/>
  <c r="X1436" i="29" s="1"/>
  <c r="W1454" i="29"/>
  <c r="X1454" i="29" s="1"/>
  <c r="W1512" i="29"/>
  <c r="X1512" i="29" s="1"/>
  <c r="W1653" i="29"/>
  <c r="X1653" i="29" s="1"/>
  <c r="W1755" i="29"/>
  <c r="X1755" i="29" s="1"/>
  <c r="W1764" i="29"/>
  <c r="X1764" i="29" s="1"/>
  <c r="W1769" i="29"/>
  <c r="X1769" i="29" s="1"/>
  <c r="W1866" i="29"/>
  <c r="X1866" i="29" s="1"/>
  <c r="W1912" i="29"/>
  <c r="X1912" i="29" s="1"/>
  <c r="W1928" i="29"/>
  <c r="X1928" i="29" s="1"/>
  <c r="W1979" i="29"/>
  <c r="X1979" i="29" s="1"/>
  <c r="W2000" i="29"/>
  <c r="X2000" i="29" s="1"/>
  <c r="W2053" i="29"/>
  <c r="X2053" i="29" s="1"/>
  <c r="W2173" i="29"/>
  <c r="X2173" i="29" s="1"/>
  <c r="W1171" i="29"/>
  <c r="X1171" i="29" s="1"/>
  <c r="W1566" i="29"/>
  <c r="X1566" i="29" s="1"/>
  <c r="W1383" i="29"/>
  <c r="X1383" i="29" s="1"/>
  <c r="W1427" i="29"/>
  <c r="X1427" i="29" s="1"/>
  <c r="W1450" i="29"/>
  <c r="X1450" i="29" s="1"/>
  <c r="W1466" i="29"/>
  <c r="X1466" i="29" s="1"/>
  <c r="W1688" i="29"/>
  <c r="X1688" i="29" s="1"/>
  <c r="W1776" i="29"/>
  <c r="X1776" i="29" s="1"/>
  <c r="W1834" i="29"/>
  <c r="X1834" i="29" s="1"/>
  <c r="W2125" i="29"/>
  <c r="X2125" i="29" s="1"/>
  <c r="W579" i="29"/>
  <c r="X579" i="29" s="1"/>
  <c r="W609" i="29"/>
  <c r="X609" i="29" s="1"/>
  <c r="W697" i="29"/>
  <c r="X697" i="29" s="1"/>
  <c r="W711" i="29"/>
  <c r="X711" i="29" s="1"/>
  <c r="W845" i="29"/>
  <c r="X845" i="29" s="1"/>
  <c r="W949" i="29"/>
  <c r="X949" i="29" s="1"/>
  <c r="W954" i="29"/>
  <c r="X954" i="29" s="1"/>
  <c r="W970" i="29"/>
  <c r="X970" i="29" s="1"/>
  <c r="W977" i="29"/>
  <c r="X977" i="29" s="1"/>
  <c r="W984" i="29"/>
  <c r="X984" i="29" s="1"/>
  <c r="W998" i="29"/>
  <c r="X998" i="29" s="1"/>
  <c r="W577" i="29"/>
  <c r="X577" i="29" s="1"/>
  <c r="W695" i="29"/>
  <c r="X695" i="29" s="1"/>
  <c r="W702" i="29"/>
  <c r="X702" i="29" s="1"/>
  <c r="W709" i="29"/>
  <c r="X709" i="29" s="1"/>
  <c r="W723" i="29"/>
  <c r="X723" i="29" s="1"/>
  <c r="W762" i="29"/>
  <c r="X762" i="29" s="1"/>
  <c r="W1010" i="29"/>
  <c r="X1010" i="29" s="1"/>
  <c r="W619" i="29"/>
  <c r="X619" i="29" s="1"/>
  <c r="W987" i="29"/>
  <c r="X987" i="29" s="1"/>
  <c r="W689" i="29"/>
  <c r="X689" i="29" s="1"/>
  <c r="W733" i="29"/>
  <c r="X733" i="29" s="1"/>
  <c r="W742" i="29"/>
  <c r="X742" i="29" s="1"/>
  <c r="W756" i="29"/>
  <c r="X756" i="29" s="1"/>
  <c r="W772" i="29"/>
  <c r="X772" i="29" s="1"/>
  <c r="W786" i="29"/>
  <c r="X786" i="29" s="1"/>
  <c r="W800" i="29"/>
  <c r="X800" i="29" s="1"/>
  <c r="W830" i="29"/>
  <c r="X830" i="29" s="1"/>
  <c r="W844" i="29"/>
  <c r="X844" i="29" s="1"/>
  <c r="W860" i="29"/>
  <c r="X860" i="29" s="1"/>
  <c r="W874" i="29"/>
  <c r="X874" i="29" s="1"/>
  <c r="W904" i="29"/>
  <c r="X904" i="29" s="1"/>
  <c r="W911" i="29"/>
  <c r="X911" i="29" s="1"/>
  <c r="W629" i="29"/>
  <c r="X629" i="29" s="1"/>
  <c r="W701" i="29"/>
  <c r="X701" i="29" s="1"/>
  <c r="W740" i="29"/>
  <c r="X740" i="29" s="1"/>
  <c r="W798" i="29"/>
  <c r="X798" i="29" s="1"/>
  <c r="W812" i="29"/>
  <c r="X812" i="29" s="1"/>
  <c r="W828" i="29"/>
  <c r="X828" i="29" s="1"/>
  <c r="W835" i="29"/>
  <c r="X835" i="29" s="1"/>
  <c r="W856" i="29"/>
  <c r="X856" i="29" s="1"/>
  <c r="W872" i="29"/>
  <c r="X872" i="29" s="1"/>
  <c r="W900" i="29"/>
  <c r="X900" i="29" s="1"/>
  <c r="W939" i="29"/>
  <c r="X939" i="29" s="1"/>
  <c r="W944" i="29"/>
  <c r="X944" i="29" s="1"/>
  <c r="W581" i="29"/>
  <c r="X581" i="29" s="1"/>
  <c r="W669" i="29"/>
  <c r="X669" i="29" s="1"/>
  <c r="W685" i="29"/>
  <c r="X685" i="29" s="1"/>
  <c r="W713" i="29"/>
  <c r="X713" i="29" s="1"/>
  <c r="W729" i="29"/>
  <c r="X729" i="29" s="1"/>
  <c r="W752" i="29"/>
  <c r="X752" i="29" s="1"/>
  <c r="W796" i="29"/>
  <c r="X796" i="29" s="1"/>
  <c r="W810" i="29"/>
  <c r="X810" i="29" s="1"/>
  <c r="W824" i="29"/>
  <c r="X824" i="29" s="1"/>
  <c r="W840" i="29"/>
  <c r="X840" i="29" s="1"/>
  <c r="W854" i="29"/>
  <c r="X854" i="29" s="1"/>
  <c r="W884" i="29"/>
  <c r="X884" i="29" s="1"/>
  <c r="W912" i="29"/>
  <c r="X912" i="29" s="1"/>
  <c r="W951" i="29"/>
  <c r="X951" i="29" s="1"/>
  <c r="W477" i="29"/>
  <c r="X477" i="29" s="1"/>
  <c r="W466" i="29"/>
  <c r="X466" i="29" s="1"/>
  <c r="W510" i="29"/>
  <c r="X510" i="29" s="1"/>
  <c r="W443" i="29"/>
  <c r="X443" i="29" s="1"/>
  <c r="W543" i="29"/>
  <c r="X543" i="29" s="1"/>
  <c r="W444" i="29"/>
  <c r="X444" i="29" s="1"/>
  <c r="W532" i="29"/>
  <c r="X532" i="29" s="1"/>
  <c r="W479" i="29"/>
  <c r="X479" i="29" s="1"/>
  <c r="W493" i="29"/>
  <c r="X493" i="29" s="1"/>
  <c r="W509" i="29"/>
  <c r="X509" i="29" s="1"/>
  <c r="W406" i="29"/>
  <c r="X406" i="29" s="1"/>
  <c r="W422" i="29"/>
  <c r="X422" i="29" s="1"/>
  <c r="W436" i="29"/>
  <c r="X436" i="29" s="1"/>
  <c r="W349" i="29"/>
  <c r="X349" i="29" s="1"/>
  <c r="W377" i="29"/>
  <c r="X377" i="29" s="1"/>
  <c r="W295" i="29"/>
  <c r="X295" i="29" s="1"/>
  <c r="W325" i="29"/>
  <c r="X325" i="29" s="1"/>
  <c r="W263" i="29"/>
  <c r="X263" i="29" s="1"/>
  <c r="W279" i="29"/>
  <c r="X279" i="29" s="1"/>
  <c r="W240" i="29"/>
  <c r="X240" i="29" s="1"/>
  <c r="W256" i="29"/>
  <c r="X256" i="29" s="1"/>
  <c r="W224" i="29"/>
  <c r="X224" i="29" s="1"/>
  <c r="W250" i="29"/>
  <c r="X250" i="29" s="1"/>
  <c r="W211" i="29"/>
  <c r="X211" i="29" s="1"/>
  <c r="W214" i="29"/>
  <c r="X214" i="29" s="1"/>
  <c r="W147" i="29"/>
  <c r="X147" i="29" s="1"/>
  <c r="W257" i="29"/>
  <c r="X257" i="29" s="1"/>
  <c r="W266" i="29"/>
  <c r="X266" i="29" s="1"/>
  <c r="W285" i="29"/>
  <c r="X285" i="29" s="1"/>
  <c r="W292" i="29"/>
  <c r="X292" i="29" s="1"/>
  <c r="W318" i="29"/>
  <c r="X318" i="29" s="1"/>
  <c r="W378" i="29"/>
  <c r="X378" i="29" s="1"/>
  <c r="W235" i="29"/>
  <c r="X235" i="29" s="1"/>
  <c r="W258" i="29"/>
  <c r="X258" i="29" s="1"/>
  <c r="W316" i="29"/>
  <c r="X316" i="29" s="1"/>
  <c r="W390" i="29"/>
  <c r="X390" i="29" s="1"/>
  <c r="W404" i="29"/>
  <c r="X404" i="29" s="1"/>
  <c r="W420" i="29"/>
  <c r="X420" i="29" s="1"/>
  <c r="W434" i="29"/>
  <c r="X434" i="29" s="1"/>
  <c r="W323" i="29"/>
  <c r="X323" i="29" s="1"/>
  <c r="W337" i="29"/>
  <c r="X337" i="29" s="1"/>
  <c r="W416" i="29"/>
  <c r="X416" i="29" s="1"/>
  <c r="W425" i="29"/>
  <c r="X425" i="29" s="1"/>
  <c r="W437" i="29"/>
  <c r="X437" i="29" s="1"/>
  <c r="W296" i="29"/>
  <c r="X296" i="29" s="1"/>
  <c r="W822" i="29"/>
  <c r="X822" i="29" s="1"/>
  <c r="W829" i="29"/>
  <c r="X829" i="29" s="1"/>
  <c r="W867" i="29"/>
  <c r="X867" i="29" s="1"/>
  <c r="W882" i="29"/>
  <c r="X882" i="29" s="1"/>
  <c r="W887" i="29"/>
  <c r="X887" i="29" s="1"/>
  <c r="W943" i="29"/>
  <c r="X943" i="29" s="1"/>
  <c r="W948" i="29"/>
  <c r="X948" i="29" s="1"/>
  <c r="W966" i="29"/>
  <c r="X966" i="29" s="1"/>
  <c r="W973" i="29"/>
  <c r="X973" i="29" s="1"/>
  <c r="W993" i="29"/>
  <c r="X993" i="29" s="1"/>
  <c r="W1080" i="29"/>
  <c r="X1080" i="29" s="1"/>
  <c r="W1141" i="29"/>
  <c r="X1141" i="29" s="1"/>
  <c r="W1231" i="29"/>
  <c r="X1231" i="29" s="1"/>
  <c r="W1251" i="29"/>
  <c r="X1251" i="29" s="1"/>
  <c r="W1261" i="29"/>
  <c r="X1261" i="29" s="1"/>
  <c r="W1264" i="29"/>
  <c r="X1264" i="29" s="1"/>
  <c r="W1348" i="29"/>
  <c r="X1348" i="29" s="1"/>
  <c r="W1381" i="29"/>
  <c r="X1381" i="29" s="1"/>
  <c r="W1483" i="29"/>
  <c r="X1483" i="29" s="1"/>
  <c r="W1524" i="29"/>
  <c r="X1524" i="29" s="1"/>
  <c r="W1537" i="29"/>
  <c r="X1537" i="29" s="1"/>
  <c r="W1588" i="29"/>
  <c r="X1588" i="29" s="1"/>
  <c r="W1611" i="29"/>
  <c r="X1611" i="29" s="1"/>
  <c r="W1641" i="29"/>
  <c r="X1641" i="29" s="1"/>
  <c r="W1644" i="29"/>
  <c r="X1644" i="29" s="1"/>
  <c r="W1649" i="29"/>
  <c r="X1649" i="29" s="1"/>
  <c r="W1669" i="29"/>
  <c r="X1669" i="29" s="1"/>
  <c r="W1722" i="29"/>
  <c r="X1722" i="29" s="1"/>
  <c r="W1894" i="29"/>
  <c r="X1894" i="29" s="1"/>
  <c r="W1982" i="29"/>
  <c r="X1982" i="29" s="1"/>
  <c r="W2028" i="29"/>
  <c r="X2028" i="29" s="1"/>
  <c r="W2480" i="29"/>
  <c r="X2480" i="29" s="1"/>
  <c r="W523" i="29"/>
  <c r="X523" i="29" s="1"/>
  <c r="W710" i="29"/>
  <c r="X710" i="29" s="1"/>
  <c r="W366" i="29"/>
  <c r="X366" i="29" s="1"/>
  <c r="W647" i="29"/>
  <c r="X647" i="29" s="1"/>
  <c r="W680" i="29"/>
  <c r="X680" i="29" s="1"/>
  <c r="W769" i="29"/>
  <c r="X769" i="29" s="1"/>
  <c r="W179" i="29"/>
  <c r="X179" i="29" s="1"/>
  <c r="W237" i="29"/>
  <c r="X237" i="29" s="1"/>
  <c r="W260" i="29"/>
  <c r="X260" i="29" s="1"/>
  <c r="W310" i="29"/>
  <c r="X310" i="29" s="1"/>
  <c r="W368" i="29"/>
  <c r="X368" i="29" s="1"/>
  <c r="W459" i="29"/>
  <c r="X459" i="29" s="1"/>
  <c r="W469" i="29"/>
  <c r="X469" i="29" s="1"/>
  <c r="W492" i="29"/>
  <c r="X492" i="29" s="1"/>
  <c r="W502" i="29"/>
  <c r="X502" i="29" s="1"/>
  <c r="W515" i="29"/>
  <c r="X515" i="29" s="1"/>
  <c r="W525" i="29"/>
  <c r="X525" i="29" s="1"/>
  <c r="W555" i="29"/>
  <c r="X555" i="29" s="1"/>
  <c r="W591" i="29"/>
  <c r="X591" i="29" s="1"/>
  <c r="W674" i="29"/>
  <c r="X674" i="29" s="1"/>
  <c r="W677" i="29"/>
  <c r="X677" i="29" s="1"/>
  <c r="W687" i="29"/>
  <c r="X687" i="29" s="1"/>
  <c r="W692" i="29"/>
  <c r="X692" i="29" s="1"/>
  <c r="W730" i="29"/>
  <c r="X730" i="29" s="1"/>
  <c r="W746" i="29"/>
  <c r="X746" i="29" s="1"/>
  <c r="W753" i="29"/>
  <c r="X753" i="29" s="1"/>
  <c r="W894" i="29"/>
  <c r="X894" i="29" s="1"/>
  <c r="W899" i="29"/>
  <c r="X899" i="29" s="1"/>
  <c r="W955" i="29"/>
  <c r="X955" i="29" s="1"/>
  <c r="W995" i="29"/>
  <c r="X995" i="29" s="1"/>
  <c r="W1008" i="29"/>
  <c r="X1008" i="29" s="1"/>
  <c r="W1018" i="29"/>
  <c r="X1018" i="29" s="1"/>
  <c r="W1036" i="29"/>
  <c r="X1036" i="29" s="1"/>
  <c r="W1044" i="29"/>
  <c r="X1044" i="29" s="1"/>
  <c r="W1069" i="29"/>
  <c r="X1069" i="29" s="1"/>
  <c r="W1077" i="29"/>
  <c r="X1077" i="29" s="1"/>
  <c r="W1087" i="29"/>
  <c r="X1087" i="29" s="1"/>
  <c r="W1105" i="29"/>
  <c r="X1105" i="29" s="1"/>
  <c r="W1125" i="29"/>
  <c r="X1125" i="29" s="1"/>
  <c r="W1143" i="29"/>
  <c r="X1143" i="29" s="1"/>
  <c r="W1184" i="29"/>
  <c r="X1184" i="29" s="1"/>
  <c r="W1194" i="29"/>
  <c r="X1194" i="29" s="1"/>
  <c r="W1217" i="29"/>
  <c r="X1217" i="29" s="1"/>
  <c r="W1273" i="29"/>
  <c r="X1273" i="29" s="1"/>
  <c r="W1317" i="29"/>
  <c r="X1317" i="29" s="1"/>
  <c r="W1340" i="29"/>
  <c r="X1340" i="29" s="1"/>
  <c r="W1363" i="29"/>
  <c r="X1363" i="29" s="1"/>
  <c r="W1368" i="29"/>
  <c r="X1368" i="29" s="1"/>
  <c r="W1378" i="29"/>
  <c r="X1378" i="29" s="1"/>
  <c r="W1396" i="29"/>
  <c r="X1396" i="29" s="1"/>
  <c r="W1406" i="29"/>
  <c r="X1406" i="29" s="1"/>
  <c r="W1411" i="29"/>
  <c r="X1411" i="29" s="1"/>
  <c r="W1434" i="29"/>
  <c r="X1434" i="29" s="1"/>
  <c r="W1513" i="29"/>
  <c r="X1513" i="29" s="1"/>
  <c r="W1549" i="29"/>
  <c r="X1549" i="29" s="1"/>
  <c r="W1564" i="29"/>
  <c r="X1564" i="29" s="1"/>
  <c r="W1623" i="29"/>
  <c r="X1623" i="29" s="1"/>
  <c r="W1643" i="29"/>
  <c r="X1643" i="29" s="1"/>
  <c r="W1676" i="29"/>
  <c r="X1676" i="29" s="1"/>
  <c r="W1774" i="29"/>
  <c r="X1774" i="29" s="1"/>
  <c r="W1802" i="29"/>
  <c r="X1802" i="29" s="1"/>
  <c r="W1812" i="29"/>
  <c r="X1812" i="29" s="1"/>
  <c r="W1832" i="29"/>
  <c r="X1832" i="29" s="1"/>
  <c r="W1873" i="29"/>
  <c r="X1873" i="29" s="1"/>
  <c r="W1883" i="29"/>
  <c r="X1883" i="29" s="1"/>
  <c r="W1911" i="29"/>
  <c r="X1911" i="29" s="1"/>
  <c r="W2429" i="29"/>
  <c r="X2429" i="29" s="1"/>
  <c r="W359" i="29"/>
  <c r="X359" i="29" s="1"/>
  <c r="W382" i="29"/>
  <c r="X382" i="29" s="1"/>
  <c r="W141" i="29"/>
  <c r="X141" i="29" s="1"/>
  <c r="W151" i="29"/>
  <c r="X151" i="29" s="1"/>
  <c r="W201" i="29"/>
  <c r="X201" i="29" s="1"/>
  <c r="W219" i="29"/>
  <c r="X219" i="29" s="1"/>
  <c r="W249" i="29"/>
  <c r="X249" i="29" s="1"/>
  <c r="W272" i="29"/>
  <c r="X272" i="29" s="1"/>
  <c r="W302" i="29"/>
  <c r="X302" i="29" s="1"/>
  <c r="W312" i="29"/>
  <c r="X312" i="29" s="1"/>
  <c r="W370" i="29"/>
  <c r="X370" i="29" s="1"/>
  <c r="W393" i="29"/>
  <c r="X393" i="29" s="1"/>
  <c r="W403" i="29"/>
  <c r="X403" i="29" s="1"/>
  <c r="W423" i="29"/>
  <c r="X423" i="29" s="1"/>
  <c r="W433" i="29"/>
  <c r="X433" i="29" s="1"/>
  <c r="W476" i="29"/>
  <c r="X476" i="29" s="1"/>
  <c r="W504" i="29"/>
  <c r="X504" i="29" s="1"/>
  <c r="W537" i="29"/>
  <c r="X537" i="29" s="1"/>
  <c r="W557" i="29"/>
  <c r="X557" i="29" s="1"/>
  <c r="W567" i="29"/>
  <c r="X567" i="29" s="1"/>
  <c r="W623" i="29"/>
  <c r="X623" i="29" s="1"/>
  <c r="W636" i="29"/>
  <c r="X636" i="29" s="1"/>
  <c r="W643" i="29"/>
  <c r="X643" i="29" s="1"/>
  <c r="W656" i="29"/>
  <c r="X656" i="29" s="1"/>
  <c r="W663" i="29"/>
  <c r="X663" i="29" s="1"/>
  <c r="W765" i="29"/>
  <c r="X765" i="29" s="1"/>
  <c r="W775" i="29"/>
  <c r="X775" i="29" s="1"/>
  <c r="W795" i="29"/>
  <c r="X795" i="29" s="1"/>
  <c r="W813" i="29"/>
  <c r="X813" i="29" s="1"/>
  <c r="W853" i="29"/>
  <c r="X853" i="29" s="1"/>
  <c r="W873" i="29"/>
  <c r="X873" i="29" s="1"/>
  <c r="W942" i="29"/>
  <c r="X942" i="29" s="1"/>
  <c r="W972" i="29"/>
  <c r="X972" i="29" s="1"/>
  <c r="W1041" i="29"/>
  <c r="X1041" i="29" s="1"/>
  <c r="W1074" i="29"/>
  <c r="X1074" i="29" s="1"/>
  <c r="W1094" i="29"/>
  <c r="X1094" i="29" s="1"/>
  <c r="W1127" i="29"/>
  <c r="X1127" i="29" s="1"/>
  <c r="W1140" i="29"/>
  <c r="X1140" i="29" s="1"/>
  <c r="W1150" i="29"/>
  <c r="X1150" i="29" s="1"/>
  <c r="W1163" i="29"/>
  <c r="X1163" i="29" s="1"/>
  <c r="W1186" i="29"/>
  <c r="X1186" i="29" s="1"/>
  <c r="W1191" i="29"/>
  <c r="X1191" i="29" s="1"/>
  <c r="W1234" i="29"/>
  <c r="X1234" i="29" s="1"/>
  <c r="W1237" i="29"/>
  <c r="X1237" i="29" s="1"/>
  <c r="W1275" i="29"/>
  <c r="X1275" i="29" s="1"/>
  <c r="W1339" i="29"/>
  <c r="X1339" i="29" s="1"/>
  <c r="W1380" i="29"/>
  <c r="X1380" i="29" s="1"/>
  <c r="W1390" i="29"/>
  <c r="X1390" i="29" s="1"/>
  <c r="W1393" i="29"/>
  <c r="X1393" i="29" s="1"/>
  <c r="W1413" i="29"/>
  <c r="X1413" i="29" s="1"/>
  <c r="W1479" i="29"/>
  <c r="X1479" i="29" s="1"/>
  <c r="W1482" i="29"/>
  <c r="X1482" i="29" s="1"/>
  <c r="W1492" i="29"/>
  <c r="X1492" i="29" s="1"/>
  <c r="W1523" i="29"/>
  <c r="X1523" i="29" s="1"/>
  <c r="W1526" i="29"/>
  <c r="X1526" i="29" s="1"/>
  <c r="W1553" i="29"/>
  <c r="X1553" i="29" s="1"/>
  <c r="W1559" i="29"/>
  <c r="X1559" i="29" s="1"/>
  <c r="W1569" i="29"/>
  <c r="X1569" i="29" s="1"/>
  <c r="W1579" i="29"/>
  <c r="X1579" i="29" s="1"/>
  <c r="W1597" i="29"/>
  <c r="X1597" i="29" s="1"/>
  <c r="W1685" i="29"/>
  <c r="X1685" i="29" s="1"/>
  <c r="W1736" i="29"/>
  <c r="X1736" i="29" s="1"/>
  <c r="W1741" i="29"/>
  <c r="X1741" i="29" s="1"/>
  <c r="W2413" i="29"/>
  <c r="X2413" i="29" s="1"/>
  <c r="W115" i="29"/>
  <c r="X115" i="29" s="1"/>
  <c r="W148" i="29"/>
  <c r="X148" i="29" s="1"/>
  <c r="W163" i="29"/>
  <c r="X163" i="29" s="1"/>
  <c r="W183" i="29"/>
  <c r="X183" i="29" s="1"/>
  <c r="W193" i="29"/>
  <c r="X193" i="29" s="1"/>
  <c r="W203" i="29"/>
  <c r="X203" i="29" s="1"/>
  <c r="W213" i="29"/>
  <c r="X213" i="29" s="1"/>
  <c r="W223" i="29"/>
  <c r="X223" i="29" s="1"/>
  <c r="W251" i="29"/>
  <c r="X251" i="29" s="1"/>
  <c r="W294" i="29"/>
  <c r="X294" i="29" s="1"/>
  <c r="W400" i="29"/>
  <c r="X400" i="29" s="1"/>
  <c r="W445" i="29"/>
  <c r="X445" i="29" s="1"/>
  <c r="W478" i="29"/>
  <c r="X478" i="29" s="1"/>
  <c r="W511" i="29"/>
  <c r="X511" i="29" s="1"/>
  <c r="W524" i="29"/>
  <c r="X524" i="29" s="1"/>
  <c r="W549" i="29"/>
  <c r="X549" i="29" s="1"/>
  <c r="W564" i="29"/>
  <c r="X564" i="29" s="1"/>
  <c r="W597" i="29"/>
  <c r="X597" i="29" s="1"/>
  <c r="W607" i="29"/>
  <c r="X607" i="29" s="1"/>
  <c r="W610" i="29"/>
  <c r="X610" i="29" s="1"/>
  <c r="W698" i="29"/>
  <c r="X698" i="29" s="1"/>
  <c r="W739" i="29"/>
  <c r="X739" i="29" s="1"/>
  <c r="W757" i="29"/>
  <c r="X757" i="29" s="1"/>
  <c r="W895" i="29"/>
  <c r="X895" i="29" s="1"/>
  <c r="W905" i="29"/>
  <c r="X905" i="29" s="1"/>
  <c r="W908" i="29"/>
  <c r="X908" i="29" s="1"/>
  <c r="W923" i="29"/>
  <c r="X923" i="29" s="1"/>
  <c r="W934" i="29"/>
  <c r="X934" i="29" s="1"/>
  <c r="W961" i="29"/>
  <c r="X961" i="29" s="1"/>
  <c r="W971" i="29"/>
  <c r="X971" i="29" s="1"/>
  <c r="W1017" i="29"/>
  <c r="X1017" i="29" s="1"/>
  <c r="W1027" i="29"/>
  <c r="X1027" i="29" s="1"/>
  <c r="W1030" i="29"/>
  <c r="X1030" i="29" s="1"/>
  <c r="W1060" i="29"/>
  <c r="X1060" i="29" s="1"/>
  <c r="W1063" i="29"/>
  <c r="X1063" i="29" s="1"/>
  <c r="W1099" i="29"/>
  <c r="X1099" i="29" s="1"/>
  <c r="W1119" i="29"/>
  <c r="X1119" i="29" s="1"/>
  <c r="W1129" i="29"/>
  <c r="X1129" i="29" s="1"/>
  <c r="W1132" i="29"/>
  <c r="X1132" i="29" s="1"/>
  <c r="W1208" i="29"/>
  <c r="X1208" i="29" s="1"/>
  <c r="W1223" i="29"/>
  <c r="X1223" i="29" s="1"/>
  <c r="W1239" i="29"/>
  <c r="X1239" i="29" s="1"/>
  <c r="W1282" i="29"/>
  <c r="X1282" i="29" s="1"/>
  <c r="W1295" i="29"/>
  <c r="X1295" i="29" s="1"/>
  <c r="W1318" i="29"/>
  <c r="X1318" i="29" s="1"/>
  <c r="W1341" i="29"/>
  <c r="X1341" i="29" s="1"/>
  <c r="W1346" i="29"/>
  <c r="X1346" i="29" s="1"/>
  <c r="W1351" i="29"/>
  <c r="X1351" i="29" s="1"/>
  <c r="W1425" i="29"/>
  <c r="X1425" i="29" s="1"/>
  <c r="W1468" i="29"/>
  <c r="X1468" i="29" s="1"/>
  <c r="W1491" i="29"/>
  <c r="X1491" i="29" s="1"/>
  <c r="W1501" i="29"/>
  <c r="X1501" i="29" s="1"/>
  <c r="W1504" i="29"/>
  <c r="X1504" i="29" s="1"/>
  <c r="W1522" i="29"/>
  <c r="X1522" i="29" s="1"/>
  <c r="W1538" i="29"/>
  <c r="X1538" i="29" s="1"/>
  <c r="W1788" i="29"/>
  <c r="X1788" i="29" s="1"/>
  <c r="W1798" i="29"/>
  <c r="X1798" i="29" s="1"/>
  <c r="W1828" i="29"/>
  <c r="X1828" i="29" s="1"/>
  <c r="W1841" i="29"/>
  <c r="X1841" i="29" s="1"/>
  <c r="W1854" i="29"/>
  <c r="X1854" i="29" s="1"/>
  <c r="W1864" i="29"/>
  <c r="X1864" i="29" s="1"/>
  <c r="W2104" i="29"/>
  <c r="X2104" i="29" s="1"/>
  <c r="W2114" i="29"/>
  <c r="X2114" i="29" s="1"/>
  <c r="W2122" i="29"/>
  <c r="X2122" i="29" s="1"/>
  <c r="W2576" i="29"/>
  <c r="X2576" i="29" s="1"/>
  <c r="W1917" i="29"/>
  <c r="X1917" i="29" s="1"/>
  <c r="W1960" i="29"/>
  <c r="X1960" i="29" s="1"/>
  <c r="W1983" i="29"/>
  <c r="X1983" i="29" s="1"/>
  <c r="W2006" i="29"/>
  <c r="X2006" i="29" s="1"/>
  <c r="W2016" i="29"/>
  <c r="X2016" i="29" s="1"/>
  <c r="W2085" i="29"/>
  <c r="X2085" i="29" s="1"/>
  <c r="W2115" i="29"/>
  <c r="X2115" i="29" s="1"/>
  <c r="W2148" i="29"/>
  <c r="X2148" i="29" s="1"/>
  <c r="W2194" i="29"/>
  <c r="X2194" i="29" s="1"/>
  <c r="W2217" i="29"/>
  <c r="X2217" i="29" s="1"/>
  <c r="W2250" i="29"/>
  <c r="X2250" i="29" s="1"/>
  <c r="W2379" i="29"/>
  <c r="X2379" i="29" s="1"/>
  <c r="W2412" i="29"/>
  <c r="X2412" i="29" s="1"/>
  <c r="W2469" i="29"/>
  <c r="X2469" i="29" s="1"/>
  <c r="W2565" i="29"/>
  <c r="X2565" i="29" s="1"/>
  <c r="W2578" i="29"/>
  <c r="X2578" i="29" s="1"/>
  <c r="W2606" i="29"/>
  <c r="X2606" i="29" s="1"/>
  <c r="W2631" i="29"/>
  <c r="X2631" i="29" s="1"/>
  <c r="W2654" i="29"/>
  <c r="X2654" i="29" s="1"/>
  <c r="W2672" i="29"/>
  <c r="X2672" i="29" s="1"/>
  <c r="W2682" i="29"/>
  <c r="X2682" i="29" s="1"/>
  <c r="W2722" i="29"/>
  <c r="X2722" i="29" s="1"/>
  <c r="W2732" i="29"/>
  <c r="X2732" i="29" s="1"/>
  <c r="W2745" i="29"/>
  <c r="X2745" i="29" s="1"/>
  <c r="W2775" i="29"/>
  <c r="X2775" i="29" s="1"/>
  <c r="W2836" i="29"/>
  <c r="X2836" i="29" s="1"/>
  <c r="W2851" i="29"/>
  <c r="X2851" i="29" s="1"/>
  <c r="W2859" i="29"/>
  <c r="X2859" i="29" s="1"/>
  <c r="W2909" i="29"/>
  <c r="X2909" i="29" s="1"/>
  <c r="W2947" i="29"/>
  <c r="X2947" i="29" s="1"/>
  <c r="W2967" i="29"/>
  <c r="X2967" i="29" s="1"/>
  <c r="W2980" i="29"/>
  <c r="X2980" i="29" s="1"/>
  <c r="W3040" i="29"/>
  <c r="X3040" i="29" s="1"/>
  <c r="W3068" i="29"/>
  <c r="X3068" i="29" s="1"/>
  <c r="W3078" i="29"/>
  <c r="X3078" i="29" s="1"/>
  <c r="W3118" i="29"/>
  <c r="X3118" i="29" s="1"/>
  <c r="W3171" i="29"/>
  <c r="X3171" i="29" s="1"/>
  <c r="W3189" i="29"/>
  <c r="X3189" i="29" s="1"/>
  <c r="W3199" i="29"/>
  <c r="X3199" i="29" s="1"/>
  <c r="W3305" i="29"/>
  <c r="X3305" i="29" s="1"/>
  <c r="W3363" i="29"/>
  <c r="X3363" i="29" s="1"/>
  <c r="W3431" i="29"/>
  <c r="X3431" i="29" s="1"/>
  <c r="W3547" i="29"/>
  <c r="X3547" i="29" s="1"/>
  <c r="W3567" i="29"/>
  <c r="X3567" i="29" s="1"/>
  <c r="W3628" i="29"/>
  <c r="X3628" i="29" s="1"/>
  <c r="W3711" i="29"/>
  <c r="X3711" i="29" s="1"/>
  <c r="W3789" i="29"/>
  <c r="X3789" i="29" s="1"/>
  <c r="W4350" i="29"/>
  <c r="X4350" i="29" s="1"/>
  <c r="W4360" i="29"/>
  <c r="X4360" i="29" s="1"/>
  <c r="W4373" i="29"/>
  <c r="X4373" i="29" s="1"/>
  <c r="W4426" i="29"/>
  <c r="X4426" i="29" s="1"/>
  <c r="W4446" i="29"/>
  <c r="X4446" i="29" s="1"/>
  <c r="W1754" i="29"/>
  <c r="X1754" i="29" s="1"/>
  <c r="W1790" i="29"/>
  <c r="X1790" i="29" s="1"/>
  <c r="W1825" i="29"/>
  <c r="X1825" i="29" s="1"/>
  <c r="W1840" i="29"/>
  <c r="X1840" i="29" s="1"/>
  <c r="W1850" i="29"/>
  <c r="X1850" i="29" s="1"/>
  <c r="W1945" i="29"/>
  <c r="X1945" i="29" s="1"/>
  <c r="W2021" i="29"/>
  <c r="X2021" i="29" s="1"/>
  <c r="W2044" i="29"/>
  <c r="X2044" i="29" s="1"/>
  <c r="W2153" i="29"/>
  <c r="X2153" i="29" s="1"/>
  <c r="W2206" i="29"/>
  <c r="X2206" i="29" s="1"/>
  <c r="W2257" i="29"/>
  <c r="X2257" i="29" s="1"/>
  <c r="W2260" i="29"/>
  <c r="X2260" i="29" s="1"/>
  <c r="W2275" i="29"/>
  <c r="X2275" i="29" s="1"/>
  <c r="W2295" i="29"/>
  <c r="X2295" i="29" s="1"/>
  <c r="W2305" i="29"/>
  <c r="X2305" i="29" s="1"/>
  <c r="W2348" i="29"/>
  <c r="X2348" i="29" s="1"/>
  <c r="W2351" i="29"/>
  <c r="X2351" i="29" s="1"/>
  <c r="W2381" i="29"/>
  <c r="X2381" i="29" s="1"/>
  <c r="W2404" i="29"/>
  <c r="X2404" i="29" s="1"/>
  <c r="W2425" i="29"/>
  <c r="X2425" i="29" s="1"/>
  <c r="W2445" i="29"/>
  <c r="X2445" i="29" s="1"/>
  <c r="W2455" i="29"/>
  <c r="X2455" i="29" s="1"/>
  <c r="W2550" i="29"/>
  <c r="X2550" i="29" s="1"/>
  <c r="W2613" i="29"/>
  <c r="X2613" i="29" s="1"/>
  <c r="W2636" i="29"/>
  <c r="X2636" i="29" s="1"/>
  <c r="W2639" i="29"/>
  <c r="X2639" i="29" s="1"/>
  <c r="W2659" i="29"/>
  <c r="X2659" i="29" s="1"/>
  <c r="W2666" i="29"/>
  <c r="X2666" i="29" s="1"/>
  <c r="W2704" i="29"/>
  <c r="X2704" i="29" s="1"/>
  <c r="W2724" i="29"/>
  <c r="X2724" i="29" s="1"/>
  <c r="W2767" i="29"/>
  <c r="X2767" i="29" s="1"/>
  <c r="W2777" i="29"/>
  <c r="X2777" i="29" s="1"/>
  <c r="W2807" i="29"/>
  <c r="X2807" i="29" s="1"/>
  <c r="W2815" i="29"/>
  <c r="X2815" i="29" s="1"/>
  <c r="W2843" i="29"/>
  <c r="X2843" i="29" s="1"/>
  <c r="W2848" i="29"/>
  <c r="X2848" i="29" s="1"/>
  <c r="W2856" i="29"/>
  <c r="X2856" i="29" s="1"/>
  <c r="W2921" i="29"/>
  <c r="X2921" i="29" s="1"/>
  <c r="W2941" i="29"/>
  <c r="X2941" i="29" s="1"/>
  <c r="W2994" i="29"/>
  <c r="X2994" i="29" s="1"/>
  <c r="W3012" i="29"/>
  <c r="X3012" i="29" s="1"/>
  <c r="W3032" i="29"/>
  <c r="X3032" i="29" s="1"/>
  <c r="W3042" i="29"/>
  <c r="X3042" i="29" s="1"/>
  <c r="W3062" i="29"/>
  <c r="X3062" i="29" s="1"/>
  <c r="W3082" i="29"/>
  <c r="X3082" i="29" s="1"/>
  <c r="W3203" i="29"/>
  <c r="X3203" i="29" s="1"/>
  <c r="W3211" i="29"/>
  <c r="X3211" i="29" s="1"/>
  <c r="W3231" i="29"/>
  <c r="X3231" i="29" s="1"/>
  <c r="W3405" i="29"/>
  <c r="X3405" i="29" s="1"/>
  <c r="W3458" i="29"/>
  <c r="X3458" i="29" s="1"/>
  <c r="W3486" i="29"/>
  <c r="X3486" i="29" s="1"/>
  <c r="W3501" i="29"/>
  <c r="X3501" i="29" s="1"/>
  <c r="W3665" i="29"/>
  <c r="X3665" i="29" s="1"/>
  <c r="W3673" i="29"/>
  <c r="X3673" i="29" s="1"/>
  <c r="W3857" i="29"/>
  <c r="X3857" i="29" s="1"/>
  <c r="W4163" i="29"/>
  <c r="X4163" i="29" s="1"/>
  <c r="W4173" i="29"/>
  <c r="X4173" i="29" s="1"/>
  <c r="W4552" i="29"/>
  <c r="X4552" i="29" s="1"/>
  <c r="W2411" i="29"/>
  <c r="X2411" i="29" s="1"/>
  <c r="W2424" i="29"/>
  <c r="X2424" i="29" s="1"/>
  <c r="W2450" i="29"/>
  <c r="X2450" i="29" s="1"/>
  <c r="W2468" i="29"/>
  <c r="X2468" i="29" s="1"/>
  <c r="W2529" i="29"/>
  <c r="X2529" i="29" s="1"/>
  <c r="W2605" i="29"/>
  <c r="X2605" i="29" s="1"/>
  <c r="W2802" i="29"/>
  <c r="X2802" i="29" s="1"/>
  <c r="W2898" i="29"/>
  <c r="X2898" i="29" s="1"/>
  <c r="W3029" i="29"/>
  <c r="X3029" i="29" s="1"/>
  <c r="W3067" i="29"/>
  <c r="X3067" i="29" s="1"/>
  <c r="W3127" i="29"/>
  <c r="X3127" i="29" s="1"/>
  <c r="W3392" i="29"/>
  <c r="X3392" i="29" s="1"/>
  <c r="W1614" i="29"/>
  <c r="X1614" i="29" s="1"/>
  <c r="W1710" i="29"/>
  <c r="X1710" i="29" s="1"/>
  <c r="W1713" i="29"/>
  <c r="X1713" i="29" s="1"/>
  <c r="W1720" i="29"/>
  <c r="X1720" i="29" s="1"/>
  <c r="W1743" i="29"/>
  <c r="X1743" i="29" s="1"/>
  <c r="W1786" i="29"/>
  <c r="X1786" i="29" s="1"/>
  <c r="W1789" i="29"/>
  <c r="X1789" i="29" s="1"/>
  <c r="W1842" i="29"/>
  <c r="X1842" i="29" s="1"/>
  <c r="W1847" i="29"/>
  <c r="X1847" i="29" s="1"/>
  <c r="W1855" i="29"/>
  <c r="X1855" i="29" s="1"/>
  <c r="W1868" i="29"/>
  <c r="X1868" i="29" s="1"/>
  <c r="W1875" i="29"/>
  <c r="X1875" i="29" s="1"/>
  <c r="W1918" i="29"/>
  <c r="X1918" i="29" s="1"/>
  <c r="W1921" i="29"/>
  <c r="X1921" i="29" s="1"/>
  <c r="W1931" i="29"/>
  <c r="X1931" i="29" s="1"/>
  <c r="W2007" i="29"/>
  <c r="X2007" i="29" s="1"/>
  <c r="W2030" i="29"/>
  <c r="X2030" i="29" s="1"/>
  <c r="W2040" i="29"/>
  <c r="X2040" i="29" s="1"/>
  <c r="W2086" i="29"/>
  <c r="X2086" i="29" s="1"/>
  <c r="W2106" i="29"/>
  <c r="X2106" i="29" s="1"/>
  <c r="W2129" i="29"/>
  <c r="X2129" i="29" s="1"/>
  <c r="W2218" i="29"/>
  <c r="X2218" i="29" s="1"/>
  <c r="W2241" i="29"/>
  <c r="X2241" i="29" s="1"/>
  <c r="W2251" i="29"/>
  <c r="X2251" i="29" s="1"/>
  <c r="W2314" i="29"/>
  <c r="X2314" i="29" s="1"/>
  <c r="W2403" i="29"/>
  <c r="X2403" i="29" s="1"/>
  <c r="W2470" i="29"/>
  <c r="X2470" i="29" s="1"/>
  <c r="W2579" i="29"/>
  <c r="X2579" i="29" s="1"/>
  <c r="W2602" i="29"/>
  <c r="X2602" i="29" s="1"/>
  <c r="W2612" i="29"/>
  <c r="X2612" i="29" s="1"/>
  <c r="W2638" i="29"/>
  <c r="X2638" i="29" s="1"/>
  <c r="W2645" i="29"/>
  <c r="X2645" i="29" s="1"/>
  <c r="W2655" i="29"/>
  <c r="X2655" i="29" s="1"/>
  <c r="W2675" i="29"/>
  <c r="X2675" i="29" s="1"/>
  <c r="W2703" i="29"/>
  <c r="X2703" i="29" s="1"/>
  <c r="W2756" i="29"/>
  <c r="X2756" i="29" s="1"/>
  <c r="W2776" i="29"/>
  <c r="X2776" i="29" s="1"/>
  <c r="W2786" i="29"/>
  <c r="X2786" i="29" s="1"/>
  <c r="W2796" i="29"/>
  <c r="X2796" i="29" s="1"/>
  <c r="W2804" i="29"/>
  <c r="X2804" i="29" s="1"/>
  <c r="W2829" i="29"/>
  <c r="X2829" i="29" s="1"/>
  <c r="W2865" i="29"/>
  <c r="X2865" i="29" s="1"/>
  <c r="W2870" i="29"/>
  <c r="X2870" i="29" s="1"/>
  <c r="W2880" i="29"/>
  <c r="X2880" i="29" s="1"/>
  <c r="W2900" i="29"/>
  <c r="X2900" i="29" s="1"/>
  <c r="W2958" i="29"/>
  <c r="X2958" i="29" s="1"/>
  <c r="W2968" i="29"/>
  <c r="X2968" i="29" s="1"/>
  <c r="W2991" i="29"/>
  <c r="X2991" i="29" s="1"/>
  <c r="W3031" i="29"/>
  <c r="X3031" i="29" s="1"/>
  <c r="W3041" i="29"/>
  <c r="X3041" i="29" s="1"/>
  <c r="W3051" i="29"/>
  <c r="X3051" i="29" s="1"/>
  <c r="W3094" i="29"/>
  <c r="X3094" i="29" s="1"/>
  <c r="W3132" i="29"/>
  <c r="X3132" i="29" s="1"/>
  <c r="W3152" i="29"/>
  <c r="X3152" i="29" s="1"/>
  <c r="W3162" i="29"/>
  <c r="X3162" i="29" s="1"/>
  <c r="W3172" i="29"/>
  <c r="X3172" i="29" s="1"/>
  <c r="W3243" i="29"/>
  <c r="X3243" i="29" s="1"/>
  <c r="W3283" i="29"/>
  <c r="X3283" i="29" s="1"/>
  <c r="W3286" i="29"/>
  <c r="X3286" i="29" s="1"/>
  <c r="W3296" i="29"/>
  <c r="X3296" i="29" s="1"/>
  <c r="W3329" i="29"/>
  <c r="X3329" i="29" s="1"/>
  <c r="W3336" i="29"/>
  <c r="X3336" i="29" s="1"/>
  <c r="W3346" i="29"/>
  <c r="X3346" i="29" s="1"/>
  <c r="W3394" i="29"/>
  <c r="X3394" i="29" s="1"/>
  <c r="W3404" i="29"/>
  <c r="X3404" i="29" s="1"/>
  <c r="W3414" i="29"/>
  <c r="X3414" i="29" s="1"/>
  <c r="W3452" i="29"/>
  <c r="X3452" i="29" s="1"/>
  <c r="W3490" i="29"/>
  <c r="X3490" i="29" s="1"/>
  <c r="W3528" i="29"/>
  <c r="X3528" i="29" s="1"/>
  <c r="W3973" i="29"/>
  <c r="X3973" i="29" s="1"/>
  <c r="W3991" i="29"/>
  <c r="X3991" i="29" s="1"/>
  <c r="W4107" i="29"/>
  <c r="X4107" i="29" s="1"/>
  <c r="W4127" i="29"/>
  <c r="X4127" i="29" s="1"/>
  <c r="W4472" i="29"/>
  <c r="X4472" i="29" s="1"/>
  <c r="W4781" i="29"/>
  <c r="X4781" i="29" s="1"/>
  <c r="W1877" i="29"/>
  <c r="X1877" i="29" s="1"/>
  <c r="W1890" i="29"/>
  <c r="X1890" i="29" s="1"/>
  <c r="W1923" i="29"/>
  <c r="X1923" i="29" s="1"/>
  <c r="W1956" i="29"/>
  <c r="X1956" i="29" s="1"/>
  <c r="W1986" i="29"/>
  <c r="X1986" i="29" s="1"/>
  <c r="W1989" i="29"/>
  <c r="X1989" i="29" s="1"/>
  <c r="W1999" i="29"/>
  <c r="X1999" i="29" s="1"/>
  <c r="W2012" i="29"/>
  <c r="X2012" i="29" s="1"/>
  <c r="W2022" i="29"/>
  <c r="X2022" i="29" s="1"/>
  <c r="W2037" i="29"/>
  <c r="X2037" i="29" s="1"/>
  <c r="W2045" i="29"/>
  <c r="X2045" i="29" s="1"/>
  <c r="W2052" i="29"/>
  <c r="X2052" i="29" s="1"/>
  <c r="W2075" i="29"/>
  <c r="X2075" i="29" s="1"/>
  <c r="W2111" i="29"/>
  <c r="X2111" i="29" s="1"/>
  <c r="W2131" i="29"/>
  <c r="X2131" i="29" s="1"/>
  <c r="W2154" i="29"/>
  <c r="X2154" i="29" s="1"/>
  <c r="W2169" i="29"/>
  <c r="X2169" i="29" s="1"/>
  <c r="W2197" i="29"/>
  <c r="X2197" i="29" s="1"/>
  <c r="W2258" i="29"/>
  <c r="X2258" i="29" s="1"/>
  <c r="W2296" i="29"/>
  <c r="X2296" i="29" s="1"/>
  <c r="W2306" i="29"/>
  <c r="X2306" i="29" s="1"/>
  <c r="W2319" i="29"/>
  <c r="X2319" i="29" s="1"/>
  <c r="W2369" i="29"/>
  <c r="X2369" i="29" s="1"/>
  <c r="W2405" i="29"/>
  <c r="X2405" i="29" s="1"/>
  <c r="W2436" i="29"/>
  <c r="X2436" i="29" s="1"/>
  <c r="W2446" i="29"/>
  <c r="X2446" i="29" s="1"/>
  <c r="W2456" i="29"/>
  <c r="X2456" i="29" s="1"/>
  <c r="W2467" i="29"/>
  <c r="X2467" i="29" s="1"/>
  <c r="W2485" i="29"/>
  <c r="X2485" i="29" s="1"/>
  <c r="W2500" i="29"/>
  <c r="X2500" i="29" s="1"/>
  <c r="W2505" i="29"/>
  <c r="X2505" i="29" s="1"/>
  <c r="W2510" i="29"/>
  <c r="X2510" i="29" s="1"/>
  <c r="W2535" i="29"/>
  <c r="X2535" i="29" s="1"/>
  <c r="W2543" i="29"/>
  <c r="X2543" i="29" s="1"/>
  <c r="W2561" i="29"/>
  <c r="X2561" i="29" s="1"/>
  <c r="W2568" i="29"/>
  <c r="X2568" i="29" s="1"/>
  <c r="W2581" i="29"/>
  <c r="X2581" i="29" s="1"/>
  <c r="W2647" i="29"/>
  <c r="X2647" i="29" s="1"/>
  <c r="W2670" i="29"/>
  <c r="X2670" i="29" s="1"/>
  <c r="W2677" i="29"/>
  <c r="X2677" i="29" s="1"/>
  <c r="W2687" i="29"/>
  <c r="X2687" i="29" s="1"/>
  <c r="W2735" i="29"/>
  <c r="X2735" i="29" s="1"/>
  <c r="W2778" i="29"/>
  <c r="X2778" i="29" s="1"/>
  <c r="W2798" i="29"/>
  <c r="X2798" i="29" s="1"/>
  <c r="W2854" i="29"/>
  <c r="X2854" i="29" s="1"/>
  <c r="W2874" i="29"/>
  <c r="X2874" i="29" s="1"/>
  <c r="W2912" i="29"/>
  <c r="X2912" i="29" s="1"/>
  <c r="W2932" i="29"/>
  <c r="X2932" i="29" s="1"/>
  <c r="W2952" i="29"/>
  <c r="X2952" i="29" s="1"/>
  <c r="W3033" i="29"/>
  <c r="X3033" i="29" s="1"/>
  <c r="W3093" i="29"/>
  <c r="X3093" i="29" s="1"/>
  <c r="W3139" i="29"/>
  <c r="X3139" i="29" s="1"/>
  <c r="W3174" i="29"/>
  <c r="X3174" i="29" s="1"/>
  <c r="W3232" i="29"/>
  <c r="X3232" i="29" s="1"/>
  <c r="W3260" i="29"/>
  <c r="X3260" i="29" s="1"/>
  <c r="W3265" i="29"/>
  <c r="X3265" i="29" s="1"/>
  <c r="W3293" i="29"/>
  <c r="X3293" i="29" s="1"/>
  <c r="W3338" i="29"/>
  <c r="X3338" i="29" s="1"/>
  <c r="W3348" i="29"/>
  <c r="X3348" i="29" s="1"/>
  <c r="W3429" i="29"/>
  <c r="X3429" i="29" s="1"/>
  <c r="W3436" i="29"/>
  <c r="X3436" i="29" s="1"/>
  <c r="W3469" i="29"/>
  <c r="X3469" i="29" s="1"/>
  <c r="W3502" i="29"/>
  <c r="X3502" i="29" s="1"/>
  <c r="W3512" i="29"/>
  <c r="X3512" i="29" s="1"/>
  <c r="W3525" i="29"/>
  <c r="X3525" i="29" s="1"/>
  <c r="W3530" i="29"/>
  <c r="X3530" i="29" s="1"/>
  <c r="W3560" i="29"/>
  <c r="X3560" i="29" s="1"/>
  <c r="W3701" i="29"/>
  <c r="X3701" i="29" s="1"/>
  <c r="W3805" i="29"/>
  <c r="X3805" i="29" s="1"/>
  <c r="W3825" i="29"/>
  <c r="X3825" i="29" s="1"/>
  <c r="W3848" i="29"/>
  <c r="X3848" i="29" s="1"/>
  <c r="W4656" i="29"/>
  <c r="X4656" i="29" s="1"/>
  <c r="W4669" i="29"/>
  <c r="X4669" i="29" s="1"/>
  <c r="W4801" i="29"/>
  <c r="X4801" i="29" s="1"/>
  <c r="W4834" i="29"/>
  <c r="X4834" i="29" s="1"/>
  <c r="W4844" i="29"/>
  <c r="X4844" i="29" s="1"/>
  <c r="W4985" i="29"/>
  <c r="X4985" i="29" s="1"/>
  <c r="W5079" i="29"/>
  <c r="X5079" i="29" s="1"/>
  <c r="W5125" i="29"/>
  <c r="X5125" i="29" s="1"/>
  <c r="W5158" i="29"/>
  <c r="X5158" i="29" s="1"/>
  <c r="W5168" i="29"/>
  <c r="X5168" i="29" s="1"/>
  <c r="W5297" i="29"/>
  <c r="X5297" i="29" s="1"/>
  <c r="W5481" i="29"/>
  <c r="X5481" i="29" s="1"/>
  <c r="W5572" i="29"/>
  <c r="X5572" i="29" s="1"/>
  <c r="W4031" i="29"/>
  <c r="X4031" i="29" s="1"/>
  <c r="W4122" i="29"/>
  <c r="X4122" i="29" s="1"/>
  <c r="W4168" i="29"/>
  <c r="X4168" i="29" s="1"/>
  <c r="W4188" i="29"/>
  <c r="X4188" i="29" s="1"/>
  <c r="W4208" i="29"/>
  <c r="X4208" i="29" s="1"/>
  <c r="W4266" i="29"/>
  <c r="X4266" i="29" s="1"/>
  <c r="W4498" i="29"/>
  <c r="X4498" i="29" s="1"/>
  <c r="W4589" i="29"/>
  <c r="X4589" i="29" s="1"/>
  <c r="W4605" i="29"/>
  <c r="X4605" i="29" s="1"/>
  <c r="W4689" i="29"/>
  <c r="X4689" i="29" s="1"/>
  <c r="W4745" i="29"/>
  <c r="X4745" i="29" s="1"/>
  <c r="W4778" i="29"/>
  <c r="X4778" i="29" s="1"/>
  <c r="W4859" i="29"/>
  <c r="X4859" i="29" s="1"/>
  <c r="W4942" i="29"/>
  <c r="X4942" i="29" s="1"/>
  <c r="W4952" i="29"/>
  <c r="X4952" i="29" s="1"/>
  <c r="W5056" i="29"/>
  <c r="X5056" i="29" s="1"/>
  <c r="W5089" i="29"/>
  <c r="X5089" i="29" s="1"/>
  <c r="W5142" i="29"/>
  <c r="X5142" i="29" s="1"/>
  <c r="W5339" i="29"/>
  <c r="X5339" i="29" s="1"/>
  <c r="W5349" i="29"/>
  <c r="X5349" i="29" s="1"/>
  <c r="W5382" i="29"/>
  <c r="X5382" i="29" s="1"/>
  <c r="W5398" i="29"/>
  <c r="X5398" i="29" s="1"/>
  <c r="W5405" i="29"/>
  <c r="X5405" i="29" s="1"/>
  <c r="W5425" i="29"/>
  <c r="X5425" i="29" s="1"/>
  <c r="W5448" i="29"/>
  <c r="X5448" i="29" s="1"/>
  <c r="W5453" i="29"/>
  <c r="X5453" i="29" s="1"/>
  <c r="W5473" i="29"/>
  <c r="X5473" i="29" s="1"/>
  <c r="W5486" i="29"/>
  <c r="X5486" i="29" s="1"/>
  <c r="W5549" i="29"/>
  <c r="X5549" i="29" s="1"/>
  <c r="W5579" i="29"/>
  <c r="X5579" i="29" s="1"/>
  <c r="W3556" i="29"/>
  <c r="X3556" i="29" s="1"/>
  <c r="W3632" i="29"/>
  <c r="X3632" i="29" s="1"/>
  <c r="W3637" i="29"/>
  <c r="X3637" i="29" s="1"/>
  <c r="W3640" i="29"/>
  <c r="X3640" i="29" s="1"/>
  <c r="W3647" i="29"/>
  <c r="X3647" i="29" s="1"/>
  <c r="W3660" i="29"/>
  <c r="X3660" i="29" s="1"/>
  <c r="W3667" i="29"/>
  <c r="X3667" i="29" s="1"/>
  <c r="W3670" i="29"/>
  <c r="X3670" i="29" s="1"/>
  <c r="W3690" i="29"/>
  <c r="X3690" i="29" s="1"/>
  <c r="W3713" i="29"/>
  <c r="X3713" i="29" s="1"/>
  <c r="W3716" i="29"/>
  <c r="X3716" i="29" s="1"/>
  <c r="W3723" i="29"/>
  <c r="X3723" i="29" s="1"/>
  <c r="W3771" i="29"/>
  <c r="X3771" i="29" s="1"/>
  <c r="W3791" i="29"/>
  <c r="X3791" i="29" s="1"/>
  <c r="W3809" i="29"/>
  <c r="X3809" i="29" s="1"/>
  <c r="W3860" i="29"/>
  <c r="X3860" i="29" s="1"/>
  <c r="W3891" i="29"/>
  <c r="X3891" i="29" s="1"/>
  <c r="W3934" i="29"/>
  <c r="X3934" i="29" s="1"/>
  <c r="W4000" i="29"/>
  <c r="X4000" i="29" s="1"/>
  <c r="W4066" i="29"/>
  <c r="X4066" i="29" s="1"/>
  <c r="W4076" i="29"/>
  <c r="X4076" i="29" s="1"/>
  <c r="W4253" i="29"/>
  <c r="X4253" i="29" s="1"/>
  <c r="W4260" i="29"/>
  <c r="X4260" i="29" s="1"/>
  <c r="W4283" i="29"/>
  <c r="X4283" i="29" s="1"/>
  <c r="W4286" i="29"/>
  <c r="X4286" i="29" s="1"/>
  <c r="W4326" i="29"/>
  <c r="X4326" i="29" s="1"/>
  <c r="W4385" i="29"/>
  <c r="X4385" i="29" s="1"/>
  <c r="W4415" i="29"/>
  <c r="X4415" i="29" s="1"/>
  <c r="W4443" i="29"/>
  <c r="X4443" i="29" s="1"/>
  <c r="W4471" i="29"/>
  <c r="X4471" i="29" s="1"/>
  <c r="W4525" i="29"/>
  <c r="X4525" i="29" s="1"/>
  <c r="W4564" i="29"/>
  <c r="X4564" i="29" s="1"/>
  <c r="W4635" i="29"/>
  <c r="X4635" i="29" s="1"/>
  <c r="W4645" i="29"/>
  <c r="X4645" i="29" s="1"/>
  <c r="W4648" i="29"/>
  <c r="X4648" i="29" s="1"/>
  <c r="W4668" i="29"/>
  <c r="X4668" i="29" s="1"/>
  <c r="W4671" i="29"/>
  <c r="X4671" i="29" s="1"/>
  <c r="W4704" i="29"/>
  <c r="X4704" i="29" s="1"/>
  <c r="W4770" i="29"/>
  <c r="X4770" i="29" s="1"/>
  <c r="W4800" i="29"/>
  <c r="X4800" i="29" s="1"/>
  <c r="W4823" i="29"/>
  <c r="X4823" i="29" s="1"/>
  <c r="W4826" i="29"/>
  <c r="X4826" i="29" s="1"/>
  <c r="W4833" i="29"/>
  <c r="X4833" i="29" s="1"/>
  <c r="W4876" i="29"/>
  <c r="X4876" i="29" s="1"/>
  <c r="W4909" i="29"/>
  <c r="X4909" i="29" s="1"/>
  <c r="W4919" i="29"/>
  <c r="X4919" i="29" s="1"/>
  <c r="W5002" i="29"/>
  <c r="X5002" i="29" s="1"/>
  <c r="W5068" i="29"/>
  <c r="X5068" i="29" s="1"/>
  <c r="W5073" i="29"/>
  <c r="X5073" i="29" s="1"/>
  <c r="W5081" i="29"/>
  <c r="X5081" i="29" s="1"/>
  <c r="W5086" i="29"/>
  <c r="X5086" i="29" s="1"/>
  <c r="W5101" i="29"/>
  <c r="X5101" i="29" s="1"/>
  <c r="W5114" i="29"/>
  <c r="X5114" i="29" s="1"/>
  <c r="W5119" i="29"/>
  <c r="X5119" i="29" s="1"/>
  <c r="W5124" i="29"/>
  <c r="X5124" i="29" s="1"/>
  <c r="W5129" i="29"/>
  <c r="X5129" i="29" s="1"/>
  <c r="W5134" i="29"/>
  <c r="X5134" i="29" s="1"/>
  <c r="W5144" i="29"/>
  <c r="X5144" i="29" s="1"/>
  <c r="W5187" i="29"/>
  <c r="X5187" i="29" s="1"/>
  <c r="W5197" i="29"/>
  <c r="X5197" i="29" s="1"/>
  <c r="W5207" i="29"/>
  <c r="X5207" i="29" s="1"/>
  <c r="W5217" i="29"/>
  <c r="X5217" i="29" s="1"/>
  <c r="W5220" i="29"/>
  <c r="X5220" i="29" s="1"/>
  <c r="W5273" i="29"/>
  <c r="X5273" i="29" s="1"/>
  <c r="W5283" i="29"/>
  <c r="X5283" i="29" s="1"/>
  <c r="W5296" i="29"/>
  <c r="X5296" i="29" s="1"/>
  <c r="W5306" i="29"/>
  <c r="X5306" i="29" s="1"/>
  <c r="W5316" i="29"/>
  <c r="X5316" i="29" s="1"/>
  <c r="W5326" i="29"/>
  <c r="X5326" i="29" s="1"/>
  <c r="W5377" i="29"/>
  <c r="X5377" i="29" s="1"/>
  <c r="W5387" i="29"/>
  <c r="X5387" i="29" s="1"/>
  <c r="W5440" i="29"/>
  <c r="X5440" i="29" s="1"/>
  <c r="W5541" i="29"/>
  <c r="X5541" i="29" s="1"/>
  <c r="W5574" i="29"/>
  <c r="X5574" i="29" s="1"/>
  <c r="W3568" i="29"/>
  <c r="X3568" i="29" s="1"/>
  <c r="W3591" i="29"/>
  <c r="X3591" i="29" s="1"/>
  <c r="W3596" i="29"/>
  <c r="X3596" i="29" s="1"/>
  <c r="W3659" i="29"/>
  <c r="X3659" i="29" s="1"/>
  <c r="W3682" i="29"/>
  <c r="X3682" i="29" s="1"/>
  <c r="W3692" i="29"/>
  <c r="X3692" i="29" s="1"/>
  <c r="W3702" i="29"/>
  <c r="X3702" i="29" s="1"/>
  <c r="W3725" i="29"/>
  <c r="X3725" i="29" s="1"/>
  <c r="W3793" i="29"/>
  <c r="X3793" i="29" s="1"/>
  <c r="W3808" i="29"/>
  <c r="X3808" i="29" s="1"/>
  <c r="W3854" i="29"/>
  <c r="X3854" i="29" s="1"/>
  <c r="W3864" i="29"/>
  <c r="X3864" i="29" s="1"/>
  <c r="W3867" i="29"/>
  <c r="X3867" i="29" s="1"/>
  <c r="W3885" i="29"/>
  <c r="X3885" i="29" s="1"/>
  <c r="W3893" i="29"/>
  <c r="X3893" i="29" s="1"/>
  <c r="W3956" i="29"/>
  <c r="X3956" i="29" s="1"/>
  <c r="W3987" i="29"/>
  <c r="X3987" i="29" s="1"/>
  <c r="W3992" i="29"/>
  <c r="X3992" i="29" s="1"/>
  <c r="W4002" i="29"/>
  <c r="X4002" i="29" s="1"/>
  <c r="W4068" i="29"/>
  <c r="X4068" i="29" s="1"/>
  <c r="W4098" i="29"/>
  <c r="X4098" i="29" s="1"/>
  <c r="W4128" i="29"/>
  <c r="X4128" i="29" s="1"/>
  <c r="W4131" i="29"/>
  <c r="X4131" i="29" s="1"/>
  <c r="W4187" i="29"/>
  <c r="X4187" i="29" s="1"/>
  <c r="W4242" i="29"/>
  <c r="X4242" i="29" s="1"/>
  <c r="W4252" i="29"/>
  <c r="X4252" i="29" s="1"/>
  <c r="W4272" i="29"/>
  <c r="X4272" i="29" s="1"/>
  <c r="W4285" i="29"/>
  <c r="X4285" i="29" s="1"/>
  <c r="W4351" i="29"/>
  <c r="X4351" i="29" s="1"/>
  <c r="W4377" i="29"/>
  <c r="X4377" i="29" s="1"/>
  <c r="W4427" i="29"/>
  <c r="X4427" i="29" s="1"/>
  <c r="W4447" i="29"/>
  <c r="X4447" i="29" s="1"/>
  <c r="W4530" i="29"/>
  <c r="X4530" i="29" s="1"/>
  <c r="W4540" i="29"/>
  <c r="X4540" i="29" s="1"/>
  <c r="W4545" i="29"/>
  <c r="X4545" i="29" s="1"/>
  <c r="W4573" i="29"/>
  <c r="X4573" i="29" s="1"/>
  <c r="W4578" i="29"/>
  <c r="X4578" i="29" s="1"/>
  <c r="W4591" i="29"/>
  <c r="X4591" i="29" s="1"/>
  <c r="W4670" i="29"/>
  <c r="X4670" i="29" s="1"/>
  <c r="W4706" i="29"/>
  <c r="X4706" i="29" s="1"/>
  <c r="W4835" i="29"/>
  <c r="X4835" i="29" s="1"/>
  <c r="W4908" i="29"/>
  <c r="X4908" i="29" s="1"/>
  <c r="W4976" i="29"/>
  <c r="X4976" i="29" s="1"/>
  <c r="W4979" i="29"/>
  <c r="X4979" i="29" s="1"/>
  <c r="W5004" i="29"/>
  <c r="X5004" i="29" s="1"/>
  <c r="W5088" i="29"/>
  <c r="X5088" i="29" s="1"/>
  <c r="W5108" i="29"/>
  <c r="X5108" i="29" s="1"/>
  <c r="W5118" i="29"/>
  <c r="X5118" i="29" s="1"/>
  <c r="W5121" i="29"/>
  <c r="X5121" i="29" s="1"/>
  <c r="W5141" i="29"/>
  <c r="X5141" i="29" s="1"/>
  <c r="W5194" i="29"/>
  <c r="X5194" i="29" s="1"/>
  <c r="W5219" i="29"/>
  <c r="X5219" i="29" s="1"/>
  <c r="W5232" i="29"/>
  <c r="X5232" i="29" s="1"/>
  <c r="W5285" i="29"/>
  <c r="X5285" i="29" s="1"/>
  <c r="W5318" i="29"/>
  <c r="X5318" i="29" s="1"/>
  <c r="W5394" i="29"/>
  <c r="X5394" i="29" s="1"/>
  <c r="W5397" i="29"/>
  <c r="X5397" i="29" s="1"/>
  <c r="W5414" i="29"/>
  <c r="X5414" i="29" s="1"/>
  <c r="W5442" i="29"/>
  <c r="X5442" i="29" s="1"/>
  <c r="W5498" i="29"/>
  <c r="X5498" i="29" s="1"/>
  <c r="W5528" i="29"/>
  <c r="X5528" i="29" s="1"/>
  <c r="W5543" i="29"/>
  <c r="X5543" i="29" s="1"/>
  <c r="W5548" i="29"/>
  <c r="X5548" i="29" s="1"/>
  <c r="W3616" i="29"/>
  <c r="X3616" i="29" s="1"/>
  <c r="W3643" i="29"/>
  <c r="X3643" i="29" s="1"/>
  <c r="W3666" i="29"/>
  <c r="X3666" i="29" s="1"/>
  <c r="W3671" i="29"/>
  <c r="X3671" i="29" s="1"/>
  <c r="W3727" i="29"/>
  <c r="X3727" i="29" s="1"/>
  <c r="W3742" i="29"/>
  <c r="X3742" i="29" s="1"/>
  <c r="W3853" i="29"/>
  <c r="X3853" i="29" s="1"/>
  <c r="W3877" i="29"/>
  <c r="X3877" i="29" s="1"/>
  <c r="W3880" i="29"/>
  <c r="X3880" i="29" s="1"/>
  <c r="W3907" i="29"/>
  <c r="X3907" i="29" s="1"/>
  <c r="W3920" i="29"/>
  <c r="X3920" i="29" s="1"/>
  <c r="W3953" i="29"/>
  <c r="X3953" i="29" s="1"/>
  <c r="W3958" i="29"/>
  <c r="X3958" i="29" s="1"/>
  <c r="W3963" i="29"/>
  <c r="X3963" i="29" s="1"/>
  <c r="W3979" i="29"/>
  <c r="X3979" i="29" s="1"/>
  <c r="W3996" i="29"/>
  <c r="X3996" i="29" s="1"/>
  <c r="W4062" i="29"/>
  <c r="X4062" i="29" s="1"/>
  <c r="W4075" i="29"/>
  <c r="X4075" i="29" s="1"/>
  <c r="W4080" i="29"/>
  <c r="X4080" i="29" s="1"/>
  <c r="W4090" i="29"/>
  <c r="X4090" i="29" s="1"/>
  <c r="W4095" i="29"/>
  <c r="X4095" i="29" s="1"/>
  <c r="W4105" i="29"/>
  <c r="X4105" i="29" s="1"/>
  <c r="W4130" i="29"/>
  <c r="X4130" i="29" s="1"/>
  <c r="W4166" i="29"/>
  <c r="X4166" i="29" s="1"/>
  <c r="W4234" i="29"/>
  <c r="X4234" i="29" s="1"/>
  <c r="W4254" i="29"/>
  <c r="X4254" i="29" s="1"/>
  <c r="W4264" i="29"/>
  <c r="X4264" i="29" s="1"/>
  <c r="W4297" i="29"/>
  <c r="X4297" i="29" s="1"/>
  <c r="W4376" i="29"/>
  <c r="X4376" i="29" s="1"/>
  <c r="W4381" i="29"/>
  <c r="X4381" i="29" s="1"/>
  <c r="W4384" i="29"/>
  <c r="X4384" i="29" s="1"/>
  <c r="W4399" i="29"/>
  <c r="X4399" i="29" s="1"/>
  <c r="W4419" i="29"/>
  <c r="X4419" i="29" s="1"/>
  <c r="W4432" i="29"/>
  <c r="X4432" i="29" s="1"/>
  <c r="W4567" i="29"/>
  <c r="X4567" i="29" s="1"/>
  <c r="W4575" i="29"/>
  <c r="X4575" i="29" s="1"/>
  <c r="W4613" i="29"/>
  <c r="X4613" i="29" s="1"/>
  <c r="W4634" i="29"/>
  <c r="X4634" i="29" s="1"/>
  <c r="W4639" i="29"/>
  <c r="X4639" i="29" s="1"/>
  <c r="W4667" i="29"/>
  <c r="X4667" i="29" s="1"/>
  <c r="W4776" i="29"/>
  <c r="X4776" i="29" s="1"/>
  <c r="W4817" i="29"/>
  <c r="X4817" i="29" s="1"/>
  <c r="W4910" i="29"/>
  <c r="X4910" i="29" s="1"/>
  <c r="W4913" i="29"/>
  <c r="X4913" i="29" s="1"/>
  <c r="W4958" i="29"/>
  <c r="X4958" i="29" s="1"/>
  <c r="W4968" i="29"/>
  <c r="X4968" i="29" s="1"/>
  <c r="W4978" i="29"/>
  <c r="X4978" i="29" s="1"/>
  <c r="W5008" i="29"/>
  <c r="X5008" i="29" s="1"/>
  <c r="W5067" i="29"/>
  <c r="X5067" i="29" s="1"/>
  <c r="W5120" i="29"/>
  <c r="X5120" i="29" s="1"/>
  <c r="W5133" i="29"/>
  <c r="X5133" i="29" s="1"/>
  <c r="W5163" i="29"/>
  <c r="X5163" i="29" s="1"/>
  <c r="W5166" i="29"/>
  <c r="X5166" i="29" s="1"/>
  <c r="W5206" i="29"/>
  <c r="X5206" i="29" s="1"/>
  <c r="W5383" i="29"/>
  <c r="X5383" i="29" s="1"/>
  <c r="W5399" i="29"/>
  <c r="X5399" i="29" s="1"/>
  <c r="W5419" i="29"/>
  <c r="X5419" i="29" s="1"/>
  <c r="W5429" i="29"/>
  <c r="X5429" i="29" s="1"/>
  <c r="W5459" i="29"/>
  <c r="X5459" i="29" s="1"/>
  <c r="W5469" i="29"/>
  <c r="X5469" i="29" s="1"/>
  <c r="W5474" i="29"/>
  <c r="X5474" i="29" s="1"/>
  <c r="W5487" i="29"/>
  <c r="X5487" i="29" s="1"/>
  <c r="W5560" i="29"/>
  <c r="X5560" i="29" s="1"/>
  <c r="W5590" i="29"/>
  <c r="X5590" i="29" s="1"/>
  <c r="W116" i="29"/>
  <c r="X116" i="29" s="1"/>
  <c r="W134" i="29"/>
  <c r="X134" i="29" s="1"/>
  <c r="W189" i="29"/>
  <c r="X189" i="29" s="1"/>
  <c r="W405" i="29"/>
  <c r="X405" i="29" s="1"/>
  <c r="W458" i="29"/>
  <c r="X458" i="29" s="1"/>
  <c r="W481" i="29"/>
  <c r="X481" i="29" s="1"/>
  <c r="W603" i="29"/>
  <c r="X603" i="29" s="1"/>
  <c r="W139" i="29"/>
  <c r="X139" i="29" s="1"/>
  <c r="W334" i="29"/>
  <c r="X334" i="29" s="1"/>
  <c r="W146" i="29"/>
  <c r="X146" i="29" s="1"/>
  <c r="W162" i="29"/>
  <c r="X162" i="29" s="1"/>
  <c r="W192" i="29"/>
  <c r="X192" i="29" s="1"/>
  <c r="W206" i="29"/>
  <c r="X206" i="29" s="1"/>
  <c r="W226" i="29"/>
  <c r="X226" i="29" s="1"/>
  <c r="W233" i="29"/>
  <c r="X233" i="29" s="1"/>
  <c r="W270" i="29"/>
  <c r="X270" i="29" s="1"/>
  <c r="W284" i="29"/>
  <c r="X284" i="29" s="1"/>
  <c r="W293" i="29"/>
  <c r="X293" i="29" s="1"/>
  <c r="W346" i="29"/>
  <c r="X346" i="29" s="1"/>
  <c r="W360" i="29"/>
  <c r="X360" i="29" s="1"/>
  <c r="W112" i="29"/>
  <c r="X112" i="29" s="1"/>
  <c r="W117" i="29"/>
  <c r="X117" i="29" s="1"/>
  <c r="W135" i="29"/>
  <c r="X135" i="29" s="1"/>
  <c r="W160" i="29"/>
  <c r="X160" i="29" s="1"/>
  <c r="W169" i="29"/>
  <c r="X169" i="29" s="1"/>
  <c r="W174" i="29"/>
  <c r="X174" i="29" s="1"/>
  <c r="W190" i="29"/>
  <c r="X190" i="29" s="1"/>
  <c r="W197" i="29"/>
  <c r="X197" i="29" s="1"/>
  <c r="W140" i="29"/>
  <c r="X140" i="29" s="1"/>
  <c r="W167" i="29"/>
  <c r="X167" i="29" s="1"/>
  <c r="W181" i="29"/>
  <c r="X181" i="29" s="1"/>
  <c r="W655" i="29"/>
  <c r="X655" i="29" s="1"/>
  <c r="W131" i="29"/>
  <c r="X131" i="29" s="1"/>
  <c r="W129" i="29"/>
  <c r="X129" i="29" s="1"/>
  <c r="W170" i="29"/>
  <c r="X170" i="29" s="1"/>
  <c r="W184" i="29"/>
  <c r="X184" i="29" s="1"/>
  <c r="W172" i="29"/>
  <c r="X172" i="29" s="1"/>
  <c r="W118" i="29"/>
  <c r="X118" i="29" s="1"/>
  <c r="W152" i="29"/>
  <c r="X152" i="29" s="1"/>
  <c r="W175" i="29"/>
  <c r="X175" i="29" s="1"/>
  <c r="W230" i="29"/>
  <c r="X230" i="29" s="1"/>
  <c r="W246" i="29"/>
  <c r="X246" i="29" s="1"/>
  <c r="W269" i="29"/>
  <c r="X269" i="29" s="1"/>
  <c r="W283" i="29"/>
  <c r="X283" i="29" s="1"/>
  <c r="W306" i="29"/>
  <c r="X306" i="29" s="1"/>
  <c r="W329" i="29"/>
  <c r="X329" i="29" s="1"/>
  <c r="W345" i="29"/>
  <c r="X345" i="29" s="1"/>
  <c r="W559" i="29"/>
  <c r="X559" i="29" s="1"/>
  <c r="W575" i="29"/>
  <c r="X575" i="29" s="1"/>
  <c r="W207" i="29"/>
  <c r="X207" i="29" s="1"/>
  <c r="W227" i="29"/>
  <c r="X227" i="29" s="1"/>
  <c r="W259" i="29"/>
  <c r="X259" i="29" s="1"/>
  <c r="W303" i="29"/>
  <c r="X303" i="29" s="1"/>
  <c r="W326" i="29"/>
  <c r="X326" i="29" s="1"/>
  <c r="W340" i="29"/>
  <c r="X340" i="29" s="1"/>
  <c r="W356" i="29"/>
  <c r="X356" i="29" s="1"/>
  <c r="W392" i="29"/>
  <c r="X392" i="29" s="1"/>
  <c r="W427" i="29"/>
  <c r="X427" i="29" s="1"/>
  <c r="W530" i="29"/>
  <c r="X530" i="29" s="1"/>
  <c r="W544" i="29"/>
  <c r="X544" i="29" s="1"/>
  <c r="W560" i="29"/>
  <c r="X560" i="29" s="1"/>
  <c r="W578" i="29"/>
  <c r="X578" i="29" s="1"/>
  <c r="W601" i="29"/>
  <c r="X601" i="29" s="1"/>
  <c r="W633" i="29"/>
  <c r="X633" i="29" s="1"/>
  <c r="W651" i="29"/>
  <c r="X651" i="29" s="1"/>
  <c r="W665" i="29"/>
  <c r="X665" i="29" s="1"/>
  <c r="W679" i="29"/>
  <c r="X679" i="29" s="1"/>
  <c r="W736" i="29"/>
  <c r="X736" i="29" s="1"/>
  <c r="W766" i="29"/>
  <c r="X766" i="29" s="1"/>
  <c r="W805" i="29"/>
  <c r="X805" i="29" s="1"/>
  <c r="W819" i="29"/>
  <c r="X819" i="29" s="1"/>
  <c r="W877" i="29"/>
  <c r="X877" i="29" s="1"/>
  <c r="W909" i="29"/>
  <c r="X909" i="29" s="1"/>
  <c r="W918" i="29"/>
  <c r="X918" i="29" s="1"/>
  <c r="W978" i="29"/>
  <c r="X978" i="29" s="1"/>
  <c r="W1039" i="29"/>
  <c r="X1039" i="29" s="1"/>
  <c r="W1066" i="29"/>
  <c r="X1066" i="29" s="1"/>
  <c r="W1082" i="29"/>
  <c r="X1082" i="29" s="1"/>
  <c r="W1091" i="29"/>
  <c r="X1091" i="29" s="1"/>
  <c r="W1148" i="29"/>
  <c r="X1148" i="29" s="1"/>
  <c r="W1159" i="29"/>
  <c r="X1159" i="29" s="1"/>
  <c r="W1214" i="29"/>
  <c r="X1214" i="29" s="1"/>
  <c r="W1225" i="29"/>
  <c r="X1225" i="29" s="1"/>
  <c r="W1259" i="29"/>
  <c r="X1259" i="29" s="1"/>
  <c r="W1280" i="29"/>
  <c r="X1280" i="29" s="1"/>
  <c r="W1291" i="29"/>
  <c r="X1291" i="29" s="1"/>
  <c r="W1377" i="29"/>
  <c r="X1377" i="29" s="1"/>
  <c r="W1402" i="29"/>
  <c r="X1402" i="29" s="1"/>
  <c r="W1429" i="29"/>
  <c r="X1429" i="29" s="1"/>
  <c r="W1470" i="29"/>
  <c r="X1470" i="29" s="1"/>
  <c r="W1506" i="29"/>
  <c r="X1506" i="29" s="1"/>
  <c r="W1542" i="29"/>
  <c r="X1542" i="29" s="1"/>
  <c r="W1567" i="29"/>
  <c r="X1567" i="29" s="1"/>
  <c r="W1619" i="29"/>
  <c r="X1619" i="29" s="1"/>
  <c r="W1626" i="29"/>
  <c r="X1626" i="29" s="1"/>
  <c r="W1635" i="29"/>
  <c r="X1635" i="29" s="1"/>
  <c r="W1667" i="29"/>
  <c r="X1667" i="29" s="1"/>
  <c r="W1745" i="29"/>
  <c r="X1745" i="29" s="1"/>
  <c r="W1809" i="29"/>
  <c r="X1809" i="29" s="1"/>
  <c r="W1818" i="29"/>
  <c r="X1818" i="29" s="1"/>
  <c r="W1843" i="29"/>
  <c r="X1843" i="29" s="1"/>
  <c r="W1944" i="29"/>
  <c r="X1944" i="29" s="1"/>
  <c r="W1962" i="29"/>
  <c r="X1962" i="29" s="1"/>
  <c r="W1971" i="29"/>
  <c r="X1971" i="29" s="1"/>
  <c r="W2103" i="29"/>
  <c r="X2103" i="29" s="1"/>
  <c r="W2231" i="29"/>
  <c r="X2231" i="29" s="1"/>
  <c r="W2247" i="29"/>
  <c r="X2247" i="29" s="1"/>
  <c r="W2549" i="29"/>
  <c r="X2549" i="29" s="1"/>
  <c r="W225" i="29"/>
  <c r="X225" i="29" s="1"/>
  <c r="W239" i="29"/>
  <c r="X239" i="29" s="1"/>
  <c r="W262" i="29"/>
  <c r="X262" i="29" s="1"/>
  <c r="W301" i="29"/>
  <c r="X301" i="29" s="1"/>
  <c r="W315" i="29"/>
  <c r="X315" i="29" s="1"/>
  <c r="W324" i="29"/>
  <c r="X324" i="29" s="1"/>
  <c r="W338" i="29"/>
  <c r="X338" i="29" s="1"/>
  <c r="W395" i="29"/>
  <c r="X395" i="29" s="1"/>
  <c r="W411" i="29"/>
  <c r="X411" i="29" s="1"/>
  <c r="W448" i="29"/>
  <c r="X448" i="29" s="1"/>
  <c r="W519" i="29"/>
  <c r="X519" i="29" s="1"/>
  <c r="W533" i="29"/>
  <c r="X533" i="29" s="1"/>
  <c r="W542" i="29"/>
  <c r="X542" i="29" s="1"/>
  <c r="W585" i="29"/>
  <c r="X585" i="29" s="1"/>
  <c r="W599" i="29"/>
  <c r="X599" i="29" s="1"/>
  <c r="W608" i="29"/>
  <c r="X608" i="29" s="1"/>
  <c r="W631" i="29"/>
  <c r="X631" i="29" s="1"/>
  <c r="W645" i="29"/>
  <c r="X645" i="29" s="1"/>
  <c r="W654" i="29"/>
  <c r="X654" i="29" s="1"/>
  <c r="W741" i="29"/>
  <c r="X741" i="29" s="1"/>
  <c r="W755" i="29"/>
  <c r="X755" i="29" s="1"/>
  <c r="W764" i="29"/>
  <c r="X764" i="29" s="1"/>
  <c r="W778" i="29"/>
  <c r="X778" i="29" s="1"/>
  <c r="W801" i="29"/>
  <c r="X801" i="29" s="1"/>
  <c r="W817" i="29"/>
  <c r="X817" i="29" s="1"/>
  <c r="W831" i="29"/>
  <c r="X831" i="29" s="1"/>
  <c r="W861" i="29"/>
  <c r="X861" i="29" s="1"/>
  <c r="W907" i="29"/>
  <c r="X907" i="29" s="1"/>
  <c r="W916" i="29"/>
  <c r="X916" i="29" s="1"/>
  <c r="W932" i="29"/>
  <c r="X932" i="29" s="1"/>
  <c r="W941" i="29"/>
  <c r="X941" i="29" s="1"/>
  <c r="W985" i="29"/>
  <c r="X985" i="29" s="1"/>
  <c r="W994" i="29"/>
  <c r="X994" i="29" s="1"/>
  <c r="W1003" i="29"/>
  <c r="X1003" i="29" s="1"/>
  <c r="W1019" i="29"/>
  <c r="X1019" i="29" s="1"/>
  <c r="W1037" i="29"/>
  <c r="X1037" i="29" s="1"/>
  <c r="W1098" i="29"/>
  <c r="X1098" i="29" s="1"/>
  <c r="W1130" i="29"/>
  <c r="X1130" i="29" s="1"/>
  <c r="W1196" i="29"/>
  <c r="X1196" i="29" s="1"/>
  <c r="W1262" i="29"/>
  <c r="X1262" i="29" s="1"/>
  <c r="W1337" i="29"/>
  <c r="X1337" i="29" s="1"/>
  <c r="W1373" i="29"/>
  <c r="X1373" i="29" s="1"/>
  <c r="W1391" i="29"/>
  <c r="X1391" i="29" s="1"/>
  <c r="W1445" i="29"/>
  <c r="X1445" i="29" s="1"/>
  <c r="W1547" i="29"/>
  <c r="X1547" i="29" s="1"/>
  <c r="W1592" i="29"/>
  <c r="X1592" i="29" s="1"/>
  <c r="W1615" i="29"/>
  <c r="X1615" i="29" s="1"/>
  <c r="W1674" i="29"/>
  <c r="X1674" i="29" s="1"/>
  <c r="W1734" i="29"/>
  <c r="X1734" i="29" s="1"/>
  <c r="W1766" i="29"/>
  <c r="X1766" i="29" s="1"/>
  <c r="W1775" i="29"/>
  <c r="X1775" i="29" s="1"/>
  <c r="W1807" i="29"/>
  <c r="X1807" i="29" s="1"/>
  <c r="W1814" i="29"/>
  <c r="X1814" i="29" s="1"/>
  <c r="W2017" i="29"/>
  <c r="X2017" i="29" s="1"/>
  <c r="W2186" i="29"/>
  <c r="X2186" i="29" s="1"/>
  <c r="W2252" i="29"/>
  <c r="X2252" i="29" s="1"/>
  <c r="W2270" i="29"/>
  <c r="X2270" i="29" s="1"/>
  <c r="W2291" i="29"/>
  <c r="X2291" i="29" s="1"/>
  <c r="W2339" i="29"/>
  <c r="X2339" i="29" s="1"/>
  <c r="W2524" i="29"/>
  <c r="X2524" i="29" s="1"/>
  <c r="W455" i="29"/>
  <c r="X455" i="29" s="1"/>
  <c r="W464" i="29"/>
  <c r="X464" i="29" s="1"/>
  <c r="W471" i="29"/>
  <c r="X471" i="29" s="1"/>
  <c r="W547" i="29"/>
  <c r="X547" i="29" s="1"/>
  <c r="W565" i="29"/>
  <c r="X565" i="29" s="1"/>
  <c r="W590" i="29"/>
  <c r="X590" i="29" s="1"/>
  <c r="W613" i="29"/>
  <c r="X613" i="29" s="1"/>
  <c r="W659" i="29"/>
  <c r="X659" i="29" s="1"/>
  <c r="W668" i="29"/>
  <c r="X668" i="29" s="1"/>
  <c r="W691" i="29"/>
  <c r="X691" i="29" s="1"/>
  <c r="W714" i="29"/>
  <c r="X714" i="29" s="1"/>
  <c r="W785" i="29"/>
  <c r="X785" i="29" s="1"/>
  <c r="W794" i="29"/>
  <c r="X794" i="29" s="1"/>
  <c r="W808" i="29"/>
  <c r="X808" i="29" s="1"/>
  <c r="W838" i="29"/>
  <c r="X838" i="29" s="1"/>
  <c r="W852" i="29"/>
  <c r="X852" i="29" s="1"/>
  <c r="W866" i="29"/>
  <c r="X866" i="29" s="1"/>
  <c r="W921" i="29"/>
  <c r="X921" i="29" s="1"/>
  <c r="W953" i="29"/>
  <c r="X953" i="29" s="1"/>
  <c r="W992" i="29"/>
  <c r="X992" i="29" s="1"/>
  <c r="W1051" i="29"/>
  <c r="X1051" i="29" s="1"/>
  <c r="W1076" i="29"/>
  <c r="X1076" i="29" s="1"/>
  <c r="W1096" i="29"/>
  <c r="X1096" i="29" s="1"/>
  <c r="W1110" i="29"/>
  <c r="X1110" i="29" s="1"/>
  <c r="W1153" i="29"/>
  <c r="X1153" i="29" s="1"/>
  <c r="W1162" i="29"/>
  <c r="X1162" i="29" s="1"/>
  <c r="W1176" i="29"/>
  <c r="X1176" i="29" s="1"/>
  <c r="W1219" i="29"/>
  <c r="X1219" i="29" s="1"/>
  <c r="W1228" i="29"/>
  <c r="X1228" i="29" s="1"/>
  <c r="W1242" i="29"/>
  <c r="X1242" i="29" s="1"/>
  <c r="W1285" i="29"/>
  <c r="X1285" i="29" s="1"/>
  <c r="W1294" i="29"/>
  <c r="X1294" i="29" s="1"/>
  <c r="W1308" i="29"/>
  <c r="X1308" i="29" s="1"/>
  <c r="W1328" i="29"/>
  <c r="X1328" i="29" s="1"/>
  <c r="W1355" i="29"/>
  <c r="X1355" i="29" s="1"/>
  <c r="W1389" i="29"/>
  <c r="X1389" i="29" s="1"/>
  <c r="W1443" i="29"/>
  <c r="X1443" i="29" s="1"/>
  <c r="W1511" i="29"/>
  <c r="X1511" i="29" s="1"/>
  <c r="W1527" i="29"/>
  <c r="X1527" i="29" s="1"/>
  <c r="W1556" i="29"/>
  <c r="X1556" i="29" s="1"/>
  <c r="W1590" i="29"/>
  <c r="X1590" i="29" s="1"/>
  <c r="W1604" i="29"/>
  <c r="X1604" i="29" s="1"/>
  <c r="W1638" i="29"/>
  <c r="X1638" i="29" s="1"/>
  <c r="W1656" i="29"/>
  <c r="X1656" i="29" s="1"/>
  <c r="W1679" i="29"/>
  <c r="X1679" i="29" s="1"/>
  <c r="W1693" i="29"/>
  <c r="X1693" i="29" s="1"/>
  <c r="W1732" i="29"/>
  <c r="X1732" i="29" s="1"/>
  <c r="W1748" i="29"/>
  <c r="X1748" i="29" s="1"/>
  <c r="W1839" i="29"/>
  <c r="X1839" i="29" s="1"/>
  <c r="W2161" i="29"/>
  <c r="X2161" i="29" s="1"/>
  <c r="W2227" i="29"/>
  <c r="X2227" i="29" s="1"/>
  <c r="W194" i="29"/>
  <c r="X194" i="29" s="1"/>
  <c r="W208" i="29"/>
  <c r="X208" i="29" s="1"/>
  <c r="W228" i="29"/>
  <c r="X228" i="29" s="1"/>
  <c r="W244" i="29"/>
  <c r="X244" i="29" s="1"/>
  <c r="W290" i="29"/>
  <c r="X290" i="29" s="1"/>
  <c r="W299" i="29"/>
  <c r="X299" i="29" s="1"/>
  <c r="W384" i="29"/>
  <c r="X384" i="29" s="1"/>
  <c r="W453" i="29"/>
  <c r="X453" i="29" s="1"/>
  <c r="W460" i="29"/>
  <c r="X460" i="29" s="1"/>
  <c r="W499" i="29"/>
  <c r="X499" i="29" s="1"/>
  <c r="W522" i="29"/>
  <c r="X522" i="29" s="1"/>
  <c r="W563" i="29"/>
  <c r="X563" i="29" s="1"/>
  <c r="W604" i="29"/>
  <c r="X604" i="29" s="1"/>
  <c r="W657" i="29"/>
  <c r="X657" i="29" s="1"/>
  <c r="W744" i="29"/>
  <c r="X744" i="29" s="1"/>
  <c r="W790" i="29"/>
  <c r="X790" i="29" s="1"/>
  <c r="W806" i="29"/>
  <c r="X806" i="29" s="1"/>
  <c r="W820" i="29"/>
  <c r="X820" i="29" s="1"/>
  <c r="W834" i="29"/>
  <c r="X834" i="29" s="1"/>
  <c r="W864" i="29"/>
  <c r="X864" i="29" s="1"/>
  <c r="W878" i="29"/>
  <c r="X878" i="29" s="1"/>
  <c r="W919" i="29"/>
  <c r="X919" i="29" s="1"/>
  <c r="W928" i="29"/>
  <c r="X928" i="29" s="1"/>
  <c r="W960" i="29"/>
  <c r="X960" i="29" s="1"/>
  <c r="W974" i="29"/>
  <c r="X974" i="29" s="1"/>
  <c r="W988" i="29"/>
  <c r="X988" i="29" s="1"/>
  <c r="W1006" i="29"/>
  <c r="X1006" i="29" s="1"/>
  <c r="W1033" i="29"/>
  <c r="X1033" i="29" s="1"/>
  <c r="W1049" i="29"/>
  <c r="X1049" i="29" s="1"/>
  <c r="W1058" i="29"/>
  <c r="X1058" i="29" s="1"/>
  <c r="W1108" i="29"/>
  <c r="X1108" i="29" s="1"/>
  <c r="W1117" i="29"/>
  <c r="X1117" i="29" s="1"/>
  <c r="W1160" i="29"/>
  <c r="X1160" i="29" s="1"/>
  <c r="W1174" i="29"/>
  <c r="X1174" i="29" s="1"/>
  <c r="W1183" i="29"/>
  <c r="X1183" i="29" s="1"/>
  <c r="W1201" i="29"/>
  <c r="X1201" i="29" s="1"/>
  <c r="W1226" i="29"/>
  <c r="X1226" i="29" s="1"/>
  <c r="W1240" i="29"/>
  <c r="X1240" i="29" s="1"/>
  <c r="W1249" i="29"/>
  <c r="X1249" i="29" s="1"/>
  <c r="W1267" i="29"/>
  <c r="X1267" i="29" s="1"/>
  <c r="W1292" i="29"/>
  <c r="X1292" i="29" s="1"/>
  <c r="W1306" i="29"/>
  <c r="X1306" i="29" s="1"/>
  <c r="W1315" i="29"/>
  <c r="X1315" i="29" s="1"/>
  <c r="W1324" i="29"/>
  <c r="X1324" i="29" s="1"/>
  <c r="W1360" i="29"/>
  <c r="X1360" i="29" s="1"/>
  <c r="W1385" i="29"/>
  <c r="X1385" i="29" s="1"/>
  <c r="W1403" i="29"/>
  <c r="X1403" i="29" s="1"/>
  <c r="W1423" i="29"/>
  <c r="X1423" i="29" s="1"/>
  <c r="W1432" i="29"/>
  <c r="X1432" i="29" s="1"/>
  <c r="W1439" i="29"/>
  <c r="X1439" i="29" s="1"/>
  <c r="W1462" i="29"/>
  <c r="X1462" i="29" s="1"/>
  <c r="W1489" i="29"/>
  <c r="X1489" i="29" s="1"/>
  <c r="W1534" i="29"/>
  <c r="X1534" i="29" s="1"/>
  <c r="W1545" i="29"/>
  <c r="X1545" i="29" s="1"/>
  <c r="W1645" i="29"/>
  <c r="X1645" i="29" s="1"/>
  <c r="W1670" i="29"/>
  <c r="X1670" i="29" s="1"/>
  <c r="W1677" i="29"/>
  <c r="X1677" i="29" s="1"/>
  <c r="W1714" i="29"/>
  <c r="X1714" i="29" s="1"/>
  <c r="W1737" i="29"/>
  <c r="X1737" i="29" s="1"/>
  <c r="W1746" i="29"/>
  <c r="X1746" i="29" s="1"/>
  <c r="W1778" i="29"/>
  <c r="X1778" i="29" s="1"/>
  <c r="W1792" i="29"/>
  <c r="X1792" i="29" s="1"/>
  <c r="W1801" i="29"/>
  <c r="X1801" i="29" s="1"/>
  <c r="W1810" i="29"/>
  <c r="X1810" i="29" s="1"/>
  <c r="W1819" i="29"/>
  <c r="X1819" i="29" s="1"/>
  <c r="W1835" i="29"/>
  <c r="X1835" i="29" s="1"/>
  <c r="W1844" i="29"/>
  <c r="X1844" i="29" s="1"/>
  <c r="W1922" i="29"/>
  <c r="X1922" i="29" s="1"/>
  <c r="W2095" i="29"/>
  <c r="X2095" i="29" s="1"/>
  <c r="W2191" i="29"/>
  <c r="X2191" i="29" s="1"/>
  <c r="W2198" i="29"/>
  <c r="X2198" i="29" s="1"/>
  <c r="W2280" i="29"/>
  <c r="X2280" i="29" s="1"/>
  <c r="W2358" i="29"/>
  <c r="X2358" i="29" s="1"/>
  <c r="W2397" i="29"/>
  <c r="X2397" i="29" s="1"/>
  <c r="W2415" i="29"/>
  <c r="X2415" i="29" s="1"/>
  <c r="W2433" i="29"/>
  <c r="X2433" i="29" s="1"/>
  <c r="W2440" i="29"/>
  <c r="X2440" i="29" s="1"/>
  <c r="W536" i="29"/>
  <c r="X536" i="29" s="1"/>
  <c r="W586" i="29"/>
  <c r="X586" i="29" s="1"/>
  <c r="W625" i="29"/>
  <c r="X625" i="29" s="1"/>
  <c r="W648" i="29"/>
  <c r="X648" i="29" s="1"/>
  <c r="W673" i="29"/>
  <c r="X673" i="29" s="1"/>
  <c r="W696" i="29"/>
  <c r="X696" i="29" s="1"/>
  <c r="W751" i="29"/>
  <c r="X751" i="29" s="1"/>
  <c r="W774" i="29"/>
  <c r="X774" i="29" s="1"/>
  <c r="W788" i="29"/>
  <c r="X788" i="29" s="1"/>
  <c r="W827" i="29"/>
  <c r="X827" i="29" s="1"/>
  <c r="W841" i="29"/>
  <c r="X841" i="29" s="1"/>
  <c r="W855" i="29"/>
  <c r="X855" i="29" s="1"/>
  <c r="W885" i="29"/>
  <c r="X885" i="29" s="1"/>
  <c r="W926" i="29"/>
  <c r="X926" i="29" s="1"/>
  <c r="W997" i="29"/>
  <c r="X997" i="29" s="1"/>
  <c r="W1020" i="29"/>
  <c r="X1020" i="29" s="1"/>
  <c r="W1031" i="29"/>
  <c r="X1031" i="29" s="1"/>
  <c r="W1115" i="29"/>
  <c r="X1115" i="29" s="1"/>
  <c r="W1181" i="29"/>
  <c r="X1181" i="29" s="1"/>
  <c r="W1192" i="29"/>
  <c r="X1192" i="29" s="1"/>
  <c r="W1247" i="29"/>
  <c r="X1247" i="29" s="1"/>
  <c r="W1258" i="29"/>
  <c r="X1258" i="29" s="1"/>
  <c r="W1313" i="29"/>
  <c r="X1313" i="29" s="1"/>
  <c r="W1358" i="29"/>
  <c r="X1358" i="29" s="1"/>
  <c r="W1446" i="29"/>
  <c r="X1446" i="29" s="1"/>
  <c r="W1469" i="29"/>
  <c r="X1469" i="29" s="1"/>
  <c r="W1498" i="29"/>
  <c r="X1498" i="29" s="1"/>
  <c r="W1514" i="29"/>
  <c r="X1514" i="29" s="1"/>
  <c r="W1593" i="29"/>
  <c r="X1593" i="29" s="1"/>
  <c r="W1634" i="29"/>
  <c r="X1634" i="29" s="1"/>
  <c r="W1652" i="29"/>
  <c r="X1652" i="29" s="1"/>
  <c r="W1659" i="29"/>
  <c r="X1659" i="29" s="1"/>
  <c r="W1682" i="29"/>
  <c r="X1682" i="29" s="1"/>
  <c r="W1735" i="29"/>
  <c r="X1735" i="29" s="1"/>
  <c r="W1785" i="29"/>
  <c r="X1785" i="29" s="1"/>
  <c r="W1851" i="29"/>
  <c r="X1851" i="29" s="1"/>
  <c r="W1858" i="29"/>
  <c r="X1858" i="29" s="1"/>
  <c r="W1938" i="29"/>
  <c r="X1938" i="29" s="1"/>
  <c r="W2642" i="29"/>
  <c r="X2642" i="29" s="1"/>
  <c r="W818" i="29"/>
  <c r="X818" i="29" s="1"/>
  <c r="W832" i="29"/>
  <c r="X832" i="29" s="1"/>
  <c r="W862" i="29"/>
  <c r="X862" i="29" s="1"/>
  <c r="W986" i="29"/>
  <c r="X986" i="29" s="1"/>
  <c r="W1004" i="29"/>
  <c r="X1004" i="29" s="1"/>
  <c r="W1190" i="29"/>
  <c r="X1190" i="29" s="1"/>
  <c r="W1256" i="29"/>
  <c r="X1256" i="29" s="1"/>
  <c r="W1279" i="29"/>
  <c r="X1279" i="29" s="1"/>
  <c r="W1322" i="29"/>
  <c r="X1322" i="29" s="1"/>
  <c r="W1367" i="29"/>
  <c r="X1367" i="29" s="1"/>
  <c r="W1374" i="29"/>
  <c r="X1374" i="29" s="1"/>
  <c r="W1410" i="29"/>
  <c r="X1410" i="29" s="1"/>
  <c r="W1428" i="29"/>
  <c r="X1428" i="29" s="1"/>
  <c r="W1476" i="29"/>
  <c r="X1476" i="29" s="1"/>
  <c r="W1575" i="29"/>
  <c r="X1575" i="29" s="1"/>
  <c r="W1600" i="29"/>
  <c r="X1600" i="29" s="1"/>
  <c r="W1666" i="29"/>
  <c r="X1666" i="29" s="1"/>
  <c r="W1689" i="29"/>
  <c r="X1689" i="29" s="1"/>
  <c r="W1726" i="29"/>
  <c r="X1726" i="29" s="1"/>
  <c r="W1808" i="29"/>
  <c r="X1808" i="29" s="1"/>
  <c r="W1831" i="29"/>
  <c r="X1831" i="29" s="1"/>
  <c r="W2479" i="29"/>
  <c r="X2479" i="29" s="1"/>
  <c r="W2488" i="29"/>
  <c r="X2488" i="29" s="1"/>
  <c r="W2502" i="29"/>
  <c r="X2502" i="29" s="1"/>
  <c r="W1047" i="29"/>
  <c r="X1047" i="29" s="1"/>
  <c r="W1131" i="29"/>
  <c r="X1131" i="29" s="1"/>
  <c r="W614" i="29"/>
  <c r="X614" i="29" s="1"/>
  <c r="W717" i="29"/>
  <c r="X717" i="29" s="1"/>
  <c r="W940" i="29"/>
  <c r="X940" i="29" s="1"/>
  <c r="W1052" i="29"/>
  <c r="X1052" i="29" s="1"/>
  <c r="W1138" i="29"/>
  <c r="X1138" i="29" s="1"/>
  <c r="W1204" i="29"/>
  <c r="X1204" i="29" s="1"/>
  <c r="W1270" i="29"/>
  <c r="X1270" i="29" s="1"/>
  <c r="W1417" i="29"/>
  <c r="X1417" i="29" s="1"/>
  <c r="W1444" i="29"/>
  <c r="X1444" i="29" s="1"/>
  <c r="W1503" i="29"/>
  <c r="X1503" i="29" s="1"/>
  <c r="W1582" i="29"/>
  <c r="X1582" i="29" s="1"/>
  <c r="W1632" i="29"/>
  <c r="X1632" i="29" s="1"/>
  <c r="W1657" i="29"/>
  <c r="X1657" i="29" s="1"/>
  <c r="W1742" i="29"/>
  <c r="X1742" i="29" s="1"/>
  <c r="W1822" i="29"/>
  <c r="X1822" i="29" s="1"/>
  <c r="W2292" i="29"/>
  <c r="X2292" i="29" s="1"/>
  <c r="W2461" i="29"/>
  <c r="X2461" i="29" s="1"/>
  <c r="W229" i="29"/>
  <c r="X229" i="29" s="1"/>
  <c r="W252" i="29"/>
  <c r="X252" i="29" s="1"/>
  <c r="W268" i="29"/>
  <c r="X268" i="29" s="1"/>
  <c r="W282" i="29"/>
  <c r="X282" i="29" s="1"/>
  <c r="W291" i="29"/>
  <c r="X291" i="29" s="1"/>
  <c r="W305" i="29"/>
  <c r="X305" i="29" s="1"/>
  <c r="W344" i="29"/>
  <c r="X344" i="29" s="1"/>
  <c r="W358" i="29"/>
  <c r="X358" i="29" s="1"/>
  <c r="W367" i="29"/>
  <c r="X367" i="29" s="1"/>
  <c r="W387" i="29"/>
  <c r="X387" i="29" s="1"/>
  <c r="W486" i="29"/>
  <c r="X486" i="29" s="1"/>
  <c r="W571" i="29"/>
  <c r="X571" i="29" s="1"/>
  <c r="W580" i="29"/>
  <c r="X580" i="29" s="1"/>
  <c r="W589" i="29"/>
  <c r="X589" i="29" s="1"/>
  <c r="W621" i="29"/>
  <c r="X621" i="29" s="1"/>
  <c r="W635" i="29"/>
  <c r="X635" i="29" s="1"/>
  <c r="W667" i="29"/>
  <c r="X667" i="29" s="1"/>
  <c r="W676" i="29"/>
  <c r="X676" i="29" s="1"/>
  <c r="W681" i="29"/>
  <c r="X681" i="29" s="1"/>
  <c r="W690" i="29"/>
  <c r="X690" i="29" s="1"/>
  <c r="W722" i="29"/>
  <c r="X722" i="29" s="1"/>
  <c r="W763" i="29"/>
  <c r="X763" i="29" s="1"/>
  <c r="W768" i="29"/>
  <c r="X768" i="29" s="1"/>
  <c r="W807" i="29"/>
  <c r="X807" i="29" s="1"/>
  <c r="W821" i="29"/>
  <c r="X821" i="29" s="1"/>
  <c r="W851" i="29"/>
  <c r="X851" i="29" s="1"/>
  <c r="W879" i="29"/>
  <c r="X879" i="29" s="1"/>
  <c r="W888" i="29"/>
  <c r="X888" i="29" s="1"/>
  <c r="W897" i="29"/>
  <c r="X897" i="29" s="1"/>
  <c r="W920" i="29"/>
  <c r="X920" i="29" s="1"/>
  <c r="W929" i="29"/>
  <c r="X929" i="29" s="1"/>
  <c r="W975" i="29"/>
  <c r="X975" i="29" s="1"/>
  <c r="W989" i="29"/>
  <c r="X989" i="29" s="1"/>
  <c r="W1000" i="29"/>
  <c r="X1000" i="29" s="1"/>
  <c r="W1016" i="29"/>
  <c r="X1016" i="29" s="1"/>
  <c r="W1025" i="29"/>
  <c r="X1025" i="29" s="1"/>
  <c r="W1084" i="29"/>
  <c r="X1084" i="29" s="1"/>
  <c r="W1095" i="29"/>
  <c r="X1095" i="29" s="1"/>
  <c r="W1109" i="29"/>
  <c r="X1109" i="29" s="1"/>
  <c r="W1152" i="29"/>
  <c r="X1152" i="29" s="1"/>
  <c r="W1161" i="29"/>
  <c r="X1161" i="29" s="1"/>
  <c r="W1175" i="29"/>
  <c r="X1175" i="29" s="1"/>
  <c r="W1218" i="29"/>
  <c r="X1218" i="29" s="1"/>
  <c r="W1227" i="29"/>
  <c r="X1227" i="29" s="1"/>
  <c r="W1241" i="29"/>
  <c r="X1241" i="29" s="1"/>
  <c r="W1252" i="29"/>
  <c r="X1252" i="29" s="1"/>
  <c r="W1284" i="29"/>
  <c r="X1284" i="29" s="1"/>
  <c r="W1293" i="29"/>
  <c r="X1293" i="29" s="1"/>
  <c r="W1307" i="29"/>
  <c r="X1307" i="29" s="1"/>
  <c r="W1316" i="29"/>
  <c r="X1316" i="29" s="1"/>
  <c r="W1372" i="29"/>
  <c r="X1372" i="29" s="1"/>
  <c r="W1472" i="29"/>
  <c r="X1472" i="29" s="1"/>
  <c r="W1603" i="29"/>
  <c r="X1603" i="29" s="1"/>
  <c r="W1612" i="29"/>
  <c r="X1612" i="29" s="1"/>
  <c r="W1630" i="29"/>
  <c r="X1630" i="29" s="1"/>
  <c r="W1637" i="29"/>
  <c r="X1637" i="29" s="1"/>
  <c r="W1646" i="29"/>
  <c r="X1646" i="29" s="1"/>
  <c r="W1687" i="29"/>
  <c r="X1687" i="29" s="1"/>
  <c r="W1692" i="29"/>
  <c r="X1692" i="29" s="1"/>
  <c r="W1715" i="29"/>
  <c r="X1715" i="29" s="1"/>
  <c r="W1756" i="29"/>
  <c r="X1756" i="29" s="1"/>
  <c r="W1779" i="29"/>
  <c r="X1779" i="29" s="1"/>
  <c r="W1811" i="29"/>
  <c r="X1811" i="29" s="1"/>
  <c r="W1836" i="29"/>
  <c r="X1836" i="29" s="1"/>
  <c r="W1863" i="29"/>
  <c r="X1863" i="29" s="1"/>
  <c r="W1891" i="29"/>
  <c r="X1891" i="29" s="1"/>
  <c r="W2064" i="29"/>
  <c r="X2064" i="29" s="1"/>
  <c r="W2073" i="29"/>
  <c r="X2073" i="29" s="1"/>
  <c r="W2082" i="29"/>
  <c r="X2082" i="29" s="1"/>
  <c r="W2699" i="29"/>
  <c r="X2699" i="29" s="1"/>
  <c r="W2765" i="29"/>
  <c r="X2765" i="29" s="1"/>
  <c r="W2964" i="29"/>
  <c r="X2964" i="29" s="1"/>
  <c r="W3035" i="29"/>
  <c r="X3035" i="29" s="1"/>
  <c r="W1888" i="29"/>
  <c r="X1888" i="29" s="1"/>
  <c r="W1906" i="29"/>
  <c r="X1906" i="29" s="1"/>
  <c r="W1924" i="29"/>
  <c r="X1924" i="29" s="1"/>
  <c r="W1933" i="29"/>
  <c r="X1933" i="29" s="1"/>
  <c r="W1942" i="29"/>
  <c r="X1942" i="29" s="1"/>
  <c r="W2062" i="29"/>
  <c r="X2062" i="29" s="1"/>
  <c r="W2071" i="29"/>
  <c r="X2071" i="29" s="1"/>
  <c r="W2094" i="29"/>
  <c r="X2094" i="29" s="1"/>
  <c r="W2139" i="29"/>
  <c r="X2139" i="29" s="1"/>
  <c r="W2159" i="29"/>
  <c r="X2159" i="29" s="1"/>
  <c r="W2184" i="29"/>
  <c r="X2184" i="29" s="1"/>
  <c r="W2202" i="29"/>
  <c r="X2202" i="29" s="1"/>
  <c r="W2243" i="29"/>
  <c r="X2243" i="29" s="1"/>
  <c r="W2254" i="29"/>
  <c r="X2254" i="29" s="1"/>
  <c r="W2286" i="29"/>
  <c r="X2286" i="29" s="1"/>
  <c r="W2297" i="29"/>
  <c r="X2297" i="29" s="1"/>
  <c r="W2338" i="29"/>
  <c r="X2338" i="29" s="1"/>
  <c r="W2356" i="29"/>
  <c r="X2356" i="29" s="1"/>
  <c r="W2363" i="29"/>
  <c r="X2363" i="29" s="1"/>
  <c r="W2395" i="29"/>
  <c r="X2395" i="29" s="1"/>
  <c r="W2438" i="29"/>
  <c r="X2438" i="29" s="1"/>
  <c r="W2447" i="29"/>
  <c r="X2447" i="29" s="1"/>
  <c r="W2472" i="29"/>
  <c r="X2472" i="29" s="1"/>
  <c r="W2481" i="29"/>
  <c r="X2481" i="29" s="1"/>
  <c r="W2495" i="29"/>
  <c r="X2495" i="29" s="1"/>
  <c r="W2504" i="29"/>
  <c r="X2504" i="29" s="1"/>
  <c r="W2522" i="29"/>
  <c r="X2522" i="29" s="1"/>
  <c r="W2547" i="29"/>
  <c r="X2547" i="29" s="1"/>
  <c r="W2570" i="29"/>
  <c r="X2570" i="29" s="1"/>
  <c r="W2681" i="29"/>
  <c r="X2681" i="29" s="1"/>
  <c r="W2697" i="29"/>
  <c r="X2697" i="29" s="1"/>
  <c r="W2713" i="29"/>
  <c r="X2713" i="29" s="1"/>
  <c r="W2747" i="29"/>
  <c r="X2747" i="29" s="1"/>
  <c r="W2779" i="29"/>
  <c r="X2779" i="29" s="1"/>
  <c r="W2788" i="29"/>
  <c r="X2788" i="29" s="1"/>
  <c r="W2811" i="29"/>
  <c r="X2811" i="29" s="1"/>
  <c r="W2868" i="29"/>
  <c r="X2868" i="29" s="1"/>
  <c r="W2914" i="29"/>
  <c r="X2914" i="29" s="1"/>
  <c r="W2969" i="29"/>
  <c r="X2969" i="29" s="1"/>
  <c r="W2978" i="29"/>
  <c r="X2978" i="29" s="1"/>
  <c r="W3001" i="29"/>
  <c r="X3001" i="29" s="1"/>
  <c r="W3010" i="29"/>
  <c r="X3010" i="29" s="1"/>
  <c r="W3024" i="29"/>
  <c r="X3024" i="29" s="1"/>
  <c r="W3049" i="29"/>
  <c r="X3049" i="29" s="1"/>
  <c r="W3072" i="29"/>
  <c r="X3072" i="29" s="1"/>
  <c r="W3088" i="29"/>
  <c r="X3088" i="29" s="1"/>
  <c r="W3120" i="29"/>
  <c r="X3120" i="29" s="1"/>
  <c r="W3150" i="29"/>
  <c r="X3150" i="29" s="1"/>
  <c r="W3164" i="29"/>
  <c r="X3164" i="29" s="1"/>
  <c r="W3205" i="29"/>
  <c r="X3205" i="29" s="1"/>
  <c r="W3271" i="29"/>
  <c r="X3271" i="29" s="1"/>
  <c r="W3303" i="29"/>
  <c r="X3303" i="29" s="1"/>
  <c r="W3337" i="29"/>
  <c r="X3337" i="29" s="1"/>
  <c r="W3369" i="29"/>
  <c r="X3369" i="29" s="1"/>
  <c r="W3385" i="29"/>
  <c r="X3385" i="29" s="1"/>
  <c r="W3403" i="29"/>
  <c r="X3403" i="29" s="1"/>
  <c r="W3412" i="29"/>
  <c r="X3412" i="29" s="1"/>
  <c r="W3435" i="29"/>
  <c r="X3435" i="29" s="1"/>
  <c r="W3497" i="29"/>
  <c r="X3497" i="29" s="1"/>
  <c r="W3522" i="29"/>
  <c r="X3522" i="29" s="1"/>
  <c r="W3529" i="29"/>
  <c r="X3529" i="29" s="1"/>
  <c r="W3538" i="29"/>
  <c r="X3538" i="29" s="1"/>
  <c r="W3561" i="29"/>
  <c r="X3561" i="29" s="1"/>
  <c r="W3648" i="29"/>
  <c r="X3648" i="29" s="1"/>
  <c r="W3657" i="29"/>
  <c r="X3657" i="29" s="1"/>
  <c r="W3748" i="29"/>
  <c r="X3748" i="29" s="1"/>
  <c r="W4228" i="29"/>
  <c r="X4228" i="29" s="1"/>
  <c r="W2593" i="29"/>
  <c r="X2593" i="29" s="1"/>
  <c r="W2736" i="29"/>
  <c r="X2736" i="29" s="1"/>
  <c r="W2889" i="29"/>
  <c r="X2889" i="29" s="1"/>
  <c r="W3008" i="29"/>
  <c r="X3008" i="29" s="1"/>
  <c r="W3187" i="29"/>
  <c r="X3187" i="29" s="1"/>
  <c r="W3527" i="29"/>
  <c r="X3527" i="29" s="1"/>
  <c r="W4175" i="29"/>
  <c r="X4175" i="29" s="1"/>
  <c r="W4969" i="29"/>
  <c r="X4969" i="29" s="1"/>
  <c r="W1861" i="29"/>
  <c r="X1861" i="29" s="1"/>
  <c r="W1963" i="29"/>
  <c r="X1963" i="29" s="1"/>
  <c r="W1972" i="29"/>
  <c r="X1972" i="29" s="1"/>
  <c r="W2056" i="29"/>
  <c r="X2056" i="29" s="1"/>
  <c r="W2065" i="29"/>
  <c r="X2065" i="29" s="1"/>
  <c r="W2074" i="29"/>
  <c r="X2074" i="29" s="1"/>
  <c r="W2128" i="29"/>
  <c r="X2128" i="29" s="1"/>
  <c r="W2142" i="29"/>
  <c r="X2142" i="29" s="1"/>
  <c r="W2162" i="29"/>
  <c r="X2162" i="29" s="1"/>
  <c r="W2187" i="29"/>
  <c r="X2187" i="29" s="1"/>
  <c r="W2214" i="29"/>
  <c r="X2214" i="29" s="1"/>
  <c r="W2302" i="29"/>
  <c r="X2302" i="29" s="1"/>
  <c r="W2309" i="29"/>
  <c r="X2309" i="29" s="1"/>
  <c r="W2368" i="29"/>
  <c r="X2368" i="29" s="1"/>
  <c r="W2416" i="29"/>
  <c r="X2416" i="29" s="1"/>
  <c r="W2459" i="29"/>
  <c r="X2459" i="29" s="1"/>
  <c r="W2477" i="29"/>
  <c r="X2477" i="29" s="1"/>
  <c r="W2525" i="29"/>
  <c r="X2525" i="29" s="1"/>
  <c r="W2559" i="29"/>
  <c r="X2559" i="29" s="1"/>
  <c r="W2573" i="29"/>
  <c r="X2573" i="29" s="1"/>
  <c r="W2591" i="29"/>
  <c r="X2591" i="29" s="1"/>
  <c r="W2600" i="29"/>
  <c r="X2600" i="29" s="1"/>
  <c r="W2643" i="29"/>
  <c r="X2643" i="29" s="1"/>
  <c r="W2686" i="29"/>
  <c r="X2686" i="29" s="1"/>
  <c r="W2693" i="29"/>
  <c r="X2693" i="29" s="1"/>
  <c r="W2734" i="29"/>
  <c r="X2734" i="29" s="1"/>
  <c r="W2752" i="29"/>
  <c r="X2752" i="29" s="1"/>
  <c r="W2759" i="29"/>
  <c r="X2759" i="29" s="1"/>
  <c r="W2896" i="29"/>
  <c r="X2896" i="29" s="1"/>
  <c r="W2901" i="29"/>
  <c r="X2901" i="29" s="1"/>
  <c r="W2919" i="29"/>
  <c r="X2919" i="29" s="1"/>
  <c r="W2951" i="29"/>
  <c r="X2951" i="29" s="1"/>
  <c r="W2965" i="29"/>
  <c r="X2965" i="29" s="1"/>
  <c r="W2974" i="29"/>
  <c r="X2974" i="29" s="1"/>
  <c r="W2983" i="29"/>
  <c r="X2983" i="29" s="1"/>
  <c r="W3006" i="29"/>
  <c r="X3006" i="29" s="1"/>
  <c r="W3052" i="29"/>
  <c r="X3052" i="29" s="1"/>
  <c r="W3075" i="29"/>
  <c r="X3075" i="29" s="1"/>
  <c r="W3084" i="29"/>
  <c r="X3084" i="29" s="1"/>
  <c r="W3222" i="29"/>
  <c r="X3222" i="29" s="1"/>
  <c r="W3240" i="29"/>
  <c r="X3240" i="29" s="1"/>
  <c r="W3274" i="29"/>
  <c r="X3274" i="29" s="1"/>
  <c r="W3315" i="29"/>
  <c r="X3315" i="29" s="1"/>
  <c r="W3351" i="29"/>
  <c r="X3351" i="29" s="1"/>
  <c r="W3381" i="29"/>
  <c r="X3381" i="29" s="1"/>
  <c r="W3415" i="29"/>
  <c r="X3415" i="29" s="1"/>
  <c r="W3424" i="29"/>
  <c r="X3424" i="29" s="1"/>
  <c r="W3461" i="29"/>
  <c r="X3461" i="29" s="1"/>
  <c r="W3493" i="29"/>
  <c r="X3493" i="29" s="1"/>
  <c r="W3511" i="29"/>
  <c r="X3511" i="29" s="1"/>
  <c r="W3566" i="29"/>
  <c r="X3566" i="29" s="1"/>
  <c r="W3594" i="29"/>
  <c r="X3594" i="29" s="1"/>
  <c r="W3644" i="29"/>
  <c r="X3644" i="29" s="1"/>
  <c r="W3689" i="29"/>
  <c r="X3689" i="29" s="1"/>
  <c r="W3705" i="29"/>
  <c r="X3705" i="29" s="1"/>
  <c r="W3925" i="29"/>
  <c r="X3925" i="29" s="1"/>
  <c r="W3943" i="29"/>
  <c r="X3943" i="29" s="1"/>
  <c r="W4143" i="29"/>
  <c r="X4143" i="29" s="1"/>
  <c r="W3888" i="29"/>
  <c r="X3888" i="29" s="1"/>
  <c r="W1857" i="29"/>
  <c r="X1857" i="29" s="1"/>
  <c r="W1907" i="29"/>
  <c r="X1907" i="29" s="1"/>
  <c r="W1934" i="29"/>
  <c r="X1934" i="29" s="1"/>
  <c r="W2011" i="29"/>
  <c r="X2011" i="29" s="1"/>
  <c r="W2020" i="29"/>
  <c r="X2020" i="29" s="1"/>
  <c r="W2063" i="29"/>
  <c r="X2063" i="29" s="1"/>
  <c r="W2081" i="29"/>
  <c r="X2081" i="29" s="1"/>
  <c r="W2088" i="29"/>
  <c r="X2088" i="29" s="1"/>
  <c r="W2160" i="29"/>
  <c r="X2160" i="29" s="1"/>
  <c r="W2176" i="29"/>
  <c r="X2176" i="29" s="1"/>
  <c r="W2185" i="29"/>
  <c r="X2185" i="29" s="1"/>
  <c r="W2203" i="29"/>
  <c r="X2203" i="29" s="1"/>
  <c r="W2230" i="29"/>
  <c r="X2230" i="29" s="1"/>
  <c r="W2246" i="29"/>
  <c r="X2246" i="29" s="1"/>
  <c r="W2273" i="29"/>
  <c r="X2273" i="29" s="1"/>
  <c r="W2330" i="29"/>
  <c r="X2330" i="29" s="1"/>
  <c r="W2364" i="29"/>
  <c r="X2364" i="29" s="1"/>
  <c r="W2430" i="29"/>
  <c r="X2430" i="29" s="1"/>
  <c r="W2448" i="29"/>
  <c r="X2448" i="29" s="1"/>
  <c r="W2473" i="29"/>
  <c r="X2473" i="29" s="1"/>
  <c r="W2482" i="29"/>
  <c r="X2482" i="29" s="1"/>
  <c r="W2496" i="29"/>
  <c r="X2496" i="29" s="1"/>
  <c r="W2532" i="29"/>
  <c r="X2532" i="29" s="1"/>
  <c r="W2548" i="29"/>
  <c r="X2548" i="29" s="1"/>
  <c r="W2571" i="29"/>
  <c r="X2571" i="29" s="1"/>
  <c r="W2632" i="29"/>
  <c r="X2632" i="29" s="1"/>
  <c r="W2657" i="29"/>
  <c r="X2657" i="29" s="1"/>
  <c r="W2691" i="29"/>
  <c r="X2691" i="29" s="1"/>
  <c r="W2705" i="29"/>
  <c r="X2705" i="29" s="1"/>
  <c r="W2714" i="29"/>
  <c r="X2714" i="29" s="1"/>
  <c r="W2723" i="29"/>
  <c r="X2723" i="29" s="1"/>
  <c r="W2748" i="29"/>
  <c r="X2748" i="29" s="1"/>
  <c r="W2780" i="29"/>
  <c r="X2780" i="29" s="1"/>
  <c r="W2821" i="29"/>
  <c r="X2821" i="29" s="1"/>
  <c r="W2830" i="29"/>
  <c r="X2830" i="29" s="1"/>
  <c r="W2835" i="29"/>
  <c r="X2835" i="29" s="1"/>
  <c r="W2910" i="29"/>
  <c r="X2910" i="29" s="1"/>
  <c r="W2924" i="29"/>
  <c r="X2924" i="29" s="1"/>
  <c r="W2940" i="29"/>
  <c r="X2940" i="29" s="1"/>
  <c r="W3002" i="29"/>
  <c r="X3002" i="29" s="1"/>
  <c r="W3011" i="29"/>
  <c r="X3011" i="29" s="1"/>
  <c r="W3034" i="29"/>
  <c r="X3034" i="29" s="1"/>
  <c r="W3057" i="29"/>
  <c r="X3057" i="29" s="1"/>
  <c r="W3073" i="29"/>
  <c r="X3073" i="29" s="1"/>
  <c r="W3096" i="29"/>
  <c r="X3096" i="29" s="1"/>
  <c r="W3121" i="29"/>
  <c r="X3121" i="29" s="1"/>
  <c r="W3137" i="29"/>
  <c r="X3137" i="29" s="1"/>
  <c r="W3151" i="29"/>
  <c r="X3151" i="29" s="1"/>
  <c r="W3160" i="29"/>
  <c r="X3160" i="29" s="1"/>
  <c r="W3183" i="29"/>
  <c r="X3183" i="29" s="1"/>
  <c r="W3197" i="29"/>
  <c r="X3197" i="29" s="1"/>
  <c r="W3261" i="29"/>
  <c r="X3261" i="29" s="1"/>
  <c r="W3272" i="29"/>
  <c r="X3272" i="29" s="1"/>
  <c r="W3313" i="29"/>
  <c r="X3313" i="29" s="1"/>
  <c r="W3379" i="29"/>
  <c r="X3379" i="29" s="1"/>
  <c r="W3393" i="29"/>
  <c r="X3393" i="29" s="1"/>
  <c r="W3468" i="29"/>
  <c r="X3468" i="29" s="1"/>
  <c r="W3507" i="29"/>
  <c r="X3507" i="29" s="1"/>
  <c r="W3555" i="29"/>
  <c r="X3555" i="29" s="1"/>
  <c r="W3562" i="29"/>
  <c r="X3562" i="29" s="1"/>
  <c r="W3578" i="29"/>
  <c r="X3578" i="29" s="1"/>
  <c r="W3592" i="29"/>
  <c r="X3592" i="29" s="1"/>
  <c r="W3601" i="29"/>
  <c r="X3601" i="29" s="1"/>
  <c r="W3633" i="29"/>
  <c r="X3633" i="29" s="1"/>
  <c r="W3678" i="29"/>
  <c r="X3678" i="29" s="1"/>
  <c r="W3687" i="29"/>
  <c r="X3687" i="29" s="1"/>
  <c r="W3712" i="29"/>
  <c r="X3712" i="29" s="1"/>
  <c r="W3721" i="29"/>
  <c r="X3721" i="29" s="1"/>
  <c r="W1878" i="29"/>
  <c r="X1878" i="29" s="1"/>
  <c r="W1887" i="29"/>
  <c r="X1887" i="29" s="1"/>
  <c r="W1905" i="29"/>
  <c r="X1905" i="29" s="1"/>
  <c r="W1941" i="29"/>
  <c r="X1941" i="29" s="1"/>
  <c r="W1993" i="29"/>
  <c r="X1993" i="29" s="1"/>
  <c r="W2029" i="29"/>
  <c r="X2029" i="29" s="1"/>
  <c r="W2034" i="29"/>
  <c r="X2034" i="29" s="1"/>
  <c r="W2043" i="29"/>
  <c r="X2043" i="29" s="1"/>
  <c r="W2061" i="29"/>
  <c r="X2061" i="29" s="1"/>
  <c r="W2070" i="29"/>
  <c r="X2070" i="29" s="1"/>
  <c r="W2093" i="29"/>
  <c r="X2093" i="29" s="1"/>
  <c r="W2109" i="29"/>
  <c r="X2109" i="29" s="1"/>
  <c r="W2346" i="29"/>
  <c r="X2346" i="29" s="1"/>
  <c r="W2353" i="29"/>
  <c r="X2353" i="29" s="1"/>
  <c r="W2471" i="29"/>
  <c r="X2471" i="29" s="1"/>
  <c r="W2512" i="29"/>
  <c r="X2512" i="29" s="1"/>
  <c r="W2521" i="29"/>
  <c r="X2521" i="29" s="1"/>
  <c r="W2562" i="29"/>
  <c r="X2562" i="29" s="1"/>
  <c r="W2569" i="29"/>
  <c r="X2569" i="29" s="1"/>
  <c r="W2603" i="29"/>
  <c r="X2603" i="29" s="1"/>
  <c r="W2646" i="29"/>
  <c r="X2646" i="29" s="1"/>
  <c r="W2712" i="29"/>
  <c r="X2712" i="29" s="1"/>
  <c r="W2746" i="29"/>
  <c r="X2746" i="29" s="1"/>
  <c r="W2760" i="29"/>
  <c r="X2760" i="29" s="1"/>
  <c r="W2801" i="29"/>
  <c r="X2801" i="29" s="1"/>
  <c r="W2803" i="29"/>
  <c r="X2803" i="29" s="1"/>
  <c r="W2810" i="29"/>
  <c r="X2810" i="29" s="1"/>
  <c r="W2833" i="29"/>
  <c r="X2833" i="29" s="1"/>
  <c r="W2842" i="29"/>
  <c r="X2842" i="29" s="1"/>
  <c r="W2867" i="29"/>
  <c r="X2867" i="29" s="1"/>
  <c r="W2881" i="29"/>
  <c r="X2881" i="29" s="1"/>
  <c r="W2890" i="29"/>
  <c r="X2890" i="29" s="1"/>
  <c r="W2906" i="29"/>
  <c r="X2906" i="29" s="1"/>
  <c r="W2922" i="29"/>
  <c r="X2922" i="29" s="1"/>
  <c r="W2936" i="29"/>
  <c r="X2936" i="29" s="1"/>
  <c r="W2961" i="29"/>
  <c r="X2961" i="29" s="1"/>
  <c r="W3000" i="29"/>
  <c r="X3000" i="29" s="1"/>
  <c r="W3046" i="29"/>
  <c r="X3046" i="29" s="1"/>
  <c r="W3087" i="29"/>
  <c r="X3087" i="29" s="1"/>
  <c r="W3101" i="29"/>
  <c r="X3101" i="29" s="1"/>
  <c r="W3126" i="29"/>
  <c r="X3126" i="29" s="1"/>
  <c r="W3133" i="29"/>
  <c r="X3133" i="29" s="1"/>
  <c r="W3181" i="29"/>
  <c r="X3181" i="29" s="1"/>
  <c r="W3204" i="29"/>
  <c r="X3204" i="29" s="1"/>
  <c r="W3218" i="29"/>
  <c r="X3218" i="29" s="1"/>
  <c r="W3250" i="29"/>
  <c r="X3250" i="29" s="1"/>
  <c r="W3252" i="29"/>
  <c r="X3252" i="29" s="1"/>
  <c r="W3375" i="29"/>
  <c r="X3375" i="29" s="1"/>
  <c r="W3384" i="29"/>
  <c r="X3384" i="29" s="1"/>
  <c r="W3441" i="29"/>
  <c r="X3441" i="29" s="1"/>
  <c r="W3450" i="29"/>
  <c r="X3450" i="29" s="1"/>
  <c r="W3464" i="29"/>
  <c r="X3464" i="29" s="1"/>
  <c r="W3473" i="29"/>
  <c r="X3473" i="29" s="1"/>
  <c r="W3519" i="29"/>
  <c r="X3519" i="29" s="1"/>
  <c r="W3583" i="29"/>
  <c r="X3583" i="29" s="1"/>
  <c r="W3624" i="29"/>
  <c r="X3624" i="29" s="1"/>
  <c r="W3629" i="29"/>
  <c r="X3629" i="29" s="1"/>
  <c r="W3672" i="29"/>
  <c r="X3672" i="29" s="1"/>
  <c r="W3747" i="29"/>
  <c r="X3747" i="29" s="1"/>
  <c r="W3802" i="29"/>
  <c r="X3802" i="29" s="1"/>
  <c r="W3820" i="29"/>
  <c r="X3820" i="29" s="1"/>
  <c r="W4054" i="29"/>
  <c r="X4054" i="29" s="1"/>
  <c r="W4333" i="29"/>
  <c r="X4333" i="29" s="1"/>
  <c r="W4418" i="29"/>
  <c r="X4418" i="29" s="1"/>
  <c r="W3976" i="29"/>
  <c r="X3976" i="29" s="1"/>
  <c r="W4022" i="29"/>
  <c r="X4022" i="29" s="1"/>
  <c r="W4174" i="29"/>
  <c r="X4174" i="29" s="1"/>
  <c r="W1876" i="29"/>
  <c r="X1876" i="29" s="1"/>
  <c r="W1901" i="29"/>
  <c r="X1901" i="29" s="1"/>
  <c r="W1946" i="29"/>
  <c r="X1946" i="29" s="1"/>
  <c r="W1953" i="29"/>
  <c r="X1953" i="29" s="1"/>
  <c r="W1987" i="29"/>
  <c r="X1987" i="29" s="1"/>
  <c r="W2005" i="29"/>
  <c r="X2005" i="29" s="1"/>
  <c r="W2023" i="29"/>
  <c r="X2023" i="29" s="1"/>
  <c r="W2032" i="29"/>
  <c r="X2032" i="29" s="1"/>
  <c r="W2041" i="29"/>
  <c r="X2041" i="29" s="1"/>
  <c r="W2089" i="29"/>
  <c r="X2089" i="29" s="1"/>
  <c r="W2098" i="29"/>
  <c r="X2098" i="29" s="1"/>
  <c r="W2107" i="29"/>
  <c r="X2107" i="29" s="1"/>
  <c r="W2152" i="29"/>
  <c r="X2152" i="29" s="1"/>
  <c r="W2274" i="29"/>
  <c r="X2274" i="29" s="1"/>
  <c r="W2283" i="29"/>
  <c r="X2283" i="29" s="1"/>
  <c r="W2317" i="29"/>
  <c r="X2317" i="29" s="1"/>
  <c r="W2335" i="29"/>
  <c r="X2335" i="29" s="1"/>
  <c r="W2383" i="29"/>
  <c r="X2383" i="29" s="1"/>
  <c r="W2401" i="29"/>
  <c r="X2401" i="29" s="1"/>
  <c r="W2417" i="29"/>
  <c r="X2417" i="29" s="1"/>
  <c r="W2435" i="29"/>
  <c r="X2435" i="29" s="1"/>
  <c r="W2444" i="29"/>
  <c r="X2444" i="29" s="1"/>
  <c r="W2460" i="29"/>
  <c r="X2460" i="29" s="1"/>
  <c r="W2526" i="29"/>
  <c r="X2526" i="29" s="1"/>
  <c r="W2544" i="29"/>
  <c r="X2544" i="29" s="1"/>
  <c r="W2558" i="29"/>
  <c r="X2558" i="29" s="1"/>
  <c r="W2610" i="29"/>
  <c r="X2610" i="29" s="1"/>
  <c r="W2635" i="29"/>
  <c r="X2635" i="29" s="1"/>
  <c r="W2644" i="29"/>
  <c r="X2644" i="29" s="1"/>
  <c r="W2667" i="29"/>
  <c r="X2667" i="29" s="1"/>
  <c r="W2692" i="29"/>
  <c r="X2692" i="29" s="1"/>
  <c r="W2742" i="29"/>
  <c r="X2742" i="29" s="1"/>
  <c r="W2774" i="29"/>
  <c r="X2774" i="29" s="1"/>
  <c r="W2840" i="29"/>
  <c r="X2840" i="29" s="1"/>
  <c r="W2847" i="29"/>
  <c r="X2847" i="29" s="1"/>
  <c r="W2879" i="29"/>
  <c r="X2879" i="29" s="1"/>
  <c r="W2895" i="29"/>
  <c r="X2895" i="29" s="1"/>
  <c r="W2902" i="29"/>
  <c r="X2902" i="29" s="1"/>
  <c r="W3030" i="29"/>
  <c r="X3030" i="29" s="1"/>
  <c r="W3099" i="29"/>
  <c r="X3099" i="29" s="1"/>
  <c r="W3122" i="29"/>
  <c r="X3122" i="29" s="1"/>
  <c r="W3145" i="29"/>
  <c r="X3145" i="29" s="1"/>
  <c r="W3170" i="29"/>
  <c r="X3170" i="29" s="1"/>
  <c r="W3177" i="29"/>
  <c r="X3177" i="29" s="1"/>
  <c r="W3186" i="29"/>
  <c r="X3186" i="29" s="1"/>
  <c r="W3216" i="29"/>
  <c r="X3216" i="29" s="1"/>
  <c r="W3230" i="29"/>
  <c r="X3230" i="29" s="1"/>
  <c r="W3255" i="29"/>
  <c r="X3255" i="29" s="1"/>
  <c r="W3264" i="29"/>
  <c r="X3264" i="29" s="1"/>
  <c r="W3298" i="29"/>
  <c r="X3298" i="29" s="1"/>
  <c r="W3321" i="29"/>
  <c r="X3321" i="29" s="1"/>
  <c r="W3330" i="29"/>
  <c r="X3330" i="29" s="1"/>
  <c r="W3341" i="29"/>
  <c r="X3341" i="29" s="1"/>
  <c r="W3350" i="29"/>
  <c r="X3350" i="29" s="1"/>
  <c r="W3373" i="29"/>
  <c r="X3373" i="29" s="1"/>
  <c r="W3396" i="29"/>
  <c r="X3396" i="29" s="1"/>
  <c r="W3439" i="29"/>
  <c r="X3439" i="29" s="1"/>
  <c r="W3453" i="29"/>
  <c r="X3453" i="29" s="1"/>
  <c r="W3471" i="29"/>
  <c r="X3471" i="29" s="1"/>
  <c r="W3533" i="29"/>
  <c r="X3533" i="29" s="1"/>
  <c r="W3549" i="29"/>
  <c r="X3549" i="29" s="1"/>
  <c r="W3613" i="29"/>
  <c r="X3613" i="29" s="1"/>
  <c r="W3622" i="29"/>
  <c r="X3622" i="29" s="1"/>
  <c r="W3636" i="29"/>
  <c r="X3636" i="29" s="1"/>
  <c r="W3654" i="29"/>
  <c r="X3654" i="29" s="1"/>
  <c r="W3681" i="29"/>
  <c r="X3681" i="29" s="1"/>
  <c r="W3745" i="29"/>
  <c r="X3745" i="29" s="1"/>
  <c r="W4006" i="29"/>
  <c r="X4006" i="29" s="1"/>
  <c r="W3769" i="29"/>
  <c r="X3769" i="29" s="1"/>
  <c r="W3778" i="29"/>
  <c r="X3778" i="29" s="1"/>
  <c r="W3935" i="29"/>
  <c r="X3935" i="29" s="1"/>
  <c r="W3951" i="29"/>
  <c r="X3951" i="29" s="1"/>
  <c r="W4046" i="29"/>
  <c r="X4046" i="29" s="1"/>
  <c r="W4069" i="29"/>
  <c r="X4069" i="29" s="1"/>
  <c r="W4078" i="29"/>
  <c r="X4078" i="29" s="1"/>
  <c r="W4094" i="29"/>
  <c r="X4094" i="29" s="1"/>
  <c r="W4101" i="29"/>
  <c r="X4101" i="29" s="1"/>
  <c r="W4160" i="29"/>
  <c r="X4160" i="29" s="1"/>
  <c r="W4176" i="29"/>
  <c r="X4176" i="29" s="1"/>
  <c r="W4183" i="29"/>
  <c r="X4183" i="29" s="1"/>
  <c r="W4220" i="29"/>
  <c r="X4220" i="29" s="1"/>
  <c r="W4281" i="29"/>
  <c r="X4281" i="29" s="1"/>
  <c r="W4309" i="29"/>
  <c r="X4309" i="29" s="1"/>
  <c r="W4327" i="29"/>
  <c r="X4327" i="29" s="1"/>
  <c r="W4336" i="29"/>
  <c r="X4336" i="29" s="1"/>
  <c r="W4352" i="29"/>
  <c r="X4352" i="29" s="1"/>
  <c r="W4361" i="29"/>
  <c r="X4361" i="29" s="1"/>
  <c r="W4395" i="29"/>
  <c r="X4395" i="29" s="1"/>
  <c r="W4404" i="29"/>
  <c r="X4404" i="29" s="1"/>
  <c r="W4424" i="29"/>
  <c r="X4424" i="29" s="1"/>
  <c r="W4438" i="29"/>
  <c r="X4438" i="29" s="1"/>
  <c r="W4485" i="29"/>
  <c r="X4485" i="29" s="1"/>
  <c r="W4494" i="29"/>
  <c r="X4494" i="29" s="1"/>
  <c r="W4517" i="29"/>
  <c r="X4517" i="29" s="1"/>
  <c r="W4535" i="29"/>
  <c r="X4535" i="29" s="1"/>
  <c r="W4571" i="29"/>
  <c r="X4571" i="29" s="1"/>
  <c r="W4585" i="29"/>
  <c r="X4585" i="29" s="1"/>
  <c r="W4614" i="29"/>
  <c r="X4614" i="29" s="1"/>
  <c r="W4691" i="29"/>
  <c r="X4691" i="29" s="1"/>
  <c r="W4711" i="29"/>
  <c r="X4711" i="29" s="1"/>
  <c r="W4771" i="29"/>
  <c r="X4771" i="29" s="1"/>
  <c r="W4803" i="29"/>
  <c r="X4803" i="29" s="1"/>
  <c r="W4821" i="29"/>
  <c r="X4821" i="29" s="1"/>
  <c r="W4865" i="29"/>
  <c r="X4865" i="29" s="1"/>
  <c r="W4915" i="29"/>
  <c r="X4915" i="29" s="1"/>
  <c r="W4924" i="29"/>
  <c r="X4924" i="29" s="1"/>
  <c r="W4938" i="29"/>
  <c r="X4938" i="29" s="1"/>
  <c r="W4954" i="29"/>
  <c r="X4954" i="29" s="1"/>
  <c r="W4963" i="29"/>
  <c r="X4963" i="29" s="1"/>
  <c r="W4970" i="29"/>
  <c r="X4970" i="29" s="1"/>
  <c r="W5020" i="29"/>
  <c r="X5020" i="29" s="1"/>
  <c r="W5045" i="29"/>
  <c r="X5045" i="29" s="1"/>
  <c r="W5052" i="29"/>
  <c r="X5052" i="29" s="1"/>
  <c r="W5075" i="29"/>
  <c r="X5075" i="29" s="1"/>
  <c r="W5095" i="29"/>
  <c r="X5095" i="29" s="1"/>
  <c r="W5102" i="29"/>
  <c r="X5102" i="29" s="1"/>
  <c r="W5164" i="29"/>
  <c r="X5164" i="29" s="1"/>
  <c r="W5178" i="29"/>
  <c r="X5178" i="29" s="1"/>
  <c r="W5260" i="29"/>
  <c r="X5260" i="29" s="1"/>
  <c r="W5287" i="29"/>
  <c r="X5287" i="29" s="1"/>
  <c r="W5310" i="29"/>
  <c r="X5310" i="29" s="1"/>
  <c r="W5342" i="29"/>
  <c r="X5342" i="29" s="1"/>
  <c r="W5417" i="29"/>
  <c r="X5417" i="29" s="1"/>
  <c r="W5431" i="29"/>
  <c r="X5431" i="29" s="1"/>
  <c r="W5447" i="29"/>
  <c r="X5447" i="29" s="1"/>
  <c r="W5488" i="29"/>
  <c r="X5488" i="29" s="1"/>
  <c r="W5504" i="29"/>
  <c r="X5504" i="29" s="1"/>
  <c r="W5513" i="29"/>
  <c r="X5513" i="29" s="1"/>
  <c r="W5527" i="29"/>
  <c r="X5527" i="29" s="1"/>
  <c r="W5552" i="29"/>
  <c r="X5552" i="29" s="1"/>
  <c r="W5591" i="29"/>
  <c r="X5591" i="29" s="1"/>
  <c r="W3683" i="29"/>
  <c r="X3683" i="29" s="1"/>
  <c r="W3726" i="29"/>
  <c r="X3726" i="29" s="1"/>
  <c r="W3735" i="29"/>
  <c r="X3735" i="29" s="1"/>
  <c r="W3767" i="29"/>
  <c r="X3767" i="29" s="1"/>
  <c r="W3776" i="29"/>
  <c r="X3776" i="29" s="1"/>
  <c r="W3833" i="29"/>
  <c r="X3833" i="29" s="1"/>
  <c r="W3887" i="29"/>
  <c r="X3887" i="29" s="1"/>
  <c r="W3892" i="29"/>
  <c r="X3892" i="29" s="1"/>
  <c r="W3922" i="29"/>
  <c r="X3922" i="29" s="1"/>
  <c r="W3981" i="29"/>
  <c r="X3981" i="29" s="1"/>
  <c r="W4001" i="29"/>
  <c r="X4001" i="29" s="1"/>
  <c r="W4044" i="29"/>
  <c r="X4044" i="29" s="1"/>
  <c r="W4083" i="29"/>
  <c r="X4083" i="29" s="1"/>
  <c r="W4099" i="29"/>
  <c r="X4099" i="29" s="1"/>
  <c r="W4108" i="29"/>
  <c r="X4108" i="29" s="1"/>
  <c r="W4142" i="29"/>
  <c r="X4142" i="29" s="1"/>
  <c r="W4149" i="29"/>
  <c r="X4149" i="29" s="1"/>
  <c r="W4179" i="29"/>
  <c r="X4179" i="29" s="1"/>
  <c r="W4204" i="29"/>
  <c r="X4204" i="29" s="1"/>
  <c r="W4218" i="29"/>
  <c r="X4218" i="29" s="1"/>
  <c r="W4227" i="29"/>
  <c r="X4227" i="29" s="1"/>
  <c r="W4293" i="29"/>
  <c r="X4293" i="29" s="1"/>
  <c r="W4332" i="29"/>
  <c r="X4332" i="29" s="1"/>
  <c r="W4359" i="29"/>
  <c r="X4359" i="29" s="1"/>
  <c r="W4375" i="29"/>
  <c r="X4375" i="29" s="1"/>
  <c r="W4402" i="29"/>
  <c r="X4402" i="29" s="1"/>
  <c r="W4450" i="29"/>
  <c r="X4450" i="29" s="1"/>
  <c r="W4470" i="29"/>
  <c r="X4470" i="29" s="1"/>
  <c r="W4524" i="29"/>
  <c r="X4524" i="29" s="1"/>
  <c r="W4531" i="29"/>
  <c r="X4531" i="29" s="1"/>
  <c r="W4551" i="29"/>
  <c r="X4551" i="29" s="1"/>
  <c r="W4583" i="29"/>
  <c r="X4583" i="29" s="1"/>
  <c r="W4596" i="29"/>
  <c r="X4596" i="29" s="1"/>
  <c r="W4623" i="29"/>
  <c r="X4623" i="29" s="1"/>
  <c r="W4628" i="29"/>
  <c r="X4628" i="29" s="1"/>
  <c r="W4637" i="29"/>
  <c r="X4637" i="29" s="1"/>
  <c r="W4655" i="29"/>
  <c r="X4655" i="29" s="1"/>
  <c r="W4682" i="29"/>
  <c r="X4682" i="29" s="1"/>
  <c r="W4705" i="29"/>
  <c r="X4705" i="29" s="1"/>
  <c r="W4714" i="29"/>
  <c r="X4714" i="29" s="1"/>
  <c r="W4824" i="29"/>
  <c r="X4824" i="29" s="1"/>
  <c r="W4870" i="29"/>
  <c r="X4870" i="29" s="1"/>
  <c r="W4888" i="29"/>
  <c r="X4888" i="29" s="1"/>
  <c r="W4904" i="29"/>
  <c r="X4904" i="29" s="1"/>
  <c r="W4936" i="29"/>
  <c r="X4936" i="29" s="1"/>
  <c r="W4977" i="29"/>
  <c r="X4977" i="29" s="1"/>
  <c r="W5011" i="29"/>
  <c r="X5011" i="29" s="1"/>
  <c r="W5034" i="29"/>
  <c r="X5034" i="29" s="1"/>
  <c r="W5041" i="29"/>
  <c r="X5041" i="29" s="1"/>
  <c r="W5048" i="29"/>
  <c r="X5048" i="29" s="1"/>
  <c r="W5091" i="29"/>
  <c r="X5091" i="29" s="1"/>
  <c r="W5132" i="29"/>
  <c r="X5132" i="29" s="1"/>
  <c r="W5155" i="29"/>
  <c r="X5155" i="29" s="1"/>
  <c r="W5162" i="29"/>
  <c r="X5162" i="29" s="1"/>
  <c r="W5176" i="29"/>
  <c r="X5176" i="29" s="1"/>
  <c r="W5190" i="29"/>
  <c r="X5190" i="29" s="1"/>
  <c r="W5208" i="29"/>
  <c r="X5208" i="29" s="1"/>
  <c r="W5213" i="29"/>
  <c r="X5213" i="29" s="1"/>
  <c r="W5231" i="29"/>
  <c r="X5231" i="29" s="1"/>
  <c r="W5240" i="29"/>
  <c r="X5240" i="29" s="1"/>
  <c r="W5256" i="29"/>
  <c r="X5256" i="29" s="1"/>
  <c r="W5265" i="29"/>
  <c r="X5265" i="29" s="1"/>
  <c r="W5294" i="29"/>
  <c r="X5294" i="29" s="1"/>
  <c r="W5299" i="29"/>
  <c r="X5299" i="29" s="1"/>
  <c r="W5317" i="29"/>
  <c r="X5317" i="29" s="1"/>
  <c r="W5354" i="29"/>
  <c r="X5354" i="29" s="1"/>
  <c r="W5415" i="29"/>
  <c r="X5415" i="29" s="1"/>
  <c r="W5438" i="29"/>
  <c r="X5438" i="29" s="1"/>
  <c r="W5443" i="29"/>
  <c r="X5443" i="29" s="1"/>
  <c r="W5452" i="29"/>
  <c r="X5452" i="29" s="1"/>
  <c r="W5475" i="29"/>
  <c r="X5475" i="29" s="1"/>
  <c r="W5493" i="29"/>
  <c r="X5493" i="29" s="1"/>
  <c r="W5550" i="29"/>
  <c r="X5550" i="29" s="1"/>
  <c r="W3724" i="29"/>
  <c r="X3724" i="29" s="1"/>
  <c r="W3749" i="29"/>
  <c r="X3749" i="29" s="1"/>
  <c r="W3765" i="29"/>
  <c r="X3765" i="29" s="1"/>
  <c r="W3781" i="29"/>
  <c r="X3781" i="29" s="1"/>
  <c r="W3831" i="29"/>
  <c r="X3831" i="29" s="1"/>
  <c r="W3890" i="29"/>
  <c r="X3890" i="29" s="1"/>
  <c r="W3904" i="29"/>
  <c r="X3904" i="29" s="1"/>
  <c r="W3940" i="29"/>
  <c r="X3940" i="29" s="1"/>
  <c r="W3945" i="29"/>
  <c r="X3945" i="29" s="1"/>
  <c r="W3999" i="29"/>
  <c r="X3999" i="29" s="1"/>
  <c r="W4042" i="29"/>
  <c r="X4042" i="29" s="1"/>
  <c r="W4065" i="29"/>
  <c r="X4065" i="29" s="1"/>
  <c r="W4088" i="29"/>
  <c r="X4088" i="29" s="1"/>
  <c r="W4113" i="29"/>
  <c r="X4113" i="29" s="1"/>
  <c r="W4120" i="29"/>
  <c r="X4120" i="29" s="1"/>
  <c r="W4186" i="29"/>
  <c r="X4186" i="29" s="1"/>
  <c r="W4216" i="29"/>
  <c r="X4216" i="29" s="1"/>
  <c r="W4239" i="29"/>
  <c r="X4239" i="29" s="1"/>
  <c r="W4248" i="29"/>
  <c r="X4248" i="29" s="1"/>
  <c r="W4305" i="29"/>
  <c r="X4305" i="29" s="1"/>
  <c r="W4314" i="29"/>
  <c r="X4314" i="29" s="1"/>
  <c r="W4339" i="29"/>
  <c r="X4339" i="29" s="1"/>
  <c r="W4382" i="29"/>
  <c r="X4382" i="29" s="1"/>
  <c r="W4391" i="29"/>
  <c r="X4391" i="29" s="1"/>
  <c r="W4398" i="29"/>
  <c r="X4398" i="29" s="1"/>
  <c r="W4407" i="29"/>
  <c r="X4407" i="29" s="1"/>
  <c r="W4416" i="29"/>
  <c r="X4416" i="29" s="1"/>
  <c r="W4448" i="29"/>
  <c r="X4448" i="29" s="1"/>
  <c r="W4504" i="29"/>
  <c r="X4504" i="29" s="1"/>
  <c r="W4572" i="29"/>
  <c r="X4572" i="29" s="1"/>
  <c r="W4678" i="29"/>
  <c r="X4678" i="29" s="1"/>
  <c r="W4685" i="29"/>
  <c r="X4685" i="29" s="1"/>
  <c r="W4712" i="29"/>
  <c r="X4712" i="29" s="1"/>
  <c r="W4790" i="29"/>
  <c r="X4790" i="29" s="1"/>
  <c r="W4806" i="29"/>
  <c r="X4806" i="29" s="1"/>
  <c r="W4836" i="29"/>
  <c r="X4836" i="29" s="1"/>
  <c r="W4845" i="29"/>
  <c r="X4845" i="29" s="1"/>
  <c r="W4879" i="29"/>
  <c r="X4879" i="29" s="1"/>
  <c r="W4886" i="29"/>
  <c r="X4886" i="29" s="1"/>
  <c r="W4948" i="29"/>
  <c r="X4948" i="29" s="1"/>
  <c r="W4966" i="29"/>
  <c r="X4966" i="29" s="1"/>
  <c r="W4989" i="29"/>
  <c r="X4989" i="29" s="1"/>
  <c r="W4998" i="29"/>
  <c r="X4998" i="29" s="1"/>
  <c r="W5014" i="29"/>
  <c r="X5014" i="29" s="1"/>
  <c r="W5032" i="29"/>
  <c r="X5032" i="29" s="1"/>
  <c r="W5037" i="29"/>
  <c r="X5037" i="29" s="1"/>
  <c r="W5046" i="29"/>
  <c r="X5046" i="29" s="1"/>
  <c r="W5062" i="29"/>
  <c r="X5062" i="29" s="1"/>
  <c r="W5151" i="29"/>
  <c r="X5151" i="29" s="1"/>
  <c r="W5167" i="29"/>
  <c r="X5167" i="29" s="1"/>
  <c r="W5174" i="29"/>
  <c r="X5174" i="29" s="1"/>
  <c r="W5188" i="29"/>
  <c r="X5188" i="29" s="1"/>
  <c r="W5202" i="29"/>
  <c r="X5202" i="29" s="1"/>
  <c r="W5211" i="29"/>
  <c r="X5211" i="29" s="1"/>
  <c r="W5245" i="29"/>
  <c r="X5245" i="29" s="1"/>
  <c r="W5279" i="29"/>
  <c r="X5279" i="29" s="1"/>
  <c r="W5290" i="29"/>
  <c r="X5290" i="29" s="1"/>
  <c r="W5370" i="29"/>
  <c r="X5370" i="29" s="1"/>
  <c r="W5375" i="29"/>
  <c r="X5375" i="29" s="1"/>
  <c r="W5395" i="29"/>
  <c r="X5395" i="29" s="1"/>
  <c r="W5411" i="29"/>
  <c r="X5411" i="29" s="1"/>
  <c r="W5427" i="29"/>
  <c r="X5427" i="29" s="1"/>
  <c r="W5441" i="29"/>
  <c r="X5441" i="29" s="1"/>
  <c r="W5464" i="29"/>
  <c r="X5464" i="29" s="1"/>
  <c r="W5491" i="29"/>
  <c r="X5491" i="29" s="1"/>
  <c r="W5507" i="29"/>
  <c r="X5507" i="29" s="1"/>
  <c r="W5571" i="29"/>
  <c r="X5571" i="29" s="1"/>
  <c r="W5576" i="29"/>
  <c r="X5576" i="29" s="1"/>
  <c r="W5592" i="29"/>
  <c r="X5592" i="29" s="1"/>
  <c r="W5606" i="29"/>
  <c r="X5606" i="29" s="1"/>
  <c r="W3897" i="29"/>
  <c r="X3897" i="29" s="1"/>
  <c r="W3936" i="29"/>
  <c r="X3936" i="29" s="1"/>
  <c r="W3952" i="29"/>
  <c r="X3952" i="29" s="1"/>
  <c r="W4008" i="29"/>
  <c r="X4008" i="29" s="1"/>
  <c r="W4024" i="29"/>
  <c r="X4024" i="29" s="1"/>
  <c r="W4111" i="29"/>
  <c r="X4111" i="29" s="1"/>
  <c r="W4152" i="29"/>
  <c r="X4152" i="29" s="1"/>
  <c r="W4193" i="29"/>
  <c r="X4193" i="29" s="1"/>
  <c r="W4207" i="29"/>
  <c r="X4207" i="29" s="1"/>
  <c r="W4221" i="29"/>
  <c r="X4221" i="29" s="1"/>
  <c r="W4230" i="29"/>
  <c r="X4230" i="29" s="1"/>
  <c r="W4244" i="29"/>
  <c r="X4244" i="29" s="1"/>
  <c r="W4262" i="29"/>
  <c r="X4262" i="29" s="1"/>
  <c r="W4287" i="29"/>
  <c r="X4287" i="29" s="1"/>
  <c r="W4303" i="29"/>
  <c r="X4303" i="29" s="1"/>
  <c r="W4337" i="29"/>
  <c r="X4337" i="29" s="1"/>
  <c r="W4353" i="29"/>
  <c r="X4353" i="29" s="1"/>
  <c r="W4362" i="29"/>
  <c r="X4362" i="29" s="1"/>
  <c r="W4396" i="29"/>
  <c r="X4396" i="29" s="1"/>
  <c r="W4425" i="29"/>
  <c r="X4425" i="29" s="1"/>
  <c r="W4495" i="29"/>
  <c r="X4495" i="29" s="1"/>
  <c r="W4509" i="29"/>
  <c r="X4509" i="29" s="1"/>
  <c r="W4536" i="29"/>
  <c r="X4536" i="29" s="1"/>
  <c r="W4547" i="29"/>
  <c r="X4547" i="29" s="1"/>
  <c r="W4556" i="29"/>
  <c r="X4556" i="29" s="1"/>
  <c r="W4563" i="29"/>
  <c r="X4563" i="29" s="1"/>
  <c r="W4586" i="29"/>
  <c r="X4586" i="29" s="1"/>
  <c r="W4606" i="29"/>
  <c r="X4606" i="29" s="1"/>
  <c r="W4633" i="29"/>
  <c r="X4633" i="29" s="1"/>
  <c r="W4658" i="29"/>
  <c r="X4658" i="29" s="1"/>
  <c r="W4717" i="29"/>
  <c r="X4717" i="29" s="1"/>
  <c r="W4772" i="29"/>
  <c r="X4772" i="29" s="1"/>
  <c r="W4813" i="29"/>
  <c r="X4813" i="29" s="1"/>
  <c r="W4843" i="29"/>
  <c r="X4843" i="29" s="1"/>
  <c r="W4866" i="29"/>
  <c r="X4866" i="29" s="1"/>
  <c r="W4875" i="29"/>
  <c r="X4875" i="29" s="1"/>
  <c r="W4916" i="29"/>
  <c r="X4916" i="29" s="1"/>
  <c r="W4925" i="29"/>
  <c r="X4925" i="29" s="1"/>
  <c r="W4941" i="29"/>
  <c r="X4941" i="29" s="1"/>
  <c r="W4971" i="29"/>
  <c r="X4971" i="29" s="1"/>
  <c r="W4980" i="29"/>
  <c r="X4980" i="29" s="1"/>
  <c r="W5053" i="29"/>
  <c r="X5053" i="29" s="1"/>
  <c r="W5076" i="29"/>
  <c r="X5076" i="29" s="1"/>
  <c r="W5128" i="29"/>
  <c r="X5128" i="29" s="1"/>
  <c r="W5227" i="29"/>
  <c r="X5227" i="29" s="1"/>
  <c r="W5268" i="29"/>
  <c r="X5268" i="29" s="1"/>
  <c r="W5311" i="29"/>
  <c r="X5311" i="29" s="1"/>
  <c r="W5343" i="29"/>
  <c r="X5343" i="29" s="1"/>
  <c r="W5400" i="29"/>
  <c r="X5400" i="29" s="1"/>
  <c r="W5418" i="29"/>
  <c r="X5418" i="29" s="1"/>
  <c r="W5471" i="29"/>
  <c r="X5471" i="29" s="1"/>
  <c r="W5496" i="29"/>
  <c r="X5496" i="29" s="1"/>
  <c r="W5514" i="29"/>
  <c r="X5514" i="29" s="1"/>
  <c r="W5569" i="29"/>
  <c r="X5569" i="29" s="1"/>
  <c r="W4198" i="29"/>
  <c r="X4198" i="29" s="1"/>
  <c r="W4251" i="29"/>
  <c r="X4251" i="29" s="1"/>
  <c r="W4278" i="29"/>
  <c r="X4278" i="29" s="1"/>
  <c r="W4294" i="29"/>
  <c r="X4294" i="29" s="1"/>
  <c r="W4342" i="29"/>
  <c r="X4342" i="29" s="1"/>
  <c r="W4430" i="29"/>
  <c r="X4430" i="29" s="1"/>
  <c r="W4453" i="29"/>
  <c r="X4453" i="29" s="1"/>
  <c r="W4462" i="29"/>
  <c r="X4462" i="29" s="1"/>
  <c r="W4482" i="29"/>
  <c r="X4482" i="29" s="1"/>
  <c r="W4502" i="29"/>
  <c r="X4502" i="29" s="1"/>
  <c r="W4516" i="29"/>
  <c r="X4516" i="29" s="1"/>
  <c r="W4570" i="29"/>
  <c r="X4570" i="29" s="1"/>
  <c r="W4624" i="29"/>
  <c r="X4624" i="29" s="1"/>
  <c r="W4640" i="29"/>
  <c r="X4640" i="29" s="1"/>
  <c r="W4674" i="29"/>
  <c r="X4674" i="29" s="1"/>
  <c r="W4857" i="29"/>
  <c r="X4857" i="29" s="1"/>
  <c r="W4898" i="29"/>
  <c r="X4898" i="29" s="1"/>
  <c r="W4932" i="29"/>
  <c r="X4932" i="29" s="1"/>
  <c r="W4987" i="29"/>
  <c r="X4987" i="29" s="1"/>
  <c r="W4996" i="29"/>
  <c r="X4996" i="29" s="1"/>
  <c r="W5003" i="29"/>
  <c r="X5003" i="29" s="1"/>
  <c r="W5026" i="29"/>
  <c r="X5026" i="29" s="1"/>
  <c r="W5058" i="29"/>
  <c r="X5058" i="29" s="1"/>
  <c r="W5147" i="29"/>
  <c r="X5147" i="29" s="1"/>
  <c r="W5186" i="29"/>
  <c r="X5186" i="29" s="1"/>
  <c r="W5200" i="29"/>
  <c r="X5200" i="29" s="1"/>
  <c r="W5218" i="29"/>
  <c r="X5218" i="29" s="1"/>
  <c r="W5295" i="29"/>
  <c r="X5295" i="29" s="1"/>
  <c r="W5597" i="29"/>
  <c r="X5597" i="29" s="1"/>
  <c r="W5407" i="29"/>
  <c r="X5407" i="29" s="1"/>
  <c r="W5409" i="29"/>
  <c r="X5409" i="29" s="1"/>
  <c r="W5416" i="29"/>
  <c r="X5416" i="29" s="1"/>
  <c r="W5439" i="29"/>
  <c r="X5439" i="29" s="1"/>
  <c r="W5444" i="29"/>
  <c r="X5444" i="29" s="1"/>
  <c r="W5460" i="29"/>
  <c r="X5460" i="29" s="1"/>
  <c r="W5476" i="29"/>
  <c r="X5476" i="29" s="1"/>
  <c r="W5526" i="29"/>
  <c r="X5526" i="29" s="1"/>
  <c r="W5535" i="29"/>
  <c r="X5535" i="29" s="1"/>
  <c r="W5540" i="29"/>
  <c r="X5540" i="29" s="1"/>
  <c r="W5565" i="29"/>
  <c r="X5565" i="29" s="1"/>
  <c r="W5581" i="29"/>
  <c r="X5581" i="29" s="1"/>
  <c r="W3684" i="29"/>
  <c r="X3684" i="29" s="1"/>
  <c r="W3734" i="29"/>
  <c r="X3734" i="29" s="1"/>
  <c r="W3754" i="29"/>
  <c r="X3754" i="29" s="1"/>
  <c r="W3900" i="29"/>
  <c r="X3900" i="29" s="1"/>
  <c r="W3914" i="29"/>
  <c r="X3914" i="29" s="1"/>
  <c r="W3923" i="29"/>
  <c r="X3923" i="29" s="1"/>
  <c r="W3955" i="29"/>
  <c r="X3955" i="29" s="1"/>
  <c r="W3989" i="29"/>
  <c r="X3989" i="29" s="1"/>
  <c r="W4029" i="29"/>
  <c r="X4029" i="29" s="1"/>
  <c r="W4045" i="29"/>
  <c r="X4045" i="29" s="1"/>
  <c r="W4089" i="29"/>
  <c r="X4089" i="29" s="1"/>
  <c r="W4116" i="29"/>
  <c r="X4116" i="29" s="1"/>
  <c r="W4123" i="29"/>
  <c r="X4123" i="29" s="1"/>
  <c r="W4132" i="29"/>
  <c r="X4132" i="29" s="1"/>
  <c r="W4182" i="29"/>
  <c r="X4182" i="29" s="1"/>
  <c r="W4196" i="29"/>
  <c r="X4196" i="29" s="1"/>
  <c r="W4226" i="29"/>
  <c r="X4226" i="29" s="1"/>
  <c r="W4249" i="29"/>
  <c r="X4249" i="29" s="1"/>
  <c r="W4256" i="29"/>
  <c r="X4256" i="29" s="1"/>
  <c r="W4276" i="29"/>
  <c r="X4276" i="29" s="1"/>
  <c r="W4292" i="29"/>
  <c r="X4292" i="29" s="1"/>
  <c r="W4299" i="29"/>
  <c r="X4299" i="29" s="1"/>
  <c r="W4340" i="29"/>
  <c r="X4340" i="29" s="1"/>
  <c r="W4349" i="29"/>
  <c r="X4349" i="29" s="1"/>
  <c r="W4358" i="29"/>
  <c r="X4358" i="29" s="1"/>
  <c r="W4365" i="29"/>
  <c r="X4365" i="29" s="1"/>
  <c r="W4410" i="29"/>
  <c r="X4410" i="29" s="1"/>
  <c r="W4428" i="29"/>
  <c r="X4428" i="29" s="1"/>
  <c r="W4451" i="29"/>
  <c r="X4451" i="29" s="1"/>
  <c r="W4514" i="29"/>
  <c r="X4514" i="29" s="1"/>
  <c r="W4541" i="29"/>
  <c r="X4541" i="29" s="1"/>
  <c r="W4568" i="29"/>
  <c r="X4568" i="29" s="1"/>
  <c r="W4582" i="29"/>
  <c r="X4582" i="29" s="1"/>
  <c r="W4595" i="29"/>
  <c r="X4595" i="29" s="1"/>
  <c r="W4622" i="29"/>
  <c r="X4622" i="29" s="1"/>
  <c r="W4663" i="29"/>
  <c r="X4663" i="29" s="1"/>
  <c r="W4715" i="29"/>
  <c r="X4715" i="29" s="1"/>
  <c r="W4761" i="29"/>
  <c r="X4761" i="29" s="1"/>
  <c r="W4832" i="29"/>
  <c r="X4832" i="29" s="1"/>
  <c r="W4869" i="29"/>
  <c r="X4869" i="29" s="1"/>
  <c r="W4905" i="29"/>
  <c r="X4905" i="29" s="1"/>
  <c r="W5010" i="29"/>
  <c r="X5010" i="29" s="1"/>
  <c r="W5033" i="29"/>
  <c r="X5033" i="29" s="1"/>
  <c r="W5140" i="29"/>
  <c r="X5140" i="29" s="1"/>
  <c r="W5145" i="29"/>
  <c r="X5145" i="29" s="1"/>
  <c r="W5154" i="29"/>
  <c r="X5154" i="29" s="1"/>
  <c r="W5177" i="29"/>
  <c r="X5177" i="29" s="1"/>
  <c r="W5184" i="29"/>
  <c r="X5184" i="29" s="1"/>
  <c r="W5230" i="29"/>
  <c r="X5230" i="29" s="1"/>
  <c r="W5250" i="29"/>
  <c r="X5250" i="29" s="1"/>
  <c r="W5284" i="29"/>
  <c r="X5284" i="29" s="1"/>
  <c r="W5293" i="29"/>
  <c r="X5293" i="29" s="1"/>
  <c r="W5348" i="29"/>
  <c r="X5348" i="29" s="1"/>
  <c r="W5362" i="29"/>
  <c r="X5362" i="29" s="1"/>
  <c r="W5378" i="29"/>
  <c r="X5378" i="29" s="1"/>
  <c r="W5517" i="29"/>
  <c r="X5517" i="29" s="1"/>
  <c r="W5602" i="29"/>
  <c r="X5602" i="29" s="1"/>
  <c r="W3875" i="29"/>
  <c r="X3875" i="29" s="1"/>
  <c r="W3882" i="29"/>
  <c r="X3882" i="29" s="1"/>
  <c r="W4009" i="29"/>
  <c r="X4009" i="29" s="1"/>
  <c r="W4025" i="29"/>
  <c r="X4025" i="29" s="1"/>
  <c r="W4034" i="29"/>
  <c r="X4034" i="29" s="1"/>
  <c r="W4057" i="29"/>
  <c r="X4057" i="29" s="1"/>
  <c r="W4073" i="29"/>
  <c r="X4073" i="29" s="1"/>
  <c r="W4096" i="29"/>
  <c r="X4096" i="29" s="1"/>
  <c r="W4121" i="29"/>
  <c r="X4121" i="29" s="1"/>
  <c r="W4139" i="29"/>
  <c r="X4139" i="29" s="1"/>
  <c r="W4146" i="29"/>
  <c r="X4146" i="29" s="1"/>
  <c r="W4162" i="29"/>
  <c r="X4162" i="29" s="1"/>
  <c r="W4231" i="29"/>
  <c r="X4231" i="29" s="1"/>
  <c r="W4245" i="29"/>
  <c r="X4245" i="29" s="1"/>
  <c r="W4304" i="29"/>
  <c r="X4304" i="29" s="1"/>
  <c r="W4311" i="29"/>
  <c r="X4311" i="29" s="1"/>
  <c r="W4320" i="29"/>
  <c r="X4320" i="29" s="1"/>
  <c r="W4329" i="29"/>
  <c r="X4329" i="29" s="1"/>
  <c r="W4338" i="29"/>
  <c r="X4338" i="29" s="1"/>
  <c r="W4347" i="29"/>
  <c r="X4347" i="29" s="1"/>
  <c r="W4363" i="29"/>
  <c r="X4363" i="29" s="1"/>
  <c r="W4392" i="29"/>
  <c r="X4392" i="29" s="1"/>
  <c r="W4397" i="29"/>
  <c r="X4397" i="29" s="1"/>
  <c r="W4417" i="29"/>
  <c r="X4417" i="29" s="1"/>
  <c r="W4458" i="29"/>
  <c r="X4458" i="29" s="1"/>
  <c r="W4505" i="29"/>
  <c r="X4505" i="29" s="1"/>
  <c r="W4528" i="29"/>
  <c r="X4528" i="29" s="1"/>
  <c r="W4602" i="29"/>
  <c r="X4602" i="29" s="1"/>
  <c r="W4627" i="29"/>
  <c r="X4627" i="29" s="1"/>
  <c r="W4727" i="29"/>
  <c r="X4727" i="29" s="1"/>
  <c r="W4734" i="29"/>
  <c r="X4734" i="29" s="1"/>
  <c r="W4743" i="29"/>
  <c r="X4743" i="29" s="1"/>
  <c r="W4782" i="29"/>
  <c r="X4782" i="29" s="1"/>
  <c r="W4837" i="29"/>
  <c r="X4837" i="29" s="1"/>
  <c r="W4860" i="29"/>
  <c r="X4860" i="29" s="1"/>
  <c r="W4887" i="29"/>
  <c r="X4887" i="29" s="1"/>
  <c r="W4892" i="29"/>
  <c r="X4892" i="29" s="1"/>
  <c r="W4901" i="29"/>
  <c r="X4901" i="29" s="1"/>
  <c r="W4935" i="29"/>
  <c r="X4935" i="29" s="1"/>
  <c r="W4956" i="29"/>
  <c r="X4956" i="29" s="1"/>
  <c r="W4965" i="29"/>
  <c r="X4965" i="29" s="1"/>
  <c r="W4981" i="29"/>
  <c r="X4981" i="29" s="1"/>
  <c r="W4999" i="29"/>
  <c r="X4999" i="29" s="1"/>
  <c r="W5022" i="29"/>
  <c r="X5022" i="29" s="1"/>
  <c r="W5054" i="29"/>
  <c r="X5054" i="29" s="1"/>
  <c r="W5077" i="29"/>
  <c r="X5077" i="29" s="1"/>
  <c r="W5106" i="29"/>
  <c r="X5106" i="29" s="1"/>
  <c r="W5113" i="29"/>
  <c r="X5113" i="29" s="1"/>
  <c r="W5205" i="29"/>
  <c r="X5205" i="29" s="1"/>
  <c r="W5235" i="29"/>
  <c r="X5235" i="29" s="1"/>
  <c r="W5307" i="29"/>
  <c r="X5307" i="29" s="1"/>
  <c r="W5312" i="29"/>
  <c r="X5312" i="29" s="1"/>
  <c r="W5330" i="29"/>
  <c r="X5330" i="29" s="1"/>
  <c r="W5344" i="29"/>
  <c r="X5344" i="29" s="1"/>
  <c r="W5367" i="29"/>
  <c r="X5367" i="29" s="1"/>
  <c r="W5433" i="29"/>
  <c r="X5433" i="29" s="1"/>
  <c r="W5449" i="29"/>
  <c r="X5449" i="29" s="1"/>
  <c r="W5515" i="29"/>
  <c r="X5515" i="29" s="1"/>
  <c r="W5529" i="29"/>
  <c r="X5529" i="29" s="1"/>
  <c r="W5570" i="29"/>
  <c r="X5570" i="29" s="1"/>
  <c r="W5337" i="29"/>
  <c r="X5337" i="29" s="1"/>
  <c r="W5175" i="29"/>
  <c r="X5175" i="29" s="1"/>
  <c r="W5078" i="29"/>
  <c r="X5078" i="29" s="1"/>
  <c r="W5097" i="29"/>
  <c r="X5097" i="29" s="1"/>
  <c r="W5123" i="29"/>
  <c r="X5123" i="29" s="1"/>
  <c r="W5179" i="29"/>
  <c r="X5179" i="29" s="1"/>
  <c r="W5229" i="29"/>
  <c r="X5229" i="29" s="1"/>
  <c r="W5262" i="29"/>
  <c r="X5262" i="29" s="1"/>
  <c r="W5286" i="29"/>
  <c r="X5286" i="29" s="1"/>
  <c r="W5319" i="29"/>
  <c r="X5319" i="29" s="1"/>
  <c r="W5328" i="29"/>
  <c r="X5328" i="29" s="1"/>
  <c r="W5359" i="29"/>
  <c r="X5359" i="29" s="1"/>
  <c r="W5428" i="29"/>
  <c r="X5428" i="29" s="1"/>
  <c r="W5437" i="29"/>
  <c r="X5437" i="29" s="1"/>
  <c r="W5450" i="29"/>
  <c r="X5450" i="29" s="1"/>
  <c r="W5466" i="29"/>
  <c r="X5466" i="29" s="1"/>
  <c r="W5477" i="29"/>
  <c r="X5477" i="29" s="1"/>
  <c r="W5506" i="29"/>
  <c r="X5506" i="29" s="1"/>
  <c r="W5553" i="29"/>
  <c r="X5553" i="29" s="1"/>
  <c r="W5562" i="29"/>
  <c r="X5562" i="29" s="1"/>
  <c r="W5582" i="29"/>
  <c r="X5582" i="29" s="1"/>
  <c r="W5596" i="29"/>
  <c r="X5596" i="29" s="1"/>
  <c r="W5304" i="29"/>
  <c r="X5304" i="29" s="1"/>
  <c r="W5366" i="29"/>
  <c r="X5366" i="29" s="1"/>
  <c r="W5406" i="29"/>
  <c r="X5406" i="29" s="1"/>
  <c r="W5455" i="29"/>
  <c r="X5455" i="29" s="1"/>
  <c r="W5495" i="29"/>
  <c r="X5495" i="29" s="1"/>
  <c r="W5201" i="29"/>
  <c r="X5201" i="29" s="1"/>
  <c r="W5238" i="29"/>
  <c r="X5238" i="29" s="1"/>
  <c r="W5271" i="29"/>
  <c r="X5271" i="29" s="1"/>
  <c r="W5404" i="29"/>
  <c r="X5404" i="29" s="1"/>
  <c r="W5426" i="29"/>
  <c r="X5426" i="29" s="1"/>
  <c r="W5531" i="29"/>
  <c r="X5531" i="29" s="1"/>
  <c r="W5300" i="29"/>
  <c r="X5300" i="29" s="1"/>
  <c r="W5333" i="29"/>
  <c r="X5333" i="29" s="1"/>
  <c r="W5373" i="29"/>
  <c r="X5373" i="29" s="1"/>
  <c r="W5462" i="29"/>
  <c r="X5462" i="29" s="1"/>
  <c r="W5502" i="29"/>
  <c r="X5502" i="29" s="1"/>
  <c r="W5538" i="29"/>
  <c r="X5538" i="29" s="1"/>
  <c r="W5558" i="29"/>
  <c r="X5558" i="29" s="1"/>
  <c r="W5601" i="29"/>
  <c r="X5601" i="29" s="1"/>
  <c r="W5173" i="29"/>
  <c r="X5173" i="29" s="1"/>
  <c r="W5199" i="29"/>
  <c r="X5199" i="29" s="1"/>
  <c r="W5364" i="29"/>
  <c r="X5364" i="29" s="1"/>
  <c r="W5386" i="29"/>
  <c r="X5386" i="29" s="1"/>
  <c r="W5551" i="29"/>
  <c r="X5551" i="29" s="1"/>
  <c r="W5594" i="29"/>
  <c r="X5594" i="29" s="1"/>
  <c r="W5074" i="29"/>
  <c r="X5074" i="29" s="1"/>
  <c r="W5087" i="29"/>
  <c r="X5087" i="29" s="1"/>
  <c r="W5098" i="29"/>
  <c r="X5098" i="29" s="1"/>
  <c r="W5100" i="29"/>
  <c r="X5100" i="29" s="1"/>
  <c r="W5111" i="29"/>
  <c r="X5111" i="29" s="1"/>
  <c r="W5130" i="29"/>
  <c r="X5130" i="29" s="1"/>
  <c r="W5156" i="29"/>
  <c r="X5156" i="29" s="1"/>
  <c r="W5180" i="29"/>
  <c r="X5180" i="29" s="1"/>
  <c r="W5234" i="29"/>
  <c r="X5234" i="29" s="1"/>
  <c r="W5267" i="29"/>
  <c r="X5267" i="29" s="1"/>
  <c r="W5298" i="29"/>
  <c r="X5298" i="29" s="1"/>
  <c r="W5329" i="29"/>
  <c r="X5329" i="29" s="1"/>
  <c r="W5331" i="29"/>
  <c r="X5331" i="29" s="1"/>
  <c r="W5353" i="29"/>
  <c r="X5353" i="29" s="1"/>
  <c r="W5371" i="29"/>
  <c r="X5371" i="29" s="1"/>
  <c r="W5393" i="29"/>
  <c r="X5393" i="29" s="1"/>
  <c r="W5420" i="29"/>
  <c r="X5420" i="29" s="1"/>
  <c r="W5422" i="29"/>
  <c r="X5422" i="29" s="1"/>
  <c r="W5451" i="29"/>
  <c r="X5451" i="29" s="1"/>
  <c r="W5480" i="29"/>
  <c r="X5480" i="29" s="1"/>
  <c r="W5509" i="29"/>
  <c r="X5509" i="29" s="1"/>
  <c r="W5520" i="29"/>
  <c r="X5520" i="29" s="1"/>
  <c r="W5536" i="29"/>
  <c r="X5536" i="29" s="1"/>
  <c r="W5563" i="29"/>
  <c r="X5563" i="29" s="1"/>
  <c r="W5583" i="29"/>
  <c r="X5583" i="29" s="1"/>
  <c r="W5195" i="29"/>
  <c r="X5195" i="29" s="1"/>
  <c r="W5221" i="29"/>
  <c r="X5221" i="29" s="1"/>
  <c r="W5241" i="29"/>
  <c r="X5241" i="29" s="1"/>
  <c r="W5254" i="29"/>
  <c r="X5254" i="29" s="1"/>
  <c r="W5274" i="29"/>
  <c r="X5274" i="29" s="1"/>
  <c r="W5305" i="29"/>
  <c r="X5305" i="29" s="1"/>
  <c r="W5338" i="29"/>
  <c r="X5338" i="29" s="1"/>
  <c r="W5389" i="29"/>
  <c r="X5389" i="29" s="1"/>
  <c r="W5518" i="29"/>
  <c r="X5518" i="29" s="1"/>
  <c r="W5604" i="29"/>
  <c r="X5604" i="29" s="1"/>
  <c r="W5066" i="29"/>
  <c r="X5066" i="29" s="1"/>
  <c r="W5096" i="29"/>
  <c r="X5096" i="29" s="1"/>
  <c r="W5107" i="29"/>
  <c r="X5107" i="29" s="1"/>
  <c r="W5139" i="29"/>
  <c r="X5139" i="29" s="1"/>
  <c r="W5165" i="29"/>
  <c r="X5165" i="29" s="1"/>
  <c r="W5189" i="29"/>
  <c r="X5189" i="29" s="1"/>
  <c r="W5191" i="29"/>
  <c r="X5191" i="29" s="1"/>
  <c r="W5228" i="29"/>
  <c r="X5228" i="29" s="1"/>
  <c r="W5239" i="29"/>
  <c r="X5239" i="29" s="1"/>
  <c r="W5252" i="29"/>
  <c r="X5252" i="29" s="1"/>
  <c r="W5261" i="29"/>
  <c r="X5261" i="29" s="1"/>
  <c r="W5272" i="29"/>
  <c r="X5272" i="29" s="1"/>
  <c r="W5301" i="29"/>
  <c r="X5301" i="29" s="1"/>
  <c r="W5327" i="29"/>
  <c r="X5327" i="29" s="1"/>
  <c r="W5334" i="29"/>
  <c r="X5334" i="29" s="1"/>
  <c r="W5345" i="29"/>
  <c r="X5345" i="29" s="1"/>
  <c r="W5356" i="29"/>
  <c r="X5356" i="29" s="1"/>
  <c r="W5374" i="29"/>
  <c r="X5374" i="29" s="1"/>
  <c r="W5396" i="29"/>
  <c r="X5396" i="29" s="1"/>
  <c r="W5436" i="29"/>
  <c r="X5436" i="29" s="1"/>
  <c r="W5454" i="29"/>
  <c r="X5454" i="29" s="1"/>
  <c r="W5463" i="29"/>
  <c r="X5463" i="29" s="1"/>
  <c r="W5465" i="29"/>
  <c r="X5465" i="29" s="1"/>
  <c r="W5494" i="29"/>
  <c r="X5494" i="29" s="1"/>
  <c r="W5503" i="29"/>
  <c r="X5503" i="29" s="1"/>
  <c r="W5505" i="29"/>
  <c r="X5505" i="29" s="1"/>
  <c r="W5516" i="29"/>
  <c r="X5516" i="29" s="1"/>
  <c r="W5539" i="29"/>
  <c r="X5539" i="29" s="1"/>
  <c r="W5559" i="29"/>
  <c r="X5559" i="29" s="1"/>
  <c r="W5561" i="29"/>
  <c r="X5561" i="29" s="1"/>
  <c r="W5586" i="29"/>
  <c r="X5586" i="29" s="1"/>
  <c r="W5595" i="29"/>
  <c r="X5595" i="29" s="1"/>
  <c r="W5092" i="29"/>
  <c r="X5092" i="29" s="1"/>
  <c r="W5135" i="29"/>
  <c r="X5135" i="29" s="1"/>
  <c r="W5161" i="29"/>
  <c r="X5161" i="29" s="1"/>
  <c r="W5172" i="29"/>
  <c r="X5172" i="29" s="1"/>
  <c r="W5183" i="29"/>
  <c r="X5183" i="29" s="1"/>
  <c r="W5198" i="29"/>
  <c r="X5198" i="29" s="1"/>
  <c r="W5209" i="29"/>
  <c r="X5209" i="29" s="1"/>
  <c r="W5224" i="29"/>
  <c r="X5224" i="29" s="1"/>
  <c r="W5246" i="29"/>
  <c r="X5246" i="29" s="1"/>
  <c r="W5257" i="29"/>
  <c r="X5257" i="29" s="1"/>
  <c r="W5288" i="29"/>
  <c r="X5288" i="29" s="1"/>
  <c r="W5308" i="29"/>
  <c r="X5308" i="29" s="1"/>
  <c r="W5321" i="29"/>
  <c r="X5321" i="29" s="1"/>
  <c r="W5323" i="29"/>
  <c r="X5323" i="29" s="1"/>
  <c r="W5341" i="29"/>
  <c r="X5341" i="29" s="1"/>
  <c r="W5361" i="29"/>
  <c r="X5361" i="29" s="1"/>
  <c r="W5363" i="29"/>
  <c r="X5363" i="29" s="1"/>
  <c r="W5403" i="29"/>
  <c r="X5403" i="29" s="1"/>
  <c r="W5430" i="29"/>
  <c r="X5430" i="29" s="1"/>
  <c r="W5432" i="29"/>
  <c r="X5432" i="29" s="1"/>
  <c r="W5461" i="29"/>
  <c r="X5461" i="29" s="1"/>
  <c r="W5470" i="29"/>
  <c r="X5470" i="29" s="1"/>
  <c r="W5472" i="29"/>
  <c r="X5472" i="29" s="1"/>
  <c r="W5483" i="29"/>
  <c r="X5483" i="29" s="1"/>
  <c r="W5492" i="29"/>
  <c r="X5492" i="29" s="1"/>
  <c r="W5499" i="29"/>
  <c r="X5499" i="29" s="1"/>
  <c r="W5510" i="29"/>
  <c r="X5510" i="29" s="1"/>
  <c r="W5537" i="29"/>
  <c r="X5537" i="29" s="1"/>
  <c r="W5557" i="29"/>
  <c r="X5557" i="29" s="1"/>
  <c r="W5598" i="29"/>
  <c r="X5598" i="29" s="1"/>
  <c r="W5069" i="29"/>
  <c r="X5069" i="29" s="1"/>
  <c r="W5587" i="29"/>
  <c r="X5587" i="29" s="1"/>
  <c r="W5084" i="29"/>
  <c r="X5084" i="29" s="1"/>
  <c r="W5131" i="29"/>
  <c r="X5131" i="29" s="1"/>
  <c r="W5157" i="29"/>
  <c r="X5157" i="29" s="1"/>
  <c r="W5196" i="29"/>
  <c r="X5196" i="29" s="1"/>
  <c r="W5222" i="29"/>
  <c r="X5222" i="29" s="1"/>
  <c r="W5242" i="29"/>
  <c r="X5242" i="29" s="1"/>
  <c r="W5255" i="29"/>
  <c r="X5255" i="29" s="1"/>
  <c r="W5275" i="29"/>
  <c r="X5275" i="29" s="1"/>
  <c r="W5352" i="29"/>
  <c r="X5352" i="29" s="1"/>
  <c r="W5381" i="29"/>
  <c r="X5381" i="29" s="1"/>
  <c r="W5392" i="29"/>
  <c r="X5392" i="29" s="1"/>
  <c r="W5410" i="29"/>
  <c r="X5410" i="29" s="1"/>
  <c r="W5421" i="29"/>
  <c r="X5421" i="29" s="1"/>
  <c r="W5519" i="29"/>
  <c r="X5519" i="29" s="1"/>
  <c r="W5546" i="29"/>
  <c r="X5546" i="29" s="1"/>
  <c r="W5605" i="29"/>
  <c r="X5605" i="29" s="1"/>
  <c r="W4100" i="29"/>
  <c r="X4100" i="29" s="1"/>
  <c r="W4134" i="29"/>
  <c r="X4134" i="29" s="1"/>
  <c r="W4140" i="29"/>
  <c r="X4140" i="29" s="1"/>
  <c r="W4155" i="29"/>
  <c r="X4155" i="29" s="1"/>
  <c r="W4172" i="29"/>
  <c r="X4172" i="29" s="1"/>
  <c r="W4222" i="29"/>
  <c r="X4222" i="29" s="1"/>
  <c r="W4237" i="29"/>
  <c r="X4237" i="29" s="1"/>
  <c r="W4250" i="29"/>
  <c r="X4250" i="29" s="1"/>
  <c r="W4284" i="29"/>
  <c r="X4284" i="29" s="1"/>
  <c r="W4288" i="29"/>
  <c r="X4288" i="29" s="1"/>
  <c r="W4310" i="29"/>
  <c r="X4310" i="29" s="1"/>
  <c r="W4388" i="29"/>
  <c r="X4388" i="29" s="1"/>
  <c r="W4449" i="29"/>
  <c r="X4449" i="29" s="1"/>
  <c r="W4461" i="29"/>
  <c r="X4461" i="29" s="1"/>
  <c r="W4480" i="29"/>
  <c r="X4480" i="29" s="1"/>
  <c r="W4503" i="29"/>
  <c r="X4503" i="29" s="1"/>
  <c r="W4534" i="29"/>
  <c r="X4534" i="29" s="1"/>
  <c r="W4553" i="29"/>
  <c r="X4553" i="29" s="1"/>
  <c r="W4574" i="29"/>
  <c r="X4574" i="29" s="1"/>
  <c r="W4607" i="29"/>
  <c r="X4607" i="29" s="1"/>
  <c r="W4696" i="29"/>
  <c r="X4696" i="29" s="1"/>
  <c r="W4713" i="29"/>
  <c r="X4713" i="29" s="1"/>
  <c r="W4756" i="29"/>
  <c r="X4756" i="29" s="1"/>
  <c r="W4773" i="29"/>
  <c r="X4773" i="29" s="1"/>
  <c r="W4791" i="29"/>
  <c r="X4791" i="29" s="1"/>
  <c r="W4894" i="29"/>
  <c r="X4894" i="29" s="1"/>
  <c r="W4911" i="29"/>
  <c r="X4911" i="29" s="1"/>
  <c r="W4944" i="29"/>
  <c r="X4944" i="29" s="1"/>
  <c r="W4955" i="29"/>
  <c r="X4955" i="29" s="1"/>
  <c r="W4964" i="29"/>
  <c r="X4964" i="29" s="1"/>
  <c r="W4988" i="29"/>
  <c r="X4988" i="29" s="1"/>
  <c r="W4997" i="29"/>
  <c r="X4997" i="29" s="1"/>
  <c r="W5021" i="29"/>
  <c r="X5021" i="29" s="1"/>
  <c r="W5030" i="29"/>
  <c r="X5030" i="29" s="1"/>
  <c r="W5043" i="29"/>
  <c r="X5043" i="29" s="1"/>
  <c r="W4722" i="29"/>
  <c r="X4722" i="29" s="1"/>
  <c r="W4733" i="29"/>
  <c r="X4733" i="29" s="1"/>
  <c r="W4735" i="29"/>
  <c r="X4735" i="29" s="1"/>
  <c r="W4920" i="29"/>
  <c r="X4920" i="29" s="1"/>
  <c r="W4085" i="29"/>
  <c r="X4085" i="29" s="1"/>
  <c r="W4267" i="29"/>
  <c r="X4267" i="29" s="1"/>
  <c r="W4386" i="29"/>
  <c r="X4386" i="29" s="1"/>
  <c r="W4601" i="29"/>
  <c r="X4601" i="29" s="1"/>
  <c r="W4603" i="29"/>
  <c r="X4603" i="29" s="1"/>
  <c r="W4780" i="29"/>
  <c r="X4780" i="29" s="1"/>
  <c r="W4798" i="29"/>
  <c r="X4798" i="29" s="1"/>
  <c r="W4815" i="29"/>
  <c r="X4815" i="29" s="1"/>
  <c r="W4855" i="29"/>
  <c r="X4855" i="29" s="1"/>
  <c r="W4881" i="29"/>
  <c r="X4881" i="29" s="1"/>
  <c r="W4890" i="29"/>
  <c r="X4890" i="29" s="1"/>
  <c r="W4934" i="29"/>
  <c r="X4934" i="29" s="1"/>
  <c r="W4949" i="29"/>
  <c r="X4949" i="29" s="1"/>
  <c r="W4953" i="29"/>
  <c r="X4953" i="29" s="1"/>
  <c r="W4982" i="29"/>
  <c r="X4982" i="29" s="1"/>
  <c r="W4986" i="29"/>
  <c r="X4986" i="29" s="1"/>
  <c r="W5015" i="29"/>
  <c r="X5015" i="29" s="1"/>
  <c r="W5019" i="29"/>
  <c r="X5019" i="29" s="1"/>
  <c r="W4233" i="29"/>
  <c r="X4233" i="29" s="1"/>
  <c r="W4124" i="29"/>
  <c r="X4124" i="29" s="1"/>
  <c r="W4164" i="29"/>
  <c r="X4164" i="29" s="1"/>
  <c r="W4177" i="29"/>
  <c r="X4177" i="29" s="1"/>
  <c r="W4240" i="29"/>
  <c r="X4240" i="29" s="1"/>
  <c r="W4317" i="29"/>
  <c r="X4317" i="29" s="1"/>
  <c r="W4355" i="29"/>
  <c r="X4355" i="29" s="1"/>
  <c r="W4420" i="29"/>
  <c r="X4420" i="29" s="1"/>
  <c r="W4437" i="29"/>
  <c r="X4437" i="29" s="1"/>
  <c r="W4468" i="29"/>
  <c r="X4468" i="29" s="1"/>
  <c r="W4487" i="29"/>
  <c r="X4487" i="29" s="1"/>
  <c r="W4508" i="29"/>
  <c r="X4508" i="29" s="1"/>
  <c r="W4539" i="29"/>
  <c r="X4539" i="29" s="1"/>
  <c r="W4562" i="29"/>
  <c r="X4562" i="29" s="1"/>
  <c r="W4581" i="29"/>
  <c r="X4581" i="29" s="1"/>
  <c r="W4629" i="29"/>
  <c r="X4629" i="29" s="1"/>
  <c r="W4657" i="29"/>
  <c r="X4657" i="29" s="1"/>
  <c r="W4683" i="29"/>
  <c r="X4683" i="29" s="1"/>
  <c r="W4716" i="29"/>
  <c r="X4716" i="29" s="1"/>
  <c r="W4740" i="29"/>
  <c r="X4740" i="29" s="1"/>
  <c r="W4765" i="29"/>
  <c r="X4765" i="29" s="1"/>
  <c r="W4787" i="29"/>
  <c r="X4787" i="29" s="1"/>
  <c r="W4822" i="29"/>
  <c r="X4822" i="29" s="1"/>
  <c r="W4831" i="29"/>
  <c r="X4831" i="29" s="1"/>
  <c r="W4842" i="29"/>
  <c r="X4842" i="29" s="1"/>
  <c r="W4864" i="29"/>
  <c r="X4864" i="29" s="1"/>
  <c r="W4914" i="29"/>
  <c r="X4914" i="29" s="1"/>
  <c r="W4923" i="29"/>
  <c r="X4923" i="29" s="1"/>
  <c r="W4967" i="29"/>
  <c r="X4967" i="29" s="1"/>
  <c r="W5000" i="29"/>
  <c r="X5000" i="29" s="1"/>
  <c r="W4079" i="29"/>
  <c r="X4079" i="29" s="1"/>
  <c r="W4141" i="29"/>
  <c r="X4141" i="29" s="1"/>
  <c r="W4184" i="29"/>
  <c r="X4184" i="29" s="1"/>
  <c r="W4201" i="29"/>
  <c r="X4201" i="29" s="1"/>
  <c r="W4210" i="29"/>
  <c r="X4210" i="29" s="1"/>
  <c r="W4270" i="29"/>
  <c r="X4270" i="29" s="1"/>
  <c r="W4274" i="29"/>
  <c r="X4274" i="29" s="1"/>
  <c r="W4298" i="29"/>
  <c r="X4298" i="29" s="1"/>
  <c r="W4300" i="29"/>
  <c r="X4300" i="29" s="1"/>
  <c r="W4330" i="29"/>
  <c r="X4330" i="29" s="1"/>
  <c r="W4343" i="29"/>
  <c r="X4343" i="29" s="1"/>
  <c r="W4370" i="29"/>
  <c r="X4370" i="29" s="1"/>
  <c r="W4408" i="29"/>
  <c r="X4408" i="29" s="1"/>
  <c r="W4435" i="29"/>
  <c r="X4435" i="29" s="1"/>
  <c r="W4454" i="29"/>
  <c r="X4454" i="29" s="1"/>
  <c r="W4475" i="29"/>
  <c r="X4475" i="29" s="1"/>
  <c r="W4506" i="29"/>
  <c r="X4506" i="29" s="1"/>
  <c r="W4529" i="29"/>
  <c r="X4529" i="29" s="1"/>
  <c r="W4548" i="29"/>
  <c r="X4548" i="29" s="1"/>
  <c r="W4560" i="29"/>
  <c r="X4560" i="29" s="1"/>
  <c r="W4579" i="29"/>
  <c r="X4579" i="29" s="1"/>
  <c r="W4616" i="29"/>
  <c r="X4616" i="29" s="1"/>
  <c r="W4625" i="29"/>
  <c r="X4625" i="29" s="1"/>
  <c r="W4636" i="29"/>
  <c r="X4636" i="29" s="1"/>
  <c r="W4647" i="29"/>
  <c r="X4647" i="29" s="1"/>
  <c r="W4681" i="29"/>
  <c r="X4681" i="29" s="1"/>
  <c r="W4723" i="29"/>
  <c r="X4723" i="29" s="1"/>
  <c r="W4736" i="29"/>
  <c r="X4736" i="29" s="1"/>
  <c r="W4757" i="29"/>
  <c r="X4757" i="29" s="1"/>
  <c r="W4759" i="29"/>
  <c r="X4759" i="29" s="1"/>
  <c r="W4783" i="29"/>
  <c r="X4783" i="29" s="1"/>
  <c r="W4792" i="29"/>
  <c r="X4792" i="29" s="1"/>
  <c r="W4794" i="29"/>
  <c r="X4794" i="29" s="1"/>
  <c r="W4805" i="29"/>
  <c r="X4805" i="29" s="1"/>
  <c r="W4809" i="29"/>
  <c r="X4809" i="29" s="1"/>
  <c r="W4820" i="29"/>
  <c r="X4820" i="29" s="1"/>
  <c r="W4838" i="29"/>
  <c r="X4838" i="29" s="1"/>
  <c r="W4849" i="29"/>
  <c r="X4849" i="29" s="1"/>
  <c r="W4858" i="29"/>
  <c r="X4858" i="29" s="1"/>
  <c r="W4871" i="29"/>
  <c r="X4871" i="29" s="1"/>
  <c r="W4921" i="29"/>
  <c r="X4921" i="29" s="1"/>
  <c r="W4930" i="29"/>
  <c r="X4930" i="29" s="1"/>
  <c r="W5055" i="29"/>
  <c r="X5055" i="29" s="1"/>
  <c r="W4084" i="29"/>
  <c r="X4084" i="29" s="1"/>
  <c r="W4110" i="29"/>
  <c r="X4110" i="29" s="1"/>
  <c r="W4129" i="29"/>
  <c r="X4129" i="29" s="1"/>
  <c r="W4167" i="29"/>
  <c r="X4167" i="29" s="1"/>
  <c r="W4206" i="29"/>
  <c r="X4206" i="29" s="1"/>
  <c r="W4217" i="29"/>
  <c r="X4217" i="29" s="1"/>
  <c r="W4232" i="29"/>
  <c r="X4232" i="29" s="1"/>
  <c r="W4243" i="29"/>
  <c r="X4243" i="29" s="1"/>
  <c r="W4277" i="29"/>
  <c r="X4277" i="29" s="1"/>
  <c r="W4296" i="29"/>
  <c r="X4296" i="29" s="1"/>
  <c r="W4322" i="29"/>
  <c r="X4322" i="29" s="1"/>
  <c r="W4328" i="29"/>
  <c r="X4328" i="29" s="1"/>
  <c r="W4364" i="29"/>
  <c r="X4364" i="29" s="1"/>
  <c r="W4393" i="29"/>
  <c r="X4393" i="29" s="1"/>
  <c r="W4429" i="29"/>
  <c r="X4429" i="29" s="1"/>
  <c r="W4442" i="29"/>
  <c r="X4442" i="29" s="1"/>
  <c r="W4473" i="29"/>
  <c r="X4473" i="29" s="1"/>
  <c r="W4496" i="29"/>
  <c r="X4496" i="29" s="1"/>
  <c r="W4515" i="29"/>
  <c r="X4515" i="29" s="1"/>
  <c r="W4527" i="29"/>
  <c r="X4527" i="29" s="1"/>
  <c r="W4546" i="29"/>
  <c r="X4546" i="29" s="1"/>
  <c r="W4569" i="29"/>
  <c r="X4569" i="29" s="1"/>
  <c r="W4630" i="29"/>
  <c r="X4630" i="29" s="1"/>
  <c r="W4641" i="29"/>
  <c r="X4641" i="29" s="1"/>
  <c r="W4677" i="29"/>
  <c r="X4677" i="29" s="1"/>
  <c r="W4695" i="29"/>
  <c r="X4695" i="29" s="1"/>
  <c r="W4721" i="29"/>
  <c r="X4721" i="29" s="1"/>
  <c r="W4732" i="29"/>
  <c r="X4732" i="29" s="1"/>
  <c r="W4749" i="29"/>
  <c r="X4749" i="29" s="1"/>
  <c r="W4755" i="29"/>
  <c r="X4755" i="29" s="1"/>
  <c r="W4816" i="29"/>
  <c r="X4816" i="29" s="1"/>
  <c r="W4856" i="29"/>
  <c r="X4856" i="29" s="1"/>
  <c r="W4882" i="29"/>
  <c r="X4882" i="29" s="1"/>
  <c r="W4891" i="29"/>
  <c r="X4891" i="29" s="1"/>
  <c r="W4893" i="29"/>
  <c r="X4893" i="29" s="1"/>
  <c r="W4937" i="29"/>
  <c r="X4937" i="29" s="1"/>
  <c r="W4974" i="29"/>
  <c r="X4974" i="29" s="1"/>
  <c r="W5007" i="29"/>
  <c r="X5007" i="29" s="1"/>
  <c r="W5036" i="29"/>
  <c r="X5036" i="29" s="1"/>
  <c r="W5047" i="29"/>
  <c r="X5047" i="29" s="1"/>
  <c r="W4150" i="29"/>
  <c r="X4150" i="29" s="1"/>
  <c r="W4660" i="29"/>
  <c r="X4660" i="29" s="1"/>
  <c r="W4662" i="29"/>
  <c r="X4662" i="29" s="1"/>
  <c r="W4702" i="29"/>
  <c r="X4702" i="29" s="1"/>
  <c r="W4766" i="29"/>
  <c r="X4766" i="29" s="1"/>
  <c r="W4768" i="29"/>
  <c r="X4768" i="29" s="1"/>
  <c r="W4788" i="29"/>
  <c r="X4788" i="29" s="1"/>
  <c r="W4900" i="29"/>
  <c r="X4900" i="29" s="1"/>
  <c r="W4959" i="29"/>
  <c r="X4959" i="29" s="1"/>
  <c r="W4992" i="29"/>
  <c r="X4992" i="29" s="1"/>
  <c r="W5025" i="29"/>
  <c r="X5025" i="29" s="1"/>
  <c r="W4087" i="29"/>
  <c r="X4087" i="29" s="1"/>
  <c r="W4102" i="29"/>
  <c r="X4102" i="29" s="1"/>
  <c r="W4106" i="29"/>
  <c r="X4106" i="29" s="1"/>
  <c r="W4157" i="29"/>
  <c r="X4157" i="29" s="1"/>
  <c r="W4185" i="29"/>
  <c r="X4185" i="29" s="1"/>
  <c r="W4211" i="29"/>
  <c r="X4211" i="29" s="1"/>
  <c r="W4215" i="29"/>
  <c r="X4215" i="29" s="1"/>
  <c r="W4271" i="29"/>
  <c r="X4271" i="29" s="1"/>
  <c r="W4316" i="29"/>
  <c r="X4316" i="29" s="1"/>
  <c r="W4331" i="29"/>
  <c r="X4331" i="29" s="1"/>
  <c r="W4354" i="29"/>
  <c r="X4354" i="29" s="1"/>
  <c r="W4371" i="29"/>
  <c r="X4371" i="29" s="1"/>
  <c r="W4409" i="29"/>
  <c r="X4409" i="29" s="1"/>
  <c r="W4436" i="29"/>
  <c r="X4436" i="29" s="1"/>
  <c r="W4507" i="29"/>
  <c r="X4507" i="29" s="1"/>
  <c r="W4561" i="29"/>
  <c r="X4561" i="29" s="1"/>
  <c r="W4580" i="29"/>
  <c r="X4580" i="29" s="1"/>
  <c r="W4592" i="29"/>
  <c r="X4592" i="29" s="1"/>
  <c r="W4626" i="29"/>
  <c r="X4626" i="29" s="1"/>
  <c r="W4650" i="29"/>
  <c r="X4650" i="29" s="1"/>
  <c r="W4700" i="29"/>
  <c r="X4700" i="29" s="1"/>
  <c r="W4724" i="29"/>
  <c r="X4724" i="29" s="1"/>
  <c r="W4726" i="29"/>
  <c r="X4726" i="29" s="1"/>
  <c r="W4728" i="29"/>
  <c r="X4728" i="29" s="1"/>
  <c r="W4739" i="29"/>
  <c r="X4739" i="29" s="1"/>
  <c r="W4762" i="29"/>
  <c r="X4762" i="29" s="1"/>
  <c r="W4812" i="29"/>
  <c r="X4812" i="29" s="1"/>
  <c r="W4814" i="29"/>
  <c r="X4814" i="29" s="1"/>
  <c r="W4828" i="29"/>
  <c r="X4828" i="29" s="1"/>
  <c r="W4839" i="29"/>
  <c r="X4839" i="29" s="1"/>
  <c r="W4850" i="29"/>
  <c r="X4850" i="29" s="1"/>
  <c r="W4854" i="29"/>
  <c r="X4854" i="29" s="1"/>
  <c r="W4861" i="29"/>
  <c r="X4861" i="29" s="1"/>
  <c r="W4880" i="29"/>
  <c r="X4880" i="29" s="1"/>
  <c r="W4922" i="29"/>
  <c r="X4922" i="29" s="1"/>
  <c r="W4931" i="29"/>
  <c r="X4931" i="29" s="1"/>
  <c r="W4933" i="29"/>
  <c r="X4933" i="29" s="1"/>
  <c r="W3100" i="29"/>
  <c r="X3100" i="29" s="1"/>
  <c r="W3111" i="29"/>
  <c r="X3111" i="29" s="1"/>
  <c r="W3144" i="29"/>
  <c r="X3144" i="29" s="1"/>
  <c r="W3173" i="29"/>
  <c r="X3173" i="29" s="1"/>
  <c r="W3182" i="29"/>
  <c r="X3182" i="29" s="1"/>
  <c r="W3200" i="29"/>
  <c r="X3200" i="29" s="1"/>
  <c r="W3229" i="29"/>
  <c r="X3229" i="29" s="1"/>
  <c r="W3242" i="29"/>
  <c r="X3242" i="29" s="1"/>
  <c r="W3253" i="29"/>
  <c r="X3253" i="29" s="1"/>
  <c r="W3273" i="29"/>
  <c r="X3273" i="29" s="1"/>
  <c r="W3282" i="29"/>
  <c r="X3282" i="29" s="1"/>
  <c r="W3302" i="29"/>
  <c r="X3302" i="29" s="1"/>
  <c r="W3320" i="29"/>
  <c r="X3320" i="29" s="1"/>
  <c r="W3360" i="29"/>
  <c r="X3360" i="29" s="1"/>
  <c r="W3380" i="29"/>
  <c r="X3380" i="29" s="1"/>
  <c r="W3382" i="29"/>
  <c r="X3382" i="29" s="1"/>
  <c r="W3391" i="29"/>
  <c r="X3391" i="29" s="1"/>
  <c r="W3413" i="29"/>
  <c r="X3413" i="29" s="1"/>
  <c r="W3420" i="29"/>
  <c r="X3420" i="29" s="1"/>
  <c r="W3440" i="29"/>
  <c r="X3440" i="29" s="1"/>
  <c r="W3456" i="29"/>
  <c r="X3456" i="29" s="1"/>
  <c r="W3467" i="29"/>
  <c r="X3467" i="29" s="1"/>
  <c r="W3496" i="29"/>
  <c r="X3496" i="29" s="1"/>
  <c r="W3514" i="29"/>
  <c r="X3514" i="29" s="1"/>
  <c r="W3516" i="29"/>
  <c r="X3516" i="29" s="1"/>
  <c r="W3523" i="29"/>
  <c r="X3523" i="29" s="1"/>
  <c r="W3552" i="29"/>
  <c r="X3552" i="29" s="1"/>
  <c r="W3563" i="29"/>
  <c r="X3563" i="29" s="1"/>
  <c r="W3614" i="29"/>
  <c r="X3614" i="29" s="1"/>
  <c r="W3623" i="29"/>
  <c r="X3623" i="29" s="1"/>
  <c r="W3688" i="29"/>
  <c r="X3688" i="29" s="1"/>
  <c r="W3757" i="29"/>
  <c r="X3757" i="29" s="1"/>
  <c r="W3788" i="29"/>
  <c r="X3788" i="29" s="1"/>
  <c r="W3801" i="29"/>
  <c r="X3801" i="29" s="1"/>
  <c r="W3889" i="29"/>
  <c r="X3889" i="29" s="1"/>
  <c r="W3913" i="29"/>
  <c r="X3913" i="29" s="1"/>
  <c r="W3941" i="29"/>
  <c r="X3941" i="29" s="1"/>
  <c r="W3948" i="29"/>
  <c r="X3948" i="29" s="1"/>
  <c r="W4017" i="29"/>
  <c r="X4017" i="29" s="1"/>
  <c r="W4019" i="29"/>
  <c r="X4019" i="29" s="1"/>
  <c r="W4067" i="29"/>
  <c r="X4067" i="29" s="1"/>
  <c r="W3089" i="29"/>
  <c r="X3089" i="29" s="1"/>
  <c r="W3109" i="29"/>
  <c r="X3109" i="29" s="1"/>
  <c r="W3129" i="29"/>
  <c r="X3129" i="29" s="1"/>
  <c r="W3142" i="29"/>
  <c r="X3142" i="29" s="1"/>
  <c r="W3196" i="29"/>
  <c r="X3196" i="29" s="1"/>
  <c r="W3209" i="29"/>
  <c r="X3209" i="29" s="1"/>
  <c r="W3249" i="29"/>
  <c r="X3249" i="29" s="1"/>
  <c r="W3287" i="29"/>
  <c r="X3287" i="29" s="1"/>
  <c r="W3309" i="29"/>
  <c r="X3309" i="29" s="1"/>
  <c r="W3327" i="29"/>
  <c r="X3327" i="29" s="1"/>
  <c r="W3342" i="29"/>
  <c r="X3342" i="29" s="1"/>
  <c r="W3371" i="29"/>
  <c r="X3371" i="29" s="1"/>
  <c r="W3387" i="29"/>
  <c r="X3387" i="29" s="1"/>
  <c r="W3398" i="29"/>
  <c r="X3398" i="29" s="1"/>
  <c r="W3427" i="29"/>
  <c r="X3427" i="29" s="1"/>
  <c r="W3447" i="29"/>
  <c r="X3447" i="29" s="1"/>
  <c r="W3478" i="29"/>
  <c r="X3478" i="29" s="1"/>
  <c r="W3505" i="29"/>
  <c r="X3505" i="29" s="1"/>
  <c r="W3545" i="29"/>
  <c r="X3545" i="29" s="1"/>
  <c r="W3572" i="29"/>
  <c r="X3572" i="29" s="1"/>
  <c r="W3581" i="29"/>
  <c r="X3581" i="29" s="1"/>
  <c r="W3603" i="29"/>
  <c r="X3603" i="29" s="1"/>
  <c r="W3612" i="29"/>
  <c r="X3612" i="29" s="1"/>
  <c r="W3645" i="29"/>
  <c r="X3645" i="29" s="1"/>
  <c r="W3656" i="29"/>
  <c r="X3656" i="29" s="1"/>
  <c r="W3714" i="29"/>
  <c r="X3714" i="29" s="1"/>
  <c r="W3738" i="29"/>
  <c r="X3738" i="29" s="1"/>
  <c r="W3786" i="29"/>
  <c r="X3786" i="29" s="1"/>
  <c r="W3823" i="29"/>
  <c r="X3823" i="29" s="1"/>
  <c r="W3902" i="29"/>
  <c r="X3902" i="29" s="1"/>
  <c r="W3911" i="29"/>
  <c r="X3911" i="29" s="1"/>
  <c r="W3937" i="29"/>
  <c r="X3937" i="29" s="1"/>
  <c r="W3974" i="29"/>
  <c r="X3974" i="29" s="1"/>
  <c r="W3985" i="29"/>
  <c r="X3985" i="29" s="1"/>
  <c r="W4030" i="29"/>
  <c r="X4030" i="29" s="1"/>
  <c r="W3107" i="29"/>
  <c r="X3107" i="29" s="1"/>
  <c r="W3156" i="29"/>
  <c r="X3156" i="29" s="1"/>
  <c r="W3176" i="29"/>
  <c r="X3176" i="29" s="1"/>
  <c r="W3185" i="29"/>
  <c r="X3185" i="29" s="1"/>
  <c r="W3207" i="29"/>
  <c r="X3207" i="29" s="1"/>
  <c r="W3247" i="29"/>
  <c r="X3247" i="29" s="1"/>
  <c r="W3294" i="29"/>
  <c r="X3294" i="29" s="1"/>
  <c r="W3307" i="29"/>
  <c r="X3307" i="29" s="1"/>
  <c r="W3316" i="29"/>
  <c r="X3316" i="29" s="1"/>
  <c r="W3318" i="29"/>
  <c r="X3318" i="29" s="1"/>
  <c r="W3354" i="29"/>
  <c r="X3354" i="29" s="1"/>
  <c r="W3358" i="29"/>
  <c r="X3358" i="29" s="1"/>
  <c r="W3365" i="29"/>
  <c r="X3365" i="29" s="1"/>
  <c r="W3407" i="29"/>
  <c r="X3407" i="29" s="1"/>
  <c r="W3418" i="29"/>
  <c r="X3418" i="29" s="1"/>
  <c r="W3445" i="29"/>
  <c r="X3445" i="29" s="1"/>
  <c r="W3459" i="29"/>
  <c r="X3459" i="29" s="1"/>
  <c r="W3474" i="29"/>
  <c r="X3474" i="29" s="1"/>
  <c r="W3483" i="29"/>
  <c r="X3483" i="29" s="1"/>
  <c r="W3492" i="29"/>
  <c r="X3492" i="29" s="1"/>
  <c r="W3503" i="29"/>
  <c r="X3503" i="29" s="1"/>
  <c r="W3526" i="29"/>
  <c r="X3526" i="29" s="1"/>
  <c r="W3541" i="29"/>
  <c r="X3541" i="29" s="1"/>
  <c r="W3550" i="29"/>
  <c r="X3550" i="29" s="1"/>
  <c r="W3570" i="29"/>
  <c r="X3570" i="29" s="1"/>
  <c r="W3588" i="29"/>
  <c r="X3588" i="29" s="1"/>
  <c r="W3610" i="29"/>
  <c r="X3610" i="29" s="1"/>
  <c r="W3639" i="29"/>
  <c r="X3639" i="29" s="1"/>
  <c r="W3669" i="29"/>
  <c r="X3669" i="29" s="1"/>
  <c r="W3695" i="29"/>
  <c r="X3695" i="29" s="1"/>
  <c r="W3736" i="29"/>
  <c r="X3736" i="29" s="1"/>
  <c r="W3755" i="29"/>
  <c r="X3755" i="29" s="1"/>
  <c r="W3760" i="29"/>
  <c r="X3760" i="29" s="1"/>
  <c r="W3782" i="29"/>
  <c r="X3782" i="29" s="1"/>
  <c r="W3821" i="29"/>
  <c r="X3821" i="29" s="1"/>
  <c r="W3845" i="29"/>
  <c r="X3845" i="29" s="1"/>
  <c r="W3847" i="29"/>
  <c r="X3847" i="29" s="1"/>
  <c r="W3909" i="29"/>
  <c r="X3909" i="29" s="1"/>
  <c r="W3918" i="29"/>
  <c r="X3918" i="29" s="1"/>
  <c r="W3946" i="29"/>
  <c r="X3946" i="29" s="1"/>
  <c r="W4011" i="29"/>
  <c r="X4011" i="29" s="1"/>
  <c r="W4041" i="29"/>
  <c r="X4041" i="29" s="1"/>
  <c r="W4050" i="29"/>
  <c r="X4050" i="29" s="1"/>
  <c r="W4061" i="29"/>
  <c r="X4061" i="29" s="1"/>
  <c r="W3116" i="29"/>
  <c r="X3116" i="29" s="1"/>
  <c r="W3123" i="29"/>
  <c r="X3123" i="29" s="1"/>
  <c r="W3134" i="29"/>
  <c r="X3134" i="29" s="1"/>
  <c r="W3149" i="29"/>
  <c r="X3149" i="29" s="1"/>
  <c r="W3163" i="29"/>
  <c r="X3163" i="29" s="1"/>
  <c r="W3192" i="29"/>
  <c r="X3192" i="29" s="1"/>
  <c r="W3214" i="29"/>
  <c r="X3214" i="29" s="1"/>
  <c r="W3236" i="29"/>
  <c r="X3236" i="29" s="1"/>
  <c r="W3254" i="29"/>
  <c r="X3254" i="29" s="1"/>
  <c r="W3276" i="29"/>
  <c r="X3276" i="29" s="1"/>
  <c r="W3314" i="29"/>
  <c r="X3314" i="29" s="1"/>
  <c r="W3347" i="29"/>
  <c r="X3347" i="29" s="1"/>
  <c r="W3374" i="29"/>
  <c r="X3374" i="29" s="1"/>
  <c r="W3383" i="29"/>
  <c r="X3383" i="29" s="1"/>
  <c r="W3416" i="29"/>
  <c r="X3416" i="29" s="1"/>
  <c r="W3434" i="29"/>
  <c r="X3434" i="29" s="1"/>
  <c r="W3472" i="29"/>
  <c r="X3472" i="29" s="1"/>
  <c r="W3481" i="29"/>
  <c r="X3481" i="29" s="1"/>
  <c r="W3508" i="29"/>
  <c r="X3508" i="29" s="1"/>
  <c r="W3539" i="29"/>
  <c r="X3539" i="29" s="1"/>
  <c r="W3548" i="29"/>
  <c r="X3548" i="29" s="1"/>
  <c r="W3577" i="29"/>
  <c r="X3577" i="29" s="1"/>
  <c r="W3595" i="29"/>
  <c r="X3595" i="29" s="1"/>
  <c r="W3826" i="29"/>
  <c r="X3826" i="29" s="1"/>
  <c r="W3830" i="29"/>
  <c r="X3830" i="29" s="1"/>
  <c r="W3832" i="29"/>
  <c r="X3832" i="29" s="1"/>
  <c r="W3843" i="29"/>
  <c r="X3843" i="29" s="1"/>
  <c r="W3879" i="29"/>
  <c r="X3879" i="29" s="1"/>
  <c r="W3896" i="29"/>
  <c r="X3896" i="29" s="1"/>
  <c r="W3898" i="29"/>
  <c r="X3898" i="29" s="1"/>
  <c r="W3929" i="29"/>
  <c r="X3929" i="29" s="1"/>
  <c r="W4020" i="29"/>
  <c r="X4020" i="29" s="1"/>
  <c r="W3083" i="29"/>
  <c r="X3083" i="29" s="1"/>
  <c r="W3090" i="29"/>
  <c r="X3090" i="29" s="1"/>
  <c r="W3110" i="29"/>
  <c r="X3110" i="29" s="1"/>
  <c r="W3130" i="29"/>
  <c r="X3130" i="29" s="1"/>
  <c r="W3143" i="29"/>
  <c r="X3143" i="29" s="1"/>
  <c r="W3154" i="29"/>
  <c r="X3154" i="29" s="1"/>
  <c r="W3188" i="29"/>
  <c r="X3188" i="29" s="1"/>
  <c r="W3210" i="29"/>
  <c r="X3210" i="29" s="1"/>
  <c r="W3221" i="29"/>
  <c r="X3221" i="29" s="1"/>
  <c r="W3288" i="29"/>
  <c r="X3288" i="29" s="1"/>
  <c r="W3292" i="29"/>
  <c r="X3292" i="29" s="1"/>
  <c r="W3310" i="29"/>
  <c r="X3310" i="29" s="1"/>
  <c r="W3328" i="29"/>
  <c r="X3328" i="29" s="1"/>
  <c r="W3352" i="29"/>
  <c r="X3352" i="29" s="1"/>
  <c r="W3372" i="29"/>
  <c r="X3372" i="29" s="1"/>
  <c r="W3390" i="29"/>
  <c r="X3390" i="29" s="1"/>
  <c r="W3401" i="29"/>
  <c r="X3401" i="29" s="1"/>
  <c r="W3430" i="29"/>
  <c r="X3430" i="29" s="1"/>
  <c r="W3448" i="29"/>
  <c r="X3448" i="29" s="1"/>
  <c r="W3457" i="29"/>
  <c r="X3457" i="29" s="1"/>
  <c r="W3479" i="29"/>
  <c r="X3479" i="29" s="1"/>
  <c r="W3506" i="29"/>
  <c r="X3506" i="29" s="1"/>
  <c r="W3524" i="29"/>
  <c r="X3524" i="29" s="1"/>
  <c r="W3537" i="29"/>
  <c r="X3537" i="29" s="1"/>
  <c r="W3546" i="29"/>
  <c r="X3546" i="29" s="1"/>
  <c r="W3573" i="29"/>
  <c r="X3573" i="29" s="1"/>
  <c r="W3584" i="29"/>
  <c r="X3584" i="29" s="1"/>
  <c r="W3604" i="29"/>
  <c r="X3604" i="29" s="1"/>
  <c r="W3615" i="29"/>
  <c r="X3615" i="29" s="1"/>
  <c r="W3635" i="29"/>
  <c r="X3635" i="29" s="1"/>
  <c r="W3646" i="29"/>
  <c r="X3646" i="29" s="1"/>
  <c r="W3661" i="29"/>
  <c r="X3661" i="29" s="1"/>
  <c r="W3676" i="29"/>
  <c r="X3676" i="29" s="1"/>
  <c r="W3704" i="29"/>
  <c r="X3704" i="29" s="1"/>
  <c r="W3715" i="29"/>
  <c r="X3715" i="29" s="1"/>
  <c r="W3717" i="29"/>
  <c r="X3717" i="29" s="1"/>
  <c r="W3739" i="29"/>
  <c r="X3739" i="29" s="1"/>
  <c r="W3743" i="29"/>
  <c r="X3743" i="29" s="1"/>
  <c r="W3787" i="29"/>
  <c r="X3787" i="29" s="1"/>
  <c r="W3800" i="29"/>
  <c r="X3800" i="29" s="1"/>
  <c r="W3815" i="29"/>
  <c r="X3815" i="29" s="1"/>
  <c r="W3824" i="29"/>
  <c r="X3824" i="29" s="1"/>
  <c r="W3869" i="29"/>
  <c r="X3869" i="29" s="1"/>
  <c r="W3903" i="29"/>
  <c r="X3903" i="29" s="1"/>
  <c r="W3912" i="29"/>
  <c r="X3912" i="29" s="1"/>
  <c r="W3962" i="29"/>
  <c r="X3962" i="29" s="1"/>
  <c r="W3975" i="29"/>
  <c r="X3975" i="29" s="1"/>
  <c r="W4003" i="29"/>
  <c r="X4003" i="29" s="1"/>
  <c r="W4007" i="29"/>
  <c r="X4007" i="29" s="1"/>
  <c r="W4014" i="29"/>
  <c r="X4014" i="29" s="1"/>
  <c r="W4033" i="29"/>
  <c r="X4033" i="29" s="1"/>
  <c r="W4053" i="29"/>
  <c r="X4053" i="29" s="1"/>
  <c r="W3108" i="29"/>
  <c r="X3108" i="29" s="1"/>
  <c r="W3141" i="29"/>
  <c r="X3141" i="29" s="1"/>
  <c r="W3195" i="29"/>
  <c r="X3195" i="29" s="1"/>
  <c r="W3208" i="29"/>
  <c r="X3208" i="29" s="1"/>
  <c r="W3217" i="29"/>
  <c r="X3217" i="29" s="1"/>
  <c r="W3248" i="29"/>
  <c r="X3248" i="29" s="1"/>
  <c r="W3259" i="29"/>
  <c r="X3259" i="29" s="1"/>
  <c r="W3295" i="29"/>
  <c r="X3295" i="29" s="1"/>
  <c r="W3308" i="29"/>
  <c r="X3308" i="29" s="1"/>
  <c r="W3317" i="29"/>
  <c r="X3317" i="29" s="1"/>
  <c r="W3319" i="29"/>
  <c r="X3319" i="29" s="1"/>
  <c r="W3357" i="29"/>
  <c r="X3357" i="29" s="1"/>
  <c r="W3359" i="29"/>
  <c r="X3359" i="29" s="1"/>
  <c r="W3368" i="29"/>
  <c r="X3368" i="29" s="1"/>
  <c r="W3386" i="29"/>
  <c r="X3386" i="29" s="1"/>
  <c r="W3426" i="29"/>
  <c r="X3426" i="29" s="1"/>
  <c r="W3446" i="29"/>
  <c r="X3446" i="29" s="1"/>
  <c r="W3460" i="29"/>
  <c r="X3460" i="29" s="1"/>
  <c r="W3484" i="29"/>
  <c r="X3484" i="29" s="1"/>
  <c r="W3504" i="29"/>
  <c r="X3504" i="29" s="1"/>
  <c r="W3544" i="29"/>
  <c r="X3544" i="29" s="1"/>
  <c r="W3551" i="29"/>
  <c r="X3551" i="29" s="1"/>
  <c r="W3571" i="29"/>
  <c r="X3571" i="29" s="1"/>
  <c r="W3580" i="29"/>
  <c r="X3580" i="29" s="1"/>
  <c r="W3589" i="29"/>
  <c r="X3589" i="29" s="1"/>
  <c r="W3611" i="29"/>
  <c r="X3611" i="29" s="1"/>
  <c r="W3618" i="29"/>
  <c r="X3618" i="29" s="1"/>
  <c r="W3655" i="29"/>
  <c r="X3655" i="29" s="1"/>
  <c r="W3728" i="29"/>
  <c r="X3728" i="29" s="1"/>
  <c r="W3737" i="29"/>
  <c r="X3737" i="29" s="1"/>
  <c r="W3783" i="29"/>
  <c r="X3783" i="29" s="1"/>
  <c r="W3798" i="29"/>
  <c r="X3798" i="29" s="1"/>
  <c r="W3822" i="29"/>
  <c r="X3822" i="29" s="1"/>
  <c r="W3837" i="29"/>
  <c r="X3837" i="29" s="1"/>
  <c r="W3886" i="29"/>
  <c r="X3886" i="29" s="1"/>
  <c r="W3901" i="29"/>
  <c r="X3901" i="29" s="1"/>
  <c r="W3910" i="29"/>
  <c r="X3910" i="29" s="1"/>
  <c r="W3919" i="29"/>
  <c r="X3919" i="29" s="1"/>
  <c r="W3986" i="29"/>
  <c r="X3986" i="29" s="1"/>
  <c r="W4012" i="29"/>
  <c r="X4012" i="29" s="1"/>
  <c r="W4021" i="29"/>
  <c r="X4021" i="29" s="1"/>
  <c r="W4023" i="29"/>
  <c r="X4023" i="29" s="1"/>
  <c r="W3086" i="29"/>
  <c r="X3086" i="29" s="1"/>
  <c r="W3104" i="29"/>
  <c r="X3104" i="29" s="1"/>
  <c r="W3155" i="29"/>
  <c r="X3155" i="29" s="1"/>
  <c r="W3175" i="29"/>
  <c r="X3175" i="29" s="1"/>
  <c r="W3184" i="29"/>
  <c r="X3184" i="29" s="1"/>
  <c r="W3206" i="29"/>
  <c r="X3206" i="29" s="1"/>
  <c r="W3226" i="29"/>
  <c r="X3226" i="29" s="1"/>
  <c r="W3262" i="29"/>
  <c r="X3262" i="29" s="1"/>
  <c r="W3275" i="29"/>
  <c r="X3275" i="29" s="1"/>
  <c r="W3284" i="29"/>
  <c r="X3284" i="29" s="1"/>
  <c r="W3306" i="29"/>
  <c r="X3306" i="29" s="1"/>
  <c r="W3324" i="29"/>
  <c r="X3324" i="29" s="1"/>
  <c r="W3335" i="29"/>
  <c r="X3335" i="29" s="1"/>
  <c r="W3353" i="29"/>
  <c r="X3353" i="29" s="1"/>
  <c r="W3364" i="29"/>
  <c r="X3364" i="29" s="1"/>
  <c r="W3406" i="29"/>
  <c r="X3406" i="29" s="1"/>
  <c r="W3417" i="29"/>
  <c r="X3417" i="29" s="1"/>
  <c r="W3451" i="29"/>
  <c r="X3451" i="29" s="1"/>
  <c r="W3489" i="29"/>
  <c r="X3489" i="29" s="1"/>
  <c r="W3491" i="29"/>
  <c r="X3491" i="29" s="1"/>
  <c r="W3500" i="29"/>
  <c r="X3500" i="29" s="1"/>
  <c r="W3518" i="29"/>
  <c r="X3518" i="29" s="1"/>
  <c r="W3540" i="29"/>
  <c r="X3540" i="29" s="1"/>
  <c r="W3558" i="29"/>
  <c r="X3558" i="29" s="1"/>
  <c r="W3569" i="29"/>
  <c r="X3569" i="29" s="1"/>
  <c r="W3585" i="29"/>
  <c r="X3585" i="29" s="1"/>
  <c r="W3607" i="29"/>
  <c r="X3607" i="29" s="1"/>
  <c r="W3638" i="29"/>
  <c r="X3638" i="29" s="1"/>
  <c r="W3649" i="29"/>
  <c r="X3649" i="29" s="1"/>
  <c r="W3651" i="29"/>
  <c r="X3651" i="29" s="1"/>
  <c r="W3668" i="29"/>
  <c r="X3668" i="29" s="1"/>
  <c r="W3679" i="29"/>
  <c r="X3679" i="29" s="1"/>
  <c r="W3694" i="29"/>
  <c r="X3694" i="29" s="1"/>
  <c r="W3709" i="29"/>
  <c r="X3709" i="29" s="1"/>
  <c r="W3722" i="29"/>
  <c r="X3722" i="29" s="1"/>
  <c r="W3759" i="29"/>
  <c r="X3759" i="29" s="1"/>
  <c r="W3803" i="29"/>
  <c r="X3803" i="29" s="1"/>
  <c r="W3835" i="29"/>
  <c r="X3835" i="29" s="1"/>
  <c r="W3844" i="29"/>
  <c r="X3844" i="29" s="1"/>
  <c r="W3908" i="29"/>
  <c r="X3908" i="29" s="1"/>
  <c r="W3965" i="29"/>
  <c r="X3965" i="29" s="1"/>
  <c r="W3978" i="29"/>
  <c r="X3978" i="29" s="1"/>
  <c r="W3980" i="29"/>
  <c r="X3980" i="29" s="1"/>
  <c r="W4010" i="29"/>
  <c r="X4010" i="29" s="1"/>
  <c r="W4036" i="29"/>
  <c r="X4036" i="29" s="1"/>
  <c r="W4040" i="29"/>
  <c r="X4040" i="29" s="1"/>
  <c r="W4047" i="29"/>
  <c r="X4047" i="29" s="1"/>
  <c r="W4056" i="29"/>
  <c r="X4056" i="29" s="1"/>
  <c r="W2119" i="29"/>
  <c r="X2119" i="29" s="1"/>
  <c r="W2235" i="29"/>
  <c r="X2235" i="29" s="1"/>
  <c r="W2285" i="29"/>
  <c r="X2285" i="29" s="1"/>
  <c r="W2175" i="29"/>
  <c r="X2175" i="29" s="1"/>
  <c r="W2195" i="29"/>
  <c r="X2195" i="29" s="1"/>
  <c r="W2371" i="29"/>
  <c r="X2371" i="29" s="1"/>
  <c r="W2117" i="29"/>
  <c r="X2117" i="29" s="1"/>
  <c r="W2164" i="29"/>
  <c r="X2164" i="29" s="1"/>
  <c r="W2265" i="29"/>
  <c r="X2265" i="29" s="1"/>
  <c r="W2216" i="29"/>
  <c r="X2216" i="29" s="1"/>
  <c r="W2205" i="29"/>
  <c r="X2205" i="29" s="1"/>
  <c r="W2118" i="29"/>
  <c r="X2118" i="29" s="1"/>
  <c r="W2313" i="29"/>
  <c r="X2313" i="29" s="1"/>
  <c r="W2165" i="29"/>
  <c r="X2165" i="29" s="1"/>
  <c r="W2136" i="29"/>
  <c r="X2136" i="29" s="1"/>
  <c r="W2264" i="29"/>
  <c r="X2264" i="29" s="1"/>
  <c r="W2287" i="29"/>
  <c r="X2287" i="29" s="1"/>
  <c r="W2325" i="29"/>
  <c r="X2325" i="29" s="1"/>
  <c r="W2096" i="29"/>
  <c r="X2096" i="29" s="1"/>
  <c r="W2188" i="29"/>
  <c r="X2188" i="29" s="1"/>
  <c r="W2120" i="29"/>
  <c r="X2120" i="29" s="1"/>
  <c r="W2126" i="29"/>
  <c r="X2126" i="29" s="1"/>
  <c r="W2150" i="29"/>
  <c r="X2150" i="29" s="1"/>
  <c r="W2180" i="29"/>
  <c r="X2180" i="29" s="1"/>
  <c r="W2219" i="29"/>
  <c r="X2219" i="29" s="1"/>
  <c r="W2225" i="29"/>
  <c r="X2225" i="29" s="1"/>
  <c r="W2249" i="29"/>
  <c r="X2249" i="29" s="1"/>
  <c r="W2268" i="29"/>
  <c r="X2268" i="29" s="1"/>
  <c r="W2279" i="29"/>
  <c r="X2279" i="29" s="1"/>
  <c r="W2290" i="29"/>
  <c r="X2290" i="29" s="1"/>
  <c r="W2327" i="29"/>
  <c r="X2327" i="29" s="1"/>
  <c r="W2408" i="29"/>
  <c r="X2408" i="29" s="1"/>
  <c r="W2423" i="29"/>
  <c r="X2423" i="29" s="1"/>
  <c r="W2427" i="29"/>
  <c r="X2427" i="29" s="1"/>
  <c r="W2466" i="29"/>
  <c r="X2466" i="29" s="1"/>
  <c r="W2490" i="29"/>
  <c r="X2490" i="29" s="1"/>
  <c r="W2501" i="29"/>
  <c r="X2501" i="29" s="1"/>
  <c r="W2514" i="29"/>
  <c r="X2514" i="29" s="1"/>
  <c r="W2516" i="29"/>
  <c r="X2516" i="29" s="1"/>
  <c r="W2527" i="29"/>
  <c r="X2527" i="29" s="1"/>
  <c r="W2540" i="29"/>
  <c r="X2540" i="29" s="1"/>
  <c r="W2551" i="29"/>
  <c r="X2551" i="29" s="1"/>
  <c r="W2560" i="29"/>
  <c r="X2560" i="29" s="1"/>
  <c r="W2588" i="29"/>
  <c r="X2588" i="29" s="1"/>
  <c r="W2620" i="29"/>
  <c r="X2620" i="29" s="1"/>
  <c r="W2622" i="29"/>
  <c r="X2622" i="29" s="1"/>
  <c r="W2633" i="29"/>
  <c r="X2633" i="29" s="1"/>
  <c r="W2690" i="29"/>
  <c r="X2690" i="29" s="1"/>
  <c r="W2716" i="29"/>
  <c r="X2716" i="29" s="1"/>
  <c r="W2733" i="29"/>
  <c r="X2733" i="29" s="1"/>
  <c r="W2790" i="29"/>
  <c r="X2790" i="29" s="1"/>
  <c r="W2857" i="29"/>
  <c r="X2857" i="29" s="1"/>
  <c r="W3028" i="29"/>
  <c r="X3028" i="29" s="1"/>
  <c r="W3056" i="29"/>
  <c r="X3056" i="29" s="1"/>
  <c r="W2731" i="29"/>
  <c r="X2731" i="29" s="1"/>
  <c r="W2764" i="29"/>
  <c r="X2764" i="29" s="1"/>
  <c r="W2864" i="29"/>
  <c r="X2864" i="29" s="1"/>
  <c r="W2897" i="29"/>
  <c r="X2897" i="29" s="1"/>
  <c r="W2105" i="29"/>
  <c r="X2105" i="29" s="1"/>
  <c r="W2116" i="29"/>
  <c r="X2116" i="29" s="1"/>
  <c r="W2133" i="29"/>
  <c r="X2133" i="29" s="1"/>
  <c r="W2163" i="29"/>
  <c r="X2163" i="29" s="1"/>
  <c r="W2174" i="29"/>
  <c r="X2174" i="29" s="1"/>
  <c r="W2204" i="29"/>
  <c r="X2204" i="29" s="1"/>
  <c r="W2215" i="29"/>
  <c r="X2215" i="29" s="1"/>
  <c r="W2232" i="29"/>
  <c r="X2232" i="29" s="1"/>
  <c r="W2262" i="29"/>
  <c r="X2262" i="29" s="1"/>
  <c r="W2284" i="29"/>
  <c r="X2284" i="29" s="1"/>
  <c r="W2312" i="29"/>
  <c r="X2312" i="29" s="1"/>
  <c r="W2323" i="29"/>
  <c r="X2323" i="29" s="1"/>
  <c r="W2336" i="29"/>
  <c r="X2336" i="29" s="1"/>
  <c r="W2380" i="29"/>
  <c r="X2380" i="29" s="1"/>
  <c r="W2393" i="29"/>
  <c r="X2393" i="29" s="1"/>
  <c r="W2406" i="29"/>
  <c r="X2406" i="29" s="1"/>
  <c r="W2449" i="29"/>
  <c r="X2449" i="29" s="1"/>
  <c r="W2451" i="29"/>
  <c r="X2451" i="29" s="1"/>
  <c r="W2584" i="29"/>
  <c r="X2584" i="29" s="1"/>
  <c r="W2614" i="29"/>
  <c r="X2614" i="29" s="1"/>
  <c r="W2616" i="29"/>
  <c r="X2616" i="29" s="1"/>
  <c r="W2648" i="29"/>
  <c r="X2648" i="29" s="1"/>
  <c r="W2661" i="29"/>
  <c r="X2661" i="29" s="1"/>
  <c r="W2665" i="29"/>
  <c r="X2665" i="29" s="1"/>
  <c r="W2688" i="29"/>
  <c r="X2688" i="29" s="1"/>
  <c r="W2738" i="29"/>
  <c r="X2738" i="29" s="1"/>
  <c r="W2749" i="29"/>
  <c r="X2749" i="29" s="1"/>
  <c r="W2793" i="29"/>
  <c r="X2793" i="29" s="1"/>
  <c r="W2797" i="29"/>
  <c r="X2797" i="29" s="1"/>
  <c r="W2799" i="29"/>
  <c r="X2799" i="29" s="1"/>
  <c r="W2808" i="29"/>
  <c r="X2808" i="29" s="1"/>
  <c r="W2823" i="29"/>
  <c r="X2823" i="29" s="1"/>
  <c r="W2825" i="29"/>
  <c r="X2825" i="29" s="1"/>
  <c r="W2834" i="29"/>
  <c r="X2834" i="29" s="1"/>
  <c r="W2853" i="29"/>
  <c r="X2853" i="29" s="1"/>
  <c r="W2862" i="29"/>
  <c r="X2862" i="29" s="1"/>
  <c r="W2873" i="29"/>
  <c r="X2873" i="29" s="1"/>
  <c r="W2945" i="29"/>
  <c r="X2945" i="29" s="1"/>
  <c r="W2954" i="29"/>
  <c r="X2954" i="29" s="1"/>
  <c r="W2956" i="29"/>
  <c r="X2956" i="29" s="1"/>
  <c r="W2985" i="29"/>
  <c r="X2985" i="29" s="1"/>
  <c r="W2998" i="29"/>
  <c r="X2998" i="29" s="1"/>
  <c r="W3013" i="29"/>
  <c r="X3013" i="29" s="1"/>
  <c r="W3050" i="29"/>
  <c r="X3050" i="29" s="1"/>
  <c r="W3061" i="29"/>
  <c r="X3061" i="29" s="1"/>
  <c r="W3063" i="29"/>
  <c r="X3063" i="29" s="1"/>
  <c r="W2183" i="29"/>
  <c r="X2183" i="29" s="1"/>
  <c r="W2352" i="29"/>
  <c r="X2352" i="29" s="1"/>
  <c r="W2402" i="29"/>
  <c r="X2402" i="29" s="1"/>
  <c r="W2458" i="29"/>
  <c r="X2458" i="29" s="1"/>
  <c r="W2493" i="29"/>
  <c r="X2493" i="29" s="1"/>
  <c r="W2556" i="29"/>
  <c r="X2556" i="29" s="1"/>
  <c r="W2625" i="29"/>
  <c r="X2625" i="29" s="1"/>
  <c r="W2891" i="29"/>
  <c r="X2891" i="29" s="1"/>
  <c r="W2963" i="29"/>
  <c r="X2963" i="29" s="1"/>
  <c r="W3022" i="29"/>
  <c r="X3022" i="29" s="1"/>
  <c r="W2110" i="29"/>
  <c r="X2110" i="29" s="1"/>
  <c r="W2127" i="29"/>
  <c r="X2127" i="29" s="1"/>
  <c r="W2140" i="29"/>
  <c r="X2140" i="29" s="1"/>
  <c r="W2170" i="29"/>
  <c r="X2170" i="29" s="1"/>
  <c r="W2181" i="29"/>
  <c r="X2181" i="29" s="1"/>
  <c r="W2209" i="29"/>
  <c r="X2209" i="29" s="1"/>
  <c r="W2226" i="29"/>
  <c r="X2226" i="29" s="1"/>
  <c r="W2239" i="29"/>
  <c r="X2239" i="29" s="1"/>
  <c r="W2269" i="29"/>
  <c r="X2269" i="29" s="1"/>
  <c r="W2293" i="29"/>
  <c r="X2293" i="29" s="1"/>
  <c r="W2328" i="29"/>
  <c r="X2328" i="29" s="1"/>
  <c r="W2361" i="29"/>
  <c r="X2361" i="29" s="1"/>
  <c r="W2374" i="29"/>
  <c r="X2374" i="29" s="1"/>
  <c r="W2391" i="29"/>
  <c r="X2391" i="29" s="1"/>
  <c r="W2400" i="29"/>
  <c r="X2400" i="29" s="1"/>
  <c r="W2428" i="29"/>
  <c r="X2428" i="29" s="1"/>
  <c r="W2441" i="29"/>
  <c r="X2441" i="29" s="1"/>
  <c r="W2491" i="29"/>
  <c r="X2491" i="29" s="1"/>
  <c r="W2515" i="29"/>
  <c r="X2515" i="29" s="1"/>
  <c r="W2517" i="29"/>
  <c r="X2517" i="29" s="1"/>
  <c r="W2545" i="29"/>
  <c r="X2545" i="29" s="1"/>
  <c r="W2554" i="29"/>
  <c r="X2554" i="29" s="1"/>
  <c r="W2582" i="29"/>
  <c r="X2582" i="29" s="1"/>
  <c r="W2621" i="29"/>
  <c r="X2621" i="29" s="1"/>
  <c r="W2623" i="29"/>
  <c r="X2623" i="29" s="1"/>
  <c r="W2680" i="29"/>
  <c r="X2680" i="29" s="1"/>
  <c r="W2708" i="29"/>
  <c r="X2708" i="29" s="1"/>
  <c r="W2719" i="29"/>
  <c r="X2719" i="29" s="1"/>
  <c r="W2754" i="29"/>
  <c r="X2754" i="29" s="1"/>
  <c r="W2789" i="29"/>
  <c r="X2789" i="29" s="1"/>
  <c r="W2791" i="29"/>
  <c r="X2791" i="29" s="1"/>
  <c r="W2813" i="29"/>
  <c r="X2813" i="29" s="1"/>
  <c r="W2832" i="29"/>
  <c r="X2832" i="29" s="1"/>
  <c r="W2845" i="29"/>
  <c r="X2845" i="29" s="1"/>
  <c r="W2858" i="29"/>
  <c r="X2858" i="29" s="1"/>
  <c r="W2917" i="29"/>
  <c r="X2917" i="29" s="1"/>
  <c r="W2972" i="29"/>
  <c r="X2972" i="29" s="1"/>
  <c r="W3020" i="29"/>
  <c r="X3020" i="29" s="1"/>
  <c r="W3044" i="29"/>
  <c r="X3044" i="29" s="1"/>
  <c r="W3053" i="29"/>
  <c r="X3053" i="29" s="1"/>
  <c r="W2097" i="29"/>
  <c r="X2097" i="29" s="1"/>
  <c r="W2108" i="29"/>
  <c r="X2108" i="29" s="1"/>
  <c r="W2138" i="29"/>
  <c r="X2138" i="29" s="1"/>
  <c r="W2149" i="29"/>
  <c r="X2149" i="29" s="1"/>
  <c r="W2166" i="29"/>
  <c r="X2166" i="29" s="1"/>
  <c r="W2196" i="29"/>
  <c r="X2196" i="29" s="1"/>
  <c r="W2207" i="29"/>
  <c r="X2207" i="29" s="1"/>
  <c r="W2237" i="29"/>
  <c r="X2237" i="29" s="1"/>
  <c r="W2248" i="29"/>
  <c r="X2248" i="29" s="1"/>
  <c r="W2315" i="29"/>
  <c r="X2315" i="29" s="1"/>
  <c r="W2337" i="29"/>
  <c r="X2337" i="29" s="1"/>
  <c r="W2372" i="29"/>
  <c r="X2372" i="29" s="1"/>
  <c r="W2426" i="29"/>
  <c r="X2426" i="29" s="1"/>
  <c r="W2439" i="29"/>
  <c r="X2439" i="29" s="1"/>
  <c r="W2478" i="29"/>
  <c r="X2478" i="29" s="1"/>
  <c r="W2489" i="29"/>
  <c r="X2489" i="29" s="1"/>
  <c r="W2580" i="29"/>
  <c r="X2580" i="29" s="1"/>
  <c r="W2649" i="29"/>
  <c r="X2649" i="29" s="1"/>
  <c r="W2715" i="29"/>
  <c r="X2715" i="29" s="1"/>
  <c r="W2730" i="29"/>
  <c r="X2730" i="29" s="1"/>
  <c r="W2763" i="29"/>
  <c r="X2763" i="29" s="1"/>
  <c r="W2787" i="29"/>
  <c r="X2787" i="29" s="1"/>
  <c r="W2800" i="29"/>
  <c r="X2800" i="29" s="1"/>
  <c r="W2826" i="29"/>
  <c r="X2826" i="29" s="1"/>
  <c r="W2841" i="29"/>
  <c r="X2841" i="29" s="1"/>
  <c r="W2887" i="29"/>
  <c r="X2887" i="29" s="1"/>
  <c r="W2913" i="29"/>
  <c r="X2913" i="29" s="1"/>
  <c r="W2933" i="29"/>
  <c r="X2933" i="29" s="1"/>
  <c r="W2939" i="29"/>
  <c r="X2939" i="29" s="1"/>
  <c r="W2966" i="29"/>
  <c r="X2966" i="29" s="1"/>
  <c r="W2979" i="29"/>
  <c r="X2979" i="29" s="1"/>
  <c r="W3005" i="29"/>
  <c r="X3005" i="29" s="1"/>
  <c r="W3027" i="29"/>
  <c r="X3027" i="29" s="1"/>
  <c r="W3064" i="29"/>
  <c r="X3064" i="29" s="1"/>
  <c r="W2407" i="29"/>
  <c r="X2407" i="29" s="1"/>
  <c r="W2422" i="29"/>
  <c r="X2422" i="29" s="1"/>
  <c r="W2474" i="29"/>
  <c r="X2474" i="29" s="1"/>
  <c r="W2587" i="29"/>
  <c r="X2587" i="29" s="1"/>
  <c r="W2598" i="29"/>
  <c r="X2598" i="29" s="1"/>
  <c r="W2617" i="29"/>
  <c r="X2617" i="29" s="1"/>
  <c r="W2664" i="29"/>
  <c r="X2664" i="29" s="1"/>
  <c r="W2689" i="29"/>
  <c r="X2689" i="29" s="1"/>
  <c r="W2768" i="29"/>
  <c r="X2768" i="29" s="1"/>
  <c r="W2785" i="29"/>
  <c r="X2785" i="29" s="1"/>
  <c r="W2820" i="29"/>
  <c r="X2820" i="29" s="1"/>
  <c r="W2837" i="29"/>
  <c r="X2837" i="29" s="1"/>
  <c r="W2863" i="29"/>
  <c r="X2863" i="29" s="1"/>
  <c r="W2892" i="29"/>
  <c r="X2892" i="29" s="1"/>
  <c r="W2907" i="29"/>
  <c r="X2907" i="29" s="1"/>
  <c r="W2911" i="29"/>
  <c r="X2911" i="29" s="1"/>
  <c r="W2920" i="29"/>
  <c r="X2920" i="29" s="1"/>
  <c r="W2955" i="29"/>
  <c r="X2955" i="29" s="1"/>
  <c r="W3038" i="29"/>
  <c r="X3038" i="29" s="1"/>
  <c r="W2385" i="29"/>
  <c r="X2385" i="29" s="1"/>
  <c r="W2143" i="29"/>
  <c r="X2143" i="29" s="1"/>
  <c r="W2242" i="29"/>
  <c r="X2242" i="29" s="1"/>
  <c r="W2418" i="29"/>
  <c r="X2418" i="29" s="1"/>
  <c r="W2494" i="29"/>
  <c r="X2494" i="29" s="1"/>
  <c r="W2557" i="29"/>
  <c r="X2557" i="29" s="1"/>
  <c r="W2615" i="29"/>
  <c r="X2615" i="29" s="1"/>
  <c r="W2626" i="29"/>
  <c r="X2626" i="29" s="1"/>
  <c r="W2660" i="29"/>
  <c r="X2660" i="29" s="1"/>
  <c r="W2700" i="29"/>
  <c r="X2700" i="29" s="1"/>
  <c r="W3023" i="29"/>
  <c r="X3023" i="29" s="1"/>
  <c r="W3060" i="29"/>
  <c r="X3060" i="29" s="1"/>
  <c r="W2394" i="29"/>
  <c r="X2394" i="29" s="1"/>
  <c r="W2100" i="29"/>
  <c r="X2100" i="29" s="1"/>
  <c r="W2130" i="29"/>
  <c r="X2130" i="29" s="1"/>
  <c r="W2141" i="29"/>
  <c r="X2141" i="29" s="1"/>
  <c r="W2171" i="29"/>
  <c r="X2171" i="29" s="1"/>
  <c r="W2182" i="29"/>
  <c r="X2182" i="29" s="1"/>
  <c r="W2199" i="29"/>
  <c r="X2199" i="29" s="1"/>
  <c r="W2229" i="29"/>
  <c r="X2229" i="29" s="1"/>
  <c r="W2240" i="29"/>
  <c r="X2240" i="29" s="1"/>
  <c r="W2281" i="29"/>
  <c r="X2281" i="29" s="1"/>
  <c r="W2340" i="29"/>
  <c r="X2340" i="29" s="1"/>
  <c r="W2375" i="29"/>
  <c r="X2375" i="29" s="1"/>
  <c r="W2390" i="29"/>
  <c r="X2390" i="29" s="1"/>
  <c r="W2392" i="29"/>
  <c r="X2392" i="29" s="1"/>
  <c r="W2414" i="29"/>
  <c r="X2414" i="29" s="1"/>
  <c r="W2483" i="29"/>
  <c r="X2483" i="29" s="1"/>
  <c r="W2492" i="29"/>
  <c r="X2492" i="29" s="1"/>
  <c r="W2518" i="29"/>
  <c r="X2518" i="29" s="1"/>
  <c r="W2533" i="29"/>
  <c r="X2533" i="29" s="1"/>
  <c r="W2555" i="29"/>
  <c r="X2555" i="29" s="1"/>
  <c r="W2566" i="29"/>
  <c r="X2566" i="29" s="1"/>
  <c r="W2583" i="29"/>
  <c r="X2583" i="29" s="1"/>
  <c r="W2592" i="29"/>
  <c r="X2592" i="29" s="1"/>
  <c r="W2624" i="29"/>
  <c r="X2624" i="29" s="1"/>
  <c r="W2656" i="29"/>
  <c r="X2656" i="29" s="1"/>
  <c r="W2658" i="29"/>
  <c r="X2658" i="29" s="1"/>
  <c r="W2683" i="29"/>
  <c r="X2683" i="29" s="1"/>
  <c r="W2694" i="29"/>
  <c r="X2694" i="29" s="1"/>
  <c r="W2698" i="29"/>
  <c r="X2698" i="29" s="1"/>
  <c r="W2755" i="29"/>
  <c r="X2755" i="29" s="1"/>
  <c r="W2757" i="29"/>
  <c r="X2757" i="29" s="1"/>
  <c r="W2792" i="29"/>
  <c r="X2792" i="29" s="1"/>
  <c r="W2814" i="29"/>
  <c r="X2814" i="29" s="1"/>
  <c r="W2818" i="29"/>
  <c r="X2818" i="29" s="1"/>
  <c r="W2846" i="29"/>
  <c r="X2846" i="29" s="1"/>
  <c r="W2866" i="29"/>
  <c r="X2866" i="29" s="1"/>
  <c r="W2899" i="29"/>
  <c r="X2899" i="29" s="1"/>
  <c r="W2925" i="29"/>
  <c r="X2925" i="29" s="1"/>
  <c r="W2929" i="29"/>
  <c r="X2929" i="29" s="1"/>
  <c r="W2973" i="29"/>
  <c r="X2973" i="29" s="1"/>
  <c r="W2997" i="29"/>
  <c r="X2997" i="29" s="1"/>
  <c r="W3045" i="29"/>
  <c r="X3045" i="29" s="1"/>
  <c r="W3071" i="29"/>
  <c r="X3071" i="29" s="1"/>
  <c r="W1271" i="29"/>
  <c r="X1271" i="29" s="1"/>
  <c r="W1493" i="29"/>
  <c r="X1493" i="29" s="1"/>
  <c r="W1525" i="29"/>
  <c r="X1525" i="29" s="1"/>
  <c r="W1536" i="29"/>
  <c r="X1536" i="29" s="1"/>
  <c r="W1763" i="29"/>
  <c r="X1763" i="29" s="1"/>
  <c r="W1823" i="29"/>
  <c r="X1823" i="29" s="1"/>
  <c r="W1952" i="29"/>
  <c r="X1952" i="29" s="1"/>
  <c r="W2051" i="29"/>
  <c r="X2051" i="29" s="1"/>
  <c r="W1106" i="29"/>
  <c r="X1106" i="29" s="1"/>
  <c r="W1139" i="29"/>
  <c r="X1139" i="29" s="1"/>
  <c r="W1172" i="29"/>
  <c r="X1172" i="29" s="1"/>
  <c r="W1205" i="29"/>
  <c r="X1205" i="29" s="1"/>
  <c r="W1238" i="29"/>
  <c r="X1238" i="29" s="1"/>
  <c r="W1304" i="29"/>
  <c r="X1304" i="29" s="1"/>
  <c r="W1338" i="29"/>
  <c r="X1338" i="29" s="1"/>
  <c r="W1104" i="29"/>
  <c r="X1104" i="29" s="1"/>
  <c r="W1137" i="29"/>
  <c r="X1137" i="29" s="1"/>
  <c r="W1170" i="29"/>
  <c r="X1170" i="29" s="1"/>
  <c r="W1203" i="29"/>
  <c r="X1203" i="29" s="1"/>
  <c r="W1236" i="29"/>
  <c r="X1236" i="29" s="1"/>
  <c r="W1269" i="29"/>
  <c r="X1269" i="29" s="1"/>
  <c r="W1302" i="29"/>
  <c r="X1302" i="29" s="1"/>
  <c r="W1349" i="29"/>
  <c r="X1349" i="29" s="1"/>
  <c r="W1362" i="29"/>
  <c r="X1362" i="29" s="1"/>
  <c r="W1366" i="29"/>
  <c r="X1366" i="29" s="1"/>
  <c r="W1404" i="29"/>
  <c r="X1404" i="29" s="1"/>
  <c r="W1421" i="29"/>
  <c r="X1421" i="29" s="1"/>
  <c r="W1449" i="29"/>
  <c r="X1449" i="29" s="1"/>
  <c r="W1451" i="29"/>
  <c r="X1451" i="29" s="1"/>
  <c r="W1459" i="29"/>
  <c r="X1459" i="29" s="1"/>
  <c r="W1481" i="29"/>
  <c r="X1481" i="29" s="1"/>
  <c r="W1487" i="29"/>
  <c r="X1487" i="29" s="1"/>
  <c r="W1502" i="29"/>
  <c r="X1502" i="29" s="1"/>
  <c r="W1517" i="29"/>
  <c r="X1517" i="29" s="1"/>
  <c r="W1560" i="29"/>
  <c r="X1560" i="29" s="1"/>
  <c r="W1586" i="29"/>
  <c r="X1586" i="29" s="1"/>
  <c r="W1599" i="29"/>
  <c r="X1599" i="29" s="1"/>
  <c r="W1608" i="29"/>
  <c r="X1608" i="29" s="1"/>
  <c r="W1625" i="29"/>
  <c r="X1625" i="29" s="1"/>
  <c r="W1699" i="29"/>
  <c r="X1699" i="29" s="1"/>
  <c r="W1701" i="29"/>
  <c r="X1701" i="29" s="1"/>
  <c r="W1712" i="29"/>
  <c r="X1712" i="29" s="1"/>
  <c r="W1723" i="29"/>
  <c r="X1723" i="29" s="1"/>
  <c r="W1752" i="29"/>
  <c r="X1752" i="29" s="1"/>
  <c r="W1759" i="29"/>
  <c r="X1759" i="29" s="1"/>
  <c r="W1770" i="29"/>
  <c r="X1770" i="29" s="1"/>
  <c r="W1781" i="29"/>
  <c r="X1781" i="29" s="1"/>
  <c r="W1799" i="29"/>
  <c r="X1799" i="29" s="1"/>
  <c r="W1821" i="29"/>
  <c r="X1821" i="29" s="1"/>
  <c r="W1830" i="29"/>
  <c r="X1830" i="29" s="1"/>
  <c r="W1879" i="29"/>
  <c r="X1879" i="29" s="1"/>
  <c r="W1896" i="29"/>
  <c r="X1896" i="29" s="1"/>
  <c r="W1909" i="29"/>
  <c r="X1909" i="29" s="1"/>
  <c r="W1939" i="29"/>
  <c r="X1939" i="29" s="1"/>
  <c r="W1950" i="29"/>
  <c r="X1950" i="29" s="1"/>
  <c r="W1978" i="29"/>
  <c r="X1978" i="29" s="1"/>
  <c r="W1995" i="29"/>
  <c r="X1995" i="29" s="1"/>
  <c r="W2008" i="29"/>
  <c r="X2008" i="29" s="1"/>
  <c r="W2038" i="29"/>
  <c r="X2038" i="29" s="1"/>
  <c r="W2049" i="29"/>
  <c r="X2049" i="29" s="1"/>
  <c r="W2077" i="29"/>
  <c r="X2077" i="29" s="1"/>
  <c r="W1102" i="29"/>
  <c r="X1102" i="29" s="1"/>
  <c r="W1113" i="29"/>
  <c r="X1113" i="29" s="1"/>
  <c r="W1126" i="29"/>
  <c r="X1126" i="29" s="1"/>
  <c r="W1135" i="29"/>
  <c r="X1135" i="29" s="1"/>
  <c r="W1146" i="29"/>
  <c r="X1146" i="29" s="1"/>
  <c r="W1179" i="29"/>
  <c r="X1179" i="29" s="1"/>
  <c r="W1212" i="29"/>
  <c r="X1212" i="29" s="1"/>
  <c r="W1245" i="29"/>
  <c r="X1245" i="29" s="1"/>
  <c r="W1278" i="29"/>
  <c r="X1278" i="29" s="1"/>
  <c r="W1311" i="29"/>
  <c r="X1311" i="29" s="1"/>
  <c r="W1334" i="29"/>
  <c r="X1334" i="29" s="1"/>
  <c r="W1477" i="29"/>
  <c r="X1477" i="29" s="1"/>
  <c r="W1500" i="29"/>
  <c r="X1500" i="29" s="1"/>
  <c r="W1532" i="29"/>
  <c r="X1532" i="29" s="1"/>
  <c r="W1543" i="29"/>
  <c r="X1543" i="29" s="1"/>
  <c r="W1668" i="29"/>
  <c r="X1668" i="29" s="1"/>
  <c r="W1681" i="29"/>
  <c r="X1681" i="29" s="1"/>
  <c r="W1690" i="29"/>
  <c r="X1690" i="29" s="1"/>
  <c r="W1721" i="29"/>
  <c r="X1721" i="29" s="1"/>
  <c r="W1797" i="29"/>
  <c r="X1797" i="29" s="1"/>
  <c r="W1272" i="29"/>
  <c r="X1272" i="29" s="1"/>
  <c r="W1305" i="29"/>
  <c r="X1305" i="29" s="1"/>
  <c r="W1326" i="29"/>
  <c r="X1326" i="29" s="1"/>
  <c r="W1345" i="29"/>
  <c r="X1345" i="29" s="1"/>
  <c r="W1473" i="29"/>
  <c r="X1473" i="29" s="1"/>
  <c r="W1494" i="29"/>
  <c r="X1494" i="29" s="1"/>
  <c r="W1509" i="29"/>
  <c r="X1509" i="29" s="1"/>
  <c r="W1539" i="29"/>
  <c r="X1539" i="29" s="1"/>
  <c r="W1554" i="29"/>
  <c r="X1554" i="29" s="1"/>
  <c r="W1558" i="29"/>
  <c r="X1558" i="29" s="1"/>
  <c r="W1602" i="29"/>
  <c r="X1602" i="29" s="1"/>
  <c r="W1613" i="29"/>
  <c r="X1613" i="29" s="1"/>
  <c r="W1648" i="29"/>
  <c r="X1648" i="29" s="1"/>
  <c r="W1697" i="29"/>
  <c r="X1697" i="29" s="1"/>
  <c r="W1708" i="29"/>
  <c r="X1708" i="29" s="1"/>
  <c r="W1757" i="29"/>
  <c r="X1757" i="29" s="1"/>
  <c r="W1777" i="29"/>
  <c r="X1777" i="29" s="1"/>
  <c r="W1795" i="29"/>
  <c r="X1795" i="29" s="1"/>
  <c r="W1806" i="29"/>
  <c r="X1806" i="29" s="1"/>
  <c r="W1817" i="29"/>
  <c r="X1817" i="29" s="1"/>
  <c r="W1824" i="29"/>
  <c r="X1824" i="29" s="1"/>
  <c r="W1833" i="29"/>
  <c r="X1833" i="29" s="1"/>
  <c r="W1846" i="29"/>
  <c r="X1846" i="29" s="1"/>
  <c r="W1886" i="29"/>
  <c r="X1886" i="29" s="1"/>
  <c r="W1916" i="29"/>
  <c r="X1916" i="29" s="1"/>
  <c r="W1955" i="29"/>
  <c r="X1955" i="29" s="1"/>
  <c r="W1961" i="29"/>
  <c r="X1961" i="29" s="1"/>
  <c r="W1985" i="29"/>
  <c r="X1985" i="29" s="1"/>
  <c r="W2015" i="29"/>
  <c r="X2015" i="29" s="1"/>
  <c r="W2054" i="29"/>
  <c r="X2054" i="29" s="1"/>
  <c r="W2060" i="29"/>
  <c r="X2060" i="29" s="1"/>
  <c r="W2084" i="29"/>
  <c r="X2084" i="29" s="1"/>
  <c r="W1107" i="29"/>
  <c r="X1107" i="29" s="1"/>
  <c r="W1164" i="29"/>
  <c r="X1164" i="29" s="1"/>
  <c r="W1197" i="29"/>
  <c r="X1197" i="29" s="1"/>
  <c r="W1230" i="29"/>
  <c r="X1230" i="29" s="1"/>
  <c r="W1263" i="29"/>
  <c r="X1263" i="29" s="1"/>
  <c r="W1296" i="29"/>
  <c r="X1296" i="29" s="1"/>
  <c r="W1350" i="29"/>
  <c r="X1350" i="29" s="1"/>
  <c r="W1371" i="29"/>
  <c r="X1371" i="29" s="1"/>
  <c r="W1392" i="29"/>
  <c r="X1392" i="29" s="1"/>
  <c r="W1407" i="29"/>
  <c r="X1407" i="29" s="1"/>
  <c r="W1426" i="29"/>
  <c r="X1426" i="29" s="1"/>
  <c r="W1435" i="29"/>
  <c r="X1435" i="29" s="1"/>
  <c r="W1456" i="29"/>
  <c r="X1456" i="29" s="1"/>
  <c r="W1458" i="29"/>
  <c r="X1458" i="29" s="1"/>
  <c r="W1460" i="29"/>
  <c r="X1460" i="29" s="1"/>
  <c r="W1488" i="29"/>
  <c r="X1488" i="29" s="1"/>
  <c r="W1520" i="29"/>
  <c r="X1520" i="29" s="1"/>
  <c r="W1535" i="29"/>
  <c r="X1535" i="29" s="1"/>
  <c r="W1550" i="29"/>
  <c r="X1550" i="29" s="1"/>
  <c r="W1565" i="29"/>
  <c r="X1565" i="29" s="1"/>
  <c r="W1572" i="29"/>
  <c r="X1572" i="29" s="1"/>
  <c r="W1587" i="29"/>
  <c r="X1587" i="29" s="1"/>
  <c r="W1591" i="29"/>
  <c r="X1591" i="29" s="1"/>
  <c r="W1633" i="29"/>
  <c r="X1633" i="29" s="1"/>
  <c r="W1655" i="29"/>
  <c r="X1655" i="29" s="1"/>
  <c r="W1664" i="29"/>
  <c r="X1664" i="29" s="1"/>
  <c r="W1675" i="29"/>
  <c r="X1675" i="29" s="1"/>
  <c r="W1724" i="29"/>
  <c r="X1724" i="29" s="1"/>
  <c r="W1744" i="29"/>
  <c r="X1744" i="29" s="1"/>
  <c r="W1762" i="29"/>
  <c r="X1762" i="29" s="1"/>
  <c r="W1773" i="29"/>
  <c r="X1773" i="29" s="1"/>
  <c r="W1784" i="29"/>
  <c r="X1784" i="29" s="1"/>
  <c r="W1791" i="29"/>
  <c r="X1791" i="29" s="1"/>
  <c r="W1800" i="29"/>
  <c r="X1800" i="29" s="1"/>
  <c r="W1813" i="29"/>
  <c r="X1813" i="29" s="1"/>
  <c r="W1853" i="29"/>
  <c r="X1853" i="29" s="1"/>
  <c r="W1862" i="29"/>
  <c r="X1862" i="29" s="1"/>
  <c r="W1869" i="29"/>
  <c r="X1869" i="29" s="1"/>
  <c r="W1899" i="29"/>
  <c r="X1899" i="29" s="1"/>
  <c r="W1910" i="29"/>
  <c r="X1910" i="29" s="1"/>
  <c r="W1940" i="29"/>
  <c r="X1940" i="29" s="1"/>
  <c r="W1951" i="29"/>
  <c r="X1951" i="29" s="1"/>
  <c r="W1968" i="29"/>
  <c r="X1968" i="29" s="1"/>
  <c r="W1998" i="29"/>
  <c r="X1998" i="29" s="1"/>
  <c r="W2009" i="29"/>
  <c r="X2009" i="29" s="1"/>
  <c r="W2039" i="29"/>
  <c r="X2039" i="29" s="1"/>
  <c r="W2050" i="29"/>
  <c r="X2050" i="29" s="1"/>
  <c r="W2067" i="29"/>
  <c r="X2067" i="29" s="1"/>
  <c r="W1103" i="29"/>
  <c r="X1103" i="29" s="1"/>
  <c r="W1114" i="29"/>
  <c r="X1114" i="29" s="1"/>
  <c r="W1136" i="29"/>
  <c r="X1136" i="29" s="1"/>
  <c r="W1147" i="29"/>
  <c r="X1147" i="29" s="1"/>
  <c r="W1169" i="29"/>
  <c r="X1169" i="29" s="1"/>
  <c r="W1180" i="29"/>
  <c r="X1180" i="29" s="1"/>
  <c r="W1202" i="29"/>
  <c r="X1202" i="29" s="1"/>
  <c r="W1213" i="29"/>
  <c r="X1213" i="29" s="1"/>
  <c r="W1235" i="29"/>
  <c r="X1235" i="29" s="1"/>
  <c r="W1246" i="29"/>
  <c r="X1246" i="29" s="1"/>
  <c r="W1268" i="29"/>
  <c r="X1268" i="29" s="1"/>
  <c r="W1301" i="29"/>
  <c r="X1301" i="29" s="1"/>
  <c r="W1333" i="29"/>
  <c r="X1333" i="29" s="1"/>
  <c r="W1335" i="29"/>
  <c r="X1335" i="29" s="1"/>
  <c r="W1382" i="29"/>
  <c r="X1382" i="29" s="1"/>
  <c r="W1388" i="29"/>
  <c r="X1388" i="29" s="1"/>
  <c r="W1416" i="29"/>
  <c r="X1416" i="29" s="1"/>
  <c r="W1448" i="29"/>
  <c r="X1448" i="29" s="1"/>
  <c r="W1465" i="29"/>
  <c r="X1465" i="29" s="1"/>
  <c r="W1467" i="29"/>
  <c r="X1467" i="29" s="1"/>
  <c r="W1480" i="29"/>
  <c r="X1480" i="29" s="1"/>
  <c r="W1531" i="29"/>
  <c r="X1531" i="29" s="1"/>
  <c r="W1533" i="29"/>
  <c r="X1533" i="29" s="1"/>
  <c r="W1568" i="29"/>
  <c r="X1568" i="29" s="1"/>
  <c r="W1583" i="29"/>
  <c r="X1583" i="29" s="1"/>
  <c r="W1598" i="29"/>
  <c r="X1598" i="29" s="1"/>
  <c r="W1605" i="29"/>
  <c r="X1605" i="29" s="1"/>
  <c r="W1620" i="29"/>
  <c r="X1620" i="29" s="1"/>
  <c r="W1624" i="29"/>
  <c r="X1624" i="29" s="1"/>
  <c r="W1642" i="29"/>
  <c r="X1642" i="29" s="1"/>
  <c r="W1691" i="29"/>
  <c r="X1691" i="29" s="1"/>
  <c r="W1711" i="29"/>
  <c r="X1711" i="29" s="1"/>
  <c r="W1729" i="29"/>
  <c r="X1729" i="29" s="1"/>
  <c r="W1740" i="29"/>
  <c r="X1740" i="29" s="1"/>
  <c r="W1751" i="29"/>
  <c r="X1751" i="29" s="1"/>
  <c r="W1758" i="29"/>
  <c r="X1758" i="29" s="1"/>
  <c r="W1767" i="29"/>
  <c r="X1767" i="29" s="1"/>
  <c r="W1780" i="29"/>
  <c r="X1780" i="29" s="1"/>
  <c r="W1820" i="29"/>
  <c r="X1820" i="29" s="1"/>
  <c r="W1829" i="29"/>
  <c r="X1829" i="29" s="1"/>
  <c r="W1889" i="29"/>
  <c r="X1889" i="29" s="1"/>
  <c r="W1895" i="29"/>
  <c r="X1895" i="29" s="1"/>
  <c r="W1919" i="29"/>
  <c r="X1919" i="29" s="1"/>
  <c r="W1949" i="29"/>
  <c r="X1949" i="29" s="1"/>
  <c r="W1988" i="29"/>
  <c r="X1988" i="29" s="1"/>
  <c r="W1994" i="29"/>
  <c r="X1994" i="29" s="1"/>
  <c r="W2018" i="29"/>
  <c r="X2018" i="29" s="1"/>
  <c r="W2048" i="29"/>
  <c r="X2048" i="29" s="1"/>
  <c r="W2087" i="29"/>
  <c r="X2087" i="29" s="1"/>
  <c r="W1121" i="29"/>
  <c r="X1121" i="29" s="1"/>
  <c r="W1154" i="29"/>
  <c r="X1154" i="29" s="1"/>
  <c r="W1187" i="29"/>
  <c r="X1187" i="29" s="1"/>
  <c r="W1220" i="29"/>
  <c r="X1220" i="29" s="1"/>
  <c r="W1253" i="29"/>
  <c r="X1253" i="29" s="1"/>
  <c r="W1286" i="29"/>
  <c r="X1286" i="29" s="1"/>
  <c r="W1323" i="29"/>
  <c r="X1323" i="29" s="1"/>
  <c r="W1344" i="29"/>
  <c r="X1344" i="29" s="1"/>
  <c r="W1357" i="29"/>
  <c r="X1357" i="29" s="1"/>
  <c r="W1399" i="29"/>
  <c r="X1399" i="29" s="1"/>
  <c r="W1401" i="29"/>
  <c r="X1401" i="29" s="1"/>
  <c r="W1440" i="29"/>
  <c r="X1440" i="29" s="1"/>
  <c r="W1461" i="29"/>
  <c r="X1461" i="29" s="1"/>
  <c r="W1495" i="29"/>
  <c r="X1495" i="29" s="1"/>
  <c r="W1499" i="29"/>
  <c r="X1499" i="29" s="1"/>
  <c r="W1510" i="29"/>
  <c r="X1510" i="29" s="1"/>
  <c r="W1557" i="29"/>
  <c r="X1557" i="29" s="1"/>
  <c r="W1601" i="29"/>
  <c r="X1601" i="29" s="1"/>
  <c r="W1616" i="29"/>
  <c r="X1616" i="29" s="1"/>
  <c r="W1627" i="29"/>
  <c r="X1627" i="29" s="1"/>
  <c r="W1658" i="29"/>
  <c r="X1658" i="29" s="1"/>
  <c r="W1678" i="29"/>
  <c r="X1678" i="29" s="1"/>
  <c r="W1696" i="29"/>
  <c r="X1696" i="29" s="1"/>
  <c r="W1707" i="29"/>
  <c r="X1707" i="29" s="1"/>
  <c r="W1718" i="29"/>
  <c r="X1718" i="29" s="1"/>
  <c r="W1725" i="29"/>
  <c r="X1725" i="29" s="1"/>
  <c r="W1747" i="29"/>
  <c r="X1747" i="29" s="1"/>
  <c r="W1787" i="29"/>
  <c r="X1787" i="29" s="1"/>
  <c r="W1796" i="29"/>
  <c r="X1796" i="29" s="1"/>
  <c r="W1856" i="29"/>
  <c r="X1856" i="29" s="1"/>
  <c r="W1874" i="29"/>
  <c r="X1874" i="29" s="1"/>
  <c r="W1885" i="29"/>
  <c r="X1885" i="29" s="1"/>
  <c r="W1902" i="29"/>
  <c r="X1902" i="29" s="1"/>
  <c r="W1932" i="29"/>
  <c r="X1932" i="29" s="1"/>
  <c r="W1943" i="29"/>
  <c r="X1943" i="29" s="1"/>
  <c r="W1973" i="29"/>
  <c r="X1973" i="29" s="1"/>
  <c r="W1984" i="29"/>
  <c r="X1984" i="29" s="1"/>
  <c r="W2001" i="29"/>
  <c r="X2001" i="29" s="1"/>
  <c r="W2031" i="29"/>
  <c r="X2031" i="29" s="1"/>
  <c r="W2042" i="29"/>
  <c r="X2042" i="29" s="1"/>
  <c r="W2072" i="29"/>
  <c r="X2072" i="29" s="1"/>
  <c r="W2083" i="29"/>
  <c r="X2083" i="29" s="1"/>
  <c r="W1073" i="29"/>
  <c r="X1073" i="29" s="1"/>
  <c r="W1005" i="29"/>
  <c r="X1005" i="29" s="1"/>
  <c r="W1038" i="29"/>
  <c r="X1038" i="29" s="1"/>
  <c r="W1071" i="29"/>
  <c r="X1071" i="29" s="1"/>
  <c r="W996" i="29"/>
  <c r="X996" i="29" s="1"/>
  <c r="W1029" i="29"/>
  <c r="X1029" i="29" s="1"/>
  <c r="W1062" i="29"/>
  <c r="X1062" i="29" s="1"/>
  <c r="W999" i="29"/>
  <c r="X999" i="29" s="1"/>
  <c r="W1032" i="29"/>
  <c r="X1032" i="29" s="1"/>
  <c r="W1065" i="29"/>
  <c r="X1065" i="29" s="1"/>
  <c r="W1072" i="29"/>
  <c r="X1072" i="29" s="1"/>
  <c r="W1015" i="29"/>
  <c r="X1015" i="29" s="1"/>
  <c r="W1048" i="29"/>
  <c r="X1048" i="29" s="1"/>
  <c r="W1070" i="29"/>
  <c r="X1070" i="29" s="1"/>
  <c r="W1081" i="29"/>
  <c r="X1081" i="29" s="1"/>
  <c r="W1009" i="29"/>
  <c r="X1009" i="29" s="1"/>
  <c r="W1042" i="29"/>
  <c r="X1042" i="29" s="1"/>
  <c r="W1075" i="29"/>
  <c r="X1075" i="29" s="1"/>
  <c r="W1007" i="29"/>
  <c r="X1007" i="29" s="1"/>
  <c r="W1040" i="29"/>
  <c r="X1040" i="29" s="1"/>
  <c r="W1022" i="29"/>
  <c r="X1022" i="29" s="1"/>
  <c r="W1055" i="29"/>
  <c r="X1055" i="29" s="1"/>
  <c r="W1088" i="29"/>
  <c r="X1088" i="29" s="1"/>
  <c r="W890" i="29"/>
  <c r="X890" i="29" s="1"/>
  <c r="W938" i="29"/>
  <c r="X938" i="29" s="1"/>
  <c r="W962" i="29"/>
  <c r="X962" i="29" s="1"/>
  <c r="W976" i="29"/>
  <c r="X976" i="29" s="1"/>
  <c r="W886" i="29"/>
  <c r="X886" i="29" s="1"/>
  <c r="W901" i="29"/>
  <c r="X901" i="29" s="1"/>
  <c r="W910" i="29"/>
  <c r="X910" i="29" s="1"/>
  <c r="W945" i="29"/>
  <c r="X945" i="29" s="1"/>
  <c r="W956" i="29"/>
  <c r="X956" i="29" s="1"/>
  <c r="W967" i="29"/>
  <c r="X967" i="29" s="1"/>
  <c r="W983" i="29"/>
  <c r="X983" i="29" s="1"/>
  <c r="W906" i="29"/>
  <c r="X906" i="29" s="1"/>
  <c r="W917" i="29"/>
  <c r="X917" i="29" s="1"/>
  <c r="W930" i="29"/>
  <c r="X930" i="29" s="1"/>
  <c r="W952" i="29"/>
  <c r="X952" i="29" s="1"/>
  <c r="W965" i="29"/>
  <c r="X965" i="29" s="1"/>
  <c r="W893" i="29"/>
  <c r="X893" i="29" s="1"/>
  <c r="W950" i="29"/>
  <c r="X950" i="29" s="1"/>
  <c r="W963" i="29"/>
  <c r="X963" i="29" s="1"/>
  <c r="W981" i="29"/>
  <c r="X981" i="29" s="1"/>
  <c r="W889" i="29"/>
  <c r="X889" i="29" s="1"/>
  <c r="W915" i="29"/>
  <c r="X915" i="29" s="1"/>
  <c r="W937" i="29"/>
  <c r="X937" i="29" s="1"/>
  <c r="W959" i="29"/>
  <c r="X959" i="29" s="1"/>
  <c r="W898" i="29"/>
  <c r="X898" i="29" s="1"/>
  <c r="W922" i="29"/>
  <c r="X922" i="29" s="1"/>
  <c r="W883" i="29"/>
  <c r="X883" i="29" s="1"/>
  <c r="W896" i="29"/>
  <c r="X896" i="29" s="1"/>
  <c r="W964" i="29"/>
  <c r="X964" i="29" s="1"/>
  <c r="W982" i="29"/>
  <c r="X982" i="29" s="1"/>
  <c r="W809" i="29"/>
  <c r="X809" i="29" s="1"/>
  <c r="W783" i="29"/>
  <c r="X783" i="29" s="1"/>
  <c r="W842" i="29"/>
  <c r="X842" i="29" s="1"/>
  <c r="W868" i="29"/>
  <c r="X868" i="29" s="1"/>
  <c r="W816" i="29"/>
  <c r="X816" i="29" s="1"/>
  <c r="W875" i="29"/>
  <c r="X875" i="29" s="1"/>
  <c r="W777" i="29"/>
  <c r="X777" i="29" s="1"/>
  <c r="W799" i="29"/>
  <c r="X799" i="29" s="1"/>
  <c r="W823" i="29"/>
  <c r="X823" i="29" s="1"/>
  <c r="W849" i="29"/>
  <c r="X849" i="29" s="1"/>
  <c r="W871" i="29"/>
  <c r="X871" i="29" s="1"/>
  <c r="W773" i="29"/>
  <c r="X773" i="29" s="1"/>
  <c r="W784" i="29"/>
  <c r="X784" i="29" s="1"/>
  <c r="W797" i="29"/>
  <c r="X797" i="29" s="1"/>
  <c r="W843" i="29"/>
  <c r="X843" i="29" s="1"/>
  <c r="W865" i="29"/>
  <c r="X865" i="29" s="1"/>
  <c r="W876" i="29"/>
  <c r="X876" i="29" s="1"/>
  <c r="W776" i="29"/>
  <c r="X776" i="29" s="1"/>
  <c r="W780" i="29"/>
  <c r="X780" i="29" s="1"/>
  <c r="W791" i="29"/>
  <c r="X791" i="29" s="1"/>
  <c r="W839" i="29"/>
  <c r="X839" i="29" s="1"/>
  <c r="W850" i="29"/>
  <c r="X850" i="29" s="1"/>
  <c r="W863" i="29"/>
  <c r="X863" i="29" s="1"/>
  <c r="W787" i="29"/>
  <c r="X787" i="29" s="1"/>
  <c r="W802" i="29"/>
  <c r="X802" i="29" s="1"/>
  <c r="W811" i="29"/>
  <c r="X811" i="29" s="1"/>
  <c r="W833" i="29"/>
  <c r="X833" i="29" s="1"/>
  <c r="W846" i="29"/>
  <c r="X846" i="29" s="1"/>
  <c r="W857" i="29"/>
  <c r="X857" i="29" s="1"/>
  <c r="W684" i="29"/>
  <c r="X684" i="29" s="1"/>
  <c r="W706" i="29"/>
  <c r="X706" i="29" s="1"/>
  <c r="W728" i="29"/>
  <c r="X728" i="29" s="1"/>
  <c r="W743" i="29"/>
  <c r="X743" i="29" s="1"/>
  <c r="W678" i="29"/>
  <c r="X678" i="29" s="1"/>
  <c r="W700" i="29"/>
  <c r="X700" i="29" s="1"/>
  <c r="W724" i="29"/>
  <c r="X724" i="29" s="1"/>
  <c r="W750" i="29"/>
  <c r="X750" i="29" s="1"/>
  <c r="W707" i="29"/>
  <c r="X707" i="29" s="1"/>
  <c r="W718" i="29"/>
  <c r="X718" i="29" s="1"/>
  <c r="W731" i="29"/>
  <c r="X731" i="29" s="1"/>
  <c r="W670" i="29"/>
  <c r="X670" i="29" s="1"/>
  <c r="W725" i="29"/>
  <c r="X725" i="29" s="1"/>
  <c r="W666" i="29"/>
  <c r="X666" i="29" s="1"/>
  <c r="W688" i="29"/>
  <c r="X688" i="29" s="1"/>
  <c r="W703" i="29"/>
  <c r="X703" i="29" s="1"/>
  <c r="W712" i="29"/>
  <c r="X712" i="29" s="1"/>
  <c r="W734" i="29"/>
  <c r="X734" i="29" s="1"/>
  <c r="W747" i="29"/>
  <c r="X747" i="29" s="1"/>
  <c r="W758" i="29"/>
  <c r="X758" i="29" s="1"/>
  <c r="W675" i="29"/>
  <c r="X675" i="29" s="1"/>
  <c r="W686" i="29"/>
  <c r="X686" i="29" s="1"/>
  <c r="W699" i="29"/>
  <c r="X699" i="29" s="1"/>
  <c r="W721" i="29"/>
  <c r="X721" i="29" s="1"/>
  <c r="W745" i="29"/>
  <c r="X745" i="29" s="1"/>
  <c r="W767" i="29"/>
  <c r="X767" i="29" s="1"/>
  <c r="W662" i="29"/>
  <c r="X662" i="29" s="1"/>
  <c r="W708" i="29"/>
  <c r="X708" i="29" s="1"/>
  <c r="W719" i="29"/>
  <c r="X719" i="29" s="1"/>
  <c r="W732" i="29"/>
  <c r="X732" i="29" s="1"/>
  <c r="W754" i="29"/>
  <c r="X754" i="29" s="1"/>
  <c r="W553" i="29"/>
  <c r="X553" i="29" s="1"/>
  <c r="W566" i="29"/>
  <c r="X566" i="29" s="1"/>
  <c r="W612" i="29"/>
  <c r="X612" i="29" s="1"/>
  <c r="W634" i="29"/>
  <c r="X634" i="29" s="1"/>
  <c r="W658" i="29"/>
  <c r="X658" i="29" s="1"/>
  <c r="W569" i="29"/>
  <c r="X569" i="29" s="1"/>
  <c r="W582" i="29"/>
  <c r="X582" i="29" s="1"/>
  <c r="W593" i="29"/>
  <c r="X593" i="29" s="1"/>
  <c r="W641" i="29"/>
  <c r="X641" i="29" s="1"/>
  <c r="W652" i="29"/>
  <c r="X652" i="29" s="1"/>
  <c r="W556" i="29"/>
  <c r="X556" i="29" s="1"/>
  <c r="W602" i="29"/>
  <c r="X602" i="29" s="1"/>
  <c r="W615" i="29"/>
  <c r="X615" i="29" s="1"/>
  <c r="W626" i="29"/>
  <c r="X626" i="29" s="1"/>
  <c r="W576" i="29"/>
  <c r="X576" i="29" s="1"/>
  <c r="W587" i="29"/>
  <c r="X587" i="29" s="1"/>
  <c r="W600" i="29"/>
  <c r="X600" i="29" s="1"/>
  <c r="W622" i="29"/>
  <c r="X622" i="29" s="1"/>
  <c r="W637" i="29"/>
  <c r="X637" i="29" s="1"/>
  <c r="W646" i="29"/>
  <c r="X646" i="29" s="1"/>
  <c r="W552" i="29"/>
  <c r="X552" i="29" s="1"/>
  <c r="W574" i="29"/>
  <c r="X574" i="29" s="1"/>
  <c r="W596" i="29"/>
  <c r="X596" i="29" s="1"/>
  <c r="W611" i="29"/>
  <c r="X611" i="29" s="1"/>
  <c r="W642" i="29"/>
  <c r="X642" i="29" s="1"/>
  <c r="W653" i="29"/>
  <c r="X653" i="29" s="1"/>
  <c r="W644" i="29"/>
  <c r="X644" i="29" s="1"/>
  <c r="W568" i="29"/>
  <c r="X568" i="29" s="1"/>
  <c r="W592" i="29"/>
  <c r="X592" i="29" s="1"/>
  <c r="W618" i="29"/>
  <c r="X618" i="29" s="1"/>
  <c r="W640" i="29"/>
  <c r="X640" i="29" s="1"/>
  <c r="W531" i="29"/>
  <c r="X531" i="29" s="1"/>
  <c r="W446" i="29"/>
  <c r="X446" i="29" s="1"/>
  <c r="W482" i="29"/>
  <c r="X482" i="29" s="1"/>
  <c r="W491" i="29"/>
  <c r="X491" i="29" s="1"/>
  <c r="W500" i="29"/>
  <c r="X500" i="29" s="1"/>
  <c r="W520" i="29"/>
  <c r="X520" i="29" s="1"/>
  <c r="W527" i="29"/>
  <c r="X527" i="29" s="1"/>
  <c r="W538" i="29"/>
  <c r="X538" i="29" s="1"/>
  <c r="W442" i="29"/>
  <c r="X442" i="29" s="1"/>
  <c r="W480" i="29"/>
  <c r="X480" i="29" s="1"/>
  <c r="W498" i="29"/>
  <c r="X498" i="29" s="1"/>
  <c r="W516" i="29"/>
  <c r="X516" i="29" s="1"/>
  <c r="W534" i="29"/>
  <c r="X534" i="29" s="1"/>
  <c r="W449" i="29"/>
  <c r="X449" i="29" s="1"/>
  <c r="W467" i="29"/>
  <c r="X467" i="29" s="1"/>
  <c r="W487" i="29"/>
  <c r="X487" i="29" s="1"/>
  <c r="W494" i="29"/>
  <c r="X494" i="29" s="1"/>
  <c r="W505" i="29"/>
  <c r="X505" i="29" s="1"/>
  <c r="W545" i="29"/>
  <c r="X545" i="29" s="1"/>
  <c r="W447" i="29"/>
  <c r="X447" i="29" s="1"/>
  <c r="W456" i="29"/>
  <c r="X456" i="29" s="1"/>
  <c r="W465" i="29"/>
  <c r="X465" i="29" s="1"/>
  <c r="W483" i="29"/>
  <c r="X483" i="29" s="1"/>
  <c r="W501" i="29"/>
  <c r="X501" i="29" s="1"/>
  <c r="W521" i="29"/>
  <c r="X521" i="29" s="1"/>
  <c r="W541" i="29"/>
  <c r="X541" i="29" s="1"/>
  <c r="W454" i="29"/>
  <c r="X454" i="29" s="1"/>
  <c r="W461" i="29"/>
  <c r="X461" i="29" s="1"/>
  <c r="W472" i="29"/>
  <c r="X472" i="29" s="1"/>
  <c r="W490" i="29"/>
  <c r="X490" i="29" s="1"/>
  <c r="W512" i="29"/>
  <c r="X512" i="29" s="1"/>
  <c r="W548" i="29"/>
  <c r="X548" i="29" s="1"/>
  <c r="W450" i="29"/>
  <c r="X450" i="29" s="1"/>
  <c r="W468" i="29"/>
  <c r="X468" i="29" s="1"/>
  <c r="W488" i="29"/>
  <c r="X488" i="29" s="1"/>
  <c r="W497" i="29"/>
  <c r="X497" i="29" s="1"/>
  <c r="W508" i="29"/>
  <c r="X508" i="29" s="1"/>
  <c r="W546" i="29"/>
  <c r="X546" i="29" s="1"/>
  <c r="W335" i="29"/>
  <c r="X335" i="29" s="1"/>
  <c r="W381" i="29"/>
  <c r="X381" i="29" s="1"/>
  <c r="W383" i="29"/>
  <c r="X383" i="29" s="1"/>
  <c r="W401" i="29"/>
  <c r="X401" i="29" s="1"/>
  <c r="W421" i="29"/>
  <c r="X421" i="29" s="1"/>
  <c r="W428" i="29"/>
  <c r="X428" i="29" s="1"/>
  <c r="W439" i="29"/>
  <c r="X439" i="29" s="1"/>
  <c r="W333" i="29"/>
  <c r="X333" i="29" s="1"/>
  <c r="W355" i="29"/>
  <c r="X355" i="29" s="1"/>
  <c r="W357" i="29"/>
  <c r="X357" i="29" s="1"/>
  <c r="W379" i="29"/>
  <c r="X379" i="29" s="1"/>
  <c r="W399" i="29"/>
  <c r="X399" i="29" s="1"/>
  <c r="W417" i="29"/>
  <c r="X417" i="29" s="1"/>
  <c r="W435" i="29"/>
  <c r="X435" i="29" s="1"/>
  <c r="W351" i="29"/>
  <c r="X351" i="29" s="1"/>
  <c r="W362" i="29"/>
  <c r="X362" i="29" s="1"/>
  <c r="W373" i="29"/>
  <c r="X373" i="29" s="1"/>
  <c r="W415" i="29"/>
  <c r="X415" i="29" s="1"/>
  <c r="W431" i="29"/>
  <c r="X431" i="29" s="1"/>
  <c r="W347" i="29"/>
  <c r="X347" i="29" s="1"/>
  <c r="W369" i="29"/>
  <c r="X369" i="29" s="1"/>
  <c r="W391" i="29"/>
  <c r="X391" i="29" s="1"/>
  <c r="W413" i="29"/>
  <c r="X413" i="29" s="1"/>
  <c r="W332" i="29"/>
  <c r="X332" i="29" s="1"/>
  <c r="W343" i="29"/>
  <c r="X343" i="29" s="1"/>
  <c r="W389" i="29"/>
  <c r="X389" i="29" s="1"/>
  <c r="W398" i="29"/>
  <c r="X398" i="29" s="1"/>
  <c r="W409" i="29"/>
  <c r="X409" i="29" s="1"/>
  <c r="W354" i="29"/>
  <c r="X354" i="29" s="1"/>
  <c r="W365" i="29"/>
  <c r="X365" i="29" s="1"/>
  <c r="W376" i="29"/>
  <c r="X376" i="29" s="1"/>
  <c r="W348" i="29"/>
  <c r="X348" i="29" s="1"/>
  <c r="W350" i="29"/>
  <c r="X350" i="29" s="1"/>
  <c r="W361" i="29"/>
  <c r="X361" i="29" s="1"/>
  <c r="W372" i="29"/>
  <c r="X372" i="29" s="1"/>
  <c r="W414" i="29"/>
  <c r="X414" i="29" s="1"/>
  <c r="W432" i="29"/>
  <c r="X432" i="29" s="1"/>
  <c r="W245" i="29"/>
  <c r="X245" i="29" s="1"/>
  <c r="W234" i="29"/>
  <c r="X234" i="29" s="1"/>
  <c r="W241" i="29"/>
  <c r="X241" i="29" s="1"/>
  <c r="W267" i="29"/>
  <c r="X267" i="29" s="1"/>
  <c r="W274" i="29"/>
  <c r="X274" i="29" s="1"/>
  <c r="W300" i="29"/>
  <c r="X300" i="29" s="1"/>
  <c r="W307" i="29"/>
  <c r="X307" i="29" s="1"/>
  <c r="W327" i="29"/>
  <c r="X327" i="29" s="1"/>
  <c r="W248" i="29"/>
  <c r="X248" i="29" s="1"/>
  <c r="W281" i="29"/>
  <c r="X281" i="29" s="1"/>
  <c r="W314" i="29"/>
  <c r="X314" i="29" s="1"/>
  <c r="W328" i="29"/>
  <c r="X328" i="29" s="1"/>
  <c r="W222" i="29"/>
  <c r="X222" i="29" s="1"/>
  <c r="W255" i="29"/>
  <c r="X255" i="29" s="1"/>
  <c r="W288" i="29"/>
  <c r="X288" i="29" s="1"/>
  <c r="W317" i="29"/>
  <c r="X317" i="29" s="1"/>
  <c r="W238" i="29"/>
  <c r="X238" i="29" s="1"/>
  <c r="W247" i="29"/>
  <c r="X247" i="29" s="1"/>
  <c r="W271" i="29"/>
  <c r="X271" i="29" s="1"/>
  <c r="W280" i="29"/>
  <c r="X280" i="29" s="1"/>
  <c r="W304" i="29"/>
  <c r="X304" i="29" s="1"/>
  <c r="W313" i="29"/>
  <c r="X313" i="29" s="1"/>
  <c r="W278" i="29"/>
  <c r="X278" i="29" s="1"/>
  <c r="W311" i="29"/>
  <c r="X311" i="29" s="1"/>
  <c r="W322" i="29"/>
  <c r="X322" i="29" s="1"/>
  <c r="W215" i="29"/>
  <c r="X215" i="29" s="1"/>
  <c r="W202" i="29"/>
  <c r="X202" i="29" s="1"/>
  <c r="W205" i="29"/>
  <c r="X205" i="29" s="1"/>
  <c r="W204" i="29"/>
  <c r="X204" i="29" s="1"/>
  <c r="W195" i="29"/>
  <c r="X195" i="29" s="1"/>
  <c r="W186" i="29"/>
  <c r="X186" i="29" s="1"/>
  <c r="W180" i="29"/>
  <c r="X180" i="29" s="1"/>
  <c r="W178" i="29"/>
  <c r="X178" i="29" s="1"/>
  <c r="W161" i="29"/>
  <c r="X161" i="29" s="1"/>
  <c r="W159" i="29"/>
  <c r="X159" i="29" s="1"/>
  <c r="W173" i="29"/>
  <c r="X173" i="29" s="1"/>
  <c r="W153" i="29"/>
  <c r="X153" i="29" s="1"/>
  <c r="W164" i="29"/>
  <c r="X164" i="29" s="1"/>
  <c r="W171" i="29"/>
  <c r="X171" i="29" s="1"/>
  <c r="W149" i="29"/>
  <c r="X149" i="29" s="1"/>
  <c r="W156" i="29"/>
  <c r="X156" i="29" s="1"/>
  <c r="W137" i="29"/>
  <c r="X137" i="29" s="1"/>
  <c r="W138" i="29"/>
  <c r="X138" i="29" s="1"/>
  <c r="W136" i="29"/>
  <c r="X136" i="29" s="1"/>
  <c r="W123" i="29"/>
  <c r="X123" i="29" s="1"/>
  <c r="W126" i="29"/>
  <c r="X126" i="29" s="1"/>
  <c r="W119" i="29"/>
  <c r="X119" i="29" s="1"/>
  <c r="W113" i="29"/>
  <c r="X113" i="29" s="1"/>
  <c r="W3753" i="29"/>
  <c r="X3753" i="29" s="1"/>
  <c r="W3770" i="29"/>
  <c r="X3770" i="29" s="1"/>
  <c r="W3772" i="29"/>
  <c r="X3772" i="29" s="1"/>
  <c r="W3852" i="29"/>
  <c r="X3852" i="29" s="1"/>
  <c r="W3856" i="29"/>
  <c r="X3856" i="29" s="1"/>
  <c r="W3858" i="29"/>
  <c r="X3858" i="29" s="1"/>
  <c r="W3878" i="29"/>
  <c r="X3878" i="29" s="1"/>
  <c r="W3921" i="29"/>
  <c r="X3921" i="29" s="1"/>
  <c r="W4013" i="29"/>
  <c r="X4013" i="29" s="1"/>
  <c r="W3819" i="29"/>
  <c r="X3819" i="29" s="1"/>
  <c r="W3915" i="29"/>
  <c r="X3915" i="29" s="1"/>
  <c r="W3944" i="29"/>
  <c r="X3944" i="29" s="1"/>
  <c r="W3990" i="29"/>
  <c r="X3990" i="29" s="1"/>
  <c r="W3790" i="29"/>
  <c r="X3790" i="29" s="1"/>
  <c r="W3792" i="29"/>
  <c r="X3792" i="29" s="1"/>
  <c r="W3957" i="29"/>
  <c r="X3957" i="29" s="1"/>
  <c r="W3984" i="29"/>
  <c r="X3984" i="29" s="1"/>
  <c r="W3744" i="29"/>
  <c r="X3744" i="29" s="1"/>
  <c r="W3746" i="29"/>
  <c r="X3746" i="29" s="1"/>
  <c r="W3720" i="29"/>
  <c r="X3720" i="29" s="1"/>
  <c r="W3731" i="29"/>
  <c r="X3731" i="29" s="1"/>
  <c r="W3733" i="29"/>
  <c r="X3733" i="29" s="1"/>
  <c r="W3750" i="29"/>
  <c r="X3750" i="29" s="1"/>
  <c r="W3810" i="29"/>
  <c r="X3810" i="29" s="1"/>
  <c r="W3812" i="29"/>
  <c r="X3812" i="29" s="1"/>
  <c r="W3849" i="29"/>
  <c r="X3849" i="29" s="1"/>
  <c r="W3863" i="29"/>
  <c r="X3863" i="29" s="1"/>
  <c r="W3865" i="29"/>
  <c r="X3865" i="29" s="1"/>
  <c r="W3871" i="29"/>
  <c r="X3871" i="29" s="1"/>
  <c r="W3881" i="29"/>
  <c r="X3881" i="29" s="1"/>
  <c r="W3947" i="29"/>
  <c r="X3947" i="29" s="1"/>
  <c r="W3970" i="29"/>
  <c r="X3970" i="29" s="1"/>
  <c r="W3997" i="29"/>
  <c r="X3997" i="29" s="1"/>
  <c r="W3777" i="29"/>
  <c r="X3777" i="29" s="1"/>
  <c r="W3779" i="29"/>
  <c r="X3779" i="29" s="1"/>
  <c r="W3816" i="29"/>
  <c r="X3816" i="29" s="1"/>
  <c r="W3855" i="29"/>
  <c r="X3855" i="29" s="1"/>
  <c r="W3764" i="29"/>
  <c r="X3764" i="29" s="1"/>
  <c r="W3766" i="29"/>
  <c r="X3766" i="29" s="1"/>
  <c r="W3797" i="29"/>
  <c r="X3797" i="29" s="1"/>
  <c r="W3799" i="29"/>
  <c r="X3799" i="29" s="1"/>
  <c r="W3836" i="29"/>
  <c r="X3836" i="29" s="1"/>
  <c r="W3838" i="29"/>
  <c r="X3838" i="29" s="1"/>
  <c r="W3931" i="29"/>
  <c r="X3931" i="29" s="1"/>
  <c r="W3954" i="29"/>
  <c r="X3954" i="29" s="1"/>
  <c r="W4112" i="29"/>
  <c r="X4112" i="29" s="1"/>
  <c r="W4374" i="29"/>
  <c r="X4374" i="29" s="1"/>
  <c r="W4486" i="29"/>
  <c r="X4486" i="29" s="1"/>
  <c r="W4151" i="29"/>
  <c r="X4151" i="29" s="1"/>
  <c r="W4190" i="29"/>
  <c r="X4190" i="29" s="1"/>
  <c r="W4308" i="29"/>
  <c r="X4308" i="29" s="1"/>
  <c r="W4341" i="29"/>
  <c r="X4341" i="29" s="1"/>
  <c r="W4282" i="29"/>
  <c r="X4282" i="29" s="1"/>
  <c r="W4118" i="29"/>
  <c r="X4118" i="29" s="1"/>
  <c r="W4144" i="29"/>
  <c r="X4144" i="29" s="1"/>
  <c r="W4387" i="29"/>
  <c r="X4387" i="29" s="1"/>
  <c r="W4414" i="29"/>
  <c r="X4414" i="29" s="1"/>
  <c r="W4526" i="29"/>
  <c r="X4526" i="29" s="1"/>
  <c r="W4171" i="29"/>
  <c r="X4171" i="29" s="1"/>
  <c r="W4315" i="29"/>
  <c r="X4315" i="29" s="1"/>
  <c r="W4348" i="29"/>
  <c r="X4348" i="29" s="1"/>
  <c r="W4493" i="29"/>
  <c r="X4493" i="29" s="1"/>
  <c r="W4189" i="29"/>
  <c r="X4189" i="29" s="1"/>
  <c r="W4197" i="29"/>
  <c r="X4197" i="29" s="1"/>
  <c r="W4223" i="29"/>
  <c r="X4223" i="29" s="1"/>
  <c r="W4295" i="29"/>
  <c r="X4295" i="29" s="1"/>
  <c r="W4460" i="29"/>
  <c r="X4460" i="29" s="1"/>
  <c r="W4119" i="29"/>
  <c r="X4119" i="29" s="1"/>
  <c r="W4145" i="29"/>
  <c r="X4145" i="29" s="1"/>
  <c r="W4229" i="29"/>
  <c r="X4229" i="29" s="1"/>
  <c r="W4255" i="29"/>
  <c r="X4255" i="29" s="1"/>
  <c r="W4263" i="29"/>
  <c r="X4263" i="29" s="1"/>
  <c r="W4275" i="29"/>
  <c r="X4275" i="29" s="1"/>
  <c r="W4394" i="29"/>
  <c r="X4394" i="29" s="1"/>
  <c r="W4440" i="29"/>
  <c r="X4440" i="29" s="1"/>
  <c r="W4519" i="29"/>
  <c r="X4519" i="29" s="1"/>
  <c r="W4652" i="29"/>
  <c r="X4652" i="29" s="1"/>
  <c r="W4703" i="29"/>
  <c r="X4703" i="29" s="1"/>
  <c r="W4758" i="29"/>
  <c r="X4758" i="29" s="1"/>
  <c r="W4799" i="29"/>
  <c r="X4799" i="29" s="1"/>
  <c r="W4600" i="29"/>
  <c r="X4600" i="29" s="1"/>
  <c r="W4604" i="29"/>
  <c r="X4604" i="29" s="1"/>
  <c r="W4644" i="29"/>
  <c r="X4644" i="29" s="1"/>
  <c r="W4699" i="29"/>
  <c r="X4699" i="29" s="1"/>
  <c r="W4795" i="29"/>
  <c r="X4795" i="29" s="1"/>
  <c r="W4718" i="29"/>
  <c r="X4718" i="29" s="1"/>
  <c r="W4769" i="29"/>
  <c r="X4769" i="29" s="1"/>
  <c r="W4710" i="29"/>
  <c r="X4710" i="29" s="1"/>
  <c r="W4593" i="29"/>
  <c r="X4593" i="29" s="1"/>
  <c r="W4659" i="29"/>
  <c r="X4659" i="29" s="1"/>
  <c r="W4751" i="29"/>
  <c r="X4751" i="29" s="1"/>
  <c r="W4802" i="29"/>
  <c r="X4802" i="29" s="1"/>
  <c r="W4825" i="29"/>
  <c r="X4825" i="29" s="1"/>
  <c r="W4597" i="29"/>
  <c r="X4597" i="29" s="1"/>
  <c r="W4611" i="29"/>
  <c r="X4611" i="29" s="1"/>
  <c r="W4617" i="29"/>
  <c r="X4617" i="29" s="1"/>
  <c r="W4619" i="29"/>
  <c r="X4619" i="29" s="1"/>
  <c r="W4692" i="29"/>
  <c r="X4692" i="29" s="1"/>
  <c r="W4784" i="29"/>
  <c r="X4784" i="29" s="1"/>
  <c r="W5090" i="29"/>
  <c r="X5090" i="29" s="1"/>
  <c r="W5143" i="29"/>
  <c r="X5143" i="29" s="1"/>
  <c r="W5153" i="29"/>
  <c r="X5153" i="29" s="1"/>
  <c r="W5169" i="29"/>
  <c r="X5169" i="29" s="1"/>
  <c r="W5064" i="29"/>
  <c r="X5064" i="29" s="1"/>
  <c r="W5110" i="29"/>
  <c r="X5110" i="29" s="1"/>
  <c r="W5070" i="29"/>
  <c r="X5070" i="29" s="1"/>
  <c r="W5136" i="29"/>
  <c r="X5136" i="29" s="1"/>
  <c r="W5146" i="29"/>
  <c r="X5146" i="29" s="1"/>
  <c r="W5150" i="29"/>
  <c r="X5150" i="29" s="1"/>
  <c r="W5080" i="29"/>
  <c r="X5080" i="29" s="1"/>
  <c r="W5103" i="29"/>
  <c r="X5103" i="29" s="1"/>
  <c r="W5117" i="29"/>
  <c r="X5117" i="29" s="1"/>
  <c r="W2350" i="29"/>
  <c r="X2350" i="29" s="1"/>
  <c r="W2386" i="29"/>
  <c r="X2386" i="29" s="1"/>
  <c r="W2360" i="29"/>
  <c r="X2360" i="29" s="1"/>
  <c r="W2334" i="29"/>
  <c r="X2334" i="29" s="1"/>
  <c r="W2301" i="29"/>
  <c r="X2301" i="29" s="1"/>
  <c r="W2349" i="29"/>
  <c r="X2349" i="29" s="1"/>
  <c r="W2389" i="29"/>
  <c r="X2389" i="29" s="1"/>
  <c r="W2294" i="29"/>
  <c r="X2294" i="29" s="1"/>
  <c r="W2316" i="29"/>
  <c r="X2316" i="29" s="1"/>
  <c r="W2342" i="29"/>
  <c r="X2342" i="29" s="1"/>
  <c r="W2357" i="29"/>
  <c r="X2357" i="29" s="1"/>
  <c r="W2419" i="29"/>
  <c r="X2419" i="29" s="1"/>
  <c r="W2276" i="29"/>
  <c r="X2276" i="29" s="1"/>
  <c r="W2324" i="29"/>
  <c r="X2324" i="29" s="1"/>
  <c r="W2367" i="29"/>
  <c r="X2367" i="29" s="1"/>
  <c r="W2382" i="29"/>
  <c r="X2382" i="29" s="1"/>
  <c r="W2452" i="29"/>
  <c r="X2452" i="29" s="1"/>
  <c r="W2676" i="29"/>
  <c r="X2676" i="29" s="1"/>
  <c r="W2878" i="29"/>
  <c r="X2878" i="29" s="1"/>
  <c r="W2988" i="29"/>
  <c r="X2988" i="29" s="1"/>
  <c r="W3017" i="29"/>
  <c r="X3017" i="29" s="1"/>
  <c r="W2702" i="29"/>
  <c r="X2702" i="29" s="1"/>
  <c r="W2812" i="29"/>
  <c r="X2812" i="29" s="1"/>
  <c r="W2984" i="29"/>
  <c r="X2984" i="29" s="1"/>
  <c r="W2918" i="29"/>
  <c r="X2918" i="29" s="1"/>
  <c r="W3043" i="29"/>
  <c r="X3043" i="29" s="1"/>
  <c r="W2669" i="29"/>
  <c r="X2669" i="29" s="1"/>
  <c r="W2720" i="29"/>
  <c r="X2720" i="29" s="1"/>
  <c r="W2885" i="29"/>
  <c r="X2885" i="29" s="1"/>
  <c r="W2995" i="29"/>
  <c r="X2995" i="29" s="1"/>
  <c r="W2852" i="29"/>
  <c r="X2852" i="29" s="1"/>
  <c r="W2962" i="29"/>
  <c r="X2962" i="29" s="1"/>
  <c r="W2819" i="29"/>
  <c r="X2819" i="29" s="1"/>
  <c r="W2709" i="29"/>
  <c r="X2709" i="29" s="1"/>
  <c r="W2753" i="29"/>
  <c r="X2753" i="29" s="1"/>
  <c r="W2977" i="29"/>
  <c r="X2977" i="29" s="1"/>
  <c r="W3112" i="29"/>
  <c r="X3112" i="29" s="1"/>
  <c r="W3159" i="29"/>
  <c r="X3159" i="29" s="1"/>
  <c r="W3251" i="29"/>
  <c r="X3251" i="29" s="1"/>
  <c r="W3277" i="29"/>
  <c r="X3277" i="29" s="1"/>
  <c r="W3475" i="29"/>
  <c r="X3475" i="29" s="1"/>
  <c r="W3076" i="29"/>
  <c r="X3076" i="29" s="1"/>
  <c r="W3095" i="29"/>
  <c r="X3095" i="29" s="1"/>
  <c r="W3423" i="29"/>
  <c r="X3423" i="29" s="1"/>
  <c r="W3449" i="29"/>
  <c r="X3449" i="29" s="1"/>
  <c r="W3621" i="29"/>
  <c r="X3621" i="29" s="1"/>
  <c r="W3119" i="29"/>
  <c r="X3119" i="29" s="1"/>
  <c r="W3194" i="29"/>
  <c r="X3194" i="29" s="1"/>
  <c r="W3343" i="29"/>
  <c r="X3343" i="29" s="1"/>
  <c r="W3079" i="29"/>
  <c r="X3079" i="29" s="1"/>
  <c r="W3220" i="29"/>
  <c r="X3220" i="29" s="1"/>
  <c r="W3326" i="29"/>
  <c r="X3326" i="29" s="1"/>
  <c r="W3376" i="29"/>
  <c r="X3376" i="29" s="1"/>
  <c r="W3574" i="29"/>
  <c r="X3574" i="29" s="1"/>
  <c r="W3244" i="29"/>
  <c r="X3244" i="29" s="1"/>
  <c r="W3409" i="29"/>
  <c r="X3409" i="29" s="1"/>
  <c r="W3178" i="29"/>
  <c r="X3178" i="29" s="1"/>
  <c r="W3225" i="29"/>
  <c r="X3225" i="29" s="1"/>
  <c r="W3442" i="29"/>
  <c r="X3442" i="29" s="1"/>
  <c r="W1415" i="29"/>
  <c r="X1415" i="29" s="1"/>
  <c r="W1319" i="29"/>
  <c r="X1319" i="29" s="1"/>
  <c r="W1369" i="29"/>
  <c r="X1369" i="29" s="1"/>
  <c r="W1329" i="29"/>
  <c r="X1329" i="29" s="1"/>
  <c r="W1356" i="29"/>
  <c r="X1356" i="29" s="1"/>
  <c r="W1455" i="29"/>
  <c r="X1455" i="29" s="1"/>
  <c r="W1395" i="29"/>
  <c r="X1395" i="29" s="1"/>
  <c r="W1422" i="29"/>
  <c r="X1422" i="29" s="1"/>
  <c r="V109" i="29" l="1"/>
  <c r="U109" i="29"/>
  <c r="V108" i="29"/>
  <c r="U108" i="29"/>
  <c r="V107" i="29"/>
  <c r="U107" i="29"/>
  <c r="V106" i="29"/>
  <c r="U106" i="29"/>
  <c r="V105" i="29"/>
  <c r="U105" i="29"/>
  <c r="V104" i="29"/>
  <c r="U104" i="29"/>
  <c r="V103" i="29"/>
  <c r="U103" i="29"/>
  <c r="V102" i="29"/>
  <c r="U102" i="29"/>
  <c r="V101" i="29"/>
  <c r="U101" i="29"/>
  <c r="V98" i="29"/>
  <c r="U98" i="29"/>
  <c r="V97" i="29"/>
  <c r="U97" i="29"/>
  <c r="V96" i="29"/>
  <c r="U96" i="29"/>
  <c r="V95" i="29"/>
  <c r="U95" i="29"/>
  <c r="V94" i="29"/>
  <c r="U94" i="29"/>
  <c r="V93" i="29"/>
  <c r="U93" i="29"/>
  <c r="V92" i="29"/>
  <c r="U92" i="29"/>
  <c r="V91" i="29"/>
  <c r="U91" i="29"/>
  <c r="V90" i="29"/>
  <c r="U90" i="29"/>
  <c r="V87" i="29"/>
  <c r="U87" i="29"/>
  <c r="V86" i="29"/>
  <c r="U86" i="29"/>
  <c r="V85" i="29"/>
  <c r="U85" i="29"/>
  <c r="V84" i="29"/>
  <c r="U84" i="29"/>
  <c r="V83" i="29"/>
  <c r="U83" i="29"/>
  <c r="V82" i="29"/>
  <c r="U82" i="29"/>
  <c r="V81" i="29"/>
  <c r="U81" i="29"/>
  <c r="V80" i="29"/>
  <c r="U80" i="29"/>
  <c r="V79" i="29"/>
  <c r="U79" i="29"/>
  <c r="V76" i="29"/>
  <c r="U76" i="29"/>
  <c r="V75" i="29"/>
  <c r="U75" i="29"/>
  <c r="V74" i="29"/>
  <c r="U74" i="29"/>
  <c r="V73" i="29"/>
  <c r="U73" i="29"/>
  <c r="V72" i="29"/>
  <c r="U72" i="29"/>
  <c r="V71" i="29"/>
  <c r="U71" i="29"/>
  <c r="V70" i="29"/>
  <c r="U70" i="29"/>
  <c r="V69" i="29"/>
  <c r="U69" i="29"/>
  <c r="V68" i="29"/>
  <c r="U68" i="29"/>
  <c r="V65" i="29"/>
  <c r="U65" i="29"/>
  <c r="V64" i="29"/>
  <c r="U64" i="29"/>
  <c r="V63" i="29"/>
  <c r="U63" i="29"/>
  <c r="V62" i="29"/>
  <c r="U62" i="29"/>
  <c r="V61" i="29"/>
  <c r="U61" i="29"/>
  <c r="V60" i="29"/>
  <c r="U60" i="29"/>
  <c r="V59" i="29"/>
  <c r="U59" i="29"/>
  <c r="V58" i="29"/>
  <c r="U58" i="29"/>
  <c r="V57" i="29"/>
  <c r="U57" i="29"/>
  <c r="V54" i="29"/>
  <c r="U54" i="29"/>
  <c r="V53" i="29"/>
  <c r="U53" i="29"/>
  <c r="V52" i="29"/>
  <c r="U52" i="29"/>
  <c r="V51" i="29"/>
  <c r="U51" i="29"/>
  <c r="V50" i="29"/>
  <c r="U50" i="29"/>
  <c r="V49" i="29"/>
  <c r="U49" i="29"/>
  <c r="V48" i="29"/>
  <c r="U48" i="29"/>
  <c r="V47" i="29"/>
  <c r="U47" i="29"/>
  <c r="V46" i="29"/>
  <c r="U46" i="29"/>
  <c r="V43" i="29"/>
  <c r="U43" i="29"/>
  <c r="V42" i="29"/>
  <c r="U42" i="29"/>
  <c r="V41" i="29"/>
  <c r="U41" i="29"/>
  <c r="V40" i="29"/>
  <c r="U40" i="29"/>
  <c r="V39" i="29"/>
  <c r="U39" i="29"/>
  <c r="V38" i="29"/>
  <c r="U38" i="29"/>
  <c r="V37" i="29"/>
  <c r="U37" i="29"/>
  <c r="V36" i="29"/>
  <c r="U36" i="29"/>
  <c r="V35" i="29"/>
  <c r="U35" i="29"/>
  <c r="V32" i="29"/>
  <c r="U32" i="29"/>
  <c r="V31" i="29"/>
  <c r="U31" i="29"/>
  <c r="V30" i="29"/>
  <c r="U30" i="29"/>
  <c r="V29" i="29"/>
  <c r="U29" i="29"/>
  <c r="V28" i="29"/>
  <c r="U28" i="29"/>
  <c r="V27" i="29"/>
  <c r="U27" i="29"/>
  <c r="V26" i="29"/>
  <c r="U26" i="29"/>
  <c r="V25" i="29"/>
  <c r="U25" i="29"/>
  <c r="V24" i="29"/>
  <c r="U24" i="29"/>
  <c r="V21" i="29"/>
  <c r="U21" i="29"/>
  <c r="V20" i="29"/>
  <c r="U20" i="29"/>
  <c r="V19" i="29"/>
  <c r="U19" i="29"/>
  <c r="V18" i="29"/>
  <c r="U18" i="29"/>
  <c r="V17" i="29"/>
  <c r="U17" i="29"/>
  <c r="V16" i="29"/>
  <c r="U16" i="29"/>
  <c r="V15" i="29"/>
  <c r="U15" i="29"/>
  <c r="V14" i="29"/>
  <c r="U14" i="29"/>
  <c r="V13" i="29"/>
  <c r="U13" i="29"/>
  <c r="V4" i="29"/>
  <c r="U4" i="29"/>
  <c r="V10" i="29"/>
  <c r="U10" i="29"/>
  <c r="V9" i="29"/>
  <c r="U9" i="29"/>
  <c r="V3" i="29"/>
  <c r="U3" i="29"/>
  <c r="V7" i="29"/>
  <c r="U7" i="29"/>
  <c r="V6" i="29"/>
  <c r="U6" i="29"/>
  <c r="U5" i="29"/>
  <c r="V5" i="29"/>
  <c r="U8" i="29"/>
  <c r="V8" i="29"/>
  <c r="V2" i="29"/>
  <c r="U2" i="29"/>
  <c r="W21" i="29" l="1"/>
  <c r="X21" i="29" s="1"/>
  <c r="W37" i="29"/>
  <c r="X37" i="29" s="1"/>
  <c r="W43" i="29"/>
  <c r="X43" i="29" s="1"/>
  <c r="W51" i="29"/>
  <c r="X51" i="29" s="1"/>
  <c r="W25" i="29"/>
  <c r="X25" i="29" s="1"/>
  <c r="W19" i="29"/>
  <c r="X19" i="29" s="1"/>
  <c r="W57" i="29"/>
  <c r="X57" i="29" s="1"/>
  <c r="W63" i="29"/>
  <c r="X63" i="29" s="1"/>
  <c r="W14" i="29"/>
  <c r="X14" i="29" s="1"/>
  <c r="W20" i="29"/>
  <c r="X20" i="29" s="1"/>
  <c r="W28" i="29"/>
  <c r="X28" i="29" s="1"/>
  <c r="W36" i="29"/>
  <c r="X36" i="29" s="1"/>
  <c r="W42" i="29"/>
  <c r="X42" i="29" s="1"/>
  <c r="W50" i="29"/>
  <c r="X50" i="29" s="1"/>
  <c r="W24" i="29"/>
  <c r="X24" i="29" s="1"/>
  <c r="W60" i="29"/>
  <c r="X60" i="29" s="1"/>
  <c r="W79" i="29"/>
  <c r="X79" i="29" s="1"/>
  <c r="W85" i="29"/>
  <c r="X85" i="29" s="1"/>
  <c r="W82" i="29"/>
  <c r="X82" i="29" s="1"/>
  <c r="W31" i="29"/>
  <c r="X31" i="29" s="1"/>
  <c r="W39" i="29"/>
  <c r="X39" i="29" s="1"/>
  <c r="W47" i="29"/>
  <c r="X47" i="29" s="1"/>
  <c r="W53" i="29"/>
  <c r="X53" i="29" s="1"/>
  <c r="W61" i="29"/>
  <c r="X61" i="29" s="1"/>
  <c r="W26" i="29"/>
  <c r="X26" i="29" s="1"/>
  <c r="W40" i="29"/>
  <c r="X40" i="29" s="1"/>
  <c r="W48" i="29"/>
  <c r="X48" i="29" s="1"/>
  <c r="W54" i="29"/>
  <c r="X54" i="29" s="1"/>
  <c r="W62" i="29"/>
  <c r="X62" i="29" s="1"/>
  <c r="W41" i="29"/>
  <c r="X41" i="29" s="1"/>
  <c r="W70" i="29"/>
  <c r="X70" i="29" s="1"/>
  <c r="W76" i="29"/>
  <c r="X76" i="29" s="1"/>
  <c r="W84" i="29"/>
  <c r="X84" i="29" s="1"/>
  <c r="W92" i="29"/>
  <c r="X92" i="29" s="1"/>
  <c r="W98" i="29"/>
  <c r="X98" i="29" s="1"/>
  <c r="W106" i="29"/>
  <c r="X106" i="29" s="1"/>
  <c r="W58" i="29"/>
  <c r="X58" i="29" s="1"/>
  <c r="W71" i="29"/>
  <c r="X71" i="29" s="1"/>
  <c r="W93" i="29"/>
  <c r="X93" i="29" s="1"/>
  <c r="W101" i="29"/>
  <c r="X101" i="29" s="1"/>
  <c r="W107" i="29"/>
  <c r="X107" i="29" s="1"/>
  <c r="W59" i="29"/>
  <c r="X59" i="29" s="1"/>
  <c r="W64" i="29"/>
  <c r="X64" i="29" s="1"/>
  <c r="W72" i="29"/>
  <c r="X72" i="29" s="1"/>
  <c r="W80" i="29"/>
  <c r="X80" i="29" s="1"/>
  <c r="W86" i="29"/>
  <c r="X86" i="29" s="1"/>
  <c r="W94" i="29"/>
  <c r="X94" i="29" s="1"/>
  <c r="W102" i="29"/>
  <c r="X102" i="29" s="1"/>
  <c r="W108" i="29"/>
  <c r="X108" i="29" s="1"/>
  <c r="W38" i="29"/>
  <c r="X38" i="29" s="1"/>
  <c r="W46" i="29"/>
  <c r="X46" i="29" s="1"/>
  <c r="W52" i="29"/>
  <c r="X52" i="29" s="1"/>
  <c r="W65" i="29"/>
  <c r="X65" i="29" s="1"/>
  <c r="W73" i="29"/>
  <c r="X73" i="29" s="1"/>
  <c r="W81" i="29"/>
  <c r="X81" i="29" s="1"/>
  <c r="W87" i="29"/>
  <c r="X87" i="29" s="1"/>
  <c r="W95" i="29"/>
  <c r="X95" i="29" s="1"/>
  <c r="W103" i="29"/>
  <c r="X103" i="29" s="1"/>
  <c r="W109" i="29"/>
  <c r="X109" i="29" s="1"/>
  <c r="W68" i="29"/>
  <c r="X68" i="29" s="1"/>
  <c r="W74" i="29"/>
  <c r="X74" i="29" s="1"/>
  <c r="W90" i="29"/>
  <c r="X90" i="29" s="1"/>
  <c r="W96" i="29"/>
  <c r="X96" i="29" s="1"/>
  <c r="W104" i="29"/>
  <c r="X104" i="29" s="1"/>
  <c r="W69" i="29"/>
  <c r="X69" i="29" s="1"/>
  <c r="W75" i="29"/>
  <c r="X75" i="29" s="1"/>
  <c r="W83" i="29"/>
  <c r="X83" i="29" s="1"/>
  <c r="W91" i="29"/>
  <c r="X91" i="29" s="1"/>
  <c r="W97" i="29"/>
  <c r="X97" i="29" s="1"/>
  <c r="W105" i="29"/>
  <c r="X105" i="29" s="1"/>
  <c r="W13" i="29"/>
  <c r="X13" i="29" s="1"/>
  <c r="W18" i="29"/>
  <c r="X18" i="29" s="1"/>
  <c r="W15" i="29"/>
  <c r="X15" i="29" s="1"/>
  <c r="W16" i="29"/>
  <c r="X16" i="29" s="1"/>
  <c r="W17" i="29"/>
  <c r="X17" i="29" s="1"/>
  <c r="W32" i="29"/>
  <c r="X32" i="29" s="1"/>
  <c r="W27" i="29"/>
  <c r="X27" i="29" s="1"/>
  <c r="W49" i="29"/>
  <c r="X49" i="29" s="1"/>
  <c r="W35" i="29"/>
  <c r="X35" i="29" s="1"/>
  <c r="W29" i="29"/>
  <c r="X29" i="29" s="1"/>
  <c r="W30" i="29"/>
  <c r="X30" i="29" s="1"/>
  <c r="W8" i="29"/>
  <c r="X8" i="29" s="1"/>
  <c r="W4" i="29"/>
  <c r="X4" i="29" s="1"/>
  <c r="W10" i="29"/>
  <c r="X10" i="29" s="1"/>
  <c r="W9" i="29"/>
  <c r="X9" i="29" s="1"/>
  <c r="W3" i="29"/>
  <c r="X3" i="29" s="1"/>
  <c r="W7" i="29"/>
  <c r="X7" i="29" s="1"/>
  <c r="W6" i="29"/>
  <c r="X6" i="29" s="1"/>
  <c r="W5" i="29"/>
  <c r="X5" i="29" s="1"/>
  <c r="W2" i="29"/>
  <c r="X2" i="29" s="1"/>
  <c r="R24" i="29" l="1"/>
  <c r="Q24" i="29"/>
  <c r="R13" i="29"/>
  <c r="Q13" i="29"/>
  <c r="T109" i="29" l="1"/>
  <c r="R109" i="29"/>
  <c r="Q109" i="29"/>
  <c r="T108" i="29"/>
  <c r="R108" i="29"/>
  <c r="Q108" i="29"/>
  <c r="T107" i="29"/>
  <c r="R107" i="29"/>
  <c r="Q107" i="29"/>
  <c r="T106" i="29"/>
  <c r="R106" i="29"/>
  <c r="Q106" i="29"/>
  <c r="T105" i="29"/>
  <c r="R105" i="29"/>
  <c r="Q105" i="29"/>
  <c r="T104" i="29"/>
  <c r="R104" i="29"/>
  <c r="Q104" i="29"/>
  <c r="T103" i="29"/>
  <c r="R103" i="29"/>
  <c r="Q103" i="29"/>
  <c r="T102" i="29"/>
  <c r="R102" i="29"/>
  <c r="Q102" i="29"/>
  <c r="T101" i="29"/>
  <c r="R101" i="29"/>
  <c r="Q101" i="29"/>
  <c r="T98" i="29"/>
  <c r="R98" i="29"/>
  <c r="Q98" i="29"/>
  <c r="T97" i="29"/>
  <c r="R97" i="29"/>
  <c r="Q97" i="29"/>
  <c r="T96" i="29"/>
  <c r="R96" i="29"/>
  <c r="Q96" i="29"/>
  <c r="T95" i="29"/>
  <c r="R95" i="29"/>
  <c r="Q95" i="29"/>
  <c r="T94" i="29"/>
  <c r="R94" i="29"/>
  <c r="Q94" i="29"/>
  <c r="T93" i="29"/>
  <c r="R93" i="29"/>
  <c r="Q93" i="29"/>
  <c r="T92" i="29"/>
  <c r="R92" i="29"/>
  <c r="Q92" i="29"/>
  <c r="T91" i="29"/>
  <c r="R91" i="29"/>
  <c r="Q91" i="29"/>
  <c r="T90" i="29"/>
  <c r="R90" i="29"/>
  <c r="Q90" i="29"/>
  <c r="T87" i="29"/>
  <c r="R87" i="29"/>
  <c r="Q87" i="29"/>
  <c r="T86" i="29"/>
  <c r="R86" i="29"/>
  <c r="Q86" i="29"/>
  <c r="T85" i="29"/>
  <c r="R85" i="29"/>
  <c r="Q85" i="29"/>
  <c r="T84" i="29"/>
  <c r="R84" i="29"/>
  <c r="Q84" i="29"/>
  <c r="T83" i="29"/>
  <c r="R83" i="29"/>
  <c r="Q83" i="29"/>
  <c r="T82" i="29"/>
  <c r="R82" i="29"/>
  <c r="Q82" i="29"/>
  <c r="T81" i="29"/>
  <c r="R81" i="29"/>
  <c r="Q81" i="29"/>
  <c r="T80" i="29"/>
  <c r="R80" i="29"/>
  <c r="Q80" i="29"/>
  <c r="T79" i="29"/>
  <c r="R79" i="29"/>
  <c r="Q79" i="29"/>
  <c r="T76" i="29"/>
  <c r="R76" i="29"/>
  <c r="Q76" i="29"/>
  <c r="T75" i="29"/>
  <c r="R75" i="29"/>
  <c r="Q75" i="29"/>
  <c r="T74" i="29"/>
  <c r="R74" i="29"/>
  <c r="Q74" i="29"/>
  <c r="T73" i="29"/>
  <c r="R73" i="29"/>
  <c r="Q73" i="29"/>
  <c r="T72" i="29"/>
  <c r="R72" i="29"/>
  <c r="Q72" i="29"/>
  <c r="T71" i="29"/>
  <c r="R71" i="29"/>
  <c r="Q71" i="29"/>
  <c r="T70" i="29"/>
  <c r="R70" i="29"/>
  <c r="Q70" i="29"/>
  <c r="T69" i="29"/>
  <c r="R69" i="29"/>
  <c r="Q69" i="29"/>
  <c r="T68" i="29"/>
  <c r="R68" i="29"/>
  <c r="Q68" i="29"/>
  <c r="T65" i="29"/>
  <c r="R65" i="29"/>
  <c r="Q65" i="29"/>
  <c r="T64" i="29"/>
  <c r="R64" i="29"/>
  <c r="Q64" i="29"/>
  <c r="T63" i="29"/>
  <c r="R63" i="29"/>
  <c r="Q63" i="29"/>
  <c r="T62" i="29"/>
  <c r="R62" i="29"/>
  <c r="Q62" i="29"/>
  <c r="T61" i="29"/>
  <c r="R61" i="29"/>
  <c r="Q61" i="29"/>
  <c r="T60" i="29"/>
  <c r="R60" i="29"/>
  <c r="Q60" i="29"/>
  <c r="T59" i="29"/>
  <c r="R59" i="29"/>
  <c r="Q59" i="29"/>
  <c r="T58" i="29"/>
  <c r="R58" i="29"/>
  <c r="Q58" i="29"/>
  <c r="T57" i="29"/>
  <c r="R57" i="29"/>
  <c r="Q57" i="29"/>
  <c r="T54" i="29"/>
  <c r="R54" i="29"/>
  <c r="Q54" i="29"/>
  <c r="T53" i="29"/>
  <c r="R53" i="29"/>
  <c r="Q53" i="29"/>
  <c r="T52" i="29"/>
  <c r="R52" i="29"/>
  <c r="Q52" i="29"/>
  <c r="T51" i="29"/>
  <c r="R51" i="29"/>
  <c r="Q51" i="29"/>
  <c r="T50" i="29"/>
  <c r="R50" i="29"/>
  <c r="Q50" i="29"/>
  <c r="T49" i="29"/>
  <c r="R49" i="29"/>
  <c r="Q49" i="29"/>
  <c r="T48" i="29"/>
  <c r="R48" i="29"/>
  <c r="Q48" i="29"/>
  <c r="T47" i="29"/>
  <c r="R47" i="29"/>
  <c r="Q47" i="29"/>
  <c r="T46" i="29"/>
  <c r="R46" i="29"/>
  <c r="Q46" i="29"/>
  <c r="T43" i="29"/>
  <c r="R43" i="29"/>
  <c r="Q43" i="29"/>
  <c r="T42" i="29"/>
  <c r="R42" i="29"/>
  <c r="Q42" i="29"/>
  <c r="T41" i="29"/>
  <c r="R41" i="29"/>
  <c r="Q41" i="29"/>
  <c r="T40" i="29"/>
  <c r="R40" i="29"/>
  <c r="Q40" i="29"/>
  <c r="T39" i="29"/>
  <c r="R39" i="29"/>
  <c r="Q39" i="29"/>
  <c r="T38" i="29"/>
  <c r="R38" i="29"/>
  <c r="Q38" i="29"/>
  <c r="T37" i="29"/>
  <c r="R37" i="29"/>
  <c r="Q37" i="29"/>
  <c r="T36" i="29"/>
  <c r="R36" i="29"/>
  <c r="Q36" i="29"/>
  <c r="T35" i="29"/>
  <c r="R35" i="29"/>
  <c r="Q35" i="29"/>
  <c r="T32" i="29"/>
  <c r="R32" i="29"/>
  <c r="Q32" i="29"/>
  <c r="T31" i="29"/>
  <c r="R31" i="29"/>
  <c r="Q31" i="29"/>
  <c r="T30" i="29"/>
  <c r="R30" i="29"/>
  <c r="Q30" i="29"/>
  <c r="T29" i="29"/>
  <c r="R29" i="29"/>
  <c r="Q29" i="29"/>
  <c r="T28" i="29"/>
  <c r="R28" i="29"/>
  <c r="Q28" i="29"/>
  <c r="T27" i="29"/>
  <c r="R27" i="29"/>
  <c r="Q27" i="29"/>
  <c r="T26" i="29"/>
  <c r="R26" i="29"/>
  <c r="Q26" i="29"/>
  <c r="T25" i="29"/>
  <c r="R25" i="29"/>
  <c r="Q25" i="29"/>
  <c r="T24" i="29"/>
  <c r="A13" i="29"/>
  <c r="A24" i="29" s="1"/>
  <c r="A35" i="29" s="1"/>
  <c r="A46" i="29" s="1"/>
  <c r="A57" i="29" s="1"/>
  <c r="A68" i="29" s="1"/>
  <c r="A79" i="29" s="1"/>
  <c r="A90" i="29" s="1"/>
  <c r="A101" i="29" s="1"/>
  <c r="A112" i="29" s="1"/>
  <c r="A123" i="29" s="1"/>
  <c r="A134" i="29" s="1"/>
  <c r="A145" i="29" s="1"/>
  <c r="A156" i="29" s="1"/>
  <c r="A167" i="29" s="1"/>
  <c r="A178" i="29" s="1"/>
  <c r="A189" i="29" s="1"/>
  <c r="A200" i="29" s="1"/>
  <c r="A211" i="29" s="1"/>
  <c r="A222" i="29" s="1"/>
  <c r="A233" i="29" s="1"/>
  <c r="A244" i="29" s="1"/>
  <c r="A255" i="29" s="1"/>
  <c r="A266" i="29" s="1"/>
  <c r="A277" i="29" s="1"/>
  <c r="A288" i="29" s="1"/>
  <c r="A299" i="29" s="1"/>
  <c r="A310" i="29" s="1"/>
  <c r="A321" i="29" s="1"/>
  <c r="A332" i="29" s="1"/>
  <c r="A343" i="29" s="1"/>
  <c r="A354" i="29" s="1"/>
  <c r="A365" i="29" s="1"/>
  <c r="A376" i="29" s="1"/>
  <c r="A387" i="29" s="1"/>
  <c r="A398" i="29" s="1"/>
  <c r="A409" i="29" s="1"/>
  <c r="A420" i="29" s="1"/>
  <c r="A431" i="29" s="1"/>
  <c r="A442" i="29" s="1"/>
  <c r="A453" i="29" s="1"/>
  <c r="A464" i="29" s="1"/>
  <c r="A475" i="29" s="1"/>
  <c r="A486" i="29" s="1"/>
  <c r="A497" i="29" s="1"/>
  <c r="A508" i="29" s="1"/>
  <c r="A519" i="29" s="1"/>
  <c r="A530" i="29" s="1"/>
  <c r="A541" i="29" s="1"/>
  <c r="A552" i="29" s="1"/>
  <c r="A563" i="29" s="1"/>
  <c r="A574" i="29" s="1"/>
  <c r="A585" i="29" s="1"/>
  <c r="A596" i="29" s="1"/>
  <c r="A607" i="29" s="1"/>
  <c r="A618" i="29" s="1"/>
  <c r="A629" i="29" s="1"/>
  <c r="A640" i="29" s="1"/>
  <c r="A651" i="29" s="1"/>
  <c r="A662" i="29" s="1"/>
  <c r="A673" i="29" s="1"/>
  <c r="A684" i="29" s="1"/>
  <c r="A695" i="29" s="1"/>
  <c r="A706" i="29" s="1"/>
  <c r="A717" i="29" s="1"/>
  <c r="A728" i="29" s="1"/>
  <c r="A739" i="29" s="1"/>
  <c r="A750" i="29" s="1"/>
  <c r="A761" i="29" s="1"/>
  <c r="A772" i="29" s="1"/>
  <c r="A783" i="29" s="1"/>
  <c r="A794" i="29" s="1"/>
  <c r="A805" i="29" s="1"/>
  <c r="A816" i="29" s="1"/>
  <c r="A827" i="29" s="1"/>
  <c r="A838" i="29" s="1"/>
  <c r="A849" i="29" s="1"/>
  <c r="A860" i="29" s="1"/>
  <c r="A871" i="29" s="1"/>
  <c r="A882" i="29" s="1"/>
  <c r="A893" i="29" s="1"/>
  <c r="A904" i="29" s="1"/>
  <c r="A915" i="29" s="1"/>
  <c r="A926" i="29" s="1"/>
  <c r="A937" i="29" s="1"/>
  <c r="A948" i="29" s="1"/>
  <c r="A959" i="29" s="1"/>
  <c r="A970" i="29" s="1"/>
  <c r="A981" i="29" s="1"/>
  <c r="A992" i="29" s="1"/>
  <c r="A1003" i="29" s="1"/>
  <c r="A1014" i="29" s="1"/>
  <c r="A1025" i="29" s="1"/>
  <c r="A1036" i="29" s="1"/>
  <c r="A1047" i="29" s="1"/>
  <c r="A1058" i="29" s="1"/>
  <c r="A1069" i="29" s="1"/>
  <c r="A1080" i="29" s="1"/>
  <c r="A1091" i="29" s="1"/>
  <c r="A1102" i="29" s="1"/>
  <c r="A1113" i="29" s="1"/>
  <c r="A1124" i="29" s="1"/>
  <c r="A1135" i="29" s="1"/>
  <c r="A1146" i="29" s="1"/>
  <c r="A1157" i="29" s="1"/>
  <c r="A1168" i="29" s="1"/>
  <c r="A1179" i="29" s="1"/>
  <c r="A1190" i="29" s="1"/>
  <c r="A1201" i="29" s="1"/>
  <c r="A1212" i="29" s="1"/>
  <c r="A1223" i="29" s="1"/>
  <c r="A1234" i="29" s="1"/>
  <c r="A1245" i="29" s="1"/>
  <c r="A1256" i="29" s="1"/>
  <c r="A1267" i="29" s="1"/>
  <c r="A1278" i="29" s="1"/>
  <c r="A1289" i="29" s="1"/>
  <c r="A1300" i="29" s="1"/>
  <c r="A1311" i="29" s="1"/>
  <c r="A1322" i="29" s="1"/>
  <c r="A1333" i="29" s="1"/>
  <c r="A1344" i="29" s="1"/>
  <c r="A1355" i="29" s="1"/>
  <c r="A1366" i="29" s="1"/>
  <c r="A1377" i="29" s="1"/>
  <c r="A1388" i="29" s="1"/>
  <c r="A1399" i="29" s="1"/>
  <c r="A1410" i="29" s="1"/>
  <c r="A1421" i="29" s="1"/>
  <c r="A1432" i="29" s="1"/>
  <c r="A1443" i="29" s="1"/>
  <c r="A1454" i="29" s="1"/>
  <c r="A1465" i="29" s="1"/>
  <c r="A1476" i="29" s="1"/>
  <c r="A1487" i="29" s="1"/>
  <c r="A1498" i="29" s="1"/>
  <c r="A1509" i="29" s="1"/>
  <c r="A1520" i="29" s="1"/>
  <c r="A1531" i="29" s="1"/>
  <c r="A1542" i="29" s="1"/>
  <c r="A1553" i="29" s="1"/>
  <c r="A1564" i="29" s="1"/>
  <c r="A1575" i="29" s="1"/>
  <c r="A1586" i="29" s="1"/>
  <c r="A1597" i="29" s="1"/>
  <c r="A1608" i="29" s="1"/>
  <c r="A1619" i="29" s="1"/>
  <c r="A1630" i="29" s="1"/>
  <c r="A1641" i="29" s="1"/>
  <c r="A1652" i="29" s="1"/>
  <c r="A1663" i="29" s="1"/>
  <c r="A1674" i="29" s="1"/>
  <c r="A1685" i="29" s="1"/>
  <c r="A1696" i="29" s="1"/>
  <c r="A1707" i="29" s="1"/>
  <c r="A1718" i="29" s="1"/>
  <c r="A1729" i="29" s="1"/>
  <c r="A1740" i="29" s="1"/>
  <c r="A1751" i="29" s="1"/>
  <c r="A1762" i="29" s="1"/>
  <c r="A1773" i="29" s="1"/>
  <c r="A1784" i="29" s="1"/>
  <c r="A1795" i="29" s="1"/>
  <c r="A1806" i="29" s="1"/>
  <c r="A1817" i="29" s="1"/>
  <c r="A1828" i="29" s="1"/>
  <c r="A1839" i="29" s="1"/>
  <c r="A1850" i="29" s="1"/>
  <c r="A1861" i="29" s="1"/>
  <c r="A1872" i="29" s="1"/>
  <c r="A1883" i="29" s="1"/>
  <c r="A1894" i="29" s="1"/>
  <c r="A1905" i="29" s="1"/>
  <c r="A1916" i="29" s="1"/>
  <c r="A1927" i="29" s="1"/>
  <c r="A1938" i="29" s="1"/>
  <c r="A1949" i="29" s="1"/>
  <c r="A1960" i="29" s="1"/>
  <c r="A1971" i="29" s="1"/>
  <c r="A1982" i="29" s="1"/>
  <c r="A1993" i="29" s="1"/>
  <c r="A2004" i="29" s="1"/>
  <c r="A2015" i="29" s="1"/>
  <c r="A2026" i="29" s="1"/>
  <c r="A2037" i="29" s="1"/>
  <c r="A2048" i="29" s="1"/>
  <c r="A2059" i="29" s="1"/>
  <c r="A2070" i="29" s="1"/>
  <c r="A2081" i="29" s="1"/>
  <c r="A2092" i="29" s="1"/>
  <c r="A2103" i="29" s="1"/>
  <c r="A2114" i="29" s="1"/>
  <c r="A2125" i="29" s="1"/>
  <c r="A2136" i="29" s="1"/>
  <c r="A2147" i="29" s="1"/>
  <c r="A2158" i="29" s="1"/>
  <c r="A2169" i="29" s="1"/>
  <c r="A2180" i="29" s="1"/>
  <c r="A2191" i="29" s="1"/>
  <c r="A2202" i="29" s="1"/>
  <c r="A2213" i="29" s="1"/>
  <c r="A2224" i="29" s="1"/>
  <c r="A2235" i="29" s="1"/>
  <c r="A2246" i="29" s="1"/>
  <c r="A2257" i="29" s="1"/>
  <c r="A2268" i="29" s="1"/>
  <c r="A2279" i="29" s="1"/>
  <c r="A2290" i="29" s="1"/>
  <c r="A2301" i="29" s="1"/>
  <c r="A2312" i="29" s="1"/>
  <c r="A2323" i="29" s="1"/>
  <c r="A2334" i="29" s="1"/>
  <c r="A2345" i="29" s="1"/>
  <c r="A2356" i="29" s="1"/>
  <c r="A2367" i="29" s="1"/>
  <c r="A2378" i="29" s="1"/>
  <c r="A2389" i="29" s="1"/>
  <c r="A2400" i="29" s="1"/>
  <c r="A2411" i="29" s="1"/>
  <c r="A2422" i="29" s="1"/>
  <c r="A2433" i="29" s="1"/>
  <c r="A2444" i="29" s="1"/>
  <c r="A2455" i="29" s="1"/>
  <c r="A2466" i="29" s="1"/>
  <c r="A2477" i="29" s="1"/>
  <c r="A2488" i="29" s="1"/>
  <c r="A2499" i="29" s="1"/>
  <c r="A2510" i="29" s="1"/>
  <c r="A2521" i="29" s="1"/>
  <c r="A2532" i="29" s="1"/>
  <c r="A2543" i="29" s="1"/>
  <c r="A2554" i="29" s="1"/>
  <c r="A2565" i="29" s="1"/>
  <c r="A2576" i="29" s="1"/>
  <c r="A2587" i="29" s="1"/>
  <c r="A2598" i="29" s="1"/>
  <c r="A2609" i="29" s="1"/>
  <c r="A2620" i="29" s="1"/>
  <c r="A2631" i="29" s="1"/>
  <c r="A2642" i="29" s="1"/>
  <c r="A2653" i="29" s="1"/>
  <c r="A2664" i="29" s="1"/>
  <c r="A2675" i="29" s="1"/>
  <c r="A2686" i="29" s="1"/>
  <c r="A2697" i="29" s="1"/>
  <c r="A2708" i="29" s="1"/>
  <c r="A2719" i="29" s="1"/>
  <c r="A2730" i="29" s="1"/>
  <c r="A2741" i="29" s="1"/>
  <c r="A2752" i="29" s="1"/>
  <c r="A2763" i="29" s="1"/>
  <c r="A2774" i="29" s="1"/>
  <c r="A2785" i="29" s="1"/>
  <c r="A2796" i="29" s="1"/>
  <c r="A2807" i="29" s="1"/>
  <c r="A2818" i="29" s="1"/>
  <c r="A2829" i="29" s="1"/>
  <c r="A2840" i="29" s="1"/>
  <c r="A2851" i="29" s="1"/>
  <c r="A2862" i="29" s="1"/>
  <c r="A2873" i="29" s="1"/>
  <c r="A2884" i="29" s="1"/>
  <c r="A2895" i="29" s="1"/>
  <c r="A2906" i="29" s="1"/>
  <c r="A2917" i="29" s="1"/>
  <c r="A2928" i="29" s="1"/>
  <c r="A2939" i="29" s="1"/>
  <c r="A2950" i="29" s="1"/>
  <c r="A2961" i="29" s="1"/>
  <c r="A2972" i="29" s="1"/>
  <c r="A2983" i="29" s="1"/>
  <c r="A2994" i="29" s="1"/>
  <c r="A3005" i="29" s="1"/>
  <c r="A3016" i="29" s="1"/>
  <c r="A3027" i="29" s="1"/>
  <c r="A3038" i="29" s="1"/>
  <c r="A3049" i="29" s="1"/>
  <c r="A3060" i="29" s="1"/>
  <c r="A3071" i="29" s="1"/>
  <c r="A3082" i="29" s="1"/>
  <c r="A3093" i="29" s="1"/>
  <c r="A3104" i="29" s="1"/>
  <c r="A3115" i="29" s="1"/>
  <c r="A3126" i="29" s="1"/>
  <c r="A3137" i="29" s="1"/>
  <c r="A3148" i="29" s="1"/>
  <c r="A3159" i="29" s="1"/>
  <c r="A3170" i="29" s="1"/>
  <c r="A3181" i="29" s="1"/>
  <c r="A3192" i="29" s="1"/>
  <c r="A3203" i="29" s="1"/>
  <c r="A3214" i="29" s="1"/>
  <c r="A3225" i="29" s="1"/>
  <c r="A3236" i="29" s="1"/>
  <c r="A3247" i="29" s="1"/>
  <c r="A3258" i="29" s="1"/>
  <c r="A3269" i="29" s="1"/>
  <c r="A3280" i="29" s="1"/>
  <c r="A3291" i="29" s="1"/>
  <c r="A3302" i="29" s="1"/>
  <c r="A3313" i="29" s="1"/>
  <c r="A3324" i="29" s="1"/>
  <c r="A3335" i="29" s="1"/>
  <c r="A3346" i="29" s="1"/>
  <c r="A3357" i="29" s="1"/>
  <c r="A3368" i="29" s="1"/>
  <c r="A3379" i="29" s="1"/>
  <c r="A3390" i="29" s="1"/>
  <c r="A3401" i="29" s="1"/>
  <c r="A3412" i="29" s="1"/>
  <c r="A3423" i="29" s="1"/>
  <c r="A3434" i="29" s="1"/>
  <c r="A3445" i="29" s="1"/>
  <c r="A3456" i="29" s="1"/>
  <c r="A3467" i="29" s="1"/>
  <c r="A3478" i="29" s="1"/>
  <c r="A3489" i="29" s="1"/>
  <c r="A3500" i="29" s="1"/>
  <c r="A3511" i="29" s="1"/>
  <c r="A3522" i="29" s="1"/>
  <c r="A3533" i="29" s="1"/>
  <c r="A3544" i="29" s="1"/>
  <c r="A3555" i="29" s="1"/>
  <c r="A3566" i="29" s="1"/>
  <c r="A3577" i="29" s="1"/>
  <c r="A3588" i="29" s="1"/>
  <c r="A3599" i="29" s="1"/>
  <c r="A3610" i="29" s="1"/>
  <c r="A3621" i="29" s="1"/>
  <c r="A3632" i="29" s="1"/>
  <c r="A3643" i="29" s="1"/>
  <c r="A3654" i="29" s="1"/>
  <c r="A3665" i="29" s="1"/>
  <c r="A3676" i="29" s="1"/>
  <c r="A3687" i="29" s="1"/>
  <c r="A3698" i="29" s="1"/>
  <c r="A3709" i="29" s="1"/>
  <c r="A3720" i="29" s="1"/>
  <c r="A3731" i="29" s="1"/>
  <c r="A3742" i="29" s="1"/>
  <c r="A3753" i="29" s="1"/>
  <c r="A3764" i="29" s="1"/>
  <c r="A3775" i="29" s="1"/>
  <c r="A3786" i="29" s="1"/>
  <c r="A3797" i="29" s="1"/>
  <c r="A3808" i="29" s="1"/>
  <c r="A3819" i="29" s="1"/>
  <c r="A3830" i="29" s="1"/>
  <c r="A3841" i="29" s="1"/>
  <c r="A3852" i="29" s="1"/>
  <c r="A3863" i="29" s="1"/>
  <c r="A3874" i="29" s="1"/>
  <c r="A3885" i="29" s="1"/>
  <c r="A3896" i="29" s="1"/>
  <c r="A3907" i="29" s="1"/>
  <c r="A3918" i="29" s="1"/>
  <c r="A3929" i="29" s="1"/>
  <c r="A3940" i="29" s="1"/>
  <c r="A3951" i="29" s="1"/>
  <c r="A3962" i="29" s="1"/>
  <c r="A3973" i="29" s="1"/>
  <c r="A3984" i="29" s="1"/>
  <c r="A3995" i="29" s="1"/>
  <c r="A4006" i="29" s="1"/>
  <c r="A4017" i="29" s="1"/>
  <c r="A4028" i="29" s="1"/>
  <c r="A4039" i="29" s="1"/>
  <c r="A4050" i="29" s="1"/>
  <c r="A4061" i="29" s="1"/>
  <c r="A4072" i="29" s="1"/>
  <c r="A4083" i="29" s="1"/>
  <c r="A4094" i="29" s="1"/>
  <c r="A4105" i="29" s="1"/>
  <c r="A4116" i="29" s="1"/>
  <c r="A4127" i="29" s="1"/>
  <c r="A4138" i="29" s="1"/>
  <c r="A4149" i="29" s="1"/>
  <c r="A4160" i="29" s="1"/>
  <c r="A4171" i="29" s="1"/>
  <c r="A4182" i="29" s="1"/>
  <c r="A4193" i="29" s="1"/>
  <c r="A4204" i="29" s="1"/>
  <c r="A4215" i="29" s="1"/>
  <c r="A4226" i="29" s="1"/>
  <c r="A4237" i="29" s="1"/>
  <c r="A4248" i="29" s="1"/>
  <c r="A4259" i="29" s="1"/>
  <c r="A4270" i="29" s="1"/>
  <c r="A4281" i="29" s="1"/>
  <c r="A4292" i="29" s="1"/>
  <c r="A4303" i="29" s="1"/>
  <c r="A4314" i="29" s="1"/>
  <c r="A4325" i="29" s="1"/>
  <c r="A4336" i="29" s="1"/>
  <c r="A4347" i="29" s="1"/>
  <c r="A4358" i="29" s="1"/>
  <c r="A4369" i="29" s="1"/>
  <c r="A4380" i="29" s="1"/>
  <c r="A4391" i="29" s="1"/>
  <c r="A4402" i="29" s="1"/>
  <c r="A4413" i="29" s="1"/>
  <c r="A4424" i="29" s="1"/>
  <c r="A4435" i="29" s="1"/>
  <c r="A4446" i="29" s="1"/>
  <c r="A4457" i="29" s="1"/>
  <c r="A4468" i="29" s="1"/>
  <c r="A4479" i="29" s="1"/>
  <c r="A4490" i="29" s="1"/>
  <c r="A4501" i="29" s="1"/>
  <c r="A4512" i="29" s="1"/>
  <c r="A4523" i="29" s="1"/>
  <c r="A4534" i="29" s="1"/>
  <c r="A4545" i="29" s="1"/>
  <c r="A4556" i="29" s="1"/>
  <c r="A4567" i="29" s="1"/>
  <c r="A4578" i="29" s="1"/>
  <c r="A4589" i="29" s="1"/>
  <c r="A4600" i="29" s="1"/>
  <c r="A4611" i="29" s="1"/>
  <c r="A4622" i="29" s="1"/>
  <c r="A4633" i="29" s="1"/>
  <c r="A4644" i="29" s="1"/>
  <c r="A4655" i="29" s="1"/>
  <c r="A4666" i="29" s="1"/>
  <c r="A4677" i="29" s="1"/>
  <c r="A4688" i="29" s="1"/>
  <c r="A4699" i="29" s="1"/>
  <c r="A4710" i="29" s="1"/>
  <c r="A4721" i="29" s="1"/>
  <c r="A4732" i="29" s="1"/>
  <c r="A4743" i="29" s="1"/>
  <c r="A4754" i="29" s="1"/>
  <c r="A4765" i="29" s="1"/>
  <c r="A4776" i="29" s="1"/>
  <c r="A4787" i="29" s="1"/>
  <c r="A4798" i="29" s="1"/>
  <c r="A4809" i="29" s="1"/>
  <c r="A4820" i="29" s="1"/>
  <c r="A4831" i="29" s="1"/>
  <c r="A4842" i="29" s="1"/>
  <c r="A4853" i="29" s="1"/>
  <c r="A4864" i="29" s="1"/>
  <c r="A4875" i="29" s="1"/>
  <c r="A4886" i="29" s="1"/>
  <c r="A4897" i="29" s="1"/>
  <c r="A4908" i="29" s="1"/>
  <c r="A4919" i="29" s="1"/>
  <c r="A4930" i="29" s="1"/>
  <c r="A4941" i="29" s="1"/>
  <c r="A4952" i="29" s="1"/>
  <c r="A4963" i="29" s="1"/>
  <c r="A4974" i="29" s="1"/>
  <c r="A4985" i="29" s="1"/>
  <c r="A4996" i="29" s="1"/>
  <c r="A5007" i="29" s="1"/>
  <c r="A5018" i="29" s="1"/>
  <c r="A5029" i="29" s="1"/>
  <c r="A5040" i="29" s="1"/>
  <c r="A5051" i="29" s="1"/>
  <c r="A5062" i="29" s="1"/>
  <c r="A5073" i="29" s="1"/>
  <c r="A5084" i="29" s="1"/>
  <c r="A5095" i="29" s="1"/>
  <c r="A5106" i="29" s="1"/>
  <c r="A5117" i="29" s="1"/>
  <c r="A5128" i="29" s="1"/>
  <c r="A5139" i="29" s="1"/>
  <c r="A5150" i="29" s="1"/>
  <c r="A5161" i="29" s="1"/>
  <c r="A5172" i="29" s="1"/>
  <c r="A5183" i="29" s="1"/>
  <c r="A5194" i="29" s="1"/>
  <c r="A5205" i="29" s="1"/>
  <c r="A5216" i="29" s="1"/>
  <c r="A5227" i="29" s="1"/>
  <c r="A5238" i="29" s="1"/>
  <c r="A5249" i="29" s="1"/>
  <c r="A5260" i="29" s="1"/>
  <c r="A5271" i="29" s="1"/>
  <c r="A5282" i="29" s="1"/>
  <c r="A5293" i="29" s="1"/>
  <c r="A5304" i="29" s="1"/>
  <c r="A5315" i="29" s="1"/>
  <c r="A5326" i="29" s="1"/>
  <c r="A5337" i="29" s="1"/>
  <c r="A5348" i="29" s="1"/>
  <c r="A5359" i="29" s="1"/>
  <c r="A5370" i="29" s="1"/>
  <c r="A5381" i="29" s="1"/>
  <c r="A5392" i="29" s="1"/>
  <c r="A5403" i="29" s="1"/>
  <c r="A5414" i="29" s="1"/>
  <c r="A5425" i="29" s="1"/>
  <c r="A5436" i="29" s="1"/>
  <c r="A5447" i="29" s="1"/>
  <c r="A5458" i="29" s="1"/>
  <c r="A5469" i="29" s="1"/>
  <c r="A5480" i="29" s="1"/>
  <c r="A5491" i="29" s="1"/>
  <c r="A5502" i="29" s="1"/>
  <c r="A5513" i="29" s="1"/>
  <c r="A5524" i="29" s="1"/>
  <c r="A5535" i="29" s="1"/>
  <c r="A5546" i="29" s="1"/>
  <c r="A5557" i="29" s="1"/>
  <c r="A5568" i="29" s="1"/>
  <c r="A5579" i="29" s="1"/>
  <c r="A5590" i="29" s="1"/>
  <c r="A5601" i="29" s="1"/>
  <c r="T21" i="29"/>
  <c r="R21" i="29"/>
  <c r="Q21" i="29"/>
  <c r="T20" i="29"/>
  <c r="R20" i="29"/>
  <c r="Q20" i="29"/>
  <c r="T19" i="29"/>
  <c r="R19" i="29"/>
  <c r="Q19" i="29"/>
  <c r="T18" i="29"/>
  <c r="R18" i="29"/>
  <c r="Q18" i="29"/>
  <c r="T17" i="29"/>
  <c r="R17" i="29"/>
  <c r="Q17" i="29"/>
  <c r="T16" i="29"/>
  <c r="R16" i="29"/>
  <c r="Q16" i="29"/>
  <c r="T15" i="29"/>
  <c r="R15" i="29"/>
  <c r="Q15" i="29"/>
  <c r="T14" i="29"/>
  <c r="R14" i="29"/>
  <c r="Q14" i="29"/>
  <c r="T13" i="29"/>
  <c r="Q10" i="29"/>
  <c r="Q9" i="29"/>
  <c r="Q8" i="29"/>
  <c r="Q6" i="29"/>
  <c r="R10" i="29"/>
  <c r="R9" i="29"/>
  <c r="R8" i="29"/>
  <c r="T10" i="29"/>
  <c r="T9" i="29"/>
  <c r="T8" i="29"/>
  <c r="T5" i="29"/>
  <c r="T7" i="29"/>
  <c r="T6" i="29"/>
  <c r="T4" i="29"/>
  <c r="R7" i="29"/>
  <c r="R6" i="29"/>
  <c r="R5" i="29"/>
  <c r="Q7" i="29"/>
  <c r="Q5" i="29"/>
  <c r="T3" i="29"/>
  <c r="T2" i="29"/>
  <c r="R4" i="29"/>
  <c r="R3" i="29"/>
  <c r="R2" i="29"/>
  <c r="Q4" i="29"/>
  <c r="Q3" i="29"/>
  <c r="Q2" i="29"/>
  <c r="P15" i="33" l="1"/>
  <c r="D15" i="33"/>
  <c r="L25" i="33"/>
  <c r="T24" i="33"/>
  <c r="H24" i="33"/>
  <c r="P23" i="33"/>
  <c r="D23" i="33"/>
  <c r="L22" i="33"/>
  <c r="T21" i="33"/>
  <c r="H21" i="33"/>
  <c r="P20" i="33"/>
  <c r="D20" i="33"/>
  <c r="L19" i="33"/>
  <c r="T18" i="33"/>
  <c r="H18" i="33"/>
  <c r="P17" i="33"/>
  <c r="D17" i="33"/>
  <c r="L16" i="33"/>
  <c r="U18" i="33"/>
  <c r="O15" i="33"/>
  <c r="C15" i="33"/>
  <c r="K25" i="33"/>
  <c r="S24" i="33"/>
  <c r="G24" i="33"/>
  <c r="O23" i="33"/>
  <c r="C23" i="33"/>
  <c r="K22" i="33"/>
  <c r="S21" i="33"/>
  <c r="G21" i="33"/>
  <c r="O20" i="33"/>
  <c r="C20" i="33"/>
  <c r="K19" i="33"/>
  <c r="S18" i="33"/>
  <c r="G18" i="33"/>
  <c r="O17" i="33"/>
  <c r="C17" i="33"/>
  <c r="K16" i="33"/>
  <c r="I18" i="33"/>
  <c r="N15" i="33"/>
  <c r="J25" i="33"/>
  <c r="R24" i="33"/>
  <c r="F24" i="33"/>
  <c r="N23" i="33"/>
  <c r="J22" i="33"/>
  <c r="R21" i="33"/>
  <c r="F21" i="33"/>
  <c r="N20" i="33"/>
  <c r="J19" i="33"/>
  <c r="R18" i="33"/>
  <c r="F18" i="33"/>
  <c r="N17" i="33"/>
  <c r="J16" i="33"/>
  <c r="E18" i="33"/>
  <c r="U16" i="33"/>
  <c r="H16" i="33"/>
  <c r="D16" i="33"/>
  <c r="I21" i="33"/>
  <c r="M15" i="33"/>
  <c r="U25" i="33"/>
  <c r="I25" i="33"/>
  <c r="Q24" i="33"/>
  <c r="E24" i="33"/>
  <c r="M23" i="33"/>
  <c r="U22" i="33"/>
  <c r="I22" i="33"/>
  <c r="Q21" i="33"/>
  <c r="E21" i="33"/>
  <c r="M20" i="33"/>
  <c r="U19" i="33"/>
  <c r="I19" i="33"/>
  <c r="Q18" i="33"/>
  <c r="M17" i="33"/>
  <c r="I16" i="33"/>
  <c r="S16" i="33"/>
  <c r="L15" i="33"/>
  <c r="T25" i="33"/>
  <c r="H25" i="33"/>
  <c r="P24" i="33"/>
  <c r="D24" i="33"/>
  <c r="L23" i="33"/>
  <c r="T22" i="33"/>
  <c r="H22" i="33"/>
  <c r="P21" i="33"/>
  <c r="D21" i="33"/>
  <c r="L20" i="33"/>
  <c r="T19" i="33"/>
  <c r="H19" i="33"/>
  <c r="P18" i="33"/>
  <c r="D18" i="33"/>
  <c r="L17" i="33"/>
  <c r="T16" i="33"/>
  <c r="C16" i="33"/>
  <c r="Q20" i="33"/>
  <c r="K15" i="33"/>
  <c r="S25" i="33"/>
  <c r="G25" i="33"/>
  <c r="O24" i="33"/>
  <c r="C24" i="33"/>
  <c r="K23" i="33"/>
  <c r="S22" i="33"/>
  <c r="G22" i="33"/>
  <c r="O21" i="33"/>
  <c r="C21" i="33"/>
  <c r="K20" i="33"/>
  <c r="S19" i="33"/>
  <c r="G19" i="33"/>
  <c r="O18" i="33"/>
  <c r="C18" i="33"/>
  <c r="K17" i="33"/>
  <c r="G16" i="33"/>
  <c r="Q23" i="33"/>
  <c r="E17" i="33"/>
  <c r="J15" i="33"/>
  <c r="R25" i="33"/>
  <c r="F25" i="33"/>
  <c r="N24" i="33"/>
  <c r="J23" i="33"/>
  <c r="R22" i="33"/>
  <c r="F22" i="33"/>
  <c r="N21" i="33"/>
  <c r="J20" i="33"/>
  <c r="R19" i="33"/>
  <c r="F19" i="33"/>
  <c r="N18" i="33"/>
  <c r="J17" i="33"/>
  <c r="R16" i="33"/>
  <c r="F16" i="33"/>
  <c r="I17" i="33"/>
  <c r="E16" i="33"/>
  <c r="I24" i="33"/>
  <c r="M19" i="33"/>
  <c r="U15" i="33"/>
  <c r="I15" i="33"/>
  <c r="Q25" i="33"/>
  <c r="E25" i="33"/>
  <c r="M24" i="33"/>
  <c r="U23" i="33"/>
  <c r="I23" i="33"/>
  <c r="Q22" i="33"/>
  <c r="E22" i="33"/>
  <c r="M21" i="33"/>
  <c r="U20" i="33"/>
  <c r="I20" i="33"/>
  <c r="Q19" i="33"/>
  <c r="E19" i="33"/>
  <c r="M18" i="33"/>
  <c r="U17" i="33"/>
  <c r="Q16" i="33"/>
  <c r="P16" i="33"/>
  <c r="E23" i="33"/>
  <c r="Q17" i="33"/>
  <c r="T15" i="33"/>
  <c r="H15" i="33"/>
  <c r="P25" i="33"/>
  <c r="D25" i="33"/>
  <c r="L24" i="33"/>
  <c r="T23" i="33"/>
  <c r="H23" i="33"/>
  <c r="P22" i="33"/>
  <c r="D22" i="33"/>
  <c r="L21" i="33"/>
  <c r="T20" i="33"/>
  <c r="H20" i="33"/>
  <c r="P19" i="33"/>
  <c r="D19" i="33"/>
  <c r="L18" i="33"/>
  <c r="T17" i="33"/>
  <c r="H17" i="33"/>
  <c r="U24" i="33"/>
  <c r="E20" i="33"/>
  <c r="S15" i="33"/>
  <c r="G15" i="33"/>
  <c r="O25" i="33"/>
  <c r="C25" i="33"/>
  <c r="K24" i="33"/>
  <c r="S23" i="33"/>
  <c r="G23" i="33"/>
  <c r="O22" i="33"/>
  <c r="C22" i="33"/>
  <c r="K21" i="33"/>
  <c r="S20" i="33"/>
  <c r="G20" i="33"/>
  <c r="O19" i="33"/>
  <c r="C19" i="33"/>
  <c r="K18" i="33"/>
  <c r="S17" i="33"/>
  <c r="G17" i="33"/>
  <c r="O16" i="33"/>
  <c r="M22" i="33"/>
  <c r="M16" i="33"/>
  <c r="R15" i="33"/>
  <c r="F15" i="33"/>
  <c r="N25" i="33"/>
  <c r="J24" i="33"/>
  <c r="R23" i="33"/>
  <c r="F23" i="33"/>
  <c r="N22" i="33"/>
  <c r="J21" i="33"/>
  <c r="R20" i="33"/>
  <c r="F20" i="33"/>
  <c r="N19" i="33"/>
  <c r="J18" i="33"/>
  <c r="R17" i="33"/>
  <c r="F17" i="33"/>
  <c r="N16" i="33"/>
  <c r="Q15" i="33"/>
  <c r="E15" i="33"/>
  <c r="M25" i="33"/>
  <c r="U21" i="33"/>
  <c r="C5" i="33"/>
  <c r="C13" i="33"/>
  <c r="C32" i="33"/>
  <c r="C40" i="33"/>
  <c r="C48" i="33"/>
  <c r="C56" i="33"/>
  <c r="C64" i="33"/>
  <c r="C72" i="33"/>
  <c r="C80" i="33"/>
  <c r="C88" i="33"/>
  <c r="C96" i="33"/>
  <c r="C122" i="33" s="1"/>
  <c r="C63" i="33"/>
  <c r="C6" i="33"/>
  <c r="C14" i="33"/>
  <c r="C33" i="33"/>
  <c r="C41" i="33"/>
  <c r="C49" i="33"/>
  <c r="C57" i="33"/>
  <c r="C65" i="33"/>
  <c r="C73" i="33"/>
  <c r="C81" i="33"/>
  <c r="C89" i="33"/>
  <c r="C97" i="33"/>
  <c r="C123" i="33" s="1"/>
  <c r="C71" i="33"/>
  <c r="C7" i="33"/>
  <c r="C26" i="33"/>
  <c r="C34" i="33"/>
  <c r="C42" i="33"/>
  <c r="C50" i="33"/>
  <c r="C58" i="33"/>
  <c r="C66" i="33"/>
  <c r="C74" i="33"/>
  <c r="C82" i="33"/>
  <c r="C90" i="33"/>
  <c r="C39" i="33"/>
  <c r="C87" i="33"/>
  <c r="C8" i="33"/>
  <c r="C27" i="33"/>
  <c r="C35" i="33"/>
  <c r="C43" i="33"/>
  <c r="C51" i="33"/>
  <c r="C59" i="33"/>
  <c r="C67" i="33"/>
  <c r="C75" i="33"/>
  <c r="C83" i="33"/>
  <c r="C91" i="33"/>
  <c r="C55" i="33"/>
  <c r="C9" i="33"/>
  <c r="C28" i="33"/>
  <c r="C36" i="33"/>
  <c r="C44" i="33"/>
  <c r="C52" i="33"/>
  <c r="C60" i="33"/>
  <c r="C68" i="33"/>
  <c r="C76" i="33"/>
  <c r="C84" i="33"/>
  <c r="C92" i="33"/>
  <c r="C31" i="33"/>
  <c r="C79" i="33"/>
  <c r="C10" i="33"/>
  <c r="C29" i="33"/>
  <c r="C37" i="33"/>
  <c r="C45" i="33"/>
  <c r="C53" i="33"/>
  <c r="C61" i="33"/>
  <c r="C69" i="33"/>
  <c r="C77" i="33"/>
  <c r="C85" i="33"/>
  <c r="C93" i="33"/>
  <c r="C119" i="33" s="1"/>
  <c r="C12" i="33"/>
  <c r="C11" i="33"/>
  <c r="C30" i="33"/>
  <c r="C38" i="33"/>
  <c r="C46" i="33"/>
  <c r="C54" i="33"/>
  <c r="C62" i="33"/>
  <c r="C70" i="33"/>
  <c r="C78" i="33"/>
  <c r="C86" i="33"/>
  <c r="C94" i="33"/>
  <c r="C120" i="33" s="1"/>
  <c r="C47" i="33"/>
  <c r="C95" i="33"/>
  <c r="C121" i="33" s="1"/>
  <c r="C104" i="33"/>
  <c r="C130" i="33" s="1"/>
  <c r="C105" i="33"/>
  <c r="C131" i="33" s="1"/>
  <c r="C98" i="33"/>
  <c r="C124" i="33" s="1"/>
  <c r="C99" i="33"/>
  <c r="C125" i="33" s="1"/>
  <c r="C100" i="33"/>
  <c r="C126" i="33" s="1"/>
  <c r="C101" i="33"/>
  <c r="C127" i="33" s="1"/>
  <c r="C103" i="33"/>
  <c r="C129" i="33" s="1"/>
  <c r="C102" i="33"/>
  <c r="C128" i="33" s="1"/>
  <c r="R72" i="33"/>
  <c r="J72" i="33"/>
  <c r="M72" i="33"/>
  <c r="K72" i="33"/>
  <c r="Q72" i="33"/>
  <c r="I72" i="33"/>
  <c r="U72" i="33"/>
  <c r="D72" i="33"/>
  <c r="P72" i="33"/>
  <c r="H72" i="33"/>
  <c r="T72" i="33"/>
  <c r="O72" i="33"/>
  <c r="G72" i="33"/>
  <c r="E72" i="33"/>
  <c r="S72" i="33"/>
  <c r="N72" i="33"/>
  <c r="F72" i="33"/>
  <c r="L72" i="33"/>
  <c r="M95" i="33"/>
  <c r="M121" i="33" s="1"/>
  <c r="L93" i="33"/>
  <c r="L119" i="33" s="1"/>
  <c r="F93" i="33"/>
  <c r="F119" i="33" s="1"/>
  <c r="L95" i="33"/>
  <c r="L121" i="33" s="1"/>
  <c r="K93" i="33"/>
  <c r="K119" i="33" s="1"/>
  <c r="H93" i="33"/>
  <c r="H119" i="33" s="1"/>
  <c r="K95" i="33"/>
  <c r="K121" i="33" s="1"/>
  <c r="J93" i="33"/>
  <c r="J119" i="33" s="1"/>
  <c r="G93" i="33"/>
  <c r="G119" i="33" s="1"/>
  <c r="J95" i="33"/>
  <c r="J121" i="33" s="1"/>
  <c r="U93" i="33"/>
  <c r="U119" i="33" s="1"/>
  <c r="I93" i="33"/>
  <c r="I119" i="33" s="1"/>
  <c r="U95" i="33"/>
  <c r="U121" i="33" s="1"/>
  <c r="I95" i="33"/>
  <c r="I121" i="33" s="1"/>
  <c r="T93" i="33"/>
  <c r="T119" i="33" s="1"/>
  <c r="T95" i="33"/>
  <c r="T121" i="33" s="1"/>
  <c r="H95" i="33"/>
  <c r="H121" i="33" s="1"/>
  <c r="S93" i="33"/>
  <c r="S119" i="33" s="1"/>
  <c r="S95" i="33"/>
  <c r="S121" i="33" s="1"/>
  <c r="G95" i="33"/>
  <c r="G121" i="33" s="1"/>
  <c r="R93" i="33"/>
  <c r="R119" i="33" s="1"/>
  <c r="R95" i="33"/>
  <c r="R121" i="33" s="1"/>
  <c r="F95" i="33"/>
  <c r="F121" i="33" s="1"/>
  <c r="Q93" i="33"/>
  <c r="Q119" i="33" s="1"/>
  <c r="N95" i="33"/>
  <c r="N121" i="33" s="1"/>
  <c r="M93" i="33"/>
  <c r="M119" i="33" s="1"/>
  <c r="E93" i="33"/>
  <c r="E119" i="33" s="1"/>
  <c r="O93" i="33"/>
  <c r="O119" i="33" s="1"/>
  <c r="Q95" i="33"/>
  <c r="Q121" i="33" s="1"/>
  <c r="P95" i="33"/>
  <c r="P121" i="33" s="1"/>
  <c r="O95" i="33"/>
  <c r="O121" i="33" s="1"/>
  <c r="E95" i="33"/>
  <c r="E121" i="33" s="1"/>
  <c r="D95" i="33"/>
  <c r="D121" i="33" s="1"/>
  <c r="D93" i="33"/>
  <c r="D119" i="33" s="1"/>
  <c r="N93" i="33"/>
  <c r="N119" i="33" s="1"/>
  <c r="P93" i="33"/>
  <c r="P119" i="33" s="1"/>
  <c r="O1" i="29"/>
  <c r="K102" i="33"/>
  <c r="K128" i="33" s="1"/>
  <c r="U99" i="33"/>
  <c r="U125" i="33" s="1"/>
  <c r="I99" i="33"/>
  <c r="I125" i="33" s="1"/>
  <c r="Q100" i="33"/>
  <c r="Q126" i="33" s="1"/>
  <c r="E100" i="33"/>
  <c r="E126" i="33" s="1"/>
  <c r="J102" i="33"/>
  <c r="J128" i="33" s="1"/>
  <c r="T99" i="33"/>
  <c r="T125" i="33" s="1"/>
  <c r="H99" i="33"/>
  <c r="H125" i="33" s="1"/>
  <c r="P100" i="33"/>
  <c r="P126" i="33" s="1"/>
  <c r="D100" i="33"/>
  <c r="D126" i="33" s="1"/>
  <c r="U102" i="33"/>
  <c r="U128" i="33" s="1"/>
  <c r="I102" i="33"/>
  <c r="I128" i="33" s="1"/>
  <c r="S99" i="33"/>
  <c r="S125" i="33" s="1"/>
  <c r="G99" i="33"/>
  <c r="G125" i="33" s="1"/>
  <c r="O100" i="33"/>
  <c r="O126" i="33" s="1"/>
  <c r="T102" i="33"/>
  <c r="T128" i="33" s="1"/>
  <c r="H102" i="33"/>
  <c r="H128" i="33" s="1"/>
  <c r="R99" i="33"/>
  <c r="R125" i="33" s="1"/>
  <c r="F99" i="33"/>
  <c r="F125" i="33" s="1"/>
  <c r="N100" i="33"/>
  <c r="N126" i="33" s="1"/>
  <c r="S102" i="33"/>
  <c r="S128" i="33" s="1"/>
  <c r="G102" i="33"/>
  <c r="G128" i="33" s="1"/>
  <c r="Q99" i="33"/>
  <c r="Q125" i="33" s="1"/>
  <c r="E99" i="33"/>
  <c r="E125" i="33" s="1"/>
  <c r="M100" i="33"/>
  <c r="M126" i="33" s="1"/>
  <c r="R102" i="33"/>
  <c r="R128" i="33" s="1"/>
  <c r="F102" i="33"/>
  <c r="F128" i="33" s="1"/>
  <c r="P99" i="33"/>
  <c r="P125" i="33" s="1"/>
  <c r="D99" i="33"/>
  <c r="D125" i="33" s="1"/>
  <c r="L100" i="33"/>
  <c r="L126" i="33" s="1"/>
  <c r="Q102" i="33"/>
  <c r="Q128" i="33" s="1"/>
  <c r="E102" i="33"/>
  <c r="E128" i="33" s="1"/>
  <c r="O99" i="33"/>
  <c r="O125" i="33" s="1"/>
  <c r="K100" i="33"/>
  <c r="K126" i="33" s="1"/>
  <c r="F100" i="33"/>
  <c r="F126" i="33" s="1"/>
  <c r="P102" i="33"/>
  <c r="P128" i="33" s="1"/>
  <c r="D102" i="33"/>
  <c r="D128" i="33" s="1"/>
  <c r="N99" i="33"/>
  <c r="N125" i="33" s="1"/>
  <c r="J100" i="33"/>
  <c r="J126" i="33" s="1"/>
  <c r="R100" i="33"/>
  <c r="R126" i="33" s="1"/>
  <c r="O102" i="33"/>
  <c r="O128" i="33" s="1"/>
  <c r="M99" i="33"/>
  <c r="M125" i="33" s="1"/>
  <c r="U100" i="33"/>
  <c r="U126" i="33" s="1"/>
  <c r="I100" i="33"/>
  <c r="I126" i="33" s="1"/>
  <c r="J99" i="33"/>
  <c r="J125" i="33" s="1"/>
  <c r="N102" i="33"/>
  <c r="N128" i="33" s="1"/>
  <c r="L99" i="33"/>
  <c r="L125" i="33" s="1"/>
  <c r="T100" i="33"/>
  <c r="T126" i="33" s="1"/>
  <c r="H100" i="33"/>
  <c r="H126" i="33" s="1"/>
  <c r="M102" i="33"/>
  <c r="M128" i="33" s="1"/>
  <c r="K99" i="33"/>
  <c r="K125" i="33" s="1"/>
  <c r="S100" i="33"/>
  <c r="S126" i="33" s="1"/>
  <c r="G100" i="33"/>
  <c r="G126" i="33" s="1"/>
  <c r="L102" i="33"/>
  <c r="L128" i="33" s="1"/>
  <c r="O96" i="33"/>
  <c r="O122" i="33" s="1"/>
  <c r="L94" i="33"/>
  <c r="L120" i="33" s="1"/>
  <c r="K62" i="33"/>
  <c r="N96" i="33"/>
  <c r="N122" i="33" s="1"/>
  <c r="K94" i="33"/>
  <c r="K120" i="33" s="1"/>
  <c r="J62" i="33"/>
  <c r="M96" i="33"/>
  <c r="M122" i="33" s="1"/>
  <c r="J94" i="33"/>
  <c r="J120" i="33" s="1"/>
  <c r="U62" i="33"/>
  <c r="I62" i="33"/>
  <c r="Q62" i="33"/>
  <c r="D96" i="33"/>
  <c r="D122" i="33" s="1"/>
  <c r="L96" i="33"/>
  <c r="L122" i="33" s="1"/>
  <c r="U94" i="33"/>
  <c r="U120" i="33" s="1"/>
  <c r="I94" i="33"/>
  <c r="I120" i="33" s="1"/>
  <c r="T62" i="33"/>
  <c r="H62" i="33"/>
  <c r="E62" i="33"/>
  <c r="K96" i="33"/>
  <c r="K122" i="33" s="1"/>
  <c r="T94" i="33"/>
  <c r="T120" i="33" s="1"/>
  <c r="H94" i="33"/>
  <c r="H120" i="33" s="1"/>
  <c r="S62" i="33"/>
  <c r="G62" i="33"/>
  <c r="F94" i="33"/>
  <c r="F120" i="33" s="1"/>
  <c r="J96" i="33"/>
  <c r="J122" i="33" s="1"/>
  <c r="S94" i="33"/>
  <c r="S120" i="33" s="1"/>
  <c r="G94" i="33"/>
  <c r="G120" i="33" s="1"/>
  <c r="R62" i="33"/>
  <c r="F62" i="33"/>
  <c r="M94" i="33"/>
  <c r="M120" i="33" s="1"/>
  <c r="U96" i="33"/>
  <c r="U122" i="33" s="1"/>
  <c r="I96" i="33"/>
  <c r="I122" i="33" s="1"/>
  <c r="R94" i="33"/>
  <c r="R120" i="33" s="1"/>
  <c r="L62" i="33"/>
  <c r="T96" i="33"/>
  <c r="T122" i="33" s="1"/>
  <c r="H96" i="33"/>
  <c r="H122" i="33" s="1"/>
  <c r="Q94" i="33"/>
  <c r="Q120" i="33" s="1"/>
  <c r="E94" i="33"/>
  <c r="E120" i="33" s="1"/>
  <c r="P62" i="33"/>
  <c r="D62" i="33"/>
  <c r="P96" i="33"/>
  <c r="P122" i="33" s="1"/>
  <c r="S96" i="33"/>
  <c r="S122" i="33" s="1"/>
  <c r="G96" i="33"/>
  <c r="G122" i="33" s="1"/>
  <c r="P94" i="33"/>
  <c r="P120" i="33" s="1"/>
  <c r="D94" i="33"/>
  <c r="D120" i="33" s="1"/>
  <c r="O62" i="33"/>
  <c r="E96" i="33"/>
  <c r="E122" i="33" s="1"/>
  <c r="M62" i="33"/>
  <c r="R96" i="33"/>
  <c r="R122" i="33" s="1"/>
  <c r="F96" i="33"/>
  <c r="F122" i="33" s="1"/>
  <c r="O94" i="33"/>
  <c r="O120" i="33" s="1"/>
  <c r="N62" i="33"/>
  <c r="Q96" i="33"/>
  <c r="Q122" i="33" s="1"/>
  <c r="N94" i="33"/>
  <c r="N120" i="33" s="1"/>
  <c r="E34" i="33"/>
  <c r="N32" i="33"/>
  <c r="N75" i="33"/>
  <c r="J76" i="33"/>
  <c r="R77" i="33"/>
  <c r="F77" i="33"/>
  <c r="N78" i="33"/>
  <c r="P61" i="33"/>
  <c r="D61" i="33"/>
  <c r="L59" i="33"/>
  <c r="T57" i="33"/>
  <c r="H57" i="33"/>
  <c r="P34" i="33"/>
  <c r="D34" i="33"/>
  <c r="L36" i="33"/>
  <c r="T37" i="33"/>
  <c r="H37" i="33"/>
  <c r="S37" i="33"/>
  <c r="O32" i="33"/>
  <c r="M59" i="33"/>
  <c r="M32" i="33"/>
  <c r="M75" i="33"/>
  <c r="U76" i="33"/>
  <c r="I76" i="33"/>
  <c r="Q77" i="33"/>
  <c r="E77" i="33"/>
  <c r="M78" i="33"/>
  <c r="O61" i="33"/>
  <c r="K59" i="33"/>
  <c r="S57" i="33"/>
  <c r="G57" i="33"/>
  <c r="O34" i="33"/>
  <c r="K36" i="33"/>
  <c r="G37" i="33"/>
  <c r="M36" i="33"/>
  <c r="L32" i="33"/>
  <c r="L75" i="33"/>
  <c r="T76" i="33"/>
  <c r="H76" i="33"/>
  <c r="P77" i="33"/>
  <c r="D77" i="33"/>
  <c r="L78" i="33"/>
  <c r="N61" i="33"/>
  <c r="J59" i="33"/>
  <c r="R57" i="33"/>
  <c r="F57" i="33"/>
  <c r="N34" i="33"/>
  <c r="J36" i="33"/>
  <c r="R37" i="33"/>
  <c r="F37" i="33"/>
  <c r="E37" i="33"/>
  <c r="O37" i="33"/>
  <c r="K76" i="33"/>
  <c r="Q34" i="33"/>
  <c r="K32" i="33"/>
  <c r="K75" i="33"/>
  <c r="S76" i="33"/>
  <c r="G76" i="33"/>
  <c r="O77" i="33"/>
  <c r="K78" i="33"/>
  <c r="M61" i="33"/>
  <c r="U59" i="33"/>
  <c r="I59" i="33"/>
  <c r="Q57" i="33"/>
  <c r="E57" i="33"/>
  <c r="M34" i="33"/>
  <c r="U36" i="33"/>
  <c r="I36" i="33"/>
  <c r="Q37" i="33"/>
  <c r="G77" i="33"/>
  <c r="I37" i="33"/>
  <c r="J32" i="33"/>
  <c r="J75" i="33"/>
  <c r="R76" i="33"/>
  <c r="F76" i="33"/>
  <c r="N77" i="33"/>
  <c r="J78" i="33"/>
  <c r="L61" i="33"/>
  <c r="T59" i="33"/>
  <c r="H59" i="33"/>
  <c r="P57" i="33"/>
  <c r="D57" i="33"/>
  <c r="L34" i="33"/>
  <c r="T36" i="33"/>
  <c r="H36" i="33"/>
  <c r="P37" i="33"/>
  <c r="D37" i="33"/>
  <c r="S77" i="33"/>
  <c r="U37" i="33"/>
  <c r="U32" i="33"/>
  <c r="I32" i="33"/>
  <c r="U75" i="33"/>
  <c r="I75" i="33"/>
  <c r="Q76" i="33"/>
  <c r="E76" i="33"/>
  <c r="M77" i="33"/>
  <c r="U78" i="33"/>
  <c r="I78" i="33"/>
  <c r="K61" i="33"/>
  <c r="S59" i="33"/>
  <c r="G59" i="33"/>
  <c r="O57" i="33"/>
  <c r="K34" i="33"/>
  <c r="S36" i="33"/>
  <c r="G36" i="33"/>
  <c r="U57" i="33"/>
  <c r="T32" i="33"/>
  <c r="H32" i="33"/>
  <c r="T75" i="33"/>
  <c r="H75" i="33"/>
  <c r="P76" i="33"/>
  <c r="D76" i="33"/>
  <c r="L77" i="33"/>
  <c r="T78" i="33"/>
  <c r="H78" i="33"/>
  <c r="J61" i="33"/>
  <c r="R59" i="33"/>
  <c r="F59" i="33"/>
  <c r="N57" i="33"/>
  <c r="J34" i="33"/>
  <c r="R36" i="33"/>
  <c r="F36" i="33"/>
  <c r="N37" i="33"/>
  <c r="Q36" i="33"/>
  <c r="M37" i="33"/>
  <c r="O78" i="33"/>
  <c r="S32" i="33"/>
  <c r="G32" i="33"/>
  <c r="S75" i="33"/>
  <c r="G75" i="33"/>
  <c r="O76" i="33"/>
  <c r="K77" i="33"/>
  <c r="S78" i="33"/>
  <c r="G78" i="33"/>
  <c r="U61" i="33"/>
  <c r="I61" i="33"/>
  <c r="Q59" i="33"/>
  <c r="E59" i="33"/>
  <c r="M57" i="33"/>
  <c r="U34" i="33"/>
  <c r="I34" i="33"/>
  <c r="E36" i="33"/>
  <c r="L37" i="33"/>
  <c r="E61" i="33"/>
  <c r="R32" i="33"/>
  <c r="F32" i="33"/>
  <c r="R75" i="33"/>
  <c r="F75" i="33"/>
  <c r="N76" i="33"/>
  <c r="J77" i="33"/>
  <c r="R78" i="33"/>
  <c r="F78" i="33"/>
  <c r="T61" i="33"/>
  <c r="H61" i="33"/>
  <c r="P59" i="33"/>
  <c r="D59" i="33"/>
  <c r="L57" i="33"/>
  <c r="T34" i="33"/>
  <c r="H34" i="33"/>
  <c r="P36" i="33"/>
  <c r="D36" i="33"/>
  <c r="Q61" i="33"/>
  <c r="Q32" i="33"/>
  <c r="E32" i="33"/>
  <c r="Q75" i="33"/>
  <c r="E75" i="33"/>
  <c r="M76" i="33"/>
  <c r="U77" i="33"/>
  <c r="I77" i="33"/>
  <c r="Q78" i="33"/>
  <c r="E78" i="33"/>
  <c r="S61" i="33"/>
  <c r="G61" i="33"/>
  <c r="O59" i="33"/>
  <c r="K57" i="33"/>
  <c r="S34" i="33"/>
  <c r="G34" i="33"/>
  <c r="O36" i="33"/>
  <c r="K37" i="33"/>
  <c r="O75" i="33"/>
  <c r="I57" i="33"/>
  <c r="P32" i="33"/>
  <c r="D32" i="33"/>
  <c r="P75" i="33"/>
  <c r="D75" i="33"/>
  <c r="L76" i="33"/>
  <c r="T77" i="33"/>
  <c r="H77" i="33"/>
  <c r="P78" i="33"/>
  <c r="D78" i="33"/>
  <c r="R61" i="33"/>
  <c r="F61" i="33"/>
  <c r="N59" i="33"/>
  <c r="J57" i="33"/>
  <c r="R34" i="33"/>
  <c r="F34" i="33"/>
  <c r="N36" i="33"/>
  <c r="J37" i="33"/>
  <c r="R82" i="33"/>
  <c r="N91" i="33"/>
  <c r="J73" i="33"/>
  <c r="M91" i="33"/>
  <c r="U73" i="33"/>
  <c r="I73" i="33"/>
  <c r="F91" i="33"/>
  <c r="L91" i="33"/>
  <c r="T73" i="33"/>
  <c r="H73" i="33"/>
  <c r="T91" i="33"/>
  <c r="G91" i="33"/>
  <c r="K91" i="33"/>
  <c r="S73" i="33"/>
  <c r="G73" i="33"/>
  <c r="E73" i="33"/>
  <c r="D73" i="33"/>
  <c r="J91" i="33"/>
  <c r="R73" i="33"/>
  <c r="F73" i="33"/>
  <c r="H91" i="33"/>
  <c r="S91" i="33"/>
  <c r="U91" i="33"/>
  <c r="I91" i="33"/>
  <c r="Q73" i="33"/>
  <c r="P73" i="33"/>
  <c r="R91" i="33"/>
  <c r="Q91" i="33"/>
  <c r="E91" i="33"/>
  <c r="M73" i="33"/>
  <c r="K73" i="33"/>
  <c r="N73" i="33"/>
  <c r="P91" i="33"/>
  <c r="D91" i="33"/>
  <c r="L73" i="33"/>
  <c r="O91" i="33"/>
  <c r="O73" i="33"/>
  <c r="S41" i="33"/>
  <c r="R8" i="33"/>
  <c r="R51" i="33"/>
  <c r="R43" i="33"/>
  <c r="D60" i="33"/>
  <c r="G52" i="33"/>
  <c r="J58" i="33"/>
  <c r="U84" i="33"/>
  <c r="R83" i="33"/>
  <c r="R10" i="33"/>
  <c r="F29" i="33"/>
  <c r="F10" i="33"/>
  <c r="F81" i="33"/>
  <c r="R79" i="33"/>
  <c r="K35" i="33"/>
  <c r="F90" i="33"/>
  <c r="L68" i="33"/>
  <c r="M38" i="33"/>
  <c r="I82" i="33"/>
  <c r="F97" i="33"/>
  <c r="F123" i="33" s="1"/>
  <c r="S86" i="33"/>
  <c r="L48" i="33"/>
  <c r="Q58" i="33"/>
  <c r="G79" i="33"/>
  <c r="J92" i="33"/>
  <c r="M86" i="33"/>
  <c r="N58" i="33"/>
  <c r="U56" i="33"/>
  <c r="D84" i="33"/>
  <c r="Q47" i="33"/>
  <c r="Q6" i="33"/>
  <c r="J56" i="33"/>
  <c r="J26" i="33"/>
  <c r="J110" i="33" s="1"/>
  <c r="I33" i="33"/>
  <c r="N43" i="33"/>
  <c r="S35" i="33"/>
  <c r="L60" i="33"/>
  <c r="L40" i="33"/>
  <c r="E58" i="33"/>
  <c r="Q71" i="33"/>
  <c r="P90" i="33"/>
  <c r="O60" i="33"/>
  <c r="I84" i="33"/>
  <c r="N35" i="33"/>
  <c r="F31" i="33"/>
  <c r="S82" i="33"/>
  <c r="E47" i="33"/>
  <c r="E6" i="33"/>
  <c r="P55" i="33"/>
  <c r="P14" i="33"/>
  <c r="U26" i="33"/>
  <c r="U110" i="33" s="1"/>
  <c r="H33" i="33"/>
  <c r="U80" i="33"/>
  <c r="I90" i="33"/>
  <c r="Q85" i="33"/>
  <c r="R29" i="33"/>
  <c r="P38" i="33"/>
  <c r="M82" i="33"/>
  <c r="K97" i="33"/>
  <c r="K123" i="33" s="1"/>
  <c r="I74" i="33"/>
  <c r="T97" i="33"/>
  <c r="T123" i="33" s="1"/>
  <c r="F88" i="33"/>
  <c r="F55" i="33"/>
  <c r="G35" i="33"/>
  <c r="O79" i="33"/>
  <c r="U70" i="33"/>
  <c r="R58" i="33"/>
  <c r="M84" i="33"/>
  <c r="L26" i="33"/>
  <c r="L110" i="33" s="1"/>
  <c r="Q35" i="33"/>
  <c r="F70" i="33"/>
  <c r="Q89" i="33"/>
  <c r="L80" i="33"/>
  <c r="T92" i="33"/>
  <c r="E85" i="33"/>
  <c r="G69" i="33"/>
  <c r="Q43" i="33"/>
  <c r="J88" i="33"/>
  <c r="J52" i="33"/>
  <c r="J11" i="33"/>
  <c r="I13" i="33"/>
  <c r="N29" i="33"/>
  <c r="G81" i="33"/>
  <c r="E87" i="33"/>
  <c r="R49" i="33"/>
  <c r="M92" i="33"/>
  <c r="S71" i="33"/>
  <c r="O38" i="33"/>
  <c r="F58" i="33"/>
  <c r="L83" i="33"/>
  <c r="L7" i="33"/>
  <c r="E35" i="33"/>
  <c r="R67" i="33"/>
  <c r="P86" i="33"/>
  <c r="R69" i="33"/>
  <c r="N89" i="33"/>
  <c r="G60" i="33"/>
  <c r="L52" i="33"/>
  <c r="Q41" i="33"/>
  <c r="J86" i="33"/>
  <c r="J50" i="33"/>
  <c r="J9" i="33"/>
  <c r="U7" i="33"/>
  <c r="H13" i="33"/>
  <c r="M70" i="33"/>
  <c r="J35" i="33"/>
  <c r="S79" i="33"/>
  <c r="O92" i="33"/>
  <c r="M68" i="33"/>
  <c r="I35" i="33"/>
  <c r="N60" i="33"/>
  <c r="S85" i="33"/>
  <c r="R41" i="33"/>
  <c r="S90" i="33"/>
  <c r="K70" i="33"/>
  <c r="L38" i="33"/>
  <c r="G82" i="33"/>
  <c r="K92" i="33"/>
  <c r="I64" i="33"/>
  <c r="G83" i="33"/>
  <c r="G67" i="33"/>
  <c r="N87" i="33"/>
  <c r="G38" i="33"/>
  <c r="L11" i="33"/>
  <c r="Q39" i="33"/>
  <c r="J84" i="33"/>
  <c r="J48" i="33"/>
  <c r="J7" i="33"/>
  <c r="I5" i="33"/>
  <c r="N10" i="33"/>
  <c r="U97" i="33"/>
  <c r="U123" i="33" s="1"/>
  <c r="P92" i="33"/>
  <c r="K74" i="33"/>
  <c r="G90" i="33"/>
  <c r="O65" i="33"/>
  <c r="U90" i="33"/>
  <c r="T58" i="33"/>
  <c r="R84" i="33"/>
  <c r="R27" i="33"/>
  <c r="D90" i="33"/>
  <c r="I68" i="33"/>
  <c r="R35" i="33"/>
  <c r="S80" i="33"/>
  <c r="E92" i="33"/>
  <c r="Q90" i="33"/>
  <c r="I54" i="33"/>
  <c r="S81" i="33"/>
  <c r="L46" i="33"/>
  <c r="G84" i="33"/>
  <c r="M35" i="33"/>
  <c r="E69" i="33"/>
  <c r="E39" i="33"/>
  <c r="P83" i="33"/>
  <c r="P47" i="33"/>
  <c r="P6" i="33"/>
  <c r="H82" i="33"/>
  <c r="H5" i="33"/>
  <c r="D38" i="33"/>
  <c r="D92" i="33"/>
  <c r="R70" i="33"/>
  <c r="G88" i="33"/>
  <c r="O55" i="33"/>
  <c r="F89" i="33"/>
  <c r="H58" i="33"/>
  <c r="O83" i="33"/>
  <c r="U88" i="33"/>
  <c r="U64" i="33"/>
  <c r="F35" i="33"/>
  <c r="L79" i="33"/>
  <c r="L74" i="33"/>
  <c r="R89" i="33"/>
  <c r="R39" i="33"/>
  <c r="O71" i="33"/>
  <c r="U60" i="33"/>
  <c r="L13" i="33"/>
  <c r="K80" i="33"/>
  <c r="L90" i="33"/>
  <c r="L97" i="33"/>
  <c r="L123" i="33" s="1"/>
  <c r="Q65" i="33"/>
  <c r="Q29" i="33"/>
  <c r="J80" i="33"/>
  <c r="J44" i="33"/>
  <c r="U50" i="33"/>
  <c r="N79" i="33"/>
  <c r="M71" i="33"/>
  <c r="F65" i="33"/>
  <c r="H97" i="33"/>
  <c r="H123" i="33" s="1"/>
  <c r="E38" i="33"/>
  <c r="H90" i="33"/>
  <c r="U68" i="33"/>
  <c r="F87" i="33"/>
  <c r="L50" i="33"/>
  <c r="N38" i="33"/>
  <c r="K82" i="33"/>
  <c r="S97" i="33"/>
  <c r="S123" i="33" s="1"/>
  <c r="D88" i="33"/>
  <c r="U54" i="33"/>
  <c r="L92" i="33"/>
  <c r="R71" i="33"/>
  <c r="U58" i="33"/>
  <c r="S88" i="33"/>
  <c r="R14" i="33"/>
  <c r="S69" i="33"/>
  <c r="I60" i="33"/>
  <c r="G86" i="33"/>
  <c r="U74" i="33"/>
  <c r="L88" i="33"/>
  <c r="L58" i="33"/>
  <c r="Q63" i="33"/>
  <c r="Q27" i="33"/>
  <c r="J74" i="33"/>
  <c r="J42" i="33"/>
  <c r="U48" i="33"/>
  <c r="H68" i="33"/>
  <c r="G66" i="33"/>
  <c r="E89" i="33"/>
  <c r="L81" i="33"/>
  <c r="S83" i="33"/>
  <c r="G89" i="33"/>
  <c r="R65" i="33"/>
  <c r="D86" i="33"/>
  <c r="L42" i="33"/>
  <c r="T35" i="33"/>
  <c r="E81" i="33"/>
  <c r="K58" i="33"/>
  <c r="G97" i="33"/>
  <c r="G123" i="33" s="1"/>
  <c r="U86" i="33"/>
  <c r="F49" i="33"/>
  <c r="R90" i="33"/>
  <c r="I70" i="33"/>
  <c r="R87" i="33"/>
  <c r="Q60" i="33"/>
  <c r="D97" i="33"/>
  <c r="D123" i="33" s="1"/>
  <c r="O67" i="33"/>
  <c r="O58" i="33"/>
  <c r="F67" i="33"/>
  <c r="G85" i="33"/>
  <c r="R38" i="33"/>
  <c r="Q55" i="33"/>
  <c r="Q14" i="33"/>
  <c r="J70" i="33"/>
  <c r="J40" i="33"/>
  <c r="U46" i="33"/>
  <c r="N65" i="33"/>
  <c r="M63" i="33"/>
  <c r="F98" i="33"/>
  <c r="F124" i="33" s="1"/>
  <c r="R98" i="33"/>
  <c r="R124" i="33" s="1"/>
  <c r="L101" i="33"/>
  <c r="L127" i="33" s="1"/>
  <c r="F103" i="33"/>
  <c r="F129" i="33" s="1"/>
  <c r="R103" i="33"/>
  <c r="R129" i="33" s="1"/>
  <c r="L104" i="33"/>
  <c r="L130" i="33" s="1"/>
  <c r="F105" i="33"/>
  <c r="F131" i="33" s="1"/>
  <c r="R105" i="33"/>
  <c r="R131" i="33" s="1"/>
  <c r="E105" i="33"/>
  <c r="E131" i="33" s="1"/>
  <c r="G98" i="33"/>
  <c r="G124" i="33" s="1"/>
  <c r="S98" i="33"/>
  <c r="S124" i="33" s="1"/>
  <c r="M101" i="33"/>
  <c r="M127" i="33" s="1"/>
  <c r="G103" i="33"/>
  <c r="G129" i="33" s="1"/>
  <c r="S103" i="33"/>
  <c r="S129" i="33" s="1"/>
  <c r="M104" i="33"/>
  <c r="M130" i="33" s="1"/>
  <c r="G105" i="33"/>
  <c r="G131" i="33" s="1"/>
  <c r="S105" i="33"/>
  <c r="S131" i="33" s="1"/>
  <c r="I104" i="33"/>
  <c r="I130" i="33" s="1"/>
  <c r="E98" i="33"/>
  <c r="E124" i="33" s="1"/>
  <c r="H98" i="33"/>
  <c r="H124" i="33" s="1"/>
  <c r="T98" i="33"/>
  <c r="T124" i="33" s="1"/>
  <c r="N101" i="33"/>
  <c r="N127" i="33" s="1"/>
  <c r="H103" i="33"/>
  <c r="H129" i="33" s="1"/>
  <c r="T103" i="33"/>
  <c r="T129" i="33" s="1"/>
  <c r="N104" i="33"/>
  <c r="N130" i="33" s="1"/>
  <c r="H105" i="33"/>
  <c r="H131" i="33" s="1"/>
  <c r="T105" i="33"/>
  <c r="T131" i="33" s="1"/>
  <c r="O103" i="33"/>
  <c r="O129" i="33" s="1"/>
  <c r="Q105" i="33"/>
  <c r="Q131" i="33" s="1"/>
  <c r="I98" i="33"/>
  <c r="I124" i="33" s="1"/>
  <c r="U98" i="33"/>
  <c r="U124" i="33" s="1"/>
  <c r="O101" i="33"/>
  <c r="O127" i="33" s="1"/>
  <c r="I103" i="33"/>
  <c r="I129" i="33" s="1"/>
  <c r="U103" i="33"/>
  <c r="U129" i="33" s="1"/>
  <c r="O104" i="33"/>
  <c r="O130" i="33" s="1"/>
  <c r="I105" i="33"/>
  <c r="I131" i="33" s="1"/>
  <c r="U105" i="33"/>
  <c r="U131" i="33" s="1"/>
  <c r="K101" i="33"/>
  <c r="K127" i="33" s="1"/>
  <c r="J98" i="33"/>
  <c r="J124" i="33" s="1"/>
  <c r="D101" i="33"/>
  <c r="D127" i="33" s="1"/>
  <c r="P101" i="33"/>
  <c r="P127" i="33" s="1"/>
  <c r="J103" i="33"/>
  <c r="J129" i="33" s="1"/>
  <c r="D104" i="33"/>
  <c r="D130" i="33" s="1"/>
  <c r="P104" i="33"/>
  <c r="P130" i="33" s="1"/>
  <c r="J105" i="33"/>
  <c r="J131" i="33" s="1"/>
  <c r="I101" i="33"/>
  <c r="I127" i="33" s="1"/>
  <c r="K98" i="33"/>
  <c r="K124" i="33" s="1"/>
  <c r="E101" i="33"/>
  <c r="E127" i="33" s="1"/>
  <c r="Q101" i="33"/>
  <c r="Q127" i="33" s="1"/>
  <c r="K103" i="33"/>
  <c r="K129" i="33" s="1"/>
  <c r="E104" i="33"/>
  <c r="E130" i="33" s="1"/>
  <c r="Q104" i="33"/>
  <c r="Q130" i="33" s="1"/>
  <c r="K105" i="33"/>
  <c r="K131" i="33" s="1"/>
  <c r="O105" i="33"/>
  <c r="O131" i="33" s="1"/>
  <c r="E103" i="33"/>
  <c r="E129" i="33" s="1"/>
  <c r="L98" i="33"/>
  <c r="L124" i="33" s="1"/>
  <c r="F101" i="33"/>
  <c r="F127" i="33" s="1"/>
  <c r="R101" i="33"/>
  <c r="R127" i="33" s="1"/>
  <c r="L103" i="33"/>
  <c r="L129" i="33" s="1"/>
  <c r="F104" i="33"/>
  <c r="F130" i="33" s="1"/>
  <c r="R104" i="33"/>
  <c r="R130" i="33" s="1"/>
  <c r="L105" i="33"/>
  <c r="L131" i="33" s="1"/>
  <c r="U104" i="33"/>
  <c r="U130" i="33" s="1"/>
  <c r="Q98" i="33"/>
  <c r="Q124" i="33" s="1"/>
  <c r="M98" i="33"/>
  <c r="M124" i="33" s="1"/>
  <c r="G101" i="33"/>
  <c r="G127" i="33" s="1"/>
  <c r="S101" i="33"/>
  <c r="S127" i="33" s="1"/>
  <c r="M103" i="33"/>
  <c r="M129" i="33" s="1"/>
  <c r="G104" i="33"/>
  <c r="G130" i="33" s="1"/>
  <c r="S104" i="33"/>
  <c r="S130" i="33" s="1"/>
  <c r="M105" i="33"/>
  <c r="M131" i="33" s="1"/>
  <c r="U101" i="33"/>
  <c r="U127" i="33" s="1"/>
  <c r="N98" i="33"/>
  <c r="N124" i="33" s="1"/>
  <c r="H101" i="33"/>
  <c r="H127" i="33" s="1"/>
  <c r="T101" i="33"/>
  <c r="T127" i="33" s="1"/>
  <c r="N103" i="33"/>
  <c r="N129" i="33" s="1"/>
  <c r="H104" i="33"/>
  <c r="H130" i="33" s="1"/>
  <c r="T104" i="33"/>
  <c r="T130" i="33" s="1"/>
  <c r="N105" i="33"/>
  <c r="N131" i="33" s="1"/>
  <c r="Q103" i="33"/>
  <c r="Q129" i="33" s="1"/>
  <c r="O98" i="33"/>
  <c r="O124" i="33" s="1"/>
  <c r="D98" i="33"/>
  <c r="D124" i="33" s="1"/>
  <c r="P98" i="33"/>
  <c r="P124" i="33" s="1"/>
  <c r="J101" i="33"/>
  <c r="J127" i="33" s="1"/>
  <c r="D103" i="33"/>
  <c r="D129" i="33" s="1"/>
  <c r="P103" i="33"/>
  <c r="P129" i="33" s="1"/>
  <c r="J104" i="33"/>
  <c r="J130" i="33" s="1"/>
  <c r="D105" i="33"/>
  <c r="D131" i="33" s="1"/>
  <c r="P105" i="33"/>
  <c r="P131" i="33" s="1"/>
  <c r="K104" i="33"/>
  <c r="K130" i="33" s="1"/>
  <c r="F69" i="33"/>
  <c r="H88" i="33"/>
  <c r="R55" i="33"/>
  <c r="S84" i="33"/>
  <c r="L28" i="33"/>
  <c r="H35" i="33"/>
  <c r="Q79" i="33"/>
  <c r="J87" i="33"/>
  <c r="M60" i="33"/>
  <c r="R85" i="33"/>
  <c r="F41" i="33"/>
  <c r="S89" i="33"/>
  <c r="S67" i="33"/>
  <c r="Q97" i="33"/>
  <c r="Q123" i="33" s="1"/>
  <c r="O85" i="33"/>
  <c r="I88" i="33"/>
  <c r="J60" i="33"/>
  <c r="F47" i="33"/>
  <c r="O35" i="33"/>
  <c r="F53" i="33"/>
  <c r="O81" i="33"/>
  <c r="R92" i="33"/>
  <c r="E55" i="33"/>
  <c r="E14" i="33"/>
  <c r="P69" i="33"/>
  <c r="P39" i="33"/>
  <c r="I46" i="33"/>
  <c r="H54" i="33"/>
  <c r="M5" i="33"/>
  <c r="M13" i="33"/>
  <c r="M33" i="33"/>
  <c r="M46" i="33"/>
  <c r="M54" i="33"/>
  <c r="T6" i="33"/>
  <c r="T14" i="33"/>
  <c r="T39" i="33"/>
  <c r="T47" i="33"/>
  <c r="T55" i="33"/>
  <c r="T69" i="33"/>
  <c r="T83" i="33"/>
  <c r="U6" i="33"/>
  <c r="U14" i="33"/>
  <c r="U39" i="33"/>
  <c r="U47" i="33"/>
  <c r="U55" i="33"/>
  <c r="U69" i="33"/>
  <c r="U83" i="33"/>
  <c r="P5" i="33"/>
  <c r="P13" i="33"/>
  <c r="P33" i="33"/>
  <c r="P46" i="33"/>
  <c r="P54" i="33"/>
  <c r="P68" i="33"/>
  <c r="P82" i="33"/>
  <c r="K12" i="33"/>
  <c r="K31" i="33"/>
  <c r="K45" i="33"/>
  <c r="K53" i="33"/>
  <c r="K67" i="33"/>
  <c r="K81" i="33"/>
  <c r="K89" i="33"/>
  <c r="R11" i="33"/>
  <c r="R30" i="33"/>
  <c r="R44" i="33"/>
  <c r="R52" i="33"/>
  <c r="R66" i="33"/>
  <c r="S9" i="33"/>
  <c r="S28" i="33"/>
  <c r="S42" i="33"/>
  <c r="S50" i="33"/>
  <c r="S64" i="33"/>
  <c r="S74" i="33"/>
  <c r="T11" i="33"/>
  <c r="T30" i="33"/>
  <c r="T44" i="33"/>
  <c r="T52" i="33"/>
  <c r="T66" i="33"/>
  <c r="T80" i="33"/>
  <c r="O6" i="33"/>
  <c r="O14" i="33"/>
  <c r="O39" i="33"/>
  <c r="O47" i="33"/>
  <c r="D8" i="33"/>
  <c r="D27" i="33"/>
  <c r="D41" i="33"/>
  <c r="D49" i="33"/>
  <c r="D63" i="33"/>
  <c r="D71" i="33"/>
  <c r="D85" i="33"/>
  <c r="K7" i="33"/>
  <c r="K26" i="33"/>
  <c r="K110" i="33" s="1"/>
  <c r="K40" i="33"/>
  <c r="K48" i="33"/>
  <c r="K56" i="33"/>
  <c r="L30" i="33"/>
  <c r="F85" i="33"/>
  <c r="F60" i="33"/>
  <c r="Q38" i="33"/>
  <c r="U82" i="33"/>
  <c r="S38" i="33"/>
  <c r="Q81" i="33"/>
  <c r="H38" i="33"/>
  <c r="L71" i="33"/>
  <c r="I92" i="33"/>
  <c r="F14" i="33"/>
  <c r="K84" i="33"/>
  <c r="P58" i="33"/>
  <c r="R47" i="33"/>
  <c r="R86" i="33"/>
  <c r="G6" i="33"/>
  <c r="G14" i="33"/>
  <c r="G39" i="33"/>
  <c r="G47" i="33"/>
  <c r="G55" i="33"/>
  <c r="N7" i="33"/>
  <c r="N26" i="33"/>
  <c r="N110" i="33" s="1"/>
  <c r="N40" i="33"/>
  <c r="N48" i="33"/>
  <c r="N56" i="33"/>
  <c r="N70" i="33"/>
  <c r="N84" i="33"/>
  <c r="O7" i="33"/>
  <c r="O26" i="33"/>
  <c r="O110" i="33" s="1"/>
  <c r="O40" i="33"/>
  <c r="O48" i="33"/>
  <c r="O56" i="33"/>
  <c r="O70" i="33"/>
  <c r="O84" i="33"/>
  <c r="J6" i="33"/>
  <c r="J14" i="33"/>
  <c r="J39" i="33"/>
  <c r="J47" i="33"/>
  <c r="J55" i="33"/>
  <c r="J69" i="33"/>
  <c r="E5" i="33"/>
  <c r="E13" i="33"/>
  <c r="E33" i="33"/>
  <c r="E46" i="33"/>
  <c r="E54" i="33"/>
  <c r="E68" i="33"/>
  <c r="E82" i="33"/>
  <c r="E90" i="33"/>
  <c r="L12" i="33"/>
  <c r="L31" i="33"/>
  <c r="L45" i="33"/>
  <c r="L53" i="33"/>
  <c r="L67" i="33"/>
  <c r="M10" i="33"/>
  <c r="M29" i="33"/>
  <c r="M43" i="33"/>
  <c r="M51" i="33"/>
  <c r="M65" i="33"/>
  <c r="M79" i="33"/>
  <c r="N12" i="33"/>
  <c r="N31" i="33"/>
  <c r="N45" i="33"/>
  <c r="N53" i="33"/>
  <c r="N67" i="33"/>
  <c r="N81" i="33"/>
  <c r="I7" i="33"/>
  <c r="I26" i="33"/>
  <c r="I110" i="33" s="1"/>
  <c r="I40" i="33"/>
  <c r="I48" i="33"/>
  <c r="P8" i="33"/>
  <c r="P27" i="33"/>
  <c r="P41" i="33"/>
  <c r="P49" i="33"/>
  <c r="P63" i="33"/>
  <c r="P71" i="33"/>
  <c r="P85" i="33"/>
  <c r="E8" i="33"/>
  <c r="E27" i="33"/>
  <c r="E41" i="33"/>
  <c r="E49" i="33"/>
  <c r="E63" i="33"/>
  <c r="L44" i="33"/>
  <c r="I86" i="33"/>
  <c r="R60" i="33"/>
  <c r="F12" i="33"/>
  <c r="F84" i="33"/>
  <c r="M58" i="33"/>
  <c r="J89" i="33"/>
  <c r="E83" i="33"/>
  <c r="T38" i="33"/>
  <c r="E79" i="33"/>
  <c r="U92" i="33"/>
  <c r="F39" i="33"/>
  <c r="M85" i="33"/>
  <c r="S6" i="33"/>
  <c r="S14" i="33"/>
  <c r="S39" i="33"/>
  <c r="S47" i="33"/>
  <c r="S55" i="33"/>
  <c r="H8" i="33"/>
  <c r="H27" i="33"/>
  <c r="H41" i="33"/>
  <c r="H49" i="33"/>
  <c r="H63" i="33"/>
  <c r="H71" i="33"/>
  <c r="H85" i="33"/>
  <c r="I8" i="33"/>
  <c r="I27" i="33"/>
  <c r="I41" i="33"/>
  <c r="I49" i="33"/>
  <c r="I63" i="33"/>
  <c r="I71" i="33"/>
  <c r="I85" i="33"/>
  <c r="D7" i="33"/>
  <c r="D26" i="33"/>
  <c r="D110" i="33" s="1"/>
  <c r="D40" i="33"/>
  <c r="D48" i="33"/>
  <c r="D56" i="33"/>
  <c r="D70" i="33"/>
  <c r="Q5" i="33"/>
  <c r="Q13" i="33"/>
  <c r="Q33" i="33"/>
  <c r="Q46" i="33"/>
  <c r="Q54" i="33"/>
  <c r="Q68" i="33"/>
  <c r="Q82" i="33"/>
  <c r="F5" i="33"/>
  <c r="F13" i="33"/>
  <c r="F33" i="33"/>
  <c r="F46" i="33"/>
  <c r="F54" i="33"/>
  <c r="F68" i="33"/>
  <c r="G11" i="33"/>
  <c r="G30" i="33"/>
  <c r="G44" i="33"/>
  <c r="M7" i="33"/>
  <c r="M26" i="33"/>
  <c r="M110" i="33" s="1"/>
  <c r="M40" i="33"/>
  <c r="M48" i="33"/>
  <c r="M56" i="33"/>
  <c r="T8" i="33"/>
  <c r="T27" i="33"/>
  <c r="T41" i="33"/>
  <c r="T49" i="33"/>
  <c r="T63" i="33"/>
  <c r="T71" i="33"/>
  <c r="T85" i="33"/>
  <c r="U8" i="33"/>
  <c r="U27" i="33"/>
  <c r="U41" i="33"/>
  <c r="U49" i="33"/>
  <c r="U63" i="33"/>
  <c r="U71" i="33"/>
  <c r="U85" i="33"/>
  <c r="P7" i="33"/>
  <c r="P26" i="33"/>
  <c r="P110" i="33" s="1"/>
  <c r="P40" i="33"/>
  <c r="P48" i="33"/>
  <c r="P56" i="33"/>
  <c r="P70" i="33"/>
  <c r="K6" i="33"/>
  <c r="K14" i="33"/>
  <c r="K39" i="33"/>
  <c r="K47" i="33"/>
  <c r="K55" i="33"/>
  <c r="K69" i="33"/>
  <c r="K83" i="33"/>
  <c r="R5" i="33"/>
  <c r="R13" i="33"/>
  <c r="R33" i="33"/>
  <c r="R46" i="33"/>
  <c r="R54" i="33"/>
  <c r="R68" i="33"/>
  <c r="S11" i="33"/>
  <c r="S30" i="33"/>
  <c r="S44" i="33"/>
  <c r="S52" i="33"/>
  <c r="S66" i="33"/>
  <c r="T5" i="33"/>
  <c r="T13" i="33"/>
  <c r="T33" i="33"/>
  <c r="T46" i="33"/>
  <c r="T54" i="33"/>
  <c r="T68" i="33"/>
  <c r="T82" i="33"/>
  <c r="O8" i="33"/>
  <c r="O27" i="33"/>
  <c r="O41" i="33"/>
  <c r="O49" i="33"/>
  <c r="D10" i="33"/>
  <c r="D29" i="33"/>
  <c r="D43" i="33"/>
  <c r="D51" i="33"/>
  <c r="D65" i="33"/>
  <c r="D79" i="33"/>
  <c r="D87" i="33"/>
  <c r="K9" i="33"/>
  <c r="K28" i="33"/>
  <c r="K42" i="33"/>
  <c r="K50" i="33"/>
  <c r="K64" i="33"/>
  <c r="L56" i="33"/>
  <c r="K88" i="33"/>
  <c r="F45" i="33"/>
  <c r="K86" i="33"/>
  <c r="S60" i="33"/>
  <c r="R31" i="33"/>
  <c r="J85" i="33"/>
  <c r="H60" i="33"/>
  <c r="E60" i="33"/>
  <c r="R81" i="33"/>
  <c r="I38" i="33"/>
  <c r="R53" i="33"/>
  <c r="Q87" i="33"/>
  <c r="P97" i="33"/>
  <c r="P123" i="33" s="1"/>
  <c r="G8" i="33"/>
  <c r="G27" i="33"/>
  <c r="G41" i="33"/>
  <c r="G49" i="33"/>
  <c r="G63" i="33"/>
  <c r="N9" i="33"/>
  <c r="N28" i="33"/>
  <c r="N42" i="33"/>
  <c r="N50" i="33"/>
  <c r="N64" i="33"/>
  <c r="N74" i="33"/>
  <c r="N86" i="33"/>
  <c r="O9" i="33"/>
  <c r="O28" i="33"/>
  <c r="O42" i="33"/>
  <c r="O50" i="33"/>
  <c r="O64" i="33"/>
  <c r="O74" i="33"/>
  <c r="O86" i="33"/>
  <c r="J8" i="33"/>
  <c r="J27" i="33"/>
  <c r="J41" i="33"/>
  <c r="J49" i="33"/>
  <c r="J63" i="33"/>
  <c r="J71" i="33"/>
  <c r="E7" i="33"/>
  <c r="E26" i="33"/>
  <c r="E110" i="33" s="1"/>
  <c r="E40" i="33"/>
  <c r="E48" i="33"/>
  <c r="E56" i="33"/>
  <c r="E70" i="33"/>
  <c r="E84" i="33"/>
  <c r="L6" i="33"/>
  <c r="L14" i="33"/>
  <c r="L39" i="33"/>
  <c r="L47" i="33"/>
  <c r="L55" i="33"/>
  <c r="L69" i="33"/>
  <c r="M12" i="33"/>
  <c r="M31" i="33"/>
  <c r="M45" i="33"/>
  <c r="M53" i="33"/>
  <c r="M67" i="33"/>
  <c r="N6" i="33"/>
  <c r="N14" i="33"/>
  <c r="N39" i="33"/>
  <c r="N47" i="33"/>
  <c r="N55" i="33"/>
  <c r="N69" i="33"/>
  <c r="N83" i="33"/>
  <c r="I9" i="33"/>
  <c r="I28" i="33"/>
  <c r="I42" i="33"/>
  <c r="I50" i="33"/>
  <c r="P10" i="33"/>
  <c r="P29" i="33"/>
  <c r="P43" i="33"/>
  <c r="P51" i="33"/>
  <c r="P65" i="33"/>
  <c r="P79" i="33"/>
  <c r="P87" i="33"/>
  <c r="E10" i="33"/>
  <c r="E29" i="33"/>
  <c r="E43" i="33"/>
  <c r="E51" i="33"/>
  <c r="E65" i="33"/>
  <c r="L66" i="33"/>
  <c r="L89" i="33"/>
  <c r="U52" i="33"/>
  <c r="M87" i="33"/>
  <c r="M97" i="33"/>
  <c r="M123" i="33" s="1"/>
  <c r="R45" i="33"/>
  <c r="L86" i="33"/>
  <c r="T60" i="33"/>
  <c r="L5" i="33"/>
  <c r="F83" i="33"/>
  <c r="U38" i="33"/>
  <c r="R63" i="33"/>
  <c r="R88" i="33"/>
  <c r="S8" i="33"/>
  <c r="S27" i="33"/>
  <c r="S49" i="33"/>
  <c r="S63" i="33"/>
  <c r="H10" i="33"/>
  <c r="H29" i="33"/>
  <c r="H43" i="33"/>
  <c r="H51" i="33"/>
  <c r="H65" i="33"/>
  <c r="H79" i="33"/>
  <c r="H87" i="33"/>
  <c r="I10" i="33"/>
  <c r="I29" i="33"/>
  <c r="I43" i="33"/>
  <c r="I51" i="33"/>
  <c r="I65" i="33"/>
  <c r="I79" i="33"/>
  <c r="I87" i="33"/>
  <c r="D9" i="33"/>
  <c r="D28" i="33"/>
  <c r="D42" i="33"/>
  <c r="D50" i="33"/>
  <c r="D64" i="33"/>
  <c r="D74" i="33"/>
  <c r="Q7" i="33"/>
  <c r="Q26" i="33"/>
  <c r="Q110" i="33" s="1"/>
  <c r="Q40" i="33"/>
  <c r="Q48" i="33"/>
  <c r="Q56" i="33"/>
  <c r="Q70" i="33"/>
  <c r="Q84" i="33"/>
  <c r="F7" i="33"/>
  <c r="F26" i="33"/>
  <c r="F110" i="33" s="1"/>
  <c r="F40" i="33"/>
  <c r="F48" i="33"/>
  <c r="F56" i="33"/>
  <c r="G5" i="33"/>
  <c r="G13" i="33"/>
  <c r="G33" i="33"/>
  <c r="G46" i="33"/>
  <c r="G54" i="33"/>
  <c r="G68" i="33"/>
  <c r="H7" i="33"/>
  <c r="H26" i="33"/>
  <c r="H110" i="33" s="1"/>
  <c r="H40" i="33"/>
  <c r="H48" i="33"/>
  <c r="H56" i="33"/>
  <c r="H70" i="33"/>
  <c r="H84" i="33"/>
  <c r="U9" i="33"/>
  <c r="U28" i="33"/>
  <c r="U42" i="33"/>
  <c r="M9" i="33"/>
  <c r="M28" i="33"/>
  <c r="M42" i="33"/>
  <c r="M50" i="33"/>
  <c r="M64" i="33"/>
  <c r="T10" i="33"/>
  <c r="T29" i="33"/>
  <c r="T43" i="33"/>
  <c r="T51" i="33"/>
  <c r="T65" i="33"/>
  <c r="T79" i="33"/>
  <c r="T87" i="33"/>
  <c r="U10" i="33"/>
  <c r="U29" i="33"/>
  <c r="U43" i="33"/>
  <c r="U51" i="33"/>
  <c r="U65" i="33"/>
  <c r="U79" i="33"/>
  <c r="U87" i="33"/>
  <c r="P9" i="33"/>
  <c r="P28" i="33"/>
  <c r="P42" i="33"/>
  <c r="P50" i="33"/>
  <c r="P64" i="33"/>
  <c r="P74" i="33"/>
  <c r="K8" i="33"/>
  <c r="K27" i="33"/>
  <c r="K41" i="33"/>
  <c r="K49" i="33"/>
  <c r="K63" i="33"/>
  <c r="K71" i="33"/>
  <c r="K85" i="33"/>
  <c r="R7" i="33"/>
  <c r="R26" i="33"/>
  <c r="R110" i="33" s="1"/>
  <c r="R40" i="33"/>
  <c r="R48" i="33"/>
  <c r="R56" i="33"/>
  <c r="S5" i="33"/>
  <c r="S13" i="33"/>
  <c r="S33" i="33"/>
  <c r="S46" i="33"/>
  <c r="S54" i="33"/>
  <c r="S68" i="33"/>
  <c r="T7" i="33"/>
  <c r="T26" i="33"/>
  <c r="T110" i="33" s="1"/>
  <c r="T40" i="33"/>
  <c r="T48" i="33"/>
  <c r="T56" i="33"/>
  <c r="T70" i="33"/>
  <c r="T84" i="33"/>
  <c r="O10" i="33"/>
  <c r="O29" i="33"/>
  <c r="O43" i="33"/>
  <c r="O51" i="33"/>
  <c r="D12" i="33"/>
  <c r="D31" i="33"/>
  <c r="D45" i="33"/>
  <c r="D53" i="33"/>
  <c r="D67" i="33"/>
  <c r="D81" i="33"/>
  <c r="D89" i="33"/>
  <c r="K11" i="33"/>
  <c r="K30" i="33"/>
  <c r="K44" i="33"/>
  <c r="K52" i="33"/>
  <c r="K66" i="33"/>
  <c r="E71" i="33"/>
  <c r="F92" i="33"/>
  <c r="U66" i="33"/>
  <c r="M89" i="33"/>
  <c r="F63" i="33"/>
  <c r="M88" i="33"/>
  <c r="L33" i="33"/>
  <c r="L85" i="33"/>
  <c r="G10" i="33"/>
  <c r="G29" i="33"/>
  <c r="G43" i="33"/>
  <c r="G51" i="33"/>
  <c r="G65" i="33"/>
  <c r="N11" i="33"/>
  <c r="N30" i="33"/>
  <c r="N44" i="33"/>
  <c r="N52" i="33"/>
  <c r="N66" i="33"/>
  <c r="N80" i="33"/>
  <c r="N88" i="33"/>
  <c r="O11" i="33"/>
  <c r="O30" i="33"/>
  <c r="O44" i="33"/>
  <c r="O52" i="33"/>
  <c r="O66" i="33"/>
  <c r="O80" i="33"/>
  <c r="O88" i="33"/>
  <c r="J10" i="33"/>
  <c r="J29" i="33"/>
  <c r="J43" i="33"/>
  <c r="J51" i="33"/>
  <c r="J65" i="33"/>
  <c r="J79" i="33"/>
  <c r="E9" i="33"/>
  <c r="E28" i="33"/>
  <c r="E42" i="33"/>
  <c r="E50" i="33"/>
  <c r="E64" i="33"/>
  <c r="E74" i="33"/>
  <c r="E86" i="33"/>
  <c r="L8" i="33"/>
  <c r="L27" i="33"/>
  <c r="L41" i="33"/>
  <c r="L49" i="33"/>
  <c r="L63" i="33"/>
  <c r="M6" i="33"/>
  <c r="M14" i="33"/>
  <c r="M39" i="33"/>
  <c r="M47" i="33"/>
  <c r="M55" i="33"/>
  <c r="M69" i="33"/>
  <c r="N8" i="33"/>
  <c r="N27" i="33"/>
  <c r="N41" i="33"/>
  <c r="N49" i="33"/>
  <c r="N63" i="33"/>
  <c r="N71" i="33"/>
  <c r="N85" i="33"/>
  <c r="I11" i="33"/>
  <c r="I30" i="33"/>
  <c r="I44" i="33"/>
  <c r="I52" i="33"/>
  <c r="P12" i="33"/>
  <c r="P31" i="33"/>
  <c r="P45" i="33"/>
  <c r="P53" i="33"/>
  <c r="P67" i="33"/>
  <c r="P81" i="33"/>
  <c r="P89" i="33"/>
  <c r="E12" i="33"/>
  <c r="E31" i="33"/>
  <c r="E45" i="33"/>
  <c r="E53" i="33"/>
  <c r="E67" i="33"/>
  <c r="M74" i="33"/>
  <c r="S10" i="33"/>
  <c r="S29" i="33"/>
  <c r="S43" i="33"/>
  <c r="S51" i="33"/>
  <c r="S65" i="33"/>
  <c r="H12" i="33"/>
  <c r="H31" i="33"/>
  <c r="H45" i="33"/>
  <c r="H53" i="33"/>
  <c r="H67" i="33"/>
  <c r="H81" i="33"/>
  <c r="H89" i="33"/>
  <c r="I12" i="33"/>
  <c r="I31" i="33"/>
  <c r="I45" i="33"/>
  <c r="I53" i="33"/>
  <c r="I67" i="33"/>
  <c r="I81" i="33"/>
  <c r="I89" i="33"/>
  <c r="D11" i="33"/>
  <c r="D30" i="33"/>
  <c r="D44" i="33"/>
  <c r="D52" i="33"/>
  <c r="D66" i="33"/>
  <c r="D80" i="33"/>
  <c r="Q9" i="33"/>
  <c r="Q28" i="33"/>
  <c r="Q42" i="33"/>
  <c r="Q50" i="33"/>
  <c r="Q64" i="33"/>
  <c r="Q74" i="33"/>
  <c r="Q86" i="33"/>
  <c r="F9" i="33"/>
  <c r="F28" i="33"/>
  <c r="F42" i="33"/>
  <c r="F50" i="33"/>
  <c r="F64" i="33"/>
  <c r="G7" i="33"/>
  <c r="G26" i="33"/>
  <c r="G110" i="33" s="1"/>
  <c r="G40" i="33"/>
  <c r="G48" i="33"/>
  <c r="G56" i="33"/>
  <c r="G70" i="33"/>
  <c r="H9" i="33"/>
  <c r="H28" i="33"/>
  <c r="H42" i="33"/>
  <c r="H50" i="33"/>
  <c r="H64" i="33"/>
  <c r="H74" i="33"/>
  <c r="H86" i="33"/>
  <c r="U11" i="33"/>
  <c r="U30" i="33"/>
  <c r="U44" i="33"/>
  <c r="J5" i="33"/>
  <c r="J13" i="33"/>
  <c r="J33" i="33"/>
  <c r="J46" i="33"/>
  <c r="J54" i="33"/>
  <c r="J68" i="33"/>
  <c r="J82" i="33"/>
  <c r="J90" i="33"/>
  <c r="Q12" i="33"/>
  <c r="Q31" i="33"/>
  <c r="Q45" i="33"/>
  <c r="Q53" i="33"/>
  <c r="Q67" i="33"/>
  <c r="G80" i="33"/>
  <c r="L35" i="33"/>
  <c r="F71" i="33"/>
  <c r="G92" i="33"/>
  <c r="Q69" i="33"/>
  <c r="M90" i="33"/>
  <c r="O53" i="33"/>
  <c r="O87" i="33"/>
  <c r="O97" i="33"/>
  <c r="O123" i="33" s="1"/>
  <c r="F80" i="33"/>
  <c r="F79" i="33"/>
  <c r="D35" i="33"/>
  <c r="F82" i="33"/>
  <c r="K38" i="33"/>
  <c r="M11" i="33"/>
  <c r="M30" i="33"/>
  <c r="M44" i="33"/>
  <c r="M52" i="33"/>
  <c r="M66" i="33"/>
  <c r="T12" i="33"/>
  <c r="T31" i="33"/>
  <c r="T45" i="33"/>
  <c r="T53" i="33"/>
  <c r="T67" i="33"/>
  <c r="T81" i="33"/>
  <c r="T89" i="33"/>
  <c r="U12" i="33"/>
  <c r="U31" i="33"/>
  <c r="U45" i="33"/>
  <c r="U53" i="33"/>
  <c r="U67" i="33"/>
  <c r="U81" i="33"/>
  <c r="U89" i="33"/>
  <c r="P11" i="33"/>
  <c r="P30" i="33"/>
  <c r="P44" i="33"/>
  <c r="P52" i="33"/>
  <c r="P66" i="33"/>
  <c r="P80" i="33"/>
  <c r="K10" i="33"/>
  <c r="K29" i="33"/>
  <c r="K43" i="33"/>
  <c r="K51" i="33"/>
  <c r="K65" i="33"/>
  <c r="K79" i="33"/>
  <c r="K87" i="33"/>
  <c r="R9" i="33"/>
  <c r="R28" i="33"/>
  <c r="R42" i="33"/>
  <c r="R50" i="33"/>
  <c r="R64" i="33"/>
  <c r="S7" i="33"/>
  <c r="S26" i="33"/>
  <c r="S110" i="33" s="1"/>
  <c r="S40" i="33"/>
  <c r="S48" i="33"/>
  <c r="S56" i="33"/>
  <c r="S70" i="33"/>
  <c r="T9" i="33"/>
  <c r="T28" i="33"/>
  <c r="T42" i="33"/>
  <c r="T50" i="33"/>
  <c r="T64" i="33"/>
  <c r="T74" i="33"/>
  <c r="T86" i="33"/>
  <c r="O12" i="33"/>
  <c r="O31" i="33"/>
  <c r="O45" i="33"/>
  <c r="D6" i="33"/>
  <c r="D14" i="33"/>
  <c r="D39" i="33"/>
  <c r="D47" i="33"/>
  <c r="D55" i="33"/>
  <c r="D69" i="33"/>
  <c r="D83" i="33"/>
  <c r="K5" i="33"/>
  <c r="K13" i="33"/>
  <c r="K33" i="33"/>
  <c r="K46" i="33"/>
  <c r="K54" i="33"/>
  <c r="K68" i="33"/>
  <c r="M81" i="33"/>
  <c r="F38" i="33"/>
  <c r="I97" i="33"/>
  <c r="I123" i="33" s="1"/>
  <c r="R74" i="33"/>
  <c r="S92" i="33"/>
  <c r="G71" i="33"/>
  <c r="H92" i="33"/>
  <c r="O63" i="33"/>
  <c r="P88" i="33"/>
  <c r="Q92" i="33"/>
  <c r="M80" i="33"/>
  <c r="P35" i="33"/>
  <c r="R6" i="33"/>
  <c r="J83" i="33"/>
  <c r="G12" i="33"/>
  <c r="G31" i="33"/>
  <c r="G45" i="33"/>
  <c r="G53" i="33"/>
  <c r="N5" i="33"/>
  <c r="N13" i="33"/>
  <c r="N33" i="33"/>
  <c r="N46" i="33"/>
  <c r="N54" i="33"/>
  <c r="N68" i="33"/>
  <c r="N82" i="33"/>
  <c r="O5" i="33"/>
  <c r="O13" i="33"/>
  <c r="O33" i="33"/>
  <c r="O46" i="33"/>
  <c r="O54" i="33"/>
  <c r="O68" i="33"/>
  <c r="O82" i="33"/>
  <c r="O90" i="33"/>
  <c r="J12" i="33"/>
  <c r="J31" i="33"/>
  <c r="J45" i="33"/>
  <c r="J53" i="33"/>
  <c r="J67" i="33"/>
  <c r="J81" i="33"/>
  <c r="E11" i="33"/>
  <c r="E30" i="33"/>
  <c r="E44" i="33"/>
  <c r="E52" i="33"/>
  <c r="E66" i="33"/>
  <c r="E80" i="33"/>
  <c r="E88" i="33"/>
  <c r="L10" i="33"/>
  <c r="L29" i="33"/>
  <c r="L43" i="33"/>
  <c r="L51" i="33"/>
  <c r="L65" i="33"/>
  <c r="M8" i="33"/>
  <c r="M27" i="33"/>
  <c r="S12" i="33"/>
  <c r="S31" i="33"/>
  <c r="S45" i="33"/>
  <c r="S53" i="33"/>
  <c r="H6" i="33"/>
  <c r="H14" i="33"/>
  <c r="H39" i="33"/>
  <c r="H47" i="33"/>
  <c r="H55" i="33"/>
  <c r="H69" i="33"/>
  <c r="H83" i="33"/>
  <c r="I6" i="33"/>
  <c r="I14" i="33"/>
  <c r="I39" i="33"/>
  <c r="I47" i="33"/>
  <c r="I55" i="33"/>
  <c r="I69" i="33"/>
  <c r="I83" i="33"/>
  <c r="D5" i="33"/>
  <c r="D13" i="33"/>
  <c r="D33" i="33"/>
  <c r="D46" i="33"/>
  <c r="D54" i="33"/>
  <c r="D68" i="33"/>
  <c r="D82" i="33"/>
  <c r="Q11" i="33"/>
  <c r="Q30" i="33"/>
  <c r="Q44" i="33"/>
  <c r="Q52" i="33"/>
  <c r="Q66" i="33"/>
  <c r="Q80" i="33"/>
  <c r="Q88" i="33"/>
  <c r="F11" i="33"/>
  <c r="F30" i="33"/>
  <c r="F44" i="33"/>
  <c r="F52" i="33"/>
  <c r="F66" i="33"/>
  <c r="G9" i="33"/>
  <c r="G28" i="33"/>
  <c r="G42" i="33"/>
  <c r="G50" i="33"/>
  <c r="G64" i="33"/>
  <c r="G74" i="33"/>
  <c r="H11" i="33"/>
  <c r="H30" i="33"/>
  <c r="H44" i="33"/>
  <c r="H52" i="33"/>
  <c r="H66" i="33"/>
  <c r="H80" i="33"/>
  <c r="U5" i="33"/>
  <c r="U13" i="33"/>
  <c r="J97" i="33"/>
  <c r="J123" i="33" s="1"/>
  <c r="F51" i="33"/>
  <c r="L9" i="33"/>
  <c r="N92" i="33"/>
  <c r="F74" i="33"/>
  <c r="S58" i="33"/>
  <c r="P84" i="33"/>
  <c r="F27" i="33"/>
  <c r="T88" i="33"/>
  <c r="L64" i="33"/>
  <c r="E97" i="33"/>
  <c r="E123" i="33" s="1"/>
  <c r="L84" i="33"/>
  <c r="D58" i="33"/>
  <c r="F6" i="33"/>
  <c r="N90" i="33"/>
  <c r="R12" i="33"/>
  <c r="I80" i="33"/>
  <c r="K90" i="33"/>
  <c r="Q51" i="33"/>
  <c r="Q10" i="33"/>
  <c r="J66" i="33"/>
  <c r="J30" i="33"/>
  <c r="U40" i="33"/>
  <c r="N51" i="33"/>
  <c r="M49" i="33"/>
  <c r="I66" i="33"/>
  <c r="G87" i="33"/>
  <c r="Q83" i="33"/>
  <c r="I56" i="33"/>
  <c r="P60" i="33"/>
  <c r="F86" i="33"/>
  <c r="F43" i="33"/>
  <c r="L82" i="33"/>
  <c r="T90" i="33"/>
  <c r="L70" i="33"/>
  <c r="U35" i="33"/>
  <c r="G58" i="33"/>
  <c r="M83" i="33"/>
  <c r="F8" i="33"/>
  <c r="R97" i="33"/>
  <c r="R123" i="33" s="1"/>
  <c r="S87" i="33"/>
  <c r="L54" i="33"/>
  <c r="K60" i="33"/>
  <c r="R80" i="33"/>
  <c r="J38" i="33"/>
  <c r="O89" i="33"/>
  <c r="N97" i="33"/>
  <c r="N123" i="33" s="1"/>
  <c r="I58" i="33"/>
  <c r="O69" i="33"/>
  <c r="L87" i="33"/>
  <c r="Q49" i="33"/>
  <c r="Q8" i="33"/>
  <c r="J64" i="33"/>
  <c r="J28" i="33"/>
  <c r="U33" i="33"/>
  <c r="H46" i="33"/>
  <c r="M41" i="33"/>
  <c r="X19" i="33" l="1"/>
  <c r="AB19" i="33" s="1"/>
  <c r="X18" i="33"/>
  <c r="AB18" i="33" s="1"/>
  <c r="X17" i="33"/>
  <c r="AB17" i="33" s="1"/>
  <c r="X22" i="33"/>
  <c r="AB22" i="33" s="1"/>
  <c r="X15" i="33"/>
  <c r="AB15" i="33" s="1"/>
  <c r="X16" i="33"/>
  <c r="AB16" i="33" s="1"/>
  <c r="C110" i="33"/>
  <c r="X21" i="33"/>
  <c r="AB21" i="33" s="1"/>
  <c r="X20" i="33"/>
  <c r="AB20" i="33" s="1"/>
  <c r="X25" i="33"/>
  <c r="AB25" i="33" s="1"/>
  <c r="X24" i="33"/>
  <c r="AB24" i="33" s="1"/>
  <c r="X23" i="33"/>
  <c r="AB23" i="33" s="1"/>
  <c r="G139" i="33"/>
  <c r="O109" i="33"/>
  <c r="O150" i="33" s="1"/>
  <c r="G109" i="33"/>
  <c r="G150" i="33" s="1"/>
  <c r="F109" i="33"/>
  <c r="F150" i="33" s="1"/>
  <c r="M109" i="33"/>
  <c r="M150" i="33" s="1"/>
  <c r="E109" i="33"/>
  <c r="E150" i="33" s="1"/>
  <c r="U109" i="33"/>
  <c r="U150" i="33" s="1"/>
  <c r="N109" i="33"/>
  <c r="N150" i="33" s="1"/>
  <c r="K109" i="33"/>
  <c r="K150" i="33" s="1"/>
  <c r="H109" i="33"/>
  <c r="H150" i="33" s="1"/>
  <c r="L109" i="33"/>
  <c r="L150" i="33" s="1"/>
  <c r="P109" i="33"/>
  <c r="P150" i="33" s="1"/>
  <c r="J109" i="33"/>
  <c r="J150" i="33" s="1"/>
  <c r="S109" i="33"/>
  <c r="S150" i="33" s="1"/>
  <c r="R109" i="33"/>
  <c r="R150" i="33" s="1"/>
  <c r="Q109" i="33"/>
  <c r="Q150" i="33" s="1"/>
  <c r="I109" i="33"/>
  <c r="I150" i="33" s="1"/>
  <c r="T109" i="33"/>
  <c r="T150" i="33" s="1"/>
  <c r="D109" i="33"/>
  <c r="D150" i="33" s="1"/>
  <c r="C109" i="33"/>
  <c r="C150" i="33" s="1"/>
  <c r="P139" i="33"/>
  <c r="C111" i="33"/>
  <c r="C114" i="33"/>
  <c r="C117" i="33"/>
  <c r="C116" i="33"/>
  <c r="C136" i="33" s="1"/>
  <c r="C118" i="33"/>
  <c r="C138" i="33" s="1"/>
  <c r="C113" i="33"/>
  <c r="C112" i="33"/>
  <c r="C115" i="33"/>
  <c r="C106" i="33"/>
  <c r="S139" i="33"/>
  <c r="N139" i="33"/>
  <c r="X72" i="33"/>
  <c r="AB72" i="33" s="1"/>
  <c r="M111" i="33"/>
  <c r="Q117" i="33"/>
  <c r="Q137" i="33" s="1"/>
  <c r="G117" i="33"/>
  <c r="G137" i="33" s="1"/>
  <c r="T114" i="33"/>
  <c r="S117" i="33"/>
  <c r="S137" i="33" s="1"/>
  <c r="M157" i="33"/>
  <c r="R114" i="33"/>
  <c r="D113" i="33"/>
  <c r="M113" i="33"/>
  <c r="P117" i="33"/>
  <c r="P137" i="33" s="1"/>
  <c r="F111" i="33"/>
  <c r="H113" i="33"/>
  <c r="I141" i="33"/>
  <c r="I156" i="33"/>
  <c r="N113" i="33"/>
  <c r="J113" i="33"/>
  <c r="P113" i="33"/>
  <c r="P142" i="33"/>
  <c r="P157" i="33"/>
  <c r="M161" i="33"/>
  <c r="M147" i="33"/>
  <c r="L145" i="33"/>
  <c r="L159" i="33"/>
  <c r="K142" i="33"/>
  <c r="K157" i="33"/>
  <c r="O160" i="33"/>
  <c r="O146" i="33"/>
  <c r="T159" i="33"/>
  <c r="T145" i="33"/>
  <c r="S159" i="33"/>
  <c r="S145" i="33"/>
  <c r="N118" i="33"/>
  <c r="N138" i="33" s="1"/>
  <c r="R113" i="33"/>
  <c r="U141" i="33"/>
  <c r="U156" i="33"/>
  <c r="D117" i="33"/>
  <c r="D153" i="33" s="1"/>
  <c r="N117" i="33"/>
  <c r="L158" i="33"/>
  <c r="L144" i="33"/>
  <c r="M142" i="33"/>
  <c r="N143" i="33"/>
  <c r="P143" i="33"/>
  <c r="Q139" i="33"/>
  <c r="Q154" i="33"/>
  <c r="I139" i="33"/>
  <c r="I154" i="33"/>
  <c r="J111" i="33"/>
  <c r="N114" i="33"/>
  <c r="T111" i="33"/>
  <c r="Q156" i="33"/>
  <c r="Q141" i="33"/>
  <c r="S146" i="33"/>
  <c r="S160" i="33"/>
  <c r="U159" i="33"/>
  <c r="U145" i="33"/>
  <c r="H159" i="33"/>
  <c r="H145" i="33"/>
  <c r="G145" i="33"/>
  <c r="G159" i="33"/>
  <c r="R142" i="33"/>
  <c r="R157" i="33"/>
  <c r="G141" i="33"/>
  <c r="G156" i="33"/>
  <c r="U114" i="33"/>
  <c r="T141" i="33"/>
  <c r="T156" i="33"/>
  <c r="F112" i="33"/>
  <c r="I117" i="33"/>
  <c r="P115" i="33"/>
  <c r="N112" i="33"/>
  <c r="G143" i="33"/>
  <c r="Q158" i="33"/>
  <c r="Q144" i="33"/>
  <c r="H142" i="33"/>
  <c r="D154" i="33"/>
  <c r="F140" i="33"/>
  <c r="F155" i="33"/>
  <c r="U154" i="33"/>
  <c r="U139" i="33"/>
  <c r="G114" i="33"/>
  <c r="K118" i="33"/>
  <c r="K138" i="33" s="1"/>
  <c r="F118" i="33"/>
  <c r="F138" i="33" s="1"/>
  <c r="R116" i="33"/>
  <c r="R136" i="33" s="1"/>
  <c r="F113" i="33"/>
  <c r="P111" i="33"/>
  <c r="M118" i="33"/>
  <c r="M138" i="33" s="1"/>
  <c r="T113" i="33"/>
  <c r="O157" i="33"/>
  <c r="O142" i="33"/>
  <c r="G160" i="33"/>
  <c r="G146" i="33"/>
  <c r="J147" i="33"/>
  <c r="J161" i="33"/>
  <c r="I159" i="33"/>
  <c r="I145" i="33"/>
  <c r="F157" i="33"/>
  <c r="F142" i="33"/>
  <c r="J114" i="33"/>
  <c r="R112" i="33"/>
  <c r="F117" i="33"/>
  <c r="K112" i="33"/>
  <c r="U117" i="33"/>
  <c r="F115" i="33"/>
  <c r="P112" i="33"/>
  <c r="S143" i="33"/>
  <c r="O144" i="33"/>
  <c r="O158" i="33"/>
  <c r="L143" i="33"/>
  <c r="T142" i="33"/>
  <c r="R140" i="33"/>
  <c r="R155" i="33"/>
  <c r="J140" i="33"/>
  <c r="J155" i="33"/>
  <c r="J156" i="33"/>
  <c r="J141" i="33"/>
  <c r="K116" i="33"/>
  <c r="K136" i="33" s="1"/>
  <c r="U118" i="33"/>
  <c r="U138" i="33" s="1"/>
  <c r="H118" i="33"/>
  <c r="H138" i="33" s="1"/>
  <c r="K114" i="33"/>
  <c r="U116" i="33"/>
  <c r="U136" i="33" s="1"/>
  <c r="H116" i="33"/>
  <c r="H136" i="33" s="1"/>
  <c r="Q159" i="33"/>
  <c r="Q145" i="33"/>
  <c r="M145" i="33"/>
  <c r="M159" i="33"/>
  <c r="L142" i="33"/>
  <c r="L157" i="33"/>
  <c r="P160" i="33"/>
  <c r="P146" i="33"/>
  <c r="T157" i="33"/>
  <c r="S157" i="33"/>
  <c r="S142" i="33"/>
  <c r="M116" i="33"/>
  <c r="M136" i="33" s="1"/>
  <c r="L114" i="33"/>
  <c r="L118" i="33"/>
  <c r="L138" i="33" s="1"/>
  <c r="R111" i="33"/>
  <c r="K156" i="33"/>
  <c r="K141" i="33"/>
  <c r="J115" i="33"/>
  <c r="H112" i="33"/>
  <c r="R117" i="33"/>
  <c r="R115" i="33"/>
  <c r="H115" i="33"/>
  <c r="R143" i="33"/>
  <c r="H158" i="33"/>
  <c r="H144" i="33"/>
  <c r="J144" i="33"/>
  <c r="J158" i="33"/>
  <c r="R154" i="33"/>
  <c r="R139" i="33"/>
  <c r="G154" i="33"/>
  <c r="O156" i="33"/>
  <c r="O141" i="33"/>
  <c r="L116" i="33"/>
  <c r="L136" i="33" s="1"/>
  <c r="J118" i="33"/>
  <c r="J138" i="33" s="1"/>
  <c r="I114" i="33"/>
  <c r="O111" i="33"/>
  <c r="K113" i="33"/>
  <c r="S114" i="33"/>
  <c r="K160" i="33"/>
  <c r="K146" i="33"/>
  <c r="N147" i="33"/>
  <c r="N161" i="33"/>
  <c r="U142" i="33"/>
  <c r="U157" i="33"/>
  <c r="H157" i="33"/>
  <c r="G157" i="33"/>
  <c r="G142" i="33"/>
  <c r="I115" i="33"/>
  <c r="T112" i="33"/>
  <c r="O115" i="33"/>
  <c r="K117" i="33"/>
  <c r="T115" i="33"/>
  <c r="M158" i="33"/>
  <c r="M144" i="33"/>
  <c r="J143" i="33"/>
  <c r="T158" i="33"/>
  <c r="T144" i="33"/>
  <c r="G140" i="33"/>
  <c r="G155" i="33"/>
  <c r="J139" i="33"/>
  <c r="J154" i="33"/>
  <c r="I113" i="33"/>
  <c r="O116" i="33"/>
  <c r="O136" i="33" s="1"/>
  <c r="Q114" i="33"/>
  <c r="N116" i="33"/>
  <c r="N136" i="33" s="1"/>
  <c r="M114" i="33"/>
  <c r="G116" i="33"/>
  <c r="G136" i="33" s="1"/>
  <c r="O113" i="33"/>
  <c r="T160" i="33"/>
  <c r="T146" i="33"/>
  <c r="O147" i="33"/>
  <c r="O161" i="33"/>
  <c r="J159" i="33"/>
  <c r="J145" i="33"/>
  <c r="I157" i="33"/>
  <c r="I142" i="33"/>
  <c r="G118" i="33"/>
  <c r="G138" i="33" s="1"/>
  <c r="R118" i="33"/>
  <c r="R138" i="33" s="1"/>
  <c r="O117" i="33"/>
  <c r="L115" i="33"/>
  <c r="M112" i="33"/>
  <c r="M117" i="33"/>
  <c r="H143" i="33"/>
  <c r="F158" i="33"/>
  <c r="F144" i="33"/>
  <c r="Q143" i="33"/>
  <c r="O155" i="33"/>
  <c r="O140" i="33"/>
  <c r="S140" i="33"/>
  <c r="S155" i="33"/>
  <c r="K140" i="33"/>
  <c r="K155" i="33"/>
  <c r="R156" i="33"/>
  <c r="R141" i="33"/>
  <c r="K111" i="33"/>
  <c r="O114" i="33"/>
  <c r="U111" i="33"/>
  <c r="H111" i="33"/>
  <c r="P147" i="33"/>
  <c r="P161" i="33"/>
  <c r="H146" i="33"/>
  <c r="H160" i="33"/>
  <c r="K161" i="33"/>
  <c r="K147" i="33"/>
  <c r="Q161" i="33"/>
  <c r="Q147" i="33"/>
  <c r="L156" i="33"/>
  <c r="L141" i="33"/>
  <c r="Q113" i="33"/>
  <c r="S118" i="33"/>
  <c r="S138" i="33" s="1"/>
  <c r="H117" i="33"/>
  <c r="Q112" i="33"/>
  <c r="O112" i="33"/>
  <c r="T143" i="33"/>
  <c r="R158" i="33"/>
  <c r="R144" i="33"/>
  <c r="O143" i="33"/>
  <c r="P155" i="33"/>
  <c r="P140" i="33"/>
  <c r="S154" i="33"/>
  <c r="H139" i="33"/>
  <c r="H154" i="33"/>
  <c r="L111" i="33"/>
  <c r="G113" i="33"/>
  <c r="U113" i="33"/>
  <c r="N159" i="33"/>
  <c r="N145" i="33"/>
  <c r="Q142" i="33"/>
  <c r="Q157" i="33"/>
  <c r="Q146" i="33"/>
  <c r="Q160" i="33"/>
  <c r="O159" i="33"/>
  <c r="O145" i="33"/>
  <c r="I146" i="33"/>
  <c r="I160" i="33"/>
  <c r="R161" i="33"/>
  <c r="R147" i="33"/>
  <c r="Q111" i="33"/>
  <c r="T117" i="33"/>
  <c r="Q115" i="33"/>
  <c r="G115" i="33"/>
  <c r="P144" i="33"/>
  <c r="P158" i="33"/>
  <c r="M143" i="33"/>
  <c r="Q140" i="33"/>
  <c r="Q155" i="33"/>
  <c r="H140" i="33"/>
  <c r="H155" i="33"/>
  <c r="K154" i="33"/>
  <c r="K139" i="33"/>
  <c r="N111" i="33"/>
  <c r="F116" i="33"/>
  <c r="F136" i="33" s="1"/>
  <c r="I118" i="33"/>
  <c r="I138" i="33" s="1"/>
  <c r="G111" i="33"/>
  <c r="I116" i="33"/>
  <c r="I136" i="33" s="1"/>
  <c r="Q118" i="33"/>
  <c r="Q138" i="33" s="1"/>
  <c r="J160" i="33"/>
  <c r="J146" i="33"/>
  <c r="U146" i="33"/>
  <c r="U160" i="33"/>
  <c r="J157" i="33"/>
  <c r="F147" i="33"/>
  <c r="F161" i="33"/>
  <c r="Q116" i="33"/>
  <c r="Q136" i="33" s="1"/>
  <c r="O118" i="33"/>
  <c r="O138" i="33" s="1"/>
  <c r="G112" i="33"/>
  <c r="J112" i="33"/>
  <c r="S115" i="33"/>
  <c r="N158" i="33"/>
  <c r="N144" i="33"/>
  <c r="F143" i="33"/>
  <c r="K158" i="33"/>
  <c r="K144" i="33"/>
  <c r="O139" i="33"/>
  <c r="O154" i="33"/>
  <c r="T140" i="33"/>
  <c r="T155" i="33"/>
  <c r="L140" i="33"/>
  <c r="L155" i="33"/>
  <c r="S116" i="33"/>
  <c r="S136" i="33" s="1"/>
  <c r="P159" i="33"/>
  <c r="P145" i="33"/>
  <c r="L161" i="33"/>
  <c r="L147" i="33"/>
  <c r="K145" i="33"/>
  <c r="K159" i="33"/>
  <c r="T161" i="33"/>
  <c r="T147" i="33"/>
  <c r="S161" i="33"/>
  <c r="S147" i="33"/>
  <c r="L160" i="33"/>
  <c r="L146" i="33"/>
  <c r="H141" i="33"/>
  <c r="H156" i="33"/>
  <c r="F156" i="33"/>
  <c r="F141" i="33"/>
  <c r="S112" i="33"/>
  <c r="I112" i="33"/>
  <c r="N115" i="33"/>
  <c r="J117" i="33"/>
  <c r="J142" i="33"/>
  <c r="K143" i="33"/>
  <c r="I144" i="33"/>
  <c r="I158" i="33"/>
  <c r="T154" i="33"/>
  <c r="T139" i="33"/>
  <c r="F139" i="33"/>
  <c r="F154" i="33"/>
  <c r="F114" i="33"/>
  <c r="P114" i="33"/>
  <c r="T118" i="33"/>
  <c r="T138" i="33" s="1"/>
  <c r="M156" i="33"/>
  <c r="M141" i="33"/>
  <c r="P118" i="33"/>
  <c r="P138" i="33" s="1"/>
  <c r="J116" i="33"/>
  <c r="J136" i="33" s="1"/>
  <c r="T116" i="33"/>
  <c r="T136" i="33" s="1"/>
  <c r="S113" i="33"/>
  <c r="N157" i="33"/>
  <c r="N142" i="33"/>
  <c r="R146" i="33"/>
  <c r="R160" i="33"/>
  <c r="U147" i="33"/>
  <c r="U161" i="33"/>
  <c r="H161" i="33"/>
  <c r="H147" i="33"/>
  <c r="G147" i="33"/>
  <c r="G161" i="33"/>
  <c r="R145" i="33"/>
  <c r="R159" i="33"/>
  <c r="K115" i="33"/>
  <c r="U112" i="33"/>
  <c r="U115" i="33"/>
  <c r="I143" i="33"/>
  <c r="G158" i="33"/>
  <c r="G144" i="33"/>
  <c r="U144" i="33"/>
  <c r="U158" i="33"/>
  <c r="P154" i="33"/>
  <c r="M154" i="33"/>
  <c r="M139" i="33"/>
  <c r="I155" i="33"/>
  <c r="I140" i="33"/>
  <c r="L139" i="33"/>
  <c r="L154" i="33"/>
  <c r="N141" i="33"/>
  <c r="N156" i="33"/>
  <c r="H114" i="33"/>
  <c r="S111" i="33"/>
  <c r="L113" i="33"/>
  <c r="P156" i="33"/>
  <c r="P141" i="33"/>
  <c r="I111" i="33"/>
  <c r="P116" i="33"/>
  <c r="P136" i="33" s="1"/>
  <c r="F146" i="33"/>
  <c r="F160" i="33"/>
  <c r="I161" i="33"/>
  <c r="I147" i="33"/>
  <c r="N160" i="33"/>
  <c r="N146" i="33"/>
  <c r="M160" i="33"/>
  <c r="M146" i="33"/>
  <c r="F145" i="33"/>
  <c r="F159" i="33"/>
  <c r="S141" i="33"/>
  <c r="S156" i="33"/>
  <c r="M115" i="33"/>
  <c r="L112" i="33"/>
  <c r="L117" i="33"/>
  <c r="U143" i="33"/>
  <c r="S158" i="33"/>
  <c r="S144" i="33"/>
  <c r="N154" i="33"/>
  <c r="N155" i="33"/>
  <c r="N140" i="33"/>
  <c r="U155" i="33"/>
  <c r="U140" i="33"/>
  <c r="M140" i="33"/>
  <c r="M155" i="33"/>
  <c r="E114" i="33"/>
  <c r="D115" i="33"/>
  <c r="E158" i="33"/>
  <c r="E144" i="33"/>
  <c r="D111" i="33"/>
  <c r="E112" i="33"/>
  <c r="D139" i="33"/>
  <c r="D114" i="33"/>
  <c r="D155" i="33"/>
  <c r="D140" i="33"/>
  <c r="E141" i="33"/>
  <c r="E156" i="33"/>
  <c r="E116" i="33"/>
  <c r="E136" i="33" s="1"/>
  <c r="E145" i="33"/>
  <c r="E159" i="33"/>
  <c r="D160" i="33"/>
  <c r="D146" i="33"/>
  <c r="D156" i="33"/>
  <c r="D141" i="33"/>
  <c r="E143" i="33"/>
  <c r="E140" i="33"/>
  <c r="E155" i="33"/>
  <c r="D112" i="33"/>
  <c r="E118" i="33"/>
  <c r="E138" i="33" s="1"/>
  <c r="E147" i="33"/>
  <c r="E161" i="33"/>
  <c r="E157" i="33"/>
  <c r="E142" i="33"/>
  <c r="E115" i="33"/>
  <c r="D158" i="33"/>
  <c r="D144" i="33"/>
  <c r="E111" i="33"/>
  <c r="D147" i="33"/>
  <c r="D161" i="33"/>
  <c r="D142" i="33"/>
  <c r="D157" i="33"/>
  <c r="D118" i="33"/>
  <c r="D138" i="33" s="1"/>
  <c r="E160" i="33"/>
  <c r="E146" i="33"/>
  <c r="E117" i="33"/>
  <c r="E154" i="33"/>
  <c r="E139" i="33"/>
  <c r="D145" i="33"/>
  <c r="D159" i="33"/>
  <c r="E113" i="33"/>
  <c r="D116" i="33"/>
  <c r="D136" i="33" s="1"/>
  <c r="D143" i="33"/>
  <c r="C154" i="33"/>
  <c r="X93" i="33"/>
  <c r="AB93" i="33" s="1"/>
  <c r="C140" i="33"/>
  <c r="X95" i="33"/>
  <c r="AB95" i="33" s="1"/>
  <c r="C143" i="33"/>
  <c r="C157" i="33"/>
  <c r="X99" i="33"/>
  <c r="AB99" i="33" s="1"/>
  <c r="X78" i="33"/>
  <c r="AB78" i="33" s="1"/>
  <c r="X61" i="33"/>
  <c r="AB61" i="33" s="1"/>
  <c r="X96" i="33"/>
  <c r="AB96" i="33" s="1"/>
  <c r="X59" i="33"/>
  <c r="AB59" i="33" s="1"/>
  <c r="X32" i="33"/>
  <c r="AB32" i="33" s="1"/>
  <c r="X77" i="33"/>
  <c r="AB77" i="33" s="1"/>
  <c r="X62" i="33"/>
  <c r="AB62" i="33" s="1"/>
  <c r="X37" i="33"/>
  <c r="AB37" i="33" s="1"/>
  <c r="X102" i="33"/>
  <c r="AB102" i="33" s="1"/>
  <c r="X36" i="33"/>
  <c r="AB36" i="33" s="1"/>
  <c r="X75" i="33"/>
  <c r="AB75" i="33" s="1"/>
  <c r="X57" i="33"/>
  <c r="AB57" i="33" s="1"/>
  <c r="X34" i="33"/>
  <c r="AB34" i="33" s="1"/>
  <c r="X100" i="33"/>
  <c r="AB100" i="33" s="1"/>
  <c r="X94" i="33"/>
  <c r="AB94" i="33" s="1"/>
  <c r="X76" i="33"/>
  <c r="AB76" i="33" s="1"/>
  <c r="X91" i="33"/>
  <c r="AB91" i="33" s="1"/>
  <c r="X73" i="33"/>
  <c r="AB73" i="33" s="1"/>
  <c r="O106" i="33"/>
  <c r="M106" i="33"/>
  <c r="R106" i="33"/>
  <c r="Q106" i="33"/>
  <c r="T106" i="33"/>
  <c r="U106" i="33"/>
  <c r="N106" i="33"/>
  <c r="J106" i="33"/>
  <c r="I106" i="33"/>
  <c r="P106" i="33"/>
  <c r="H106" i="33"/>
  <c r="K106" i="33"/>
  <c r="S106" i="33"/>
  <c r="L106" i="33"/>
  <c r="P133" i="33" l="1"/>
  <c r="L133" i="33"/>
  <c r="H133" i="33"/>
  <c r="D133" i="33"/>
  <c r="U133" i="33"/>
  <c r="T133" i="33"/>
  <c r="E133" i="33"/>
  <c r="N133" i="33"/>
  <c r="I133" i="33"/>
  <c r="M133" i="33"/>
  <c r="C133" i="33"/>
  <c r="Q133" i="33"/>
  <c r="F133" i="33"/>
  <c r="R133" i="33"/>
  <c r="G133" i="33"/>
  <c r="S133" i="33"/>
  <c r="O133" i="33"/>
  <c r="K133" i="33"/>
  <c r="J133" i="33"/>
  <c r="C135" i="33"/>
  <c r="C134" i="33"/>
  <c r="AB121" i="33"/>
  <c r="X121" i="33"/>
  <c r="AB125" i="33"/>
  <c r="X125" i="33"/>
  <c r="AB117" i="33"/>
  <c r="AB137" i="33" s="1"/>
  <c r="X117" i="33"/>
  <c r="AB119" i="33"/>
  <c r="X119" i="33"/>
  <c r="AB128" i="33"/>
  <c r="AB158" i="33" s="1"/>
  <c r="X128" i="33"/>
  <c r="AB126" i="33"/>
  <c r="X126" i="33"/>
  <c r="AB120" i="33"/>
  <c r="X120" i="33"/>
  <c r="AB122" i="33"/>
  <c r="X122" i="33"/>
  <c r="S153" i="33"/>
  <c r="G153" i="33"/>
  <c r="S152" i="33"/>
  <c r="Q153" i="33"/>
  <c r="K152" i="33"/>
  <c r="O152" i="33"/>
  <c r="M134" i="33"/>
  <c r="D134" i="33"/>
  <c r="F152" i="33"/>
  <c r="I152" i="33"/>
  <c r="R152" i="33"/>
  <c r="Q152" i="33"/>
  <c r="M135" i="33"/>
  <c r="Q135" i="33"/>
  <c r="D135" i="33"/>
  <c r="N152" i="33"/>
  <c r="I135" i="33"/>
  <c r="P153" i="33"/>
  <c r="R135" i="33"/>
  <c r="D137" i="33"/>
  <c r="J135" i="33"/>
  <c r="U134" i="33"/>
  <c r="U151" i="33"/>
  <c r="L153" i="33"/>
  <c r="L137" i="33"/>
  <c r="K135" i="33"/>
  <c r="F153" i="33"/>
  <c r="F137" i="33"/>
  <c r="S151" i="33"/>
  <c r="S134" i="33"/>
  <c r="E135" i="33"/>
  <c r="P135" i="33"/>
  <c r="J137" i="33"/>
  <c r="J153" i="33"/>
  <c r="M151" i="33"/>
  <c r="L152" i="33"/>
  <c r="O137" i="33"/>
  <c r="O153" i="33"/>
  <c r="O135" i="33"/>
  <c r="T151" i="33"/>
  <c r="T135" i="33"/>
  <c r="M152" i="33"/>
  <c r="I134" i="33"/>
  <c r="I151" i="33"/>
  <c r="P134" i="33"/>
  <c r="P151" i="33"/>
  <c r="H153" i="33"/>
  <c r="H137" i="33"/>
  <c r="Q134" i="33"/>
  <c r="Q151" i="33"/>
  <c r="O151" i="33"/>
  <c r="G152" i="33"/>
  <c r="H134" i="33"/>
  <c r="H152" i="33"/>
  <c r="J151" i="33"/>
  <c r="P152" i="33"/>
  <c r="O134" i="33"/>
  <c r="R134" i="33"/>
  <c r="R151" i="33"/>
  <c r="U152" i="33"/>
  <c r="R153" i="33"/>
  <c r="R137" i="33"/>
  <c r="F135" i="33"/>
  <c r="T134" i="33"/>
  <c r="T152" i="33"/>
  <c r="N153" i="33"/>
  <c r="N137" i="33"/>
  <c r="G134" i="33"/>
  <c r="G151" i="33"/>
  <c r="L151" i="33"/>
  <c r="L134" i="33"/>
  <c r="N151" i="33"/>
  <c r="N134" i="33"/>
  <c r="N135" i="33"/>
  <c r="L135" i="33"/>
  <c r="K151" i="33"/>
  <c r="K134" i="33"/>
  <c r="T153" i="33"/>
  <c r="T137" i="33"/>
  <c r="K137" i="33"/>
  <c r="K153" i="33"/>
  <c r="J134" i="33"/>
  <c r="J152" i="33"/>
  <c r="S135" i="33"/>
  <c r="U153" i="33"/>
  <c r="U137" i="33"/>
  <c r="G135" i="33"/>
  <c r="I153" i="33"/>
  <c r="I137" i="33"/>
  <c r="H151" i="33"/>
  <c r="H135" i="33"/>
  <c r="U135" i="33"/>
  <c r="M153" i="33"/>
  <c r="M137" i="33"/>
  <c r="F151" i="33"/>
  <c r="F134" i="33"/>
  <c r="D151" i="33"/>
  <c r="E152" i="33"/>
  <c r="E153" i="33"/>
  <c r="E137" i="33"/>
  <c r="E134" i="33"/>
  <c r="E151" i="33"/>
  <c r="D152" i="33"/>
  <c r="C158" i="33"/>
  <c r="C144" i="33"/>
  <c r="C155" i="33"/>
  <c r="C139" i="33"/>
  <c r="C141" i="33"/>
  <c r="C156" i="33"/>
  <c r="C137" i="33"/>
  <c r="C153" i="33"/>
  <c r="C152" i="33"/>
  <c r="C142" i="33"/>
  <c r="E106" i="33"/>
  <c r="G106" i="33"/>
  <c r="D106" i="33"/>
  <c r="X88" i="33"/>
  <c r="AB88" i="33" s="1"/>
  <c r="X84" i="33"/>
  <c r="AB84" i="33" s="1"/>
  <c r="X80" i="33"/>
  <c r="AB80" i="33" s="1"/>
  <c r="X70" i="33"/>
  <c r="AB70" i="33" s="1"/>
  <c r="X66" i="33"/>
  <c r="AB66" i="33" s="1"/>
  <c r="X56" i="33"/>
  <c r="AB56" i="33" s="1"/>
  <c r="X52" i="33"/>
  <c r="AB52" i="33" s="1"/>
  <c r="X48" i="33"/>
  <c r="AB48" i="33" s="1"/>
  <c r="X44" i="33"/>
  <c r="AB44" i="33" s="1"/>
  <c r="X40" i="33"/>
  <c r="AB40" i="33" s="1"/>
  <c r="X98" i="33"/>
  <c r="AB98" i="33" s="1"/>
  <c r="X38" i="33"/>
  <c r="AB38" i="33" s="1"/>
  <c r="X89" i="33"/>
  <c r="AB89" i="33" s="1"/>
  <c r="X85" i="33"/>
  <c r="AB85" i="33" s="1"/>
  <c r="X81" i="33"/>
  <c r="AB81" i="33" s="1"/>
  <c r="X71" i="33"/>
  <c r="AB71" i="33" s="1"/>
  <c r="X63" i="33"/>
  <c r="AB63" i="33" s="1"/>
  <c r="X53" i="33"/>
  <c r="AB53" i="33" s="1"/>
  <c r="X49" i="33"/>
  <c r="AB49" i="33" s="1"/>
  <c r="X45" i="33"/>
  <c r="AB45" i="33" s="1"/>
  <c r="X41" i="33"/>
  <c r="AB41" i="33" s="1"/>
  <c r="X101" i="33"/>
  <c r="AB101" i="33" s="1"/>
  <c r="X90" i="33"/>
  <c r="AB90" i="33" s="1"/>
  <c r="X86" i="33"/>
  <c r="AB86" i="33" s="1"/>
  <c r="X74" i="33"/>
  <c r="AB74" i="33" s="1"/>
  <c r="X64" i="33"/>
  <c r="AB64" i="33" s="1"/>
  <c r="X54" i="33"/>
  <c r="AB54" i="33" s="1"/>
  <c r="X50" i="33"/>
  <c r="AB50" i="33" s="1"/>
  <c r="X46" i="33"/>
  <c r="AB46" i="33" s="1"/>
  <c r="X60" i="33"/>
  <c r="AB60" i="33" s="1"/>
  <c r="X92" i="33"/>
  <c r="AB92" i="33" s="1"/>
  <c r="X87" i="33"/>
  <c r="AB87" i="33" s="1"/>
  <c r="X83" i="33"/>
  <c r="AB83" i="33" s="1"/>
  <c r="X79" i="33"/>
  <c r="AB79" i="33" s="1"/>
  <c r="X30" i="33"/>
  <c r="AB30" i="33" s="1"/>
  <c r="X26" i="33"/>
  <c r="X11" i="33"/>
  <c r="AB11" i="33" s="1"/>
  <c r="X7" i="33"/>
  <c r="AB7" i="33" s="1"/>
  <c r="X14" i="33"/>
  <c r="AB14" i="33" s="1"/>
  <c r="X51" i="33"/>
  <c r="AB51" i="33" s="1"/>
  <c r="X69" i="33"/>
  <c r="AB69" i="33" s="1"/>
  <c r="X42" i="33"/>
  <c r="AB42" i="33" s="1"/>
  <c r="X31" i="33"/>
  <c r="AB31" i="33" s="1"/>
  <c r="X27" i="33"/>
  <c r="AB27" i="33" s="1"/>
  <c r="X12" i="33"/>
  <c r="AB12" i="33" s="1"/>
  <c r="X8" i="33"/>
  <c r="AB8" i="33" s="1"/>
  <c r="X29" i="33"/>
  <c r="AB29" i="33" s="1"/>
  <c r="X65" i="33"/>
  <c r="AB65" i="33" s="1"/>
  <c r="X33" i="33"/>
  <c r="AB33" i="33" s="1"/>
  <c r="X28" i="33"/>
  <c r="AB28" i="33" s="1"/>
  <c r="X13" i="33"/>
  <c r="AB13" i="33" s="1"/>
  <c r="X9" i="33"/>
  <c r="AB9" i="33" s="1"/>
  <c r="X5" i="33"/>
  <c r="X55" i="33"/>
  <c r="AB55" i="33" s="1"/>
  <c r="X47" i="33"/>
  <c r="AB47" i="33" s="1"/>
  <c r="X6" i="33"/>
  <c r="AB6" i="33" s="1"/>
  <c r="X10" i="33"/>
  <c r="AB10" i="33" s="1"/>
  <c r="X43" i="33"/>
  <c r="AB43" i="33" s="1"/>
  <c r="X39" i="33"/>
  <c r="AB39" i="33" s="1"/>
  <c r="X58" i="33"/>
  <c r="AB58" i="33" s="1"/>
  <c r="X35" i="33"/>
  <c r="AB35" i="33" s="1"/>
  <c r="X67" i="33"/>
  <c r="AB67" i="33" s="1"/>
  <c r="X82" i="33"/>
  <c r="AB82" i="33" s="1"/>
  <c r="X97" i="33"/>
  <c r="AB97" i="33" s="1"/>
  <c r="C161" i="33"/>
  <c r="C160" i="33"/>
  <c r="X68" i="33"/>
  <c r="AB68" i="33" s="1"/>
  <c r="AB26" i="33" l="1"/>
  <c r="AB110" i="33" s="1"/>
  <c r="X110" i="33"/>
  <c r="X109" i="33"/>
  <c r="X150" i="33" s="1"/>
  <c r="AB140" i="33"/>
  <c r="AB154" i="33"/>
  <c r="AB115" i="33"/>
  <c r="AB112" i="33"/>
  <c r="AB153" i="33"/>
  <c r="AB139" i="33"/>
  <c r="AB155" i="33"/>
  <c r="AB144" i="33"/>
  <c r="X111" i="33"/>
  <c r="X112" i="33"/>
  <c r="AB123" i="33"/>
  <c r="AB156" i="33" s="1"/>
  <c r="X123" i="33"/>
  <c r="X114" i="33"/>
  <c r="X115" i="33"/>
  <c r="X154" i="33"/>
  <c r="X139" i="33"/>
  <c r="X158" i="33"/>
  <c r="X144" i="33"/>
  <c r="AB5" i="33"/>
  <c r="AB109" i="33" s="1"/>
  <c r="AB150" i="33" s="1"/>
  <c r="X116" i="33"/>
  <c r="X136" i="33" s="1"/>
  <c r="X153" i="33"/>
  <c r="X137" i="33"/>
  <c r="AB113" i="33"/>
  <c r="X113" i="33"/>
  <c r="AB124" i="33"/>
  <c r="X124" i="33"/>
  <c r="AB118" i="33"/>
  <c r="AB138" i="33" s="1"/>
  <c r="X118" i="33"/>
  <c r="X138" i="33" s="1"/>
  <c r="AB127" i="33"/>
  <c r="AB143" i="33" s="1"/>
  <c r="X127" i="33"/>
  <c r="X143" i="33" s="1"/>
  <c r="X155" i="33"/>
  <c r="X140" i="33"/>
  <c r="AB116" i="33"/>
  <c r="AB136" i="33" s="1"/>
  <c r="AB114" i="33"/>
  <c r="AB111" i="33"/>
  <c r="C145" i="33"/>
  <c r="C159" i="33"/>
  <c r="C151" i="33"/>
  <c r="C146" i="33"/>
  <c r="C147" i="33"/>
  <c r="X105" i="33"/>
  <c r="AB105" i="33" s="1"/>
  <c r="X104" i="33"/>
  <c r="AB104" i="33" s="1"/>
  <c r="X103" i="33"/>
  <c r="AB103" i="33" s="1"/>
  <c r="F106" i="33"/>
  <c r="AB133" i="33" l="1"/>
  <c r="X133" i="33"/>
  <c r="AB151" i="33"/>
  <c r="AB141" i="33"/>
  <c r="X135" i="33"/>
  <c r="AB157" i="33"/>
  <c r="AB135" i="33"/>
  <c r="AB142" i="33"/>
  <c r="X156" i="33"/>
  <c r="X141" i="33"/>
  <c r="X157" i="33"/>
  <c r="X142" i="33"/>
  <c r="AB131" i="33"/>
  <c r="AB147" i="33" s="1"/>
  <c r="X131" i="33"/>
  <c r="AB129" i="33"/>
  <c r="AB145" i="33" s="1"/>
  <c r="X129" i="33"/>
  <c r="AB130" i="33"/>
  <c r="AB160" i="33" s="1"/>
  <c r="X130" i="33"/>
  <c r="X151" i="33"/>
  <c r="X134" i="33"/>
  <c r="X152" i="33"/>
  <c r="AB152" i="33"/>
  <c r="X106" i="33"/>
  <c r="AB134" i="33" l="1"/>
  <c r="AB161" i="33"/>
  <c r="X160" i="33"/>
  <c r="X146" i="33"/>
  <c r="X145" i="33"/>
  <c r="X159" i="33"/>
  <c r="AB159" i="33"/>
  <c r="X161" i="33"/>
  <c r="X147" i="33"/>
  <c r="AB146" i="33"/>
  <c r="AB106" i="33"/>
</calcChain>
</file>

<file path=xl/sharedStrings.xml><?xml version="1.0" encoding="utf-8"?>
<sst xmlns="http://schemas.openxmlformats.org/spreadsheetml/2006/main" count="9363" uniqueCount="165">
  <si>
    <t>구 분</t>
  </si>
  <si>
    <t>금속관입상20</t>
  </si>
  <si>
    <t>금속관입상25</t>
  </si>
  <si>
    <t>금속관입상32</t>
  </si>
  <si>
    <t>금속관입상40</t>
  </si>
  <si>
    <t>금속관입상50</t>
  </si>
  <si>
    <t>금속관입상65</t>
  </si>
  <si>
    <t>금속관입상80</t>
  </si>
  <si>
    <t>금속관입상100</t>
  </si>
  <si>
    <t>금속관입상125</t>
  </si>
  <si>
    <t>금속관입상150</t>
  </si>
  <si>
    <t>금속관입상200</t>
  </si>
  <si>
    <t>금속관입상250</t>
  </si>
  <si>
    <t>금속관입상300</t>
  </si>
  <si>
    <t>금속관입상400</t>
  </si>
  <si>
    <t>금속관벽체15</t>
  </si>
  <si>
    <t>금속관벽체20</t>
  </si>
  <si>
    <t>금속관벽체25</t>
  </si>
  <si>
    <t>금속관벽체32</t>
  </si>
  <si>
    <t>금속관벽체40</t>
  </si>
  <si>
    <t>금속관벽체50</t>
  </si>
  <si>
    <t>금속관벽체65</t>
  </si>
  <si>
    <t>금속관벽체80</t>
  </si>
  <si>
    <t>금속관벽체100</t>
  </si>
  <si>
    <t>금속관벽체125</t>
  </si>
  <si>
    <t>금속관벽체150</t>
  </si>
  <si>
    <t>PVC입상40</t>
  </si>
  <si>
    <t>PVC입상50</t>
  </si>
  <si>
    <t>PVC입상75</t>
  </si>
  <si>
    <t>PVC입상100</t>
  </si>
  <si>
    <t>PVC입상125</t>
  </si>
  <si>
    <t>PVC입상150</t>
  </si>
  <si>
    <t>PVC입상200</t>
  </si>
  <si>
    <t>PVC입상250</t>
  </si>
  <si>
    <t>PVC입상300</t>
  </si>
  <si>
    <t>PVC벽체65</t>
  </si>
  <si>
    <t>PVC벽체100</t>
  </si>
  <si>
    <t>PVC벽체125</t>
  </si>
  <si>
    <t>PVC벽체150</t>
  </si>
  <si>
    <t>구    분</t>
    <phoneticPr fontId="1" type="noConversion"/>
  </si>
  <si>
    <t>작업내용</t>
    <phoneticPr fontId="1" type="noConversion"/>
  </si>
  <si>
    <t>구분</t>
    <phoneticPr fontId="1" type="noConversion"/>
  </si>
  <si>
    <t>수량</t>
    <phoneticPr fontId="1" type="noConversion"/>
  </si>
  <si>
    <t>위     치</t>
    <phoneticPr fontId="1" type="noConversion"/>
  </si>
  <si>
    <t>합계</t>
    <phoneticPr fontId="1" type="noConversion"/>
  </si>
  <si>
    <t xml:space="preserve">총합계 </t>
    <phoneticPr fontId="1" type="noConversion"/>
  </si>
  <si>
    <t>단위(M)</t>
    <phoneticPr fontId="1" type="noConversion"/>
  </si>
  <si>
    <t>누계</t>
    <phoneticPr fontId="1" type="noConversion"/>
  </si>
  <si>
    <t>기성누적집계</t>
    <phoneticPr fontId="1" type="noConversion"/>
  </si>
  <si>
    <t xml:space="preserve">  </t>
    <phoneticPr fontId="1" type="noConversion"/>
  </si>
  <si>
    <t>일일작업현황</t>
    <phoneticPr fontId="1" type="noConversion"/>
  </si>
  <si>
    <t>금속관입상15</t>
    <phoneticPr fontId="1" type="noConversion"/>
  </si>
  <si>
    <t>금속관입상350</t>
    <phoneticPr fontId="1" type="noConversion"/>
  </si>
  <si>
    <t>금속관입상450</t>
    <phoneticPr fontId="1" type="noConversion"/>
  </si>
  <si>
    <t>PVC입상30</t>
    <phoneticPr fontId="1" type="noConversion"/>
  </si>
  <si>
    <t>PVC벽체25</t>
    <phoneticPr fontId="1" type="noConversion"/>
  </si>
  <si>
    <t>PVC벽체30</t>
    <phoneticPr fontId="1" type="noConversion"/>
  </si>
  <si>
    <t>PVC벽체40</t>
    <phoneticPr fontId="1" type="noConversion"/>
  </si>
  <si>
    <t>PVC벽체50</t>
    <phoneticPr fontId="1" type="noConversion"/>
  </si>
  <si>
    <t>PVC벽체75</t>
    <phoneticPr fontId="1" type="noConversion"/>
  </si>
  <si>
    <t>스파이럴입상150</t>
    <phoneticPr fontId="1" type="noConversion"/>
  </si>
  <si>
    <t>스파이럴입상200</t>
    <phoneticPr fontId="1" type="noConversion"/>
  </si>
  <si>
    <t>스파이럴벽체125</t>
    <phoneticPr fontId="1" type="noConversion"/>
  </si>
  <si>
    <t>스파이럴벽체150</t>
    <phoneticPr fontId="1" type="noConversion"/>
  </si>
  <si>
    <t>단위(M)</t>
    <phoneticPr fontId="1" type="noConversion"/>
  </si>
  <si>
    <t>오픈구</t>
    <phoneticPr fontId="1" type="noConversion"/>
  </si>
  <si>
    <t>차열재마감</t>
    <phoneticPr fontId="1" type="noConversion"/>
  </si>
  <si>
    <t>합계</t>
    <phoneticPr fontId="1" type="noConversion"/>
  </si>
  <si>
    <t>금속관 입상</t>
    <phoneticPr fontId="1" type="noConversion"/>
  </si>
  <si>
    <t>금속관 벽체</t>
    <phoneticPr fontId="1" type="noConversion"/>
  </si>
  <si>
    <t>PVC 입상</t>
    <phoneticPr fontId="1" type="noConversion"/>
  </si>
  <si>
    <t>PVC 벽체</t>
    <phoneticPr fontId="1" type="noConversion"/>
  </si>
  <si>
    <t>금번작업합계</t>
    <phoneticPr fontId="1" type="noConversion"/>
  </si>
  <si>
    <t>구 분</t>
    <phoneticPr fontId="1" type="noConversion"/>
  </si>
  <si>
    <t>금번작업일</t>
    <phoneticPr fontId="1" type="noConversion"/>
  </si>
  <si>
    <t>누적작업일</t>
    <phoneticPr fontId="1" type="noConversion"/>
  </si>
  <si>
    <t>작업일</t>
    <phoneticPr fontId="1" type="noConversion"/>
  </si>
  <si>
    <t>작 업 일 자</t>
    <phoneticPr fontId="1" type="noConversion"/>
  </si>
  <si>
    <t>날짜</t>
    <phoneticPr fontId="1" type="noConversion"/>
  </si>
  <si>
    <t>합계</t>
    <phoneticPr fontId="1" type="noConversion"/>
  </si>
  <si>
    <t>단위(M)</t>
  </si>
  <si>
    <t>-</t>
    <phoneticPr fontId="1" type="noConversion"/>
  </si>
  <si>
    <t>-</t>
    <phoneticPr fontId="1" type="noConversion"/>
  </si>
  <si>
    <t>PVC입상400</t>
    <phoneticPr fontId="1" type="noConversion"/>
  </si>
  <si>
    <t>PVC벽체400</t>
    <phoneticPr fontId="1" type="noConversion"/>
  </si>
  <si>
    <t>덕트마감</t>
    <phoneticPr fontId="1" type="noConversion"/>
  </si>
  <si>
    <t>댐퍼팽창테이프</t>
    <phoneticPr fontId="1" type="noConversion"/>
  </si>
  <si>
    <t>스파이럴입상250</t>
    <phoneticPr fontId="1" type="noConversion"/>
  </si>
  <si>
    <t>스파이럴입상300</t>
    <phoneticPr fontId="1" type="noConversion"/>
  </si>
  <si>
    <t>스파이럴입상100</t>
    <phoneticPr fontId="1" type="noConversion"/>
  </si>
  <si>
    <t>스파이럴벽체100</t>
    <phoneticPr fontId="1" type="noConversion"/>
  </si>
  <si>
    <t>스파이럴벽체200</t>
    <phoneticPr fontId="1" type="noConversion"/>
  </si>
  <si>
    <t>스파이럴벽체250</t>
    <phoneticPr fontId="1" type="noConversion"/>
  </si>
  <si>
    <t>스파이럴벽체300</t>
    <phoneticPr fontId="1" type="noConversion"/>
  </si>
  <si>
    <t>세대SP25</t>
    <phoneticPr fontId="1" type="noConversion"/>
  </si>
  <si>
    <t>세대SP40</t>
    <phoneticPr fontId="1" type="noConversion"/>
  </si>
  <si>
    <t>세대SP50</t>
    <phoneticPr fontId="1" type="noConversion"/>
  </si>
  <si>
    <t>세대SP60</t>
    <phoneticPr fontId="1" type="noConversion"/>
  </si>
  <si>
    <t>금속관입상500</t>
    <phoneticPr fontId="1" type="noConversion"/>
  </si>
  <si>
    <t>금속관벽체200</t>
    <phoneticPr fontId="1" type="noConversion"/>
  </si>
  <si>
    <t>금속관벽체250</t>
    <phoneticPr fontId="1" type="noConversion"/>
  </si>
  <si>
    <t>금속관벽체300</t>
    <phoneticPr fontId="1" type="noConversion"/>
  </si>
  <si>
    <t>금속관벽체350</t>
    <phoneticPr fontId="1" type="noConversion"/>
  </si>
  <si>
    <t>금속관벽체400</t>
    <phoneticPr fontId="1" type="noConversion"/>
  </si>
  <si>
    <t>금속관벽체450</t>
    <phoneticPr fontId="1" type="noConversion"/>
  </si>
  <si>
    <t>금속관벽체500</t>
    <phoneticPr fontId="1" type="noConversion"/>
  </si>
  <si>
    <t>PVC벽체200</t>
    <phoneticPr fontId="1" type="noConversion"/>
  </si>
  <si>
    <t>PVC벽체250</t>
    <phoneticPr fontId="1" type="noConversion"/>
  </si>
  <si>
    <t>PVC벽체300</t>
    <phoneticPr fontId="1" type="noConversion"/>
  </si>
  <si>
    <t>PVC벽체350</t>
    <phoneticPr fontId="1" type="noConversion"/>
  </si>
  <si>
    <t>보온덕트입상</t>
  </si>
  <si>
    <t>보온덕트입상</t>
    <phoneticPr fontId="1" type="noConversion"/>
  </si>
  <si>
    <t>보온덕트벽체</t>
  </si>
  <si>
    <t>보온덕트벽체</t>
    <phoneticPr fontId="1" type="noConversion"/>
  </si>
  <si>
    <t>무보온덕트입상</t>
  </si>
  <si>
    <t>무보온덕트입상</t>
    <phoneticPr fontId="1" type="noConversion"/>
  </si>
  <si>
    <t>무보온덕트벽체</t>
  </si>
  <si>
    <t>무보온덕트벽체</t>
    <phoneticPr fontId="1" type="noConversion"/>
  </si>
  <si>
    <t>슬리브</t>
    <phoneticPr fontId="1" type="noConversion"/>
  </si>
  <si>
    <t>실란트마감</t>
    <phoneticPr fontId="1" type="noConversion"/>
  </si>
  <si>
    <t>금속관 입상(대구경)</t>
    <phoneticPr fontId="1" type="noConversion"/>
  </si>
  <si>
    <t>금속관 벽체(대구경)</t>
    <phoneticPr fontId="1" type="noConversion"/>
  </si>
  <si>
    <t>스파이럴 입상</t>
    <phoneticPr fontId="1" type="noConversion"/>
  </si>
  <si>
    <t>스파이럴 벽체</t>
    <phoneticPr fontId="1" type="noConversion"/>
  </si>
  <si>
    <t>대구경추가차열</t>
    <phoneticPr fontId="1" type="noConversion"/>
  </si>
  <si>
    <t>세대SP</t>
    <phoneticPr fontId="1" type="noConversion"/>
  </si>
  <si>
    <t>댐퍼팽창테이프</t>
    <phoneticPr fontId="1" type="noConversion"/>
  </si>
  <si>
    <t>덕트마감</t>
    <phoneticPr fontId="1" type="noConversion"/>
  </si>
  <si>
    <t>오픈구</t>
    <phoneticPr fontId="1" type="noConversion"/>
  </si>
  <si>
    <t>차열재마감</t>
    <phoneticPr fontId="1" type="noConversion"/>
  </si>
  <si>
    <t>덕트입상</t>
    <phoneticPr fontId="1" type="noConversion"/>
  </si>
  <si>
    <t>덕트벽체</t>
    <phoneticPr fontId="1" type="noConversion"/>
  </si>
  <si>
    <t>HB</t>
    <phoneticPr fontId="1" type="noConversion"/>
  </si>
  <si>
    <t>HB 배관(소구경)</t>
    <phoneticPr fontId="1" type="noConversion"/>
  </si>
  <si>
    <t>대구경추가차열입상</t>
    <phoneticPr fontId="1" type="noConversion"/>
  </si>
  <si>
    <t>대구경추가차열벽체</t>
    <phoneticPr fontId="1" type="noConversion"/>
  </si>
  <si>
    <t>실란트마감입상</t>
    <phoneticPr fontId="1" type="noConversion"/>
  </si>
  <si>
    <t>실란트마감벽체</t>
    <phoneticPr fontId="1" type="noConversion"/>
  </si>
  <si>
    <t>HB 세대SP</t>
    <phoneticPr fontId="1" type="noConversion"/>
  </si>
  <si>
    <t>HB 배관(대구경)</t>
    <phoneticPr fontId="1" type="noConversion"/>
  </si>
  <si>
    <t>HB 대구경추가차열</t>
    <phoneticPr fontId="1" type="noConversion"/>
  </si>
  <si>
    <t>HB 실란트마감</t>
    <phoneticPr fontId="1" type="noConversion"/>
  </si>
  <si>
    <t>HB 슬리브</t>
    <phoneticPr fontId="1" type="noConversion"/>
  </si>
  <si>
    <t>HB 덕트</t>
    <phoneticPr fontId="1" type="noConversion"/>
  </si>
  <si>
    <t>HB 댐퍼팽창테이프</t>
    <phoneticPr fontId="1" type="noConversion"/>
  </si>
  <si>
    <t>HB 덕트마감</t>
    <phoneticPr fontId="1" type="noConversion"/>
  </si>
  <si>
    <t>HB 오픈구</t>
    <phoneticPr fontId="1" type="noConversion"/>
  </si>
  <si>
    <t>HB 차열재마감</t>
    <phoneticPr fontId="1" type="noConversion"/>
  </si>
  <si>
    <t>금속관 입상(소구경)</t>
    <phoneticPr fontId="1" type="noConversion"/>
  </si>
  <si>
    <t>PVC입상350</t>
    <phoneticPr fontId="1" type="noConversion"/>
  </si>
  <si>
    <t>금속관입상차열15</t>
    <phoneticPr fontId="1" type="noConversion"/>
  </si>
  <si>
    <t>금속관입상차열20</t>
    <phoneticPr fontId="1" type="noConversion"/>
  </si>
  <si>
    <t>금속관입상차열25</t>
    <phoneticPr fontId="1" type="noConversion"/>
  </si>
  <si>
    <t>금속관입상차열32</t>
    <phoneticPr fontId="1" type="noConversion"/>
  </si>
  <si>
    <t>금속관입상차열40</t>
    <phoneticPr fontId="1" type="noConversion"/>
  </si>
  <si>
    <t>금속관입상차열50</t>
    <phoneticPr fontId="1" type="noConversion"/>
  </si>
  <si>
    <t>금속관입상차열65</t>
    <phoneticPr fontId="1" type="noConversion"/>
  </si>
  <si>
    <t>금속관입상차열80</t>
    <phoneticPr fontId="1" type="noConversion"/>
  </si>
  <si>
    <t>금속관입상차열100</t>
    <phoneticPr fontId="1" type="noConversion"/>
  </si>
  <si>
    <t>금속관입상차열125</t>
    <phoneticPr fontId="1" type="noConversion"/>
  </si>
  <si>
    <t>금속관입상차열150</t>
    <phoneticPr fontId="1" type="noConversion"/>
  </si>
  <si>
    <t>금속관 입상차열</t>
    <phoneticPr fontId="1" type="noConversion"/>
  </si>
  <si>
    <t>HB 금속관 입상차열</t>
    <phoneticPr fontId="1" type="noConversion"/>
  </si>
  <si>
    <t>현장명 ㅇㅇ</t>
    <phoneticPr fontId="1" type="noConversion"/>
  </si>
  <si>
    <t>00.00.00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</si>
</sst>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1" formatCode="_-* #,##0_-;\-* #,##0_-;_-* &quot;-&quot;_-;_-@_-"/>
    <numFmt numFmtId="43" formatCode="_-* #,##0.00_-;\-* #,##0.00_-;_-* &quot;-&quot;??_-;_-@_-"/>
    <numFmt numFmtId="176" formatCode="General&quot;층 합계&quot;"/>
    <numFmt numFmtId="177" formatCode="General&quot;층&quot;"/>
    <numFmt numFmtId="178" formatCode="General&quot;월&quot;"/>
    <numFmt numFmtId="179" formatCode="#&quot;일&quot;"/>
    <numFmt numFmtId="180" formatCode="m&quot;월&quot;\ d&quot;일&quot;;@"/>
    <numFmt numFmtId="181" formatCode="#&quot;월&quot;"/>
    <numFmt numFmtId="182" formatCode="&quot;누계(&quot;@&quot;~)&quot;"/>
    <numFmt numFmtId="183" formatCode="_-* #,##0.0_-;\-* #,##0.0_-;_-* &quot;-&quot;_-;_-@_-"/>
    <numFmt numFmtId="184" formatCode="_-* #,##0.00_-;\-* #,##0.00_-;_-* &quot;-&quot;_-;_-@_-"/>
    <numFmt numFmtId="185" formatCode="mm&quot;월&quot;\ dd&quot;일&quot;"/>
    <numFmt numFmtId="186" formatCode="&quot;[내화채움 사진대지] &quot;@"/>
    <numFmt numFmtId="187" formatCode="_-* #,##0.0_-;\-* #,##0.0_-;_-* &quot;-&quot;?_-;_-@_-"/>
  </numFmts>
  <fonts count="2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6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u/>
      <sz val="20"/>
      <color theme="1"/>
      <name val="맑은 고딕"/>
      <family val="2"/>
      <charset val="129"/>
      <scheme val="minor"/>
    </font>
    <font>
      <b/>
      <sz val="26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b/>
      <sz val="16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6"/>
      <color theme="1"/>
      <name val="맑은 고딕"/>
      <family val="2"/>
      <charset val="129"/>
      <scheme val="minor"/>
    </font>
    <font>
      <u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u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22"/>
      <color theme="1"/>
      <name val="HY헤드라인M"/>
      <family val="1"/>
      <charset val="129"/>
    </font>
    <font>
      <b/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b/>
      <sz val="12"/>
      <color theme="1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u/>
      <sz val="11"/>
      <color theme="1"/>
      <name val="맑은 고딕"/>
      <family val="2"/>
      <charset val="129"/>
      <scheme val="minor"/>
    </font>
    <font>
      <b/>
      <sz val="6"/>
      <color theme="1"/>
      <name val="맑은 고딕"/>
      <family val="3"/>
      <charset val="129"/>
      <scheme val="minor"/>
    </font>
    <font>
      <u/>
      <sz val="1"/>
      <color theme="1"/>
      <name val="맑은 고딕"/>
      <family val="2"/>
      <charset val="129"/>
      <scheme val="minor"/>
    </font>
    <font>
      <sz val="1"/>
      <color theme="1"/>
      <name val="맑은 고딕"/>
      <family val="2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5" fillId="0" borderId="0" applyFont="0" applyFill="0" applyBorder="0" applyAlignment="0" applyProtection="0">
      <alignment vertical="center"/>
    </xf>
  </cellStyleXfs>
  <cellXfs count="191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0" xfId="0">
      <alignment vertical="center"/>
    </xf>
    <xf numFmtId="0" fontId="7" fillId="0" borderId="8" xfId="0" applyFont="1" applyBorder="1" applyAlignment="1">
      <alignment vertical="center"/>
    </xf>
    <xf numFmtId="177" fontId="7" fillId="0" borderId="8" xfId="0" applyNumberFormat="1" applyFont="1" applyBorder="1" applyAlignment="1">
      <alignment vertical="center" wrapText="1"/>
    </xf>
    <xf numFmtId="177" fontId="7" fillId="0" borderId="8" xfId="0" applyNumberFormat="1" applyFont="1" applyBorder="1" applyAlignment="1">
      <alignment vertical="center"/>
    </xf>
    <xf numFmtId="0" fontId="0" fillId="0" borderId="0" xfId="0" applyFill="1" applyBorder="1">
      <alignment vertical="center"/>
    </xf>
    <xf numFmtId="0" fontId="0" fillId="0" borderId="7" xfId="0" applyFill="1" applyBorder="1">
      <alignment vertical="center"/>
    </xf>
    <xf numFmtId="177" fontId="7" fillId="0" borderId="8" xfId="0" applyNumberFormat="1" applyFont="1" applyFill="1" applyBorder="1" applyAlignment="1">
      <alignment vertical="center"/>
    </xf>
    <xf numFmtId="0" fontId="0" fillId="0" borderId="0" xfId="0" applyFont="1">
      <alignment vertical="center"/>
    </xf>
    <xf numFmtId="0" fontId="5" fillId="0" borderId="0" xfId="0" applyFont="1" applyBorder="1" applyAlignment="1">
      <alignment vertical="center"/>
    </xf>
    <xf numFmtId="0" fontId="3" fillId="0" borderId="0" xfId="0" applyFont="1" applyBorder="1" applyAlignment="1">
      <alignment vertical="center"/>
    </xf>
    <xf numFmtId="0" fontId="3" fillId="0" borderId="0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10" fillId="0" borderId="7" xfId="0" applyFont="1" applyBorder="1">
      <alignment vertical="center"/>
    </xf>
    <xf numFmtId="0" fontId="10" fillId="0" borderId="0" xfId="0" applyFont="1">
      <alignment vertical="center"/>
    </xf>
    <xf numFmtId="0" fontId="11" fillId="0" borderId="0" xfId="0" applyFont="1" applyFill="1" applyBorder="1" applyAlignment="1">
      <alignment vertical="center"/>
    </xf>
    <xf numFmtId="0" fontId="12" fillId="0" borderId="0" xfId="0" applyFont="1">
      <alignment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41" fontId="0" fillId="0" borderId="0" xfId="1" applyFont="1">
      <alignment vertical="center"/>
    </xf>
    <xf numFmtId="41" fontId="0" fillId="0" borderId="0" xfId="1" applyFont="1" applyBorder="1">
      <alignment vertical="center"/>
    </xf>
    <xf numFmtId="0" fontId="0" fillId="0" borderId="0" xfId="0">
      <alignment vertical="center"/>
    </xf>
    <xf numFmtId="41" fontId="10" fillId="0" borderId="7" xfId="1" applyFont="1" applyBorder="1" applyAlignment="1">
      <alignment horizontal="right" vertical="center"/>
    </xf>
    <xf numFmtId="0" fontId="10" fillId="0" borderId="7" xfId="0" applyFont="1" applyBorder="1" applyAlignment="1">
      <alignment horizontal="right" vertical="center"/>
    </xf>
    <xf numFmtId="0" fontId="0" fillId="6" borderId="7" xfId="0" applyFill="1" applyBorder="1">
      <alignment vertical="center"/>
    </xf>
    <xf numFmtId="0" fontId="16" fillId="6" borderId="7" xfId="0" applyFont="1" applyFill="1" applyBorder="1">
      <alignment vertical="center"/>
    </xf>
    <xf numFmtId="0" fontId="16" fillId="0" borderId="7" xfId="0" applyFont="1" applyFill="1" applyBorder="1">
      <alignment vertical="center"/>
    </xf>
    <xf numFmtId="0" fontId="0" fillId="6" borderId="15" xfId="0" applyFill="1" applyBorder="1">
      <alignment vertical="center"/>
    </xf>
    <xf numFmtId="0" fontId="6" fillId="5" borderId="20" xfId="0" applyFont="1" applyFill="1" applyBorder="1" applyAlignment="1">
      <alignment horizontal="center" vertical="center"/>
    </xf>
    <xf numFmtId="181" fontId="6" fillId="5" borderId="20" xfId="0" applyNumberFormat="1" applyFont="1" applyFill="1" applyBorder="1" applyAlignment="1">
      <alignment horizontal="center" vertical="center"/>
    </xf>
    <xf numFmtId="183" fontId="16" fillId="5" borderId="15" xfId="1" applyNumberFormat="1" applyFont="1" applyFill="1" applyBorder="1">
      <alignment vertical="center"/>
    </xf>
    <xf numFmtId="183" fontId="0" fillId="0" borderId="7" xfId="1" applyNumberFormat="1" applyFont="1" applyBorder="1" applyAlignment="1">
      <alignment horizontal="center" vertical="center"/>
    </xf>
    <xf numFmtId="0" fontId="20" fillId="0" borderId="0" xfId="0" applyFont="1">
      <alignment vertical="center"/>
    </xf>
    <xf numFmtId="0" fontId="6" fillId="6" borderId="7" xfId="0" applyFont="1" applyFill="1" applyBorder="1" applyAlignment="1">
      <alignment horizontal="center" vertical="center"/>
    </xf>
    <xf numFmtId="184" fontId="16" fillId="5" borderId="15" xfId="0" applyNumberFormat="1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185" fontId="17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176" fontId="6" fillId="5" borderId="15" xfId="0" applyNumberFormat="1" applyFont="1" applyFill="1" applyBorder="1" applyAlignment="1">
      <alignment horizontal="center" vertical="center"/>
    </xf>
    <xf numFmtId="179" fontId="6" fillId="0" borderId="7" xfId="0" applyNumberFormat="1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179" fontId="6" fillId="4" borderId="7" xfId="0" applyNumberFormat="1" applyFont="1" applyFill="1" applyBorder="1" applyAlignment="1">
      <alignment horizontal="center" vertical="center"/>
    </xf>
    <xf numFmtId="0" fontId="19" fillId="0" borderId="7" xfId="0" applyFont="1" applyBorder="1" applyAlignment="1">
      <alignment vertical="center"/>
    </xf>
    <xf numFmtId="179" fontId="6" fillId="0" borderId="9" xfId="0" applyNumberFormat="1" applyFont="1" applyFill="1" applyBorder="1" applyAlignment="1">
      <alignment horizontal="center" vertical="center"/>
    </xf>
    <xf numFmtId="181" fontId="6" fillId="5" borderId="24" xfId="0" applyNumberFormat="1" applyFont="1" applyFill="1" applyBorder="1" applyAlignment="1">
      <alignment horizontal="center" vertical="center"/>
    </xf>
    <xf numFmtId="179" fontId="3" fillId="0" borderId="29" xfId="0" applyNumberFormat="1" applyFont="1" applyFill="1" applyBorder="1" applyAlignment="1">
      <alignment horizontal="center" vertical="center"/>
    </xf>
    <xf numFmtId="0" fontId="21" fillId="5" borderId="26" xfId="0" applyFont="1" applyFill="1" applyBorder="1" applyAlignment="1">
      <alignment horizontal="center" vertical="center"/>
    </xf>
    <xf numFmtId="179" fontId="6" fillId="0" borderId="13" xfId="0" applyNumberFormat="1" applyFont="1" applyFill="1" applyBorder="1" applyAlignment="1">
      <alignment horizontal="center" vertical="center"/>
    </xf>
    <xf numFmtId="0" fontId="6" fillId="5" borderId="32" xfId="0" applyFont="1" applyFill="1" applyBorder="1" applyAlignment="1">
      <alignment horizontal="center" vertical="center"/>
    </xf>
    <xf numFmtId="0" fontId="6" fillId="5" borderId="33" xfId="0" applyFont="1" applyFill="1" applyBorder="1" applyAlignment="1">
      <alignment horizontal="center" vertical="center"/>
    </xf>
    <xf numFmtId="180" fontId="22" fillId="5" borderId="20" xfId="0" applyNumberFormat="1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vertical="center"/>
    </xf>
    <xf numFmtId="0" fontId="9" fillId="0" borderId="41" xfId="0" applyFont="1" applyBorder="1" applyAlignment="1">
      <alignment horizontal="center" vertical="center"/>
    </xf>
    <xf numFmtId="0" fontId="0" fillId="0" borderId="8" xfId="0" applyBorder="1">
      <alignment vertical="center"/>
    </xf>
    <xf numFmtId="2" fontId="9" fillId="0" borderId="40" xfId="0" applyNumberFormat="1" applyFont="1" applyBorder="1">
      <alignment vertical="center"/>
    </xf>
    <xf numFmtId="0" fontId="4" fillId="0" borderId="8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17" fillId="0" borderId="40" xfId="0" applyFont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16" fillId="0" borderId="7" xfId="0" applyFont="1" applyFill="1" applyBorder="1" applyAlignment="1">
      <alignment horizontal="center" vertical="center"/>
    </xf>
    <xf numFmtId="0" fontId="16" fillId="6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3" fontId="16" fillId="6" borderId="15" xfId="1" applyNumberFormat="1" applyFont="1" applyFill="1" applyBorder="1">
      <alignment vertical="center"/>
    </xf>
    <xf numFmtId="183" fontId="16" fillId="6" borderId="7" xfId="1" applyNumberFormat="1" applyFont="1" applyFill="1" applyBorder="1">
      <alignment vertical="center"/>
    </xf>
    <xf numFmtId="183" fontId="16" fillId="0" borderId="15" xfId="1" applyNumberFormat="1" applyFont="1" applyFill="1" applyBorder="1">
      <alignment vertical="center"/>
    </xf>
    <xf numFmtId="183" fontId="16" fillId="0" borderId="7" xfId="1" applyNumberFormat="1" applyFont="1" applyFill="1" applyBorder="1">
      <alignment vertical="center"/>
    </xf>
    <xf numFmtId="183" fontId="0" fillId="0" borderId="0" xfId="0" applyNumberFormat="1">
      <alignment vertical="center"/>
    </xf>
    <xf numFmtId="183" fontId="6" fillId="6" borderId="7" xfId="0" applyNumberFormat="1" applyFont="1" applyFill="1" applyBorder="1" applyAlignment="1">
      <alignment horizontal="center" vertical="center"/>
    </xf>
    <xf numFmtId="183" fontId="0" fillId="0" borderId="0" xfId="0" applyNumberFormat="1" applyFill="1">
      <alignment vertical="center"/>
    </xf>
    <xf numFmtId="183" fontId="16" fillId="0" borderId="0" xfId="0" applyNumberFormat="1" applyFont="1" applyFill="1" applyBorder="1">
      <alignment vertical="center"/>
    </xf>
    <xf numFmtId="183" fontId="0" fillId="6" borderId="34" xfId="0" applyNumberFormat="1" applyFill="1" applyBorder="1">
      <alignment vertical="center"/>
    </xf>
    <xf numFmtId="183" fontId="0" fillId="6" borderId="15" xfId="0" applyNumberFormat="1" applyFill="1" applyBorder="1">
      <alignment vertical="center"/>
    </xf>
    <xf numFmtId="183" fontId="0" fillId="6" borderId="14" xfId="0" applyNumberFormat="1" applyFill="1" applyBorder="1">
      <alignment vertical="center"/>
    </xf>
    <xf numFmtId="183" fontId="0" fillId="6" borderId="7" xfId="0" applyNumberFormat="1" applyFill="1" applyBorder="1">
      <alignment vertical="center"/>
    </xf>
    <xf numFmtId="183" fontId="0" fillId="0" borderId="14" xfId="0" applyNumberFormat="1" applyFill="1" applyBorder="1">
      <alignment vertical="center"/>
    </xf>
    <xf numFmtId="183" fontId="0" fillId="0" borderId="7" xfId="0" applyNumberFormat="1" applyFill="1" applyBorder="1">
      <alignment vertical="center"/>
    </xf>
    <xf numFmtId="183" fontId="16" fillId="0" borderId="14" xfId="0" applyNumberFormat="1" applyFont="1" applyFill="1" applyBorder="1">
      <alignment vertical="center"/>
    </xf>
    <xf numFmtId="183" fontId="16" fillId="0" borderId="7" xfId="0" applyNumberFormat="1" applyFont="1" applyFill="1" applyBorder="1">
      <alignment vertical="center"/>
    </xf>
    <xf numFmtId="183" fontId="16" fillId="6" borderId="14" xfId="0" applyNumberFormat="1" applyFont="1" applyFill="1" applyBorder="1">
      <alignment vertical="center"/>
    </xf>
    <xf numFmtId="183" fontId="16" fillId="6" borderId="7" xfId="0" applyNumberFormat="1" applyFont="1" applyFill="1" applyBorder="1">
      <alignment vertical="center"/>
    </xf>
    <xf numFmtId="183" fontId="16" fillId="0" borderId="0" xfId="0" applyNumberFormat="1" applyFont="1" applyFill="1">
      <alignment vertical="center"/>
    </xf>
    <xf numFmtId="183" fontId="16" fillId="5" borderId="36" xfId="0" applyNumberFormat="1" applyFont="1" applyFill="1" applyBorder="1" applyAlignment="1">
      <alignment horizontal="center" vertical="center"/>
    </xf>
    <xf numFmtId="183" fontId="16" fillId="5" borderId="15" xfId="0" applyNumberFormat="1" applyFont="1" applyFill="1" applyBorder="1" applyAlignment="1">
      <alignment horizontal="center" vertical="center"/>
    </xf>
    <xf numFmtId="183" fontId="6" fillId="6" borderId="11" xfId="0" applyNumberFormat="1" applyFont="1" applyFill="1" applyBorder="1" applyAlignment="1">
      <alignment horizontal="center" vertical="center"/>
    </xf>
    <xf numFmtId="183" fontId="6" fillId="6" borderId="14" xfId="0" applyNumberFormat="1" applyFont="1" applyFill="1" applyBorder="1" applyAlignment="1">
      <alignment horizontal="center" vertical="center"/>
    </xf>
    <xf numFmtId="185" fontId="24" fillId="0" borderId="38" xfId="0" applyNumberFormat="1" applyFont="1" applyBorder="1" applyAlignment="1">
      <alignment horizontal="center" vertical="center"/>
    </xf>
    <xf numFmtId="185" fontId="24" fillId="0" borderId="7" xfId="0" applyNumberFormat="1" applyFont="1" applyBorder="1" applyAlignment="1">
      <alignment horizontal="center" vertical="center"/>
    </xf>
    <xf numFmtId="183" fontId="3" fillId="6" borderId="35" xfId="1" applyNumberFormat="1" applyFont="1" applyFill="1" applyBorder="1">
      <alignment vertical="center"/>
    </xf>
    <xf numFmtId="183" fontId="3" fillId="6" borderId="13" xfId="1" applyNumberFormat="1" applyFont="1" applyFill="1" applyBorder="1">
      <alignment vertical="center"/>
    </xf>
    <xf numFmtId="183" fontId="3" fillId="0" borderId="13" xfId="1" applyNumberFormat="1" applyFont="1" applyFill="1" applyBorder="1">
      <alignment vertical="center"/>
    </xf>
    <xf numFmtId="183" fontId="3" fillId="5" borderId="37" xfId="1" applyNumberFormat="1" applyFont="1" applyFill="1" applyBorder="1">
      <alignment vertical="center"/>
    </xf>
    <xf numFmtId="184" fontId="0" fillId="6" borderId="15" xfId="1" applyNumberFormat="1" applyFont="1" applyFill="1" applyBorder="1">
      <alignment vertical="center"/>
    </xf>
    <xf numFmtId="184" fontId="0" fillId="6" borderId="7" xfId="1" applyNumberFormat="1" applyFont="1" applyFill="1" applyBorder="1">
      <alignment vertical="center"/>
    </xf>
    <xf numFmtId="184" fontId="0" fillId="0" borderId="7" xfId="1" applyNumberFormat="1" applyFont="1" applyFill="1" applyBorder="1">
      <alignment vertical="center"/>
    </xf>
    <xf numFmtId="184" fontId="16" fillId="5" borderId="15" xfId="1" applyNumberFormat="1" applyFont="1" applyFill="1" applyBorder="1">
      <alignment vertical="center"/>
    </xf>
    <xf numFmtId="184" fontId="0" fillId="0" borderId="0" xfId="0" applyNumberFormat="1" applyFill="1">
      <alignment vertical="center"/>
    </xf>
    <xf numFmtId="184" fontId="0" fillId="6" borderId="15" xfId="1" applyNumberFormat="1" applyFont="1" applyFill="1" applyBorder="1" applyAlignment="1">
      <alignment horizontal="center" vertical="center"/>
    </xf>
    <xf numFmtId="184" fontId="0" fillId="6" borderId="22" xfId="1" applyNumberFormat="1" applyFont="1" applyFill="1" applyBorder="1" applyAlignment="1">
      <alignment horizontal="center" vertical="center"/>
    </xf>
    <xf numFmtId="184" fontId="3" fillId="6" borderId="16" xfId="1" applyNumberFormat="1" applyFont="1" applyFill="1" applyBorder="1" applyAlignment="1">
      <alignment horizontal="center" vertical="center"/>
    </xf>
    <xf numFmtId="184" fontId="0" fillId="6" borderId="7" xfId="1" applyNumberFormat="1" applyFont="1" applyFill="1" applyBorder="1" applyAlignment="1">
      <alignment horizontal="center" vertical="center"/>
    </xf>
    <xf numFmtId="184" fontId="0" fillId="6" borderId="9" xfId="1" applyNumberFormat="1" applyFont="1" applyFill="1" applyBorder="1" applyAlignment="1">
      <alignment horizontal="center" vertical="center"/>
    </xf>
    <xf numFmtId="184" fontId="3" fillId="6" borderId="10" xfId="1" applyNumberFormat="1" applyFont="1" applyFill="1" applyBorder="1" applyAlignment="1">
      <alignment horizontal="center" vertical="center"/>
    </xf>
    <xf numFmtId="184" fontId="0" fillId="0" borderId="7" xfId="1" applyNumberFormat="1" applyFont="1" applyFill="1" applyBorder="1" applyAlignment="1">
      <alignment horizontal="center" vertical="center"/>
    </xf>
    <xf numFmtId="184" fontId="0" fillId="0" borderId="9" xfId="1" applyNumberFormat="1" applyFont="1" applyFill="1" applyBorder="1" applyAlignment="1">
      <alignment horizontal="center" vertical="center"/>
    </xf>
    <xf numFmtId="184" fontId="3" fillId="0" borderId="10" xfId="1" applyNumberFormat="1" applyFont="1" applyFill="1" applyBorder="1" applyAlignment="1">
      <alignment horizontal="center" vertical="center"/>
    </xf>
    <xf numFmtId="184" fontId="0" fillId="5" borderId="15" xfId="1" applyNumberFormat="1" applyFont="1" applyFill="1" applyBorder="1" applyAlignment="1">
      <alignment horizontal="center" vertical="center"/>
    </xf>
    <xf numFmtId="184" fontId="0" fillId="5" borderId="22" xfId="1" applyNumberFormat="1" applyFont="1" applyFill="1" applyBorder="1" applyAlignment="1">
      <alignment horizontal="center" vertical="center"/>
    </xf>
    <xf numFmtId="184" fontId="3" fillId="5" borderId="25" xfId="1" applyNumberFormat="1" applyFont="1" applyFill="1" applyBorder="1" applyAlignment="1">
      <alignment horizontal="center" vertical="center"/>
    </xf>
    <xf numFmtId="184" fontId="0" fillId="0" borderId="0" xfId="0" applyNumberFormat="1">
      <alignment vertical="center"/>
    </xf>
    <xf numFmtId="184" fontId="20" fillId="0" borderId="0" xfId="0" applyNumberFormat="1" applyFont="1">
      <alignment vertical="center"/>
    </xf>
    <xf numFmtId="0" fontId="25" fillId="0" borderId="0" xfId="0" applyFont="1" applyFill="1" applyBorder="1" applyAlignment="1">
      <alignment vertical="center"/>
    </xf>
    <xf numFmtId="0" fontId="26" fillId="0" borderId="0" xfId="0" applyFont="1">
      <alignment vertical="center"/>
    </xf>
    <xf numFmtId="0" fontId="0" fillId="4" borderId="7" xfId="0" applyFill="1" applyBorder="1" applyAlignment="1">
      <alignment horizontal="center" vertical="center"/>
    </xf>
    <xf numFmtId="184" fontId="0" fillId="4" borderId="7" xfId="1" applyNumberFormat="1" applyFont="1" applyFill="1" applyBorder="1" applyAlignment="1">
      <alignment horizontal="center" vertical="center"/>
    </xf>
    <xf numFmtId="184" fontId="0" fillId="4" borderId="9" xfId="1" applyNumberFormat="1" applyFont="1" applyFill="1" applyBorder="1" applyAlignment="1">
      <alignment horizontal="center" vertical="center"/>
    </xf>
    <xf numFmtId="184" fontId="3" fillId="4" borderId="10" xfId="1" applyNumberFormat="1" applyFont="1" applyFill="1" applyBorder="1" applyAlignment="1">
      <alignment horizontal="center" vertical="center"/>
    </xf>
    <xf numFmtId="183" fontId="16" fillId="4" borderId="15" xfId="1" applyNumberFormat="1" applyFont="1" applyFill="1" applyBorder="1">
      <alignment vertical="center"/>
    </xf>
    <xf numFmtId="183" fontId="16" fillId="4" borderId="7" xfId="1" applyNumberFormat="1" applyFont="1" applyFill="1" applyBorder="1">
      <alignment vertical="center"/>
    </xf>
    <xf numFmtId="183" fontId="0" fillId="4" borderId="14" xfId="0" applyNumberFormat="1" applyFill="1" applyBorder="1">
      <alignment vertical="center"/>
    </xf>
    <xf numFmtId="183" fontId="3" fillId="4" borderId="13" xfId="1" applyNumberFormat="1" applyFont="1" applyFill="1" applyBorder="1">
      <alignment vertical="center"/>
    </xf>
    <xf numFmtId="183" fontId="0" fillId="4" borderId="7" xfId="0" applyNumberFormat="1" applyFill="1" applyBorder="1">
      <alignment vertical="center"/>
    </xf>
    <xf numFmtId="184" fontId="0" fillId="4" borderId="7" xfId="1" applyNumberFormat="1" applyFont="1" applyFill="1" applyBorder="1">
      <alignment vertical="center"/>
    </xf>
    <xf numFmtId="0" fontId="16" fillId="4" borderId="7" xfId="0" applyFont="1" applyFill="1" applyBorder="1" applyAlignment="1">
      <alignment horizontal="center" vertical="center"/>
    </xf>
    <xf numFmtId="0" fontId="16" fillId="4" borderId="7" xfId="0" applyFont="1" applyFill="1" applyBorder="1">
      <alignment vertical="center"/>
    </xf>
    <xf numFmtId="183" fontId="16" fillId="4" borderId="14" xfId="0" applyNumberFormat="1" applyFont="1" applyFill="1" applyBorder="1">
      <alignment vertical="center"/>
    </xf>
    <xf numFmtId="183" fontId="16" fillId="4" borderId="7" xfId="0" applyNumberFormat="1" applyFont="1" applyFill="1" applyBorder="1">
      <alignment vertical="center"/>
    </xf>
    <xf numFmtId="183" fontId="0" fillId="4" borderId="0" xfId="0" applyNumberFormat="1" applyFill="1">
      <alignment vertical="center"/>
    </xf>
    <xf numFmtId="183" fontId="16" fillId="4" borderId="0" xfId="0" applyNumberFormat="1" applyFont="1" applyFill="1" applyBorder="1">
      <alignment vertical="center"/>
    </xf>
    <xf numFmtId="0" fontId="0" fillId="7" borderId="0" xfId="0" applyFill="1">
      <alignment vertical="center"/>
    </xf>
    <xf numFmtId="183" fontId="0" fillId="7" borderId="0" xfId="0" applyNumberFormat="1" applyFill="1">
      <alignment vertical="center"/>
    </xf>
    <xf numFmtId="183" fontId="17" fillId="6" borderId="14" xfId="0" applyNumberFormat="1" applyFont="1" applyFill="1" applyBorder="1" applyAlignment="1">
      <alignment horizontal="center" vertical="center"/>
    </xf>
    <xf numFmtId="183" fontId="17" fillId="6" borderId="17" xfId="0" applyNumberFormat="1" applyFont="1" applyFill="1" applyBorder="1" applyAlignment="1">
      <alignment horizontal="center" vertical="center"/>
    </xf>
    <xf numFmtId="183" fontId="17" fillId="6" borderId="7" xfId="0" applyNumberFormat="1" applyFont="1" applyFill="1" applyBorder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183" fontId="0" fillId="0" borderId="7" xfId="1" applyNumberFormat="1" applyFont="1" applyFill="1" applyBorder="1" applyAlignment="1">
      <alignment horizontal="center" vertical="center"/>
    </xf>
    <xf numFmtId="0" fontId="0" fillId="7" borderId="7" xfId="0" applyFill="1" applyBorder="1">
      <alignment vertical="center"/>
    </xf>
    <xf numFmtId="183" fontId="0" fillId="7" borderId="12" xfId="1" applyNumberFormat="1" applyFont="1" applyFill="1" applyBorder="1" applyAlignment="1">
      <alignment horizontal="center" vertical="center"/>
    </xf>
    <xf numFmtId="183" fontId="0" fillId="7" borderId="13" xfId="1" applyNumberFormat="1" applyFont="1" applyFill="1" applyBorder="1" applyAlignment="1">
      <alignment horizontal="center" vertical="center"/>
    </xf>
    <xf numFmtId="183" fontId="6" fillId="6" borderId="17" xfId="0" applyNumberFormat="1" applyFont="1" applyFill="1" applyBorder="1" applyAlignment="1">
      <alignment horizontal="center" vertical="center"/>
    </xf>
    <xf numFmtId="183" fontId="0" fillId="7" borderId="18" xfId="1" applyNumberFormat="1" applyFont="1" applyFill="1" applyBorder="1" applyAlignment="1">
      <alignment horizontal="center" vertical="center"/>
    </xf>
    <xf numFmtId="0" fontId="0" fillId="0" borderId="15" xfId="0" applyFill="1" applyBorder="1">
      <alignment vertical="center"/>
    </xf>
    <xf numFmtId="183" fontId="0" fillId="0" borderId="34" xfId="0" applyNumberFormat="1" applyFill="1" applyBorder="1">
      <alignment vertical="center"/>
    </xf>
    <xf numFmtId="183" fontId="3" fillId="0" borderId="35" xfId="1" applyNumberFormat="1" applyFont="1" applyFill="1" applyBorder="1">
      <alignment vertical="center"/>
    </xf>
    <xf numFmtId="183" fontId="0" fillId="0" borderId="15" xfId="0" applyNumberFormat="1" applyFill="1" applyBorder="1">
      <alignment vertical="center"/>
    </xf>
    <xf numFmtId="184" fontId="0" fillId="0" borderId="15" xfId="1" applyNumberFormat="1" applyFont="1" applyFill="1" applyBorder="1">
      <alignment vertical="center"/>
    </xf>
    <xf numFmtId="187" fontId="0" fillId="0" borderId="0" xfId="0" applyNumberFormat="1">
      <alignment vertical="center"/>
    </xf>
    <xf numFmtId="43" fontId="0" fillId="0" borderId="0" xfId="0" applyNumberFormat="1">
      <alignment vertical="center"/>
    </xf>
    <xf numFmtId="0" fontId="0" fillId="0" borderId="15" xfId="0" applyFill="1" applyBorder="1" applyAlignment="1">
      <alignment horizontal="center" vertical="center"/>
    </xf>
    <xf numFmtId="184" fontId="0" fillId="0" borderId="15" xfId="1" applyNumberFormat="1" applyFont="1" applyFill="1" applyBorder="1" applyAlignment="1">
      <alignment horizontal="center" vertical="center"/>
    </xf>
    <xf numFmtId="184" fontId="0" fillId="0" borderId="22" xfId="1" applyNumberFormat="1" applyFont="1" applyFill="1" applyBorder="1" applyAlignment="1">
      <alignment horizontal="center" vertical="center"/>
    </xf>
    <xf numFmtId="184" fontId="3" fillId="0" borderId="16" xfId="1" applyNumberFormat="1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12" fillId="2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0" fontId="14" fillId="0" borderId="19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186" fontId="18" fillId="0" borderId="0" xfId="0" applyNumberFormat="1" applyFont="1" applyAlignment="1">
      <alignment horizontal="center" vertical="center"/>
    </xf>
    <xf numFmtId="182" fontId="19" fillId="4" borderId="9" xfId="0" applyNumberFormat="1" applyFont="1" applyFill="1" applyBorder="1" applyAlignment="1">
      <alignment horizontal="center" vertical="center"/>
    </xf>
    <xf numFmtId="182" fontId="19" fillId="4" borderId="19" xfId="0" applyNumberFormat="1" applyFont="1" applyFill="1" applyBorder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177" fontId="16" fillId="4" borderId="28" xfId="0" applyNumberFormat="1" applyFont="1" applyFill="1" applyBorder="1" applyAlignment="1">
      <alignment horizontal="center" vertical="center"/>
    </xf>
    <xf numFmtId="177" fontId="16" fillId="4" borderId="38" xfId="0" applyNumberFormat="1" applyFont="1" applyFill="1" applyBorder="1" applyAlignment="1">
      <alignment horizontal="center" vertical="center"/>
    </xf>
    <xf numFmtId="177" fontId="16" fillId="4" borderId="15" xfId="0" applyNumberFormat="1" applyFont="1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19" fillId="7" borderId="30" xfId="0" applyFont="1" applyFill="1" applyBorder="1" applyAlignment="1">
      <alignment horizontal="center" vertical="center"/>
    </xf>
    <xf numFmtId="0" fontId="19" fillId="7" borderId="31" xfId="0" applyFont="1" applyFill="1" applyBorder="1" applyAlignment="1">
      <alignment horizontal="center" vertical="center"/>
    </xf>
    <xf numFmtId="178" fontId="3" fillId="0" borderId="9" xfId="0" applyNumberFormat="1" applyFont="1" applyBorder="1" applyAlignment="1">
      <alignment horizontal="center" vertical="center"/>
    </xf>
    <xf numFmtId="178" fontId="3" fillId="0" borderId="39" xfId="0" applyNumberFormat="1" applyFont="1" applyBorder="1" applyAlignment="1">
      <alignment horizontal="center" vertical="center"/>
    </xf>
    <xf numFmtId="178" fontId="3" fillId="0" borderId="19" xfId="0" applyNumberFormat="1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  <colors>
    <mruColors>
      <color rgb="FF3E11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157370</xdr:colOff>
      <xdr:row>0</xdr:row>
      <xdr:rowOff>74543</xdr:rowOff>
    </xdr:from>
    <xdr:to>
      <xdr:col>22</xdr:col>
      <xdr:colOff>41413</xdr:colOff>
      <xdr:row>0</xdr:row>
      <xdr:rowOff>554935</xdr:rowOff>
    </xdr:to>
    <xdr:sp macro="[0]!bring_Pictures_With_Offset" textlink="">
      <xdr:nvSpPr>
        <xdr:cNvPr id="2" name="하트 1">
          <a:extLst>
            <a:ext uri="{FF2B5EF4-FFF2-40B4-BE49-F238E27FC236}">
              <a16:creationId xmlns="" xmlns:a16="http://schemas.microsoft.com/office/drawing/2014/main" id="{6E93B9E8-995C-4930-85AF-CA82716D5D33}"/>
            </a:ext>
          </a:extLst>
        </xdr:cNvPr>
        <xdr:cNvSpPr/>
      </xdr:nvSpPr>
      <xdr:spPr>
        <a:xfrm>
          <a:off x="10543761" y="74543"/>
          <a:ext cx="728869" cy="480392"/>
        </a:xfrm>
        <a:prstGeom prst="hear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5799"/>
  <sheetViews>
    <sheetView view="pageBreakPreview" zoomScale="85" zoomScaleNormal="85" zoomScaleSheetLayoutView="85" workbookViewId="0">
      <pane ySplit="1" topLeftCell="A2" activePane="bottomLeft" state="frozen"/>
      <selection activeCell="F23" sqref="F23"/>
      <selection pane="bottomLeft" sqref="A1:L1"/>
    </sheetView>
  </sheetViews>
  <sheetFormatPr defaultRowHeight="16.5" x14ac:dyDescent="0.3"/>
  <cols>
    <col min="1" max="1" width="7.875" style="2" bestFit="1" customWidth="1"/>
    <col min="2" max="2" width="8.625" style="2" customWidth="1"/>
    <col min="3" max="3" width="8.625" style="120" customWidth="1"/>
    <col min="4" max="4" width="8.625" style="9" customWidth="1"/>
    <col min="5" max="5" width="14.25" style="18" bestFit="1" customWidth="1"/>
    <col min="6" max="6" width="8.625" style="9" customWidth="1"/>
    <col min="7" max="12" width="8.625" style="20" customWidth="1"/>
    <col min="13" max="13" width="1" style="2" customWidth="1"/>
    <col min="14" max="14" width="9.375" style="41" bestFit="1" customWidth="1"/>
    <col min="15" max="15" width="5.5" style="2" customWidth="1"/>
    <col min="16" max="16" width="1.375" style="2" customWidth="1"/>
    <col min="17" max="17" width="8.625" style="2" customWidth="1"/>
    <col min="18" max="18" width="6.25" style="2" customWidth="1"/>
    <col min="19" max="19" width="0.875" style="2" customWidth="1"/>
    <col min="20" max="20" width="8.625" style="2" bestFit="1" customWidth="1"/>
    <col min="21" max="22" width="5.5" style="23" customWidth="1"/>
    <col min="23" max="23" width="5.375" style="2" customWidth="1"/>
    <col min="24" max="24" width="6.25" style="2" customWidth="1"/>
    <col min="25" max="25" width="9" style="2"/>
    <col min="26" max="26" width="10.5" style="2" customWidth="1"/>
    <col min="27" max="27" width="9.125" style="2" customWidth="1"/>
    <col min="28" max="16384" width="9" style="2"/>
  </cols>
  <sheetData>
    <row r="1" spans="1:26" ht="46.5" customHeight="1" thickBot="1" x14ac:dyDescent="0.35">
      <c r="A1" s="175" t="s">
        <v>163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62"/>
      <c r="N1" s="59" t="s">
        <v>45</v>
      </c>
      <c r="O1" s="61">
        <f>SUM(R:R,X:X)-SUMIF(Q:Q,"*덕트*",R:R)-SUMIF(Q:Q,"*오픈*",R:R)-SUMIF(Q:Q,"*차열재*",R:R)-SUMIF(Q:Q,"*댐퍼*",R:R)</f>
        <v>0</v>
      </c>
      <c r="P1" s="60"/>
      <c r="Q1" s="59" t="s">
        <v>41</v>
      </c>
      <c r="R1" s="59" t="s">
        <v>42</v>
      </c>
      <c r="T1" s="63"/>
      <c r="U1" s="63"/>
      <c r="V1" s="63"/>
      <c r="W1" s="63"/>
      <c r="X1" s="63"/>
      <c r="Y1" s="1"/>
      <c r="Z1" s="64" t="s">
        <v>78</v>
      </c>
    </row>
    <row r="2" spans="1:26" ht="6.95" customHeight="1" x14ac:dyDescent="0.3">
      <c r="A2" s="165">
        <v>1</v>
      </c>
      <c r="B2" s="166"/>
      <c r="C2" s="167"/>
      <c r="D2" s="160" t="s">
        <v>39</v>
      </c>
      <c r="E2" s="161"/>
      <c r="F2" s="162" t="s">
        <v>40</v>
      </c>
      <c r="G2" s="163"/>
      <c r="H2" s="164"/>
      <c r="I2" s="163"/>
      <c r="J2" s="164"/>
      <c r="K2" s="163"/>
      <c r="L2" s="164"/>
      <c r="M2" s="11"/>
      <c r="N2" s="39"/>
      <c r="Q2" s="15" t="str">
        <f>+CONCATENATE(E2,G2)</f>
        <v/>
      </c>
      <c r="R2" s="15">
        <f>+H2</f>
        <v>0</v>
      </c>
      <c r="S2" s="16"/>
      <c r="T2" s="15">
        <f>+E2</f>
        <v>0</v>
      </c>
      <c r="U2" s="26" t="str">
        <f>IFERROR(LEFT(G2,FIND("*",G2)-1),"-")</f>
        <v>-</v>
      </c>
      <c r="V2" s="26" t="str">
        <f>IFERROR(RIGHT(G2,LEN(G2)-FIND("*",G2)),"-")</f>
        <v>-</v>
      </c>
      <c r="W2" s="27" t="str">
        <f>IFERROR((U2+V2)*2/1000,"-")</f>
        <v>-</v>
      </c>
      <c r="X2" s="27" t="str">
        <f>IFERROR(W2*H2,"-")</f>
        <v>-</v>
      </c>
      <c r="Z2" s="94" t="s">
        <v>81</v>
      </c>
    </row>
    <row r="3" spans="1:26" ht="6.95" customHeight="1" x14ac:dyDescent="0.3">
      <c r="A3" s="165"/>
      <c r="B3" s="168"/>
      <c r="C3" s="169"/>
      <c r="D3" s="160"/>
      <c r="E3" s="161"/>
      <c r="F3" s="162"/>
      <c r="G3" s="163"/>
      <c r="H3" s="164"/>
      <c r="I3" s="163"/>
      <c r="J3" s="164"/>
      <c r="K3" s="163"/>
      <c r="L3" s="164"/>
      <c r="M3" s="11"/>
      <c r="N3" s="39"/>
      <c r="Q3" s="15" t="str">
        <f>+CONCATENATE(E2,I2)</f>
        <v/>
      </c>
      <c r="R3" s="15">
        <f>+J2</f>
        <v>0</v>
      </c>
      <c r="S3" s="16"/>
      <c r="T3" s="15">
        <f>+E2</f>
        <v>0</v>
      </c>
      <c r="U3" s="26" t="str">
        <f>IFERROR(LEFT(I2,FIND("*",I2)-1),"-")</f>
        <v>-</v>
      </c>
      <c r="V3" s="26" t="str">
        <f>IFERROR(RIGHT(I2,LEN(I2)-FIND("*",I2)),"-")</f>
        <v>-</v>
      </c>
      <c r="W3" s="27" t="str">
        <f t="shared" ref="W3:W10" si="0">IFERROR((U3+V3)*2/1000,"-")</f>
        <v>-</v>
      </c>
      <c r="X3" s="27" t="str">
        <f>IFERROR(W3*J2,"-")</f>
        <v>-</v>
      </c>
      <c r="Z3" s="94" t="s">
        <v>81</v>
      </c>
    </row>
    <row r="4" spans="1:26" ht="6.95" customHeight="1" x14ac:dyDescent="0.3">
      <c r="A4" s="165"/>
      <c r="B4" s="168"/>
      <c r="C4" s="169"/>
      <c r="D4" s="160"/>
      <c r="E4" s="161"/>
      <c r="F4" s="162"/>
      <c r="G4" s="163"/>
      <c r="H4" s="164"/>
      <c r="I4" s="163"/>
      <c r="J4" s="164"/>
      <c r="K4" s="163"/>
      <c r="L4" s="164"/>
      <c r="M4" s="11"/>
      <c r="N4" s="39"/>
      <c r="Q4" s="15" t="str">
        <f>+CONCATENATE(E2,K2)</f>
        <v/>
      </c>
      <c r="R4" s="15">
        <f>+L2</f>
        <v>0</v>
      </c>
      <c r="S4" s="16"/>
      <c r="T4" s="15">
        <f>+E2</f>
        <v>0</v>
      </c>
      <c r="U4" s="26" t="str">
        <f>IFERROR(LEFT(K2,FIND("*",K2)-1),"-")</f>
        <v>-</v>
      </c>
      <c r="V4" s="26" t="str">
        <f>IFERROR(RIGHT(K2,LEN(K2)-FIND("*",K2)),"-")</f>
        <v>-</v>
      </c>
      <c r="W4" s="27" t="str">
        <f t="shared" si="0"/>
        <v>-</v>
      </c>
      <c r="X4" s="27" t="str">
        <f>IFERROR(W4*L2,"-")</f>
        <v>-</v>
      </c>
      <c r="Z4" s="94" t="s">
        <v>81</v>
      </c>
    </row>
    <row r="5" spans="1:26" ht="6.95" customHeight="1" x14ac:dyDescent="0.3">
      <c r="A5" s="13"/>
      <c r="B5" s="168"/>
      <c r="C5" s="169"/>
      <c r="D5" s="160" t="s">
        <v>39</v>
      </c>
      <c r="E5" s="161"/>
      <c r="F5" s="162" t="s">
        <v>40</v>
      </c>
      <c r="G5" s="163"/>
      <c r="H5" s="164"/>
      <c r="I5" s="163"/>
      <c r="J5" s="164"/>
      <c r="K5" s="163"/>
      <c r="L5" s="164"/>
      <c r="M5" s="11"/>
      <c r="N5" s="39"/>
      <c r="Q5" s="15" t="str">
        <f>+CONCATENATE(E5,G5)</f>
        <v/>
      </c>
      <c r="R5" s="15">
        <f>+H5</f>
        <v>0</v>
      </c>
      <c r="S5" s="16"/>
      <c r="T5" s="15">
        <f>+E5</f>
        <v>0</v>
      </c>
      <c r="U5" s="26" t="str">
        <f t="shared" ref="U5:U8" si="1">IFERROR(LEFT(G5,FIND("*",G5)-1),"-")</f>
        <v>-</v>
      </c>
      <c r="V5" s="26" t="str">
        <f t="shared" ref="V5:V8" si="2">IFERROR(RIGHT(G5,LEN(G5)-FIND("*",G5)),"-")</f>
        <v>-</v>
      </c>
      <c r="W5" s="27" t="str">
        <f t="shared" si="0"/>
        <v>-</v>
      </c>
      <c r="X5" s="27" t="str">
        <f>IFERROR(W5*H5,"-")</f>
        <v>-</v>
      </c>
      <c r="Z5" s="94" t="s">
        <v>81</v>
      </c>
    </row>
    <row r="6" spans="1:26" ht="6.95" customHeight="1" x14ac:dyDescent="0.3">
      <c r="A6" s="10"/>
      <c r="B6" s="168"/>
      <c r="C6" s="169"/>
      <c r="D6" s="160"/>
      <c r="E6" s="161"/>
      <c r="F6" s="162"/>
      <c r="G6" s="163"/>
      <c r="H6" s="164"/>
      <c r="I6" s="163"/>
      <c r="J6" s="164"/>
      <c r="K6" s="163"/>
      <c r="L6" s="164"/>
      <c r="M6" s="11"/>
      <c r="N6" s="39"/>
      <c r="Q6" s="15" t="str">
        <f>+CONCATENATE(E5,I5)</f>
        <v/>
      </c>
      <c r="R6" s="15">
        <f>+J5</f>
        <v>0</v>
      </c>
      <c r="S6" s="16"/>
      <c r="T6" s="15">
        <f>+E5</f>
        <v>0</v>
      </c>
      <c r="U6" s="26" t="str">
        <f>IFERROR(LEFT(I5,FIND("*",I5)-1),"-")</f>
        <v>-</v>
      </c>
      <c r="V6" s="26" t="str">
        <f>IFERROR(RIGHT(I5,LEN(I5)-FIND("*",I5)),"-")</f>
        <v>-</v>
      </c>
      <c r="W6" s="27" t="str">
        <f t="shared" si="0"/>
        <v>-</v>
      </c>
      <c r="X6" s="27" t="str">
        <f>IFERROR(W6*J5,"-")</f>
        <v>-</v>
      </c>
      <c r="Z6" s="94" t="s">
        <v>81</v>
      </c>
    </row>
    <row r="7" spans="1:26" ht="6.95" customHeight="1" x14ac:dyDescent="0.3">
      <c r="A7" s="10"/>
      <c r="B7" s="168"/>
      <c r="C7" s="169"/>
      <c r="D7" s="160"/>
      <c r="E7" s="161"/>
      <c r="F7" s="162"/>
      <c r="G7" s="163"/>
      <c r="H7" s="164"/>
      <c r="I7" s="163"/>
      <c r="J7" s="164"/>
      <c r="K7" s="163"/>
      <c r="L7" s="164"/>
      <c r="M7" s="11"/>
      <c r="N7" s="39"/>
      <c r="Q7" s="15" t="str">
        <f>+CONCATENATE(E5,K5)</f>
        <v/>
      </c>
      <c r="R7" s="15">
        <f>+L5</f>
        <v>0</v>
      </c>
      <c r="S7" s="16"/>
      <c r="T7" s="15">
        <f>+E5</f>
        <v>0</v>
      </c>
      <c r="U7" s="26" t="str">
        <f>IFERROR(LEFT(K5,FIND("*",K5)-1),"-")</f>
        <v>-</v>
      </c>
      <c r="V7" s="26" t="str">
        <f>IFERROR(RIGHT(K5,LEN(K5)-FIND("*",K5)),"-")</f>
        <v>-</v>
      </c>
      <c r="W7" s="27" t="str">
        <f t="shared" si="0"/>
        <v>-</v>
      </c>
      <c r="X7" s="27" t="str">
        <f>IFERROR(W7*L5,"-")</f>
        <v>-</v>
      </c>
      <c r="Z7" s="94" t="s">
        <v>81</v>
      </c>
    </row>
    <row r="8" spans="1:26" ht="6.95" customHeight="1" x14ac:dyDescent="0.3">
      <c r="A8" s="13"/>
      <c r="B8" s="168"/>
      <c r="C8" s="169"/>
      <c r="D8" s="160" t="s">
        <v>39</v>
      </c>
      <c r="E8" s="161"/>
      <c r="F8" s="162" t="s">
        <v>40</v>
      </c>
      <c r="G8" s="163"/>
      <c r="H8" s="164"/>
      <c r="I8" s="163"/>
      <c r="J8" s="164"/>
      <c r="K8" s="163"/>
      <c r="L8" s="164"/>
      <c r="M8" s="11"/>
      <c r="N8" s="39"/>
      <c r="Q8" s="15" t="str">
        <f>+CONCATENATE(E8,G8)</f>
        <v/>
      </c>
      <c r="R8" s="15">
        <f>+H8</f>
        <v>0</v>
      </c>
      <c r="S8" s="16"/>
      <c r="T8" s="15">
        <f>+E8</f>
        <v>0</v>
      </c>
      <c r="U8" s="26" t="str">
        <f t="shared" si="1"/>
        <v>-</v>
      </c>
      <c r="V8" s="26" t="str">
        <f t="shared" si="2"/>
        <v>-</v>
      </c>
      <c r="W8" s="27" t="str">
        <f t="shared" si="0"/>
        <v>-</v>
      </c>
      <c r="X8" s="27" t="str">
        <f>IFERROR(W8*H8,"-")</f>
        <v>-</v>
      </c>
      <c r="Z8" s="94" t="s">
        <v>81</v>
      </c>
    </row>
    <row r="9" spans="1:26" ht="6.95" customHeight="1" x14ac:dyDescent="0.3">
      <c r="A9" s="10"/>
      <c r="B9" s="168"/>
      <c r="C9" s="169"/>
      <c r="D9" s="160"/>
      <c r="E9" s="161"/>
      <c r="F9" s="162"/>
      <c r="G9" s="163"/>
      <c r="H9" s="164"/>
      <c r="I9" s="163"/>
      <c r="J9" s="164"/>
      <c r="K9" s="163"/>
      <c r="L9" s="164"/>
      <c r="M9" s="11"/>
      <c r="N9" s="39"/>
      <c r="Q9" s="15" t="str">
        <f>+CONCATENATE(E8,I8)</f>
        <v/>
      </c>
      <c r="R9" s="15">
        <f>+J8</f>
        <v>0</v>
      </c>
      <c r="S9" s="16"/>
      <c r="T9" s="15">
        <f>+E8</f>
        <v>0</v>
      </c>
      <c r="U9" s="26" t="str">
        <f>IFERROR(LEFT(I8,FIND("*",I8)-1),"-")</f>
        <v>-</v>
      </c>
      <c r="V9" s="26" t="str">
        <f>IFERROR(RIGHT(I8,LEN(I8)-FIND("*",I8)),"-")</f>
        <v>-</v>
      </c>
      <c r="W9" s="27" t="str">
        <f t="shared" si="0"/>
        <v>-</v>
      </c>
      <c r="X9" s="27" t="str">
        <f t="shared" ref="X9" si="3">IFERROR(W9*J8,"-")</f>
        <v>-</v>
      </c>
      <c r="Z9" s="94" t="s">
        <v>81</v>
      </c>
    </row>
    <row r="10" spans="1:26" ht="6.95" customHeight="1" x14ac:dyDescent="0.3">
      <c r="A10" s="10"/>
      <c r="B10" s="168"/>
      <c r="C10" s="169"/>
      <c r="D10" s="160"/>
      <c r="E10" s="161"/>
      <c r="F10" s="162"/>
      <c r="G10" s="163"/>
      <c r="H10" s="164"/>
      <c r="I10" s="163"/>
      <c r="J10" s="164"/>
      <c r="K10" s="163"/>
      <c r="L10" s="164"/>
      <c r="M10" s="11"/>
      <c r="N10" s="39"/>
      <c r="Q10" s="15" t="str">
        <f>+CONCATENATE(E8,K8)</f>
        <v/>
      </c>
      <c r="R10" s="15">
        <f>+L8</f>
        <v>0</v>
      </c>
      <c r="S10" s="16"/>
      <c r="T10" s="15">
        <f>+E8</f>
        <v>0</v>
      </c>
      <c r="U10" s="26" t="str">
        <f>IFERROR(LEFT(K8,FIND("*",K8)-1),"-")</f>
        <v>-</v>
      </c>
      <c r="V10" s="26" t="str">
        <f>IFERROR(RIGHT(K8,LEN(K8)-FIND("*",K8)),"-")</f>
        <v>-</v>
      </c>
      <c r="W10" s="27" t="str">
        <f t="shared" si="0"/>
        <v>-</v>
      </c>
      <c r="X10" s="27" t="str">
        <f>IFERROR(W10*L8,"-")</f>
        <v>-</v>
      </c>
      <c r="Z10" s="94" t="s">
        <v>81</v>
      </c>
    </row>
    <row r="11" spans="1:26" ht="21" customHeight="1" thickBot="1" x14ac:dyDescent="0.35">
      <c r="A11" s="10"/>
      <c r="B11" s="170"/>
      <c r="C11" s="171"/>
      <c r="D11" s="172" t="s">
        <v>43</v>
      </c>
      <c r="E11" s="173"/>
      <c r="F11" s="173"/>
      <c r="G11" s="174"/>
      <c r="H11" s="174"/>
      <c r="I11" s="174"/>
      <c r="J11" s="174"/>
      <c r="K11" s="174"/>
      <c r="L11" s="174"/>
      <c r="M11" s="12"/>
      <c r="N11" s="40"/>
      <c r="Z11" s="95" t="s">
        <v>81</v>
      </c>
    </row>
    <row r="12" spans="1:26" ht="9.9499999999999993" customHeight="1" thickBot="1" x14ac:dyDescent="0.35">
      <c r="A12" s="6"/>
      <c r="B12" s="14"/>
      <c r="C12" s="119"/>
      <c r="D12" s="58"/>
      <c r="E12" s="17"/>
      <c r="F12" s="58"/>
      <c r="G12" s="19"/>
      <c r="H12" s="19"/>
      <c r="I12" s="19"/>
      <c r="J12" s="19"/>
      <c r="K12" s="19"/>
      <c r="L12" s="19"/>
      <c r="M12" s="14"/>
      <c r="N12" s="39"/>
      <c r="Q12" s="1"/>
      <c r="R12" s="1"/>
      <c r="S12" s="1"/>
      <c r="T12" s="1"/>
      <c r="U12" s="24"/>
      <c r="V12" s="24"/>
      <c r="W12" s="1"/>
      <c r="X12" s="1"/>
      <c r="Z12" s="94" t="s">
        <v>81</v>
      </c>
    </row>
    <row r="13" spans="1:26" ht="6.95" customHeight="1" x14ac:dyDescent="0.3">
      <c r="A13" s="165">
        <f>+A2+1</f>
        <v>2</v>
      </c>
      <c r="B13" s="166"/>
      <c r="C13" s="167"/>
      <c r="D13" s="160" t="s">
        <v>39</v>
      </c>
      <c r="E13" s="161"/>
      <c r="F13" s="162" t="s">
        <v>40</v>
      </c>
      <c r="G13" s="163"/>
      <c r="H13" s="164"/>
      <c r="I13" s="163"/>
      <c r="J13" s="164"/>
      <c r="K13" s="163"/>
      <c r="L13" s="164"/>
      <c r="M13" s="11"/>
      <c r="N13" s="39"/>
      <c r="Q13" s="15" t="str">
        <f>+CONCATENATE(E13,G13)</f>
        <v/>
      </c>
      <c r="R13" s="15">
        <f>+H13</f>
        <v>0</v>
      </c>
      <c r="S13" s="16"/>
      <c r="T13" s="15">
        <f>+E13</f>
        <v>0</v>
      </c>
      <c r="U13" s="26" t="str">
        <f>IFERROR(LEFT(G13,FIND("*",G13)-1),"-")</f>
        <v>-</v>
      </c>
      <c r="V13" s="26" t="str">
        <f>IFERROR(RIGHT(G13,LEN(G13)-FIND("*",G13)),"-")</f>
        <v>-</v>
      </c>
      <c r="W13" s="27" t="str">
        <f>IFERROR((U13+V13)*2/1000,"-")</f>
        <v>-</v>
      </c>
      <c r="X13" s="27" t="str">
        <f>IFERROR(W13*H13,"-")</f>
        <v>-</v>
      </c>
      <c r="Z13" s="94" t="s">
        <v>81</v>
      </c>
    </row>
    <row r="14" spans="1:26" ht="6.95" customHeight="1" x14ac:dyDescent="0.3">
      <c r="A14" s="165"/>
      <c r="B14" s="168"/>
      <c r="C14" s="169"/>
      <c r="D14" s="160"/>
      <c r="E14" s="161"/>
      <c r="F14" s="162"/>
      <c r="G14" s="163"/>
      <c r="H14" s="164"/>
      <c r="I14" s="163"/>
      <c r="J14" s="164"/>
      <c r="K14" s="163"/>
      <c r="L14" s="164"/>
      <c r="M14" s="11"/>
      <c r="N14" s="39"/>
      <c r="Q14" s="15" t="str">
        <f>+CONCATENATE(E13,I13)</f>
        <v/>
      </c>
      <c r="R14" s="15">
        <f>+J13</f>
        <v>0</v>
      </c>
      <c r="S14" s="16"/>
      <c r="T14" s="15">
        <f>+E13</f>
        <v>0</v>
      </c>
      <c r="U14" s="26" t="str">
        <f>IFERROR(LEFT(I13,FIND("*",I13)-1),"-")</f>
        <v>-</v>
      </c>
      <c r="V14" s="26" t="str">
        <f>IFERROR(RIGHT(I13,LEN(I13)-FIND("*",I13)),"-")</f>
        <v>-</v>
      </c>
      <c r="W14" s="27" t="str">
        <f t="shared" ref="W14:W21" si="4">IFERROR((U14+V14)*2/1000,"-")</f>
        <v>-</v>
      </c>
      <c r="X14" s="27" t="str">
        <f>IFERROR(W14*J13,"-")</f>
        <v>-</v>
      </c>
      <c r="Z14" s="94" t="s">
        <v>81</v>
      </c>
    </row>
    <row r="15" spans="1:26" ht="6.95" customHeight="1" x14ac:dyDescent="0.3">
      <c r="A15" s="165"/>
      <c r="B15" s="168"/>
      <c r="C15" s="169"/>
      <c r="D15" s="160"/>
      <c r="E15" s="161"/>
      <c r="F15" s="162"/>
      <c r="G15" s="163"/>
      <c r="H15" s="164"/>
      <c r="I15" s="163"/>
      <c r="J15" s="164"/>
      <c r="K15" s="163"/>
      <c r="L15" s="164"/>
      <c r="M15" s="11"/>
      <c r="N15" s="39"/>
      <c r="Q15" s="15" t="str">
        <f>+CONCATENATE(E13,K13)</f>
        <v/>
      </c>
      <c r="R15" s="15">
        <f>+L13</f>
        <v>0</v>
      </c>
      <c r="S15" s="16"/>
      <c r="T15" s="15">
        <f>+E13</f>
        <v>0</v>
      </c>
      <c r="U15" s="26" t="str">
        <f>IFERROR(LEFT(K13,FIND("*",K13)-1),"-")</f>
        <v>-</v>
      </c>
      <c r="V15" s="26" t="str">
        <f>IFERROR(RIGHT(K13,LEN(K13)-FIND("*",K13)),"-")</f>
        <v>-</v>
      </c>
      <c r="W15" s="27" t="str">
        <f t="shared" si="4"/>
        <v>-</v>
      </c>
      <c r="X15" s="27" t="str">
        <f>IFERROR(W15*L13,"-")</f>
        <v>-</v>
      </c>
      <c r="Z15" s="94" t="s">
        <v>81</v>
      </c>
    </row>
    <row r="16" spans="1:26" ht="6.95" customHeight="1" x14ac:dyDescent="0.3">
      <c r="A16" s="13"/>
      <c r="B16" s="168"/>
      <c r="C16" s="169"/>
      <c r="D16" s="160" t="s">
        <v>39</v>
      </c>
      <c r="E16" s="161"/>
      <c r="F16" s="162" t="s">
        <v>40</v>
      </c>
      <c r="G16" s="163"/>
      <c r="H16" s="164"/>
      <c r="I16" s="163"/>
      <c r="J16" s="164"/>
      <c r="K16" s="163"/>
      <c r="L16" s="164"/>
      <c r="M16" s="11"/>
      <c r="N16" s="39"/>
      <c r="Q16" s="15" t="str">
        <f>+CONCATENATE(E16,G16)</f>
        <v/>
      </c>
      <c r="R16" s="15">
        <f>+H16</f>
        <v>0</v>
      </c>
      <c r="S16" s="16"/>
      <c r="T16" s="15">
        <f>+E16</f>
        <v>0</v>
      </c>
      <c r="U16" s="26" t="str">
        <f t="shared" ref="U16" si="5">IFERROR(LEFT(G16,FIND("*",G16)-1),"-")</f>
        <v>-</v>
      </c>
      <c r="V16" s="26" t="str">
        <f t="shared" ref="V16" si="6">IFERROR(RIGHT(G16,LEN(G16)-FIND("*",G16)),"-")</f>
        <v>-</v>
      </c>
      <c r="W16" s="27" t="str">
        <f t="shared" si="4"/>
        <v>-</v>
      </c>
      <c r="X16" s="27" t="str">
        <f>IFERROR(W16*H16,"-")</f>
        <v>-</v>
      </c>
      <c r="Z16" s="94" t="s">
        <v>81</v>
      </c>
    </row>
    <row r="17" spans="1:26" ht="6.95" customHeight="1" x14ac:dyDescent="0.3">
      <c r="A17" s="10"/>
      <c r="B17" s="168"/>
      <c r="C17" s="169"/>
      <c r="D17" s="160"/>
      <c r="E17" s="161"/>
      <c r="F17" s="162"/>
      <c r="G17" s="163"/>
      <c r="H17" s="164"/>
      <c r="I17" s="163"/>
      <c r="J17" s="164"/>
      <c r="K17" s="163"/>
      <c r="L17" s="164"/>
      <c r="M17" s="11"/>
      <c r="N17" s="39"/>
      <c r="Q17" s="15" t="str">
        <f>+CONCATENATE(E16,I16)</f>
        <v/>
      </c>
      <c r="R17" s="15">
        <f>+J16</f>
        <v>0</v>
      </c>
      <c r="S17" s="16"/>
      <c r="T17" s="15">
        <f>+E16</f>
        <v>0</v>
      </c>
      <c r="U17" s="26" t="str">
        <f>IFERROR(LEFT(I16,FIND("*",I16)-1),"-")</f>
        <v>-</v>
      </c>
      <c r="V17" s="26" t="str">
        <f>IFERROR(RIGHT(I16,LEN(I16)-FIND("*",I16)),"-")</f>
        <v>-</v>
      </c>
      <c r="W17" s="27" t="str">
        <f t="shared" si="4"/>
        <v>-</v>
      </c>
      <c r="X17" s="27" t="str">
        <f>IFERROR(W17*J16,"-")</f>
        <v>-</v>
      </c>
      <c r="Z17" s="94" t="s">
        <v>81</v>
      </c>
    </row>
    <row r="18" spans="1:26" ht="6.95" customHeight="1" x14ac:dyDescent="0.3">
      <c r="A18" s="10"/>
      <c r="B18" s="168"/>
      <c r="C18" s="169"/>
      <c r="D18" s="160"/>
      <c r="E18" s="161"/>
      <c r="F18" s="162"/>
      <c r="G18" s="163"/>
      <c r="H18" s="164"/>
      <c r="I18" s="163"/>
      <c r="J18" s="164"/>
      <c r="K18" s="163"/>
      <c r="L18" s="164"/>
      <c r="M18" s="11"/>
      <c r="N18" s="39"/>
      <c r="Q18" s="15" t="str">
        <f>+CONCATENATE(E16,K16)</f>
        <v/>
      </c>
      <c r="R18" s="15">
        <f>+L16</f>
        <v>0</v>
      </c>
      <c r="S18" s="16"/>
      <c r="T18" s="15">
        <f>+E16</f>
        <v>0</v>
      </c>
      <c r="U18" s="26" t="str">
        <f>IFERROR(LEFT(K16,FIND("*",K16)-1),"-")</f>
        <v>-</v>
      </c>
      <c r="V18" s="26" t="str">
        <f>IFERROR(RIGHT(K16,LEN(K16)-FIND("*",K16)),"-")</f>
        <v>-</v>
      </c>
      <c r="W18" s="27" t="str">
        <f t="shared" si="4"/>
        <v>-</v>
      </c>
      <c r="X18" s="27" t="str">
        <f>IFERROR(W18*L16,"-")</f>
        <v>-</v>
      </c>
      <c r="Z18" s="94" t="s">
        <v>81</v>
      </c>
    </row>
    <row r="19" spans="1:26" ht="6.95" customHeight="1" x14ac:dyDescent="0.3">
      <c r="A19" s="13"/>
      <c r="B19" s="168"/>
      <c r="C19" s="169"/>
      <c r="D19" s="160" t="s">
        <v>39</v>
      </c>
      <c r="E19" s="161"/>
      <c r="F19" s="162" t="s">
        <v>40</v>
      </c>
      <c r="G19" s="163"/>
      <c r="H19" s="164"/>
      <c r="I19" s="163"/>
      <c r="J19" s="164"/>
      <c r="K19" s="163"/>
      <c r="L19" s="164"/>
      <c r="M19" s="11"/>
      <c r="N19" s="39"/>
      <c r="Q19" s="15" t="str">
        <f>+CONCATENATE(E19,G19)</f>
        <v/>
      </c>
      <c r="R19" s="15">
        <f>+H19</f>
        <v>0</v>
      </c>
      <c r="S19" s="16"/>
      <c r="T19" s="15">
        <f>+E19</f>
        <v>0</v>
      </c>
      <c r="U19" s="26" t="str">
        <f t="shared" ref="U19" si="7">IFERROR(LEFT(G19,FIND("*",G19)-1),"-")</f>
        <v>-</v>
      </c>
      <c r="V19" s="26" t="str">
        <f t="shared" ref="V19" si="8">IFERROR(RIGHT(G19,LEN(G19)-FIND("*",G19)),"-")</f>
        <v>-</v>
      </c>
      <c r="W19" s="27" t="str">
        <f t="shared" si="4"/>
        <v>-</v>
      </c>
      <c r="X19" s="27" t="str">
        <f>IFERROR(W19*H19,"-")</f>
        <v>-</v>
      </c>
      <c r="Z19" s="94" t="s">
        <v>81</v>
      </c>
    </row>
    <row r="20" spans="1:26" ht="6.95" customHeight="1" x14ac:dyDescent="0.3">
      <c r="A20" s="10"/>
      <c r="B20" s="168"/>
      <c r="C20" s="169"/>
      <c r="D20" s="160"/>
      <c r="E20" s="161"/>
      <c r="F20" s="162"/>
      <c r="G20" s="163"/>
      <c r="H20" s="164"/>
      <c r="I20" s="163"/>
      <c r="J20" s="164"/>
      <c r="K20" s="163"/>
      <c r="L20" s="164"/>
      <c r="M20" s="11"/>
      <c r="N20" s="39"/>
      <c r="Q20" s="15" t="str">
        <f>+CONCATENATE(E19,I19)</f>
        <v/>
      </c>
      <c r="R20" s="15">
        <f>+J19</f>
        <v>0</v>
      </c>
      <c r="S20" s="16"/>
      <c r="T20" s="15">
        <f>+E19</f>
        <v>0</v>
      </c>
      <c r="U20" s="26" t="str">
        <f>IFERROR(LEFT(I19,FIND("*",I19)-1),"-")</f>
        <v>-</v>
      </c>
      <c r="V20" s="26" t="str">
        <f>IFERROR(RIGHT(I19,LEN(I19)-FIND("*",I19)),"-")</f>
        <v>-</v>
      </c>
      <c r="W20" s="27" t="str">
        <f t="shared" si="4"/>
        <v>-</v>
      </c>
      <c r="X20" s="27" t="str">
        <f t="shared" ref="X20" si="9">IFERROR(W20*J19,"-")</f>
        <v>-</v>
      </c>
      <c r="Z20" s="94" t="s">
        <v>81</v>
      </c>
    </row>
    <row r="21" spans="1:26" ht="6.95" customHeight="1" x14ac:dyDescent="0.3">
      <c r="A21" s="10"/>
      <c r="B21" s="168"/>
      <c r="C21" s="169"/>
      <c r="D21" s="160"/>
      <c r="E21" s="161"/>
      <c r="F21" s="162"/>
      <c r="G21" s="163"/>
      <c r="H21" s="164"/>
      <c r="I21" s="163"/>
      <c r="J21" s="164"/>
      <c r="K21" s="163"/>
      <c r="L21" s="164"/>
      <c r="M21" s="11"/>
      <c r="N21" s="39"/>
      <c r="Q21" s="15" t="str">
        <f>+CONCATENATE(E19,K19)</f>
        <v/>
      </c>
      <c r="R21" s="15">
        <f>+L19</f>
        <v>0</v>
      </c>
      <c r="S21" s="16"/>
      <c r="T21" s="15">
        <f>+E19</f>
        <v>0</v>
      </c>
      <c r="U21" s="26" t="str">
        <f>IFERROR(LEFT(K19,FIND("*",K19)-1),"-")</f>
        <v>-</v>
      </c>
      <c r="V21" s="26" t="str">
        <f>IFERROR(RIGHT(K19,LEN(K19)-FIND("*",K19)),"-")</f>
        <v>-</v>
      </c>
      <c r="W21" s="27" t="str">
        <f t="shared" si="4"/>
        <v>-</v>
      </c>
      <c r="X21" s="27" t="str">
        <f>IFERROR(W21*L19,"-")</f>
        <v>-</v>
      </c>
      <c r="Z21" s="94" t="s">
        <v>81</v>
      </c>
    </row>
    <row r="22" spans="1:26" ht="21" customHeight="1" thickBot="1" x14ac:dyDescent="0.35">
      <c r="A22" s="10"/>
      <c r="B22" s="170"/>
      <c r="C22" s="171"/>
      <c r="D22" s="172" t="s">
        <v>43</v>
      </c>
      <c r="E22" s="173"/>
      <c r="F22" s="173"/>
      <c r="G22" s="174"/>
      <c r="H22" s="174"/>
      <c r="I22" s="174"/>
      <c r="J22" s="174"/>
      <c r="K22" s="174"/>
      <c r="L22" s="174"/>
      <c r="M22" s="12"/>
      <c r="N22" s="40"/>
      <c r="Z22" s="95" t="s">
        <v>81</v>
      </c>
    </row>
    <row r="23" spans="1:26" ht="9.9499999999999993" customHeight="1" thickBot="1" x14ac:dyDescent="0.35">
      <c r="A23" s="6"/>
      <c r="B23" s="14"/>
      <c r="C23" s="119"/>
      <c r="D23" s="58"/>
      <c r="E23" s="17"/>
      <c r="F23" s="58"/>
      <c r="G23" s="19"/>
      <c r="H23" s="19"/>
      <c r="I23" s="19"/>
      <c r="J23" s="19"/>
      <c r="K23" s="19"/>
      <c r="L23" s="19"/>
      <c r="M23" s="14"/>
      <c r="N23" s="39"/>
      <c r="Q23" s="1"/>
      <c r="R23" s="1"/>
      <c r="S23" s="1"/>
      <c r="T23" s="1"/>
      <c r="U23" s="24"/>
      <c r="V23" s="24"/>
      <c r="W23" s="1"/>
      <c r="X23" s="1"/>
      <c r="Z23" s="94" t="s">
        <v>81</v>
      </c>
    </row>
    <row r="24" spans="1:26" ht="6.95" customHeight="1" x14ac:dyDescent="0.3">
      <c r="A24" s="165">
        <f>+A13+1</f>
        <v>3</v>
      </c>
      <c r="B24" s="166"/>
      <c r="C24" s="167"/>
      <c r="D24" s="160" t="s">
        <v>39</v>
      </c>
      <c r="E24" s="161"/>
      <c r="F24" s="162" t="s">
        <v>40</v>
      </c>
      <c r="G24" s="163"/>
      <c r="H24" s="164"/>
      <c r="I24" s="163"/>
      <c r="J24" s="164"/>
      <c r="K24" s="163"/>
      <c r="L24" s="164"/>
      <c r="M24" s="11"/>
      <c r="N24" s="39"/>
      <c r="Q24" s="15" t="str">
        <f>+CONCATENATE(E24,G24)</f>
        <v/>
      </c>
      <c r="R24" s="15">
        <f>+H24</f>
        <v>0</v>
      </c>
      <c r="S24" s="16"/>
      <c r="T24" s="15">
        <f>+E24</f>
        <v>0</v>
      </c>
      <c r="U24" s="26" t="str">
        <f>IFERROR(LEFT(G24,FIND("*",G24)-1),"-")</f>
        <v>-</v>
      </c>
      <c r="V24" s="26" t="str">
        <f>IFERROR(RIGHT(G24,LEN(G24)-FIND("*",G24)),"-")</f>
        <v>-</v>
      </c>
      <c r="W24" s="27" t="str">
        <f>IFERROR((U24+V24)*2/1000,"-")</f>
        <v>-</v>
      </c>
      <c r="X24" s="27" t="str">
        <f>IFERROR(W24*H24,"-")</f>
        <v>-</v>
      </c>
      <c r="Z24" s="94" t="s">
        <v>81</v>
      </c>
    </row>
    <row r="25" spans="1:26" ht="6.95" customHeight="1" x14ac:dyDescent="0.3">
      <c r="A25" s="165"/>
      <c r="B25" s="168"/>
      <c r="C25" s="169"/>
      <c r="D25" s="160"/>
      <c r="E25" s="161"/>
      <c r="F25" s="162"/>
      <c r="G25" s="163"/>
      <c r="H25" s="164"/>
      <c r="I25" s="163"/>
      <c r="J25" s="164"/>
      <c r="K25" s="163"/>
      <c r="L25" s="164"/>
      <c r="M25" s="11"/>
      <c r="N25" s="39"/>
      <c r="Q25" s="15" t="str">
        <f>+CONCATENATE(E24,I24)</f>
        <v/>
      </c>
      <c r="R25" s="15">
        <f>+J24</f>
        <v>0</v>
      </c>
      <c r="S25" s="16"/>
      <c r="T25" s="15">
        <f>+E24</f>
        <v>0</v>
      </c>
      <c r="U25" s="26" t="str">
        <f>IFERROR(LEFT(I24,FIND("*",I24)-1),"-")</f>
        <v>-</v>
      </c>
      <c r="V25" s="26" t="str">
        <f>IFERROR(RIGHT(I24,LEN(I24)-FIND("*",I24)),"-")</f>
        <v>-</v>
      </c>
      <c r="W25" s="27" t="str">
        <f t="shared" ref="W25:W32" si="10">IFERROR((U25+V25)*2/1000,"-")</f>
        <v>-</v>
      </c>
      <c r="X25" s="27" t="str">
        <f>IFERROR(W25*J24,"-")</f>
        <v>-</v>
      </c>
      <c r="Z25" s="94" t="s">
        <v>81</v>
      </c>
    </row>
    <row r="26" spans="1:26" ht="6.95" customHeight="1" x14ac:dyDescent="0.3">
      <c r="A26" s="165"/>
      <c r="B26" s="168"/>
      <c r="C26" s="169"/>
      <c r="D26" s="160"/>
      <c r="E26" s="161"/>
      <c r="F26" s="162"/>
      <c r="G26" s="163"/>
      <c r="H26" s="164"/>
      <c r="I26" s="163"/>
      <c r="J26" s="164"/>
      <c r="K26" s="163"/>
      <c r="L26" s="164"/>
      <c r="M26" s="11"/>
      <c r="N26" s="39"/>
      <c r="Q26" s="15" t="str">
        <f>+CONCATENATE(E24,K24)</f>
        <v/>
      </c>
      <c r="R26" s="15">
        <f>+L24</f>
        <v>0</v>
      </c>
      <c r="S26" s="16"/>
      <c r="T26" s="15">
        <f>+E24</f>
        <v>0</v>
      </c>
      <c r="U26" s="26" t="str">
        <f>IFERROR(LEFT(K24,FIND("*",K24)-1),"-")</f>
        <v>-</v>
      </c>
      <c r="V26" s="26" t="str">
        <f>IFERROR(RIGHT(K24,LEN(K24)-FIND("*",K24)),"-")</f>
        <v>-</v>
      </c>
      <c r="W26" s="27" t="str">
        <f t="shared" si="10"/>
        <v>-</v>
      </c>
      <c r="X26" s="27" t="str">
        <f>IFERROR(W26*L24,"-")</f>
        <v>-</v>
      </c>
      <c r="Z26" s="94" t="s">
        <v>81</v>
      </c>
    </row>
    <row r="27" spans="1:26" ht="6.95" customHeight="1" x14ac:dyDescent="0.3">
      <c r="A27" s="13"/>
      <c r="B27" s="168"/>
      <c r="C27" s="169"/>
      <c r="D27" s="160" t="s">
        <v>39</v>
      </c>
      <c r="E27" s="161"/>
      <c r="F27" s="162" t="s">
        <v>40</v>
      </c>
      <c r="G27" s="163"/>
      <c r="H27" s="164"/>
      <c r="I27" s="163"/>
      <c r="J27" s="164"/>
      <c r="K27" s="163"/>
      <c r="L27" s="164"/>
      <c r="M27" s="11"/>
      <c r="N27" s="39"/>
      <c r="Q27" s="15" t="str">
        <f>+CONCATENATE(E27,G27)</f>
        <v/>
      </c>
      <c r="R27" s="15">
        <f>+H27</f>
        <v>0</v>
      </c>
      <c r="S27" s="16"/>
      <c r="T27" s="15">
        <f>+E27</f>
        <v>0</v>
      </c>
      <c r="U27" s="26" t="str">
        <f t="shared" ref="U27" si="11">IFERROR(LEFT(G27,FIND("*",G27)-1),"-")</f>
        <v>-</v>
      </c>
      <c r="V27" s="26" t="str">
        <f t="shared" ref="V27" si="12">IFERROR(RIGHT(G27,LEN(G27)-FIND("*",G27)),"-")</f>
        <v>-</v>
      </c>
      <c r="W27" s="27" t="str">
        <f t="shared" si="10"/>
        <v>-</v>
      </c>
      <c r="X27" s="27" t="str">
        <f>IFERROR(W27*H27,"-")</f>
        <v>-</v>
      </c>
      <c r="Z27" s="94" t="s">
        <v>81</v>
      </c>
    </row>
    <row r="28" spans="1:26" ht="6.95" customHeight="1" x14ac:dyDescent="0.3">
      <c r="A28" s="10"/>
      <c r="B28" s="168"/>
      <c r="C28" s="169"/>
      <c r="D28" s="160"/>
      <c r="E28" s="161"/>
      <c r="F28" s="162"/>
      <c r="G28" s="163"/>
      <c r="H28" s="164"/>
      <c r="I28" s="163"/>
      <c r="J28" s="164"/>
      <c r="K28" s="163"/>
      <c r="L28" s="164"/>
      <c r="M28" s="11"/>
      <c r="N28" s="39"/>
      <c r="Q28" s="15" t="str">
        <f>+CONCATENATE(E27,I27)</f>
        <v/>
      </c>
      <c r="R28" s="15">
        <f>+J27</f>
        <v>0</v>
      </c>
      <c r="S28" s="16"/>
      <c r="T28" s="15">
        <f>+E27</f>
        <v>0</v>
      </c>
      <c r="U28" s="26" t="str">
        <f>IFERROR(LEFT(I27,FIND("*",I27)-1),"-")</f>
        <v>-</v>
      </c>
      <c r="V28" s="26" t="str">
        <f>IFERROR(RIGHT(I27,LEN(I27)-FIND("*",I27)),"-")</f>
        <v>-</v>
      </c>
      <c r="W28" s="27" t="str">
        <f t="shared" si="10"/>
        <v>-</v>
      </c>
      <c r="X28" s="27" t="str">
        <f>IFERROR(W28*J27,"-")</f>
        <v>-</v>
      </c>
      <c r="Z28" s="94" t="s">
        <v>81</v>
      </c>
    </row>
    <row r="29" spans="1:26" ht="6.95" customHeight="1" x14ac:dyDescent="0.3">
      <c r="A29" s="10"/>
      <c r="B29" s="168"/>
      <c r="C29" s="169"/>
      <c r="D29" s="160"/>
      <c r="E29" s="161"/>
      <c r="F29" s="162"/>
      <c r="G29" s="163"/>
      <c r="H29" s="164"/>
      <c r="I29" s="163"/>
      <c r="J29" s="164"/>
      <c r="K29" s="163"/>
      <c r="L29" s="164"/>
      <c r="M29" s="11"/>
      <c r="N29" s="39"/>
      <c r="Q29" s="15" t="str">
        <f>+CONCATENATE(E27,K27)</f>
        <v/>
      </c>
      <c r="R29" s="15">
        <f>+L27</f>
        <v>0</v>
      </c>
      <c r="S29" s="16"/>
      <c r="T29" s="15">
        <f>+E27</f>
        <v>0</v>
      </c>
      <c r="U29" s="26" t="str">
        <f>IFERROR(LEFT(K27,FIND("*",K27)-1),"-")</f>
        <v>-</v>
      </c>
      <c r="V29" s="26" t="str">
        <f>IFERROR(RIGHT(K27,LEN(K27)-FIND("*",K27)),"-")</f>
        <v>-</v>
      </c>
      <c r="W29" s="27" t="str">
        <f t="shared" si="10"/>
        <v>-</v>
      </c>
      <c r="X29" s="27" t="str">
        <f>IFERROR(W29*L27,"-")</f>
        <v>-</v>
      </c>
      <c r="Z29" s="94" t="s">
        <v>81</v>
      </c>
    </row>
    <row r="30" spans="1:26" ht="6.95" customHeight="1" x14ac:dyDescent="0.3">
      <c r="A30" s="13"/>
      <c r="B30" s="168"/>
      <c r="C30" s="169"/>
      <c r="D30" s="160" t="s">
        <v>39</v>
      </c>
      <c r="E30" s="161"/>
      <c r="F30" s="162" t="s">
        <v>40</v>
      </c>
      <c r="G30" s="163"/>
      <c r="H30" s="164"/>
      <c r="I30" s="163"/>
      <c r="J30" s="164"/>
      <c r="K30" s="163"/>
      <c r="L30" s="164"/>
      <c r="M30" s="11"/>
      <c r="N30" s="39"/>
      <c r="Q30" s="15" t="str">
        <f>+CONCATENATE(E30,G30)</f>
        <v/>
      </c>
      <c r="R30" s="15">
        <f>+H30</f>
        <v>0</v>
      </c>
      <c r="S30" s="16"/>
      <c r="T30" s="15">
        <f>+E30</f>
        <v>0</v>
      </c>
      <c r="U30" s="26" t="str">
        <f t="shared" ref="U30" si="13">IFERROR(LEFT(G30,FIND("*",G30)-1),"-")</f>
        <v>-</v>
      </c>
      <c r="V30" s="26" t="str">
        <f t="shared" ref="V30" si="14">IFERROR(RIGHT(G30,LEN(G30)-FIND("*",G30)),"-")</f>
        <v>-</v>
      </c>
      <c r="W30" s="27" t="str">
        <f t="shared" si="10"/>
        <v>-</v>
      </c>
      <c r="X30" s="27" t="str">
        <f>IFERROR(W30*H30,"-")</f>
        <v>-</v>
      </c>
      <c r="Z30" s="94" t="s">
        <v>81</v>
      </c>
    </row>
    <row r="31" spans="1:26" ht="6.95" customHeight="1" x14ac:dyDescent="0.3">
      <c r="A31" s="10"/>
      <c r="B31" s="168"/>
      <c r="C31" s="169"/>
      <c r="D31" s="160"/>
      <c r="E31" s="161"/>
      <c r="F31" s="162"/>
      <c r="G31" s="163"/>
      <c r="H31" s="164"/>
      <c r="I31" s="163"/>
      <c r="J31" s="164"/>
      <c r="K31" s="163"/>
      <c r="L31" s="164"/>
      <c r="M31" s="11"/>
      <c r="N31" s="39"/>
      <c r="Q31" s="15" t="str">
        <f>+CONCATENATE(E30,I30)</f>
        <v/>
      </c>
      <c r="R31" s="15">
        <f>+J30</f>
        <v>0</v>
      </c>
      <c r="S31" s="16"/>
      <c r="T31" s="15">
        <f>+E30</f>
        <v>0</v>
      </c>
      <c r="U31" s="26" t="str">
        <f>IFERROR(LEFT(I30,FIND("*",I30)-1),"-")</f>
        <v>-</v>
      </c>
      <c r="V31" s="26" t="str">
        <f>IFERROR(RIGHT(I30,LEN(I30)-FIND("*",I30)),"-")</f>
        <v>-</v>
      </c>
      <c r="W31" s="27" t="str">
        <f t="shared" si="10"/>
        <v>-</v>
      </c>
      <c r="X31" s="27" t="str">
        <f t="shared" ref="X31" si="15">IFERROR(W31*J30,"-")</f>
        <v>-</v>
      </c>
      <c r="Z31" s="94" t="s">
        <v>81</v>
      </c>
    </row>
    <row r="32" spans="1:26" ht="6.95" customHeight="1" x14ac:dyDescent="0.3">
      <c r="A32" s="10"/>
      <c r="B32" s="168"/>
      <c r="C32" s="169"/>
      <c r="D32" s="160"/>
      <c r="E32" s="161"/>
      <c r="F32" s="162"/>
      <c r="G32" s="163"/>
      <c r="H32" s="164"/>
      <c r="I32" s="163"/>
      <c r="J32" s="164"/>
      <c r="K32" s="163"/>
      <c r="L32" s="164"/>
      <c r="M32" s="11"/>
      <c r="N32" s="39"/>
      <c r="Q32" s="15" t="str">
        <f>+CONCATENATE(E30,K30)</f>
        <v/>
      </c>
      <c r="R32" s="15">
        <f>+L30</f>
        <v>0</v>
      </c>
      <c r="S32" s="16"/>
      <c r="T32" s="15">
        <f>+E30</f>
        <v>0</v>
      </c>
      <c r="U32" s="26" t="str">
        <f>IFERROR(LEFT(K30,FIND("*",K30)-1),"-")</f>
        <v>-</v>
      </c>
      <c r="V32" s="26" t="str">
        <f>IFERROR(RIGHT(K30,LEN(K30)-FIND("*",K30)),"-")</f>
        <v>-</v>
      </c>
      <c r="W32" s="27" t="str">
        <f t="shared" si="10"/>
        <v>-</v>
      </c>
      <c r="X32" s="27" t="str">
        <f>IFERROR(W32*L30,"-")</f>
        <v>-</v>
      </c>
      <c r="Z32" s="94" t="s">
        <v>81</v>
      </c>
    </row>
    <row r="33" spans="1:26" ht="21" customHeight="1" thickBot="1" x14ac:dyDescent="0.35">
      <c r="A33" s="10"/>
      <c r="B33" s="170"/>
      <c r="C33" s="171"/>
      <c r="D33" s="172" t="s">
        <v>43</v>
      </c>
      <c r="E33" s="173"/>
      <c r="F33" s="173"/>
      <c r="G33" s="174"/>
      <c r="H33" s="174"/>
      <c r="I33" s="174"/>
      <c r="J33" s="174"/>
      <c r="K33" s="174"/>
      <c r="L33" s="174"/>
      <c r="M33" s="12"/>
      <c r="N33" s="40"/>
      <c r="Z33" s="95" t="s">
        <v>81</v>
      </c>
    </row>
    <row r="34" spans="1:26" ht="9.9499999999999993" customHeight="1" thickBot="1" x14ac:dyDescent="0.35">
      <c r="A34" s="6"/>
      <c r="B34" s="14"/>
      <c r="C34" s="119"/>
      <c r="D34" s="58"/>
      <c r="E34" s="17"/>
      <c r="F34" s="58"/>
      <c r="G34" s="19"/>
      <c r="H34" s="19"/>
      <c r="I34" s="19"/>
      <c r="J34" s="19"/>
      <c r="K34" s="19"/>
      <c r="L34" s="19"/>
      <c r="M34" s="14"/>
      <c r="N34" s="39"/>
      <c r="Q34" s="1"/>
      <c r="R34" s="1"/>
      <c r="S34" s="1"/>
      <c r="T34" s="1"/>
      <c r="U34" s="24"/>
      <c r="V34" s="24"/>
      <c r="W34" s="1"/>
      <c r="X34" s="1"/>
      <c r="Z34" s="94" t="s">
        <v>81</v>
      </c>
    </row>
    <row r="35" spans="1:26" ht="6.95" customHeight="1" x14ac:dyDescent="0.3">
      <c r="A35" s="165">
        <f>+A24+1</f>
        <v>4</v>
      </c>
      <c r="B35" s="166"/>
      <c r="C35" s="167"/>
      <c r="D35" s="160" t="s">
        <v>39</v>
      </c>
      <c r="E35" s="161"/>
      <c r="F35" s="162" t="s">
        <v>40</v>
      </c>
      <c r="G35" s="163"/>
      <c r="H35" s="164"/>
      <c r="I35" s="163"/>
      <c r="J35" s="164"/>
      <c r="K35" s="163"/>
      <c r="L35" s="164"/>
      <c r="M35" s="11"/>
      <c r="N35" s="39"/>
      <c r="Q35" s="15" t="str">
        <f>+CONCATENATE(E35,G35)</f>
        <v/>
      </c>
      <c r="R35" s="15">
        <f>+H35</f>
        <v>0</v>
      </c>
      <c r="S35" s="16"/>
      <c r="T35" s="15">
        <f>+E35</f>
        <v>0</v>
      </c>
      <c r="U35" s="26" t="str">
        <f>IFERROR(LEFT(G35,FIND("*",G35)-1),"-")</f>
        <v>-</v>
      </c>
      <c r="V35" s="26" t="str">
        <f>IFERROR(RIGHT(G35,LEN(G35)-FIND("*",G35)),"-")</f>
        <v>-</v>
      </c>
      <c r="W35" s="27" t="str">
        <f>IFERROR((U35+V35)*2/1000,"-")</f>
        <v>-</v>
      </c>
      <c r="X35" s="27" t="str">
        <f>IFERROR(W35*H35,"-")</f>
        <v>-</v>
      </c>
      <c r="Z35" s="94" t="s">
        <v>81</v>
      </c>
    </row>
    <row r="36" spans="1:26" ht="6.95" customHeight="1" x14ac:dyDescent="0.3">
      <c r="A36" s="165"/>
      <c r="B36" s="168"/>
      <c r="C36" s="169"/>
      <c r="D36" s="160"/>
      <c r="E36" s="161"/>
      <c r="F36" s="162"/>
      <c r="G36" s="163"/>
      <c r="H36" s="164"/>
      <c r="I36" s="163"/>
      <c r="J36" s="164"/>
      <c r="K36" s="163"/>
      <c r="L36" s="164"/>
      <c r="M36" s="11"/>
      <c r="N36" s="39"/>
      <c r="Q36" s="15" t="str">
        <f>+CONCATENATE(E35,I35)</f>
        <v/>
      </c>
      <c r="R36" s="15">
        <f>+J35</f>
        <v>0</v>
      </c>
      <c r="S36" s="16"/>
      <c r="T36" s="15">
        <f>+E35</f>
        <v>0</v>
      </c>
      <c r="U36" s="26" t="str">
        <f>IFERROR(LEFT(I35,FIND("*",I35)-1),"-")</f>
        <v>-</v>
      </c>
      <c r="V36" s="26" t="str">
        <f>IFERROR(RIGHT(I35,LEN(I35)-FIND("*",I35)),"-")</f>
        <v>-</v>
      </c>
      <c r="W36" s="27" t="str">
        <f t="shared" ref="W36:W43" si="16">IFERROR((U36+V36)*2/1000,"-")</f>
        <v>-</v>
      </c>
      <c r="X36" s="27" t="str">
        <f>IFERROR(W36*J35,"-")</f>
        <v>-</v>
      </c>
      <c r="Z36" s="94" t="s">
        <v>81</v>
      </c>
    </row>
    <row r="37" spans="1:26" ht="6.95" customHeight="1" x14ac:dyDescent="0.3">
      <c r="A37" s="165"/>
      <c r="B37" s="168"/>
      <c r="C37" s="169"/>
      <c r="D37" s="160"/>
      <c r="E37" s="161"/>
      <c r="F37" s="162"/>
      <c r="G37" s="163"/>
      <c r="H37" s="164"/>
      <c r="I37" s="163"/>
      <c r="J37" s="164"/>
      <c r="K37" s="163"/>
      <c r="L37" s="164"/>
      <c r="M37" s="11"/>
      <c r="N37" s="39"/>
      <c r="Q37" s="15" t="str">
        <f>+CONCATENATE(E35,K35)</f>
        <v/>
      </c>
      <c r="R37" s="15">
        <f>+L35</f>
        <v>0</v>
      </c>
      <c r="S37" s="16"/>
      <c r="T37" s="15">
        <f>+E35</f>
        <v>0</v>
      </c>
      <c r="U37" s="26" t="str">
        <f>IFERROR(LEFT(K35,FIND("*",K35)-1),"-")</f>
        <v>-</v>
      </c>
      <c r="V37" s="26" t="str">
        <f>IFERROR(RIGHT(K35,LEN(K35)-FIND("*",K35)),"-")</f>
        <v>-</v>
      </c>
      <c r="W37" s="27" t="str">
        <f t="shared" si="16"/>
        <v>-</v>
      </c>
      <c r="X37" s="27" t="str">
        <f>IFERROR(W37*L35,"-")</f>
        <v>-</v>
      </c>
      <c r="Z37" s="94" t="s">
        <v>81</v>
      </c>
    </row>
    <row r="38" spans="1:26" ht="6.95" customHeight="1" x14ac:dyDescent="0.3">
      <c r="A38" s="13"/>
      <c r="B38" s="168"/>
      <c r="C38" s="169"/>
      <c r="D38" s="160" t="s">
        <v>39</v>
      </c>
      <c r="E38" s="161"/>
      <c r="F38" s="162" t="s">
        <v>40</v>
      </c>
      <c r="G38" s="163"/>
      <c r="H38" s="164"/>
      <c r="I38" s="163"/>
      <c r="J38" s="164"/>
      <c r="K38" s="163"/>
      <c r="L38" s="164"/>
      <c r="M38" s="11"/>
      <c r="N38" s="39"/>
      <c r="Q38" s="15" t="str">
        <f>+CONCATENATE(E38,G38)</f>
        <v/>
      </c>
      <c r="R38" s="15">
        <f>+H38</f>
        <v>0</v>
      </c>
      <c r="S38" s="16"/>
      <c r="T38" s="15">
        <f>+E38</f>
        <v>0</v>
      </c>
      <c r="U38" s="26" t="str">
        <f t="shared" ref="U38" si="17">IFERROR(LEFT(G38,FIND("*",G38)-1),"-")</f>
        <v>-</v>
      </c>
      <c r="V38" s="26" t="str">
        <f t="shared" ref="V38" si="18">IFERROR(RIGHT(G38,LEN(G38)-FIND("*",G38)),"-")</f>
        <v>-</v>
      </c>
      <c r="W38" s="27" t="str">
        <f t="shared" si="16"/>
        <v>-</v>
      </c>
      <c r="X38" s="27" t="str">
        <f>IFERROR(W38*H38,"-")</f>
        <v>-</v>
      </c>
      <c r="Z38" s="94" t="s">
        <v>81</v>
      </c>
    </row>
    <row r="39" spans="1:26" ht="6.95" customHeight="1" x14ac:dyDescent="0.3">
      <c r="A39" s="10"/>
      <c r="B39" s="168"/>
      <c r="C39" s="169"/>
      <c r="D39" s="160"/>
      <c r="E39" s="161"/>
      <c r="F39" s="162"/>
      <c r="G39" s="163"/>
      <c r="H39" s="164"/>
      <c r="I39" s="163"/>
      <c r="J39" s="164"/>
      <c r="K39" s="163"/>
      <c r="L39" s="164"/>
      <c r="M39" s="11"/>
      <c r="N39" s="39"/>
      <c r="Q39" s="15" t="str">
        <f>+CONCATENATE(E38,I38)</f>
        <v/>
      </c>
      <c r="R39" s="15">
        <f>+J38</f>
        <v>0</v>
      </c>
      <c r="S39" s="16"/>
      <c r="T39" s="15">
        <f>+E38</f>
        <v>0</v>
      </c>
      <c r="U39" s="26" t="str">
        <f>IFERROR(LEFT(I38,FIND("*",I38)-1),"-")</f>
        <v>-</v>
      </c>
      <c r="V39" s="26" t="str">
        <f>IFERROR(RIGHT(I38,LEN(I38)-FIND("*",I38)),"-")</f>
        <v>-</v>
      </c>
      <c r="W39" s="27" t="str">
        <f t="shared" si="16"/>
        <v>-</v>
      </c>
      <c r="X39" s="27" t="str">
        <f>IFERROR(W39*J38,"-")</f>
        <v>-</v>
      </c>
      <c r="Z39" s="94" t="s">
        <v>81</v>
      </c>
    </row>
    <row r="40" spans="1:26" ht="6.95" customHeight="1" x14ac:dyDescent="0.3">
      <c r="A40" s="10"/>
      <c r="B40" s="168"/>
      <c r="C40" s="169"/>
      <c r="D40" s="160"/>
      <c r="E40" s="161"/>
      <c r="F40" s="162"/>
      <c r="G40" s="163"/>
      <c r="H40" s="164"/>
      <c r="I40" s="163"/>
      <c r="J40" s="164"/>
      <c r="K40" s="163"/>
      <c r="L40" s="164"/>
      <c r="M40" s="11"/>
      <c r="N40" s="39"/>
      <c r="Q40" s="15" t="str">
        <f>+CONCATENATE(E38,K38)</f>
        <v/>
      </c>
      <c r="R40" s="15">
        <f>+L38</f>
        <v>0</v>
      </c>
      <c r="S40" s="16"/>
      <c r="T40" s="15">
        <f>+E38</f>
        <v>0</v>
      </c>
      <c r="U40" s="26" t="str">
        <f>IFERROR(LEFT(K38,FIND("*",K38)-1),"-")</f>
        <v>-</v>
      </c>
      <c r="V40" s="26" t="str">
        <f>IFERROR(RIGHT(K38,LEN(K38)-FIND("*",K38)),"-")</f>
        <v>-</v>
      </c>
      <c r="W40" s="27" t="str">
        <f t="shared" si="16"/>
        <v>-</v>
      </c>
      <c r="X40" s="27" t="str">
        <f>IFERROR(W40*L38,"-")</f>
        <v>-</v>
      </c>
      <c r="Z40" s="94" t="s">
        <v>81</v>
      </c>
    </row>
    <row r="41" spans="1:26" ht="6.95" customHeight="1" x14ac:dyDescent="0.3">
      <c r="A41" s="13"/>
      <c r="B41" s="168"/>
      <c r="C41" s="169"/>
      <c r="D41" s="160" t="s">
        <v>39</v>
      </c>
      <c r="E41" s="161"/>
      <c r="F41" s="162" t="s">
        <v>40</v>
      </c>
      <c r="G41" s="163"/>
      <c r="H41" s="164"/>
      <c r="I41" s="163"/>
      <c r="J41" s="164"/>
      <c r="K41" s="163"/>
      <c r="L41" s="164"/>
      <c r="M41" s="11"/>
      <c r="N41" s="39"/>
      <c r="Q41" s="15" t="str">
        <f>+CONCATENATE(E41,G41)</f>
        <v/>
      </c>
      <c r="R41" s="15">
        <f>+H41</f>
        <v>0</v>
      </c>
      <c r="S41" s="16"/>
      <c r="T41" s="15">
        <f>+E41</f>
        <v>0</v>
      </c>
      <c r="U41" s="26" t="str">
        <f t="shared" ref="U41" si="19">IFERROR(LEFT(G41,FIND("*",G41)-1),"-")</f>
        <v>-</v>
      </c>
      <c r="V41" s="26" t="str">
        <f t="shared" ref="V41" si="20">IFERROR(RIGHT(G41,LEN(G41)-FIND("*",G41)),"-")</f>
        <v>-</v>
      </c>
      <c r="W41" s="27" t="str">
        <f t="shared" si="16"/>
        <v>-</v>
      </c>
      <c r="X41" s="27" t="str">
        <f>IFERROR(W41*H41,"-")</f>
        <v>-</v>
      </c>
      <c r="Z41" s="94" t="s">
        <v>81</v>
      </c>
    </row>
    <row r="42" spans="1:26" ht="6.95" customHeight="1" x14ac:dyDescent="0.3">
      <c r="A42" s="10"/>
      <c r="B42" s="168"/>
      <c r="C42" s="169"/>
      <c r="D42" s="160"/>
      <c r="E42" s="161"/>
      <c r="F42" s="162"/>
      <c r="G42" s="163"/>
      <c r="H42" s="164"/>
      <c r="I42" s="163"/>
      <c r="J42" s="164"/>
      <c r="K42" s="163"/>
      <c r="L42" s="164"/>
      <c r="M42" s="11"/>
      <c r="N42" s="39"/>
      <c r="Q42" s="15" t="str">
        <f>+CONCATENATE(E41,I41)</f>
        <v/>
      </c>
      <c r="R42" s="15">
        <f>+J41</f>
        <v>0</v>
      </c>
      <c r="S42" s="16"/>
      <c r="T42" s="15">
        <f>+E41</f>
        <v>0</v>
      </c>
      <c r="U42" s="26" t="str">
        <f>IFERROR(LEFT(I41,FIND("*",I41)-1),"-")</f>
        <v>-</v>
      </c>
      <c r="V42" s="26" t="str">
        <f>IFERROR(RIGHT(I41,LEN(I41)-FIND("*",I41)),"-")</f>
        <v>-</v>
      </c>
      <c r="W42" s="27" t="str">
        <f t="shared" si="16"/>
        <v>-</v>
      </c>
      <c r="X42" s="27" t="str">
        <f t="shared" ref="X42" si="21">IFERROR(W42*J41,"-")</f>
        <v>-</v>
      </c>
      <c r="Z42" s="94" t="s">
        <v>81</v>
      </c>
    </row>
    <row r="43" spans="1:26" ht="6.95" customHeight="1" x14ac:dyDescent="0.3">
      <c r="A43" s="10"/>
      <c r="B43" s="168"/>
      <c r="C43" s="169"/>
      <c r="D43" s="160"/>
      <c r="E43" s="161"/>
      <c r="F43" s="162"/>
      <c r="G43" s="163"/>
      <c r="H43" s="164"/>
      <c r="I43" s="163"/>
      <c r="J43" s="164"/>
      <c r="K43" s="163"/>
      <c r="L43" s="164"/>
      <c r="M43" s="11"/>
      <c r="N43" s="39"/>
      <c r="Q43" s="15" t="str">
        <f>+CONCATENATE(E41,K41)</f>
        <v/>
      </c>
      <c r="R43" s="15">
        <f>+L41</f>
        <v>0</v>
      </c>
      <c r="S43" s="16"/>
      <c r="T43" s="15">
        <f>+E41</f>
        <v>0</v>
      </c>
      <c r="U43" s="26" t="str">
        <f>IFERROR(LEFT(K41,FIND("*",K41)-1),"-")</f>
        <v>-</v>
      </c>
      <c r="V43" s="26" t="str">
        <f>IFERROR(RIGHT(K41,LEN(K41)-FIND("*",K41)),"-")</f>
        <v>-</v>
      </c>
      <c r="W43" s="27" t="str">
        <f t="shared" si="16"/>
        <v>-</v>
      </c>
      <c r="X43" s="27" t="str">
        <f>IFERROR(W43*L41,"-")</f>
        <v>-</v>
      </c>
      <c r="Z43" s="94" t="s">
        <v>81</v>
      </c>
    </row>
    <row r="44" spans="1:26" ht="21" customHeight="1" thickBot="1" x14ac:dyDescent="0.35">
      <c r="A44" s="10"/>
      <c r="B44" s="170"/>
      <c r="C44" s="171"/>
      <c r="D44" s="172" t="s">
        <v>43</v>
      </c>
      <c r="E44" s="173"/>
      <c r="F44" s="173"/>
      <c r="G44" s="174"/>
      <c r="H44" s="174"/>
      <c r="I44" s="174"/>
      <c r="J44" s="174"/>
      <c r="K44" s="174"/>
      <c r="L44" s="174"/>
      <c r="M44" s="12"/>
      <c r="N44" s="39"/>
      <c r="Z44" s="95" t="s">
        <v>81</v>
      </c>
    </row>
    <row r="45" spans="1:26" ht="9.9499999999999993" customHeight="1" thickBot="1" x14ac:dyDescent="0.35">
      <c r="A45" s="6"/>
      <c r="B45" s="14"/>
      <c r="C45" s="119"/>
      <c r="D45" s="58"/>
      <c r="E45" s="17"/>
      <c r="F45" s="58"/>
      <c r="G45" s="19"/>
      <c r="H45" s="19"/>
      <c r="I45" s="19"/>
      <c r="J45" s="19"/>
      <c r="K45" s="19"/>
      <c r="L45" s="19"/>
      <c r="M45" s="14"/>
      <c r="N45" s="39"/>
      <c r="Q45" s="1"/>
      <c r="R45" s="1"/>
      <c r="S45" s="1"/>
      <c r="T45" s="1"/>
      <c r="U45" s="24"/>
      <c r="V45" s="24"/>
      <c r="W45" s="1"/>
      <c r="X45" s="1"/>
      <c r="Z45" s="94" t="s">
        <v>81</v>
      </c>
    </row>
    <row r="46" spans="1:26" ht="6.95" customHeight="1" x14ac:dyDescent="0.3">
      <c r="A46" s="165">
        <f>+A35+1</f>
        <v>5</v>
      </c>
      <c r="B46" s="166"/>
      <c r="C46" s="167"/>
      <c r="D46" s="160" t="s">
        <v>39</v>
      </c>
      <c r="E46" s="161"/>
      <c r="F46" s="162" t="s">
        <v>40</v>
      </c>
      <c r="G46" s="163"/>
      <c r="H46" s="164"/>
      <c r="I46" s="163"/>
      <c r="J46" s="164"/>
      <c r="K46" s="163"/>
      <c r="L46" s="164"/>
      <c r="M46" s="11"/>
      <c r="N46" s="39"/>
      <c r="Q46" s="15" t="str">
        <f>+CONCATENATE(E46,G46)</f>
        <v/>
      </c>
      <c r="R46" s="15">
        <f>+H46</f>
        <v>0</v>
      </c>
      <c r="S46" s="16"/>
      <c r="T46" s="15">
        <f>+E46</f>
        <v>0</v>
      </c>
      <c r="U46" s="26" t="str">
        <f>IFERROR(LEFT(G46,FIND("*",G46)-1),"-")</f>
        <v>-</v>
      </c>
      <c r="V46" s="26" t="str">
        <f>IFERROR(RIGHT(G46,LEN(G46)-FIND("*",G46)),"-")</f>
        <v>-</v>
      </c>
      <c r="W46" s="27" t="str">
        <f>IFERROR((U46+V46)*2/1000,"-")</f>
        <v>-</v>
      </c>
      <c r="X46" s="27" t="str">
        <f>IFERROR(W46*H46,"-")</f>
        <v>-</v>
      </c>
      <c r="Z46" s="94" t="s">
        <v>81</v>
      </c>
    </row>
    <row r="47" spans="1:26" ht="6.95" customHeight="1" x14ac:dyDescent="0.3">
      <c r="A47" s="165"/>
      <c r="B47" s="168"/>
      <c r="C47" s="169"/>
      <c r="D47" s="160"/>
      <c r="E47" s="161"/>
      <c r="F47" s="162"/>
      <c r="G47" s="163"/>
      <c r="H47" s="164"/>
      <c r="I47" s="163"/>
      <c r="J47" s="164"/>
      <c r="K47" s="163"/>
      <c r="L47" s="164"/>
      <c r="M47" s="11"/>
      <c r="N47" s="39"/>
      <c r="Q47" s="15" t="str">
        <f>+CONCATENATE(E46,I46)</f>
        <v/>
      </c>
      <c r="R47" s="15">
        <f>+J46</f>
        <v>0</v>
      </c>
      <c r="S47" s="16"/>
      <c r="T47" s="15">
        <f>+E46</f>
        <v>0</v>
      </c>
      <c r="U47" s="26" t="str">
        <f>IFERROR(LEFT(I46,FIND("*",I46)-1),"-")</f>
        <v>-</v>
      </c>
      <c r="V47" s="26" t="str">
        <f>IFERROR(RIGHT(I46,LEN(I46)-FIND("*",I46)),"-")</f>
        <v>-</v>
      </c>
      <c r="W47" s="27" t="str">
        <f t="shared" ref="W47:W54" si="22">IFERROR((U47+V47)*2/1000,"-")</f>
        <v>-</v>
      </c>
      <c r="X47" s="27" t="str">
        <f>IFERROR(W47*J46,"-")</f>
        <v>-</v>
      </c>
      <c r="Z47" s="94" t="s">
        <v>81</v>
      </c>
    </row>
    <row r="48" spans="1:26" ht="6.95" customHeight="1" x14ac:dyDescent="0.3">
      <c r="A48" s="165"/>
      <c r="B48" s="168"/>
      <c r="C48" s="169"/>
      <c r="D48" s="160"/>
      <c r="E48" s="161"/>
      <c r="F48" s="162"/>
      <c r="G48" s="163"/>
      <c r="H48" s="164"/>
      <c r="I48" s="163"/>
      <c r="J48" s="164"/>
      <c r="K48" s="163"/>
      <c r="L48" s="164"/>
      <c r="M48" s="11"/>
      <c r="N48" s="39"/>
      <c r="Q48" s="15" t="str">
        <f>+CONCATENATE(E46,K46)</f>
        <v/>
      </c>
      <c r="R48" s="15">
        <f>+L46</f>
        <v>0</v>
      </c>
      <c r="S48" s="16"/>
      <c r="T48" s="15">
        <f>+E46</f>
        <v>0</v>
      </c>
      <c r="U48" s="26" t="str">
        <f>IFERROR(LEFT(K46,FIND("*",K46)-1),"-")</f>
        <v>-</v>
      </c>
      <c r="V48" s="26" t="str">
        <f>IFERROR(RIGHT(K46,LEN(K46)-FIND("*",K46)),"-")</f>
        <v>-</v>
      </c>
      <c r="W48" s="27" t="str">
        <f t="shared" si="22"/>
        <v>-</v>
      </c>
      <c r="X48" s="27" t="str">
        <f>IFERROR(W48*L46,"-")</f>
        <v>-</v>
      </c>
      <c r="Z48" s="94" t="s">
        <v>81</v>
      </c>
    </row>
    <row r="49" spans="1:26" ht="6.95" customHeight="1" x14ac:dyDescent="0.3">
      <c r="A49" s="13"/>
      <c r="B49" s="168"/>
      <c r="C49" s="169"/>
      <c r="D49" s="160" t="s">
        <v>39</v>
      </c>
      <c r="E49" s="161"/>
      <c r="F49" s="162" t="s">
        <v>40</v>
      </c>
      <c r="G49" s="163"/>
      <c r="H49" s="164"/>
      <c r="I49" s="163"/>
      <c r="J49" s="164"/>
      <c r="K49" s="163"/>
      <c r="L49" s="164"/>
      <c r="M49" s="11"/>
      <c r="N49" s="39"/>
      <c r="Q49" s="15" t="str">
        <f>+CONCATENATE(E49,G49)</f>
        <v/>
      </c>
      <c r="R49" s="15">
        <f>+H49</f>
        <v>0</v>
      </c>
      <c r="S49" s="16"/>
      <c r="T49" s="15">
        <f>+E49</f>
        <v>0</v>
      </c>
      <c r="U49" s="26" t="str">
        <f t="shared" ref="U49" si="23">IFERROR(LEFT(G49,FIND("*",G49)-1),"-")</f>
        <v>-</v>
      </c>
      <c r="V49" s="26" t="str">
        <f t="shared" ref="V49" si="24">IFERROR(RIGHT(G49,LEN(G49)-FIND("*",G49)),"-")</f>
        <v>-</v>
      </c>
      <c r="W49" s="27" t="str">
        <f t="shared" si="22"/>
        <v>-</v>
      </c>
      <c r="X49" s="27" t="str">
        <f>IFERROR(W49*H49,"-")</f>
        <v>-</v>
      </c>
      <c r="Z49" s="94" t="s">
        <v>81</v>
      </c>
    </row>
    <row r="50" spans="1:26" ht="6.95" customHeight="1" x14ac:dyDescent="0.3">
      <c r="A50" s="10"/>
      <c r="B50" s="168"/>
      <c r="C50" s="169"/>
      <c r="D50" s="160"/>
      <c r="E50" s="161"/>
      <c r="F50" s="162"/>
      <c r="G50" s="163"/>
      <c r="H50" s="164"/>
      <c r="I50" s="163"/>
      <c r="J50" s="164"/>
      <c r="K50" s="163"/>
      <c r="L50" s="164"/>
      <c r="M50" s="11"/>
      <c r="N50" s="39"/>
      <c r="Q50" s="15" t="str">
        <f>+CONCATENATE(E49,I49)</f>
        <v/>
      </c>
      <c r="R50" s="15">
        <f>+J49</f>
        <v>0</v>
      </c>
      <c r="S50" s="16"/>
      <c r="T50" s="15">
        <f>+E49</f>
        <v>0</v>
      </c>
      <c r="U50" s="26" t="str">
        <f>IFERROR(LEFT(I49,FIND("*",I49)-1),"-")</f>
        <v>-</v>
      </c>
      <c r="V50" s="26" t="str">
        <f>IFERROR(RIGHT(I49,LEN(I49)-FIND("*",I49)),"-")</f>
        <v>-</v>
      </c>
      <c r="W50" s="27" t="str">
        <f t="shared" si="22"/>
        <v>-</v>
      </c>
      <c r="X50" s="27" t="str">
        <f>IFERROR(W50*J49,"-")</f>
        <v>-</v>
      </c>
      <c r="Z50" s="94" t="s">
        <v>81</v>
      </c>
    </row>
    <row r="51" spans="1:26" ht="6.95" customHeight="1" x14ac:dyDescent="0.3">
      <c r="A51" s="10"/>
      <c r="B51" s="168"/>
      <c r="C51" s="169"/>
      <c r="D51" s="160"/>
      <c r="E51" s="161"/>
      <c r="F51" s="162"/>
      <c r="G51" s="163"/>
      <c r="H51" s="164"/>
      <c r="I51" s="163"/>
      <c r="J51" s="164"/>
      <c r="K51" s="163"/>
      <c r="L51" s="164"/>
      <c r="M51" s="11"/>
      <c r="N51" s="39"/>
      <c r="Q51" s="15" t="str">
        <f>+CONCATENATE(E49,K49)</f>
        <v/>
      </c>
      <c r="R51" s="15">
        <f>+L49</f>
        <v>0</v>
      </c>
      <c r="S51" s="16"/>
      <c r="T51" s="15">
        <f>+E49</f>
        <v>0</v>
      </c>
      <c r="U51" s="26" t="str">
        <f>IFERROR(LEFT(K49,FIND("*",K49)-1),"-")</f>
        <v>-</v>
      </c>
      <c r="V51" s="26" t="str">
        <f>IFERROR(RIGHT(K49,LEN(K49)-FIND("*",K49)),"-")</f>
        <v>-</v>
      </c>
      <c r="W51" s="27" t="str">
        <f t="shared" si="22"/>
        <v>-</v>
      </c>
      <c r="X51" s="27" t="str">
        <f>IFERROR(W51*L49,"-")</f>
        <v>-</v>
      </c>
      <c r="Z51" s="94" t="s">
        <v>81</v>
      </c>
    </row>
    <row r="52" spans="1:26" ht="6.95" customHeight="1" x14ac:dyDescent="0.3">
      <c r="A52" s="13"/>
      <c r="B52" s="168"/>
      <c r="C52" s="169"/>
      <c r="D52" s="160" t="s">
        <v>39</v>
      </c>
      <c r="E52" s="161"/>
      <c r="F52" s="162" t="s">
        <v>40</v>
      </c>
      <c r="G52" s="163"/>
      <c r="H52" s="164"/>
      <c r="I52" s="163"/>
      <c r="J52" s="164"/>
      <c r="K52" s="163"/>
      <c r="L52" s="164"/>
      <c r="M52" s="11"/>
      <c r="N52" s="39"/>
      <c r="Q52" s="15" t="str">
        <f>+CONCATENATE(E52,G52)</f>
        <v/>
      </c>
      <c r="R52" s="15">
        <f>+H52</f>
        <v>0</v>
      </c>
      <c r="S52" s="16"/>
      <c r="T52" s="15">
        <f>+E52</f>
        <v>0</v>
      </c>
      <c r="U52" s="26" t="str">
        <f t="shared" ref="U52" si="25">IFERROR(LEFT(G52,FIND("*",G52)-1),"-")</f>
        <v>-</v>
      </c>
      <c r="V52" s="26" t="str">
        <f t="shared" ref="V52" si="26">IFERROR(RIGHT(G52,LEN(G52)-FIND("*",G52)),"-")</f>
        <v>-</v>
      </c>
      <c r="W52" s="27" t="str">
        <f t="shared" si="22"/>
        <v>-</v>
      </c>
      <c r="X52" s="27" t="str">
        <f>IFERROR(W52*H52,"-")</f>
        <v>-</v>
      </c>
      <c r="Z52" s="94" t="s">
        <v>81</v>
      </c>
    </row>
    <row r="53" spans="1:26" ht="6.95" customHeight="1" x14ac:dyDescent="0.3">
      <c r="A53" s="10"/>
      <c r="B53" s="168"/>
      <c r="C53" s="169"/>
      <c r="D53" s="160"/>
      <c r="E53" s="161"/>
      <c r="F53" s="162"/>
      <c r="G53" s="163"/>
      <c r="H53" s="164"/>
      <c r="I53" s="163"/>
      <c r="J53" s="164"/>
      <c r="K53" s="163"/>
      <c r="L53" s="164"/>
      <c r="M53" s="11"/>
      <c r="N53" s="39"/>
      <c r="Q53" s="15" t="str">
        <f>+CONCATENATE(E52,I52)</f>
        <v/>
      </c>
      <c r="R53" s="15">
        <f>+J52</f>
        <v>0</v>
      </c>
      <c r="S53" s="16"/>
      <c r="T53" s="15">
        <f>+E52</f>
        <v>0</v>
      </c>
      <c r="U53" s="26" t="str">
        <f>IFERROR(LEFT(I52,FIND("*",I52)-1),"-")</f>
        <v>-</v>
      </c>
      <c r="V53" s="26" t="str">
        <f>IFERROR(RIGHT(I52,LEN(I52)-FIND("*",I52)),"-")</f>
        <v>-</v>
      </c>
      <c r="W53" s="27" t="str">
        <f t="shared" si="22"/>
        <v>-</v>
      </c>
      <c r="X53" s="27" t="str">
        <f t="shared" ref="X53" si="27">IFERROR(W53*J52,"-")</f>
        <v>-</v>
      </c>
      <c r="Z53" s="94" t="s">
        <v>81</v>
      </c>
    </row>
    <row r="54" spans="1:26" ht="6.95" customHeight="1" x14ac:dyDescent="0.3">
      <c r="A54" s="10"/>
      <c r="B54" s="168"/>
      <c r="C54" s="169"/>
      <c r="D54" s="160"/>
      <c r="E54" s="161"/>
      <c r="F54" s="162"/>
      <c r="G54" s="163"/>
      <c r="H54" s="164"/>
      <c r="I54" s="163"/>
      <c r="J54" s="164"/>
      <c r="K54" s="163"/>
      <c r="L54" s="164"/>
      <c r="M54" s="11"/>
      <c r="N54" s="39"/>
      <c r="Q54" s="15" t="str">
        <f>+CONCATENATE(E52,K52)</f>
        <v/>
      </c>
      <c r="R54" s="15">
        <f>+L52</f>
        <v>0</v>
      </c>
      <c r="S54" s="16"/>
      <c r="T54" s="15">
        <f>+E52</f>
        <v>0</v>
      </c>
      <c r="U54" s="26" t="str">
        <f>IFERROR(LEFT(K52,FIND("*",K52)-1),"-")</f>
        <v>-</v>
      </c>
      <c r="V54" s="26" t="str">
        <f>IFERROR(RIGHT(K52,LEN(K52)-FIND("*",K52)),"-")</f>
        <v>-</v>
      </c>
      <c r="W54" s="27" t="str">
        <f t="shared" si="22"/>
        <v>-</v>
      </c>
      <c r="X54" s="27" t="str">
        <f>IFERROR(W54*L52,"-")</f>
        <v>-</v>
      </c>
      <c r="Z54" s="94" t="s">
        <v>81</v>
      </c>
    </row>
    <row r="55" spans="1:26" ht="21" customHeight="1" thickBot="1" x14ac:dyDescent="0.35">
      <c r="A55" s="10"/>
      <c r="B55" s="170"/>
      <c r="C55" s="171"/>
      <c r="D55" s="172" t="s">
        <v>43</v>
      </c>
      <c r="E55" s="173"/>
      <c r="F55" s="173"/>
      <c r="G55" s="174"/>
      <c r="H55" s="174"/>
      <c r="I55" s="174"/>
      <c r="J55" s="174"/>
      <c r="K55" s="174"/>
      <c r="L55" s="174"/>
      <c r="M55" s="12"/>
      <c r="N55" s="39"/>
      <c r="Z55" s="95" t="s">
        <v>81</v>
      </c>
    </row>
    <row r="56" spans="1:26" ht="9.9499999999999993" customHeight="1" thickBot="1" x14ac:dyDescent="0.35">
      <c r="A56" s="6"/>
      <c r="B56" s="14"/>
      <c r="C56" s="119"/>
      <c r="D56" s="58"/>
      <c r="E56" s="17"/>
      <c r="F56" s="58"/>
      <c r="G56" s="19"/>
      <c r="H56" s="19"/>
      <c r="I56" s="19"/>
      <c r="J56" s="19"/>
      <c r="K56" s="19"/>
      <c r="L56" s="19"/>
      <c r="M56" s="14"/>
      <c r="N56" s="39"/>
      <c r="Q56" s="1"/>
      <c r="R56" s="1"/>
      <c r="S56" s="1"/>
      <c r="T56" s="1"/>
      <c r="U56" s="24"/>
      <c r="V56" s="24"/>
      <c r="W56" s="1"/>
      <c r="X56" s="1"/>
      <c r="Z56" s="94" t="s">
        <v>81</v>
      </c>
    </row>
    <row r="57" spans="1:26" ht="6.95" customHeight="1" x14ac:dyDescent="0.3">
      <c r="A57" s="165">
        <f>+A46+1</f>
        <v>6</v>
      </c>
      <c r="B57" s="166"/>
      <c r="C57" s="167"/>
      <c r="D57" s="160" t="s">
        <v>39</v>
      </c>
      <c r="E57" s="161"/>
      <c r="F57" s="162" t="s">
        <v>40</v>
      </c>
      <c r="G57" s="163"/>
      <c r="H57" s="164"/>
      <c r="I57" s="163"/>
      <c r="J57" s="164"/>
      <c r="K57" s="163"/>
      <c r="L57" s="164"/>
      <c r="M57" s="11"/>
      <c r="N57" s="39"/>
      <c r="Q57" s="15" t="str">
        <f>+CONCATENATE(E57,G57)</f>
        <v/>
      </c>
      <c r="R57" s="15">
        <f>+H57</f>
        <v>0</v>
      </c>
      <c r="S57" s="16"/>
      <c r="T57" s="15">
        <f>+E57</f>
        <v>0</v>
      </c>
      <c r="U57" s="26" t="str">
        <f>IFERROR(LEFT(G57,FIND("*",G57)-1),"-")</f>
        <v>-</v>
      </c>
      <c r="V57" s="26" t="str">
        <f>IFERROR(RIGHT(G57,LEN(G57)-FIND("*",G57)),"-")</f>
        <v>-</v>
      </c>
      <c r="W57" s="27" t="str">
        <f>IFERROR((U57+V57)*2/1000,"-")</f>
        <v>-</v>
      </c>
      <c r="X57" s="27" t="str">
        <f>IFERROR(W57*H57,"-")</f>
        <v>-</v>
      </c>
      <c r="Z57" s="94" t="s">
        <v>81</v>
      </c>
    </row>
    <row r="58" spans="1:26" ht="6.95" customHeight="1" x14ac:dyDescent="0.3">
      <c r="A58" s="165"/>
      <c r="B58" s="168"/>
      <c r="C58" s="169"/>
      <c r="D58" s="160"/>
      <c r="E58" s="161"/>
      <c r="F58" s="162"/>
      <c r="G58" s="163"/>
      <c r="H58" s="164"/>
      <c r="I58" s="163"/>
      <c r="J58" s="164"/>
      <c r="K58" s="163"/>
      <c r="L58" s="164"/>
      <c r="M58" s="11"/>
      <c r="N58" s="39"/>
      <c r="Q58" s="15" t="str">
        <f>+CONCATENATE(E57,I57)</f>
        <v/>
      </c>
      <c r="R58" s="15">
        <f>+J57</f>
        <v>0</v>
      </c>
      <c r="S58" s="16"/>
      <c r="T58" s="15">
        <f>+E57</f>
        <v>0</v>
      </c>
      <c r="U58" s="26" t="str">
        <f>IFERROR(LEFT(I57,FIND("*",I57)-1),"-")</f>
        <v>-</v>
      </c>
      <c r="V58" s="26" t="str">
        <f>IFERROR(RIGHT(I57,LEN(I57)-FIND("*",I57)),"-")</f>
        <v>-</v>
      </c>
      <c r="W58" s="27" t="str">
        <f t="shared" ref="W58:W65" si="28">IFERROR((U58+V58)*2/1000,"-")</f>
        <v>-</v>
      </c>
      <c r="X58" s="27" t="str">
        <f>IFERROR(W58*J57,"-")</f>
        <v>-</v>
      </c>
      <c r="Z58" s="94" t="s">
        <v>81</v>
      </c>
    </row>
    <row r="59" spans="1:26" ht="6.95" customHeight="1" x14ac:dyDescent="0.3">
      <c r="A59" s="165"/>
      <c r="B59" s="168"/>
      <c r="C59" s="169"/>
      <c r="D59" s="160"/>
      <c r="E59" s="161"/>
      <c r="F59" s="162"/>
      <c r="G59" s="163"/>
      <c r="H59" s="164"/>
      <c r="I59" s="163"/>
      <c r="J59" s="164"/>
      <c r="K59" s="163"/>
      <c r="L59" s="164"/>
      <c r="M59" s="11"/>
      <c r="N59" s="39"/>
      <c r="Q59" s="15" t="str">
        <f>+CONCATENATE(E57,K57)</f>
        <v/>
      </c>
      <c r="R59" s="15">
        <f>+L57</f>
        <v>0</v>
      </c>
      <c r="S59" s="16"/>
      <c r="T59" s="15">
        <f>+E57</f>
        <v>0</v>
      </c>
      <c r="U59" s="26" t="str">
        <f>IFERROR(LEFT(K57,FIND("*",K57)-1),"-")</f>
        <v>-</v>
      </c>
      <c r="V59" s="26" t="str">
        <f>IFERROR(RIGHT(K57,LEN(K57)-FIND("*",K57)),"-")</f>
        <v>-</v>
      </c>
      <c r="W59" s="27" t="str">
        <f t="shared" si="28"/>
        <v>-</v>
      </c>
      <c r="X59" s="27" t="str">
        <f>IFERROR(W59*L57,"-")</f>
        <v>-</v>
      </c>
      <c r="Z59" s="94" t="s">
        <v>81</v>
      </c>
    </row>
    <row r="60" spans="1:26" ht="6.95" customHeight="1" x14ac:dyDescent="0.3">
      <c r="A60" s="13"/>
      <c r="B60" s="168"/>
      <c r="C60" s="169"/>
      <c r="D60" s="160" t="s">
        <v>39</v>
      </c>
      <c r="E60" s="161"/>
      <c r="F60" s="162" t="s">
        <v>40</v>
      </c>
      <c r="G60" s="163"/>
      <c r="H60" s="164"/>
      <c r="I60" s="163"/>
      <c r="J60" s="164"/>
      <c r="K60" s="163"/>
      <c r="L60" s="164"/>
      <c r="M60" s="11"/>
      <c r="N60" s="39"/>
      <c r="Q60" s="15" t="str">
        <f>+CONCATENATE(E60,G60)</f>
        <v/>
      </c>
      <c r="R60" s="15">
        <f>+H60</f>
        <v>0</v>
      </c>
      <c r="S60" s="16"/>
      <c r="T60" s="15">
        <f>+E60</f>
        <v>0</v>
      </c>
      <c r="U60" s="26" t="str">
        <f t="shared" ref="U60" si="29">IFERROR(LEFT(G60,FIND("*",G60)-1),"-")</f>
        <v>-</v>
      </c>
      <c r="V60" s="26" t="str">
        <f t="shared" ref="V60" si="30">IFERROR(RIGHT(G60,LEN(G60)-FIND("*",G60)),"-")</f>
        <v>-</v>
      </c>
      <c r="W60" s="27" t="str">
        <f t="shared" si="28"/>
        <v>-</v>
      </c>
      <c r="X60" s="27" t="str">
        <f>IFERROR(W60*H60,"-")</f>
        <v>-</v>
      </c>
      <c r="Z60" s="94" t="s">
        <v>81</v>
      </c>
    </row>
    <row r="61" spans="1:26" ht="6.95" customHeight="1" x14ac:dyDescent="0.3">
      <c r="A61" s="10"/>
      <c r="B61" s="168"/>
      <c r="C61" s="169"/>
      <c r="D61" s="160"/>
      <c r="E61" s="161"/>
      <c r="F61" s="162"/>
      <c r="G61" s="163"/>
      <c r="H61" s="164"/>
      <c r="I61" s="163"/>
      <c r="J61" s="164"/>
      <c r="K61" s="163"/>
      <c r="L61" s="164"/>
      <c r="M61" s="11"/>
      <c r="N61" s="39"/>
      <c r="Q61" s="15" t="str">
        <f>+CONCATENATE(E60,I60)</f>
        <v/>
      </c>
      <c r="R61" s="15">
        <f>+J60</f>
        <v>0</v>
      </c>
      <c r="S61" s="16"/>
      <c r="T61" s="15">
        <f>+E60</f>
        <v>0</v>
      </c>
      <c r="U61" s="26" t="str">
        <f>IFERROR(LEFT(I60,FIND("*",I60)-1),"-")</f>
        <v>-</v>
      </c>
      <c r="V61" s="26" t="str">
        <f>IFERROR(RIGHT(I60,LEN(I60)-FIND("*",I60)),"-")</f>
        <v>-</v>
      </c>
      <c r="W61" s="27" t="str">
        <f t="shared" si="28"/>
        <v>-</v>
      </c>
      <c r="X61" s="27" t="str">
        <f>IFERROR(W61*J60,"-")</f>
        <v>-</v>
      </c>
      <c r="Z61" s="94" t="s">
        <v>81</v>
      </c>
    </row>
    <row r="62" spans="1:26" ht="6.95" customHeight="1" x14ac:dyDescent="0.3">
      <c r="A62" s="10"/>
      <c r="B62" s="168"/>
      <c r="C62" s="169"/>
      <c r="D62" s="160"/>
      <c r="E62" s="161"/>
      <c r="F62" s="162"/>
      <c r="G62" s="163"/>
      <c r="H62" s="164"/>
      <c r="I62" s="163"/>
      <c r="J62" s="164"/>
      <c r="K62" s="163"/>
      <c r="L62" s="164"/>
      <c r="M62" s="11"/>
      <c r="N62" s="39"/>
      <c r="Q62" s="15" t="str">
        <f>+CONCATENATE(E60,K60)</f>
        <v/>
      </c>
      <c r="R62" s="15">
        <f>+L60</f>
        <v>0</v>
      </c>
      <c r="S62" s="16"/>
      <c r="T62" s="15">
        <f>+E60</f>
        <v>0</v>
      </c>
      <c r="U62" s="26" t="str">
        <f>IFERROR(LEFT(K60,FIND("*",K60)-1),"-")</f>
        <v>-</v>
      </c>
      <c r="V62" s="26" t="str">
        <f>IFERROR(RIGHT(K60,LEN(K60)-FIND("*",K60)),"-")</f>
        <v>-</v>
      </c>
      <c r="W62" s="27" t="str">
        <f t="shared" si="28"/>
        <v>-</v>
      </c>
      <c r="X62" s="27" t="str">
        <f>IFERROR(W62*L60,"-")</f>
        <v>-</v>
      </c>
      <c r="Z62" s="94" t="s">
        <v>81</v>
      </c>
    </row>
    <row r="63" spans="1:26" ht="6.95" customHeight="1" x14ac:dyDescent="0.3">
      <c r="A63" s="13"/>
      <c r="B63" s="168"/>
      <c r="C63" s="169"/>
      <c r="D63" s="160" t="s">
        <v>39</v>
      </c>
      <c r="E63" s="161"/>
      <c r="F63" s="162" t="s">
        <v>40</v>
      </c>
      <c r="G63" s="163"/>
      <c r="H63" s="164"/>
      <c r="I63" s="163"/>
      <c r="J63" s="164"/>
      <c r="K63" s="163"/>
      <c r="L63" s="164"/>
      <c r="M63" s="11"/>
      <c r="N63" s="39"/>
      <c r="Q63" s="15" t="str">
        <f>+CONCATENATE(E63,G63)</f>
        <v/>
      </c>
      <c r="R63" s="15">
        <f>+H63</f>
        <v>0</v>
      </c>
      <c r="S63" s="16"/>
      <c r="T63" s="15">
        <f>+E63</f>
        <v>0</v>
      </c>
      <c r="U63" s="26" t="str">
        <f t="shared" ref="U63" si="31">IFERROR(LEFT(G63,FIND("*",G63)-1),"-")</f>
        <v>-</v>
      </c>
      <c r="V63" s="26" t="str">
        <f t="shared" ref="V63" si="32">IFERROR(RIGHT(G63,LEN(G63)-FIND("*",G63)),"-")</f>
        <v>-</v>
      </c>
      <c r="W63" s="27" t="str">
        <f t="shared" si="28"/>
        <v>-</v>
      </c>
      <c r="X63" s="27" t="str">
        <f>IFERROR(W63*H63,"-")</f>
        <v>-</v>
      </c>
      <c r="Z63" s="94" t="s">
        <v>81</v>
      </c>
    </row>
    <row r="64" spans="1:26" ht="6.95" customHeight="1" x14ac:dyDescent="0.3">
      <c r="A64" s="10"/>
      <c r="B64" s="168"/>
      <c r="C64" s="169"/>
      <c r="D64" s="160"/>
      <c r="E64" s="161"/>
      <c r="F64" s="162"/>
      <c r="G64" s="163"/>
      <c r="H64" s="164"/>
      <c r="I64" s="163"/>
      <c r="J64" s="164"/>
      <c r="K64" s="163"/>
      <c r="L64" s="164"/>
      <c r="M64" s="11"/>
      <c r="N64" s="39"/>
      <c r="Q64" s="15" t="str">
        <f>+CONCATENATE(E63,I63)</f>
        <v/>
      </c>
      <c r="R64" s="15">
        <f>+J63</f>
        <v>0</v>
      </c>
      <c r="S64" s="16"/>
      <c r="T64" s="15">
        <f>+E63</f>
        <v>0</v>
      </c>
      <c r="U64" s="26" t="str">
        <f>IFERROR(LEFT(I63,FIND("*",I63)-1),"-")</f>
        <v>-</v>
      </c>
      <c r="V64" s="26" t="str">
        <f>IFERROR(RIGHT(I63,LEN(I63)-FIND("*",I63)),"-")</f>
        <v>-</v>
      </c>
      <c r="W64" s="27" t="str">
        <f t="shared" si="28"/>
        <v>-</v>
      </c>
      <c r="X64" s="27" t="str">
        <f t="shared" ref="X64" si="33">IFERROR(W64*J63,"-")</f>
        <v>-</v>
      </c>
      <c r="Z64" s="94" t="s">
        <v>81</v>
      </c>
    </row>
    <row r="65" spans="1:26" ht="6.95" customHeight="1" x14ac:dyDescent="0.3">
      <c r="A65" s="10"/>
      <c r="B65" s="168"/>
      <c r="C65" s="169"/>
      <c r="D65" s="160"/>
      <c r="E65" s="161"/>
      <c r="F65" s="162"/>
      <c r="G65" s="163"/>
      <c r="H65" s="164"/>
      <c r="I65" s="163"/>
      <c r="J65" s="164"/>
      <c r="K65" s="163"/>
      <c r="L65" s="164"/>
      <c r="M65" s="11"/>
      <c r="N65" s="39"/>
      <c r="Q65" s="15" t="str">
        <f>+CONCATENATE(E63,K63)</f>
        <v/>
      </c>
      <c r="R65" s="15">
        <f>+L63</f>
        <v>0</v>
      </c>
      <c r="S65" s="16"/>
      <c r="T65" s="15">
        <f>+E63</f>
        <v>0</v>
      </c>
      <c r="U65" s="26" t="str">
        <f>IFERROR(LEFT(K63,FIND("*",K63)-1),"-")</f>
        <v>-</v>
      </c>
      <c r="V65" s="26" t="str">
        <f>IFERROR(RIGHT(K63,LEN(K63)-FIND("*",K63)),"-")</f>
        <v>-</v>
      </c>
      <c r="W65" s="27" t="str">
        <f t="shared" si="28"/>
        <v>-</v>
      </c>
      <c r="X65" s="27" t="str">
        <f>IFERROR(W65*L63,"-")</f>
        <v>-</v>
      </c>
      <c r="Z65" s="94" t="s">
        <v>81</v>
      </c>
    </row>
    <row r="66" spans="1:26" ht="21" customHeight="1" thickBot="1" x14ac:dyDescent="0.35">
      <c r="A66" s="10"/>
      <c r="B66" s="170"/>
      <c r="C66" s="171"/>
      <c r="D66" s="172" t="s">
        <v>43</v>
      </c>
      <c r="E66" s="173"/>
      <c r="F66" s="173"/>
      <c r="G66" s="174"/>
      <c r="H66" s="174"/>
      <c r="I66" s="174"/>
      <c r="J66" s="174"/>
      <c r="K66" s="174"/>
      <c r="L66" s="174"/>
      <c r="M66" s="12"/>
      <c r="N66" s="40"/>
      <c r="Z66" s="95" t="s">
        <v>81</v>
      </c>
    </row>
    <row r="67" spans="1:26" ht="9.9499999999999993" customHeight="1" thickBot="1" x14ac:dyDescent="0.35">
      <c r="A67" s="6"/>
      <c r="B67" s="14"/>
      <c r="C67" s="119"/>
      <c r="D67" s="58"/>
      <c r="E67" s="17"/>
      <c r="F67" s="58"/>
      <c r="G67" s="19"/>
      <c r="H67" s="19"/>
      <c r="I67" s="19"/>
      <c r="J67" s="19"/>
      <c r="K67" s="19"/>
      <c r="L67" s="19"/>
      <c r="M67" s="14"/>
      <c r="N67" s="39"/>
      <c r="Q67" s="1"/>
      <c r="R67" s="1"/>
      <c r="S67" s="1"/>
      <c r="T67" s="1"/>
      <c r="U67" s="24"/>
      <c r="V67" s="24"/>
      <c r="W67" s="1"/>
      <c r="X67" s="1"/>
      <c r="Z67" s="94" t="s">
        <v>81</v>
      </c>
    </row>
    <row r="68" spans="1:26" ht="6.95" customHeight="1" x14ac:dyDescent="0.3">
      <c r="A68" s="165">
        <f>+A57+1</f>
        <v>7</v>
      </c>
      <c r="B68" s="166"/>
      <c r="C68" s="167"/>
      <c r="D68" s="160" t="s">
        <v>39</v>
      </c>
      <c r="E68" s="161"/>
      <c r="F68" s="162" t="s">
        <v>40</v>
      </c>
      <c r="G68" s="163"/>
      <c r="H68" s="164"/>
      <c r="I68" s="163"/>
      <c r="J68" s="164"/>
      <c r="K68" s="163"/>
      <c r="L68" s="164"/>
      <c r="M68" s="11"/>
      <c r="N68" s="39"/>
      <c r="Q68" s="15" t="str">
        <f>+CONCATENATE(E68,G68)</f>
        <v/>
      </c>
      <c r="R68" s="15">
        <f>+H68</f>
        <v>0</v>
      </c>
      <c r="S68" s="16"/>
      <c r="T68" s="15">
        <f>+E68</f>
        <v>0</v>
      </c>
      <c r="U68" s="26" t="str">
        <f>IFERROR(LEFT(G68,FIND("*",G68)-1),"-")</f>
        <v>-</v>
      </c>
      <c r="V68" s="26" t="str">
        <f>IFERROR(RIGHT(G68,LEN(G68)-FIND("*",G68)),"-")</f>
        <v>-</v>
      </c>
      <c r="W68" s="27" t="str">
        <f>IFERROR((U68+V68)*2/1000,"-")</f>
        <v>-</v>
      </c>
      <c r="X68" s="27" t="str">
        <f>IFERROR(W68*H68,"-")</f>
        <v>-</v>
      </c>
      <c r="Z68" s="94" t="s">
        <v>81</v>
      </c>
    </row>
    <row r="69" spans="1:26" ht="6.95" customHeight="1" x14ac:dyDescent="0.3">
      <c r="A69" s="165"/>
      <c r="B69" s="168"/>
      <c r="C69" s="169"/>
      <c r="D69" s="160"/>
      <c r="E69" s="161"/>
      <c r="F69" s="162"/>
      <c r="G69" s="163"/>
      <c r="H69" s="164"/>
      <c r="I69" s="163"/>
      <c r="J69" s="164"/>
      <c r="K69" s="163"/>
      <c r="L69" s="164"/>
      <c r="M69" s="11"/>
      <c r="N69" s="39"/>
      <c r="Q69" s="15" t="str">
        <f>+CONCATENATE(E68,I68)</f>
        <v/>
      </c>
      <c r="R69" s="15">
        <f>+J68</f>
        <v>0</v>
      </c>
      <c r="S69" s="16"/>
      <c r="T69" s="15">
        <f>+E68</f>
        <v>0</v>
      </c>
      <c r="U69" s="26" t="str">
        <f>IFERROR(LEFT(I68,FIND("*",I68)-1),"-")</f>
        <v>-</v>
      </c>
      <c r="V69" s="26" t="str">
        <f>IFERROR(RIGHT(I68,LEN(I68)-FIND("*",I68)),"-")</f>
        <v>-</v>
      </c>
      <c r="W69" s="27" t="str">
        <f t="shared" ref="W69:W76" si="34">IFERROR((U69+V69)*2/1000,"-")</f>
        <v>-</v>
      </c>
      <c r="X69" s="27" t="str">
        <f>IFERROR(W69*J68,"-")</f>
        <v>-</v>
      </c>
      <c r="Z69" s="94" t="s">
        <v>81</v>
      </c>
    </row>
    <row r="70" spans="1:26" ht="6.95" customHeight="1" x14ac:dyDescent="0.3">
      <c r="A70" s="165"/>
      <c r="B70" s="168"/>
      <c r="C70" s="169"/>
      <c r="D70" s="160"/>
      <c r="E70" s="161"/>
      <c r="F70" s="162"/>
      <c r="G70" s="163"/>
      <c r="H70" s="164"/>
      <c r="I70" s="163"/>
      <c r="J70" s="164"/>
      <c r="K70" s="163"/>
      <c r="L70" s="164"/>
      <c r="M70" s="11"/>
      <c r="N70" s="39"/>
      <c r="Q70" s="15" t="str">
        <f>+CONCATENATE(E68,K68)</f>
        <v/>
      </c>
      <c r="R70" s="15">
        <f>+L68</f>
        <v>0</v>
      </c>
      <c r="S70" s="16"/>
      <c r="T70" s="15">
        <f>+E68</f>
        <v>0</v>
      </c>
      <c r="U70" s="26" t="str">
        <f>IFERROR(LEFT(K68,FIND("*",K68)-1),"-")</f>
        <v>-</v>
      </c>
      <c r="V70" s="26" t="str">
        <f>IFERROR(RIGHT(K68,LEN(K68)-FIND("*",K68)),"-")</f>
        <v>-</v>
      </c>
      <c r="W70" s="27" t="str">
        <f t="shared" si="34"/>
        <v>-</v>
      </c>
      <c r="X70" s="27" t="str">
        <f>IFERROR(W70*L68,"-")</f>
        <v>-</v>
      </c>
      <c r="Z70" s="94" t="s">
        <v>81</v>
      </c>
    </row>
    <row r="71" spans="1:26" ht="6.95" customHeight="1" x14ac:dyDescent="0.3">
      <c r="A71" s="13"/>
      <c r="B71" s="168"/>
      <c r="C71" s="169"/>
      <c r="D71" s="160" t="s">
        <v>39</v>
      </c>
      <c r="E71" s="161"/>
      <c r="F71" s="162" t="s">
        <v>40</v>
      </c>
      <c r="G71" s="163"/>
      <c r="H71" s="164"/>
      <c r="I71" s="163"/>
      <c r="J71" s="164"/>
      <c r="K71" s="163"/>
      <c r="L71" s="164"/>
      <c r="M71" s="11"/>
      <c r="N71" s="39"/>
      <c r="Q71" s="15" t="str">
        <f>+CONCATENATE(E71,G71)</f>
        <v/>
      </c>
      <c r="R71" s="15">
        <f>+H71</f>
        <v>0</v>
      </c>
      <c r="S71" s="16"/>
      <c r="T71" s="15">
        <f>+E71</f>
        <v>0</v>
      </c>
      <c r="U71" s="26" t="str">
        <f t="shared" ref="U71" si="35">IFERROR(LEFT(G71,FIND("*",G71)-1),"-")</f>
        <v>-</v>
      </c>
      <c r="V71" s="26" t="str">
        <f t="shared" ref="V71" si="36">IFERROR(RIGHT(G71,LEN(G71)-FIND("*",G71)),"-")</f>
        <v>-</v>
      </c>
      <c r="W71" s="27" t="str">
        <f t="shared" si="34"/>
        <v>-</v>
      </c>
      <c r="X71" s="27" t="str">
        <f>IFERROR(W71*H71,"-")</f>
        <v>-</v>
      </c>
      <c r="Z71" s="94" t="s">
        <v>81</v>
      </c>
    </row>
    <row r="72" spans="1:26" ht="6.95" customHeight="1" x14ac:dyDescent="0.3">
      <c r="A72" s="10"/>
      <c r="B72" s="168"/>
      <c r="C72" s="169"/>
      <c r="D72" s="160"/>
      <c r="E72" s="161"/>
      <c r="F72" s="162"/>
      <c r="G72" s="163"/>
      <c r="H72" s="164"/>
      <c r="I72" s="163"/>
      <c r="J72" s="164"/>
      <c r="K72" s="163"/>
      <c r="L72" s="164"/>
      <c r="M72" s="11"/>
      <c r="N72" s="39"/>
      <c r="Q72" s="15" t="str">
        <f>+CONCATENATE(E71,I71)</f>
        <v/>
      </c>
      <c r="R72" s="15">
        <f>+J71</f>
        <v>0</v>
      </c>
      <c r="S72" s="16"/>
      <c r="T72" s="15">
        <f>+E71</f>
        <v>0</v>
      </c>
      <c r="U72" s="26" t="str">
        <f>IFERROR(LEFT(I71,FIND("*",I71)-1),"-")</f>
        <v>-</v>
      </c>
      <c r="V72" s="26" t="str">
        <f>IFERROR(RIGHT(I71,LEN(I71)-FIND("*",I71)),"-")</f>
        <v>-</v>
      </c>
      <c r="W72" s="27" t="str">
        <f t="shared" si="34"/>
        <v>-</v>
      </c>
      <c r="X72" s="27" t="str">
        <f>IFERROR(W72*J71,"-")</f>
        <v>-</v>
      </c>
      <c r="Z72" s="94" t="s">
        <v>81</v>
      </c>
    </row>
    <row r="73" spans="1:26" ht="6.95" customHeight="1" x14ac:dyDescent="0.3">
      <c r="A73" s="10"/>
      <c r="B73" s="168"/>
      <c r="C73" s="169"/>
      <c r="D73" s="160"/>
      <c r="E73" s="161"/>
      <c r="F73" s="162"/>
      <c r="G73" s="163"/>
      <c r="H73" s="164"/>
      <c r="I73" s="163"/>
      <c r="J73" s="164"/>
      <c r="K73" s="163"/>
      <c r="L73" s="164"/>
      <c r="M73" s="11"/>
      <c r="N73" s="39"/>
      <c r="Q73" s="15" t="str">
        <f>+CONCATENATE(E71,K71)</f>
        <v/>
      </c>
      <c r="R73" s="15">
        <f>+L71</f>
        <v>0</v>
      </c>
      <c r="S73" s="16"/>
      <c r="T73" s="15">
        <f>+E71</f>
        <v>0</v>
      </c>
      <c r="U73" s="26" t="str">
        <f>IFERROR(LEFT(K71,FIND("*",K71)-1),"-")</f>
        <v>-</v>
      </c>
      <c r="V73" s="26" t="str">
        <f>IFERROR(RIGHT(K71,LEN(K71)-FIND("*",K71)),"-")</f>
        <v>-</v>
      </c>
      <c r="W73" s="27" t="str">
        <f t="shared" si="34"/>
        <v>-</v>
      </c>
      <c r="X73" s="27" t="str">
        <f>IFERROR(W73*L71,"-")</f>
        <v>-</v>
      </c>
      <c r="Z73" s="94" t="s">
        <v>81</v>
      </c>
    </row>
    <row r="74" spans="1:26" ht="6.95" customHeight="1" x14ac:dyDescent="0.3">
      <c r="A74" s="13"/>
      <c r="B74" s="168"/>
      <c r="C74" s="169"/>
      <c r="D74" s="160" t="s">
        <v>39</v>
      </c>
      <c r="E74" s="161"/>
      <c r="F74" s="162" t="s">
        <v>40</v>
      </c>
      <c r="G74" s="163"/>
      <c r="H74" s="164"/>
      <c r="I74" s="163"/>
      <c r="J74" s="164"/>
      <c r="K74" s="163"/>
      <c r="L74" s="164"/>
      <c r="M74" s="11"/>
      <c r="N74" s="39"/>
      <c r="Q74" s="15" t="str">
        <f>+CONCATENATE(E74,G74)</f>
        <v/>
      </c>
      <c r="R74" s="15">
        <f>+H74</f>
        <v>0</v>
      </c>
      <c r="S74" s="16"/>
      <c r="T74" s="15">
        <f>+E74</f>
        <v>0</v>
      </c>
      <c r="U74" s="26" t="str">
        <f t="shared" ref="U74" si="37">IFERROR(LEFT(G74,FIND("*",G74)-1),"-")</f>
        <v>-</v>
      </c>
      <c r="V74" s="26" t="str">
        <f t="shared" ref="V74" si="38">IFERROR(RIGHT(G74,LEN(G74)-FIND("*",G74)),"-")</f>
        <v>-</v>
      </c>
      <c r="W74" s="27" t="str">
        <f t="shared" si="34"/>
        <v>-</v>
      </c>
      <c r="X74" s="27" t="str">
        <f>IFERROR(W74*H74,"-")</f>
        <v>-</v>
      </c>
      <c r="Z74" s="94" t="s">
        <v>81</v>
      </c>
    </row>
    <row r="75" spans="1:26" ht="6.95" customHeight="1" x14ac:dyDescent="0.3">
      <c r="A75" s="10"/>
      <c r="B75" s="168"/>
      <c r="C75" s="169"/>
      <c r="D75" s="160"/>
      <c r="E75" s="161"/>
      <c r="F75" s="162"/>
      <c r="G75" s="163"/>
      <c r="H75" s="164"/>
      <c r="I75" s="163"/>
      <c r="J75" s="164"/>
      <c r="K75" s="163"/>
      <c r="L75" s="164"/>
      <c r="M75" s="11"/>
      <c r="N75" s="39"/>
      <c r="Q75" s="15" t="str">
        <f>+CONCATENATE(E74,I74)</f>
        <v/>
      </c>
      <c r="R75" s="15">
        <f>+J74</f>
        <v>0</v>
      </c>
      <c r="S75" s="16"/>
      <c r="T75" s="15">
        <f>+E74</f>
        <v>0</v>
      </c>
      <c r="U75" s="26" t="str">
        <f>IFERROR(LEFT(I74,FIND("*",I74)-1),"-")</f>
        <v>-</v>
      </c>
      <c r="V75" s="26" t="str">
        <f>IFERROR(RIGHT(I74,LEN(I74)-FIND("*",I74)),"-")</f>
        <v>-</v>
      </c>
      <c r="W75" s="27" t="str">
        <f t="shared" si="34"/>
        <v>-</v>
      </c>
      <c r="X75" s="27" t="str">
        <f t="shared" ref="X75" si="39">IFERROR(W75*J74,"-")</f>
        <v>-</v>
      </c>
      <c r="Z75" s="94" t="s">
        <v>81</v>
      </c>
    </row>
    <row r="76" spans="1:26" ht="6.95" customHeight="1" x14ac:dyDescent="0.3">
      <c r="A76" s="10"/>
      <c r="B76" s="168"/>
      <c r="C76" s="169"/>
      <c r="D76" s="160"/>
      <c r="E76" s="161"/>
      <c r="F76" s="162"/>
      <c r="G76" s="163"/>
      <c r="H76" s="164"/>
      <c r="I76" s="163"/>
      <c r="J76" s="164"/>
      <c r="K76" s="163"/>
      <c r="L76" s="164"/>
      <c r="M76" s="11"/>
      <c r="N76" s="39"/>
      <c r="Q76" s="15" t="str">
        <f>+CONCATENATE(E74,K74)</f>
        <v/>
      </c>
      <c r="R76" s="15">
        <f>+L74</f>
        <v>0</v>
      </c>
      <c r="S76" s="16"/>
      <c r="T76" s="15">
        <f>+E74</f>
        <v>0</v>
      </c>
      <c r="U76" s="26" t="str">
        <f>IFERROR(LEFT(K74,FIND("*",K74)-1),"-")</f>
        <v>-</v>
      </c>
      <c r="V76" s="26" t="str">
        <f>IFERROR(RIGHT(K74,LEN(K74)-FIND("*",K74)),"-")</f>
        <v>-</v>
      </c>
      <c r="W76" s="27" t="str">
        <f t="shared" si="34"/>
        <v>-</v>
      </c>
      <c r="X76" s="27" t="str">
        <f>IFERROR(W76*L74,"-")</f>
        <v>-</v>
      </c>
      <c r="Z76" s="94" t="s">
        <v>81</v>
      </c>
    </row>
    <row r="77" spans="1:26" ht="21" customHeight="1" thickBot="1" x14ac:dyDescent="0.35">
      <c r="A77" s="10"/>
      <c r="B77" s="170"/>
      <c r="C77" s="171"/>
      <c r="D77" s="172" t="s">
        <v>43</v>
      </c>
      <c r="E77" s="173"/>
      <c r="F77" s="173"/>
      <c r="G77" s="174"/>
      <c r="H77" s="174"/>
      <c r="I77" s="174"/>
      <c r="J77" s="174"/>
      <c r="K77" s="174"/>
      <c r="L77" s="174"/>
      <c r="M77" s="12"/>
      <c r="N77" s="40"/>
      <c r="Z77" s="95" t="s">
        <v>81</v>
      </c>
    </row>
    <row r="78" spans="1:26" ht="9.9499999999999993" customHeight="1" thickBot="1" x14ac:dyDescent="0.35">
      <c r="A78" s="6"/>
      <c r="B78" s="14"/>
      <c r="C78" s="119">
        <v>768</v>
      </c>
      <c r="D78" s="58"/>
      <c r="E78" s="17"/>
      <c r="F78" s="58"/>
      <c r="G78" s="19"/>
      <c r="H78" s="19"/>
      <c r="I78" s="19"/>
      <c r="J78" s="19"/>
      <c r="K78" s="19"/>
      <c r="L78" s="19"/>
      <c r="M78" s="14"/>
      <c r="N78" s="39"/>
      <c r="Q78" s="1"/>
      <c r="R78" s="1"/>
      <c r="S78" s="1"/>
      <c r="T78" s="1"/>
      <c r="U78" s="24"/>
      <c r="V78" s="24"/>
      <c r="W78" s="1"/>
      <c r="X78" s="1"/>
      <c r="Z78" s="94" t="s">
        <v>81</v>
      </c>
    </row>
    <row r="79" spans="1:26" ht="6.95" customHeight="1" x14ac:dyDescent="0.3">
      <c r="A79" s="165">
        <f>+A68+1</f>
        <v>8</v>
      </c>
      <c r="B79" s="166"/>
      <c r="C79" s="167"/>
      <c r="D79" s="160" t="s">
        <v>39</v>
      </c>
      <c r="E79" s="161"/>
      <c r="F79" s="162" t="s">
        <v>40</v>
      </c>
      <c r="G79" s="163"/>
      <c r="H79" s="164"/>
      <c r="I79" s="163"/>
      <c r="J79" s="164"/>
      <c r="K79" s="163"/>
      <c r="L79" s="164"/>
      <c r="M79" s="11"/>
      <c r="N79" s="39"/>
      <c r="Q79" s="15" t="str">
        <f>+CONCATENATE(E79,G79)</f>
        <v/>
      </c>
      <c r="R79" s="15">
        <f>+H79</f>
        <v>0</v>
      </c>
      <c r="S79" s="16"/>
      <c r="T79" s="15">
        <f>+E79</f>
        <v>0</v>
      </c>
      <c r="U79" s="26" t="str">
        <f>IFERROR(LEFT(G79,FIND("*",G79)-1),"-")</f>
        <v>-</v>
      </c>
      <c r="V79" s="26" t="str">
        <f>IFERROR(RIGHT(G79,LEN(G79)-FIND("*",G79)),"-")</f>
        <v>-</v>
      </c>
      <c r="W79" s="27" t="str">
        <f>IFERROR((U79+V79)*2/1000,"-")</f>
        <v>-</v>
      </c>
      <c r="X79" s="27" t="str">
        <f>IFERROR(W79*H79,"-")</f>
        <v>-</v>
      </c>
      <c r="Z79" s="94" t="s">
        <v>81</v>
      </c>
    </row>
    <row r="80" spans="1:26" ht="6.95" customHeight="1" x14ac:dyDescent="0.3">
      <c r="A80" s="165"/>
      <c r="B80" s="168"/>
      <c r="C80" s="169"/>
      <c r="D80" s="160"/>
      <c r="E80" s="161"/>
      <c r="F80" s="162"/>
      <c r="G80" s="163"/>
      <c r="H80" s="164"/>
      <c r="I80" s="163"/>
      <c r="J80" s="164"/>
      <c r="K80" s="163"/>
      <c r="L80" s="164"/>
      <c r="M80" s="11"/>
      <c r="N80" s="39"/>
      <c r="Q80" s="15" t="str">
        <f>+CONCATENATE(E79,I79)</f>
        <v/>
      </c>
      <c r="R80" s="15">
        <f>+J79</f>
        <v>0</v>
      </c>
      <c r="S80" s="16"/>
      <c r="T80" s="15">
        <f>+E79</f>
        <v>0</v>
      </c>
      <c r="U80" s="26" t="str">
        <f>IFERROR(LEFT(I79,FIND("*",I79)-1),"-")</f>
        <v>-</v>
      </c>
      <c r="V80" s="26" t="str">
        <f>IFERROR(RIGHT(I79,LEN(I79)-FIND("*",I79)),"-")</f>
        <v>-</v>
      </c>
      <c r="W80" s="27" t="str">
        <f t="shared" ref="W80:W87" si="40">IFERROR((U80+V80)*2/1000,"-")</f>
        <v>-</v>
      </c>
      <c r="X80" s="27" t="str">
        <f>IFERROR(W80*J79,"-")</f>
        <v>-</v>
      </c>
      <c r="Z80" s="94" t="s">
        <v>81</v>
      </c>
    </row>
    <row r="81" spans="1:26" ht="6.95" customHeight="1" x14ac:dyDescent="0.3">
      <c r="A81" s="165"/>
      <c r="B81" s="168"/>
      <c r="C81" s="169"/>
      <c r="D81" s="160"/>
      <c r="E81" s="161"/>
      <c r="F81" s="162"/>
      <c r="G81" s="163"/>
      <c r="H81" s="164"/>
      <c r="I81" s="163"/>
      <c r="J81" s="164"/>
      <c r="K81" s="163"/>
      <c r="L81" s="164"/>
      <c r="M81" s="11"/>
      <c r="N81" s="39"/>
      <c r="Q81" s="15" t="str">
        <f>+CONCATENATE(E79,K79)</f>
        <v/>
      </c>
      <c r="R81" s="15">
        <f>+L79</f>
        <v>0</v>
      </c>
      <c r="S81" s="16"/>
      <c r="T81" s="15">
        <f>+E79</f>
        <v>0</v>
      </c>
      <c r="U81" s="26" t="str">
        <f>IFERROR(LEFT(K79,FIND("*",K79)-1),"-")</f>
        <v>-</v>
      </c>
      <c r="V81" s="26" t="str">
        <f>IFERROR(RIGHT(K79,LEN(K79)-FIND("*",K79)),"-")</f>
        <v>-</v>
      </c>
      <c r="W81" s="27" t="str">
        <f t="shared" si="40"/>
        <v>-</v>
      </c>
      <c r="X81" s="27" t="str">
        <f>IFERROR(W81*L79,"-")</f>
        <v>-</v>
      </c>
      <c r="Z81" s="94" t="s">
        <v>81</v>
      </c>
    </row>
    <row r="82" spans="1:26" ht="6.95" customHeight="1" x14ac:dyDescent="0.3">
      <c r="A82" s="13"/>
      <c r="B82" s="168"/>
      <c r="C82" s="169"/>
      <c r="D82" s="160" t="s">
        <v>39</v>
      </c>
      <c r="E82" s="161"/>
      <c r="F82" s="162" t="s">
        <v>40</v>
      </c>
      <c r="G82" s="163"/>
      <c r="H82" s="164"/>
      <c r="I82" s="163"/>
      <c r="J82" s="164"/>
      <c r="K82" s="163"/>
      <c r="L82" s="164"/>
      <c r="M82" s="11"/>
      <c r="N82" s="39"/>
      <c r="Q82" s="15" t="str">
        <f>+CONCATENATE(E82,G82)</f>
        <v/>
      </c>
      <c r="R82" s="15">
        <f>+H82</f>
        <v>0</v>
      </c>
      <c r="S82" s="16"/>
      <c r="T82" s="15">
        <f>+E82</f>
        <v>0</v>
      </c>
      <c r="U82" s="26" t="str">
        <f t="shared" ref="U82" si="41">IFERROR(LEFT(G82,FIND("*",G82)-1),"-")</f>
        <v>-</v>
      </c>
      <c r="V82" s="26" t="str">
        <f t="shared" ref="V82" si="42">IFERROR(RIGHT(G82,LEN(G82)-FIND("*",G82)),"-")</f>
        <v>-</v>
      </c>
      <c r="W82" s="27" t="str">
        <f t="shared" si="40"/>
        <v>-</v>
      </c>
      <c r="X82" s="27" t="str">
        <f>IFERROR(W82*H82,"-")</f>
        <v>-</v>
      </c>
      <c r="Z82" s="94" t="s">
        <v>81</v>
      </c>
    </row>
    <row r="83" spans="1:26" ht="6.95" customHeight="1" x14ac:dyDescent="0.3">
      <c r="A83" s="10"/>
      <c r="B83" s="168"/>
      <c r="C83" s="169"/>
      <c r="D83" s="160"/>
      <c r="E83" s="161"/>
      <c r="F83" s="162"/>
      <c r="G83" s="163"/>
      <c r="H83" s="164"/>
      <c r="I83" s="163"/>
      <c r="J83" s="164"/>
      <c r="K83" s="163"/>
      <c r="L83" s="164"/>
      <c r="M83" s="11"/>
      <c r="N83" s="39"/>
      <c r="Q83" s="15" t="str">
        <f>+CONCATENATE(E82,I82)</f>
        <v/>
      </c>
      <c r="R83" s="15">
        <f>+J82</f>
        <v>0</v>
      </c>
      <c r="S83" s="16"/>
      <c r="T83" s="15">
        <f>+E82</f>
        <v>0</v>
      </c>
      <c r="U83" s="26" t="str">
        <f>IFERROR(LEFT(I82,FIND("*",I82)-1),"-")</f>
        <v>-</v>
      </c>
      <c r="V83" s="26" t="str">
        <f>IFERROR(RIGHT(I82,LEN(I82)-FIND("*",I82)),"-")</f>
        <v>-</v>
      </c>
      <c r="W83" s="27" t="str">
        <f t="shared" si="40"/>
        <v>-</v>
      </c>
      <c r="X83" s="27" t="str">
        <f>IFERROR(W83*J82,"-")</f>
        <v>-</v>
      </c>
      <c r="Z83" s="94" t="s">
        <v>81</v>
      </c>
    </row>
    <row r="84" spans="1:26" ht="6.95" customHeight="1" x14ac:dyDescent="0.3">
      <c r="A84" s="10"/>
      <c r="B84" s="168"/>
      <c r="C84" s="169"/>
      <c r="D84" s="160"/>
      <c r="E84" s="161"/>
      <c r="F84" s="162"/>
      <c r="G84" s="163"/>
      <c r="H84" s="164"/>
      <c r="I84" s="163"/>
      <c r="J84" s="164"/>
      <c r="K84" s="163"/>
      <c r="L84" s="164"/>
      <c r="M84" s="11"/>
      <c r="N84" s="39"/>
      <c r="Q84" s="15" t="str">
        <f>+CONCATENATE(E82,K82)</f>
        <v/>
      </c>
      <c r="R84" s="15">
        <f>+L82</f>
        <v>0</v>
      </c>
      <c r="S84" s="16"/>
      <c r="T84" s="15">
        <f>+E82</f>
        <v>0</v>
      </c>
      <c r="U84" s="26" t="str">
        <f>IFERROR(LEFT(K82,FIND("*",K82)-1),"-")</f>
        <v>-</v>
      </c>
      <c r="V84" s="26" t="str">
        <f>IFERROR(RIGHT(K82,LEN(K82)-FIND("*",K82)),"-")</f>
        <v>-</v>
      </c>
      <c r="W84" s="27" t="str">
        <f t="shared" si="40"/>
        <v>-</v>
      </c>
      <c r="X84" s="27" t="str">
        <f>IFERROR(W84*L82,"-")</f>
        <v>-</v>
      </c>
      <c r="Z84" s="94" t="s">
        <v>81</v>
      </c>
    </row>
    <row r="85" spans="1:26" ht="6.95" customHeight="1" x14ac:dyDescent="0.3">
      <c r="A85" s="13"/>
      <c r="B85" s="168"/>
      <c r="C85" s="169"/>
      <c r="D85" s="160" t="s">
        <v>39</v>
      </c>
      <c r="E85" s="161"/>
      <c r="F85" s="162" t="s">
        <v>40</v>
      </c>
      <c r="G85" s="163"/>
      <c r="H85" s="164"/>
      <c r="I85" s="163"/>
      <c r="J85" s="164"/>
      <c r="K85" s="163"/>
      <c r="L85" s="164"/>
      <c r="M85" s="11"/>
      <c r="N85" s="39"/>
      <c r="Q85" s="15" t="str">
        <f>+CONCATENATE(E85,G85)</f>
        <v/>
      </c>
      <c r="R85" s="15">
        <f>+H85</f>
        <v>0</v>
      </c>
      <c r="S85" s="16"/>
      <c r="T85" s="15">
        <f>+E85</f>
        <v>0</v>
      </c>
      <c r="U85" s="26" t="str">
        <f t="shared" ref="U85" si="43">IFERROR(LEFT(G85,FIND("*",G85)-1),"-")</f>
        <v>-</v>
      </c>
      <c r="V85" s="26" t="str">
        <f t="shared" ref="V85" si="44">IFERROR(RIGHT(G85,LEN(G85)-FIND("*",G85)),"-")</f>
        <v>-</v>
      </c>
      <c r="W85" s="27" t="str">
        <f t="shared" si="40"/>
        <v>-</v>
      </c>
      <c r="X85" s="27" t="str">
        <f>IFERROR(W85*H85,"-")</f>
        <v>-</v>
      </c>
      <c r="Z85" s="94" t="s">
        <v>81</v>
      </c>
    </row>
    <row r="86" spans="1:26" ht="6.95" customHeight="1" x14ac:dyDescent="0.3">
      <c r="A86" s="10"/>
      <c r="B86" s="168"/>
      <c r="C86" s="169"/>
      <c r="D86" s="160"/>
      <c r="E86" s="161"/>
      <c r="F86" s="162"/>
      <c r="G86" s="163"/>
      <c r="H86" s="164"/>
      <c r="I86" s="163"/>
      <c r="J86" s="164"/>
      <c r="K86" s="163"/>
      <c r="L86" s="164"/>
      <c r="M86" s="11"/>
      <c r="N86" s="39"/>
      <c r="Q86" s="15" t="str">
        <f>+CONCATENATE(E85,I85)</f>
        <v/>
      </c>
      <c r="R86" s="15">
        <f>+J85</f>
        <v>0</v>
      </c>
      <c r="S86" s="16"/>
      <c r="T86" s="15">
        <f>+E85</f>
        <v>0</v>
      </c>
      <c r="U86" s="26" t="str">
        <f>IFERROR(LEFT(I85,FIND("*",I85)-1),"-")</f>
        <v>-</v>
      </c>
      <c r="V86" s="26" t="str">
        <f>IFERROR(RIGHT(I85,LEN(I85)-FIND("*",I85)),"-")</f>
        <v>-</v>
      </c>
      <c r="W86" s="27" t="str">
        <f t="shared" si="40"/>
        <v>-</v>
      </c>
      <c r="X86" s="27" t="str">
        <f t="shared" ref="X86" si="45">IFERROR(W86*J85,"-")</f>
        <v>-</v>
      </c>
      <c r="Z86" s="94" t="s">
        <v>81</v>
      </c>
    </row>
    <row r="87" spans="1:26" ht="6.95" customHeight="1" x14ac:dyDescent="0.3">
      <c r="A87" s="10"/>
      <c r="B87" s="168"/>
      <c r="C87" s="169"/>
      <c r="D87" s="160"/>
      <c r="E87" s="161"/>
      <c r="F87" s="162"/>
      <c r="G87" s="163"/>
      <c r="H87" s="164"/>
      <c r="I87" s="163"/>
      <c r="J87" s="164"/>
      <c r="K87" s="163"/>
      <c r="L87" s="164"/>
      <c r="M87" s="11"/>
      <c r="N87" s="39"/>
      <c r="Q87" s="15" t="str">
        <f>+CONCATENATE(E85,K85)</f>
        <v/>
      </c>
      <c r="R87" s="15">
        <f>+L85</f>
        <v>0</v>
      </c>
      <c r="S87" s="16"/>
      <c r="T87" s="15">
        <f>+E85</f>
        <v>0</v>
      </c>
      <c r="U87" s="26" t="str">
        <f>IFERROR(LEFT(K85,FIND("*",K85)-1),"-")</f>
        <v>-</v>
      </c>
      <c r="V87" s="26" t="str">
        <f>IFERROR(RIGHT(K85,LEN(K85)-FIND("*",K85)),"-")</f>
        <v>-</v>
      </c>
      <c r="W87" s="27" t="str">
        <f t="shared" si="40"/>
        <v>-</v>
      </c>
      <c r="X87" s="27" t="str">
        <f>IFERROR(W87*L85,"-")</f>
        <v>-</v>
      </c>
      <c r="Z87" s="94" t="s">
        <v>81</v>
      </c>
    </row>
    <row r="88" spans="1:26" ht="21" customHeight="1" thickBot="1" x14ac:dyDescent="0.35">
      <c r="A88" s="10"/>
      <c r="B88" s="170"/>
      <c r="C88" s="171"/>
      <c r="D88" s="172" t="s">
        <v>43</v>
      </c>
      <c r="E88" s="173"/>
      <c r="F88" s="173"/>
      <c r="G88" s="174"/>
      <c r="H88" s="174"/>
      <c r="I88" s="174"/>
      <c r="J88" s="174"/>
      <c r="K88" s="174"/>
      <c r="L88" s="174"/>
      <c r="M88" s="12"/>
      <c r="N88" s="39"/>
      <c r="Z88" s="95" t="s">
        <v>81</v>
      </c>
    </row>
    <row r="89" spans="1:26" ht="9.9499999999999993" customHeight="1" thickBot="1" x14ac:dyDescent="0.35">
      <c r="A89" s="6"/>
      <c r="B89" s="14"/>
      <c r="C89" s="119">
        <v>769</v>
      </c>
      <c r="D89" s="58"/>
      <c r="E89" s="17"/>
      <c r="F89" s="58"/>
      <c r="G89" s="19"/>
      <c r="H89" s="19"/>
      <c r="I89" s="19"/>
      <c r="J89" s="19"/>
      <c r="K89" s="19"/>
      <c r="L89" s="19"/>
      <c r="M89" s="14"/>
      <c r="N89" s="39"/>
      <c r="Q89" s="1"/>
      <c r="R89" s="1"/>
      <c r="S89" s="1"/>
      <c r="T89" s="1"/>
      <c r="U89" s="24"/>
      <c r="V89" s="24"/>
      <c r="W89" s="1"/>
      <c r="X89" s="1"/>
      <c r="Z89" s="94" t="s">
        <v>81</v>
      </c>
    </row>
    <row r="90" spans="1:26" ht="6.95" customHeight="1" x14ac:dyDescent="0.3">
      <c r="A90" s="165">
        <f>+A79+1</f>
        <v>9</v>
      </c>
      <c r="B90" s="166"/>
      <c r="C90" s="167"/>
      <c r="D90" s="160" t="s">
        <v>39</v>
      </c>
      <c r="E90" s="161"/>
      <c r="F90" s="162" t="s">
        <v>40</v>
      </c>
      <c r="G90" s="163"/>
      <c r="H90" s="164"/>
      <c r="I90" s="163"/>
      <c r="J90" s="164"/>
      <c r="K90" s="163"/>
      <c r="L90" s="164"/>
      <c r="M90" s="11"/>
      <c r="N90" s="39"/>
      <c r="Q90" s="15" t="str">
        <f>+CONCATENATE(E90,G90)</f>
        <v/>
      </c>
      <c r="R90" s="15">
        <f>+H90</f>
        <v>0</v>
      </c>
      <c r="S90" s="16"/>
      <c r="T90" s="15">
        <f>+E90</f>
        <v>0</v>
      </c>
      <c r="U90" s="26" t="str">
        <f>IFERROR(LEFT(G90,FIND("*",G90)-1),"-")</f>
        <v>-</v>
      </c>
      <c r="V90" s="26" t="str">
        <f>IFERROR(RIGHT(G90,LEN(G90)-FIND("*",G90)),"-")</f>
        <v>-</v>
      </c>
      <c r="W90" s="27" t="str">
        <f>IFERROR((U90+V90)*2/1000,"-")</f>
        <v>-</v>
      </c>
      <c r="X90" s="27" t="str">
        <f>IFERROR(W90*H90,"-")</f>
        <v>-</v>
      </c>
      <c r="Z90" s="94" t="s">
        <v>81</v>
      </c>
    </row>
    <row r="91" spans="1:26" ht="6.95" customHeight="1" x14ac:dyDescent="0.3">
      <c r="A91" s="165"/>
      <c r="B91" s="168"/>
      <c r="C91" s="169"/>
      <c r="D91" s="160"/>
      <c r="E91" s="161"/>
      <c r="F91" s="162"/>
      <c r="G91" s="163"/>
      <c r="H91" s="164"/>
      <c r="I91" s="163"/>
      <c r="J91" s="164"/>
      <c r="K91" s="163"/>
      <c r="L91" s="164"/>
      <c r="M91" s="11"/>
      <c r="N91" s="39"/>
      <c r="Q91" s="15" t="str">
        <f>+CONCATENATE(E90,I90)</f>
        <v/>
      </c>
      <c r="R91" s="15">
        <f>+J90</f>
        <v>0</v>
      </c>
      <c r="S91" s="16"/>
      <c r="T91" s="15">
        <f>+E90</f>
        <v>0</v>
      </c>
      <c r="U91" s="26" t="str">
        <f>IFERROR(LEFT(I90,FIND("*",I90)-1),"-")</f>
        <v>-</v>
      </c>
      <c r="V91" s="26" t="str">
        <f>IFERROR(RIGHT(I90,LEN(I90)-FIND("*",I90)),"-")</f>
        <v>-</v>
      </c>
      <c r="W91" s="27" t="str">
        <f t="shared" ref="W91:W98" si="46">IFERROR((U91+V91)*2/1000,"-")</f>
        <v>-</v>
      </c>
      <c r="X91" s="27" t="str">
        <f>IFERROR(W91*J90,"-")</f>
        <v>-</v>
      </c>
      <c r="Z91" s="94" t="s">
        <v>81</v>
      </c>
    </row>
    <row r="92" spans="1:26" ht="6.95" customHeight="1" x14ac:dyDescent="0.3">
      <c r="A92" s="165"/>
      <c r="B92" s="168"/>
      <c r="C92" s="169"/>
      <c r="D92" s="160"/>
      <c r="E92" s="161"/>
      <c r="F92" s="162"/>
      <c r="G92" s="163"/>
      <c r="H92" s="164"/>
      <c r="I92" s="163"/>
      <c r="J92" s="164"/>
      <c r="K92" s="163"/>
      <c r="L92" s="164"/>
      <c r="M92" s="11"/>
      <c r="N92" s="39"/>
      <c r="Q92" s="15" t="str">
        <f>+CONCATENATE(E90,K90)</f>
        <v/>
      </c>
      <c r="R92" s="15">
        <f>+L90</f>
        <v>0</v>
      </c>
      <c r="S92" s="16"/>
      <c r="T92" s="15">
        <f>+E90</f>
        <v>0</v>
      </c>
      <c r="U92" s="26" t="str">
        <f>IFERROR(LEFT(K90,FIND("*",K90)-1),"-")</f>
        <v>-</v>
      </c>
      <c r="V92" s="26" t="str">
        <f>IFERROR(RIGHT(K90,LEN(K90)-FIND("*",K90)),"-")</f>
        <v>-</v>
      </c>
      <c r="W92" s="27" t="str">
        <f t="shared" si="46"/>
        <v>-</v>
      </c>
      <c r="X92" s="27" t="str">
        <f>IFERROR(W92*L90,"-")</f>
        <v>-</v>
      </c>
      <c r="Z92" s="94" t="s">
        <v>81</v>
      </c>
    </row>
    <row r="93" spans="1:26" ht="6.95" customHeight="1" x14ac:dyDescent="0.3">
      <c r="A93" s="13"/>
      <c r="B93" s="168"/>
      <c r="C93" s="169"/>
      <c r="D93" s="160" t="s">
        <v>39</v>
      </c>
      <c r="E93" s="161"/>
      <c r="F93" s="162" t="s">
        <v>40</v>
      </c>
      <c r="G93" s="163"/>
      <c r="H93" s="164"/>
      <c r="I93" s="163"/>
      <c r="J93" s="164"/>
      <c r="K93" s="163"/>
      <c r="L93" s="164"/>
      <c r="M93" s="11"/>
      <c r="N93" s="39"/>
      <c r="Q93" s="15" t="str">
        <f>+CONCATENATE(E93,G93)</f>
        <v/>
      </c>
      <c r="R93" s="15">
        <f>+H93</f>
        <v>0</v>
      </c>
      <c r="S93" s="16"/>
      <c r="T93" s="15">
        <f>+E93</f>
        <v>0</v>
      </c>
      <c r="U93" s="26" t="str">
        <f t="shared" ref="U93" si="47">IFERROR(LEFT(G93,FIND("*",G93)-1),"-")</f>
        <v>-</v>
      </c>
      <c r="V93" s="26" t="str">
        <f t="shared" ref="V93" si="48">IFERROR(RIGHT(G93,LEN(G93)-FIND("*",G93)),"-")</f>
        <v>-</v>
      </c>
      <c r="W93" s="27" t="str">
        <f t="shared" si="46"/>
        <v>-</v>
      </c>
      <c r="X93" s="27" t="str">
        <f>IFERROR(W93*H93,"-")</f>
        <v>-</v>
      </c>
      <c r="Z93" s="94" t="s">
        <v>81</v>
      </c>
    </row>
    <row r="94" spans="1:26" ht="6.95" customHeight="1" x14ac:dyDescent="0.3">
      <c r="A94" s="10"/>
      <c r="B94" s="168"/>
      <c r="C94" s="169"/>
      <c r="D94" s="160"/>
      <c r="E94" s="161"/>
      <c r="F94" s="162"/>
      <c r="G94" s="163"/>
      <c r="H94" s="164"/>
      <c r="I94" s="163"/>
      <c r="J94" s="164"/>
      <c r="K94" s="163"/>
      <c r="L94" s="164"/>
      <c r="M94" s="11"/>
      <c r="N94" s="39"/>
      <c r="Q94" s="15" t="str">
        <f>+CONCATENATE(E93,I93)</f>
        <v/>
      </c>
      <c r="R94" s="15">
        <f>+J93</f>
        <v>0</v>
      </c>
      <c r="S94" s="16"/>
      <c r="T94" s="15">
        <f>+E93</f>
        <v>0</v>
      </c>
      <c r="U94" s="26" t="str">
        <f>IFERROR(LEFT(I93,FIND("*",I93)-1),"-")</f>
        <v>-</v>
      </c>
      <c r="V94" s="26" t="str">
        <f>IFERROR(RIGHT(I93,LEN(I93)-FIND("*",I93)),"-")</f>
        <v>-</v>
      </c>
      <c r="W94" s="27" t="str">
        <f t="shared" si="46"/>
        <v>-</v>
      </c>
      <c r="X94" s="27" t="str">
        <f>IFERROR(W94*J93,"-")</f>
        <v>-</v>
      </c>
      <c r="Z94" s="94" t="s">
        <v>81</v>
      </c>
    </row>
    <row r="95" spans="1:26" ht="6.95" customHeight="1" x14ac:dyDescent="0.3">
      <c r="A95" s="10"/>
      <c r="B95" s="168"/>
      <c r="C95" s="169"/>
      <c r="D95" s="160"/>
      <c r="E95" s="161"/>
      <c r="F95" s="162"/>
      <c r="G95" s="163"/>
      <c r="H95" s="164"/>
      <c r="I95" s="163"/>
      <c r="J95" s="164"/>
      <c r="K95" s="163"/>
      <c r="L95" s="164"/>
      <c r="M95" s="11"/>
      <c r="N95" s="39"/>
      <c r="Q95" s="15" t="str">
        <f>+CONCATENATE(E93,K93)</f>
        <v/>
      </c>
      <c r="R95" s="15">
        <f>+L93</f>
        <v>0</v>
      </c>
      <c r="S95" s="16"/>
      <c r="T95" s="15">
        <f>+E93</f>
        <v>0</v>
      </c>
      <c r="U95" s="26" t="str">
        <f>IFERROR(LEFT(K93,FIND("*",K93)-1),"-")</f>
        <v>-</v>
      </c>
      <c r="V95" s="26" t="str">
        <f>IFERROR(RIGHT(K93,LEN(K93)-FIND("*",K93)),"-")</f>
        <v>-</v>
      </c>
      <c r="W95" s="27" t="str">
        <f t="shared" si="46"/>
        <v>-</v>
      </c>
      <c r="X95" s="27" t="str">
        <f>IFERROR(W95*L93,"-")</f>
        <v>-</v>
      </c>
      <c r="Z95" s="94" t="s">
        <v>81</v>
      </c>
    </row>
    <row r="96" spans="1:26" ht="6.95" customHeight="1" x14ac:dyDescent="0.3">
      <c r="A96" s="13"/>
      <c r="B96" s="168"/>
      <c r="C96" s="169"/>
      <c r="D96" s="160" t="s">
        <v>39</v>
      </c>
      <c r="E96" s="161"/>
      <c r="F96" s="162" t="s">
        <v>40</v>
      </c>
      <c r="G96" s="163"/>
      <c r="H96" s="164"/>
      <c r="I96" s="163"/>
      <c r="J96" s="164"/>
      <c r="K96" s="163"/>
      <c r="L96" s="164"/>
      <c r="M96" s="11"/>
      <c r="N96" s="39"/>
      <c r="Q96" s="15" t="str">
        <f>+CONCATENATE(E96,G96)</f>
        <v/>
      </c>
      <c r="R96" s="15">
        <f>+H96</f>
        <v>0</v>
      </c>
      <c r="S96" s="16"/>
      <c r="T96" s="15">
        <f>+E96</f>
        <v>0</v>
      </c>
      <c r="U96" s="26" t="str">
        <f t="shared" ref="U96" si="49">IFERROR(LEFT(G96,FIND("*",G96)-1),"-")</f>
        <v>-</v>
      </c>
      <c r="V96" s="26" t="str">
        <f t="shared" ref="V96" si="50">IFERROR(RIGHT(G96,LEN(G96)-FIND("*",G96)),"-")</f>
        <v>-</v>
      </c>
      <c r="W96" s="27" t="str">
        <f t="shared" si="46"/>
        <v>-</v>
      </c>
      <c r="X96" s="27" t="str">
        <f>IFERROR(W96*H96,"-")</f>
        <v>-</v>
      </c>
      <c r="Z96" s="94" t="s">
        <v>81</v>
      </c>
    </row>
    <row r="97" spans="1:26" ht="6.95" customHeight="1" x14ac:dyDescent="0.3">
      <c r="A97" s="10"/>
      <c r="B97" s="168"/>
      <c r="C97" s="169"/>
      <c r="D97" s="160"/>
      <c r="E97" s="161"/>
      <c r="F97" s="162"/>
      <c r="G97" s="163"/>
      <c r="H97" s="164"/>
      <c r="I97" s="163"/>
      <c r="J97" s="164"/>
      <c r="K97" s="163"/>
      <c r="L97" s="164"/>
      <c r="M97" s="11"/>
      <c r="N97" s="39"/>
      <c r="Q97" s="15" t="str">
        <f>+CONCATENATE(E96,I96)</f>
        <v/>
      </c>
      <c r="R97" s="15">
        <f>+J96</f>
        <v>0</v>
      </c>
      <c r="S97" s="16"/>
      <c r="T97" s="15">
        <f>+E96</f>
        <v>0</v>
      </c>
      <c r="U97" s="26" t="str">
        <f>IFERROR(LEFT(I96,FIND("*",I96)-1),"-")</f>
        <v>-</v>
      </c>
      <c r="V97" s="26" t="str">
        <f>IFERROR(RIGHT(I96,LEN(I96)-FIND("*",I96)),"-")</f>
        <v>-</v>
      </c>
      <c r="W97" s="27" t="str">
        <f t="shared" si="46"/>
        <v>-</v>
      </c>
      <c r="X97" s="27" t="str">
        <f t="shared" ref="X97" si="51">IFERROR(W97*J96,"-")</f>
        <v>-</v>
      </c>
      <c r="Z97" s="94" t="s">
        <v>81</v>
      </c>
    </row>
    <row r="98" spans="1:26" ht="6.95" customHeight="1" x14ac:dyDescent="0.3">
      <c r="A98" s="10"/>
      <c r="B98" s="168"/>
      <c r="C98" s="169"/>
      <c r="D98" s="160"/>
      <c r="E98" s="161"/>
      <c r="F98" s="162"/>
      <c r="G98" s="163"/>
      <c r="H98" s="164"/>
      <c r="I98" s="163"/>
      <c r="J98" s="164"/>
      <c r="K98" s="163"/>
      <c r="L98" s="164"/>
      <c r="M98" s="11"/>
      <c r="N98" s="39"/>
      <c r="Q98" s="15" t="str">
        <f>+CONCATENATE(E96,K96)</f>
        <v/>
      </c>
      <c r="R98" s="15">
        <f>+L96</f>
        <v>0</v>
      </c>
      <c r="S98" s="16"/>
      <c r="T98" s="15">
        <f>+E96</f>
        <v>0</v>
      </c>
      <c r="U98" s="26" t="str">
        <f>IFERROR(LEFT(K96,FIND("*",K96)-1),"-")</f>
        <v>-</v>
      </c>
      <c r="V98" s="26" t="str">
        <f>IFERROR(RIGHT(K96,LEN(K96)-FIND("*",K96)),"-")</f>
        <v>-</v>
      </c>
      <c r="W98" s="27" t="str">
        <f t="shared" si="46"/>
        <v>-</v>
      </c>
      <c r="X98" s="27" t="str">
        <f>IFERROR(W98*L96,"-")</f>
        <v>-</v>
      </c>
      <c r="Z98" s="94" t="s">
        <v>81</v>
      </c>
    </row>
    <row r="99" spans="1:26" ht="21" customHeight="1" thickBot="1" x14ac:dyDescent="0.35">
      <c r="A99" s="10"/>
      <c r="B99" s="170"/>
      <c r="C99" s="171"/>
      <c r="D99" s="172" t="s">
        <v>43</v>
      </c>
      <c r="E99" s="173"/>
      <c r="F99" s="173"/>
      <c r="G99" s="174"/>
      <c r="H99" s="174"/>
      <c r="I99" s="174"/>
      <c r="J99" s="174"/>
      <c r="K99" s="174"/>
      <c r="L99" s="174"/>
      <c r="M99" s="12"/>
      <c r="N99" s="40"/>
      <c r="Z99" s="95" t="s">
        <v>81</v>
      </c>
    </row>
    <row r="100" spans="1:26" ht="9.9499999999999993" customHeight="1" thickBot="1" x14ac:dyDescent="0.35">
      <c r="A100" s="6"/>
      <c r="B100" s="14"/>
      <c r="C100" s="119">
        <v>770</v>
      </c>
      <c r="D100" s="58"/>
      <c r="E100" s="17"/>
      <c r="F100" s="58"/>
      <c r="G100" s="19"/>
      <c r="H100" s="19"/>
      <c r="I100" s="19"/>
      <c r="J100" s="19"/>
      <c r="K100" s="19"/>
      <c r="L100" s="19"/>
      <c r="M100" s="14"/>
      <c r="N100" s="39"/>
      <c r="Q100" s="1"/>
      <c r="R100" s="1"/>
      <c r="S100" s="1"/>
      <c r="T100" s="1"/>
      <c r="U100" s="24"/>
      <c r="V100" s="24"/>
      <c r="W100" s="1"/>
      <c r="X100" s="1"/>
      <c r="Z100" s="94" t="s">
        <v>81</v>
      </c>
    </row>
    <row r="101" spans="1:26" ht="6.95" customHeight="1" x14ac:dyDescent="0.3">
      <c r="A101" s="165">
        <f>+A90+1</f>
        <v>10</v>
      </c>
      <c r="B101" s="166"/>
      <c r="C101" s="167"/>
      <c r="D101" s="160" t="s">
        <v>39</v>
      </c>
      <c r="E101" s="161"/>
      <c r="F101" s="162" t="s">
        <v>40</v>
      </c>
      <c r="G101" s="163"/>
      <c r="H101" s="164"/>
      <c r="I101" s="163"/>
      <c r="J101" s="164"/>
      <c r="K101" s="163"/>
      <c r="L101" s="164"/>
      <c r="M101" s="11"/>
      <c r="N101" s="39"/>
      <c r="Q101" s="15" t="str">
        <f>+CONCATENATE(E101,G101)</f>
        <v/>
      </c>
      <c r="R101" s="15">
        <f>+H101</f>
        <v>0</v>
      </c>
      <c r="S101" s="16"/>
      <c r="T101" s="15">
        <f>+E101</f>
        <v>0</v>
      </c>
      <c r="U101" s="26" t="str">
        <f>IFERROR(LEFT(G101,FIND("*",G101)-1),"-")</f>
        <v>-</v>
      </c>
      <c r="V101" s="26" t="str">
        <f>IFERROR(RIGHT(G101,LEN(G101)-FIND("*",G101)),"-")</f>
        <v>-</v>
      </c>
      <c r="W101" s="27" t="str">
        <f>IFERROR((U101+V101)*2/1000,"-")</f>
        <v>-</v>
      </c>
      <c r="X101" s="27" t="str">
        <f>IFERROR(W101*H101,"-")</f>
        <v>-</v>
      </c>
      <c r="Z101" s="94" t="s">
        <v>81</v>
      </c>
    </row>
    <row r="102" spans="1:26" ht="6.95" customHeight="1" x14ac:dyDescent="0.3">
      <c r="A102" s="165"/>
      <c r="B102" s="168"/>
      <c r="C102" s="169"/>
      <c r="D102" s="160"/>
      <c r="E102" s="161"/>
      <c r="F102" s="162"/>
      <c r="G102" s="163"/>
      <c r="H102" s="164"/>
      <c r="I102" s="163"/>
      <c r="J102" s="164"/>
      <c r="K102" s="163"/>
      <c r="L102" s="164"/>
      <c r="M102" s="11"/>
      <c r="N102" s="39"/>
      <c r="Q102" s="15" t="str">
        <f>+CONCATENATE(E101,I101)</f>
        <v/>
      </c>
      <c r="R102" s="15">
        <f>+J101</f>
        <v>0</v>
      </c>
      <c r="S102" s="16"/>
      <c r="T102" s="15">
        <f>+E101</f>
        <v>0</v>
      </c>
      <c r="U102" s="26" t="str">
        <f>IFERROR(LEFT(I101,FIND("*",I101)-1),"-")</f>
        <v>-</v>
      </c>
      <c r="V102" s="26" t="str">
        <f>IFERROR(RIGHT(I101,LEN(I101)-FIND("*",I101)),"-")</f>
        <v>-</v>
      </c>
      <c r="W102" s="27" t="str">
        <f t="shared" ref="W102:W109" si="52">IFERROR((U102+V102)*2/1000,"-")</f>
        <v>-</v>
      </c>
      <c r="X102" s="27" t="str">
        <f>IFERROR(W102*J101,"-")</f>
        <v>-</v>
      </c>
      <c r="Z102" s="94" t="s">
        <v>81</v>
      </c>
    </row>
    <row r="103" spans="1:26" ht="6.95" customHeight="1" x14ac:dyDescent="0.3">
      <c r="A103" s="165"/>
      <c r="B103" s="168"/>
      <c r="C103" s="169"/>
      <c r="D103" s="160"/>
      <c r="E103" s="161"/>
      <c r="F103" s="162"/>
      <c r="G103" s="163"/>
      <c r="H103" s="164"/>
      <c r="I103" s="163"/>
      <c r="J103" s="164"/>
      <c r="K103" s="163"/>
      <c r="L103" s="164"/>
      <c r="M103" s="11"/>
      <c r="N103" s="39"/>
      <c r="Q103" s="15" t="str">
        <f>+CONCATENATE(E101,K101)</f>
        <v/>
      </c>
      <c r="R103" s="15">
        <f>+L101</f>
        <v>0</v>
      </c>
      <c r="S103" s="16"/>
      <c r="T103" s="15">
        <f>+E101</f>
        <v>0</v>
      </c>
      <c r="U103" s="26" t="str">
        <f>IFERROR(LEFT(K101,FIND("*",K101)-1),"-")</f>
        <v>-</v>
      </c>
      <c r="V103" s="26" t="str">
        <f>IFERROR(RIGHT(K101,LEN(K101)-FIND("*",K101)),"-")</f>
        <v>-</v>
      </c>
      <c r="W103" s="27" t="str">
        <f t="shared" si="52"/>
        <v>-</v>
      </c>
      <c r="X103" s="27" t="str">
        <f>IFERROR(W103*L101,"-")</f>
        <v>-</v>
      </c>
      <c r="Z103" s="94" t="s">
        <v>81</v>
      </c>
    </row>
    <row r="104" spans="1:26" ht="6.95" customHeight="1" x14ac:dyDescent="0.3">
      <c r="A104" s="13"/>
      <c r="B104" s="168"/>
      <c r="C104" s="169"/>
      <c r="D104" s="160" t="s">
        <v>39</v>
      </c>
      <c r="E104" s="161"/>
      <c r="F104" s="162" t="s">
        <v>40</v>
      </c>
      <c r="G104" s="163"/>
      <c r="H104" s="164"/>
      <c r="I104" s="163"/>
      <c r="J104" s="164"/>
      <c r="K104" s="163"/>
      <c r="L104" s="164"/>
      <c r="M104" s="11"/>
      <c r="N104" s="39"/>
      <c r="Q104" s="15" t="str">
        <f>+CONCATENATE(E104,G104)</f>
        <v/>
      </c>
      <c r="R104" s="15">
        <f>+H104</f>
        <v>0</v>
      </c>
      <c r="S104" s="16"/>
      <c r="T104" s="15">
        <f>+E104</f>
        <v>0</v>
      </c>
      <c r="U104" s="26" t="str">
        <f t="shared" ref="U104" si="53">IFERROR(LEFT(G104,FIND("*",G104)-1),"-")</f>
        <v>-</v>
      </c>
      <c r="V104" s="26" t="str">
        <f t="shared" ref="V104" si="54">IFERROR(RIGHT(G104,LEN(G104)-FIND("*",G104)),"-")</f>
        <v>-</v>
      </c>
      <c r="W104" s="27" t="str">
        <f t="shared" si="52"/>
        <v>-</v>
      </c>
      <c r="X104" s="27" t="str">
        <f>IFERROR(W104*H104,"-")</f>
        <v>-</v>
      </c>
      <c r="Z104" s="94" t="s">
        <v>81</v>
      </c>
    </row>
    <row r="105" spans="1:26" ht="6.95" customHeight="1" x14ac:dyDescent="0.3">
      <c r="A105" s="10"/>
      <c r="B105" s="168"/>
      <c r="C105" s="169"/>
      <c r="D105" s="160"/>
      <c r="E105" s="161"/>
      <c r="F105" s="162"/>
      <c r="G105" s="163"/>
      <c r="H105" s="164"/>
      <c r="I105" s="163"/>
      <c r="J105" s="164"/>
      <c r="K105" s="163"/>
      <c r="L105" s="164"/>
      <c r="M105" s="11"/>
      <c r="N105" s="39"/>
      <c r="Q105" s="15" t="str">
        <f>+CONCATENATE(E104,I104)</f>
        <v/>
      </c>
      <c r="R105" s="15">
        <f>+J104</f>
        <v>0</v>
      </c>
      <c r="S105" s="16"/>
      <c r="T105" s="15">
        <f>+E104</f>
        <v>0</v>
      </c>
      <c r="U105" s="26" t="str">
        <f>IFERROR(LEFT(I104,FIND("*",I104)-1),"-")</f>
        <v>-</v>
      </c>
      <c r="V105" s="26" t="str">
        <f>IFERROR(RIGHT(I104,LEN(I104)-FIND("*",I104)),"-")</f>
        <v>-</v>
      </c>
      <c r="W105" s="27" t="str">
        <f t="shared" si="52"/>
        <v>-</v>
      </c>
      <c r="X105" s="27" t="str">
        <f>IFERROR(W105*J104,"-")</f>
        <v>-</v>
      </c>
      <c r="Z105" s="94" t="s">
        <v>81</v>
      </c>
    </row>
    <row r="106" spans="1:26" ht="6.95" customHeight="1" x14ac:dyDescent="0.3">
      <c r="A106" s="10"/>
      <c r="B106" s="168"/>
      <c r="C106" s="169"/>
      <c r="D106" s="160"/>
      <c r="E106" s="161"/>
      <c r="F106" s="162"/>
      <c r="G106" s="163"/>
      <c r="H106" s="164"/>
      <c r="I106" s="163"/>
      <c r="J106" s="164"/>
      <c r="K106" s="163"/>
      <c r="L106" s="164"/>
      <c r="M106" s="11"/>
      <c r="N106" s="39"/>
      <c r="Q106" s="15" t="str">
        <f>+CONCATENATE(E104,K104)</f>
        <v/>
      </c>
      <c r="R106" s="15">
        <f>+L104</f>
        <v>0</v>
      </c>
      <c r="S106" s="16"/>
      <c r="T106" s="15">
        <f>+E104</f>
        <v>0</v>
      </c>
      <c r="U106" s="26" t="str">
        <f>IFERROR(LEFT(K104,FIND("*",K104)-1),"-")</f>
        <v>-</v>
      </c>
      <c r="V106" s="26" t="str">
        <f>IFERROR(RIGHT(K104,LEN(K104)-FIND("*",K104)),"-")</f>
        <v>-</v>
      </c>
      <c r="W106" s="27" t="str">
        <f t="shared" si="52"/>
        <v>-</v>
      </c>
      <c r="X106" s="27" t="str">
        <f>IFERROR(W106*L104,"-")</f>
        <v>-</v>
      </c>
      <c r="Z106" s="94" t="s">
        <v>81</v>
      </c>
    </row>
    <row r="107" spans="1:26" ht="6.95" customHeight="1" x14ac:dyDescent="0.3">
      <c r="A107" s="13"/>
      <c r="B107" s="168"/>
      <c r="C107" s="169"/>
      <c r="D107" s="160" t="s">
        <v>39</v>
      </c>
      <c r="E107" s="161"/>
      <c r="F107" s="162" t="s">
        <v>40</v>
      </c>
      <c r="G107" s="163"/>
      <c r="H107" s="164"/>
      <c r="I107" s="163"/>
      <c r="J107" s="164"/>
      <c r="K107" s="163"/>
      <c r="L107" s="164"/>
      <c r="M107" s="11"/>
      <c r="N107" s="39"/>
      <c r="Q107" s="15" t="str">
        <f>+CONCATENATE(E107,G107)</f>
        <v/>
      </c>
      <c r="R107" s="15">
        <f>+H107</f>
        <v>0</v>
      </c>
      <c r="S107" s="16"/>
      <c r="T107" s="15">
        <f>+E107</f>
        <v>0</v>
      </c>
      <c r="U107" s="26" t="str">
        <f t="shared" ref="U107" si="55">IFERROR(LEFT(G107,FIND("*",G107)-1),"-")</f>
        <v>-</v>
      </c>
      <c r="V107" s="26" t="str">
        <f t="shared" ref="V107" si="56">IFERROR(RIGHT(G107,LEN(G107)-FIND("*",G107)),"-")</f>
        <v>-</v>
      </c>
      <c r="W107" s="27" t="str">
        <f t="shared" si="52"/>
        <v>-</v>
      </c>
      <c r="X107" s="27" t="str">
        <f>IFERROR(W107*H107,"-")</f>
        <v>-</v>
      </c>
      <c r="Z107" s="94" t="s">
        <v>81</v>
      </c>
    </row>
    <row r="108" spans="1:26" ht="6.95" customHeight="1" x14ac:dyDescent="0.3">
      <c r="A108" s="10"/>
      <c r="B108" s="168"/>
      <c r="C108" s="169"/>
      <c r="D108" s="160"/>
      <c r="E108" s="161"/>
      <c r="F108" s="162"/>
      <c r="G108" s="163"/>
      <c r="H108" s="164"/>
      <c r="I108" s="163"/>
      <c r="J108" s="164"/>
      <c r="K108" s="163"/>
      <c r="L108" s="164"/>
      <c r="M108" s="11"/>
      <c r="N108" s="39"/>
      <c r="Q108" s="15" t="str">
        <f>+CONCATENATE(E107,I107)</f>
        <v/>
      </c>
      <c r="R108" s="15">
        <f>+J107</f>
        <v>0</v>
      </c>
      <c r="S108" s="16"/>
      <c r="T108" s="15">
        <f>+E107</f>
        <v>0</v>
      </c>
      <c r="U108" s="26" t="str">
        <f>IFERROR(LEFT(I107,FIND("*",I107)-1),"-")</f>
        <v>-</v>
      </c>
      <c r="V108" s="26" t="str">
        <f>IFERROR(RIGHT(I107,LEN(I107)-FIND("*",I107)),"-")</f>
        <v>-</v>
      </c>
      <c r="W108" s="27" t="str">
        <f t="shared" si="52"/>
        <v>-</v>
      </c>
      <c r="X108" s="27" t="str">
        <f t="shared" ref="X108" si="57">IFERROR(W108*J107,"-")</f>
        <v>-</v>
      </c>
      <c r="Z108" s="94" t="s">
        <v>81</v>
      </c>
    </row>
    <row r="109" spans="1:26" ht="6.95" customHeight="1" x14ac:dyDescent="0.3">
      <c r="A109" s="10"/>
      <c r="B109" s="168"/>
      <c r="C109" s="169"/>
      <c r="D109" s="160"/>
      <c r="E109" s="161"/>
      <c r="F109" s="162"/>
      <c r="G109" s="163"/>
      <c r="H109" s="164"/>
      <c r="I109" s="163"/>
      <c r="J109" s="164"/>
      <c r="K109" s="163"/>
      <c r="L109" s="164"/>
      <c r="M109" s="11"/>
      <c r="N109" s="39"/>
      <c r="Q109" s="15" t="str">
        <f>+CONCATENATE(E107,K107)</f>
        <v/>
      </c>
      <c r="R109" s="15">
        <f>+L107</f>
        <v>0</v>
      </c>
      <c r="S109" s="16"/>
      <c r="T109" s="15">
        <f>+E107</f>
        <v>0</v>
      </c>
      <c r="U109" s="26" t="str">
        <f>IFERROR(LEFT(K107,FIND("*",K107)-1),"-")</f>
        <v>-</v>
      </c>
      <c r="V109" s="26" t="str">
        <f>IFERROR(RIGHT(K107,LEN(K107)-FIND("*",K107)),"-")</f>
        <v>-</v>
      </c>
      <c r="W109" s="27" t="str">
        <f t="shared" si="52"/>
        <v>-</v>
      </c>
      <c r="X109" s="27" t="str">
        <f>IFERROR(W109*L107,"-")</f>
        <v>-</v>
      </c>
      <c r="Z109" s="94" t="s">
        <v>81</v>
      </c>
    </row>
    <row r="110" spans="1:26" ht="21" customHeight="1" thickBot="1" x14ac:dyDescent="0.35">
      <c r="A110" s="10"/>
      <c r="B110" s="170"/>
      <c r="C110" s="171"/>
      <c r="D110" s="172" t="s">
        <v>43</v>
      </c>
      <c r="E110" s="173"/>
      <c r="F110" s="173"/>
      <c r="G110" s="174"/>
      <c r="H110" s="174"/>
      <c r="I110" s="174"/>
      <c r="J110" s="174"/>
      <c r="K110" s="174"/>
      <c r="L110" s="174"/>
      <c r="M110" s="12"/>
      <c r="N110" s="39"/>
      <c r="Z110" s="95" t="s">
        <v>81</v>
      </c>
    </row>
    <row r="111" spans="1:26" s="25" customFormat="1" ht="9.9499999999999993" customHeight="1" thickBot="1" x14ac:dyDescent="0.35">
      <c r="A111" s="6"/>
      <c r="B111" s="14"/>
      <c r="C111" s="119">
        <v>771</v>
      </c>
      <c r="D111" s="58"/>
      <c r="E111" s="17"/>
      <c r="F111" s="58"/>
      <c r="G111" s="19"/>
      <c r="H111" s="19"/>
      <c r="I111" s="19"/>
      <c r="J111" s="19"/>
      <c r="K111" s="19"/>
      <c r="L111" s="19"/>
      <c r="M111" s="14"/>
      <c r="N111" s="39"/>
      <c r="Q111" s="1"/>
      <c r="R111" s="1"/>
      <c r="S111" s="1"/>
      <c r="T111" s="1"/>
      <c r="U111" s="24"/>
      <c r="V111" s="24"/>
      <c r="W111" s="1"/>
      <c r="X111" s="1"/>
      <c r="Z111" s="94" t="s">
        <v>81</v>
      </c>
    </row>
    <row r="112" spans="1:26" s="25" customFormat="1" ht="6.95" customHeight="1" x14ac:dyDescent="0.3">
      <c r="A112" s="165">
        <f>+A101+1</f>
        <v>11</v>
      </c>
      <c r="B112" s="166"/>
      <c r="C112" s="167"/>
      <c r="D112" s="160" t="s">
        <v>39</v>
      </c>
      <c r="E112" s="161"/>
      <c r="F112" s="162" t="s">
        <v>40</v>
      </c>
      <c r="G112" s="163"/>
      <c r="H112" s="164"/>
      <c r="I112" s="163"/>
      <c r="J112" s="164"/>
      <c r="K112" s="163"/>
      <c r="L112" s="164"/>
      <c r="M112" s="11"/>
      <c r="N112" s="39"/>
      <c r="Q112" s="15" t="str">
        <f>+CONCATENATE(E112,G112)</f>
        <v/>
      </c>
      <c r="R112" s="15">
        <f>+H112</f>
        <v>0</v>
      </c>
      <c r="S112" s="16"/>
      <c r="T112" s="15">
        <f>+E112</f>
        <v>0</v>
      </c>
      <c r="U112" s="26" t="str">
        <f>IFERROR(LEFT(G112,FIND("*",G112)-1),"-")</f>
        <v>-</v>
      </c>
      <c r="V112" s="26" t="str">
        <f>IFERROR(RIGHT(G112,LEN(G112)-FIND("*",G112)),"-")</f>
        <v>-</v>
      </c>
      <c r="W112" s="27" t="str">
        <f>IFERROR((U112+V112)*2/1000,"-")</f>
        <v>-</v>
      </c>
      <c r="X112" s="27" t="str">
        <f>IFERROR(W112*H112,"-")</f>
        <v>-</v>
      </c>
      <c r="Z112" s="94" t="s">
        <v>81</v>
      </c>
    </row>
    <row r="113" spans="1:26" s="25" customFormat="1" ht="6.95" customHeight="1" x14ac:dyDescent="0.3">
      <c r="A113" s="165"/>
      <c r="B113" s="168"/>
      <c r="C113" s="169"/>
      <c r="D113" s="160"/>
      <c r="E113" s="161"/>
      <c r="F113" s="162"/>
      <c r="G113" s="163"/>
      <c r="H113" s="164"/>
      <c r="I113" s="163"/>
      <c r="J113" s="164"/>
      <c r="K113" s="163"/>
      <c r="L113" s="164"/>
      <c r="M113" s="11"/>
      <c r="N113" s="39"/>
      <c r="Q113" s="15" t="str">
        <f>+CONCATENATE(E112,I112)</f>
        <v/>
      </c>
      <c r="R113" s="15">
        <f>+J112</f>
        <v>0</v>
      </c>
      <c r="S113" s="16"/>
      <c r="T113" s="15">
        <f>+E112</f>
        <v>0</v>
      </c>
      <c r="U113" s="26" t="str">
        <f>IFERROR(LEFT(I112,FIND("*",I112)-1),"-")</f>
        <v>-</v>
      </c>
      <c r="V113" s="26" t="str">
        <f>IFERROR(RIGHT(I112,LEN(I112)-FIND("*",I112)),"-")</f>
        <v>-</v>
      </c>
      <c r="W113" s="27" t="str">
        <f t="shared" ref="W113:W120" si="58">IFERROR((U113+V113)*2/1000,"-")</f>
        <v>-</v>
      </c>
      <c r="X113" s="27" t="str">
        <f>IFERROR(W113*J112,"-")</f>
        <v>-</v>
      </c>
      <c r="Z113" s="94" t="s">
        <v>81</v>
      </c>
    </row>
    <row r="114" spans="1:26" s="25" customFormat="1" ht="6.95" customHeight="1" x14ac:dyDescent="0.3">
      <c r="A114" s="165"/>
      <c r="B114" s="168"/>
      <c r="C114" s="169"/>
      <c r="D114" s="160"/>
      <c r="E114" s="161"/>
      <c r="F114" s="162"/>
      <c r="G114" s="163"/>
      <c r="H114" s="164"/>
      <c r="I114" s="163"/>
      <c r="J114" s="164"/>
      <c r="K114" s="163"/>
      <c r="L114" s="164"/>
      <c r="M114" s="11"/>
      <c r="N114" s="39"/>
      <c r="Q114" s="15" t="str">
        <f>+CONCATENATE(E112,K112)</f>
        <v/>
      </c>
      <c r="R114" s="15">
        <f>+L112</f>
        <v>0</v>
      </c>
      <c r="S114" s="16"/>
      <c r="T114" s="15">
        <f>+E112</f>
        <v>0</v>
      </c>
      <c r="U114" s="26" t="str">
        <f>IFERROR(LEFT(K112,FIND("*",K112)-1),"-")</f>
        <v>-</v>
      </c>
      <c r="V114" s="26" t="str">
        <f>IFERROR(RIGHT(K112,LEN(K112)-FIND("*",K112)),"-")</f>
        <v>-</v>
      </c>
      <c r="W114" s="27" t="str">
        <f t="shared" si="58"/>
        <v>-</v>
      </c>
      <c r="X114" s="27" t="str">
        <f>IFERROR(W114*L112,"-")</f>
        <v>-</v>
      </c>
      <c r="Z114" s="94" t="s">
        <v>81</v>
      </c>
    </row>
    <row r="115" spans="1:26" s="25" customFormat="1" ht="6.95" customHeight="1" x14ac:dyDescent="0.3">
      <c r="A115" s="13"/>
      <c r="B115" s="168"/>
      <c r="C115" s="169"/>
      <c r="D115" s="160" t="s">
        <v>39</v>
      </c>
      <c r="E115" s="161"/>
      <c r="F115" s="162" t="s">
        <v>40</v>
      </c>
      <c r="G115" s="163"/>
      <c r="H115" s="164"/>
      <c r="I115" s="163"/>
      <c r="J115" s="164"/>
      <c r="K115" s="163"/>
      <c r="L115" s="164"/>
      <c r="M115" s="11"/>
      <c r="N115" s="39"/>
      <c r="Q115" s="15" t="str">
        <f>+CONCATENATE(E115,G115)</f>
        <v/>
      </c>
      <c r="R115" s="15">
        <f>+H115</f>
        <v>0</v>
      </c>
      <c r="S115" s="16"/>
      <c r="T115" s="15">
        <f>+E115</f>
        <v>0</v>
      </c>
      <c r="U115" s="26" t="str">
        <f t="shared" ref="U115" si="59">IFERROR(LEFT(G115,FIND("*",G115)-1),"-")</f>
        <v>-</v>
      </c>
      <c r="V115" s="26" t="str">
        <f t="shared" ref="V115" si="60">IFERROR(RIGHT(G115,LEN(G115)-FIND("*",G115)),"-")</f>
        <v>-</v>
      </c>
      <c r="W115" s="27" t="str">
        <f t="shared" si="58"/>
        <v>-</v>
      </c>
      <c r="X115" s="27" t="str">
        <f>IFERROR(W115*H115,"-")</f>
        <v>-</v>
      </c>
      <c r="Z115" s="94" t="s">
        <v>81</v>
      </c>
    </row>
    <row r="116" spans="1:26" s="25" customFormat="1" ht="6.95" customHeight="1" x14ac:dyDescent="0.3">
      <c r="A116" s="10"/>
      <c r="B116" s="168"/>
      <c r="C116" s="169"/>
      <c r="D116" s="160"/>
      <c r="E116" s="161"/>
      <c r="F116" s="162"/>
      <c r="G116" s="163"/>
      <c r="H116" s="164"/>
      <c r="I116" s="163"/>
      <c r="J116" s="164"/>
      <c r="K116" s="163"/>
      <c r="L116" s="164"/>
      <c r="M116" s="11"/>
      <c r="N116" s="39"/>
      <c r="Q116" s="15" t="str">
        <f>+CONCATENATE(E115,I115)</f>
        <v/>
      </c>
      <c r="R116" s="15">
        <f>+J115</f>
        <v>0</v>
      </c>
      <c r="S116" s="16"/>
      <c r="T116" s="15">
        <f>+E115</f>
        <v>0</v>
      </c>
      <c r="U116" s="26" t="str">
        <f>IFERROR(LEFT(I115,FIND("*",I115)-1),"-")</f>
        <v>-</v>
      </c>
      <c r="V116" s="26" t="str">
        <f>IFERROR(RIGHT(I115,LEN(I115)-FIND("*",I115)),"-")</f>
        <v>-</v>
      </c>
      <c r="W116" s="27" t="str">
        <f t="shared" si="58"/>
        <v>-</v>
      </c>
      <c r="X116" s="27" t="str">
        <f>IFERROR(W116*J115,"-")</f>
        <v>-</v>
      </c>
      <c r="Z116" s="94" t="s">
        <v>81</v>
      </c>
    </row>
    <row r="117" spans="1:26" s="25" customFormat="1" ht="6.95" customHeight="1" x14ac:dyDescent="0.3">
      <c r="A117" s="10"/>
      <c r="B117" s="168"/>
      <c r="C117" s="169"/>
      <c r="D117" s="160"/>
      <c r="E117" s="161"/>
      <c r="F117" s="162"/>
      <c r="G117" s="163"/>
      <c r="H117" s="164"/>
      <c r="I117" s="163"/>
      <c r="J117" s="164"/>
      <c r="K117" s="163"/>
      <c r="L117" s="164"/>
      <c r="M117" s="11"/>
      <c r="N117" s="39"/>
      <c r="Q117" s="15" t="str">
        <f>+CONCATENATE(E115,K115)</f>
        <v/>
      </c>
      <c r="R117" s="15">
        <f>+L115</f>
        <v>0</v>
      </c>
      <c r="S117" s="16"/>
      <c r="T117" s="15">
        <f>+E115</f>
        <v>0</v>
      </c>
      <c r="U117" s="26" t="str">
        <f>IFERROR(LEFT(K115,FIND("*",K115)-1),"-")</f>
        <v>-</v>
      </c>
      <c r="V117" s="26" t="str">
        <f>IFERROR(RIGHT(K115,LEN(K115)-FIND("*",K115)),"-")</f>
        <v>-</v>
      </c>
      <c r="W117" s="27" t="str">
        <f t="shared" si="58"/>
        <v>-</v>
      </c>
      <c r="X117" s="27" t="str">
        <f>IFERROR(W117*L115,"-")</f>
        <v>-</v>
      </c>
      <c r="Z117" s="94" t="s">
        <v>81</v>
      </c>
    </row>
    <row r="118" spans="1:26" s="25" customFormat="1" ht="6.95" customHeight="1" x14ac:dyDescent="0.3">
      <c r="A118" s="13"/>
      <c r="B118" s="168"/>
      <c r="C118" s="169"/>
      <c r="D118" s="160" t="s">
        <v>39</v>
      </c>
      <c r="E118" s="161"/>
      <c r="F118" s="162" t="s">
        <v>40</v>
      </c>
      <c r="G118" s="163"/>
      <c r="H118" s="164"/>
      <c r="I118" s="163"/>
      <c r="J118" s="164"/>
      <c r="K118" s="163"/>
      <c r="L118" s="164"/>
      <c r="M118" s="11"/>
      <c r="N118" s="39"/>
      <c r="Q118" s="15" t="str">
        <f>+CONCATENATE(E118,G118)</f>
        <v/>
      </c>
      <c r="R118" s="15">
        <f>+H118</f>
        <v>0</v>
      </c>
      <c r="S118" s="16"/>
      <c r="T118" s="15">
        <f>+E118</f>
        <v>0</v>
      </c>
      <c r="U118" s="26" t="str">
        <f t="shared" ref="U118" si="61">IFERROR(LEFT(G118,FIND("*",G118)-1),"-")</f>
        <v>-</v>
      </c>
      <c r="V118" s="26" t="str">
        <f t="shared" ref="V118" si="62">IFERROR(RIGHT(G118,LEN(G118)-FIND("*",G118)),"-")</f>
        <v>-</v>
      </c>
      <c r="W118" s="27" t="str">
        <f t="shared" si="58"/>
        <v>-</v>
      </c>
      <c r="X118" s="27" t="str">
        <f>IFERROR(W118*H118,"-")</f>
        <v>-</v>
      </c>
      <c r="Z118" s="94" t="s">
        <v>81</v>
      </c>
    </row>
    <row r="119" spans="1:26" s="25" customFormat="1" ht="6.95" customHeight="1" x14ac:dyDescent="0.3">
      <c r="A119" s="10"/>
      <c r="B119" s="168"/>
      <c r="C119" s="169"/>
      <c r="D119" s="160"/>
      <c r="E119" s="161"/>
      <c r="F119" s="162"/>
      <c r="G119" s="163"/>
      <c r="H119" s="164"/>
      <c r="I119" s="163"/>
      <c r="J119" s="164"/>
      <c r="K119" s="163"/>
      <c r="L119" s="164"/>
      <c r="M119" s="11"/>
      <c r="N119" s="39"/>
      <c r="Q119" s="15" t="str">
        <f>+CONCATENATE(E118,I118)</f>
        <v/>
      </c>
      <c r="R119" s="15">
        <f>+J118</f>
        <v>0</v>
      </c>
      <c r="S119" s="16"/>
      <c r="T119" s="15">
        <f>+E118</f>
        <v>0</v>
      </c>
      <c r="U119" s="26" t="str">
        <f>IFERROR(LEFT(I118,FIND("*",I118)-1),"-")</f>
        <v>-</v>
      </c>
      <c r="V119" s="26" t="str">
        <f>IFERROR(RIGHT(I118,LEN(I118)-FIND("*",I118)),"-")</f>
        <v>-</v>
      </c>
      <c r="W119" s="27" t="str">
        <f t="shared" si="58"/>
        <v>-</v>
      </c>
      <c r="X119" s="27" t="str">
        <f t="shared" ref="X119" si="63">IFERROR(W119*J118,"-")</f>
        <v>-</v>
      </c>
      <c r="Z119" s="94" t="s">
        <v>81</v>
      </c>
    </row>
    <row r="120" spans="1:26" s="25" customFormat="1" ht="6.95" customHeight="1" x14ac:dyDescent="0.3">
      <c r="A120" s="10"/>
      <c r="B120" s="168"/>
      <c r="C120" s="169"/>
      <c r="D120" s="160"/>
      <c r="E120" s="161"/>
      <c r="F120" s="162"/>
      <c r="G120" s="163"/>
      <c r="H120" s="164"/>
      <c r="I120" s="163"/>
      <c r="J120" s="164"/>
      <c r="K120" s="163"/>
      <c r="L120" s="164"/>
      <c r="M120" s="11"/>
      <c r="N120" s="39"/>
      <c r="Q120" s="15" t="str">
        <f>+CONCATENATE(E118,K118)</f>
        <v/>
      </c>
      <c r="R120" s="15">
        <f>+L118</f>
        <v>0</v>
      </c>
      <c r="S120" s="16"/>
      <c r="T120" s="15">
        <f>+E118</f>
        <v>0</v>
      </c>
      <c r="U120" s="26" t="str">
        <f>IFERROR(LEFT(K118,FIND("*",K118)-1),"-")</f>
        <v>-</v>
      </c>
      <c r="V120" s="26" t="str">
        <f>IFERROR(RIGHT(K118,LEN(K118)-FIND("*",K118)),"-")</f>
        <v>-</v>
      </c>
      <c r="W120" s="27" t="str">
        <f t="shared" si="58"/>
        <v>-</v>
      </c>
      <c r="X120" s="27" t="str">
        <f>IFERROR(W120*L118,"-")</f>
        <v>-</v>
      </c>
      <c r="Z120" s="94" t="s">
        <v>81</v>
      </c>
    </row>
    <row r="121" spans="1:26" s="25" customFormat="1" ht="21" customHeight="1" thickBot="1" x14ac:dyDescent="0.35">
      <c r="A121" s="10"/>
      <c r="B121" s="170"/>
      <c r="C121" s="171"/>
      <c r="D121" s="172" t="s">
        <v>43</v>
      </c>
      <c r="E121" s="173"/>
      <c r="F121" s="173"/>
      <c r="G121" s="174"/>
      <c r="H121" s="174"/>
      <c r="I121" s="174"/>
      <c r="J121" s="174"/>
      <c r="K121" s="174"/>
      <c r="L121" s="174"/>
      <c r="M121" s="12"/>
      <c r="N121" s="39"/>
      <c r="U121" s="23"/>
      <c r="V121" s="23"/>
      <c r="Z121" s="95" t="s">
        <v>81</v>
      </c>
    </row>
    <row r="122" spans="1:26" s="25" customFormat="1" ht="9.9499999999999993" customHeight="1" thickBot="1" x14ac:dyDescent="0.35">
      <c r="A122" s="6"/>
      <c r="B122" s="14"/>
      <c r="C122" s="119">
        <v>772</v>
      </c>
      <c r="D122" s="58"/>
      <c r="E122" s="17"/>
      <c r="F122" s="58"/>
      <c r="G122" s="19"/>
      <c r="H122" s="19"/>
      <c r="I122" s="19"/>
      <c r="J122" s="19"/>
      <c r="K122" s="19"/>
      <c r="L122" s="19"/>
      <c r="M122" s="14"/>
      <c r="N122" s="39"/>
      <c r="Q122" s="1"/>
      <c r="R122" s="1"/>
      <c r="S122" s="1"/>
      <c r="T122" s="1"/>
      <c r="U122" s="24"/>
      <c r="V122" s="24"/>
      <c r="W122" s="1"/>
      <c r="X122" s="1"/>
      <c r="Z122" s="94" t="s">
        <v>81</v>
      </c>
    </row>
    <row r="123" spans="1:26" s="25" customFormat="1" ht="6.95" customHeight="1" x14ac:dyDescent="0.3">
      <c r="A123" s="165">
        <f>+A112+1</f>
        <v>12</v>
      </c>
      <c r="B123" s="166"/>
      <c r="C123" s="167"/>
      <c r="D123" s="160" t="s">
        <v>39</v>
      </c>
      <c r="E123" s="161"/>
      <c r="F123" s="162" t="s">
        <v>40</v>
      </c>
      <c r="G123" s="163"/>
      <c r="H123" s="164"/>
      <c r="I123" s="163"/>
      <c r="J123" s="164"/>
      <c r="K123" s="163"/>
      <c r="L123" s="164"/>
      <c r="M123" s="11"/>
      <c r="N123" s="39"/>
      <c r="Q123" s="15" t="str">
        <f>+CONCATENATE(E123,G123)</f>
        <v/>
      </c>
      <c r="R123" s="15">
        <f>+H123</f>
        <v>0</v>
      </c>
      <c r="S123" s="16"/>
      <c r="T123" s="15">
        <f>+E123</f>
        <v>0</v>
      </c>
      <c r="U123" s="26" t="str">
        <f>IFERROR(LEFT(G123,FIND("*",G123)-1),"-")</f>
        <v>-</v>
      </c>
      <c r="V123" s="26" t="str">
        <f>IFERROR(RIGHT(G123,LEN(G123)-FIND("*",G123)),"-")</f>
        <v>-</v>
      </c>
      <c r="W123" s="27" t="str">
        <f>IFERROR((U123+V123)*2/1000,"-")</f>
        <v>-</v>
      </c>
      <c r="X123" s="27" t="str">
        <f>IFERROR(W123*H123,"-")</f>
        <v>-</v>
      </c>
      <c r="Z123" s="94" t="s">
        <v>81</v>
      </c>
    </row>
    <row r="124" spans="1:26" s="25" customFormat="1" ht="6.95" customHeight="1" x14ac:dyDescent="0.3">
      <c r="A124" s="165"/>
      <c r="B124" s="168"/>
      <c r="C124" s="169"/>
      <c r="D124" s="160"/>
      <c r="E124" s="161"/>
      <c r="F124" s="162"/>
      <c r="G124" s="163"/>
      <c r="H124" s="164"/>
      <c r="I124" s="163"/>
      <c r="J124" s="164"/>
      <c r="K124" s="163"/>
      <c r="L124" s="164"/>
      <c r="M124" s="11"/>
      <c r="N124" s="39"/>
      <c r="Q124" s="15" t="str">
        <f>+CONCATENATE(E123,I123)</f>
        <v/>
      </c>
      <c r="R124" s="15">
        <f>+J123</f>
        <v>0</v>
      </c>
      <c r="S124" s="16"/>
      <c r="T124" s="15">
        <f>+E123</f>
        <v>0</v>
      </c>
      <c r="U124" s="26" t="str">
        <f>IFERROR(LEFT(I123,FIND("*",I123)-1),"-")</f>
        <v>-</v>
      </c>
      <c r="V124" s="26" t="str">
        <f>IFERROR(RIGHT(I123,LEN(I123)-FIND("*",I123)),"-")</f>
        <v>-</v>
      </c>
      <c r="W124" s="27" t="str">
        <f t="shared" ref="W124:W131" si="64">IFERROR((U124+V124)*2/1000,"-")</f>
        <v>-</v>
      </c>
      <c r="X124" s="27" t="str">
        <f>IFERROR(W124*J123,"-")</f>
        <v>-</v>
      </c>
      <c r="Z124" s="94" t="s">
        <v>81</v>
      </c>
    </row>
    <row r="125" spans="1:26" s="25" customFormat="1" ht="6.95" customHeight="1" x14ac:dyDescent="0.3">
      <c r="A125" s="165"/>
      <c r="B125" s="168"/>
      <c r="C125" s="169"/>
      <c r="D125" s="160"/>
      <c r="E125" s="161"/>
      <c r="F125" s="162"/>
      <c r="G125" s="163"/>
      <c r="H125" s="164"/>
      <c r="I125" s="163"/>
      <c r="J125" s="164"/>
      <c r="K125" s="163"/>
      <c r="L125" s="164"/>
      <c r="M125" s="11"/>
      <c r="N125" s="39"/>
      <c r="Q125" s="15" t="str">
        <f>+CONCATENATE(E123,K123)</f>
        <v/>
      </c>
      <c r="R125" s="15">
        <f>+L123</f>
        <v>0</v>
      </c>
      <c r="S125" s="16"/>
      <c r="T125" s="15">
        <f>+E123</f>
        <v>0</v>
      </c>
      <c r="U125" s="26" t="str">
        <f>IFERROR(LEFT(K123,FIND("*",K123)-1),"-")</f>
        <v>-</v>
      </c>
      <c r="V125" s="26" t="str">
        <f>IFERROR(RIGHT(K123,LEN(K123)-FIND("*",K123)),"-")</f>
        <v>-</v>
      </c>
      <c r="W125" s="27" t="str">
        <f t="shared" si="64"/>
        <v>-</v>
      </c>
      <c r="X125" s="27" t="str">
        <f>IFERROR(W125*L123,"-")</f>
        <v>-</v>
      </c>
      <c r="Z125" s="94" t="s">
        <v>81</v>
      </c>
    </row>
    <row r="126" spans="1:26" s="25" customFormat="1" ht="6.95" customHeight="1" x14ac:dyDescent="0.3">
      <c r="A126" s="13"/>
      <c r="B126" s="168"/>
      <c r="C126" s="169"/>
      <c r="D126" s="160" t="s">
        <v>39</v>
      </c>
      <c r="E126" s="161"/>
      <c r="F126" s="162" t="s">
        <v>40</v>
      </c>
      <c r="G126" s="163"/>
      <c r="H126" s="164"/>
      <c r="I126" s="163"/>
      <c r="J126" s="164"/>
      <c r="K126" s="163"/>
      <c r="L126" s="164"/>
      <c r="M126" s="11"/>
      <c r="N126" s="39"/>
      <c r="Q126" s="15" t="str">
        <f>+CONCATENATE(E126,G126)</f>
        <v/>
      </c>
      <c r="R126" s="15">
        <f>+H126</f>
        <v>0</v>
      </c>
      <c r="S126" s="16"/>
      <c r="T126" s="15">
        <f>+E126</f>
        <v>0</v>
      </c>
      <c r="U126" s="26" t="str">
        <f t="shared" ref="U126" si="65">IFERROR(LEFT(G126,FIND("*",G126)-1),"-")</f>
        <v>-</v>
      </c>
      <c r="V126" s="26" t="str">
        <f t="shared" ref="V126" si="66">IFERROR(RIGHT(G126,LEN(G126)-FIND("*",G126)),"-")</f>
        <v>-</v>
      </c>
      <c r="W126" s="27" t="str">
        <f t="shared" si="64"/>
        <v>-</v>
      </c>
      <c r="X126" s="27" t="str">
        <f>IFERROR(W126*H126,"-")</f>
        <v>-</v>
      </c>
      <c r="Z126" s="94" t="s">
        <v>81</v>
      </c>
    </row>
    <row r="127" spans="1:26" s="25" customFormat="1" ht="6.95" customHeight="1" x14ac:dyDescent="0.3">
      <c r="A127" s="10"/>
      <c r="B127" s="168"/>
      <c r="C127" s="169"/>
      <c r="D127" s="160"/>
      <c r="E127" s="161"/>
      <c r="F127" s="162"/>
      <c r="G127" s="163"/>
      <c r="H127" s="164"/>
      <c r="I127" s="163"/>
      <c r="J127" s="164"/>
      <c r="K127" s="163"/>
      <c r="L127" s="164"/>
      <c r="M127" s="11"/>
      <c r="N127" s="39"/>
      <c r="Q127" s="15" t="str">
        <f>+CONCATENATE(E126,I126)</f>
        <v/>
      </c>
      <c r="R127" s="15">
        <f>+J126</f>
        <v>0</v>
      </c>
      <c r="S127" s="16"/>
      <c r="T127" s="15">
        <f>+E126</f>
        <v>0</v>
      </c>
      <c r="U127" s="26" t="str">
        <f>IFERROR(LEFT(I126,FIND("*",I126)-1),"-")</f>
        <v>-</v>
      </c>
      <c r="V127" s="26" t="str">
        <f>IFERROR(RIGHT(I126,LEN(I126)-FIND("*",I126)),"-")</f>
        <v>-</v>
      </c>
      <c r="W127" s="27" t="str">
        <f t="shared" si="64"/>
        <v>-</v>
      </c>
      <c r="X127" s="27" t="str">
        <f>IFERROR(W127*J126,"-")</f>
        <v>-</v>
      </c>
      <c r="Z127" s="94" t="s">
        <v>81</v>
      </c>
    </row>
    <row r="128" spans="1:26" s="25" customFormat="1" ht="6.95" customHeight="1" x14ac:dyDescent="0.3">
      <c r="A128" s="10"/>
      <c r="B128" s="168"/>
      <c r="C128" s="169"/>
      <c r="D128" s="160"/>
      <c r="E128" s="161"/>
      <c r="F128" s="162"/>
      <c r="G128" s="163"/>
      <c r="H128" s="164"/>
      <c r="I128" s="163"/>
      <c r="J128" s="164"/>
      <c r="K128" s="163"/>
      <c r="L128" s="164"/>
      <c r="M128" s="11"/>
      <c r="N128" s="39"/>
      <c r="Q128" s="15" t="str">
        <f>+CONCATENATE(E126,K126)</f>
        <v/>
      </c>
      <c r="R128" s="15">
        <f>+L126</f>
        <v>0</v>
      </c>
      <c r="S128" s="16"/>
      <c r="T128" s="15">
        <f>+E126</f>
        <v>0</v>
      </c>
      <c r="U128" s="26" t="str">
        <f>IFERROR(LEFT(K126,FIND("*",K126)-1),"-")</f>
        <v>-</v>
      </c>
      <c r="V128" s="26" t="str">
        <f>IFERROR(RIGHT(K126,LEN(K126)-FIND("*",K126)),"-")</f>
        <v>-</v>
      </c>
      <c r="W128" s="27" t="str">
        <f t="shared" si="64"/>
        <v>-</v>
      </c>
      <c r="X128" s="27" t="str">
        <f>IFERROR(W128*L126,"-")</f>
        <v>-</v>
      </c>
      <c r="Z128" s="94" t="s">
        <v>81</v>
      </c>
    </row>
    <row r="129" spans="1:26" s="25" customFormat="1" ht="6.95" customHeight="1" x14ac:dyDescent="0.3">
      <c r="A129" s="13"/>
      <c r="B129" s="168"/>
      <c r="C129" s="169"/>
      <c r="D129" s="160" t="s">
        <v>39</v>
      </c>
      <c r="E129" s="161"/>
      <c r="F129" s="162" t="s">
        <v>40</v>
      </c>
      <c r="G129" s="163"/>
      <c r="H129" s="164"/>
      <c r="I129" s="163"/>
      <c r="J129" s="164"/>
      <c r="K129" s="163"/>
      <c r="L129" s="164"/>
      <c r="M129" s="11"/>
      <c r="N129" s="39"/>
      <c r="Q129" s="15" t="str">
        <f>+CONCATENATE(E129,G129)</f>
        <v/>
      </c>
      <c r="R129" s="15">
        <f>+H129</f>
        <v>0</v>
      </c>
      <c r="S129" s="16"/>
      <c r="T129" s="15">
        <f>+E129</f>
        <v>0</v>
      </c>
      <c r="U129" s="26" t="str">
        <f t="shared" ref="U129" si="67">IFERROR(LEFT(G129,FIND("*",G129)-1),"-")</f>
        <v>-</v>
      </c>
      <c r="V129" s="26" t="str">
        <f t="shared" ref="V129" si="68">IFERROR(RIGHT(G129,LEN(G129)-FIND("*",G129)),"-")</f>
        <v>-</v>
      </c>
      <c r="W129" s="27" t="str">
        <f t="shared" si="64"/>
        <v>-</v>
      </c>
      <c r="X129" s="27" t="str">
        <f>IFERROR(W129*H129,"-")</f>
        <v>-</v>
      </c>
      <c r="Z129" s="94" t="s">
        <v>81</v>
      </c>
    </row>
    <row r="130" spans="1:26" s="25" customFormat="1" ht="6.95" customHeight="1" x14ac:dyDescent="0.3">
      <c r="A130" s="10"/>
      <c r="B130" s="168"/>
      <c r="C130" s="169"/>
      <c r="D130" s="160"/>
      <c r="E130" s="161"/>
      <c r="F130" s="162"/>
      <c r="G130" s="163"/>
      <c r="H130" s="164"/>
      <c r="I130" s="163"/>
      <c r="J130" s="164"/>
      <c r="K130" s="163"/>
      <c r="L130" s="164"/>
      <c r="M130" s="11"/>
      <c r="N130" s="39"/>
      <c r="Q130" s="15" t="str">
        <f>+CONCATENATE(E129,I129)</f>
        <v/>
      </c>
      <c r="R130" s="15">
        <f>+J129</f>
        <v>0</v>
      </c>
      <c r="S130" s="16"/>
      <c r="T130" s="15">
        <f>+E129</f>
        <v>0</v>
      </c>
      <c r="U130" s="26" t="str">
        <f>IFERROR(LEFT(I129,FIND("*",I129)-1),"-")</f>
        <v>-</v>
      </c>
      <c r="V130" s="26" t="str">
        <f>IFERROR(RIGHT(I129,LEN(I129)-FIND("*",I129)),"-")</f>
        <v>-</v>
      </c>
      <c r="W130" s="27" t="str">
        <f t="shared" si="64"/>
        <v>-</v>
      </c>
      <c r="X130" s="27" t="str">
        <f t="shared" ref="X130" si="69">IFERROR(W130*J129,"-")</f>
        <v>-</v>
      </c>
      <c r="Z130" s="94" t="s">
        <v>81</v>
      </c>
    </row>
    <row r="131" spans="1:26" s="25" customFormat="1" ht="6.95" customHeight="1" x14ac:dyDescent="0.3">
      <c r="A131" s="10"/>
      <c r="B131" s="168"/>
      <c r="C131" s="169"/>
      <c r="D131" s="160"/>
      <c r="E131" s="161"/>
      <c r="F131" s="162"/>
      <c r="G131" s="163"/>
      <c r="H131" s="164"/>
      <c r="I131" s="163"/>
      <c r="J131" s="164"/>
      <c r="K131" s="163"/>
      <c r="L131" s="164"/>
      <c r="M131" s="11"/>
      <c r="N131" s="39"/>
      <c r="Q131" s="15" t="str">
        <f>+CONCATENATE(E129,K129)</f>
        <v/>
      </c>
      <c r="R131" s="15">
        <f>+L129</f>
        <v>0</v>
      </c>
      <c r="S131" s="16"/>
      <c r="T131" s="15">
        <f>+E129</f>
        <v>0</v>
      </c>
      <c r="U131" s="26" t="str">
        <f>IFERROR(LEFT(K129,FIND("*",K129)-1),"-")</f>
        <v>-</v>
      </c>
      <c r="V131" s="26" t="str">
        <f>IFERROR(RIGHT(K129,LEN(K129)-FIND("*",K129)),"-")</f>
        <v>-</v>
      </c>
      <c r="W131" s="27" t="str">
        <f t="shared" si="64"/>
        <v>-</v>
      </c>
      <c r="X131" s="27" t="str">
        <f>IFERROR(W131*L129,"-")</f>
        <v>-</v>
      </c>
      <c r="Z131" s="94" t="s">
        <v>81</v>
      </c>
    </row>
    <row r="132" spans="1:26" s="25" customFormat="1" ht="21" customHeight="1" thickBot="1" x14ac:dyDescent="0.35">
      <c r="A132" s="10"/>
      <c r="B132" s="170"/>
      <c r="C132" s="171"/>
      <c r="D132" s="172" t="s">
        <v>43</v>
      </c>
      <c r="E132" s="173"/>
      <c r="F132" s="173"/>
      <c r="G132" s="174"/>
      <c r="H132" s="174"/>
      <c r="I132" s="174"/>
      <c r="J132" s="174"/>
      <c r="K132" s="174"/>
      <c r="L132" s="174"/>
      <c r="M132" s="12"/>
      <c r="N132" s="39"/>
      <c r="U132" s="23"/>
      <c r="V132" s="23"/>
      <c r="Z132" s="95" t="s">
        <v>81</v>
      </c>
    </row>
    <row r="133" spans="1:26" s="25" customFormat="1" ht="9.9499999999999993" customHeight="1" thickBot="1" x14ac:dyDescent="0.35">
      <c r="A133" s="6"/>
      <c r="B133" s="14"/>
      <c r="C133" s="119">
        <v>773</v>
      </c>
      <c r="D133" s="58"/>
      <c r="E133" s="17"/>
      <c r="F133" s="58"/>
      <c r="G133" s="19"/>
      <c r="H133" s="19"/>
      <c r="I133" s="19"/>
      <c r="J133" s="19"/>
      <c r="K133" s="19"/>
      <c r="L133" s="19"/>
      <c r="M133" s="14"/>
      <c r="N133" s="39"/>
      <c r="Q133" s="1"/>
      <c r="R133" s="1"/>
      <c r="S133" s="1"/>
      <c r="T133" s="1"/>
      <c r="U133" s="24"/>
      <c r="V133" s="24"/>
      <c r="W133" s="1"/>
      <c r="X133" s="1"/>
      <c r="Z133" s="94" t="s">
        <v>81</v>
      </c>
    </row>
    <row r="134" spans="1:26" s="25" customFormat="1" ht="6.95" customHeight="1" x14ac:dyDescent="0.3">
      <c r="A134" s="165">
        <f>+A123+1</f>
        <v>13</v>
      </c>
      <c r="B134" s="166"/>
      <c r="C134" s="167"/>
      <c r="D134" s="160" t="s">
        <v>39</v>
      </c>
      <c r="E134" s="161"/>
      <c r="F134" s="162" t="s">
        <v>40</v>
      </c>
      <c r="G134" s="163"/>
      <c r="H134" s="164"/>
      <c r="I134" s="163"/>
      <c r="J134" s="164"/>
      <c r="K134" s="163"/>
      <c r="L134" s="164"/>
      <c r="M134" s="11"/>
      <c r="N134" s="39"/>
      <c r="Q134" s="15" t="str">
        <f>+CONCATENATE(E134,G134)</f>
        <v/>
      </c>
      <c r="R134" s="15">
        <f>+H134</f>
        <v>0</v>
      </c>
      <c r="S134" s="16"/>
      <c r="T134" s="15">
        <f>+E134</f>
        <v>0</v>
      </c>
      <c r="U134" s="26" t="str">
        <f>IFERROR(LEFT(G134,FIND("*",G134)-1),"-")</f>
        <v>-</v>
      </c>
      <c r="V134" s="26" t="str">
        <f>IFERROR(RIGHT(G134,LEN(G134)-FIND("*",G134)),"-")</f>
        <v>-</v>
      </c>
      <c r="W134" s="27" t="str">
        <f>IFERROR((U134+V134)*2/1000,"-")</f>
        <v>-</v>
      </c>
      <c r="X134" s="27" t="str">
        <f>IFERROR(W134*H134,"-")</f>
        <v>-</v>
      </c>
      <c r="Z134" s="94" t="s">
        <v>81</v>
      </c>
    </row>
    <row r="135" spans="1:26" s="25" customFormat="1" ht="6.95" customHeight="1" x14ac:dyDescent="0.3">
      <c r="A135" s="165"/>
      <c r="B135" s="168"/>
      <c r="C135" s="169"/>
      <c r="D135" s="160"/>
      <c r="E135" s="161"/>
      <c r="F135" s="162"/>
      <c r="G135" s="163"/>
      <c r="H135" s="164"/>
      <c r="I135" s="163"/>
      <c r="J135" s="164"/>
      <c r="K135" s="163"/>
      <c r="L135" s="164"/>
      <c r="M135" s="11"/>
      <c r="N135" s="39"/>
      <c r="Q135" s="15" t="str">
        <f>+CONCATENATE(E134,I134)</f>
        <v/>
      </c>
      <c r="R135" s="15">
        <f>+J134</f>
        <v>0</v>
      </c>
      <c r="S135" s="16"/>
      <c r="T135" s="15">
        <f>+E134</f>
        <v>0</v>
      </c>
      <c r="U135" s="26" t="str">
        <f>IFERROR(LEFT(I134,FIND("*",I134)-1),"-")</f>
        <v>-</v>
      </c>
      <c r="V135" s="26" t="str">
        <f>IFERROR(RIGHT(I134,LEN(I134)-FIND("*",I134)),"-")</f>
        <v>-</v>
      </c>
      <c r="W135" s="27" t="str">
        <f t="shared" ref="W135:W142" si="70">IFERROR((U135+V135)*2/1000,"-")</f>
        <v>-</v>
      </c>
      <c r="X135" s="27" t="str">
        <f>IFERROR(W135*J134,"-")</f>
        <v>-</v>
      </c>
      <c r="Z135" s="94" t="s">
        <v>81</v>
      </c>
    </row>
    <row r="136" spans="1:26" s="25" customFormat="1" ht="6.95" customHeight="1" x14ac:dyDescent="0.3">
      <c r="A136" s="165"/>
      <c r="B136" s="168"/>
      <c r="C136" s="169"/>
      <c r="D136" s="160"/>
      <c r="E136" s="161"/>
      <c r="F136" s="162"/>
      <c r="G136" s="163"/>
      <c r="H136" s="164"/>
      <c r="I136" s="163"/>
      <c r="J136" s="164"/>
      <c r="K136" s="163"/>
      <c r="L136" s="164"/>
      <c r="M136" s="11"/>
      <c r="N136" s="39"/>
      <c r="Q136" s="15" t="str">
        <f>+CONCATENATE(E134,K134)</f>
        <v/>
      </c>
      <c r="R136" s="15">
        <f>+L134</f>
        <v>0</v>
      </c>
      <c r="S136" s="16"/>
      <c r="T136" s="15">
        <f>+E134</f>
        <v>0</v>
      </c>
      <c r="U136" s="26" t="str">
        <f>IFERROR(LEFT(K134,FIND("*",K134)-1),"-")</f>
        <v>-</v>
      </c>
      <c r="V136" s="26" t="str">
        <f>IFERROR(RIGHT(K134,LEN(K134)-FIND("*",K134)),"-")</f>
        <v>-</v>
      </c>
      <c r="W136" s="27" t="str">
        <f t="shared" si="70"/>
        <v>-</v>
      </c>
      <c r="X136" s="27" t="str">
        <f>IFERROR(W136*L134,"-")</f>
        <v>-</v>
      </c>
      <c r="Z136" s="94" t="s">
        <v>81</v>
      </c>
    </row>
    <row r="137" spans="1:26" s="25" customFormat="1" ht="6.95" customHeight="1" x14ac:dyDescent="0.3">
      <c r="A137" s="13"/>
      <c r="B137" s="168"/>
      <c r="C137" s="169"/>
      <c r="D137" s="160" t="s">
        <v>39</v>
      </c>
      <c r="E137" s="161"/>
      <c r="F137" s="162" t="s">
        <v>40</v>
      </c>
      <c r="G137" s="163"/>
      <c r="H137" s="164"/>
      <c r="I137" s="163"/>
      <c r="J137" s="164"/>
      <c r="K137" s="163"/>
      <c r="L137" s="164"/>
      <c r="M137" s="11"/>
      <c r="N137" s="39"/>
      <c r="Q137" s="15" t="str">
        <f>+CONCATENATE(E137,G137)</f>
        <v/>
      </c>
      <c r="R137" s="15">
        <f>+H137</f>
        <v>0</v>
      </c>
      <c r="S137" s="16"/>
      <c r="T137" s="15">
        <f>+E137</f>
        <v>0</v>
      </c>
      <c r="U137" s="26" t="str">
        <f t="shared" ref="U137" si="71">IFERROR(LEFT(G137,FIND("*",G137)-1),"-")</f>
        <v>-</v>
      </c>
      <c r="V137" s="26" t="str">
        <f t="shared" ref="V137" si="72">IFERROR(RIGHT(G137,LEN(G137)-FIND("*",G137)),"-")</f>
        <v>-</v>
      </c>
      <c r="W137" s="27" t="str">
        <f t="shared" si="70"/>
        <v>-</v>
      </c>
      <c r="X137" s="27" t="str">
        <f>IFERROR(W137*H137,"-")</f>
        <v>-</v>
      </c>
      <c r="Z137" s="94" t="s">
        <v>81</v>
      </c>
    </row>
    <row r="138" spans="1:26" s="25" customFormat="1" ht="6.95" customHeight="1" x14ac:dyDescent="0.3">
      <c r="A138" s="10"/>
      <c r="B138" s="168"/>
      <c r="C138" s="169"/>
      <c r="D138" s="160"/>
      <c r="E138" s="161"/>
      <c r="F138" s="162"/>
      <c r="G138" s="163"/>
      <c r="H138" s="164"/>
      <c r="I138" s="163"/>
      <c r="J138" s="164"/>
      <c r="K138" s="163"/>
      <c r="L138" s="164"/>
      <c r="M138" s="11"/>
      <c r="N138" s="39"/>
      <c r="Q138" s="15" t="str">
        <f>+CONCATENATE(E137,I137)</f>
        <v/>
      </c>
      <c r="R138" s="15">
        <f>+J137</f>
        <v>0</v>
      </c>
      <c r="S138" s="16"/>
      <c r="T138" s="15">
        <f>+E137</f>
        <v>0</v>
      </c>
      <c r="U138" s="26" t="str">
        <f>IFERROR(LEFT(I137,FIND("*",I137)-1),"-")</f>
        <v>-</v>
      </c>
      <c r="V138" s="26" t="str">
        <f>IFERROR(RIGHT(I137,LEN(I137)-FIND("*",I137)),"-")</f>
        <v>-</v>
      </c>
      <c r="W138" s="27" t="str">
        <f t="shared" si="70"/>
        <v>-</v>
      </c>
      <c r="X138" s="27" t="str">
        <f>IFERROR(W138*J137,"-")</f>
        <v>-</v>
      </c>
      <c r="Z138" s="94" t="s">
        <v>81</v>
      </c>
    </row>
    <row r="139" spans="1:26" s="25" customFormat="1" ht="6.95" customHeight="1" x14ac:dyDescent="0.3">
      <c r="A139" s="10"/>
      <c r="B139" s="168"/>
      <c r="C139" s="169"/>
      <c r="D139" s="160"/>
      <c r="E139" s="161"/>
      <c r="F139" s="162"/>
      <c r="G139" s="163"/>
      <c r="H139" s="164"/>
      <c r="I139" s="163"/>
      <c r="J139" s="164"/>
      <c r="K139" s="163"/>
      <c r="L139" s="164"/>
      <c r="M139" s="11"/>
      <c r="N139" s="39"/>
      <c r="Q139" s="15" t="str">
        <f>+CONCATENATE(E137,K137)</f>
        <v/>
      </c>
      <c r="R139" s="15">
        <f>+L137</f>
        <v>0</v>
      </c>
      <c r="S139" s="16"/>
      <c r="T139" s="15">
        <f>+E137</f>
        <v>0</v>
      </c>
      <c r="U139" s="26" t="str">
        <f>IFERROR(LEFT(K137,FIND("*",K137)-1),"-")</f>
        <v>-</v>
      </c>
      <c r="V139" s="26" t="str">
        <f>IFERROR(RIGHT(K137,LEN(K137)-FIND("*",K137)),"-")</f>
        <v>-</v>
      </c>
      <c r="W139" s="27" t="str">
        <f t="shared" si="70"/>
        <v>-</v>
      </c>
      <c r="X139" s="27" t="str">
        <f>IFERROR(W139*L137,"-")</f>
        <v>-</v>
      </c>
      <c r="Z139" s="94" t="s">
        <v>81</v>
      </c>
    </row>
    <row r="140" spans="1:26" s="25" customFormat="1" ht="6.95" customHeight="1" x14ac:dyDescent="0.3">
      <c r="A140" s="13"/>
      <c r="B140" s="168"/>
      <c r="C140" s="169"/>
      <c r="D140" s="160" t="s">
        <v>39</v>
      </c>
      <c r="E140" s="161"/>
      <c r="F140" s="162" t="s">
        <v>40</v>
      </c>
      <c r="G140" s="163"/>
      <c r="H140" s="164"/>
      <c r="I140" s="163"/>
      <c r="J140" s="164"/>
      <c r="K140" s="163"/>
      <c r="L140" s="164"/>
      <c r="M140" s="11"/>
      <c r="N140" s="39"/>
      <c r="Q140" s="15" t="str">
        <f>+CONCATENATE(E140,G140)</f>
        <v/>
      </c>
      <c r="R140" s="15">
        <f>+H140</f>
        <v>0</v>
      </c>
      <c r="S140" s="16"/>
      <c r="T140" s="15">
        <f>+E140</f>
        <v>0</v>
      </c>
      <c r="U140" s="26" t="str">
        <f t="shared" ref="U140" si="73">IFERROR(LEFT(G140,FIND("*",G140)-1),"-")</f>
        <v>-</v>
      </c>
      <c r="V140" s="26" t="str">
        <f t="shared" ref="V140" si="74">IFERROR(RIGHT(G140,LEN(G140)-FIND("*",G140)),"-")</f>
        <v>-</v>
      </c>
      <c r="W140" s="27" t="str">
        <f t="shared" si="70"/>
        <v>-</v>
      </c>
      <c r="X140" s="27" t="str">
        <f>IFERROR(W140*H140,"-")</f>
        <v>-</v>
      </c>
      <c r="Z140" s="94" t="s">
        <v>81</v>
      </c>
    </row>
    <row r="141" spans="1:26" s="25" customFormat="1" ht="6.95" customHeight="1" x14ac:dyDescent="0.3">
      <c r="A141" s="10"/>
      <c r="B141" s="168"/>
      <c r="C141" s="169"/>
      <c r="D141" s="160"/>
      <c r="E141" s="161"/>
      <c r="F141" s="162"/>
      <c r="G141" s="163"/>
      <c r="H141" s="164"/>
      <c r="I141" s="163"/>
      <c r="J141" s="164"/>
      <c r="K141" s="163"/>
      <c r="L141" s="164"/>
      <c r="M141" s="11"/>
      <c r="N141" s="39"/>
      <c r="Q141" s="15" t="str">
        <f>+CONCATENATE(E140,I140)</f>
        <v/>
      </c>
      <c r="R141" s="15">
        <f>+J140</f>
        <v>0</v>
      </c>
      <c r="S141" s="16"/>
      <c r="T141" s="15">
        <f>+E140</f>
        <v>0</v>
      </c>
      <c r="U141" s="26" t="str">
        <f>IFERROR(LEFT(I140,FIND("*",I140)-1),"-")</f>
        <v>-</v>
      </c>
      <c r="V141" s="26" t="str">
        <f>IFERROR(RIGHT(I140,LEN(I140)-FIND("*",I140)),"-")</f>
        <v>-</v>
      </c>
      <c r="W141" s="27" t="str">
        <f t="shared" si="70"/>
        <v>-</v>
      </c>
      <c r="X141" s="27" t="str">
        <f t="shared" ref="X141" si="75">IFERROR(W141*J140,"-")</f>
        <v>-</v>
      </c>
      <c r="Z141" s="94" t="s">
        <v>81</v>
      </c>
    </row>
    <row r="142" spans="1:26" s="25" customFormat="1" ht="6.95" customHeight="1" x14ac:dyDescent="0.3">
      <c r="A142" s="10"/>
      <c r="B142" s="168"/>
      <c r="C142" s="169"/>
      <c r="D142" s="160"/>
      <c r="E142" s="161"/>
      <c r="F142" s="162"/>
      <c r="G142" s="163"/>
      <c r="H142" s="164"/>
      <c r="I142" s="163"/>
      <c r="J142" s="164"/>
      <c r="K142" s="163"/>
      <c r="L142" s="164"/>
      <c r="M142" s="11"/>
      <c r="N142" s="39"/>
      <c r="Q142" s="15" t="str">
        <f>+CONCATENATE(E140,K140)</f>
        <v/>
      </c>
      <c r="R142" s="15">
        <f>+L140</f>
        <v>0</v>
      </c>
      <c r="S142" s="16"/>
      <c r="T142" s="15">
        <f>+E140</f>
        <v>0</v>
      </c>
      <c r="U142" s="26" t="str">
        <f>IFERROR(LEFT(K140,FIND("*",K140)-1),"-")</f>
        <v>-</v>
      </c>
      <c r="V142" s="26" t="str">
        <f>IFERROR(RIGHT(K140,LEN(K140)-FIND("*",K140)),"-")</f>
        <v>-</v>
      </c>
      <c r="W142" s="27" t="str">
        <f t="shared" si="70"/>
        <v>-</v>
      </c>
      <c r="X142" s="27" t="str">
        <f>IFERROR(W142*L140,"-")</f>
        <v>-</v>
      </c>
      <c r="Z142" s="94" t="s">
        <v>81</v>
      </c>
    </row>
    <row r="143" spans="1:26" s="25" customFormat="1" ht="21" customHeight="1" thickBot="1" x14ac:dyDescent="0.35">
      <c r="A143" s="10"/>
      <c r="B143" s="170"/>
      <c r="C143" s="171"/>
      <c r="D143" s="172" t="s">
        <v>43</v>
      </c>
      <c r="E143" s="173"/>
      <c r="F143" s="173"/>
      <c r="G143" s="174"/>
      <c r="H143" s="174"/>
      <c r="I143" s="174"/>
      <c r="J143" s="174"/>
      <c r="K143" s="174"/>
      <c r="L143" s="174"/>
      <c r="M143" s="12"/>
      <c r="N143" s="39"/>
      <c r="U143" s="23"/>
      <c r="V143" s="23"/>
      <c r="Z143" s="95" t="s">
        <v>81</v>
      </c>
    </row>
    <row r="144" spans="1:26" s="25" customFormat="1" ht="9.9499999999999993" customHeight="1" thickBot="1" x14ac:dyDescent="0.35">
      <c r="A144" s="6"/>
      <c r="B144" s="14"/>
      <c r="C144" s="119">
        <v>774</v>
      </c>
      <c r="D144" s="58"/>
      <c r="E144" s="17"/>
      <c r="F144" s="58"/>
      <c r="G144" s="19"/>
      <c r="H144" s="19"/>
      <c r="I144" s="19"/>
      <c r="J144" s="19"/>
      <c r="K144" s="19"/>
      <c r="L144" s="19"/>
      <c r="M144" s="14"/>
      <c r="N144" s="39"/>
      <c r="Q144" s="1"/>
      <c r="R144" s="1"/>
      <c r="S144" s="1"/>
      <c r="T144" s="1"/>
      <c r="U144" s="24"/>
      <c r="V144" s="24"/>
      <c r="W144" s="1"/>
      <c r="X144" s="1"/>
      <c r="Z144" s="94" t="s">
        <v>81</v>
      </c>
    </row>
    <row r="145" spans="1:26" s="25" customFormat="1" ht="6.95" customHeight="1" x14ac:dyDescent="0.3">
      <c r="A145" s="165">
        <f>+A134+1</f>
        <v>14</v>
      </c>
      <c r="B145" s="166"/>
      <c r="C145" s="167"/>
      <c r="D145" s="160" t="s">
        <v>39</v>
      </c>
      <c r="E145" s="161"/>
      <c r="F145" s="162" t="s">
        <v>40</v>
      </c>
      <c r="G145" s="163"/>
      <c r="H145" s="164"/>
      <c r="I145" s="163"/>
      <c r="J145" s="164"/>
      <c r="K145" s="163"/>
      <c r="L145" s="164"/>
      <c r="M145" s="11"/>
      <c r="N145" s="39"/>
      <c r="Q145" s="15" t="str">
        <f>+CONCATENATE(E145,G145)</f>
        <v/>
      </c>
      <c r="R145" s="15">
        <f>+H145</f>
        <v>0</v>
      </c>
      <c r="S145" s="16"/>
      <c r="T145" s="15">
        <f>+E145</f>
        <v>0</v>
      </c>
      <c r="U145" s="26" t="str">
        <f>IFERROR(LEFT(G145,FIND("*",G145)-1),"-")</f>
        <v>-</v>
      </c>
      <c r="V145" s="26" t="str">
        <f>IFERROR(RIGHT(G145,LEN(G145)-FIND("*",G145)),"-")</f>
        <v>-</v>
      </c>
      <c r="W145" s="27" t="str">
        <f>IFERROR((U145+V145)*2/1000,"-")</f>
        <v>-</v>
      </c>
      <c r="X145" s="27" t="str">
        <f>IFERROR(W145*H145,"-")</f>
        <v>-</v>
      </c>
      <c r="Z145" s="94" t="s">
        <v>81</v>
      </c>
    </row>
    <row r="146" spans="1:26" s="25" customFormat="1" ht="6.95" customHeight="1" x14ac:dyDescent="0.3">
      <c r="A146" s="165"/>
      <c r="B146" s="168"/>
      <c r="C146" s="169"/>
      <c r="D146" s="160"/>
      <c r="E146" s="161"/>
      <c r="F146" s="162"/>
      <c r="G146" s="163"/>
      <c r="H146" s="164"/>
      <c r="I146" s="163"/>
      <c r="J146" s="164"/>
      <c r="K146" s="163"/>
      <c r="L146" s="164"/>
      <c r="M146" s="11"/>
      <c r="N146" s="39"/>
      <c r="Q146" s="15" t="str">
        <f>+CONCATENATE(E145,I145)</f>
        <v/>
      </c>
      <c r="R146" s="15">
        <f>+J145</f>
        <v>0</v>
      </c>
      <c r="S146" s="16"/>
      <c r="T146" s="15">
        <f>+E145</f>
        <v>0</v>
      </c>
      <c r="U146" s="26" t="str">
        <f>IFERROR(LEFT(I145,FIND("*",I145)-1),"-")</f>
        <v>-</v>
      </c>
      <c r="V146" s="26" t="str">
        <f>IFERROR(RIGHT(I145,LEN(I145)-FIND("*",I145)),"-")</f>
        <v>-</v>
      </c>
      <c r="W146" s="27" t="str">
        <f t="shared" ref="W146:W153" si="76">IFERROR((U146+V146)*2/1000,"-")</f>
        <v>-</v>
      </c>
      <c r="X146" s="27" t="str">
        <f>IFERROR(W146*J145,"-")</f>
        <v>-</v>
      </c>
      <c r="Z146" s="94" t="s">
        <v>81</v>
      </c>
    </row>
    <row r="147" spans="1:26" s="25" customFormat="1" ht="6.95" customHeight="1" x14ac:dyDescent="0.3">
      <c r="A147" s="165"/>
      <c r="B147" s="168"/>
      <c r="C147" s="169"/>
      <c r="D147" s="160"/>
      <c r="E147" s="161"/>
      <c r="F147" s="162"/>
      <c r="G147" s="163"/>
      <c r="H147" s="164"/>
      <c r="I147" s="163"/>
      <c r="J147" s="164"/>
      <c r="K147" s="163"/>
      <c r="L147" s="164"/>
      <c r="M147" s="11"/>
      <c r="N147" s="39"/>
      <c r="Q147" s="15" t="str">
        <f>+CONCATENATE(E145,K145)</f>
        <v/>
      </c>
      <c r="R147" s="15">
        <f>+L145</f>
        <v>0</v>
      </c>
      <c r="S147" s="16"/>
      <c r="T147" s="15">
        <f>+E145</f>
        <v>0</v>
      </c>
      <c r="U147" s="26" t="str">
        <f>IFERROR(LEFT(K145,FIND("*",K145)-1),"-")</f>
        <v>-</v>
      </c>
      <c r="V147" s="26" t="str">
        <f>IFERROR(RIGHT(K145,LEN(K145)-FIND("*",K145)),"-")</f>
        <v>-</v>
      </c>
      <c r="W147" s="27" t="str">
        <f t="shared" si="76"/>
        <v>-</v>
      </c>
      <c r="X147" s="27" t="str">
        <f>IFERROR(W147*L145,"-")</f>
        <v>-</v>
      </c>
      <c r="Z147" s="94" t="s">
        <v>81</v>
      </c>
    </row>
    <row r="148" spans="1:26" s="25" customFormat="1" ht="6.95" customHeight="1" x14ac:dyDescent="0.3">
      <c r="A148" s="13"/>
      <c r="B148" s="168"/>
      <c r="C148" s="169"/>
      <c r="D148" s="160" t="s">
        <v>39</v>
      </c>
      <c r="E148" s="161"/>
      <c r="F148" s="162" t="s">
        <v>40</v>
      </c>
      <c r="G148" s="163"/>
      <c r="H148" s="164"/>
      <c r="I148" s="163"/>
      <c r="J148" s="164"/>
      <c r="K148" s="163"/>
      <c r="L148" s="164"/>
      <c r="M148" s="11"/>
      <c r="N148" s="39"/>
      <c r="Q148" s="15" t="str">
        <f>+CONCATENATE(E148,G148)</f>
        <v/>
      </c>
      <c r="R148" s="15">
        <f>+H148</f>
        <v>0</v>
      </c>
      <c r="S148" s="16"/>
      <c r="T148" s="15">
        <f>+E148</f>
        <v>0</v>
      </c>
      <c r="U148" s="26" t="str">
        <f t="shared" ref="U148" si="77">IFERROR(LEFT(G148,FIND("*",G148)-1),"-")</f>
        <v>-</v>
      </c>
      <c r="V148" s="26" t="str">
        <f t="shared" ref="V148" si="78">IFERROR(RIGHT(G148,LEN(G148)-FIND("*",G148)),"-")</f>
        <v>-</v>
      </c>
      <c r="W148" s="27" t="str">
        <f t="shared" si="76"/>
        <v>-</v>
      </c>
      <c r="X148" s="27" t="str">
        <f>IFERROR(W148*H148,"-")</f>
        <v>-</v>
      </c>
      <c r="Z148" s="94" t="s">
        <v>81</v>
      </c>
    </row>
    <row r="149" spans="1:26" s="25" customFormat="1" ht="6.95" customHeight="1" x14ac:dyDescent="0.3">
      <c r="A149" s="10"/>
      <c r="B149" s="168"/>
      <c r="C149" s="169"/>
      <c r="D149" s="160"/>
      <c r="E149" s="161"/>
      <c r="F149" s="162"/>
      <c r="G149" s="163"/>
      <c r="H149" s="164"/>
      <c r="I149" s="163"/>
      <c r="J149" s="164"/>
      <c r="K149" s="163"/>
      <c r="L149" s="164"/>
      <c r="M149" s="11"/>
      <c r="N149" s="39"/>
      <c r="Q149" s="15" t="str">
        <f>+CONCATENATE(E148,I148)</f>
        <v/>
      </c>
      <c r="R149" s="15">
        <f>+J148</f>
        <v>0</v>
      </c>
      <c r="S149" s="16"/>
      <c r="T149" s="15">
        <f>+E148</f>
        <v>0</v>
      </c>
      <c r="U149" s="26" t="str">
        <f>IFERROR(LEFT(I148,FIND("*",I148)-1),"-")</f>
        <v>-</v>
      </c>
      <c r="V149" s="26" t="str">
        <f>IFERROR(RIGHT(I148,LEN(I148)-FIND("*",I148)),"-")</f>
        <v>-</v>
      </c>
      <c r="W149" s="27" t="str">
        <f t="shared" si="76"/>
        <v>-</v>
      </c>
      <c r="X149" s="27" t="str">
        <f>IFERROR(W149*J148,"-")</f>
        <v>-</v>
      </c>
      <c r="Z149" s="94" t="s">
        <v>81</v>
      </c>
    </row>
    <row r="150" spans="1:26" s="25" customFormat="1" ht="6.95" customHeight="1" x14ac:dyDescent="0.3">
      <c r="A150" s="10"/>
      <c r="B150" s="168"/>
      <c r="C150" s="169"/>
      <c r="D150" s="160"/>
      <c r="E150" s="161"/>
      <c r="F150" s="162"/>
      <c r="G150" s="163"/>
      <c r="H150" s="164"/>
      <c r="I150" s="163"/>
      <c r="J150" s="164"/>
      <c r="K150" s="163"/>
      <c r="L150" s="164"/>
      <c r="M150" s="11"/>
      <c r="N150" s="39"/>
      <c r="Q150" s="15" t="str">
        <f>+CONCATENATE(E148,K148)</f>
        <v/>
      </c>
      <c r="R150" s="15">
        <f>+L148</f>
        <v>0</v>
      </c>
      <c r="S150" s="16"/>
      <c r="T150" s="15">
        <f>+E148</f>
        <v>0</v>
      </c>
      <c r="U150" s="26" t="str">
        <f>IFERROR(LEFT(K148,FIND("*",K148)-1),"-")</f>
        <v>-</v>
      </c>
      <c r="V150" s="26" t="str">
        <f>IFERROR(RIGHT(K148,LEN(K148)-FIND("*",K148)),"-")</f>
        <v>-</v>
      </c>
      <c r="W150" s="27" t="str">
        <f t="shared" si="76"/>
        <v>-</v>
      </c>
      <c r="X150" s="27" t="str">
        <f>IFERROR(W150*L148,"-")</f>
        <v>-</v>
      </c>
      <c r="Z150" s="94" t="s">
        <v>81</v>
      </c>
    </row>
    <row r="151" spans="1:26" s="25" customFormat="1" ht="6.95" customHeight="1" x14ac:dyDescent="0.3">
      <c r="A151" s="13"/>
      <c r="B151" s="168"/>
      <c r="C151" s="169"/>
      <c r="D151" s="160" t="s">
        <v>39</v>
      </c>
      <c r="E151" s="161"/>
      <c r="F151" s="162" t="s">
        <v>40</v>
      </c>
      <c r="G151" s="163"/>
      <c r="H151" s="164"/>
      <c r="I151" s="163"/>
      <c r="J151" s="164"/>
      <c r="K151" s="163"/>
      <c r="L151" s="164"/>
      <c r="M151" s="11"/>
      <c r="N151" s="39"/>
      <c r="Q151" s="15" t="str">
        <f>+CONCATENATE(E151,G151)</f>
        <v/>
      </c>
      <c r="R151" s="15">
        <f>+H151</f>
        <v>0</v>
      </c>
      <c r="S151" s="16"/>
      <c r="T151" s="15">
        <f>+E151</f>
        <v>0</v>
      </c>
      <c r="U151" s="26" t="str">
        <f t="shared" ref="U151" si="79">IFERROR(LEFT(G151,FIND("*",G151)-1),"-")</f>
        <v>-</v>
      </c>
      <c r="V151" s="26" t="str">
        <f t="shared" ref="V151" si="80">IFERROR(RIGHT(G151,LEN(G151)-FIND("*",G151)),"-")</f>
        <v>-</v>
      </c>
      <c r="W151" s="27" t="str">
        <f t="shared" si="76"/>
        <v>-</v>
      </c>
      <c r="X151" s="27" t="str">
        <f>IFERROR(W151*H151,"-")</f>
        <v>-</v>
      </c>
      <c r="Z151" s="94" t="s">
        <v>81</v>
      </c>
    </row>
    <row r="152" spans="1:26" s="25" customFormat="1" ht="6.95" customHeight="1" x14ac:dyDescent="0.3">
      <c r="A152" s="10"/>
      <c r="B152" s="168"/>
      <c r="C152" s="169"/>
      <c r="D152" s="160"/>
      <c r="E152" s="161"/>
      <c r="F152" s="162"/>
      <c r="G152" s="163"/>
      <c r="H152" s="164"/>
      <c r="I152" s="163"/>
      <c r="J152" s="164"/>
      <c r="K152" s="163"/>
      <c r="L152" s="164"/>
      <c r="M152" s="11"/>
      <c r="N152" s="39"/>
      <c r="Q152" s="15" t="str">
        <f>+CONCATENATE(E151,I151)</f>
        <v/>
      </c>
      <c r="R152" s="15">
        <f>+J151</f>
        <v>0</v>
      </c>
      <c r="S152" s="16"/>
      <c r="T152" s="15">
        <f>+E151</f>
        <v>0</v>
      </c>
      <c r="U152" s="26" t="str">
        <f>IFERROR(LEFT(I151,FIND("*",I151)-1),"-")</f>
        <v>-</v>
      </c>
      <c r="V152" s="26" t="str">
        <f>IFERROR(RIGHT(I151,LEN(I151)-FIND("*",I151)),"-")</f>
        <v>-</v>
      </c>
      <c r="W152" s="27" t="str">
        <f t="shared" si="76"/>
        <v>-</v>
      </c>
      <c r="X152" s="27" t="str">
        <f t="shared" ref="X152" si="81">IFERROR(W152*J151,"-")</f>
        <v>-</v>
      </c>
      <c r="Z152" s="94" t="s">
        <v>81</v>
      </c>
    </row>
    <row r="153" spans="1:26" s="25" customFormat="1" ht="6.95" customHeight="1" x14ac:dyDescent="0.3">
      <c r="A153" s="10"/>
      <c r="B153" s="168"/>
      <c r="C153" s="169"/>
      <c r="D153" s="160"/>
      <c r="E153" s="161"/>
      <c r="F153" s="162"/>
      <c r="G153" s="163"/>
      <c r="H153" s="164"/>
      <c r="I153" s="163"/>
      <c r="J153" s="164"/>
      <c r="K153" s="163"/>
      <c r="L153" s="164"/>
      <c r="M153" s="11"/>
      <c r="N153" s="39"/>
      <c r="Q153" s="15" t="str">
        <f>+CONCATENATE(E151,K151)</f>
        <v/>
      </c>
      <c r="R153" s="15">
        <f>+L151</f>
        <v>0</v>
      </c>
      <c r="S153" s="16"/>
      <c r="T153" s="15">
        <f>+E151</f>
        <v>0</v>
      </c>
      <c r="U153" s="26" t="str">
        <f>IFERROR(LEFT(K151,FIND("*",K151)-1),"-")</f>
        <v>-</v>
      </c>
      <c r="V153" s="26" t="str">
        <f>IFERROR(RIGHT(K151,LEN(K151)-FIND("*",K151)),"-")</f>
        <v>-</v>
      </c>
      <c r="W153" s="27" t="str">
        <f t="shared" si="76"/>
        <v>-</v>
      </c>
      <c r="X153" s="27" t="str">
        <f>IFERROR(W153*L151,"-")</f>
        <v>-</v>
      </c>
      <c r="Z153" s="94" t="s">
        <v>81</v>
      </c>
    </row>
    <row r="154" spans="1:26" s="25" customFormat="1" ht="21" customHeight="1" thickBot="1" x14ac:dyDescent="0.35">
      <c r="A154" s="10"/>
      <c r="B154" s="170"/>
      <c r="C154" s="171"/>
      <c r="D154" s="172" t="s">
        <v>43</v>
      </c>
      <c r="E154" s="173"/>
      <c r="F154" s="173"/>
      <c r="G154" s="174"/>
      <c r="H154" s="174"/>
      <c r="I154" s="174"/>
      <c r="J154" s="174"/>
      <c r="K154" s="174"/>
      <c r="L154" s="174"/>
      <c r="M154" s="12"/>
      <c r="N154" s="39"/>
      <c r="U154" s="23"/>
      <c r="V154" s="23"/>
      <c r="Z154" s="95" t="s">
        <v>81</v>
      </c>
    </row>
    <row r="155" spans="1:26" s="25" customFormat="1" ht="9.9499999999999993" customHeight="1" thickBot="1" x14ac:dyDescent="0.35">
      <c r="A155" s="6"/>
      <c r="B155" s="14"/>
      <c r="C155" s="119">
        <v>775</v>
      </c>
      <c r="D155" s="58"/>
      <c r="E155" s="17"/>
      <c r="F155" s="58"/>
      <c r="G155" s="19"/>
      <c r="H155" s="19"/>
      <c r="I155" s="19"/>
      <c r="J155" s="19"/>
      <c r="K155" s="19"/>
      <c r="L155" s="19"/>
      <c r="M155" s="14"/>
      <c r="N155" s="39"/>
      <c r="Q155" s="1"/>
      <c r="R155" s="1"/>
      <c r="S155" s="1"/>
      <c r="T155" s="1"/>
      <c r="U155" s="24"/>
      <c r="V155" s="24"/>
      <c r="W155" s="1"/>
      <c r="X155" s="1"/>
      <c r="Z155" s="94" t="s">
        <v>81</v>
      </c>
    </row>
    <row r="156" spans="1:26" s="25" customFormat="1" ht="6.95" customHeight="1" x14ac:dyDescent="0.3">
      <c r="A156" s="165">
        <f>+A145+1</f>
        <v>15</v>
      </c>
      <c r="B156" s="166"/>
      <c r="C156" s="167"/>
      <c r="D156" s="160" t="s">
        <v>39</v>
      </c>
      <c r="E156" s="161"/>
      <c r="F156" s="162" t="s">
        <v>40</v>
      </c>
      <c r="G156" s="163"/>
      <c r="H156" s="164"/>
      <c r="I156" s="163"/>
      <c r="J156" s="164"/>
      <c r="K156" s="163"/>
      <c r="L156" s="164"/>
      <c r="M156" s="11"/>
      <c r="N156" s="39"/>
      <c r="Q156" s="15" t="str">
        <f>+CONCATENATE(E156,G156)</f>
        <v/>
      </c>
      <c r="R156" s="15">
        <f>+H156</f>
        <v>0</v>
      </c>
      <c r="S156" s="16"/>
      <c r="T156" s="15">
        <f>+E156</f>
        <v>0</v>
      </c>
      <c r="U156" s="26" t="str">
        <f>IFERROR(LEFT(G156,FIND("*",G156)-1),"-")</f>
        <v>-</v>
      </c>
      <c r="V156" s="26" t="str">
        <f>IFERROR(RIGHT(G156,LEN(G156)-FIND("*",G156)),"-")</f>
        <v>-</v>
      </c>
      <c r="W156" s="27" t="str">
        <f>IFERROR((U156+V156)*2/1000,"-")</f>
        <v>-</v>
      </c>
      <c r="X156" s="27" t="str">
        <f>IFERROR(W156*H156,"-")</f>
        <v>-</v>
      </c>
      <c r="Z156" s="94" t="s">
        <v>81</v>
      </c>
    </row>
    <row r="157" spans="1:26" s="25" customFormat="1" ht="6.95" customHeight="1" x14ac:dyDescent="0.3">
      <c r="A157" s="165"/>
      <c r="B157" s="168"/>
      <c r="C157" s="169"/>
      <c r="D157" s="160"/>
      <c r="E157" s="161"/>
      <c r="F157" s="162"/>
      <c r="G157" s="163"/>
      <c r="H157" s="164"/>
      <c r="I157" s="163"/>
      <c r="J157" s="164"/>
      <c r="K157" s="163"/>
      <c r="L157" s="164"/>
      <c r="M157" s="11"/>
      <c r="N157" s="39"/>
      <c r="Q157" s="15" t="str">
        <f>+CONCATENATE(E156,I156)</f>
        <v/>
      </c>
      <c r="R157" s="15">
        <f>+J156</f>
        <v>0</v>
      </c>
      <c r="S157" s="16"/>
      <c r="T157" s="15">
        <f>+E156</f>
        <v>0</v>
      </c>
      <c r="U157" s="26" t="str">
        <f>IFERROR(LEFT(I156,FIND("*",I156)-1),"-")</f>
        <v>-</v>
      </c>
      <c r="V157" s="26" t="str">
        <f>IFERROR(RIGHT(I156,LEN(I156)-FIND("*",I156)),"-")</f>
        <v>-</v>
      </c>
      <c r="W157" s="27" t="str">
        <f t="shared" ref="W157:W164" si="82">IFERROR((U157+V157)*2/1000,"-")</f>
        <v>-</v>
      </c>
      <c r="X157" s="27" t="str">
        <f>IFERROR(W157*J156,"-")</f>
        <v>-</v>
      </c>
      <c r="Z157" s="94" t="s">
        <v>81</v>
      </c>
    </row>
    <row r="158" spans="1:26" s="25" customFormat="1" ht="6.95" customHeight="1" x14ac:dyDescent="0.3">
      <c r="A158" s="165"/>
      <c r="B158" s="168"/>
      <c r="C158" s="169"/>
      <c r="D158" s="160"/>
      <c r="E158" s="161"/>
      <c r="F158" s="162"/>
      <c r="G158" s="163"/>
      <c r="H158" s="164"/>
      <c r="I158" s="163"/>
      <c r="J158" s="164"/>
      <c r="K158" s="163"/>
      <c r="L158" s="164"/>
      <c r="M158" s="11"/>
      <c r="N158" s="39"/>
      <c r="Q158" s="15" t="str">
        <f>+CONCATENATE(E156,K156)</f>
        <v/>
      </c>
      <c r="R158" s="15">
        <f>+L156</f>
        <v>0</v>
      </c>
      <c r="S158" s="16"/>
      <c r="T158" s="15">
        <f>+E156</f>
        <v>0</v>
      </c>
      <c r="U158" s="26" t="str">
        <f>IFERROR(LEFT(K156,FIND("*",K156)-1),"-")</f>
        <v>-</v>
      </c>
      <c r="V158" s="26" t="str">
        <f>IFERROR(RIGHT(K156,LEN(K156)-FIND("*",K156)),"-")</f>
        <v>-</v>
      </c>
      <c r="W158" s="27" t="str">
        <f t="shared" si="82"/>
        <v>-</v>
      </c>
      <c r="X158" s="27" t="str">
        <f>IFERROR(W158*L156,"-")</f>
        <v>-</v>
      </c>
      <c r="Z158" s="94" t="s">
        <v>81</v>
      </c>
    </row>
    <row r="159" spans="1:26" s="25" customFormat="1" ht="6.95" customHeight="1" x14ac:dyDescent="0.3">
      <c r="A159" s="13"/>
      <c r="B159" s="168"/>
      <c r="C159" s="169"/>
      <c r="D159" s="160" t="s">
        <v>39</v>
      </c>
      <c r="E159" s="161"/>
      <c r="F159" s="162" t="s">
        <v>40</v>
      </c>
      <c r="G159" s="163"/>
      <c r="H159" s="164"/>
      <c r="I159" s="163"/>
      <c r="J159" s="164"/>
      <c r="K159" s="163"/>
      <c r="L159" s="164"/>
      <c r="M159" s="11"/>
      <c r="N159" s="39"/>
      <c r="Q159" s="15" t="str">
        <f>+CONCATENATE(E159,G159)</f>
        <v/>
      </c>
      <c r="R159" s="15">
        <f>+H159</f>
        <v>0</v>
      </c>
      <c r="S159" s="16"/>
      <c r="T159" s="15">
        <f>+E159</f>
        <v>0</v>
      </c>
      <c r="U159" s="26" t="str">
        <f t="shared" ref="U159" si="83">IFERROR(LEFT(G159,FIND("*",G159)-1),"-")</f>
        <v>-</v>
      </c>
      <c r="V159" s="26" t="str">
        <f t="shared" ref="V159" si="84">IFERROR(RIGHT(G159,LEN(G159)-FIND("*",G159)),"-")</f>
        <v>-</v>
      </c>
      <c r="W159" s="27" t="str">
        <f t="shared" si="82"/>
        <v>-</v>
      </c>
      <c r="X159" s="27" t="str">
        <f>IFERROR(W159*H159,"-")</f>
        <v>-</v>
      </c>
      <c r="Z159" s="94" t="s">
        <v>81</v>
      </c>
    </row>
    <row r="160" spans="1:26" s="25" customFormat="1" ht="6.95" customHeight="1" x14ac:dyDescent="0.3">
      <c r="A160" s="10"/>
      <c r="B160" s="168"/>
      <c r="C160" s="169"/>
      <c r="D160" s="160"/>
      <c r="E160" s="161"/>
      <c r="F160" s="162"/>
      <c r="G160" s="163"/>
      <c r="H160" s="164"/>
      <c r="I160" s="163"/>
      <c r="J160" s="164"/>
      <c r="K160" s="163"/>
      <c r="L160" s="164"/>
      <c r="M160" s="11"/>
      <c r="N160" s="39"/>
      <c r="Q160" s="15" t="str">
        <f>+CONCATENATE(E159,I159)</f>
        <v/>
      </c>
      <c r="R160" s="15">
        <f>+J159</f>
        <v>0</v>
      </c>
      <c r="S160" s="16"/>
      <c r="T160" s="15">
        <f>+E159</f>
        <v>0</v>
      </c>
      <c r="U160" s="26" t="str">
        <f>IFERROR(LEFT(I159,FIND("*",I159)-1),"-")</f>
        <v>-</v>
      </c>
      <c r="V160" s="26" t="str">
        <f>IFERROR(RIGHT(I159,LEN(I159)-FIND("*",I159)),"-")</f>
        <v>-</v>
      </c>
      <c r="W160" s="27" t="str">
        <f t="shared" si="82"/>
        <v>-</v>
      </c>
      <c r="X160" s="27" t="str">
        <f>IFERROR(W160*J159,"-")</f>
        <v>-</v>
      </c>
      <c r="Z160" s="94" t="s">
        <v>81</v>
      </c>
    </row>
    <row r="161" spans="1:26" s="25" customFormat="1" ht="6.95" customHeight="1" x14ac:dyDescent="0.3">
      <c r="A161" s="10"/>
      <c r="B161" s="168"/>
      <c r="C161" s="169"/>
      <c r="D161" s="160"/>
      <c r="E161" s="161"/>
      <c r="F161" s="162"/>
      <c r="G161" s="163"/>
      <c r="H161" s="164"/>
      <c r="I161" s="163"/>
      <c r="J161" s="164"/>
      <c r="K161" s="163"/>
      <c r="L161" s="164"/>
      <c r="M161" s="11"/>
      <c r="N161" s="39"/>
      <c r="Q161" s="15" t="str">
        <f>+CONCATENATE(E159,K159)</f>
        <v/>
      </c>
      <c r="R161" s="15">
        <f>+L159</f>
        <v>0</v>
      </c>
      <c r="S161" s="16"/>
      <c r="T161" s="15">
        <f>+E159</f>
        <v>0</v>
      </c>
      <c r="U161" s="26" t="str">
        <f>IFERROR(LEFT(K159,FIND("*",K159)-1),"-")</f>
        <v>-</v>
      </c>
      <c r="V161" s="26" t="str">
        <f>IFERROR(RIGHT(K159,LEN(K159)-FIND("*",K159)),"-")</f>
        <v>-</v>
      </c>
      <c r="W161" s="27" t="str">
        <f t="shared" si="82"/>
        <v>-</v>
      </c>
      <c r="X161" s="27" t="str">
        <f>IFERROR(W161*L159,"-")</f>
        <v>-</v>
      </c>
      <c r="Z161" s="94" t="s">
        <v>81</v>
      </c>
    </row>
    <row r="162" spans="1:26" s="25" customFormat="1" ht="6.95" customHeight="1" x14ac:dyDescent="0.3">
      <c r="A162" s="13"/>
      <c r="B162" s="168"/>
      <c r="C162" s="169"/>
      <c r="D162" s="160" t="s">
        <v>39</v>
      </c>
      <c r="E162" s="161"/>
      <c r="F162" s="162" t="s">
        <v>40</v>
      </c>
      <c r="G162" s="163"/>
      <c r="H162" s="164"/>
      <c r="I162" s="163"/>
      <c r="J162" s="164"/>
      <c r="K162" s="163"/>
      <c r="L162" s="164"/>
      <c r="M162" s="11"/>
      <c r="N162" s="39"/>
      <c r="Q162" s="15" t="str">
        <f>+CONCATENATE(E162,G162)</f>
        <v/>
      </c>
      <c r="R162" s="15">
        <f>+H162</f>
        <v>0</v>
      </c>
      <c r="S162" s="16"/>
      <c r="T162" s="15">
        <f>+E162</f>
        <v>0</v>
      </c>
      <c r="U162" s="26" t="str">
        <f t="shared" ref="U162" si="85">IFERROR(LEFT(G162,FIND("*",G162)-1),"-")</f>
        <v>-</v>
      </c>
      <c r="V162" s="26" t="str">
        <f t="shared" ref="V162" si="86">IFERROR(RIGHT(G162,LEN(G162)-FIND("*",G162)),"-")</f>
        <v>-</v>
      </c>
      <c r="W162" s="27" t="str">
        <f t="shared" si="82"/>
        <v>-</v>
      </c>
      <c r="X162" s="27" t="str">
        <f>IFERROR(W162*H162,"-")</f>
        <v>-</v>
      </c>
      <c r="Z162" s="94" t="s">
        <v>81</v>
      </c>
    </row>
    <row r="163" spans="1:26" s="25" customFormat="1" ht="6.95" customHeight="1" x14ac:dyDescent="0.3">
      <c r="A163" s="10"/>
      <c r="B163" s="168"/>
      <c r="C163" s="169"/>
      <c r="D163" s="160"/>
      <c r="E163" s="161"/>
      <c r="F163" s="162"/>
      <c r="G163" s="163"/>
      <c r="H163" s="164"/>
      <c r="I163" s="163"/>
      <c r="J163" s="164"/>
      <c r="K163" s="163"/>
      <c r="L163" s="164"/>
      <c r="M163" s="11"/>
      <c r="N163" s="39"/>
      <c r="Q163" s="15" t="str">
        <f>+CONCATENATE(E162,I162)</f>
        <v/>
      </c>
      <c r="R163" s="15">
        <f>+J162</f>
        <v>0</v>
      </c>
      <c r="S163" s="16"/>
      <c r="T163" s="15">
        <f>+E162</f>
        <v>0</v>
      </c>
      <c r="U163" s="26" t="str">
        <f>IFERROR(LEFT(I162,FIND("*",I162)-1),"-")</f>
        <v>-</v>
      </c>
      <c r="V163" s="26" t="str">
        <f>IFERROR(RIGHT(I162,LEN(I162)-FIND("*",I162)),"-")</f>
        <v>-</v>
      </c>
      <c r="W163" s="27" t="str">
        <f t="shared" si="82"/>
        <v>-</v>
      </c>
      <c r="X163" s="27" t="str">
        <f t="shared" ref="X163" si="87">IFERROR(W163*J162,"-")</f>
        <v>-</v>
      </c>
      <c r="Z163" s="94" t="s">
        <v>81</v>
      </c>
    </row>
    <row r="164" spans="1:26" s="25" customFormat="1" ht="6.95" customHeight="1" x14ac:dyDescent="0.3">
      <c r="A164" s="10"/>
      <c r="B164" s="168"/>
      <c r="C164" s="169"/>
      <c r="D164" s="160"/>
      <c r="E164" s="161"/>
      <c r="F164" s="162"/>
      <c r="G164" s="163"/>
      <c r="H164" s="164"/>
      <c r="I164" s="163"/>
      <c r="J164" s="164"/>
      <c r="K164" s="163"/>
      <c r="L164" s="164"/>
      <c r="M164" s="11"/>
      <c r="N164" s="39"/>
      <c r="Q164" s="15" t="str">
        <f>+CONCATENATE(E162,K162)</f>
        <v/>
      </c>
      <c r="R164" s="15">
        <f>+L162</f>
        <v>0</v>
      </c>
      <c r="S164" s="16"/>
      <c r="T164" s="15">
        <f>+E162</f>
        <v>0</v>
      </c>
      <c r="U164" s="26" t="str">
        <f>IFERROR(LEFT(K162,FIND("*",K162)-1),"-")</f>
        <v>-</v>
      </c>
      <c r="V164" s="26" t="str">
        <f>IFERROR(RIGHT(K162,LEN(K162)-FIND("*",K162)),"-")</f>
        <v>-</v>
      </c>
      <c r="W164" s="27" t="str">
        <f t="shared" si="82"/>
        <v>-</v>
      </c>
      <c r="X164" s="27" t="str">
        <f>IFERROR(W164*L162,"-")</f>
        <v>-</v>
      </c>
      <c r="Z164" s="94" t="s">
        <v>81</v>
      </c>
    </row>
    <row r="165" spans="1:26" s="25" customFormat="1" ht="21" customHeight="1" thickBot="1" x14ac:dyDescent="0.35">
      <c r="A165" s="10"/>
      <c r="B165" s="170"/>
      <c r="C165" s="171"/>
      <c r="D165" s="172" t="s">
        <v>43</v>
      </c>
      <c r="E165" s="173"/>
      <c r="F165" s="173"/>
      <c r="G165" s="174"/>
      <c r="H165" s="174"/>
      <c r="I165" s="174"/>
      <c r="J165" s="174"/>
      <c r="K165" s="174"/>
      <c r="L165" s="174"/>
      <c r="M165" s="12"/>
      <c r="N165" s="39"/>
      <c r="U165" s="23"/>
      <c r="V165" s="23"/>
      <c r="Z165" s="95" t="s">
        <v>81</v>
      </c>
    </row>
    <row r="166" spans="1:26" s="25" customFormat="1" ht="9.9499999999999993" customHeight="1" thickBot="1" x14ac:dyDescent="0.35">
      <c r="A166" s="6"/>
      <c r="B166" s="14"/>
      <c r="C166" s="119">
        <v>776</v>
      </c>
      <c r="D166" s="58"/>
      <c r="E166" s="17"/>
      <c r="F166" s="58"/>
      <c r="G166" s="19"/>
      <c r="H166" s="19"/>
      <c r="I166" s="19"/>
      <c r="J166" s="19"/>
      <c r="K166" s="19"/>
      <c r="L166" s="19"/>
      <c r="M166" s="14"/>
      <c r="N166" s="39"/>
      <c r="Q166" s="1"/>
      <c r="R166" s="1"/>
      <c r="S166" s="1"/>
      <c r="T166" s="1"/>
      <c r="U166" s="24"/>
      <c r="V166" s="24"/>
      <c r="W166" s="1"/>
      <c r="X166" s="1"/>
      <c r="Z166" s="94" t="s">
        <v>81</v>
      </c>
    </row>
    <row r="167" spans="1:26" s="25" customFormat="1" ht="6.95" customHeight="1" x14ac:dyDescent="0.3">
      <c r="A167" s="165">
        <f>+A156+1</f>
        <v>16</v>
      </c>
      <c r="B167" s="166"/>
      <c r="C167" s="167"/>
      <c r="D167" s="160" t="s">
        <v>39</v>
      </c>
      <c r="E167" s="161"/>
      <c r="F167" s="162" t="s">
        <v>40</v>
      </c>
      <c r="G167" s="163"/>
      <c r="H167" s="164"/>
      <c r="I167" s="163"/>
      <c r="J167" s="164"/>
      <c r="K167" s="163"/>
      <c r="L167" s="164"/>
      <c r="M167" s="11"/>
      <c r="N167" s="39"/>
      <c r="Q167" s="15" t="str">
        <f>+CONCATENATE(E167,G167)</f>
        <v/>
      </c>
      <c r="R167" s="15">
        <f>+H167</f>
        <v>0</v>
      </c>
      <c r="S167" s="16"/>
      <c r="T167" s="15">
        <f>+E167</f>
        <v>0</v>
      </c>
      <c r="U167" s="26" t="str">
        <f>IFERROR(LEFT(G167,FIND("*",G167)-1),"-")</f>
        <v>-</v>
      </c>
      <c r="V167" s="26" t="str">
        <f>IFERROR(RIGHT(G167,LEN(G167)-FIND("*",G167)),"-")</f>
        <v>-</v>
      </c>
      <c r="W167" s="27" t="str">
        <f>IFERROR((U167+V167)*2/1000,"-")</f>
        <v>-</v>
      </c>
      <c r="X167" s="27" t="str">
        <f>IFERROR(W167*H167,"-")</f>
        <v>-</v>
      </c>
      <c r="Z167" s="94" t="s">
        <v>81</v>
      </c>
    </row>
    <row r="168" spans="1:26" s="25" customFormat="1" ht="6.95" customHeight="1" x14ac:dyDescent="0.3">
      <c r="A168" s="165"/>
      <c r="B168" s="168"/>
      <c r="C168" s="169"/>
      <c r="D168" s="160"/>
      <c r="E168" s="161"/>
      <c r="F168" s="162"/>
      <c r="G168" s="163"/>
      <c r="H168" s="164"/>
      <c r="I168" s="163"/>
      <c r="J168" s="164"/>
      <c r="K168" s="163"/>
      <c r="L168" s="164"/>
      <c r="M168" s="11"/>
      <c r="N168" s="39"/>
      <c r="Q168" s="15" t="str">
        <f>+CONCATENATE(E167,I167)</f>
        <v/>
      </c>
      <c r="R168" s="15">
        <f>+J167</f>
        <v>0</v>
      </c>
      <c r="S168" s="16"/>
      <c r="T168" s="15">
        <f>+E167</f>
        <v>0</v>
      </c>
      <c r="U168" s="26" t="str">
        <f>IFERROR(LEFT(I167,FIND("*",I167)-1),"-")</f>
        <v>-</v>
      </c>
      <c r="V168" s="26" t="str">
        <f>IFERROR(RIGHT(I167,LEN(I167)-FIND("*",I167)),"-")</f>
        <v>-</v>
      </c>
      <c r="W168" s="27" t="str">
        <f t="shared" ref="W168:W175" si="88">IFERROR((U168+V168)*2/1000,"-")</f>
        <v>-</v>
      </c>
      <c r="X168" s="27" t="str">
        <f>IFERROR(W168*J167,"-")</f>
        <v>-</v>
      </c>
      <c r="Z168" s="94" t="s">
        <v>81</v>
      </c>
    </row>
    <row r="169" spans="1:26" s="25" customFormat="1" ht="6.95" customHeight="1" x14ac:dyDescent="0.3">
      <c r="A169" s="165"/>
      <c r="B169" s="168"/>
      <c r="C169" s="169"/>
      <c r="D169" s="160"/>
      <c r="E169" s="161"/>
      <c r="F169" s="162"/>
      <c r="G169" s="163"/>
      <c r="H169" s="164"/>
      <c r="I169" s="163"/>
      <c r="J169" s="164"/>
      <c r="K169" s="163"/>
      <c r="L169" s="164"/>
      <c r="M169" s="11"/>
      <c r="N169" s="39"/>
      <c r="Q169" s="15" t="str">
        <f>+CONCATENATE(E167,K167)</f>
        <v/>
      </c>
      <c r="R169" s="15">
        <f>+L167</f>
        <v>0</v>
      </c>
      <c r="S169" s="16"/>
      <c r="T169" s="15">
        <f>+E167</f>
        <v>0</v>
      </c>
      <c r="U169" s="26" t="str">
        <f>IFERROR(LEFT(K167,FIND("*",K167)-1),"-")</f>
        <v>-</v>
      </c>
      <c r="V169" s="26" t="str">
        <f>IFERROR(RIGHT(K167,LEN(K167)-FIND("*",K167)),"-")</f>
        <v>-</v>
      </c>
      <c r="W169" s="27" t="str">
        <f t="shared" si="88"/>
        <v>-</v>
      </c>
      <c r="X169" s="27" t="str">
        <f>IFERROR(W169*L167,"-")</f>
        <v>-</v>
      </c>
      <c r="Z169" s="94" t="s">
        <v>81</v>
      </c>
    </row>
    <row r="170" spans="1:26" s="25" customFormat="1" ht="6.95" customHeight="1" x14ac:dyDescent="0.3">
      <c r="A170" s="13"/>
      <c r="B170" s="168"/>
      <c r="C170" s="169"/>
      <c r="D170" s="160" t="s">
        <v>39</v>
      </c>
      <c r="E170" s="161"/>
      <c r="F170" s="162" t="s">
        <v>40</v>
      </c>
      <c r="G170" s="163"/>
      <c r="H170" s="164"/>
      <c r="I170" s="163"/>
      <c r="J170" s="164"/>
      <c r="K170" s="163"/>
      <c r="L170" s="164"/>
      <c r="M170" s="11"/>
      <c r="N170" s="39"/>
      <c r="Q170" s="15" t="str">
        <f>+CONCATENATE(E170,G170)</f>
        <v/>
      </c>
      <c r="R170" s="15">
        <f>+H170</f>
        <v>0</v>
      </c>
      <c r="S170" s="16"/>
      <c r="T170" s="15">
        <f>+E170</f>
        <v>0</v>
      </c>
      <c r="U170" s="26" t="str">
        <f t="shared" ref="U170" si="89">IFERROR(LEFT(G170,FIND("*",G170)-1),"-")</f>
        <v>-</v>
      </c>
      <c r="V170" s="26" t="str">
        <f t="shared" ref="V170" si="90">IFERROR(RIGHT(G170,LEN(G170)-FIND("*",G170)),"-")</f>
        <v>-</v>
      </c>
      <c r="W170" s="27" t="str">
        <f t="shared" si="88"/>
        <v>-</v>
      </c>
      <c r="X170" s="27" t="str">
        <f>IFERROR(W170*H170,"-")</f>
        <v>-</v>
      </c>
      <c r="Z170" s="94" t="s">
        <v>81</v>
      </c>
    </row>
    <row r="171" spans="1:26" s="25" customFormat="1" ht="6.95" customHeight="1" x14ac:dyDescent="0.3">
      <c r="A171" s="10"/>
      <c r="B171" s="168"/>
      <c r="C171" s="169"/>
      <c r="D171" s="160"/>
      <c r="E171" s="161"/>
      <c r="F171" s="162"/>
      <c r="G171" s="163"/>
      <c r="H171" s="164"/>
      <c r="I171" s="163"/>
      <c r="J171" s="164"/>
      <c r="K171" s="163"/>
      <c r="L171" s="164"/>
      <c r="M171" s="11"/>
      <c r="N171" s="39"/>
      <c r="Q171" s="15" t="str">
        <f>+CONCATENATE(E170,I170)</f>
        <v/>
      </c>
      <c r="R171" s="15">
        <f>+J170</f>
        <v>0</v>
      </c>
      <c r="S171" s="16"/>
      <c r="T171" s="15">
        <f>+E170</f>
        <v>0</v>
      </c>
      <c r="U171" s="26" t="str">
        <f>IFERROR(LEFT(I170,FIND("*",I170)-1),"-")</f>
        <v>-</v>
      </c>
      <c r="V171" s="26" t="str">
        <f>IFERROR(RIGHT(I170,LEN(I170)-FIND("*",I170)),"-")</f>
        <v>-</v>
      </c>
      <c r="W171" s="27" t="str">
        <f t="shared" si="88"/>
        <v>-</v>
      </c>
      <c r="X171" s="27" t="str">
        <f>IFERROR(W171*J170,"-")</f>
        <v>-</v>
      </c>
      <c r="Z171" s="94" t="s">
        <v>81</v>
      </c>
    </row>
    <row r="172" spans="1:26" s="25" customFormat="1" ht="6.95" customHeight="1" x14ac:dyDescent="0.3">
      <c r="A172" s="10"/>
      <c r="B172" s="168"/>
      <c r="C172" s="169"/>
      <c r="D172" s="160"/>
      <c r="E172" s="161"/>
      <c r="F172" s="162"/>
      <c r="G172" s="163"/>
      <c r="H172" s="164"/>
      <c r="I172" s="163"/>
      <c r="J172" s="164"/>
      <c r="K172" s="163"/>
      <c r="L172" s="164"/>
      <c r="M172" s="11"/>
      <c r="N172" s="39"/>
      <c r="Q172" s="15" t="str">
        <f>+CONCATENATE(E170,K170)</f>
        <v/>
      </c>
      <c r="R172" s="15">
        <f>+L170</f>
        <v>0</v>
      </c>
      <c r="S172" s="16"/>
      <c r="T172" s="15">
        <f>+E170</f>
        <v>0</v>
      </c>
      <c r="U172" s="26" t="str">
        <f>IFERROR(LEFT(K170,FIND("*",K170)-1),"-")</f>
        <v>-</v>
      </c>
      <c r="V172" s="26" t="str">
        <f>IFERROR(RIGHT(K170,LEN(K170)-FIND("*",K170)),"-")</f>
        <v>-</v>
      </c>
      <c r="W172" s="27" t="str">
        <f t="shared" si="88"/>
        <v>-</v>
      </c>
      <c r="X172" s="27" t="str">
        <f>IFERROR(W172*L170,"-")</f>
        <v>-</v>
      </c>
      <c r="Z172" s="94" t="s">
        <v>81</v>
      </c>
    </row>
    <row r="173" spans="1:26" s="25" customFormat="1" ht="6.95" customHeight="1" x14ac:dyDescent="0.3">
      <c r="A173" s="13"/>
      <c r="B173" s="168"/>
      <c r="C173" s="169"/>
      <c r="D173" s="160" t="s">
        <v>39</v>
      </c>
      <c r="E173" s="161"/>
      <c r="F173" s="162" t="s">
        <v>40</v>
      </c>
      <c r="G173" s="163"/>
      <c r="H173" s="164"/>
      <c r="I173" s="163"/>
      <c r="J173" s="164"/>
      <c r="K173" s="163"/>
      <c r="L173" s="164"/>
      <c r="M173" s="11"/>
      <c r="N173" s="39"/>
      <c r="Q173" s="15" t="str">
        <f>+CONCATENATE(E173,G173)</f>
        <v/>
      </c>
      <c r="R173" s="15">
        <f>+H173</f>
        <v>0</v>
      </c>
      <c r="S173" s="16"/>
      <c r="T173" s="15">
        <f>+E173</f>
        <v>0</v>
      </c>
      <c r="U173" s="26" t="str">
        <f t="shared" ref="U173" si="91">IFERROR(LEFT(G173,FIND("*",G173)-1),"-")</f>
        <v>-</v>
      </c>
      <c r="V173" s="26" t="str">
        <f t="shared" ref="V173" si="92">IFERROR(RIGHT(G173,LEN(G173)-FIND("*",G173)),"-")</f>
        <v>-</v>
      </c>
      <c r="W173" s="27" t="str">
        <f t="shared" si="88"/>
        <v>-</v>
      </c>
      <c r="X173" s="27" t="str">
        <f>IFERROR(W173*H173,"-")</f>
        <v>-</v>
      </c>
      <c r="Z173" s="94" t="s">
        <v>81</v>
      </c>
    </row>
    <row r="174" spans="1:26" s="25" customFormat="1" ht="6.95" customHeight="1" x14ac:dyDescent="0.3">
      <c r="A174" s="10"/>
      <c r="B174" s="168"/>
      <c r="C174" s="169"/>
      <c r="D174" s="160"/>
      <c r="E174" s="161"/>
      <c r="F174" s="162"/>
      <c r="G174" s="163"/>
      <c r="H174" s="164"/>
      <c r="I174" s="163"/>
      <c r="J174" s="164"/>
      <c r="K174" s="163"/>
      <c r="L174" s="164"/>
      <c r="M174" s="11"/>
      <c r="N174" s="39"/>
      <c r="Q174" s="15" t="str">
        <f>+CONCATENATE(E173,I173)</f>
        <v/>
      </c>
      <c r="R174" s="15">
        <f>+J173</f>
        <v>0</v>
      </c>
      <c r="S174" s="16"/>
      <c r="T174" s="15">
        <f>+E173</f>
        <v>0</v>
      </c>
      <c r="U174" s="26" t="str">
        <f>IFERROR(LEFT(I173,FIND("*",I173)-1),"-")</f>
        <v>-</v>
      </c>
      <c r="V174" s="26" t="str">
        <f>IFERROR(RIGHT(I173,LEN(I173)-FIND("*",I173)),"-")</f>
        <v>-</v>
      </c>
      <c r="W174" s="27" t="str">
        <f t="shared" si="88"/>
        <v>-</v>
      </c>
      <c r="X174" s="27" t="str">
        <f t="shared" ref="X174" si="93">IFERROR(W174*J173,"-")</f>
        <v>-</v>
      </c>
      <c r="Z174" s="94" t="s">
        <v>81</v>
      </c>
    </row>
    <row r="175" spans="1:26" s="25" customFormat="1" ht="6.95" customHeight="1" x14ac:dyDescent="0.3">
      <c r="A175" s="10"/>
      <c r="B175" s="168"/>
      <c r="C175" s="169"/>
      <c r="D175" s="160"/>
      <c r="E175" s="161"/>
      <c r="F175" s="162"/>
      <c r="G175" s="163"/>
      <c r="H175" s="164"/>
      <c r="I175" s="163"/>
      <c r="J175" s="164"/>
      <c r="K175" s="163"/>
      <c r="L175" s="164"/>
      <c r="M175" s="11"/>
      <c r="N175" s="39"/>
      <c r="Q175" s="15" t="str">
        <f>+CONCATENATE(E173,K173)</f>
        <v/>
      </c>
      <c r="R175" s="15">
        <f>+L173</f>
        <v>0</v>
      </c>
      <c r="S175" s="16"/>
      <c r="T175" s="15">
        <f>+E173</f>
        <v>0</v>
      </c>
      <c r="U175" s="26" t="str">
        <f>IFERROR(LEFT(K173,FIND("*",K173)-1),"-")</f>
        <v>-</v>
      </c>
      <c r="V175" s="26" t="str">
        <f>IFERROR(RIGHT(K173,LEN(K173)-FIND("*",K173)),"-")</f>
        <v>-</v>
      </c>
      <c r="W175" s="27" t="str">
        <f t="shared" si="88"/>
        <v>-</v>
      </c>
      <c r="X175" s="27" t="str">
        <f>IFERROR(W175*L173,"-")</f>
        <v>-</v>
      </c>
      <c r="Z175" s="94" t="s">
        <v>81</v>
      </c>
    </row>
    <row r="176" spans="1:26" s="25" customFormat="1" ht="21" customHeight="1" thickBot="1" x14ac:dyDescent="0.35">
      <c r="A176" s="10"/>
      <c r="B176" s="170"/>
      <c r="C176" s="171"/>
      <c r="D176" s="172" t="s">
        <v>43</v>
      </c>
      <c r="E176" s="173"/>
      <c r="F176" s="173"/>
      <c r="G176" s="174"/>
      <c r="H176" s="174"/>
      <c r="I176" s="174"/>
      <c r="J176" s="174"/>
      <c r="K176" s="174"/>
      <c r="L176" s="174"/>
      <c r="M176" s="12"/>
      <c r="N176" s="39"/>
      <c r="U176" s="23"/>
      <c r="V176" s="23"/>
      <c r="Z176" s="95" t="s">
        <v>81</v>
      </c>
    </row>
    <row r="177" spans="1:26" s="25" customFormat="1" ht="9.9499999999999993" customHeight="1" thickBot="1" x14ac:dyDescent="0.35">
      <c r="A177" s="6"/>
      <c r="B177" s="14"/>
      <c r="C177" s="119">
        <v>777</v>
      </c>
      <c r="D177" s="58"/>
      <c r="E177" s="17"/>
      <c r="F177" s="58"/>
      <c r="G177" s="19"/>
      <c r="H177" s="19"/>
      <c r="I177" s="19"/>
      <c r="J177" s="19"/>
      <c r="K177" s="19"/>
      <c r="L177" s="19"/>
      <c r="M177" s="14"/>
      <c r="N177" s="39"/>
      <c r="Q177" s="1"/>
      <c r="R177" s="1"/>
      <c r="S177" s="1"/>
      <c r="T177" s="1"/>
      <c r="U177" s="24"/>
      <c r="V177" s="24"/>
      <c r="W177" s="1"/>
      <c r="X177" s="1"/>
      <c r="Z177" s="94" t="s">
        <v>81</v>
      </c>
    </row>
    <row r="178" spans="1:26" s="25" customFormat="1" ht="6.95" customHeight="1" x14ac:dyDescent="0.3">
      <c r="A178" s="165">
        <f>+A167+1</f>
        <v>17</v>
      </c>
      <c r="B178" s="166"/>
      <c r="C178" s="167"/>
      <c r="D178" s="160" t="s">
        <v>39</v>
      </c>
      <c r="E178" s="161"/>
      <c r="F178" s="162" t="s">
        <v>40</v>
      </c>
      <c r="G178" s="163"/>
      <c r="H178" s="164"/>
      <c r="I178" s="163"/>
      <c r="J178" s="164"/>
      <c r="K178" s="163"/>
      <c r="L178" s="164"/>
      <c r="M178" s="11"/>
      <c r="N178" s="39"/>
      <c r="Q178" s="15" t="str">
        <f>+CONCATENATE(E178,G178)</f>
        <v/>
      </c>
      <c r="R178" s="15">
        <f>+H178</f>
        <v>0</v>
      </c>
      <c r="S178" s="16"/>
      <c r="T178" s="15">
        <f>+E178</f>
        <v>0</v>
      </c>
      <c r="U178" s="26" t="str">
        <f>IFERROR(LEFT(G178,FIND("*",G178)-1),"-")</f>
        <v>-</v>
      </c>
      <c r="V178" s="26" t="str">
        <f>IFERROR(RIGHT(G178,LEN(G178)-FIND("*",G178)),"-")</f>
        <v>-</v>
      </c>
      <c r="W178" s="27" t="str">
        <f>IFERROR((U178+V178)*2/1000,"-")</f>
        <v>-</v>
      </c>
      <c r="X178" s="27" t="str">
        <f>IFERROR(W178*H178,"-")</f>
        <v>-</v>
      </c>
      <c r="Z178" s="94" t="s">
        <v>81</v>
      </c>
    </row>
    <row r="179" spans="1:26" s="25" customFormat="1" ht="6.95" customHeight="1" x14ac:dyDescent="0.3">
      <c r="A179" s="165"/>
      <c r="B179" s="168"/>
      <c r="C179" s="169"/>
      <c r="D179" s="160"/>
      <c r="E179" s="161"/>
      <c r="F179" s="162"/>
      <c r="G179" s="163"/>
      <c r="H179" s="164"/>
      <c r="I179" s="163"/>
      <c r="J179" s="164"/>
      <c r="K179" s="163"/>
      <c r="L179" s="164"/>
      <c r="M179" s="11"/>
      <c r="N179" s="39"/>
      <c r="Q179" s="15" t="str">
        <f>+CONCATENATE(E178,I178)</f>
        <v/>
      </c>
      <c r="R179" s="15">
        <f>+J178</f>
        <v>0</v>
      </c>
      <c r="S179" s="16"/>
      <c r="T179" s="15">
        <f>+E178</f>
        <v>0</v>
      </c>
      <c r="U179" s="26" t="str">
        <f>IFERROR(LEFT(I178,FIND("*",I178)-1),"-")</f>
        <v>-</v>
      </c>
      <c r="V179" s="26" t="str">
        <f>IFERROR(RIGHT(I178,LEN(I178)-FIND("*",I178)),"-")</f>
        <v>-</v>
      </c>
      <c r="W179" s="27" t="str">
        <f t="shared" ref="W179:W186" si="94">IFERROR((U179+V179)*2/1000,"-")</f>
        <v>-</v>
      </c>
      <c r="X179" s="27" t="str">
        <f>IFERROR(W179*J178,"-")</f>
        <v>-</v>
      </c>
      <c r="Z179" s="94" t="s">
        <v>81</v>
      </c>
    </row>
    <row r="180" spans="1:26" s="25" customFormat="1" ht="6.95" customHeight="1" x14ac:dyDescent="0.3">
      <c r="A180" s="165"/>
      <c r="B180" s="168"/>
      <c r="C180" s="169"/>
      <c r="D180" s="160"/>
      <c r="E180" s="161"/>
      <c r="F180" s="162"/>
      <c r="G180" s="163"/>
      <c r="H180" s="164"/>
      <c r="I180" s="163"/>
      <c r="J180" s="164"/>
      <c r="K180" s="163"/>
      <c r="L180" s="164"/>
      <c r="M180" s="11"/>
      <c r="N180" s="39"/>
      <c r="Q180" s="15" t="str">
        <f>+CONCATENATE(E178,K178)</f>
        <v/>
      </c>
      <c r="R180" s="15">
        <f>+L178</f>
        <v>0</v>
      </c>
      <c r="S180" s="16"/>
      <c r="T180" s="15">
        <f>+E178</f>
        <v>0</v>
      </c>
      <c r="U180" s="26" t="str">
        <f>IFERROR(LEFT(K178,FIND("*",K178)-1),"-")</f>
        <v>-</v>
      </c>
      <c r="V180" s="26" t="str">
        <f>IFERROR(RIGHT(K178,LEN(K178)-FIND("*",K178)),"-")</f>
        <v>-</v>
      </c>
      <c r="W180" s="27" t="str">
        <f t="shared" si="94"/>
        <v>-</v>
      </c>
      <c r="X180" s="27" t="str">
        <f>IFERROR(W180*L178,"-")</f>
        <v>-</v>
      </c>
      <c r="Z180" s="94" t="s">
        <v>81</v>
      </c>
    </row>
    <row r="181" spans="1:26" s="25" customFormat="1" ht="6.95" customHeight="1" x14ac:dyDescent="0.3">
      <c r="A181" s="13"/>
      <c r="B181" s="168"/>
      <c r="C181" s="169"/>
      <c r="D181" s="160" t="s">
        <v>39</v>
      </c>
      <c r="E181" s="161"/>
      <c r="F181" s="162" t="s">
        <v>40</v>
      </c>
      <c r="G181" s="163"/>
      <c r="H181" s="164"/>
      <c r="I181" s="163"/>
      <c r="J181" s="164"/>
      <c r="K181" s="163"/>
      <c r="L181" s="164"/>
      <c r="M181" s="11"/>
      <c r="N181" s="39"/>
      <c r="Q181" s="15" t="str">
        <f>+CONCATENATE(E181,G181)</f>
        <v/>
      </c>
      <c r="R181" s="15">
        <f>+H181</f>
        <v>0</v>
      </c>
      <c r="S181" s="16"/>
      <c r="T181" s="15">
        <f>+E181</f>
        <v>0</v>
      </c>
      <c r="U181" s="26" t="str">
        <f t="shared" ref="U181" si="95">IFERROR(LEFT(G181,FIND("*",G181)-1),"-")</f>
        <v>-</v>
      </c>
      <c r="V181" s="26" t="str">
        <f t="shared" ref="V181" si="96">IFERROR(RIGHT(G181,LEN(G181)-FIND("*",G181)),"-")</f>
        <v>-</v>
      </c>
      <c r="W181" s="27" t="str">
        <f t="shared" si="94"/>
        <v>-</v>
      </c>
      <c r="X181" s="27" t="str">
        <f>IFERROR(W181*H181,"-")</f>
        <v>-</v>
      </c>
      <c r="Z181" s="94" t="s">
        <v>81</v>
      </c>
    </row>
    <row r="182" spans="1:26" s="25" customFormat="1" ht="6.95" customHeight="1" x14ac:dyDescent="0.3">
      <c r="A182" s="10"/>
      <c r="B182" s="168"/>
      <c r="C182" s="169"/>
      <c r="D182" s="160"/>
      <c r="E182" s="161"/>
      <c r="F182" s="162"/>
      <c r="G182" s="163"/>
      <c r="H182" s="164"/>
      <c r="I182" s="163"/>
      <c r="J182" s="164"/>
      <c r="K182" s="163"/>
      <c r="L182" s="164"/>
      <c r="M182" s="11"/>
      <c r="N182" s="39"/>
      <c r="Q182" s="15" t="str">
        <f>+CONCATENATE(E181,I181)</f>
        <v/>
      </c>
      <c r="R182" s="15">
        <f>+J181</f>
        <v>0</v>
      </c>
      <c r="S182" s="16"/>
      <c r="T182" s="15">
        <f>+E181</f>
        <v>0</v>
      </c>
      <c r="U182" s="26" t="str">
        <f>IFERROR(LEFT(I181,FIND("*",I181)-1),"-")</f>
        <v>-</v>
      </c>
      <c r="V182" s="26" t="str">
        <f>IFERROR(RIGHT(I181,LEN(I181)-FIND("*",I181)),"-")</f>
        <v>-</v>
      </c>
      <c r="W182" s="27" t="str">
        <f t="shared" si="94"/>
        <v>-</v>
      </c>
      <c r="X182" s="27" t="str">
        <f>IFERROR(W182*J181,"-")</f>
        <v>-</v>
      </c>
      <c r="Z182" s="94" t="s">
        <v>81</v>
      </c>
    </row>
    <row r="183" spans="1:26" s="25" customFormat="1" ht="6.95" customHeight="1" x14ac:dyDescent="0.3">
      <c r="A183" s="10"/>
      <c r="B183" s="168"/>
      <c r="C183" s="169"/>
      <c r="D183" s="160"/>
      <c r="E183" s="161"/>
      <c r="F183" s="162"/>
      <c r="G183" s="163"/>
      <c r="H183" s="164"/>
      <c r="I183" s="163"/>
      <c r="J183" s="164"/>
      <c r="K183" s="163"/>
      <c r="L183" s="164"/>
      <c r="M183" s="11"/>
      <c r="N183" s="39"/>
      <c r="Q183" s="15" t="str">
        <f>+CONCATENATE(E181,K181)</f>
        <v/>
      </c>
      <c r="R183" s="15">
        <f>+L181</f>
        <v>0</v>
      </c>
      <c r="S183" s="16"/>
      <c r="T183" s="15">
        <f>+E181</f>
        <v>0</v>
      </c>
      <c r="U183" s="26" t="str">
        <f>IFERROR(LEFT(K181,FIND("*",K181)-1),"-")</f>
        <v>-</v>
      </c>
      <c r="V183" s="26" t="str">
        <f>IFERROR(RIGHT(K181,LEN(K181)-FIND("*",K181)),"-")</f>
        <v>-</v>
      </c>
      <c r="W183" s="27" t="str">
        <f t="shared" si="94"/>
        <v>-</v>
      </c>
      <c r="X183" s="27" t="str">
        <f>IFERROR(W183*L181,"-")</f>
        <v>-</v>
      </c>
      <c r="Z183" s="94" t="s">
        <v>81</v>
      </c>
    </row>
    <row r="184" spans="1:26" s="25" customFormat="1" ht="6.95" customHeight="1" x14ac:dyDescent="0.3">
      <c r="A184" s="13"/>
      <c r="B184" s="168"/>
      <c r="C184" s="169"/>
      <c r="D184" s="160" t="s">
        <v>39</v>
      </c>
      <c r="E184" s="161"/>
      <c r="F184" s="162" t="s">
        <v>40</v>
      </c>
      <c r="G184" s="163"/>
      <c r="H184" s="164"/>
      <c r="I184" s="163"/>
      <c r="J184" s="164"/>
      <c r="K184" s="163"/>
      <c r="L184" s="164"/>
      <c r="M184" s="11"/>
      <c r="N184" s="39"/>
      <c r="Q184" s="15" t="str">
        <f>+CONCATENATE(E184,G184)</f>
        <v/>
      </c>
      <c r="R184" s="15">
        <f>+H184</f>
        <v>0</v>
      </c>
      <c r="S184" s="16"/>
      <c r="T184" s="15">
        <f>+E184</f>
        <v>0</v>
      </c>
      <c r="U184" s="26" t="str">
        <f t="shared" ref="U184" si="97">IFERROR(LEFT(G184,FIND("*",G184)-1),"-")</f>
        <v>-</v>
      </c>
      <c r="V184" s="26" t="str">
        <f t="shared" ref="V184" si="98">IFERROR(RIGHT(G184,LEN(G184)-FIND("*",G184)),"-")</f>
        <v>-</v>
      </c>
      <c r="W184" s="27" t="str">
        <f t="shared" si="94"/>
        <v>-</v>
      </c>
      <c r="X184" s="27" t="str">
        <f>IFERROR(W184*H184,"-")</f>
        <v>-</v>
      </c>
      <c r="Z184" s="94" t="s">
        <v>81</v>
      </c>
    </row>
    <row r="185" spans="1:26" s="25" customFormat="1" ht="6.95" customHeight="1" x14ac:dyDescent="0.3">
      <c r="A185" s="10"/>
      <c r="B185" s="168"/>
      <c r="C185" s="169"/>
      <c r="D185" s="160"/>
      <c r="E185" s="161"/>
      <c r="F185" s="162"/>
      <c r="G185" s="163"/>
      <c r="H185" s="164"/>
      <c r="I185" s="163"/>
      <c r="J185" s="164"/>
      <c r="K185" s="163"/>
      <c r="L185" s="164"/>
      <c r="M185" s="11"/>
      <c r="N185" s="39"/>
      <c r="Q185" s="15" t="str">
        <f>+CONCATENATE(E184,I184)</f>
        <v/>
      </c>
      <c r="R185" s="15">
        <f>+J184</f>
        <v>0</v>
      </c>
      <c r="S185" s="16"/>
      <c r="T185" s="15">
        <f>+E184</f>
        <v>0</v>
      </c>
      <c r="U185" s="26" t="str">
        <f>IFERROR(LEFT(I184,FIND("*",I184)-1),"-")</f>
        <v>-</v>
      </c>
      <c r="V185" s="26" t="str">
        <f>IFERROR(RIGHT(I184,LEN(I184)-FIND("*",I184)),"-")</f>
        <v>-</v>
      </c>
      <c r="W185" s="27" t="str">
        <f t="shared" si="94"/>
        <v>-</v>
      </c>
      <c r="X185" s="27" t="str">
        <f t="shared" ref="X185" si="99">IFERROR(W185*J184,"-")</f>
        <v>-</v>
      </c>
      <c r="Z185" s="94" t="s">
        <v>81</v>
      </c>
    </row>
    <row r="186" spans="1:26" s="25" customFormat="1" ht="6.95" customHeight="1" x14ac:dyDescent="0.3">
      <c r="A186" s="10"/>
      <c r="B186" s="168"/>
      <c r="C186" s="169"/>
      <c r="D186" s="160"/>
      <c r="E186" s="161"/>
      <c r="F186" s="162"/>
      <c r="G186" s="163"/>
      <c r="H186" s="164"/>
      <c r="I186" s="163"/>
      <c r="J186" s="164"/>
      <c r="K186" s="163"/>
      <c r="L186" s="164"/>
      <c r="M186" s="11"/>
      <c r="N186" s="39"/>
      <c r="Q186" s="15" t="str">
        <f>+CONCATENATE(E184,K184)</f>
        <v/>
      </c>
      <c r="R186" s="15">
        <f>+L184</f>
        <v>0</v>
      </c>
      <c r="S186" s="16"/>
      <c r="T186" s="15">
        <f>+E184</f>
        <v>0</v>
      </c>
      <c r="U186" s="26" t="str">
        <f>IFERROR(LEFT(K184,FIND("*",K184)-1),"-")</f>
        <v>-</v>
      </c>
      <c r="V186" s="26" t="str">
        <f>IFERROR(RIGHT(K184,LEN(K184)-FIND("*",K184)),"-")</f>
        <v>-</v>
      </c>
      <c r="W186" s="27" t="str">
        <f t="shared" si="94"/>
        <v>-</v>
      </c>
      <c r="X186" s="27" t="str">
        <f>IFERROR(W186*L184,"-")</f>
        <v>-</v>
      </c>
      <c r="Z186" s="94" t="s">
        <v>81</v>
      </c>
    </row>
    <row r="187" spans="1:26" s="25" customFormat="1" ht="21" customHeight="1" thickBot="1" x14ac:dyDescent="0.35">
      <c r="A187" s="10"/>
      <c r="B187" s="170"/>
      <c r="C187" s="171"/>
      <c r="D187" s="172" t="s">
        <v>43</v>
      </c>
      <c r="E187" s="173"/>
      <c r="F187" s="173"/>
      <c r="G187" s="174"/>
      <c r="H187" s="174"/>
      <c r="I187" s="174"/>
      <c r="J187" s="174"/>
      <c r="K187" s="174"/>
      <c r="L187" s="174"/>
      <c r="M187" s="12"/>
      <c r="N187" s="39"/>
      <c r="U187" s="23"/>
      <c r="V187" s="23"/>
      <c r="Z187" s="95" t="s">
        <v>81</v>
      </c>
    </row>
    <row r="188" spans="1:26" s="25" customFormat="1" ht="9.9499999999999993" customHeight="1" thickBot="1" x14ac:dyDescent="0.35">
      <c r="A188" s="6"/>
      <c r="B188" s="14"/>
      <c r="C188" s="119">
        <v>778</v>
      </c>
      <c r="D188" s="58"/>
      <c r="E188" s="17"/>
      <c r="F188" s="58"/>
      <c r="G188" s="19"/>
      <c r="H188" s="19"/>
      <c r="I188" s="19"/>
      <c r="J188" s="19"/>
      <c r="K188" s="19"/>
      <c r="L188" s="19"/>
      <c r="M188" s="14"/>
      <c r="N188" s="39"/>
      <c r="Q188" s="1"/>
      <c r="R188" s="1"/>
      <c r="S188" s="1"/>
      <c r="T188" s="1"/>
      <c r="U188" s="24"/>
      <c r="V188" s="24"/>
      <c r="W188" s="1"/>
      <c r="X188" s="1"/>
      <c r="Z188" s="94" t="s">
        <v>81</v>
      </c>
    </row>
    <row r="189" spans="1:26" s="25" customFormat="1" ht="6.95" customHeight="1" x14ac:dyDescent="0.3">
      <c r="A189" s="165">
        <f>+A178+1</f>
        <v>18</v>
      </c>
      <c r="B189" s="166"/>
      <c r="C189" s="167"/>
      <c r="D189" s="160" t="s">
        <v>39</v>
      </c>
      <c r="E189" s="161"/>
      <c r="F189" s="162" t="s">
        <v>40</v>
      </c>
      <c r="G189" s="163"/>
      <c r="H189" s="164"/>
      <c r="I189" s="163"/>
      <c r="J189" s="164"/>
      <c r="K189" s="163"/>
      <c r="L189" s="164"/>
      <c r="M189" s="11"/>
      <c r="N189" s="39"/>
      <c r="Q189" s="15" t="str">
        <f>+CONCATENATE(E189,G189)</f>
        <v/>
      </c>
      <c r="R189" s="15">
        <f>+H189</f>
        <v>0</v>
      </c>
      <c r="S189" s="16"/>
      <c r="T189" s="15">
        <f>+E189</f>
        <v>0</v>
      </c>
      <c r="U189" s="26" t="str">
        <f>IFERROR(LEFT(G189,FIND("*",G189)-1),"-")</f>
        <v>-</v>
      </c>
      <c r="V189" s="26" t="str">
        <f>IFERROR(RIGHT(G189,LEN(G189)-FIND("*",G189)),"-")</f>
        <v>-</v>
      </c>
      <c r="W189" s="27" t="str">
        <f>IFERROR((U189+V189)*2/1000,"-")</f>
        <v>-</v>
      </c>
      <c r="X189" s="27" t="str">
        <f>IFERROR(W189*H189,"-")</f>
        <v>-</v>
      </c>
      <c r="Z189" s="94" t="s">
        <v>81</v>
      </c>
    </row>
    <row r="190" spans="1:26" s="25" customFormat="1" ht="6.95" customHeight="1" x14ac:dyDescent="0.3">
      <c r="A190" s="165"/>
      <c r="B190" s="168"/>
      <c r="C190" s="169"/>
      <c r="D190" s="160"/>
      <c r="E190" s="161"/>
      <c r="F190" s="162"/>
      <c r="G190" s="163"/>
      <c r="H190" s="164"/>
      <c r="I190" s="163"/>
      <c r="J190" s="164"/>
      <c r="K190" s="163"/>
      <c r="L190" s="164"/>
      <c r="M190" s="11"/>
      <c r="N190" s="39"/>
      <c r="Q190" s="15" t="str">
        <f>+CONCATENATE(E189,I189)</f>
        <v/>
      </c>
      <c r="R190" s="15">
        <f>+J189</f>
        <v>0</v>
      </c>
      <c r="S190" s="16"/>
      <c r="T190" s="15">
        <f>+E189</f>
        <v>0</v>
      </c>
      <c r="U190" s="26" t="str">
        <f>IFERROR(LEFT(I189,FIND("*",I189)-1),"-")</f>
        <v>-</v>
      </c>
      <c r="V190" s="26" t="str">
        <f>IFERROR(RIGHT(I189,LEN(I189)-FIND("*",I189)),"-")</f>
        <v>-</v>
      </c>
      <c r="W190" s="27" t="str">
        <f t="shared" ref="W190:W197" si="100">IFERROR((U190+V190)*2/1000,"-")</f>
        <v>-</v>
      </c>
      <c r="X190" s="27" t="str">
        <f>IFERROR(W190*J189,"-")</f>
        <v>-</v>
      </c>
      <c r="Z190" s="94" t="s">
        <v>81</v>
      </c>
    </row>
    <row r="191" spans="1:26" s="25" customFormat="1" ht="6.95" customHeight="1" x14ac:dyDescent="0.3">
      <c r="A191" s="165"/>
      <c r="B191" s="168"/>
      <c r="C191" s="169"/>
      <c r="D191" s="160"/>
      <c r="E191" s="161"/>
      <c r="F191" s="162"/>
      <c r="G191" s="163"/>
      <c r="H191" s="164"/>
      <c r="I191" s="163"/>
      <c r="J191" s="164"/>
      <c r="K191" s="163"/>
      <c r="L191" s="164"/>
      <c r="M191" s="11"/>
      <c r="N191" s="39"/>
      <c r="Q191" s="15" t="str">
        <f>+CONCATENATE(E189,K189)</f>
        <v/>
      </c>
      <c r="R191" s="15">
        <f>+L189</f>
        <v>0</v>
      </c>
      <c r="S191" s="16"/>
      <c r="T191" s="15">
        <f>+E189</f>
        <v>0</v>
      </c>
      <c r="U191" s="26" t="str">
        <f>IFERROR(LEFT(K189,FIND("*",K189)-1),"-")</f>
        <v>-</v>
      </c>
      <c r="V191" s="26" t="str">
        <f>IFERROR(RIGHT(K189,LEN(K189)-FIND("*",K189)),"-")</f>
        <v>-</v>
      </c>
      <c r="W191" s="27" t="str">
        <f t="shared" si="100"/>
        <v>-</v>
      </c>
      <c r="X191" s="27" t="str">
        <f>IFERROR(W191*L189,"-")</f>
        <v>-</v>
      </c>
      <c r="Z191" s="94" t="s">
        <v>81</v>
      </c>
    </row>
    <row r="192" spans="1:26" s="25" customFormat="1" ht="6.95" customHeight="1" x14ac:dyDescent="0.3">
      <c r="A192" s="13"/>
      <c r="B192" s="168"/>
      <c r="C192" s="169"/>
      <c r="D192" s="160" t="s">
        <v>39</v>
      </c>
      <c r="E192" s="161"/>
      <c r="F192" s="162" t="s">
        <v>40</v>
      </c>
      <c r="G192" s="163"/>
      <c r="H192" s="164"/>
      <c r="I192" s="163"/>
      <c r="J192" s="164"/>
      <c r="K192" s="163"/>
      <c r="L192" s="164"/>
      <c r="M192" s="11"/>
      <c r="N192" s="39"/>
      <c r="Q192" s="15" t="str">
        <f>+CONCATENATE(E192,G192)</f>
        <v/>
      </c>
      <c r="R192" s="15">
        <f>+H192</f>
        <v>0</v>
      </c>
      <c r="S192" s="16"/>
      <c r="T192" s="15">
        <f>+E192</f>
        <v>0</v>
      </c>
      <c r="U192" s="26" t="str">
        <f t="shared" ref="U192" si="101">IFERROR(LEFT(G192,FIND("*",G192)-1),"-")</f>
        <v>-</v>
      </c>
      <c r="V192" s="26" t="str">
        <f t="shared" ref="V192" si="102">IFERROR(RIGHT(G192,LEN(G192)-FIND("*",G192)),"-")</f>
        <v>-</v>
      </c>
      <c r="W192" s="27" t="str">
        <f t="shared" si="100"/>
        <v>-</v>
      </c>
      <c r="X192" s="27" t="str">
        <f>IFERROR(W192*H192,"-")</f>
        <v>-</v>
      </c>
      <c r="Z192" s="94" t="s">
        <v>81</v>
      </c>
    </row>
    <row r="193" spans="1:26" s="25" customFormat="1" ht="6.95" customHeight="1" x14ac:dyDescent="0.3">
      <c r="A193" s="10"/>
      <c r="B193" s="168"/>
      <c r="C193" s="169"/>
      <c r="D193" s="160"/>
      <c r="E193" s="161"/>
      <c r="F193" s="162"/>
      <c r="G193" s="163"/>
      <c r="H193" s="164"/>
      <c r="I193" s="163"/>
      <c r="J193" s="164"/>
      <c r="K193" s="163"/>
      <c r="L193" s="164"/>
      <c r="M193" s="11"/>
      <c r="N193" s="39"/>
      <c r="Q193" s="15" t="str">
        <f>+CONCATENATE(E192,I192)</f>
        <v/>
      </c>
      <c r="R193" s="15">
        <f>+J192</f>
        <v>0</v>
      </c>
      <c r="S193" s="16"/>
      <c r="T193" s="15">
        <f>+E192</f>
        <v>0</v>
      </c>
      <c r="U193" s="26" t="str">
        <f>IFERROR(LEFT(I192,FIND("*",I192)-1),"-")</f>
        <v>-</v>
      </c>
      <c r="V193" s="26" t="str">
        <f>IFERROR(RIGHT(I192,LEN(I192)-FIND("*",I192)),"-")</f>
        <v>-</v>
      </c>
      <c r="W193" s="27" t="str">
        <f t="shared" si="100"/>
        <v>-</v>
      </c>
      <c r="X193" s="27" t="str">
        <f>IFERROR(W193*J192,"-")</f>
        <v>-</v>
      </c>
      <c r="Z193" s="94" t="s">
        <v>81</v>
      </c>
    </row>
    <row r="194" spans="1:26" s="25" customFormat="1" ht="6.95" customHeight="1" x14ac:dyDescent="0.3">
      <c r="A194" s="10"/>
      <c r="B194" s="168"/>
      <c r="C194" s="169"/>
      <c r="D194" s="160"/>
      <c r="E194" s="161"/>
      <c r="F194" s="162"/>
      <c r="G194" s="163"/>
      <c r="H194" s="164"/>
      <c r="I194" s="163"/>
      <c r="J194" s="164"/>
      <c r="K194" s="163"/>
      <c r="L194" s="164"/>
      <c r="M194" s="11"/>
      <c r="N194" s="39"/>
      <c r="Q194" s="15" t="str">
        <f>+CONCATENATE(E192,K192)</f>
        <v/>
      </c>
      <c r="R194" s="15">
        <f>+L192</f>
        <v>0</v>
      </c>
      <c r="S194" s="16"/>
      <c r="T194" s="15">
        <f>+E192</f>
        <v>0</v>
      </c>
      <c r="U194" s="26" t="str">
        <f>IFERROR(LEFT(K192,FIND("*",K192)-1),"-")</f>
        <v>-</v>
      </c>
      <c r="V194" s="26" t="str">
        <f>IFERROR(RIGHT(K192,LEN(K192)-FIND("*",K192)),"-")</f>
        <v>-</v>
      </c>
      <c r="W194" s="27" t="str">
        <f t="shared" si="100"/>
        <v>-</v>
      </c>
      <c r="X194" s="27" t="str">
        <f>IFERROR(W194*L192,"-")</f>
        <v>-</v>
      </c>
      <c r="Z194" s="94" t="s">
        <v>81</v>
      </c>
    </row>
    <row r="195" spans="1:26" s="25" customFormat="1" ht="6.95" customHeight="1" x14ac:dyDescent="0.3">
      <c r="A195" s="13"/>
      <c r="B195" s="168"/>
      <c r="C195" s="169"/>
      <c r="D195" s="160" t="s">
        <v>39</v>
      </c>
      <c r="E195" s="161"/>
      <c r="F195" s="162" t="s">
        <v>40</v>
      </c>
      <c r="G195" s="163"/>
      <c r="H195" s="164"/>
      <c r="I195" s="163"/>
      <c r="J195" s="164"/>
      <c r="K195" s="163"/>
      <c r="L195" s="164"/>
      <c r="M195" s="11"/>
      <c r="N195" s="39"/>
      <c r="Q195" s="15" t="str">
        <f>+CONCATENATE(E195,G195)</f>
        <v/>
      </c>
      <c r="R195" s="15">
        <f>+H195</f>
        <v>0</v>
      </c>
      <c r="S195" s="16"/>
      <c r="T195" s="15">
        <f>+E195</f>
        <v>0</v>
      </c>
      <c r="U195" s="26" t="str">
        <f t="shared" ref="U195" si="103">IFERROR(LEFT(G195,FIND("*",G195)-1),"-")</f>
        <v>-</v>
      </c>
      <c r="V195" s="26" t="str">
        <f t="shared" ref="V195" si="104">IFERROR(RIGHT(G195,LEN(G195)-FIND("*",G195)),"-")</f>
        <v>-</v>
      </c>
      <c r="W195" s="27" t="str">
        <f t="shared" si="100"/>
        <v>-</v>
      </c>
      <c r="X195" s="27" t="str">
        <f>IFERROR(W195*H195,"-")</f>
        <v>-</v>
      </c>
      <c r="Z195" s="94" t="s">
        <v>81</v>
      </c>
    </row>
    <row r="196" spans="1:26" s="25" customFormat="1" ht="6.95" customHeight="1" x14ac:dyDescent="0.3">
      <c r="A196" s="10"/>
      <c r="B196" s="168"/>
      <c r="C196" s="169"/>
      <c r="D196" s="160"/>
      <c r="E196" s="161"/>
      <c r="F196" s="162"/>
      <c r="G196" s="163"/>
      <c r="H196" s="164"/>
      <c r="I196" s="163"/>
      <c r="J196" s="164"/>
      <c r="K196" s="163"/>
      <c r="L196" s="164"/>
      <c r="M196" s="11"/>
      <c r="N196" s="39"/>
      <c r="Q196" s="15" t="str">
        <f>+CONCATENATE(E195,I195)</f>
        <v/>
      </c>
      <c r="R196" s="15">
        <f>+J195</f>
        <v>0</v>
      </c>
      <c r="S196" s="16"/>
      <c r="T196" s="15">
        <f>+E195</f>
        <v>0</v>
      </c>
      <c r="U196" s="26" t="str">
        <f>IFERROR(LEFT(I195,FIND("*",I195)-1),"-")</f>
        <v>-</v>
      </c>
      <c r="V196" s="26" t="str">
        <f>IFERROR(RIGHT(I195,LEN(I195)-FIND("*",I195)),"-")</f>
        <v>-</v>
      </c>
      <c r="W196" s="27" t="str">
        <f t="shared" si="100"/>
        <v>-</v>
      </c>
      <c r="X196" s="27" t="str">
        <f t="shared" ref="X196" si="105">IFERROR(W196*J195,"-")</f>
        <v>-</v>
      </c>
      <c r="Z196" s="94" t="s">
        <v>81</v>
      </c>
    </row>
    <row r="197" spans="1:26" s="25" customFormat="1" ht="6.95" customHeight="1" x14ac:dyDescent="0.3">
      <c r="A197" s="10"/>
      <c r="B197" s="168"/>
      <c r="C197" s="169"/>
      <c r="D197" s="160"/>
      <c r="E197" s="161"/>
      <c r="F197" s="162"/>
      <c r="G197" s="163"/>
      <c r="H197" s="164"/>
      <c r="I197" s="163"/>
      <c r="J197" s="164"/>
      <c r="K197" s="163"/>
      <c r="L197" s="164"/>
      <c r="M197" s="11"/>
      <c r="N197" s="39"/>
      <c r="Q197" s="15" t="str">
        <f>+CONCATENATE(E195,K195)</f>
        <v/>
      </c>
      <c r="R197" s="15">
        <f>+L195</f>
        <v>0</v>
      </c>
      <c r="S197" s="16"/>
      <c r="T197" s="15">
        <f>+E195</f>
        <v>0</v>
      </c>
      <c r="U197" s="26" t="str">
        <f>IFERROR(LEFT(K195,FIND("*",K195)-1),"-")</f>
        <v>-</v>
      </c>
      <c r="V197" s="26" t="str">
        <f>IFERROR(RIGHT(K195,LEN(K195)-FIND("*",K195)),"-")</f>
        <v>-</v>
      </c>
      <c r="W197" s="27" t="str">
        <f t="shared" si="100"/>
        <v>-</v>
      </c>
      <c r="X197" s="27" t="str">
        <f>IFERROR(W197*L195,"-")</f>
        <v>-</v>
      </c>
      <c r="Z197" s="94" t="s">
        <v>81</v>
      </c>
    </row>
    <row r="198" spans="1:26" s="25" customFormat="1" ht="21" customHeight="1" thickBot="1" x14ac:dyDescent="0.35">
      <c r="A198" s="10"/>
      <c r="B198" s="170"/>
      <c r="C198" s="171"/>
      <c r="D198" s="172" t="s">
        <v>43</v>
      </c>
      <c r="E198" s="173"/>
      <c r="F198" s="173"/>
      <c r="G198" s="174"/>
      <c r="H198" s="174"/>
      <c r="I198" s="174"/>
      <c r="J198" s="174"/>
      <c r="K198" s="174"/>
      <c r="L198" s="174"/>
      <c r="M198" s="12"/>
      <c r="N198" s="39"/>
      <c r="U198" s="23"/>
      <c r="V198" s="23"/>
      <c r="Z198" s="95" t="s">
        <v>81</v>
      </c>
    </row>
    <row r="199" spans="1:26" s="25" customFormat="1" ht="9.9499999999999993" customHeight="1" thickBot="1" x14ac:dyDescent="0.35">
      <c r="A199" s="6"/>
      <c r="B199" s="14"/>
      <c r="C199" s="119">
        <v>779</v>
      </c>
      <c r="D199" s="58"/>
      <c r="E199" s="17"/>
      <c r="F199" s="58"/>
      <c r="G199" s="19"/>
      <c r="H199" s="19"/>
      <c r="I199" s="19"/>
      <c r="J199" s="19"/>
      <c r="K199" s="19"/>
      <c r="L199" s="19"/>
      <c r="M199" s="14"/>
      <c r="N199" s="39"/>
      <c r="Q199" s="1"/>
      <c r="R199" s="1"/>
      <c r="S199" s="1"/>
      <c r="T199" s="1"/>
      <c r="U199" s="24"/>
      <c r="V199" s="24"/>
      <c r="W199" s="1"/>
      <c r="X199" s="1"/>
      <c r="Z199" s="94" t="s">
        <v>81</v>
      </c>
    </row>
    <row r="200" spans="1:26" s="25" customFormat="1" ht="6.95" customHeight="1" x14ac:dyDescent="0.3">
      <c r="A200" s="165">
        <f>+A189+1</f>
        <v>19</v>
      </c>
      <c r="B200" s="166"/>
      <c r="C200" s="167"/>
      <c r="D200" s="160" t="s">
        <v>39</v>
      </c>
      <c r="E200" s="161"/>
      <c r="F200" s="162" t="s">
        <v>40</v>
      </c>
      <c r="G200" s="163"/>
      <c r="H200" s="164"/>
      <c r="I200" s="163"/>
      <c r="J200" s="164"/>
      <c r="K200" s="163"/>
      <c r="L200" s="164"/>
      <c r="M200" s="11"/>
      <c r="N200" s="39"/>
      <c r="Q200" s="15" t="str">
        <f>+CONCATENATE(E200,G200)</f>
        <v/>
      </c>
      <c r="R200" s="15">
        <f>+H200</f>
        <v>0</v>
      </c>
      <c r="S200" s="16"/>
      <c r="T200" s="15">
        <f>+E200</f>
        <v>0</v>
      </c>
      <c r="U200" s="26" t="str">
        <f>IFERROR(LEFT(G200,FIND("*",G200)-1),"-")</f>
        <v>-</v>
      </c>
      <c r="V200" s="26" t="str">
        <f>IFERROR(RIGHT(G200,LEN(G200)-FIND("*",G200)),"-")</f>
        <v>-</v>
      </c>
      <c r="W200" s="27" t="str">
        <f>IFERROR((U200+V200)*2/1000,"-")</f>
        <v>-</v>
      </c>
      <c r="X200" s="27" t="str">
        <f>IFERROR(W200*H200,"-")</f>
        <v>-</v>
      </c>
      <c r="Z200" s="94" t="s">
        <v>81</v>
      </c>
    </row>
    <row r="201" spans="1:26" s="25" customFormat="1" ht="6.95" customHeight="1" x14ac:dyDescent="0.3">
      <c r="A201" s="165"/>
      <c r="B201" s="168"/>
      <c r="C201" s="169"/>
      <c r="D201" s="160"/>
      <c r="E201" s="161"/>
      <c r="F201" s="162"/>
      <c r="G201" s="163"/>
      <c r="H201" s="164"/>
      <c r="I201" s="163"/>
      <c r="J201" s="164"/>
      <c r="K201" s="163"/>
      <c r="L201" s="164"/>
      <c r="M201" s="11"/>
      <c r="N201" s="39"/>
      <c r="Q201" s="15" t="str">
        <f>+CONCATENATE(E200,I200)</f>
        <v/>
      </c>
      <c r="R201" s="15">
        <f>+J200</f>
        <v>0</v>
      </c>
      <c r="S201" s="16"/>
      <c r="T201" s="15">
        <f>+E200</f>
        <v>0</v>
      </c>
      <c r="U201" s="26" t="str">
        <f>IFERROR(LEFT(I200,FIND("*",I200)-1),"-")</f>
        <v>-</v>
      </c>
      <c r="V201" s="26" t="str">
        <f>IFERROR(RIGHT(I200,LEN(I200)-FIND("*",I200)),"-")</f>
        <v>-</v>
      </c>
      <c r="W201" s="27" t="str">
        <f t="shared" ref="W201:W208" si="106">IFERROR((U201+V201)*2/1000,"-")</f>
        <v>-</v>
      </c>
      <c r="X201" s="27" t="str">
        <f>IFERROR(W201*J200,"-")</f>
        <v>-</v>
      </c>
      <c r="Z201" s="94" t="s">
        <v>81</v>
      </c>
    </row>
    <row r="202" spans="1:26" s="25" customFormat="1" ht="6.95" customHeight="1" x14ac:dyDescent="0.3">
      <c r="A202" s="165"/>
      <c r="B202" s="168"/>
      <c r="C202" s="169"/>
      <c r="D202" s="160"/>
      <c r="E202" s="161"/>
      <c r="F202" s="162"/>
      <c r="G202" s="163"/>
      <c r="H202" s="164"/>
      <c r="I202" s="163"/>
      <c r="J202" s="164"/>
      <c r="K202" s="163"/>
      <c r="L202" s="164"/>
      <c r="M202" s="11"/>
      <c r="N202" s="39"/>
      <c r="Q202" s="15" t="str">
        <f>+CONCATENATE(E200,K200)</f>
        <v/>
      </c>
      <c r="R202" s="15">
        <f>+L200</f>
        <v>0</v>
      </c>
      <c r="S202" s="16"/>
      <c r="T202" s="15">
        <f>+E200</f>
        <v>0</v>
      </c>
      <c r="U202" s="26" t="str">
        <f>IFERROR(LEFT(K200,FIND("*",K200)-1),"-")</f>
        <v>-</v>
      </c>
      <c r="V202" s="26" t="str">
        <f>IFERROR(RIGHT(K200,LEN(K200)-FIND("*",K200)),"-")</f>
        <v>-</v>
      </c>
      <c r="W202" s="27" t="str">
        <f t="shared" si="106"/>
        <v>-</v>
      </c>
      <c r="X202" s="27" t="str">
        <f>IFERROR(W202*L200,"-")</f>
        <v>-</v>
      </c>
      <c r="Z202" s="94" t="s">
        <v>81</v>
      </c>
    </row>
    <row r="203" spans="1:26" s="25" customFormat="1" ht="6.95" customHeight="1" x14ac:dyDescent="0.3">
      <c r="A203" s="13"/>
      <c r="B203" s="168"/>
      <c r="C203" s="169"/>
      <c r="D203" s="160" t="s">
        <v>39</v>
      </c>
      <c r="E203" s="161"/>
      <c r="F203" s="162" t="s">
        <v>40</v>
      </c>
      <c r="G203" s="163"/>
      <c r="H203" s="164"/>
      <c r="I203" s="163"/>
      <c r="J203" s="164"/>
      <c r="K203" s="163"/>
      <c r="L203" s="164"/>
      <c r="M203" s="11"/>
      <c r="N203" s="39"/>
      <c r="Q203" s="15" t="str">
        <f>+CONCATENATE(E203,G203)</f>
        <v/>
      </c>
      <c r="R203" s="15">
        <f>+H203</f>
        <v>0</v>
      </c>
      <c r="S203" s="16"/>
      <c r="T203" s="15">
        <f>+E203</f>
        <v>0</v>
      </c>
      <c r="U203" s="26" t="str">
        <f t="shared" ref="U203" si="107">IFERROR(LEFT(G203,FIND("*",G203)-1),"-")</f>
        <v>-</v>
      </c>
      <c r="V203" s="26" t="str">
        <f t="shared" ref="V203" si="108">IFERROR(RIGHT(G203,LEN(G203)-FIND("*",G203)),"-")</f>
        <v>-</v>
      </c>
      <c r="W203" s="27" t="str">
        <f t="shared" si="106"/>
        <v>-</v>
      </c>
      <c r="X203" s="27" t="str">
        <f>IFERROR(W203*H203,"-")</f>
        <v>-</v>
      </c>
      <c r="Z203" s="94" t="s">
        <v>81</v>
      </c>
    </row>
    <row r="204" spans="1:26" s="25" customFormat="1" ht="6.95" customHeight="1" x14ac:dyDescent="0.3">
      <c r="A204" s="10"/>
      <c r="B204" s="168"/>
      <c r="C204" s="169"/>
      <c r="D204" s="160"/>
      <c r="E204" s="161"/>
      <c r="F204" s="162"/>
      <c r="G204" s="163"/>
      <c r="H204" s="164"/>
      <c r="I204" s="163"/>
      <c r="J204" s="164"/>
      <c r="K204" s="163"/>
      <c r="L204" s="164"/>
      <c r="M204" s="11"/>
      <c r="N204" s="39"/>
      <c r="Q204" s="15" t="str">
        <f>+CONCATENATE(E203,I203)</f>
        <v/>
      </c>
      <c r="R204" s="15">
        <f>+J203</f>
        <v>0</v>
      </c>
      <c r="S204" s="16"/>
      <c r="T204" s="15">
        <f>+E203</f>
        <v>0</v>
      </c>
      <c r="U204" s="26" t="str">
        <f>IFERROR(LEFT(I203,FIND("*",I203)-1),"-")</f>
        <v>-</v>
      </c>
      <c r="V204" s="26" t="str">
        <f>IFERROR(RIGHT(I203,LEN(I203)-FIND("*",I203)),"-")</f>
        <v>-</v>
      </c>
      <c r="W204" s="27" t="str">
        <f t="shared" si="106"/>
        <v>-</v>
      </c>
      <c r="X204" s="27" t="str">
        <f>IFERROR(W204*J203,"-")</f>
        <v>-</v>
      </c>
      <c r="Z204" s="94" t="s">
        <v>81</v>
      </c>
    </row>
    <row r="205" spans="1:26" s="25" customFormat="1" ht="6.95" customHeight="1" x14ac:dyDescent="0.3">
      <c r="A205" s="10"/>
      <c r="B205" s="168"/>
      <c r="C205" s="169"/>
      <c r="D205" s="160"/>
      <c r="E205" s="161"/>
      <c r="F205" s="162"/>
      <c r="G205" s="163"/>
      <c r="H205" s="164"/>
      <c r="I205" s="163"/>
      <c r="J205" s="164"/>
      <c r="K205" s="163"/>
      <c r="L205" s="164"/>
      <c r="M205" s="11"/>
      <c r="N205" s="39"/>
      <c r="Q205" s="15" t="str">
        <f>+CONCATENATE(E203,K203)</f>
        <v/>
      </c>
      <c r="R205" s="15">
        <f>+L203</f>
        <v>0</v>
      </c>
      <c r="S205" s="16"/>
      <c r="T205" s="15">
        <f>+E203</f>
        <v>0</v>
      </c>
      <c r="U205" s="26" t="str">
        <f>IFERROR(LEFT(K203,FIND("*",K203)-1),"-")</f>
        <v>-</v>
      </c>
      <c r="V205" s="26" t="str">
        <f>IFERROR(RIGHT(K203,LEN(K203)-FIND("*",K203)),"-")</f>
        <v>-</v>
      </c>
      <c r="W205" s="27" t="str">
        <f t="shared" si="106"/>
        <v>-</v>
      </c>
      <c r="X205" s="27" t="str">
        <f>IFERROR(W205*L203,"-")</f>
        <v>-</v>
      </c>
      <c r="Z205" s="94" t="s">
        <v>81</v>
      </c>
    </row>
    <row r="206" spans="1:26" s="25" customFormat="1" ht="6.95" customHeight="1" x14ac:dyDescent="0.3">
      <c r="A206" s="13"/>
      <c r="B206" s="168"/>
      <c r="C206" s="169"/>
      <c r="D206" s="160" t="s">
        <v>39</v>
      </c>
      <c r="E206" s="161"/>
      <c r="F206" s="162" t="s">
        <v>40</v>
      </c>
      <c r="G206" s="163"/>
      <c r="H206" s="164"/>
      <c r="I206" s="163"/>
      <c r="J206" s="164"/>
      <c r="K206" s="163"/>
      <c r="L206" s="164"/>
      <c r="M206" s="11"/>
      <c r="N206" s="39"/>
      <c r="Q206" s="15" t="str">
        <f>+CONCATENATE(E206,G206)</f>
        <v/>
      </c>
      <c r="R206" s="15">
        <f>+H206</f>
        <v>0</v>
      </c>
      <c r="S206" s="16"/>
      <c r="T206" s="15">
        <f>+E206</f>
        <v>0</v>
      </c>
      <c r="U206" s="26" t="str">
        <f t="shared" ref="U206" si="109">IFERROR(LEFT(G206,FIND("*",G206)-1),"-")</f>
        <v>-</v>
      </c>
      <c r="V206" s="26" t="str">
        <f t="shared" ref="V206" si="110">IFERROR(RIGHT(G206,LEN(G206)-FIND("*",G206)),"-")</f>
        <v>-</v>
      </c>
      <c r="W206" s="27" t="str">
        <f t="shared" si="106"/>
        <v>-</v>
      </c>
      <c r="X206" s="27" t="str">
        <f>IFERROR(W206*H206,"-")</f>
        <v>-</v>
      </c>
      <c r="Z206" s="94" t="s">
        <v>81</v>
      </c>
    </row>
    <row r="207" spans="1:26" s="25" customFormat="1" ht="6.95" customHeight="1" x14ac:dyDescent="0.3">
      <c r="A207" s="10"/>
      <c r="B207" s="168"/>
      <c r="C207" s="169"/>
      <c r="D207" s="160"/>
      <c r="E207" s="161"/>
      <c r="F207" s="162"/>
      <c r="G207" s="163"/>
      <c r="H207" s="164"/>
      <c r="I207" s="163"/>
      <c r="J207" s="164"/>
      <c r="K207" s="163"/>
      <c r="L207" s="164"/>
      <c r="M207" s="11"/>
      <c r="N207" s="39"/>
      <c r="Q207" s="15" t="str">
        <f>+CONCATENATE(E206,I206)</f>
        <v/>
      </c>
      <c r="R207" s="15">
        <f>+J206</f>
        <v>0</v>
      </c>
      <c r="S207" s="16"/>
      <c r="T207" s="15">
        <f>+E206</f>
        <v>0</v>
      </c>
      <c r="U207" s="26" t="str">
        <f>IFERROR(LEFT(I206,FIND("*",I206)-1),"-")</f>
        <v>-</v>
      </c>
      <c r="V207" s="26" t="str">
        <f>IFERROR(RIGHT(I206,LEN(I206)-FIND("*",I206)),"-")</f>
        <v>-</v>
      </c>
      <c r="W207" s="27" t="str">
        <f t="shared" si="106"/>
        <v>-</v>
      </c>
      <c r="X207" s="27" t="str">
        <f t="shared" ref="X207" si="111">IFERROR(W207*J206,"-")</f>
        <v>-</v>
      </c>
      <c r="Z207" s="94" t="s">
        <v>81</v>
      </c>
    </row>
    <row r="208" spans="1:26" s="25" customFormat="1" ht="6.95" customHeight="1" x14ac:dyDescent="0.3">
      <c r="A208" s="10"/>
      <c r="B208" s="168"/>
      <c r="C208" s="169"/>
      <c r="D208" s="160"/>
      <c r="E208" s="161"/>
      <c r="F208" s="162"/>
      <c r="G208" s="163"/>
      <c r="H208" s="164"/>
      <c r="I208" s="163"/>
      <c r="J208" s="164"/>
      <c r="K208" s="163"/>
      <c r="L208" s="164"/>
      <c r="M208" s="11"/>
      <c r="N208" s="39"/>
      <c r="Q208" s="15" t="str">
        <f>+CONCATENATE(E206,K206)</f>
        <v/>
      </c>
      <c r="R208" s="15">
        <f>+L206</f>
        <v>0</v>
      </c>
      <c r="S208" s="16"/>
      <c r="T208" s="15">
        <f>+E206</f>
        <v>0</v>
      </c>
      <c r="U208" s="26" t="str">
        <f>IFERROR(LEFT(K206,FIND("*",K206)-1),"-")</f>
        <v>-</v>
      </c>
      <c r="V208" s="26" t="str">
        <f>IFERROR(RIGHT(K206,LEN(K206)-FIND("*",K206)),"-")</f>
        <v>-</v>
      </c>
      <c r="W208" s="27" t="str">
        <f t="shared" si="106"/>
        <v>-</v>
      </c>
      <c r="X208" s="27" t="str">
        <f>IFERROR(W208*L206,"-")</f>
        <v>-</v>
      </c>
      <c r="Z208" s="94" t="s">
        <v>81</v>
      </c>
    </row>
    <row r="209" spans="1:26" s="25" customFormat="1" ht="21" customHeight="1" thickBot="1" x14ac:dyDescent="0.35">
      <c r="A209" s="10"/>
      <c r="B209" s="170"/>
      <c r="C209" s="171"/>
      <c r="D209" s="172" t="s">
        <v>43</v>
      </c>
      <c r="E209" s="173"/>
      <c r="F209" s="173"/>
      <c r="G209" s="174"/>
      <c r="H209" s="174"/>
      <c r="I209" s="174"/>
      <c r="J209" s="174"/>
      <c r="K209" s="174"/>
      <c r="L209" s="174"/>
      <c r="M209" s="12"/>
      <c r="N209" s="39"/>
      <c r="U209" s="23"/>
      <c r="V209" s="23"/>
      <c r="Z209" s="95" t="s">
        <v>81</v>
      </c>
    </row>
    <row r="210" spans="1:26" s="25" customFormat="1" ht="9.9499999999999993" customHeight="1" thickBot="1" x14ac:dyDescent="0.35">
      <c r="A210" s="6"/>
      <c r="B210" s="14"/>
      <c r="C210" s="119">
        <v>780</v>
      </c>
      <c r="D210" s="58"/>
      <c r="E210" s="17"/>
      <c r="F210" s="58"/>
      <c r="G210" s="19"/>
      <c r="H210" s="19"/>
      <c r="I210" s="19"/>
      <c r="J210" s="19"/>
      <c r="K210" s="19"/>
      <c r="L210" s="19"/>
      <c r="M210" s="14"/>
      <c r="N210" s="39"/>
      <c r="Q210" s="1"/>
      <c r="R210" s="1"/>
      <c r="S210" s="1"/>
      <c r="T210" s="1"/>
      <c r="U210" s="24"/>
      <c r="V210" s="24"/>
      <c r="W210" s="1"/>
      <c r="X210" s="1"/>
      <c r="Z210" s="94" t="s">
        <v>81</v>
      </c>
    </row>
    <row r="211" spans="1:26" s="25" customFormat="1" ht="6.95" customHeight="1" x14ac:dyDescent="0.3">
      <c r="A211" s="165">
        <f>+A200+1</f>
        <v>20</v>
      </c>
      <c r="B211" s="166"/>
      <c r="C211" s="167"/>
      <c r="D211" s="160" t="s">
        <v>39</v>
      </c>
      <c r="E211" s="161"/>
      <c r="F211" s="162" t="s">
        <v>40</v>
      </c>
      <c r="G211" s="163"/>
      <c r="H211" s="164"/>
      <c r="I211" s="163"/>
      <c r="J211" s="164"/>
      <c r="K211" s="163"/>
      <c r="L211" s="164"/>
      <c r="M211" s="11"/>
      <c r="N211" s="39"/>
      <c r="Q211" s="15" t="str">
        <f>+CONCATENATE(E211,G211)</f>
        <v/>
      </c>
      <c r="R211" s="15">
        <f>+H211</f>
        <v>0</v>
      </c>
      <c r="S211" s="16"/>
      <c r="T211" s="15">
        <f>+E211</f>
        <v>0</v>
      </c>
      <c r="U211" s="26" t="str">
        <f>IFERROR(LEFT(G211,FIND("*",G211)-1),"-")</f>
        <v>-</v>
      </c>
      <c r="V211" s="26" t="str">
        <f>IFERROR(RIGHT(G211,LEN(G211)-FIND("*",G211)),"-")</f>
        <v>-</v>
      </c>
      <c r="W211" s="27" t="str">
        <f>IFERROR((U211+V211)*2/1000,"-")</f>
        <v>-</v>
      </c>
      <c r="X211" s="27" t="str">
        <f>IFERROR(W211*H211,"-")</f>
        <v>-</v>
      </c>
      <c r="Z211" s="94" t="s">
        <v>81</v>
      </c>
    </row>
    <row r="212" spans="1:26" s="25" customFormat="1" ht="6.95" customHeight="1" x14ac:dyDescent="0.3">
      <c r="A212" s="165"/>
      <c r="B212" s="168"/>
      <c r="C212" s="169"/>
      <c r="D212" s="160"/>
      <c r="E212" s="161"/>
      <c r="F212" s="162"/>
      <c r="G212" s="163"/>
      <c r="H212" s="164"/>
      <c r="I212" s="163"/>
      <c r="J212" s="164"/>
      <c r="K212" s="163"/>
      <c r="L212" s="164"/>
      <c r="M212" s="11"/>
      <c r="N212" s="39"/>
      <c r="Q212" s="15" t="str">
        <f>+CONCATENATE(E211,I211)</f>
        <v/>
      </c>
      <c r="R212" s="15">
        <f>+J211</f>
        <v>0</v>
      </c>
      <c r="S212" s="16"/>
      <c r="T212" s="15">
        <f>+E211</f>
        <v>0</v>
      </c>
      <c r="U212" s="26" t="str">
        <f>IFERROR(LEFT(I211,FIND("*",I211)-1),"-")</f>
        <v>-</v>
      </c>
      <c r="V212" s="26" t="str">
        <f>IFERROR(RIGHT(I211,LEN(I211)-FIND("*",I211)),"-")</f>
        <v>-</v>
      </c>
      <c r="W212" s="27" t="str">
        <f t="shared" ref="W212:W219" si="112">IFERROR((U212+V212)*2/1000,"-")</f>
        <v>-</v>
      </c>
      <c r="X212" s="27" t="str">
        <f>IFERROR(W212*J211,"-")</f>
        <v>-</v>
      </c>
      <c r="Z212" s="94" t="s">
        <v>81</v>
      </c>
    </row>
    <row r="213" spans="1:26" s="25" customFormat="1" ht="6.95" customHeight="1" x14ac:dyDescent="0.3">
      <c r="A213" s="165"/>
      <c r="B213" s="168"/>
      <c r="C213" s="169"/>
      <c r="D213" s="160"/>
      <c r="E213" s="161"/>
      <c r="F213" s="162"/>
      <c r="G213" s="163"/>
      <c r="H213" s="164"/>
      <c r="I213" s="163"/>
      <c r="J213" s="164"/>
      <c r="K213" s="163"/>
      <c r="L213" s="164"/>
      <c r="M213" s="11"/>
      <c r="N213" s="39"/>
      <c r="Q213" s="15" t="str">
        <f>+CONCATENATE(E211,K211)</f>
        <v/>
      </c>
      <c r="R213" s="15">
        <f>+L211</f>
        <v>0</v>
      </c>
      <c r="S213" s="16"/>
      <c r="T213" s="15">
        <f>+E211</f>
        <v>0</v>
      </c>
      <c r="U213" s="26" t="str">
        <f>IFERROR(LEFT(K211,FIND("*",K211)-1),"-")</f>
        <v>-</v>
      </c>
      <c r="V213" s="26" t="str">
        <f>IFERROR(RIGHT(K211,LEN(K211)-FIND("*",K211)),"-")</f>
        <v>-</v>
      </c>
      <c r="W213" s="27" t="str">
        <f t="shared" si="112"/>
        <v>-</v>
      </c>
      <c r="X213" s="27" t="str">
        <f>IFERROR(W213*L211,"-")</f>
        <v>-</v>
      </c>
      <c r="Z213" s="94" t="s">
        <v>81</v>
      </c>
    </row>
    <row r="214" spans="1:26" s="25" customFormat="1" ht="6.95" customHeight="1" x14ac:dyDescent="0.3">
      <c r="A214" s="13"/>
      <c r="B214" s="168"/>
      <c r="C214" s="169"/>
      <c r="D214" s="160" t="s">
        <v>39</v>
      </c>
      <c r="E214" s="161"/>
      <c r="F214" s="162" t="s">
        <v>40</v>
      </c>
      <c r="G214" s="163"/>
      <c r="H214" s="164"/>
      <c r="I214" s="163"/>
      <c r="J214" s="164"/>
      <c r="K214" s="163"/>
      <c r="L214" s="164"/>
      <c r="M214" s="11"/>
      <c r="N214" s="39"/>
      <c r="Q214" s="15" t="str">
        <f>+CONCATENATE(E214,G214)</f>
        <v/>
      </c>
      <c r="R214" s="15">
        <f>+H214</f>
        <v>0</v>
      </c>
      <c r="S214" s="16"/>
      <c r="T214" s="15">
        <f>+E214</f>
        <v>0</v>
      </c>
      <c r="U214" s="26" t="str">
        <f t="shared" ref="U214" si="113">IFERROR(LEFT(G214,FIND("*",G214)-1),"-")</f>
        <v>-</v>
      </c>
      <c r="V214" s="26" t="str">
        <f t="shared" ref="V214" si="114">IFERROR(RIGHT(G214,LEN(G214)-FIND("*",G214)),"-")</f>
        <v>-</v>
      </c>
      <c r="W214" s="27" t="str">
        <f t="shared" si="112"/>
        <v>-</v>
      </c>
      <c r="X214" s="27" t="str">
        <f>IFERROR(W214*H214,"-")</f>
        <v>-</v>
      </c>
      <c r="Z214" s="94" t="s">
        <v>81</v>
      </c>
    </row>
    <row r="215" spans="1:26" s="25" customFormat="1" ht="6.95" customHeight="1" x14ac:dyDescent="0.3">
      <c r="A215" s="10"/>
      <c r="B215" s="168"/>
      <c r="C215" s="169"/>
      <c r="D215" s="160"/>
      <c r="E215" s="161"/>
      <c r="F215" s="162"/>
      <c r="G215" s="163"/>
      <c r="H215" s="164"/>
      <c r="I215" s="163"/>
      <c r="J215" s="164"/>
      <c r="K215" s="163"/>
      <c r="L215" s="164"/>
      <c r="M215" s="11"/>
      <c r="N215" s="39"/>
      <c r="Q215" s="15" t="str">
        <f>+CONCATENATE(E214,I214)</f>
        <v/>
      </c>
      <c r="R215" s="15">
        <f>+J214</f>
        <v>0</v>
      </c>
      <c r="S215" s="16"/>
      <c r="T215" s="15">
        <f>+E214</f>
        <v>0</v>
      </c>
      <c r="U215" s="26" t="str">
        <f>IFERROR(LEFT(I214,FIND("*",I214)-1),"-")</f>
        <v>-</v>
      </c>
      <c r="V215" s="26" t="str">
        <f>IFERROR(RIGHT(I214,LEN(I214)-FIND("*",I214)),"-")</f>
        <v>-</v>
      </c>
      <c r="W215" s="27" t="str">
        <f t="shared" si="112"/>
        <v>-</v>
      </c>
      <c r="X215" s="27" t="str">
        <f>IFERROR(W215*J214,"-")</f>
        <v>-</v>
      </c>
      <c r="Z215" s="94" t="s">
        <v>81</v>
      </c>
    </row>
    <row r="216" spans="1:26" s="25" customFormat="1" ht="6.95" customHeight="1" x14ac:dyDescent="0.3">
      <c r="A216" s="10"/>
      <c r="B216" s="168"/>
      <c r="C216" s="169"/>
      <c r="D216" s="160"/>
      <c r="E216" s="161"/>
      <c r="F216" s="162"/>
      <c r="G216" s="163"/>
      <c r="H216" s="164"/>
      <c r="I216" s="163"/>
      <c r="J216" s="164"/>
      <c r="K216" s="163"/>
      <c r="L216" s="164"/>
      <c r="M216" s="11"/>
      <c r="N216" s="39"/>
      <c r="Q216" s="15" t="str">
        <f>+CONCATENATE(E214,K214)</f>
        <v/>
      </c>
      <c r="R216" s="15">
        <f>+L214</f>
        <v>0</v>
      </c>
      <c r="S216" s="16"/>
      <c r="T216" s="15">
        <f>+E214</f>
        <v>0</v>
      </c>
      <c r="U216" s="26" t="str">
        <f>IFERROR(LEFT(K214,FIND("*",K214)-1),"-")</f>
        <v>-</v>
      </c>
      <c r="V216" s="26" t="str">
        <f>IFERROR(RIGHT(K214,LEN(K214)-FIND("*",K214)),"-")</f>
        <v>-</v>
      </c>
      <c r="W216" s="27" t="str">
        <f t="shared" si="112"/>
        <v>-</v>
      </c>
      <c r="X216" s="27" t="str">
        <f>IFERROR(W216*L214,"-")</f>
        <v>-</v>
      </c>
      <c r="Z216" s="94" t="s">
        <v>81</v>
      </c>
    </row>
    <row r="217" spans="1:26" s="25" customFormat="1" ht="6.95" customHeight="1" x14ac:dyDescent="0.3">
      <c r="A217" s="13"/>
      <c r="B217" s="168"/>
      <c r="C217" s="169"/>
      <c r="D217" s="160" t="s">
        <v>39</v>
      </c>
      <c r="E217" s="161"/>
      <c r="F217" s="162" t="s">
        <v>40</v>
      </c>
      <c r="G217" s="163"/>
      <c r="H217" s="164"/>
      <c r="I217" s="163"/>
      <c r="J217" s="164"/>
      <c r="K217" s="163"/>
      <c r="L217" s="164"/>
      <c r="M217" s="11"/>
      <c r="N217" s="39"/>
      <c r="Q217" s="15" t="str">
        <f>+CONCATENATE(E217,G217)</f>
        <v/>
      </c>
      <c r="R217" s="15">
        <f>+H217</f>
        <v>0</v>
      </c>
      <c r="S217" s="16"/>
      <c r="T217" s="15">
        <f>+E217</f>
        <v>0</v>
      </c>
      <c r="U217" s="26" t="str">
        <f t="shared" ref="U217" si="115">IFERROR(LEFT(G217,FIND("*",G217)-1),"-")</f>
        <v>-</v>
      </c>
      <c r="V217" s="26" t="str">
        <f t="shared" ref="V217" si="116">IFERROR(RIGHT(G217,LEN(G217)-FIND("*",G217)),"-")</f>
        <v>-</v>
      </c>
      <c r="W217" s="27" t="str">
        <f t="shared" si="112"/>
        <v>-</v>
      </c>
      <c r="X217" s="27" t="str">
        <f>IFERROR(W217*H217,"-")</f>
        <v>-</v>
      </c>
      <c r="Z217" s="94" t="s">
        <v>81</v>
      </c>
    </row>
    <row r="218" spans="1:26" s="25" customFormat="1" ht="6.95" customHeight="1" x14ac:dyDescent="0.3">
      <c r="A218" s="10"/>
      <c r="B218" s="168"/>
      <c r="C218" s="169"/>
      <c r="D218" s="160"/>
      <c r="E218" s="161"/>
      <c r="F218" s="162"/>
      <c r="G218" s="163"/>
      <c r="H218" s="164"/>
      <c r="I218" s="163"/>
      <c r="J218" s="164"/>
      <c r="K218" s="163"/>
      <c r="L218" s="164"/>
      <c r="M218" s="11"/>
      <c r="N218" s="39"/>
      <c r="Q218" s="15" t="str">
        <f>+CONCATENATE(E217,I217)</f>
        <v/>
      </c>
      <c r="R218" s="15">
        <f>+J217</f>
        <v>0</v>
      </c>
      <c r="S218" s="16"/>
      <c r="T218" s="15">
        <f>+E217</f>
        <v>0</v>
      </c>
      <c r="U218" s="26" t="str">
        <f>IFERROR(LEFT(I217,FIND("*",I217)-1),"-")</f>
        <v>-</v>
      </c>
      <c r="V218" s="26" t="str">
        <f>IFERROR(RIGHT(I217,LEN(I217)-FIND("*",I217)),"-")</f>
        <v>-</v>
      </c>
      <c r="W218" s="27" t="str">
        <f t="shared" si="112"/>
        <v>-</v>
      </c>
      <c r="X218" s="27" t="str">
        <f t="shared" ref="X218" si="117">IFERROR(W218*J217,"-")</f>
        <v>-</v>
      </c>
      <c r="Z218" s="94" t="s">
        <v>81</v>
      </c>
    </row>
    <row r="219" spans="1:26" s="25" customFormat="1" ht="6.95" customHeight="1" x14ac:dyDescent="0.3">
      <c r="A219" s="10"/>
      <c r="B219" s="168"/>
      <c r="C219" s="169"/>
      <c r="D219" s="160"/>
      <c r="E219" s="161"/>
      <c r="F219" s="162"/>
      <c r="G219" s="163"/>
      <c r="H219" s="164"/>
      <c r="I219" s="163"/>
      <c r="J219" s="164"/>
      <c r="K219" s="163"/>
      <c r="L219" s="164"/>
      <c r="M219" s="11"/>
      <c r="N219" s="39"/>
      <c r="Q219" s="15" t="str">
        <f>+CONCATENATE(E217,K217)</f>
        <v/>
      </c>
      <c r="R219" s="15">
        <f>+L217</f>
        <v>0</v>
      </c>
      <c r="S219" s="16"/>
      <c r="T219" s="15">
        <f>+E217</f>
        <v>0</v>
      </c>
      <c r="U219" s="26" t="str">
        <f>IFERROR(LEFT(K217,FIND("*",K217)-1),"-")</f>
        <v>-</v>
      </c>
      <c r="V219" s="26" t="str">
        <f>IFERROR(RIGHT(K217,LEN(K217)-FIND("*",K217)),"-")</f>
        <v>-</v>
      </c>
      <c r="W219" s="27" t="str">
        <f t="shared" si="112"/>
        <v>-</v>
      </c>
      <c r="X219" s="27" t="str">
        <f>IFERROR(W219*L217,"-")</f>
        <v>-</v>
      </c>
      <c r="Z219" s="94" t="s">
        <v>81</v>
      </c>
    </row>
    <row r="220" spans="1:26" s="25" customFormat="1" ht="21" customHeight="1" thickBot="1" x14ac:dyDescent="0.35">
      <c r="A220" s="10"/>
      <c r="B220" s="170"/>
      <c r="C220" s="171"/>
      <c r="D220" s="172" t="s">
        <v>43</v>
      </c>
      <c r="E220" s="173"/>
      <c r="F220" s="173"/>
      <c r="G220" s="174"/>
      <c r="H220" s="174"/>
      <c r="I220" s="174"/>
      <c r="J220" s="174"/>
      <c r="K220" s="174"/>
      <c r="L220" s="174"/>
      <c r="M220" s="12"/>
      <c r="N220" s="39"/>
      <c r="U220" s="23"/>
      <c r="V220" s="23"/>
      <c r="Z220" s="95" t="s">
        <v>81</v>
      </c>
    </row>
    <row r="221" spans="1:26" s="25" customFormat="1" ht="9.9499999999999993" customHeight="1" thickBot="1" x14ac:dyDescent="0.35">
      <c r="A221" s="6"/>
      <c r="B221" s="14"/>
      <c r="C221" s="119">
        <v>781</v>
      </c>
      <c r="D221" s="58"/>
      <c r="E221" s="17"/>
      <c r="F221" s="58"/>
      <c r="G221" s="19"/>
      <c r="H221" s="19"/>
      <c r="I221" s="19"/>
      <c r="J221" s="19"/>
      <c r="K221" s="19"/>
      <c r="L221" s="19"/>
      <c r="M221" s="14"/>
      <c r="N221" s="39"/>
      <c r="Q221" s="1"/>
      <c r="R221" s="1"/>
      <c r="S221" s="1"/>
      <c r="T221" s="1"/>
      <c r="U221" s="24"/>
      <c r="V221" s="24"/>
      <c r="W221" s="1"/>
      <c r="X221" s="1"/>
      <c r="Z221" s="94" t="s">
        <v>81</v>
      </c>
    </row>
    <row r="222" spans="1:26" s="25" customFormat="1" ht="6.95" customHeight="1" x14ac:dyDescent="0.3">
      <c r="A222" s="165">
        <f>+A211+1</f>
        <v>21</v>
      </c>
      <c r="B222" s="166"/>
      <c r="C222" s="167"/>
      <c r="D222" s="160" t="s">
        <v>39</v>
      </c>
      <c r="E222" s="161"/>
      <c r="F222" s="162" t="s">
        <v>40</v>
      </c>
      <c r="G222" s="163"/>
      <c r="H222" s="164"/>
      <c r="I222" s="163"/>
      <c r="J222" s="164"/>
      <c r="K222" s="163"/>
      <c r="L222" s="164"/>
      <c r="M222" s="11"/>
      <c r="N222" s="39"/>
      <c r="Q222" s="15" t="str">
        <f>+CONCATENATE(E222,G222)</f>
        <v/>
      </c>
      <c r="R222" s="15">
        <f>+H222</f>
        <v>0</v>
      </c>
      <c r="S222" s="16"/>
      <c r="T222" s="15">
        <f>+E222</f>
        <v>0</v>
      </c>
      <c r="U222" s="26" t="str">
        <f>IFERROR(LEFT(G222,FIND("*",G222)-1),"-")</f>
        <v>-</v>
      </c>
      <c r="V222" s="26" t="str">
        <f>IFERROR(RIGHT(G222,LEN(G222)-FIND("*",G222)),"-")</f>
        <v>-</v>
      </c>
      <c r="W222" s="27" t="str">
        <f>IFERROR((U222+V222)*2/1000,"-")</f>
        <v>-</v>
      </c>
      <c r="X222" s="27" t="str">
        <f>IFERROR(W222*H222,"-")</f>
        <v>-</v>
      </c>
      <c r="Z222" s="94" t="s">
        <v>81</v>
      </c>
    </row>
    <row r="223" spans="1:26" s="25" customFormat="1" ht="6.95" customHeight="1" x14ac:dyDescent="0.3">
      <c r="A223" s="165"/>
      <c r="B223" s="168"/>
      <c r="C223" s="169"/>
      <c r="D223" s="160"/>
      <c r="E223" s="161"/>
      <c r="F223" s="162"/>
      <c r="G223" s="163"/>
      <c r="H223" s="164"/>
      <c r="I223" s="163"/>
      <c r="J223" s="164"/>
      <c r="K223" s="163"/>
      <c r="L223" s="164"/>
      <c r="M223" s="11"/>
      <c r="N223" s="39"/>
      <c r="Q223" s="15" t="str">
        <f>+CONCATENATE(E222,I222)</f>
        <v/>
      </c>
      <c r="R223" s="15">
        <f>+J222</f>
        <v>0</v>
      </c>
      <c r="S223" s="16"/>
      <c r="T223" s="15">
        <f>+E222</f>
        <v>0</v>
      </c>
      <c r="U223" s="26" t="str">
        <f>IFERROR(LEFT(I222,FIND("*",I222)-1),"-")</f>
        <v>-</v>
      </c>
      <c r="V223" s="26" t="str">
        <f>IFERROR(RIGHT(I222,LEN(I222)-FIND("*",I222)),"-")</f>
        <v>-</v>
      </c>
      <c r="W223" s="27" t="str">
        <f t="shared" ref="W223:W230" si="118">IFERROR((U223+V223)*2/1000,"-")</f>
        <v>-</v>
      </c>
      <c r="X223" s="27" t="str">
        <f>IFERROR(W223*J222,"-")</f>
        <v>-</v>
      </c>
      <c r="Z223" s="94" t="s">
        <v>81</v>
      </c>
    </row>
    <row r="224" spans="1:26" s="25" customFormat="1" ht="6.95" customHeight="1" x14ac:dyDescent="0.3">
      <c r="A224" s="165"/>
      <c r="B224" s="168"/>
      <c r="C224" s="169"/>
      <c r="D224" s="160"/>
      <c r="E224" s="161"/>
      <c r="F224" s="162"/>
      <c r="G224" s="163"/>
      <c r="H224" s="164"/>
      <c r="I224" s="163"/>
      <c r="J224" s="164"/>
      <c r="K224" s="163"/>
      <c r="L224" s="164"/>
      <c r="M224" s="11"/>
      <c r="N224" s="39"/>
      <c r="Q224" s="15" t="str">
        <f>+CONCATENATE(E222,K222)</f>
        <v/>
      </c>
      <c r="R224" s="15">
        <f>+L222</f>
        <v>0</v>
      </c>
      <c r="S224" s="16"/>
      <c r="T224" s="15">
        <f>+E222</f>
        <v>0</v>
      </c>
      <c r="U224" s="26" t="str">
        <f>IFERROR(LEFT(K222,FIND("*",K222)-1),"-")</f>
        <v>-</v>
      </c>
      <c r="V224" s="26" t="str">
        <f>IFERROR(RIGHT(K222,LEN(K222)-FIND("*",K222)),"-")</f>
        <v>-</v>
      </c>
      <c r="W224" s="27" t="str">
        <f t="shared" si="118"/>
        <v>-</v>
      </c>
      <c r="X224" s="27" t="str">
        <f>IFERROR(W224*L222,"-")</f>
        <v>-</v>
      </c>
      <c r="Z224" s="94" t="s">
        <v>81</v>
      </c>
    </row>
    <row r="225" spans="1:26" s="25" customFormat="1" ht="6.95" customHeight="1" x14ac:dyDescent="0.3">
      <c r="A225" s="13"/>
      <c r="B225" s="168"/>
      <c r="C225" s="169"/>
      <c r="D225" s="160" t="s">
        <v>39</v>
      </c>
      <c r="E225" s="161"/>
      <c r="F225" s="162" t="s">
        <v>40</v>
      </c>
      <c r="G225" s="163"/>
      <c r="H225" s="164"/>
      <c r="I225" s="163"/>
      <c r="J225" s="164"/>
      <c r="K225" s="163"/>
      <c r="L225" s="164"/>
      <c r="M225" s="11"/>
      <c r="N225" s="39"/>
      <c r="Q225" s="15" t="str">
        <f>+CONCATENATE(E225,G225)</f>
        <v/>
      </c>
      <c r="R225" s="15">
        <f>+H225</f>
        <v>0</v>
      </c>
      <c r="S225" s="16"/>
      <c r="T225" s="15">
        <f>+E225</f>
        <v>0</v>
      </c>
      <c r="U225" s="26" t="str">
        <f t="shared" ref="U225" si="119">IFERROR(LEFT(G225,FIND("*",G225)-1),"-")</f>
        <v>-</v>
      </c>
      <c r="V225" s="26" t="str">
        <f t="shared" ref="V225" si="120">IFERROR(RIGHT(G225,LEN(G225)-FIND("*",G225)),"-")</f>
        <v>-</v>
      </c>
      <c r="W225" s="27" t="str">
        <f t="shared" si="118"/>
        <v>-</v>
      </c>
      <c r="X225" s="27" t="str">
        <f>IFERROR(W225*H225,"-")</f>
        <v>-</v>
      </c>
      <c r="Z225" s="94" t="s">
        <v>81</v>
      </c>
    </row>
    <row r="226" spans="1:26" s="25" customFormat="1" ht="6.95" customHeight="1" x14ac:dyDescent="0.3">
      <c r="A226" s="10"/>
      <c r="B226" s="168"/>
      <c r="C226" s="169"/>
      <c r="D226" s="160"/>
      <c r="E226" s="161"/>
      <c r="F226" s="162"/>
      <c r="G226" s="163"/>
      <c r="H226" s="164"/>
      <c r="I226" s="163"/>
      <c r="J226" s="164"/>
      <c r="K226" s="163"/>
      <c r="L226" s="164"/>
      <c r="M226" s="11"/>
      <c r="N226" s="39"/>
      <c r="Q226" s="15" t="str">
        <f>+CONCATENATE(E225,I225)</f>
        <v/>
      </c>
      <c r="R226" s="15">
        <f>+J225</f>
        <v>0</v>
      </c>
      <c r="S226" s="16"/>
      <c r="T226" s="15">
        <f>+E225</f>
        <v>0</v>
      </c>
      <c r="U226" s="26" t="str">
        <f>IFERROR(LEFT(I225,FIND("*",I225)-1),"-")</f>
        <v>-</v>
      </c>
      <c r="V226" s="26" t="str">
        <f>IFERROR(RIGHT(I225,LEN(I225)-FIND("*",I225)),"-")</f>
        <v>-</v>
      </c>
      <c r="W226" s="27" t="str">
        <f t="shared" si="118"/>
        <v>-</v>
      </c>
      <c r="X226" s="27" t="str">
        <f>IFERROR(W226*J225,"-")</f>
        <v>-</v>
      </c>
      <c r="Z226" s="94" t="s">
        <v>81</v>
      </c>
    </row>
    <row r="227" spans="1:26" s="25" customFormat="1" ht="6.95" customHeight="1" x14ac:dyDescent="0.3">
      <c r="A227" s="10"/>
      <c r="B227" s="168"/>
      <c r="C227" s="169"/>
      <c r="D227" s="160"/>
      <c r="E227" s="161"/>
      <c r="F227" s="162"/>
      <c r="G227" s="163"/>
      <c r="H227" s="164"/>
      <c r="I227" s="163"/>
      <c r="J227" s="164"/>
      <c r="K227" s="163"/>
      <c r="L227" s="164"/>
      <c r="M227" s="11"/>
      <c r="N227" s="39"/>
      <c r="Q227" s="15" t="str">
        <f>+CONCATENATE(E225,K225)</f>
        <v/>
      </c>
      <c r="R227" s="15">
        <f>+L225</f>
        <v>0</v>
      </c>
      <c r="S227" s="16"/>
      <c r="T227" s="15">
        <f>+E225</f>
        <v>0</v>
      </c>
      <c r="U227" s="26" t="str">
        <f>IFERROR(LEFT(K225,FIND("*",K225)-1),"-")</f>
        <v>-</v>
      </c>
      <c r="V227" s="26" t="str">
        <f>IFERROR(RIGHT(K225,LEN(K225)-FIND("*",K225)),"-")</f>
        <v>-</v>
      </c>
      <c r="W227" s="27" t="str">
        <f t="shared" si="118"/>
        <v>-</v>
      </c>
      <c r="X227" s="27" t="str">
        <f>IFERROR(W227*L225,"-")</f>
        <v>-</v>
      </c>
      <c r="Z227" s="94" t="s">
        <v>81</v>
      </c>
    </row>
    <row r="228" spans="1:26" s="25" customFormat="1" ht="6.95" customHeight="1" x14ac:dyDescent="0.3">
      <c r="A228" s="13"/>
      <c r="B228" s="168"/>
      <c r="C228" s="169"/>
      <c r="D228" s="160" t="s">
        <v>39</v>
      </c>
      <c r="E228" s="161"/>
      <c r="F228" s="162" t="s">
        <v>40</v>
      </c>
      <c r="G228" s="163"/>
      <c r="H228" s="164"/>
      <c r="I228" s="163"/>
      <c r="J228" s="164"/>
      <c r="K228" s="163"/>
      <c r="L228" s="164"/>
      <c r="M228" s="11"/>
      <c r="N228" s="39"/>
      <c r="Q228" s="15" t="str">
        <f>+CONCATENATE(E228,G228)</f>
        <v/>
      </c>
      <c r="R228" s="15">
        <f>+H228</f>
        <v>0</v>
      </c>
      <c r="S228" s="16"/>
      <c r="T228" s="15">
        <f>+E228</f>
        <v>0</v>
      </c>
      <c r="U228" s="26" t="str">
        <f t="shared" ref="U228" si="121">IFERROR(LEFT(G228,FIND("*",G228)-1),"-")</f>
        <v>-</v>
      </c>
      <c r="V228" s="26" t="str">
        <f t="shared" ref="V228" si="122">IFERROR(RIGHT(G228,LEN(G228)-FIND("*",G228)),"-")</f>
        <v>-</v>
      </c>
      <c r="W228" s="27" t="str">
        <f t="shared" si="118"/>
        <v>-</v>
      </c>
      <c r="X228" s="27" t="str">
        <f>IFERROR(W228*H228,"-")</f>
        <v>-</v>
      </c>
      <c r="Z228" s="94" t="s">
        <v>81</v>
      </c>
    </row>
    <row r="229" spans="1:26" s="25" customFormat="1" ht="6.95" customHeight="1" x14ac:dyDescent="0.3">
      <c r="A229" s="10"/>
      <c r="B229" s="168"/>
      <c r="C229" s="169"/>
      <c r="D229" s="160"/>
      <c r="E229" s="161"/>
      <c r="F229" s="162"/>
      <c r="G229" s="163"/>
      <c r="H229" s="164"/>
      <c r="I229" s="163"/>
      <c r="J229" s="164"/>
      <c r="K229" s="163"/>
      <c r="L229" s="164"/>
      <c r="M229" s="11"/>
      <c r="N229" s="39"/>
      <c r="Q229" s="15" t="str">
        <f>+CONCATENATE(E228,I228)</f>
        <v/>
      </c>
      <c r="R229" s="15">
        <f>+J228</f>
        <v>0</v>
      </c>
      <c r="S229" s="16"/>
      <c r="T229" s="15">
        <f>+E228</f>
        <v>0</v>
      </c>
      <c r="U229" s="26" t="str">
        <f>IFERROR(LEFT(I228,FIND("*",I228)-1),"-")</f>
        <v>-</v>
      </c>
      <c r="V229" s="26" t="str">
        <f>IFERROR(RIGHT(I228,LEN(I228)-FIND("*",I228)),"-")</f>
        <v>-</v>
      </c>
      <c r="W229" s="27" t="str">
        <f t="shared" si="118"/>
        <v>-</v>
      </c>
      <c r="X229" s="27" t="str">
        <f t="shared" ref="X229" si="123">IFERROR(W229*J228,"-")</f>
        <v>-</v>
      </c>
      <c r="Z229" s="94" t="s">
        <v>81</v>
      </c>
    </row>
    <row r="230" spans="1:26" s="25" customFormat="1" ht="6.95" customHeight="1" x14ac:dyDescent="0.3">
      <c r="A230" s="10"/>
      <c r="B230" s="168"/>
      <c r="C230" s="169"/>
      <c r="D230" s="160"/>
      <c r="E230" s="161"/>
      <c r="F230" s="162"/>
      <c r="G230" s="163"/>
      <c r="H230" s="164"/>
      <c r="I230" s="163"/>
      <c r="J230" s="164"/>
      <c r="K230" s="163"/>
      <c r="L230" s="164"/>
      <c r="M230" s="11"/>
      <c r="N230" s="39"/>
      <c r="Q230" s="15" t="str">
        <f>+CONCATENATE(E228,K228)</f>
        <v/>
      </c>
      <c r="R230" s="15">
        <f>+L228</f>
        <v>0</v>
      </c>
      <c r="S230" s="16"/>
      <c r="T230" s="15">
        <f>+E228</f>
        <v>0</v>
      </c>
      <c r="U230" s="26" t="str">
        <f>IFERROR(LEFT(K228,FIND("*",K228)-1),"-")</f>
        <v>-</v>
      </c>
      <c r="V230" s="26" t="str">
        <f>IFERROR(RIGHT(K228,LEN(K228)-FIND("*",K228)),"-")</f>
        <v>-</v>
      </c>
      <c r="W230" s="27" t="str">
        <f t="shared" si="118"/>
        <v>-</v>
      </c>
      <c r="X230" s="27" t="str">
        <f>IFERROR(W230*L228,"-")</f>
        <v>-</v>
      </c>
      <c r="Z230" s="94" t="s">
        <v>81</v>
      </c>
    </row>
    <row r="231" spans="1:26" s="25" customFormat="1" ht="21" customHeight="1" thickBot="1" x14ac:dyDescent="0.35">
      <c r="A231" s="10"/>
      <c r="B231" s="170"/>
      <c r="C231" s="171"/>
      <c r="D231" s="172" t="s">
        <v>43</v>
      </c>
      <c r="E231" s="173"/>
      <c r="F231" s="173"/>
      <c r="G231" s="174"/>
      <c r="H231" s="174"/>
      <c r="I231" s="174"/>
      <c r="J231" s="174"/>
      <c r="K231" s="174"/>
      <c r="L231" s="174"/>
      <c r="M231" s="12"/>
      <c r="N231" s="39"/>
      <c r="U231" s="23"/>
      <c r="V231" s="23"/>
      <c r="Z231" s="95" t="s">
        <v>81</v>
      </c>
    </row>
    <row r="232" spans="1:26" s="25" customFormat="1" ht="9.9499999999999993" customHeight="1" thickBot="1" x14ac:dyDescent="0.35">
      <c r="A232" s="6"/>
      <c r="B232" s="14"/>
      <c r="C232" s="119">
        <v>782</v>
      </c>
      <c r="D232" s="58"/>
      <c r="E232" s="17"/>
      <c r="F232" s="58"/>
      <c r="G232" s="19"/>
      <c r="H232" s="19"/>
      <c r="I232" s="19"/>
      <c r="J232" s="19"/>
      <c r="K232" s="19"/>
      <c r="L232" s="19"/>
      <c r="M232" s="14"/>
      <c r="N232" s="39"/>
      <c r="Q232" s="1"/>
      <c r="R232" s="1"/>
      <c r="S232" s="1"/>
      <c r="T232" s="1"/>
      <c r="U232" s="24"/>
      <c r="V232" s="24"/>
      <c r="W232" s="1"/>
      <c r="X232" s="1"/>
      <c r="Z232" s="94" t="s">
        <v>81</v>
      </c>
    </row>
    <row r="233" spans="1:26" s="25" customFormat="1" ht="6.95" customHeight="1" x14ac:dyDescent="0.3">
      <c r="A233" s="165">
        <f>+A222+1</f>
        <v>22</v>
      </c>
      <c r="B233" s="166"/>
      <c r="C233" s="167"/>
      <c r="D233" s="160" t="s">
        <v>39</v>
      </c>
      <c r="E233" s="161"/>
      <c r="F233" s="162" t="s">
        <v>40</v>
      </c>
      <c r="G233" s="163"/>
      <c r="H233" s="164"/>
      <c r="I233" s="163"/>
      <c r="J233" s="164"/>
      <c r="K233" s="163"/>
      <c r="L233" s="164"/>
      <c r="M233" s="11"/>
      <c r="N233" s="39"/>
      <c r="Q233" s="15" t="str">
        <f>+CONCATENATE(E233,G233)</f>
        <v/>
      </c>
      <c r="R233" s="15">
        <f>+H233</f>
        <v>0</v>
      </c>
      <c r="S233" s="16"/>
      <c r="T233" s="15">
        <f>+E233</f>
        <v>0</v>
      </c>
      <c r="U233" s="26" t="str">
        <f>IFERROR(LEFT(G233,FIND("*",G233)-1),"-")</f>
        <v>-</v>
      </c>
      <c r="V233" s="26" t="str">
        <f>IFERROR(RIGHT(G233,LEN(G233)-FIND("*",G233)),"-")</f>
        <v>-</v>
      </c>
      <c r="W233" s="27" t="str">
        <f>IFERROR((U233+V233)*2/1000,"-")</f>
        <v>-</v>
      </c>
      <c r="X233" s="27" t="str">
        <f>IFERROR(W233*H233,"-")</f>
        <v>-</v>
      </c>
      <c r="Z233" s="94" t="s">
        <v>81</v>
      </c>
    </row>
    <row r="234" spans="1:26" s="25" customFormat="1" ht="6.95" customHeight="1" x14ac:dyDescent="0.3">
      <c r="A234" s="165"/>
      <c r="B234" s="168"/>
      <c r="C234" s="169"/>
      <c r="D234" s="160"/>
      <c r="E234" s="161"/>
      <c r="F234" s="162"/>
      <c r="G234" s="163"/>
      <c r="H234" s="164"/>
      <c r="I234" s="163"/>
      <c r="J234" s="164"/>
      <c r="K234" s="163"/>
      <c r="L234" s="164"/>
      <c r="M234" s="11"/>
      <c r="N234" s="39"/>
      <c r="Q234" s="15" t="str">
        <f>+CONCATENATE(E233,I233)</f>
        <v/>
      </c>
      <c r="R234" s="15">
        <f>+J233</f>
        <v>0</v>
      </c>
      <c r="S234" s="16"/>
      <c r="T234" s="15">
        <f>+E233</f>
        <v>0</v>
      </c>
      <c r="U234" s="26" t="str">
        <f>IFERROR(LEFT(I233,FIND("*",I233)-1),"-")</f>
        <v>-</v>
      </c>
      <c r="V234" s="26" t="str">
        <f>IFERROR(RIGHT(I233,LEN(I233)-FIND("*",I233)),"-")</f>
        <v>-</v>
      </c>
      <c r="W234" s="27" t="str">
        <f t="shared" ref="W234:W241" si="124">IFERROR((U234+V234)*2/1000,"-")</f>
        <v>-</v>
      </c>
      <c r="X234" s="27" t="str">
        <f>IFERROR(W234*J233,"-")</f>
        <v>-</v>
      </c>
      <c r="Z234" s="94" t="s">
        <v>81</v>
      </c>
    </row>
    <row r="235" spans="1:26" s="25" customFormat="1" ht="6.95" customHeight="1" x14ac:dyDescent="0.3">
      <c r="A235" s="165"/>
      <c r="B235" s="168"/>
      <c r="C235" s="169"/>
      <c r="D235" s="160"/>
      <c r="E235" s="161"/>
      <c r="F235" s="162"/>
      <c r="G235" s="163"/>
      <c r="H235" s="164"/>
      <c r="I235" s="163"/>
      <c r="J235" s="164"/>
      <c r="K235" s="163"/>
      <c r="L235" s="164"/>
      <c r="M235" s="11"/>
      <c r="N235" s="39"/>
      <c r="Q235" s="15" t="str">
        <f>+CONCATENATE(E233,K233)</f>
        <v/>
      </c>
      <c r="R235" s="15">
        <f>+L233</f>
        <v>0</v>
      </c>
      <c r="S235" s="16"/>
      <c r="T235" s="15">
        <f>+E233</f>
        <v>0</v>
      </c>
      <c r="U235" s="26" t="str">
        <f>IFERROR(LEFT(K233,FIND("*",K233)-1),"-")</f>
        <v>-</v>
      </c>
      <c r="V235" s="26" t="str">
        <f>IFERROR(RIGHT(K233,LEN(K233)-FIND("*",K233)),"-")</f>
        <v>-</v>
      </c>
      <c r="W235" s="27" t="str">
        <f t="shared" si="124"/>
        <v>-</v>
      </c>
      <c r="X235" s="27" t="str">
        <f>IFERROR(W235*L233,"-")</f>
        <v>-</v>
      </c>
      <c r="Z235" s="94" t="s">
        <v>81</v>
      </c>
    </row>
    <row r="236" spans="1:26" s="25" customFormat="1" ht="6.95" customHeight="1" x14ac:dyDescent="0.3">
      <c r="A236" s="13"/>
      <c r="B236" s="168"/>
      <c r="C236" s="169"/>
      <c r="D236" s="160" t="s">
        <v>39</v>
      </c>
      <c r="E236" s="161"/>
      <c r="F236" s="162" t="s">
        <v>40</v>
      </c>
      <c r="G236" s="163"/>
      <c r="H236" s="164"/>
      <c r="I236" s="163"/>
      <c r="J236" s="164"/>
      <c r="K236" s="163"/>
      <c r="L236" s="164"/>
      <c r="M236" s="11"/>
      <c r="N236" s="39"/>
      <c r="Q236" s="15" t="str">
        <f>+CONCATENATE(E236,G236)</f>
        <v/>
      </c>
      <c r="R236" s="15">
        <f>+H236</f>
        <v>0</v>
      </c>
      <c r="S236" s="16"/>
      <c r="T236" s="15">
        <f>+E236</f>
        <v>0</v>
      </c>
      <c r="U236" s="26" t="str">
        <f t="shared" ref="U236" si="125">IFERROR(LEFT(G236,FIND("*",G236)-1),"-")</f>
        <v>-</v>
      </c>
      <c r="V236" s="26" t="str">
        <f t="shared" ref="V236" si="126">IFERROR(RIGHT(G236,LEN(G236)-FIND("*",G236)),"-")</f>
        <v>-</v>
      </c>
      <c r="W236" s="27" t="str">
        <f t="shared" si="124"/>
        <v>-</v>
      </c>
      <c r="X236" s="27" t="str">
        <f>IFERROR(W236*H236,"-")</f>
        <v>-</v>
      </c>
      <c r="Z236" s="94" t="s">
        <v>81</v>
      </c>
    </row>
    <row r="237" spans="1:26" s="25" customFormat="1" ht="6.95" customHeight="1" x14ac:dyDescent="0.3">
      <c r="A237" s="10"/>
      <c r="B237" s="168"/>
      <c r="C237" s="169"/>
      <c r="D237" s="160"/>
      <c r="E237" s="161"/>
      <c r="F237" s="162"/>
      <c r="G237" s="163"/>
      <c r="H237" s="164"/>
      <c r="I237" s="163"/>
      <c r="J237" s="164"/>
      <c r="K237" s="163"/>
      <c r="L237" s="164"/>
      <c r="M237" s="11"/>
      <c r="N237" s="39"/>
      <c r="Q237" s="15" t="str">
        <f>+CONCATENATE(E236,I236)</f>
        <v/>
      </c>
      <c r="R237" s="15">
        <f>+J236</f>
        <v>0</v>
      </c>
      <c r="S237" s="16"/>
      <c r="T237" s="15">
        <f>+E236</f>
        <v>0</v>
      </c>
      <c r="U237" s="26" t="str">
        <f>IFERROR(LEFT(I236,FIND("*",I236)-1),"-")</f>
        <v>-</v>
      </c>
      <c r="V237" s="26" t="str">
        <f>IFERROR(RIGHT(I236,LEN(I236)-FIND("*",I236)),"-")</f>
        <v>-</v>
      </c>
      <c r="W237" s="27" t="str">
        <f t="shared" si="124"/>
        <v>-</v>
      </c>
      <c r="X237" s="27" t="str">
        <f>IFERROR(W237*J236,"-")</f>
        <v>-</v>
      </c>
      <c r="Z237" s="94" t="s">
        <v>81</v>
      </c>
    </row>
    <row r="238" spans="1:26" s="25" customFormat="1" ht="6.95" customHeight="1" x14ac:dyDescent="0.3">
      <c r="A238" s="10"/>
      <c r="B238" s="168"/>
      <c r="C238" s="169"/>
      <c r="D238" s="160"/>
      <c r="E238" s="161"/>
      <c r="F238" s="162"/>
      <c r="G238" s="163"/>
      <c r="H238" s="164"/>
      <c r="I238" s="163"/>
      <c r="J238" s="164"/>
      <c r="K238" s="163"/>
      <c r="L238" s="164"/>
      <c r="M238" s="11"/>
      <c r="N238" s="39"/>
      <c r="Q238" s="15" t="str">
        <f>+CONCATENATE(E236,K236)</f>
        <v/>
      </c>
      <c r="R238" s="15">
        <f>+L236</f>
        <v>0</v>
      </c>
      <c r="S238" s="16"/>
      <c r="T238" s="15">
        <f>+E236</f>
        <v>0</v>
      </c>
      <c r="U238" s="26" t="str">
        <f>IFERROR(LEFT(K236,FIND("*",K236)-1),"-")</f>
        <v>-</v>
      </c>
      <c r="V238" s="26" t="str">
        <f>IFERROR(RIGHT(K236,LEN(K236)-FIND("*",K236)),"-")</f>
        <v>-</v>
      </c>
      <c r="W238" s="27" t="str">
        <f t="shared" si="124"/>
        <v>-</v>
      </c>
      <c r="X238" s="27" t="str">
        <f>IFERROR(W238*L236,"-")</f>
        <v>-</v>
      </c>
      <c r="Z238" s="94" t="s">
        <v>81</v>
      </c>
    </row>
    <row r="239" spans="1:26" s="25" customFormat="1" ht="6.95" customHeight="1" x14ac:dyDescent="0.3">
      <c r="A239" s="13"/>
      <c r="B239" s="168"/>
      <c r="C239" s="169"/>
      <c r="D239" s="160" t="s">
        <v>39</v>
      </c>
      <c r="E239" s="161"/>
      <c r="F239" s="162" t="s">
        <v>40</v>
      </c>
      <c r="G239" s="163"/>
      <c r="H239" s="164"/>
      <c r="I239" s="163"/>
      <c r="J239" s="164"/>
      <c r="K239" s="163"/>
      <c r="L239" s="164"/>
      <c r="M239" s="11"/>
      <c r="N239" s="39"/>
      <c r="Q239" s="15" t="str">
        <f>+CONCATENATE(E239,G239)</f>
        <v/>
      </c>
      <c r="R239" s="15">
        <f>+H239</f>
        <v>0</v>
      </c>
      <c r="S239" s="16"/>
      <c r="T239" s="15">
        <f>+E239</f>
        <v>0</v>
      </c>
      <c r="U239" s="26" t="str">
        <f t="shared" ref="U239" si="127">IFERROR(LEFT(G239,FIND("*",G239)-1),"-")</f>
        <v>-</v>
      </c>
      <c r="V239" s="26" t="str">
        <f t="shared" ref="V239" si="128">IFERROR(RIGHT(G239,LEN(G239)-FIND("*",G239)),"-")</f>
        <v>-</v>
      </c>
      <c r="W239" s="27" t="str">
        <f t="shared" si="124"/>
        <v>-</v>
      </c>
      <c r="X239" s="27" t="str">
        <f>IFERROR(W239*H239,"-")</f>
        <v>-</v>
      </c>
      <c r="Z239" s="94" t="s">
        <v>81</v>
      </c>
    </row>
    <row r="240" spans="1:26" s="25" customFormat="1" ht="6.95" customHeight="1" x14ac:dyDescent="0.3">
      <c r="A240" s="10"/>
      <c r="B240" s="168"/>
      <c r="C240" s="169"/>
      <c r="D240" s="160"/>
      <c r="E240" s="161"/>
      <c r="F240" s="162"/>
      <c r="G240" s="163"/>
      <c r="H240" s="164"/>
      <c r="I240" s="163"/>
      <c r="J240" s="164"/>
      <c r="K240" s="163"/>
      <c r="L240" s="164"/>
      <c r="M240" s="11"/>
      <c r="N240" s="39"/>
      <c r="Q240" s="15" t="str">
        <f>+CONCATENATE(E239,I239)</f>
        <v/>
      </c>
      <c r="R240" s="15">
        <f>+J239</f>
        <v>0</v>
      </c>
      <c r="S240" s="16"/>
      <c r="T240" s="15">
        <f>+E239</f>
        <v>0</v>
      </c>
      <c r="U240" s="26" t="str">
        <f>IFERROR(LEFT(I239,FIND("*",I239)-1),"-")</f>
        <v>-</v>
      </c>
      <c r="V240" s="26" t="str">
        <f>IFERROR(RIGHT(I239,LEN(I239)-FIND("*",I239)),"-")</f>
        <v>-</v>
      </c>
      <c r="W240" s="27" t="str">
        <f t="shared" si="124"/>
        <v>-</v>
      </c>
      <c r="X240" s="27" t="str">
        <f t="shared" ref="X240" si="129">IFERROR(W240*J239,"-")</f>
        <v>-</v>
      </c>
      <c r="Z240" s="94" t="s">
        <v>81</v>
      </c>
    </row>
    <row r="241" spans="1:26" s="25" customFormat="1" ht="6.95" customHeight="1" x14ac:dyDescent="0.3">
      <c r="A241" s="10"/>
      <c r="B241" s="168"/>
      <c r="C241" s="169"/>
      <c r="D241" s="160"/>
      <c r="E241" s="161"/>
      <c r="F241" s="162"/>
      <c r="G241" s="163"/>
      <c r="H241" s="164"/>
      <c r="I241" s="163"/>
      <c r="J241" s="164"/>
      <c r="K241" s="163"/>
      <c r="L241" s="164"/>
      <c r="M241" s="11"/>
      <c r="N241" s="39"/>
      <c r="Q241" s="15" t="str">
        <f>+CONCATENATE(E239,K239)</f>
        <v/>
      </c>
      <c r="R241" s="15">
        <f>+L239</f>
        <v>0</v>
      </c>
      <c r="S241" s="16"/>
      <c r="T241" s="15">
        <f>+E239</f>
        <v>0</v>
      </c>
      <c r="U241" s="26" t="str">
        <f>IFERROR(LEFT(K239,FIND("*",K239)-1),"-")</f>
        <v>-</v>
      </c>
      <c r="V241" s="26" t="str">
        <f>IFERROR(RIGHT(K239,LEN(K239)-FIND("*",K239)),"-")</f>
        <v>-</v>
      </c>
      <c r="W241" s="27" t="str">
        <f t="shared" si="124"/>
        <v>-</v>
      </c>
      <c r="X241" s="27" t="str">
        <f>IFERROR(W241*L239,"-")</f>
        <v>-</v>
      </c>
      <c r="Z241" s="94" t="s">
        <v>81</v>
      </c>
    </row>
    <row r="242" spans="1:26" s="25" customFormat="1" ht="21" customHeight="1" thickBot="1" x14ac:dyDescent="0.35">
      <c r="A242" s="10"/>
      <c r="B242" s="170"/>
      <c r="C242" s="171"/>
      <c r="D242" s="172" t="s">
        <v>43</v>
      </c>
      <c r="E242" s="173"/>
      <c r="F242" s="173"/>
      <c r="G242" s="174"/>
      <c r="H242" s="174"/>
      <c r="I242" s="174"/>
      <c r="J242" s="174"/>
      <c r="K242" s="174"/>
      <c r="L242" s="174"/>
      <c r="M242" s="12"/>
      <c r="N242" s="39"/>
      <c r="U242" s="23"/>
      <c r="V242" s="23"/>
      <c r="Z242" s="95" t="s">
        <v>81</v>
      </c>
    </row>
    <row r="243" spans="1:26" s="25" customFormat="1" ht="9.9499999999999993" customHeight="1" thickBot="1" x14ac:dyDescent="0.35">
      <c r="A243" s="6"/>
      <c r="B243" s="14"/>
      <c r="C243" s="119">
        <v>783</v>
      </c>
      <c r="D243" s="58"/>
      <c r="E243" s="17"/>
      <c r="F243" s="58"/>
      <c r="G243" s="19"/>
      <c r="H243" s="19"/>
      <c r="I243" s="19"/>
      <c r="J243" s="19"/>
      <c r="K243" s="19"/>
      <c r="L243" s="19"/>
      <c r="M243" s="14"/>
      <c r="N243" s="39"/>
      <c r="Q243" s="1"/>
      <c r="R243" s="1"/>
      <c r="S243" s="1"/>
      <c r="T243" s="1"/>
      <c r="U243" s="24"/>
      <c r="V243" s="24"/>
      <c r="W243" s="1"/>
      <c r="X243" s="1"/>
      <c r="Z243" s="94" t="s">
        <v>81</v>
      </c>
    </row>
    <row r="244" spans="1:26" s="25" customFormat="1" ht="6.95" customHeight="1" x14ac:dyDescent="0.3">
      <c r="A244" s="165">
        <f>+A233+1</f>
        <v>23</v>
      </c>
      <c r="B244" s="166"/>
      <c r="C244" s="167"/>
      <c r="D244" s="160" t="s">
        <v>39</v>
      </c>
      <c r="E244" s="161"/>
      <c r="F244" s="162" t="s">
        <v>40</v>
      </c>
      <c r="G244" s="163"/>
      <c r="H244" s="164"/>
      <c r="I244" s="163"/>
      <c r="J244" s="164"/>
      <c r="K244" s="163"/>
      <c r="L244" s="164"/>
      <c r="M244" s="11"/>
      <c r="N244" s="39"/>
      <c r="Q244" s="15" t="str">
        <f>+CONCATENATE(E244,G244)</f>
        <v/>
      </c>
      <c r="R244" s="15">
        <f>+H244</f>
        <v>0</v>
      </c>
      <c r="S244" s="16"/>
      <c r="T244" s="15">
        <f>+E244</f>
        <v>0</v>
      </c>
      <c r="U244" s="26" t="str">
        <f>IFERROR(LEFT(G244,FIND("*",G244)-1),"-")</f>
        <v>-</v>
      </c>
      <c r="V244" s="26" t="str">
        <f>IFERROR(RIGHT(G244,LEN(G244)-FIND("*",G244)),"-")</f>
        <v>-</v>
      </c>
      <c r="W244" s="27" t="str">
        <f>IFERROR((U244+V244)*2/1000,"-")</f>
        <v>-</v>
      </c>
      <c r="X244" s="27" t="str">
        <f>IFERROR(W244*H244,"-")</f>
        <v>-</v>
      </c>
      <c r="Z244" s="94" t="s">
        <v>81</v>
      </c>
    </row>
    <row r="245" spans="1:26" s="25" customFormat="1" ht="6.95" customHeight="1" x14ac:dyDescent="0.3">
      <c r="A245" s="165"/>
      <c r="B245" s="168"/>
      <c r="C245" s="169"/>
      <c r="D245" s="160"/>
      <c r="E245" s="161"/>
      <c r="F245" s="162"/>
      <c r="G245" s="163"/>
      <c r="H245" s="164"/>
      <c r="I245" s="163"/>
      <c r="J245" s="164"/>
      <c r="K245" s="163"/>
      <c r="L245" s="164"/>
      <c r="M245" s="11"/>
      <c r="N245" s="39"/>
      <c r="Q245" s="15" t="str">
        <f>+CONCATENATE(E244,I244)</f>
        <v/>
      </c>
      <c r="R245" s="15">
        <f>+J244</f>
        <v>0</v>
      </c>
      <c r="S245" s="16"/>
      <c r="T245" s="15">
        <f>+E244</f>
        <v>0</v>
      </c>
      <c r="U245" s="26" t="str">
        <f>IFERROR(LEFT(I244,FIND("*",I244)-1),"-")</f>
        <v>-</v>
      </c>
      <c r="V245" s="26" t="str">
        <f>IFERROR(RIGHT(I244,LEN(I244)-FIND("*",I244)),"-")</f>
        <v>-</v>
      </c>
      <c r="W245" s="27" t="str">
        <f t="shared" ref="W245:W252" si="130">IFERROR((U245+V245)*2/1000,"-")</f>
        <v>-</v>
      </c>
      <c r="X245" s="27" t="str">
        <f>IFERROR(W245*J244,"-")</f>
        <v>-</v>
      </c>
      <c r="Z245" s="94" t="s">
        <v>81</v>
      </c>
    </row>
    <row r="246" spans="1:26" s="25" customFormat="1" ht="6.95" customHeight="1" x14ac:dyDescent="0.3">
      <c r="A246" s="165"/>
      <c r="B246" s="168"/>
      <c r="C246" s="169"/>
      <c r="D246" s="160"/>
      <c r="E246" s="161"/>
      <c r="F246" s="162"/>
      <c r="G246" s="163"/>
      <c r="H246" s="164"/>
      <c r="I246" s="163"/>
      <c r="J246" s="164"/>
      <c r="K246" s="163"/>
      <c r="L246" s="164"/>
      <c r="M246" s="11"/>
      <c r="N246" s="39"/>
      <c r="Q246" s="15" t="str">
        <f>+CONCATENATE(E244,K244)</f>
        <v/>
      </c>
      <c r="R246" s="15">
        <f>+L244</f>
        <v>0</v>
      </c>
      <c r="S246" s="16"/>
      <c r="T246" s="15">
        <f>+E244</f>
        <v>0</v>
      </c>
      <c r="U246" s="26" t="str">
        <f>IFERROR(LEFT(K244,FIND("*",K244)-1),"-")</f>
        <v>-</v>
      </c>
      <c r="V246" s="26" t="str">
        <f>IFERROR(RIGHT(K244,LEN(K244)-FIND("*",K244)),"-")</f>
        <v>-</v>
      </c>
      <c r="W246" s="27" t="str">
        <f t="shared" si="130"/>
        <v>-</v>
      </c>
      <c r="X246" s="27" t="str">
        <f>IFERROR(W246*L244,"-")</f>
        <v>-</v>
      </c>
      <c r="Z246" s="94" t="s">
        <v>81</v>
      </c>
    </row>
    <row r="247" spans="1:26" s="25" customFormat="1" ht="6.95" customHeight="1" x14ac:dyDescent="0.3">
      <c r="A247" s="13"/>
      <c r="B247" s="168"/>
      <c r="C247" s="169"/>
      <c r="D247" s="160" t="s">
        <v>39</v>
      </c>
      <c r="E247" s="161"/>
      <c r="F247" s="162" t="s">
        <v>40</v>
      </c>
      <c r="G247" s="163"/>
      <c r="H247" s="164"/>
      <c r="I247" s="163"/>
      <c r="J247" s="164"/>
      <c r="K247" s="163"/>
      <c r="L247" s="164"/>
      <c r="M247" s="11"/>
      <c r="N247" s="39"/>
      <c r="Q247" s="15" t="str">
        <f>+CONCATENATE(E247,G247)</f>
        <v/>
      </c>
      <c r="R247" s="15">
        <f>+H247</f>
        <v>0</v>
      </c>
      <c r="S247" s="16"/>
      <c r="T247" s="15">
        <f>+E247</f>
        <v>0</v>
      </c>
      <c r="U247" s="26" t="str">
        <f t="shared" ref="U247" si="131">IFERROR(LEFT(G247,FIND("*",G247)-1),"-")</f>
        <v>-</v>
      </c>
      <c r="V247" s="26" t="str">
        <f t="shared" ref="V247" si="132">IFERROR(RIGHT(G247,LEN(G247)-FIND("*",G247)),"-")</f>
        <v>-</v>
      </c>
      <c r="W247" s="27" t="str">
        <f t="shared" si="130"/>
        <v>-</v>
      </c>
      <c r="X247" s="27" t="str">
        <f>IFERROR(W247*H247,"-")</f>
        <v>-</v>
      </c>
      <c r="Z247" s="94" t="s">
        <v>81</v>
      </c>
    </row>
    <row r="248" spans="1:26" s="25" customFormat="1" ht="6.95" customHeight="1" x14ac:dyDescent="0.3">
      <c r="A248" s="10"/>
      <c r="B248" s="168"/>
      <c r="C248" s="169"/>
      <c r="D248" s="160"/>
      <c r="E248" s="161"/>
      <c r="F248" s="162"/>
      <c r="G248" s="163"/>
      <c r="H248" s="164"/>
      <c r="I248" s="163"/>
      <c r="J248" s="164"/>
      <c r="K248" s="163"/>
      <c r="L248" s="164"/>
      <c r="M248" s="11"/>
      <c r="N248" s="39"/>
      <c r="Q248" s="15" t="str">
        <f>+CONCATENATE(E247,I247)</f>
        <v/>
      </c>
      <c r="R248" s="15">
        <f>+J247</f>
        <v>0</v>
      </c>
      <c r="S248" s="16"/>
      <c r="T248" s="15">
        <f>+E247</f>
        <v>0</v>
      </c>
      <c r="U248" s="26" t="str">
        <f>IFERROR(LEFT(I247,FIND("*",I247)-1),"-")</f>
        <v>-</v>
      </c>
      <c r="V248" s="26" t="str">
        <f>IFERROR(RIGHT(I247,LEN(I247)-FIND("*",I247)),"-")</f>
        <v>-</v>
      </c>
      <c r="W248" s="27" t="str">
        <f t="shared" si="130"/>
        <v>-</v>
      </c>
      <c r="X248" s="27" t="str">
        <f>IFERROR(W248*J247,"-")</f>
        <v>-</v>
      </c>
      <c r="Z248" s="94" t="s">
        <v>81</v>
      </c>
    </row>
    <row r="249" spans="1:26" s="25" customFormat="1" ht="6.95" customHeight="1" x14ac:dyDescent="0.3">
      <c r="A249" s="10"/>
      <c r="B249" s="168"/>
      <c r="C249" s="169"/>
      <c r="D249" s="160"/>
      <c r="E249" s="161"/>
      <c r="F249" s="162"/>
      <c r="G249" s="163"/>
      <c r="H249" s="164"/>
      <c r="I249" s="163"/>
      <c r="J249" s="164"/>
      <c r="K249" s="163"/>
      <c r="L249" s="164"/>
      <c r="M249" s="11"/>
      <c r="N249" s="39"/>
      <c r="Q249" s="15" t="str">
        <f>+CONCATENATE(E247,K247)</f>
        <v/>
      </c>
      <c r="R249" s="15">
        <f>+L247</f>
        <v>0</v>
      </c>
      <c r="S249" s="16"/>
      <c r="T249" s="15">
        <f>+E247</f>
        <v>0</v>
      </c>
      <c r="U249" s="26" t="str">
        <f>IFERROR(LEFT(K247,FIND("*",K247)-1),"-")</f>
        <v>-</v>
      </c>
      <c r="V249" s="26" t="str">
        <f>IFERROR(RIGHT(K247,LEN(K247)-FIND("*",K247)),"-")</f>
        <v>-</v>
      </c>
      <c r="W249" s="27" t="str">
        <f t="shared" si="130"/>
        <v>-</v>
      </c>
      <c r="X249" s="27" t="str">
        <f>IFERROR(W249*L247,"-")</f>
        <v>-</v>
      </c>
      <c r="Z249" s="94" t="s">
        <v>81</v>
      </c>
    </row>
    <row r="250" spans="1:26" s="25" customFormat="1" ht="6.95" customHeight="1" x14ac:dyDescent="0.3">
      <c r="A250" s="13"/>
      <c r="B250" s="168"/>
      <c r="C250" s="169"/>
      <c r="D250" s="160" t="s">
        <v>39</v>
      </c>
      <c r="E250" s="161"/>
      <c r="F250" s="162" t="s">
        <v>40</v>
      </c>
      <c r="G250" s="163"/>
      <c r="H250" s="164"/>
      <c r="I250" s="163"/>
      <c r="J250" s="164"/>
      <c r="K250" s="163"/>
      <c r="L250" s="164"/>
      <c r="M250" s="11"/>
      <c r="N250" s="39"/>
      <c r="Q250" s="15" t="str">
        <f>+CONCATENATE(E250,G250)</f>
        <v/>
      </c>
      <c r="R250" s="15">
        <f>+H250</f>
        <v>0</v>
      </c>
      <c r="S250" s="16"/>
      <c r="T250" s="15">
        <f>+E250</f>
        <v>0</v>
      </c>
      <c r="U250" s="26" t="str">
        <f t="shared" ref="U250" si="133">IFERROR(LEFT(G250,FIND("*",G250)-1),"-")</f>
        <v>-</v>
      </c>
      <c r="V250" s="26" t="str">
        <f t="shared" ref="V250" si="134">IFERROR(RIGHT(G250,LEN(G250)-FIND("*",G250)),"-")</f>
        <v>-</v>
      </c>
      <c r="W250" s="27" t="str">
        <f t="shared" si="130"/>
        <v>-</v>
      </c>
      <c r="X250" s="27" t="str">
        <f>IFERROR(W250*H250,"-")</f>
        <v>-</v>
      </c>
      <c r="Z250" s="94" t="s">
        <v>81</v>
      </c>
    </row>
    <row r="251" spans="1:26" s="25" customFormat="1" ht="6.95" customHeight="1" x14ac:dyDescent="0.3">
      <c r="A251" s="10"/>
      <c r="B251" s="168"/>
      <c r="C251" s="169"/>
      <c r="D251" s="160"/>
      <c r="E251" s="161"/>
      <c r="F251" s="162"/>
      <c r="G251" s="163"/>
      <c r="H251" s="164"/>
      <c r="I251" s="163"/>
      <c r="J251" s="164"/>
      <c r="K251" s="163"/>
      <c r="L251" s="164"/>
      <c r="M251" s="11"/>
      <c r="N251" s="39"/>
      <c r="Q251" s="15" t="str">
        <f>+CONCATENATE(E250,I250)</f>
        <v/>
      </c>
      <c r="R251" s="15">
        <f>+J250</f>
        <v>0</v>
      </c>
      <c r="S251" s="16"/>
      <c r="T251" s="15">
        <f>+E250</f>
        <v>0</v>
      </c>
      <c r="U251" s="26" t="str">
        <f>IFERROR(LEFT(I250,FIND("*",I250)-1),"-")</f>
        <v>-</v>
      </c>
      <c r="V251" s="26" t="str">
        <f>IFERROR(RIGHT(I250,LEN(I250)-FIND("*",I250)),"-")</f>
        <v>-</v>
      </c>
      <c r="W251" s="27" t="str">
        <f t="shared" si="130"/>
        <v>-</v>
      </c>
      <c r="X251" s="27" t="str">
        <f t="shared" ref="X251" si="135">IFERROR(W251*J250,"-")</f>
        <v>-</v>
      </c>
      <c r="Z251" s="94" t="s">
        <v>81</v>
      </c>
    </row>
    <row r="252" spans="1:26" s="25" customFormat="1" ht="6.95" customHeight="1" x14ac:dyDescent="0.3">
      <c r="A252" s="10"/>
      <c r="B252" s="168"/>
      <c r="C252" s="169"/>
      <c r="D252" s="160"/>
      <c r="E252" s="161"/>
      <c r="F252" s="162"/>
      <c r="G252" s="163"/>
      <c r="H252" s="164"/>
      <c r="I252" s="163"/>
      <c r="J252" s="164"/>
      <c r="K252" s="163"/>
      <c r="L252" s="164"/>
      <c r="M252" s="11"/>
      <c r="N252" s="39"/>
      <c r="Q252" s="15" t="str">
        <f>+CONCATENATE(E250,K250)</f>
        <v/>
      </c>
      <c r="R252" s="15">
        <f>+L250</f>
        <v>0</v>
      </c>
      <c r="S252" s="16"/>
      <c r="T252" s="15">
        <f>+E250</f>
        <v>0</v>
      </c>
      <c r="U252" s="26" t="str">
        <f>IFERROR(LEFT(K250,FIND("*",K250)-1),"-")</f>
        <v>-</v>
      </c>
      <c r="V252" s="26" t="str">
        <f>IFERROR(RIGHT(K250,LEN(K250)-FIND("*",K250)),"-")</f>
        <v>-</v>
      </c>
      <c r="W252" s="27" t="str">
        <f t="shared" si="130"/>
        <v>-</v>
      </c>
      <c r="X252" s="27" t="str">
        <f>IFERROR(W252*L250,"-")</f>
        <v>-</v>
      </c>
      <c r="Z252" s="94" t="s">
        <v>81</v>
      </c>
    </row>
    <row r="253" spans="1:26" s="25" customFormat="1" ht="21" customHeight="1" thickBot="1" x14ac:dyDescent="0.35">
      <c r="A253" s="10"/>
      <c r="B253" s="170"/>
      <c r="C253" s="171"/>
      <c r="D253" s="172" t="s">
        <v>43</v>
      </c>
      <c r="E253" s="173"/>
      <c r="F253" s="173"/>
      <c r="G253" s="174"/>
      <c r="H253" s="174"/>
      <c r="I253" s="174"/>
      <c r="J253" s="174"/>
      <c r="K253" s="174"/>
      <c r="L253" s="174"/>
      <c r="M253" s="12"/>
      <c r="N253" s="39"/>
      <c r="U253" s="23"/>
      <c r="V253" s="23"/>
      <c r="Z253" s="95" t="s">
        <v>81</v>
      </c>
    </row>
    <row r="254" spans="1:26" s="25" customFormat="1" ht="9.9499999999999993" customHeight="1" thickBot="1" x14ac:dyDescent="0.35">
      <c r="A254" s="6"/>
      <c r="B254" s="14"/>
      <c r="C254" s="119">
        <v>784</v>
      </c>
      <c r="D254" s="58"/>
      <c r="E254" s="17"/>
      <c r="F254" s="58"/>
      <c r="G254" s="19"/>
      <c r="H254" s="19"/>
      <c r="I254" s="19"/>
      <c r="J254" s="19"/>
      <c r="K254" s="19"/>
      <c r="L254" s="19"/>
      <c r="M254" s="14"/>
      <c r="N254" s="39"/>
      <c r="Q254" s="1"/>
      <c r="R254" s="1"/>
      <c r="S254" s="1"/>
      <c r="T254" s="1"/>
      <c r="U254" s="24"/>
      <c r="V254" s="24"/>
      <c r="W254" s="1"/>
      <c r="X254" s="1"/>
      <c r="Z254" s="94" t="s">
        <v>81</v>
      </c>
    </row>
    <row r="255" spans="1:26" s="25" customFormat="1" ht="6.95" customHeight="1" x14ac:dyDescent="0.3">
      <c r="A255" s="165">
        <f>+A244+1</f>
        <v>24</v>
      </c>
      <c r="B255" s="166"/>
      <c r="C255" s="167"/>
      <c r="D255" s="160" t="s">
        <v>39</v>
      </c>
      <c r="E255" s="161"/>
      <c r="F255" s="162" t="s">
        <v>40</v>
      </c>
      <c r="G255" s="163"/>
      <c r="H255" s="164"/>
      <c r="I255" s="163"/>
      <c r="J255" s="164"/>
      <c r="K255" s="163"/>
      <c r="L255" s="164"/>
      <c r="M255" s="11"/>
      <c r="N255" s="39"/>
      <c r="Q255" s="15" t="str">
        <f>+CONCATENATE(E255,G255)</f>
        <v/>
      </c>
      <c r="R255" s="15">
        <f>+H255</f>
        <v>0</v>
      </c>
      <c r="S255" s="16"/>
      <c r="T255" s="15">
        <f>+E255</f>
        <v>0</v>
      </c>
      <c r="U255" s="26" t="str">
        <f>IFERROR(LEFT(G255,FIND("*",G255)-1),"-")</f>
        <v>-</v>
      </c>
      <c r="V255" s="26" t="str">
        <f>IFERROR(RIGHT(G255,LEN(G255)-FIND("*",G255)),"-")</f>
        <v>-</v>
      </c>
      <c r="W255" s="27" t="str">
        <f>IFERROR((U255+V255)*2/1000,"-")</f>
        <v>-</v>
      </c>
      <c r="X255" s="27" t="str">
        <f>IFERROR(W255*H255,"-")</f>
        <v>-</v>
      </c>
      <c r="Z255" s="94" t="s">
        <v>81</v>
      </c>
    </row>
    <row r="256" spans="1:26" s="25" customFormat="1" ht="6.95" customHeight="1" x14ac:dyDescent="0.3">
      <c r="A256" s="165"/>
      <c r="B256" s="168"/>
      <c r="C256" s="169"/>
      <c r="D256" s="160"/>
      <c r="E256" s="161"/>
      <c r="F256" s="162"/>
      <c r="G256" s="163"/>
      <c r="H256" s="164"/>
      <c r="I256" s="163"/>
      <c r="J256" s="164"/>
      <c r="K256" s="163"/>
      <c r="L256" s="164"/>
      <c r="M256" s="11"/>
      <c r="N256" s="39"/>
      <c r="Q256" s="15" t="str">
        <f>+CONCATENATE(E255,I255)</f>
        <v/>
      </c>
      <c r="R256" s="15">
        <f>+J255</f>
        <v>0</v>
      </c>
      <c r="S256" s="16"/>
      <c r="T256" s="15">
        <f>+E255</f>
        <v>0</v>
      </c>
      <c r="U256" s="26" t="str">
        <f>IFERROR(LEFT(I255,FIND("*",I255)-1),"-")</f>
        <v>-</v>
      </c>
      <c r="V256" s="26" t="str">
        <f>IFERROR(RIGHT(I255,LEN(I255)-FIND("*",I255)),"-")</f>
        <v>-</v>
      </c>
      <c r="W256" s="27" t="str">
        <f t="shared" ref="W256:W263" si="136">IFERROR((U256+V256)*2/1000,"-")</f>
        <v>-</v>
      </c>
      <c r="X256" s="27" t="str">
        <f>IFERROR(W256*J255,"-")</f>
        <v>-</v>
      </c>
      <c r="Z256" s="94" t="s">
        <v>81</v>
      </c>
    </row>
    <row r="257" spans="1:26" s="25" customFormat="1" ht="6.95" customHeight="1" x14ac:dyDescent="0.3">
      <c r="A257" s="165"/>
      <c r="B257" s="168"/>
      <c r="C257" s="169"/>
      <c r="D257" s="160"/>
      <c r="E257" s="161"/>
      <c r="F257" s="162"/>
      <c r="G257" s="163"/>
      <c r="H257" s="164"/>
      <c r="I257" s="163"/>
      <c r="J257" s="164"/>
      <c r="K257" s="163"/>
      <c r="L257" s="164"/>
      <c r="M257" s="11"/>
      <c r="N257" s="39"/>
      <c r="Q257" s="15" t="str">
        <f>+CONCATENATE(E255,K255)</f>
        <v/>
      </c>
      <c r="R257" s="15">
        <f>+L255</f>
        <v>0</v>
      </c>
      <c r="S257" s="16"/>
      <c r="T257" s="15">
        <f>+E255</f>
        <v>0</v>
      </c>
      <c r="U257" s="26" t="str">
        <f>IFERROR(LEFT(K255,FIND("*",K255)-1),"-")</f>
        <v>-</v>
      </c>
      <c r="V257" s="26" t="str">
        <f>IFERROR(RIGHT(K255,LEN(K255)-FIND("*",K255)),"-")</f>
        <v>-</v>
      </c>
      <c r="W257" s="27" t="str">
        <f t="shared" si="136"/>
        <v>-</v>
      </c>
      <c r="X257" s="27" t="str">
        <f>IFERROR(W257*L255,"-")</f>
        <v>-</v>
      </c>
      <c r="Z257" s="94" t="s">
        <v>81</v>
      </c>
    </row>
    <row r="258" spans="1:26" s="25" customFormat="1" ht="6.95" customHeight="1" x14ac:dyDescent="0.3">
      <c r="A258" s="13"/>
      <c r="B258" s="168"/>
      <c r="C258" s="169"/>
      <c r="D258" s="160" t="s">
        <v>39</v>
      </c>
      <c r="E258" s="161"/>
      <c r="F258" s="162" t="s">
        <v>40</v>
      </c>
      <c r="G258" s="163"/>
      <c r="H258" s="164"/>
      <c r="I258" s="163"/>
      <c r="J258" s="164"/>
      <c r="K258" s="163"/>
      <c r="L258" s="164"/>
      <c r="M258" s="11"/>
      <c r="N258" s="39"/>
      <c r="Q258" s="15" t="str">
        <f>+CONCATENATE(E258,G258)</f>
        <v/>
      </c>
      <c r="R258" s="15">
        <f>+H258</f>
        <v>0</v>
      </c>
      <c r="S258" s="16"/>
      <c r="T258" s="15">
        <f>+E258</f>
        <v>0</v>
      </c>
      <c r="U258" s="26" t="str">
        <f t="shared" ref="U258" si="137">IFERROR(LEFT(G258,FIND("*",G258)-1),"-")</f>
        <v>-</v>
      </c>
      <c r="V258" s="26" t="str">
        <f t="shared" ref="V258" si="138">IFERROR(RIGHT(G258,LEN(G258)-FIND("*",G258)),"-")</f>
        <v>-</v>
      </c>
      <c r="W258" s="27" t="str">
        <f t="shared" si="136"/>
        <v>-</v>
      </c>
      <c r="X258" s="27" t="str">
        <f>IFERROR(W258*H258,"-")</f>
        <v>-</v>
      </c>
      <c r="Z258" s="94" t="s">
        <v>81</v>
      </c>
    </row>
    <row r="259" spans="1:26" s="25" customFormat="1" ht="6.95" customHeight="1" x14ac:dyDescent="0.3">
      <c r="A259" s="10"/>
      <c r="B259" s="168"/>
      <c r="C259" s="169"/>
      <c r="D259" s="160"/>
      <c r="E259" s="161"/>
      <c r="F259" s="162"/>
      <c r="G259" s="163"/>
      <c r="H259" s="164"/>
      <c r="I259" s="163"/>
      <c r="J259" s="164"/>
      <c r="K259" s="163"/>
      <c r="L259" s="164"/>
      <c r="M259" s="11"/>
      <c r="N259" s="39"/>
      <c r="Q259" s="15" t="str">
        <f>+CONCATENATE(E258,I258)</f>
        <v/>
      </c>
      <c r="R259" s="15">
        <f>+J258</f>
        <v>0</v>
      </c>
      <c r="S259" s="16"/>
      <c r="T259" s="15">
        <f>+E258</f>
        <v>0</v>
      </c>
      <c r="U259" s="26" t="str">
        <f>IFERROR(LEFT(I258,FIND("*",I258)-1),"-")</f>
        <v>-</v>
      </c>
      <c r="V259" s="26" t="str">
        <f>IFERROR(RIGHT(I258,LEN(I258)-FIND("*",I258)),"-")</f>
        <v>-</v>
      </c>
      <c r="W259" s="27" t="str">
        <f t="shared" si="136"/>
        <v>-</v>
      </c>
      <c r="X259" s="27" t="str">
        <f>IFERROR(W259*J258,"-")</f>
        <v>-</v>
      </c>
      <c r="Z259" s="94" t="s">
        <v>81</v>
      </c>
    </row>
    <row r="260" spans="1:26" s="25" customFormat="1" ht="6.95" customHeight="1" x14ac:dyDescent="0.3">
      <c r="A260" s="10"/>
      <c r="B260" s="168"/>
      <c r="C260" s="169"/>
      <c r="D260" s="160"/>
      <c r="E260" s="161"/>
      <c r="F260" s="162"/>
      <c r="G260" s="163"/>
      <c r="H260" s="164"/>
      <c r="I260" s="163"/>
      <c r="J260" s="164"/>
      <c r="K260" s="163"/>
      <c r="L260" s="164"/>
      <c r="M260" s="11"/>
      <c r="N260" s="39"/>
      <c r="Q260" s="15" t="str">
        <f>+CONCATENATE(E258,K258)</f>
        <v/>
      </c>
      <c r="R260" s="15">
        <f>+L258</f>
        <v>0</v>
      </c>
      <c r="S260" s="16"/>
      <c r="T260" s="15">
        <f>+E258</f>
        <v>0</v>
      </c>
      <c r="U260" s="26" t="str">
        <f>IFERROR(LEFT(K258,FIND("*",K258)-1),"-")</f>
        <v>-</v>
      </c>
      <c r="V260" s="26" t="str">
        <f>IFERROR(RIGHT(K258,LEN(K258)-FIND("*",K258)),"-")</f>
        <v>-</v>
      </c>
      <c r="W260" s="27" t="str">
        <f t="shared" si="136"/>
        <v>-</v>
      </c>
      <c r="X260" s="27" t="str">
        <f>IFERROR(W260*L258,"-")</f>
        <v>-</v>
      </c>
      <c r="Z260" s="94" t="s">
        <v>81</v>
      </c>
    </row>
    <row r="261" spans="1:26" s="25" customFormat="1" ht="6.95" customHeight="1" x14ac:dyDescent="0.3">
      <c r="A261" s="13"/>
      <c r="B261" s="168"/>
      <c r="C261" s="169"/>
      <c r="D261" s="160" t="s">
        <v>39</v>
      </c>
      <c r="E261" s="161"/>
      <c r="F261" s="162" t="s">
        <v>40</v>
      </c>
      <c r="G261" s="163"/>
      <c r="H261" s="164"/>
      <c r="I261" s="163"/>
      <c r="J261" s="164"/>
      <c r="K261" s="163"/>
      <c r="L261" s="164"/>
      <c r="M261" s="11"/>
      <c r="N261" s="39"/>
      <c r="Q261" s="15" t="str">
        <f>+CONCATENATE(E261,G261)</f>
        <v/>
      </c>
      <c r="R261" s="15">
        <f>+H261</f>
        <v>0</v>
      </c>
      <c r="S261" s="16"/>
      <c r="T261" s="15">
        <f>+E261</f>
        <v>0</v>
      </c>
      <c r="U261" s="26" t="str">
        <f t="shared" ref="U261" si="139">IFERROR(LEFT(G261,FIND("*",G261)-1),"-")</f>
        <v>-</v>
      </c>
      <c r="V261" s="26" t="str">
        <f t="shared" ref="V261" si="140">IFERROR(RIGHT(G261,LEN(G261)-FIND("*",G261)),"-")</f>
        <v>-</v>
      </c>
      <c r="W261" s="27" t="str">
        <f t="shared" si="136"/>
        <v>-</v>
      </c>
      <c r="X261" s="27" t="str">
        <f>IFERROR(W261*H261,"-")</f>
        <v>-</v>
      </c>
      <c r="Z261" s="94" t="s">
        <v>81</v>
      </c>
    </row>
    <row r="262" spans="1:26" s="25" customFormat="1" ht="6.95" customHeight="1" x14ac:dyDescent="0.3">
      <c r="A262" s="10"/>
      <c r="B262" s="168"/>
      <c r="C262" s="169"/>
      <c r="D262" s="160"/>
      <c r="E262" s="161"/>
      <c r="F262" s="162"/>
      <c r="G262" s="163"/>
      <c r="H262" s="164"/>
      <c r="I262" s="163"/>
      <c r="J262" s="164"/>
      <c r="K262" s="163"/>
      <c r="L262" s="164"/>
      <c r="M262" s="11"/>
      <c r="N262" s="39"/>
      <c r="Q262" s="15" t="str">
        <f>+CONCATENATE(E261,I261)</f>
        <v/>
      </c>
      <c r="R262" s="15">
        <f>+J261</f>
        <v>0</v>
      </c>
      <c r="S262" s="16"/>
      <c r="T262" s="15">
        <f>+E261</f>
        <v>0</v>
      </c>
      <c r="U262" s="26" t="str">
        <f>IFERROR(LEFT(I261,FIND("*",I261)-1),"-")</f>
        <v>-</v>
      </c>
      <c r="V262" s="26" t="str">
        <f>IFERROR(RIGHT(I261,LEN(I261)-FIND("*",I261)),"-")</f>
        <v>-</v>
      </c>
      <c r="W262" s="27" t="str">
        <f t="shared" si="136"/>
        <v>-</v>
      </c>
      <c r="X262" s="27" t="str">
        <f t="shared" ref="X262" si="141">IFERROR(W262*J261,"-")</f>
        <v>-</v>
      </c>
      <c r="Z262" s="94" t="s">
        <v>81</v>
      </c>
    </row>
    <row r="263" spans="1:26" s="25" customFormat="1" ht="6.95" customHeight="1" x14ac:dyDescent="0.3">
      <c r="A263" s="10"/>
      <c r="B263" s="168"/>
      <c r="C263" s="169"/>
      <c r="D263" s="160"/>
      <c r="E263" s="161"/>
      <c r="F263" s="162"/>
      <c r="G263" s="163"/>
      <c r="H263" s="164"/>
      <c r="I263" s="163"/>
      <c r="J263" s="164"/>
      <c r="K263" s="163"/>
      <c r="L263" s="164"/>
      <c r="M263" s="11"/>
      <c r="N263" s="39"/>
      <c r="Q263" s="15" t="str">
        <f>+CONCATENATE(E261,K261)</f>
        <v/>
      </c>
      <c r="R263" s="15">
        <f>+L261</f>
        <v>0</v>
      </c>
      <c r="S263" s="16"/>
      <c r="T263" s="15">
        <f>+E261</f>
        <v>0</v>
      </c>
      <c r="U263" s="26" t="str">
        <f>IFERROR(LEFT(K261,FIND("*",K261)-1),"-")</f>
        <v>-</v>
      </c>
      <c r="V263" s="26" t="str">
        <f>IFERROR(RIGHT(K261,LEN(K261)-FIND("*",K261)),"-")</f>
        <v>-</v>
      </c>
      <c r="W263" s="27" t="str">
        <f t="shared" si="136"/>
        <v>-</v>
      </c>
      <c r="X263" s="27" t="str">
        <f>IFERROR(W263*L261,"-")</f>
        <v>-</v>
      </c>
      <c r="Z263" s="94" t="s">
        <v>81</v>
      </c>
    </row>
    <row r="264" spans="1:26" s="25" customFormat="1" ht="21" customHeight="1" thickBot="1" x14ac:dyDescent="0.35">
      <c r="A264" s="10"/>
      <c r="B264" s="170"/>
      <c r="C264" s="171"/>
      <c r="D264" s="172" t="s">
        <v>43</v>
      </c>
      <c r="E264" s="173"/>
      <c r="F264" s="173"/>
      <c r="G264" s="174"/>
      <c r="H264" s="174"/>
      <c r="I264" s="174"/>
      <c r="J264" s="174"/>
      <c r="K264" s="174"/>
      <c r="L264" s="174"/>
      <c r="M264" s="12"/>
      <c r="N264" s="39"/>
      <c r="U264" s="23"/>
      <c r="V264" s="23"/>
      <c r="Z264" s="95" t="s">
        <v>81</v>
      </c>
    </row>
    <row r="265" spans="1:26" s="25" customFormat="1" ht="9.9499999999999993" customHeight="1" thickBot="1" x14ac:dyDescent="0.35">
      <c r="A265" s="6"/>
      <c r="B265" s="14"/>
      <c r="C265" s="119">
        <v>785</v>
      </c>
      <c r="D265" s="58"/>
      <c r="E265" s="17"/>
      <c r="F265" s="58"/>
      <c r="G265" s="19"/>
      <c r="H265" s="19"/>
      <c r="I265" s="19"/>
      <c r="J265" s="19"/>
      <c r="K265" s="19"/>
      <c r="L265" s="19"/>
      <c r="M265" s="14"/>
      <c r="N265" s="39"/>
      <c r="Q265" s="1"/>
      <c r="R265" s="1"/>
      <c r="S265" s="1"/>
      <c r="T265" s="1"/>
      <c r="U265" s="24"/>
      <c r="V265" s="24"/>
      <c r="W265" s="1"/>
      <c r="X265" s="1"/>
      <c r="Z265" s="94" t="s">
        <v>81</v>
      </c>
    </row>
    <row r="266" spans="1:26" s="25" customFormat="1" ht="6.95" customHeight="1" x14ac:dyDescent="0.3">
      <c r="A266" s="165">
        <f>+A255+1</f>
        <v>25</v>
      </c>
      <c r="B266" s="166"/>
      <c r="C266" s="167"/>
      <c r="D266" s="160" t="s">
        <v>39</v>
      </c>
      <c r="E266" s="161"/>
      <c r="F266" s="162" t="s">
        <v>40</v>
      </c>
      <c r="G266" s="163"/>
      <c r="H266" s="164"/>
      <c r="I266" s="163"/>
      <c r="J266" s="164"/>
      <c r="K266" s="163"/>
      <c r="L266" s="164"/>
      <c r="M266" s="11"/>
      <c r="N266" s="39"/>
      <c r="Q266" s="15" t="str">
        <f>+CONCATENATE(E266,G266)</f>
        <v/>
      </c>
      <c r="R266" s="15">
        <f>+H266</f>
        <v>0</v>
      </c>
      <c r="S266" s="16"/>
      <c r="T266" s="15">
        <f>+E266</f>
        <v>0</v>
      </c>
      <c r="U266" s="26" t="str">
        <f>IFERROR(LEFT(G266,FIND("*",G266)-1),"-")</f>
        <v>-</v>
      </c>
      <c r="V266" s="26" t="str">
        <f>IFERROR(RIGHT(G266,LEN(G266)-FIND("*",G266)),"-")</f>
        <v>-</v>
      </c>
      <c r="W266" s="27" t="str">
        <f>IFERROR((U266+V266)*2/1000,"-")</f>
        <v>-</v>
      </c>
      <c r="X266" s="27" t="str">
        <f>IFERROR(W266*H266,"-")</f>
        <v>-</v>
      </c>
      <c r="Z266" s="94" t="s">
        <v>81</v>
      </c>
    </row>
    <row r="267" spans="1:26" s="25" customFormat="1" ht="6.95" customHeight="1" x14ac:dyDescent="0.3">
      <c r="A267" s="165"/>
      <c r="B267" s="168"/>
      <c r="C267" s="169"/>
      <c r="D267" s="160"/>
      <c r="E267" s="161"/>
      <c r="F267" s="162"/>
      <c r="G267" s="163"/>
      <c r="H267" s="164"/>
      <c r="I267" s="163"/>
      <c r="J267" s="164"/>
      <c r="K267" s="163"/>
      <c r="L267" s="164"/>
      <c r="M267" s="11"/>
      <c r="N267" s="39"/>
      <c r="Q267" s="15" t="str">
        <f>+CONCATENATE(E266,I266)</f>
        <v/>
      </c>
      <c r="R267" s="15">
        <f>+J266</f>
        <v>0</v>
      </c>
      <c r="S267" s="16"/>
      <c r="T267" s="15">
        <f>+E266</f>
        <v>0</v>
      </c>
      <c r="U267" s="26" t="str">
        <f>IFERROR(LEFT(I266,FIND("*",I266)-1),"-")</f>
        <v>-</v>
      </c>
      <c r="V267" s="26" t="str">
        <f>IFERROR(RIGHT(I266,LEN(I266)-FIND("*",I266)),"-")</f>
        <v>-</v>
      </c>
      <c r="W267" s="27" t="str">
        <f t="shared" ref="W267:W274" si="142">IFERROR((U267+V267)*2/1000,"-")</f>
        <v>-</v>
      </c>
      <c r="X267" s="27" t="str">
        <f>IFERROR(W267*J266,"-")</f>
        <v>-</v>
      </c>
      <c r="Z267" s="94" t="s">
        <v>81</v>
      </c>
    </row>
    <row r="268" spans="1:26" s="25" customFormat="1" ht="6.95" customHeight="1" x14ac:dyDescent="0.3">
      <c r="A268" s="165"/>
      <c r="B268" s="168"/>
      <c r="C268" s="169"/>
      <c r="D268" s="160"/>
      <c r="E268" s="161"/>
      <c r="F268" s="162"/>
      <c r="G268" s="163"/>
      <c r="H268" s="164"/>
      <c r="I268" s="163"/>
      <c r="J268" s="164"/>
      <c r="K268" s="163"/>
      <c r="L268" s="164"/>
      <c r="M268" s="11"/>
      <c r="N268" s="39"/>
      <c r="Q268" s="15" t="str">
        <f>+CONCATENATE(E266,K266)</f>
        <v/>
      </c>
      <c r="R268" s="15">
        <f>+L266</f>
        <v>0</v>
      </c>
      <c r="S268" s="16"/>
      <c r="T268" s="15">
        <f>+E266</f>
        <v>0</v>
      </c>
      <c r="U268" s="26" t="str">
        <f>IFERROR(LEFT(K266,FIND("*",K266)-1),"-")</f>
        <v>-</v>
      </c>
      <c r="V268" s="26" t="str">
        <f>IFERROR(RIGHT(K266,LEN(K266)-FIND("*",K266)),"-")</f>
        <v>-</v>
      </c>
      <c r="W268" s="27" t="str">
        <f t="shared" si="142"/>
        <v>-</v>
      </c>
      <c r="X268" s="27" t="str">
        <f>IFERROR(W268*L266,"-")</f>
        <v>-</v>
      </c>
      <c r="Z268" s="94" t="s">
        <v>81</v>
      </c>
    </row>
    <row r="269" spans="1:26" s="25" customFormat="1" ht="6.95" customHeight="1" x14ac:dyDescent="0.3">
      <c r="A269" s="13"/>
      <c r="B269" s="168"/>
      <c r="C269" s="169"/>
      <c r="D269" s="160" t="s">
        <v>39</v>
      </c>
      <c r="E269" s="161"/>
      <c r="F269" s="162" t="s">
        <v>40</v>
      </c>
      <c r="G269" s="163"/>
      <c r="H269" s="164"/>
      <c r="I269" s="163"/>
      <c r="J269" s="164"/>
      <c r="K269" s="163"/>
      <c r="L269" s="164"/>
      <c r="M269" s="11"/>
      <c r="N269" s="39"/>
      <c r="Q269" s="15" t="str">
        <f>+CONCATENATE(E269,G269)</f>
        <v/>
      </c>
      <c r="R269" s="15">
        <f>+H269</f>
        <v>0</v>
      </c>
      <c r="S269" s="16"/>
      <c r="T269" s="15">
        <f>+E269</f>
        <v>0</v>
      </c>
      <c r="U269" s="26" t="str">
        <f t="shared" ref="U269" si="143">IFERROR(LEFT(G269,FIND("*",G269)-1),"-")</f>
        <v>-</v>
      </c>
      <c r="V269" s="26" t="str">
        <f t="shared" ref="V269" si="144">IFERROR(RIGHT(G269,LEN(G269)-FIND("*",G269)),"-")</f>
        <v>-</v>
      </c>
      <c r="W269" s="27" t="str">
        <f t="shared" si="142"/>
        <v>-</v>
      </c>
      <c r="X269" s="27" t="str">
        <f>IFERROR(W269*H269,"-")</f>
        <v>-</v>
      </c>
      <c r="Z269" s="94" t="s">
        <v>81</v>
      </c>
    </row>
    <row r="270" spans="1:26" s="25" customFormat="1" ht="6.95" customHeight="1" x14ac:dyDescent="0.3">
      <c r="A270" s="10"/>
      <c r="B270" s="168"/>
      <c r="C270" s="169"/>
      <c r="D270" s="160"/>
      <c r="E270" s="161"/>
      <c r="F270" s="162"/>
      <c r="G270" s="163"/>
      <c r="H270" s="164"/>
      <c r="I270" s="163"/>
      <c r="J270" s="164"/>
      <c r="K270" s="163"/>
      <c r="L270" s="164"/>
      <c r="M270" s="11"/>
      <c r="N270" s="39"/>
      <c r="Q270" s="15" t="str">
        <f>+CONCATENATE(E269,I269)</f>
        <v/>
      </c>
      <c r="R270" s="15">
        <f>+J269</f>
        <v>0</v>
      </c>
      <c r="S270" s="16"/>
      <c r="T270" s="15">
        <f>+E269</f>
        <v>0</v>
      </c>
      <c r="U270" s="26" t="str">
        <f>IFERROR(LEFT(I269,FIND("*",I269)-1),"-")</f>
        <v>-</v>
      </c>
      <c r="V270" s="26" t="str">
        <f>IFERROR(RIGHT(I269,LEN(I269)-FIND("*",I269)),"-")</f>
        <v>-</v>
      </c>
      <c r="W270" s="27" t="str">
        <f t="shared" si="142"/>
        <v>-</v>
      </c>
      <c r="X270" s="27" t="str">
        <f>IFERROR(W270*J269,"-")</f>
        <v>-</v>
      </c>
      <c r="Z270" s="94" t="s">
        <v>81</v>
      </c>
    </row>
    <row r="271" spans="1:26" s="25" customFormat="1" ht="6.95" customHeight="1" x14ac:dyDescent="0.3">
      <c r="A271" s="10"/>
      <c r="B271" s="168"/>
      <c r="C271" s="169"/>
      <c r="D271" s="160"/>
      <c r="E271" s="161"/>
      <c r="F271" s="162"/>
      <c r="G271" s="163"/>
      <c r="H271" s="164"/>
      <c r="I271" s="163"/>
      <c r="J271" s="164"/>
      <c r="K271" s="163"/>
      <c r="L271" s="164"/>
      <c r="M271" s="11"/>
      <c r="N271" s="39"/>
      <c r="Q271" s="15" t="str">
        <f>+CONCATENATE(E269,K269)</f>
        <v/>
      </c>
      <c r="R271" s="15">
        <f>+L269</f>
        <v>0</v>
      </c>
      <c r="S271" s="16"/>
      <c r="T271" s="15">
        <f>+E269</f>
        <v>0</v>
      </c>
      <c r="U271" s="26" t="str">
        <f>IFERROR(LEFT(K269,FIND("*",K269)-1),"-")</f>
        <v>-</v>
      </c>
      <c r="V271" s="26" t="str">
        <f>IFERROR(RIGHT(K269,LEN(K269)-FIND("*",K269)),"-")</f>
        <v>-</v>
      </c>
      <c r="W271" s="27" t="str">
        <f t="shared" si="142"/>
        <v>-</v>
      </c>
      <c r="X271" s="27" t="str">
        <f>IFERROR(W271*L269,"-")</f>
        <v>-</v>
      </c>
      <c r="Z271" s="94" t="s">
        <v>81</v>
      </c>
    </row>
    <row r="272" spans="1:26" s="25" customFormat="1" ht="6.95" customHeight="1" x14ac:dyDescent="0.3">
      <c r="A272" s="13"/>
      <c r="B272" s="168"/>
      <c r="C272" s="169"/>
      <c r="D272" s="160" t="s">
        <v>39</v>
      </c>
      <c r="E272" s="161"/>
      <c r="F272" s="162" t="s">
        <v>40</v>
      </c>
      <c r="G272" s="163"/>
      <c r="H272" s="164"/>
      <c r="I272" s="163"/>
      <c r="J272" s="164"/>
      <c r="K272" s="163"/>
      <c r="L272" s="164"/>
      <c r="M272" s="11"/>
      <c r="N272" s="39"/>
      <c r="Q272" s="15" t="str">
        <f>+CONCATENATE(E272,G272)</f>
        <v/>
      </c>
      <c r="R272" s="15">
        <f>+H272</f>
        <v>0</v>
      </c>
      <c r="S272" s="16"/>
      <c r="T272" s="15">
        <f>+E272</f>
        <v>0</v>
      </c>
      <c r="U272" s="26" t="str">
        <f t="shared" ref="U272" si="145">IFERROR(LEFT(G272,FIND("*",G272)-1),"-")</f>
        <v>-</v>
      </c>
      <c r="V272" s="26" t="str">
        <f t="shared" ref="V272" si="146">IFERROR(RIGHT(G272,LEN(G272)-FIND("*",G272)),"-")</f>
        <v>-</v>
      </c>
      <c r="W272" s="27" t="str">
        <f t="shared" si="142"/>
        <v>-</v>
      </c>
      <c r="X272" s="27" t="str">
        <f>IFERROR(W272*H272,"-")</f>
        <v>-</v>
      </c>
      <c r="Z272" s="94" t="s">
        <v>81</v>
      </c>
    </row>
    <row r="273" spans="1:26" s="25" customFormat="1" ht="6.95" customHeight="1" x14ac:dyDescent="0.3">
      <c r="A273" s="10"/>
      <c r="B273" s="168"/>
      <c r="C273" s="169"/>
      <c r="D273" s="160"/>
      <c r="E273" s="161"/>
      <c r="F273" s="162"/>
      <c r="G273" s="163"/>
      <c r="H273" s="164"/>
      <c r="I273" s="163"/>
      <c r="J273" s="164"/>
      <c r="K273" s="163"/>
      <c r="L273" s="164"/>
      <c r="M273" s="11"/>
      <c r="N273" s="39"/>
      <c r="Q273" s="15" t="str">
        <f>+CONCATENATE(E272,I272)</f>
        <v/>
      </c>
      <c r="R273" s="15">
        <f>+J272</f>
        <v>0</v>
      </c>
      <c r="S273" s="16"/>
      <c r="T273" s="15">
        <f>+E272</f>
        <v>0</v>
      </c>
      <c r="U273" s="26" t="str">
        <f>IFERROR(LEFT(I272,FIND("*",I272)-1),"-")</f>
        <v>-</v>
      </c>
      <c r="V273" s="26" t="str">
        <f>IFERROR(RIGHT(I272,LEN(I272)-FIND("*",I272)),"-")</f>
        <v>-</v>
      </c>
      <c r="W273" s="27" t="str">
        <f t="shared" si="142"/>
        <v>-</v>
      </c>
      <c r="X273" s="27" t="str">
        <f t="shared" ref="X273" si="147">IFERROR(W273*J272,"-")</f>
        <v>-</v>
      </c>
      <c r="Z273" s="94" t="s">
        <v>81</v>
      </c>
    </row>
    <row r="274" spans="1:26" s="25" customFormat="1" ht="6.95" customHeight="1" x14ac:dyDescent="0.3">
      <c r="A274" s="10"/>
      <c r="B274" s="168"/>
      <c r="C274" s="169"/>
      <c r="D274" s="160"/>
      <c r="E274" s="161"/>
      <c r="F274" s="162"/>
      <c r="G274" s="163"/>
      <c r="H274" s="164"/>
      <c r="I274" s="163"/>
      <c r="J274" s="164"/>
      <c r="K274" s="163"/>
      <c r="L274" s="164"/>
      <c r="M274" s="11"/>
      <c r="N274" s="39"/>
      <c r="Q274" s="15" t="str">
        <f>+CONCATENATE(E272,K272)</f>
        <v/>
      </c>
      <c r="R274" s="15">
        <f>+L272</f>
        <v>0</v>
      </c>
      <c r="S274" s="16"/>
      <c r="T274" s="15">
        <f>+E272</f>
        <v>0</v>
      </c>
      <c r="U274" s="26" t="str">
        <f>IFERROR(LEFT(K272,FIND("*",K272)-1),"-")</f>
        <v>-</v>
      </c>
      <c r="V274" s="26" t="str">
        <f>IFERROR(RIGHT(K272,LEN(K272)-FIND("*",K272)),"-")</f>
        <v>-</v>
      </c>
      <c r="W274" s="27" t="str">
        <f t="shared" si="142"/>
        <v>-</v>
      </c>
      <c r="X274" s="27" t="str">
        <f>IFERROR(W274*L272,"-")</f>
        <v>-</v>
      </c>
      <c r="Z274" s="94" t="s">
        <v>81</v>
      </c>
    </row>
    <row r="275" spans="1:26" s="25" customFormat="1" ht="21" customHeight="1" thickBot="1" x14ac:dyDescent="0.35">
      <c r="A275" s="10"/>
      <c r="B275" s="170"/>
      <c r="C275" s="171"/>
      <c r="D275" s="172" t="s">
        <v>43</v>
      </c>
      <c r="E275" s="173"/>
      <c r="F275" s="173"/>
      <c r="G275" s="174"/>
      <c r="H275" s="174"/>
      <c r="I275" s="174"/>
      <c r="J275" s="174"/>
      <c r="K275" s="174"/>
      <c r="L275" s="174"/>
      <c r="M275" s="12"/>
      <c r="N275" s="39"/>
      <c r="U275" s="23"/>
      <c r="V275" s="23"/>
      <c r="Z275" s="95" t="s">
        <v>81</v>
      </c>
    </row>
    <row r="276" spans="1:26" s="25" customFormat="1" ht="9.9499999999999993" customHeight="1" thickBot="1" x14ac:dyDescent="0.35">
      <c r="A276" s="6"/>
      <c r="B276" s="14"/>
      <c r="C276" s="119">
        <v>786</v>
      </c>
      <c r="D276" s="58"/>
      <c r="E276" s="17"/>
      <c r="F276" s="58"/>
      <c r="G276" s="19"/>
      <c r="H276" s="19"/>
      <c r="I276" s="19"/>
      <c r="J276" s="19"/>
      <c r="K276" s="19"/>
      <c r="L276" s="19"/>
      <c r="M276" s="14"/>
      <c r="N276" s="39"/>
      <c r="Q276" s="1"/>
      <c r="R276" s="1"/>
      <c r="S276" s="1"/>
      <c r="T276" s="1"/>
      <c r="U276" s="24"/>
      <c r="V276" s="24"/>
      <c r="W276" s="1"/>
      <c r="X276" s="1"/>
      <c r="Z276" s="94" t="s">
        <v>81</v>
      </c>
    </row>
    <row r="277" spans="1:26" s="25" customFormat="1" ht="6.95" customHeight="1" x14ac:dyDescent="0.3">
      <c r="A277" s="165">
        <f>+A266+1</f>
        <v>26</v>
      </c>
      <c r="B277" s="166"/>
      <c r="C277" s="167"/>
      <c r="D277" s="160" t="s">
        <v>39</v>
      </c>
      <c r="E277" s="161"/>
      <c r="F277" s="162" t="s">
        <v>40</v>
      </c>
      <c r="G277" s="163"/>
      <c r="H277" s="164"/>
      <c r="I277" s="163"/>
      <c r="J277" s="164"/>
      <c r="K277" s="163"/>
      <c r="L277" s="164"/>
      <c r="M277" s="11"/>
      <c r="N277" s="39"/>
      <c r="Q277" s="15" t="str">
        <f>+CONCATENATE(E277,G277)</f>
        <v/>
      </c>
      <c r="R277" s="15">
        <f>+H277</f>
        <v>0</v>
      </c>
      <c r="S277" s="16"/>
      <c r="T277" s="15">
        <f>+E277</f>
        <v>0</v>
      </c>
      <c r="U277" s="26" t="str">
        <f>IFERROR(LEFT(G277,FIND("*",G277)-1),"-")</f>
        <v>-</v>
      </c>
      <c r="V277" s="26" t="str">
        <f>IFERROR(RIGHT(G277,LEN(G277)-FIND("*",G277)),"-")</f>
        <v>-</v>
      </c>
      <c r="W277" s="27" t="str">
        <f>IFERROR((U277+V277)*2/1000,"-")</f>
        <v>-</v>
      </c>
      <c r="X277" s="27" t="str">
        <f>IFERROR(W277*H277,"-")</f>
        <v>-</v>
      </c>
      <c r="Z277" s="94" t="s">
        <v>81</v>
      </c>
    </row>
    <row r="278" spans="1:26" s="25" customFormat="1" ht="6.95" customHeight="1" x14ac:dyDescent="0.3">
      <c r="A278" s="165"/>
      <c r="B278" s="168"/>
      <c r="C278" s="169"/>
      <c r="D278" s="160"/>
      <c r="E278" s="161"/>
      <c r="F278" s="162"/>
      <c r="G278" s="163"/>
      <c r="H278" s="164"/>
      <c r="I278" s="163"/>
      <c r="J278" s="164"/>
      <c r="K278" s="163"/>
      <c r="L278" s="164"/>
      <c r="M278" s="11"/>
      <c r="N278" s="39"/>
      <c r="Q278" s="15" t="str">
        <f>+CONCATENATE(E277,I277)</f>
        <v/>
      </c>
      <c r="R278" s="15">
        <f>+J277</f>
        <v>0</v>
      </c>
      <c r="S278" s="16"/>
      <c r="T278" s="15">
        <f>+E277</f>
        <v>0</v>
      </c>
      <c r="U278" s="26" t="str">
        <f>IFERROR(LEFT(I277,FIND("*",I277)-1),"-")</f>
        <v>-</v>
      </c>
      <c r="V278" s="26" t="str">
        <f>IFERROR(RIGHT(I277,LEN(I277)-FIND("*",I277)),"-")</f>
        <v>-</v>
      </c>
      <c r="W278" s="27" t="str">
        <f t="shared" ref="W278:W285" si="148">IFERROR((U278+V278)*2/1000,"-")</f>
        <v>-</v>
      </c>
      <c r="X278" s="27" t="str">
        <f>IFERROR(W278*J277,"-")</f>
        <v>-</v>
      </c>
      <c r="Z278" s="94" t="s">
        <v>81</v>
      </c>
    </row>
    <row r="279" spans="1:26" s="25" customFormat="1" ht="6.95" customHeight="1" x14ac:dyDescent="0.3">
      <c r="A279" s="165"/>
      <c r="B279" s="168"/>
      <c r="C279" s="169"/>
      <c r="D279" s="160"/>
      <c r="E279" s="161"/>
      <c r="F279" s="162"/>
      <c r="G279" s="163"/>
      <c r="H279" s="164"/>
      <c r="I279" s="163"/>
      <c r="J279" s="164"/>
      <c r="K279" s="163"/>
      <c r="L279" s="164"/>
      <c r="M279" s="11"/>
      <c r="N279" s="39"/>
      <c r="Q279" s="15" t="str">
        <f>+CONCATENATE(E277,K277)</f>
        <v/>
      </c>
      <c r="R279" s="15">
        <f>+L277</f>
        <v>0</v>
      </c>
      <c r="S279" s="16"/>
      <c r="T279" s="15">
        <f>+E277</f>
        <v>0</v>
      </c>
      <c r="U279" s="26" t="str">
        <f>IFERROR(LEFT(K277,FIND("*",K277)-1),"-")</f>
        <v>-</v>
      </c>
      <c r="V279" s="26" t="str">
        <f>IFERROR(RIGHT(K277,LEN(K277)-FIND("*",K277)),"-")</f>
        <v>-</v>
      </c>
      <c r="W279" s="27" t="str">
        <f t="shared" si="148"/>
        <v>-</v>
      </c>
      <c r="X279" s="27" t="str">
        <f>IFERROR(W279*L277,"-")</f>
        <v>-</v>
      </c>
      <c r="Z279" s="94" t="s">
        <v>81</v>
      </c>
    </row>
    <row r="280" spans="1:26" s="25" customFormat="1" ht="6.95" customHeight="1" x14ac:dyDescent="0.3">
      <c r="A280" s="13"/>
      <c r="B280" s="168"/>
      <c r="C280" s="169"/>
      <c r="D280" s="160" t="s">
        <v>39</v>
      </c>
      <c r="E280" s="161"/>
      <c r="F280" s="162" t="s">
        <v>40</v>
      </c>
      <c r="G280" s="163"/>
      <c r="H280" s="164"/>
      <c r="I280" s="163"/>
      <c r="J280" s="164"/>
      <c r="K280" s="163"/>
      <c r="L280" s="164"/>
      <c r="M280" s="11"/>
      <c r="N280" s="39"/>
      <c r="Q280" s="15" t="str">
        <f>+CONCATENATE(E280,G280)</f>
        <v/>
      </c>
      <c r="R280" s="15">
        <f>+H280</f>
        <v>0</v>
      </c>
      <c r="S280" s="16"/>
      <c r="T280" s="15">
        <f>+E280</f>
        <v>0</v>
      </c>
      <c r="U280" s="26" t="str">
        <f t="shared" ref="U280" si="149">IFERROR(LEFT(G280,FIND("*",G280)-1),"-")</f>
        <v>-</v>
      </c>
      <c r="V280" s="26" t="str">
        <f t="shared" ref="V280" si="150">IFERROR(RIGHT(G280,LEN(G280)-FIND("*",G280)),"-")</f>
        <v>-</v>
      </c>
      <c r="W280" s="27" t="str">
        <f t="shared" si="148"/>
        <v>-</v>
      </c>
      <c r="X280" s="27" t="str">
        <f>IFERROR(W280*H280,"-")</f>
        <v>-</v>
      </c>
      <c r="Z280" s="94" t="s">
        <v>81</v>
      </c>
    </row>
    <row r="281" spans="1:26" s="25" customFormat="1" ht="6.95" customHeight="1" x14ac:dyDescent="0.3">
      <c r="A281" s="10"/>
      <c r="B281" s="168"/>
      <c r="C281" s="169"/>
      <c r="D281" s="160"/>
      <c r="E281" s="161"/>
      <c r="F281" s="162"/>
      <c r="G281" s="163"/>
      <c r="H281" s="164"/>
      <c r="I281" s="163"/>
      <c r="J281" s="164"/>
      <c r="K281" s="163"/>
      <c r="L281" s="164"/>
      <c r="M281" s="11"/>
      <c r="N281" s="39"/>
      <c r="Q281" s="15" t="str">
        <f>+CONCATENATE(E280,I280)</f>
        <v/>
      </c>
      <c r="R281" s="15">
        <f>+J280</f>
        <v>0</v>
      </c>
      <c r="S281" s="16"/>
      <c r="T281" s="15">
        <f>+E280</f>
        <v>0</v>
      </c>
      <c r="U281" s="26" t="str">
        <f>IFERROR(LEFT(I280,FIND("*",I280)-1),"-")</f>
        <v>-</v>
      </c>
      <c r="V281" s="26" t="str">
        <f>IFERROR(RIGHT(I280,LEN(I280)-FIND("*",I280)),"-")</f>
        <v>-</v>
      </c>
      <c r="W281" s="27" t="str">
        <f t="shared" si="148"/>
        <v>-</v>
      </c>
      <c r="X281" s="27" t="str">
        <f>IFERROR(W281*J280,"-")</f>
        <v>-</v>
      </c>
      <c r="Z281" s="94" t="s">
        <v>81</v>
      </c>
    </row>
    <row r="282" spans="1:26" s="25" customFormat="1" ht="6.95" customHeight="1" x14ac:dyDescent="0.3">
      <c r="A282" s="10"/>
      <c r="B282" s="168"/>
      <c r="C282" s="169"/>
      <c r="D282" s="160"/>
      <c r="E282" s="161"/>
      <c r="F282" s="162"/>
      <c r="G282" s="163"/>
      <c r="H282" s="164"/>
      <c r="I282" s="163"/>
      <c r="J282" s="164"/>
      <c r="K282" s="163"/>
      <c r="L282" s="164"/>
      <c r="M282" s="11"/>
      <c r="N282" s="39"/>
      <c r="Q282" s="15" t="str">
        <f>+CONCATENATE(E280,K280)</f>
        <v/>
      </c>
      <c r="R282" s="15">
        <f>+L280</f>
        <v>0</v>
      </c>
      <c r="S282" s="16"/>
      <c r="T282" s="15">
        <f>+E280</f>
        <v>0</v>
      </c>
      <c r="U282" s="26" t="str">
        <f>IFERROR(LEFT(K280,FIND("*",K280)-1),"-")</f>
        <v>-</v>
      </c>
      <c r="V282" s="26" t="str">
        <f>IFERROR(RIGHT(K280,LEN(K280)-FIND("*",K280)),"-")</f>
        <v>-</v>
      </c>
      <c r="W282" s="27" t="str">
        <f t="shared" si="148"/>
        <v>-</v>
      </c>
      <c r="X282" s="27" t="str">
        <f>IFERROR(W282*L280,"-")</f>
        <v>-</v>
      </c>
      <c r="Z282" s="94" t="s">
        <v>81</v>
      </c>
    </row>
    <row r="283" spans="1:26" s="25" customFormat="1" ht="6.95" customHeight="1" x14ac:dyDescent="0.3">
      <c r="A283" s="13"/>
      <c r="B283" s="168"/>
      <c r="C283" s="169"/>
      <c r="D283" s="160" t="s">
        <v>39</v>
      </c>
      <c r="E283" s="161"/>
      <c r="F283" s="162" t="s">
        <v>40</v>
      </c>
      <c r="G283" s="163"/>
      <c r="H283" s="164"/>
      <c r="I283" s="163"/>
      <c r="J283" s="164"/>
      <c r="K283" s="163"/>
      <c r="L283" s="164"/>
      <c r="M283" s="11"/>
      <c r="N283" s="39"/>
      <c r="Q283" s="15" t="str">
        <f>+CONCATENATE(E283,G283)</f>
        <v/>
      </c>
      <c r="R283" s="15">
        <f>+H283</f>
        <v>0</v>
      </c>
      <c r="S283" s="16"/>
      <c r="T283" s="15">
        <f>+E283</f>
        <v>0</v>
      </c>
      <c r="U283" s="26" t="str">
        <f t="shared" ref="U283" si="151">IFERROR(LEFT(G283,FIND("*",G283)-1),"-")</f>
        <v>-</v>
      </c>
      <c r="V283" s="26" t="str">
        <f t="shared" ref="V283" si="152">IFERROR(RIGHT(G283,LEN(G283)-FIND("*",G283)),"-")</f>
        <v>-</v>
      </c>
      <c r="W283" s="27" t="str">
        <f t="shared" si="148"/>
        <v>-</v>
      </c>
      <c r="X283" s="27" t="str">
        <f>IFERROR(W283*H283,"-")</f>
        <v>-</v>
      </c>
      <c r="Z283" s="94" t="s">
        <v>81</v>
      </c>
    </row>
    <row r="284" spans="1:26" s="25" customFormat="1" ht="6.95" customHeight="1" x14ac:dyDescent="0.3">
      <c r="A284" s="10"/>
      <c r="B284" s="168"/>
      <c r="C284" s="169"/>
      <c r="D284" s="160"/>
      <c r="E284" s="161"/>
      <c r="F284" s="162"/>
      <c r="G284" s="163"/>
      <c r="H284" s="164"/>
      <c r="I284" s="163"/>
      <c r="J284" s="164"/>
      <c r="K284" s="163"/>
      <c r="L284" s="164"/>
      <c r="M284" s="11"/>
      <c r="N284" s="39"/>
      <c r="Q284" s="15" t="str">
        <f>+CONCATENATE(E283,I283)</f>
        <v/>
      </c>
      <c r="R284" s="15">
        <f>+J283</f>
        <v>0</v>
      </c>
      <c r="S284" s="16"/>
      <c r="T284" s="15">
        <f>+E283</f>
        <v>0</v>
      </c>
      <c r="U284" s="26" t="str">
        <f>IFERROR(LEFT(I283,FIND("*",I283)-1),"-")</f>
        <v>-</v>
      </c>
      <c r="V284" s="26" t="str">
        <f>IFERROR(RIGHT(I283,LEN(I283)-FIND("*",I283)),"-")</f>
        <v>-</v>
      </c>
      <c r="W284" s="27" t="str">
        <f t="shared" si="148"/>
        <v>-</v>
      </c>
      <c r="X284" s="27" t="str">
        <f t="shared" ref="X284" si="153">IFERROR(W284*J283,"-")</f>
        <v>-</v>
      </c>
      <c r="Z284" s="94" t="s">
        <v>81</v>
      </c>
    </row>
    <row r="285" spans="1:26" s="25" customFormat="1" ht="6.95" customHeight="1" x14ac:dyDescent="0.3">
      <c r="A285" s="10"/>
      <c r="B285" s="168"/>
      <c r="C285" s="169"/>
      <c r="D285" s="160"/>
      <c r="E285" s="161"/>
      <c r="F285" s="162"/>
      <c r="G285" s="163"/>
      <c r="H285" s="164"/>
      <c r="I285" s="163"/>
      <c r="J285" s="164"/>
      <c r="K285" s="163"/>
      <c r="L285" s="164"/>
      <c r="M285" s="11"/>
      <c r="N285" s="39"/>
      <c r="Q285" s="15" t="str">
        <f>+CONCATENATE(E283,K283)</f>
        <v/>
      </c>
      <c r="R285" s="15">
        <f>+L283</f>
        <v>0</v>
      </c>
      <c r="S285" s="16"/>
      <c r="T285" s="15">
        <f>+E283</f>
        <v>0</v>
      </c>
      <c r="U285" s="26" t="str">
        <f>IFERROR(LEFT(K283,FIND("*",K283)-1),"-")</f>
        <v>-</v>
      </c>
      <c r="V285" s="26" t="str">
        <f>IFERROR(RIGHT(K283,LEN(K283)-FIND("*",K283)),"-")</f>
        <v>-</v>
      </c>
      <c r="W285" s="27" t="str">
        <f t="shared" si="148"/>
        <v>-</v>
      </c>
      <c r="X285" s="27" t="str">
        <f>IFERROR(W285*L283,"-")</f>
        <v>-</v>
      </c>
      <c r="Z285" s="94" t="s">
        <v>81</v>
      </c>
    </row>
    <row r="286" spans="1:26" s="25" customFormat="1" ht="21" customHeight="1" thickBot="1" x14ac:dyDescent="0.35">
      <c r="A286" s="10"/>
      <c r="B286" s="170"/>
      <c r="C286" s="171"/>
      <c r="D286" s="172" t="s">
        <v>43</v>
      </c>
      <c r="E286" s="173"/>
      <c r="F286" s="173"/>
      <c r="G286" s="174"/>
      <c r="H286" s="174"/>
      <c r="I286" s="174"/>
      <c r="J286" s="174"/>
      <c r="K286" s="174"/>
      <c r="L286" s="174"/>
      <c r="M286" s="12"/>
      <c r="N286" s="39"/>
      <c r="U286" s="23"/>
      <c r="V286" s="23"/>
      <c r="Z286" s="95" t="s">
        <v>81</v>
      </c>
    </row>
    <row r="287" spans="1:26" s="25" customFormat="1" ht="9.9499999999999993" customHeight="1" thickBot="1" x14ac:dyDescent="0.35">
      <c r="A287" s="6"/>
      <c r="B287" s="14"/>
      <c r="C287" s="119">
        <v>787</v>
      </c>
      <c r="D287" s="58"/>
      <c r="E287" s="17"/>
      <c r="F287" s="58"/>
      <c r="G287" s="19"/>
      <c r="H287" s="19"/>
      <c r="I287" s="19"/>
      <c r="J287" s="19"/>
      <c r="K287" s="19"/>
      <c r="L287" s="19"/>
      <c r="M287" s="14"/>
      <c r="N287" s="39"/>
      <c r="Q287" s="1"/>
      <c r="R287" s="1"/>
      <c r="S287" s="1"/>
      <c r="T287" s="1"/>
      <c r="U287" s="24"/>
      <c r="V287" s="24"/>
      <c r="W287" s="1"/>
      <c r="X287" s="1"/>
      <c r="Z287" s="94" t="s">
        <v>81</v>
      </c>
    </row>
    <row r="288" spans="1:26" s="25" customFormat="1" ht="6.95" customHeight="1" x14ac:dyDescent="0.3">
      <c r="A288" s="165">
        <f>+A277+1</f>
        <v>27</v>
      </c>
      <c r="B288" s="166"/>
      <c r="C288" s="167"/>
      <c r="D288" s="160" t="s">
        <v>39</v>
      </c>
      <c r="E288" s="161"/>
      <c r="F288" s="162" t="s">
        <v>40</v>
      </c>
      <c r="G288" s="163"/>
      <c r="H288" s="164"/>
      <c r="I288" s="163"/>
      <c r="J288" s="164"/>
      <c r="K288" s="163"/>
      <c r="L288" s="164"/>
      <c r="M288" s="11"/>
      <c r="N288" s="39"/>
      <c r="Q288" s="15" t="str">
        <f>+CONCATENATE(E288,G288)</f>
        <v/>
      </c>
      <c r="R288" s="15">
        <f>+H288</f>
        <v>0</v>
      </c>
      <c r="S288" s="16"/>
      <c r="T288" s="15">
        <f>+E288</f>
        <v>0</v>
      </c>
      <c r="U288" s="26" t="str">
        <f>IFERROR(LEFT(G288,FIND("*",G288)-1),"-")</f>
        <v>-</v>
      </c>
      <c r="V288" s="26" t="str">
        <f>IFERROR(RIGHT(G288,LEN(G288)-FIND("*",G288)),"-")</f>
        <v>-</v>
      </c>
      <c r="W288" s="27" t="str">
        <f>IFERROR((U288+V288)*2/1000,"-")</f>
        <v>-</v>
      </c>
      <c r="X288" s="27" t="str">
        <f>IFERROR(W288*H288,"-")</f>
        <v>-</v>
      </c>
      <c r="Z288" s="94" t="s">
        <v>81</v>
      </c>
    </row>
    <row r="289" spans="1:26" s="25" customFormat="1" ht="6.95" customHeight="1" x14ac:dyDescent="0.3">
      <c r="A289" s="165"/>
      <c r="B289" s="168"/>
      <c r="C289" s="169"/>
      <c r="D289" s="160"/>
      <c r="E289" s="161"/>
      <c r="F289" s="162"/>
      <c r="G289" s="163"/>
      <c r="H289" s="164"/>
      <c r="I289" s="163"/>
      <c r="J289" s="164"/>
      <c r="K289" s="163"/>
      <c r="L289" s="164"/>
      <c r="M289" s="11"/>
      <c r="N289" s="39"/>
      <c r="Q289" s="15" t="str">
        <f>+CONCATENATE(E288,I288)</f>
        <v/>
      </c>
      <c r="R289" s="15">
        <f>+J288</f>
        <v>0</v>
      </c>
      <c r="S289" s="16"/>
      <c r="T289" s="15">
        <f>+E288</f>
        <v>0</v>
      </c>
      <c r="U289" s="26" t="str">
        <f>IFERROR(LEFT(I288,FIND("*",I288)-1),"-")</f>
        <v>-</v>
      </c>
      <c r="V289" s="26" t="str">
        <f>IFERROR(RIGHT(I288,LEN(I288)-FIND("*",I288)),"-")</f>
        <v>-</v>
      </c>
      <c r="W289" s="27" t="str">
        <f t="shared" ref="W289:W296" si="154">IFERROR((U289+V289)*2/1000,"-")</f>
        <v>-</v>
      </c>
      <c r="X289" s="27" t="str">
        <f>IFERROR(W289*J288,"-")</f>
        <v>-</v>
      </c>
      <c r="Z289" s="94" t="s">
        <v>81</v>
      </c>
    </row>
    <row r="290" spans="1:26" s="25" customFormat="1" ht="6.95" customHeight="1" x14ac:dyDescent="0.3">
      <c r="A290" s="165"/>
      <c r="B290" s="168"/>
      <c r="C290" s="169"/>
      <c r="D290" s="160"/>
      <c r="E290" s="161"/>
      <c r="F290" s="162"/>
      <c r="G290" s="163"/>
      <c r="H290" s="164"/>
      <c r="I290" s="163"/>
      <c r="J290" s="164"/>
      <c r="K290" s="163"/>
      <c r="L290" s="164"/>
      <c r="M290" s="11"/>
      <c r="N290" s="39"/>
      <c r="Q290" s="15" t="str">
        <f>+CONCATENATE(E288,K288)</f>
        <v/>
      </c>
      <c r="R290" s="15">
        <f>+L288</f>
        <v>0</v>
      </c>
      <c r="S290" s="16"/>
      <c r="T290" s="15">
        <f>+E288</f>
        <v>0</v>
      </c>
      <c r="U290" s="26" t="str">
        <f>IFERROR(LEFT(K288,FIND("*",K288)-1),"-")</f>
        <v>-</v>
      </c>
      <c r="V290" s="26" t="str">
        <f>IFERROR(RIGHT(K288,LEN(K288)-FIND("*",K288)),"-")</f>
        <v>-</v>
      </c>
      <c r="W290" s="27" t="str">
        <f t="shared" si="154"/>
        <v>-</v>
      </c>
      <c r="X290" s="27" t="str">
        <f>IFERROR(W290*L288,"-")</f>
        <v>-</v>
      </c>
      <c r="Z290" s="94" t="s">
        <v>81</v>
      </c>
    </row>
    <row r="291" spans="1:26" s="25" customFormat="1" ht="6.95" customHeight="1" x14ac:dyDescent="0.3">
      <c r="A291" s="13"/>
      <c r="B291" s="168"/>
      <c r="C291" s="169"/>
      <c r="D291" s="160" t="s">
        <v>39</v>
      </c>
      <c r="E291" s="161"/>
      <c r="F291" s="162" t="s">
        <v>40</v>
      </c>
      <c r="G291" s="163"/>
      <c r="H291" s="164"/>
      <c r="I291" s="163"/>
      <c r="J291" s="164"/>
      <c r="K291" s="163"/>
      <c r="L291" s="164"/>
      <c r="M291" s="11"/>
      <c r="N291" s="39"/>
      <c r="Q291" s="15" t="str">
        <f>+CONCATENATE(E291,G291)</f>
        <v/>
      </c>
      <c r="R291" s="15">
        <f>+H291</f>
        <v>0</v>
      </c>
      <c r="S291" s="16"/>
      <c r="T291" s="15">
        <f>+E291</f>
        <v>0</v>
      </c>
      <c r="U291" s="26" t="str">
        <f t="shared" ref="U291" si="155">IFERROR(LEFT(G291,FIND("*",G291)-1),"-")</f>
        <v>-</v>
      </c>
      <c r="V291" s="26" t="str">
        <f t="shared" ref="V291" si="156">IFERROR(RIGHT(G291,LEN(G291)-FIND("*",G291)),"-")</f>
        <v>-</v>
      </c>
      <c r="W291" s="27" t="str">
        <f t="shared" si="154"/>
        <v>-</v>
      </c>
      <c r="X291" s="27" t="str">
        <f>IFERROR(W291*H291,"-")</f>
        <v>-</v>
      </c>
      <c r="Z291" s="94" t="s">
        <v>81</v>
      </c>
    </row>
    <row r="292" spans="1:26" s="25" customFormat="1" ht="6.95" customHeight="1" x14ac:dyDescent="0.3">
      <c r="A292" s="10"/>
      <c r="B292" s="168"/>
      <c r="C292" s="169"/>
      <c r="D292" s="160"/>
      <c r="E292" s="161"/>
      <c r="F292" s="162"/>
      <c r="G292" s="163"/>
      <c r="H292" s="164"/>
      <c r="I292" s="163"/>
      <c r="J292" s="164"/>
      <c r="K292" s="163"/>
      <c r="L292" s="164"/>
      <c r="M292" s="11"/>
      <c r="N292" s="39"/>
      <c r="Q292" s="15" t="str">
        <f>+CONCATENATE(E291,I291)</f>
        <v/>
      </c>
      <c r="R292" s="15">
        <f>+J291</f>
        <v>0</v>
      </c>
      <c r="S292" s="16"/>
      <c r="T292" s="15">
        <f>+E291</f>
        <v>0</v>
      </c>
      <c r="U292" s="26" t="str">
        <f>IFERROR(LEFT(I291,FIND("*",I291)-1),"-")</f>
        <v>-</v>
      </c>
      <c r="V292" s="26" t="str">
        <f>IFERROR(RIGHT(I291,LEN(I291)-FIND("*",I291)),"-")</f>
        <v>-</v>
      </c>
      <c r="W292" s="27" t="str">
        <f t="shared" si="154"/>
        <v>-</v>
      </c>
      <c r="X292" s="27" t="str">
        <f>IFERROR(W292*J291,"-")</f>
        <v>-</v>
      </c>
      <c r="Z292" s="94" t="s">
        <v>81</v>
      </c>
    </row>
    <row r="293" spans="1:26" s="25" customFormat="1" ht="6.95" customHeight="1" x14ac:dyDescent="0.3">
      <c r="A293" s="10"/>
      <c r="B293" s="168"/>
      <c r="C293" s="169"/>
      <c r="D293" s="160"/>
      <c r="E293" s="161"/>
      <c r="F293" s="162"/>
      <c r="G293" s="163"/>
      <c r="H293" s="164"/>
      <c r="I293" s="163"/>
      <c r="J293" s="164"/>
      <c r="K293" s="163"/>
      <c r="L293" s="164"/>
      <c r="M293" s="11"/>
      <c r="N293" s="39"/>
      <c r="Q293" s="15" t="str">
        <f>+CONCATENATE(E291,K291)</f>
        <v/>
      </c>
      <c r="R293" s="15">
        <f>+L291</f>
        <v>0</v>
      </c>
      <c r="S293" s="16"/>
      <c r="T293" s="15">
        <f>+E291</f>
        <v>0</v>
      </c>
      <c r="U293" s="26" t="str">
        <f>IFERROR(LEFT(K291,FIND("*",K291)-1),"-")</f>
        <v>-</v>
      </c>
      <c r="V293" s="26" t="str">
        <f>IFERROR(RIGHT(K291,LEN(K291)-FIND("*",K291)),"-")</f>
        <v>-</v>
      </c>
      <c r="W293" s="27" t="str">
        <f t="shared" si="154"/>
        <v>-</v>
      </c>
      <c r="X293" s="27" t="str">
        <f>IFERROR(W293*L291,"-")</f>
        <v>-</v>
      </c>
      <c r="Z293" s="94" t="s">
        <v>81</v>
      </c>
    </row>
    <row r="294" spans="1:26" s="25" customFormat="1" ht="6.95" customHeight="1" x14ac:dyDescent="0.3">
      <c r="A294" s="13"/>
      <c r="B294" s="168"/>
      <c r="C294" s="169"/>
      <c r="D294" s="160" t="s">
        <v>39</v>
      </c>
      <c r="E294" s="161"/>
      <c r="F294" s="162" t="s">
        <v>40</v>
      </c>
      <c r="G294" s="163"/>
      <c r="H294" s="164"/>
      <c r="I294" s="163"/>
      <c r="J294" s="164"/>
      <c r="K294" s="163"/>
      <c r="L294" s="164"/>
      <c r="M294" s="11"/>
      <c r="N294" s="39"/>
      <c r="Q294" s="15" t="str">
        <f>+CONCATENATE(E294,G294)</f>
        <v/>
      </c>
      <c r="R294" s="15">
        <f>+H294</f>
        <v>0</v>
      </c>
      <c r="S294" s="16"/>
      <c r="T294" s="15">
        <f>+E294</f>
        <v>0</v>
      </c>
      <c r="U294" s="26" t="str">
        <f t="shared" ref="U294" si="157">IFERROR(LEFT(G294,FIND("*",G294)-1),"-")</f>
        <v>-</v>
      </c>
      <c r="V294" s="26" t="str">
        <f t="shared" ref="V294" si="158">IFERROR(RIGHT(G294,LEN(G294)-FIND("*",G294)),"-")</f>
        <v>-</v>
      </c>
      <c r="W294" s="27" t="str">
        <f t="shared" si="154"/>
        <v>-</v>
      </c>
      <c r="X294" s="27" t="str">
        <f>IFERROR(W294*H294,"-")</f>
        <v>-</v>
      </c>
      <c r="Z294" s="94" t="s">
        <v>81</v>
      </c>
    </row>
    <row r="295" spans="1:26" s="25" customFormat="1" ht="6.95" customHeight="1" x14ac:dyDescent="0.3">
      <c r="A295" s="10"/>
      <c r="B295" s="168"/>
      <c r="C295" s="169"/>
      <c r="D295" s="160"/>
      <c r="E295" s="161"/>
      <c r="F295" s="162"/>
      <c r="G295" s="163"/>
      <c r="H295" s="164"/>
      <c r="I295" s="163"/>
      <c r="J295" s="164"/>
      <c r="K295" s="163"/>
      <c r="L295" s="164"/>
      <c r="M295" s="11"/>
      <c r="N295" s="39"/>
      <c r="Q295" s="15" t="str">
        <f>+CONCATENATE(E294,I294)</f>
        <v/>
      </c>
      <c r="R295" s="15">
        <f>+J294</f>
        <v>0</v>
      </c>
      <c r="S295" s="16"/>
      <c r="T295" s="15">
        <f>+E294</f>
        <v>0</v>
      </c>
      <c r="U295" s="26" t="str">
        <f>IFERROR(LEFT(I294,FIND("*",I294)-1),"-")</f>
        <v>-</v>
      </c>
      <c r="V295" s="26" t="str">
        <f>IFERROR(RIGHT(I294,LEN(I294)-FIND("*",I294)),"-")</f>
        <v>-</v>
      </c>
      <c r="W295" s="27" t="str">
        <f t="shared" si="154"/>
        <v>-</v>
      </c>
      <c r="X295" s="27" t="str">
        <f t="shared" ref="X295" si="159">IFERROR(W295*J294,"-")</f>
        <v>-</v>
      </c>
      <c r="Z295" s="94" t="s">
        <v>81</v>
      </c>
    </row>
    <row r="296" spans="1:26" s="25" customFormat="1" ht="6.95" customHeight="1" x14ac:dyDescent="0.3">
      <c r="A296" s="10"/>
      <c r="B296" s="168"/>
      <c r="C296" s="169"/>
      <c r="D296" s="160"/>
      <c r="E296" s="161"/>
      <c r="F296" s="162"/>
      <c r="G296" s="163"/>
      <c r="H296" s="164"/>
      <c r="I296" s="163"/>
      <c r="J296" s="164"/>
      <c r="K296" s="163"/>
      <c r="L296" s="164"/>
      <c r="M296" s="11"/>
      <c r="N296" s="39"/>
      <c r="Q296" s="15" t="str">
        <f>+CONCATENATE(E294,K294)</f>
        <v/>
      </c>
      <c r="R296" s="15">
        <f>+L294</f>
        <v>0</v>
      </c>
      <c r="S296" s="16"/>
      <c r="T296" s="15">
        <f>+E294</f>
        <v>0</v>
      </c>
      <c r="U296" s="26" t="str">
        <f>IFERROR(LEFT(K294,FIND("*",K294)-1),"-")</f>
        <v>-</v>
      </c>
      <c r="V296" s="26" t="str">
        <f>IFERROR(RIGHT(K294,LEN(K294)-FIND("*",K294)),"-")</f>
        <v>-</v>
      </c>
      <c r="W296" s="27" t="str">
        <f t="shared" si="154"/>
        <v>-</v>
      </c>
      <c r="X296" s="27" t="str">
        <f>IFERROR(W296*L294,"-")</f>
        <v>-</v>
      </c>
      <c r="Z296" s="94" t="s">
        <v>81</v>
      </c>
    </row>
    <row r="297" spans="1:26" s="25" customFormat="1" ht="21" customHeight="1" thickBot="1" x14ac:dyDescent="0.35">
      <c r="A297" s="10"/>
      <c r="B297" s="170"/>
      <c r="C297" s="171"/>
      <c r="D297" s="172" t="s">
        <v>43</v>
      </c>
      <c r="E297" s="173"/>
      <c r="F297" s="173"/>
      <c r="G297" s="174"/>
      <c r="H297" s="174"/>
      <c r="I297" s="174"/>
      <c r="J297" s="174"/>
      <c r="K297" s="174"/>
      <c r="L297" s="174"/>
      <c r="M297" s="12"/>
      <c r="N297" s="39"/>
      <c r="U297" s="23"/>
      <c r="V297" s="23"/>
      <c r="Z297" s="95" t="s">
        <v>81</v>
      </c>
    </row>
    <row r="298" spans="1:26" s="25" customFormat="1" ht="9.9499999999999993" customHeight="1" thickBot="1" x14ac:dyDescent="0.35">
      <c r="A298" s="6"/>
      <c r="B298" s="14"/>
      <c r="C298" s="119">
        <v>788</v>
      </c>
      <c r="D298" s="58"/>
      <c r="E298" s="17"/>
      <c r="F298" s="58"/>
      <c r="G298" s="19"/>
      <c r="H298" s="19"/>
      <c r="I298" s="19"/>
      <c r="J298" s="19"/>
      <c r="K298" s="19"/>
      <c r="L298" s="19"/>
      <c r="M298" s="14"/>
      <c r="N298" s="39"/>
      <c r="Q298" s="1"/>
      <c r="R298" s="1"/>
      <c r="S298" s="1"/>
      <c r="T298" s="1"/>
      <c r="U298" s="24"/>
      <c r="V298" s="24"/>
      <c r="W298" s="1"/>
      <c r="X298" s="1"/>
      <c r="Z298" s="94" t="s">
        <v>81</v>
      </c>
    </row>
    <row r="299" spans="1:26" s="25" customFormat="1" ht="6.95" customHeight="1" x14ac:dyDescent="0.3">
      <c r="A299" s="165">
        <f>+A288+1</f>
        <v>28</v>
      </c>
      <c r="B299" s="166"/>
      <c r="C299" s="167"/>
      <c r="D299" s="160" t="s">
        <v>39</v>
      </c>
      <c r="E299" s="161"/>
      <c r="F299" s="162" t="s">
        <v>40</v>
      </c>
      <c r="G299" s="163"/>
      <c r="H299" s="164"/>
      <c r="I299" s="163"/>
      <c r="J299" s="164"/>
      <c r="K299" s="163"/>
      <c r="L299" s="164"/>
      <c r="M299" s="11"/>
      <c r="N299" s="39"/>
      <c r="Q299" s="15" t="str">
        <f>+CONCATENATE(E299,G299)</f>
        <v/>
      </c>
      <c r="R299" s="15">
        <f>+H299</f>
        <v>0</v>
      </c>
      <c r="S299" s="16"/>
      <c r="T299" s="15">
        <f>+E299</f>
        <v>0</v>
      </c>
      <c r="U299" s="26" t="str">
        <f>IFERROR(LEFT(G299,FIND("*",G299)-1),"-")</f>
        <v>-</v>
      </c>
      <c r="V299" s="26" t="str">
        <f>IFERROR(RIGHT(G299,LEN(G299)-FIND("*",G299)),"-")</f>
        <v>-</v>
      </c>
      <c r="W299" s="27" t="str">
        <f>IFERROR((U299+V299)*2/1000,"-")</f>
        <v>-</v>
      </c>
      <c r="X299" s="27" t="str">
        <f>IFERROR(W299*H299,"-")</f>
        <v>-</v>
      </c>
      <c r="Z299" s="94" t="s">
        <v>81</v>
      </c>
    </row>
    <row r="300" spans="1:26" s="25" customFormat="1" ht="6.95" customHeight="1" x14ac:dyDescent="0.3">
      <c r="A300" s="165"/>
      <c r="B300" s="168"/>
      <c r="C300" s="169"/>
      <c r="D300" s="160"/>
      <c r="E300" s="161"/>
      <c r="F300" s="162"/>
      <c r="G300" s="163"/>
      <c r="H300" s="164"/>
      <c r="I300" s="163"/>
      <c r="J300" s="164"/>
      <c r="K300" s="163"/>
      <c r="L300" s="164"/>
      <c r="M300" s="11"/>
      <c r="N300" s="39"/>
      <c r="Q300" s="15" t="str">
        <f>+CONCATENATE(E299,I299)</f>
        <v/>
      </c>
      <c r="R300" s="15">
        <f>+J299</f>
        <v>0</v>
      </c>
      <c r="S300" s="16"/>
      <c r="T300" s="15">
        <f>+E299</f>
        <v>0</v>
      </c>
      <c r="U300" s="26" t="str">
        <f>IFERROR(LEFT(I299,FIND("*",I299)-1),"-")</f>
        <v>-</v>
      </c>
      <c r="V300" s="26" t="str">
        <f>IFERROR(RIGHT(I299,LEN(I299)-FIND("*",I299)),"-")</f>
        <v>-</v>
      </c>
      <c r="W300" s="27" t="str">
        <f t="shared" ref="W300:W307" si="160">IFERROR((U300+V300)*2/1000,"-")</f>
        <v>-</v>
      </c>
      <c r="X300" s="27" t="str">
        <f>IFERROR(W300*J299,"-")</f>
        <v>-</v>
      </c>
      <c r="Z300" s="94" t="s">
        <v>81</v>
      </c>
    </row>
    <row r="301" spans="1:26" s="25" customFormat="1" ht="6.95" customHeight="1" x14ac:dyDescent="0.3">
      <c r="A301" s="165"/>
      <c r="B301" s="168"/>
      <c r="C301" s="169"/>
      <c r="D301" s="160"/>
      <c r="E301" s="161"/>
      <c r="F301" s="162"/>
      <c r="G301" s="163"/>
      <c r="H301" s="164"/>
      <c r="I301" s="163"/>
      <c r="J301" s="164"/>
      <c r="K301" s="163"/>
      <c r="L301" s="164"/>
      <c r="M301" s="11"/>
      <c r="N301" s="39"/>
      <c r="Q301" s="15" t="str">
        <f>+CONCATENATE(E299,K299)</f>
        <v/>
      </c>
      <c r="R301" s="15">
        <f>+L299</f>
        <v>0</v>
      </c>
      <c r="S301" s="16"/>
      <c r="T301" s="15">
        <f>+E299</f>
        <v>0</v>
      </c>
      <c r="U301" s="26" t="str">
        <f>IFERROR(LEFT(K299,FIND("*",K299)-1),"-")</f>
        <v>-</v>
      </c>
      <c r="V301" s="26" t="str">
        <f>IFERROR(RIGHT(K299,LEN(K299)-FIND("*",K299)),"-")</f>
        <v>-</v>
      </c>
      <c r="W301" s="27" t="str">
        <f t="shared" si="160"/>
        <v>-</v>
      </c>
      <c r="X301" s="27" t="str">
        <f>IFERROR(W301*L299,"-")</f>
        <v>-</v>
      </c>
      <c r="Z301" s="94" t="s">
        <v>81</v>
      </c>
    </row>
    <row r="302" spans="1:26" s="25" customFormat="1" ht="6.95" customHeight="1" x14ac:dyDescent="0.3">
      <c r="A302" s="13"/>
      <c r="B302" s="168"/>
      <c r="C302" s="169"/>
      <c r="D302" s="160" t="s">
        <v>39</v>
      </c>
      <c r="E302" s="161"/>
      <c r="F302" s="162" t="s">
        <v>40</v>
      </c>
      <c r="G302" s="163"/>
      <c r="H302" s="164"/>
      <c r="I302" s="163"/>
      <c r="J302" s="164"/>
      <c r="K302" s="163"/>
      <c r="L302" s="164"/>
      <c r="M302" s="11"/>
      <c r="N302" s="39"/>
      <c r="Q302" s="15" t="str">
        <f>+CONCATENATE(E302,G302)</f>
        <v/>
      </c>
      <c r="R302" s="15">
        <f>+H302</f>
        <v>0</v>
      </c>
      <c r="S302" s="16"/>
      <c r="T302" s="15">
        <f>+E302</f>
        <v>0</v>
      </c>
      <c r="U302" s="26" t="str">
        <f t="shared" ref="U302" si="161">IFERROR(LEFT(G302,FIND("*",G302)-1),"-")</f>
        <v>-</v>
      </c>
      <c r="V302" s="26" t="str">
        <f t="shared" ref="V302" si="162">IFERROR(RIGHT(G302,LEN(G302)-FIND("*",G302)),"-")</f>
        <v>-</v>
      </c>
      <c r="W302" s="27" t="str">
        <f t="shared" si="160"/>
        <v>-</v>
      </c>
      <c r="X302" s="27" t="str">
        <f>IFERROR(W302*H302,"-")</f>
        <v>-</v>
      </c>
      <c r="Z302" s="94" t="s">
        <v>81</v>
      </c>
    </row>
    <row r="303" spans="1:26" s="25" customFormat="1" ht="6.95" customHeight="1" x14ac:dyDescent="0.3">
      <c r="A303" s="10"/>
      <c r="B303" s="168"/>
      <c r="C303" s="169"/>
      <c r="D303" s="160"/>
      <c r="E303" s="161"/>
      <c r="F303" s="162"/>
      <c r="G303" s="163"/>
      <c r="H303" s="164"/>
      <c r="I303" s="163"/>
      <c r="J303" s="164"/>
      <c r="K303" s="163"/>
      <c r="L303" s="164"/>
      <c r="M303" s="11"/>
      <c r="N303" s="39"/>
      <c r="Q303" s="15" t="str">
        <f>+CONCATENATE(E302,I302)</f>
        <v/>
      </c>
      <c r="R303" s="15">
        <f>+J302</f>
        <v>0</v>
      </c>
      <c r="S303" s="16"/>
      <c r="T303" s="15">
        <f>+E302</f>
        <v>0</v>
      </c>
      <c r="U303" s="26" t="str">
        <f>IFERROR(LEFT(I302,FIND("*",I302)-1),"-")</f>
        <v>-</v>
      </c>
      <c r="V303" s="26" t="str">
        <f>IFERROR(RIGHT(I302,LEN(I302)-FIND("*",I302)),"-")</f>
        <v>-</v>
      </c>
      <c r="W303" s="27" t="str">
        <f t="shared" si="160"/>
        <v>-</v>
      </c>
      <c r="X303" s="27" t="str">
        <f>IFERROR(W303*J302,"-")</f>
        <v>-</v>
      </c>
      <c r="Z303" s="94" t="s">
        <v>81</v>
      </c>
    </row>
    <row r="304" spans="1:26" s="25" customFormat="1" ht="6.95" customHeight="1" x14ac:dyDescent="0.3">
      <c r="A304" s="10"/>
      <c r="B304" s="168"/>
      <c r="C304" s="169"/>
      <c r="D304" s="160"/>
      <c r="E304" s="161"/>
      <c r="F304" s="162"/>
      <c r="G304" s="163"/>
      <c r="H304" s="164"/>
      <c r="I304" s="163"/>
      <c r="J304" s="164"/>
      <c r="K304" s="163"/>
      <c r="L304" s="164"/>
      <c r="M304" s="11"/>
      <c r="N304" s="39"/>
      <c r="Q304" s="15" t="str">
        <f>+CONCATENATE(E302,K302)</f>
        <v/>
      </c>
      <c r="R304" s="15">
        <f>+L302</f>
        <v>0</v>
      </c>
      <c r="S304" s="16"/>
      <c r="T304" s="15">
        <f>+E302</f>
        <v>0</v>
      </c>
      <c r="U304" s="26" t="str">
        <f>IFERROR(LEFT(K302,FIND("*",K302)-1),"-")</f>
        <v>-</v>
      </c>
      <c r="V304" s="26" t="str">
        <f>IFERROR(RIGHT(K302,LEN(K302)-FIND("*",K302)),"-")</f>
        <v>-</v>
      </c>
      <c r="W304" s="27" t="str">
        <f t="shared" si="160"/>
        <v>-</v>
      </c>
      <c r="X304" s="27" t="str">
        <f>IFERROR(W304*L302,"-")</f>
        <v>-</v>
      </c>
      <c r="Z304" s="94" t="s">
        <v>81</v>
      </c>
    </row>
    <row r="305" spans="1:26" s="25" customFormat="1" ht="6.95" customHeight="1" x14ac:dyDescent="0.3">
      <c r="A305" s="13"/>
      <c r="B305" s="168"/>
      <c r="C305" s="169"/>
      <c r="D305" s="160" t="s">
        <v>39</v>
      </c>
      <c r="E305" s="161"/>
      <c r="F305" s="162" t="s">
        <v>40</v>
      </c>
      <c r="G305" s="163"/>
      <c r="H305" s="164"/>
      <c r="I305" s="163"/>
      <c r="J305" s="164"/>
      <c r="K305" s="163"/>
      <c r="L305" s="164"/>
      <c r="M305" s="11"/>
      <c r="N305" s="39"/>
      <c r="Q305" s="15" t="str">
        <f>+CONCATENATE(E305,G305)</f>
        <v/>
      </c>
      <c r="R305" s="15">
        <f>+H305</f>
        <v>0</v>
      </c>
      <c r="S305" s="16"/>
      <c r="T305" s="15">
        <f>+E305</f>
        <v>0</v>
      </c>
      <c r="U305" s="26" t="str">
        <f t="shared" ref="U305" si="163">IFERROR(LEFT(G305,FIND("*",G305)-1),"-")</f>
        <v>-</v>
      </c>
      <c r="V305" s="26" t="str">
        <f t="shared" ref="V305" si="164">IFERROR(RIGHT(G305,LEN(G305)-FIND("*",G305)),"-")</f>
        <v>-</v>
      </c>
      <c r="W305" s="27" t="str">
        <f t="shared" si="160"/>
        <v>-</v>
      </c>
      <c r="X305" s="27" t="str">
        <f>IFERROR(W305*H305,"-")</f>
        <v>-</v>
      </c>
      <c r="Z305" s="94" t="s">
        <v>81</v>
      </c>
    </row>
    <row r="306" spans="1:26" s="25" customFormat="1" ht="6.95" customHeight="1" x14ac:dyDescent="0.3">
      <c r="A306" s="10"/>
      <c r="B306" s="168"/>
      <c r="C306" s="169"/>
      <c r="D306" s="160"/>
      <c r="E306" s="161"/>
      <c r="F306" s="162"/>
      <c r="G306" s="163"/>
      <c r="H306" s="164"/>
      <c r="I306" s="163"/>
      <c r="J306" s="164"/>
      <c r="K306" s="163"/>
      <c r="L306" s="164"/>
      <c r="M306" s="11"/>
      <c r="N306" s="39"/>
      <c r="Q306" s="15" t="str">
        <f>+CONCATENATE(E305,I305)</f>
        <v/>
      </c>
      <c r="R306" s="15">
        <f>+J305</f>
        <v>0</v>
      </c>
      <c r="S306" s="16"/>
      <c r="T306" s="15">
        <f>+E305</f>
        <v>0</v>
      </c>
      <c r="U306" s="26" t="str">
        <f>IFERROR(LEFT(I305,FIND("*",I305)-1),"-")</f>
        <v>-</v>
      </c>
      <c r="V306" s="26" t="str">
        <f>IFERROR(RIGHT(I305,LEN(I305)-FIND("*",I305)),"-")</f>
        <v>-</v>
      </c>
      <c r="W306" s="27" t="str">
        <f t="shared" si="160"/>
        <v>-</v>
      </c>
      <c r="X306" s="27" t="str">
        <f t="shared" ref="X306" si="165">IFERROR(W306*J305,"-")</f>
        <v>-</v>
      </c>
      <c r="Z306" s="94" t="s">
        <v>81</v>
      </c>
    </row>
    <row r="307" spans="1:26" s="25" customFormat="1" ht="6.95" customHeight="1" x14ac:dyDescent="0.3">
      <c r="A307" s="10"/>
      <c r="B307" s="168"/>
      <c r="C307" s="169"/>
      <c r="D307" s="160"/>
      <c r="E307" s="161"/>
      <c r="F307" s="162"/>
      <c r="G307" s="163"/>
      <c r="H307" s="164"/>
      <c r="I307" s="163"/>
      <c r="J307" s="164"/>
      <c r="K307" s="163"/>
      <c r="L307" s="164"/>
      <c r="M307" s="11"/>
      <c r="N307" s="39"/>
      <c r="Q307" s="15" t="str">
        <f>+CONCATENATE(E305,K305)</f>
        <v/>
      </c>
      <c r="R307" s="15">
        <f>+L305</f>
        <v>0</v>
      </c>
      <c r="S307" s="16"/>
      <c r="T307" s="15">
        <f>+E305</f>
        <v>0</v>
      </c>
      <c r="U307" s="26" t="str">
        <f>IFERROR(LEFT(K305,FIND("*",K305)-1),"-")</f>
        <v>-</v>
      </c>
      <c r="V307" s="26" t="str">
        <f>IFERROR(RIGHT(K305,LEN(K305)-FIND("*",K305)),"-")</f>
        <v>-</v>
      </c>
      <c r="W307" s="27" t="str">
        <f t="shared" si="160"/>
        <v>-</v>
      </c>
      <c r="X307" s="27" t="str">
        <f>IFERROR(W307*L305,"-")</f>
        <v>-</v>
      </c>
      <c r="Z307" s="94" t="s">
        <v>81</v>
      </c>
    </row>
    <row r="308" spans="1:26" s="25" customFormat="1" ht="21" customHeight="1" thickBot="1" x14ac:dyDescent="0.35">
      <c r="A308" s="10"/>
      <c r="B308" s="170"/>
      <c r="C308" s="171"/>
      <c r="D308" s="172" t="s">
        <v>43</v>
      </c>
      <c r="E308" s="173"/>
      <c r="F308" s="173"/>
      <c r="G308" s="174"/>
      <c r="H308" s="174"/>
      <c r="I308" s="174"/>
      <c r="J308" s="174"/>
      <c r="K308" s="174"/>
      <c r="L308" s="174"/>
      <c r="M308" s="12"/>
      <c r="N308" s="39"/>
      <c r="U308" s="23"/>
      <c r="V308" s="23"/>
      <c r="Z308" s="95" t="s">
        <v>81</v>
      </c>
    </row>
    <row r="309" spans="1:26" s="25" customFormat="1" ht="9.9499999999999993" customHeight="1" thickBot="1" x14ac:dyDescent="0.35">
      <c r="A309" s="6"/>
      <c r="B309" s="14"/>
      <c r="C309" s="119">
        <v>789</v>
      </c>
      <c r="D309" s="58"/>
      <c r="E309" s="17"/>
      <c r="F309" s="58"/>
      <c r="G309" s="19"/>
      <c r="H309" s="19"/>
      <c r="I309" s="19"/>
      <c r="J309" s="19"/>
      <c r="K309" s="19"/>
      <c r="L309" s="19"/>
      <c r="M309" s="14"/>
      <c r="N309" s="39"/>
      <c r="Q309" s="1"/>
      <c r="R309" s="1"/>
      <c r="S309" s="1"/>
      <c r="T309" s="1"/>
      <c r="U309" s="24"/>
      <c r="V309" s="24"/>
      <c r="W309" s="1"/>
      <c r="X309" s="1"/>
      <c r="Z309" s="94" t="s">
        <v>81</v>
      </c>
    </row>
    <row r="310" spans="1:26" s="25" customFormat="1" ht="6.95" customHeight="1" x14ac:dyDescent="0.3">
      <c r="A310" s="165">
        <f>+A299+1</f>
        <v>29</v>
      </c>
      <c r="B310" s="166"/>
      <c r="C310" s="167"/>
      <c r="D310" s="160" t="s">
        <v>39</v>
      </c>
      <c r="E310" s="161"/>
      <c r="F310" s="162" t="s">
        <v>40</v>
      </c>
      <c r="G310" s="163"/>
      <c r="H310" s="164"/>
      <c r="I310" s="163"/>
      <c r="J310" s="164"/>
      <c r="K310" s="163"/>
      <c r="L310" s="164"/>
      <c r="M310" s="11"/>
      <c r="N310" s="39"/>
      <c r="Q310" s="15" t="str">
        <f>+CONCATENATE(E310,G310)</f>
        <v/>
      </c>
      <c r="R310" s="15">
        <f>+H310</f>
        <v>0</v>
      </c>
      <c r="S310" s="16"/>
      <c r="T310" s="15">
        <f>+E310</f>
        <v>0</v>
      </c>
      <c r="U310" s="26" t="str">
        <f>IFERROR(LEFT(G310,FIND("*",G310)-1),"-")</f>
        <v>-</v>
      </c>
      <c r="V310" s="26" t="str">
        <f>IFERROR(RIGHT(G310,LEN(G310)-FIND("*",G310)),"-")</f>
        <v>-</v>
      </c>
      <c r="W310" s="27" t="str">
        <f>IFERROR((U310+V310)*2/1000,"-")</f>
        <v>-</v>
      </c>
      <c r="X310" s="27" t="str">
        <f>IFERROR(W310*H310,"-")</f>
        <v>-</v>
      </c>
      <c r="Z310" s="94" t="s">
        <v>81</v>
      </c>
    </row>
    <row r="311" spans="1:26" s="25" customFormat="1" ht="6.95" customHeight="1" x14ac:dyDescent="0.3">
      <c r="A311" s="165"/>
      <c r="B311" s="168"/>
      <c r="C311" s="169"/>
      <c r="D311" s="160"/>
      <c r="E311" s="161"/>
      <c r="F311" s="162"/>
      <c r="G311" s="163"/>
      <c r="H311" s="164"/>
      <c r="I311" s="163"/>
      <c r="J311" s="164"/>
      <c r="K311" s="163"/>
      <c r="L311" s="164"/>
      <c r="M311" s="11"/>
      <c r="N311" s="39"/>
      <c r="Q311" s="15" t="str">
        <f>+CONCATENATE(E310,I310)</f>
        <v/>
      </c>
      <c r="R311" s="15">
        <f>+J310</f>
        <v>0</v>
      </c>
      <c r="S311" s="16"/>
      <c r="T311" s="15">
        <f>+E310</f>
        <v>0</v>
      </c>
      <c r="U311" s="26" t="str">
        <f>IFERROR(LEFT(I310,FIND("*",I310)-1),"-")</f>
        <v>-</v>
      </c>
      <c r="V311" s="26" t="str">
        <f>IFERROR(RIGHT(I310,LEN(I310)-FIND("*",I310)),"-")</f>
        <v>-</v>
      </c>
      <c r="W311" s="27" t="str">
        <f t="shared" ref="W311:W318" si="166">IFERROR((U311+V311)*2/1000,"-")</f>
        <v>-</v>
      </c>
      <c r="X311" s="27" t="str">
        <f>IFERROR(W311*J310,"-")</f>
        <v>-</v>
      </c>
      <c r="Z311" s="94" t="s">
        <v>81</v>
      </c>
    </row>
    <row r="312" spans="1:26" s="25" customFormat="1" ht="6.95" customHeight="1" x14ac:dyDescent="0.3">
      <c r="A312" s="165"/>
      <c r="B312" s="168"/>
      <c r="C312" s="169"/>
      <c r="D312" s="160"/>
      <c r="E312" s="161"/>
      <c r="F312" s="162"/>
      <c r="G312" s="163"/>
      <c r="H312" s="164"/>
      <c r="I312" s="163"/>
      <c r="J312" s="164"/>
      <c r="K312" s="163"/>
      <c r="L312" s="164"/>
      <c r="M312" s="11"/>
      <c r="N312" s="39"/>
      <c r="Q312" s="15" t="str">
        <f>+CONCATENATE(E310,K310)</f>
        <v/>
      </c>
      <c r="R312" s="15">
        <f>+L310</f>
        <v>0</v>
      </c>
      <c r="S312" s="16"/>
      <c r="T312" s="15">
        <f>+E310</f>
        <v>0</v>
      </c>
      <c r="U312" s="26" t="str">
        <f>IFERROR(LEFT(K310,FIND("*",K310)-1),"-")</f>
        <v>-</v>
      </c>
      <c r="V312" s="26" t="str">
        <f>IFERROR(RIGHT(K310,LEN(K310)-FIND("*",K310)),"-")</f>
        <v>-</v>
      </c>
      <c r="W312" s="27" t="str">
        <f t="shared" si="166"/>
        <v>-</v>
      </c>
      <c r="X312" s="27" t="str">
        <f>IFERROR(W312*L310,"-")</f>
        <v>-</v>
      </c>
      <c r="Z312" s="94" t="s">
        <v>81</v>
      </c>
    </row>
    <row r="313" spans="1:26" s="25" customFormat="1" ht="6.95" customHeight="1" x14ac:dyDescent="0.3">
      <c r="A313" s="13"/>
      <c r="B313" s="168"/>
      <c r="C313" s="169"/>
      <c r="D313" s="160" t="s">
        <v>39</v>
      </c>
      <c r="E313" s="161"/>
      <c r="F313" s="162" t="s">
        <v>40</v>
      </c>
      <c r="G313" s="163"/>
      <c r="H313" s="164"/>
      <c r="I313" s="163"/>
      <c r="J313" s="164"/>
      <c r="K313" s="163"/>
      <c r="L313" s="164"/>
      <c r="M313" s="11"/>
      <c r="N313" s="39"/>
      <c r="Q313" s="15" t="str">
        <f>+CONCATENATE(E313,G313)</f>
        <v/>
      </c>
      <c r="R313" s="15">
        <f>+H313</f>
        <v>0</v>
      </c>
      <c r="S313" s="16"/>
      <c r="T313" s="15">
        <f>+E313</f>
        <v>0</v>
      </c>
      <c r="U313" s="26" t="str">
        <f t="shared" ref="U313" si="167">IFERROR(LEFT(G313,FIND("*",G313)-1),"-")</f>
        <v>-</v>
      </c>
      <c r="V313" s="26" t="str">
        <f t="shared" ref="V313" si="168">IFERROR(RIGHT(G313,LEN(G313)-FIND("*",G313)),"-")</f>
        <v>-</v>
      </c>
      <c r="W313" s="27" t="str">
        <f t="shared" si="166"/>
        <v>-</v>
      </c>
      <c r="X313" s="27" t="str">
        <f>IFERROR(W313*H313,"-")</f>
        <v>-</v>
      </c>
      <c r="Z313" s="94" t="s">
        <v>81</v>
      </c>
    </row>
    <row r="314" spans="1:26" s="25" customFormat="1" ht="6.95" customHeight="1" x14ac:dyDescent="0.3">
      <c r="A314" s="10"/>
      <c r="B314" s="168"/>
      <c r="C314" s="169"/>
      <c r="D314" s="160"/>
      <c r="E314" s="161"/>
      <c r="F314" s="162"/>
      <c r="G314" s="163"/>
      <c r="H314" s="164"/>
      <c r="I314" s="163"/>
      <c r="J314" s="164"/>
      <c r="K314" s="163"/>
      <c r="L314" s="164"/>
      <c r="M314" s="11"/>
      <c r="N314" s="39"/>
      <c r="Q314" s="15" t="str">
        <f>+CONCATENATE(E313,I313)</f>
        <v/>
      </c>
      <c r="R314" s="15">
        <f>+J313</f>
        <v>0</v>
      </c>
      <c r="S314" s="16"/>
      <c r="T314" s="15">
        <f>+E313</f>
        <v>0</v>
      </c>
      <c r="U314" s="26" t="str">
        <f>IFERROR(LEFT(I313,FIND("*",I313)-1),"-")</f>
        <v>-</v>
      </c>
      <c r="V314" s="26" t="str">
        <f>IFERROR(RIGHT(I313,LEN(I313)-FIND("*",I313)),"-")</f>
        <v>-</v>
      </c>
      <c r="W314" s="27" t="str">
        <f t="shared" si="166"/>
        <v>-</v>
      </c>
      <c r="X314" s="27" t="str">
        <f>IFERROR(W314*J313,"-")</f>
        <v>-</v>
      </c>
      <c r="Z314" s="94" t="s">
        <v>81</v>
      </c>
    </row>
    <row r="315" spans="1:26" s="25" customFormat="1" ht="6.95" customHeight="1" x14ac:dyDescent="0.3">
      <c r="A315" s="10"/>
      <c r="B315" s="168"/>
      <c r="C315" s="169"/>
      <c r="D315" s="160"/>
      <c r="E315" s="161"/>
      <c r="F315" s="162"/>
      <c r="G315" s="163"/>
      <c r="H315" s="164"/>
      <c r="I315" s="163"/>
      <c r="J315" s="164"/>
      <c r="K315" s="163"/>
      <c r="L315" s="164"/>
      <c r="M315" s="11"/>
      <c r="N315" s="39"/>
      <c r="Q315" s="15" t="str">
        <f>+CONCATENATE(E313,K313)</f>
        <v/>
      </c>
      <c r="R315" s="15">
        <f>+L313</f>
        <v>0</v>
      </c>
      <c r="S315" s="16"/>
      <c r="T315" s="15">
        <f>+E313</f>
        <v>0</v>
      </c>
      <c r="U315" s="26" t="str">
        <f>IFERROR(LEFT(K313,FIND("*",K313)-1),"-")</f>
        <v>-</v>
      </c>
      <c r="V315" s="26" t="str">
        <f>IFERROR(RIGHT(K313,LEN(K313)-FIND("*",K313)),"-")</f>
        <v>-</v>
      </c>
      <c r="W315" s="27" t="str">
        <f t="shared" si="166"/>
        <v>-</v>
      </c>
      <c r="X315" s="27" t="str">
        <f>IFERROR(W315*L313,"-")</f>
        <v>-</v>
      </c>
      <c r="Z315" s="94" t="s">
        <v>81</v>
      </c>
    </row>
    <row r="316" spans="1:26" s="25" customFormat="1" ht="6.95" customHeight="1" x14ac:dyDescent="0.3">
      <c r="A316" s="13"/>
      <c r="B316" s="168"/>
      <c r="C316" s="169"/>
      <c r="D316" s="160" t="s">
        <v>39</v>
      </c>
      <c r="E316" s="161"/>
      <c r="F316" s="162" t="s">
        <v>40</v>
      </c>
      <c r="G316" s="163"/>
      <c r="H316" s="164"/>
      <c r="I316" s="163"/>
      <c r="J316" s="164"/>
      <c r="K316" s="163"/>
      <c r="L316" s="164"/>
      <c r="M316" s="11"/>
      <c r="N316" s="39"/>
      <c r="Q316" s="15" t="str">
        <f>+CONCATENATE(E316,G316)</f>
        <v/>
      </c>
      <c r="R316" s="15">
        <f>+H316</f>
        <v>0</v>
      </c>
      <c r="S316" s="16"/>
      <c r="T316" s="15">
        <f>+E316</f>
        <v>0</v>
      </c>
      <c r="U316" s="26" t="str">
        <f t="shared" ref="U316" si="169">IFERROR(LEFT(G316,FIND("*",G316)-1),"-")</f>
        <v>-</v>
      </c>
      <c r="V316" s="26" t="str">
        <f t="shared" ref="V316" si="170">IFERROR(RIGHT(G316,LEN(G316)-FIND("*",G316)),"-")</f>
        <v>-</v>
      </c>
      <c r="W316" s="27" t="str">
        <f t="shared" si="166"/>
        <v>-</v>
      </c>
      <c r="X316" s="27" t="str">
        <f>IFERROR(W316*H316,"-")</f>
        <v>-</v>
      </c>
      <c r="Z316" s="94" t="s">
        <v>81</v>
      </c>
    </row>
    <row r="317" spans="1:26" s="25" customFormat="1" ht="6.95" customHeight="1" x14ac:dyDescent="0.3">
      <c r="A317" s="10"/>
      <c r="B317" s="168"/>
      <c r="C317" s="169"/>
      <c r="D317" s="160"/>
      <c r="E317" s="161"/>
      <c r="F317" s="162"/>
      <c r="G317" s="163"/>
      <c r="H317" s="164"/>
      <c r="I317" s="163"/>
      <c r="J317" s="164"/>
      <c r="K317" s="163"/>
      <c r="L317" s="164"/>
      <c r="M317" s="11"/>
      <c r="N317" s="39"/>
      <c r="Q317" s="15" t="str">
        <f>+CONCATENATE(E316,I316)</f>
        <v/>
      </c>
      <c r="R317" s="15">
        <f>+J316</f>
        <v>0</v>
      </c>
      <c r="S317" s="16"/>
      <c r="T317" s="15">
        <f>+E316</f>
        <v>0</v>
      </c>
      <c r="U317" s="26" t="str">
        <f>IFERROR(LEFT(I316,FIND("*",I316)-1),"-")</f>
        <v>-</v>
      </c>
      <c r="V317" s="26" t="str">
        <f>IFERROR(RIGHT(I316,LEN(I316)-FIND("*",I316)),"-")</f>
        <v>-</v>
      </c>
      <c r="W317" s="27" t="str">
        <f t="shared" si="166"/>
        <v>-</v>
      </c>
      <c r="X317" s="27" t="str">
        <f t="shared" ref="X317" si="171">IFERROR(W317*J316,"-")</f>
        <v>-</v>
      </c>
      <c r="Z317" s="94" t="s">
        <v>81</v>
      </c>
    </row>
    <row r="318" spans="1:26" s="25" customFormat="1" ht="6.95" customHeight="1" x14ac:dyDescent="0.3">
      <c r="A318" s="10"/>
      <c r="B318" s="168"/>
      <c r="C318" s="169"/>
      <c r="D318" s="160"/>
      <c r="E318" s="161"/>
      <c r="F318" s="162"/>
      <c r="G318" s="163"/>
      <c r="H318" s="164"/>
      <c r="I318" s="163"/>
      <c r="J318" s="164"/>
      <c r="K318" s="163"/>
      <c r="L318" s="164"/>
      <c r="M318" s="11"/>
      <c r="N318" s="39"/>
      <c r="Q318" s="15" t="str">
        <f>+CONCATENATE(E316,K316)</f>
        <v/>
      </c>
      <c r="R318" s="15">
        <f>+L316</f>
        <v>0</v>
      </c>
      <c r="S318" s="16"/>
      <c r="T318" s="15">
        <f>+E316</f>
        <v>0</v>
      </c>
      <c r="U318" s="26" t="str">
        <f>IFERROR(LEFT(K316,FIND("*",K316)-1),"-")</f>
        <v>-</v>
      </c>
      <c r="V318" s="26" t="str">
        <f>IFERROR(RIGHT(K316,LEN(K316)-FIND("*",K316)),"-")</f>
        <v>-</v>
      </c>
      <c r="W318" s="27" t="str">
        <f t="shared" si="166"/>
        <v>-</v>
      </c>
      <c r="X318" s="27" t="str">
        <f>IFERROR(W318*L316,"-")</f>
        <v>-</v>
      </c>
      <c r="Z318" s="94" t="s">
        <v>81</v>
      </c>
    </row>
    <row r="319" spans="1:26" s="25" customFormat="1" ht="21" customHeight="1" thickBot="1" x14ac:dyDescent="0.35">
      <c r="A319" s="10"/>
      <c r="B319" s="170"/>
      <c r="C319" s="171"/>
      <c r="D319" s="172" t="s">
        <v>43</v>
      </c>
      <c r="E319" s="173"/>
      <c r="F319" s="173"/>
      <c r="G319" s="174"/>
      <c r="H319" s="174"/>
      <c r="I319" s="174"/>
      <c r="J319" s="174"/>
      <c r="K319" s="174"/>
      <c r="L319" s="174"/>
      <c r="M319" s="12"/>
      <c r="N319" s="39"/>
      <c r="U319" s="23"/>
      <c r="V319" s="23"/>
      <c r="Z319" s="95" t="s">
        <v>81</v>
      </c>
    </row>
    <row r="320" spans="1:26" s="25" customFormat="1" ht="9.9499999999999993" customHeight="1" thickBot="1" x14ac:dyDescent="0.35">
      <c r="A320" s="6"/>
      <c r="B320" s="14"/>
      <c r="C320" s="119">
        <v>790</v>
      </c>
      <c r="D320" s="58"/>
      <c r="E320" s="17"/>
      <c r="F320" s="58"/>
      <c r="G320" s="19"/>
      <c r="H320" s="19"/>
      <c r="I320" s="19"/>
      <c r="J320" s="19"/>
      <c r="K320" s="19"/>
      <c r="L320" s="19"/>
      <c r="M320" s="14"/>
      <c r="N320" s="39"/>
      <c r="Q320" s="1"/>
      <c r="R320" s="1"/>
      <c r="S320" s="1"/>
      <c r="T320" s="1"/>
      <c r="U320" s="24"/>
      <c r="V320" s="24"/>
      <c r="W320" s="1"/>
      <c r="X320" s="1"/>
      <c r="Z320" s="94" t="s">
        <v>81</v>
      </c>
    </row>
    <row r="321" spans="1:26" s="25" customFormat="1" ht="6.95" customHeight="1" x14ac:dyDescent="0.3">
      <c r="A321" s="165">
        <f>+A310+1</f>
        <v>30</v>
      </c>
      <c r="B321" s="166"/>
      <c r="C321" s="167"/>
      <c r="D321" s="160" t="s">
        <v>39</v>
      </c>
      <c r="E321" s="161"/>
      <c r="F321" s="162" t="s">
        <v>40</v>
      </c>
      <c r="G321" s="163"/>
      <c r="H321" s="164"/>
      <c r="I321" s="163"/>
      <c r="J321" s="164"/>
      <c r="K321" s="163"/>
      <c r="L321" s="164"/>
      <c r="M321" s="11"/>
      <c r="N321" s="39"/>
      <c r="Q321" s="15" t="str">
        <f>+CONCATENATE(E321,G321)</f>
        <v/>
      </c>
      <c r="R321" s="15">
        <f>+H321</f>
        <v>0</v>
      </c>
      <c r="S321" s="16"/>
      <c r="T321" s="15">
        <f>+E321</f>
        <v>0</v>
      </c>
      <c r="U321" s="26" t="str">
        <f>IFERROR(LEFT(G321,FIND("*",G321)-1),"-")</f>
        <v>-</v>
      </c>
      <c r="V321" s="26" t="str">
        <f>IFERROR(RIGHT(G321,LEN(G321)-FIND("*",G321)),"-")</f>
        <v>-</v>
      </c>
      <c r="W321" s="27" t="str">
        <f>IFERROR((U321+V321)*2/1000,"-")</f>
        <v>-</v>
      </c>
      <c r="X321" s="27" t="str">
        <f>IFERROR(W321*H321,"-")</f>
        <v>-</v>
      </c>
      <c r="Z321" s="94" t="s">
        <v>81</v>
      </c>
    </row>
    <row r="322" spans="1:26" s="25" customFormat="1" ht="6.95" customHeight="1" x14ac:dyDescent="0.3">
      <c r="A322" s="165"/>
      <c r="B322" s="168"/>
      <c r="C322" s="169"/>
      <c r="D322" s="160"/>
      <c r="E322" s="161"/>
      <c r="F322" s="162"/>
      <c r="G322" s="163"/>
      <c r="H322" s="164"/>
      <c r="I322" s="163"/>
      <c r="J322" s="164"/>
      <c r="K322" s="163"/>
      <c r="L322" s="164"/>
      <c r="M322" s="11"/>
      <c r="N322" s="39"/>
      <c r="Q322" s="15" t="str">
        <f>+CONCATENATE(E321,I321)</f>
        <v/>
      </c>
      <c r="R322" s="15">
        <f>+J321</f>
        <v>0</v>
      </c>
      <c r="S322" s="16"/>
      <c r="T322" s="15">
        <f>+E321</f>
        <v>0</v>
      </c>
      <c r="U322" s="26" t="str">
        <f>IFERROR(LEFT(I321,FIND("*",I321)-1),"-")</f>
        <v>-</v>
      </c>
      <c r="V322" s="26" t="str">
        <f>IFERROR(RIGHT(I321,LEN(I321)-FIND("*",I321)),"-")</f>
        <v>-</v>
      </c>
      <c r="W322" s="27" t="str">
        <f t="shared" ref="W322:W329" si="172">IFERROR((U322+V322)*2/1000,"-")</f>
        <v>-</v>
      </c>
      <c r="X322" s="27" t="str">
        <f>IFERROR(W322*J321,"-")</f>
        <v>-</v>
      </c>
      <c r="Z322" s="94" t="s">
        <v>81</v>
      </c>
    </row>
    <row r="323" spans="1:26" s="25" customFormat="1" ht="6.95" customHeight="1" x14ac:dyDescent="0.3">
      <c r="A323" s="165"/>
      <c r="B323" s="168"/>
      <c r="C323" s="169"/>
      <c r="D323" s="160"/>
      <c r="E323" s="161"/>
      <c r="F323" s="162"/>
      <c r="G323" s="163"/>
      <c r="H323" s="164"/>
      <c r="I323" s="163"/>
      <c r="J323" s="164"/>
      <c r="K323" s="163"/>
      <c r="L323" s="164"/>
      <c r="M323" s="11"/>
      <c r="N323" s="39"/>
      <c r="Q323" s="15" t="str">
        <f>+CONCATENATE(E321,K321)</f>
        <v/>
      </c>
      <c r="R323" s="15">
        <f>+L321</f>
        <v>0</v>
      </c>
      <c r="S323" s="16"/>
      <c r="T323" s="15">
        <f>+E321</f>
        <v>0</v>
      </c>
      <c r="U323" s="26" t="str">
        <f>IFERROR(LEFT(K321,FIND("*",K321)-1),"-")</f>
        <v>-</v>
      </c>
      <c r="V323" s="26" t="str">
        <f>IFERROR(RIGHT(K321,LEN(K321)-FIND("*",K321)),"-")</f>
        <v>-</v>
      </c>
      <c r="W323" s="27" t="str">
        <f t="shared" si="172"/>
        <v>-</v>
      </c>
      <c r="X323" s="27" t="str">
        <f>IFERROR(W323*L321,"-")</f>
        <v>-</v>
      </c>
      <c r="Z323" s="94" t="s">
        <v>81</v>
      </c>
    </row>
    <row r="324" spans="1:26" s="25" customFormat="1" ht="6.95" customHeight="1" x14ac:dyDescent="0.3">
      <c r="A324" s="13"/>
      <c r="B324" s="168"/>
      <c r="C324" s="169"/>
      <c r="D324" s="160" t="s">
        <v>39</v>
      </c>
      <c r="E324" s="161"/>
      <c r="F324" s="162" t="s">
        <v>40</v>
      </c>
      <c r="G324" s="163"/>
      <c r="H324" s="164"/>
      <c r="I324" s="163"/>
      <c r="J324" s="164"/>
      <c r="K324" s="163"/>
      <c r="L324" s="164"/>
      <c r="M324" s="11"/>
      <c r="N324" s="39"/>
      <c r="Q324" s="15" t="str">
        <f>+CONCATENATE(E324,G324)</f>
        <v/>
      </c>
      <c r="R324" s="15">
        <f>+H324</f>
        <v>0</v>
      </c>
      <c r="S324" s="16"/>
      <c r="T324" s="15">
        <f>+E324</f>
        <v>0</v>
      </c>
      <c r="U324" s="26" t="str">
        <f t="shared" ref="U324" si="173">IFERROR(LEFT(G324,FIND("*",G324)-1),"-")</f>
        <v>-</v>
      </c>
      <c r="V324" s="26" t="str">
        <f t="shared" ref="V324" si="174">IFERROR(RIGHT(G324,LEN(G324)-FIND("*",G324)),"-")</f>
        <v>-</v>
      </c>
      <c r="W324" s="27" t="str">
        <f t="shared" si="172"/>
        <v>-</v>
      </c>
      <c r="X324" s="27" t="str">
        <f>IFERROR(W324*H324,"-")</f>
        <v>-</v>
      </c>
      <c r="Z324" s="94" t="s">
        <v>81</v>
      </c>
    </row>
    <row r="325" spans="1:26" s="25" customFormat="1" ht="6.95" customHeight="1" x14ac:dyDescent="0.3">
      <c r="A325" s="10"/>
      <c r="B325" s="168"/>
      <c r="C325" s="169"/>
      <c r="D325" s="160"/>
      <c r="E325" s="161"/>
      <c r="F325" s="162"/>
      <c r="G325" s="163"/>
      <c r="H325" s="164"/>
      <c r="I325" s="163"/>
      <c r="J325" s="164"/>
      <c r="K325" s="163"/>
      <c r="L325" s="164"/>
      <c r="M325" s="11"/>
      <c r="N325" s="39"/>
      <c r="Q325" s="15" t="str">
        <f>+CONCATENATE(E324,I324)</f>
        <v/>
      </c>
      <c r="R325" s="15">
        <f>+J324</f>
        <v>0</v>
      </c>
      <c r="S325" s="16"/>
      <c r="T325" s="15">
        <f>+E324</f>
        <v>0</v>
      </c>
      <c r="U325" s="26" t="str">
        <f>IFERROR(LEFT(I324,FIND("*",I324)-1),"-")</f>
        <v>-</v>
      </c>
      <c r="V325" s="26" t="str">
        <f>IFERROR(RIGHT(I324,LEN(I324)-FIND("*",I324)),"-")</f>
        <v>-</v>
      </c>
      <c r="W325" s="27" t="str">
        <f t="shared" si="172"/>
        <v>-</v>
      </c>
      <c r="X325" s="27" t="str">
        <f>IFERROR(W325*J324,"-")</f>
        <v>-</v>
      </c>
      <c r="Z325" s="94" t="s">
        <v>81</v>
      </c>
    </row>
    <row r="326" spans="1:26" s="25" customFormat="1" ht="6.95" customHeight="1" x14ac:dyDescent="0.3">
      <c r="A326" s="10"/>
      <c r="B326" s="168"/>
      <c r="C326" s="169"/>
      <c r="D326" s="160"/>
      <c r="E326" s="161"/>
      <c r="F326" s="162"/>
      <c r="G326" s="163"/>
      <c r="H326" s="164"/>
      <c r="I326" s="163"/>
      <c r="J326" s="164"/>
      <c r="K326" s="163"/>
      <c r="L326" s="164"/>
      <c r="M326" s="11"/>
      <c r="N326" s="39"/>
      <c r="Q326" s="15" t="str">
        <f>+CONCATENATE(E324,K324)</f>
        <v/>
      </c>
      <c r="R326" s="15">
        <f>+L324</f>
        <v>0</v>
      </c>
      <c r="S326" s="16"/>
      <c r="T326" s="15">
        <f>+E324</f>
        <v>0</v>
      </c>
      <c r="U326" s="26" t="str">
        <f>IFERROR(LEFT(K324,FIND("*",K324)-1),"-")</f>
        <v>-</v>
      </c>
      <c r="V326" s="26" t="str">
        <f>IFERROR(RIGHT(K324,LEN(K324)-FIND("*",K324)),"-")</f>
        <v>-</v>
      </c>
      <c r="W326" s="27" t="str">
        <f t="shared" si="172"/>
        <v>-</v>
      </c>
      <c r="X326" s="27" t="str">
        <f>IFERROR(W326*L324,"-")</f>
        <v>-</v>
      </c>
      <c r="Z326" s="94" t="s">
        <v>81</v>
      </c>
    </row>
    <row r="327" spans="1:26" s="25" customFormat="1" ht="6.95" customHeight="1" x14ac:dyDescent="0.3">
      <c r="A327" s="13"/>
      <c r="B327" s="168"/>
      <c r="C327" s="169"/>
      <c r="D327" s="160" t="s">
        <v>39</v>
      </c>
      <c r="E327" s="161"/>
      <c r="F327" s="162" t="s">
        <v>40</v>
      </c>
      <c r="G327" s="163"/>
      <c r="H327" s="164"/>
      <c r="I327" s="163"/>
      <c r="J327" s="164"/>
      <c r="K327" s="163"/>
      <c r="L327" s="164"/>
      <c r="M327" s="11"/>
      <c r="N327" s="39"/>
      <c r="Q327" s="15" t="str">
        <f>+CONCATENATE(E327,G327)</f>
        <v/>
      </c>
      <c r="R327" s="15">
        <f>+H327</f>
        <v>0</v>
      </c>
      <c r="S327" s="16"/>
      <c r="T327" s="15">
        <f>+E327</f>
        <v>0</v>
      </c>
      <c r="U327" s="26" t="str">
        <f t="shared" ref="U327" si="175">IFERROR(LEFT(G327,FIND("*",G327)-1),"-")</f>
        <v>-</v>
      </c>
      <c r="V327" s="26" t="str">
        <f t="shared" ref="V327" si="176">IFERROR(RIGHT(G327,LEN(G327)-FIND("*",G327)),"-")</f>
        <v>-</v>
      </c>
      <c r="W327" s="27" t="str">
        <f t="shared" si="172"/>
        <v>-</v>
      </c>
      <c r="X327" s="27" t="str">
        <f>IFERROR(W327*H327,"-")</f>
        <v>-</v>
      </c>
      <c r="Z327" s="94" t="s">
        <v>81</v>
      </c>
    </row>
    <row r="328" spans="1:26" s="25" customFormat="1" ht="6.95" customHeight="1" x14ac:dyDescent="0.3">
      <c r="A328" s="10"/>
      <c r="B328" s="168"/>
      <c r="C328" s="169"/>
      <c r="D328" s="160"/>
      <c r="E328" s="161"/>
      <c r="F328" s="162"/>
      <c r="G328" s="163"/>
      <c r="H328" s="164"/>
      <c r="I328" s="163"/>
      <c r="J328" s="164"/>
      <c r="K328" s="163"/>
      <c r="L328" s="164"/>
      <c r="M328" s="11"/>
      <c r="N328" s="39"/>
      <c r="Q328" s="15" t="str">
        <f>+CONCATENATE(E327,I327)</f>
        <v/>
      </c>
      <c r="R328" s="15">
        <f>+J327</f>
        <v>0</v>
      </c>
      <c r="S328" s="16"/>
      <c r="T328" s="15">
        <f>+E327</f>
        <v>0</v>
      </c>
      <c r="U328" s="26" t="str">
        <f>IFERROR(LEFT(I327,FIND("*",I327)-1),"-")</f>
        <v>-</v>
      </c>
      <c r="V328" s="26" t="str">
        <f>IFERROR(RIGHT(I327,LEN(I327)-FIND("*",I327)),"-")</f>
        <v>-</v>
      </c>
      <c r="W328" s="27" t="str">
        <f t="shared" si="172"/>
        <v>-</v>
      </c>
      <c r="X328" s="27" t="str">
        <f t="shared" ref="X328" si="177">IFERROR(W328*J327,"-")</f>
        <v>-</v>
      </c>
      <c r="Z328" s="94" t="s">
        <v>81</v>
      </c>
    </row>
    <row r="329" spans="1:26" s="25" customFormat="1" ht="6.95" customHeight="1" x14ac:dyDescent="0.3">
      <c r="A329" s="10"/>
      <c r="B329" s="168"/>
      <c r="C329" s="169"/>
      <c r="D329" s="160"/>
      <c r="E329" s="161"/>
      <c r="F329" s="162"/>
      <c r="G329" s="163"/>
      <c r="H329" s="164"/>
      <c r="I329" s="163"/>
      <c r="J329" s="164"/>
      <c r="K329" s="163"/>
      <c r="L329" s="164"/>
      <c r="M329" s="11"/>
      <c r="N329" s="39"/>
      <c r="Q329" s="15" t="str">
        <f>+CONCATENATE(E327,K327)</f>
        <v/>
      </c>
      <c r="R329" s="15">
        <f>+L327</f>
        <v>0</v>
      </c>
      <c r="S329" s="16"/>
      <c r="T329" s="15">
        <f>+E327</f>
        <v>0</v>
      </c>
      <c r="U329" s="26" t="str">
        <f>IFERROR(LEFT(K327,FIND("*",K327)-1),"-")</f>
        <v>-</v>
      </c>
      <c r="V329" s="26" t="str">
        <f>IFERROR(RIGHT(K327,LEN(K327)-FIND("*",K327)),"-")</f>
        <v>-</v>
      </c>
      <c r="W329" s="27" t="str">
        <f t="shared" si="172"/>
        <v>-</v>
      </c>
      <c r="X329" s="27" t="str">
        <f>IFERROR(W329*L327,"-")</f>
        <v>-</v>
      </c>
      <c r="Z329" s="94" t="s">
        <v>81</v>
      </c>
    </row>
    <row r="330" spans="1:26" s="25" customFormat="1" ht="21" customHeight="1" thickBot="1" x14ac:dyDescent="0.35">
      <c r="A330" s="10"/>
      <c r="B330" s="170"/>
      <c r="C330" s="171"/>
      <c r="D330" s="172" t="s">
        <v>43</v>
      </c>
      <c r="E330" s="173"/>
      <c r="F330" s="173"/>
      <c r="G330" s="174"/>
      <c r="H330" s="174"/>
      <c r="I330" s="174"/>
      <c r="J330" s="174"/>
      <c r="K330" s="174"/>
      <c r="L330" s="174"/>
      <c r="M330" s="12"/>
      <c r="N330" s="39"/>
      <c r="U330" s="23"/>
      <c r="V330" s="23"/>
      <c r="Z330" s="95" t="s">
        <v>81</v>
      </c>
    </row>
    <row r="331" spans="1:26" s="25" customFormat="1" ht="9.9499999999999993" customHeight="1" thickBot="1" x14ac:dyDescent="0.35">
      <c r="A331" s="6"/>
      <c r="B331" s="14"/>
      <c r="C331" s="119">
        <v>791</v>
      </c>
      <c r="D331" s="58"/>
      <c r="E331" s="17"/>
      <c r="F331" s="58"/>
      <c r="G331" s="19"/>
      <c r="H331" s="19"/>
      <c r="I331" s="19"/>
      <c r="J331" s="19"/>
      <c r="K331" s="19"/>
      <c r="L331" s="19"/>
      <c r="M331" s="14"/>
      <c r="N331" s="39"/>
      <c r="Q331" s="1"/>
      <c r="R331" s="1"/>
      <c r="S331" s="1"/>
      <c r="T331" s="1"/>
      <c r="U331" s="24"/>
      <c r="V331" s="24"/>
      <c r="W331" s="1"/>
      <c r="X331" s="1"/>
      <c r="Z331" s="94" t="s">
        <v>81</v>
      </c>
    </row>
    <row r="332" spans="1:26" s="25" customFormat="1" ht="6.95" customHeight="1" x14ac:dyDescent="0.3">
      <c r="A332" s="165">
        <f>+A321+1</f>
        <v>31</v>
      </c>
      <c r="B332" s="166"/>
      <c r="C332" s="167"/>
      <c r="D332" s="160" t="s">
        <v>39</v>
      </c>
      <c r="E332" s="161"/>
      <c r="F332" s="162" t="s">
        <v>40</v>
      </c>
      <c r="G332" s="163"/>
      <c r="H332" s="164"/>
      <c r="I332" s="163"/>
      <c r="J332" s="164"/>
      <c r="K332" s="163"/>
      <c r="L332" s="164"/>
      <c r="M332" s="11"/>
      <c r="N332" s="39"/>
      <c r="Q332" s="15" t="str">
        <f>+CONCATENATE(E332,G332)</f>
        <v/>
      </c>
      <c r="R332" s="15">
        <f>+H332</f>
        <v>0</v>
      </c>
      <c r="S332" s="16"/>
      <c r="T332" s="15">
        <f>+E332</f>
        <v>0</v>
      </c>
      <c r="U332" s="26" t="str">
        <f>IFERROR(LEFT(G332,FIND("*",G332)-1),"-")</f>
        <v>-</v>
      </c>
      <c r="V332" s="26" t="str">
        <f>IFERROR(RIGHT(G332,LEN(G332)-FIND("*",G332)),"-")</f>
        <v>-</v>
      </c>
      <c r="W332" s="27" t="str">
        <f>IFERROR((U332+V332)*2/1000,"-")</f>
        <v>-</v>
      </c>
      <c r="X332" s="27" t="str">
        <f>IFERROR(W332*H332,"-")</f>
        <v>-</v>
      </c>
      <c r="Z332" s="94" t="s">
        <v>81</v>
      </c>
    </row>
    <row r="333" spans="1:26" s="25" customFormat="1" ht="6.95" customHeight="1" x14ac:dyDescent="0.3">
      <c r="A333" s="165"/>
      <c r="B333" s="168"/>
      <c r="C333" s="169"/>
      <c r="D333" s="160"/>
      <c r="E333" s="161"/>
      <c r="F333" s="162"/>
      <c r="G333" s="163"/>
      <c r="H333" s="164"/>
      <c r="I333" s="163"/>
      <c r="J333" s="164"/>
      <c r="K333" s="163"/>
      <c r="L333" s="164"/>
      <c r="M333" s="11"/>
      <c r="N333" s="39"/>
      <c r="Q333" s="15" t="str">
        <f>+CONCATENATE(E332,I332)</f>
        <v/>
      </c>
      <c r="R333" s="15">
        <f>+J332</f>
        <v>0</v>
      </c>
      <c r="S333" s="16"/>
      <c r="T333" s="15">
        <f>+E332</f>
        <v>0</v>
      </c>
      <c r="U333" s="26" t="str">
        <f>IFERROR(LEFT(I332,FIND("*",I332)-1),"-")</f>
        <v>-</v>
      </c>
      <c r="V333" s="26" t="str">
        <f>IFERROR(RIGHT(I332,LEN(I332)-FIND("*",I332)),"-")</f>
        <v>-</v>
      </c>
      <c r="W333" s="27" t="str">
        <f t="shared" ref="W333:W340" si="178">IFERROR((U333+V333)*2/1000,"-")</f>
        <v>-</v>
      </c>
      <c r="X333" s="27" t="str">
        <f>IFERROR(W333*J332,"-")</f>
        <v>-</v>
      </c>
      <c r="Z333" s="94" t="s">
        <v>81</v>
      </c>
    </row>
    <row r="334" spans="1:26" s="25" customFormat="1" ht="6.95" customHeight="1" x14ac:dyDescent="0.3">
      <c r="A334" s="165"/>
      <c r="B334" s="168"/>
      <c r="C334" s="169"/>
      <c r="D334" s="160"/>
      <c r="E334" s="161"/>
      <c r="F334" s="162"/>
      <c r="G334" s="163"/>
      <c r="H334" s="164"/>
      <c r="I334" s="163"/>
      <c r="J334" s="164"/>
      <c r="K334" s="163"/>
      <c r="L334" s="164"/>
      <c r="M334" s="11"/>
      <c r="N334" s="39"/>
      <c r="Q334" s="15" t="str">
        <f>+CONCATENATE(E332,K332)</f>
        <v/>
      </c>
      <c r="R334" s="15">
        <f>+L332</f>
        <v>0</v>
      </c>
      <c r="S334" s="16"/>
      <c r="T334" s="15">
        <f>+E332</f>
        <v>0</v>
      </c>
      <c r="U334" s="26" t="str">
        <f>IFERROR(LEFT(K332,FIND("*",K332)-1),"-")</f>
        <v>-</v>
      </c>
      <c r="V334" s="26" t="str">
        <f>IFERROR(RIGHT(K332,LEN(K332)-FIND("*",K332)),"-")</f>
        <v>-</v>
      </c>
      <c r="W334" s="27" t="str">
        <f t="shared" si="178"/>
        <v>-</v>
      </c>
      <c r="X334" s="27" t="str">
        <f>IFERROR(W334*L332,"-")</f>
        <v>-</v>
      </c>
      <c r="Z334" s="94" t="s">
        <v>81</v>
      </c>
    </row>
    <row r="335" spans="1:26" s="25" customFormat="1" ht="6.95" customHeight="1" x14ac:dyDescent="0.3">
      <c r="A335" s="13"/>
      <c r="B335" s="168"/>
      <c r="C335" s="169"/>
      <c r="D335" s="160" t="s">
        <v>39</v>
      </c>
      <c r="E335" s="161"/>
      <c r="F335" s="162" t="s">
        <v>40</v>
      </c>
      <c r="G335" s="163"/>
      <c r="H335" s="164"/>
      <c r="I335" s="163"/>
      <c r="J335" s="164"/>
      <c r="K335" s="163"/>
      <c r="L335" s="164"/>
      <c r="M335" s="11"/>
      <c r="N335" s="39"/>
      <c r="Q335" s="15" t="str">
        <f>+CONCATENATE(E335,G335)</f>
        <v/>
      </c>
      <c r="R335" s="15">
        <f>+H335</f>
        <v>0</v>
      </c>
      <c r="S335" s="16"/>
      <c r="T335" s="15">
        <f>+E335</f>
        <v>0</v>
      </c>
      <c r="U335" s="26" t="str">
        <f t="shared" ref="U335" si="179">IFERROR(LEFT(G335,FIND("*",G335)-1),"-")</f>
        <v>-</v>
      </c>
      <c r="V335" s="26" t="str">
        <f t="shared" ref="V335" si="180">IFERROR(RIGHT(G335,LEN(G335)-FIND("*",G335)),"-")</f>
        <v>-</v>
      </c>
      <c r="W335" s="27" t="str">
        <f t="shared" si="178"/>
        <v>-</v>
      </c>
      <c r="X335" s="27" t="str">
        <f>IFERROR(W335*H335,"-")</f>
        <v>-</v>
      </c>
      <c r="Z335" s="94" t="s">
        <v>81</v>
      </c>
    </row>
    <row r="336" spans="1:26" s="25" customFormat="1" ht="6.95" customHeight="1" x14ac:dyDescent="0.3">
      <c r="A336" s="10"/>
      <c r="B336" s="168"/>
      <c r="C336" s="169"/>
      <c r="D336" s="160"/>
      <c r="E336" s="161"/>
      <c r="F336" s="162"/>
      <c r="G336" s="163"/>
      <c r="H336" s="164"/>
      <c r="I336" s="163"/>
      <c r="J336" s="164"/>
      <c r="K336" s="163"/>
      <c r="L336" s="164"/>
      <c r="M336" s="11"/>
      <c r="N336" s="39"/>
      <c r="Q336" s="15" t="str">
        <f>+CONCATENATE(E335,I335)</f>
        <v/>
      </c>
      <c r="R336" s="15">
        <f>+J335</f>
        <v>0</v>
      </c>
      <c r="S336" s="16"/>
      <c r="T336" s="15">
        <f>+E335</f>
        <v>0</v>
      </c>
      <c r="U336" s="26" t="str">
        <f>IFERROR(LEFT(I335,FIND("*",I335)-1),"-")</f>
        <v>-</v>
      </c>
      <c r="V336" s="26" t="str">
        <f>IFERROR(RIGHT(I335,LEN(I335)-FIND("*",I335)),"-")</f>
        <v>-</v>
      </c>
      <c r="W336" s="27" t="str">
        <f t="shared" si="178"/>
        <v>-</v>
      </c>
      <c r="X336" s="27" t="str">
        <f>IFERROR(W336*J335,"-")</f>
        <v>-</v>
      </c>
      <c r="Z336" s="94" t="s">
        <v>81</v>
      </c>
    </row>
    <row r="337" spans="1:26" s="25" customFormat="1" ht="6.95" customHeight="1" x14ac:dyDescent="0.3">
      <c r="A337" s="10"/>
      <c r="B337" s="168"/>
      <c r="C337" s="169"/>
      <c r="D337" s="160"/>
      <c r="E337" s="161"/>
      <c r="F337" s="162"/>
      <c r="G337" s="163"/>
      <c r="H337" s="164"/>
      <c r="I337" s="163"/>
      <c r="J337" s="164"/>
      <c r="K337" s="163"/>
      <c r="L337" s="164"/>
      <c r="M337" s="11"/>
      <c r="N337" s="39"/>
      <c r="Q337" s="15" t="str">
        <f>+CONCATENATE(E335,K335)</f>
        <v/>
      </c>
      <c r="R337" s="15">
        <f>+L335</f>
        <v>0</v>
      </c>
      <c r="S337" s="16"/>
      <c r="T337" s="15">
        <f>+E335</f>
        <v>0</v>
      </c>
      <c r="U337" s="26" t="str">
        <f>IFERROR(LEFT(K335,FIND("*",K335)-1),"-")</f>
        <v>-</v>
      </c>
      <c r="V337" s="26" t="str">
        <f>IFERROR(RIGHT(K335,LEN(K335)-FIND("*",K335)),"-")</f>
        <v>-</v>
      </c>
      <c r="W337" s="27" t="str">
        <f t="shared" si="178"/>
        <v>-</v>
      </c>
      <c r="X337" s="27" t="str">
        <f>IFERROR(W337*L335,"-")</f>
        <v>-</v>
      </c>
      <c r="Z337" s="94" t="s">
        <v>81</v>
      </c>
    </row>
    <row r="338" spans="1:26" s="25" customFormat="1" ht="6.95" customHeight="1" x14ac:dyDescent="0.3">
      <c r="A338" s="13"/>
      <c r="B338" s="168"/>
      <c r="C338" s="169"/>
      <c r="D338" s="160" t="s">
        <v>39</v>
      </c>
      <c r="E338" s="161"/>
      <c r="F338" s="162" t="s">
        <v>40</v>
      </c>
      <c r="G338" s="163"/>
      <c r="H338" s="164"/>
      <c r="I338" s="163"/>
      <c r="J338" s="164"/>
      <c r="K338" s="163"/>
      <c r="L338" s="164"/>
      <c r="M338" s="11"/>
      <c r="N338" s="39"/>
      <c r="Q338" s="15" t="str">
        <f>+CONCATENATE(E338,G338)</f>
        <v/>
      </c>
      <c r="R338" s="15">
        <f>+H338</f>
        <v>0</v>
      </c>
      <c r="S338" s="16"/>
      <c r="T338" s="15">
        <f>+E338</f>
        <v>0</v>
      </c>
      <c r="U338" s="26" t="str">
        <f t="shared" ref="U338" si="181">IFERROR(LEFT(G338,FIND("*",G338)-1),"-")</f>
        <v>-</v>
      </c>
      <c r="V338" s="26" t="str">
        <f t="shared" ref="V338" si="182">IFERROR(RIGHT(G338,LEN(G338)-FIND("*",G338)),"-")</f>
        <v>-</v>
      </c>
      <c r="W338" s="27" t="str">
        <f t="shared" si="178"/>
        <v>-</v>
      </c>
      <c r="X338" s="27" t="str">
        <f>IFERROR(W338*H338,"-")</f>
        <v>-</v>
      </c>
      <c r="Z338" s="94" t="s">
        <v>81</v>
      </c>
    </row>
    <row r="339" spans="1:26" s="25" customFormat="1" ht="6.95" customHeight="1" x14ac:dyDescent="0.3">
      <c r="A339" s="10"/>
      <c r="B339" s="168"/>
      <c r="C339" s="169"/>
      <c r="D339" s="160"/>
      <c r="E339" s="161"/>
      <c r="F339" s="162"/>
      <c r="G339" s="163"/>
      <c r="H339" s="164"/>
      <c r="I339" s="163"/>
      <c r="J339" s="164"/>
      <c r="K339" s="163"/>
      <c r="L339" s="164"/>
      <c r="M339" s="11"/>
      <c r="N339" s="39"/>
      <c r="Q339" s="15" t="str">
        <f>+CONCATENATE(E338,I338)</f>
        <v/>
      </c>
      <c r="R339" s="15">
        <f>+J338</f>
        <v>0</v>
      </c>
      <c r="S339" s="16"/>
      <c r="T339" s="15">
        <f>+E338</f>
        <v>0</v>
      </c>
      <c r="U339" s="26" t="str">
        <f>IFERROR(LEFT(I338,FIND("*",I338)-1),"-")</f>
        <v>-</v>
      </c>
      <c r="V339" s="26" t="str">
        <f>IFERROR(RIGHT(I338,LEN(I338)-FIND("*",I338)),"-")</f>
        <v>-</v>
      </c>
      <c r="W339" s="27" t="str">
        <f t="shared" si="178"/>
        <v>-</v>
      </c>
      <c r="X339" s="27" t="str">
        <f t="shared" ref="X339" si="183">IFERROR(W339*J338,"-")</f>
        <v>-</v>
      </c>
      <c r="Z339" s="94" t="s">
        <v>81</v>
      </c>
    </row>
    <row r="340" spans="1:26" s="25" customFormat="1" ht="6.95" customHeight="1" x14ac:dyDescent="0.3">
      <c r="A340" s="10"/>
      <c r="B340" s="168"/>
      <c r="C340" s="169"/>
      <c r="D340" s="160"/>
      <c r="E340" s="161"/>
      <c r="F340" s="162"/>
      <c r="G340" s="163"/>
      <c r="H340" s="164"/>
      <c r="I340" s="163"/>
      <c r="J340" s="164"/>
      <c r="K340" s="163"/>
      <c r="L340" s="164"/>
      <c r="M340" s="11"/>
      <c r="N340" s="39"/>
      <c r="Q340" s="15" t="str">
        <f>+CONCATENATE(E338,K338)</f>
        <v/>
      </c>
      <c r="R340" s="15">
        <f>+L338</f>
        <v>0</v>
      </c>
      <c r="S340" s="16"/>
      <c r="T340" s="15">
        <f>+E338</f>
        <v>0</v>
      </c>
      <c r="U340" s="26" t="str">
        <f>IFERROR(LEFT(K338,FIND("*",K338)-1),"-")</f>
        <v>-</v>
      </c>
      <c r="V340" s="26" t="str">
        <f>IFERROR(RIGHT(K338,LEN(K338)-FIND("*",K338)),"-")</f>
        <v>-</v>
      </c>
      <c r="W340" s="27" t="str">
        <f t="shared" si="178"/>
        <v>-</v>
      </c>
      <c r="X340" s="27" t="str">
        <f>IFERROR(W340*L338,"-")</f>
        <v>-</v>
      </c>
      <c r="Z340" s="94" t="s">
        <v>81</v>
      </c>
    </row>
    <row r="341" spans="1:26" s="25" customFormat="1" ht="21" customHeight="1" thickBot="1" x14ac:dyDescent="0.35">
      <c r="A341" s="10"/>
      <c r="B341" s="170"/>
      <c r="C341" s="171"/>
      <c r="D341" s="172" t="s">
        <v>43</v>
      </c>
      <c r="E341" s="173"/>
      <c r="F341" s="173"/>
      <c r="G341" s="174"/>
      <c r="H341" s="174"/>
      <c r="I341" s="174"/>
      <c r="J341" s="174"/>
      <c r="K341" s="174"/>
      <c r="L341" s="174"/>
      <c r="M341" s="12"/>
      <c r="N341" s="39"/>
      <c r="U341" s="23"/>
      <c r="V341" s="23"/>
      <c r="Z341" s="95" t="s">
        <v>81</v>
      </c>
    </row>
    <row r="342" spans="1:26" s="25" customFormat="1" ht="9.9499999999999993" customHeight="1" thickBot="1" x14ac:dyDescent="0.35">
      <c r="A342" s="6"/>
      <c r="B342" s="14"/>
      <c r="C342" s="119">
        <v>792</v>
      </c>
      <c r="D342" s="58"/>
      <c r="E342" s="17"/>
      <c r="F342" s="58"/>
      <c r="G342" s="19"/>
      <c r="H342" s="19"/>
      <c r="I342" s="19"/>
      <c r="J342" s="19"/>
      <c r="K342" s="19"/>
      <c r="L342" s="19"/>
      <c r="M342" s="14"/>
      <c r="N342" s="39"/>
      <c r="Q342" s="1"/>
      <c r="R342" s="1"/>
      <c r="S342" s="1"/>
      <c r="T342" s="1"/>
      <c r="U342" s="24"/>
      <c r="V342" s="24"/>
      <c r="W342" s="1"/>
      <c r="X342" s="1"/>
      <c r="Z342" s="94" t="s">
        <v>81</v>
      </c>
    </row>
    <row r="343" spans="1:26" s="25" customFormat="1" ht="6.95" customHeight="1" x14ac:dyDescent="0.3">
      <c r="A343" s="165">
        <f>+A332+1</f>
        <v>32</v>
      </c>
      <c r="B343" s="166"/>
      <c r="C343" s="167"/>
      <c r="D343" s="160" t="s">
        <v>39</v>
      </c>
      <c r="E343" s="161"/>
      <c r="F343" s="162" t="s">
        <v>40</v>
      </c>
      <c r="G343" s="163"/>
      <c r="H343" s="164"/>
      <c r="I343" s="163"/>
      <c r="J343" s="164"/>
      <c r="K343" s="163"/>
      <c r="L343" s="164"/>
      <c r="M343" s="11"/>
      <c r="N343" s="39"/>
      <c r="Q343" s="15" t="str">
        <f>+CONCATENATE(E343,G343)</f>
        <v/>
      </c>
      <c r="R343" s="15">
        <f>+H343</f>
        <v>0</v>
      </c>
      <c r="S343" s="16"/>
      <c r="T343" s="15">
        <f>+E343</f>
        <v>0</v>
      </c>
      <c r="U343" s="26" t="str">
        <f>IFERROR(LEFT(G343,FIND("*",G343)-1),"-")</f>
        <v>-</v>
      </c>
      <c r="V343" s="26" t="str">
        <f>IFERROR(RIGHT(G343,LEN(G343)-FIND("*",G343)),"-")</f>
        <v>-</v>
      </c>
      <c r="W343" s="27" t="str">
        <f>IFERROR((U343+V343)*2/1000,"-")</f>
        <v>-</v>
      </c>
      <c r="X343" s="27" t="str">
        <f>IFERROR(W343*H343,"-")</f>
        <v>-</v>
      </c>
      <c r="Z343" s="94" t="s">
        <v>81</v>
      </c>
    </row>
    <row r="344" spans="1:26" s="25" customFormat="1" ht="6.95" customHeight="1" x14ac:dyDescent="0.3">
      <c r="A344" s="165"/>
      <c r="B344" s="168"/>
      <c r="C344" s="169"/>
      <c r="D344" s="160"/>
      <c r="E344" s="161"/>
      <c r="F344" s="162"/>
      <c r="G344" s="163"/>
      <c r="H344" s="164"/>
      <c r="I344" s="163"/>
      <c r="J344" s="164"/>
      <c r="K344" s="163"/>
      <c r="L344" s="164"/>
      <c r="M344" s="11"/>
      <c r="N344" s="39"/>
      <c r="Q344" s="15" t="str">
        <f>+CONCATENATE(E343,I343)</f>
        <v/>
      </c>
      <c r="R344" s="15">
        <f>+J343</f>
        <v>0</v>
      </c>
      <c r="S344" s="16"/>
      <c r="T344" s="15">
        <f>+E343</f>
        <v>0</v>
      </c>
      <c r="U344" s="26" t="str">
        <f>IFERROR(LEFT(I343,FIND("*",I343)-1),"-")</f>
        <v>-</v>
      </c>
      <c r="V344" s="26" t="str">
        <f>IFERROR(RIGHT(I343,LEN(I343)-FIND("*",I343)),"-")</f>
        <v>-</v>
      </c>
      <c r="W344" s="27" t="str">
        <f t="shared" ref="W344:W351" si="184">IFERROR((U344+V344)*2/1000,"-")</f>
        <v>-</v>
      </c>
      <c r="X344" s="27" t="str">
        <f>IFERROR(W344*J343,"-")</f>
        <v>-</v>
      </c>
      <c r="Z344" s="94" t="s">
        <v>81</v>
      </c>
    </row>
    <row r="345" spans="1:26" s="25" customFormat="1" ht="6.95" customHeight="1" x14ac:dyDescent="0.3">
      <c r="A345" s="165"/>
      <c r="B345" s="168"/>
      <c r="C345" s="169"/>
      <c r="D345" s="160"/>
      <c r="E345" s="161"/>
      <c r="F345" s="162"/>
      <c r="G345" s="163"/>
      <c r="H345" s="164"/>
      <c r="I345" s="163"/>
      <c r="J345" s="164"/>
      <c r="K345" s="163"/>
      <c r="L345" s="164"/>
      <c r="M345" s="11"/>
      <c r="N345" s="39"/>
      <c r="Q345" s="15" t="str">
        <f>+CONCATENATE(E343,K343)</f>
        <v/>
      </c>
      <c r="R345" s="15">
        <f>+L343</f>
        <v>0</v>
      </c>
      <c r="S345" s="16"/>
      <c r="T345" s="15">
        <f>+E343</f>
        <v>0</v>
      </c>
      <c r="U345" s="26" t="str">
        <f>IFERROR(LEFT(K343,FIND("*",K343)-1),"-")</f>
        <v>-</v>
      </c>
      <c r="V345" s="26" t="str">
        <f>IFERROR(RIGHT(K343,LEN(K343)-FIND("*",K343)),"-")</f>
        <v>-</v>
      </c>
      <c r="W345" s="27" t="str">
        <f t="shared" si="184"/>
        <v>-</v>
      </c>
      <c r="X345" s="27" t="str">
        <f>IFERROR(W345*L343,"-")</f>
        <v>-</v>
      </c>
      <c r="Z345" s="94" t="s">
        <v>81</v>
      </c>
    </row>
    <row r="346" spans="1:26" s="25" customFormat="1" ht="6.95" customHeight="1" x14ac:dyDescent="0.3">
      <c r="A346" s="13"/>
      <c r="B346" s="168"/>
      <c r="C346" s="169"/>
      <c r="D346" s="160" t="s">
        <v>39</v>
      </c>
      <c r="E346" s="161"/>
      <c r="F346" s="162" t="s">
        <v>40</v>
      </c>
      <c r="G346" s="163"/>
      <c r="H346" s="164"/>
      <c r="I346" s="163"/>
      <c r="J346" s="164"/>
      <c r="K346" s="163"/>
      <c r="L346" s="164"/>
      <c r="M346" s="11"/>
      <c r="N346" s="39"/>
      <c r="Q346" s="15" t="str">
        <f>+CONCATENATE(E346,G346)</f>
        <v/>
      </c>
      <c r="R346" s="15">
        <f>+H346</f>
        <v>0</v>
      </c>
      <c r="S346" s="16"/>
      <c r="T346" s="15">
        <f>+E346</f>
        <v>0</v>
      </c>
      <c r="U346" s="26" t="str">
        <f t="shared" ref="U346" si="185">IFERROR(LEFT(G346,FIND("*",G346)-1),"-")</f>
        <v>-</v>
      </c>
      <c r="V346" s="26" t="str">
        <f t="shared" ref="V346" si="186">IFERROR(RIGHT(G346,LEN(G346)-FIND("*",G346)),"-")</f>
        <v>-</v>
      </c>
      <c r="W346" s="27" t="str">
        <f t="shared" si="184"/>
        <v>-</v>
      </c>
      <c r="X346" s="27" t="str">
        <f>IFERROR(W346*H346,"-")</f>
        <v>-</v>
      </c>
      <c r="Z346" s="94" t="s">
        <v>81</v>
      </c>
    </row>
    <row r="347" spans="1:26" s="25" customFormat="1" ht="6.95" customHeight="1" x14ac:dyDescent="0.3">
      <c r="A347" s="10"/>
      <c r="B347" s="168"/>
      <c r="C347" s="169"/>
      <c r="D347" s="160"/>
      <c r="E347" s="161"/>
      <c r="F347" s="162"/>
      <c r="G347" s="163"/>
      <c r="H347" s="164"/>
      <c r="I347" s="163"/>
      <c r="J347" s="164"/>
      <c r="K347" s="163"/>
      <c r="L347" s="164"/>
      <c r="M347" s="11"/>
      <c r="N347" s="39"/>
      <c r="Q347" s="15" t="str">
        <f>+CONCATENATE(E346,I346)</f>
        <v/>
      </c>
      <c r="R347" s="15">
        <f>+J346</f>
        <v>0</v>
      </c>
      <c r="S347" s="16"/>
      <c r="T347" s="15">
        <f>+E346</f>
        <v>0</v>
      </c>
      <c r="U347" s="26" t="str">
        <f>IFERROR(LEFT(I346,FIND("*",I346)-1),"-")</f>
        <v>-</v>
      </c>
      <c r="V347" s="26" t="str">
        <f>IFERROR(RIGHT(I346,LEN(I346)-FIND("*",I346)),"-")</f>
        <v>-</v>
      </c>
      <c r="W347" s="27" t="str">
        <f t="shared" si="184"/>
        <v>-</v>
      </c>
      <c r="X347" s="27" t="str">
        <f>IFERROR(W347*J346,"-")</f>
        <v>-</v>
      </c>
      <c r="Z347" s="94" t="s">
        <v>81</v>
      </c>
    </row>
    <row r="348" spans="1:26" s="25" customFormat="1" ht="6.95" customHeight="1" x14ac:dyDescent="0.3">
      <c r="A348" s="10"/>
      <c r="B348" s="168"/>
      <c r="C348" s="169"/>
      <c r="D348" s="160"/>
      <c r="E348" s="161"/>
      <c r="F348" s="162"/>
      <c r="G348" s="163"/>
      <c r="H348" s="164"/>
      <c r="I348" s="163"/>
      <c r="J348" s="164"/>
      <c r="K348" s="163"/>
      <c r="L348" s="164"/>
      <c r="M348" s="11"/>
      <c r="N348" s="39"/>
      <c r="Q348" s="15" t="str">
        <f>+CONCATENATE(E346,K346)</f>
        <v/>
      </c>
      <c r="R348" s="15">
        <f>+L346</f>
        <v>0</v>
      </c>
      <c r="S348" s="16"/>
      <c r="T348" s="15">
        <f>+E346</f>
        <v>0</v>
      </c>
      <c r="U348" s="26" t="str">
        <f>IFERROR(LEFT(K346,FIND("*",K346)-1),"-")</f>
        <v>-</v>
      </c>
      <c r="V348" s="26" t="str">
        <f>IFERROR(RIGHT(K346,LEN(K346)-FIND("*",K346)),"-")</f>
        <v>-</v>
      </c>
      <c r="W348" s="27" t="str">
        <f t="shared" si="184"/>
        <v>-</v>
      </c>
      <c r="X348" s="27" t="str">
        <f>IFERROR(W348*L346,"-")</f>
        <v>-</v>
      </c>
      <c r="Z348" s="94" t="s">
        <v>81</v>
      </c>
    </row>
    <row r="349" spans="1:26" s="25" customFormat="1" ht="6.95" customHeight="1" x14ac:dyDescent="0.3">
      <c r="A349" s="13"/>
      <c r="B349" s="168"/>
      <c r="C349" s="169"/>
      <c r="D349" s="160" t="s">
        <v>39</v>
      </c>
      <c r="E349" s="161"/>
      <c r="F349" s="162" t="s">
        <v>40</v>
      </c>
      <c r="G349" s="163"/>
      <c r="H349" s="164"/>
      <c r="I349" s="163"/>
      <c r="J349" s="164"/>
      <c r="K349" s="163"/>
      <c r="L349" s="164"/>
      <c r="M349" s="11"/>
      <c r="N349" s="39"/>
      <c r="Q349" s="15" t="str">
        <f>+CONCATENATE(E349,G349)</f>
        <v/>
      </c>
      <c r="R349" s="15">
        <f>+H349</f>
        <v>0</v>
      </c>
      <c r="S349" s="16"/>
      <c r="T349" s="15">
        <f>+E349</f>
        <v>0</v>
      </c>
      <c r="U349" s="26" t="str">
        <f t="shared" ref="U349" si="187">IFERROR(LEFT(G349,FIND("*",G349)-1),"-")</f>
        <v>-</v>
      </c>
      <c r="V349" s="26" t="str">
        <f t="shared" ref="V349" si="188">IFERROR(RIGHT(G349,LEN(G349)-FIND("*",G349)),"-")</f>
        <v>-</v>
      </c>
      <c r="W349" s="27" t="str">
        <f t="shared" si="184"/>
        <v>-</v>
      </c>
      <c r="X349" s="27" t="str">
        <f>IFERROR(W349*H349,"-")</f>
        <v>-</v>
      </c>
      <c r="Z349" s="94" t="s">
        <v>81</v>
      </c>
    </row>
    <row r="350" spans="1:26" s="25" customFormat="1" ht="6.95" customHeight="1" x14ac:dyDescent="0.3">
      <c r="A350" s="10"/>
      <c r="B350" s="168"/>
      <c r="C350" s="169"/>
      <c r="D350" s="160"/>
      <c r="E350" s="161"/>
      <c r="F350" s="162"/>
      <c r="G350" s="163"/>
      <c r="H350" s="164"/>
      <c r="I350" s="163"/>
      <c r="J350" s="164"/>
      <c r="K350" s="163"/>
      <c r="L350" s="164"/>
      <c r="M350" s="11"/>
      <c r="N350" s="39"/>
      <c r="Q350" s="15" t="str">
        <f>+CONCATENATE(E349,I349)</f>
        <v/>
      </c>
      <c r="R350" s="15">
        <f>+J349</f>
        <v>0</v>
      </c>
      <c r="S350" s="16"/>
      <c r="T350" s="15">
        <f>+E349</f>
        <v>0</v>
      </c>
      <c r="U350" s="26" t="str">
        <f>IFERROR(LEFT(I349,FIND("*",I349)-1),"-")</f>
        <v>-</v>
      </c>
      <c r="V350" s="26" t="str">
        <f>IFERROR(RIGHT(I349,LEN(I349)-FIND("*",I349)),"-")</f>
        <v>-</v>
      </c>
      <c r="W350" s="27" t="str">
        <f t="shared" si="184"/>
        <v>-</v>
      </c>
      <c r="X350" s="27" t="str">
        <f t="shared" ref="X350" si="189">IFERROR(W350*J349,"-")</f>
        <v>-</v>
      </c>
      <c r="Z350" s="94" t="s">
        <v>81</v>
      </c>
    </row>
    <row r="351" spans="1:26" s="25" customFormat="1" ht="6.95" customHeight="1" x14ac:dyDescent="0.3">
      <c r="A351" s="10"/>
      <c r="B351" s="168"/>
      <c r="C351" s="169"/>
      <c r="D351" s="160"/>
      <c r="E351" s="161"/>
      <c r="F351" s="162"/>
      <c r="G351" s="163"/>
      <c r="H351" s="164"/>
      <c r="I351" s="163"/>
      <c r="J351" s="164"/>
      <c r="K351" s="163"/>
      <c r="L351" s="164"/>
      <c r="M351" s="11"/>
      <c r="N351" s="39"/>
      <c r="Q351" s="15" t="str">
        <f>+CONCATENATE(E349,K349)</f>
        <v/>
      </c>
      <c r="R351" s="15">
        <f>+L349</f>
        <v>0</v>
      </c>
      <c r="S351" s="16"/>
      <c r="T351" s="15">
        <f>+E349</f>
        <v>0</v>
      </c>
      <c r="U351" s="26" t="str">
        <f>IFERROR(LEFT(K349,FIND("*",K349)-1),"-")</f>
        <v>-</v>
      </c>
      <c r="V351" s="26" t="str">
        <f>IFERROR(RIGHT(K349,LEN(K349)-FIND("*",K349)),"-")</f>
        <v>-</v>
      </c>
      <c r="W351" s="27" t="str">
        <f t="shared" si="184"/>
        <v>-</v>
      </c>
      <c r="X351" s="27" t="str">
        <f>IFERROR(W351*L349,"-")</f>
        <v>-</v>
      </c>
      <c r="Z351" s="94" t="s">
        <v>81</v>
      </c>
    </row>
    <row r="352" spans="1:26" s="25" customFormat="1" ht="21" customHeight="1" thickBot="1" x14ac:dyDescent="0.35">
      <c r="A352" s="10"/>
      <c r="B352" s="170"/>
      <c r="C352" s="171"/>
      <c r="D352" s="172" t="s">
        <v>43</v>
      </c>
      <c r="E352" s="173"/>
      <c r="F352" s="173"/>
      <c r="G352" s="174"/>
      <c r="H352" s="174"/>
      <c r="I352" s="174"/>
      <c r="J352" s="174"/>
      <c r="K352" s="174"/>
      <c r="L352" s="174"/>
      <c r="M352" s="12"/>
      <c r="N352" s="39"/>
      <c r="U352" s="23"/>
      <c r="V352" s="23"/>
      <c r="Z352" s="95" t="s">
        <v>81</v>
      </c>
    </row>
    <row r="353" spans="1:26" s="25" customFormat="1" ht="9.9499999999999993" customHeight="1" thickBot="1" x14ac:dyDescent="0.35">
      <c r="A353" s="6"/>
      <c r="B353" s="14"/>
      <c r="C353" s="119">
        <v>793</v>
      </c>
      <c r="D353" s="58"/>
      <c r="E353" s="17"/>
      <c r="F353" s="58"/>
      <c r="G353" s="19"/>
      <c r="H353" s="19"/>
      <c r="I353" s="19"/>
      <c r="J353" s="19"/>
      <c r="K353" s="19"/>
      <c r="L353" s="19"/>
      <c r="M353" s="14"/>
      <c r="N353" s="39"/>
      <c r="Q353" s="1"/>
      <c r="R353" s="1"/>
      <c r="S353" s="1"/>
      <c r="T353" s="1"/>
      <c r="U353" s="24"/>
      <c r="V353" s="24"/>
      <c r="W353" s="1"/>
      <c r="X353" s="1"/>
      <c r="Z353" s="94" t="s">
        <v>81</v>
      </c>
    </row>
    <row r="354" spans="1:26" s="25" customFormat="1" ht="6.95" customHeight="1" x14ac:dyDescent="0.3">
      <c r="A354" s="165">
        <f>+A343+1</f>
        <v>33</v>
      </c>
      <c r="B354" s="166"/>
      <c r="C354" s="167"/>
      <c r="D354" s="160" t="s">
        <v>39</v>
      </c>
      <c r="E354" s="161"/>
      <c r="F354" s="162" t="s">
        <v>40</v>
      </c>
      <c r="G354" s="163"/>
      <c r="H354" s="164"/>
      <c r="I354" s="163"/>
      <c r="J354" s="164"/>
      <c r="K354" s="163"/>
      <c r="L354" s="164"/>
      <c r="M354" s="11"/>
      <c r="N354" s="39"/>
      <c r="Q354" s="15" t="str">
        <f>+CONCATENATE(E354,G354)</f>
        <v/>
      </c>
      <c r="R354" s="15">
        <f>+H354</f>
        <v>0</v>
      </c>
      <c r="S354" s="16"/>
      <c r="T354" s="15">
        <f>+E354</f>
        <v>0</v>
      </c>
      <c r="U354" s="26" t="str">
        <f>IFERROR(LEFT(G354,FIND("*",G354)-1),"-")</f>
        <v>-</v>
      </c>
      <c r="V354" s="26" t="str">
        <f>IFERROR(RIGHT(G354,LEN(G354)-FIND("*",G354)),"-")</f>
        <v>-</v>
      </c>
      <c r="W354" s="27" t="str">
        <f>IFERROR((U354+V354)*2/1000,"-")</f>
        <v>-</v>
      </c>
      <c r="X354" s="27" t="str">
        <f>IFERROR(W354*H354,"-")</f>
        <v>-</v>
      </c>
      <c r="Z354" s="94" t="s">
        <v>81</v>
      </c>
    </row>
    <row r="355" spans="1:26" s="25" customFormat="1" ht="6.95" customHeight="1" x14ac:dyDescent="0.3">
      <c r="A355" s="165"/>
      <c r="B355" s="168"/>
      <c r="C355" s="169"/>
      <c r="D355" s="160"/>
      <c r="E355" s="161"/>
      <c r="F355" s="162"/>
      <c r="G355" s="163"/>
      <c r="H355" s="164"/>
      <c r="I355" s="163"/>
      <c r="J355" s="164"/>
      <c r="K355" s="163"/>
      <c r="L355" s="164"/>
      <c r="M355" s="11"/>
      <c r="N355" s="39"/>
      <c r="Q355" s="15" t="str">
        <f>+CONCATENATE(E354,I354)</f>
        <v/>
      </c>
      <c r="R355" s="15">
        <f>+J354</f>
        <v>0</v>
      </c>
      <c r="S355" s="16"/>
      <c r="T355" s="15">
        <f>+E354</f>
        <v>0</v>
      </c>
      <c r="U355" s="26" t="str">
        <f>IFERROR(LEFT(I354,FIND("*",I354)-1),"-")</f>
        <v>-</v>
      </c>
      <c r="V355" s="26" t="str">
        <f>IFERROR(RIGHT(I354,LEN(I354)-FIND("*",I354)),"-")</f>
        <v>-</v>
      </c>
      <c r="W355" s="27" t="str">
        <f t="shared" ref="W355:W362" si="190">IFERROR((U355+V355)*2/1000,"-")</f>
        <v>-</v>
      </c>
      <c r="X355" s="27" t="str">
        <f>IFERROR(W355*J354,"-")</f>
        <v>-</v>
      </c>
      <c r="Z355" s="94" t="s">
        <v>81</v>
      </c>
    </row>
    <row r="356" spans="1:26" s="25" customFormat="1" ht="6.95" customHeight="1" x14ac:dyDescent="0.3">
      <c r="A356" s="165"/>
      <c r="B356" s="168"/>
      <c r="C356" s="169"/>
      <c r="D356" s="160"/>
      <c r="E356" s="161"/>
      <c r="F356" s="162"/>
      <c r="G356" s="163"/>
      <c r="H356" s="164"/>
      <c r="I356" s="163"/>
      <c r="J356" s="164"/>
      <c r="K356" s="163"/>
      <c r="L356" s="164"/>
      <c r="M356" s="11"/>
      <c r="N356" s="39"/>
      <c r="Q356" s="15" t="str">
        <f>+CONCATENATE(E354,K354)</f>
        <v/>
      </c>
      <c r="R356" s="15">
        <f>+L354</f>
        <v>0</v>
      </c>
      <c r="S356" s="16"/>
      <c r="T356" s="15">
        <f>+E354</f>
        <v>0</v>
      </c>
      <c r="U356" s="26" t="str">
        <f>IFERROR(LEFT(K354,FIND("*",K354)-1),"-")</f>
        <v>-</v>
      </c>
      <c r="V356" s="26" t="str">
        <f>IFERROR(RIGHT(K354,LEN(K354)-FIND("*",K354)),"-")</f>
        <v>-</v>
      </c>
      <c r="W356" s="27" t="str">
        <f t="shared" si="190"/>
        <v>-</v>
      </c>
      <c r="X356" s="27" t="str">
        <f>IFERROR(W356*L354,"-")</f>
        <v>-</v>
      </c>
      <c r="Z356" s="94" t="s">
        <v>81</v>
      </c>
    </row>
    <row r="357" spans="1:26" s="25" customFormat="1" ht="6.95" customHeight="1" x14ac:dyDescent="0.3">
      <c r="A357" s="13"/>
      <c r="B357" s="168"/>
      <c r="C357" s="169"/>
      <c r="D357" s="160" t="s">
        <v>39</v>
      </c>
      <c r="E357" s="161"/>
      <c r="F357" s="162" t="s">
        <v>40</v>
      </c>
      <c r="G357" s="163"/>
      <c r="H357" s="164"/>
      <c r="I357" s="163"/>
      <c r="J357" s="164"/>
      <c r="K357" s="163"/>
      <c r="L357" s="164"/>
      <c r="M357" s="11"/>
      <c r="N357" s="39"/>
      <c r="Q357" s="15" t="str">
        <f>+CONCATENATE(E357,G357)</f>
        <v/>
      </c>
      <c r="R357" s="15">
        <f>+H357</f>
        <v>0</v>
      </c>
      <c r="S357" s="16"/>
      <c r="T357" s="15">
        <f>+E357</f>
        <v>0</v>
      </c>
      <c r="U357" s="26" t="str">
        <f t="shared" ref="U357" si="191">IFERROR(LEFT(G357,FIND("*",G357)-1),"-")</f>
        <v>-</v>
      </c>
      <c r="V357" s="26" t="str">
        <f t="shared" ref="V357" si="192">IFERROR(RIGHT(G357,LEN(G357)-FIND("*",G357)),"-")</f>
        <v>-</v>
      </c>
      <c r="W357" s="27" t="str">
        <f t="shared" si="190"/>
        <v>-</v>
      </c>
      <c r="X357" s="27" t="str">
        <f>IFERROR(W357*H357,"-")</f>
        <v>-</v>
      </c>
      <c r="Z357" s="94" t="s">
        <v>81</v>
      </c>
    </row>
    <row r="358" spans="1:26" s="25" customFormat="1" ht="6.95" customHeight="1" x14ac:dyDescent="0.3">
      <c r="A358" s="10"/>
      <c r="B358" s="168"/>
      <c r="C358" s="169"/>
      <c r="D358" s="160"/>
      <c r="E358" s="161"/>
      <c r="F358" s="162"/>
      <c r="G358" s="163"/>
      <c r="H358" s="164"/>
      <c r="I358" s="163"/>
      <c r="J358" s="164"/>
      <c r="K358" s="163"/>
      <c r="L358" s="164"/>
      <c r="M358" s="11"/>
      <c r="N358" s="39"/>
      <c r="Q358" s="15" t="str">
        <f>+CONCATENATE(E357,I357)</f>
        <v/>
      </c>
      <c r="R358" s="15">
        <f>+J357</f>
        <v>0</v>
      </c>
      <c r="S358" s="16"/>
      <c r="T358" s="15">
        <f>+E357</f>
        <v>0</v>
      </c>
      <c r="U358" s="26" t="str">
        <f>IFERROR(LEFT(I357,FIND("*",I357)-1),"-")</f>
        <v>-</v>
      </c>
      <c r="V358" s="26" t="str">
        <f>IFERROR(RIGHT(I357,LEN(I357)-FIND("*",I357)),"-")</f>
        <v>-</v>
      </c>
      <c r="W358" s="27" t="str">
        <f t="shared" si="190"/>
        <v>-</v>
      </c>
      <c r="X358" s="27" t="str">
        <f>IFERROR(W358*J357,"-")</f>
        <v>-</v>
      </c>
      <c r="Z358" s="94" t="s">
        <v>81</v>
      </c>
    </row>
    <row r="359" spans="1:26" s="25" customFormat="1" ht="6.95" customHeight="1" x14ac:dyDescent="0.3">
      <c r="A359" s="10"/>
      <c r="B359" s="168"/>
      <c r="C359" s="169"/>
      <c r="D359" s="160"/>
      <c r="E359" s="161"/>
      <c r="F359" s="162"/>
      <c r="G359" s="163"/>
      <c r="H359" s="164"/>
      <c r="I359" s="163"/>
      <c r="J359" s="164"/>
      <c r="K359" s="163"/>
      <c r="L359" s="164"/>
      <c r="M359" s="11"/>
      <c r="N359" s="39"/>
      <c r="Q359" s="15" t="str">
        <f>+CONCATENATE(E357,K357)</f>
        <v/>
      </c>
      <c r="R359" s="15">
        <f>+L357</f>
        <v>0</v>
      </c>
      <c r="S359" s="16"/>
      <c r="T359" s="15">
        <f>+E357</f>
        <v>0</v>
      </c>
      <c r="U359" s="26" t="str">
        <f>IFERROR(LEFT(K357,FIND("*",K357)-1),"-")</f>
        <v>-</v>
      </c>
      <c r="V359" s="26" t="str">
        <f>IFERROR(RIGHT(K357,LEN(K357)-FIND("*",K357)),"-")</f>
        <v>-</v>
      </c>
      <c r="W359" s="27" t="str">
        <f t="shared" si="190"/>
        <v>-</v>
      </c>
      <c r="X359" s="27" t="str">
        <f>IFERROR(W359*L357,"-")</f>
        <v>-</v>
      </c>
      <c r="Z359" s="94" t="s">
        <v>81</v>
      </c>
    </row>
    <row r="360" spans="1:26" s="25" customFormat="1" ht="6.95" customHeight="1" x14ac:dyDescent="0.3">
      <c r="A360" s="13"/>
      <c r="B360" s="168"/>
      <c r="C360" s="169"/>
      <c r="D360" s="160" t="s">
        <v>39</v>
      </c>
      <c r="E360" s="161"/>
      <c r="F360" s="162" t="s">
        <v>40</v>
      </c>
      <c r="G360" s="163"/>
      <c r="H360" s="164"/>
      <c r="I360" s="163"/>
      <c r="J360" s="164"/>
      <c r="K360" s="163"/>
      <c r="L360" s="164"/>
      <c r="M360" s="11"/>
      <c r="N360" s="39"/>
      <c r="Q360" s="15" t="str">
        <f>+CONCATENATE(E360,G360)</f>
        <v/>
      </c>
      <c r="R360" s="15">
        <f>+H360</f>
        <v>0</v>
      </c>
      <c r="S360" s="16"/>
      <c r="T360" s="15">
        <f>+E360</f>
        <v>0</v>
      </c>
      <c r="U360" s="26" t="str">
        <f t="shared" ref="U360" si="193">IFERROR(LEFT(G360,FIND("*",G360)-1),"-")</f>
        <v>-</v>
      </c>
      <c r="V360" s="26" t="str">
        <f t="shared" ref="V360" si="194">IFERROR(RIGHT(G360,LEN(G360)-FIND("*",G360)),"-")</f>
        <v>-</v>
      </c>
      <c r="W360" s="27" t="str">
        <f t="shared" si="190"/>
        <v>-</v>
      </c>
      <c r="X360" s="27" t="str">
        <f>IFERROR(W360*H360,"-")</f>
        <v>-</v>
      </c>
      <c r="Z360" s="94" t="s">
        <v>81</v>
      </c>
    </row>
    <row r="361" spans="1:26" s="25" customFormat="1" ht="6.95" customHeight="1" x14ac:dyDescent="0.3">
      <c r="A361" s="10"/>
      <c r="B361" s="168"/>
      <c r="C361" s="169"/>
      <c r="D361" s="160"/>
      <c r="E361" s="161"/>
      <c r="F361" s="162"/>
      <c r="G361" s="163"/>
      <c r="H361" s="164"/>
      <c r="I361" s="163"/>
      <c r="J361" s="164"/>
      <c r="K361" s="163"/>
      <c r="L361" s="164"/>
      <c r="M361" s="11"/>
      <c r="N361" s="39"/>
      <c r="Q361" s="15" t="str">
        <f>+CONCATENATE(E360,I360)</f>
        <v/>
      </c>
      <c r="R361" s="15">
        <f>+J360</f>
        <v>0</v>
      </c>
      <c r="S361" s="16"/>
      <c r="T361" s="15">
        <f>+E360</f>
        <v>0</v>
      </c>
      <c r="U361" s="26" t="str">
        <f>IFERROR(LEFT(I360,FIND("*",I360)-1),"-")</f>
        <v>-</v>
      </c>
      <c r="V361" s="26" t="str">
        <f>IFERROR(RIGHT(I360,LEN(I360)-FIND("*",I360)),"-")</f>
        <v>-</v>
      </c>
      <c r="W361" s="27" t="str">
        <f t="shared" si="190"/>
        <v>-</v>
      </c>
      <c r="X361" s="27" t="str">
        <f t="shared" ref="X361" si="195">IFERROR(W361*J360,"-")</f>
        <v>-</v>
      </c>
      <c r="Z361" s="94" t="s">
        <v>81</v>
      </c>
    </row>
    <row r="362" spans="1:26" s="25" customFormat="1" ht="6.95" customHeight="1" x14ac:dyDescent="0.3">
      <c r="A362" s="10"/>
      <c r="B362" s="168"/>
      <c r="C362" s="169"/>
      <c r="D362" s="160"/>
      <c r="E362" s="161"/>
      <c r="F362" s="162"/>
      <c r="G362" s="163"/>
      <c r="H362" s="164"/>
      <c r="I362" s="163"/>
      <c r="J362" s="164"/>
      <c r="K362" s="163"/>
      <c r="L362" s="164"/>
      <c r="M362" s="11"/>
      <c r="N362" s="39"/>
      <c r="Q362" s="15" t="str">
        <f>+CONCATENATE(E360,K360)</f>
        <v/>
      </c>
      <c r="R362" s="15">
        <f>+L360</f>
        <v>0</v>
      </c>
      <c r="S362" s="16"/>
      <c r="T362" s="15">
        <f>+E360</f>
        <v>0</v>
      </c>
      <c r="U362" s="26" t="str">
        <f>IFERROR(LEFT(K360,FIND("*",K360)-1),"-")</f>
        <v>-</v>
      </c>
      <c r="V362" s="26" t="str">
        <f>IFERROR(RIGHT(K360,LEN(K360)-FIND("*",K360)),"-")</f>
        <v>-</v>
      </c>
      <c r="W362" s="27" t="str">
        <f t="shared" si="190"/>
        <v>-</v>
      </c>
      <c r="X362" s="27" t="str">
        <f>IFERROR(W362*L360,"-")</f>
        <v>-</v>
      </c>
      <c r="Z362" s="94" t="s">
        <v>81</v>
      </c>
    </row>
    <row r="363" spans="1:26" s="25" customFormat="1" ht="21" customHeight="1" thickBot="1" x14ac:dyDescent="0.35">
      <c r="A363" s="10"/>
      <c r="B363" s="170"/>
      <c r="C363" s="171"/>
      <c r="D363" s="172" t="s">
        <v>43</v>
      </c>
      <c r="E363" s="173"/>
      <c r="F363" s="173"/>
      <c r="G363" s="174"/>
      <c r="H363" s="174"/>
      <c r="I363" s="174"/>
      <c r="J363" s="174"/>
      <c r="K363" s="174"/>
      <c r="L363" s="174"/>
      <c r="M363" s="12"/>
      <c r="N363" s="39"/>
      <c r="U363" s="23"/>
      <c r="V363" s="23"/>
      <c r="Z363" s="95" t="s">
        <v>81</v>
      </c>
    </row>
    <row r="364" spans="1:26" s="25" customFormat="1" ht="9.9499999999999993" customHeight="1" thickBot="1" x14ac:dyDescent="0.35">
      <c r="A364" s="6"/>
      <c r="B364" s="14"/>
      <c r="C364" s="119">
        <v>794</v>
      </c>
      <c r="D364" s="58"/>
      <c r="E364" s="17"/>
      <c r="F364" s="58"/>
      <c r="G364" s="19"/>
      <c r="H364" s="19"/>
      <c r="I364" s="19"/>
      <c r="J364" s="19"/>
      <c r="K364" s="19"/>
      <c r="L364" s="19"/>
      <c r="M364" s="14"/>
      <c r="N364" s="39"/>
      <c r="Q364" s="1"/>
      <c r="R364" s="1"/>
      <c r="S364" s="1"/>
      <c r="T364" s="1"/>
      <c r="U364" s="24"/>
      <c r="V364" s="24"/>
      <c r="W364" s="1"/>
      <c r="X364" s="1"/>
      <c r="Z364" s="94" t="s">
        <v>81</v>
      </c>
    </row>
    <row r="365" spans="1:26" s="25" customFormat="1" ht="6.95" customHeight="1" x14ac:dyDescent="0.3">
      <c r="A365" s="165">
        <f>+A354+1</f>
        <v>34</v>
      </c>
      <c r="B365" s="166"/>
      <c r="C365" s="167"/>
      <c r="D365" s="160" t="s">
        <v>39</v>
      </c>
      <c r="E365" s="161"/>
      <c r="F365" s="162" t="s">
        <v>40</v>
      </c>
      <c r="G365" s="163"/>
      <c r="H365" s="164"/>
      <c r="I365" s="163"/>
      <c r="J365" s="164"/>
      <c r="K365" s="163"/>
      <c r="L365" s="164"/>
      <c r="M365" s="11"/>
      <c r="N365" s="39"/>
      <c r="Q365" s="15" t="str">
        <f>+CONCATENATE(E365,G365)</f>
        <v/>
      </c>
      <c r="R365" s="15">
        <f>+H365</f>
        <v>0</v>
      </c>
      <c r="S365" s="16"/>
      <c r="T365" s="15">
        <f>+E365</f>
        <v>0</v>
      </c>
      <c r="U365" s="26" t="str">
        <f>IFERROR(LEFT(G365,FIND("*",G365)-1),"-")</f>
        <v>-</v>
      </c>
      <c r="V365" s="26" t="str">
        <f>IFERROR(RIGHT(G365,LEN(G365)-FIND("*",G365)),"-")</f>
        <v>-</v>
      </c>
      <c r="W365" s="27" t="str">
        <f>IFERROR((U365+V365)*2/1000,"-")</f>
        <v>-</v>
      </c>
      <c r="X365" s="27" t="str">
        <f>IFERROR(W365*H365,"-")</f>
        <v>-</v>
      </c>
      <c r="Z365" s="94" t="s">
        <v>81</v>
      </c>
    </row>
    <row r="366" spans="1:26" s="25" customFormat="1" ht="6.95" customHeight="1" x14ac:dyDescent="0.3">
      <c r="A366" s="165"/>
      <c r="B366" s="168"/>
      <c r="C366" s="169"/>
      <c r="D366" s="160"/>
      <c r="E366" s="161"/>
      <c r="F366" s="162"/>
      <c r="G366" s="163"/>
      <c r="H366" s="164"/>
      <c r="I366" s="163"/>
      <c r="J366" s="164"/>
      <c r="K366" s="163"/>
      <c r="L366" s="164"/>
      <c r="M366" s="11"/>
      <c r="N366" s="39"/>
      <c r="Q366" s="15" t="str">
        <f>+CONCATENATE(E365,I365)</f>
        <v/>
      </c>
      <c r="R366" s="15">
        <f>+J365</f>
        <v>0</v>
      </c>
      <c r="S366" s="16"/>
      <c r="T366" s="15">
        <f>+E365</f>
        <v>0</v>
      </c>
      <c r="U366" s="26" t="str">
        <f>IFERROR(LEFT(I365,FIND("*",I365)-1),"-")</f>
        <v>-</v>
      </c>
      <c r="V366" s="26" t="str">
        <f>IFERROR(RIGHT(I365,LEN(I365)-FIND("*",I365)),"-")</f>
        <v>-</v>
      </c>
      <c r="W366" s="27" t="str">
        <f t="shared" ref="W366:W373" si="196">IFERROR((U366+V366)*2/1000,"-")</f>
        <v>-</v>
      </c>
      <c r="X366" s="27" t="str">
        <f>IFERROR(W366*J365,"-")</f>
        <v>-</v>
      </c>
      <c r="Z366" s="94" t="s">
        <v>81</v>
      </c>
    </row>
    <row r="367" spans="1:26" s="25" customFormat="1" ht="6.95" customHeight="1" x14ac:dyDescent="0.3">
      <c r="A367" s="165"/>
      <c r="B367" s="168"/>
      <c r="C367" s="169"/>
      <c r="D367" s="160"/>
      <c r="E367" s="161"/>
      <c r="F367" s="162"/>
      <c r="G367" s="163"/>
      <c r="H367" s="164"/>
      <c r="I367" s="163"/>
      <c r="J367" s="164"/>
      <c r="K367" s="163"/>
      <c r="L367" s="164"/>
      <c r="M367" s="11"/>
      <c r="N367" s="39"/>
      <c r="Q367" s="15" t="str">
        <f>+CONCATENATE(E365,K365)</f>
        <v/>
      </c>
      <c r="R367" s="15">
        <f>+L365</f>
        <v>0</v>
      </c>
      <c r="S367" s="16"/>
      <c r="T367" s="15">
        <f>+E365</f>
        <v>0</v>
      </c>
      <c r="U367" s="26" t="str">
        <f>IFERROR(LEFT(K365,FIND("*",K365)-1),"-")</f>
        <v>-</v>
      </c>
      <c r="V367" s="26" t="str">
        <f>IFERROR(RIGHT(K365,LEN(K365)-FIND("*",K365)),"-")</f>
        <v>-</v>
      </c>
      <c r="W367" s="27" t="str">
        <f t="shared" si="196"/>
        <v>-</v>
      </c>
      <c r="X367" s="27" t="str">
        <f>IFERROR(W367*L365,"-")</f>
        <v>-</v>
      </c>
      <c r="Z367" s="94" t="s">
        <v>81</v>
      </c>
    </row>
    <row r="368" spans="1:26" s="25" customFormat="1" ht="6.95" customHeight="1" x14ac:dyDescent="0.3">
      <c r="A368" s="13"/>
      <c r="B368" s="168"/>
      <c r="C368" s="169"/>
      <c r="D368" s="160" t="s">
        <v>39</v>
      </c>
      <c r="E368" s="161"/>
      <c r="F368" s="162" t="s">
        <v>40</v>
      </c>
      <c r="G368" s="163"/>
      <c r="H368" s="164"/>
      <c r="I368" s="163"/>
      <c r="J368" s="164"/>
      <c r="K368" s="163"/>
      <c r="L368" s="164"/>
      <c r="M368" s="11"/>
      <c r="N368" s="39"/>
      <c r="Q368" s="15" t="str">
        <f>+CONCATENATE(E368,G368)</f>
        <v/>
      </c>
      <c r="R368" s="15">
        <f>+H368</f>
        <v>0</v>
      </c>
      <c r="S368" s="16"/>
      <c r="T368" s="15">
        <f>+E368</f>
        <v>0</v>
      </c>
      <c r="U368" s="26" t="str">
        <f t="shared" ref="U368" si="197">IFERROR(LEFT(G368,FIND("*",G368)-1),"-")</f>
        <v>-</v>
      </c>
      <c r="V368" s="26" t="str">
        <f t="shared" ref="V368" si="198">IFERROR(RIGHT(G368,LEN(G368)-FIND("*",G368)),"-")</f>
        <v>-</v>
      </c>
      <c r="W368" s="27" t="str">
        <f t="shared" si="196"/>
        <v>-</v>
      </c>
      <c r="X368" s="27" t="str">
        <f>IFERROR(W368*H368,"-")</f>
        <v>-</v>
      </c>
      <c r="Z368" s="94" t="s">
        <v>81</v>
      </c>
    </row>
    <row r="369" spans="1:26" s="25" customFormat="1" ht="6.95" customHeight="1" x14ac:dyDescent="0.3">
      <c r="A369" s="10"/>
      <c r="B369" s="168"/>
      <c r="C369" s="169"/>
      <c r="D369" s="160"/>
      <c r="E369" s="161"/>
      <c r="F369" s="162"/>
      <c r="G369" s="163"/>
      <c r="H369" s="164"/>
      <c r="I369" s="163"/>
      <c r="J369" s="164"/>
      <c r="K369" s="163"/>
      <c r="L369" s="164"/>
      <c r="M369" s="11"/>
      <c r="N369" s="39"/>
      <c r="Q369" s="15" t="str">
        <f>+CONCATENATE(E368,I368)</f>
        <v/>
      </c>
      <c r="R369" s="15">
        <f>+J368</f>
        <v>0</v>
      </c>
      <c r="S369" s="16"/>
      <c r="T369" s="15">
        <f>+E368</f>
        <v>0</v>
      </c>
      <c r="U369" s="26" t="str">
        <f>IFERROR(LEFT(I368,FIND("*",I368)-1),"-")</f>
        <v>-</v>
      </c>
      <c r="V369" s="26" t="str">
        <f>IFERROR(RIGHT(I368,LEN(I368)-FIND("*",I368)),"-")</f>
        <v>-</v>
      </c>
      <c r="W369" s="27" t="str">
        <f t="shared" si="196"/>
        <v>-</v>
      </c>
      <c r="X369" s="27" t="str">
        <f>IFERROR(W369*J368,"-")</f>
        <v>-</v>
      </c>
      <c r="Z369" s="94" t="s">
        <v>81</v>
      </c>
    </row>
    <row r="370" spans="1:26" s="25" customFormat="1" ht="6.95" customHeight="1" x14ac:dyDescent="0.3">
      <c r="A370" s="10"/>
      <c r="B370" s="168"/>
      <c r="C370" s="169"/>
      <c r="D370" s="160"/>
      <c r="E370" s="161"/>
      <c r="F370" s="162"/>
      <c r="G370" s="163"/>
      <c r="H370" s="164"/>
      <c r="I370" s="163"/>
      <c r="J370" s="164"/>
      <c r="K370" s="163"/>
      <c r="L370" s="164"/>
      <c r="M370" s="11"/>
      <c r="N370" s="39"/>
      <c r="Q370" s="15" t="str">
        <f>+CONCATENATE(E368,K368)</f>
        <v/>
      </c>
      <c r="R370" s="15">
        <f>+L368</f>
        <v>0</v>
      </c>
      <c r="S370" s="16"/>
      <c r="T370" s="15">
        <f>+E368</f>
        <v>0</v>
      </c>
      <c r="U370" s="26" t="str">
        <f>IFERROR(LEFT(K368,FIND("*",K368)-1),"-")</f>
        <v>-</v>
      </c>
      <c r="V370" s="26" t="str">
        <f>IFERROR(RIGHT(K368,LEN(K368)-FIND("*",K368)),"-")</f>
        <v>-</v>
      </c>
      <c r="W370" s="27" t="str">
        <f t="shared" si="196"/>
        <v>-</v>
      </c>
      <c r="X370" s="27" t="str">
        <f>IFERROR(W370*L368,"-")</f>
        <v>-</v>
      </c>
      <c r="Z370" s="94" t="s">
        <v>81</v>
      </c>
    </row>
    <row r="371" spans="1:26" s="25" customFormat="1" ht="6.95" customHeight="1" x14ac:dyDescent="0.3">
      <c r="A371" s="13"/>
      <c r="B371" s="168"/>
      <c r="C371" s="169"/>
      <c r="D371" s="160" t="s">
        <v>39</v>
      </c>
      <c r="E371" s="161"/>
      <c r="F371" s="162" t="s">
        <v>40</v>
      </c>
      <c r="G371" s="163"/>
      <c r="H371" s="164"/>
      <c r="I371" s="163"/>
      <c r="J371" s="164"/>
      <c r="K371" s="163"/>
      <c r="L371" s="164"/>
      <c r="M371" s="11"/>
      <c r="N371" s="39"/>
      <c r="Q371" s="15" t="str">
        <f>+CONCATENATE(E371,G371)</f>
        <v/>
      </c>
      <c r="R371" s="15">
        <f>+H371</f>
        <v>0</v>
      </c>
      <c r="S371" s="16"/>
      <c r="T371" s="15">
        <f>+E371</f>
        <v>0</v>
      </c>
      <c r="U371" s="26" t="str">
        <f t="shared" ref="U371" si="199">IFERROR(LEFT(G371,FIND("*",G371)-1),"-")</f>
        <v>-</v>
      </c>
      <c r="V371" s="26" t="str">
        <f t="shared" ref="V371" si="200">IFERROR(RIGHT(G371,LEN(G371)-FIND("*",G371)),"-")</f>
        <v>-</v>
      </c>
      <c r="W371" s="27" t="str">
        <f t="shared" si="196"/>
        <v>-</v>
      </c>
      <c r="X371" s="27" t="str">
        <f>IFERROR(W371*H371,"-")</f>
        <v>-</v>
      </c>
      <c r="Z371" s="94" t="s">
        <v>81</v>
      </c>
    </row>
    <row r="372" spans="1:26" s="25" customFormat="1" ht="6.95" customHeight="1" x14ac:dyDescent="0.3">
      <c r="A372" s="10"/>
      <c r="B372" s="168"/>
      <c r="C372" s="169"/>
      <c r="D372" s="160"/>
      <c r="E372" s="161"/>
      <c r="F372" s="162"/>
      <c r="G372" s="163"/>
      <c r="H372" s="164"/>
      <c r="I372" s="163"/>
      <c r="J372" s="164"/>
      <c r="K372" s="163"/>
      <c r="L372" s="164"/>
      <c r="M372" s="11"/>
      <c r="N372" s="39"/>
      <c r="Q372" s="15" t="str">
        <f>+CONCATENATE(E371,I371)</f>
        <v/>
      </c>
      <c r="R372" s="15">
        <f>+J371</f>
        <v>0</v>
      </c>
      <c r="S372" s="16"/>
      <c r="T372" s="15">
        <f>+E371</f>
        <v>0</v>
      </c>
      <c r="U372" s="26" t="str">
        <f>IFERROR(LEFT(I371,FIND("*",I371)-1),"-")</f>
        <v>-</v>
      </c>
      <c r="V372" s="26" t="str">
        <f>IFERROR(RIGHT(I371,LEN(I371)-FIND("*",I371)),"-")</f>
        <v>-</v>
      </c>
      <c r="W372" s="27" t="str">
        <f t="shared" si="196"/>
        <v>-</v>
      </c>
      <c r="X372" s="27" t="str">
        <f t="shared" ref="X372" si="201">IFERROR(W372*J371,"-")</f>
        <v>-</v>
      </c>
      <c r="Z372" s="94" t="s">
        <v>81</v>
      </c>
    </row>
    <row r="373" spans="1:26" s="25" customFormat="1" ht="6.95" customHeight="1" x14ac:dyDescent="0.3">
      <c r="A373" s="10"/>
      <c r="B373" s="168"/>
      <c r="C373" s="169"/>
      <c r="D373" s="160"/>
      <c r="E373" s="161"/>
      <c r="F373" s="162"/>
      <c r="G373" s="163"/>
      <c r="H373" s="164"/>
      <c r="I373" s="163"/>
      <c r="J373" s="164"/>
      <c r="K373" s="163"/>
      <c r="L373" s="164"/>
      <c r="M373" s="11"/>
      <c r="N373" s="39"/>
      <c r="Q373" s="15" t="str">
        <f>+CONCATENATE(E371,K371)</f>
        <v/>
      </c>
      <c r="R373" s="15">
        <f>+L371</f>
        <v>0</v>
      </c>
      <c r="S373" s="16"/>
      <c r="T373" s="15">
        <f>+E371</f>
        <v>0</v>
      </c>
      <c r="U373" s="26" t="str">
        <f>IFERROR(LEFT(K371,FIND("*",K371)-1),"-")</f>
        <v>-</v>
      </c>
      <c r="V373" s="26" t="str">
        <f>IFERROR(RIGHT(K371,LEN(K371)-FIND("*",K371)),"-")</f>
        <v>-</v>
      </c>
      <c r="W373" s="27" t="str">
        <f t="shared" si="196"/>
        <v>-</v>
      </c>
      <c r="X373" s="27" t="str">
        <f>IFERROR(W373*L371,"-")</f>
        <v>-</v>
      </c>
      <c r="Z373" s="94" t="s">
        <v>81</v>
      </c>
    </row>
    <row r="374" spans="1:26" s="25" customFormat="1" ht="21" customHeight="1" thickBot="1" x14ac:dyDescent="0.35">
      <c r="A374" s="10"/>
      <c r="B374" s="170"/>
      <c r="C374" s="171"/>
      <c r="D374" s="172" t="s">
        <v>43</v>
      </c>
      <c r="E374" s="173"/>
      <c r="F374" s="173"/>
      <c r="G374" s="174"/>
      <c r="H374" s="174"/>
      <c r="I374" s="174"/>
      <c r="J374" s="174"/>
      <c r="K374" s="174"/>
      <c r="L374" s="174"/>
      <c r="M374" s="12"/>
      <c r="N374" s="39"/>
      <c r="U374" s="23"/>
      <c r="V374" s="23"/>
      <c r="Z374" s="95" t="s">
        <v>81</v>
      </c>
    </row>
    <row r="375" spans="1:26" s="25" customFormat="1" ht="9.9499999999999993" customHeight="1" thickBot="1" x14ac:dyDescent="0.35">
      <c r="A375" s="6"/>
      <c r="B375" s="14"/>
      <c r="C375" s="119">
        <v>795</v>
      </c>
      <c r="D375" s="58"/>
      <c r="E375" s="17"/>
      <c r="F375" s="58"/>
      <c r="G375" s="19"/>
      <c r="H375" s="19"/>
      <c r="I375" s="19"/>
      <c r="J375" s="19"/>
      <c r="K375" s="19"/>
      <c r="L375" s="19"/>
      <c r="M375" s="14"/>
      <c r="N375" s="39"/>
      <c r="Q375" s="1"/>
      <c r="R375" s="1"/>
      <c r="S375" s="1"/>
      <c r="T375" s="1"/>
      <c r="U375" s="24"/>
      <c r="V375" s="24"/>
      <c r="W375" s="1"/>
      <c r="X375" s="1"/>
      <c r="Z375" s="94" t="s">
        <v>81</v>
      </c>
    </row>
    <row r="376" spans="1:26" s="25" customFormat="1" ht="6.95" customHeight="1" x14ac:dyDescent="0.3">
      <c r="A376" s="165">
        <f>+A365+1</f>
        <v>35</v>
      </c>
      <c r="B376" s="166"/>
      <c r="C376" s="167"/>
      <c r="D376" s="160" t="s">
        <v>39</v>
      </c>
      <c r="E376" s="161"/>
      <c r="F376" s="162" t="s">
        <v>40</v>
      </c>
      <c r="G376" s="163"/>
      <c r="H376" s="164"/>
      <c r="I376" s="163"/>
      <c r="J376" s="164"/>
      <c r="K376" s="163"/>
      <c r="L376" s="164"/>
      <c r="M376" s="11"/>
      <c r="N376" s="39"/>
      <c r="Q376" s="15" t="str">
        <f>+CONCATENATE(E376,G376)</f>
        <v/>
      </c>
      <c r="R376" s="15">
        <f>+H376</f>
        <v>0</v>
      </c>
      <c r="S376" s="16"/>
      <c r="T376" s="15">
        <f>+E376</f>
        <v>0</v>
      </c>
      <c r="U376" s="26" t="str">
        <f>IFERROR(LEFT(G376,FIND("*",G376)-1),"-")</f>
        <v>-</v>
      </c>
      <c r="V376" s="26" t="str">
        <f>IFERROR(RIGHT(G376,LEN(G376)-FIND("*",G376)),"-")</f>
        <v>-</v>
      </c>
      <c r="W376" s="27" t="str">
        <f>IFERROR((U376+V376)*2/1000,"-")</f>
        <v>-</v>
      </c>
      <c r="X376" s="27" t="str">
        <f>IFERROR(W376*H376,"-")</f>
        <v>-</v>
      </c>
      <c r="Z376" s="94" t="s">
        <v>81</v>
      </c>
    </row>
    <row r="377" spans="1:26" s="25" customFormat="1" ht="6.95" customHeight="1" x14ac:dyDescent="0.3">
      <c r="A377" s="165"/>
      <c r="B377" s="168"/>
      <c r="C377" s="169"/>
      <c r="D377" s="160"/>
      <c r="E377" s="161"/>
      <c r="F377" s="162"/>
      <c r="G377" s="163"/>
      <c r="H377" s="164"/>
      <c r="I377" s="163"/>
      <c r="J377" s="164"/>
      <c r="K377" s="163"/>
      <c r="L377" s="164"/>
      <c r="M377" s="11"/>
      <c r="N377" s="39"/>
      <c r="Q377" s="15" t="str">
        <f>+CONCATENATE(E376,I376)</f>
        <v/>
      </c>
      <c r="R377" s="15">
        <f>+J376</f>
        <v>0</v>
      </c>
      <c r="S377" s="16"/>
      <c r="T377" s="15">
        <f>+E376</f>
        <v>0</v>
      </c>
      <c r="U377" s="26" t="str">
        <f>IFERROR(LEFT(I376,FIND("*",I376)-1),"-")</f>
        <v>-</v>
      </c>
      <c r="V377" s="26" t="str">
        <f>IFERROR(RIGHT(I376,LEN(I376)-FIND("*",I376)),"-")</f>
        <v>-</v>
      </c>
      <c r="W377" s="27" t="str">
        <f t="shared" ref="W377:W384" si="202">IFERROR((U377+V377)*2/1000,"-")</f>
        <v>-</v>
      </c>
      <c r="X377" s="27" t="str">
        <f>IFERROR(W377*J376,"-")</f>
        <v>-</v>
      </c>
      <c r="Z377" s="94" t="s">
        <v>81</v>
      </c>
    </row>
    <row r="378" spans="1:26" s="25" customFormat="1" ht="6.95" customHeight="1" x14ac:dyDescent="0.3">
      <c r="A378" s="165"/>
      <c r="B378" s="168"/>
      <c r="C378" s="169"/>
      <c r="D378" s="160"/>
      <c r="E378" s="161"/>
      <c r="F378" s="162"/>
      <c r="G378" s="163"/>
      <c r="H378" s="164"/>
      <c r="I378" s="163"/>
      <c r="J378" s="164"/>
      <c r="K378" s="163"/>
      <c r="L378" s="164"/>
      <c r="M378" s="11"/>
      <c r="N378" s="39"/>
      <c r="Q378" s="15" t="str">
        <f>+CONCATENATE(E376,K376)</f>
        <v/>
      </c>
      <c r="R378" s="15">
        <f>+L376</f>
        <v>0</v>
      </c>
      <c r="S378" s="16"/>
      <c r="T378" s="15">
        <f>+E376</f>
        <v>0</v>
      </c>
      <c r="U378" s="26" t="str">
        <f>IFERROR(LEFT(K376,FIND("*",K376)-1),"-")</f>
        <v>-</v>
      </c>
      <c r="V378" s="26" t="str">
        <f>IFERROR(RIGHT(K376,LEN(K376)-FIND("*",K376)),"-")</f>
        <v>-</v>
      </c>
      <c r="W378" s="27" t="str">
        <f t="shared" si="202"/>
        <v>-</v>
      </c>
      <c r="X378" s="27" t="str">
        <f>IFERROR(W378*L376,"-")</f>
        <v>-</v>
      </c>
      <c r="Z378" s="94" t="s">
        <v>81</v>
      </c>
    </row>
    <row r="379" spans="1:26" s="25" customFormat="1" ht="6.95" customHeight="1" x14ac:dyDescent="0.3">
      <c r="A379" s="13"/>
      <c r="B379" s="168"/>
      <c r="C379" s="169"/>
      <c r="D379" s="160" t="s">
        <v>39</v>
      </c>
      <c r="E379" s="161"/>
      <c r="F379" s="162" t="s">
        <v>40</v>
      </c>
      <c r="G379" s="163"/>
      <c r="H379" s="164"/>
      <c r="I379" s="163"/>
      <c r="J379" s="164"/>
      <c r="K379" s="163"/>
      <c r="L379" s="164"/>
      <c r="M379" s="11"/>
      <c r="N379" s="39"/>
      <c r="Q379" s="15" t="str">
        <f>+CONCATENATE(E379,G379)</f>
        <v/>
      </c>
      <c r="R379" s="15">
        <f>+H379</f>
        <v>0</v>
      </c>
      <c r="S379" s="16"/>
      <c r="T379" s="15">
        <f>+E379</f>
        <v>0</v>
      </c>
      <c r="U379" s="26" t="str">
        <f t="shared" ref="U379" si="203">IFERROR(LEFT(G379,FIND("*",G379)-1),"-")</f>
        <v>-</v>
      </c>
      <c r="V379" s="26" t="str">
        <f t="shared" ref="V379" si="204">IFERROR(RIGHT(G379,LEN(G379)-FIND("*",G379)),"-")</f>
        <v>-</v>
      </c>
      <c r="W379" s="27" t="str">
        <f t="shared" si="202"/>
        <v>-</v>
      </c>
      <c r="X379" s="27" t="str">
        <f>IFERROR(W379*H379,"-")</f>
        <v>-</v>
      </c>
      <c r="Z379" s="94" t="s">
        <v>81</v>
      </c>
    </row>
    <row r="380" spans="1:26" s="25" customFormat="1" ht="6.95" customHeight="1" x14ac:dyDescent="0.3">
      <c r="A380" s="10"/>
      <c r="B380" s="168"/>
      <c r="C380" s="169"/>
      <c r="D380" s="160"/>
      <c r="E380" s="161"/>
      <c r="F380" s="162"/>
      <c r="G380" s="163"/>
      <c r="H380" s="164"/>
      <c r="I380" s="163"/>
      <c r="J380" s="164"/>
      <c r="K380" s="163"/>
      <c r="L380" s="164"/>
      <c r="M380" s="11"/>
      <c r="N380" s="39"/>
      <c r="Q380" s="15" t="str">
        <f>+CONCATENATE(E379,I379)</f>
        <v/>
      </c>
      <c r="R380" s="15">
        <f>+J379</f>
        <v>0</v>
      </c>
      <c r="S380" s="16"/>
      <c r="T380" s="15">
        <f>+E379</f>
        <v>0</v>
      </c>
      <c r="U380" s="26" t="str">
        <f>IFERROR(LEFT(I379,FIND("*",I379)-1),"-")</f>
        <v>-</v>
      </c>
      <c r="V380" s="26" t="str">
        <f>IFERROR(RIGHT(I379,LEN(I379)-FIND("*",I379)),"-")</f>
        <v>-</v>
      </c>
      <c r="W380" s="27" t="str">
        <f t="shared" si="202"/>
        <v>-</v>
      </c>
      <c r="X380" s="27" t="str">
        <f>IFERROR(W380*J379,"-")</f>
        <v>-</v>
      </c>
      <c r="Z380" s="94" t="s">
        <v>81</v>
      </c>
    </row>
    <row r="381" spans="1:26" s="25" customFormat="1" ht="6.95" customHeight="1" x14ac:dyDescent="0.3">
      <c r="A381" s="10"/>
      <c r="B381" s="168"/>
      <c r="C381" s="169"/>
      <c r="D381" s="160"/>
      <c r="E381" s="161"/>
      <c r="F381" s="162"/>
      <c r="G381" s="163"/>
      <c r="H381" s="164"/>
      <c r="I381" s="163"/>
      <c r="J381" s="164"/>
      <c r="K381" s="163"/>
      <c r="L381" s="164"/>
      <c r="M381" s="11"/>
      <c r="N381" s="39"/>
      <c r="Q381" s="15" t="str">
        <f>+CONCATENATE(E379,K379)</f>
        <v/>
      </c>
      <c r="R381" s="15">
        <f>+L379</f>
        <v>0</v>
      </c>
      <c r="S381" s="16"/>
      <c r="T381" s="15">
        <f>+E379</f>
        <v>0</v>
      </c>
      <c r="U381" s="26" t="str">
        <f>IFERROR(LEFT(K379,FIND("*",K379)-1),"-")</f>
        <v>-</v>
      </c>
      <c r="V381" s="26" t="str">
        <f>IFERROR(RIGHT(K379,LEN(K379)-FIND("*",K379)),"-")</f>
        <v>-</v>
      </c>
      <c r="W381" s="27" t="str">
        <f t="shared" si="202"/>
        <v>-</v>
      </c>
      <c r="X381" s="27" t="str">
        <f>IFERROR(W381*L379,"-")</f>
        <v>-</v>
      </c>
      <c r="Z381" s="94" t="s">
        <v>81</v>
      </c>
    </row>
    <row r="382" spans="1:26" s="25" customFormat="1" ht="6.95" customHeight="1" x14ac:dyDescent="0.3">
      <c r="A382" s="13"/>
      <c r="B382" s="168"/>
      <c r="C382" s="169"/>
      <c r="D382" s="160" t="s">
        <v>39</v>
      </c>
      <c r="E382" s="161"/>
      <c r="F382" s="162" t="s">
        <v>40</v>
      </c>
      <c r="G382" s="163"/>
      <c r="H382" s="164"/>
      <c r="I382" s="163"/>
      <c r="J382" s="164"/>
      <c r="K382" s="163"/>
      <c r="L382" s="164"/>
      <c r="M382" s="11"/>
      <c r="N382" s="39"/>
      <c r="Q382" s="15" t="str">
        <f>+CONCATENATE(E382,G382)</f>
        <v/>
      </c>
      <c r="R382" s="15">
        <f>+H382</f>
        <v>0</v>
      </c>
      <c r="S382" s="16"/>
      <c r="T382" s="15">
        <f>+E382</f>
        <v>0</v>
      </c>
      <c r="U382" s="26" t="str">
        <f t="shared" ref="U382" si="205">IFERROR(LEFT(G382,FIND("*",G382)-1),"-")</f>
        <v>-</v>
      </c>
      <c r="V382" s="26" t="str">
        <f t="shared" ref="V382" si="206">IFERROR(RIGHT(G382,LEN(G382)-FIND("*",G382)),"-")</f>
        <v>-</v>
      </c>
      <c r="W382" s="27" t="str">
        <f t="shared" si="202"/>
        <v>-</v>
      </c>
      <c r="X382" s="27" t="str">
        <f>IFERROR(W382*H382,"-")</f>
        <v>-</v>
      </c>
      <c r="Z382" s="94" t="s">
        <v>81</v>
      </c>
    </row>
    <row r="383" spans="1:26" s="25" customFormat="1" ht="6.95" customHeight="1" x14ac:dyDescent="0.3">
      <c r="A383" s="10"/>
      <c r="B383" s="168"/>
      <c r="C383" s="169"/>
      <c r="D383" s="160"/>
      <c r="E383" s="161"/>
      <c r="F383" s="162"/>
      <c r="G383" s="163"/>
      <c r="H383" s="164"/>
      <c r="I383" s="163"/>
      <c r="J383" s="164"/>
      <c r="K383" s="163"/>
      <c r="L383" s="164"/>
      <c r="M383" s="11"/>
      <c r="N383" s="39"/>
      <c r="Q383" s="15" t="str">
        <f>+CONCATENATE(E382,I382)</f>
        <v/>
      </c>
      <c r="R383" s="15">
        <f>+J382</f>
        <v>0</v>
      </c>
      <c r="S383" s="16"/>
      <c r="T383" s="15">
        <f>+E382</f>
        <v>0</v>
      </c>
      <c r="U383" s="26" t="str">
        <f>IFERROR(LEFT(I382,FIND("*",I382)-1),"-")</f>
        <v>-</v>
      </c>
      <c r="V383" s="26" t="str">
        <f>IFERROR(RIGHT(I382,LEN(I382)-FIND("*",I382)),"-")</f>
        <v>-</v>
      </c>
      <c r="W383" s="27" t="str">
        <f t="shared" si="202"/>
        <v>-</v>
      </c>
      <c r="X383" s="27" t="str">
        <f t="shared" ref="X383" si="207">IFERROR(W383*J382,"-")</f>
        <v>-</v>
      </c>
      <c r="Z383" s="94" t="s">
        <v>81</v>
      </c>
    </row>
    <row r="384" spans="1:26" s="25" customFormat="1" ht="6.95" customHeight="1" x14ac:dyDescent="0.3">
      <c r="A384" s="10"/>
      <c r="B384" s="168"/>
      <c r="C384" s="169"/>
      <c r="D384" s="160"/>
      <c r="E384" s="161"/>
      <c r="F384" s="162"/>
      <c r="G384" s="163"/>
      <c r="H384" s="164"/>
      <c r="I384" s="163"/>
      <c r="J384" s="164"/>
      <c r="K384" s="163"/>
      <c r="L384" s="164"/>
      <c r="M384" s="11"/>
      <c r="N384" s="39"/>
      <c r="Q384" s="15" t="str">
        <f>+CONCATENATE(E382,K382)</f>
        <v/>
      </c>
      <c r="R384" s="15">
        <f>+L382</f>
        <v>0</v>
      </c>
      <c r="S384" s="16"/>
      <c r="T384" s="15">
        <f>+E382</f>
        <v>0</v>
      </c>
      <c r="U384" s="26" t="str">
        <f>IFERROR(LEFT(K382,FIND("*",K382)-1),"-")</f>
        <v>-</v>
      </c>
      <c r="V384" s="26" t="str">
        <f>IFERROR(RIGHT(K382,LEN(K382)-FIND("*",K382)),"-")</f>
        <v>-</v>
      </c>
      <c r="W384" s="27" t="str">
        <f t="shared" si="202"/>
        <v>-</v>
      </c>
      <c r="X384" s="27" t="str">
        <f>IFERROR(W384*L382,"-")</f>
        <v>-</v>
      </c>
      <c r="Z384" s="94" t="s">
        <v>81</v>
      </c>
    </row>
    <row r="385" spans="1:26" s="25" customFormat="1" ht="21" customHeight="1" thickBot="1" x14ac:dyDescent="0.35">
      <c r="A385" s="10"/>
      <c r="B385" s="170"/>
      <c r="C385" s="171"/>
      <c r="D385" s="172" t="s">
        <v>43</v>
      </c>
      <c r="E385" s="173"/>
      <c r="F385" s="173"/>
      <c r="G385" s="174"/>
      <c r="H385" s="174"/>
      <c r="I385" s="174"/>
      <c r="J385" s="174"/>
      <c r="K385" s="174"/>
      <c r="L385" s="174"/>
      <c r="M385" s="12"/>
      <c r="N385" s="39"/>
      <c r="U385" s="23"/>
      <c r="V385" s="23"/>
      <c r="Z385" s="95" t="s">
        <v>81</v>
      </c>
    </row>
    <row r="386" spans="1:26" s="25" customFormat="1" ht="9.9499999999999993" customHeight="1" thickBot="1" x14ac:dyDescent="0.35">
      <c r="A386" s="6"/>
      <c r="B386" s="14"/>
      <c r="C386" s="119">
        <v>796</v>
      </c>
      <c r="D386" s="58"/>
      <c r="E386" s="17"/>
      <c r="F386" s="58"/>
      <c r="G386" s="19"/>
      <c r="H386" s="19"/>
      <c r="I386" s="19"/>
      <c r="J386" s="19"/>
      <c r="K386" s="19"/>
      <c r="L386" s="19"/>
      <c r="M386" s="14"/>
      <c r="N386" s="39"/>
      <c r="Q386" s="1"/>
      <c r="R386" s="1"/>
      <c r="S386" s="1"/>
      <c r="T386" s="1"/>
      <c r="U386" s="24"/>
      <c r="V386" s="24"/>
      <c r="W386" s="1"/>
      <c r="X386" s="1"/>
      <c r="Z386" s="94" t="s">
        <v>81</v>
      </c>
    </row>
    <row r="387" spans="1:26" s="25" customFormat="1" ht="6.95" customHeight="1" x14ac:dyDescent="0.3">
      <c r="A387" s="165">
        <f>+A376+1</f>
        <v>36</v>
      </c>
      <c r="B387" s="166"/>
      <c r="C387" s="167"/>
      <c r="D387" s="160" t="s">
        <v>39</v>
      </c>
      <c r="E387" s="161"/>
      <c r="F387" s="162" t="s">
        <v>40</v>
      </c>
      <c r="G387" s="163"/>
      <c r="H387" s="164"/>
      <c r="I387" s="163"/>
      <c r="J387" s="164"/>
      <c r="K387" s="163"/>
      <c r="L387" s="164"/>
      <c r="M387" s="11"/>
      <c r="N387" s="39"/>
      <c r="Q387" s="15" t="str">
        <f>+CONCATENATE(E387,G387)</f>
        <v/>
      </c>
      <c r="R387" s="15">
        <f>+H387</f>
        <v>0</v>
      </c>
      <c r="S387" s="16"/>
      <c r="T387" s="15">
        <f>+E387</f>
        <v>0</v>
      </c>
      <c r="U387" s="26" t="str">
        <f>IFERROR(LEFT(G387,FIND("*",G387)-1),"-")</f>
        <v>-</v>
      </c>
      <c r="V387" s="26" t="str">
        <f>IFERROR(RIGHT(G387,LEN(G387)-FIND("*",G387)),"-")</f>
        <v>-</v>
      </c>
      <c r="W387" s="27" t="str">
        <f>IFERROR((U387+V387)*2/1000,"-")</f>
        <v>-</v>
      </c>
      <c r="X387" s="27" t="str">
        <f>IFERROR(W387*H387,"-")</f>
        <v>-</v>
      </c>
      <c r="Z387" s="94" t="s">
        <v>81</v>
      </c>
    </row>
    <row r="388" spans="1:26" s="25" customFormat="1" ht="6.95" customHeight="1" x14ac:dyDescent="0.3">
      <c r="A388" s="165"/>
      <c r="B388" s="168"/>
      <c r="C388" s="169"/>
      <c r="D388" s="160"/>
      <c r="E388" s="161"/>
      <c r="F388" s="162"/>
      <c r="G388" s="163"/>
      <c r="H388" s="164"/>
      <c r="I388" s="163"/>
      <c r="J388" s="164"/>
      <c r="K388" s="163"/>
      <c r="L388" s="164"/>
      <c r="M388" s="11"/>
      <c r="N388" s="39"/>
      <c r="Q388" s="15" t="str">
        <f>+CONCATENATE(E387,I387)</f>
        <v/>
      </c>
      <c r="R388" s="15">
        <f>+J387</f>
        <v>0</v>
      </c>
      <c r="S388" s="16"/>
      <c r="T388" s="15">
        <f>+E387</f>
        <v>0</v>
      </c>
      <c r="U388" s="26" t="str">
        <f>IFERROR(LEFT(I387,FIND("*",I387)-1),"-")</f>
        <v>-</v>
      </c>
      <c r="V388" s="26" t="str">
        <f>IFERROR(RIGHT(I387,LEN(I387)-FIND("*",I387)),"-")</f>
        <v>-</v>
      </c>
      <c r="W388" s="27" t="str">
        <f t="shared" ref="W388:W395" si="208">IFERROR((U388+V388)*2/1000,"-")</f>
        <v>-</v>
      </c>
      <c r="X388" s="27" t="str">
        <f>IFERROR(W388*J387,"-")</f>
        <v>-</v>
      </c>
      <c r="Z388" s="94" t="s">
        <v>81</v>
      </c>
    </row>
    <row r="389" spans="1:26" s="25" customFormat="1" ht="6.95" customHeight="1" x14ac:dyDescent="0.3">
      <c r="A389" s="165"/>
      <c r="B389" s="168"/>
      <c r="C389" s="169"/>
      <c r="D389" s="160"/>
      <c r="E389" s="161"/>
      <c r="F389" s="162"/>
      <c r="G389" s="163"/>
      <c r="H389" s="164"/>
      <c r="I389" s="163"/>
      <c r="J389" s="164"/>
      <c r="K389" s="163"/>
      <c r="L389" s="164"/>
      <c r="M389" s="11"/>
      <c r="N389" s="39"/>
      <c r="Q389" s="15" t="str">
        <f>+CONCATENATE(E387,K387)</f>
        <v/>
      </c>
      <c r="R389" s="15">
        <f>+L387</f>
        <v>0</v>
      </c>
      <c r="S389" s="16"/>
      <c r="T389" s="15">
        <f>+E387</f>
        <v>0</v>
      </c>
      <c r="U389" s="26" t="str">
        <f>IFERROR(LEFT(K387,FIND("*",K387)-1),"-")</f>
        <v>-</v>
      </c>
      <c r="V389" s="26" t="str">
        <f>IFERROR(RIGHT(K387,LEN(K387)-FIND("*",K387)),"-")</f>
        <v>-</v>
      </c>
      <c r="W389" s="27" t="str">
        <f t="shared" si="208"/>
        <v>-</v>
      </c>
      <c r="X389" s="27" t="str">
        <f>IFERROR(W389*L387,"-")</f>
        <v>-</v>
      </c>
      <c r="Z389" s="94" t="s">
        <v>81</v>
      </c>
    </row>
    <row r="390" spans="1:26" s="25" customFormat="1" ht="6.95" customHeight="1" x14ac:dyDescent="0.3">
      <c r="A390" s="13"/>
      <c r="B390" s="168"/>
      <c r="C390" s="169"/>
      <c r="D390" s="160" t="s">
        <v>39</v>
      </c>
      <c r="E390" s="161"/>
      <c r="F390" s="162" t="s">
        <v>40</v>
      </c>
      <c r="G390" s="163"/>
      <c r="H390" s="164"/>
      <c r="I390" s="163"/>
      <c r="J390" s="164"/>
      <c r="K390" s="163"/>
      <c r="L390" s="164"/>
      <c r="M390" s="11"/>
      <c r="N390" s="39"/>
      <c r="Q390" s="15" t="str">
        <f>+CONCATENATE(E390,G390)</f>
        <v/>
      </c>
      <c r="R390" s="15">
        <f>+H390</f>
        <v>0</v>
      </c>
      <c r="S390" s="16"/>
      <c r="T390" s="15">
        <f>+E390</f>
        <v>0</v>
      </c>
      <c r="U390" s="26" t="str">
        <f t="shared" ref="U390" si="209">IFERROR(LEFT(G390,FIND("*",G390)-1),"-")</f>
        <v>-</v>
      </c>
      <c r="V390" s="26" t="str">
        <f t="shared" ref="V390" si="210">IFERROR(RIGHT(G390,LEN(G390)-FIND("*",G390)),"-")</f>
        <v>-</v>
      </c>
      <c r="W390" s="27" t="str">
        <f t="shared" si="208"/>
        <v>-</v>
      </c>
      <c r="X390" s="27" t="str">
        <f>IFERROR(W390*H390,"-")</f>
        <v>-</v>
      </c>
      <c r="Z390" s="94" t="s">
        <v>81</v>
      </c>
    </row>
    <row r="391" spans="1:26" s="25" customFormat="1" ht="6.95" customHeight="1" x14ac:dyDescent="0.3">
      <c r="A391" s="10"/>
      <c r="B391" s="168"/>
      <c r="C391" s="169"/>
      <c r="D391" s="160"/>
      <c r="E391" s="161"/>
      <c r="F391" s="162"/>
      <c r="G391" s="163"/>
      <c r="H391" s="164"/>
      <c r="I391" s="163"/>
      <c r="J391" s="164"/>
      <c r="K391" s="163"/>
      <c r="L391" s="164"/>
      <c r="M391" s="11"/>
      <c r="N391" s="39"/>
      <c r="Q391" s="15" t="str">
        <f>+CONCATENATE(E390,I390)</f>
        <v/>
      </c>
      <c r="R391" s="15">
        <f>+J390</f>
        <v>0</v>
      </c>
      <c r="S391" s="16"/>
      <c r="T391" s="15">
        <f>+E390</f>
        <v>0</v>
      </c>
      <c r="U391" s="26" t="str">
        <f>IFERROR(LEFT(I390,FIND("*",I390)-1),"-")</f>
        <v>-</v>
      </c>
      <c r="V391" s="26" t="str">
        <f>IFERROR(RIGHT(I390,LEN(I390)-FIND("*",I390)),"-")</f>
        <v>-</v>
      </c>
      <c r="W391" s="27" t="str">
        <f t="shared" si="208"/>
        <v>-</v>
      </c>
      <c r="X391" s="27" t="str">
        <f>IFERROR(W391*J390,"-")</f>
        <v>-</v>
      </c>
      <c r="Z391" s="94" t="s">
        <v>81</v>
      </c>
    </row>
    <row r="392" spans="1:26" s="25" customFormat="1" ht="6.95" customHeight="1" x14ac:dyDescent="0.3">
      <c r="A392" s="10"/>
      <c r="B392" s="168"/>
      <c r="C392" s="169"/>
      <c r="D392" s="160"/>
      <c r="E392" s="161"/>
      <c r="F392" s="162"/>
      <c r="G392" s="163"/>
      <c r="H392" s="164"/>
      <c r="I392" s="163"/>
      <c r="J392" s="164"/>
      <c r="K392" s="163"/>
      <c r="L392" s="164"/>
      <c r="M392" s="11"/>
      <c r="N392" s="39"/>
      <c r="Q392" s="15" t="str">
        <f>+CONCATENATE(E390,K390)</f>
        <v/>
      </c>
      <c r="R392" s="15">
        <f>+L390</f>
        <v>0</v>
      </c>
      <c r="S392" s="16"/>
      <c r="T392" s="15">
        <f>+E390</f>
        <v>0</v>
      </c>
      <c r="U392" s="26" t="str">
        <f>IFERROR(LEFT(K390,FIND("*",K390)-1),"-")</f>
        <v>-</v>
      </c>
      <c r="V392" s="26" t="str">
        <f>IFERROR(RIGHT(K390,LEN(K390)-FIND("*",K390)),"-")</f>
        <v>-</v>
      </c>
      <c r="W392" s="27" t="str">
        <f t="shared" si="208"/>
        <v>-</v>
      </c>
      <c r="X392" s="27" t="str">
        <f>IFERROR(W392*L390,"-")</f>
        <v>-</v>
      </c>
      <c r="Z392" s="94" t="s">
        <v>81</v>
      </c>
    </row>
    <row r="393" spans="1:26" s="25" customFormat="1" ht="6.95" customHeight="1" x14ac:dyDescent="0.3">
      <c r="A393" s="13"/>
      <c r="B393" s="168"/>
      <c r="C393" s="169"/>
      <c r="D393" s="160" t="s">
        <v>39</v>
      </c>
      <c r="E393" s="161"/>
      <c r="F393" s="162" t="s">
        <v>40</v>
      </c>
      <c r="G393" s="163"/>
      <c r="H393" s="164"/>
      <c r="I393" s="163"/>
      <c r="J393" s="164"/>
      <c r="K393" s="163"/>
      <c r="L393" s="164"/>
      <c r="M393" s="11"/>
      <c r="N393" s="39"/>
      <c r="Q393" s="15" t="str">
        <f>+CONCATENATE(E393,G393)</f>
        <v/>
      </c>
      <c r="R393" s="15">
        <f>+H393</f>
        <v>0</v>
      </c>
      <c r="S393" s="16"/>
      <c r="T393" s="15">
        <f>+E393</f>
        <v>0</v>
      </c>
      <c r="U393" s="26" t="str">
        <f t="shared" ref="U393" si="211">IFERROR(LEFT(G393,FIND("*",G393)-1),"-")</f>
        <v>-</v>
      </c>
      <c r="V393" s="26" t="str">
        <f t="shared" ref="V393" si="212">IFERROR(RIGHT(G393,LEN(G393)-FIND("*",G393)),"-")</f>
        <v>-</v>
      </c>
      <c r="W393" s="27" t="str">
        <f t="shared" si="208"/>
        <v>-</v>
      </c>
      <c r="X393" s="27" t="str">
        <f>IFERROR(W393*H393,"-")</f>
        <v>-</v>
      </c>
      <c r="Z393" s="94" t="s">
        <v>81</v>
      </c>
    </row>
    <row r="394" spans="1:26" s="25" customFormat="1" ht="6.95" customHeight="1" x14ac:dyDescent="0.3">
      <c r="A394" s="10"/>
      <c r="B394" s="168"/>
      <c r="C394" s="169"/>
      <c r="D394" s="160"/>
      <c r="E394" s="161"/>
      <c r="F394" s="162"/>
      <c r="G394" s="163"/>
      <c r="H394" s="164"/>
      <c r="I394" s="163"/>
      <c r="J394" s="164"/>
      <c r="K394" s="163"/>
      <c r="L394" s="164"/>
      <c r="M394" s="11"/>
      <c r="N394" s="39"/>
      <c r="Q394" s="15" t="str">
        <f>+CONCATENATE(E393,I393)</f>
        <v/>
      </c>
      <c r="R394" s="15">
        <f>+J393</f>
        <v>0</v>
      </c>
      <c r="S394" s="16"/>
      <c r="T394" s="15">
        <f>+E393</f>
        <v>0</v>
      </c>
      <c r="U394" s="26" t="str">
        <f>IFERROR(LEFT(I393,FIND("*",I393)-1),"-")</f>
        <v>-</v>
      </c>
      <c r="V394" s="26" t="str">
        <f>IFERROR(RIGHT(I393,LEN(I393)-FIND("*",I393)),"-")</f>
        <v>-</v>
      </c>
      <c r="W394" s="27" t="str">
        <f t="shared" si="208"/>
        <v>-</v>
      </c>
      <c r="X394" s="27" t="str">
        <f t="shared" ref="X394" si="213">IFERROR(W394*J393,"-")</f>
        <v>-</v>
      </c>
      <c r="Z394" s="94" t="s">
        <v>81</v>
      </c>
    </row>
    <row r="395" spans="1:26" s="25" customFormat="1" ht="6.95" customHeight="1" x14ac:dyDescent="0.3">
      <c r="A395" s="10"/>
      <c r="B395" s="168"/>
      <c r="C395" s="169"/>
      <c r="D395" s="160"/>
      <c r="E395" s="161"/>
      <c r="F395" s="162"/>
      <c r="G395" s="163"/>
      <c r="H395" s="164"/>
      <c r="I395" s="163"/>
      <c r="J395" s="164"/>
      <c r="K395" s="163"/>
      <c r="L395" s="164"/>
      <c r="M395" s="11"/>
      <c r="N395" s="39"/>
      <c r="Q395" s="15" t="str">
        <f>+CONCATENATE(E393,K393)</f>
        <v/>
      </c>
      <c r="R395" s="15">
        <f>+L393</f>
        <v>0</v>
      </c>
      <c r="S395" s="16"/>
      <c r="T395" s="15">
        <f>+E393</f>
        <v>0</v>
      </c>
      <c r="U395" s="26" t="str">
        <f>IFERROR(LEFT(K393,FIND("*",K393)-1),"-")</f>
        <v>-</v>
      </c>
      <c r="V395" s="26" t="str">
        <f>IFERROR(RIGHT(K393,LEN(K393)-FIND("*",K393)),"-")</f>
        <v>-</v>
      </c>
      <c r="W395" s="27" t="str">
        <f t="shared" si="208"/>
        <v>-</v>
      </c>
      <c r="X395" s="27" t="str">
        <f>IFERROR(W395*L393,"-")</f>
        <v>-</v>
      </c>
      <c r="Z395" s="94" t="s">
        <v>81</v>
      </c>
    </row>
    <row r="396" spans="1:26" s="25" customFormat="1" ht="21" customHeight="1" thickBot="1" x14ac:dyDescent="0.35">
      <c r="A396" s="10"/>
      <c r="B396" s="170"/>
      <c r="C396" s="171"/>
      <c r="D396" s="172" t="s">
        <v>43</v>
      </c>
      <c r="E396" s="173"/>
      <c r="F396" s="173"/>
      <c r="G396" s="174"/>
      <c r="H396" s="174"/>
      <c r="I396" s="174"/>
      <c r="J396" s="174"/>
      <c r="K396" s="174"/>
      <c r="L396" s="174"/>
      <c r="M396" s="12"/>
      <c r="N396" s="39"/>
      <c r="U396" s="23"/>
      <c r="V396" s="23"/>
      <c r="Z396" s="95" t="s">
        <v>81</v>
      </c>
    </row>
    <row r="397" spans="1:26" s="25" customFormat="1" ht="9.9499999999999993" customHeight="1" thickBot="1" x14ac:dyDescent="0.35">
      <c r="A397" s="6"/>
      <c r="B397" s="14"/>
      <c r="C397" s="119">
        <v>797</v>
      </c>
      <c r="D397" s="58"/>
      <c r="E397" s="17"/>
      <c r="F397" s="58"/>
      <c r="G397" s="19"/>
      <c r="H397" s="19"/>
      <c r="I397" s="19"/>
      <c r="J397" s="19"/>
      <c r="K397" s="19"/>
      <c r="L397" s="19"/>
      <c r="M397" s="14"/>
      <c r="N397" s="39"/>
      <c r="Q397" s="1"/>
      <c r="R397" s="1"/>
      <c r="S397" s="1"/>
      <c r="T397" s="1"/>
      <c r="U397" s="24"/>
      <c r="V397" s="24"/>
      <c r="W397" s="1"/>
      <c r="X397" s="1"/>
      <c r="Z397" s="94" t="s">
        <v>81</v>
      </c>
    </row>
    <row r="398" spans="1:26" s="25" customFormat="1" ht="6.95" customHeight="1" x14ac:dyDescent="0.3">
      <c r="A398" s="165">
        <f>+A387+1</f>
        <v>37</v>
      </c>
      <c r="B398" s="166"/>
      <c r="C398" s="167"/>
      <c r="D398" s="160" t="s">
        <v>39</v>
      </c>
      <c r="E398" s="161"/>
      <c r="F398" s="162" t="s">
        <v>40</v>
      </c>
      <c r="G398" s="163"/>
      <c r="H398" s="164"/>
      <c r="I398" s="163"/>
      <c r="J398" s="164"/>
      <c r="K398" s="163"/>
      <c r="L398" s="164"/>
      <c r="M398" s="11"/>
      <c r="N398" s="39"/>
      <c r="Q398" s="15" t="str">
        <f>+CONCATENATE(E398,G398)</f>
        <v/>
      </c>
      <c r="R398" s="15">
        <f>+H398</f>
        <v>0</v>
      </c>
      <c r="S398" s="16"/>
      <c r="T398" s="15">
        <f>+E398</f>
        <v>0</v>
      </c>
      <c r="U398" s="26" t="str">
        <f>IFERROR(LEFT(G398,FIND("*",G398)-1),"-")</f>
        <v>-</v>
      </c>
      <c r="V398" s="26" t="str">
        <f>IFERROR(RIGHT(G398,LEN(G398)-FIND("*",G398)),"-")</f>
        <v>-</v>
      </c>
      <c r="W398" s="27" t="str">
        <f>IFERROR((U398+V398)*2/1000,"-")</f>
        <v>-</v>
      </c>
      <c r="X398" s="27" t="str">
        <f>IFERROR(W398*H398,"-")</f>
        <v>-</v>
      </c>
      <c r="Z398" s="94" t="s">
        <v>81</v>
      </c>
    </row>
    <row r="399" spans="1:26" s="25" customFormat="1" ht="6.95" customHeight="1" x14ac:dyDescent="0.3">
      <c r="A399" s="165"/>
      <c r="B399" s="168"/>
      <c r="C399" s="169"/>
      <c r="D399" s="160"/>
      <c r="E399" s="161"/>
      <c r="F399" s="162"/>
      <c r="G399" s="163"/>
      <c r="H399" s="164"/>
      <c r="I399" s="163"/>
      <c r="J399" s="164"/>
      <c r="K399" s="163"/>
      <c r="L399" s="164"/>
      <c r="M399" s="11"/>
      <c r="N399" s="39"/>
      <c r="Q399" s="15" t="str">
        <f>+CONCATENATE(E398,I398)</f>
        <v/>
      </c>
      <c r="R399" s="15">
        <f>+J398</f>
        <v>0</v>
      </c>
      <c r="S399" s="16"/>
      <c r="T399" s="15">
        <f>+E398</f>
        <v>0</v>
      </c>
      <c r="U399" s="26" t="str">
        <f>IFERROR(LEFT(I398,FIND("*",I398)-1),"-")</f>
        <v>-</v>
      </c>
      <c r="V399" s="26" t="str">
        <f>IFERROR(RIGHT(I398,LEN(I398)-FIND("*",I398)),"-")</f>
        <v>-</v>
      </c>
      <c r="W399" s="27" t="str">
        <f t="shared" ref="W399:W406" si="214">IFERROR((U399+V399)*2/1000,"-")</f>
        <v>-</v>
      </c>
      <c r="X399" s="27" t="str">
        <f>IFERROR(W399*J398,"-")</f>
        <v>-</v>
      </c>
      <c r="Z399" s="94" t="s">
        <v>81</v>
      </c>
    </row>
    <row r="400" spans="1:26" s="25" customFormat="1" ht="6.95" customHeight="1" x14ac:dyDescent="0.3">
      <c r="A400" s="165"/>
      <c r="B400" s="168"/>
      <c r="C400" s="169"/>
      <c r="D400" s="160"/>
      <c r="E400" s="161"/>
      <c r="F400" s="162"/>
      <c r="G400" s="163"/>
      <c r="H400" s="164"/>
      <c r="I400" s="163"/>
      <c r="J400" s="164"/>
      <c r="K400" s="163"/>
      <c r="L400" s="164"/>
      <c r="M400" s="11"/>
      <c r="N400" s="39"/>
      <c r="Q400" s="15" t="str">
        <f>+CONCATENATE(E398,K398)</f>
        <v/>
      </c>
      <c r="R400" s="15">
        <f>+L398</f>
        <v>0</v>
      </c>
      <c r="S400" s="16"/>
      <c r="T400" s="15">
        <f>+E398</f>
        <v>0</v>
      </c>
      <c r="U400" s="26" t="str">
        <f>IFERROR(LEFT(K398,FIND("*",K398)-1),"-")</f>
        <v>-</v>
      </c>
      <c r="V400" s="26" t="str">
        <f>IFERROR(RIGHT(K398,LEN(K398)-FIND("*",K398)),"-")</f>
        <v>-</v>
      </c>
      <c r="W400" s="27" t="str">
        <f t="shared" si="214"/>
        <v>-</v>
      </c>
      <c r="X400" s="27" t="str">
        <f>IFERROR(W400*L398,"-")</f>
        <v>-</v>
      </c>
      <c r="Z400" s="94" t="s">
        <v>81</v>
      </c>
    </row>
    <row r="401" spans="1:26" s="25" customFormat="1" ht="6.95" customHeight="1" x14ac:dyDescent="0.3">
      <c r="A401" s="13"/>
      <c r="B401" s="168"/>
      <c r="C401" s="169"/>
      <c r="D401" s="160" t="s">
        <v>39</v>
      </c>
      <c r="E401" s="161"/>
      <c r="F401" s="162" t="s">
        <v>40</v>
      </c>
      <c r="G401" s="163"/>
      <c r="H401" s="164"/>
      <c r="I401" s="163"/>
      <c r="J401" s="164"/>
      <c r="K401" s="163"/>
      <c r="L401" s="164"/>
      <c r="M401" s="11"/>
      <c r="N401" s="39"/>
      <c r="Q401" s="15" t="str">
        <f>+CONCATENATE(E401,G401)</f>
        <v/>
      </c>
      <c r="R401" s="15">
        <f>+H401</f>
        <v>0</v>
      </c>
      <c r="S401" s="16"/>
      <c r="T401" s="15">
        <f>+E401</f>
        <v>0</v>
      </c>
      <c r="U401" s="26" t="str">
        <f t="shared" ref="U401" si="215">IFERROR(LEFT(G401,FIND("*",G401)-1),"-")</f>
        <v>-</v>
      </c>
      <c r="V401" s="26" t="str">
        <f t="shared" ref="V401" si="216">IFERROR(RIGHT(G401,LEN(G401)-FIND("*",G401)),"-")</f>
        <v>-</v>
      </c>
      <c r="W401" s="27" t="str">
        <f t="shared" si="214"/>
        <v>-</v>
      </c>
      <c r="X401" s="27" t="str">
        <f>IFERROR(W401*H401,"-")</f>
        <v>-</v>
      </c>
      <c r="Z401" s="94" t="s">
        <v>81</v>
      </c>
    </row>
    <row r="402" spans="1:26" s="25" customFormat="1" ht="6.95" customHeight="1" x14ac:dyDescent="0.3">
      <c r="A402" s="10"/>
      <c r="B402" s="168"/>
      <c r="C402" s="169"/>
      <c r="D402" s="160"/>
      <c r="E402" s="161"/>
      <c r="F402" s="162"/>
      <c r="G402" s="163"/>
      <c r="H402" s="164"/>
      <c r="I402" s="163"/>
      <c r="J402" s="164"/>
      <c r="K402" s="163"/>
      <c r="L402" s="164"/>
      <c r="M402" s="11"/>
      <c r="N402" s="39"/>
      <c r="Q402" s="15" t="str">
        <f>+CONCATENATE(E401,I401)</f>
        <v/>
      </c>
      <c r="R402" s="15">
        <f>+J401</f>
        <v>0</v>
      </c>
      <c r="S402" s="16"/>
      <c r="T402" s="15">
        <f>+E401</f>
        <v>0</v>
      </c>
      <c r="U402" s="26" t="str">
        <f>IFERROR(LEFT(I401,FIND("*",I401)-1),"-")</f>
        <v>-</v>
      </c>
      <c r="V402" s="26" t="str">
        <f>IFERROR(RIGHT(I401,LEN(I401)-FIND("*",I401)),"-")</f>
        <v>-</v>
      </c>
      <c r="W402" s="27" t="str">
        <f t="shared" si="214"/>
        <v>-</v>
      </c>
      <c r="X402" s="27" t="str">
        <f>IFERROR(W402*J401,"-")</f>
        <v>-</v>
      </c>
      <c r="Z402" s="94" t="s">
        <v>81</v>
      </c>
    </row>
    <row r="403" spans="1:26" s="25" customFormat="1" ht="6.95" customHeight="1" x14ac:dyDescent="0.3">
      <c r="A403" s="10"/>
      <c r="B403" s="168"/>
      <c r="C403" s="169"/>
      <c r="D403" s="160"/>
      <c r="E403" s="161"/>
      <c r="F403" s="162"/>
      <c r="G403" s="163"/>
      <c r="H403" s="164"/>
      <c r="I403" s="163"/>
      <c r="J403" s="164"/>
      <c r="K403" s="163"/>
      <c r="L403" s="164"/>
      <c r="M403" s="11"/>
      <c r="N403" s="39"/>
      <c r="Q403" s="15" t="str">
        <f>+CONCATENATE(E401,K401)</f>
        <v/>
      </c>
      <c r="R403" s="15">
        <f>+L401</f>
        <v>0</v>
      </c>
      <c r="S403" s="16"/>
      <c r="T403" s="15">
        <f>+E401</f>
        <v>0</v>
      </c>
      <c r="U403" s="26" t="str">
        <f>IFERROR(LEFT(K401,FIND("*",K401)-1),"-")</f>
        <v>-</v>
      </c>
      <c r="V403" s="26" t="str">
        <f>IFERROR(RIGHT(K401,LEN(K401)-FIND("*",K401)),"-")</f>
        <v>-</v>
      </c>
      <c r="W403" s="27" t="str">
        <f t="shared" si="214"/>
        <v>-</v>
      </c>
      <c r="X403" s="27" t="str">
        <f>IFERROR(W403*L401,"-")</f>
        <v>-</v>
      </c>
      <c r="Z403" s="94" t="s">
        <v>81</v>
      </c>
    </row>
    <row r="404" spans="1:26" s="25" customFormat="1" ht="6.95" customHeight="1" x14ac:dyDescent="0.3">
      <c r="A404" s="13"/>
      <c r="B404" s="168"/>
      <c r="C404" s="169"/>
      <c r="D404" s="160" t="s">
        <v>39</v>
      </c>
      <c r="E404" s="161"/>
      <c r="F404" s="162" t="s">
        <v>40</v>
      </c>
      <c r="G404" s="163"/>
      <c r="H404" s="164"/>
      <c r="I404" s="163"/>
      <c r="J404" s="164"/>
      <c r="K404" s="163"/>
      <c r="L404" s="164"/>
      <c r="M404" s="11"/>
      <c r="N404" s="39"/>
      <c r="Q404" s="15" t="str">
        <f>+CONCATENATE(E404,G404)</f>
        <v/>
      </c>
      <c r="R404" s="15">
        <f>+H404</f>
        <v>0</v>
      </c>
      <c r="S404" s="16"/>
      <c r="T404" s="15">
        <f>+E404</f>
        <v>0</v>
      </c>
      <c r="U404" s="26" t="str">
        <f t="shared" ref="U404" si="217">IFERROR(LEFT(G404,FIND("*",G404)-1),"-")</f>
        <v>-</v>
      </c>
      <c r="V404" s="26" t="str">
        <f t="shared" ref="V404" si="218">IFERROR(RIGHT(G404,LEN(G404)-FIND("*",G404)),"-")</f>
        <v>-</v>
      </c>
      <c r="W404" s="27" t="str">
        <f t="shared" si="214"/>
        <v>-</v>
      </c>
      <c r="X404" s="27" t="str">
        <f>IFERROR(W404*H404,"-")</f>
        <v>-</v>
      </c>
      <c r="Z404" s="94" t="s">
        <v>81</v>
      </c>
    </row>
    <row r="405" spans="1:26" s="25" customFormat="1" ht="6.95" customHeight="1" x14ac:dyDescent="0.3">
      <c r="A405" s="10"/>
      <c r="B405" s="168"/>
      <c r="C405" s="169"/>
      <c r="D405" s="160"/>
      <c r="E405" s="161"/>
      <c r="F405" s="162"/>
      <c r="G405" s="163"/>
      <c r="H405" s="164"/>
      <c r="I405" s="163"/>
      <c r="J405" s="164"/>
      <c r="K405" s="163"/>
      <c r="L405" s="164"/>
      <c r="M405" s="11"/>
      <c r="N405" s="39"/>
      <c r="Q405" s="15" t="str">
        <f>+CONCATENATE(E404,I404)</f>
        <v/>
      </c>
      <c r="R405" s="15">
        <f>+J404</f>
        <v>0</v>
      </c>
      <c r="S405" s="16"/>
      <c r="T405" s="15">
        <f>+E404</f>
        <v>0</v>
      </c>
      <c r="U405" s="26" t="str">
        <f>IFERROR(LEFT(I404,FIND("*",I404)-1),"-")</f>
        <v>-</v>
      </c>
      <c r="V405" s="26" t="str">
        <f>IFERROR(RIGHT(I404,LEN(I404)-FIND("*",I404)),"-")</f>
        <v>-</v>
      </c>
      <c r="W405" s="27" t="str">
        <f t="shared" si="214"/>
        <v>-</v>
      </c>
      <c r="X405" s="27" t="str">
        <f t="shared" ref="X405" si="219">IFERROR(W405*J404,"-")</f>
        <v>-</v>
      </c>
      <c r="Z405" s="94" t="s">
        <v>81</v>
      </c>
    </row>
    <row r="406" spans="1:26" s="25" customFormat="1" ht="6.95" customHeight="1" x14ac:dyDescent="0.3">
      <c r="A406" s="10"/>
      <c r="B406" s="168"/>
      <c r="C406" s="169"/>
      <c r="D406" s="160"/>
      <c r="E406" s="161"/>
      <c r="F406" s="162"/>
      <c r="G406" s="163"/>
      <c r="H406" s="164"/>
      <c r="I406" s="163"/>
      <c r="J406" s="164"/>
      <c r="K406" s="163"/>
      <c r="L406" s="164"/>
      <c r="M406" s="11"/>
      <c r="N406" s="39"/>
      <c r="Q406" s="15" t="str">
        <f>+CONCATENATE(E404,K404)</f>
        <v/>
      </c>
      <c r="R406" s="15">
        <f>+L404</f>
        <v>0</v>
      </c>
      <c r="S406" s="16"/>
      <c r="T406" s="15">
        <f>+E404</f>
        <v>0</v>
      </c>
      <c r="U406" s="26" t="str">
        <f>IFERROR(LEFT(K404,FIND("*",K404)-1),"-")</f>
        <v>-</v>
      </c>
      <c r="V406" s="26" t="str">
        <f>IFERROR(RIGHT(K404,LEN(K404)-FIND("*",K404)),"-")</f>
        <v>-</v>
      </c>
      <c r="W406" s="27" t="str">
        <f t="shared" si="214"/>
        <v>-</v>
      </c>
      <c r="X406" s="27" t="str">
        <f>IFERROR(W406*L404,"-")</f>
        <v>-</v>
      </c>
      <c r="Z406" s="94" t="s">
        <v>81</v>
      </c>
    </row>
    <row r="407" spans="1:26" s="25" customFormat="1" ht="21" customHeight="1" thickBot="1" x14ac:dyDescent="0.35">
      <c r="A407" s="10"/>
      <c r="B407" s="170"/>
      <c r="C407" s="171"/>
      <c r="D407" s="172" t="s">
        <v>43</v>
      </c>
      <c r="E407" s="173"/>
      <c r="F407" s="173"/>
      <c r="G407" s="174"/>
      <c r="H407" s="174"/>
      <c r="I407" s="174"/>
      <c r="J407" s="174"/>
      <c r="K407" s="174"/>
      <c r="L407" s="174"/>
      <c r="M407" s="12"/>
      <c r="N407" s="39"/>
      <c r="U407" s="23"/>
      <c r="V407" s="23"/>
      <c r="Z407" s="95" t="s">
        <v>81</v>
      </c>
    </row>
    <row r="408" spans="1:26" s="25" customFormat="1" ht="9.9499999999999993" customHeight="1" thickBot="1" x14ac:dyDescent="0.35">
      <c r="A408" s="6"/>
      <c r="B408" s="14"/>
      <c r="C408" s="119">
        <v>798</v>
      </c>
      <c r="D408" s="58"/>
      <c r="E408" s="17"/>
      <c r="F408" s="58"/>
      <c r="G408" s="19"/>
      <c r="H408" s="19"/>
      <c r="I408" s="19"/>
      <c r="J408" s="19"/>
      <c r="K408" s="19"/>
      <c r="L408" s="19"/>
      <c r="M408" s="14"/>
      <c r="N408" s="39"/>
      <c r="Q408" s="1"/>
      <c r="R408" s="1"/>
      <c r="S408" s="1"/>
      <c r="T408" s="1"/>
      <c r="U408" s="24"/>
      <c r="V408" s="24"/>
      <c r="W408" s="1"/>
      <c r="X408" s="1"/>
      <c r="Z408" s="94" t="s">
        <v>81</v>
      </c>
    </row>
    <row r="409" spans="1:26" s="25" customFormat="1" ht="6.95" customHeight="1" x14ac:dyDescent="0.3">
      <c r="A409" s="165">
        <f>+A398+1</f>
        <v>38</v>
      </c>
      <c r="B409" s="166"/>
      <c r="C409" s="167"/>
      <c r="D409" s="160" t="s">
        <v>39</v>
      </c>
      <c r="E409" s="161"/>
      <c r="F409" s="162" t="s">
        <v>40</v>
      </c>
      <c r="G409" s="163"/>
      <c r="H409" s="164"/>
      <c r="I409" s="163"/>
      <c r="J409" s="164"/>
      <c r="K409" s="163"/>
      <c r="L409" s="164"/>
      <c r="M409" s="11"/>
      <c r="N409" s="39"/>
      <c r="Q409" s="15" t="str">
        <f>+CONCATENATE(E409,G409)</f>
        <v/>
      </c>
      <c r="R409" s="15">
        <f>+H409</f>
        <v>0</v>
      </c>
      <c r="S409" s="16"/>
      <c r="T409" s="15">
        <f>+E409</f>
        <v>0</v>
      </c>
      <c r="U409" s="26" t="str">
        <f>IFERROR(LEFT(G409,FIND("*",G409)-1),"-")</f>
        <v>-</v>
      </c>
      <c r="V409" s="26" t="str">
        <f>IFERROR(RIGHT(G409,LEN(G409)-FIND("*",G409)),"-")</f>
        <v>-</v>
      </c>
      <c r="W409" s="27" t="str">
        <f>IFERROR((U409+V409)*2/1000,"-")</f>
        <v>-</v>
      </c>
      <c r="X409" s="27" t="str">
        <f>IFERROR(W409*H409,"-")</f>
        <v>-</v>
      </c>
      <c r="Z409" s="94" t="s">
        <v>81</v>
      </c>
    </row>
    <row r="410" spans="1:26" s="25" customFormat="1" ht="6.95" customHeight="1" x14ac:dyDescent="0.3">
      <c r="A410" s="165"/>
      <c r="B410" s="168"/>
      <c r="C410" s="169"/>
      <c r="D410" s="160"/>
      <c r="E410" s="161"/>
      <c r="F410" s="162"/>
      <c r="G410" s="163"/>
      <c r="H410" s="164"/>
      <c r="I410" s="163"/>
      <c r="J410" s="164"/>
      <c r="K410" s="163"/>
      <c r="L410" s="164"/>
      <c r="M410" s="11"/>
      <c r="N410" s="39"/>
      <c r="Q410" s="15" t="str">
        <f>+CONCATENATE(E409,I409)</f>
        <v/>
      </c>
      <c r="R410" s="15">
        <f>+J409</f>
        <v>0</v>
      </c>
      <c r="S410" s="16"/>
      <c r="T410" s="15">
        <f>+E409</f>
        <v>0</v>
      </c>
      <c r="U410" s="26" t="str">
        <f>IFERROR(LEFT(I409,FIND("*",I409)-1),"-")</f>
        <v>-</v>
      </c>
      <c r="V410" s="26" t="str">
        <f>IFERROR(RIGHT(I409,LEN(I409)-FIND("*",I409)),"-")</f>
        <v>-</v>
      </c>
      <c r="W410" s="27" t="str">
        <f t="shared" ref="W410:W417" si="220">IFERROR((U410+V410)*2/1000,"-")</f>
        <v>-</v>
      </c>
      <c r="X410" s="27" t="str">
        <f>IFERROR(W410*J409,"-")</f>
        <v>-</v>
      </c>
      <c r="Z410" s="94" t="s">
        <v>81</v>
      </c>
    </row>
    <row r="411" spans="1:26" s="25" customFormat="1" ht="6.95" customHeight="1" x14ac:dyDescent="0.3">
      <c r="A411" s="165"/>
      <c r="B411" s="168"/>
      <c r="C411" s="169"/>
      <c r="D411" s="160"/>
      <c r="E411" s="161"/>
      <c r="F411" s="162"/>
      <c r="G411" s="163"/>
      <c r="H411" s="164"/>
      <c r="I411" s="163"/>
      <c r="J411" s="164"/>
      <c r="K411" s="163"/>
      <c r="L411" s="164"/>
      <c r="M411" s="11"/>
      <c r="N411" s="39"/>
      <c r="Q411" s="15" t="str">
        <f>+CONCATENATE(E409,K409)</f>
        <v/>
      </c>
      <c r="R411" s="15">
        <f>+L409</f>
        <v>0</v>
      </c>
      <c r="S411" s="16"/>
      <c r="T411" s="15">
        <f>+E409</f>
        <v>0</v>
      </c>
      <c r="U411" s="26" t="str">
        <f>IFERROR(LEFT(K409,FIND("*",K409)-1),"-")</f>
        <v>-</v>
      </c>
      <c r="V411" s="26" t="str">
        <f>IFERROR(RIGHT(K409,LEN(K409)-FIND("*",K409)),"-")</f>
        <v>-</v>
      </c>
      <c r="W411" s="27" t="str">
        <f t="shared" si="220"/>
        <v>-</v>
      </c>
      <c r="X411" s="27" t="str">
        <f>IFERROR(W411*L409,"-")</f>
        <v>-</v>
      </c>
      <c r="Z411" s="94" t="s">
        <v>81</v>
      </c>
    </row>
    <row r="412" spans="1:26" s="25" customFormat="1" ht="6.95" customHeight="1" x14ac:dyDescent="0.3">
      <c r="A412" s="13"/>
      <c r="B412" s="168"/>
      <c r="C412" s="169"/>
      <c r="D412" s="160" t="s">
        <v>39</v>
      </c>
      <c r="E412" s="161"/>
      <c r="F412" s="162" t="s">
        <v>40</v>
      </c>
      <c r="G412" s="163"/>
      <c r="H412" s="164"/>
      <c r="I412" s="163"/>
      <c r="J412" s="164"/>
      <c r="K412" s="163"/>
      <c r="L412" s="164"/>
      <c r="M412" s="11"/>
      <c r="N412" s="39"/>
      <c r="Q412" s="15" t="str">
        <f>+CONCATENATE(E412,G412)</f>
        <v/>
      </c>
      <c r="R412" s="15">
        <f>+H412</f>
        <v>0</v>
      </c>
      <c r="S412" s="16"/>
      <c r="T412" s="15">
        <f>+E412</f>
        <v>0</v>
      </c>
      <c r="U412" s="26" t="str">
        <f t="shared" ref="U412" si="221">IFERROR(LEFT(G412,FIND("*",G412)-1),"-")</f>
        <v>-</v>
      </c>
      <c r="V412" s="26" t="str">
        <f t="shared" ref="V412" si="222">IFERROR(RIGHT(G412,LEN(G412)-FIND("*",G412)),"-")</f>
        <v>-</v>
      </c>
      <c r="W412" s="27" t="str">
        <f t="shared" si="220"/>
        <v>-</v>
      </c>
      <c r="X412" s="27" t="str">
        <f>IFERROR(W412*H412,"-")</f>
        <v>-</v>
      </c>
      <c r="Z412" s="94" t="s">
        <v>81</v>
      </c>
    </row>
    <row r="413" spans="1:26" s="25" customFormat="1" ht="6.95" customHeight="1" x14ac:dyDescent="0.3">
      <c r="A413" s="10"/>
      <c r="B413" s="168"/>
      <c r="C413" s="169"/>
      <c r="D413" s="160"/>
      <c r="E413" s="161"/>
      <c r="F413" s="162"/>
      <c r="G413" s="163"/>
      <c r="H413" s="164"/>
      <c r="I413" s="163"/>
      <c r="J413" s="164"/>
      <c r="K413" s="163"/>
      <c r="L413" s="164"/>
      <c r="M413" s="11"/>
      <c r="N413" s="39"/>
      <c r="Q413" s="15" t="str">
        <f>+CONCATENATE(E412,I412)</f>
        <v/>
      </c>
      <c r="R413" s="15">
        <f>+J412</f>
        <v>0</v>
      </c>
      <c r="S413" s="16"/>
      <c r="T413" s="15">
        <f>+E412</f>
        <v>0</v>
      </c>
      <c r="U413" s="26" t="str">
        <f>IFERROR(LEFT(I412,FIND("*",I412)-1),"-")</f>
        <v>-</v>
      </c>
      <c r="V413" s="26" t="str">
        <f>IFERROR(RIGHT(I412,LEN(I412)-FIND("*",I412)),"-")</f>
        <v>-</v>
      </c>
      <c r="W413" s="27" t="str">
        <f t="shared" si="220"/>
        <v>-</v>
      </c>
      <c r="X413" s="27" t="str">
        <f>IFERROR(W413*J412,"-")</f>
        <v>-</v>
      </c>
      <c r="Z413" s="94" t="s">
        <v>81</v>
      </c>
    </row>
    <row r="414" spans="1:26" s="25" customFormat="1" ht="6.95" customHeight="1" x14ac:dyDescent="0.3">
      <c r="A414" s="10"/>
      <c r="B414" s="168"/>
      <c r="C414" s="169"/>
      <c r="D414" s="160"/>
      <c r="E414" s="161"/>
      <c r="F414" s="162"/>
      <c r="G414" s="163"/>
      <c r="H414" s="164"/>
      <c r="I414" s="163"/>
      <c r="J414" s="164"/>
      <c r="K414" s="163"/>
      <c r="L414" s="164"/>
      <c r="M414" s="11"/>
      <c r="N414" s="39"/>
      <c r="Q414" s="15" t="str">
        <f>+CONCATENATE(E412,K412)</f>
        <v/>
      </c>
      <c r="R414" s="15">
        <f>+L412</f>
        <v>0</v>
      </c>
      <c r="S414" s="16"/>
      <c r="T414" s="15">
        <f>+E412</f>
        <v>0</v>
      </c>
      <c r="U414" s="26" t="str">
        <f>IFERROR(LEFT(K412,FIND("*",K412)-1),"-")</f>
        <v>-</v>
      </c>
      <c r="V414" s="26" t="str">
        <f>IFERROR(RIGHT(K412,LEN(K412)-FIND("*",K412)),"-")</f>
        <v>-</v>
      </c>
      <c r="W414" s="27" t="str">
        <f t="shared" si="220"/>
        <v>-</v>
      </c>
      <c r="X414" s="27" t="str">
        <f>IFERROR(W414*L412,"-")</f>
        <v>-</v>
      </c>
      <c r="Z414" s="94" t="s">
        <v>81</v>
      </c>
    </row>
    <row r="415" spans="1:26" s="25" customFormat="1" ht="6.95" customHeight="1" x14ac:dyDescent="0.3">
      <c r="A415" s="13"/>
      <c r="B415" s="168"/>
      <c r="C415" s="169"/>
      <c r="D415" s="160" t="s">
        <v>39</v>
      </c>
      <c r="E415" s="161"/>
      <c r="F415" s="162" t="s">
        <v>40</v>
      </c>
      <c r="G415" s="163"/>
      <c r="H415" s="164"/>
      <c r="I415" s="163"/>
      <c r="J415" s="164"/>
      <c r="K415" s="163"/>
      <c r="L415" s="164"/>
      <c r="M415" s="11"/>
      <c r="N415" s="39"/>
      <c r="Q415" s="15" t="str">
        <f>+CONCATENATE(E415,G415)</f>
        <v/>
      </c>
      <c r="R415" s="15">
        <f>+H415</f>
        <v>0</v>
      </c>
      <c r="S415" s="16"/>
      <c r="T415" s="15">
        <f>+E415</f>
        <v>0</v>
      </c>
      <c r="U415" s="26" t="str">
        <f t="shared" ref="U415" si="223">IFERROR(LEFT(G415,FIND("*",G415)-1),"-")</f>
        <v>-</v>
      </c>
      <c r="V415" s="26" t="str">
        <f t="shared" ref="V415" si="224">IFERROR(RIGHT(G415,LEN(G415)-FIND("*",G415)),"-")</f>
        <v>-</v>
      </c>
      <c r="W415" s="27" t="str">
        <f t="shared" si="220"/>
        <v>-</v>
      </c>
      <c r="X415" s="27" t="str">
        <f>IFERROR(W415*H415,"-")</f>
        <v>-</v>
      </c>
      <c r="Z415" s="94" t="s">
        <v>81</v>
      </c>
    </row>
    <row r="416" spans="1:26" s="25" customFormat="1" ht="6.95" customHeight="1" x14ac:dyDescent="0.3">
      <c r="A416" s="10"/>
      <c r="B416" s="168"/>
      <c r="C416" s="169"/>
      <c r="D416" s="160"/>
      <c r="E416" s="161"/>
      <c r="F416" s="162"/>
      <c r="G416" s="163"/>
      <c r="H416" s="164"/>
      <c r="I416" s="163"/>
      <c r="J416" s="164"/>
      <c r="K416" s="163"/>
      <c r="L416" s="164"/>
      <c r="M416" s="11"/>
      <c r="N416" s="39"/>
      <c r="Q416" s="15" t="str">
        <f>+CONCATENATE(E415,I415)</f>
        <v/>
      </c>
      <c r="R416" s="15">
        <f>+J415</f>
        <v>0</v>
      </c>
      <c r="S416" s="16"/>
      <c r="T416" s="15">
        <f>+E415</f>
        <v>0</v>
      </c>
      <c r="U416" s="26" t="str">
        <f>IFERROR(LEFT(I415,FIND("*",I415)-1),"-")</f>
        <v>-</v>
      </c>
      <c r="V416" s="26" t="str">
        <f>IFERROR(RIGHT(I415,LEN(I415)-FIND("*",I415)),"-")</f>
        <v>-</v>
      </c>
      <c r="W416" s="27" t="str">
        <f t="shared" si="220"/>
        <v>-</v>
      </c>
      <c r="X416" s="27" t="str">
        <f t="shared" ref="X416" si="225">IFERROR(W416*J415,"-")</f>
        <v>-</v>
      </c>
      <c r="Z416" s="94" t="s">
        <v>81</v>
      </c>
    </row>
    <row r="417" spans="1:26" s="25" customFormat="1" ht="6.95" customHeight="1" x14ac:dyDescent="0.3">
      <c r="A417" s="10"/>
      <c r="B417" s="168"/>
      <c r="C417" s="169"/>
      <c r="D417" s="160"/>
      <c r="E417" s="161"/>
      <c r="F417" s="162"/>
      <c r="G417" s="163"/>
      <c r="H417" s="164"/>
      <c r="I417" s="163"/>
      <c r="J417" s="164"/>
      <c r="K417" s="163"/>
      <c r="L417" s="164"/>
      <c r="M417" s="11"/>
      <c r="N417" s="39"/>
      <c r="Q417" s="15" t="str">
        <f>+CONCATENATE(E415,K415)</f>
        <v/>
      </c>
      <c r="R417" s="15">
        <f>+L415</f>
        <v>0</v>
      </c>
      <c r="S417" s="16"/>
      <c r="T417" s="15">
        <f>+E415</f>
        <v>0</v>
      </c>
      <c r="U417" s="26" t="str">
        <f>IFERROR(LEFT(K415,FIND("*",K415)-1),"-")</f>
        <v>-</v>
      </c>
      <c r="V417" s="26" t="str">
        <f>IFERROR(RIGHT(K415,LEN(K415)-FIND("*",K415)),"-")</f>
        <v>-</v>
      </c>
      <c r="W417" s="27" t="str">
        <f t="shared" si="220"/>
        <v>-</v>
      </c>
      <c r="X417" s="27" t="str">
        <f>IFERROR(W417*L415,"-")</f>
        <v>-</v>
      </c>
      <c r="Z417" s="94" t="s">
        <v>81</v>
      </c>
    </row>
    <row r="418" spans="1:26" s="25" customFormat="1" ht="21" customHeight="1" thickBot="1" x14ac:dyDescent="0.35">
      <c r="A418" s="10"/>
      <c r="B418" s="170"/>
      <c r="C418" s="171"/>
      <c r="D418" s="172" t="s">
        <v>43</v>
      </c>
      <c r="E418" s="173"/>
      <c r="F418" s="173"/>
      <c r="G418" s="174"/>
      <c r="H418" s="174"/>
      <c r="I418" s="174"/>
      <c r="J418" s="174"/>
      <c r="K418" s="174"/>
      <c r="L418" s="174"/>
      <c r="M418" s="12"/>
      <c r="N418" s="39"/>
      <c r="U418" s="23"/>
      <c r="V418" s="23"/>
      <c r="Z418" s="95" t="s">
        <v>81</v>
      </c>
    </row>
    <row r="419" spans="1:26" s="25" customFormat="1" ht="9.9499999999999993" customHeight="1" thickBot="1" x14ac:dyDescent="0.35">
      <c r="A419" s="6"/>
      <c r="B419" s="14"/>
      <c r="C419" s="119">
        <v>799</v>
      </c>
      <c r="D419" s="58"/>
      <c r="E419" s="17"/>
      <c r="F419" s="58"/>
      <c r="G419" s="19"/>
      <c r="H419" s="19"/>
      <c r="I419" s="19"/>
      <c r="J419" s="19"/>
      <c r="K419" s="19"/>
      <c r="L419" s="19"/>
      <c r="M419" s="14"/>
      <c r="N419" s="39"/>
      <c r="Q419" s="1"/>
      <c r="R419" s="1"/>
      <c r="S419" s="1"/>
      <c r="T419" s="1"/>
      <c r="U419" s="24"/>
      <c r="V419" s="24"/>
      <c r="W419" s="1"/>
      <c r="X419" s="1"/>
      <c r="Z419" s="94" t="s">
        <v>81</v>
      </c>
    </row>
    <row r="420" spans="1:26" s="25" customFormat="1" ht="6.95" customHeight="1" x14ac:dyDescent="0.3">
      <c r="A420" s="165">
        <f>+A409+1</f>
        <v>39</v>
      </c>
      <c r="B420" s="166"/>
      <c r="C420" s="167"/>
      <c r="D420" s="160" t="s">
        <v>39</v>
      </c>
      <c r="E420" s="161"/>
      <c r="F420" s="162" t="s">
        <v>40</v>
      </c>
      <c r="G420" s="163"/>
      <c r="H420" s="164"/>
      <c r="I420" s="163"/>
      <c r="J420" s="164"/>
      <c r="K420" s="163"/>
      <c r="L420" s="164"/>
      <c r="M420" s="11"/>
      <c r="N420" s="39"/>
      <c r="Q420" s="15" t="str">
        <f>+CONCATENATE(E420,G420)</f>
        <v/>
      </c>
      <c r="R420" s="15">
        <f>+H420</f>
        <v>0</v>
      </c>
      <c r="S420" s="16"/>
      <c r="T420" s="15">
        <f>+E420</f>
        <v>0</v>
      </c>
      <c r="U420" s="26" t="str">
        <f>IFERROR(LEFT(G420,FIND("*",G420)-1),"-")</f>
        <v>-</v>
      </c>
      <c r="V420" s="26" t="str">
        <f>IFERROR(RIGHT(G420,LEN(G420)-FIND("*",G420)),"-")</f>
        <v>-</v>
      </c>
      <c r="W420" s="27" t="str">
        <f>IFERROR((U420+V420)*2/1000,"-")</f>
        <v>-</v>
      </c>
      <c r="X420" s="27" t="str">
        <f>IFERROR(W420*H420,"-")</f>
        <v>-</v>
      </c>
      <c r="Z420" s="94" t="s">
        <v>81</v>
      </c>
    </row>
    <row r="421" spans="1:26" s="25" customFormat="1" ht="6.95" customHeight="1" x14ac:dyDescent="0.3">
      <c r="A421" s="165"/>
      <c r="B421" s="168"/>
      <c r="C421" s="169"/>
      <c r="D421" s="160"/>
      <c r="E421" s="161"/>
      <c r="F421" s="162"/>
      <c r="G421" s="163"/>
      <c r="H421" s="164"/>
      <c r="I421" s="163"/>
      <c r="J421" s="164"/>
      <c r="K421" s="163"/>
      <c r="L421" s="164"/>
      <c r="M421" s="11"/>
      <c r="N421" s="39"/>
      <c r="Q421" s="15" t="str">
        <f>+CONCATENATE(E420,I420)</f>
        <v/>
      </c>
      <c r="R421" s="15">
        <f>+J420</f>
        <v>0</v>
      </c>
      <c r="S421" s="16"/>
      <c r="T421" s="15">
        <f>+E420</f>
        <v>0</v>
      </c>
      <c r="U421" s="26" t="str">
        <f>IFERROR(LEFT(I420,FIND("*",I420)-1),"-")</f>
        <v>-</v>
      </c>
      <c r="V421" s="26" t="str">
        <f>IFERROR(RIGHT(I420,LEN(I420)-FIND("*",I420)),"-")</f>
        <v>-</v>
      </c>
      <c r="W421" s="27" t="str">
        <f t="shared" ref="W421:W428" si="226">IFERROR((U421+V421)*2/1000,"-")</f>
        <v>-</v>
      </c>
      <c r="X421" s="27" t="str">
        <f>IFERROR(W421*J420,"-")</f>
        <v>-</v>
      </c>
      <c r="Z421" s="94" t="s">
        <v>81</v>
      </c>
    </row>
    <row r="422" spans="1:26" s="25" customFormat="1" ht="6.95" customHeight="1" x14ac:dyDescent="0.3">
      <c r="A422" s="165"/>
      <c r="B422" s="168"/>
      <c r="C422" s="169"/>
      <c r="D422" s="160"/>
      <c r="E422" s="161"/>
      <c r="F422" s="162"/>
      <c r="G422" s="163"/>
      <c r="H422" s="164"/>
      <c r="I422" s="163"/>
      <c r="J422" s="164"/>
      <c r="K422" s="163"/>
      <c r="L422" s="164"/>
      <c r="M422" s="11"/>
      <c r="N422" s="39"/>
      <c r="Q422" s="15" t="str">
        <f>+CONCATENATE(E420,K420)</f>
        <v/>
      </c>
      <c r="R422" s="15">
        <f>+L420</f>
        <v>0</v>
      </c>
      <c r="S422" s="16"/>
      <c r="T422" s="15">
        <f>+E420</f>
        <v>0</v>
      </c>
      <c r="U422" s="26" t="str">
        <f>IFERROR(LEFT(K420,FIND("*",K420)-1),"-")</f>
        <v>-</v>
      </c>
      <c r="V422" s="26" t="str">
        <f>IFERROR(RIGHT(K420,LEN(K420)-FIND("*",K420)),"-")</f>
        <v>-</v>
      </c>
      <c r="W422" s="27" t="str">
        <f t="shared" si="226"/>
        <v>-</v>
      </c>
      <c r="X422" s="27" t="str">
        <f>IFERROR(W422*L420,"-")</f>
        <v>-</v>
      </c>
      <c r="Z422" s="94" t="s">
        <v>81</v>
      </c>
    </row>
    <row r="423" spans="1:26" s="25" customFormat="1" ht="6.95" customHeight="1" x14ac:dyDescent="0.3">
      <c r="A423" s="13"/>
      <c r="B423" s="168"/>
      <c r="C423" s="169"/>
      <c r="D423" s="160" t="s">
        <v>39</v>
      </c>
      <c r="E423" s="161"/>
      <c r="F423" s="162" t="s">
        <v>40</v>
      </c>
      <c r="G423" s="163"/>
      <c r="H423" s="164"/>
      <c r="I423" s="163"/>
      <c r="J423" s="164"/>
      <c r="K423" s="163"/>
      <c r="L423" s="164"/>
      <c r="M423" s="11"/>
      <c r="N423" s="39"/>
      <c r="Q423" s="15" t="str">
        <f>+CONCATENATE(E423,G423)</f>
        <v/>
      </c>
      <c r="R423" s="15">
        <f>+H423</f>
        <v>0</v>
      </c>
      <c r="S423" s="16"/>
      <c r="T423" s="15">
        <f>+E423</f>
        <v>0</v>
      </c>
      <c r="U423" s="26" t="str">
        <f t="shared" ref="U423" si="227">IFERROR(LEFT(G423,FIND("*",G423)-1),"-")</f>
        <v>-</v>
      </c>
      <c r="V423" s="26" t="str">
        <f t="shared" ref="V423" si="228">IFERROR(RIGHT(G423,LEN(G423)-FIND("*",G423)),"-")</f>
        <v>-</v>
      </c>
      <c r="W423" s="27" t="str">
        <f t="shared" si="226"/>
        <v>-</v>
      </c>
      <c r="X423" s="27" t="str">
        <f>IFERROR(W423*H423,"-")</f>
        <v>-</v>
      </c>
      <c r="Z423" s="94" t="s">
        <v>81</v>
      </c>
    </row>
    <row r="424" spans="1:26" s="25" customFormat="1" ht="6.95" customHeight="1" x14ac:dyDescent="0.3">
      <c r="A424" s="10"/>
      <c r="B424" s="168"/>
      <c r="C424" s="169"/>
      <c r="D424" s="160"/>
      <c r="E424" s="161"/>
      <c r="F424" s="162"/>
      <c r="G424" s="163"/>
      <c r="H424" s="164"/>
      <c r="I424" s="163"/>
      <c r="J424" s="164"/>
      <c r="K424" s="163"/>
      <c r="L424" s="164"/>
      <c r="M424" s="11"/>
      <c r="N424" s="39"/>
      <c r="Q424" s="15" t="str">
        <f>+CONCATENATE(E423,I423)</f>
        <v/>
      </c>
      <c r="R424" s="15">
        <f>+J423</f>
        <v>0</v>
      </c>
      <c r="S424" s="16"/>
      <c r="T424" s="15">
        <f>+E423</f>
        <v>0</v>
      </c>
      <c r="U424" s="26" t="str">
        <f>IFERROR(LEFT(I423,FIND("*",I423)-1),"-")</f>
        <v>-</v>
      </c>
      <c r="V424" s="26" t="str">
        <f>IFERROR(RIGHT(I423,LEN(I423)-FIND("*",I423)),"-")</f>
        <v>-</v>
      </c>
      <c r="W424" s="27" t="str">
        <f t="shared" si="226"/>
        <v>-</v>
      </c>
      <c r="X424" s="27" t="str">
        <f>IFERROR(W424*J423,"-")</f>
        <v>-</v>
      </c>
      <c r="Z424" s="94" t="s">
        <v>81</v>
      </c>
    </row>
    <row r="425" spans="1:26" s="25" customFormat="1" ht="6.95" customHeight="1" x14ac:dyDescent="0.3">
      <c r="A425" s="10"/>
      <c r="B425" s="168"/>
      <c r="C425" s="169"/>
      <c r="D425" s="160"/>
      <c r="E425" s="161"/>
      <c r="F425" s="162"/>
      <c r="G425" s="163"/>
      <c r="H425" s="164"/>
      <c r="I425" s="163"/>
      <c r="J425" s="164"/>
      <c r="K425" s="163"/>
      <c r="L425" s="164"/>
      <c r="M425" s="11"/>
      <c r="N425" s="39"/>
      <c r="Q425" s="15" t="str">
        <f>+CONCATENATE(E423,K423)</f>
        <v/>
      </c>
      <c r="R425" s="15">
        <f>+L423</f>
        <v>0</v>
      </c>
      <c r="S425" s="16"/>
      <c r="T425" s="15">
        <f>+E423</f>
        <v>0</v>
      </c>
      <c r="U425" s="26" t="str">
        <f>IFERROR(LEFT(K423,FIND("*",K423)-1),"-")</f>
        <v>-</v>
      </c>
      <c r="V425" s="26" t="str">
        <f>IFERROR(RIGHT(K423,LEN(K423)-FIND("*",K423)),"-")</f>
        <v>-</v>
      </c>
      <c r="W425" s="27" t="str">
        <f t="shared" si="226"/>
        <v>-</v>
      </c>
      <c r="X425" s="27" t="str">
        <f>IFERROR(W425*L423,"-")</f>
        <v>-</v>
      </c>
      <c r="Z425" s="94" t="s">
        <v>81</v>
      </c>
    </row>
    <row r="426" spans="1:26" s="25" customFormat="1" ht="6.95" customHeight="1" x14ac:dyDescent="0.3">
      <c r="A426" s="13"/>
      <c r="B426" s="168"/>
      <c r="C426" s="169"/>
      <c r="D426" s="160" t="s">
        <v>39</v>
      </c>
      <c r="E426" s="161"/>
      <c r="F426" s="162" t="s">
        <v>40</v>
      </c>
      <c r="G426" s="163"/>
      <c r="H426" s="164"/>
      <c r="I426" s="163"/>
      <c r="J426" s="164"/>
      <c r="K426" s="163"/>
      <c r="L426" s="164"/>
      <c r="M426" s="11"/>
      <c r="N426" s="39"/>
      <c r="Q426" s="15" t="str">
        <f>+CONCATENATE(E426,G426)</f>
        <v/>
      </c>
      <c r="R426" s="15">
        <f>+H426</f>
        <v>0</v>
      </c>
      <c r="S426" s="16"/>
      <c r="T426" s="15">
        <f>+E426</f>
        <v>0</v>
      </c>
      <c r="U426" s="26" t="str">
        <f t="shared" ref="U426" si="229">IFERROR(LEFT(G426,FIND("*",G426)-1),"-")</f>
        <v>-</v>
      </c>
      <c r="V426" s="26" t="str">
        <f t="shared" ref="V426" si="230">IFERROR(RIGHT(G426,LEN(G426)-FIND("*",G426)),"-")</f>
        <v>-</v>
      </c>
      <c r="W426" s="27" t="str">
        <f t="shared" si="226"/>
        <v>-</v>
      </c>
      <c r="X426" s="27" t="str">
        <f>IFERROR(W426*H426,"-")</f>
        <v>-</v>
      </c>
      <c r="Z426" s="94" t="s">
        <v>81</v>
      </c>
    </row>
    <row r="427" spans="1:26" s="25" customFormat="1" ht="6.95" customHeight="1" x14ac:dyDescent="0.3">
      <c r="A427" s="10"/>
      <c r="B427" s="168"/>
      <c r="C427" s="169"/>
      <c r="D427" s="160"/>
      <c r="E427" s="161"/>
      <c r="F427" s="162"/>
      <c r="G427" s="163"/>
      <c r="H427" s="164"/>
      <c r="I427" s="163"/>
      <c r="J427" s="164"/>
      <c r="K427" s="163"/>
      <c r="L427" s="164"/>
      <c r="M427" s="11"/>
      <c r="N427" s="39"/>
      <c r="Q427" s="15" t="str">
        <f>+CONCATENATE(E426,I426)</f>
        <v/>
      </c>
      <c r="R427" s="15">
        <f>+J426</f>
        <v>0</v>
      </c>
      <c r="S427" s="16"/>
      <c r="T427" s="15">
        <f>+E426</f>
        <v>0</v>
      </c>
      <c r="U427" s="26" t="str">
        <f>IFERROR(LEFT(I426,FIND("*",I426)-1),"-")</f>
        <v>-</v>
      </c>
      <c r="V427" s="26" t="str">
        <f>IFERROR(RIGHT(I426,LEN(I426)-FIND("*",I426)),"-")</f>
        <v>-</v>
      </c>
      <c r="W427" s="27" t="str">
        <f t="shared" si="226"/>
        <v>-</v>
      </c>
      <c r="X427" s="27" t="str">
        <f t="shared" ref="X427" si="231">IFERROR(W427*J426,"-")</f>
        <v>-</v>
      </c>
      <c r="Z427" s="94" t="s">
        <v>81</v>
      </c>
    </row>
    <row r="428" spans="1:26" s="25" customFormat="1" ht="6.95" customHeight="1" x14ac:dyDescent="0.3">
      <c r="A428" s="10"/>
      <c r="B428" s="168"/>
      <c r="C428" s="169"/>
      <c r="D428" s="160"/>
      <c r="E428" s="161"/>
      <c r="F428" s="162"/>
      <c r="G428" s="163"/>
      <c r="H428" s="164"/>
      <c r="I428" s="163"/>
      <c r="J428" s="164"/>
      <c r="K428" s="163"/>
      <c r="L428" s="164"/>
      <c r="M428" s="11"/>
      <c r="N428" s="39"/>
      <c r="Q428" s="15" t="str">
        <f>+CONCATENATE(E426,K426)</f>
        <v/>
      </c>
      <c r="R428" s="15">
        <f>+L426</f>
        <v>0</v>
      </c>
      <c r="S428" s="16"/>
      <c r="T428" s="15">
        <f>+E426</f>
        <v>0</v>
      </c>
      <c r="U428" s="26" t="str">
        <f>IFERROR(LEFT(K426,FIND("*",K426)-1),"-")</f>
        <v>-</v>
      </c>
      <c r="V428" s="26" t="str">
        <f>IFERROR(RIGHT(K426,LEN(K426)-FIND("*",K426)),"-")</f>
        <v>-</v>
      </c>
      <c r="W428" s="27" t="str">
        <f t="shared" si="226"/>
        <v>-</v>
      </c>
      <c r="X428" s="27" t="str">
        <f>IFERROR(W428*L426,"-")</f>
        <v>-</v>
      </c>
      <c r="Z428" s="94" t="s">
        <v>81</v>
      </c>
    </row>
    <row r="429" spans="1:26" s="25" customFormat="1" ht="21" customHeight="1" thickBot="1" x14ac:dyDescent="0.35">
      <c r="A429" s="10"/>
      <c r="B429" s="170"/>
      <c r="C429" s="171"/>
      <c r="D429" s="172" t="s">
        <v>43</v>
      </c>
      <c r="E429" s="173"/>
      <c r="F429" s="173"/>
      <c r="G429" s="174"/>
      <c r="H429" s="174"/>
      <c r="I429" s="174"/>
      <c r="J429" s="174"/>
      <c r="K429" s="174"/>
      <c r="L429" s="174"/>
      <c r="M429" s="12"/>
      <c r="N429" s="39"/>
      <c r="U429" s="23"/>
      <c r="V429" s="23"/>
      <c r="Z429" s="95" t="s">
        <v>81</v>
      </c>
    </row>
    <row r="430" spans="1:26" s="25" customFormat="1" ht="9.9499999999999993" customHeight="1" thickBot="1" x14ac:dyDescent="0.35">
      <c r="A430" s="6"/>
      <c r="B430" s="14"/>
      <c r="C430" s="119">
        <v>800</v>
      </c>
      <c r="D430" s="58"/>
      <c r="E430" s="17"/>
      <c r="F430" s="58"/>
      <c r="G430" s="19"/>
      <c r="H430" s="19"/>
      <c r="I430" s="19"/>
      <c r="J430" s="19"/>
      <c r="K430" s="19"/>
      <c r="L430" s="19"/>
      <c r="M430" s="14"/>
      <c r="N430" s="39"/>
      <c r="Q430" s="1"/>
      <c r="R430" s="1"/>
      <c r="S430" s="1"/>
      <c r="T430" s="1"/>
      <c r="U430" s="24"/>
      <c r="V430" s="24"/>
      <c r="W430" s="1"/>
      <c r="X430" s="1"/>
      <c r="Z430" s="94" t="s">
        <v>81</v>
      </c>
    </row>
    <row r="431" spans="1:26" s="25" customFormat="1" ht="6.95" customHeight="1" x14ac:dyDescent="0.3">
      <c r="A431" s="165">
        <f>+A420+1</f>
        <v>40</v>
      </c>
      <c r="B431" s="166"/>
      <c r="C431" s="167"/>
      <c r="D431" s="160" t="s">
        <v>39</v>
      </c>
      <c r="E431" s="161"/>
      <c r="F431" s="162" t="s">
        <v>40</v>
      </c>
      <c r="G431" s="163"/>
      <c r="H431" s="164"/>
      <c r="I431" s="163"/>
      <c r="J431" s="164"/>
      <c r="K431" s="163"/>
      <c r="L431" s="164"/>
      <c r="M431" s="11"/>
      <c r="N431" s="39"/>
      <c r="Q431" s="15" t="str">
        <f>+CONCATENATE(E431,G431)</f>
        <v/>
      </c>
      <c r="R431" s="15">
        <f>+H431</f>
        <v>0</v>
      </c>
      <c r="S431" s="16"/>
      <c r="T431" s="15">
        <f>+E431</f>
        <v>0</v>
      </c>
      <c r="U431" s="26" t="str">
        <f>IFERROR(LEFT(G431,FIND("*",G431)-1),"-")</f>
        <v>-</v>
      </c>
      <c r="V431" s="26" t="str">
        <f>IFERROR(RIGHT(G431,LEN(G431)-FIND("*",G431)),"-")</f>
        <v>-</v>
      </c>
      <c r="W431" s="27" t="str">
        <f>IFERROR((U431+V431)*2/1000,"-")</f>
        <v>-</v>
      </c>
      <c r="X431" s="27" t="str">
        <f>IFERROR(W431*H431,"-")</f>
        <v>-</v>
      </c>
      <c r="Z431" s="94" t="s">
        <v>81</v>
      </c>
    </row>
    <row r="432" spans="1:26" s="25" customFormat="1" ht="6.95" customHeight="1" x14ac:dyDescent="0.3">
      <c r="A432" s="165"/>
      <c r="B432" s="168"/>
      <c r="C432" s="169"/>
      <c r="D432" s="160"/>
      <c r="E432" s="161"/>
      <c r="F432" s="162"/>
      <c r="G432" s="163"/>
      <c r="H432" s="164"/>
      <c r="I432" s="163"/>
      <c r="J432" s="164"/>
      <c r="K432" s="163"/>
      <c r="L432" s="164"/>
      <c r="M432" s="11"/>
      <c r="N432" s="39"/>
      <c r="Q432" s="15" t="str">
        <f>+CONCATENATE(E431,I431)</f>
        <v/>
      </c>
      <c r="R432" s="15">
        <f>+J431</f>
        <v>0</v>
      </c>
      <c r="S432" s="16"/>
      <c r="T432" s="15">
        <f>+E431</f>
        <v>0</v>
      </c>
      <c r="U432" s="26" t="str">
        <f>IFERROR(LEFT(I431,FIND("*",I431)-1),"-")</f>
        <v>-</v>
      </c>
      <c r="V432" s="26" t="str">
        <f>IFERROR(RIGHT(I431,LEN(I431)-FIND("*",I431)),"-")</f>
        <v>-</v>
      </c>
      <c r="W432" s="27" t="str">
        <f t="shared" ref="W432:W439" si="232">IFERROR((U432+V432)*2/1000,"-")</f>
        <v>-</v>
      </c>
      <c r="X432" s="27" t="str">
        <f>IFERROR(W432*J431,"-")</f>
        <v>-</v>
      </c>
      <c r="Z432" s="94" t="s">
        <v>81</v>
      </c>
    </row>
    <row r="433" spans="1:26" s="25" customFormat="1" ht="6.95" customHeight="1" x14ac:dyDescent="0.3">
      <c r="A433" s="165"/>
      <c r="B433" s="168"/>
      <c r="C433" s="169"/>
      <c r="D433" s="160"/>
      <c r="E433" s="161"/>
      <c r="F433" s="162"/>
      <c r="G433" s="163"/>
      <c r="H433" s="164"/>
      <c r="I433" s="163"/>
      <c r="J433" s="164"/>
      <c r="K433" s="163"/>
      <c r="L433" s="164"/>
      <c r="M433" s="11"/>
      <c r="N433" s="39"/>
      <c r="Q433" s="15" t="str">
        <f>+CONCATENATE(E431,K431)</f>
        <v/>
      </c>
      <c r="R433" s="15">
        <f>+L431</f>
        <v>0</v>
      </c>
      <c r="S433" s="16"/>
      <c r="T433" s="15">
        <f>+E431</f>
        <v>0</v>
      </c>
      <c r="U433" s="26" t="str">
        <f>IFERROR(LEFT(K431,FIND("*",K431)-1),"-")</f>
        <v>-</v>
      </c>
      <c r="V433" s="26" t="str">
        <f>IFERROR(RIGHT(K431,LEN(K431)-FIND("*",K431)),"-")</f>
        <v>-</v>
      </c>
      <c r="W433" s="27" t="str">
        <f t="shared" si="232"/>
        <v>-</v>
      </c>
      <c r="X433" s="27" t="str">
        <f>IFERROR(W433*L431,"-")</f>
        <v>-</v>
      </c>
      <c r="Z433" s="94" t="s">
        <v>81</v>
      </c>
    </row>
    <row r="434" spans="1:26" s="25" customFormat="1" ht="6.95" customHeight="1" x14ac:dyDescent="0.3">
      <c r="A434" s="13"/>
      <c r="B434" s="168"/>
      <c r="C434" s="169"/>
      <c r="D434" s="160" t="s">
        <v>39</v>
      </c>
      <c r="E434" s="161"/>
      <c r="F434" s="162" t="s">
        <v>40</v>
      </c>
      <c r="G434" s="163"/>
      <c r="H434" s="164"/>
      <c r="I434" s="163"/>
      <c r="J434" s="164"/>
      <c r="K434" s="163"/>
      <c r="L434" s="164"/>
      <c r="M434" s="11"/>
      <c r="N434" s="39"/>
      <c r="Q434" s="15" t="str">
        <f>+CONCATENATE(E434,G434)</f>
        <v/>
      </c>
      <c r="R434" s="15">
        <f>+H434</f>
        <v>0</v>
      </c>
      <c r="S434" s="16"/>
      <c r="T434" s="15">
        <f>+E434</f>
        <v>0</v>
      </c>
      <c r="U434" s="26" t="str">
        <f t="shared" ref="U434" si="233">IFERROR(LEFT(G434,FIND("*",G434)-1),"-")</f>
        <v>-</v>
      </c>
      <c r="V434" s="26" t="str">
        <f t="shared" ref="V434" si="234">IFERROR(RIGHT(G434,LEN(G434)-FIND("*",G434)),"-")</f>
        <v>-</v>
      </c>
      <c r="W434" s="27" t="str">
        <f t="shared" si="232"/>
        <v>-</v>
      </c>
      <c r="X434" s="27" t="str">
        <f>IFERROR(W434*H434,"-")</f>
        <v>-</v>
      </c>
      <c r="Z434" s="94" t="s">
        <v>81</v>
      </c>
    </row>
    <row r="435" spans="1:26" s="25" customFormat="1" ht="6.95" customHeight="1" x14ac:dyDescent="0.3">
      <c r="A435" s="10"/>
      <c r="B435" s="168"/>
      <c r="C435" s="169"/>
      <c r="D435" s="160"/>
      <c r="E435" s="161"/>
      <c r="F435" s="162"/>
      <c r="G435" s="163"/>
      <c r="H435" s="164"/>
      <c r="I435" s="163"/>
      <c r="J435" s="164"/>
      <c r="K435" s="163"/>
      <c r="L435" s="164"/>
      <c r="M435" s="11"/>
      <c r="N435" s="39"/>
      <c r="Q435" s="15" t="str">
        <f>+CONCATENATE(E434,I434)</f>
        <v/>
      </c>
      <c r="R435" s="15">
        <f>+J434</f>
        <v>0</v>
      </c>
      <c r="S435" s="16"/>
      <c r="T435" s="15">
        <f>+E434</f>
        <v>0</v>
      </c>
      <c r="U435" s="26" t="str">
        <f>IFERROR(LEFT(I434,FIND("*",I434)-1),"-")</f>
        <v>-</v>
      </c>
      <c r="V435" s="26" t="str">
        <f>IFERROR(RIGHT(I434,LEN(I434)-FIND("*",I434)),"-")</f>
        <v>-</v>
      </c>
      <c r="W435" s="27" t="str">
        <f t="shared" si="232"/>
        <v>-</v>
      </c>
      <c r="X435" s="27" t="str">
        <f>IFERROR(W435*J434,"-")</f>
        <v>-</v>
      </c>
      <c r="Z435" s="94" t="s">
        <v>81</v>
      </c>
    </row>
    <row r="436" spans="1:26" s="25" customFormat="1" ht="6.95" customHeight="1" x14ac:dyDescent="0.3">
      <c r="A436" s="10"/>
      <c r="B436" s="168"/>
      <c r="C436" s="169"/>
      <c r="D436" s="160"/>
      <c r="E436" s="161"/>
      <c r="F436" s="162"/>
      <c r="G436" s="163"/>
      <c r="H436" s="164"/>
      <c r="I436" s="163"/>
      <c r="J436" s="164"/>
      <c r="K436" s="163"/>
      <c r="L436" s="164"/>
      <c r="M436" s="11"/>
      <c r="N436" s="39"/>
      <c r="Q436" s="15" t="str">
        <f>+CONCATENATE(E434,K434)</f>
        <v/>
      </c>
      <c r="R436" s="15">
        <f>+L434</f>
        <v>0</v>
      </c>
      <c r="S436" s="16"/>
      <c r="T436" s="15">
        <f>+E434</f>
        <v>0</v>
      </c>
      <c r="U436" s="26" t="str">
        <f>IFERROR(LEFT(K434,FIND("*",K434)-1),"-")</f>
        <v>-</v>
      </c>
      <c r="V436" s="26" t="str">
        <f>IFERROR(RIGHT(K434,LEN(K434)-FIND("*",K434)),"-")</f>
        <v>-</v>
      </c>
      <c r="W436" s="27" t="str">
        <f t="shared" si="232"/>
        <v>-</v>
      </c>
      <c r="X436" s="27" t="str">
        <f>IFERROR(W436*L434,"-")</f>
        <v>-</v>
      </c>
      <c r="Z436" s="94" t="s">
        <v>81</v>
      </c>
    </row>
    <row r="437" spans="1:26" s="25" customFormat="1" ht="6.95" customHeight="1" x14ac:dyDescent="0.3">
      <c r="A437" s="13"/>
      <c r="B437" s="168"/>
      <c r="C437" s="169"/>
      <c r="D437" s="160" t="s">
        <v>39</v>
      </c>
      <c r="E437" s="161"/>
      <c r="F437" s="162" t="s">
        <v>40</v>
      </c>
      <c r="G437" s="163"/>
      <c r="H437" s="164"/>
      <c r="I437" s="163"/>
      <c r="J437" s="164"/>
      <c r="K437" s="163"/>
      <c r="L437" s="164"/>
      <c r="M437" s="11"/>
      <c r="N437" s="39"/>
      <c r="Q437" s="15" t="str">
        <f>+CONCATENATE(E437,G437)</f>
        <v/>
      </c>
      <c r="R437" s="15">
        <f>+H437</f>
        <v>0</v>
      </c>
      <c r="S437" s="16"/>
      <c r="T437" s="15">
        <f>+E437</f>
        <v>0</v>
      </c>
      <c r="U437" s="26" t="str">
        <f t="shared" ref="U437" si="235">IFERROR(LEFT(G437,FIND("*",G437)-1),"-")</f>
        <v>-</v>
      </c>
      <c r="V437" s="26" t="str">
        <f t="shared" ref="V437" si="236">IFERROR(RIGHT(G437,LEN(G437)-FIND("*",G437)),"-")</f>
        <v>-</v>
      </c>
      <c r="W437" s="27" t="str">
        <f t="shared" si="232"/>
        <v>-</v>
      </c>
      <c r="X437" s="27" t="str">
        <f>IFERROR(W437*H437,"-")</f>
        <v>-</v>
      </c>
      <c r="Z437" s="94" t="s">
        <v>81</v>
      </c>
    </row>
    <row r="438" spans="1:26" s="25" customFormat="1" ht="6.95" customHeight="1" x14ac:dyDescent="0.3">
      <c r="A438" s="10"/>
      <c r="B438" s="168"/>
      <c r="C438" s="169"/>
      <c r="D438" s="160"/>
      <c r="E438" s="161"/>
      <c r="F438" s="162"/>
      <c r="G438" s="163"/>
      <c r="H438" s="164"/>
      <c r="I438" s="163"/>
      <c r="J438" s="164"/>
      <c r="K438" s="163"/>
      <c r="L438" s="164"/>
      <c r="M438" s="11"/>
      <c r="N438" s="39"/>
      <c r="Q438" s="15" t="str">
        <f>+CONCATENATE(E437,I437)</f>
        <v/>
      </c>
      <c r="R438" s="15">
        <f>+J437</f>
        <v>0</v>
      </c>
      <c r="S438" s="16"/>
      <c r="T438" s="15">
        <f>+E437</f>
        <v>0</v>
      </c>
      <c r="U438" s="26" t="str">
        <f>IFERROR(LEFT(I437,FIND("*",I437)-1),"-")</f>
        <v>-</v>
      </c>
      <c r="V438" s="26" t="str">
        <f>IFERROR(RIGHT(I437,LEN(I437)-FIND("*",I437)),"-")</f>
        <v>-</v>
      </c>
      <c r="W438" s="27" t="str">
        <f t="shared" si="232"/>
        <v>-</v>
      </c>
      <c r="X438" s="27" t="str">
        <f t="shared" ref="X438" si="237">IFERROR(W438*J437,"-")</f>
        <v>-</v>
      </c>
      <c r="Z438" s="94" t="s">
        <v>81</v>
      </c>
    </row>
    <row r="439" spans="1:26" s="25" customFormat="1" ht="6.95" customHeight="1" x14ac:dyDescent="0.3">
      <c r="A439" s="10"/>
      <c r="B439" s="168"/>
      <c r="C439" s="169"/>
      <c r="D439" s="160"/>
      <c r="E439" s="161"/>
      <c r="F439" s="162"/>
      <c r="G439" s="163"/>
      <c r="H439" s="164"/>
      <c r="I439" s="163"/>
      <c r="J439" s="164"/>
      <c r="K439" s="163"/>
      <c r="L439" s="164"/>
      <c r="M439" s="11"/>
      <c r="N439" s="39"/>
      <c r="Q439" s="15" t="str">
        <f>+CONCATENATE(E437,K437)</f>
        <v/>
      </c>
      <c r="R439" s="15">
        <f>+L437</f>
        <v>0</v>
      </c>
      <c r="S439" s="16"/>
      <c r="T439" s="15">
        <f>+E437</f>
        <v>0</v>
      </c>
      <c r="U439" s="26" t="str">
        <f>IFERROR(LEFT(K437,FIND("*",K437)-1),"-")</f>
        <v>-</v>
      </c>
      <c r="V439" s="26" t="str">
        <f>IFERROR(RIGHT(K437,LEN(K437)-FIND("*",K437)),"-")</f>
        <v>-</v>
      </c>
      <c r="W439" s="27" t="str">
        <f t="shared" si="232"/>
        <v>-</v>
      </c>
      <c r="X439" s="27" t="str">
        <f>IFERROR(W439*L437,"-")</f>
        <v>-</v>
      </c>
      <c r="Z439" s="94" t="s">
        <v>81</v>
      </c>
    </row>
    <row r="440" spans="1:26" s="25" customFormat="1" ht="21" customHeight="1" thickBot="1" x14ac:dyDescent="0.35">
      <c r="A440" s="10"/>
      <c r="B440" s="170"/>
      <c r="C440" s="171"/>
      <c r="D440" s="172" t="s">
        <v>43</v>
      </c>
      <c r="E440" s="173"/>
      <c r="F440" s="173"/>
      <c r="G440" s="174"/>
      <c r="H440" s="174"/>
      <c r="I440" s="174"/>
      <c r="J440" s="174"/>
      <c r="K440" s="174"/>
      <c r="L440" s="174"/>
      <c r="M440" s="12"/>
      <c r="N440" s="39"/>
      <c r="U440" s="23"/>
      <c r="V440" s="23"/>
      <c r="Z440" s="95" t="s">
        <v>81</v>
      </c>
    </row>
    <row r="441" spans="1:26" s="25" customFormat="1" ht="9.9499999999999993" customHeight="1" thickBot="1" x14ac:dyDescent="0.35">
      <c r="A441" s="6"/>
      <c r="B441" s="14"/>
      <c r="C441" s="119">
        <v>801</v>
      </c>
      <c r="D441" s="58"/>
      <c r="E441" s="17"/>
      <c r="F441" s="58"/>
      <c r="G441" s="19"/>
      <c r="H441" s="19"/>
      <c r="I441" s="19"/>
      <c r="J441" s="19"/>
      <c r="K441" s="19"/>
      <c r="L441" s="19"/>
      <c r="M441" s="14"/>
      <c r="N441" s="39"/>
      <c r="Q441" s="1"/>
      <c r="R441" s="1"/>
      <c r="S441" s="1"/>
      <c r="T441" s="1"/>
      <c r="U441" s="24"/>
      <c r="V441" s="24"/>
      <c r="W441" s="1"/>
      <c r="X441" s="1"/>
      <c r="Z441" s="94" t="s">
        <v>81</v>
      </c>
    </row>
    <row r="442" spans="1:26" s="25" customFormat="1" ht="6.95" customHeight="1" x14ac:dyDescent="0.3">
      <c r="A442" s="165">
        <f>+A431+1</f>
        <v>41</v>
      </c>
      <c r="B442" s="166"/>
      <c r="C442" s="167"/>
      <c r="D442" s="160" t="s">
        <v>39</v>
      </c>
      <c r="E442" s="161"/>
      <c r="F442" s="162" t="s">
        <v>40</v>
      </c>
      <c r="G442" s="163"/>
      <c r="H442" s="164"/>
      <c r="I442" s="163"/>
      <c r="J442" s="164"/>
      <c r="K442" s="163"/>
      <c r="L442" s="164"/>
      <c r="M442" s="11"/>
      <c r="N442" s="39"/>
      <c r="Q442" s="15" t="str">
        <f>+CONCATENATE(E442,G442)</f>
        <v/>
      </c>
      <c r="R442" s="15">
        <f>+H442</f>
        <v>0</v>
      </c>
      <c r="S442" s="16"/>
      <c r="T442" s="15">
        <f>+E442</f>
        <v>0</v>
      </c>
      <c r="U442" s="26" t="str">
        <f>IFERROR(LEFT(G442,FIND("*",G442)-1),"-")</f>
        <v>-</v>
      </c>
      <c r="V442" s="26" t="str">
        <f>IFERROR(RIGHT(G442,LEN(G442)-FIND("*",G442)),"-")</f>
        <v>-</v>
      </c>
      <c r="W442" s="27" t="str">
        <f>IFERROR((U442+V442)*2/1000,"-")</f>
        <v>-</v>
      </c>
      <c r="X442" s="27" t="str">
        <f>IFERROR(W442*H442,"-")</f>
        <v>-</v>
      </c>
      <c r="Z442" s="94" t="s">
        <v>81</v>
      </c>
    </row>
    <row r="443" spans="1:26" s="25" customFormat="1" ht="6.95" customHeight="1" x14ac:dyDescent="0.3">
      <c r="A443" s="165"/>
      <c r="B443" s="168"/>
      <c r="C443" s="169"/>
      <c r="D443" s="160"/>
      <c r="E443" s="161"/>
      <c r="F443" s="162"/>
      <c r="G443" s="163"/>
      <c r="H443" s="164"/>
      <c r="I443" s="163"/>
      <c r="J443" s="164"/>
      <c r="K443" s="163"/>
      <c r="L443" s="164"/>
      <c r="M443" s="11"/>
      <c r="N443" s="39"/>
      <c r="Q443" s="15" t="str">
        <f>+CONCATENATE(E442,I442)</f>
        <v/>
      </c>
      <c r="R443" s="15">
        <f>+J442</f>
        <v>0</v>
      </c>
      <c r="S443" s="16"/>
      <c r="T443" s="15">
        <f>+E442</f>
        <v>0</v>
      </c>
      <c r="U443" s="26" t="str">
        <f>IFERROR(LEFT(I442,FIND("*",I442)-1),"-")</f>
        <v>-</v>
      </c>
      <c r="V443" s="26" t="str">
        <f>IFERROR(RIGHT(I442,LEN(I442)-FIND("*",I442)),"-")</f>
        <v>-</v>
      </c>
      <c r="W443" s="27" t="str">
        <f t="shared" ref="W443:W450" si="238">IFERROR((U443+V443)*2/1000,"-")</f>
        <v>-</v>
      </c>
      <c r="X443" s="27" t="str">
        <f>IFERROR(W443*J442,"-")</f>
        <v>-</v>
      </c>
      <c r="Z443" s="94" t="s">
        <v>81</v>
      </c>
    </row>
    <row r="444" spans="1:26" s="25" customFormat="1" ht="6.95" customHeight="1" x14ac:dyDescent="0.3">
      <c r="A444" s="165"/>
      <c r="B444" s="168"/>
      <c r="C444" s="169"/>
      <c r="D444" s="160"/>
      <c r="E444" s="161"/>
      <c r="F444" s="162"/>
      <c r="G444" s="163"/>
      <c r="H444" s="164"/>
      <c r="I444" s="163"/>
      <c r="J444" s="164"/>
      <c r="K444" s="163"/>
      <c r="L444" s="164"/>
      <c r="M444" s="11"/>
      <c r="N444" s="39"/>
      <c r="Q444" s="15" t="str">
        <f>+CONCATENATE(E442,K442)</f>
        <v/>
      </c>
      <c r="R444" s="15">
        <f>+L442</f>
        <v>0</v>
      </c>
      <c r="S444" s="16"/>
      <c r="T444" s="15">
        <f>+E442</f>
        <v>0</v>
      </c>
      <c r="U444" s="26" t="str">
        <f>IFERROR(LEFT(K442,FIND("*",K442)-1),"-")</f>
        <v>-</v>
      </c>
      <c r="V444" s="26" t="str">
        <f>IFERROR(RIGHT(K442,LEN(K442)-FIND("*",K442)),"-")</f>
        <v>-</v>
      </c>
      <c r="W444" s="27" t="str">
        <f t="shared" si="238"/>
        <v>-</v>
      </c>
      <c r="X444" s="27" t="str">
        <f>IFERROR(W444*L442,"-")</f>
        <v>-</v>
      </c>
      <c r="Z444" s="94" t="s">
        <v>81</v>
      </c>
    </row>
    <row r="445" spans="1:26" s="25" customFormat="1" ht="6.95" customHeight="1" x14ac:dyDescent="0.3">
      <c r="A445" s="13"/>
      <c r="B445" s="168"/>
      <c r="C445" s="169"/>
      <c r="D445" s="160" t="s">
        <v>39</v>
      </c>
      <c r="E445" s="161"/>
      <c r="F445" s="162" t="s">
        <v>40</v>
      </c>
      <c r="G445" s="163"/>
      <c r="H445" s="164"/>
      <c r="I445" s="163"/>
      <c r="J445" s="164"/>
      <c r="K445" s="163"/>
      <c r="L445" s="164"/>
      <c r="M445" s="11"/>
      <c r="N445" s="39"/>
      <c r="Q445" s="15" t="str">
        <f>+CONCATENATE(E445,G445)</f>
        <v/>
      </c>
      <c r="R445" s="15">
        <f>+H445</f>
        <v>0</v>
      </c>
      <c r="S445" s="16"/>
      <c r="T445" s="15">
        <f>+E445</f>
        <v>0</v>
      </c>
      <c r="U445" s="26" t="str">
        <f t="shared" ref="U445" si="239">IFERROR(LEFT(G445,FIND("*",G445)-1),"-")</f>
        <v>-</v>
      </c>
      <c r="V445" s="26" t="str">
        <f t="shared" ref="V445" si="240">IFERROR(RIGHT(G445,LEN(G445)-FIND("*",G445)),"-")</f>
        <v>-</v>
      </c>
      <c r="W445" s="27" t="str">
        <f t="shared" si="238"/>
        <v>-</v>
      </c>
      <c r="X445" s="27" t="str">
        <f>IFERROR(W445*H445,"-")</f>
        <v>-</v>
      </c>
      <c r="Z445" s="94" t="s">
        <v>81</v>
      </c>
    </row>
    <row r="446" spans="1:26" s="25" customFormat="1" ht="6.95" customHeight="1" x14ac:dyDescent="0.3">
      <c r="A446" s="10"/>
      <c r="B446" s="168"/>
      <c r="C446" s="169"/>
      <c r="D446" s="160"/>
      <c r="E446" s="161"/>
      <c r="F446" s="162"/>
      <c r="G446" s="163"/>
      <c r="H446" s="164"/>
      <c r="I446" s="163"/>
      <c r="J446" s="164"/>
      <c r="K446" s="163"/>
      <c r="L446" s="164"/>
      <c r="M446" s="11"/>
      <c r="N446" s="39"/>
      <c r="Q446" s="15" t="str">
        <f>+CONCATENATE(E445,I445)</f>
        <v/>
      </c>
      <c r="R446" s="15">
        <f>+J445</f>
        <v>0</v>
      </c>
      <c r="S446" s="16"/>
      <c r="T446" s="15">
        <f>+E445</f>
        <v>0</v>
      </c>
      <c r="U446" s="26" t="str">
        <f>IFERROR(LEFT(I445,FIND("*",I445)-1),"-")</f>
        <v>-</v>
      </c>
      <c r="V446" s="26" t="str">
        <f>IFERROR(RIGHT(I445,LEN(I445)-FIND("*",I445)),"-")</f>
        <v>-</v>
      </c>
      <c r="W446" s="27" t="str">
        <f t="shared" si="238"/>
        <v>-</v>
      </c>
      <c r="X446" s="27" t="str">
        <f>IFERROR(W446*J445,"-")</f>
        <v>-</v>
      </c>
      <c r="Z446" s="94" t="s">
        <v>81</v>
      </c>
    </row>
    <row r="447" spans="1:26" s="25" customFormat="1" ht="6.95" customHeight="1" x14ac:dyDescent="0.3">
      <c r="A447" s="10"/>
      <c r="B447" s="168"/>
      <c r="C447" s="169"/>
      <c r="D447" s="160"/>
      <c r="E447" s="161"/>
      <c r="F447" s="162"/>
      <c r="G447" s="163"/>
      <c r="H447" s="164"/>
      <c r="I447" s="163"/>
      <c r="J447" s="164"/>
      <c r="K447" s="163"/>
      <c r="L447" s="164"/>
      <c r="M447" s="11"/>
      <c r="N447" s="39"/>
      <c r="Q447" s="15" t="str">
        <f>+CONCATENATE(E445,K445)</f>
        <v/>
      </c>
      <c r="R447" s="15">
        <f>+L445</f>
        <v>0</v>
      </c>
      <c r="S447" s="16"/>
      <c r="T447" s="15">
        <f>+E445</f>
        <v>0</v>
      </c>
      <c r="U447" s="26" t="str">
        <f>IFERROR(LEFT(K445,FIND("*",K445)-1),"-")</f>
        <v>-</v>
      </c>
      <c r="V447" s="26" t="str">
        <f>IFERROR(RIGHT(K445,LEN(K445)-FIND("*",K445)),"-")</f>
        <v>-</v>
      </c>
      <c r="W447" s="27" t="str">
        <f t="shared" si="238"/>
        <v>-</v>
      </c>
      <c r="X447" s="27" t="str">
        <f>IFERROR(W447*L445,"-")</f>
        <v>-</v>
      </c>
      <c r="Z447" s="94" t="s">
        <v>81</v>
      </c>
    </row>
    <row r="448" spans="1:26" s="25" customFormat="1" ht="6.95" customHeight="1" x14ac:dyDescent="0.3">
      <c r="A448" s="13"/>
      <c r="B448" s="168"/>
      <c r="C448" s="169"/>
      <c r="D448" s="160" t="s">
        <v>39</v>
      </c>
      <c r="E448" s="161"/>
      <c r="F448" s="162" t="s">
        <v>40</v>
      </c>
      <c r="G448" s="163"/>
      <c r="H448" s="164"/>
      <c r="I448" s="163"/>
      <c r="J448" s="164"/>
      <c r="K448" s="163"/>
      <c r="L448" s="164"/>
      <c r="M448" s="11"/>
      <c r="N448" s="39"/>
      <c r="Q448" s="15" t="str">
        <f>+CONCATENATE(E448,G448)</f>
        <v/>
      </c>
      <c r="R448" s="15">
        <f>+H448</f>
        <v>0</v>
      </c>
      <c r="S448" s="16"/>
      <c r="T448" s="15">
        <f>+E448</f>
        <v>0</v>
      </c>
      <c r="U448" s="26" t="str">
        <f t="shared" ref="U448" si="241">IFERROR(LEFT(G448,FIND("*",G448)-1),"-")</f>
        <v>-</v>
      </c>
      <c r="V448" s="26" t="str">
        <f t="shared" ref="V448" si="242">IFERROR(RIGHT(G448,LEN(G448)-FIND("*",G448)),"-")</f>
        <v>-</v>
      </c>
      <c r="W448" s="27" t="str">
        <f t="shared" si="238"/>
        <v>-</v>
      </c>
      <c r="X448" s="27" t="str">
        <f>IFERROR(W448*H448,"-")</f>
        <v>-</v>
      </c>
      <c r="Z448" s="94" t="s">
        <v>81</v>
      </c>
    </row>
    <row r="449" spans="1:26" s="25" customFormat="1" ht="6.95" customHeight="1" x14ac:dyDescent="0.3">
      <c r="A449" s="10"/>
      <c r="B449" s="168"/>
      <c r="C449" s="169"/>
      <c r="D449" s="160"/>
      <c r="E449" s="161"/>
      <c r="F449" s="162"/>
      <c r="G449" s="163"/>
      <c r="H449" s="164"/>
      <c r="I449" s="163"/>
      <c r="J449" s="164"/>
      <c r="K449" s="163"/>
      <c r="L449" s="164"/>
      <c r="M449" s="11"/>
      <c r="N449" s="39"/>
      <c r="Q449" s="15" t="str">
        <f>+CONCATENATE(E448,I448)</f>
        <v/>
      </c>
      <c r="R449" s="15">
        <f>+J448</f>
        <v>0</v>
      </c>
      <c r="S449" s="16"/>
      <c r="T449" s="15">
        <f>+E448</f>
        <v>0</v>
      </c>
      <c r="U449" s="26" t="str">
        <f>IFERROR(LEFT(I448,FIND("*",I448)-1),"-")</f>
        <v>-</v>
      </c>
      <c r="V449" s="26" t="str">
        <f>IFERROR(RIGHT(I448,LEN(I448)-FIND("*",I448)),"-")</f>
        <v>-</v>
      </c>
      <c r="W449" s="27" t="str">
        <f t="shared" si="238"/>
        <v>-</v>
      </c>
      <c r="X449" s="27" t="str">
        <f t="shared" ref="X449" si="243">IFERROR(W449*J448,"-")</f>
        <v>-</v>
      </c>
      <c r="Z449" s="94" t="s">
        <v>81</v>
      </c>
    </row>
    <row r="450" spans="1:26" s="25" customFormat="1" ht="6.95" customHeight="1" x14ac:dyDescent="0.3">
      <c r="A450" s="10"/>
      <c r="B450" s="168"/>
      <c r="C450" s="169"/>
      <c r="D450" s="160"/>
      <c r="E450" s="161"/>
      <c r="F450" s="162"/>
      <c r="G450" s="163"/>
      <c r="H450" s="164"/>
      <c r="I450" s="163"/>
      <c r="J450" s="164"/>
      <c r="K450" s="163"/>
      <c r="L450" s="164"/>
      <c r="M450" s="11"/>
      <c r="N450" s="39"/>
      <c r="Q450" s="15" t="str">
        <f>+CONCATENATE(E448,K448)</f>
        <v/>
      </c>
      <c r="R450" s="15">
        <f>+L448</f>
        <v>0</v>
      </c>
      <c r="S450" s="16"/>
      <c r="T450" s="15">
        <f>+E448</f>
        <v>0</v>
      </c>
      <c r="U450" s="26" t="str">
        <f>IFERROR(LEFT(K448,FIND("*",K448)-1),"-")</f>
        <v>-</v>
      </c>
      <c r="V450" s="26" t="str">
        <f>IFERROR(RIGHT(K448,LEN(K448)-FIND("*",K448)),"-")</f>
        <v>-</v>
      </c>
      <c r="W450" s="27" t="str">
        <f t="shared" si="238"/>
        <v>-</v>
      </c>
      <c r="X450" s="27" t="str">
        <f>IFERROR(W450*L448,"-")</f>
        <v>-</v>
      </c>
      <c r="Z450" s="94" t="s">
        <v>81</v>
      </c>
    </row>
    <row r="451" spans="1:26" s="25" customFormat="1" ht="21" customHeight="1" thickBot="1" x14ac:dyDescent="0.35">
      <c r="A451" s="10"/>
      <c r="B451" s="170"/>
      <c r="C451" s="171"/>
      <c r="D451" s="172" t="s">
        <v>43</v>
      </c>
      <c r="E451" s="173"/>
      <c r="F451" s="173"/>
      <c r="G451" s="174"/>
      <c r="H451" s="174"/>
      <c r="I451" s="174"/>
      <c r="J451" s="174"/>
      <c r="K451" s="174"/>
      <c r="L451" s="174"/>
      <c r="M451" s="12"/>
      <c r="N451" s="39"/>
      <c r="U451" s="23"/>
      <c r="V451" s="23"/>
      <c r="Z451" s="95" t="s">
        <v>81</v>
      </c>
    </row>
    <row r="452" spans="1:26" s="25" customFormat="1" ht="9.9499999999999993" customHeight="1" thickBot="1" x14ac:dyDescent="0.35">
      <c r="A452" s="6"/>
      <c r="B452" s="14"/>
      <c r="C452" s="119">
        <v>802</v>
      </c>
      <c r="D452" s="58"/>
      <c r="E452" s="17"/>
      <c r="F452" s="58"/>
      <c r="G452" s="19"/>
      <c r="H452" s="19"/>
      <c r="I452" s="19"/>
      <c r="J452" s="19"/>
      <c r="K452" s="19"/>
      <c r="L452" s="19"/>
      <c r="M452" s="14"/>
      <c r="N452" s="39"/>
      <c r="Q452" s="1"/>
      <c r="R452" s="1"/>
      <c r="S452" s="1"/>
      <c r="T452" s="1"/>
      <c r="U452" s="24"/>
      <c r="V452" s="24"/>
      <c r="W452" s="1"/>
      <c r="X452" s="1"/>
      <c r="Z452" s="94" t="s">
        <v>81</v>
      </c>
    </row>
    <row r="453" spans="1:26" s="25" customFormat="1" ht="6.95" customHeight="1" x14ac:dyDescent="0.3">
      <c r="A453" s="165">
        <f>+A442+1</f>
        <v>42</v>
      </c>
      <c r="B453" s="166"/>
      <c r="C453" s="167"/>
      <c r="D453" s="160" t="s">
        <v>39</v>
      </c>
      <c r="E453" s="161"/>
      <c r="F453" s="162" t="s">
        <v>40</v>
      </c>
      <c r="G453" s="163"/>
      <c r="H453" s="164"/>
      <c r="I453" s="163"/>
      <c r="J453" s="164"/>
      <c r="K453" s="163"/>
      <c r="L453" s="164"/>
      <c r="M453" s="11"/>
      <c r="N453" s="39"/>
      <c r="Q453" s="15" t="str">
        <f>+CONCATENATE(E453,G453)</f>
        <v/>
      </c>
      <c r="R453" s="15">
        <f>+H453</f>
        <v>0</v>
      </c>
      <c r="S453" s="16"/>
      <c r="T453" s="15">
        <f>+E453</f>
        <v>0</v>
      </c>
      <c r="U453" s="26" t="str">
        <f>IFERROR(LEFT(G453,FIND("*",G453)-1),"-")</f>
        <v>-</v>
      </c>
      <c r="V453" s="26" t="str">
        <f>IFERROR(RIGHT(G453,LEN(G453)-FIND("*",G453)),"-")</f>
        <v>-</v>
      </c>
      <c r="W453" s="27" t="str">
        <f>IFERROR((U453+V453)*2/1000,"-")</f>
        <v>-</v>
      </c>
      <c r="X453" s="27" t="str">
        <f>IFERROR(W453*H453,"-")</f>
        <v>-</v>
      </c>
      <c r="Z453" s="94" t="s">
        <v>81</v>
      </c>
    </row>
    <row r="454" spans="1:26" s="25" customFormat="1" ht="6.95" customHeight="1" x14ac:dyDescent="0.3">
      <c r="A454" s="165"/>
      <c r="B454" s="168"/>
      <c r="C454" s="169"/>
      <c r="D454" s="160"/>
      <c r="E454" s="161"/>
      <c r="F454" s="162"/>
      <c r="G454" s="163"/>
      <c r="H454" s="164"/>
      <c r="I454" s="163"/>
      <c r="J454" s="164"/>
      <c r="K454" s="163"/>
      <c r="L454" s="164"/>
      <c r="M454" s="11"/>
      <c r="N454" s="39"/>
      <c r="Q454" s="15" t="str">
        <f>+CONCATENATE(E453,I453)</f>
        <v/>
      </c>
      <c r="R454" s="15">
        <f>+J453</f>
        <v>0</v>
      </c>
      <c r="S454" s="16"/>
      <c r="T454" s="15">
        <f>+E453</f>
        <v>0</v>
      </c>
      <c r="U454" s="26" t="str">
        <f>IFERROR(LEFT(I453,FIND("*",I453)-1),"-")</f>
        <v>-</v>
      </c>
      <c r="V454" s="26" t="str">
        <f>IFERROR(RIGHT(I453,LEN(I453)-FIND("*",I453)),"-")</f>
        <v>-</v>
      </c>
      <c r="W454" s="27" t="str">
        <f t="shared" ref="W454:W461" si="244">IFERROR((U454+V454)*2/1000,"-")</f>
        <v>-</v>
      </c>
      <c r="X454" s="27" t="str">
        <f>IFERROR(W454*J453,"-")</f>
        <v>-</v>
      </c>
      <c r="Z454" s="94" t="s">
        <v>81</v>
      </c>
    </row>
    <row r="455" spans="1:26" s="25" customFormat="1" ht="6.95" customHeight="1" x14ac:dyDescent="0.3">
      <c r="A455" s="165"/>
      <c r="B455" s="168"/>
      <c r="C455" s="169"/>
      <c r="D455" s="160"/>
      <c r="E455" s="161"/>
      <c r="F455" s="162"/>
      <c r="G455" s="163"/>
      <c r="H455" s="164"/>
      <c r="I455" s="163"/>
      <c r="J455" s="164"/>
      <c r="K455" s="163"/>
      <c r="L455" s="164"/>
      <c r="M455" s="11"/>
      <c r="N455" s="39"/>
      <c r="Q455" s="15" t="str">
        <f>+CONCATENATE(E453,K453)</f>
        <v/>
      </c>
      <c r="R455" s="15">
        <f>+L453</f>
        <v>0</v>
      </c>
      <c r="S455" s="16"/>
      <c r="T455" s="15">
        <f>+E453</f>
        <v>0</v>
      </c>
      <c r="U455" s="26" t="str">
        <f>IFERROR(LEFT(K453,FIND("*",K453)-1),"-")</f>
        <v>-</v>
      </c>
      <c r="V455" s="26" t="str">
        <f>IFERROR(RIGHT(K453,LEN(K453)-FIND("*",K453)),"-")</f>
        <v>-</v>
      </c>
      <c r="W455" s="27" t="str">
        <f t="shared" si="244"/>
        <v>-</v>
      </c>
      <c r="X455" s="27" t="str">
        <f>IFERROR(W455*L453,"-")</f>
        <v>-</v>
      </c>
      <c r="Z455" s="94" t="s">
        <v>81</v>
      </c>
    </row>
    <row r="456" spans="1:26" s="25" customFormat="1" ht="6.95" customHeight="1" x14ac:dyDescent="0.3">
      <c r="A456" s="13"/>
      <c r="B456" s="168"/>
      <c r="C456" s="169"/>
      <c r="D456" s="160" t="s">
        <v>39</v>
      </c>
      <c r="E456" s="161"/>
      <c r="F456" s="162" t="s">
        <v>40</v>
      </c>
      <c r="G456" s="163"/>
      <c r="H456" s="164"/>
      <c r="I456" s="163"/>
      <c r="J456" s="164"/>
      <c r="K456" s="163"/>
      <c r="L456" s="164"/>
      <c r="M456" s="11"/>
      <c r="N456" s="39"/>
      <c r="Q456" s="15" t="str">
        <f>+CONCATENATE(E456,G456)</f>
        <v/>
      </c>
      <c r="R456" s="15">
        <f>+H456</f>
        <v>0</v>
      </c>
      <c r="S456" s="16"/>
      <c r="T456" s="15">
        <f>+E456</f>
        <v>0</v>
      </c>
      <c r="U456" s="26" t="str">
        <f t="shared" ref="U456" si="245">IFERROR(LEFT(G456,FIND("*",G456)-1),"-")</f>
        <v>-</v>
      </c>
      <c r="V456" s="26" t="str">
        <f t="shared" ref="V456" si="246">IFERROR(RIGHT(G456,LEN(G456)-FIND("*",G456)),"-")</f>
        <v>-</v>
      </c>
      <c r="W456" s="27" t="str">
        <f t="shared" si="244"/>
        <v>-</v>
      </c>
      <c r="X456" s="27" t="str">
        <f>IFERROR(W456*H456,"-")</f>
        <v>-</v>
      </c>
      <c r="Z456" s="94" t="s">
        <v>81</v>
      </c>
    </row>
    <row r="457" spans="1:26" s="25" customFormat="1" ht="6.95" customHeight="1" x14ac:dyDescent="0.3">
      <c r="A457" s="10"/>
      <c r="B457" s="168"/>
      <c r="C457" s="169"/>
      <c r="D457" s="160"/>
      <c r="E457" s="161"/>
      <c r="F457" s="162"/>
      <c r="G457" s="163"/>
      <c r="H457" s="164"/>
      <c r="I457" s="163"/>
      <c r="J457" s="164"/>
      <c r="K457" s="163"/>
      <c r="L457" s="164"/>
      <c r="M457" s="11"/>
      <c r="N457" s="39"/>
      <c r="Q457" s="15" t="str">
        <f>+CONCATENATE(E456,I456)</f>
        <v/>
      </c>
      <c r="R457" s="15">
        <f>+J456</f>
        <v>0</v>
      </c>
      <c r="S457" s="16"/>
      <c r="T457" s="15">
        <f>+E456</f>
        <v>0</v>
      </c>
      <c r="U457" s="26" t="str">
        <f>IFERROR(LEFT(I456,FIND("*",I456)-1),"-")</f>
        <v>-</v>
      </c>
      <c r="V457" s="26" t="str">
        <f>IFERROR(RIGHT(I456,LEN(I456)-FIND("*",I456)),"-")</f>
        <v>-</v>
      </c>
      <c r="W457" s="27" t="str">
        <f t="shared" si="244"/>
        <v>-</v>
      </c>
      <c r="X457" s="27" t="str">
        <f>IFERROR(W457*J456,"-")</f>
        <v>-</v>
      </c>
      <c r="Z457" s="94" t="s">
        <v>81</v>
      </c>
    </row>
    <row r="458" spans="1:26" s="25" customFormat="1" ht="6.95" customHeight="1" x14ac:dyDescent="0.3">
      <c r="A458" s="10"/>
      <c r="B458" s="168"/>
      <c r="C458" s="169"/>
      <c r="D458" s="160"/>
      <c r="E458" s="161"/>
      <c r="F458" s="162"/>
      <c r="G458" s="163"/>
      <c r="H458" s="164"/>
      <c r="I458" s="163"/>
      <c r="J458" s="164"/>
      <c r="K458" s="163"/>
      <c r="L458" s="164"/>
      <c r="M458" s="11"/>
      <c r="N458" s="39"/>
      <c r="Q458" s="15" t="str">
        <f>+CONCATENATE(E456,K456)</f>
        <v/>
      </c>
      <c r="R458" s="15">
        <f>+L456</f>
        <v>0</v>
      </c>
      <c r="S458" s="16"/>
      <c r="T458" s="15">
        <f>+E456</f>
        <v>0</v>
      </c>
      <c r="U458" s="26" t="str">
        <f>IFERROR(LEFT(K456,FIND("*",K456)-1),"-")</f>
        <v>-</v>
      </c>
      <c r="V458" s="26" t="str">
        <f>IFERROR(RIGHT(K456,LEN(K456)-FIND("*",K456)),"-")</f>
        <v>-</v>
      </c>
      <c r="W458" s="27" t="str">
        <f t="shared" si="244"/>
        <v>-</v>
      </c>
      <c r="X458" s="27" t="str">
        <f>IFERROR(W458*L456,"-")</f>
        <v>-</v>
      </c>
      <c r="Z458" s="94" t="s">
        <v>81</v>
      </c>
    </row>
    <row r="459" spans="1:26" s="25" customFormat="1" ht="6.95" customHeight="1" x14ac:dyDescent="0.3">
      <c r="A459" s="13"/>
      <c r="B459" s="168"/>
      <c r="C459" s="169"/>
      <c r="D459" s="160" t="s">
        <v>39</v>
      </c>
      <c r="E459" s="161"/>
      <c r="F459" s="162" t="s">
        <v>40</v>
      </c>
      <c r="G459" s="163"/>
      <c r="H459" s="164"/>
      <c r="I459" s="163"/>
      <c r="J459" s="164"/>
      <c r="K459" s="163"/>
      <c r="L459" s="164"/>
      <c r="M459" s="11"/>
      <c r="N459" s="39"/>
      <c r="Q459" s="15" t="str">
        <f>+CONCATENATE(E459,G459)</f>
        <v/>
      </c>
      <c r="R459" s="15">
        <f>+H459</f>
        <v>0</v>
      </c>
      <c r="S459" s="16"/>
      <c r="T459" s="15">
        <f>+E459</f>
        <v>0</v>
      </c>
      <c r="U459" s="26" t="str">
        <f t="shared" ref="U459" si="247">IFERROR(LEFT(G459,FIND("*",G459)-1),"-")</f>
        <v>-</v>
      </c>
      <c r="V459" s="26" t="str">
        <f t="shared" ref="V459" si="248">IFERROR(RIGHT(G459,LEN(G459)-FIND("*",G459)),"-")</f>
        <v>-</v>
      </c>
      <c r="W459" s="27" t="str">
        <f t="shared" si="244"/>
        <v>-</v>
      </c>
      <c r="X459" s="27" t="str">
        <f>IFERROR(W459*H459,"-")</f>
        <v>-</v>
      </c>
      <c r="Z459" s="94" t="s">
        <v>81</v>
      </c>
    </row>
    <row r="460" spans="1:26" s="25" customFormat="1" ht="6.95" customHeight="1" x14ac:dyDescent="0.3">
      <c r="A460" s="10"/>
      <c r="B460" s="168"/>
      <c r="C460" s="169"/>
      <c r="D460" s="160"/>
      <c r="E460" s="161"/>
      <c r="F460" s="162"/>
      <c r="G460" s="163"/>
      <c r="H460" s="164"/>
      <c r="I460" s="163"/>
      <c r="J460" s="164"/>
      <c r="K460" s="163"/>
      <c r="L460" s="164"/>
      <c r="M460" s="11"/>
      <c r="N460" s="39"/>
      <c r="Q460" s="15" t="str">
        <f>+CONCATENATE(E459,I459)</f>
        <v/>
      </c>
      <c r="R460" s="15">
        <f>+J459</f>
        <v>0</v>
      </c>
      <c r="S460" s="16"/>
      <c r="T460" s="15">
        <f>+E459</f>
        <v>0</v>
      </c>
      <c r="U460" s="26" t="str">
        <f>IFERROR(LEFT(I459,FIND("*",I459)-1),"-")</f>
        <v>-</v>
      </c>
      <c r="V460" s="26" t="str">
        <f>IFERROR(RIGHT(I459,LEN(I459)-FIND("*",I459)),"-")</f>
        <v>-</v>
      </c>
      <c r="W460" s="27" t="str">
        <f t="shared" si="244"/>
        <v>-</v>
      </c>
      <c r="X460" s="27" t="str">
        <f t="shared" ref="X460" si="249">IFERROR(W460*J459,"-")</f>
        <v>-</v>
      </c>
      <c r="Z460" s="94" t="s">
        <v>81</v>
      </c>
    </row>
    <row r="461" spans="1:26" s="25" customFormat="1" ht="6.95" customHeight="1" x14ac:dyDescent="0.3">
      <c r="A461" s="10"/>
      <c r="B461" s="168"/>
      <c r="C461" s="169"/>
      <c r="D461" s="160"/>
      <c r="E461" s="161"/>
      <c r="F461" s="162"/>
      <c r="G461" s="163"/>
      <c r="H461" s="164"/>
      <c r="I461" s="163"/>
      <c r="J461" s="164"/>
      <c r="K461" s="163"/>
      <c r="L461" s="164"/>
      <c r="M461" s="11"/>
      <c r="N461" s="39"/>
      <c r="Q461" s="15" t="str">
        <f>+CONCATENATE(E459,K459)</f>
        <v/>
      </c>
      <c r="R461" s="15">
        <f>+L459</f>
        <v>0</v>
      </c>
      <c r="S461" s="16"/>
      <c r="T461" s="15">
        <f>+E459</f>
        <v>0</v>
      </c>
      <c r="U461" s="26" t="str">
        <f>IFERROR(LEFT(K459,FIND("*",K459)-1),"-")</f>
        <v>-</v>
      </c>
      <c r="V461" s="26" t="str">
        <f>IFERROR(RIGHT(K459,LEN(K459)-FIND("*",K459)),"-")</f>
        <v>-</v>
      </c>
      <c r="W461" s="27" t="str">
        <f t="shared" si="244"/>
        <v>-</v>
      </c>
      <c r="X461" s="27" t="str">
        <f>IFERROR(W461*L459,"-")</f>
        <v>-</v>
      </c>
      <c r="Z461" s="94" t="s">
        <v>81</v>
      </c>
    </row>
    <row r="462" spans="1:26" s="25" customFormat="1" ht="21" customHeight="1" thickBot="1" x14ac:dyDescent="0.35">
      <c r="A462" s="10"/>
      <c r="B462" s="170"/>
      <c r="C462" s="171"/>
      <c r="D462" s="172" t="s">
        <v>43</v>
      </c>
      <c r="E462" s="173"/>
      <c r="F462" s="173"/>
      <c r="G462" s="174"/>
      <c r="H462" s="174"/>
      <c r="I462" s="174"/>
      <c r="J462" s="174"/>
      <c r="K462" s="174"/>
      <c r="L462" s="174"/>
      <c r="M462" s="12"/>
      <c r="N462" s="39"/>
      <c r="U462" s="23"/>
      <c r="V462" s="23"/>
      <c r="Z462" s="95" t="s">
        <v>81</v>
      </c>
    </row>
    <row r="463" spans="1:26" s="25" customFormat="1" ht="9.9499999999999993" customHeight="1" thickBot="1" x14ac:dyDescent="0.35">
      <c r="A463" s="6"/>
      <c r="B463" s="14"/>
      <c r="C463" s="119">
        <v>803</v>
      </c>
      <c r="D463" s="58"/>
      <c r="E463" s="17"/>
      <c r="F463" s="58"/>
      <c r="G463" s="19"/>
      <c r="H463" s="19"/>
      <c r="I463" s="19"/>
      <c r="J463" s="19"/>
      <c r="K463" s="19"/>
      <c r="L463" s="19"/>
      <c r="M463" s="14"/>
      <c r="N463" s="39"/>
      <c r="Q463" s="1"/>
      <c r="R463" s="1"/>
      <c r="S463" s="1"/>
      <c r="T463" s="1"/>
      <c r="U463" s="24"/>
      <c r="V463" s="24"/>
      <c r="W463" s="1"/>
      <c r="X463" s="1"/>
      <c r="Z463" s="94" t="s">
        <v>81</v>
      </c>
    </row>
    <row r="464" spans="1:26" s="25" customFormat="1" ht="6.95" customHeight="1" x14ac:dyDescent="0.3">
      <c r="A464" s="165">
        <f>+A453+1</f>
        <v>43</v>
      </c>
      <c r="B464" s="166"/>
      <c r="C464" s="167"/>
      <c r="D464" s="160" t="s">
        <v>39</v>
      </c>
      <c r="E464" s="161"/>
      <c r="F464" s="162" t="s">
        <v>40</v>
      </c>
      <c r="G464" s="163"/>
      <c r="H464" s="164"/>
      <c r="I464" s="163"/>
      <c r="J464" s="164"/>
      <c r="K464" s="163"/>
      <c r="L464" s="164"/>
      <c r="M464" s="11"/>
      <c r="N464" s="39"/>
      <c r="Q464" s="15" t="str">
        <f>+CONCATENATE(E464,G464)</f>
        <v/>
      </c>
      <c r="R464" s="15">
        <f>+H464</f>
        <v>0</v>
      </c>
      <c r="S464" s="16"/>
      <c r="T464" s="15">
        <f>+E464</f>
        <v>0</v>
      </c>
      <c r="U464" s="26" t="str">
        <f>IFERROR(LEFT(G464,FIND("*",G464)-1),"-")</f>
        <v>-</v>
      </c>
      <c r="V464" s="26" t="str">
        <f>IFERROR(RIGHT(G464,LEN(G464)-FIND("*",G464)),"-")</f>
        <v>-</v>
      </c>
      <c r="W464" s="27" t="str">
        <f>IFERROR((U464+V464)*2/1000,"-")</f>
        <v>-</v>
      </c>
      <c r="X464" s="27" t="str">
        <f>IFERROR(W464*H464,"-")</f>
        <v>-</v>
      </c>
      <c r="Z464" s="94" t="s">
        <v>81</v>
      </c>
    </row>
    <row r="465" spans="1:26" s="25" customFormat="1" ht="6.95" customHeight="1" x14ac:dyDescent="0.3">
      <c r="A465" s="165"/>
      <c r="B465" s="168"/>
      <c r="C465" s="169"/>
      <c r="D465" s="160"/>
      <c r="E465" s="161"/>
      <c r="F465" s="162"/>
      <c r="G465" s="163"/>
      <c r="H465" s="164"/>
      <c r="I465" s="163"/>
      <c r="J465" s="164"/>
      <c r="K465" s="163"/>
      <c r="L465" s="164"/>
      <c r="M465" s="11"/>
      <c r="N465" s="39"/>
      <c r="Q465" s="15" t="str">
        <f>+CONCATENATE(E464,I464)</f>
        <v/>
      </c>
      <c r="R465" s="15">
        <f>+J464</f>
        <v>0</v>
      </c>
      <c r="S465" s="16"/>
      <c r="T465" s="15">
        <f>+E464</f>
        <v>0</v>
      </c>
      <c r="U465" s="26" t="str">
        <f>IFERROR(LEFT(I464,FIND("*",I464)-1),"-")</f>
        <v>-</v>
      </c>
      <c r="V465" s="26" t="str">
        <f>IFERROR(RIGHT(I464,LEN(I464)-FIND("*",I464)),"-")</f>
        <v>-</v>
      </c>
      <c r="W465" s="27" t="str">
        <f t="shared" ref="W465:W472" si="250">IFERROR((U465+V465)*2/1000,"-")</f>
        <v>-</v>
      </c>
      <c r="X465" s="27" t="str">
        <f>IFERROR(W465*J464,"-")</f>
        <v>-</v>
      </c>
      <c r="Z465" s="94" t="s">
        <v>81</v>
      </c>
    </row>
    <row r="466" spans="1:26" s="25" customFormat="1" ht="6.95" customHeight="1" x14ac:dyDescent="0.3">
      <c r="A466" s="165"/>
      <c r="B466" s="168"/>
      <c r="C466" s="169"/>
      <c r="D466" s="160"/>
      <c r="E466" s="161"/>
      <c r="F466" s="162"/>
      <c r="G466" s="163"/>
      <c r="H466" s="164"/>
      <c r="I466" s="163"/>
      <c r="J466" s="164"/>
      <c r="K466" s="163"/>
      <c r="L466" s="164"/>
      <c r="M466" s="11"/>
      <c r="N466" s="39"/>
      <c r="Q466" s="15" t="str">
        <f>+CONCATENATE(E464,K464)</f>
        <v/>
      </c>
      <c r="R466" s="15">
        <f>+L464</f>
        <v>0</v>
      </c>
      <c r="S466" s="16"/>
      <c r="T466" s="15">
        <f>+E464</f>
        <v>0</v>
      </c>
      <c r="U466" s="26" t="str">
        <f>IFERROR(LEFT(K464,FIND("*",K464)-1),"-")</f>
        <v>-</v>
      </c>
      <c r="V466" s="26" t="str">
        <f>IFERROR(RIGHT(K464,LEN(K464)-FIND("*",K464)),"-")</f>
        <v>-</v>
      </c>
      <c r="W466" s="27" t="str">
        <f t="shared" si="250"/>
        <v>-</v>
      </c>
      <c r="X466" s="27" t="str">
        <f>IFERROR(W466*L464,"-")</f>
        <v>-</v>
      </c>
      <c r="Z466" s="94" t="s">
        <v>81</v>
      </c>
    </row>
    <row r="467" spans="1:26" s="25" customFormat="1" ht="6.95" customHeight="1" x14ac:dyDescent="0.3">
      <c r="A467" s="13"/>
      <c r="B467" s="168"/>
      <c r="C467" s="169"/>
      <c r="D467" s="160" t="s">
        <v>39</v>
      </c>
      <c r="E467" s="161"/>
      <c r="F467" s="162" t="s">
        <v>40</v>
      </c>
      <c r="G467" s="163"/>
      <c r="H467" s="164"/>
      <c r="I467" s="163"/>
      <c r="J467" s="164"/>
      <c r="K467" s="163"/>
      <c r="L467" s="164"/>
      <c r="M467" s="11"/>
      <c r="N467" s="39"/>
      <c r="Q467" s="15" t="str">
        <f>+CONCATENATE(E467,G467)</f>
        <v/>
      </c>
      <c r="R467" s="15">
        <f>+H467</f>
        <v>0</v>
      </c>
      <c r="S467" s="16"/>
      <c r="T467" s="15">
        <f>+E467</f>
        <v>0</v>
      </c>
      <c r="U467" s="26" t="str">
        <f t="shared" ref="U467" si="251">IFERROR(LEFT(G467,FIND("*",G467)-1),"-")</f>
        <v>-</v>
      </c>
      <c r="V467" s="26" t="str">
        <f t="shared" ref="V467" si="252">IFERROR(RIGHT(G467,LEN(G467)-FIND("*",G467)),"-")</f>
        <v>-</v>
      </c>
      <c r="W467" s="27" t="str">
        <f t="shared" si="250"/>
        <v>-</v>
      </c>
      <c r="X467" s="27" t="str">
        <f>IFERROR(W467*H467,"-")</f>
        <v>-</v>
      </c>
      <c r="Z467" s="94" t="s">
        <v>81</v>
      </c>
    </row>
    <row r="468" spans="1:26" s="25" customFormat="1" ht="6.95" customHeight="1" x14ac:dyDescent="0.3">
      <c r="A468" s="10"/>
      <c r="B468" s="168"/>
      <c r="C468" s="169"/>
      <c r="D468" s="160"/>
      <c r="E468" s="161"/>
      <c r="F468" s="162"/>
      <c r="G468" s="163"/>
      <c r="H468" s="164"/>
      <c r="I468" s="163"/>
      <c r="J468" s="164"/>
      <c r="K468" s="163"/>
      <c r="L468" s="164"/>
      <c r="M468" s="11"/>
      <c r="N468" s="39"/>
      <c r="Q468" s="15" t="str">
        <f>+CONCATENATE(E467,I467)</f>
        <v/>
      </c>
      <c r="R468" s="15">
        <f>+J467</f>
        <v>0</v>
      </c>
      <c r="S468" s="16"/>
      <c r="T468" s="15">
        <f>+E467</f>
        <v>0</v>
      </c>
      <c r="U468" s="26" t="str">
        <f>IFERROR(LEFT(I467,FIND("*",I467)-1),"-")</f>
        <v>-</v>
      </c>
      <c r="V468" s="26" t="str">
        <f>IFERROR(RIGHT(I467,LEN(I467)-FIND("*",I467)),"-")</f>
        <v>-</v>
      </c>
      <c r="W468" s="27" t="str">
        <f t="shared" si="250"/>
        <v>-</v>
      </c>
      <c r="X468" s="27" t="str">
        <f>IFERROR(W468*J467,"-")</f>
        <v>-</v>
      </c>
      <c r="Z468" s="94" t="s">
        <v>81</v>
      </c>
    </row>
    <row r="469" spans="1:26" s="25" customFormat="1" ht="6.95" customHeight="1" x14ac:dyDescent="0.3">
      <c r="A469" s="10"/>
      <c r="B469" s="168"/>
      <c r="C469" s="169"/>
      <c r="D469" s="160"/>
      <c r="E469" s="161"/>
      <c r="F469" s="162"/>
      <c r="G469" s="163"/>
      <c r="H469" s="164"/>
      <c r="I469" s="163"/>
      <c r="J469" s="164"/>
      <c r="K469" s="163"/>
      <c r="L469" s="164"/>
      <c r="M469" s="11"/>
      <c r="N469" s="39"/>
      <c r="Q469" s="15" t="str">
        <f>+CONCATENATE(E467,K467)</f>
        <v/>
      </c>
      <c r="R469" s="15">
        <f>+L467</f>
        <v>0</v>
      </c>
      <c r="S469" s="16"/>
      <c r="T469" s="15">
        <f>+E467</f>
        <v>0</v>
      </c>
      <c r="U469" s="26" t="str">
        <f>IFERROR(LEFT(K467,FIND("*",K467)-1),"-")</f>
        <v>-</v>
      </c>
      <c r="V469" s="26" t="str">
        <f>IFERROR(RIGHT(K467,LEN(K467)-FIND("*",K467)),"-")</f>
        <v>-</v>
      </c>
      <c r="W469" s="27" t="str">
        <f t="shared" si="250"/>
        <v>-</v>
      </c>
      <c r="X469" s="27" t="str">
        <f>IFERROR(W469*L467,"-")</f>
        <v>-</v>
      </c>
      <c r="Z469" s="94" t="s">
        <v>81</v>
      </c>
    </row>
    <row r="470" spans="1:26" s="25" customFormat="1" ht="6.95" customHeight="1" x14ac:dyDescent="0.3">
      <c r="A470" s="13"/>
      <c r="B470" s="168"/>
      <c r="C470" s="169"/>
      <c r="D470" s="160" t="s">
        <v>39</v>
      </c>
      <c r="E470" s="161"/>
      <c r="F470" s="162" t="s">
        <v>40</v>
      </c>
      <c r="G470" s="163"/>
      <c r="H470" s="164"/>
      <c r="I470" s="163"/>
      <c r="J470" s="164"/>
      <c r="K470" s="163"/>
      <c r="L470" s="164"/>
      <c r="M470" s="11"/>
      <c r="N470" s="39"/>
      <c r="Q470" s="15" t="str">
        <f>+CONCATENATE(E470,G470)</f>
        <v/>
      </c>
      <c r="R470" s="15">
        <f>+H470</f>
        <v>0</v>
      </c>
      <c r="S470" s="16"/>
      <c r="T470" s="15">
        <f>+E470</f>
        <v>0</v>
      </c>
      <c r="U470" s="26" t="str">
        <f t="shared" ref="U470" si="253">IFERROR(LEFT(G470,FIND("*",G470)-1),"-")</f>
        <v>-</v>
      </c>
      <c r="V470" s="26" t="str">
        <f t="shared" ref="V470" si="254">IFERROR(RIGHT(G470,LEN(G470)-FIND("*",G470)),"-")</f>
        <v>-</v>
      </c>
      <c r="W470" s="27" t="str">
        <f t="shared" si="250"/>
        <v>-</v>
      </c>
      <c r="X470" s="27" t="str">
        <f>IFERROR(W470*H470,"-")</f>
        <v>-</v>
      </c>
      <c r="Z470" s="94" t="s">
        <v>81</v>
      </c>
    </row>
    <row r="471" spans="1:26" s="25" customFormat="1" ht="6.95" customHeight="1" x14ac:dyDescent="0.3">
      <c r="A471" s="10"/>
      <c r="B471" s="168"/>
      <c r="C471" s="169"/>
      <c r="D471" s="160"/>
      <c r="E471" s="161"/>
      <c r="F471" s="162"/>
      <c r="G471" s="163"/>
      <c r="H471" s="164"/>
      <c r="I471" s="163"/>
      <c r="J471" s="164"/>
      <c r="K471" s="163"/>
      <c r="L471" s="164"/>
      <c r="M471" s="11"/>
      <c r="N471" s="39"/>
      <c r="Q471" s="15" t="str">
        <f>+CONCATENATE(E470,I470)</f>
        <v/>
      </c>
      <c r="R471" s="15">
        <f>+J470</f>
        <v>0</v>
      </c>
      <c r="S471" s="16"/>
      <c r="T471" s="15">
        <f>+E470</f>
        <v>0</v>
      </c>
      <c r="U471" s="26" t="str">
        <f>IFERROR(LEFT(I470,FIND("*",I470)-1),"-")</f>
        <v>-</v>
      </c>
      <c r="V471" s="26" t="str">
        <f>IFERROR(RIGHT(I470,LEN(I470)-FIND("*",I470)),"-")</f>
        <v>-</v>
      </c>
      <c r="W471" s="27" t="str">
        <f t="shared" si="250"/>
        <v>-</v>
      </c>
      <c r="X471" s="27" t="str">
        <f t="shared" ref="X471" si="255">IFERROR(W471*J470,"-")</f>
        <v>-</v>
      </c>
      <c r="Z471" s="94" t="s">
        <v>81</v>
      </c>
    </row>
    <row r="472" spans="1:26" s="25" customFormat="1" ht="6.95" customHeight="1" x14ac:dyDescent="0.3">
      <c r="A472" s="10"/>
      <c r="B472" s="168"/>
      <c r="C472" s="169"/>
      <c r="D472" s="160"/>
      <c r="E472" s="161"/>
      <c r="F472" s="162"/>
      <c r="G472" s="163"/>
      <c r="H472" s="164"/>
      <c r="I472" s="163"/>
      <c r="J472" s="164"/>
      <c r="K472" s="163"/>
      <c r="L472" s="164"/>
      <c r="M472" s="11"/>
      <c r="N472" s="39"/>
      <c r="Q472" s="15" t="str">
        <f>+CONCATENATE(E470,K470)</f>
        <v/>
      </c>
      <c r="R472" s="15">
        <f>+L470</f>
        <v>0</v>
      </c>
      <c r="S472" s="16"/>
      <c r="T472" s="15">
        <f>+E470</f>
        <v>0</v>
      </c>
      <c r="U472" s="26" t="str">
        <f>IFERROR(LEFT(K470,FIND("*",K470)-1),"-")</f>
        <v>-</v>
      </c>
      <c r="V472" s="26" t="str">
        <f>IFERROR(RIGHT(K470,LEN(K470)-FIND("*",K470)),"-")</f>
        <v>-</v>
      </c>
      <c r="W472" s="27" t="str">
        <f t="shared" si="250"/>
        <v>-</v>
      </c>
      <c r="X472" s="27" t="str">
        <f>IFERROR(W472*L470,"-")</f>
        <v>-</v>
      </c>
      <c r="Z472" s="94" t="s">
        <v>81</v>
      </c>
    </row>
    <row r="473" spans="1:26" s="25" customFormat="1" ht="21" customHeight="1" thickBot="1" x14ac:dyDescent="0.35">
      <c r="A473" s="10"/>
      <c r="B473" s="170"/>
      <c r="C473" s="171"/>
      <c r="D473" s="172" t="s">
        <v>43</v>
      </c>
      <c r="E473" s="173"/>
      <c r="F473" s="173"/>
      <c r="G473" s="174"/>
      <c r="H473" s="174"/>
      <c r="I473" s="174"/>
      <c r="J473" s="174"/>
      <c r="K473" s="174"/>
      <c r="L473" s="174"/>
      <c r="M473" s="12"/>
      <c r="N473" s="39"/>
      <c r="U473" s="23"/>
      <c r="V473" s="23"/>
      <c r="Z473" s="95" t="s">
        <v>81</v>
      </c>
    </row>
    <row r="474" spans="1:26" s="25" customFormat="1" ht="9.9499999999999993" customHeight="1" thickBot="1" x14ac:dyDescent="0.35">
      <c r="A474" s="6"/>
      <c r="B474" s="14"/>
      <c r="C474" s="119">
        <v>804</v>
      </c>
      <c r="D474" s="58"/>
      <c r="E474" s="17"/>
      <c r="F474" s="58"/>
      <c r="G474" s="19"/>
      <c r="H474" s="19"/>
      <c r="I474" s="19"/>
      <c r="J474" s="19"/>
      <c r="K474" s="19"/>
      <c r="L474" s="19"/>
      <c r="M474" s="14"/>
      <c r="N474" s="39"/>
      <c r="Q474" s="1"/>
      <c r="R474" s="1"/>
      <c r="S474" s="1"/>
      <c r="T474" s="1"/>
      <c r="U474" s="24"/>
      <c r="V474" s="24"/>
      <c r="W474" s="1"/>
      <c r="X474" s="1"/>
      <c r="Z474" s="94" t="s">
        <v>81</v>
      </c>
    </row>
    <row r="475" spans="1:26" s="25" customFormat="1" ht="6.95" customHeight="1" x14ac:dyDescent="0.3">
      <c r="A475" s="165">
        <f>+A464+1</f>
        <v>44</v>
      </c>
      <c r="B475" s="166"/>
      <c r="C475" s="167"/>
      <c r="D475" s="160" t="s">
        <v>39</v>
      </c>
      <c r="E475" s="161"/>
      <c r="F475" s="162" t="s">
        <v>40</v>
      </c>
      <c r="G475" s="163"/>
      <c r="H475" s="164"/>
      <c r="I475" s="163"/>
      <c r="J475" s="164"/>
      <c r="K475" s="163"/>
      <c r="L475" s="164"/>
      <c r="M475" s="11"/>
      <c r="N475" s="39"/>
      <c r="Q475" s="15" t="str">
        <f>+CONCATENATE(E475,G475)</f>
        <v/>
      </c>
      <c r="R475" s="15">
        <f>+H475</f>
        <v>0</v>
      </c>
      <c r="S475" s="16"/>
      <c r="T475" s="15">
        <f>+E475</f>
        <v>0</v>
      </c>
      <c r="U475" s="26" t="str">
        <f>IFERROR(LEFT(G475,FIND("*",G475)-1),"-")</f>
        <v>-</v>
      </c>
      <c r="V475" s="26" t="str">
        <f>IFERROR(RIGHT(G475,LEN(G475)-FIND("*",G475)),"-")</f>
        <v>-</v>
      </c>
      <c r="W475" s="27" t="str">
        <f>IFERROR((U475+V475)*2/1000,"-")</f>
        <v>-</v>
      </c>
      <c r="X475" s="27" t="str">
        <f>IFERROR(W475*H475,"-")</f>
        <v>-</v>
      </c>
      <c r="Z475" s="94" t="s">
        <v>81</v>
      </c>
    </row>
    <row r="476" spans="1:26" s="25" customFormat="1" ht="6.95" customHeight="1" x14ac:dyDescent="0.3">
      <c r="A476" s="165"/>
      <c r="B476" s="168"/>
      <c r="C476" s="169"/>
      <c r="D476" s="160"/>
      <c r="E476" s="161"/>
      <c r="F476" s="162"/>
      <c r="G476" s="163"/>
      <c r="H476" s="164"/>
      <c r="I476" s="163"/>
      <c r="J476" s="164"/>
      <c r="K476" s="163"/>
      <c r="L476" s="164"/>
      <c r="M476" s="11"/>
      <c r="N476" s="39"/>
      <c r="Q476" s="15" t="str">
        <f>+CONCATENATE(E475,I475)</f>
        <v/>
      </c>
      <c r="R476" s="15">
        <f>+J475</f>
        <v>0</v>
      </c>
      <c r="S476" s="16"/>
      <c r="T476" s="15">
        <f>+E475</f>
        <v>0</v>
      </c>
      <c r="U476" s="26" t="str">
        <f>IFERROR(LEFT(I475,FIND("*",I475)-1),"-")</f>
        <v>-</v>
      </c>
      <c r="V476" s="26" t="str">
        <f>IFERROR(RIGHT(I475,LEN(I475)-FIND("*",I475)),"-")</f>
        <v>-</v>
      </c>
      <c r="W476" s="27" t="str">
        <f t="shared" ref="W476:W483" si="256">IFERROR((U476+V476)*2/1000,"-")</f>
        <v>-</v>
      </c>
      <c r="X476" s="27" t="str">
        <f>IFERROR(W476*J475,"-")</f>
        <v>-</v>
      </c>
      <c r="Z476" s="94" t="s">
        <v>81</v>
      </c>
    </row>
    <row r="477" spans="1:26" s="25" customFormat="1" ht="6.95" customHeight="1" x14ac:dyDescent="0.3">
      <c r="A477" s="165"/>
      <c r="B477" s="168"/>
      <c r="C477" s="169"/>
      <c r="D477" s="160"/>
      <c r="E477" s="161"/>
      <c r="F477" s="162"/>
      <c r="G477" s="163"/>
      <c r="H477" s="164"/>
      <c r="I477" s="163"/>
      <c r="J477" s="164"/>
      <c r="K477" s="163"/>
      <c r="L477" s="164"/>
      <c r="M477" s="11"/>
      <c r="N477" s="39"/>
      <c r="Q477" s="15" t="str">
        <f>+CONCATENATE(E475,K475)</f>
        <v/>
      </c>
      <c r="R477" s="15">
        <f>+L475</f>
        <v>0</v>
      </c>
      <c r="S477" s="16"/>
      <c r="T477" s="15">
        <f>+E475</f>
        <v>0</v>
      </c>
      <c r="U477" s="26" t="str">
        <f>IFERROR(LEFT(K475,FIND("*",K475)-1),"-")</f>
        <v>-</v>
      </c>
      <c r="V477" s="26" t="str">
        <f>IFERROR(RIGHT(K475,LEN(K475)-FIND("*",K475)),"-")</f>
        <v>-</v>
      </c>
      <c r="W477" s="27" t="str">
        <f t="shared" si="256"/>
        <v>-</v>
      </c>
      <c r="X477" s="27" t="str">
        <f>IFERROR(W477*L475,"-")</f>
        <v>-</v>
      </c>
      <c r="Z477" s="94" t="s">
        <v>81</v>
      </c>
    </row>
    <row r="478" spans="1:26" s="25" customFormat="1" ht="6.95" customHeight="1" x14ac:dyDescent="0.3">
      <c r="A478" s="13"/>
      <c r="B478" s="168"/>
      <c r="C478" s="169"/>
      <c r="D478" s="160" t="s">
        <v>39</v>
      </c>
      <c r="E478" s="161"/>
      <c r="F478" s="162" t="s">
        <v>40</v>
      </c>
      <c r="G478" s="163"/>
      <c r="H478" s="164"/>
      <c r="I478" s="163"/>
      <c r="J478" s="164"/>
      <c r="K478" s="163"/>
      <c r="L478" s="164"/>
      <c r="M478" s="11"/>
      <c r="N478" s="39"/>
      <c r="Q478" s="15" t="str">
        <f>+CONCATENATE(E478,G478)</f>
        <v/>
      </c>
      <c r="R478" s="15">
        <f>+H478</f>
        <v>0</v>
      </c>
      <c r="S478" s="16"/>
      <c r="T478" s="15">
        <f>+E478</f>
        <v>0</v>
      </c>
      <c r="U478" s="26" t="str">
        <f t="shared" ref="U478" si="257">IFERROR(LEFT(G478,FIND("*",G478)-1),"-")</f>
        <v>-</v>
      </c>
      <c r="V478" s="26" t="str">
        <f t="shared" ref="V478" si="258">IFERROR(RIGHT(G478,LEN(G478)-FIND("*",G478)),"-")</f>
        <v>-</v>
      </c>
      <c r="W478" s="27" t="str">
        <f t="shared" si="256"/>
        <v>-</v>
      </c>
      <c r="X478" s="27" t="str">
        <f>IFERROR(W478*H478,"-")</f>
        <v>-</v>
      </c>
      <c r="Z478" s="94" t="s">
        <v>81</v>
      </c>
    </row>
    <row r="479" spans="1:26" s="25" customFormat="1" ht="6.95" customHeight="1" x14ac:dyDescent="0.3">
      <c r="A479" s="10"/>
      <c r="B479" s="168"/>
      <c r="C479" s="169"/>
      <c r="D479" s="160"/>
      <c r="E479" s="161"/>
      <c r="F479" s="162"/>
      <c r="G479" s="163"/>
      <c r="H479" s="164"/>
      <c r="I479" s="163"/>
      <c r="J479" s="164"/>
      <c r="K479" s="163"/>
      <c r="L479" s="164"/>
      <c r="M479" s="11"/>
      <c r="N479" s="39"/>
      <c r="Q479" s="15" t="str">
        <f>+CONCATENATE(E478,I478)</f>
        <v/>
      </c>
      <c r="R479" s="15">
        <f>+J478</f>
        <v>0</v>
      </c>
      <c r="S479" s="16"/>
      <c r="T479" s="15">
        <f>+E478</f>
        <v>0</v>
      </c>
      <c r="U479" s="26" t="str">
        <f>IFERROR(LEFT(I478,FIND("*",I478)-1),"-")</f>
        <v>-</v>
      </c>
      <c r="V479" s="26" t="str">
        <f>IFERROR(RIGHT(I478,LEN(I478)-FIND("*",I478)),"-")</f>
        <v>-</v>
      </c>
      <c r="W479" s="27" t="str">
        <f t="shared" si="256"/>
        <v>-</v>
      </c>
      <c r="X479" s="27" t="str">
        <f>IFERROR(W479*J478,"-")</f>
        <v>-</v>
      </c>
      <c r="Z479" s="94" t="s">
        <v>81</v>
      </c>
    </row>
    <row r="480" spans="1:26" s="25" customFormat="1" ht="6.95" customHeight="1" x14ac:dyDescent="0.3">
      <c r="A480" s="10"/>
      <c r="B480" s="168"/>
      <c r="C480" s="169"/>
      <c r="D480" s="160"/>
      <c r="E480" s="161"/>
      <c r="F480" s="162"/>
      <c r="G480" s="163"/>
      <c r="H480" s="164"/>
      <c r="I480" s="163"/>
      <c r="J480" s="164"/>
      <c r="K480" s="163"/>
      <c r="L480" s="164"/>
      <c r="M480" s="11"/>
      <c r="N480" s="39"/>
      <c r="Q480" s="15" t="str">
        <f>+CONCATENATE(E478,K478)</f>
        <v/>
      </c>
      <c r="R480" s="15">
        <f>+L478</f>
        <v>0</v>
      </c>
      <c r="S480" s="16"/>
      <c r="T480" s="15">
        <f>+E478</f>
        <v>0</v>
      </c>
      <c r="U480" s="26" t="str">
        <f>IFERROR(LEFT(K478,FIND("*",K478)-1),"-")</f>
        <v>-</v>
      </c>
      <c r="V480" s="26" t="str">
        <f>IFERROR(RIGHT(K478,LEN(K478)-FIND("*",K478)),"-")</f>
        <v>-</v>
      </c>
      <c r="W480" s="27" t="str">
        <f t="shared" si="256"/>
        <v>-</v>
      </c>
      <c r="X480" s="27" t="str">
        <f>IFERROR(W480*L478,"-")</f>
        <v>-</v>
      </c>
      <c r="Z480" s="94" t="s">
        <v>81</v>
      </c>
    </row>
    <row r="481" spans="1:26" s="25" customFormat="1" ht="6.95" customHeight="1" x14ac:dyDescent="0.3">
      <c r="A481" s="13"/>
      <c r="B481" s="168"/>
      <c r="C481" s="169"/>
      <c r="D481" s="160" t="s">
        <v>39</v>
      </c>
      <c r="E481" s="161"/>
      <c r="F481" s="162" t="s">
        <v>40</v>
      </c>
      <c r="G481" s="163"/>
      <c r="H481" s="164"/>
      <c r="I481" s="163"/>
      <c r="J481" s="164"/>
      <c r="K481" s="163"/>
      <c r="L481" s="164"/>
      <c r="M481" s="11"/>
      <c r="N481" s="39"/>
      <c r="Q481" s="15" t="str">
        <f>+CONCATENATE(E481,G481)</f>
        <v/>
      </c>
      <c r="R481" s="15">
        <f>+H481</f>
        <v>0</v>
      </c>
      <c r="S481" s="16"/>
      <c r="T481" s="15">
        <f>+E481</f>
        <v>0</v>
      </c>
      <c r="U481" s="26" t="str">
        <f t="shared" ref="U481" si="259">IFERROR(LEFT(G481,FIND("*",G481)-1),"-")</f>
        <v>-</v>
      </c>
      <c r="V481" s="26" t="str">
        <f t="shared" ref="V481" si="260">IFERROR(RIGHT(G481,LEN(G481)-FIND("*",G481)),"-")</f>
        <v>-</v>
      </c>
      <c r="W481" s="27" t="str">
        <f t="shared" si="256"/>
        <v>-</v>
      </c>
      <c r="X481" s="27" t="str">
        <f>IFERROR(W481*H481,"-")</f>
        <v>-</v>
      </c>
      <c r="Z481" s="94" t="s">
        <v>81</v>
      </c>
    </row>
    <row r="482" spans="1:26" s="25" customFormat="1" ht="6.95" customHeight="1" x14ac:dyDescent="0.3">
      <c r="A482" s="10"/>
      <c r="B482" s="168"/>
      <c r="C482" s="169"/>
      <c r="D482" s="160"/>
      <c r="E482" s="161"/>
      <c r="F482" s="162"/>
      <c r="G482" s="163"/>
      <c r="H482" s="164"/>
      <c r="I482" s="163"/>
      <c r="J482" s="164"/>
      <c r="K482" s="163"/>
      <c r="L482" s="164"/>
      <c r="M482" s="11"/>
      <c r="N482" s="39"/>
      <c r="Q482" s="15" t="str">
        <f>+CONCATENATE(E481,I481)</f>
        <v/>
      </c>
      <c r="R482" s="15">
        <f>+J481</f>
        <v>0</v>
      </c>
      <c r="S482" s="16"/>
      <c r="T482" s="15">
        <f>+E481</f>
        <v>0</v>
      </c>
      <c r="U482" s="26" t="str">
        <f>IFERROR(LEFT(I481,FIND("*",I481)-1),"-")</f>
        <v>-</v>
      </c>
      <c r="V482" s="26" t="str">
        <f>IFERROR(RIGHT(I481,LEN(I481)-FIND("*",I481)),"-")</f>
        <v>-</v>
      </c>
      <c r="W482" s="27" t="str">
        <f t="shared" si="256"/>
        <v>-</v>
      </c>
      <c r="X482" s="27" t="str">
        <f t="shared" ref="X482" si="261">IFERROR(W482*J481,"-")</f>
        <v>-</v>
      </c>
      <c r="Z482" s="94" t="s">
        <v>81</v>
      </c>
    </row>
    <row r="483" spans="1:26" s="25" customFormat="1" ht="6.95" customHeight="1" x14ac:dyDescent="0.3">
      <c r="A483" s="10"/>
      <c r="B483" s="168"/>
      <c r="C483" s="169"/>
      <c r="D483" s="160"/>
      <c r="E483" s="161"/>
      <c r="F483" s="162"/>
      <c r="G483" s="163"/>
      <c r="H483" s="164"/>
      <c r="I483" s="163"/>
      <c r="J483" s="164"/>
      <c r="K483" s="163"/>
      <c r="L483" s="164"/>
      <c r="M483" s="11"/>
      <c r="N483" s="39"/>
      <c r="Q483" s="15" t="str">
        <f>+CONCATENATE(E481,K481)</f>
        <v/>
      </c>
      <c r="R483" s="15">
        <f>+L481</f>
        <v>0</v>
      </c>
      <c r="S483" s="16"/>
      <c r="T483" s="15">
        <f>+E481</f>
        <v>0</v>
      </c>
      <c r="U483" s="26" t="str">
        <f>IFERROR(LEFT(K481,FIND("*",K481)-1),"-")</f>
        <v>-</v>
      </c>
      <c r="V483" s="26" t="str">
        <f>IFERROR(RIGHT(K481,LEN(K481)-FIND("*",K481)),"-")</f>
        <v>-</v>
      </c>
      <c r="W483" s="27" t="str">
        <f t="shared" si="256"/>
        <v>-</v>
      </c>
      <c r="X483" s="27" t="str">
        <f>IFERROR(W483*L481,"-")</f>
        <v>-</v>
      </c>
      <c r="Z483" s="94" t="s">
        <v>81</v>
      </c>
    </row>
    <row r="484" spans="1:26" s="25" customFormat="1" ht="21" customHeight="1" thickBot="1" x14ac:dyDescent="0.35">
      <c r="A484" s="10"/>
      <c r="B484" s="170"/>
      <c r="C484" s="171"/>
      <c r="D484" s="172" t="s">
        <v>43</v>
      </c>
      <c r="E484" s="173"/>
      <c r="F484" s="173"/>
      <c r="G484" s="174"/>
      <c r="H484" s="174"/>
      <c r="I484" s="174"/>
      <c r="J484" s="174"/>
      <c r="K484" s="174"/>
      <c r="L484" s="174"/>
      <c r="M484" s="12"/>
      <c r="N484" s="39"/>
      <c r="U484" s="23"/>
      <c r="V484" s="23"/>
      <c r="Z484" s="95" t="s">
        <v>81</v>
      </c>
    </row>
    <row r="485" spans="1:26" s="25" customFormat="1" ht="9.9499999999999993" customHeight="1" thickBot="1" x14ac:dyDescent="0.35">
      <c r="A485" s="6"/>
      <c r="B485" s="14"/>
      <c r="C485" s="119">
        <v>805</v>
      </c>
      <c r="D485" s="58"/>
      <c r="E485" s="17"/>
      <c r="F485" s="58"/>
      <c r="G485" s="19"/>
      <c r="H485" s="19"/>
      <c r="I485" s="19"/>
      <c r="J485" s="19"/>
      <c r="K485" s="19"/>
      <c r="L485" s="19"/>
      <c r="M485" s="14"/>
      <c r="N485" s="39"/>
      <c r="Q485" s="1"/>
      <c r="R485" s="1"/>
      <c r="S485" s="1"/>
      <c r="T485" s="1"/>
      <c r="U485" s="24"/>
      <c r="V485" s="24"/>
      <c r="W485" s="1"/>
      <c r="X485" s="1"/>
      <c r="Z485" s="94" t="s">
        <v>81</v>
      </c>
    </row>
    <row r="486" spans="1:26" s="25" customFormat="1" ht="6.95" customHeight="1" x14ac:dyDescent="0.3">
      <c r="A486" s="165">
        <f>+A475+1</f>
        <v>45</v>
      </c>
      <c r="B486" s="166"/>
      <c r="C486" s="167"/>
      <c r="D486" s="160" t="s">
        <v>39</v>
      </c>
      <c r="E486" s="161"/>
      <c r="F486" s="162" t="s">
        <v>40</v>
      </c>
      <c r="G486" s="163"/>
      <c r="H486" s="164"/>
      <c r="I486" s="163"/>
      <c r="J486" s="164"/>
      <c r="K486" s="163"/>
      <c r="L486" s="164"/>
      <c r="M486" s="11"/>
      <c r="N486" s="39"/>
      <c r="Q486" s="15" t="str">
        <f>+CONCATENATE(E486,G486)</f>
        <v/>
      </c>
      <c r="R486" s="15">
        <f>+H486</f>
        <v>0</v>
      </c>
      <c r="S486" s="16"/>
      <c r="T486" s="15">
        <f>+E486</f>
        <v>0</v>
      </c>
      <c r="U486" s="26" t="str">
        <f>IFERROR(LEFT(G486,FIND("*",G486)-1),"-")</f>
        <v>-</v>
      </c>
      <c r="V486" s="26" t="str">
        <f>IFERROR(RIGHT(G486,LEN(G486)-FIND("*",G486)),"-")</f>
        <v>-</v>
      </c>
      <c r="W486" s="27" t="str">
        <f>IFERROR((U486+V486)*2/1000,"-")</f>
        <v>-</v>
      </c>
      <c r="X486" s="27" t="str">
        <f>IFERROR(W486*H486,"-")</f>
        <v>-</v>
      </c>
      <c r="Z486" s="94" t="s">
        <v>81</v>
      </c>
    </row>
    <row r="487" spans="1:26" s="25" customFormat="1" ht="6.95" customHeight="1" x14ac:dyDescent="0.3">
      <c r="A487" s="165"/>
      <c r="B487" s="168"/>
      <c r="C487" s="169"/>
      <c r="D487" s="160"/>
      <c r="E487" s="161"/>
      <c r="F487" s="162"/>
      <c r="G487" s="163"/>
      <c r="H487" s="164"/>
      <c r="I487" s="163"/>
      <c r="J487" s="164"/>
      <c r="K487" s="163"/>
      <c r="L487" s="164"/>
      <c r="M487" s="11"/>
      <c r="N487" s="39"/>
      <c r="Q487" s="15" t="str">
        <f>+CONCATENATE(E486,I486)</f>
        <v/>
      </c>
      <c r="R487" s="15">
        <f>+J486</f>
        <v>0</v>
      </c>
      <c r="S487" s="16"/>
      <c r="T487" s="15">
        <f>+E486</f>
        <v>0</v>
      </c>
      <c r="U487" s="26" t="str">
        <f>IFERROR(LEFT(I486,FIND("*",I486)-1),"-")</f>
        <v>-</v>
      </c>
      <c r="V487" s="26" t="str">
        <f>IFERROR(RIGHT(I486,LEN(I486)-FIND("*",I486)),"-")</f>
        <v>-</v>
      </c>
      <c r="W487" s="27" t="str">
        <f t="shared" ref="W487:W494" si="262">IFERROR((U487+V487)*2/1000,"-")</f>
        <v>-</v>
      </c>
      <c r="X487" s="27" t="str">
        <f>IFERROR(W487*J486,"-")</f>
        <v>-</v>
      </c>
      <c r="Z487" s="94" t="s">
        <v>81</v>
      </c>
    </row>
    <row r="488" spans="1:26" s="25" customFormat="1" ht="6.95" customHeight="1" x14ac:dyDescent="0.3">
      <c r="A488" s="165"/>
      <c r="B488" s="168"/>
      <c r="C488" s="169"/>
      <c r="D488" s="160"/>
      <c r="E488" s="161"/>
      <c r="F488" s="162"/>
      <c r="G488" s="163"/>
      <c r="H488" s="164"/>
      <c r="I488" s="163"/>
      <c r="J488" s="164"/>
      <c r="K488" s="163"/>
      <c r="L488" s="164"/>
      <c r="M488" s="11"/>
      <c r="N488" s="39"/>
      <c r="Q488" s="15" t="str">
        <f>+CONCATENATE(E486,K486)</f>
        <v/>
      </c>
      <c r="R488" s="15">
        <f>+L486</f>
        <v>0</v>
      </c>
      <c r="S488" s="16"/>
      <c r="T488" s="15">
        <f>+E486</f>
        <v>0</v>
      </c>
      <c r="U488" s="26" t="str">
        <f>IFERROR(LEFT(K486,FIND("*",K486)-1),"-")</f>
        <v>-</v>
      </c>
      <c r="V488" s="26" t="str">
        <f>IFERROR(RIGHT(K486,LEN(K486)-FIND("*",K486)),"-")</f>
        <v>-</v>
      </c>
      <c r="W488" s="27" t="str">
        <f t="shared" si="262"/>
        <v>-</v>
      </c>
      <c r="X488" s="27" t="str">
        <f>IFERROR(W488*L486,"-")</f>
        <v>-</v>
      </c>
      <c r="Z488" s="94" t="s">
        <v>81</v>
      </c>
    </row>
    <row r="489" spans="1:26" s="25" customFormat="1" ht="6.95" customHeight="1" x14ac:dyDescent="0.3">
      <c r="A489" s="13"/>
      <c r="B489" s="168"/>
      <c r="C489" s="169"/>
      <c r="D489" s="160" t="s">
        <v>39</v>
      </c>
      <c r="E489" s="161"/>
      <c r="F489" s="162" t="s">
        <v>40</v>
      </c>
      <c r="G489" s="163"/>
      <c r="H489" s="164"/>
      <c r="I489" s="163"/>
      <c r="J489" s="164"/>
      <c r="K489" s="163"/>
      <c r="L489" s="164"/>
      <c r="M489" s="11"/>
      <c r="N489" s="39"/>
      <c r="Q489" s="15" t="str">
        <f>+CONCATENATE(E489,G489)</f>
        <v/>
      </c>
      <c r="R489" s="15">
        <f>+H489</f>
        <v>0</v>
      </c>
      <c r="S489" s="16"/>
      <c r="T489" s="15">
        <f>+E489</f>
        <v>0</v>
      </c>
      <c r="U489" s="26" t="str">
        <f t="shared" ref="U489" si="263">IFERROR(LEFT(G489,FIND("*",G489)-1),"-")</f>
        <v>-</v>
      </c>
      <c r="V489" s="26" t="str">
        <f t="shared" ref="V489" si="264">IFERROR(RIGHT(G489,LEN(G489)-FIND("*",G489)),"-")</f>
        <v>-</v>
      </c>
      <c r="W489" s="27" t="str">
        <f t="shared" si="262"/>
        <v>-</v>
      </c>
      <c r="X489" s="27" t="str">
        <f>IFERROR(W489*H489,"-")</f>
        <v>-</v>
      </c>
      <c r="Z489" s="94" t="s">
        <v>81</v>
      </c>
    </row>
    <row r="490" spans="1:26" s="25" customFormat="1" ht="6.95" customHeight="1" x14ac:dyDescent="0.3">
      <c r="A490" s="10"/>
      <c r="B490" s="168"/>
      <c r="C490" s="169"/>
      <c r="D490" s="160"/>
      <c r="E490" s="161"/>
      <c r="F490" s="162"/>
      <c r="G490" s="163"/>
      <c r="H490" s="164"/>
      <c r="I490" s="163"/>
      <c r="J490" s="164"/>
      <c r="K490" s="163"/>
      <c r="L490" s="164"/>
      <c r="M490" s="11"/>
      <c r="N490" s="39"/>
      <c r="Q490" s="15" t="str">
        <f>+CONCATENATE(E489,I489)</f>
        <v/>
      </c>
      <c r="R490" s="15">
        <f>+J489</f>
        <v>0</v>
      </c>
      <c r="S490" s="16"/>
      <c r="T490" s="15">
        <f>+E489</f>
        <v>0</v>
      </c>
      <c r="U490" s="26" t="str">
        <f>IFERROR(LEFT(I489,FIND("*",I489)-1),"-")</f>
        <v>-</v>
      </c>
      <c r="V490" s="26" t="str">
        <f>IFERROR(RIGHT(I489,LEN(I489)-FIND("*",I489)),"-")</f>
        <v>-</v>
      </c>
      <c r="W490" s="27" t="str">
        <f t="shared" si="262"/>
        <v>-</v>
      </c>
      <c r="X490" s="27" t="str">
        <f>IFERROR(W490*J489,"-")</f>
        <v>-</v>
      </c>
      <c r="Z490" s="94" t="s">
        <v>81</v>
      </c>
    </row>
    <row r="491" spans="1:26" s="25" customFormat="1" ht="6.95" customHeight="1" x14ac:dyDescent="0.3">
      <c r="A491" s="10"/>
      <c r="B491" s="168"/>
      <c r="C491" s="169"/>
      <c r="D491" s="160"/>
      <c r="E491" s="161"/>
      <c r="F491" s="162"/>
      <c r="G491" s="163"/>
      <c r="H491" s="164"/>
      <c r="I491" s="163"/>
      <c r="J491" s="164"/>
      <c r="K491" s="163"/>
      <c r="L491" s="164"/>
      <c r="M491" s="11"/>
      <c r="N491" s="39"/>
      <c r="Q491" s="15" t="str">
        <f>+CONCATENATE(E489,K489)</f>
        <v/>
      </c>
      <c r="R491" s="15">
        <f>+L489</f>
        <v>0</v>
      </c>
      <c r="S491" s="16"/>
      <c r="T491" s="15">
        <f>+E489</f>
        <v>0</v>
      </c>
      <c r="U491" s="26" t="str">
        <f>IFERROR(LEFT(K489,FIND("*",K489)-1),"-")</f>
        <v>-</v>
      </c>
      <c r="V491" s="26" t="str">
        <f>IFERROR(RIGHT(K489,LEN(K489)-FIND("*",K489)),"-")</f>
        <v>-</v>
      </c>
      <c r="W491" s="27" t="str">
        <f t="shared" si="262"/>
        <v>-</v>
      </c>
      <c r="X491" s="27" t="str">
        <f>IFERROR(W491*L489,"-")</f>
        <v>-</v>
      </c>
      <c r="Z491" s="94" t="s">
        <v>81</v>
      </c>
    </row>
    <row r="492" spans="1:26" s="25" customFormat="1" ht="6.95" customHeight="1" x14ac:dyDescent="0.3">
      <c r="A492" s="13"/>
      <c r="B492" s="168"/>
      <c r="C492" s="169"/>
      <c r="D492" s="160" t="s">
        <v>39</v>
      </c>
      <c r="E492" s="161"/>
      <c r="F492" s="162" t="s">
        <v>40</v>
      </c>
      <c r="G492" s="163"/>
      <c r="H492" s="164"/>
      <c r="I492" s="163"/>
      <c r="J492" s="164"/>
      <c r="K492" s="163"/>
      <c r="L492" s="164"/>
      <c r="M492" s="11"/>
      <c r="N492" s="39"/>
      <c r="Q492" s="15" t="str">
        <f>+CONCATENATE(E492,G492)</f>
        <v/>
      </c>
      <c r="R492" s="15">
        <f>+H492</f>
        <v>0</v>
      </c>
      <c r="S492" s="16"/>
      <c r="T492" s="15">
        <f>+E492</f>
        <v>0</v>
      </c>
      <c r="U492" s="26" t="str">
        <f t="shared" ref="U492" si="265">IFERROR(LEFT(G492,FIND("*",G492)-1),"-")</f>
        <v>-</v>
      </c>
      <c r="V492" s="26" t="str">
        <f t="shared" ref="V492" si="266">IFERROR(RIGHT(G492,LEN(G492)-FIND("*",G492)),"-")</f>
        <v>-</v>
      </c>
      <c r="W492" s="27" t="str">
        <f t="shared" si="262"/>
        <v>-</v>
      </c>
      <c r="X492" s="27" t="str">
        <f>IFERROR(W492*H492,"-")</f>
        <v>-</v>
      </c>
      <c r="Z492" s="94" t="s">
        <v>81</v>
      </c>
    </row>
    <row r="493" spans="1:26" s="25" customFormat="1" ht="6.95" customHeight="1" x14ac:dyDescent="0.3">
      <c r="A493" s="10"/>
      <c r="B493" s="168"/>
      <c r="C493" s="169"/>
      <c r="D493" s="160"/>
      <c r="E493" s="161"/>
      <c r="F493" s="162"/>
      <c r="G493" s="163"/>
      <c r="H493" s="164"/>
      <c r="I493" s="163"/>
      <c r="J493" s="164"/>
      <c r="K493" s="163"/>
      <c r="L493" s="164"/>
      <c r="M493" s="11"/>
      <c r="N493" s="39"/>
      <c r="Q493" s="15" t="str">
        <f>+CONCATENATE(E492,I492)</f>
        <v/>
      </c>
      <c r="R493" s="15">
        <f>+J492</f>
        <v>0</v>
      </c>
      <c r="S493" s="16"/>
      <c r="T493" s="15">
        <f>+E492</f>
        <v>0</v>
      </c>
      <c r="U493" s="26" t="str">
        <f>IFERROR(LEFT(I492,FIND("*",I492)-1),"-")</f>
        <v>-</v>
      </c>
      <c r="V493" s="26" t="str">
        <f>IFERROR(RIGHT(I492,LEN(I492)-FIND("*",I492)),"-")</f>
        <v>-</v>
      </c>
      <c r="W493" s="27" t="str">
        <f t="shared" si="262"/>
        <v>-</v>
      </c>
      <c r="X493" s="27" t="str">
        <f t="shared" ref="X493" si="267">IFERROR(W493*J492,"-")</f>
        <v>-</v>
      </c>
      <c r="Z493" s="94" t="s">
        <v>81</v>
      </c>
    </row>
    <row r="494" spans="1:26" s="25" customFormat="1" ht="6.95" customHeight="1" x14ac:dyDescent="0.3">
      <c r="A494" s="10"/>
      <c r="B494" s="168"/>
      <c r="C494" s="169"/>
      <c r="D494" s="160"/>
      <c r="E494" s="161"/>
      <c r="F494" s="162"/>
      <c r="G494" s="163"/>
      <c r="H494" s="164"/>
      <c r="I494" s="163"/>
      <c r="J494" s="164"/>
      <c r="K494" s="163"/>
      <c r="L494" s="164"/>
      <c r="M494" s="11"/>
      <c r="N494" s="39"/>
      <c r="Q494" s="15" t="str">
        <f>+CONCATENATE(E492,K492)</f>
        <v/>
      </c>
      <c r="R494" s="15">
        <f>+L492</f>
        <v>0</v>
      </c>
      <c r="S494" s="16"/>
      <c r="T494" s="15">
        <f>+E492</f>
        <v>0</v>
      </c>
      <c r="U494" s="26" t="str">
        <f>IFERROR(LEFT(K492,FIND("*",K492)-1),"-")</f>
        <v>-</v>
      </c>
      <c r="V494" s="26" t="str">
        <f>IFERROR(RIGHT(K492,LEN(K492)-FIND("*",K492)),"-")</f>
        <v>-</v>
      </c>
      <c r="W494" s="27" t="str">
        <f t="shared" si="262"/>
        <v>-</v>
      </c>
      <c r="X494" s="27" t="str">
        <f>IFERROR(W494*L492,"-")</f>
        <v>-</v>
      </c>
      <c r="Z494" s="94" t="s">
        <v>81</v>
      </c>
    </row>
    <row r="495" spans="1:26" s="25" customFormat="1" ht="21" customHeight="1" thickBot="1" x14ac:dyDescent="0.35">
      <c r="A495" s="10"/>
      <c r="B495" s="170"/>
      <c r="C495" s="171"/>
      <c r="D495" s="172" t="s">
        <v>43</v>
      </c>
      <c r="E495" s="173"/>
      <c r="F495" s="173"/>
      <c r="G495" s="174"/>
      <c r="H495" s="174"/>
      <c r="I495" s="174"/>
      <c r="J495" s="174"/>
      <c r="K495" s="174"/>
      <c r="L495" s="174"/>
      <c r="M495" s="12"/>
      <c r="N495" s="39"/>
      <c r="U495" s="23"/>
      <c r="V495" s="23"/>
      <c r="Z495" s="95" t="s">
        <v>81</v>
      </c>
    </row>
    <row r="496" spans="1:26" s="25" customFormat="1" ht="9.9499999999999993" customHeight="1" thickBot="1" x14ac:dyDescent="0.35">
      <c r="A496" s="6"/>
      <c r="B496" s="14"/>
      <c r="C496" s="119">
        <v>806</v>
      </c>
      <c r="D496" s="58"/>
      <c r="E496" s="17"/>
      <c r="F496" s="58"/>
      <c r="G496" s="19"/>
      <c r="H496" s="19"/>
      <c r="I496" s="19"/>
      <c r="J496" s="19"/>
      <c r="K496" s="19"/>
      <c r="L496" s="19"/>
      <c r="M496" s="14"/>
      <c r="N496" s="39"/>
      <c r="Q496" s="1"/>
      <c r="R496" s="1"/>
      <c r="S496" s="1"/>
      <c r="T496" s="1"/>
      <c r="U496" s="24"/>
      <c r="V496" s="24"/>
      <c r="W496" s="1"/>
      <c r="X496" s="1"/>
      <c r="Z496" s="94" t="s">
        <v>81</v>
      </c>
    </row>
    <row r="497" spans="1:26" s="25" customFormat="1" ht="6.95" customHeight="1" x14ac:dyDescent="0.3">
      <c r="A497" s="165">
        <f>+A486+1</f>
        <v>46</v>
      </c>
      <c r="B497" s="166"/>
      <c r="C497" s="167"/>
      <c r="D497" s="160" t="s">
        <v>39</v>
      </c>
      <c r="E497" s="161"/>
      <c r="F497" s="162" t="s">
        <v>40</v>
      </c>
      <c r="G497" s="163"/>
      <c r="H497" s="164"/>
      <c r="I497" s="163"/>
      <c r="J497" s="164"/>
      <c r="K497" s="163"/>
      <c r="L497" s="164"/>
      <c r="M497" s="11"/>
      <c r="N497" s="39"/>
      <c r="Q497" s="15" t="str">
        <f>+CONCATENATE(E497,G497)</f>
        <v/>
      </c>
      <c r="R497" s="15">
        <f>+H497</f>
        <v>0</v>
      </c>
      <c r="S497" s="16"/>
      <c r="T497" s="15">
        <f>+E497</f>
        <v>0</v>
      </c>
      <c r="U497" s="26" t="str">
        <f>IFERROR(LEFT(G497,FIND("*",G497)-1),"-")</f>
        <v>-</v>
      </c>
      <c r="V497" s="26" t="str">
        <f>IFERROR(RIGHT(G497,LEN(G497)-FIND("*",G497)),"-")</f>
        <v>-</v>
      </c>
      <c r="W497" s="27" t="str">
        <f>IFERROR((U497+V497)*2/1000,"-")</f>
        <v>-</v>
      </c>
      <c r="X497" s="27" t="str">
        <f>IFERROR(W497*H497,"-")</f>
        <v>-</v>
      </c>
      <c r="Z497" s="94" t="s">
        <v>81</v>
      </c>
    </row>
    <row r="498" spans="1:26" s="25" customFormat="1" ht="6.95" customHeight="1" x14ac:dyDescent="0.3">
      <c r="A498" s="165"/>
      <c r="B498" s="168"/>
      <c r="C498" s="169"/>
      <c r="D498" s="160"/>
      <c r="E498" s="161"/>
      <c r="F498" s="162"/>
      <c r="G498" s="163"/>
      <c r="H498" s="164"/>
      <c r="I498" s="163"/>
      <c r="J498" s="164"/>
      <c r="K498" s="163"/>
      <c r="L498" s="164"/>
      <c r="M498" s="11"/>
      <c r="N498" s="39"/>
      <c r="Q498" s="15" t="str">
        <f>+CONCATENATE(E497,I497)</f>
        <v/>
      </c>
      <c r="R498" s="15">
        <f>+J497</f>
        <v>0</v>
      </c>
      <c r="S498" s="16"/>
      <c r="T498" s="15">
        <f>+E497</f>
        <v>0</v>
      </c>
      <c r="U498" s="26" t="str">
        <f>IFERROR(LEFT(I497,FIND("*",I497)-1),"-")</f>
        <v>-</v>
      </c>
      <c r="V498" s="26" t="str">
        <f>IFERROR(RIGHT(I497,LEN(I497)-FIND("*",I497)),"-")</f>
        <v>-</v>
      </c>
      <c r="W498" s="27" t="str">
        <f t="shared" ref="W498:W505" si="268">IFERROR((U498+V498)*2/1000,"-")</f>
        <v>-</v>
      </c>
      <c r="X498" s="27" t="str">
        <f>IFERROR(W498*J497,"-")</f>
        <v>-</v>
      </c>
      <c r="Z498" s="94" t="s">
        <v>81</v>
      </c>
    </row>
    <row r="499" spans="1:26" s="25" customFormat="1" ht="6.95" customHeight="1" x14ac:dyDescent="0.3">
      <c r="A499" s="165"/>
      <c r="B499" s="168"/>
      <c r="C499" s="169"/>
      <c r="D499" s="160"/>
      <c r="E499" s="161"/>
      <c r="F499" s="162"/>
      <c r="G499" s="163"/>
      <c r="H499" s="164"/>
      <c r="I499" s="163"/>
      <c r="J499" s="164"/>
      <c r="K499" s="163"/>
      <c r="L499" s="164"/>
      <c r="M499" s="11"/>
      <c r="N499" s="39"/>
      <c r="Q499" s="15" t="str">
        <f>+CONCATENATE(E497,K497)</f>
        <v/>
      </c>
      <c r="R499" s="15">
        <f>+L497</f>
        <v>0</v>
      </c>
      <c r="S499" s="16"/>
      <c r="T499" s="15">
        <f>+E497</f>
        <v>0</v>
      </c>
      <c r="U499" s="26" t="str">
        <f>IFERROR(LEFT(K497,FIND("*",K497)-1),"-")</f>
        <v>-</v>
      </c>
      <c r="V499" s="26" t="str">
        <f>IFERROR(RIGHT(K497,LEN(K497)-FIND("*",K497)),"-")</f>
        <v>-</v>
      </c>
      <c r="W499" s="27" t="str">
        <f t="shared" si="268"/>
        <v>-</v>
      </c>
      <c r="X499" s="27" t="str">
        <f>IFERROR(W499*L497,"-")</f>
        <v>-</v>
      </c>
      <c r="Z499" s="94" t="s">
        <v>81</v>
      </c>
    </row>
    <row r="500" spans="1:26" s="25" customFormat="1" ht="6.95" customHeight="1" x14ac:dyDescent="0.3">
      <c r="A500" s="13"/>
      <c r="B500" s="168"/>
      <c r="C500" s="169"/>
      <c r="D500" s="160" t="s">
        <v>39</v>
      </c>
      <c r="E500" s="161"/>
      <c r="F500" s="162" t="s">
        <v>40</v>
      </c>
      <c r="G500" s="163"/>
      <c r="H500" s="164"/>
      <c r="I500" s="163"/>
      <c r="J500" s="164"/>
      <c r="K500" s="163"/>
      <c r="L500" s="164"/>
      <c r="M500" s="11"/>
      <c r="N500" s="39"/>
      <c r="Q500" s="15" t="str">
        <f>+CONCATENATE(E500,G500)</f>
        <v/>
      </c>
      <c r="R500" s="15">
        <f>+H500</f>
        <v>0</v>
      </c>
      <c r="S500" s="16"/>
      <c r="T500" s="15">
        <f>+E500</f>
        <v>0</v>
      </c>
      <c r="U500" s="26" t="str">
        <f t="shared" ref="U500" si="269">IFERROR(LEFT(G500,FIND("*",G500)-1),"-")</f>
        <v>-</v>
      </c>
      <c r="V500" s="26" t="str">
        <f t="shared" ref="V500" si="270">IFERROR(RIGHT(G500,LEN(G500)-FIND("*",G500)),"-")</f>
        <v>-</v>
      </c>
      <c r="W500" s="27" t="str">
        <f t="shared" si="268"/>
        <v>-</v>
      </c>
      <c r="X500" s="27" t="str">
        <f>IFERROR(W500*H500,"-")</f>
        <v>-</v>
      </c>
      <c r="Z500" s="94" t="s">
        <v>81</v>
      </c>
    </row>
    <row r="501" spans="1:26" s="25" customFormat="1" ht="6.95" customHeight="1" x14ac:dyDescent="0.3">
      <c r="A501" s="10"/>
      <c r="B501" s="168"/>
      <c r="C501" s="169"/>
      <c r="D501" s="160"/>
      <c r="E501" s="161"/>
      <c r="F501" s="162"/>
      <c r="G501" s="163"/>
      <c r="H501" s="164"/>
      <c r="I501" s="163"/>
      <c r="J501" s="164"/>
      <c r="K501" s="163"/>
      <c r="L501" s="164"/>
      <c r="M501" s="11"/>
      <c r="N501" s="39"/>
      <c r="Q501" s="15" t="str">
        <f>+CONCATENATE(E500,I500)</f>
        <v/>
      </c>
      <c r="R501" s="15">
        <f>+J500</f>
        <v>0</v>
      </c>
      <c r="S501" s="16"/>
      <c r="T501" s="15">
        <f>+E500</f>
        <v>0</v>
      </c>
      <c r="U501" s="26" t="str">
        <f>IFERROR(LEFT(I500,FIND("*",I500)-1),"-")</f>
        <v>-</v>
      </c>
      <c r="V501" s="26" t="str">
        <f>IFERROR(RIGHT(I500,LEN(I500)-FIND("*",I500)),"-")</f>
        <v>-</v>
      </c>
      <c r="W501" s="27" t="str">
        <f t="shared" si="268"/>
        <v>-</v>
      </c>
      <c r="X501" s="27" t="str">
        <f>IFERROR(W501*J500,"-")</f>
        <v>-</v>
      </c>
      <c r="Z501" s="94" t="s">
        <v>81</v>
      </c>
    </row>
    <row r="502" spans="1:26" s="25" customFormat="1" ht="6.95" customHeight="1" x14ac:dyDescent="0.3">
      <c r="A502" s="10"/>
      <c r="B502" s="168"/>
      <c r="C502" s="169"/>
      <c r="D502" s="160"/>
      <c r="E502" s="161"/>
      <c r="F502" s="162"/>
      <c r="G502" s="163"/>
      <c r="H502" s="164"/>
      <c r="I502" s="163"/>
      <c r="J502" s="164"/>
      <c r="K502" s="163"/>
      <c r="L502" s="164"/>
      <c r="M502" s="11"/>
      <c r="N502" s="39"/>
      <c r="Q502" s="15" t="str">
        <f>+CONCATENATE(E500,K500)</f>
        <v/>
      </c>
      <c r="R502" s="15">
        <f>+L500</f>
        <v>0</v>
      </c>
      <c r="S502" s="16"/>
      <c r="T502" s="15">
        <f>+E500</f>
        <v>0</v>
      </c>
      <c r="U502" s="26" t="str">
        <f>IFERROR(LEFT(K500,FIND("*",K500)-1),"-")</f>
        <v>-</v>
      </c>
      <c r="V502" s="26" t="str">
        <f>IFERROR(RIGHT(K500,LEN(K500)-FIND("*",K500)),"-")</f>
        <v>-</v>
      </c>
      <c r="W502" s="27" t="str">
        <f t="shared" si="268"/>
        <v>-</v>
      </c>
      <c r="X502" s="27" t="str">
        <f>IFERROR(W502*L500,"-")</f>
        <v>-</v>
      </c>
      <c r="Z502" s="94" t="s">
        <v>81</v>
      </c>
    </row>
    <row r="503" spans="1:26" s="25" customFormat="1" ht="6.95" customHeight="1" x14ac:dyDescent="0.3">
      <c r="A503" s="13"/>
      <c r="B503" s="168"/>
      <c r="C503" s="169"/>
      <c r="D503" s="160" t="s">
        <v>39</v>
      </c>
      <c r="E503" s="161"/>
      <c r="F503" s="162" t="s">
        <v>40</v>
      </c>
      <c r="G503" s="163"/>
      <c r="H503" s="164"/>
      <c r="I503" s="163"/>
      <c r="J503" s="164"/>
      <c r="K503" s="163"/>
      <c r="L503" s="164"/>
      <c r="M503" s="11"/>
      <c r="N503" s="39"/>
      <c r="Q503" s="15" t="str">
        <f>+CONCATENATE(E503,G503)</f>
        <v/>
      </c>
      <c r="R503" s="15">
        <f>+H503</f>
        <v>0</v>
      </c>
      <c r="S503" s="16"/>
      <c r="T503" s="15">
        <f>+E503</f>
        <v>0</v>
      </c>
      <c r="U503" s="26" t="str">
        <f t="shared" ref="U503" si="271">IFERROR(LEFT(G503,FIND("*",G503)-1),"-")</f>
        <v>-</v>
      </c>
      <c r="V503" s="26" t="str">
        <f t="shared" ref="V503" si="272">IFERROR(RIGHT(G503,LEN(G503)-FIND("*",G503)),"-")</f>
        <v>-</v>
      </c>
      <c r="W503" s="27" t="str">
        <f t="shared" si="268"/>
        <v>-</v>
      </c>
      <c r="X503" s="27" t="str">
        <f>IFERROR(W503*H503,"-")</f>
        <v>-</v>
      </c>
      <c r="Z503" s="94" t="s">
        <v>81</v>
      </c>
    </row>
    <row r="504" spans="1:26" s="25" customFormat="1" ht="6.95" customHeight="1" x14ac:dyDescent="0.3">
      <c r="A504" s="10"/>
      <c r="B504" s="168"/>
      <c r="C504" s="169"/>
      <c r="D504" s="160"/>
      <c r="E504" s="161"/>
      <c r="F504" s="162"/>
      <c r="G504" s="163"/>
      <c r="H504" s="164"/>
      <c r="I504" s="163"/>
      <c r="J504" s="164"/>
      <c r="K504" s="163"/>
      <c r="L504" s="164"/>
      <c r="M504" s="11"/>
      <c r="N504" s="39"/>
      <c r="Q504" s="15" t="str">
        <f>+CONCATENATE(E503,I503)</f>
        <v/>
      </c>
      <c r="R504" s="15">
        <f>+J503</f>
        <v>0</v>
      </c>
      <c r="S504" s="16"/>
      <c r="T504" s="15">
        <f>+E503</f>
        <v>0</v>
      </c>
      <c r="U504" s="26" t="str">
        <f>IFERROR(LEFT(I503,FIND("*",I503)-1),"-")</f>
        <v>-</v>
      </c>
      <c r="V504" s="26" t="str">
        <f>IFERROR(RIGHT(I503,LEN(I503)-FIND("*",I503)),"-")</f>
        <v>-</v>
      </c>
      <c r="W504" s="27" t="str">
        <f t="shared" si="268"/>
        <v>-</v>
      </c>
      <c r="X504" s="27" t="str">
        <f t="shared" ref="X504" si="273">IFERROR(W504*J503,"-")</f>
        <v>-</v>
      </c>
      <c r="Z504" s="94" t="s">
        <v>81</v>
      </c>
    </row>
    <row r="505" spans="1:26" s="25" customFormat="1" ht="6.95" customHeight="1" x14ac:dyDescent="0.3">
      <c r="A505" s="10"/>
      <c r="B505" s="168"/>
      <c r="C505" s="169"/>
      <c r="D505" s="160"/>
      <c r="E505" s="161"/>
      <c r="F505" s="162"/>
      <c r="G505" s="163"/>
      <c r="H505" s="164"/>
      <c r="I505" s="163"/>
      <c r="J505" s="164"/>
      <c r="K505" s="163"/>
      <c r="L505" s="164"/>
      <c r="M505" s="11"/>
      <c r="N505" s="39"/>
      <c r="Q505" s="15" t="str">
        <f>+CONCATENATE(E503,K503)</f>
        <v/>
      </c>
      <c r="R505" s="15">
        <f>+L503</f>
        <v>0</v>
      </c>
      <c r="S505" s="16"/>
      <c r="T505" s="15">
        <f>+E503</f>
        <v>0</v>
      </c>
      <c r="U505" s="26" t="str">
        <f>IFERROR(LEFT(K503,FIND("*",K503)-1),"-")</f>
        <v>-</v>
      </c>
      <c r="V505" s="26" t="str">
        <f>IFERROR(RIGHT(K503,LEN(K503)-FIND("*",K503)),"-")</f>
        <v>-</v>
      </c>
      <c r="W505" s="27" t="str">
        <f t="shared" si="268"/>
        <v>-</v>
      </c>
      <c r="X505" s="27" t="str">
        <f>IFERROR(W505*L503,"-")</f>
        <v>-</v>
      </c>
      <c r="Z505" s="94" t="s">
        <v>81</v>
      </c>
    </row>
    <row r="506" spans="1:26" s="25" customFormat="1" ht="21" customHeight="1" thickBot="1" x14ac:dyDescent="0.35">
      <c r="A506" s="10"/>
      <c r="B506" s="170"/>
      <c r="C506" s="171"/>
      <c r="D506" s="172" t="s">
        <v>43</v>
      </c>
      <c r="E506" s="173"/>
      <c r="F506" s="173"/>
      <c r="G506" s="174"/>
      <c r="H506" s="174"/>
      <c r="I506" s="174"/>
      <c r="J506" s="174"/>
      <c r="K506" s="174"/>
      <c r="L506" s="174"/>
      <c r="M506" s="12"/>
      <c r="N506" s="39"/>
      <c r="U506" s="23"/>
      <c r="V506" s="23"/>
      <c r="Z506" s="95" t="s">
        <v>81</v>
      </c>
    </row>
    <row r="507" spans="1:26" s="25" customFormat="1" ht="9.9499999999999993" customHeight="1" thickBot="1" x14ac:dyDescent="0.35">
      <c r="A507" s="6"/>
      <c r="B507" s="14"/>
      <c r="C507" s="119">
        <v>807</v>
      </c>
      <c r="D507" s="58"/>
      <c r="E507" s="17"/>
      <c r="F507" s="58"/>
      <c r="G507" s="19"/>
      <c r="H507" s="19"/>
      <c r="I507" s="19"/>
      <c r="J507" s="19"/>
      <c r="K507" s="19"/>
      <c r="L507" s="19"/>
      <c r="M507" s="14"/>
      <c r="N507" s="39"/>
      <c r="Q507" s="1"/>
      <c r="R507" s="1"/>
      <c r="S507" s="1"/>
      <c r="T507" s="1"/>
      <c r="U507" s="24"/>
      <c r="V507" s="24"/>
      <c r="W507" s="1"/>
      <c r="X507" s="1"/>
      <c r="Z507" s="94" t="s">
        <v>81</v>
      </c>
    </row>
    <row r="508" spans="1:26" s="25" customFormat="1" ht="6.95" customHeight="1" x14ac:dyDescent="0.3">
      <c r="A508" s="165">
        <f>+A497+1</f>
        <v>47</v>
      </c>
      <c r="B508" s="166"/>
      <c r="C508" s="167"/>
      <c r="D508" s="160" t="s">
        <v>39</v>
      </c>
      <c r="E508" s="161"/>
      <c r="F508" s="162" t="s">
        <v>40</v>
      </c>
      <c r="G508" s="163"/>
      <c r="H508" s="164"/>
      <c r="I508" s="163"/>
      <c r="J508" s="164"/>
      <c r="K508" s="163"/>
      <c r="L508" s="164"/>
      <c r="M508" s="11"/>
      <c r="N508" s="39"/>
      <c r="Q508" s="15" t="str">
        <f>+CONCATENATE(E508,G508)</f>
        <v/>
      </c>
      <c r="R508" s="15">
        <f>+H508</f>
        <v>0</v>
      </c>
      <c r="S508" s="16"/>
      <c r="T508" s="15">
        <f>+E508</f>
        <v>0</v>
      </c>
      <c r="U508" s="26" t="str">
        <f>IFERROR(LEFT(G508,FIND("*",G508)-1),"-")</f>
        <v>-</v>
      </c>
      <c r="V508" s="26" t="str">
        <f>IFERROR(RIGHT(G508,LEN(G508)-FIND("*",G508)),"-")</f>
        <v>-</v>
      </c>
      <c r="W508" s="27" t="str">
        <f>IFERROR((U508+V508)*2/1000,"-")</f>
        <v>-</v>
      </c>
      <c r="X508" s="27" t="str">
        <f>IFERROR(W508*H508,"-")</f>
        <v>-</v>
      </c>
      <c r="Z508" s="94" t="s">
        <v>81</v>
      </c>
    </row>
    <row r="509" spans="1:26" s="25" customFormat="1" ht="6.95" customHeight="1" x14ac:dyDescent="0.3">
      <c r="A509" s="165"/>
      <c r="B509" s="168"/>
      <c r="C509" s="169"/>
      <c r="D509" s="160"/>
      <c r="E509" s="161"/>
      <c r="F509" s="162"/>
      <c r="G509" s="163"/>
      <c r="H509" s="164"/>
      <c r="I509" s="163"/>
      <c r="J509" s="164"/>
      <c r="K509" s="163"/>
      <c r="L509" s="164"/>
      <c r="M509" s="11"/>
      <c r="N509" s="39"/>
      <c r="Q509" s="15" t="str">
        <f>+CONCATENATE(E508,I508)</f>
        <v/>
      </c>
      <c r="R509" s="15">
        <f>+J508</f>
        <v>0</v>
      </c>
      <c r="S509" s="16"/>
      <c r="T509" s="15">
        <f>+E508</f>
        <v>0</v>
      </c>
      <c r="U509" s="26" t="str">
        <f>IFERROR(LEFT(I508,FIND("*",I508)-1),"-")</f>
        <v>-</v>
      </c>
      <c r="V509" s="26" t="str">
        <f>IFERROR(RIGHT(I508,LEN(I508)-FIND("*",I508)),"-")</f>
        <v>-</v>
      </c>
      <c r="W509" s="27" t="str">
        <f t="shared" ref="W509:W516" si="274">IFERROR((U509+V509)*2/1000,"-")</f>
        <v>-</v>
      </c>
      <c r="X509" s="27" t="str">
        <f>IFERROR(W509*J508,"-")</f>
        <v>-</v>
      </c>
      <c r="Z509" s="94" t="s">
        <v>81</v>
      </c>
    </row>
    <row r="510" spans="1:26" s="25" customFormat="1" ht="6.95" customHeight="1" x14ac:dyDescent="0.3">
      <c r="A510" s="165"/>
      <c r="B510" s="168"/>
      <c r="C510" s="169"/>
      <c r="D510" s="160"/>
      <c r="E510" s="161"/>
      <c r="F510" s="162"/>
      <c r="G510" s="163"/>
      <c r="H510" s="164"/>
      <c r="I510" s="163"/>
      <c r="J510" s="164"/>
      <c r="K510" s="163"/>
      <c r="L510" s="164"/>
      <c r="M510" s="11"/>
      <c r="N510" s="39"/>
      <c r="Q510" s="15" t="str">
        <f>+CONCATENATE(E508,K508)</f>
        <v/>
      </c>
      <c r="R510" s="15">
        <f>+L508</f>
        <v>0</v>
      </c>
      <c r="S510" s="16"/>
      <c r="T510" s="15">
        <f>+E508</f>
        <v>0</v>
      </c>
      <c r="U510" s="26" t="str">
        <f>IFERROR(LEFT(K508,FIND("*",K508)-1),"-")</f>
        <v>-</v>
      </c>
      <c r="V510" s="26" t="str">
        <f>IFERROR(RIGHT(K508,LEN(K508)-FIND("*",K508)),"-")</f>
        <v>-</v>
      </c>
      <c r="W510" s="27" t="str">
        <f t="shared" si="274"/>
        <v>-</v>
      </c>
      <c r="X510" s="27" t="str">
        <f>IFERROR(W510*L508,"-")</f>
        <v>-</v>
      </c>
      <c r="Z510" s="94" t="s">
        <v>81</v>
      </c>
    </row>
    <row r="511" spans="1:26" s="25" customFormat="1" ht="6.95" customHeight="1" x14ac:dyDescent="0.3">
      <c r="A511" s="13"/>
      <c r="B511" s="168"/>
      <c r="C511" s="169"/>
      <c r="D511" s="160" t="s">
        <v>39</v>
      </c>
      <c r="E511" s="161"/>
      <c r="F511" s="162" t="s">
        <v>40</v>
      </c>
      <c r="G511" s="163"/>
      <c r="H511" s="164"/>
      <c r="I511" s="163"/>
      <c r="J511" s="164"/>
      <c r="K511" s="163"/>
      <c r="L511" s="164"/>
      <c r="M511" s="11"/>
      <c r="N511" s="39"/>
      <c r="Q511" s="15" t="str">
        <f>+CONCATENATE(E511,G511)</f>
        <v/>
      </c>
      <c r="R511" s="15">
        <f>+H511</f>
        <v>0</v>
      </c>
      <c r="S511" s="16"/>
      <c r="T511" s="15">
        <f>+E511</f>
        <v>0</v>
      </c>
      <c r="U511" s="26" t="str">
        <f t="shared" ref="U511" si="275">IFERROR(LEFT(G511,FIND("*",G511)-1),"-")</f>
        <v>-</v>
      </c>
      <c r="V511" s="26" t="str">
        <f t="shared" ref="V511" si="276">IFERROR(RIGHT(G511,LEN(G511)-FIND("*",G511)),"-")</f>
        <v>-</v>
      </c>
      <c r="W511" s="27" t="str">
        <f t="shared" si="274"/>
        <v>-</v>
      </c>
      <c r="X511" s="27" t="str">
        <f>IFERROR(W511*H511,"-")</f>
        <v>-</v>
      </c>
      <c r="Z511" s="94" t="s">
        <v>81</v>
      </c>
    </row>
    <row r="512" spans="1:26" s="25" customFormat="1" ht="6.95" customHeight="1" x14ac:dyDescent="0.3">
      <c r="A512" s="10"/>
      <c r="B512" s="168"/>
      <c r="C512" s="169"/>
      <c r="D512" s="160"/>
      <c r="E512" s="161"/>
      <c r="F512" s="162"/>
      <c r="G512" s="163"/>
      <c r="H512" s="164"/>
      <c r="I512" s="163"/>
      <c r="J512" s="164"/>
      <c r="K512" s="163"/>
      <c r="L512" s="164"/>
      <c r="M512" s="11"/>
      <c r="N512" s="39"/>
      <c r="Q512" s="15" t="str">
        <f>+CONCATENATE(E511,I511)</f>
        <v/>
      </c>
      <c r="R512" s="15">
        <f>+J511</f>
        <v>0</v>
      </c>
      <c r="S512" s="16"/>
      <c r="T512" s="15">
        <f>+E511</f>
        <v>0</v>
      </c>
      <c r="U512" s="26" t="str">
        <f>IFERROR(LEFT(I511,FIND("*",I511)-1),"-")</f>
        <v>-</v>
      </c>
      <c r="V512" s="26" t="str">
        <f>IFERROR(RIGHT(I511,LEN(I511)-FIND("*",I511)),"-")</f>
        <v>-</v>
      </c>
      <c r="W512" s="27" t="str">
        <f t="shared" si="274"/>
        <v>-</v>
      </c>
      <c r="X512" s="27" t="str">
        <f>IFERROR(W512*J511,"-")</f>
        <v>-</v>
      </c>
      <c r="Z512" s="94" t="s">
        <v>81</v>
      </c>
    </row>
    <row r="513" spans="1:26" s="25" customFormat="1" ht="6.95" customHeight="1" x14ac:dyDescent="0.3">
      <c r="A513" s="10"/>
      <c r="B513" s="168"/>
      <c r="C513" s="169"/>
      <c r="D513" s="160"/>
      <c r="E513" s="161"/>
      <c r="F513" s="162"/>
      <c r="G513" s="163"/>
      <c r="H513" s="164"/>
      <c r="I513" s="163"/>
      <c r="J513" s="164"/>
      <c r="K513" s="163"/>
      <c r="L513" s="164"/>
      <c r="M513" s="11"/>
      <c r="N513" s="39"/>
      <c r="Q513" s="15" t="str">
        <f>+CONCATENATE(E511,K511)</f>
        <v/>
      </c>
      <c r="R513" s="15">
        <f>+L511</f>
        <v>0</v>
      </c>
      <c r="S513" s="16"/>
      <c r="T513" s="15">
        <f>+E511</f>
        <v>0</v>
      </c>
      <c r="U513" s="26" t="str">
        <f>IFERROR(LEFT(K511,FIND("*",K511)-1),"-")</f>
        <v>-</v>
      </c>
      <c r="V513" s="26" t="str">
        <f>IFERROR(RIGHT(K511,LEN(K511)-FIND("*",K511)),"-")</f>
        <v>-</v>
      </c>
      <c r="W513" s="27" t="str">
        <f t="shared" si="274"/>
        <v>-</v>
      </c>
      <c r="X513" s="27" t="str">
        <f>IFERROR(W513*L511,"-")</f>
        <v>-</v>
      </c>
      <c r="Z513" s="94" t="s">
        <v>81</v>
      </c>
    </row>
    <row r="514" spans="1:26" s="25" customFormat="1" ht="6.95" customHeight="1" x14ac:dyDescent="0.3">
      <c r="A514" s="13"/>
      <c r="B514" s="168"/>
      <c r="C514" s="169"/>
      <c r="D514" s="160" t="s">
        <v>39</v>
      </c>
      <c r="E514" s="161"/>
      <c r="F514" s="162" t="s">
        <v>40</v>
      </c>
      <c r="G514" s="163"/>
      <c r="H514" s="164"/>
      <c r="I514" s="163"/>
      <c r="J514" s="164"/>
      <c r="K514" s="163"/>
      <c r="L514" s="164"/>
      <c r="M514" s="11"/>
      <c r="N514" s="39"/>
      <c r="Q514" s="15" t="str">
        <f>+CONCATENATE(E514,G514)</f>
        <v/>
      </c>
      <c r="R514" s="15">
        <f>+H514</f>
        <v>0</v>
      </c>
      <c r="S514" s="16"/>
      <c r="T514" s="15">
        <f>+E514</f>
        <v>0</v>
      </c>
      <c r="U514" s="26" t="str">
        <f t="shared" ref="U514" si="277">IFERROR(LEFT(G514,FIND("*",G514)-1),"-")</f>
        <v>-</v>
      </c>
      <c r="V514" s="26" t="str">
        <f t="shared" ref="V514" si="278">IFERROR(RIGHT(G514,LEN(G514)-FIND("*",G514)),"-")</f>
        <v>-</v>
      </c>
      <c r="W514" s="27" t="str">
        <f t="shared" si="274"/>
        <v>-</v>
      </c>
      <c r="X514" s="27" t="str">
        <f>IFERROR(W514*H514,"-")</f>
        <v>-</v>
      </c>
      <c r="Z514" s="94" t="s">
        <v>81</v>
      </c>
    </row>
    <row r="515" spans="1:26" s="25" customFormat="1" ht="6.95" customHeight="1" x14ac:dyDescent="0.3">
      <c r="A515" s="10"/>
      <c r="B515" s="168"/>
      <c r="C515" s="169"/>
      <c r="D515" s="160"/>
      <c r="E515" s="161"/>
      <c r="F515" s="162"/>
      <c r="G515" s="163"/>
      <c r="H515" s="164"/>
      <c r="I515" s="163"/>
      <c r="J515" s="164"/>
      <c r="K515" s="163"/>
      <c r="L515" s="164"/>
      <c r="M515" s="11"/>
      <c r="N515" s="39"/>
      <c r="Q515" s="15" t="str">
        <f>+CONCATENATE(E514,I514)</f>
        <v/>
      </c>
      <c r="R515" s="15">
        <f>+J514</f>
        <v>0</v>
      </c>
      <c r="S515" s="16"/>
      <c r="T515" s="15">
        <f>+E514</f>
        <v>0</v>
      </c>
      <c r="U515" s="26" t="str">
        <f>IFERROR(LEFT(I514,FIND("*",I514)-1),"-")</f>
        <v>-</v>
      </c>
      <c r="V515" s="26" t="str">
        <f>IFERROR(RIGHT(I514,LEN(I514)-FIND("*",I514)),"-")</f>
        <v>-</v>
      </c>
      <c r="W515" s="27" t="str">
        <f t="shared" si="274"/>
        <v>-</v>
      </c>
      <c r="X515" s="27" t="str">
        <f t="shared" ref="X515" si="279">IFERROR(W515*J514,"-")</f>
        <v>-</v>
      </c>
      <c r="Z515" s="94" t="s">
        <v>81</v>
      </c>
    </row>
    <row r="516" spans="1:26" s="25" customFormat="1" ht="6.95" customHeight="1" x14ac:dyDescent="0.3">
      <c r="A516" s="10"/>
      <c r="B516" s="168"/>
      <c r="C516" s="169"/>
      <c r="D516" s="160"/>
      <c r="E516" s="161"/>
      <c r="F516" s="162"/>
      <c r="G516" s="163"/>
      <c r="H516" s="164"/>
      <c r="I516" s="163"/>
      <c r="J516" s="164"/>
      <c r="K516" s="163"/>
      <c r="L516" s="164"/>
      <c r="M516" s="11"/>
      <c r="N516" s="39"/>
      <c r="Q516" s="15" t="str">
        <f>+CONCATENATE(E514,K514)</f>
        <v/>
      </c>
      <c r="R516" s="15">
        <f>+L514</f>
        <v>0</v>
      </c>
      <c r="S516" s="16"/>
      <c r="T516" s="15">
        <f>+E514</f>
        <v>0</v>
      </c>
      <c r="U516" s="26" t="str">
        <f>IFERROR(LEFT(K514,FIND("*",K514)-1),"-")</f>
        <v>-</v>
      </c>
      <c r="V516" s="26" t="str">
        <f>IFERROR(RIGHT(K514,LEN(K514)-FIND("*",K514)),"-")</f>
        <v>-</v>
      </c>
      <c r="W516" s="27" t="str">
        <f t="shared" si="274"/>
        <v>-</v>
      </c>
      <c r="X516" s="27" t="str">
        <f>IFERROR(W516*L514,"-")</f>
        <v>-</v>
      </c>
      <c r="Z516" s="94" t="s">
        <v>81</v>
      </c>
    </row>
    <row r="517" spans="1:26" s="25" customFormat="1" ht="21" customHeight="1" thickBot="1" x14ac:dyDescent="0.35">
      <c r="A517" s="10"/>
      <c r="B517" s="170"/>
      <c r="C517" s="171"/>
      <c r="D517" s="172" t="s">
        <v>43</v>
      </c>
      <c r="E517" s="173"/>
      <c r="F517" s="173"/>
      <c r="G517" s="174"/>
      <c r="H517" s="174"/>
      <c r="I517" s="174"/>
      <c r="J517" s="174"/>
      <c r="K517" s="174"/>
      <c r="L517" s="174"/>
      <c r="M517" s="12"/>
      <c r="N517" s="39"/>
      <c r="U517" s="23"/>
      <c r="V517" s="23"/>
      <c r="Z517" s="95" t="s">
        <v>81</v>
      </c>
    </row>
    <row r="518" spans="1:26" s="25" customFormat="1" ht="9.9499999999999993" customHeight="1" thickBot="1" x14ac:dyDescent="0.35">
      <c r="A518" s="6"/>
      <c r="B518" s="14"/>
      <c r="C518" s="119">
        <v>808</v>
      </c>
      <c r="D518" s="58"/>
      <c r="E518" s="17"/>
      <c r="F518" s="58"/>
      <c r="G518" s="19"/>
      <c r="H518" s="19"/>
      <c r="I518" s="19"/>
      <c r="J518" s="19"/>
      <c r="K518" s="19"/>
      <c r="L518" s="19"/>
      <c r="M518" s="14"/>
      <c r="N518" s="39"/>
      <c r="Q518" s="1"/>
      <c r="R518" s="1"/>
      <c r="S518" s="1"/>
      <c r="T518" s="1"/>
      <c r="U518" s="24"/>
      <c r="V518" s="24"/>
      <c r="W518" s="1"/>
      <c r="X518" s="1"/>
      <c r="Z518" s="94" t="s">
        <v>81</v>
      </c>
    </row>
    <row r="519" spans="1:26" s="25" customFormat="1" ht="6.95" customHeight="1" x14ac:dyDescent="0.3">
      <c r="A519" s="165">
        <f>+A508+1</f>
        <v>48</v>
      </c>
      <c r="B519" s="166"/>
      <c r="C519" s="167"/>
      <c r="D519" s="160" t="s">
        <v>39</v>
      </c>
      <c r="E519" s="161"/>
      <c r="F519" s="162" t="s">
        <v>40</v>
      </c>
      <c r="G519" s="163"/>
      <c r="H519" s="164"/>
      <c r="I519" s="163"/>
      <c r="J519" s="164"/>
      <c r="K519" s="163"/>
      <c r="L519" s="164"/>
      <c r="M519" s="11"/>
      <c r="N519" s="39"/>
      <c r="Q519" s="15" t="str">
        <f>+CONCATENATE(E519,G519)</f>
        <v/>
      </c>
      <c r="R519" s="15">
        <f>+H519</f>
        <v>0</v>
      </c>
      <c r="S519" s="16"/>
      <c r="T519" s="15">
        <f>+E519</f>
        <v>0</v>
      </c>
      <c r="U519" s="26" t="str">
        <f>IFERROR(LEFT(G519,FIND("*",G519)-1),"-")</f>
        <v>-</v>
      </c>
      <c r="V519" s="26" t="str">
        <f>IFERROR(RIGHT(G519,LEN(G519)-FIND("*",G519)),"-")</f>
        <v>-</v>
      </c>
      <c r="W519" s="27" t="str">
        <f>IFERROR((U519+V519)*2/1000,"-")</f>
        <v>-</v>
      </c>
      <c r="X519" s="27" t="str">
        <f>IFERROR(W519*H519,"-")</f>
        <v>-</v>
      </c>
      <c r="Z519" s="94" t="s">
        <v>81</v>
      </c>
    </row>
    <row r="520" spans="1:26" s="25" customFormat="1" ht="6.95" customHeight="1" x14ac:dyDescent="0.3">
      <c r="A520" s="165"/>
      <c r="B520" s="168"/>
      <c r="C520" s="169"/>
      <c r="D520" s="160"/>
      <c r="E520" s="161"/>
      <c r="F520" s="162"/>
      <c r="G520" s="163"/>
      <c r="H520" s="164"/>
      <c r="I520" s="163"/>
      <c r="J520" s="164"/>
      <c r="K520" s="163"/>
      <c r="L520" s="164"/>
      <c r="M520" s="11"/>
      <c r="N520" s="39"/>
      <c r="Q520" s="15" t="str">
        <f>+CONCATENATE(E519,I519)</f>
        <v/>
      </c>
      <c r="R520" s="15">
        <f>+J519</f>
        <v>0</v>
      </c>
      <c r="S520" s="16"/>
      <c r="T520" s="15">
        <f>+E519</f>
        <v>0</v>
      </c>
      <c r="U520" s="26" t="str">
        <f>IFERROR(LEFT(I519,FIND("*",I519)-1),"-")</f>
        <v>-</v>
      </c>
      <c r="V520" s="26" t="str">
        <f>IFERROR(RIGHT(I519,LEN(I519)-FIND("*",I519)),"-")</f>
        <v>-</v>
      </c>
      <c r="W520" s="27" t="str">
        <f t="shared" ref="W520:W527" si="280">IFERROR((U520+V520)*2/1000,"-")</f>
        <v>-</v>
      </c>
      <c r="X520" s="27" t="str">
        <f>IFERROR(W520*J519,"-")</f>
        <v>-</v>
      </c>
      <c r="Z520" s="94" t="s">
        <v>81</v>
      </c>
    </row>
    <row r="521" spans="1:26" s="25" customFormat="1" ht="6.95" customHeight="1" x14ac:dyDescent="0.3">
      <c r="A521" s="165"/>
      <c r="B521" s="168"/>
      <c r="C521" s="169"/>
      <c r="D521" s="160"/>
      <c r="E521" s="161"/>
      <c r="F521" s="162"/>
      <c r="G521" s="163"/>
      <c r="H521" s="164"/>
      <c r="I521" s="163"/>
      <c r="J521" s="164"/>
      <c r="K521" s="163"/>
      <c r="L521" s="164"/>
      <c r="M521" s="11"/>
      <c r="N521" s="39"/>
      <c r="Q521" s="15" t="str">
        <f>+CONCATENATE(E519,K519)</f>
        <v/>
      </c>
      <c r="R521" s="15">
        <f>+L519</f>
        <v>0</v>
      </c>
      <c r="S521" s="16"/>
      <c r="T521" s="15">
        <f>+E519</f>
        <v>0</v>
      </c>
      <c r="U521" s="26" t="str">
        <f>IFERROR(LEFT(K519,FIND("*",K519)-1),"-")</f>
        <v>-</v>
      </c>
      <c r="V521" s="26" t="str">
        <f>IFERROR(RIGHT(K519,LEN(K519)-FIND("*",K519)),"-")</f>
        <v>-</v>
      </c>
      <c r="W521" s="27" t="str">
        <f t="shared" si="280"/>
        <v>-</v>
      </c>
      <c r="X521" s="27" t="str">
        <f>IFERROR(W521*L519,"-")</f>
        <v>-</v>
      </c>
      <c r="Z521" s="94" t="s">
        <v>81</v>
      </c>
    </row>
    <row r="522" spans="1:26" s="25" customFormat="1" ht="6.95" customHeight="1" x14ac:dyDescent="0.3">
      <c r="A522" s="13"/>
      <c r="B522" s="168"/>
      <c r="C522" s="169"/>
      <c r="D522" s="160" t="s">
        <v>39</v>
      </c>
      <c r="E522" s="161"/>
      <c r="F522" s="162" t="s">
        <v>40</v>
      </c>
      <c r="G522" s="163"/>
      <c r="H522" s="164"/>
      <c r="I522" s="163"/>
      <c r="J522" s="164"/>
      <c r="K522" s="163"/>
      <c r="L522" s="164"/>
      <c r="M522" s="11"/>
      <c r="N522" s="39"/>
      <c r="Q522" s="15" t="str">
        <f>+CONCATENATE(E522,G522)</f>
        <v/>
      </c>
      <c r="R522" s="15">
        <f>+H522</f>
        <v>0</v>
      </c>
      <c r="S522" s="16"/>
      <c r="T522" s="15">
        <f>+E522</f>
        <v>0</v>
      </c>
      <c r="U522" s="26" t="str">
        <f t="shared" ref="U522" si="281">IFERROR(LEFT(G522,FIND("*",G522)-1),"-")</f>
        <v>-</v>
      </c>
      <c r="V522" s="26" t="str">
        <f t="shared" ref="V522" si="282">IFERROR(RIGHT(G522,LEN(G522)-FIND("*",G522)),"-")</f>
        <v>-</v>
      </c>
      <c r="W522" s="27" t="str">
        <f t="shared" si="280"/>
        <v>-</v>
      </c>
      <c r="X522" s="27" t="str">
        <f>IFERROR(W522*H522,"-")</f>
        <v>-</v>
      </c>
      <c r="Z522" s="94" t="s">
        <v>81</v>
      </c>
    </row>
    <row r="523" spans="1:26" s="25" customFormat="1" ht="6.95" customHeight="1" x14ac:dyDescent="0.3">
      <c r="A523" s="10"/>
      <c r="B523" s="168"/>
      <c r="C523" s="169"/>
      <c r="D523" s="160"/>
      <c r="E523" s="161"/>
      <c r="F523" s="162"/>
      <c r="G523" s="163"/>
      <c r="H523" s="164"/>
      <c r="I523" s="163"/>
      <c r="J523" s="164"/>
      <c r="K523" s="163"/>
      <c r="L523" s="164"/>
      <c r="M523" s="11"/>
      <c r="N523" s="39"/>
      <c r="Q523" s="15" t="str">
        <f>+CONCATENATE(E522,I522)</f>
        <v/>
      </c>
      <c r="R523" s="15">
        <f>+J522</f>
        <v>0</v>
      </c>
      <c r="S523" s="16"/>
      <c r="T523" s="15">
        <f>+E522</f>
        <v>0</v>
      </c>
      <c r="U523" s="26" t="str">
        <f>IFERROR(LEFT(I522,FIND("*",I522)-1),"-")</f>
        <v>-</v>
      </c>
      <c r="V523" s="26" t="str">
        <f>IFERROR(RIGHT(I522,LEN(I522)-FIND("*",I522)),"-")</f>
        <v>-</v>
      </c>
      <c r="W523" s="27" t="str">
        <f t="shared" si="280"/>
        <v>-</v>
      </c>
      <c r="X523" s="27" t="str">
        <f>IFERROR(W523*J522,"-")</f>
        <v>-</v>
      </c>
      <c r="Z523" s="94" t="s">
        <v>81</v>
      </c>
    </row>
    <row r="524" spans="1:26" s="25" customFormat="1" ht="6.95" customHeight="1" x14ac:dyDescent="0.3">
      <c r="A524" s="10"/>
      <c r="B524" s="168"/>
      <c r="C524" s="169"/>
      <c r="D524" s="160"/>
      <c r="E524" s="161"/>
      <c r="F524" s="162"/>
      <c r="G524" s="163"/>
      <c r="H524" s="164"/>
      <c r="I524" s="163"/>
      <c r="J524" s="164"/>
      <c r="K524" s="163"/>
      <c r="L524" s="164"/>
      <c r="M524" s="11"/>
      <c r="N524" s="39"/>
      <c r="Q524" s="15" t="str">
        <f>+CONCATENATE(E522,K522)</f>
        <v/>
      </c>
      <c r="R524" s="15">
        <f>+L522</f>
        <v>0</v>
      </c>
      <c r="S524" s="16"/>
      <c r="T524" s="15">
        <f>+E522</f>
        <v>0</v>
      </c>
      <c r="U524" s="26" t="str">
        <f>IFERROR(LEFT(K522,FIND("*",K522)-1),"-")</f>
        <v>-</v>
      </c>
      <c r="V524" s="26" t="str">
        <f>IFERROR(RIGHT(K522,LEN(K522)-FIND("*",K522)),"-")</f>
        <v>-</v>
      </c>
      <c r="W524" s="27" t="str">
        <f t="shared" si="280"/>
        <v>-</v>
      </c>
      <c r="X524" s="27" t="str">
        <f>IFERROR(W524*L522,"-")</f>
        <v>-</v>
      </c>
      <c r="Z524" s="94" t="s">
        <v>81</v>
      </c>
    </row>
    <row r="525" spans="1:26" s="25" customFormat="1" ht="6.95" customHeight="1" x14ac:dyDescent="0.3">
      <c r="A525" s="13"/>
      <c r="B525" s="168"/>
      <c r="C525" s="169"/>
      <c r="D525" s="160" t="s">
        <v>39</v>
      </c>
      <c r="E525" s="161"/>
      <c r="F525" s="162" t="s">
        <v>40</v>
      </c>
      <c r="G525" s="163"/>
      <c r="H525" s="164"/>
      <c r="I525" s="163"/>
      <c r="J525" s="164"/>
      <c r="K525" s="163"/>
      <c r="L525" s="164"/>
      <c r="M525" s="11"/>
      <c r="N525" s="39"/>
      <c r="Q525" s="15" t="str">
        <f>+CONCATENATE(E525,G525)</f>
        <v/>
      </c>
      <c r="R525" s="15">
        <f>+H525</f>
        <v>0</v>
      </c>
      <c r="S525" s="16"/>
      <c r="T525" s="15">
        <f>+E525</f>
        <v>0</v>
      </c>
      <c r="U525" s="26" t="str">
        <f t="shared" ref="U525" si="283">IFERROR(LEFT(G525,FIND("*",G525)-1),"-")</f>
        <v>-</v>
      </c>
      <c r="V525" s="26" t="str">
        <f t="shared" ref="V525" si="284">IFERROR(RIGHT(G525,LEN(G525)-FIND("*",G525)),"-")</f>
        <v>-</v>
      </c>
      <c r="W525" s="27" t="str">
        <f t="shared" si="280"/>
        <v>-</v>
      </c>
      <c r="X525" s="27" t="str">
        <f>IFERROR(W525*H525,"-")</f>
        <v>-</v>
      </c>
      <c r="Z525" s="94" t="s">
        <v>81</v>
      </c>
    </row>
    <row r="526" spans="1:26" s="25" customFormat="1" ht="6.95" customHeight="1" x14ac:dyDescent="0.3">
      <c r="A526" s="10"/>
      <c r="B526" s="168"/>
      <c r="C526" s="169"/>
      <c r="D526" s="160"/>
      <c r="E526" s="161"/>
      <c r="F526" s="162"/>
      <c r="G526" s="163"/>
      <c r="H526" s="164"/>
      <c r="I526" s="163"/>
      <c r="J526" s="164"/>
      <c r="K526" s="163"/>
      <c r="L526" s="164"/>
      <c r="M526" s="11"/>
      <c r="N526" s="39"/>
      <c r="Q526" s="15" t="str">
        <f>+CONCATENATE(E525,I525)</f>
        <v/>
      </c>
      <c r="R526" s="15">
        <f>+J525</f>
        <v>0</v>
      </c>
      <c r="S526" s="16"/>
      <c r="T526" s="15">
        <f>+E525</f>
        <v>0</v>
      </c>
      <c r="U526" s="26" t="str">
        <f>IFERROR(LEFT(I525,FIND("*",I525)-1),"-")</f>
        <v>-</v>
      </c>
      <c r="V526" s="26" t="str">
        <f>IFERROR(RIGHT(I525,LEN(I525)-FIND("*",I525)),"-")</f>
        <v>-</v>
      </c>
      <c r="W526" s="27" t="str">
        <f t="shared" si="280"/>
        <v>-</v>
      </c>
      <c r="X526" s="27" t="str">
        <f t="shared" ref="X526" si="285">IFERROR(W526*J525,"-")</f>
        <v>-</v>
      </c>
      <c r="Z526" s="94" t="s">
        <v>81</v>
      </c>
    </row>
    <row r="527" spans="1:26" s="25" customFormat="1" ht="6.95" customHeight="1" x14ac:dyDescent="0.3">
      <c r="A527" s="10"/>
      <c r="B527" s="168"/>
      <c r="C527" s="169"/>
      <c r="D527" s="160"/>
      <c r="E527" s="161"/>
      <c r="F527" s="162"/>
      <c r="G527" s="163"/>
      <c r="H527" s="164"/>
      <c r="I527" s="163"/>
      <c r="J527" s="164"/>
      <c r="K527" s="163"/>
      <c r="L527" s="164"/>
      <c r="M527" s="11"/>
      <c r="N527" s="39"/>
      <c r="Q527" s="15" t="str">
        <f>+CONCATENATE(E525,K525)</f>
        <v/>
      </c>
      <c r="R527" s="15">
        <f>+L525</f>
        <v>0</v>
      </c>
      <c r="S527" s="16"/>
      <c r="T527" s="15">
        <f>+E525</f>
        <v>0</v>
      </c>
      <c r="U527" s="26" t="str">
        <f>IFERROR(LEFT(K525,FIND("*",K525)-1),"-")</f>
        <v>-</v>
      </c>
      <c r="V527" s="26" t="str">
        <f>IFERROR(RIGHT(K525,LEN(K525)-FIND("*",K525)),"-")</f>
        <v>-</v>
      </c>
      <c r="W527" s="27" t="str">
        <f t="shared" si="280"/>
        <v>-</v>
      </c>
      <c r="X527" s="27" t="str">
        <f>IFERROR(W527*L525,"-")</f>
        <v>-</v>
      </c>
      <c r="Z527" s="94" t="s">
        <v>81</v>
      </c>
    </row>
    <row r="528" spans="1:26" s="25" customFormat="1" ht="21" customHeight="1" thickBot="1" x14ac:dyDescent="0.35">
      <c r="A528" s="10"/>
      <c r="B528" s="170"/>
      <c r="C528" s="171"/>
      <c r="D528" s="172" t="s">
        <v>43</v>
      </c>
      <c r="E528" s="173"/>
      <c r="F528" s="173"/>
      <c r="G528" s="174"/>
      <c r="H528" s="174"/>
      <c r="I528" s="174"/>
      <c r="J528" s="174"/>
      <c r="K528" s="174"/>
      <c r="L528" s="174"/>
      <c r="M528" s="12"/>
      <c r="N528" s="39"/>
      <c r="U528" s="23"/>
      <c r="V528" s="23"/>
      <c r="Z528" s="95" t="s">
        <v>81</v>
      </c>
    </row>
    <row r="529" spans="1:26" s="25" customFormat="1" ht="9.9499999999999993" customHeight="1" thickBot="1" x14ac:dyDescent="0.35">
      <c r="A529" s="6"/>
      <c r="B529" s="14"/>
      <c r="C529" s="119">
        <v>809</v>
      </c>
      <c r="D529" s="58"/>
      <c r="E529" s="17"/>
      <c r="F529" s="58"/>
      <c r="G529" s="19"/>
      <c r="H529" s="19"/>
      <c r="I529" s="19"/>
      <c r="J529" s="19"/>
      <c r="K529" s="19"/>
      <c r="L529" s="19"/>
      <c r="M529" s="14"/>
      <c r="N529" s="39"/>
      <c r="Q529" s="1"/>
      <c r="R529" s="1"/>
      <c r="S529" s="1"/>
      <c r="T529" s="1"/>
      <c r="U529" s="24"/>
      <c r="V529" s="24"/>
      <c r="W529" s="1"/>
      <c r="X529" s="1"/>
      <c r="Z529" s="94" t="s">
        <v>81</v>
      </c>
    </row>
    <row r="530" spans="1:26" s="25" customFormat="1" ht="6.95" customHeight="1" x14ac:dyDescent="0.3">
      <c r="A530" s="165">
        <f>+A519+1</f>
        <v>49</v>
      </c>
      <c r="B530" s="166"/>
      <c r="C530" s="167"/>
      <c r="D530" s="160" t="s">
        <v>39</v>
      </c>
      <c r="E530" s="161"/>
      <c r="F530" s="162" t="s">
        <v>40</v>
      </c>
      <c r="G530" s="163"/>
      <c r="H530" s="164"/>
      <c r="I530" s="163"/>
      <c r="J530" s="164"/>
      <c r="K530" s="163"/>
      <c r="L530" s="164"/>
      <c r="M530" s="11"/>
      <c r="N530" s="39"/>
      <c r="Q530" s="15" t="str">
        <f>+CONCATENATE(E530,G530)</f>
        <v/>
      </c>
      <c r="R530" s="15">
        <f>+H530</f>
        <v>0</v>
      </c>
      <c r="S530" s="16"/>
      <c r="T530" s="15">
        <f>+E530</f>
        <v>0</v>
      </c>
      <c r="U530" s="26" t="str">
        <f>IFERROR(LEFT(G530,FIND("*",G530)-1),"-")</f>
        <v>-</v>
      </c>
      <c r="V530" s="26" t="str">
        <f>IFERROR(RIGHT(G530,LEN(G530)-FIND("*",G530)),"-")</f>
        <v>-</v>
      </c>
      <c r="W530" s="27" t="str">
        <f>IFERROR((U530+V530)*2/1000,"-")</f>
        <v>-</v>
      </c>
      <c r="X530" s="27" t="str">
        <f>IFERROR(W530*H530,"-")</f>
        <v>-</v>
      </c>
      <c r="Z530" s="94" t="s">
        <v>81</v>
      </c>
    </row>
    <row r="531" spans="1:26" s="25" customFormat="1" ht="6.95" customHeight="1" x14ac:dyDescent="0.3">
      <c r="A531" s="165"/>
      <c r="B531" s="168"/>
      <c r="C531" s="169"/>
      <c r="D531" s="160"/>
      <c r="E531" s="161"/>
      <c r="F531" s="162"/>
      <c r="G531" s="163"/>
      <c r="H531" s="164"/>
      <c r="I531" s="163"/>
      <c r="J531" s="164"/>
      <c r="K531" s="163"/>
      <c r="L531" s="164"/>
      <c r="M531" s="11"/>
      <c r="N531" s="39"/>
      <c r="Q531" s="15" t="str">
        <f>+CONCATENATE(E530,I530)</f>
        <v/>
      </c>
      <c r="R531" s="15">
        <f>+J530</f>
        <v>0</v>
      </c>
      <c r="S531" s="16"/>
      <c r="T531" s="15">
        <f>+E530</f>
        <v>0</v>
      </c>
      <c r="U531" s="26" t="str">
        <f>IFERROR(LEFT(I530,FIND("*",I530)-1),"-")</f>
        <v>-</v>
      </c>
      <c r="V531" s="26" t="str">
        <f>IFERROR(RIGHT(I530,LEN(I530)-FIND("*",I530)),"-")</f>
        <v>-</v>
      </c>
      <c r="W531" s="27" t="str">
        <f t="shared" ref="W531:W538" si="286">IFERROR((U531+V531)*2/1000,"-")</f>
        <v>-</v>
      </c>
      <c r="X531" s="27" t="str">
        <f>IFERROR(W531*J530,"-")</f>
        <v>-</v>
      </c>
      <c r="Z531" s="94" t="s">
        <v>81</v>
      </c>
    </row>
    <row r="532" spans="1:26" s="25" customFormat="1" ht="6.95" customHeight="1" x14ac:dyDescent="0.3">
      <c r="A532" s="165"/>
      <c r="B532" s="168"/>
      <c r="C532" s="169"/>
      <c r="D532" s="160"/>
      <c r="E532" s="161"/>
      <c r="F532" s="162"/>
      <c r="G532" s="163"/>
      <c r="H532" s="164"/>
      <c r="I532" s="163"/>
      <c r="J532" s="164"/>
      <c r="K532" s="163"/>
      <c r="L532" s="164"/>
      <c r="M532" s="11"/>
      <c r="N532" s="39"/>
      <c r="Q532" s="15" t="str">
        <f>+CONCATENATE(E530,K530)</f>
        <v/>
      </c>
      <c r="R532" s="15">
        <f>+L530</f>
        <v>0</v>
      </c>
      <c r="S532" s="16"/>
      <c r="T532" s="15">
        <f>+E530</f>
        <v>0</v>
      </c>
      <c r="U532" s="26" t="str">
        <f>IFERROR(LEFT(K530,FIND("*",K530)-1),"-")</f>
        <v>-</v>
      </c>
      <c r="V532" s="26" t="str">
        <f>IFERROR(RIGHT(K530,LEN(K530)-FIND("*",K530)),"-")</f>
        <v>-</v>
      </c>
      <c r="W532" s="27" t="str">
        <f t="shared" si="286"/>
        <v>-</v>
      </c>
      <c r="X532" s="27" t="str">
        <f>IFERROR(W532*L530,"-")</f>
        <v>-</v>
      </c>
      <c r="Z532" s="94" t="s">
        <v>81</v>
      </c>
    </row>
    <row r="533" spans="1:26" s="25" customFormat="1" ht="6.95" customHeight="1" x14ac:dyDescent="0.3">
      <c r="A533" s="13"/>
      <c r="B533" s="168"/>
      <c r="C533" s="169"/>
      <c r="D533" s="160" t="s">
        <v>39</v>
      </c>
      <c r="E533" s="161"/>
      <c r="F533" s="162" t="s">
        <v>40</v>
      </c>
      <c r="G533" s="163"/>
      <c r="H533" s="164"/>
      <c r="I533" s="163"/>
      <c r="J533" s="164"/>
      <c r="K533" s="163"/>
      <c r="L533" s="164"/>
      <c r="M533" s="11"/>
      <c r="N533" s="39"/>
      <c r="Q533" s="15" t="str">
        <f>+CONCATENATE(E533,G533)</f>
        <v/>
      </c>
      <c r="R533" s="15">
        <f>+H533</f>
        <v>0</v>
      </c>
      <c r="S533" s="16"/>
      <c r="T533" s="15">
        <f>+E533</f>
        <v>0</v>
      </c>
      <c r="U533" s="26" t="str">
        <f t="shared" ref="U533" si="287">IFERROR(LEFT(G533,FIND("*",G533)-1),"-")</f>
        <v>-</v>
      </c>
      <c r="V533" s="26" t="str">
        <f t="shared" ref="V533" si="288">IFERROR(RIGHT(G533,LEN(G533)-FIND("*",G533)),"-")</f>
        <v>-</v>
      </c>
      <c r="W533" s="27" t="str">
        <f t="shared" si="286"/>
        <v>-</v>
      </c>
      <c r="X533" s="27" t="str">
        <f>IFERROR(W533*H533,"-")</f>
        <v>-</v>
      </c>
      <c r="Z533" s="94" t="s">
        <v>81</v>
      </c>
    </row>
    <row r="534" spans="1:26" s="25" customFormat="1" ht="6.95" customHeight="1" x14ac:dyDescent="0.3">
      <c r="A534" s="10"/>
      <c r="B534" s="168"/>
      <c r="C534" s="169"/>
      <c r="D534" s="160"/>
      <c r="E534" s="161"/>
      <c r="F534" s="162"/>
      <c r="G534" s="163"/>
      <c r="H534" s="164"/>
      <c r="I534" s="163"/>
      <c r="J534" s="164"/>
      <c r="K534" s="163"/>
      <c r="L534" s="164"/>
      <c r="M534" s="11"/>
      <c r="N534" s="39"/>
      <c r="Q534" s="15" t="str">
        <f>+CONCATENATE(E533,I533)</f>
        <v/>
      </c>
      <c r="R534" s="15">
        <f>+J533</f>
        <v>0</v>
      </c>
      <c r="S534" s="16"/>
      <c r="T534" s="15">
        <f>+E533</f>
        <v>0</v>
      </c>
      <c r="U534" s="26" t="str">
        <f>IFERROR(LEFT(I533,FIND("*",I533)-1),"-")</f>
        <v>-</v>
      </c>
      <c r="V534" s="26" t="str">
        <f>IFERROR(RIGHT(I533,LEN(I533)-FIND("*",I533)),"-")</f>
        <v>-</v>
      </c>
      <c r="W534" s="27" t="str">
        <f t="shared" si="286"/>
        <v>-</v>
      </c>
      <c r="X534" s="27" t="str">
        <f>IFERROR(W534*J533,"-")</f>
        <v>-</v>
      </c>
      <c r="Z534" s="94" t="s">
        <v>81</v>
      </c>
    </row>
    <row r="535" spans="1:26" s="25" customFormat="1" ht="6.95" customHeight="1" x14ac:dyDescent="0.3">
      <c r="A535" s="10"/>
      <c r="B535" s="168"/>
      <c r="C535" s="169"/>
      <c r="D535" s="160"/>
      <c r="E535" s="161"/>
      <c r="F535" s="162"/>
      <c r="G535" s="163"/>
      <c r="H535" s="164"/>
      <c r="I535" s="163"/>
      <c r="J535" s="164"/>
      <c r="K535" s="163"/>
      <c r="L535" s="164"/>
      <c r="M535" s="11"/>
      <c r="N535" s="39"/>
      <c r="Q535" s="15" t="str">
        <f>+CONCATENATE(E533,K533)</f>
        <v/>
      </c>
      <c r="R535" s="15">
        <f>+L533</f>
        <v>0</v>
      </c>
      <c r="S535" s="16"/>
      <c r="T535" s="15">
        <f>+E533</f>
        <v>0</v>
      </c>
      <c r="U535" s="26" t="str">
        <f>IFERROR(LEFT(K533,FIND("*",K533)-1),"-")</f>
        <v>-</v>
      </c>
      <c r="V535" s="26" t="str">
        <f>IFERROR(RIGHT(K533,LEN(K533)-FIND("*",K533)),"-")</f>
        <v>-</v>
      </c>
      <c r="W535" s="27" t="str">
        <f t="shared" si="286"/>
        <v>-</v>
      </c>
      <c r="X535" s="27" t="str">
        <f>IFERROR(W535*L533,"-")</f>
        <v>-</v>
      </c>
      <c r="Z535" s="94" t="s">
        <v>81</v>
      </c>
    </row>
    <row r="536" spans="1:26" s="25" customFormat="1" ht="6.95" customHeight="1" x14ac:dyDescent="0.3">
      <c r="A536" s="13"/>
      <c r="B536" s="168"/>
      <c r="C536" s="169"/>
      <c r="D536" s="160" t="s">
        <v>39</v>
      </c>
      <c r="E536" s="161"/>
      <c r="F536" s="162" t="s">
        <v>40</v>
      </c>
      <c r="G536" s="163"/>
      <c r="H536" s="164"/>
      <c r="I536" s="163"/>
      <c r="J536" s="164"/>
      <c r="K536" s="163"/>
      <c r="L536" s="164"/>
      <c r="M536" s="11"/>
      <c r="N536" s="39"/>
      <c r="Q536" s="15" t="str">
        <f>+CONCATENATE(E536,G536)</f>
        <v/>
      </c>
      <c r="R536" s="15">
        <f>+H536</f>
        <v>0</v>
      </c>
      <c r="S536" s="16"/>
      <c r="T536" s="15">
        <f>+E536</f>
        <v>0</v>
      </c>
      <c r="U536" s="26" t="str">
        <f t="shared" ref="U536" si="289">IFERROR(LEFT(G536,FIND("*",G536)-1),"-")</f>
        <v>-</v>
      </c>
      <c r="V536" s="26" t="str">
        <f t="shared" ref="V536" si="290">IFERROR(RIGHT(G536,LEN(G536)-FIND("*",G536)),"-")</f>
        <v>-</v>
      </c>
      <c r="W536" s="27" t="str">
        <f t="shared" si="286"/>
        <v>-</v>
      </c>
      <c r="X536" s="27" t="str">
        <f>IFERROR(W536*H536,"-")</f>
        <v>-</v>
      </c>
      <c r="Z536" s="94" t="s">
        <v>81</v>
      </c>
    </row>
    <row r="537" spans="1:26" s="25" customFormat="1" ht="6.95" customHeight="1" x14ac:dyDescent="0.3">
      <c r="A537" s="10"/>
      <c r="B537" s="168"/>
      <c r="C537" s="169"/>
      <c r="D537" s="160"/>
      <c r="E537" s="161"/>
      <c r="F537" s="162"/>
      <c r="G537" s="163"/>
      <c r="H537" s="164"/>
      <c r="I537" s="163"/>
      <c r="J537" s="164"/>
      <c r="K537" s="163"/>
      <c r="L537" s="164"/>
      <c r="M537" s="11"/>
      <c r="N537" s="39"/>
      <c r="Q537" s="15" t="str">
        <f>+CONCATENATE(E536,I536)</f>
        <v/>
      </c>
      <c r="R537" s="15">
        <f>+J536</f>
        <v>0</v>
      </c>
      <c r="S537" s="16"/>
      <c r="T537" s="15">
        <f>+E536</f>
        <v>0</v>
      </c>
      <c r="U537" s="26" t="str">
        <f>IFERROR(LEFT(I536,FIND("*",I536)-1),"-")</f>
        <v>-</v>
      </c>
      <c r="V537" s="26" t="str">
        <f>IFERROR(RIGHT(I536,LEN(I536)-FIND("*",I536)),"-")</f>
        <v>-</v>
      </c>
      <c r="W537" s="27" t="str">
        <f t="shared" si="286"/>
        <v>-</v>
      </c>
      <c r="X537" s="27" t="str">
        <f t="shared" ref="X537" si="291">IFERROR(W537*J536,"-")</f>
        <v>-</v>
      </c>
      <c r="Z537" s="94" t="s">
        <v>81</v>
      </c>
    </row>
    <row r="538" spans="1:26" s="25" customFormat="1" ht="6.95" customHeight="1" x14ac:dyDescent="0.3">
      <c r="A538" s="10"/>
      <c r="B538" s="168"/>
      <c r="C538" s="169"/>
      <c r="D538" s="160"/>
      <c r="E538" s="161"/>
      <c r="F538" s="162"/>
      <c r="G538" s="163"/>
      <c r="H538" s="164"/>
      <c r="I538" s="163"/>
      <c r="J538" s="164"/>
      <c r="K538" s="163"/>
      <c r="L538" s="164"/>
      <c r="M538" s="11"/>
      <c r="N538" s="39"/>
      <c r="Q538" s="15" t="str">
        <f>+CONCATENATE(E536,K536)</f>
        <v/>
      </c>
      <c r="R538" s="15">
        <f>+L536</f>
        <v>0</v>
      </c>
      <c r="S538" s="16"/>
      <c r="T538" s="15">
        <f>+E536</f>
        <v>0</v>
      </c>
      <c r="U538" s="26" t="str">
        <f>IFERROR(LEFT(K536,FIND("*",K536)-1),"-")</f>
        <v>-</v>
      </c>
      <c r="V538" s="26" t="str">
        <f>IFERROR(RIGHT(K536,LEN(K536)-FIND("*",K536)),"-")</f>
        <v>-</v>
      </c>
      <c r="W538" s="27" t="str">
        <f t="shared" si="286"/>
        <v>-</v>
      </c>
      <c r="X538" s="27" t="str">
        <f>IFERROR(W538*L536,"-")</f>
        <v>-</v>
      </c>
      <c r="Z538" s="94" t="s">
        <v>81</v>
      </c>
    </row>
    <row r="539" spans="1:26" s="25" customFormat="1" ht="21" customHeight="1" thickBot="1" x14ac:dyDescent="0.35">
      <c r="A539" s="10"/>
      <c r="B539" s="170"/>
      <c r="C539" s="171"/>
      <c r="D539" s="172" t="s">
        <v>43</v>
      </c>
      <c r="E539" s="173"/>
      <c r="F539" s="173"/>
      <c r="G539" s="174"/>
      <c r="H539" s="174"/>
      <c r="I539" s="174"/>
      <c r="J539" s="174"/>
      <c r="K539" s="174"/>
      <c r="L539" s="174"/>
      <c r="M539" s="12"/>
      <c r="N539" s="39"/>
      <c r="U539" s="23"/>
      <c r="V539" s="23"/>
      <c r="Z539" s="95" t="s">
        <v>81</v>
      </c>
    </row>
    <row r="540" spans="1:26" s="25" customFormat="1" ht="9.9499999999999993" customHeight="1" thickBot="1" x14ac:dyDescent="0.35">
      <c r="A540" s="6"/>
      <c r="B540" s="14"/>
      <c r="C540" s="119">
        <v>810</v>
      </c>
      <c r="D540" s="58"/>
      <c r="E540" s="17"/>
      <c r="F540" s="58"/>
      <c r="G540" s="19"/>
      <c r="H540" s="19"/>
      <c r="I540" s="19"/>
      <c r="J540" s="19"/>
      <c r="K540" s="19"/>
      <c r="L540" s="19"/>
      <c r="M540" s="14"/>
      <c r="N540" s="39"/>
      <c r="Q540" s="1"/>
      <c r="R540" s="1"/>
      <c r="S540" s="1"/>
      <c r="T540" s="1"/>
      <c r="U540" s="24"/>
      <c r="V540" s="24"/>
      <c r="W540" s="1"/>
      <c r="X540" s="1"/>
      <c r="Z540" s="94" t="s">
        <v>81</v>
      </c>
    </row>
    <row r="541" spans="1:26" s="25" customFormat="1" ht="6.95" customHeight="1" x14ac:dyDescent="0.3">
      <c r="A541" s="165">
        <f>+A530+1</f>
        <v>50</v>
      </c>
      <c r="B541" s="166"/>
      <c r="C541" s="167"/>
      <c r="D541" s="160" t="s">
        <v>39</v>
      </c>
      <c r="E541" s="161"/>
      <c r="F541" s="162" t="s">
        <v>40</v>
      </c>
      <c r="G541" s="163"/>
      <c r="H541" s="164"/>
      <c r="I541" s="163"/>
      <c r="J541" s="164"/>
      <c r="K541" s="163"/>
      <c r="L541" s="164"/>
      <c r="M541" s="11"/>
      <c r="N541" s="39"/>
      <c r="Q541" s="15" t="str">
        <f>+CONCATENATE(E541,G541)</f>
        <v/>
      </c>
      <c r="R541" s="15">
        <f>+H541</f>
        <v>0</v>
      </c>
      <c r="S541" s="16"/>
      <c r="T541" s="15">
        <f>+E541</f>
        <v>0</v>
      </c>
      <c r="U541" s="26" t="str">
        <f>IFERROR(LEFT(G541,FIND("*",G541)-1),"-")</f>
        <v>-</v>
      </c>
      <c r="V541" s="26" t="str">
        <f>IFERROR(RIGHT(G541,LEN(G541)-FIND("*",G541)),"-")</f>
        <v>-</v>
      </c>
      <c r="W541" s="27" t="str">
        <f>IFERROR((U541+V541)*2/1000,"-")</f>
        <v>-</v>
      </c>
      <c r="X541" s="27" t="str">
        <f>IFERROR(W541*H541,"-")</f>
        <v>-</v>
      </c>
      <c r="Z541" s="94" t="s">
        <v>81</v>
      </c>
    </row>
    <row r="542" spans="1:26" s="25" customFormat="1" ht="6.95" customHeight="1" x14ac:dyDescent="0.3">
      <c r="A542" s="165"/>
      <c r="B542" s="168"/>
      <c r="C542" s="169"/>
      <c r="D542" s="160"/>
      <c r="E542" s="161"/>
      <c r="F542" s="162"/>
      <c r="G542" s="163"/>
      <c r="H542" s="164"/>
      <c r="I542" s="163"/>
      <c r="J542" s="164"/>
      <c r="K542" s="163"/>
      <c r="L542" s="164"/>
      <c r="M542" s="11"/>
      <c r="N542" s="39"/>
      <c r="Q542" s="15" t="str">
        <f>+CONCATENATE(E541,I541)</f>
        <v/>
      </c>
      <c r="R542" s="15">
        <f>+J541</f>
        <v>0</v>
      </c>
      <c r="S542" s="16"/>
      <c r="T542" s="15">
        <f>+E541</f>
        <v>0</v>
      </c>
      <c r="U542" s="26" t="str">
        <f>IFERROR(LEFT(I541,FIND("*",I541)-1),"-")</f>
        <v>-</v>
      </c>
      <c r="V542" s="26" t="str">
        <f>IFERROR(RIGHT(I541,LEN(I541)-FIND("*",I541)),"-")</f>
        <v>-</v>
      </c>
      <c r="W542" s="27" t="str">
        <f t="shared" ref="W542:W549" si="292">IFERROR((U542+V542)*2/1000,"-")</f>
        <v>-</v>
      </c>
      <c r="X542" s="27" t="str">
        <f>IFERROR(W542*J541,"-")</f>
        <v>-</v>
      </c>
      <c r="Z542" s="94" t="s">
        <v>81</v>
      </c>
    </row>
    <row r="543" spans="1:26" s="25" customFormat="1" ht="6.95" customHeight="1" x14ac:dyDescent="0.3">
      <c r="A543" s="165"/>
      <c r="B543" s="168"/>
      <c r="C543" s="169"/>
      <c r="D543" s="160"/>
      <c r="E543" s="161"/>
      <c r="F543" s="162"/>
      <c r="G543" s="163"/>
      <c r="H543" s="164"/>
      <c r="I543" s="163"/>
      <c r="J543" s="164"/>
      <c r="K543" s="163"/>
      <c r="L543" s="164"/>
      <c r="M543" s="11"/>
      <c r="N543" s="39"/>
      <c r="Q543" s="15" t="str">
        <f>+CONCATENATE(E541,K541)</f>
        <v/>
      </c>
      <c r="R543" s="15">
        <f>+L541</f>
        <v>0</v>
      </c>
      <c r="S543" s="16"/>
      <c r="T543" s="15">
        <f>+E541</f>
        <v>0</v>
      </c>
      <c r="U543" s="26" t="str">
        <f>IFERROR(LEFT(K541,FIND("*",K541)-1),"-")</f>
        <v>-</v>
      </c>
      <c r="V543" s="26" t="str">
        <f>IFERROR(RIGHT(K541,LEN(K541)-FIND("*",K541)),"-")</f>
        <v>-</v>
      </c>
      <c r="W543" s="27" t="str">
        <f t="shared" si="292"/>
        <v>-</v>
      </c>
      <c r="X543" s="27" t="str">
        <f>IFERROR(W543*L541,"-")</f>
        <v>-</v>
      </c>
      <c r="Z543" s="94" t="s">
        <v>81</v>
      </c>
    </row>
    <row r="544" spans="1:26" s="25" customFormat="1" ht="6.95" customHeight="1" x14ac:dyDescent="0.3">
      <c r="A544" s="13"/>
      <c r="B544" s="168"/>
      <c r="C544" s="169"/>
      <c r="D544" s="160" t="s">
        <v>39</v>
      </c>
      <c r="E544" s="161"/>
      <c r="F544" s="162" t="s">
        <v>40</v>
      </c>
      <c r="G544" s="163"/>
      <c r="H544" s="164"/>
      <c r="I544" s="163"/>
      <c r="J544" s="164"/>
      <c r="K544" s="163"/>
      <c r="L544" s="164"/>
      <c r="M544" s="11"/>
      <c r="N544" s="39"/>
      <c r="Q544" s="15" t="str">
        <f>+CONCATENATE(E544,G544)</f>
        <v/>
      </c>
      <c r="R544" s="15">
        <f>+H544</f>
        <v>0</v>
      </c>
      <c r="S544" s="16"/>
      <c r="T544" s="15">
        <f>+E544</f>
        <v>0</v>
      </c>
      <c r="U544" s="26" t="str">
        <f t="shared" ref="U544" si="293">IFERROR(LEFT(G544,FIND("*",G544)-1),"-")</f>
        <v>-</v>
      </c>
      <c r="V544" s="26" t="str">
        <f t="shared" ref="V544" si="294">IFERROR(RIGHT(G544,LEN(G544)-FIND("*",G544)),"-")</f>
        <v>-</v>
      </c>
      <c r="W544" s="27" t="str">
        <f t="shared" si="292"/>
        <v>-</v>
      </c>
      <c r="X544" s="27" t="str">
        <f>IFERROR(W544*H544,"-")</f>
        <v>-</v>
      </c>
      <c r="Z544" s="94" t="s">
        <v>81</v>
      </c>
    </row>
    <row r="545" spans="1:26" s="25" customFormat="1" ht="6.95" customHeight="1" x14ac:dyDescent="0.3">
      <c r="A545" s="10"/>
      <c r="B545" s="168"/>
      <c r="C545" s="169"/>
      <c r="D545" s="160"/>
      <c r="E545" s="161"/>
      <c r="F545" s="162"/>
      <c r="G545" s="163"/>
      <c r="H545" s="164"/>
      <c r="I545" s="163"/>
      <c r="J545" s="164"/>
      <c r="K545" s="163"/>
      <c r="L545" s="164"/>
      <c r="M545" s="11"/>
      <c r="N545" s="39"/>
      <c r="Q545" s="15" t="str">
        <f>+CONCATENATE(E544,I544)</f>
        <v/>
      </c>
      <c r="R545" s="15">
        <f>+J544</f>
        <v>0</v>
      </c>
      <c r="S545" s="16"/>
      <c r="T545" s="15">
        <f>+E544</f>
        <v>0</v>
      </c>
      <c r="U545" s="26" t="str">
        <f>IFERROR(LEFT(I544,FIND("*",I544)-1),"-")</f>
        <v>-</v>
      </c>
      <c r="V545" s="26" t="str">
        <f>IFERROR(RIGHT(I544,LEN(I544)-FIND("*",I544)),"-")</f>
        <v>-</v>
      </c>
      <c r="W545" s="27" t="str">
        <f t="shared" si="292"/>
        <v>-</v>
      </c>
      <c r="X545" s="27" t="str">
        <f>IFERROR(W545*J544,"-")</f>
        <v>-</v>
      </c>
      <c r="Z545" s="94" t="s">
        <v>81</v>
      </c>
    </row>
    <row r="546" spans="1:26" s="25" customFormat="1" ht="6.95" customHeight="1" x14ac:dyDescent="0.3">
      <c r="A546" s="10"/>
      <c r="B546" s="168"/>
      <c r="C546" s="169"/>
      <c r="D546" s="160"/>
      <c r="E546" s="161"/>
      <c r="F546" s="162"/>
      <c r="G546" s="163"/>
      <c r="H546" s="164"/>
      <c r="I546" s="163"/>
      <c r="J546" s="164"/>
      <c r="K546" s="163"/>
      <c r="L546" s="164"/>
      <c r="M546" s="11"/>
      <c r="N546" s="39"/>
      <c r="Q546" s="15" t="str">
        <f>+CONCATENATE(E544,K544)</f>
        <v/>
      </c>
      <c r="R546" s="15">
        <f>+L544</f>
        <v>0</v>
      </c>
      <c r="S546" s="16"/>
      <c r="T546" s="15">
        <f>+E544</f>
        <v>0</v>
      </c>
      <c r="U546" s="26" t="str">
        <f>IFERROR(LEFT(K544,FIND("*",K544)-1),"-")</f>
        <v>-</v>
      </c>
      <c r="V546" s="26" t="str">
        <f>IFERROR(RIGHT(K544,LEN(K544)-FIND("*",K544)),"-")</f>
        <v>-</v>
      </c>
      <c r="W546" s="27" t="str">
        <f t="shared" si="292"/>
        <v>-</v>
      </c>
      <c r="X546" s="27" t="str">
        <f>IFERROR(W546*L544,"-")</f>
        <v>-</v>
      </c>
      <c r="Z546" s="94" t="s">
        <v>81</v>
      </c>
    </row>
    <row r="547" spans="1:26" s="25" customFormat="1" ht="6.95" customHeight="1" x14ac:dyDescent="0.3">
      <c r="A547" s="13"/>
      <c r="B547" s="168"/>
      <c r="C547" s="169"/>
      <c r="D547" s="160" t="s">
        <v>39</v>
      </c>
      <c r="E547" s="161"/>
      <c r="F547" s="162" t="s">
        <v>40</v>
      </c>
      <c r="G547" s="163"/>
      <c r="H547" s="164"/>
      <c r="I547" s="163"/>
      <c r="J547" s="164"/>
      <c r="K547" s="163"/>
      <c r="L547" s="164"/>
      <c r="M547" s="11"/>
      <c r="N547" s="39"/>
      <c r="Q547" s="15" t="str">
        <f>+CONCATENATE(E547,G547)</f>
        <v/>
      </c>
      <c r="R547" s="15">
        <f>+H547</f>
        <v>0</v>
      </c>
      <c r="S547" s="16"/>
      <c r="T547" s="15">
        <f>+E547</f>
        <v>0</v>
      </c>
      <c r="U547" s="26" t="str">
        <f t="shared" ref="U547" si="295">IFERROR(LEFT(G547,FIND("*",G547)-1),"-")</f>
        <v>-</v>
      </c>
      <c r="V547" s="26" t="str">
        <f t="shared" ref="V547" si="296">IFERROR(RIGHT(G547,LEN(G547)-FIND("*",G547)),"-")</f>
        <v>-</v>
      </c>
      <c r="W547" s="27" t="str">
        <f t="shared" si="292"/>
        <v>-</v>
      </c>
      <c r="X547" s="27" t="str">
        <f>IFERROR(W547*H547,"-")</f>
        <v>-</v>
      </c>
      <c r="Z547" s="94" t="s">
        <v>81</v>
      </c>
    </row>
    <row r="548" spans="1:26" s="25" customFormat="1" ht="6.95" customHeight="1" x14ac:dyDescent="0.3">
      <c r="A548" s="10"/>
      <c r="B548" s="168"/>
      <c r="C548" s="169"/>
      <c r="D548" s="160"/>
      <c r="E548" s="161"/>
      <c r="F548" s="162"/>
      <c r="G548" s="163"/>
      <c r="H548" s="164"/>
      <c r="I548" s="163"/>
      <c r="J548" s="164"/>
      <c r="K548" s="163"/>
      <c r="L548" s="164"/>
      <c r="M548" s="11"/>
      <c r="N548" s="39"/>
      <c r="Q548" s="15" t="str">
        <f>+CONCATENATE(E547,I547)</f>
        <v/>
      </c>
      <c r="R548" s="15">
        <f>+J547</f>
        <v>0</v>
      </c>
      <c r="S548" s="16"/>
      <c r="T548" s="15">
        <f>+E547</f>
        <v>0</v>
      </c>
      <c r="U548" s="26" t="str">
        <f>IFERROR(LEFT(I547,FIND("*",I547)-1),"-")</f>
        <v>-</v>
      </c>
      <c r="V548" s="26" t="str">
        <f>IFERROR(RIGHT(I547,LEN(I547)-FIND("*",I547)),"-")</f>
        <v>-</v>
      </c>
      <c r="W548" s="27" t="str">
        <f t="shared" si="292"/>
        <v>-</v>
      </c>
      <c r="X548" s="27" t="str">
        <f t="shared" ref="X548" si="297">IFERROR(W548*J547,"-")</f>
        <v>-</v>
      </c>
      <c r="Z548" s="94" t="s">
        <v>81</v>
      </c>
    </row>
    <row r="549" spans="1:26" s="25" customFormat="1" ht="6.95" customHeight="1" x14ac:dyDescent="0.3">
      <c r="A549" s="10"/>
      <c r="B549" s="168"/>
      <c r="C549" s="169"/>
      <c r="D549" s="160"/>
      <c r="E549" s="161"/>
      <c r="F549" s="162"/>
      <c r="G549" s="163"/>
      <c r="H549" s="164"/>
      <c r="I549" s="163"/>
      <c r="J549" s="164"/>
      <c r="K549" s="163"/>
      <c r="L549" s="164"/>
      <c r="M549" s="11"/>
      <c r="N549" s="39"/>
      <c r="Q549" s="15" t="str">
        <f>+CONCATENATE(E547,K547)</f>
        <v/>
      </c>
      <c r="R549" s="15">
        <f>+L547</f>
        <v>0</v>
      </c>
      <c r="S549" s="16"/>
      <c r="T549" s="15">
        <f>+E547</f>
        <v>0</v>
      </c>
      <c r="U549" s="26" t="str">
        <f>IFERROR(LEFT(K547,FIND("*",K547)-1),"-")</f>
        <v>-</v>
      </c>
      <c r="V549" s="26" t="str">
        <f>IFERROR(RIGHT(K547,LEN(K547)-FIND("*",K547)),"-")</f>
        <v>-</v>
      </c>
      <c r="W549" s="27" t="str">
        <f t="shared" si="292"/>
        <v>-</v>
      </c>
      <c r="X549" s="27" t="str">
        <f>IFERROR(W549*L547,"-")</f>
        <v>-</v>
      </c>
      <c r="Z549" s="94" t="s">
        <v>81</v>
      </c>
    </row>
    <row r="550" spans="1:26" s="25" customFormat="1" ht="21" customHeight="1" thickBot="1" x14ac:dyDescent="0.35">
      <c r="A550" s="10"/>
      <c r="B550" s="170"/>
      <c r="C550" s="171"/>
      <c r="D550" s="172" t="s">
        <v>43</v>
      </c>
      <c r="E550" s="173"/>
      <c r="F550" s="173"/>
      <c r="G550" s="174"/>
      <c r="H550" s="174"/>
      <c r="I550" s="174"/>
      <c r="J550" s="174"/>
      <c r="K550" s="174"/>
      <c r="L550" s="174"/>
      <c r="M550" s="12"/>
      <c r="N550" s="39"/>
      <c r="U550" s="23"/>
      <c r="V550" s="23"/>
      <c r="Z550" s="95" t="s">
        <v>81</v>
      </c>
    </row>
    <row r="551" spans="1:26" s="25" customFormat="1" ht="9.9499999999999993" customHeight="1" thickBot="1" x14ac:dyDescent="0.35">
      <c r="A551" s="6"/>
      <c r="B551" s="14"/>
      <c r="C551" s="119">
        <v>811</v>
      </c>
      <c r="D551" s="58"/>
      <c r="E551" s="17"/>
      <c r="F551" s="58"/>
      <c r="G551" s="19"/>
      <c r="H551" s="19"/>
      <c r="I551" s="19"/>
      <c r="J551" s="19"/>
      <c r="K551" s="19"/>
      <c r="L551" s="19"/>
      <c r="M551" s="14"/>
      <c r="N551" s="39"/>
      <c r="Q551" s="1"/>
      <c r="R551" s="1"/>
      <c r="S551" s="1"/>
      <c r="T551" s="1"/>
      <c r="U551" s="24"/>
      <c r="V551" s="24"/>
      <c r="W551" s="1"/>
      <c r="X551" s="1"/>
      <c r="Z551" s="94" t="s">
        <v>81</v>
      </c>
    </row>
    <row r="552" spans="1:26" s="25" customFormat="1" ht="6.95" customHeight="1" x14ac:dyDescent="0.3">
      <c r="A552" s="165">
        <f>+A541+1</f>
        <v>51</v>
      </c>
      <c r="B552" s="166"/>
      <c r="C552" s="167"/>
      <c r="D552" s="160" t="s">
        <v>39</v>
      </c>
      <c r="E552" s="161"/>
      <c r="F552" s="162" t="s">
        <v>40</v>
      </c>
      <c r="G552" s="163"/>
      <c r="H552" s="164"/>
      <c r="I552" s="163"/>
      <c r="J552" s="164"/>
      <c r="K552" s="163"/>
      <c r="L552" s="164"/>
      <c r="M552" s="11"/>
      <c r="N552" s="39"/>
      <c r="Q552" s="15" t="str">
        <f>+CONCATENATE(E552,G552)</f>
        <v/>
      </c>
      <c r="R552" s="15">
        <f>+H552</f>
        <v>0</v>
      </c>
      <c r="S552" s="16"/>
      <c r="T552" s="15">
        <f>+E552</f>
        <v>0</v>
      </c>
      <c r="U552" s="26" t="str">
        <f>IFERROR(LEFT(G552,FIND("*",G552)-1),"-")</f>
        <v>-</v>
      </c>
      <c r="V552" s="26" t="str">
        <f>IFERROR(RIGHT(G552,LEN(G552)-FIND("*",G552)),"-")</f>
        <v>-</v>
      </c>
      <c r="W552" s="27" t="str">
        <f>IFERROR((U552+V552)*2/1000,"-")</f>
        <v>-</v>
      </c>
      <c r="X552" s="27" t="str">
        <f>IFERROR(W552*H552,"-")</f>
        <v>-</v>
      </c>
      <c r="Z552" s="94" t="s">
        <v>81</v>
      </c>
    </row>
    <row r="553" spans="1:26" s="25" customFormat="1" ht="6.95" customHeight="1" x14ac:dyDescent="0.3">
      <c r="A553" s="165"/>
      <c r="B553" s="168"/>
      <c r="C553" s="169"/>
      <c r="D553" s="160"/>
      <c r="E553" s="161"/>
      <c r="F553" s="162"/>
      <c r="G553" s="163"/>
      <c r="H553" s="164"/>
      <c r="I553" s="163"/>
      <c r="J553" s="164"/>
      <c r="K553" s="163"/>
      <c r="L553" s="164"/>
      <c r="M553" s="11"/>
      <c r="N553" s="39"/>
      <c r="Q553" s="15" t="str">
        <f>+CONCATENATE(E552,I552)</f>
        <v/>
      </c>
      <c r="R553" s="15">
        <f>+J552</f>
        <v>0</v>
      </c>
      <c r="S553" s="16"/>
      <c r="T553" s="15">
        <f>+E552</f>
        <v>0</v>
      </c>
      <c r="U553" s="26" t="str">
        <f>IFERROR(LEFT(I552,FIND("*",I552)-1),"-")</f>
        <v>-</v>
      </c>
      <c r="V553" s="26" t="str">
        <f>IFERROR(RIGHT(I552,LEN(I552)-FIND("*",I552)),"-")</f>
        <v>-</v>
      </c>
      <c r="W553" s="27" t="str">
        <f t="shared" ref="W553:W560" si="298">IFERROR((U553+V553)*2/1000,"-")</f>
        <v>-</v>
      </c>
      <c r="X553" s="27" t="str">
        <f>IFERROR(W553*J552,"-")</f>
        <v>-</v>
      </c>
      <c r="Z553" s="94" t="s">
        <v>81</v>
      </c>
    </row>
    <row r="554" spans="1:26" s="25" customFormat="1" ht="6.95" customHeight="1" x14ac:dyDescent="0.3">
      <c r="A554" s="165"/>
      <c r="B554" s="168"/>
      <c r="C554" s="169"/>
      <c r="D554" s="160"/>
      <c r="E554" s="161"/>
      <c r="F554" s="162"/>
      <c r="G554" s="163"/>
      <c r="H554" s="164"/>
      <c r="I554" s="163"/>
      <c r="J554" s="164"/>
      <c r="K554" s="163"/>
      <c r="L554" s="164"/>
      <c r="M554" s="11"/>
      <c r="N554" s="39"/>
      <c r="Q554" s="15" t="str">
        <f>+CONCATENATE(E552,K552)</f>
        <v/>
      </c>
      <c r="R554" s="15">
        <f>+L552</f>
        <v>0</v>
      </c>
      <c r="S554" s="16"/>
      <c r="T554" s="15">
        <f>+E552</f>
        <v>0</v>
      </c>
      <c r="U554" s="26" t="str">
        <f>IFERROR(LEFT(K552,FIND("*",K552)-1),"-")</f>
        <v>-</v>
      </c>
      <c r="V554" s="26" t="str">
        <f>IFERROR(RIGHT(K552,LEN(K552)-FIND("*",K552)),"-")</f>
        <v>-</v>
      </c>
      <c r="W554" s="27" t="str">
        <f t="shared" si="298"/>
        <v>-</v>
      </c>
      <c r="X554" s="27" t="str">
        <f>IFERROR(W554*L552,"-")</f>
        <v>-</v>
      </c>
      <c r="Z554" s="94" t="s">
        <v>81</v>
      </c>
    </row>
    <row r="555" spans="1:26" s="25" customFormat="1" ht="6.95" customHeight="1" x14ac:dyDescent="0.3">
      <c r="A555" s="13"/>
      <c r="B555" s="168"/>
      <c r="C555" s="169"/>
      <c r="D555" s="160" t="s">
        <v>39</v>
      </c>
      <c r="E555" s="161"/>
      <c r="F555" s="162" t="s">
        <v>40</v>
      </c>
      <c r="G555" s="163"/>
      <c r="H555" s="164"/>
      <c r="I555" s="163"/>
      <c r="J555" s="164"/>
      <c r="K555" s="163"/>
      <c r="L555" s="164"/>
      <c r="M555" s="11"/>
      <c r="N555" s="39"/>
      <c r="Q555" s="15" t="str">
        <f>+CONCATENATE(E555,G555)</f>
        <v/>
      </c>
      <c r="R555" s="15">
        <f>+H555</f>
        <v>0</v>
      </c>
      <c r="S555" s="16"/>
      <c r="T555" s="15">
        <f>+E555</f>
        <v>0</v>
      </c>
      <c r="U555" s="26" t="str">
        <f t="shared" ref="U555" si="299">IFERROR(LEFT(G555,FIND("*",G555)-1),"-")</f>
        <v>-</v>
      </c>
      <c r="V555" s="26" t="str">
        <f t="shared" ref="V555" si="300">IFERROR(RIGHT(G555,LEN(G555)-FIND("*",G555)),"-")</f>
        <v>-</v>
      </c>
      <c r="W555" s="27" t="str">
        <f t="shared" si="298"/>
        <v>-</v>
      </c>
      <c r="X555" s="27" t="str">
        <f>IFERROR(W555*H555,"-")</f>
        <v>-</v>
      </c>
      <c r="Z555" s="94" t="s">
        <v>81</v>
      </c>
    </row>
    <row r="556" spans="1:26" s="25" customFormat="1" ht="6.95" customHeight="1" x14ac:dyDescent="0.3">
      <c r="A556" s="10"/>
      <c r="B556" s="168"/>
      <c r="C556" s="169"/>
      <c r="D556" s="160"/>
      <c r="E556" s="161"/>
      <c r="F556" s="162"/>
      <c r="G556" s="163"/>
      <c r="H556" s="164"/>
      <c r="I556" s="163"/>
      <c r="J556" s="164"/>
      <c r="K556" s="163"/>
      <c r="L556" s="164"/>
      <c r="M556" s="11"/>
      <c r="N556" s="39"/>
      <c r="Q556" s="15" t="str">
        <f>+CONCATENATE(E555,I555)</f>
        <v/>
      </c>
      <c r="R556" s="15">
        <f>+J555</f>
        <v>0</v>
      </c>
      <c r="S556" s="16"/>
      <c r="T556" s="15">
        <f>+E555</f>
        <v>0</v>
      </c>
      <c r="U556" s="26" t="str">
        <f>IFERROR(LEFT(I555,FIND("*",I555)-1),"-")</f>
        <v>-</v>
      </c>
      <c r="V556" s="26" t="str">
        <f>IFERROR(RIGHT(I555,LEN(I555)-FIND("*",I555)),"-")</f>
        <v>-</v>
      </c>
      <c r="W556" s="27" t="str">
        <f t="shared" si="298"/>
        <v>-</v>
      </c>
      <c r="X556" s="27" t="str">
        <f>IFERROR(W556*J555,"-")</f>
        <v>-</v>
      </c>
      <c r="Z556" s="94" t="s">
        <v>81</v>
      </c>
    </row>
    <row r="557" spans="1:26" s="25" customFormat="1" ht="6.95" customHeight="1" x14ac:dyDescent="0.3">
      <c r="A557" s="10"/>
      <c r="B557" s="168"/>
      <c r="C557" s="169"/>
      <c r="D557" s="160"/>
      <c r="E557" s="161"/>
      <c r="F557" s="162"/>
      <c r="G557" s="163"/>
      <c r="H557" s="164"/>
      <c r="I557" s="163"/>
      <c r="J557" s="164"/>
      <c r="K557" s="163"/>
      <c r="L557" s="164"/>
      <c r="M557" s="11"/>
      <c r="N557" s="39"/>
      <c r="Q557" s="15" t="str">
        <f>+CONCATENATE(E555,K555)</f>
        <v/>
      </c>
      <c r="R557" s="15">
        <f>+L555</f>
        <v>0</v>
      </c>
      <c r="S557" s="16"/>
      <c r="T557" s="15">
        <f>+E555</f>
        <v>0</v>
      </c>
      <c r="U557" s="26" t="str">
        <f>IFERROR(LEFT(K555,FIND("*",K555)-1),"-")</f>
        <v>-</v>
      </c>
      <c r="V557" s="26" t="str">
        <f>IFERROR(RIGHT(K555,LEN(K555)-FIND("*",K555)),"-")</f>
        <v>-</v>
      </c>
      <c r="W557" s="27" t="str">
        <f t="shared" si="298"/>
        <v>-</v>
      </c>
      <c r="X557" s="27" t="str">
        <f>IFERROR(W557*L555,"-")</f>
        <v>-</v>
      </c>
      <c r="Z557" s="94" t="s">
        <v>81</v>
      </c>
    </row>
    <row r="558" spans="1:26" s="25" customFormat="1" ht="6.95" customHeight="1" x14ac:dyDescent="0.3">
      <c r="A558" s="13"/>
      <c r="B558" s="168"/>
      <c r="C558" s="169"/>
      <c r="D558" s="160" t="s">
        <v>39</v>
      </c>
      <c r="E558" s="161"/>
      <c r="F558" s="162" t="s">
        <v>40</v>
      </c>
      <c r="G558" s="163"/>
      <c r="H558" s="164"/>
      <c r="I558" s="163"/>
      <c r="J558" s="164"/>
      <c r="K558" s="163"/>
      <c r="L558" s="164"/>
      <c r="M558" s="11"/>
      <c r="N558" s="39"/>
      <c r="Q558" s="15" t="str">
        <f>+CONCATENATE(E558,G558)</f>
        <v/>
      </c>
      <c r="R558" s="15">
        <f>+H558</f>
        <v>0</v>
      </c>
      <c r="S558" s="16"/>
      <c r="T558" s="15">
        <f>+E558</f>
        <v>0</v>
      </c>
      <c r="U558" s="26" t="str">
        <f t="shared" ref="U558" si="301">IFERROR(LEFT(G558,FIND("*",G558)-1),"-")</f>
        <v>-</v>
      </c>
      <c r="V558" s="26" t="str">
        <f t="shared" ref="V558" si="302">IFERROR(RIGHT(G558,LEN(G558)-FIND("*",G558)),"-")</f>
        <v>-</v>
      </c>
      <c r="W558" s="27" t="str">
        <f t="shared" si="298"/>
        <v>-</v>
      </c>
      <c r="X558" s="27" t="str">
        <f>IFERROR(W558*H558,"-")</f>
        <v>-</v>
      </c>
      <c r="Z558" s="94" t="s">
        <v>81</v>
      </c>
    </row>
    <row r="559" spans="1:26" s="25" customFormat="1" ht="6.95" customHeight="1" x14ac:dyDescent="0.3">
      <c r="A559" s="10"/>
      <c r="B559" s="168"/>
      <c r="C559" s="169"/>
      <c r="D559" s="160"/>
      <c r="E559" s="161"/>
      <c r="F559" s="162"/>
      <c r="G559" s="163"/>
      <c r="H559" s="164"/>
      <c r="I559" s="163"/>
      <c r="J559" s="164"/>
      <c r="K559" s="163"/>
      <c r="L559" s="164"/>
      <c r="M559" s="11"/>
      <c r="N559" s="39"/>
      <c r="Q559" s="15" t="str">
        <f>+CONCATENATE(E558,I558)</f>
        <v/>
      </c>
      <c r="R559" s="15">
        <f>+J558</f>
        <v>0</v>
      </c>
      <c r="S559" s="16"/>
      <c r="T559" s="15">
        <f>+E558</f>
        <v>0</v>
      </c>
      <c r="U559" s="26" t="str">
        <f>IFERROR(LEFT(I558,FIND("*",I558)-1),"-")</f>
        <v>-</v>
      </c>
      <c r="V559" s="26" t="str">
        <f>IFERROR(RIGHT(I558,LEN(I558)-FIND("*",I558)),"-")</f>
        <v>-</v>
      </c>
      <c r="W559" s="27" t="str">
        <f t="shared" si="298"/>
        <v>-</v>
      </c>
      <c r="X559" s="27" t="str">
        <f t="shared" ref="X559" si="303">IFERROR(W559*J558,"-")</f>
        <v>-</v>
      </c>
      <c r="Z559" s="94" t="s">
        <v>81</v>
      </c>
    </row>
    <row r="560" spans="1:26" s="25" customFormat="1" ht="6.95" customHeight="1" x14ac:dyDescent="0.3">
      <c r="A560" s="10"/>
      <c r="B560" s="168"/>
      <c r="C560" s="169"/>
      <c r="D560" s="160"/>
      <c r="E560" s="161"/>
      <c r="F560" s="162"/>
      <c r="G560" s="163"/>
      <c r="H560" s="164"/>
      <c r="I560" s="163"/>
      <c r="J560" s="164"/>
      <c r="K560" s="163"/>
      <c r="L560" s="164"/>
      <c r="M560" s="11"/>
      <c r="N560" s="39"/>
      <c r="Q560" s="15" t="str">
        <f>+CONCATENATE(E558,K558)</f>
        <v/>
      </c>
      <c r="R560" s="15">
        <f>+L558</f>
        <v>0</v>
      </c>
      <c r="S560" s="16"/>
      <c r="T560" s="15">
        <f>+E558</f>
        <v>0</v>
      </c>
      <c r="U560" s="26" t="str">
        <f>IFERROR(LEFT(K558,FIND("*",K558)-1),"-")</f>
        <v>-</v>
      </c>
      <c r="V560" s="26" t="str">
        <f>IFERROR(RIGHT(K558,LEN(K558)-FIND("*",K558)),"-")</f>
        <v>-</v>
      </c>
      <c r="W560" s="27" t="str">
        <f t="shared" si="298"/>
        <v>-</v>
      </c>
      <c r="X560" s="27" t="str">
        <f>IFERROR(W560*L558,"-")</f>
        <v>-</v>
      </c>
      <c r="Z560" s="94" t="s">
        <v>81</v>
      </c>
    </row>
    <row r="561" spans="1:26" s="25" customFormat="1" ht="21" customHeight="1" thickBot="1" x14ac:dyDescent="0.35">
      <c r="A561" s="10"/>
      <c r="B561" s="170"/>
      <c r="C561" s="171"/>
      <c r="D561" s="172" t="s">
        <v>43</v>
      </c>
      <c r="E561" s="173"/>
      <c r="F561" s="173"/>
      <c r="G561" s="174"/>
      <c r="H561" s="174"/>
      <c r="I561" s="174"/>
      <c r="J561" s="174"/>
      <c r="K561" s="174"/>
      <c r="L561" s="174"/>
      <c r="M561" s="12"/>
      <c r="N561" s="39"/>
      <c r="U561" s="23"/>
      <c r="V561" s="23"/>
      <c r="Z561" s="95" t="s">
        <v>81</v>
      </c>
    </row>
    <row r="562" spans="1:26" s="25" customFormat="1" ht="9.9499999999999993" customHeight="1" thickBot="1" x14ac:dyDescent="0.35">
      <c r="A562" s="6"/>
      <c r="B562" s="14"/>
      <c r="C562" s="119">
        <v>812</v>
      </c>
      <c r="D562" s="58"/>
      <c r="E562" s="17"/>
      <c r="F562" s="58"/>
      <c r="G562" s="19"/>
      <c r="H562" s="19"/>
      <c r="I562" s="19"/>
      <c r="J562" s="19"/>
      <c r="K562" s="19"/>
      <c r="L562" s="19"/>
      <c r="M562" s="14"/>
      <c r="N562" s="39"/>
      <c r="Q562" s="1"/>
      <c r="R562" s="1"/>
      <c r="S562" s="1"/>
      <c r="T562" s="1"/>
      <c r="U562" s="24"/>
      <c r="V562" s="24"/>
      <c r="W562" s="1"/>
      <c r="X562" s="1"/>
      <c r="Z562" s="94" t="s">
        <v>81</v>
      </c>
    </row>
    <row r="563" spans="1:26" s="25" customFormat="1" ht="6.95" customHeight="1" x14ac:dyDescent="0.3">
      <c r="A563" s="165">
        <f>+A552+1</f>
        <v>52</v>
      </c>
      <c r="B563" s="166"/>
      <c r="C563" s="167"/>
      <c r="D563" s="160" t="s">
        <v>39</v>
      </c>
      <c r="E563" s="161"/>
      <c r="F563" s="162" t="s">
        <v>40</v>
      </c>
      <c r="G563" s="163"/>
      <c r="H563" s="164"/>
      <c r="I563" s="163"/>
      <c r="J563" s="164"/>
      <c r="K563" s="163"/>
      <c r="L563" s="164"/>
      <c r="M563" s="11"/>
      <c r="N563" s="39"/>
      <c r="Q563" s="15" t="str">
        <f>+CONCATENATE(E563,G563)</f>
        <v/>
      </c>
      <c r="R563" s="15">
        <f>+H563</f>
        <v>0</v>
      </c>
      <c r="S563" s="16"/>
      <c r="T563" s="15">
        <f>+E563</f>
        <v>0</v>
      </c>
      <c r="U563" s="26" t="str">
        <f>IFERROR(LEFT(G563,FIND("*",G563)-1),"-")</f>
        <v>-</v>
      </c>
      <c r="V563" s="26" t="str">
        <f>IFERROR(RIGHT(G563,LEN(G563)-FIND("*",G563)),"-")</f>
        <v>-</v>
      </c>
      <c r="W563" s="27" t="str">
        <f>IFERROR((U563+V563)*2/1000,"-")</f>
        <v>-</v>
      </c>
      <c r="X563" s="27" t="str">
        <f>IFERROR(W563*H563,"-")</f>
        <v>-</v>
      </c>
      <c r="Z563" s="94" t="s">
        <v>81</v>
      </c>
    </row>
    <row r="564" spans="1:26" s="25" customFormat="1" ht="6.95" customHeight="1" x14ac:dyDescent="0.3">
      <c r="A564" s="165"/>
      <c r="B564" s="168"/>
      <c r="C564" s="169"/>
      <c r="D564" s="160"/>
      <c r="E564" s="161"/>
      <c r="F564" s="162"/>
      <c r="G564" s="163"/>
      <c r="H564" s="164"/>
      <c r="I564" s="163"/>
      <c r="J564" s="164"/>
      <c r="K564" s="163"/>
      <c r="L564" s="164"/>
      <c r="M564" s="11"/>
      <c r="N564" s="39"/>
      <c r="Q564" s="15" t="str">
        <f>+CONCATENATE(E563,I563)</f>
        <v/>
      </c>
      <c r="R564" s="15">
        <f>+J563</f>
        <v>0</v>
      </c>
      <c r="S564" s="16"/>
      <c r="T564" s="15">
        <f>+E563</f>
        <v>0</v>
      </c>
      <c r="U564" s="26" t="str">
        <f>IFERROR(LEFT(I563,FIND("*",I563)-1),"-")</f>
        <v>-</v>
      </c>
      <c r="V564" s="26" t="str">
        <f>IFERROR(RIGHT(I563,LEN(I563)-FIND("*",I563)),"-")</f>
        <v>-</v>
      </c>
      <c r="W564" s="27" t="str">
        <f t="shared" ref="W564:W571" si="304">IFERROR((U564+V564)*2/1000,"-")</f>
        <v>-</v>
      </c>
      <c r="X564" s="27" t="str">
        <f>IFERROR(W564*J563,"-")</f>
        <v>-</v>
      </c>
      <c r="Z564" s="94" t="s">
        <v>81</v>
      </c>
    </row>
    <row r="565" spans="1:26" s="25" customFormat="1" ht="6.95" customHeight="1" x14ac:dyDescent="0.3">
      <c r="A565" s="165"/>
      <c r="B565" s="168"/>
      <c r="C565" s="169"/>
      <c r="D565" s="160"/>
      <c r="E565" s="161"/>
      <c r="F565" s="162"/>
      <c r="G565" s="163"/>
      <c r="H565" s="164"/>
      <c r="I565" s="163"/>
      <c r="J565" s="164"/>
      <c r="K565" s="163"/>
      <c r="L565" s="164"/>
      <c r="M565" s="11"/>
      <c r="N565" s="39"/>
      <c r="Q565" s="15" t="str">
        <f>+CONCATENATE(E563,K563)</f>
        <v/>
      </c>
      <c r="R565" s="15">
        <f>+L563</f>
        <v>0</v>
      </c>
      <c r="S565" s="16"/>
      <c r="T565" s="15">
        <f>+E563</f>
        <v>0</v>
      </c>
      <c r="U565" s="26" t="str">
        <f>IFERROR(LEFT(K563,FIND("*",K563)-1),"-")</f>
        <v>-</v>
      </c>
      <c r="V565" s="26" t="str">
        <f>IFERROR(RIGHT(K563,LEN(K563)-FIND("*",K563)),"-")</f>
        <v>-</v>
      </c>
      <c r="W565" s="27" t="str">
        <f t="shared" si="304"/>
        <v>-</v>
      </c>
      <c r="X565" s="27" t="str">
        <f>IFERROR(W565*L563,"-")</f>
        <v>-</v>
      </c>
      <c r="Z565" s="94" t="s">
        <v>81</v>
      </c>
    </row>
    <row r="566" spans="1:26" s="25" customFormat="1" ht="6.95" customHeight="1" x14ac:dyDescent="0.3">
      <c r="A566" s="13"/>
      <c r="B566" s="168"/>
      <c r="C566" s="169"/>
      <c r="D566" s="160" t="s">
        <v>39</v>
      </c>
      <c r="E566" s="161"/>
      <c r="F566" s="162" t="s">
        <v>40</v>
      </c>
      <c r="G566" s="163"/>
      <c r="H566" s="164"/>
      <c r="I566" s="163"/>
      <c r="J566" s="164"/>
      <c r="K566" s="163"/>
      <c r="L566" s="164"/>
      <c r="M566" s="11"/>
      <c r="N566" s="39"/>
      <c r="Q566" s="15" t="str">
        <f>+CONCATENATE(E566,G566)</f>
        <v/>
      </c>
      <c r="R566" s="15">
        <f>+H566</f>
        <v>0</v>
      </c>
      <c r="S566" s="16"/>
      <c r="T566" s="15">
        <f>+E566</f>
        <v>0</v>
      </c>
      <c r="U566" s="26" t="str">
        <f t="shared" ref="U566" si="305">IFERROR(LEFT(G566,FIND("*",G566)-1),"-")</f>
        <v>-</v>
      </c>
      <c r="V566" s="26" t="str">
        <f t="shared" ref="V566" si="306">IFERROR(RIGHT(G566,LEN(G566)-FIND("*",G566)),"-")</f>
        <v>-</v>
      </c>
      <c r="W566" s="27" t="str">
        <f t="shared" si="304"/>
        <v>-</v>
      </c>
      <c r="X566" s="27" t="str">
        <f>IFERROR(W566*H566,"-")</f>
        <v>-</v>
      </c>
      <c r="Z566" s="94" t="s">
        <v>81</v>
      </c>
    </row>
    <row r="567" spans="1:26" s="25" customFormat="1" ht="6.95" customHeight="1" x14ac:dyDescent="0.3">
      <c r="A567" s="10"/>
      <c r="B567" s="168"/>
      <c r="C567" s="169"/>
      <c r="D567" s="160"/>
      <c r="E567" s="161"/>
      <c r="F567" s="162"/>
      <c r="G567" s="163"/>
      <c r="H567" s="164"/>
      <c r="I567" s="163"/>
      <c r="J567" s="164"/>
      <c r="K567" s="163"/>
      <c r="L567" s="164"/>
      <c r="M567" s="11"/>
      <c r="N567" s="39"/>
      <c r="Q567" s="15" t="str">
        <f>+CONCATENATE(E566,I566)</f>
        <v/>
      </c>
      <c r="R567" s="15">
        <f>+J566</f>
        <v>0</v>
      </c>
      <c r="S567" s="16"/>
      <c r="T567" s="15">
        <f>+E566</f>
        <v>0</v>
      </c>
      <c r="U567" s="26" t="str">
        <f>IFERROR(LEFT(I566,FIND("*",I566)-1),"-")</f>
        <v>-</v>
      </c>
      <c r="V567" s="26" t="str">
        <f>IFERROR(RIGHT(I566,LEN(I566)-FIND("*",I566)),"-")</f>
        <v>-</v>
      </c>
      <c r="W567" s="27" t="str">
        <f t="shared" si="304"/>
        <v>-</v>
      </c>
      <c r="X567" s="27" t="str">
        <f>IFERROR(W567*J566,"-")</f>
        <v>-</v>
      </c>
      <c r="Z567" s="94" t="s">
        <v>81</v>
      </c>
    </row>
    <row r="568" spans="1:26" s="25" customFormat="1" ht="6.95" customHeight="1" x14ac:dyDescent="0.3">
      <c r="A568" s="10"/>
      <c r="B568" s="168"/>
      <c r="C568" s="169"/>
      <c r="D568" s="160"/>
      <c r="E568" s="161"/>
      <c r="F568" s="162"/>
      <c r="G568" s="163"/>
      <c r="H568" s="164"/>
      <c r="I568" s="163"/>
      <c r="J568" s="164"/>
      <c r="K568" s="163"/>
      <c r="L568" s="164"/>
      <c r="M568" s="11"/>
      <c r="N568" s="39"/>
      <c r="Q568" s="15" t="str">
        <f>+CONCATENATE(E566,K566)</f>
        <v/>
      </c>
      <c r="R568" s="15">
        <f>+L566</f>
        <v>0</v>
      </c>
      <c r="S568" s="16"/>
      <c r="T568" s="15">
        <f>+E566</f>
        <v>0</v>
      </c>
      <c r="U568" s="26" t="str">
        <f>IFERROR(LEFT(K566,FIND("*",K566)-1),"-")</f>
        <v>-</v>
      </c>
      <c r="V568" s="26" t="str">
        <f>IFERROR(RIGHT(K566,LEN(K566)-FIND("*",K566)),"-")</f>
        <v>-</v>
      </c>
      <c r="W568" s="27" t="str">
        <f t="shared" si="304"/>
        <v>-</v>
      </c>
      <c r="X568" s="27" t="str">
        <f>IFERROR(W568*L566,"-")</f>
        <v>-</v>
      </c>
      <c r="Z568" s="94" t="s">
        <v>81</v>
      </c>
    </row>
    <row r="569" spans="1:26" s="25" customFormat="1" ht="6.95" customHeight="1" x14ac:dyDescent="0.3">
      <c r="A569" s="13"/>
      <c r="B569" s="168"/>
      <c r="C569" s="169"/>
      <c r="D569" s="160" t="s">
        <v>39</v>
      </c>
      <c r="E569" s="161"/>
      <c r="F569" s="162" t="s">
        <v>40</v>
      </c>
      <c r="G569" s="163"/>
      <c r="H569" s="164"/>
      <c r="I569" s="163"/>
      <c r="J569" s="164"/>
      <c r="K569" s="163"/>
      <c r="L569" s="164"/>
      <c r="M569" s="11"/>
      <c r="N569" s="39"/>
      <c r="Q569" s="15" t="str">
        <f>+CONCATENATE(E569,G569)</f>
        <v/>
      </c>
      <c r="R569" s="15">
        <f>+H569</f>
        <v>0</v>
      </c>
      <c r="S569" s="16"/>
      <c r="T569" s="15">
        <f>+E569</f>
        <v>0</v>
      </c>
      <c r="U569" s="26" t="str">
        <f t="shared" ref="U569" si="307">IFERROR(LEFT(G569,FIND("*",G569)-1),"-")</f>
        <v>-</v>
      </c>
      <c r="V569" s="26" t="str">
        <f t="shared" ref="V569" si="308">IFERROR(RIGHT(G569,LEN(G569)-FIND("*",G569)),"-")</f>
        <v>-</v>
      </c>
      <c r="W569" s="27" t="str">
        <f t="shared" si="304"/>
        <v>-</v>
      </c>
      <c r="X569" s="27" t="str">
        <f>IFERROR(W569*H569,"-")</f>
        <v>-</v>
      </c>
      <c r="Z569" s="94" t="s">
        <v>81</v>
      </c>
    </row>
    <row r="570" spans="1:26" s="25" customFormat="1" ht="6.95" customHeight="1" x14ac:dyDescent="0.3">
      <c r="A570" s="10"/>
      <c r="B570" s="168"/>
      <c r="C570" s="169"/>
      <c r="D570" s="160"/>
      <c r="E570" s="161"/>
      <c r="F570" s="162"/>
      <c r="G570" s="163"/>
      <c r="H570" s="164"/>
      <c r="I570" s="163"/>
      <c r="J570" s="164"/>
      <c r="K570" s="163"/>
      <c r="L570" s="164"/>
      <c r="M570" s="11"/>
      <c r="N570" s="39"/>
      <c r="Q570" s="15" t="str">
        <f>+CONCATENATE(E569,I569)</f>
        <v/>
      </c>
      <c r="R570" s="15">
        <f>+J569</f>
        <v>0</v>
      </c>
      <c r="S570" s="16"/>
      <c r="T570" s="15">
        <f>+E569</f>
        <v>0</v>
      </c>
      <c r="U570" s="26" t="str">
        <f>IFERROR(LEFT(I569,FIND("*",I569)-1),"-")</f>
        <v>-</v>
      </c>
      <c r="V570" s="26" t="str">
        <f>IFERROR(RIGHT(I569,LEN(I569)-FIND("*",I569)),"-")</f>
        <v>-</v>
      </c>
      <c r="W570" s="27" t="str">
        <f t="shared" si="304"/>
        <v>-</v>
      </c>
      <c r="X570" s="27" t="str">
        <f t="shared" ref="X570" si="309">IFERROR(W570*J569,"-")</f>
        <v>-</v>
      </c>
      <c r="Z570" s="94" t="s">
        <v>81</v>
      </c>
    </row>
    <row r="571" spans="1:26" s="25" customFormat="1" ht="6.95" customHeight="1" x14ac:dyDescent="0.3">
      <c r="A571" s="10"/>
      <c r="B571" s="168"/>
      <c r="C571" s="169"/>
      <c r="D571" s="160"/>
      <c r="E571" s="161"/>
      <c r="F571" s="162"/>
      <c r="G571" s="163"/>
      <c r="H571" s="164"/>
      <c r="I571" s="163"/>
      <c r="J571" s="164"/>
      <c r="K571" s="163"/>
      <c r="L571" s="164"/>
      <c r="M571" s="11"/>
      <c r="N571" s="39"/>
      <c r="Q571" s="15" t="str">
        <f>+CONCATENATE(E569,K569)</f>
        <v/>
      </c>
      <c r="R571" s="15">
        <f>+L569</f>
        <v>0</v>
      </c>
      <c r="S571" s="16"/>
      <c r="T571" s="15">
        <f>+E569</f>
        <v>0</v>
      </c>
      <c r="U571" s="26" t="str">
        <f>IFERROR(LEFT(K569,FIND("*",K569)-1),"-")</f>
        <v>-</v>
      </c>
      <c r="V571" s="26" t="str">
        <f>IFERROR(RIGHT(K569,LEN(K569)-FIND("*",K569)),"-")</f>
        <v>-</v>
      </c>
      <c r="W571" s="27" t="str">
        <f t="shared" si="304"/>
        <v>-</v>
      </c>
      <c r="X571" s="27" t="str">
        <f>IFERROR(W571*L569,"-")</f>
        <v>-</v>
      </c>
      <c r="Z571" s="94" t="s">
        <v>81</v>
      </c>
    </row>
    <row r="572" spans="1:26" s="25" customFormat="1" ht="21" customHeight="1" thickBot="1" x14ac:dyDescent="0.35">
      <c r="A572" s="10"/>
      <c r="B572" s="170"/>
      <c r="C572" s="171"/>
      <c r="D572" s="172" t="s">
        <v>43</v>
      </c>
      <c r="E572" s="173"/>
      <c r="F572" s="173"/>
      <c r="G572" s="174"/>
      <c r="H572" s="174"/>
      <c r="I572" s="174"/>
      <c r="J572" s="174"/>
      <c r="K572" s="174"/>
      <c r="L572" s="174"/>
      <c r="M572" s="12"/>
      <c r="N572" s="39"/>
      <c r="U572" s="23"/>
      <c r="V572" s="23"/>
      <c r="Z572" s="95" t="s">
        <v>81</v>
      </c>
    </row>
    <row r="573" spans="1:26" s="25" customFormat="1" ht="9.9499999999999993" customHeight="1" thickBot="1" x14ac:dyDescent="0.35">
      <c r="A573" s="6"/>
      <c r="B573" s="14"/>
      <c r="C573" s="119">
        <v>813</v>
      </c>
      <c r="D573" s="58"/>
      <c r="E573" s="17"/>
      <c r="F573" s="58"/>
      <c r="G573" s="19"/>
      <c r="H573" s="19"/>
      <c r="I573" s="19"/>
      <c r="J573" s="19"/>
      <c r="K573" s="19"/>
      <c r="L573" s="19"/>
      <c r="M573" s="14"/>
      <c r="N573" s="39"/>
      <c r="Q573" s="1"/>
      <c r="R573" s="1"/>
      <c r="S573" s="1"/>
      <c r="T573" s="1"/>
      <c r="U573" s="24"/>
      <c r="V573" s="24"/>
      <c r="W573" s="1"/>
      <c r="X573" s="1"/>
      <c r="Z573" s="94" t="s">
        <v>81</v>
      </c>
    </row>
    <row r="574" spans="1:26" s="25" customFormat="1" ht="6.95" customHeight="1" x14ac:dyDescent="0.3">
      <c r="A574" s="165">
        <f>+A563+1</f>
        <v>53</v>
      </c>
      <c r="B574" s="166"/>
      <c r="C574" s="167"/>
      <c r="D574" s="160" t="s">
        <v>39</v>
      </c>
      <c r="E574" s="161"/>
      <c r="F574" s="162" t="s">
        <v>40</v>
      </c>
      <c r="G574" s="163"/>
      <c r="H574" s="164"/>
      <c r="I574" s="163"/>
      <c r="J574" s="164"/>
      <c r="K574" s="163"/>
      <c r="L574" s="164"/>
      <c r="M574" s="11"/>
      <c r="N574" s="39"/>
      <c r="Q574" s="15" t="str">
        <f>+CONCATENATE(E574,G574)</f>
        <v/>
      </c>
      <c r="R574" s="15">
        <f>+H574</f>
        <v>0</v>
      </c>
      <c r="S574" s="16"/>
      <c r="T574" s="15">
        <f>+E574</f>
        <v>0</v>
      </c>
      <c r="U574" s="26" t="str">
        <f>IFERROR(LEFT(G574,FIND("*",G574)-1),"-")</f>
        <v>-</v>
      </c>
      <c r="V574" s="26" t="str">
        <f>IFERROR(RIGHT(G574,LEN(G574)-FIND("*",G574)),"-")</f>
        <v>-</v>
      </c>
      <c r="W574" s="27" t="str">
        <f>IFERROR((U574+V574)*2/1000,"-")</f>
        <v>-</v>
      </c>
      <c r="X574" s="27" t="str">
        <f>IFERROR(W574*H574,"-")</f>
        <v>-</v>
      </c>
      <c r="Z574" s="94" t="s">
        <v>81</v>
      </c>
    </row>
    <row r="575" spans="1:26" s="25" customFormat="1" ht="6.95" customHeight="1" x14ac:dyDescent="0.3">
      <c r="A575" s="165"/>
      <c r="B575" s="168"/>
      <c r="C575" s="169"/>
      <c r="D575" s="160"/>
      <c r="E575" s="161"/>
      <c r="F575" s="162"/>
      <c r="G575" s="163"/>
      <c r="H575" s="164"/>
      <c r="I575" s="163"/>
      <c r="J575" s="164"/>
      <c r="K575" s="163"/>
      <c r="L575" s="164"/>
      <c r="M575" s="11"/>
      <c r="N575" s="39"/>
      <c r="Q575" s="15" t="str">
        <f>+CONCATENATE(E574,I574)</f>
        <v/>
      </c>
      <c r="R575" s="15">
        <f>+J574</f>
        <v>0</v>
      </c>
      <c r="S575" s="16"/>
      <c r="T575" s="15">
        <f>+E574</f>
        <v>0</v>
      </c>
      <c r="U575" s="26" t="str">
        <f>IFERROR(LEFT(I574,FIND("*",I574)-1),"-")</f>
        <v>-</v>
      </c>
      <c r="V575" s="26" t="str">
        <f>IFERROR(RIGHT(I574,LEN(I574)-FIND("*",I574)),"-")</f>
        <v>-</v>
      </c>
      <c r="W575" s="27" t="str">
        <f t="shared" ref="W575:W582" si="310">IFERROR((U575+V575)*2/1000,"-")</f>
        <v>-</v>
      </c>
      <c r="X575" s="27" t="str">
        <f>IFERROR(W575*J574,"-")</f>
        <v>-</v>
      </c>
      <c r="Z575" s="94" t="s">
        <v>81</v>
      </c>
    </row>
    <row r="576" spans="1:26" s="25" customFormat="1" ht="6.95" customHeight="1" x14ac:dyDescent="0.3">
      <c r="A576" s="165"/>
      <c r="B576" s="168"/>
      <c r="C576" s="169"/>
      <c r="D576" s="160"/>
      <c r="E576" s="161"/>
      <c r="F576" s="162"/>
      <c r="G576" s="163"/>
      <c r="H576" s="164"/>
      <c r="I576" s="163"/>
      <c r="J576" s="164"/>
      <c r="K576" s="163"/>
      <c r="L576" s="164"/>
      <c r="M576" s="11"/>
      <c r="N576" s="39"/>
      <c r="Q576" s="15" t="str">
        <f>+CONCATENATE(E574,K574)</f>
        <v/>
      </c>
      <c r="R576" s="15">
        <f>+L574</f>
        <v>0</v>
      </c>
      <c r="S576" s="16"/>
      <c r="T576" s="15">
        <f>+E574</f>
        <v>0</v>
      </c>
      <c r="U576" s="26" t="str">
        <f>IFERROR(LEFT(K574,FIND("*",K574)-1),"-")</f>
        <v>-</v>
      </c>
      <c r="V576" s="26" t="str">
        <f>IFERROR(RIGHT(K574,LEN(K574)-FIND("*",K574)),"-")</f>
        <v>-</v>
      </c>
      <c r="W576" s="27" t="str">
        <f t="shared" si="310"/>
        <v>-</v>
      </c>
      <c r="X576" s="27" t="str">
        <f>IFERROR(W576*L574,"-")</f>
        <v>-</v>
      </c>
      <c r="Z576" s="94" t="s">
        <v>81</v>
      </c>
    </row>
    <row r="577" spans="1:26" s="25" customFormat="1" ht="6.95" customHeight="1" x14ac:dyDescent="0.3">
      <c r="A577" s="13"/>
      <c r="B577" s="168"/>
      <c r="C577" s="169"/>
      <c r="D577" s="160" t="s">
        <v>39</v>
      </c>
      <c r="E577" s="161"/>
      <c r="F577" s="162" t="s">
        <v>40</v>
      </c>
      <c r="G577" s="163"/>
      <c r="H577" s="164"/>
      <c r="I577" s="163"/>
      <c r="J577" s="164"/>
      <c r="K577" s="163"/>
      <c r="L577" s="164"/>
      <c r="M577" s="11"/>
      <c r="N577" s="39"/>
      <c r="Q577" s="15" t="str">
        <f>+CONCATENATE(E577,G577)</f>
        <v/>
      </c>
      <c r="R577" s="15">
        <f>+H577</f>
        <v>0</v>
      </c>
      <c r="S577" s="16"/>
      <c r="T577" s="15">
        <f>+E577</f>
        <v>0</v>
      </c>
      <c r="U577" s="26" t="str">
        <f t="shared" ref="U577" si="311">IFERROR(LEFT(G577,FIND("*",G577)-1),"-")</f>
        <v>-</v>
      </c>
      <c r="V577" s="26" t="str">
        <f t="shared" ref="V577" si="312">IFERROR(RIGHT(G577,LEN(G577)-FIND("*",G577)),"-")</f>
        <v>-</v>
      </c>
      <c r="W577" s="27" t="str">
        <f t="shared" si="310"/>
        <v>-</v>
      </c>
      <c r="X577" s="27" t="str">
        <f>IFERROR(W577*H577,"-")</f>
        <v>-</v>
      </c>
      <c r="Z577" s="94" t="s">
        <v>81</v>
      </c>
    </row>
    <row r="578" spans="1:26" s="25" customFormat="1" ht="6.95" customHeight="1" x14ac:dyDescent="0.3">
      <c r="A578" s="10"/>
      <c r="B578" s="168"/>
      <c r="C578" s="169"/>
      <c r="D578" s="160"/>
      <c r="E578" s="161"/>
      <c r="F578" s="162"/>
      <c r="G578" s="163"/>
      <c r="H578" s="164"/>
      <c r="I578" s="163"/>
      <c r="J578" s="164"/>
      <c r="K578" s="163"/>
      <c r="L578" s="164"/>
      <c r="M578" s="11"/>
      <c r="N578" s="39"/>
      <c r="Q578" s="15" t="str">
        <f>+CONCATENATE(E577,I577)</f>
        <v/>
      </c>
      <c r="R578" s="15">
        <f>+J577</f>
        <v>0</v>
      </c>
      <c r="S578" s="16"/>
      <c r="T578" s="15">
        <f>+E577</f>
        <v>0</v>
      </c>
      <c r="U578" s="26" t="str">
        <f>IFERROR(LEFT(I577,FIND("*",I577)-1),"-")</f>
        <v>-</v>
      </c>
      <c r="V578" s="26" t="str">
        <f>IFERROR(RIGHT(I577,LEN(I577)-FIND("*",I577)),"-")</f>
        <v>-</v>
      </c>
      <c r="W578" s="27" t="str">
        <f t="shared" si="310"/>
        <v>-</v>
      </c>
      <c r="X578" s="27" t="str">
        <f>IFERROR(W578*J577,"-")</f>
        <v>-</v>
      </c>
      <c r="Z578" s="94" t="s">
        <v>81</v>
      </c>
    </row>
    <row r="579" spans="1:26" s="25" customFormat="1" ht="6.95" customHeight="1" x14ac:dyDescent="0.3">
      <c r="A579" s="10"/>
      <c r="B579" s="168"/>
      <c r="C579" s="169"/>
      <c r="D579" s="160"/>
      <c r="E579" s="161"/>
      <c r="F579" s="162"/>
      <c r="G579" s="163"/>
      <c r="H579" s="164"/>
      <c r="I579" s="163"/>
      <c r="J579" s="164"/>
      <c r="K579" s="163"/>
      <c r="L579" s="164"/>
      <c r="M579" s="11"/>
      <c r="N579" s="39"/>
      <c r="Q579" s="15" t="str">
        <f>+CONCATENATE(E577,K577)</f>
        <v/>
      </c>
      <c r="R579" s="15">
        <f>+L577</f>
        <v>0</v>
      </c>
      <c r="S579" s="16"/>
      <c r="T579" s="15">
        <f>+E577</f>
        <v>0</v>
      </c>
      <c r="U579" s="26" t="str">
        <f>IFERROR(LEFT(K577,FIND("*",K577)-1),"-")</f>
        <v>-</v>
      </c>
      <c r="V579" s="26" t="str">
        <f>IFERROR(RIGHT(K577,LEN(K577)-FIND("*",K577)),"-")</f>
        <v>-</v>
      </c>
      <c r="W579" s="27" t="str">
        <f t="shared" si="310"/>
        <v>-</v>
      </c>
      <c r="X579" s="27" t="str">
        <f>IFERROR(W579*L577,"-")</f>
        <v>-</v>
      </c>
      <c r="Z579" s="94" t="s">
        <v>81</v>
      </c>
    </row>
    <row r="580" spans="1:26" s="25" customFormat="1" ht="6.95" customHeight="1" x14ac:dyDescent="0.3">
      <c r="A580" s="13"/>
      <c r="B580" s="168"/>
      <c r="C580" s="169"/>
      <c r="D580" s="160" t="s">
        <v>39</v>
      </c>
      <c r="E580" s="161"/>
      <c r="F580" s="162" t="s">
        <v>40</v>
      </c>
      <c r="G580" s="163"/>
      <c r="H580" s="164"/>
      <c r="I580" s="163"/>
      <c r="J580" s="164"/>
      <c r="K580" s="163"/>
      <c r="L580" s="164"/>
      <c r="M580" s="11"/>
      <c r="N580" s="39"/>
      <c r="Q580" s="15" t="str">
        <f>+CONCATENATE(E580,G580)</f>
        <v/>
      </c>
      <c r="R580" s="15">
        <f>+H580</f>
        <v>0</v>
      </c>
      <c r="S580" s="16"/>
      <c r="T580" s="15">
        <f>+E580</f>
        <v>0</v>
      </c>
      <c r="U580" s="26" t="str">
        <f t="shared" ref="U580" si="313">IFERROR(LEFT(G580,FIND("*",G580)-1),"-")</f>
        <v>-</v>
      </c>
      <c r="V580" s="26" t="str">
        <f t="shared" ref="V580" si="314">IFERROR(RIGHT(G580,LEN(G580)-FIND("*",G580)),"-")</f>
        <v>-</v>
      </c>
      <c r="W580" s="27" t="str">
        <f t="shared" si="310"/>
        <v>-</v>
      </c>
      <c r="X580" s="27" t="str">
        <f>IFERROR(W580*H580,"-")</f>
        <v>-</v>
      </c>
      <c r="Z580" s="94" t="s">
        <v>81</v>
      </c>
    </row>
    <row r="581" spans="1:26" s="25" customFormat="1" ht="6.95" customHeight="1" x14ac:dyDescent="0.3">
      <c r="A581" s="10"/>
      <c r="B581" s="168"/>
      <c r="C581" s="169"/>
      <c r="D581" s="160"/>
      <c r="E581" s="161"/>
      <c r="F581" s="162"/>
      <c r="G581" s="163"/>
      <c r="H581" s="164"/>
      <c r="I581" s="163"/>
      <c r="J581" s="164"/>
      <c r="K581" s="163"/>
      <c r="L581" s="164"/>
      <c r="M581" s="11"/>
      <c r="N581" s="39"/>
      <c r="Q581" s="15" t="str">
        <f>+CONCATENATE(E580,I580)</f>
        <v/>
      </c>
      <c r="R581" s="15">
        <f>+J580</f>
        <v>0</v>
      </c>
      <c r="S581" s="16"/>
      <c r="T581" s="15">
        <f>+E580</f>
        <v>0</v>
      </c>
      <c r="U581" s="26" t="str">
        <f>IFERROR(LEFT(I580,FIND("*",I580)-1),"-")</f>
        <v>-</v>
      </c>
      <c r="V581" s="26" t="str">
        <f>IFERROR(RIGHT(I580,LEN(I580)-FIND("*",I580)),"-")</f>
        <v>-</v>
      </c>
      <c r="W581" s="27" t="str">
        <f t="shared" si="310"/>
        <v>-</v>
      </c>
      <c r="X581" s="27" t="str">
        <f t="shared" ref="X581" si="315">IFERROR(W581*J580,"-")</f>
        <v>-</v>
      </c>
      <c r="Z581" s="94" t="s">
        <v>81</v>
      </c>
    </row>
    <row r="582" spans="1:26" s="25" customFormat="1" ht="6.95" customHeight="1" x14ac:dyDescent="0.3">
      <c r="A582" s="10"/>
      <c r="B582" s="168"/>
      <c r="C582" s="169"/>
      <c r="D582" s="160"/>
      <c r="E582" s="161"/>
      <c r="F582" s="162"/>
      <c r="G582" s="163"/>
      <c r="H582" s="164"/>
      <c r="I582" s="163"/>
      <c r="J582" s="164"/>
      <c r="K582" s="163"/>
      <c r="L582" s="164"/>
      <c r="M582" s="11"/>
      <c r="N582" s="39"/>
      <c r="Q582" s="15" t="str">
        <f>+CONCATENATE(E580,K580)</f>
        <v/>
      </c>
      <c r="R582" s="15">
        <f>+L580</f>
        <v>0</v>
      </c>
      <c r="S582" s="16"/>
      <c r="T582" s="15">
        <f>+E580</f>
        <v>0</v>
      </c>
      <c r="U582" s="26" t="str">
        <f>IFERROR(LEFT(K580,FIND("*",K580)-1),"-")</f>
        <v>-</v>
      </c>
      <c r="V582" s="26" t="str">
        <f>IFERROR(RIGHT(K580,LEN(K580)-FIND("*",K580)),"-")</f>
        <v>-</v>
      </c>
      <c r="W582" s="27" t="str">
        <f t="shared" si="310"/>
        <v>-</v>
      </c>
      <c r="X582" s="27" t="str">
        <f>IFERROR(W582*L580,"-")</f>
        <v>-</v>
      </c>
      <c r="Z582" s="94" t="s">
        <v>81</v>
      </c>
    </row>
    <row r="583" spans="1:26" s="25" customFormat="1" ht="21" customHeight="1" thickBot="1" x14ac:dyDescent="0.35">
      <c r="A583" s="10"/>
      <c r="B583" s="170"/>
      <c r="C583" s="171"/>
      <c r="D583" s="172" t="s">
        <v>43</v>
      </c>
      <c r="E583" s="173"/>
      <c r="F583" s="173"/>
      <c r="G583" s="174"/>
      <c r="H583" s="174"/>
      <c r="I583" s="174"/>
      <c r="J583" s="174"/>
      <c r="K583" s="174"/>
      <c r="L583" s="174"/>
      <c r="M583" s="12"/>
      <c r="N583" s="39"/>
      <c r="U583" s="23"/>
      <c r="V583" s="23"/>
      <c r="Z583" s="95" t="s">
        <v>81</v>
      </c>
    </row>
    <row r="584" spans="1:26" s="25" customFormat="1" ht="9.9499999999999993" customHeight="1" thickBot="1" x14ac:dyDescent="0.35">
      <c r="A584" s="6"/>
      <c r="B584" s="14"/>
      <c r="C584" s="119">
        <v>814</v>
      </c>
      <c r="D584" s="58"/>
      <c r="E584" s="17"/>
      <c r="F584" s="58"/>
      <c r="G584" s="19"/>
      <c r="H584" s="19"/>
      <c r="I584" s="19"/>
      <c r="J584" s="19"/>
      <c r="K584" s="19"/>
      <c r="L584" s="19"/>
      <c r="M584" s="14"/>
      <c r="N584" s="39"/>
      <c r="Q584" s="1"/>
      <c r="R584" s="1"/>
      <c r="S584" s="1"/>
      <c r="T584" s="1"/>
      <c r="U584" s="24"/>
      <c r="V584" s="24"/>
      <c r="W584" s="1"/>
      <c r="X584" s="1"/>
      <c r="Z584" s="94" t="s">
        <v>81</v>
      </c>
    </row>
    <row r="585" spans="1:26" s="25" customFormat="1" ht="6.95" customHeight="1" x14ac:dyDescent="0.3">
      <c r="A585" s="165">
        <f>+A574+1</f>
        <v>54</v>
      </c>
      <c r="B585" s="166"/>
      <c r="C585" s="167"/>
      <c r="D585" s="160" t="s">
        <v>39</v>
      </c>
      <c r="E585" s="161"/>
      <c r="F585" s="162" t="s">
        <v>40</v>
      </c>
      <c r="G585" s="163"/>
      <c r="H585" s="164"/>
      <c r="I585" s="163"/>
      <c r="J585" s="164"/>
      <c r="K585" s="163"/>
      <c r="L585" s="164"/>
      <c r="M585" s="11"/>
      <c r="N585" s="39"/>
      <c r="Q585" s="15" t="str">
        <f>+CONCATENATE(E585,G585)</f>
        <v/>
      </c>
      <c r="R585" s="15">
        <f>+H585</f>
        <v>0</v>
      </c>
      <c r="S585" s="16"/>
      <c r="T585" s="15">
        <f>+E585</f>
        <v>0</v>
      </c>
      <c r="U585" s="26" t="str">
        <f>IFERROR(LEFT(G585,FIND("*",G585)-1),"-")</f>
        <v>-</v>
      </c>
      <c r="V585" s="26" t="str">
        <f>IFERROR(RIGHT(G585,LEN(G585)-FIND("*",G585)),"-")</f>
        <v>-</v>
      </c>
      <c r="W585" s="27" t="str">
        <f>IFERROR((U585+V585)*2/1000,"-")</f>
        <v>-</v>
      </c>
      <c r="X585" s="27" t="str">
        <f>IFERROR(W585*H585,"-")</f>
        <v>-</v>
      </c>
      <c r="Z585" s="94" t="s">
        <v>81</v>
      </c>
    </row>
    <row r="586" spans="1:26" s="25" customFormat="1" ht="6.95" customHeight="1" x14ac:dyDescent="0.3">
      <c r="A586" s="165"/>
      <c r="B586" s="168"/>
      <c r="C586" s="169"/>
      <c r="D586" s="160"/>
      <c r="E586" s="161"/>
      <c r="F586" s="162"/>
      <c r="G586" s="163"/>
      <c r="H586" s="164"/>
      <c r="I586" s="163"/>
      <c r="J586" s="164"/>
      <c r="K586" s="163"/>
      <c r="L586" s="164"/>
      <c r="M586" s="11"/>
      <c r="N586" s="39"/>
      <c r="Q586" s="15" t="str">
        <f>+CONCATENATE(E585,I585)</f>
        <v/>
      </c>
      <c r="R586" s="15">
        <f>+J585</f>
        <v>0</v>
      </c>
      <c r="S586" s="16"/>
      <c r="T586" s="15">
        <f>+E585</f>
        <v>0</v>
      </c>
      <c r="U586" s="26" t="str">
        <f>IFERROR(LEFT(I585,FIND("*",I585)-1),"-")</f>
        <v>-</v>
      </c>
      <c r="V586" s="26" t="str">
        <f>IFERROR(RIGHT(I585,LEN(I585)-FIND("*",I585)),"-")</f>
        <v>-</v>
      </c>
      <c r="W586" s="27" t="str">
        <f t="shared" ref="W586:W593" si="316">IFERROR((U586+V586)*2/1000,"-")</f>
        <v>-</v>
      </c>
      <c r="X586" s="27" t="str">
        <f>IFERROR(W586*J585,"-")</f>
        <v>-</v>
      </c>
      <c r="Z586" s="94" t="s">
        <v>81</v>
      </c>
    </row>
    <row r="587" spans="1:26" s="25" customFormat="1" ht="6.95" customHeight="1" x14ac:dyDescent="0.3">
      <c r="A587" s="165"/>
      <c r="B587" s="168"/>
      <c r="C587" s="169"/>
      <c r="D587" s="160"/>
      <c r="E587" s="161"/>
      <c r="F587" s="162"/>
      <c r="G587" s="163"/>
      <c r="H587" s="164"/>
      <c r="I587" s="163"/>
      <c r="J587" s="164"/>
      <c r="K587" s="163"/>
      <c r="L587" s="164"/>
      <c r="M587" s="11"/>
      <c r="N587" s="39"/>
      <c r="Q587" s="15" t="str">
        <f>+CONCATENATE(E585,K585)</f>
        <v/>
      </c>
      <c r="R587" s="15">
        <f>+L585</f>
        <v>0</v>
      </c>
      <c r="S587" s="16"/>
      <c r="T587" s="15">
        <f>+E585</f>
        <v>0</v>
      </c>
      <c r="U587" s="26" t="str">
        <f>IFERROR(LEFT(K585,FIND("*",K585)-1),"-")</f>
        <v>-</v>
      </c>
      <c r="V587" s="26" t="str">
        <f>IFERROR(RIGHT(K585,LEN(K585)-FIND("*",K585)),"-")</f>
        <v>-</v>
      </c>
      <c r="W587" s="27" t="str">
        <f t="shared" si="316"/>
        <v>-</v>
      </c>
      <c r="X587" s="27" t="str">
        <f>IFERROR(W587*L585,"-")</f>
        <v>-</v>
      </c>
      <c r="Z587" s="94" t="s">
        <v>81</v>
      </c>
    </row>
    <row r="588" spans="1:26" s="25" customFormat="1" ht="6.95" customHeight="1" x14ac:dyDescent="0.3">
      <c r="A588" s="13"/>
      <c r="B588" s="168"/>
      <c r="C588" s="169"/>
      <c r="D588" s="160" t="s">
        <v>39</v>
      </c>
      <c r="E588" s="161"/>
      <c r="F588" s="162" t="s">
        <v>40</v>
      </c>
      <c r="G588" s="163"/>
      <c r="H588" s="164"/>
      <c r="I588" s="163"/>
      <c r="J588" s="164"/>
      <c r="K588" s="163"/>
      <c r="L588" s="164"/>
      <c r="M588" s="11"/>
      <c r="N588" s="39"/>
      <c r="Q588" s="15" t="str">
        <f>+CONCATENATE(E588,G588)</f>
        <v/>
      </c>
      <c r="R588" s="15">
        <f>+H588</f>
        <v>0</v>
      </c>
      <c r="S588" s="16"/>
      <c r="T588" s="15">
        <f>+E588</f>
        <v>0</v>
      </c>
      <c r="U588" s="26" t="str">
        <f t="shared" ref="U588" si="317">IFERROR(LEFT(G588,FIND("*",G588)-1),"-")</f>
        <v>-</v>
      </c>
      <c r="V588" s="26" t="str">
        <f t="shared" ref="V588" si="318">IFERROR(RIGHT(G588,LEN(G588)-FIND("*",G588)),"-")</f>
        <v>-</v>
      </c>
      <c r="W588" s="27" t="str">
        <f t="shared" si="316"/>
        <v>-</v>
      </c>
      <c r="X588" s="27" t="str">
        <f>IFERROR(W588*H588,"-")</f>
        <v>-</v>
      </c>
      <c r="Z588" s="94" t="s">
        <v>81</v>
      </c>
    </row>
    <row r="589" spans="1:26" s="25" customFormat="1" ht="6.95" customHeight="1" x14ac:dyDescent="0.3">
      <c r="A589" s="10"/>
      <c r="B589" s="168"/>
      <c r="C589" s="169"/>
      <c r="D589" s="160"/>
      <c r="E589" s="161"/>
      <c r="F589" s="162"/>
      <c r="G589" s="163"/>
      <c r="H589" s="164"/>
      <c r="I589" s="163"/>
      <c r="J589" s="164"/>
      <c r="K589" s="163"/>
      <c r="L589" s="164"/>
      <c r="M589" s="11"/>
      <c r="N589" s="39"/>
      <c r="Q589" s="15" t="str">
        <f>+CONCATENATE(E588,I588)</f>
        <v/>
      </c>
      <c r="R589" s="15">
        <f>+J588</f>
        <v>0</v>
      </c>
      <c r="S589" s="16"/>
      <c r="T589" s="15">
        <f>+E588</f>
        <v>0</v>
      </c>
      <c r="U589" s="26" t="str">
        <f>IFERROR(LEFT(I588,FIND("*",I588)-1),"-")</f>
        <v>-</v>
      </c>
      <c r="V589" s="26" t="str">
        <f>IFERROR(RIGHT(I588,LEN(I588)-FIND("*",I588)),"-")</f>
        <v>-</v>
      </c>
      <c r="W589" s="27" t="str">
        <f t="shared" si="316"/>
        <v>-</v>
      </c>
      <c r="X589" s="27" t="str">
        <f>IFERROR(W589*J588,"-")</f>
        <v>-</v>
      </c>
      <c r="Z589" s="94" t="s">
        <v>81</v>
      </c>
    </row>
    <row r="590" spans="1:26" s="25" customFormat="1" ht="6.95" customHeight="1" x14ac:dyDescent="0.3">
      <c r="A590" s="10"/>
      <c r="B590" s="168"/>
      <c r="C590" s="169"/>
      <c r="D590" s="160"/>
      <c r="E590" s="161"/>
      <c r="F590" s="162"/>
      <c r="G590" s="163"/>
      <c r="H590" s="164"/>
      <c r="I590" s="163"/>
      <c r="J590" s="164"/>
      <c r="K590" s="163"/>
      <c r="L590" s="164"/>
      <c r="M590" s="11"/>
      <c r="N590" s="39"/>
      <c r="Q590" s="15" t="str">
        <f>+CONCATENATE(E588,K588)</f>
        <v/>
      </c>
      <c r="R590" s="15">
        <f>+L588</f>
        <v>0</v>
      </c>
      <c r="S590" s="16"/>
      <c r="T590" s="15">
        <f>+E588</f>
        <v>0</v>
      </c>
      <c r="U590" s="26" t="str">
        <f>IFERROR(LEFT(K588,FIND("*",K588)-1),"-")</f>
        <v>-</v>
      </c>
      <c r="V590" s="26" t="str">
        <f>IFERROR(RIGHT(K588,LEN(K588)-FIND("*",K588)),"-")</f>
        <v>-</v>
      </c>
      <c r="W590" s="27" t="str">
        <f t="shared" si="316"/>
        <v>-</v>
      </c>
      <c r="X590" s="27" t="str">
        <f>IFERROR(W590*L588,"-")</f>
        <v>-</v>
      </c>
      <c r="Z590" s="94" t="s">
        <v>81</v>
      </c>
    </row>
    <row r="591" spans="1:26" s="25" customFormat="1" ht="6.95" customHeight="1" x14ac:dyDescent="0.3">
      <c r="A591" s="13"/>
      <c r="B591" s="168"/>
      <c r="C591" s="169"/>
      <c r="D591" s="160" t="s">
        <v>39</v>
      </c>
      <c r="E591" s="161"/>
      <c r="F591" s="162" t="s">
        <v>40</v>
      </c>
      <c r="G591" s="163"/>
      <c r="H591" s="164"/>
      <c r="I591" s="163"/>
      <c r="J591" s="164"/>
      <c r="K591" s="163"/>
      <c r="L591" s="164"/>
      <c r="M591" s="11"/>
      <c r="N591" s="39"/>
      <c r="Q591" s="15" t="str">
        <f>+CONCATENATE(E591,G591)</f>
        <v/>
      </c>
      <c r="R591" s="15">
        <f>+H591</f>
        <v>0</v>
      </c>
      <c r="S591" s="16"/>
      <c r="T591" s="15">
        <f>+E591</f>
        <v>0</v>
      </c>
      <c r="U591" s="26" t="str">
        <f t="shared" ref="U591" si="319">IFERROR(LEFT(G591,FIND("*",G591)-1),"-")</f>
        <v>-</v>
      </c>
      <c r="V591" s="26" t="str">
        <f t="shared" ref="V591" si="320">IFERROR(RIGHT(G591,LEN(G591)-FIND("*",G591)),"-")</f>
        <v>-</v>
      </c>
      <c r="W591" s="27" t="str">
        <f t="shared" si="316"/>
        <v>-</v>
      </c>
      <c r="X591" s="27" t="str">
        <f>IFERROR(W591*H591,"-")</f>
        <v>-</v>
      </c>
      <c r="Z591" s="94" t="s">
        <v>81</v>
      </c>
    </row>
    <row r="592" spans="1:26" s="25" customFormat="1" ht="6.95" customHeight="1" x14ac:dyDescent="0.3">
      <c r="A592" s="10"/>
      <c r="B592" s="168"/>
      <c r="C592" s="169"/>
      <c r="D592" s="160"/>
      <c r="E592" s="161"/>
      <c r="F592" s="162"/>
      <c r="G592" s="163"/>
      <c r="H592" s="164"/>
      <c r="I592" s="163"/>
      <c r="J592" s="164"/>
      <c r="K592" s="163"/>
      <c r="L592" s="164"/>
      <c r="M592" s="11"/>
      <c r="N592" s="39"/>
      <c r="Q592" s="15" t="str">
        <f>+CONCATENATE(E591,I591)</f>
        <v/>
      </c>
      <c r="R592" s="15">
        <f>+J591</f>
        <v>0</v>
      </c>
      <c r="S592" s="16"/>
      <c r="T592" s="15">
        <f>+E591</f>
        <v>0</v>
      </c>
      <c r="U592" s="26" t="str">
        <f>IFERROR(LEFT(I591,FIND("*",I591)-1),"-")</f>
        <v>-</v>
      </c>
      <c r="V592" s="26" t="str">
        <f>IFERROR(RIGHT(I591,LEN(I591)-FIND("*",I591)),"-")</f>
        <v>-</v>
      </c>
      <c r="W592" s="27" t="str">
        <f t="shared" si="316"/>
        <v>-</v>
      </c>
      <c r="X592" s="27" t="str">
        <f t="shared" ref="X592" si="321">IFERROR(W592*J591,"-")</f>
        <v>-</v>
      </c>
      <c r="Z592" s="94" t="s">
        <v>81</v>
      </c>
    </row>
    <row r="593" spans="1:26" s="25" customFormat="1" ht="6.95" customHeight="1" x14ac:dyDescent="0.3">
      <c r="A593" s="10"/>
      <c r="B593" s="168"/>
      <c r="C593" s="169"/>
      <c r="D593" s="160"/>
      <c r="E593" s="161"/>
      <c r="F593" s="162"/>
      <c r="G593" s="163"/>
      <c r="H593" s="164"/>
      <c r="I593" s="163"/>
      <c r="J593" s="164"/>
      <c r="K593" s="163"/>
      <c r="L593" s="164"/>
      <c r="M593" s="11"/>
      <c r="N593" s="39"/>
      <c r="Q593" s="15" t="str">
        <f>+CONCATENATE(E591,K591)</f>
        <v/>
      </c>
      <c r="R593" s="15">
        <f>+L591</f>
        <v>0</v>
      </c>
      <c r="S593" s="16"/>
      <c r="T593" s="15">
        <f>+E591</f>
        <v>0</v>
      </c>
      <c r="U593" s="26" t="str">
        <f>IFERROR(LEFT(K591,FIND("*",K591)-1),"-")</f>
        <v>-</v>
      </c>
      <c r="V593" s="26" t="str">
        <f>IFERROR(RIGHT(K591,LEN(K591)-FIND("*",K591)),"-")</f>
        <v>-</v>
      </c>
      <c r="W593" s="27" t="str">
        <f t="shared" si="316"/>
        <v>-</v>
      </c>
      <c r="X593" s="27" t="str">
        <f>IFERROR(W593*L591,"-")</f>
        <v>-</v>
      </c>
      <c r="Z593" s="94" t="s">
        <v>81</v>
      </c>
    </row>
    <row r="594" spans="1:26" s="25" customFormat="1" ht="21" customHeight="1" thickBot="1" x14ac:dyDescent="0.35">
      <c r="A594" s="10"/>
      <c r="B594" s="170"/>
      <c r="C594" s="171"/>
      <c r="D594" s="172" t="s">
        <v>43</v>
      </c>
      <c r="E594" s="173"/>
      <c r="F594" s="173"/>
      <c r="G594" s="174"/>
      <c r="H594" s="174"/>
      <c r="I594" s="174"/>
      <c r="J594" s="174"/>
      <c r="K594" s="174"/>
      <c r="L594" s="174"/>
      <c r="M594" s="12"/>
      <c r="N594" s="39"/>
      <c r="U594" s="23"/>
      <c r="V594" s="23"/>
      <c r="Z594" s="95" t="s">
        <v>81</v>
      </c>
    </row>
    <row r="595" spans="1:26" s="25" customFormat="1" ht="9.9499999999999993" customHeight="1" thickBot="1" x14ac:dyDescent="0.35">
      <c r="A595" s="6"/>
      <c r="B595" s="14"/>
      <c r="C595" s="119">
        <v>815</v>
      </c>
      <c r="D595" s="58"/>
      <c r="E595" s="17"/>
      <c r="F595" s="58"/>
      <c r="G595" s="19"/>
      <c r="H595" s="19"/>
      <c r="I595" s="19"/>
      <c r="J595" s="19"/>
      <c r="K595" s="19"/>
      <c r="L595" s="19"/>
      <c r="M595" s="14"/>
      <c r="N595" s="39"/>
      <c r="Q595" s="1"/>
      <c r="R595" s="1"/>
      <c r="S595" s="1"/>
      <c r="T595" s="1"/>
      <c r="U595" s="24"/>
      <c r="V595" s="24"/>
      <c r="W595" s="1"/>
      <c r="X595" s="1"/>
      <c r="Z595" s="94" t="s">
        <v>81</v>
      </c>
    </row>
    <row r="596" spans="1:26" s="25" customFormat="1" ht="6.95" customHeight="1" x14ac:dyDescent="0.3">
      <c r="A596" s="165">
        <f>+A585+1</f>
        <v>55</v>
      </c>
      <c r="B596" s="166"/>
      <c r="C596" s="167"/>
      <c r="D596" s="160" t="s">
        <v>39</v>
      </c>
      <c r="E596" s="161"/>
      <c r="F596" s="162" t="s">
        <v>40</v>
      </c>
      <c r="G596" s="163"/>
      <c r="H596" s="164"/>
      <c r="I596" s="163"/>
      <c r="J596" s="164"/>
      <c r="K596" s="163"/>
      <c r="L596" s="164"/>
      <c r="M596" s="11"/>
      <c r="N596" s="39"/>
      <c r="Q596" s="15" t="str">
        <f>+CONCATENATE(E596,G596)</f>
        <v/>
      </c>
      <c r="R596" s="15">
        <f>+H596</f>
        <v>0</v>
      </c>
      <c r="S596" s="16"/>
      <c r="T596" s="15">
        <f>+E596</f>
        <v>0</v>
      </c>
      <c r="U596" s="26" t="str">
        <f>IFERROR(LEFT(G596,FIND("*",G596)-1),"-")</f>
        <v>-</v>
      </c>
      <c r="V596" s="26" t="str">
        <f>IFERROR(RIGHT(G596,LEN(G596)-FIND("*",G596)),"-")</f>
        <v>-</v>
      </c>
      <c r="W596" s="27" t="str">
        <f>IFERROR((U596+V596)*2/1000,"-")</f>
        <v>-</v>
      </c>
      <c r="X596" s="27" t="str">
        <f>IFERROR(W596*H596,"-")</f>
        <v>-</v>
      </c>
      <c r="Z596" s="94" t="s">
        <v>81</v>
      </c>
    </row>
    <row r="597" spans="1:26" s="25" customFormat="1" ht="6.95" customHeight="1" x14ac:dyDescent="0.3">
      <c r="A597" s="165"/>
      <c r="B597" s="168"/>
      <c r="C597" s="169"/>
      <c r="D597" s="160"/>
      <c r="E597" s="161"/>
      <c r="F597" s="162"/>
      <c r="G597" s="163"/>
      <c r="H597" s="164"/>
      <c r="I597" s="163"/>
      <c r="J597" s="164"/>
      <c r="K597" s="163"/>
      <c r="L597" s="164"/>
      <c r="M597" s="11"/>
      <c r="N597" s="39"/>
      <c r="Q597" s="15" t="str">
        <f>+CONCATENATE(E596,I596)</f>
        <v/>
      </c>
      <c r="R597" s="15">
        <f>+J596</f>
        <v>0</v>
      </c>
      <c r="S597" s="16"/>
      <c r="T597" s="15">
        <f>+E596</f>
        <v>0</v>
      </c>
      <c r="U597" s="26" t="str">
        <f>IFERROR(LEFT(I596,FIND("*",I596)-1),"-")</f>
        <v>-</v>
      </c>
      <c r="V597" s="26" t="str">
        <f>IFERROR(RIGHT(I596,LEN(I596)-FIND("*",I596)),"-")</f>
        <v>-</v>
      </c>
      <c r="W597" s="27" t="str">
        <f t="shared" ref="W597:W604" si="322">IFERROR((U597+V597)*2/1000,"-")</f>
        <v>-</v>
      </c>
      <c r="X597" s="27" t="str">
        <f>IFERROR(W597*J596,"-")</f>
        <v>-</v>
      </c>
      <c r="Z597" s="94" t="s">
        <v>81</v>
      </c>
    </row>
    <row r="598" spans="1:26" s="25" customFormat="1" ht="6.95" customHeight="1" x14ac:dyDescent="0.3">
      <c r="A598" s="165"/>
      <c r="B598" s="168"/>
      <c r="C598" s="169"/>
      <c r="D598" s="160"/>
      <c r="E598" s="161"/>
      <c r="F598" s="162"/>
      <c r="G598" s="163"/>
      <c r="H598" s="164"/>
      <c r="I598" s="163"/>
      <c r="J598" s="164"/>
      <c r="K598" s="163"/>
      <c r="L598" s="164"/>
      <c r="M598" s="11"/>
      <c r="N598" s="39"/>
      <c r="Q598" s="15" t="str">
        <f>+CONCATENATE(E596,K596)</f>
        <v/>
      </c>
      <c r="R598" s="15">
        <f>+L596</f>
        <v>0</v>
      </c>
      <c r="S598" s="16"/>
      <c r="T598" s="15">
        <f>+E596</f>
        <v>0</v>
      </c>
      <c r="U598" s="26" t="str">
        <f>IFERROR(LEFT(K596,FIND("*",K596)-1),"-")</f>
        <v>-</v>
      </c>
      <c r="V598" s="26" t="str">
        <f>IFERROR(RIGHT(K596,LEN(K596)-FIND("*",K596)),"-")</f>
        <v>-</v>
      </c>
      <c r="W598" s="27" t="str">
        <f t="shared" si="322"/>
        <v>-</v>
      </c>
      <c r="X598" s="27" t="str">
        <f>IFERROR(W598*L596,"-")</f>
        <v>-</v>
      </c>
      <c r="Z598" s="94" t="s">
        <v>81</v>
      </c>
    </row>
    <row r="599" spans="1:26" s="25" customFormat="1" ht="6.95" customHeight="1" x14ac:dyDescent="0.3">
      <c r="A599" s="13"/>
      <c r="B599" s="168"/>
      <c r="C599" s="169"/>
      <c r="D599" s="160" t="s">
        <v>39</v>
      </c>
      <c r="E599" s="161"/>
      <c r="F599" s="162" t="s">
        <v>40</v>
      </c>
      <c r="G599" s="163"/>
      <c r="H599" s="164"/>
      <c r="I599" s="163"/>
      <c r="J599" s="164"/>
      <c r="K599" s="163"/>
      <c r="L599" s="164"/>
      <c r="M599" s="11"/>
      <c r="N599" s="39"/>
      <c r="Q599" s="15" t="str">
        <f>+CONCATENATE(E599,G599)</f>
        <v/>
      </c>
      <c r="R599" s="15">
        <f>+H599</f>
        <v>0</v>
      </c>
      <c r="S599" s="16"/>
      <c r="T599" s="15">
        <f>+E599</f>
        <v>0</v>
      </c>
      <c r="U599" s="26" t="str">
        <f t="shared" ref="U599" si="323">IFERROR(LEFT(G599,FIND("*",G599)-1),"-")</f>
        <v>-</v>
      </c>
      <c r="V599" s="26" t="str">
        <f t="shared" ref="V599" si="324">IFERROR(RIGHT(G599,LEN(G599)-FIND("*",G599)),"-")</f>
        <v>-</v>
      </c>
      <c r="W599" s="27" t="str">
        <f t="shared" si="322"/>
        <v>-</v>
      </c>
      <c r="X599" s="27" t="str">
        <f>IFERROR(W599*H599,"-")</f>
        <v>-</v>
      </c>
      <c r="Z599" s="94" t="s">
        <v>81</v>
      </c>
    </row>
    <row r="600" spans="1:26" s="25" customFormat="1" ht="6.95" customHeight="1" x14ac:dyDescent="0.3">
      <c r="A600" s="10"/>
      <c r="B600" s="168"/>
      <c r="C600" s="169"/>
      <c r="D600" s="160"/>
      <c r="E600" s="161"/>
      <c r="F600" s="162"/>
      <c r="G600" s="163"/>
      <c r="H600" s="164"/>
      <c r="I600" s="163"/>
      <c r="J600" s="164"/>
      <c r="K600" s="163"/>
      <c r="L600" s="164"/>
      <c r="M600" s="11"/>
      <c r="N600" s="39"/>
      <c r="Q600" s="15" t="str">
        <f>+CONCATENATE(E599,I599)</f>
        <v/>
      </c>
      <c r="R600" s="15">
        <f>+J599</f>
        <v>0</v>
      </c>
      <c r="S600" s="16"/>
      <c r="T600" s="15">
        <f>+E599</f>
        <v>0</v>
      </c>
      <c r="U600" s="26" t="str">
        <f>IFERROR(LEFT(I599,FIND("*",I599)-1),"-")</f>
        <v>-</v>
      </c>
      <c r="V600" s="26" t="str">
        <f>IFERROR(RIGHT(I599,LEN(I599)-FIND("*",I599)),"-")</f>
        <v>-</v>
      </c>
      <c r="W600" s="27" t="str">
        <f t="shared" si="322"/>
        <v>-</v>
      </c>
      <c r="X600" s="27" t="str">
        <f>IFERROR(W600*J599,"-")</f>
        <v>-</v>
      </c>
      <c r="Z600" s="94" t="s">
        <v>81</v>
      </c>
    </row>
    <row r="601" spans="1:26" s="25" customFormat="1" ht="6.95" customHeight="1" x14ac:dyDescent="0.3">
      <c r="A601" s="10"/>
      <c r="B601" s="168"/>
      <c r="C601" s="169"/>
      <c r="D601" s="160"/>
      <c r="E601" s="161"/>
      <c r="F601" s="162"/>
      <c r="G601" s="163"/>
      <c r="H601" s="164"/>
      <c r="I601" s="163"/>
      <c r="J601" s="164"/>
      <c r="K601" s="163"/>
      <c r="L601" s="164"/>
      <c r="M601" s="11"/>
      <c r="N601" s="39"/>
      <c r="Q601" s="15" t="str">
        <f>+CONCATENATE(E599,K599)</f>
        <v/>
      </c>
      <c r="R601" s="15">
        <f>+L599</f>
        <v>0</v>
      </c>
      <c r="S601" s="16"/>
      <c r="T601" s="15">
        <f>+E599</f>
        <v>0</v>
      </c>
      <c r="U601" s="26" t="str">
        <f>IFERROR(LEFT(K599,FIND("*",K599)-1),"-")</f>
        <v>-</v>
      </c>
      <c r="V601" s="26" t="str">
        <f>IFERROR(RIGHT(K599,LEN(K599)-FIND("*",K599)),"-")</f>
        <v>-</v>
      </c>
      <c r="W601" s="27" t="str">
        <f t="shared" si="322"/>
        <v>-</v>
      </c>
      <c r="X601" s="27" t="str">
        <f>IFERROR(W601*L599,"-")</f>
        <v>-</v>
      </c>
      <c r="Z601" s="94" t="s">
        <v>81</v>
      </c>
    </row>
    <row r="602" spans="1:26" s="25" customFormat="1" ht="6.95" customHeight="1" x14ac:dyDescent="0.3">
      <c r="A602" s="13"/>
      <c r="B602" s="168"/>
      <c r="C602" s="169"/>
      <c r="D602" s="160" t="s">
        <v>39</v>
      </c>
      <c r="E602" s="161"/>
      <c r="F602" s="162" t="s">
        <v>40</v>
      </c>
      <c r="G602" s="163"/>
      <c r="H602" s="164"/>
      <c r="I602" s="163"/>
      <c r="J602" s="164"/>
      <c r="K602" s="163"/>
      <c r="L602" s="164"/>
      <c r="M602" s="11"/>
      <c r="N602" s="39"/>
      <c r="Q602" s="15" t="str">
        <f>+CONCATENATE(E602,G602)</f>
        <v/>
      </c>
      <c r="R602" s="15">
        <f>+H602</f>
        <v>0</v>
      </c>
      <c r="S602" s="16"/>
      <c r="T602" s="15">
        <f>+E602</f>
        <v>0</v>
      </c>
      <c r="U602" s="26" t="str">
        <f t="shared" ref="U602" si="325">IFERROR(LEFT(G602,FIND("*",G602)-1),"-")</f>
        <v>-</v>
      </c>
      <c r="V602" s="26" t="str">
        <f t="shared" ref="V602" si="326">IFERROR(RIGHT(G602,LEN(G602)-FIND("*",G602)),"-")</f>
        <v>-</v>
      </c>
      <c r="W602" s="27" t="str">
        <f t="shared" si="322"/>
        <v>-</v>
      </c>
      <c r="X602" s="27" t="str">
        <f>IFERROR(W602*H602,"-")</f>
        <v>-</v>
      </c>
      <c r="Z602" s="94" t="s">
        <v>81</v>
      </c>
    </row>
    <row r="603" spans="1:26" s="25" customFormat="1" ht="6.95" customHeight="1" x14ac:dyDescent="0.3">
      <c r="A603" s="10"/>
      <c r="B603" s="168"/>
      <c r="C603" s="169"/>
      <c r="D603" s="160"/>
      <c r="E603" s="161"/>
      <c r="F603" s="162"/>
      <c r="G603" s="163"/>
      <c r="H603" s="164"/>
      <c r="I603" s="163"/>
      <c r="J603" s="164"/>
      <c r="K603" s="163"/>
      <c r="L603" s="164"/>
      <c r="M603" s="11"/>
      <c r="N603" s="39"/>
      <c r="Q603" s="15" t="str">
        <f>+CONCATENATE(E602,I602)</f>
        <v/>
      </c>
      <c r="R603" s="15">
        <f>+J602</f>
        <v>0</v>
      </c>
      <c r="S603" s="16"/>
      <c r="T603" s="15">
        <f>+E602</f>
        <v>0</v>
      </c>
      <c r="U603" s="26" t="str">
        <f>IFERROR(LEFT(I602,FIND("*",I602)-1),"-")</f>
        <v>-</v>
      </c>
      <c r="V603" s="26" t="str">
        <f>IFERROR(RIGHT(I602,LEN(I602)-FIND("*",I602)),"-")</f>
        <v>-</v>
      </c>
      <c r="W603" s="27" t="str">
        <f t="shared" si="322"/>
        <v>-</v>
      </c>
      <c r="X603" s="27" t="str">
        <f t="shared" ref="X603" si="327">IFERROR(W603*J602,"-")</f>
        <v>-</v>
      </c>
      <c r="Z603" s="94" t="s">
        <v>81</v>
      </c>
    </row>
    <row r="604" spans="1:26" s="25" customFormat="1" ht="6.95" customHeight="1" x14ac:dyDescent="0.3">
      <c r="A604" s="10"/>
      <c r="B604" s="168"/>
      <c r="C604" s="169"/>
      <c r="D604" s="160"/>
      <c r="E604" s="161"/>
      <c r="F604" s="162"/>
      <c r="G604" s="163"/>
      <c r="H604" s="164"/>
      <c r="I604" s="163"/>
      <c r="J604" s="164"/>
      <c r="K604" s="163"/>
      <c r="L604" s="164"/>
      <c r="M604" s="11"/>
      <c r="N604" s="39"/>
      <c r="Q604" s="15" t="str">
        <f>+CONCATENATE(E602,K602)</f>
        <v/>
      </c>
      <c r="R604" s="15">
        <f>+L602</f>
        <v>0</v>
      </c>
      <c r="S604" s="16"/>
      <c r="T604" s="15">
        <f>+E602</f>
        <v>0</v>
      </c>
      <c r="U604" s="26" t="str">
        <f>IFERROR(LEFT(K602,FIND("*",K602)-1),"-")</f>
        <v>-</v>
      </c>
      <c r="V604" s="26" t="str">
        <f>IFERROR(RIGHT(K602,LEN(K602)-FIND("*",K602)),"-")</f>
        <v>-</v>
      </c>
      <c r="W604" s="27" t="str">
        <f t="shared" si="322"/>
        <v>-</v>
      </c>
      <c r="X604" s="27" t="str">
        <f>IFERROR(W604*L602,"-")</f>
        <v>-</v>
      </c>
      <c r="Z604" s="94" t="s">
        <v>81</v>
      </c>
    </row>
    <row r="605" spans="1:26" s="25" customFormat="1" ht="21" customHeight="1" thickBot="1" x14ac:dyDescent="0.35">
      <c r="A605" s="10"/>
      <c r="B605" s="170"/>
      <c r="C605" s="171"/>
      <c r="D605" s="172" t="s">
        <v>43</v>
      </c>
      <c r="E605" s="173"/>
      <c r="F605" s="173"/>
      <c r="G605" s="174"/>
      <c r="H605" s="174"/>
      <c r="I605" s="174"/>
      <c r="J605" s="174"/>
      <c r="K605" s="174"/>
      <c r="L605" s="174"/>
      <c r="M605" s="12"/>
      <c r="N605" s="39"/>
      <c r="U605" s="23"/>
      <c r="V605" s="23"/>
      <c r="Z605" s="95" t="s">
        <v>81</v>
      </c>
    </row>
    <row r="606" spans="1:26" s="25" customFormat="1" ht="9.9499999999999993" customHeight="1" thickBot="1" x14ac:dyDescent="0.35">
      <c r="A606" s="6"/>
      <c r="B606" s="14"/>
      <c r="C606" s="119">
        <v>816</v>
      </c>
      <c r="D606" s="58"/>
      <c r="E606" s="17"/>
      <c r="F606" s="58"/>
      <c r="G606" s="19"/>
      <c r="H606" s="19"/>
      <c r="I606" s="19"/>
      <c r="J606" s="19"/>
      <c r="K606" s="19"/>
      <c r="L606" s="19"/>
      <c r="M606" s="14"/>
      <c r="N606" s="39"/>
      <c r="Q606" s="1"/>
      <c r="R606" s="1"/>
      <c r="S606" s="1"/>
      <c r="T606" s="1"/>
      <c r="U606" s="24"/>
      <c r="V606" s="24"/>
      <c r="W606" s="1"/>
      <c r="X606" s="1"/>
      <c r="Z606" s="94" t="s">
        <v>81</v>
      </c>
    </row>
    <row r="607" spans="1:26" s="25" customFormat="1" ht="6.95" customHeight="1" x14ac:dyDescent="0.3">
      <c r="A607" s="165">
        <f>+A596+1</f>
        <v>56</v>
      </c>
      <c r="B607" s="166"/>
      <c r="C607" s="167"/>
      <c r="D607" s="160" t="s">
        <v>39</v>
      </c>
      <c r="E607" s="161"/>
      <c r="F607" s="162" t="s">
        <v>40</v>
      </c>
      <c r="G607" s="163"/>
      <c r="H607" s="164"/>
      <c r="I607" s="163"/>
      <c r="J607" s="164"/>
      <c r="K607" s="163"/>
      <c r="L607" s="164"/>
      <c r="M607" s="11"/>
      <c r="N607" s="39"/>
      <c r="Q607" s="15" t="str">
        <f>+CONCATENATE(E607,G607)</f>
        <v/>
      </c>
      <c r="R607" s="15">
        <f>+H607</f>
        <v>0</v>
      </c>
      <c r="S607" s="16"/>
      <c r="T607" s="15">
        <f>+E607</f>
        <v>0</v>
      </c>
      <c r="U607" s="26" t="str">
        <f>IFERROR(LEFT(G607,FIND("*",G607)-1),"-")</f>
        <v>-</v>
      </c>
      <c r="V607" s="26" t="str">
        <f>IFERROR(RIGHT(G607,LEN(G607)-FIND("*",G607)),"-")</f>
        <v>-</v>
      </c>
      <c r="W607" s="27" t="str">
        <f>IFERROR((U607+V607)*2/1000,"-")</f>
        <v>-</v>
      </c>
      <c r="X607" s="27" t="str">
        <f>IFERROR(W607*H607,"-")</f>
        <v>-</v>
      </c>
      <c r="Z607" s="94" t="s">
        <v>81</v>
      </c>
    </row>
    <row r="608" spans="1:26" s="25" customFormat="1" ht="6.95" customHeight="1" x14ac:dyDescent="0.3">
      <c r="A608" s="165"/>
      <c r="B608" s="168"/>
      <c r="C608" s="169"/>
      <c r="D608" s="160"/>
      <c r="E608" s="161"/>
      <c r="F608" s="162"/>
      <c r="G608" s="163"/>
      <c r="H608" s="164"/>
      <c r="I608" s="163"/>
      <c r="J608" s="164"/>
      <c r="K608" s="163"/>
      <c r="L608" s="164"/>
      <c r="M608" s="11"/>
      <c r="N608" s="39"/>
      <c r="Q608" s="15" t="str">
        <f>+CONCATENATE(E607,I607)</f>
        <v/>
      </c>
      <c r="R608" s="15">
        <f>+J607</f>
        <v>0</v>
      </c>
      <c r="S608" s="16"/>
      <c r="T608" s="15">
        <f>+E607</f>
        <v>0</v>
      </c>
      <c r="U608" s="26" t="str">
        <f>IFERROR(LEFT(I607,FIND("*",I607)-1),"-")</f>
        <v>-</v>
      </c>
      <c r="V608" s="26" t="str">
        <f>IFERROR(RIGHT(I607,LEN(I607)-FIND("*",I607)),"-")</f>
        <v>-</v>
      </c>
      <c r="W608" s="27" t="str">
        <f t="shared" ref="W608:W615" si="328">IFERROR((U608+V608)*2/1000,"-")</f>
        <v>-</v>
      </c>
      <c r="X608" s="27" t="str">
        <f>IFERROR(W608*J607,"-")</f>
        <v>-</v>
      </c>
      <c r="Z608" s="94" t="s">
        <v>81</v>
      </c>
    </row>
    <row r="609" spans="1:26" s="25" customFormat="1" ht="6.95" customHeight="1" x14ac:dyDescent="0.3">
      <c r="A609" s="165"/>
      <c r="B609" s="168"/>
      <c r="C609" s="169"/>
      <c r="D609" s="160"/>
      <c r="E609" s="161"/>
      <c r="F609" s="162"/>
      <c r="G609" s="163"/>
      <c r="H609" s="164"/>
      <c r="I609" s="163"/>
      <c r="J609" s="164"/>
      <c r="K609" s="163"/>
      <c r="L609" s="164"/>
      <c r="M609" s="11"/>
      <c r="N609" s="39"/>
      <c r="Q609" s="15" t="str">
        <f>+CONCATENATE(E607,K607)</f>
        <v/>
      </c>
      <c r="R609" s="15">
        <f>+L607</f>
        <v>0</v>
      </c>
      <c r="S609" s="16"/>
      <c r="T609" s="15">
        <f>+E607</f>
        <v>0</v>
      </c>
      <c r="U609" s="26" t="str">
        <f>IFERROR(LEFT(K607,FIND("*",K607)-1),"-")</f>
        <v>-</v>
      </c>
      <c r="V609" s="26" t="str">
        <f>IFERROR(RIGHT(K607,LEN(K607)-FIND("*",K607)),"-")</f>
        <v>-</v>
      </c>
      <c r="W609" s="27" t="str">
        <f t="shared" si="328"/>
        <v>-</v>
      </c>
      <c r="X609" s="27" t="str">
        <f>IFERROR(W609*L607,"-")</f>
        <v>-</v>
      </c>
      <c r="Z609" s="94" t="s">
        <v>81</v>
      </c>
    </row>
    <row r="610" spans="1:26" s="25" customFormat="1" ht="6.95" customHeight="1" x14ac:dyDescent="0.3">
      <c r="A610" s="13"/>
      <c r="B610" s="168"/>
      <c r="C610" s="169"/>
      <c r="D610" s="160" t="s">
        <v>39</v>
      </c>
      <c r="E610" s="161"/>
      <c r="F610" s="162" t="s">
        <v>40</v>
      </c>
      <c r="G610" s="163"/>
      <c r="H610" s="164"/>
      <c r="I610" s="163"/>
      <c r="J610" s="164"/>
      <c r="K610" s="163"/>
      <c r="L610" s="164"/>
      <c r="M610" s="11"/>
      <c r="N610" s="39"/>
      <c r="Q610" s="15" t="str">
        <f>+CONCATENATE(E610,G610)</f>
        <v/>
      </c>
      <c r="R610" s="15">
        <f>+H610</f>
        <v>0</v>
      </c>
      <c r="S610" s="16"/>
      <c r="T610" s="15">
        <f>+E610</f>
        <v>0</v>
      </c>
      <c r="U610" s="26" t="str">
        <f t="shared" ref="U610" si="329">IFERROR(LEFT(G610,FIND("*",G610)-1),"-")</f>
        <v>-</v>
      </c>
      <c r="V610" s="26" t="str">
        <f t="shared" ref="V610" si="330">IFERROR(RIGHT(G610,LEN(G610)-FIND("*",G610)),"-")</f>
        <v>-</v>
      </c>
      <c r="W610" s="27" t="str">
        <f t="shared" si="328"/>
        <v>-</v>
      </c>
      <c r="X610" s="27" t="str">
        <f>IFERROR(W610*H610,"-")</f>
        <v>-</v>
      </c>
      <c r="Z610" s="94" t="s">
        <v>81</v>
      </c>
    </row>
    <row r="611" spans="1:26" s="25" customFormat="1" ht="6.95" customHeight="1" x14ac:dyDescent="0.3">
      <c r="A611" s="10"/>
      <c r="B611" s="168"/>
      <c r="C611" s="169"/>
      <c r="D611" s="160"/>
      <c r="E611" s="161"/>
      <c r="F611" s="162"/>
      <c r="G611" s="163"/>
      <c r="H611" s="164"/>
      <c r="I611" s="163"/>
      <c r="J611" s="164"/>
      <c r="K611" s="163"/>
      <c r="L611" s="164"/>
      <c r="M611" s="11"/>
      <c r="N611" s="39"/>
      <c r="Q611" s="15" t="str">
        <f>+CONCATENATE(E610,I610)</f>
        <v/>
      </c>
      <c r="R611" s="15">
        <f>+J610</f>
        <v>0</v>
      </c>
      <c r="S611" s="16"/>
      <c r="T611" s="15">
        <f>+E610</f>
        <v>0</v>
      </c>
      <c r="U611" s="26" t="str">
        <f>IFERROR(LEFT(I610,FIND("*",I610)-1),"-")</f>
        <v>-</v>
      </c>
      <c r="V611" s="26" t="str">
        <f>IFERROR(RIGHT(I610,LEN(I610)-FIND("*",I610)),"-")</f>
        <v>-</v>
      </c>
      <c r="W611" s="27" t="str">
        <f t="shared" si="328"/>
        <v>-</v>
      </c>
      <c r="X611" s="27" t="str">
        <f>IFERROR(W611*J610,"-")</f>
        <v>-</v>
      </c>
      <c r="Z611" s="94" t="s">
        <v>81</v>
      </c>
    </row>
    <row r="612" spans="1:26" s="25" customFormat="1" ht="6.95" customHeight="1" x14ac:dyDescent="0.3">
      <c r="A612" s="10"/>
      <c r="B612" s="168"/>
      <c r="C612" s="169"/>
      <c r="D612" s="160"/>
      <c r="E612" s="161"/>
      <c r="F612" s="162"/>
      <c r="G612" s="163"/>
      <c r="H612" s="164"/>
      <c r="I612" s="163"/>
      <c r="J612" s="164"/>
      <c r="K612" s="163"/>
      <c r="L612" s="164"/>
      <c r="M612" s="11"/>
      <c r="N612" s="39"/>
      <c r="Q612" s="15" t="str">
        <f>+CONCATENATE(E610,K610)</f>
        <v/>
      </c>
      <c r="R612" s="15">
        <f>+L610</f>
        <v>0</v>
      </c>
      <c r="S612" s="16"/>
      <c r="T612" s="15">
        <f>+E610</f>
        <v>0</v>
      </c>
      <c r="U612" s="26" t="str">
        <f>IFERROR(LEFT(K610,FIND("*",K610)-1),"-")</f>
        <v>-</v>
      </c>
      <c r="V612" s="26" t="str">
        <f>IFERROR(RIGHT(K610,LEN(K610)-FIND("*",K610)),"-")</f>
        <v>-</v>
      </c>
      <c r="W612" s="27" t="str">
        <f t="shared" si="328"/>
        <v>-</v>
      </c>
      <c r="X612" s="27" t="str">
        <f>IFERROR(W612*L610,"-")</f>
        <v>-</v>
      </c>
      <c r="Z612" s="94" t="s">
        <v>81</v>
      </c>
    </row>
    <row r="613" spans="1:26" s="25" customFormat="1" ht="6.95" customHeight="1" x14ac:dyDescent="0.3">
      <c r="A613" s="13"/>
      <c r="B613" s="168"/>
      <c r="C613" s="169"/>
      <c r="D613" s="160" t="s">
        <v>39</v>
      </c>
      <c r="E613" s="161"/>
      <c r="F613" s="162" t="s">
        <v>40</v>
      </c>
      <c r="G613" s="163"/>
      <c r="H613" s="164"/>
      <c r="I613" s="163"/>
      <c r="J613" s="164"/>
      <c r="K613" s="163"/>
      <c r="L613" s="164"/>
      <c r="M613" s="11"/>
      <c r="N613" s="39"/>
      <c r="Q613" s="15" t="str">
        <f>+CONCATENATE(E613,G613)</f>
        <v/>
      </c>
      <c r="R613" s="15">
        <f>+H613</f>
        <v>0</v>
      </c>
      <c r="S613" s="16"/>
      <c r="T613" s="15">
        <f>+E613</f>
        <v>0</v>
      </c>
      <c r="U613" s="26" t="str">
        <f t="shared" ref="U613" si="331">IFERROR(LEFT(G613,FIND("*",G613)-1),"-")</f>
        <v>-</v>
      </c>
      <c r="V613" s="26" t="str">
        <f t="shared" ref="V613" si="332">IFERROR(RIGHT(G613,LEN(G613)-FIND("*",G613)),"-")</f>
        <v>-</v>
      </c>
      <c r="W613" s="27" t="str">
        <f t="shared" si="328"/>
        <v>-</v>
      </c>
      <c r="X613" s="27" t="str">
        <f>IFERROR(W613*H613,"-")</f>
        <v>-</v>
      </c>
      <c r="Z613" s="94" t="s">
        <v>81</v>
      </c>
    </row>
    <row r="614" spans="1:26" s="25" customFormat="1" ht="6.95" customHeight="1" x14ac:dyDescent="0.3">
      <c r="A614" s="10"/>
      <c r="B614" s="168"/>
      <c r="C614" s="169"/>
      <c r="D614" s="160"/>
      <c r="E614" s="161"/>
      <c r="F614" s="162"/>
      <c r="G614" s="163"/>
      <c r="H614" s="164"/>
      <c r="I614" s="163"/>
      <c r="J614" s="164"/>
      <c r="K614" s="163"/>
      <c r="L614" s="164"/>
      <c r="M614" s="11"/>
      <c r="N614" s="39"/>
      <c r="Q614" s="15" t="str">
        <f>+CONCATENATE(E613,I613)</f>
        <v/>
      </c>
      <c r="R614" s="15">
        <f>+J613</f>
        <v>0</v>
      </c>
      <c r="S614" s="16"/>
      <c r="T614" s="15">
        <f>+E613</f>
        <v>0</v>
      </c>
      <c r="U614" s="26" t="str">
        <f>IFERROR(LEFT(I613,FIND("*",I613)-1),"-")</f>
        <v>-</v>
      </c>
      <c r="V614" s="26" t="str">
        <f>IFERROR(RIGHT(I613,LEN(I613)-FIND("*",I613)),"-")</f>
        <v>-</v>
      </c>
      <c r="W614" s="27" t="str">
        <f t="shared" si="328"/>
        <v>-</v>
      </c>
      <c r="X614" s="27" t="str">
        <f t="shared" ref="X614" si="333">IFERROR(W614*J613,"-")</f>
        <v>-</v>
      </c>
      <c r="Z614" s="94" t="s">
        <v>81</v>
      </c>
    </row>
    <row r="615" spans="1:26" s="25" customFormat="1" ht="6.95" customHeight="1" x14ac:dyDescent="0.3">
      <c r="A615" s="10"/>
      <c r="B615" s="168"/>
      <c r="C615" s="169"/>
      <c r="D615" s="160"/>
      <c r="E615" s="161"/>
      <c r="F615" s="162"/>
      <c r="G615" s="163"/>
      <c r="H615" s="164"/>
      <c r="I615" s="163"/>
      <c r="J615" s="164"/>
      <c r="K615" s="163"/>
      <c r="L615" s="164"/>
      <c r="M615" s="11"/>
      <c r="N615" s="39"/>
      <c r="Q615" s="15" t="str">
        <f>+CONCATENATE(E613,K613)</f>
        <v/>
      </c>
      <c r="R615" s="15">
        <f>+L613</f>
        <v>0</v>
      </c>
      <c r="S615" s="16"/>
      <c r="T615" s="15">
        <f>+E613</f>
        <v>0</v>
      </c>
      <c r="U615" s="26" t="str">
        <f>IFERROR(LEFT(K613,FIND("*",K613)-1),"-")</f>
        <v>-</v>
      </c>
      <c r="V615" s="26" t="str">
        <f>IFERROR(RIGHT(K613,LEN(K613)-FIND("*",K613)),"-")</f>
        <v>-</v>
      </c>
      <c r="W615" s="27" t="str">
        <f t="shared" si="328"/>
        <v>-</v>
      </c>
      <c r="X615" s="27" t="str">
        <f>IFERROR(W615*L613,"-")</f>
        <v>-</v>
      </c>
      <c r="Z615" s="94" t="s">
        <v>81</v>
      </c>
    </row>
    <row r="616" spans="1:26" s="25" customFormat="1" ht="21" customHeight="1" thickBot="1" x14ac:dyDescent="0.35">
      <c r="A616" s="10"/>
      <c r="B616" s="170"/>
      <c r="C616" s="171"/>
      <c r="D616" s="172" t="s">
        <v>43</v>
      </c>
      <c r="E616" s="173"/>
      <c r="F616" s="173"/>
      <c r="G616" s="174"/>
      <c r="H616" s="174"/>
      <c r="I616" s="174"/>
      <c r="J616" s="174"/>
      <c r="K616" s="174"/>
      <c r="L616" s="174"/>
      <c r="M616" s="12"/>
      <c r="N616" s="39"/>
      <c r="U616" s="23"/>
      <c r="V616" s="23"/>
      <c r="Z616" s="95" t="s">
        <v>81</v>
      </c>
    </row>
    <row r="617" spans="1:26" s="25" customFormat="1" ht="9.9499999999999993" customHeight="1" thickBot="1" x14ac:dyDescent="0.35">
      <c r="A617" s="6"/>
      <c r="B617" s="14"/>
      <c r="C617" s="119">
        <v>817</v>
      </c>
      <c r="D617" s="58"/>
      <c r="E617" s="17"/>
      <c r="F617" s="58"/>
      <c r="G617" s="19"/>
      <c r="H617" s="19"/>
      <c r="I617" s="19"/>
      <c r="J617" s="19"/>
      <c r="K617" s="19"/>
      <c r="L617" s="19"/>
      <c r="M617" s="14"/>
      <c r="N617" s="39"/>
      <c r="Q617" s="1"/>
      <c r="R617" s="1"/>
      <c r="S617" s="1"/>
      <c r="T617" s="1"/>
      <c r="U617" s="24"/>
      <c r="V617" s="24"/>
      <c r="W617" s="1"/>
      <c r="X617" s="1"/>
      <c r="Z617" s="94" t="s">
        <v>81</v>
      </c>
    </row>
    <row r="618" spans="1:26" s="25" customFormat="1" ht="6.95" customHeight="1" x14ac:dyDescent="0.3">
      <c r="A618" s="165">
        <f>+A607+1</f>
        <v>57</v>
      </c>
      <c r="B618" s="166"/>
      <c r="C618" s="167"/>
      <c r="D618" s="160" t="s">
        <v>39</v>
      </c>
      <c r="E618" s="161"/>
      <c r="F618" s="162" t="s">
        <v>40</v>
      </c>
      <c r="G618" s="163"/>
      <c r="H618" s="164"/>
      <c r="I618" s="163"/>
      <c r="J618" s="164"/>
      <c r="K618" s="163"/>
      <c r="L618" s="164"/>
      <c r="M618" s="11"/>
      <c r="N618" s="39"/>
      <c r="Q618" s="15" t="str">
        <f>+CONCATENATE(E618,G618)</f>
        <v/>
      </c>
      <c r="R618" s="15">
        <f>+H618</f>
        <v>0</v>
      </c>
      <c r="S618" s="16"/>
      <c r="T618" s="15">
        <f>+E618</f>
        <v>0</v>
      </c>
      <c r="U618" s="26" t="str">
        <f>IFERROR(LEFT(G618,FIND("*",G618)-1),"-")</f>
        <v>-</v>
      </c>
      <c r="V618" s="26" t="str">
        <f>IFERROR(RIGHT(G618,LEN(G618)-FIND("*",G618)),"-")</f>
        <v>-</v>
      </c>
      <c r="W618" s="27" t="str">
        <f>IFERROR((U618+V618)*2/1000,"-")</f>
        <v>-</v>
      </c>
      <c r="X618" s="27" t="str">
        <f>IFERROR(W618*H618,"-")</f>
        <v>-</v>
      </c>
      <c r="Z618" s="94" t="s">
        <v>81</v>
      </c>
    </row>
    <row r="619" spans="1:26" s="25" customFormat="1" ht="6.95" customHeight="1" x14ac:dyDescent="0.3">
      <c r="A619" s="165"/>
      <c r="B619" s="168"/>
      <c r="C619" s="169"/>
      <c r="D619" s="160"/>
      <c r="E619" s="161"/>
      <c r="F619" s="162"/>
      <c r="G619" s="163"/>
      <c r="H619" s="164"/>
      <c r="I619" s="163"/>
      <c r="J619" s="164"/>
      <c r="K619" s="163"/>
      <c r="L619" s="164"/>
      <c r="M619" s="11"/>
      <c r="N619" s="39"/>
      <c r="Q619" s="15" t="str">
        <f>+CONCATENATE(E618,I618)</f>
        <v/>
      </c>
      <c r="R619" s="15">
        <f>+J618</f>
        <v>0</v>
      </c>
      <c r="S619" s="16"/>
      <c r="T619" s="15">
        <f>+E618</f>
        <v>0</v>
      </c>
      <c r="U619" s="26" t="str">
        <f>IFERROR(LEFT(I618,FIND("*",I618)-1),"-")</f>
        <v>-</v>
      </c>
      <c r="V619" s="26" t="str">
        <f>IFERROR(RIGHT(I618,LEN(I618)-FIND("*",I618)),"-")</f>
        <v>-</v>
      </c>
      <c r="W619" s="27" t="str">
        <f t="shared" ref="W619:W626" si="334">IFERROR((U619+V619)*2/1000,"-")</f>
        <v>-</v>
      </c>
      <c r="X619" s="27" t="str">
        <f>IFERROR(W619*J618,"-")</f>
        <v>-</v>
      </c>
      <c r="Z619" s="94" t="s">
        <v>81</v>
      </c>
    </row>
    <row r="620" spans="1:26" s="25" customFormat="1" ht="6.95" customHeight="1" x14ac:dyDescent="0.3">
      <c r="A620" s="165"/>
      <c r="B620" s="168"/>
      <c r="C620" s="169"/>
      <c r="D620" s="160"/>
      <c r="E620" s="161"/>
      <c r="F620" s="162"/>
      <c r="G620" s="163"/>
      <c r="H620" s="164"/>
      <c r="I620" s="163"/>
      <c r="J620" s="164"/>
      <c r="K620" s="163"/>
      <c r="L620" s="164"/>
      <c r="M620" s="11"/>
      <c r="N620" s="39"/>
      <c r="Q620" s="15" t="str">
        <f>+CONCATENATE(E618,K618)</f>
        <v/>
      </c>
      <c r="R620" s="15">
        <f>+L618</f>
        <v>0</v>
      </c>
      <c r="S620" s="16"/>
      <c r="T620" s="15">
        <f>+E618</f>
        <v>0</v>
      </c>
      <c r="U620" s="26" t="str">
        <f>IFERROR(LEFT(K618,FIND("*",K618)-1),"-")</f>
        <v>-</v>
      </c>
      <c r="V620" s="26" t="str">
        <f>IFERROR(RIGHT(K618,LEN(K618)-FIND("*",K618)),"-")</f>
        <v>-</v>
      </c>
      <c r="W620" s="27" t="str">
        <f t="shared" si="334"/>
        <v>-</v>
      </c>
      <c r="X620" s="27" t="str">
        <f>IFERROR(W620*L618,"-")</f>
        <v>-</v>
      </c>
      <c r="Z620" s="94" t="s">
        <v>81</v>
      </c>
    </row>
    <row r="621" spans="1:26" s="25" customFormat="1" ht="6.95" customHeight="1" x14ac:dyDescent="0.3">
      <c r="A621" s="13"/>
      <c r="B621" s="168"/>
      <c r="C621" s="169"/>
      <c r="D621" s="160" t="s">
        <v>39</v>
      </c>
      <c r="E621" s="161"/>
      <c r="F621" s="162" t="s">
        <v>40</v>
      </c>
      <c r="G621" s="163"/>
      <c r="H621" s="164"/>
      <c r="I621" s="163"/>
      <c r="J621" s="164"/>
      <c r="K621" s="163"/>
      <c r="L621" s="164"/>
      <c r="M621" s="11"/>
      <c r="N621" s="39"/>
      <c r="Q621" s="15" t="str">
        <f>+CONCATENATE(E621,G621)</f>
        <v/>
      </c>
      <c r="R621" s="15">
        <f>+H621</f>
        <v>0</v>
      </c>
      <c r="S621" s="16"/>
      <c r="T621" s="15">
        <f>+E621</f>
        <v>0</v>
      </c>
      <c r="U621" s="26" t="str">
        <f t="shared" ref="U621" si="335">IFERROR(LEFT(G621,FIND("*",G621)-1),"-")</f>
        <v>-</v>
      </c>
      <c r="V621" s="26" t="str">
        <f t="shared" ref="V621" si="336">IFERROR(RIGHT(G621,LEN(G621)-FIND("*",G621)),"-")</f>
        <v>-</v>
      </c>
      <c r="W621" s="27" t="str">
        <f t="shared" si="334"/>
        <v>-</v>
      </c>
      <c r="X621" s="27" t="str">
        <f>IFERROR(W621*H621,"-")</f>
        <v>-</v>
      </c>
      <c r="Z621" s="94" t="s">
        <v>81</v>
      </c>
    </row>
    <row r="622" spans="1:26" s="25" customFormat="1" ht="6.95" customHeight="1" x14ac:dyDescent="0.3">
      <c r="A622" s="10"/>
      <c r="B622" s="168"/>
      <c r="C622" s="169"/>
      <c r="D622" s="160"/>
      <c r="E622" s="161"/>
      <c r="F622" s="162"/>
      <c r="G622" s="163"/>
      <c r="H622" s="164"/>
      <c r="I622" s="163"/>
      <c r="J622" s="164"/>
      <c r="K622" s="163"/>
      <c r="L622" s="164"/>
      <c r="M622" s="11"/>
      <c r="N622" s="39"/>
      <c r="Q622" s="15" t="str">
        <f>+CONCATENATE(E621,I621)</f>
        <v/>
      </c>
      <c r="R622" s="15">
        <f>+J621</f>
        <v>0</v>
      </c>
      <c r="S622" s="16"/>
      <c r="T622" s="15">
        <f>+E621</f>
        <v>0</v>
      </c>
      <c r="U622" s="26" t="str">
        <f>IFERROR(LEFT(I621,FIND("*",I621)-1),"-")</f>
        <v>-</v>
      </c>
      <c r="V622" s="26" t="str">
        <f>IFERROR(RIGHT(I621,LEN(I621)-FIND("*",I621)),"-")</f>
        <v>-</v>
      </c>
      <c r="W622" s="27" t="str">
        <f t="shared" si="334"/>
        <v>-</v>
      </c>
      <c r="X622" s="27" t="str">
        <f>IFERROR(W622*J621,"-")</f>
        <v>-</v>
      </c>
      <c r="Z622" s="94" t="s">
        <v>81</v>
      </c>
    </row>
    <row r="623" spans="1:26" s="25" customFormat="1" ht="6.95" customHeight="1" x14ac:dyDescent="0.3">
      <c r="A623" s="10"/>
      <c r="B623" s="168"/>
      <c r="C623" s="169"/>
      <c r="D623" s="160"/>
      <c r="E623" s="161"/>
      <c r="F623" s="162"/>
      <c r="G623" s="163"/>
      <c r="H623" s="164"/>
      <c r="I623" s="163"/>
      <c r="J623" s="164"/>
      <c r="K623" s="163"/>
      <c r="L623" s="164"/>
      <c r="M623" s="11"/>
      <c r="N623" s="39"/>
      <c r="Q623" s="15" t="str">
        <f>+CONCATENATE(E621,K621)</f>
        <v/>
      </c>
      <c r="R623" s="15">
        <f>+L621</f>
        <v>0</v>
      </c>
      <c r="S623" s="16"/>
      <c r="T623" s="15">
        <f>+E621</f>
        <v>0</v>
      </c>
      <c r="U623" s="26" t="str">
        <f>IFERROR(LEFT(K621,FIND("*",K621)-1),"-")</f>
        <v>-</v>
      </c>
      <c r="V623" s="26" t="str">
        <f>IFERROR(RIGHT(K621,LEN(K621)-FIND("*",K621)),"-")</f>
        <v>-</v>
      </c>
      <c r="W623" s="27" t="str">
        <f t="shared" si="334"/>
        <v>-</v>
      </c>
      <c r="X623" s="27" t="str">
        <f>IFERROR(W623*L621,"-")</f>
        <v>-</v>
      </c>
      <c r="Z623" s="94" t="s">
        <v>81</v>
      </c>
    </row>
    <row r="624" spans="1:26" s="25" customFormat="1" ht="6.95" customHeight="1" x14ac:dyDescent="0.3">
      <c r="A624" s="13"/>
      <c r="B624" s="168"/>
      <c r="C624" s="169"/>
      <c r="D624" s="160" t="s">
        <v>39</v>
      </c>
      <c r="E624" s="161"/>
      <c r="F624" s="162" t="s">
        <v>40</v>
      </c>
      <c r="G624" s="163"/>
      <c r="H624" s="164"/>
      <c r="I624" s="163"/>
      <c r="J624" s="164"/>
      <c r="K624" s="163"/>
      <c r="L624" s="164"/>
      <c r="M624" s="11"/>
      <c r="N624" s="39"/>
      <c r="Q624" s="15" t="str">
        <f>+CONCATENATE(E624,G624)</f>
        <v/>
      </c>
      <c r="R624" s="15">
        <f>+H624</f>
        <v>0</v>
      </c>
      <c r="S624" s="16"/>
      <c r="T624" s="15">
        <f>+E624</f>
        <v>0</v>
      </c>
      <c r="U624" s="26" t="str">
        <f t="shared" ref="U624" si="337">IFERROR(LEFT(G624,FIND("*",G624)-1),"-")</f>
        <v>-</v>
      </c>
      <c r="V624" s="26" t="str">
        <f t="shared" ref="V624" si="338">IFERROR(RIGHT(G624,LEN(G624)-FIND("*",G624)),"-")</f>
        <v>-</v>
      </c>
      <c r="W624" s="27" t="str">
        <f t="shared" si="334"/>
        <v>-</v>
      </c>
      <c r="X624" s="27" t="str">
        <f>IFERROR(W624*H624,"-")</f>
        <v>-</v>
      </c>
      <c r="Z624" s="94" t="s">
        <v>81</v>
      </c>
    </row>
    <row r="625" spans="1:26" s="25" customFormat="1" ht="6.95" customHeight="1" x14ac:dyDescent="0.3">
      <c r="A625" s="10"/>
      <c r="B625" s="168"/>
      <c r="C625" s="169"/>
      <c r="D625" s="160"/>
      <c r="E625" s="161"/>
      <c r="F625" s="162"/>
      <c r="G625" s="163"/>
      <c r="H625" s="164"/>
      <c r="I625" s="163"/>
      <c r="J625" s="164"/>
      <c r="K625" s="163"/>
      <c r="L625" s="164"/>
      <c r="M625" s="11"/>
      <c r="N625" s="39"/>
      <c r="Q625" s="15" t="str">
        <f>+CONCATENATE(E624,I624)</f>
        <v/>
      </c>
      <c r="R625" s="15">
        <f>+J624</f>
        <v>0</v>
      </c>
      <c r="S625" s="16"/>
      <c r="T625" s="15">
        <f>+E624</f>
        <v>0</v>
      </c>
      <c r="U625" s="26" t="str">
        <f>IFERROR(LEFT(I624,FIND("*",I624)-1),"-")</f>
        <v>-</v>
      </c>
      <c r="V625" s="26" t="str">
        <f>IFERROR(RIGHT(I624,LEN(I624)-FIND("*",I624)),"-")</f>
        <v>-</v>
      </c>
      <c r="W625" s="27" t="str">
        <f t="shared" si="334"/>
        <v>-</v>
      </c>
      <c r="X625" s="27" t="str">
        <f t="shared" ref="X625" si="339">IFERROR(W625*J624,"-")</f>
        <v>-</v>
      </c>
      <c r="Z625" s="94" t="s">
        <v>81</v>
      </c>
    </row>
    <row r="626" spans="1:26" s="25" customFormat="1" ht="6.95" customHeight="1" x14ac:dyDescent="0.3">
      <c r="A626" s="10"/>
      <c r="B626" s="168"/>
      <c r="C626" s="169"/>
      <c r="D626" s="160"/>
      <c r="E626" s="161"/>
      <c r="F626" s="162"/>
      <c r="G626" s="163"/>
      <c r="H626" s="164"/>
      <c r="I626" s="163"/>
      <c r="J626" s="164"/>
      <c r="K626" s="163"/>
      <c r="L626" s="164"/>
      <c r="M626" s="11"/>
      <c r="N626" s="39"/>
      <c r="Q626" s="15" t="str">
        <f>+CONCATENATE(E624,K624)</f>
        <v/>
      </c>
      <c r="R626" s="15">
        <f>+L624</f>
        <v>0</v>
      </c>
      <c r="S626" s="16"/>
      <c r="T626" s="15">
        <f>+E624</f>
        <v>0</v>
      </c>
      <c r="U626" s="26" t="str">
        <f>IFERROR(LEFT(K624,FIND("*",K624)-1),"-")</f>
        <v>-</v>
      </c>
      <c r="V626" s="26" t="str">
        <f>IFERROR(RIGHT(K624,LEN(K624)-FIND("*",K624)),"-")</f>
        <v>-</v>
      </c>
      <c r="W626" s="27" t="str">
        <f t="shared" si="334"/>
        <v>-</v>
      </c>
      <c r="X626" s="27" t="str">
        <f>IFERROR(W626*L624,"-")</f>
        <v>-</v>
      </c>
      <c r="Z626" s="94" t="s">
        <v>81</v>
      </c>
    </row>
    <row r="627" spans="1:26" s="25" customFormat="1" ht="21" customHeight="1" thickBot="1" x14ac:dyDescent="0.35">
      <c r="A627" s="10"/>
      <c r="B627" s="170"/>
      <c r="C627" s="171"/>
      <c r="D627" s="172" t="s">
        <v>43</v>
      </c>
      <c r="E627" s="173"/>
      <c r="F627" s="173"/>
      <c r="G627" s="174"/>
      <c r="H627" s="174"/>
      <c r="I627" s="174"/>
      <c r="J627" s="174"/>
      <c r="K627" s="174"/>
      <c r="L627" s="174"/>
      <c r="M627" s="12"/>
      <c r="N627" s="39"/>
      <c r="U627" s="23"/>
      <c r="V627" s="23"/>
      <c r="Z627" s="95" t="s">
        <v>81</v>
      </c>
    </row>
    <row r="628" spans="1:26" s="25" customFormat="1" ht="9.9499999999999993" customHeight="1" thickBot="1" x14ac:dyDescent="0.35">
      <c r="A628" s="6"/>
      <c r="B628" s="14"/>
      <c r="C628" s="119">
        <v>818</v>
      </c>
      <c r="D628" s="58"/>
      <c r="E628" s="17"/>
      <c r="F628" s="58"/>
      <c r="G628" s="19"/>
      <c r="H628" s="19"/>
      <c r="I628" s="19"/>
      <c r="J628" s="19"/>
      <c r="K628" s="19"/>
      <c r="L628" s="19"/>
      <c r="M628" s="14"/>
      <c r="N628" s="39"/>
      <c r="Q628" s="1"/>
      <c r="R628" s="1"/>
      <c r="S628" s="1"/>
      <c r="T628" s="1"/>
      <c r="U628" s="24"/>
      <c r="V628" s="24"/>
      <c r="W628" s="1"/>
      <c r="X628" s="1"/>
      <c r="Z628" s="94" t="s">
        <v>81</v>
      </c>
    </row>
    <row r="629" spans="1:26" s="25" customFormat="1" ht="6.95" customHeight="1" x14ac:dyDescent="0.3">
      <c r="A629" s="165">
        <f>+A618+1</f>
        <v>58</v>
      </c>
      <c r="B629" s="166"/>
      <c r="C629" s="167"/>
      <c r="D629" s="160" t="s">
        <v>39</v>
      </c>
      <c r="E629" s="161"/>
      <c r="F629" s="162" t="s">
        <v>40</v>
      </c>
      <c r="G629" s="163"/>
      <c r="H629" s="164"/>
      <c r="I629" s="163"/>
      <c r="J629" s="164"/>
      <c r="K629" s="163"/>
      <c r="L629" s="164"/>
      <c r="M629" s="11"/>
      <c r="N629" s="39"/>
      <c r="Q629" s="15" t="str">
        <f>+CONCATENATE(E629,G629)</f>
        <v/>
      </c>
      <c r="R629" s="15">
        <f>+H629</f>
        <v>0</v>
      </c>
      <c r="S629" s="16"/>
      <c r="T629" s="15">
        <f>+E629</f>
        <v>0</v>
      </c>
      <c r="U629" s="26" t="str">
        <f>IFERROR(LEFT(G629,FIND("*",G629)-1),"-")</f>
        <v>-</v>
      </c>
      <c r="V629" s="26" t="str">
        <f>IFERROR(RIGHT(G629,LEN(G629)-FIND("*",G629)),"-")</f>
        <v>-</v>
      </c>
      <c r="W629" s="27" t="str">
        <f>IFERROR((U629+V629)*2/1000,"-")</f>
        <v>-</v>
      </c>
      <c r="X629" s="27" t="str">
        <f>IFERROR(W629*H629,"-")</f>
        <v>-</v>
      </c>
      <c r="Z629" s="94" t="s">
        <v>81</v>
      </c>
    </row>
    <row r="630" spans="1:26" s="25" customFormat="1" ht="6.95" customHeight="1" x14ac:dyDescent="0.3">
      <c r="A630" s="165"/>
      <c r="B630" s="168"/>
      <c r="C630" s="169"/>
      <c r="D630" s="160"/>
      <c r="E630" s="161"/>
      <c r="F630" s="162"/>
      <c r="G630" s="163"/>
      <c r="H630" s="164"/>
      <c r="I630" s="163"/>
      <c r="J630" s="164"/>
      <c r="K630" s="163"/>
      <c r="L630" s="164"/>
      <c r="M630" s="11"/>
      <c r="N630" s="39"/>
      <c r="Q630" s="15" t="str">
        <f>+CONCATENATE(E629,I629)</f>
        <v/>
      </c>
      <c r="R630" s="15">
        <f>+J629</f>
        <v>0</v>
      </c>
      <c r="S630" s="16"/>
      <c r="T630" s="15">
        <f>+E629</f>
        <v>0</v>
      </c>
      <c r="U630" s="26" t="str">
        <f>IFERROR(LEFT(I629,FIND("*",I629)-1),"-")</f>
        <v>-</v>
      </c>
      <c r="V630" s="26" t="str">
        <f>IFERROR(RIGHT(I629,LEN(I629)-FIND("*",I629)),"-")</f>
        <v>-</v>
      </c>
      <c r="W630" s="27" t="str">
        <f t="shared" ref="W630:W637" si="340">IFERROR((U630+V630)*2/1000,"-")</f>
        <v>-</v>
      </c>
      <c r="X630" s="27" t="str">
        <f>IFERROR(W630*J629,"-")</f>
        <v>-</v>
      </c>
      <c r="Z630" s="94" t="s">
        <v>81</v>
      </c>
    </row>
    <row r="631" spans="1:26" s="25" customFormat="1" ht="6.95" customHeight="1" x14ac:dyDescent="0.3">
      <c r="A631" s="165"/>
      <c r="B631" s="168"/>
      <c r="C631" s="169"/>
      <c r="D631" s="160"/>
      <c r="E631" s="161"/>
      <c r="F631" s="162"/>
      <c r="G631" s="163"/>
      <c r="H631" s="164"/>
      <c r="I631" s="163"/>
      <c r="J631" s="164"/>
      <c r="K631" s="163"/>
      <c r="L631" s="164"/>
      <c r="M631" s="11"/>
      <c r="N631" s="39"/>
      <c r="Q631" s="15" t="str">
        <f>+CONCATENATE(E629,K629)</f>
        <v/>
      </c>
      <c r="R631" s="15">
        <f>+L629</f>
        <v>0</v>
      </c>
      <c r="S631" s="16"/>
      <c r="T631" s="15">
        <f>+E629</f>
        <v>0</v>
      </c>
      <c r="U631" s="26" t="str">
        <f>IFERROR(LEFT(K629,FIND("*",K629)-1),"-")</f>
        <v>-</v>
      </c>
      <c r="V631" s="26" t="str">
        <f>IFERROR(RIGHT(K629,LEN(K629)-FIND("*",K629)),"-")</f>
        <v>-</v>
      </c>
      <c r="W631" s="27" t="str">
        <f t="shared" si="340"/>
        <v>-</v>
      </c>
      <c r="X631" s="27" t="str">
        <f>IFERROR(W631*L629,"-")</f>
        <v>-</v>
      </c>
      <c r="Z631" s="94" t="s">
        <v>81</v>
      </c>
    </row>
    <row r="632" spans="1:26" s="25" customFormat="1" ht="6.95" customHeight="1" x14ac:dyDescent="0.3">
      <c r="A632" s="13"/>
      <c r="B632" s="168"/>
      <c r="C632" s="169"/>
      <c r="D632" s="160" t="s">
        <v>39</v>
      </c>
      <c r="E632" s="161"/>
      <c r="F632" s="162" t="s">
        <v>40</v>
      </c>
      <c r="G632" s="163"/>
      <c r="H632" s="164"/>
      <c r="I632" s="163"/>
      <c r="J632" s="164"/>
      <c r="K632" s="163"/>
      <c r="L632" s="164"/>
      <c r="M632" s="11"/>
      <c r="N632" s="39"/>
      <c r="Q632" s="15" t="str">
        <f>+CONCATENATE(E632,G632)</f>
        <v/>
      </c>
      <c r="R632" s="15">
        <f>+H632</f>
        <v>0</v>
      </c>
      <c r="S632" s="16"/>
      <c r="T632" s="15">
        <f>+E632</f>
        <v>0</v>
      </c>
      <c r="U632" s="26" t="str">
        <f t="shared" ref="U632" si="341">IFERROR(LEFT(G632,FIND("*",G632)-1),"-")</f>
        <v>-</v>
      </c>
      <c r="V632" s="26" t="str">
        <f t="shared" ref="V632" si="342">IFERROR(RIGHT(G632,LEN(G632)-FIND("*",G632)),"-")</f>
        <v>-</v>
      </c>
      <c r="W632" s="27" t="str">
        <f t="shared" si="340"/>
        <v>-</v>
      </c>
      <c r="X632" s="27" t="str">
        <f>IFERROR(W632*H632,"-")</f>
        <v>-</v>
      </c>
      <c r="Z632" s="94" t="s">
        <v>81</v>
      </c>
    </row>
    <row r="633" spans="1:26" s="25" customFormat="1" ht="6.95" customHeight="1" x14ac:dyDescent="0.3">
      <c r="A633" s="10"/>
      <c r="B633" s="168"/>
      <c r="C633" s="169"/>
      <c r="D633" s="160"/>
      <c r="E633" s="161"/>
      <c r="F633" s="162"/>
      <c r="G633" s="163"/>
      <c r="H633" s="164"/>
      <c r="I633" s="163"/>
      <c r="J633" s="164"/>
      <c r="K633" s="163"/>
      <c r="L633" s="164"/>
      <c r="M633" s="11"/>
      <c r="N633" s="39"/>
      <c r="Q633" s="15" t="str">
        <f>+CONCATENATE(E632,I632)</f>
        <v/>
      </c>
      <c r="R633" s="15">
        <f>+J632</f>
        <v>0</v>
      </c>
      <c r="S633" s="16"/>
      <c r="T633" s="15">
        <f>+E632</f>
        <v>0</v>
      </c>
      <c r="U633" s="26" t="str">
        <f>IFERROR(LEFT(I632,FIND("*",I632)-1),"-")</f>
        <v>-</v>
      </c>
      <c r="V633" s="26" t="str">
        <f>IFERROR(RIGHT(I632,LEN(I632)-FIND("*",I632)),"-")</f>
        <v>-</v>
      </c>
      <c r="W633" s="27" t="str">
        <f t="shared" si="340"/>
        <v>-</v>
      </c>
      <c r="X633" s="27" t="str">
        <f>IFERROR(W633*J632,"-")</f>
        <v>-</v>
      </c>
      <c r="Z633" s="94" t="s">
        <v>81</v>
      </c>
    </row>
    <row r="634" spans="1:26" s="25" customFormat="1" ht="6.95" customHeight="1" x14ac:dyDescent="0.3">
      <c r="A634" s="10"/>
      <c r="B634" s="168"/>
      <c r="C634" s="169"/>
      <c r="D634" s="160"/>
      <c r="E634" s="161"/>
      <c r="F634" s="162"/>
      <c r="G634" s="163"/>
      <c r="H634" s="164"/>
      <c r="I634" s="163"/>
      <c r="J634" s="164"/>
      <c r="K634" s="163"/>
      <c r="L634" s="164"/>
      <c r="M634" s="11"/>
      <c r="N634" s="39"/>
      <c r="Q634" s="15" t="str">
        <f>+CONCATENATE(E632,K632)</f>
        <v/>
      </c>
      <c r="R634" s="15">
        <f>+L632</f>
        <v>0</v>
      </c>
      <c r="S634" s="16"/>
      <c r="T634" s="15">
        <f>+E632</f>
        <v>0</v>
      </c>
      <c r="U634" s="26" t="str">
        <f>IFERROR(LEFT(K632,FIND("*",K632)-1),"-")</f>
        <v>-</v>
      </c>
      <c r="V634" s="26" t="str">
        <f>IFERROR(RIGHT(K632,LEN(K632)-FIND("*",K632)),"-")</f>
        <v>-</v>
      </c>
      <c r="W634" s="27" t="str">
        <f t="shared" si="340"/>
        <v>-</v>
      </c>
      <c r="X634" s="27" t="str">
        <f>IFERROR(W634*L632,"-")</f>
        <v>-</v>
      </c>
      <c r="Z634" s="94" t="s">
        <v>81</v>
      </c>
    </row>
    <row r="635" spans="1:26" s="25" customFormat="1" ht="6.95" customHeight="1" x14ac:dyDescent="0.3">
      <c r="A635" s="13"/>
      <c r="B635" s="168"/>
      <c r="C635" s="169"/>
      <c r="D635" s="160" t="s">
        <v>39</v>
      </c>
      <c r="E635" s="161"/>
      <c r="F635" s="162" t="s">
        <v>40</v>
      </c>
      <c r="G635" s="163"/>
      <c r="H635" s="164"/>
      <c r="I635" s="163"/>
      <c r="J635" s="164"/>
      <c r="K635" s="163"/>
      <c r="L635" s="164"/>
      <c r="M635" s="11"/>
      <c r="N635" s="39"/>
      <c r="Q635" s="15" t="str">
        <f>+CONCATENATE(E635,G635)</f>
        <v/>
      </c>
      <c r="R635" s="15">
        <f>+H635</f>
        <v>0</v>
      </c>
      <c r="S635" s="16"/>
      <c r="T635" s="15">
        <f>+E635</f>
        <v>0</v>
      </c>
      <c r="U635" s="26" t="str">
        <f t="shared" ref="U635" si="343">IFERROR(LEFT(G635,FIND("*",G635)-1),"-")</f>
        <v>-</v>
      </c>
      <c r="V635" s="26" t="str">
        <f t="shared" ref="V635" si="344">IFERROR(RIGHT(G635,LEN(G635)-FIND("*",G635)),"-")</f>
        <v>-</v>
      </c>
      <c r="W635" s="27" t="str">
        <f t="shared" si="340"/>
        <v>-</v>
      </c>
      <c r="X635" s="27" t="str">
        <f>IFERROR(W635*H635,"-")</f>
        <v>-</v>
      </c>
      <c r="Z635" s="94" t="s">
        <v>81</v>
      </c>
    </row>
    <row r="636" spans="1:26" s="25" customFormat="1" ht="6.95" customHeight="1" x14ac:dyDescent="0.3">
      <c r="A636" s="10"/>
      <c r="B636" s="168"/>
      <c r="C636" s="169"/>
      <c r="D636" s="160"/>
      <c r="E636" s="161"/>
      <c r="F636" s="162"/>
      <c r="G636" s="163"/>
      <c r="H636" s="164"/>
      <c r="I636" s="163"/>
      <c r="J636" s="164"/>
      <c r="K636" s="163"/>
      <c r="L636" s="164"/>
      <c r="M636" s="11"/>
      <c r="N636" s="39"/>
      <c r="Q636" s="15" t="str">
        <f>+CONCATENATE(E635,I635)</f>
        <v/>
      </c>
      <c r="R636" s="15">
        <f>+J635</f>
        <v>0</v>
      </c>
      <c r="S636" s="16"/>
      <c r="T636" s="15">
        <f>+E635</f>
        <v>0</v>
      </c>
      <c r="U636" s="26" t="str">
        <f>IFERROR(LEFT(I635,FIND("*",I635)-1),"-")</f>
        <v>-</v>
      </c>
      <c r="V636" s="26" t="str">
        <f>IFERROR(RIGHT(I635,LEN(I635)-FIND("*",I635)),"-")</f>
        <v>-</v>
      </c>
      <c r="W636" s="27" t="str">
        <f t="shared" si="340"/>
        <v>-</v>
      </c>
      <c r="X636" s="27" t="str">
        <f t="shared" ref="X636" si="345">IFERROR(W636*J635,"-")</f>
        <v>-</v>
      </c>
      <c r="Z636" s="94" t="s">
        <v>81</v>
      </c>
    </row>
    <row r="637" spans="1:26" s="25" customFormat="1" ht="6.95" customHeight="1" x14ac:dyDescent="0.3">
      <c r="A637" s="10"/>
      <c r="B637" s="168"/>
      <c r="C637" s="169"/>
      <c r="D637" s="160"/>
      <c r="E637" s="161"/>
      <c r="F637" s="162"/>
      <c r="G637" s="163"/>
      <c r="H637" s="164"/>
      <c r="I637" s="163"/>
      <c r="J637" s="164"/>
      <c r="K637" s="163"/>
      <c r="L637" s="164"/>
      <c r="M637" s="11"/>
      <c r="N637" s="39"/>
      <c r="Q637" s="15" t="str">
        <f>+CONCATENATE(E635,K635)</f>
        <v/>
      </c>
      <c r="R637" s="15">
        <f>+L635</f>
        <v>0</v>
      </c>
      <c r="S637" s="16"/>
      <c r="T637" s="15">
        <f>+E635</f>
        <v>0</v>
      </c>
      <c r="U637" s="26" t="str">
        <f>IFERROR(LEFT(K635,FIND("*",K635)-1),"-")</f>
        <v>-</v>
      </c>
      <c r="V637" s="26" t="str">
        <f>IFERROR(RIGHT(K635,LEN(K635)-FIND("*",K635)),"-")</f>
        <v>-</v>
      </c>
      <c r="W637" s="27" t="str">
        <f t="shared" si="340"/>
        <v>-</v>
      </c>
      <c r="X637" s="27" t="str">
        <f>IFERROR(W637*L635,"-")</f>
        <v>-</v>
      </c>
      <c r="Z637" s="94" t="s">
        <v>81</v>
      </c>
    </row>
    <row r="638" spans="1:26" s="25" customFormat="1" ht="21" customHeight="1" thickBot="1" x14ac:dyDescent="0.35">
      <c r="A638" s="10"/>
      <c r="B638" s="170"/>
      <c r="C638" s="171"/>
      <c r="D638" s="172" t="s">
        <v>43</v>
      </c>
      <c r="E638" s="173"/>
      <c r="F638" s="173"/>
      <c r="G638" s="174"/>
      <c r="H638" s="174"/>
      <c r="I638" s="174"/>
      <c r="J638" s="174"/>
      <c r="K638" s="174"/>
      <c r="L638" s="174"/>
      <c r="M638" s="12"/>
      <c r="N638" s="39"/>
      <c r="U638" s="23"/>
      <c r="V638" s="23"/>
      <c r="Z638" s="95" t="s">
        <v>81</v>
      </c>
    </row>
    <row r="639" spans="1:26" s="25" customFormat="1" ht="9.9499999999999993" customHeight="1" thickBot="1" x14ac:dyDescent="0.35">
      <c r="A639" s="6"/>
      <c r="B639" s="14"/>
      <c r="C639" s="119">
        <v>819</v>
      </c>
      <c r="D639" s="58"/>
      <c r="E639" s="17"/>
      <c r="F639" s="58"/>
      <c r="G639" s="19"/>
      <c r="H639" s="19"/>
      <c r="I639" s="19"/>
      <c r="J639" s="19"/>
      <c r="K639" s="19"/>
      <c r="L639" s="19"/>
      <c r="M639" s="14"/>
      <c r="N639" s="39"/>
      <c r="Q639" s="1"/>
      <c r="R639" s="1"/>
      <c r="S639" s="1"/>
      <c r="T639" s="1"/>
      <c r="U639" s="24"/>
      <c r="V639" s="24"/>
      <c r="W639" s="1"/>
      <c r="X639" s="1"/>
      <c r="Z639" s="94" t="s">
        <v>81</v>
      </c>
    </row>
    <row r="640" spans="1:26" s="25" customFormat="1" ht="6.95" customHeight="1" x14ac:dyDescent="0.3">
      <c r="A640" s="165">
        <f>+A629+1</f>
        <v>59</v>
      </c>
      <c r="B640" s="166"/>
      <c r="C640" s="167"/>
      <c r="D640" s="160" t="s">
        <v>39</v>
      </c>
      <c r="E640" s="161"/>
      <c r="F640" s="162" t="s">
        <v>40</v>
      </c>
      <c r="G640" s="163"/>
      <c r="H640" s="164"/>
      <c r="I640" s="163"/>
      <c r="J640" s="164"/>
      <c r="K640" s="163"/>
      <c r="L640" s="164"/>
      <c r="M640" s="11"/>
      <c r="N640" s="39"/>
      <c r="Q640" s="15" t="str">
        <f>+CONCATENATE(E640,G640)</f>
        <v/>
      </c>
      <c r="R640" s="15">
        <f>+H640</f>
        <v>0</v>
      </c>
      <c r="S640" s="16"/>
      <c r="T640" s="15">
        <f>+E640</f>
        <v>0</v>
      </c>
      <c r="U640" s="26" t="str">
        <f>IFERROR(LEFT(G640,FIND("*",G640)-1),"-")</f>
        <v>-</v>
      </c>
      <c r="V640" s="26" t="str">
        <f>IFERROR(RIGHT(G640,LEN(G640)-FIND("*",G640)),"-")</f>
        <v>-</v>
      </c>
      <c r="W640" s="27" t="str">
        <f>IFERROR((U640+V640)*2/1000,"-")</f>
        <v>-</v>
      </c>
      <c r="X640" s="27" t="str">
        <f>IFERROR(W640*H640,"-")</f>
        <v>-</v>
      </c>
      <c r="Z640" s="94" t="s">
        <v>81</v>
      </c>
    </row>
    <row r="641" spans="1:26" s="25" customFormat="1" ht="6.95" customHeight="1" x14ac:dyDescent="0.3">
      <c r="A641" s="165"/>
      <c r="B641" s="168"/>
      <c r="C641" s="169"/>
      <c r="D641" s="160"/>
      <c r="E641" s="161"/>
      <c r="F641" s="162"/>
      <c r="G641" s="163"/>
      <c r="H641" s="164"/>
      <c r="I641" s="163"/>
      <c r="J641" s="164"/>
      <c r="K641" s="163"/>
      <c r="L641" s="164"/>
      <c r="M641" s="11"/>
      <c r="N641" s="39"/>
      <c r="Q641" s="15" t="str">
        <f>+CONCATENATE(E640,I640)</f>
        <v/>
      </c>
      <c r="R641" s="15">
        <f>+J640</f>
        <v>0</v>
      </c>
      <c r="S641" s="16"/>
      <c r="T641" s="15">
        <f>+E640</f>
        <v>0</v>
      </c>
      <c r="U641" s="26" t="str">
        <f>IFERROR(LEFT(I640,FIND("*",I640)-1),"-")</f>
        <v>-</v>
      </c>
      <c r="V641" s="26" t="str">
        <f>IFERROR(RIGHT(I640,LEN(I640)-FIND("*",I640)),"-")</f>
        <v>-</v>
      </c>
      <c r="W641" s="27" t="str">
        <f t="shared" ref="W641:W648" si="346">IFERROR((U641+V641)*2/1000,"-")</f>
        <v>-</v>
      </c>
      <c r="X641" s="27" t="str">
        <f>IFERROR(W641*J640,"-")</f>
        <v>-</v>
      </c>
      <c r="Z641" s="94" t="s">
        <v>81</v>
      </c>
    </row>
    <row r="642" spans="1:26" s="25" customFormat="1" ht="6.95" customHeight="1" x14ac:dyDescent="0.3">
      <c r="A642" s="165"/>
      <c r="B642" s="168"/>
      <c r="C642" s="169"/>
      <c r="D642" s="160"/>
      <c r="E642" s="161"/>
      <c r="F642" s="162"/>
      <c r="G642" s="163"/>
      <c r="H642" s="164"/>
      <c r="I642" s="163"/>
      <c r="J642" s="164"/>
      <c r="K642" s="163"/>
      <c r="L642" s="164"/>
      <c r="M642" s="11"/>
      <c r="N642" s="39"/>
      <c r="Q642" s="15" t="str">
        <f>+CONCATENATE(E640,K640)</f>
        <v/>
      </c>
      <c r="R642" s="15">
        <f>+L640</f>
        <v>0</v>
      </c>
      <c r="S642" s="16"/>
      <c r="T642" s="15">
        <f>+E640</f>
        <v>0</v>
      </c>
      <c r="U642" s="26" t="str">
        <f>IFERROR(LEFT(K640,FIND("*",K640)-1),"-")</f>
        <v>-</v>
      </c>
      <c r="V642" s="26" t="str">
        <f>IFERROR(RIGHT(K640,LEN(K640)-FIND("*",K640)),"-")</f>
        <v>-</v>
      </c>
      <c r="W642" s="27" t="str">
        <f t="shared" si="346"/>
        <v>-</v>
      </c>
      <c r="X642" s="27" t="str">
        <f>IFERROR(W642*L640,"-")</f>
        <v>-</v>
      </c>
      <c r="Z642" s="94" t="s">
        <v>81</v>
      </c>
    </row>
    <row r="643" spans="1:26" s="25" customFormat="1" ht="6.95" customHeight="1" x14ac:dyDescent="0.3">
      <c r="A643" s="13"/>
      <c r="B643" s="168"/>
      <c r="C643" s="169"/>
      <c r="D643" s="160" t="s">
        <v>39</v>
      </c>
      <c r="E643" s="161"/>
      <c r="F643" s="162" t="s">
        <v>40</v>
      </c>
      <c r="G643" s="163"/>
      <c r="H643" s="164"/>
      <c r="I643" s="163"/>
      <c r="J643" s="164"/>
      <c r="K643" s="163"/>
      <c r="L643" s="164"/>
      <c r="M643" s="11"/>
      <c r="N643" s="39"/>
      <c r="Q643" s="15" t="str">
        <f>+CONCATENATE(E643,G643)</f>
        <v/>
      </c>
      <c r="R643" s="15">
        <f>+H643</f>
        <v>0</v>
      </c>
      <c r="S643" s="16"/>
      <c r="T643" s="15">
        <f>+E643</f>
        <v>0</v>
      </c>
      <c r="U643" s="26" t="str">
        <f t="shared" ref="U643" si="347">IFERROR(LEFT(G643,FIND("*",G643)-1),"-")</f>
        <v>-</v>
      </c>
      <c r="V643" s="26" t="str">
        <f t="shared" ref="V643" si="348">IFERROR(RIGHT(G643,LEN(G643)-FIND("*",G643)),"-")</f>
        <v>-</v>
      </c>
      <c r="W643" s="27" t="str">
        <f t="shared" si="346"/>
        <v>-</v>
      </c>
      <c r="X643" s="27" t="str">
        <f>IFERROR(W643*H643,"-")</f>
        <v>-</v>
      </c>
      <c r="Z643" s="94" t="s">
        <v>81</v>
      </c>
    </row>
    <row r="644" spans="1:26" s="25" customFormat="1" ht="6.95" customHeight="1" x14ac:dyDescent="0.3">
      <c r="A644" s="10"/>
      <c r="B644" s="168"/>
      <c r="C644" s="169"/>
      <c r="D644" s="160"/>
      <c r="E644" s="161"/>
      <c r="F644" s="162"/>
      <c r="G644" s="163"/>
      <c r="H644" s="164"/>
      <c r="I644" s="163"/>
      <c r="J644" s="164"/>
      <c r="K644" s="163"/>
      <c r="L644" s="164"/>
      <c r="M644" s="11"/>
      <c r="N644" s="39"/>
      <c r="Q644" s="15" t="str">
        <f>+CONCATENATE(E643,I643)</f>
        <v/>
      </c>
      <c r="R644" s="15">
        <f>+J643</f>
        <v>0</v>
      </c>
      <c r="S644" s="16"/>
      <c r="T644" s="15">
        <f>+E643</f>
        <v>0</v>
      </c>
      <c r="U644" s="26" t="str">
        <f>IFERROR(LEFT(I643,FIND("*",I643)-1),"-")</f>
        <v>-</v>
      </c>
      <c r="V644" s="26" t="str">
        <f>IFERROR(RIGHT(I643,LEN(I643)-FIND("*",I643)),"-")</f>
        <v>-</v>
      </c>
      <c r="W644" s="27" t="str">
        <f t="shared" si="346"/>
        <v>-</v>
      </c>
      <c r="X644" s="27" t="str">
        <f>IFERROR(W644*J643,"-")</f>
        <v>-</v>
      </c>
      <c r="Z644" s="94" t="s">
        <v>81</v>
      </c>
    </row>
    <row r="645" spans="1:26" s="25" customFormat="1" ht="6.95" customHeight="1" x14ac:dyDescent="0.3">
      <c r="A645" s="10"/>
      <c r="B645" s="168"/>
      <c r="C645" s="169"/>
      <c r="D645" s="160"/>
      <c r="E645" s="161"/>
      <c r="F645" s="162"/>
      <c r="G645" s="163"/>
      <c r="H645" s="164"/>
      <c r="I645" s="163"/>
      <c r="J645" s="164"/>
      <c r="K645" s="163"/>
      <c r="L645" s="164"/>
      <c r="M645" s="11"/>
      <c r="N645" s="39"/>
      <c r="Q645" s="15" t="str">
        <f>+CONCATENATE(E643,K643)</f>
        <v/>
      </c>
      <c r="R645" s="15">
        <f>+L643</f>
        <v>0</v>
      </c>
      <c r="S645" s="16"/>
      <c r="T645" s="15">
        <f>+E643</f>
        <v>0</v>
      </c>
      <c r="U645" s="26" t="str">
        <f>IFERROR(LEFT(K643,FIND("*",K643)-1),"-")</f>
        <v>-</v>
      </c>
      <c r="V645" s="26" t="str">
        <f>IFERROR(RIGHT(K643,LEN(K643)-FIND("*",K643)),"-")</f>
        <v>-</v>
      </c>
      <c r="W645" s="27" t="str">
        <f t="shared" si="346"/>
        <v>-</v>
      </c>
      <c r="X645" s="27" t="str">
        <f>IFERROR(W645*L643,"-")</f>
        <v>-</v>
      </c>
      <c r="Z645" s="94" t="s">
        <v>81</v>
      </c>
    </row>
    <row r="646" spans="1:26" s="25" customFormat="1" ht="6.95" customHeight="1" x14ac:dyDescent="0.3">
      <c r="A646" s="13"/>
      <c r="B646" s="168"/>
      <c r="C646" s="169"/>
      <c r="D646" s="160" t="s">
        <v>39</v>
      </c>
      <c r="E646" s="161"/>
      <c r="F646" s="162" t="s">
        <v>40</v>
      </c>
      <c r="G646" s="163"/>
      <c r="H646" s="164"/>
      <c r="I646" s="163"/>
      <c r="J646" s="164"/>
      <c r="K646" s="163"/>
      <c r="L646" s="164"/>
      <c r="M646" s="11"/>
      <c r="N646" s="39"/>
      <c r="Q646" s="15" t="str">
        <f>+CONCATENATE(E646,G646)</f>
        <v/>
      </c>
      <c r="R646" s="15">
        <f>+H646</f>
        <v>0</v>
      </c>
      <c r="S646" s="16"/>
      <c r="T646" s="15">
        <f>+E646</f>
        <v>0</v>
      </c>
      <c r="U646" s="26" t="str">
        <f t="shared" ref="U646" si="349">IFERROR(LEFT(G646,FIND("*",G646)-1),"-")</f>
        <v>-</v>
      </c>
      <c r="V646" s="26" t="str">
        <f t="shared" ref="V646" si="350">IFERROR(RIGHT(G646,LEN(G646)-FIND("*",G646)),"-")</f>
        <v>-</v>
      </c>
      <c r="W646" s="27" t="str">
        <f t="shared" si="346"/>
        <v>-</v>
      </c>
      <c r="X646" s="27" t="str">
        <f>IFERROR(W646*H646,"-")</f>
        <v>-</v>
      </c>
      <c r="Z646" s="94" t="s">
        <v>81</v>
      </c>
    </row>
    <row r="647" spans="1:26" s="25" customFormat="1" ht="6.95" customHeight="1" x14ac:dyDescent="0.3">
      <c r="A647" s="10"/>
      <c r="B647" s="168"/>
      <c r="C647" s="169"/>
      <c r="D647" s="160"/>
      <c r="E647" s="161"/>
      <c r="F647" s="162"/>
      <c r="G647" s="163"/>
      <c r="H647" s="164"/>
      <c r="I647" s="163"/>
      <c r="J647" s="164"/>
      <c r="K647" s="163"/>
      <c r="L647" s="164"/>
      <c r="M647" s="11"/>
      <c r="N647" s="39"/>
      <c r="Q647" s="15" t="str">
        <f>+CONCATENATE(E646,I646)</f>
        <v/>
      </c>
      <c r="R647" s="15">
        <f>+J646</f>
        <v>0</v>
      </c>
      <c r="S647" s="16"/>
      <c r="T647" s="15">
        <f>+E646</f>
        <v>0</v>
      </c>
      <c r="U647" s="26" t="str">
        <f>IFERROR(LEFT(I646,FIND("*",I646)-1),"-")</f>
        <v>-</v>
      </c>
      <c r="V647" s="26" t="str">
        <f>IFERROR(RIGHT(I646,LEN(I646)-FIND("*",I646)),"-")</f>
        <v>-</v>
      </c>
      <c r="W647" s="27" t="str">
        <f t="shared" si="346"/>
        <v>-</v>
      </c>
      <c r="X647" s="27" t="str">
        <f t="shared" ref="X647" si="351">IFERROR(W647*J646,"-")</f>
        <v>-</v>
      </c>
      <c r="Z647" s="94" t="s">
        <v>81</v>
      </c>
    </row>
    <row r="648" spans="1:26" s="25" customFormat="1" ht="6.95" customHeight="1" x14ac:dyDescent="0.3">
      <c r="A648" s="10"/>
      <c r="B648" s="168"/>
      <c r="C648" s="169"/>
      <c r="D648" s="160"/>
      <c r="E648" s="161"/>
      <c r="F648" s="162"/>
      <c r="G648" s="163"/>
      <c r="H648" s="164"/>
      <c r="I648" s="163"/>
      <c r="J648" s="164"/>
      <c r="K648" s="163"/>
      <c r="L648" s="164"/>
      <c r="M648" s="11"/>
      <c r="N648" s="39"/>
      <c r="Q648" s="15" t="str">
        <f>+CONCATENATE(E646,K646)</f>
        <v/>
      </c>
      <c r="R648" s="15">
        <f>+L646</f>
        <v>0</v>
      </c>
      <c r="S648" s="16"/>
      <c r="T648" s="15">
        <f>+E646</f>
        <v>0</v>
      </c>
      <c r="U648" s="26" t="str">
        <f>IFERROR(LEFT(K646,FIND("*",K646)-1),"-")</f>
        <v>-</v>
      </c>
      <c r="V648" s="26" t="str">
        <f>IFERROR(RIGHT(K646,LEN(K646)-FIND("*",K646)),"-")</f>
        <v>-</v>
      </c>
      <c r="W648" s="27" t="str">
        <f t="shared" si="346"/>
        <v>-</v>
      </c>
      <c r="X648" s="27" t="str">
        <f>IFERROR(W648*L646,"-")</f>
        <v>-</v>
      </c>
      <c r="Z648" s="94" t="s">
        <v>81</v>
      </c>
    </row>
    <row r="649" spans="1:26" s="25" customFormat="1" ht="21" customHeight="1" thickBot="1" x14ac:dyDescent="0.35">
      <c r="A649" s="10"/>
      <c r="B649" s="170"/>
      <c r="C649" s="171"/>
      <c r="D649" s="172" t="s">
        <v>43</v>
      </c>
      <c r="E649" s="173"/>
      <c r="F649" s="173"/>
      <c r="G649" s="174"/>
      <c r="H649" s="174"/>
      <c r="I649" s="174"/>
      <c r="J649" s="174"/>
      <c r="K649" s="174"/>
      <c r="L649" s="174"/>
      <c r="M649" s="12"/>
      <c r="N649" s="39"/>
      <c r="U649" s="23"/>
      <c r="V649" s="23"/>
      <c r="Z649" s="95" t="s">
        <v>81</v>
      </c>
    </row>
    <row r="650" spans="1:26" s="25" customFormat="1" ht="9.9499999999999993" customHeight="1" thickBot="1" x14ac:dyDescent="0.35">
      <c r="A650" s="6"/>
      <c r="B650" s="14"/>
      <c r="C650" s="119">
        <v>820</v>
      </c>
      <c r="D650" s="58"/>
      <c r="E650" s="17"/>
      <c r="F650" s="58"/>
      <c r="G650" s="19"/>
      <c r="H650" s="19"/>
      <c r="I650" s="19"/>
      <c r="J650" s="19"/>
      <c r="K650" s="19"/>
      <c r="L650" s="19"/>
      <c r="M650" s="14"/>
      <c r="N650" s="39"/>
      <c r="Q650" s="1"/>
      <c r="R650" s="1"/>
      <c r="S650" s="1"/>
      <c r="T650" s="1"/>
      <c r="U650" s="24"/>
      <c r="V650" s="24"/>
      <c r="W650" s="1"/>
      <c r="X650" s="1"/>
      <c r="Z650" s="94" t="s">
        <v>81</v>
      </c>
    </row>
    <row r="651" spans="1:26" s="25" customFormat="1" ht="6.95" customHeight="1" x14ac:dyDescent="0.3">
      <c r="A651" s="165">
        <f>+A640+1</f>
        <v>60</v>
      </c>
      <c r="B651" s="166"/>
      <c r="C651" s="167"/>
      <c r="D651" s="160" t="s">
        <v>39</v>
      </c>
      <c r="E651" s="161"/>
      <c r="F651" s="162" t="s">
        <v>40</v>
      </c>
      <c r="G651" s="163"/>
      <c r="H651" s="164"/>
      <c r="I651" s="163"/>
      <c r="J651" s="164"/>
      <c r="K651" s="163"/>
      <c r="L651" s="164"/>
      <c r="M651" s="11"/>
      <c r="N651" s="39"/>
      <c r="Q651" s="15" t="str">
        <f>+CONCATENATE(E651,G651)</f>
        <v/>
      </c>
      <c r="R651" s="15">
        <f>+H651</f>
        <v>0</v>
      </c>
      <c r="S651" s="16"/>
      <c r="T651" s="15">
        <f>+E651</f>
        <v>0</v>
      </c>
      <c r="U651" s="26" t="str">
        <f>IFERROR(LEFT(G651,FIND("*",G651)-1),"-")</f>
        <v>-</v>
      </c>
      <c r="V651" s="26" t="str">
        <f>IFERROR(RIGHT(G651,LEN(G651)-FIND("*",G651)),"-")</f>
        <v>-</v>
      </c>
      <c r="W651" s="27" t="str">
        <f>IFERROR((U651+V651)*2/1000,"-")</f>
        <v>-</v>
      </c>
      <c r="X651" s="27" t="str">
        <f>IFERROR(W651*H651,"-")</f>
        <v>-</v>
      </c>
      <c r="Z651" s="94" t="s">
        <v>81</v>
      </c>
    </row>
    <row r="652" spans="1:26" s="25" customFormat="1" ht="6.95" customHeight="1" x14ac:dyDescent="0.3">
      <c r="A652" s="165"/>
      <c r="B652" s="168"/>
      <c r="C652" s="169"/>
      <c r="D652" s="160"/>
      <c r="E652" s="161"/>
      <c r="F652" s="162"/>
      <c r="G652" s="163"/>
      <c r="H652" s="164"/>
      <c r="I652" s="163"/>
      <c r="J652" s="164"/>
      <c r="K652" s="163"/>
      <c r="L652" s="164"/>
      <c r="M652" s="11"/>
      <c r="N652" s="39"/>
      <c r="Q652" s="15" t="str">
        <f>+CONCATENATE(E651,I651)</f>
        <v/>
      </c>
      <c r="R652" s="15">
        <f>+J651</f>
        <v>0</v>
      </c>
      <c r="S652" s="16"/>
      <c r="T652" s="15">
        <f>+E651</f>
        <v>0</v>
      </c>
      <c r="U652" s="26" t="str">
        <f>IFERROR(LEFT(I651,FIND("*",I651)-1),"-")</f>
        <v>-</v>
      </c>
      <c r="V652" s="26" t="str">
        <f>IFERROR(RIGHT(I651,LEN(I651)-FIND("*",I651)),"-")</f>
        <v>-</v>
      </c>
      <c r="W652" s="27" t="str">
        <f t="shared" ref="W652:W659" si="352">IFERROR((U652+V652)*2/1000,"-")</f>
        <v>-</v>
      </c>
      <c r="X652" s="27" t="str">
        <f>IFERROR(W652*J651,"-")</f>
        <v>-</v>
      </c>
      <c r="Z652" s="94" t="s">
        <v>81</v>
      </c>
    </row>
    <row r="653" spans="1:26" s="25" customFormat="1" ht="6.95" customHeight="1" x14ac:dyDescent="0.3">
      <c r="A653" s="165"/>
      <c r="B653" s="168"/>
      <c r="C653" s="169"/>
      <c r="D653" s="160"/>
      <c r="E653" s="161"/>
      <c r="F653" s="162"/>
      <c r="G653" s="163"/>
      <c r="H653" s="164"/>
      <c r="I653" s="163"/>
      <c r="J653" s="164"/>
      <c r="K653" s="163"/>
      <c r="L653" s="164"/>
      <c r="M653" s="11"/>
      <c r="N653" s="39"/>
      <c r="Q653" s="15" t="str">
        <f>+CONCATENATE(E651,K651)</f>
        <v/>
      </c>
      <c r="R653" s="15">
        <f>+L651</f>
        <v>0</v>
      </c>
      <c r="S653" s="16"/>
      <c r="T653" s="15">
        <f>+E651</f>
        <v>0</v>
      </c>
      <c r="U653" s="26" t="str">
        <f>IFERROR(LEFT(K651,FIND("*",K651)-1),"-")</f>
        <v>-</v>
      </c>
      <c r="V653" s="26" t="str">
        <f>IFERROR(RIGHT(K651,LEN(K651)-FIND("*",K651)),"-")</f>
        <v>-</v>
      </c>
      <c r="W653" s="27" t="str">
        <f t="shared" si="352"/>
        <v>-</v>
      </c>
      <c r="X653" s="27" t="str">
        <f>IFERROR(W653*L651,"-")</f>
        <v>-</v>
      </c>
      <c r="Z653" s="94" t="s">
        <v>81</v>
      </c>
    </row>
    <row r="654" spans="1:26" s="25" customFormat="1" ht="6.95" customHeight="1" x14ac:dyDescent="0.3">
      <c r="A654" s="13"/>
      <c r="B654" s="168"/>
      <c r="C654" s="169"/>
      <c r="D654" s="160" t="s">
        <v>39</v>
      </c>
      <c r="E654" s="161"/>
      <c r="F654" s="162" t="s">
        <v>40</v>
      </c>
      <c r="G654" s="163"/>
      <c r="H654" s="164"/>
      <c r="I654" s="163"/>
      <c r="J654" s="164"/>
      <c r="K654" s="163"/>
      <c r="L654" s="164"/>
      <c r="M654" s="11"/>
      <c r="N654" s="39"/>
      <c r="Q654" s="15" t="str">
        <f>+CONCATENATE(E654,G654)</f>
        <v/>
      </c>
      <c r="R654" s="15">
        <f>+H654</f>
        <v>0</v>
      </c>
      <c r="S654" s="16"/>
      <c r="T654" s="15">
        <f>+E654</f>
        <v>0</v>
      </c>
      <c r="U654" s="26" t="str">
        <f t="shared" ref="U654" si="353">IFERROR(LEFT(G654,FIND("*",G654)-1),"-")</f>
        <v>-</v>
      </c>
      <c r="V654" s="26" t="str">
        <f t="shared" ref="V654" si="354">IFERROR(RIGHT(G654,LEN(G654)-FIND("*",G654)),"-")</f>
        <v>-</v>
      </c>
      <c r="W654" s="27" t="str">
        <f t="shared" si="352"/>
        <v>-</v>
      </c>
      <c r="X654" s="27" t="str">
        <f>IFERROR(W654*H654,"-")</f>
        <v>-</v>
      </c>
      <c r="Z654" s="94" t="s">
        <v>81</v>
      </c>
    </row>
    <row r="655" spans="1:26" s="25" customFormat="1" ht="6.95" customHeight="1" x14ac:dyDescent="0.3">
      <c r="A655" s="10"/>
      <c r="B655" s="168"/>
      <c r="C655" s="169"/>
      <c r="D655" s="160"/>
      <c r="E655" s="161"/>
      <c r="F655" s="162"/>
      <c r="G655" s="163"/>
      <c r="H655" s="164"/>
      <c r="I655" s="163"/>
      <c r="J655" s="164"/>
      <c r="K655" s="163"/>
      <c r="L655" s="164"/>
      <c r="M655" s="11"/>
      <c r="N655" s="39"/>
      <c r="Q655" s="15" t="str">
        <f>+CONCATENATE(E654,I654)</f>
        <v/>
      </c>
      <c r="R655" s="15">
        <f>+J654</f>
        <v>0</v>
      </c>
      <c r="S655" s="16"/>
      <c r="T655" s="15">
        <f>+E654</f>
        <v>0</v>
      </c>
      <c r="U655" s="26" t="str">
        <f>IFERROR(LEFT(I654,FIND("*",I654)-1),"-")</f>
        <v>-</v>
      </c>
      <c r="V655" s="26" t="str">
        <f>IFERROR(RIGHT(I654,LEN(I654)-FIND("*",I654)),"-")</f>
        <v>-</v>
      </c>
      <c r="W655" s="27" t="str">
        <f t="shared" si="352"/>
        <v>-</v>
      </c>
      <c r="X655" s="27" t="str">
        <f>IFERROR(W655*J654,"-")</f>
        <v>-</v>
      </c>
      <c r="Z655" s="94" t="s">
        <v>81</v>
      </c>
    </row>
    <row r="656" spans="1:26" s="25" customFormat="1" ht="6.95" customHeight="1" x14ac:dyDescent="0.3">
      <c r="A656" s="10"/>
      <c r="B656" s="168"/>
      <c r="C656" s="169"/>
      <c r="D656" s="160"/>
      <c r="E656" s="161"/>
      <c r="F656" s="162"/>
      <c r="G656" s="163"/>
      <c r="H656" s="164"/>
      <c r="I656" s="163"/>
      <c r="J656" s="164"/>
      <c r="K656" s="163"/>
      <c r="L656" s="164"/>
      <c r="M656" s="11"/>
      <c r="N656" s="39"/>
      <c r="Q656" s="15" t="str">
        <f>+CONCATENATE(E654,K654)</f>
        <v/>
      </c>
      <c r="R656" s="15">
        <f>+L654</f>
        <v>0</v>
      </c>
      <c r="S656" s="16"/>
      <c r="T656" s="15">
        <f>+E654</f>
        <v>0</v>
      </c>
      <c r="U656" s="26" t="str">
        <f>IFERROR(LEFT(K654,FIND("*",K654)-1),"-")</f>
        <v>-</v>
      </c>
      <c r="V656" s="26" t="str">
        <f>IFERROR(RIGHT(K654,LEN(K654)-FIND("*",K654)),"-")</f>
        <v>-</v>
      </c>
      <c r="W656" s="27" t="str">
        <f t="shared" si="352"/>
        <v>-</v>
      </c>
      <c r="X656" s="27" t="str">
        <f>IFERROR(W656*L654,"-")</f>
        <v>-</v>
      </c>
      <c r="Z656" s="94" t="s">
        <v>81</v>
      </c>
    </row>
    <row r="657" spans="1:26" s="25" customFormat="1" ht="6.95" customHeight="1" x14ac:dyDescent="0.3">
      <c r="A657" s="13"/>
      <c r="B657" s="168"/>
      <c r="C657" s="169"/>
      <c r="D657" s="160" t="s">
        <v>39</v>
      </c>
      <c r="E657" s="161"/>
      <c r="F657" s="162" t="s">
        <v>40</v>
      </c>
      <c r="G657" s="163"/>
      <c r="H657" s="164"/>
      <c r="I657" s="163"/>
      <c r="J657" s="164"/>
      <c r="K657" s="163"/>
      <c r="L657" s="164"/>
      <c r="M657" s="11"/>
      <c r="N657" s="39"/>
      <c r="Q657" s="15" t="str">
        <f>+CONCATENATE(E657,G657)</f>
        <v/>
      </c>
      <c r="R657" s="15">
        <f>+H657</f>
        <v>0</v>
      </c>
      <c r="S657" s="16"/>
      <c r="T657" s="15">
        <f>+E657</f>
        <v>0</v>
      </c>
      <c r="U657" s="26" t="str">
        <f t="shared" ref="U657" si="355">IFERROR(LEFT(G657,FIND("*",G657)-1),"-")</f>
        <v>-</v>
      </c>
      <c r="V657" s="26" t="str">
        <f t="shared" ref="V657" si="356">IFERROR(RIGHT(G657,LEN(G657)-FIND("*",G657)),"-")</f>
        <v>-</v>
      </c>
      <c r="W657" s="27" t="str">
        <f t="shared" si="352"/>
        <v>-</v>
      </c>
      <c r="X657" s="27" t="str">
        <f>IFERROR(W657*H657,"-")</f>
        <v>-</v>
      </c>
      <c r="Z657" s="94" t="s">
        <v>81</v>
      </c>
    </row>
    <row r="658" spans="1:26" s="25" customFormat="1" ht="6.95" customHeight="1" x14ac:dyDescent="0.3">
      <c r="A658" s="10"/>
      <c r="B658" s="168"/>
      <c r="C658" s="169"/>
      <c r="D658" s="160"/>
      <c r="E658" s="161"/>
      <c r="F658" s="162"/>
      <c r="G658" s="163"/>
      <c r="H658" s="164"/>
      <c r="I658" s="163"/>
      <c r="J658" s="164"/>
      <c r="K658" s="163"/>
      <c r="L658" s="164"/>
      <c r="M658" s="11"/>
      <c r="N658" s="39"/>
      <c r="Q658" s="15" t="str">
        <f>+CONCATENATE(E657,I657)</f>
        <v/>
      </c>
      <c r="R658" s="15">
        <f>+J657</f>
        <v>0</v>
      </c>
      <c r="S658" s="16"/>
      <c r="T658" s="15">
        <f>+E657</f>
        <v>0</v>
      </c>
      <c r="U658" s="26" t="str">
        <f>IFERROR(LEFT(I657,FIND("*",I657)-1),"-")</f>
        <v>-</v>
      </c>
      <c r="V658" s="26" t="str">
        <f>IFERROR(RIGHT(I657,LEN(I657)-FIND("*",I657)),"-")</f>
        <v>-</v>
      </c>
      <c r="W658" s="27" t="str">
        <f t="shared" si="352"/>
        <v>-</v>
      </c>
      <c r="X658" s="27" t="str">
        <f t="shared" ref="X658" si="357">IFERROR(W658*J657,"-")</f>
        <v>-</v>
      </c>
      <c r="Z658" s="94" t="s">
        <v>81</v>
      </c>
    </row>
    <row r="659" spans="1:26" s="25" customFormat="1" ht="6.95" customHeight="1" x14ac:dyDescent="0.3">
      <c r="A659" s="10"/>
      <c r="B659" s="168"/>
      <c r="C659" s="169"/>
      <c r="D659" s="160"/>
      <c r="E659" s="161"/>
      <c r="F659" s="162"/>
      <c r="G659" s="163"/>
      <c r="H659" s="164"/>
      <c r="I659" s="163"/>
      <c r="J659" s="164"/>
      <c r="K659" s="163"/>
      <c r="L659" s="164"/>
      <c r="M659" s="11"/>
      <c r="N659" s="39"/>
      <c r="Q659" s="15" t="str">
        <f>+CONCATENATE(E657,K657)</f>
        <v/>
      </c>
      <c r="R659" s="15">
        <f>+L657</f>
        <v>0</v>
      </c>
      <c r="S659" s="16"/>
      <c r="T659" s="15">
        <f>+E657</f>
        <v>0</v>
      </c>
      <c r="U659" s="26" t="str">
        <f>IFERROR(LEFT(K657,FIND("*",K657)-1),"-")</f>
        <v>-</v>
      </c>
      <c r="V659" s="26" t="str">
        <f>IFERROR(RIGHT(K657,LEN(K657)-FIND("*",K657)),"-")</f>
        <v>-</v>
      </c>
      <c r="W659" s="27" t="str">
        <f t="shared" si="352"/>
        <v>-</v>
      </c>
      <c r="X659" s="27" t="str">
        <f>IFERROR(W659*L657,"-")</f>
        <v>-</v>
      </c>
      <c r="Z659" s="94" t="s">
        <v>81</v>
      </c>
    </row>
    <row r="660" spans="1:26" s="25" customFormat="1" ht="21" customHeight="1" thickBot="1" x14ac:dyDescent="0.35">
      <c r="A660" s="10"/>
      <c r="B660" s="170"/>
      <c r="C660" s="171"/>
      <c r="D660" s="172" t="s">
        <v>43</v>
      </c>
      <c r="E660" s="173"/>
      <c r="F660" s="173"/>
      <c r="G660" s="174"/>
      <c r="H660" s="174"/>
      <c r="I660" s="174"/>
      <c r="J660" s="174"/>
      <c r="K660" s="174"/>
      <c r="L660" s="174"/>
      <c r="M660" s="12"/>
      <c r="N660" s="39"/>
      <c r="U660" s="23"/>
      <c r="V660" s="23"/>
      <c r="Z660" s="95" t="s">
        <v>81</v>
      </c>
    </row>
    <row r="661" spans="1:26" s="25" customFormat="1" ht="9.9499999999999993" customHeight="1" thickBot="1" x14ac:dyDescent="0.35">
      <c r="A661" s="6"/>
      <c r="B661" s="14"/>
      <c r="C661" s="119">
        <v>821</v>
      </c>
      <c r="D661" s="58"/>
      <c r="E661" s="17"/>
      <c r="F661" s="58"/>
      <c r="G661" s="19"/>
      <c r="H661" s="19"/>
      <c r="I661" s="19"/>
      <c r="J661" s="19"/>
      <c r="K661" s="19"/>
      <c r="L661" s="19"/>
      <c r="M661" s="14"/>
      <c r="N661" s="39"/>
      <c r="Q661" s="1"/>
      <c r="R661" s="1"/>
      <c r="S661" s="1"/>
      <c r="T661" s="1"/>
      <c r="U661" s="24"/>
      <c r="V661" s="24"/>
      <c r="W661" s="1"/>
      <c r="X661" s="1"/>
      <c r="Z661" s="94" t="s">
        <v>81</v>
      </c>
    </row>
    <row r="662" spans="1:26" s="25" customFormat="1" ht="6.95" customHeight="1" x14ac:dyDescent="0.3">
      <c r="A662" s="165">
        <f>+A651+1</f>
        <v>61</v>
      </c>
      <c r="B662" s="166"/>
      <c r="C662" s="167"/>
      <c r="D662" s="160" t="s">
        <v>39</v>
      </c>
      <c r="E662" s="161"/>
      <c r="F662" s="162" t="s">
        <v>40</v>
      </c>
      <c r="G662" s="163"/>
      <c r="H662" s="164"/>
      <c r="I662" s="163"/>
      <c r="J662" s="164"/>
      <c r="K662" s="163"/>
      <c r="L662" s="164"/>
      <c r="M662" s="11"/>
      <c r="N662" s="39"/>
      <c r="Q662" s="15" t="str">
        <f>+CONCATENATE(E662,G662)</f>
        <v/>
      </c>
      <c r="R662" s="15">
        <f>+H662</f>
        <v>0</v>
      </c>
      <c r="S662" s="16"/>
      <c r="T662" s="15">
        <f>+E662</f>
        <v>0</v>
      </c>
      <c r="U662" s="26" t="str">
        <f>IFERROR(LEFT(G662,FIND("*",G662)-1),"-")</f>
        <v>-</v>
      </c>
      <c r="V662" s="26" t="str">
        <f>IFERROR(RIGHT(G662,LEN(G662)-FIND("*",G662)),"-")</f>
        <v>-</v>
      </c>
      <c r="W662" s="27" t="str">
        <f>IFERROR((U662+V662)*2/1000,"-")</f>
        <v>-</v>
      </c>
      <c r="X662" s="27" t="str">
        <f>IFERROR(W662*H662,"-")</f>
        <v>-</v>
      </c>
      <c r="Z662" s="94" t="s">
        <v>81</v>
      </c>
    </row>
    <row r="663" spans="1:26" s="25" customFormat="1" ht="6.95" customHeight="1" x14ac:dyDescent="0.3">
      <c r="A663" s="165"/>
      <c r="B663" s="168"/>
      <c r="C663" s="169"/>
      <c r="D663" s="160"/>
      <c r="E663" s="161"/>
      <c r="F663" s="162"/>
      <c r="G663" s="163"/>
      <c r="H663" s="164"/>
      <c r="I663" s="163"/>
      <c r="J663" s="164"/>
      <c r="K663" s="163"/>
      <c r="L663" s="164"/>
      <c r="M663" s="11"/>
      <c r="N663" s="39"/>
      <c r="Q663" s="15" t="str">
        <f>+CONCATENATE(E662,I662)</f>
        <v/>
      </c>
      <c r="R663" s="15">
        <f>+J662</f>
        <v>0</v>
      </c>
      <c r="S663" s="16"/>
      <c r="T663" s="15">
        <f>+E662</f>
        <v>0</v>
      </c>
      <c r="U663" s="26" t="str">
        <f>IFERROR(LEFT(I662,FIND("*",I662)-1),"-")</f>
        <v>-</v>
      </c>
      <c r="V663" s="26" t="str">
        <f>IFERROR(RIGHT(I662,LEN(I662)-FIND("*",I662)),"-")</f>
        <v>-</v>
      </c>
      <c r="W663" s="27" t="str">
        <f t="shared" ref="W663:W670" si="358">IFERROR((U663+V663)*2/1000,"-")</f>
        <v>-</v>
      </c>
      <c r="X663" s="27" t="str">
        <f>IFERROR(W663*J662,"-")</f>
        <v>-</v>
      </c>
      <c r="Z663" s="94" t="s">
        <v>81</v>
      </c>
    </row>
    <row r="664" spans="1:26" s="25" customFormat="1" ht="6.95" customHeight="1" x14ac:dyDescent="0.3">
      <c r="A664" s="165"/>
      <c r="B664" s="168"/>
      <c r="C664" s="169"/>
      <c r="D664" s="160"/>
      <c r="E664" s="161"/>
      <c r="F664" s="162"/>
      <c r="G664" s="163"/>
      <c r="H664" s="164"/>
      <c r="I664" s="163"/>
      <c r="J664" s="164"/>
      <c r="K664" s="163"/>
      <c r="L664" s="164"/>
      <c r="M664" s="11"/>
      <c r="N664" s="39"/>
      <c r="Q664" s="15" t="str">
        <f>+CONCATENATE(E662,K662)</f>
        <v/>
      </c>
      <c r="R664" s="15">
        <f>+L662</f>
        <v>0</v>
      </c>
      <c r="S664" s="16"/>
      <c r="T664" s="15">
        <f>+E662</f>
        <v>0</v>
      </c>
      <c r="U664" s="26" t="str">
        <f>IFERROR(LEFT(K662,FIND("*",K662)-1),"-")</f>
        <v>-</v>
      </c>
      <c r="V664" s="26" t="str">
        <f>IFERROR(RIGHT(K662,LEN(K662)-FIND("*",K662)),"-")</f>
        <v>-</v>
      </c>
      <c r="W664" s="27" t="str">
        <f t="shared" si="358"/>
        <v>-</v>
      </c>
      <c r="X664" s="27" t="str">
        <f>IFERROR(W664*L662,"-")</f>
        <v>-</v>
      </c>
      <c r="Z664" s="94" t="s">
        <v>81</v>
      </c>
    </row>
    <row r="665" spans="1:26" s="25" customFormat="1" ht="6.95" customHeight="1" x14ac:dyDescent="0.3">
      <c r="A665" s="13"/>
      <c r="B665" s="168"/>
      <c r="C665" s="169"/>
      <c r="D665" s="160" t="s">
        <v>39</v>
      </c>
      <c r="E665" s="161"/>
      <c r="F665" s="162" t="s">
        <v>40</v>
      </c>
      <c r="G665" s="163"/>
      <c r="H665" s="164"/>
      <c r="I665" s="163"/>
      <c r="J665" s="164"/>
      <c r="K665" s="163"/>
      <c r="L665" s="164"/>
      <c r="M665" s="11"/>
      <c r="N665" s="39"/>
      <c r="Q665" s="15" t="str">
        <f>+CONCATENATE(E665,G665)</f>
        <v/>
      </c>
      <c r="R665" s="15">
        <f>+H665</f>
        <v>0</v>
      </c>
      <c r="S665" s="16"/>
      <c r="T665" s="15">
        <f>+E665</f>
        <v>0</v>
      </c>
      <c r="U665" s="26" t="str">
        <f t="shared" ref="U665" si="359">IFERROR(LEFT(G665,FIND("*",G665)-1),"-")</f>
        <v>-</v>
      </c>
      <c r="V665" s="26" t="str">
        <f t="shared" ref="V665" si="360">IFERROR(RIGHT(G665,LEN(G665)-FIND("*",G665)),"-")</f>
        <v>-</v>
      </c>
      <c r="W665" s="27" t="str">
        <f t="shared" si="358"/>
        <v>-</v>
      </c>
      <c r="X665" s="27" t="str">
        <f>IFERROR(W665*H665,"-")</f>
        <v>-</v>
      </c>
      <c r="Z665" s="94" t="s">
        <v>81</v>
      </c>
    </row>
    <row r="666" spans="1:26" s="25" customFormat="1" ht="6.95" customHeight="1" x14ac:dyDescent="0.3">
      <c r="A666" s="10"/>
      <c r="B666" s="168"/>
      <c r="C666" s="169"/>
      <c r="D666" s="160"/>
      <c r="E666" s="161"/>
      <c r="F666" s="162"/>
      <c r="G666" s="163"/>
      <c r="H666" s="164"/>
      <c r="I666" s="163"/>
      <c r="J666" s="164"/>
      <c r="K666" s="163"/>
      <c r="L666" s="164"/>
      <c r="M666" s="11"/>
      <c r="N666" s="39"/>
      <c r="Q666" s="15" t="str">
        <f>+CONCATENATE(E665,I665)</f>
        <v/>
      </c>
      <c r="R666" s="15">
        <f>+J665</f>
        <v>0</v>
      </c>
      <c r="S666" s="16"/>
      <c r="T666" s="15">
        <f>+E665</f>
        <v>0</v>
      </c>
      <c r="U666" s="26" t="str">
        <f>IFERROR(LEFT(I665,FIND("*",I665)-1),"-")</f>
        <v>-</v>
      </c>
      <c r="V666" s="26" t="str">
        <f>IFERROR(RIGHT(I665,LEN(I665)-FIND("*",I665)),"-")</f>
        <v>-</v>
      </c>
      <c r="W666" s="27" t="str">
        <f t="shared" si="358"/>
        <v>-</v>
      </c>
      <c r="X666" s="27" t="str">
        <f>IFERROR(W666*J665,"-")</f>
        <v>-</v>
      </c>
      <c r="Z666" s="94" t="s">
        <v>81</v>
      </c>
    </row>
    <row r="667" spans="1:26" s="25" customFormat="1" ht="6.95" customHeight="1" x14ac:dyDescent="0.3">
      <c r="A667" s="10"/>
      <c r="B667" s="168"/>
      <c r="C667" s="169"/>
      <c r="D667" s="160"/>
      <c r="E667" s="161"/>
      <c r="F667" s="162"/>
      <c r="G667" s="163"/>
      <c r="H667" s="164"/>
      <c r="I667" s="163"/>
      <c r="J667" s="164"/>
      <c r="K667" s="163"/>
      <c r="L667" s="164"/>
      <c r="M667" s="11"/>
      <c r="N667" s="39"/>
      <c r="Q667" s="15" t="str">
        <f>+CONCATENATE(E665,K665)</f>
        <v/>
      </c>
      <c r="R667" s="15">
        <f>+L665</f>
        <v>0</v>
      </c>
      <c r="S667" s="16"/>
      <c r="T667" s="15">
        <f>+E665</f>
        <v>0</v>
      </c>
      <c r="U667" s="26" t="str">
        <f>IFERROR(LEFT(K665,FIND("*",K665)-1),"-")</f>
        <v>-</v>
      </c>
      <c r="V667" s="26" t="str">
        <f>IFERROR(RIGHT(K665,LEN(K665)-FIND("*",K665)),"-")</f>
        <v>-</v>
      </c>
      <c r="W667" s="27" t="str">
        <f t="shared" si="358"/>
        <v>-</v>
      </c>
      <c r="X667" s="27" t="str">
        <f>IFERROR(W667*L665,"-")</f>
        <v>-</v>
      </c>
      <c r="Z667" s="94" t="s">
        <v>81</v>
      </c>
    </row>
    <row r="668" spans="1:26" s="25" customFormat="1" ht="6.95" customHeight="1" x14ac:dyDescent="0.3">
      <c r="A668" s="13"/>
      <c r="B668" s="168"/>
      <c r="C668" s="169"/>
      <c r="D668" s="160" t="s">
        <v>39</v>
      </c>
      <c r="E668" s="161"/>
      <c r="F668" s="162" t="s">
        <v>40</v>
      </c>
      <c r="G668" s="163"/>
      <c r="H668" s="164"/>
      <c r="I668" s="163"/>
      <c r="J668" s="164"/>
      <c r="K668" s="163"/>
      <c r="L668" s="164"/>
      <c r="M668" s="11"/>
      <c r="N668" s="39"/>
      <c r="Q668" s="15" t="str">
        <f>+CONCATENATE(E668,G668)</f>
        <v/>
      </c>
      <c r="R668" s="15">
        <f>+H668</f>
        <v>0</v>
      </c>
      <c r="S668" s="16"/>
      <c r="T668" s="15">
        <f>+E668</f>
        <v>0</v>
      </c>
      <c r="U668" s="26" t="str">
        <f t="shared" ref="U668" si="361">IFERROR(LEFT(G668,FIND("*",G668)-1),"-")</f>
        <v>-</v>
      </c>
      <c r="V668" s="26" t="str">
        <f t="shared" ref="V668" si="362">IFERROR(RIGHT(G668,LEN(G668)-FIND("*",G668)),"-")</f>
        <v>-</v>
      </c>
      <c r="W668" s="27" t="str">
        <f t="shared" si="358"/>
        <v>-</v>
      </c>
      <c r="X668" s="27" t="str">
        <f>IFERROR(W668*H668,"-")</f>
        <v>-</v>
      </c>
      <c r="Z668" s="94" t="s">
        <v>81</v>
      </c>
    </row>
    <row r="669" spans="1:26" s="25" customFormat="1" ht="6.95" customHeight="1" x14ac:dyDescent="0.3">
      <c r="A669" s="10"/>
      <c r="B669" s="168"/>
      <c r="C669" s="169"/>
      <c r="D669" s="160"/>
      <c r="E669" s="161"/>
      <c r="F669" s="162"/>
      <c r="G669" s="163"/>
      <c r="H669" s="164"/>
      <c r="I669" s="163"/>
      <c r="J669" s="164"/>
      <c r="K669" s="163"/>
      <c r="L669" s="164"/>
      <c r="M669" s="11"/>
      <c r="N669" s="39"/>
      <c r="Q669" s="15" t="str">
        <f>+CONCATENATE(E668,I668)</f>
        <v/>
      </c>
      <c r="R669" s="15">
        <f>+J668</f>
        <v>0</v>
      </c>
      <c r="S669" s="16"/>
      <c r="T669" s="15">
        <f>+E668</f>
        <v>0</v>
      </c>
      <c r="U669" s="26" t="str">
        <f>IFERROR(LEFT(I668,FIND("*",I668)-1),"-")</f>
        <v>-</v>
      </c>
      <c r="V669" s="26" t="str">
        <f>IFERROR(RIGHT(I668,LEN(I668)-FIND("*",I668)),"-")</f>
        <v>-</v>
      </c>
      <c r="W669" s="27" t="str">
        <f t="shared" si="358"/>
        <v>-</v>
      </c>
      <c r="X669" s="27" t="str">
        <f t="shared" ref="X669" si="363">IFERROR(W669*J668,"-")</f>
        <v>-</v>
      </c>
      <c r="Z669" s="94" t="s">
        <v>81</v>
      </c>
    </row>
    <row r="670" spans="1:26" s="25" customFormat="1" ht="6.95" customHeight="1" x14ac:dyDescent="0.3">
      <c r="A670" s="10"/>
      <c r="B670" s="168"/>
      <c r="C670" s="169"/>
      <c r="D670" s="160"/>
      <c r="E670" s="161"/>
      <c r="F670" s="162"/>
      <c r="G670" s="163"/>
      <c r="H670" s="164"/>
      <c r="I670" s="163"/>
      <c r="J670" s="164"/>
      <c r="K670" s="163"/>
      <c r="L670" s="164"/>
      <c r="M670" s="11"/>
      <c r="N670" s="39"/>
      <c r="Q670" s="15" t="str">
        <f>+CONCATENATE(E668,K668)</f>
        <v/>
      </c>
      <c r="R670" s="15">
        <f>+L668</f>
        <v>0</v>
      </c>
      <c r="S670" s="16"/>
      <c r="T670" s="15">
        <f>+E668</f>
        <v>0</v>
      </c>
      <c r="U670" s="26" t="str">
        <f>IFERROR(LEFT(K668,FIND("*",K668)-1),"-")</f>
        <v>-</v>
      </c>
      <c r="V670" s="26" t="str">
        <f>IFERROR(RIGHT(K668,LEN(K668)-FIND("*",K668)),"-")</f>
        <v>-</v>
      </c>
      <c r="W670" s="27" t="str">
        <f t="shared" si="358"/>
        <v>-</v>
      </c>
      <c r="X670" s="27" t="str">
        <f>IFERROR(W670*L668,"-")</f>
        <v>-</v>
      </c>
      <c r="Z670" s="94" t="s">
        <v>81</v>
      </c>
    </row>
    <row r="671" spans="1:26" s="25" customFormat="1" ht="21" customHeight="1" thickBot="1" x14ac:dyDescent="0.35">
      <c r="A671" s="10"/>
      <c r="B671" s="170"/>
      <c r="C671" s="171"/>
      <c r="D671" s="172" t="s">
        <v>43</v>
      </c>
      <c r="E671" s="173"/>
      <c r="F671" s="173"/>
      <c r="G671" s="174"/>
      <c r="H671" s="174"/>
      <c r="I671" s="174"/>
      <c r="J671" s="174"/>
      <c r="K671" s="174"/>
      <c r="L671" s="174"/>
      <c r="M671" s="12"/>
      <c r="N671" s="39"/>
      <c r="U671" s="23"/>
      <c r="V671" s="23"/>
      <c r="Z671" s="95" t="s">
        <v>81</v>
      </c>
    </row>
    <row r="672" spans="1:26" s="25" customFormat="1" ht="9.9499999999999993" customHeight="1" thickBot="1" x14ac:dyDescent="0.35">
      <c r="A672" s="6"/>
      <c r="B672" s="14"/>
      <c r="C672" s="119">
        <v>822</v>
      </c>
      <c r="D672" s="58"/>
      <c r="E672" s="17"/>
      <c r="F672" s="58"/>
      <c r="G672" s="19"/>
      <c r="H672" s="19"/>
      <c r="I672" s="19"/>
      <c r="J672" s="19"/>
      <c r="K672" s="19"/>
      <c r="L672" s="19"/>
      <c r="M672" s="14"/>
      <c r="N672" s="39"/>
      <c r="Q672" s="1"/>
      <c r="R672" s="1"/>
      <c r="S672" s="1"/>
      <c r="T672" s="1"/>
      <c r="U672" s="24"/>
      <c r="V672" s="24"/>
      <c r="W672" s="1"/>
      <c r="X672" s="1"/>
      <c r="Z672" s="94" t="s">
        <v>81</v>
      </c>
    </row>
    <row r="673" spans="1:26" s="25" customFormat="1" ht="6.95" customHeight="1" x14ac:dyDescent="0.3">
      <c r="A673" s="165">
        <f>+A662+1</f>
        <v>62</v>
      </c>
      <c r="B673" s="166"/>
      <c r="C673" s="167"/>
      <c r="D673" s="160" t="s">
        <v>39</v>
      </c>
      <c r="E673" s="161"/>
      <c r="F673" s="162" t="s">
        <v>40</v>
      </c>
      <c r="G673" s="163"/>
      <c r="H673" s="164"/>
      <c r="I673" s="163"/>
      <c r="J673" s="164"/>
      <c r="K673" s="163"/>
      <c r="L673" s="164"/>
      <c r="M673" s="11"/>
      <c r="N673" s="39"/>
      <c r="Q673" s="15" t="str">
        <f>+CONCATENATE(E673,G673)</f>
        <v/>
      </c>
      <c r="R673" s="15">
        <f>+H673</f>
        <v>0</v>
      </c>
      <c r="S673" s="16"/>
      <c r="T673" s="15">
        <f>+E673</f>
        <v>0</v>
      </c>
      <c r="U673" s="26" t="str">
        <f>IFERROR(LEFT(G673,FIND("*",G673)-1),"-")</f>
        <v>-</v>
      </c>
      <c r="V673" s="26" t="str">
        <f>IFERROR(RIGHT(G673,LEN(G673)-FIND("*",G673)),"-")</f>
        <v>-</v>
      </c>
      <c r="W673" s="27" t="str">
        <f>IFERROR((U673+V673)*2/1000,"-")</f>
        <v>-</v>
      </c>
      <c r="X673" s="27" t="str">
        <f>IFERROR(W673*H673,"-")</f>
        <v>-</v>
      </c>
      <c r="Z673" s="94" t="s">
        <v>81</v>
      </c>
    </row>
    <row r="674" spans="1:26" s="25" customFormat="1" ht="6.95" customHeight="1" x14ac:dyDescent="0.3">
      <c r="A674" s="165"/>
      <c r="B674" s="168"/>
      <c r="C674" s="169"/>
      <c r="D674" s="160"/>
      <c r="E674" s="161"/>
      <c r="F674" s="162"/>
      <c r="G674" s="163"/>
      <c r="H674" s="164"/>
      <c r="I674" s="163"/>
      <c r="J674" s="164"/>
      <c r="K674" s="163"/>
      <c r="L674" s="164"/>
      <c r="M674" s="11"/>
      <c r="N674" s="39"/>
      <c r="Q674" s="15" t="str">
        <f>+CONCATENATE(E673,I673)</f>
        <v/>
      </c>
      <c r="R674" s="15">
        <f>+J673</f>
        <v>0</v>
      </c>
      <c r="S674" s="16"/>
      <c r="T674" s="15">
        <f>+E673</f>
        <v>0</v>
      </c>
      <c r="U674" s="26" t="str">
        <f>IFERROR(LEFT(I673,FIND("*",I673)-1),"-")</f>
        <v>-</v>
      </c>
      <c r="V674" s="26" t="str">
        <f>IFERROR(RIGHT(I673,LEN(I673)-FIND("*",I673)),"-")</f>
        <v>-</v>
      </c>
      <c r="W674" s="27" t="str">
        <f t="shared" ref="W674:W681" si="364">IFERROR((U674+V674)*2/1000,"-")</f>
        <v>-</v>
      </c>
      <c r="X674" s="27" t="str">
        <f>IFERROR(W674*J673,"-")</f>
        <v>-</v>
      </c>
      <c r="Z674" s="94" t="s">
        <v>81</v>
      </c>
    </row>
    <row r="675" spans="1:26" s="25" customFormat="1" ht="6.95" customHeight="1" x14ac:dyDescent="0.3">
      <c r="A675" s="165"/>
      <c r="B675" s="168"/>
      <c r="C675" s="169"/>
      <c r="D675" s="160"/>
      <c r="E675" s="161"/>
      <c r="F675" s="162"/>
      <c r="G675" s="163"/>
      <c r="H675" s="164"/>
      <c r="I675" s="163"/>
      <c r="J675" s="164"/>
      <c r="K675" s="163"/>
      <c r="L675" s="164"/>
      <c r="M675" s="11"/>
      <c r="N675" s="39"/>
      <c r="Q675" s="15" t="str">
        <f>+CONCATENATE(E673,K673)</f>
        <v/>
      </c>
      <c r="R675" s="15">
        <f>+L673</f>
        <v>0</v>
      </c>
      <c r="S675" s="16"/>
      <c r="T675" s="15">
        <f>+E673</f>
        <v>0</v>
      </c>
      <c r="U675" s="26" t="str">
        <f>IFERROR(LEFT(K673,FIND("*",K673)-1),"-")</f>
        <v>-</v>
      </c>
      <c r="V675" s="26" t="str">
        <f>IFERROR(RIGHT(K673,LEN(K673)-FIND("*",K673)),"-")</f>
        <v>-</v>
      </c>
      <c r="W675" s="27" t="str">
        <f t="shared" si="364"/>
        <v>-</v>
      </c>
      <c r="X675" s="27" t="str">
        <f>IFERROR(W675*L673,"-")</f>
        <v>-</v>
      </c>
      <c r="Z675" s="94" t="s">
        <v>81</v>
      </c>
    </row>
    <row r="676" spans="1:26" s="25" customFormat="1" ht="6.95" customHeight="1" x14ac:dyDescent="0.3">
      <c r="A676" s="13"/>
      <c r="B676" s="168"/>
      <c r="C676" s="169"/>
      <c r="D676" s="160" t="s">
        <v>39</v>
      </c>
      <c r="E676" s="161"/>
      <c r="F676" s="162" t="s">
        <v>40</v>
      </c>
      <c r="G676" s="163"/>
      <c r="H676" s="164"/>
      <c r="I676" s="163"/>
      <c r="J676" s="164"/>
      <c r="K676" s="163"/>
      <c r="L676" s="164"/>
      <c r="M676" s="11"/>
      <c r="N676" s="39"/>
      <c r="Q676" s="15" t="str">
        <f>+CONCATENATE(E676,G676)</f>
        <v/>
      </c>
      <c r="R676" s="15">
        <f>+H676</f>
        <v>0</v>
      </c>
      <c r="S676" s="16"/>
      <c r="T676" s="15">
        <f>+E676</f>
        <v>0</v>
      </c>
      <c r="U676" s="26" t="str">
        <f t="shared" ref="U676" si="365">IFERROR(LEFT(G676,FIND("*",G676)-1),"-")</f>
        <v>-</v>
      </c>
      <c r="V676" s="26" t="str">
        <f t="shared" ref="V676" si="366">IFERROR(RIGHT(G676,LEN(G676)-FIND("*",G676)),"-")</f>
        <v>-</v>
      </c>
      <c r="W676" s="27" t="str">
        <f t="shared" si="364"/>
        <v>-</v>
      </c>
      <c r="X676" s="27" t="str">
        <f>IFERROR(W676*H676,"-")</f>
        <v>-</v>
      </c>
      <c r="Z676" s="94" t="s">
        <v>81</v>
      </c>
    </row>
    <row r="677" spans="1:26" s="25" customFormat="1" ht="6.95" customHeight="1" x14ac:dyDescent="0.3">
      <c r="A677" s="10"/>
      <c r="B677" s="168"/>
      <c r="C677" s="169"/>
      <c r="D677" s="160"/>
      <c r="E677" s="161"/>
      <c r="F677" s="162"/>
      <c r="G677" s="163"/>
      <c r="H677" s="164"/>
      <c r="I677" s="163"/>
      <c r="J677" s="164"/>
      <c r="K677" s="163"/>
      <c r="L677" s="164"/>
      <c r="M677" s="11"/>
      <c r="N677" s="39"/>
      <c r="Q677" s="15" t="str">
        <f>+CONCATENATE(E676,I676)</f>
        <v/>
      </c>
      <c r="R677" s="15">
        <f>+J676</f>
        <v>0</v>
      </c>
      <c r="S677" s="16"/>
      <c r="T677" s="15">
        <f>+E676</f>
        <v>0</v>
      </c>
      <c r="U677" s="26" t="str">
        <f>IFERROR(LEFT(I676,FIND("*",I676)-1),"-")</f>
        <v>-</v>
      </c>
      <c r="V677" s="26" t="str">
        <f>IFERROR(RIGHT(I676,LEN(I676)-FIND("*",I676)),"-")</f>
        <v>-</v>
      </c>
      <c r="W677" s="27" t="str">
        <f t="shared" si="364"/>
        <v>-</v>
      </c>
      <c r="X677" s="27" t="str">
        <f>IFERROR(W677*J676,"-")</f>
        <v>-</v>
      </c>
      <c r="Z677" s="94" t="s">
        <v>81</v>
      </c>
    </row>
    <row r="678" spans="1:26" s="25" customFormat="1" ht="6.95" customHeight="1" x14ac:dyDescent="0.3">
      <c r="A678" s="10"/>
      <c r="B678" s="168"/>
      <c r="C678" s="169"/>
      <c r="D678" s="160"/>
      <c r="E678" s="161"/>
      <c r="F678" s="162"/>
      <c r="G678" s="163"/>
      <c r="H678" s="164"/>
      <c r="I678" s="163"/>
      <c r="J678" s="164"/>
      <c r="K678" s="163"/>
      <c r="L678" s="164"/>
      <c r="M678" s="11"/>
      <c r="N678" s="39"/>
      <c r="Q678" s="15" t="str">
        <f>+CONCATENATE(E676,K676)</f>
        <v/>
      </c>
      <c r="R678" s="15">
        <f>+L676</f>
        <v>0</v>
      </c>
      <c r="S678" s="16"/>
      <c r="T678" s="15">
        <f>+E676</f>
        <v>0</v>
      </c>
      <c r="U678" s="26" t="str">
        <f>IFERROR(LEFT(K676,FIND("*",K676)-1),"-")</f>
        <v>-</v>
      </c>
      <c r="V678" s="26" t="str">
        <f>IFERROR(RIGHT(K676,LEN(K676)-FIND("*",K676)),"-")</f>
        <v>-</v>
      </c>
      <c r="W678" s="27" t="str">
        <f t="shared" si="364"/>
        <v>-</v>
      </c>
      <c r="X678" s="27" t="str">
        <f>IFERROR(W678*L676,"-")</f>
        <v>-</v>
      </c>
      <c r="Z678" s="94" t="s">
        <v>81</v>
      </c>
    </row>
    <row r="679" spans="1:26" s="25" customFormat="1" ht="6.95" customHeight="1" x14ac:dyDescent="0.3">
      <c r="A679" s="13"/>
      <c r="B679" s="168"/>
      <c r="C679" s="169"/>
      <c r="D679" s="160" t="s">
        <v>39</v>
      </c>
      <c r="E679" s="161"/>
      <c r="F679" s="162" t="s">
        <v>40</v>
      </c>
      <c r="G679" s="163"/>
      <c r="H679" s="164"/>
      <c r="I679" s="163"/>
      <c r="J679" s="164"/>
      <c r="K679" s="163"/>
      <c r="L679" s="164"/>
      <c r="M679" s="11"/>
      <c r="N679" s="39"/>
      <c r="Q679" s="15" t="str">
        <f>+CONCATENATE(E679,G679)</f>
        <v/>
      </c>
      <c r="R679" s="15">
        <f>+H679</f>
        <v>0</v>
      </c>
      <c r="S679" s="16"/>
      <c r="T679" s="15">
        <f>+E679</f>
        <v>0</v>
      </c>
      <c r="U679" s="26" t="str">
        <f t="shared" ref="U679" si="367">IFERROR(LEFT(G679,FIND("*",G679)-1),"-")</f>
        <v>-</v>
      </c>
      <c r="V679" s="26" t="str">
        <f t="shared" ref="V679" si="368">IFERROR(RIGHT(G679,LEN(G679)-FIND("*",G679)),"-")</f>
        <v>-</v>
      </c>
      <c r="W679" s="27" t="str">
        <f t="shared" si="364"/>
        <v>-</v>
      </c>
      <c r="X679" s="27" t="str">
        <f>IFERROR(W679*H679,"-")</f>
        <v>-</v>
      </c>
      <c r="Z679" s="94" t="s">
        <v>81</v>
      </c>
    </row>
    <row r="680" spans="1:26" s="25" customFormat="1" ht="6.95" customHeight="1" x14ac:dyDescent="0.3">
      <c r="A680" s="10"/>
      <c r="B680" s="168"/>
      <c r="C680" s="169"/>
      <c r="D680" s="160"/>
      <c r="E680" s="161"/>
      <c r="F680" s="162"/>
      <c r="G680" s="163"/>
      <c r="H680" s="164"/>
      <c r="I680" s="163"/>
      <c r="J680" s="164"/>
      <c r="K680" s="163"/>
      <c r="L680" s="164"/>
      <c r="M680" s="11"/>
      <c r="N680" s="39"/>
      <c r="Q680" s="15" t="str">
        <f>+CONCATENATE(E679,I679)</f>
        <v/>
      </c>
      <c r="R680" s="15">
        <f>+J679</f>
        <v>0</v>
      </c>
      <c r="S680" s="16"/>
      <c r="T680" s="15">
        <f>+E679</f>
        <v>0</v>
      </c>
      <c r="U680" s="26" t="str">
        <f>IFERROR(LEFT(I679,FIND("*",I679)-1),"-")</f>
        <v>-</v>
      </c>
      <c r="V680" s="26" t="str">
        <f>IFERROR(RIGHT(I679,LEN(I679)-FIND("*",I679)),"-")</f>
        <v>-</v>
      </c>
      <c r="W680" s="27" t="str">
        <f t="shared" si="364"/>
        <v>-</v>
      </c>
      <c r="X680" s="27" t="str">
        <f t="shared" ref="X680" si="369">IFERROR(W680*J679,"-")</f>
        <v>-</v>
      </c>
      <c r="Z680" s="94" t="s">
        <v>81</v>
      </c>
    </row>
    <row r="681" spans="1:26" s="25" customFormat="1" ht="6.95" customHeight="1" x14ac:dyDescent="0.3">
      <c r="A681" s="10"/>
      <c r="B681" s="168"/>
      <c r="C681" s="169"/>
      <c r="D681" s="160"/>
      <c r="E681" s="161"/>
      <c r="F681" s="162"/>
      <c r="G681" s="163"/>
      <c r="H681" s="164"/>
      <c r="I681" s="163"/>
      <c r="J681" s="164"/>
      <c r="K681" s="163"/>
      <c r="L681" s="164"/>
      <c r="M681" s="11"/>
      <c r="N681" s="39"/>
      <c r="Q681" s="15" t="str">
        <f>+CONCATENATE(E679,K679)</f>
        <v/>
      </c>
      <c r="R681" s="15">
        <f>+L679</f>
        <v>0</v>
      </c>
      <c r="S681" s="16"/>
      <c r="T681" s="15">
        <f>+E679</f>
        <v>0</v>
      </c>
      <c r="U681" s="26" t="str">
        <f>IFERROR(LEFT(K679,FIND("*",K679)-1),"-")</f>
        <v>-</v>
      </c>
      <c r="V681" s="26" t="str">
        <f>IFERROR(RIGHT(K679,LEN(K679)-FIND("*",K679)),"-")</f>
        <v>-</v>
      </c>
      <c r="W681" s="27" t="str">
        <f t="shared" si="364"/>
        <v>-</v>
      </c>
      <c r="X681" s="27" t="str">
        <f>IFERROR(W681*L679,"-")</f>
        <v>-</v>
      </c>
      <c r="Z681" s="94" t="s">
        <v>81</v>
      </c>
    </row>
    <row r="682" spans="1:26" s="25" customFormat="1" ht="21" customHeight="1" thickBot="1" x14ac:dyDescent="0.35">
      <c r="A682" s="10"/>
      <c r="B682" s="170"/>
      <c r="C682" s="171"/>
      <c r="D682" s="172" t="s">
        <v>43</v>
      </c>
      <c r="E682" s="173"/>
      <c r="F682" s="173"/>
      <c r="G682" s="174"/>
      <c r="H682" s="174"/>
      <c r="I682" s="174"/>
      <c r="J682" s="174"/>
      <c r="K682" s="174"/>
      <c r="L682" s="174"/>
      <c r="M682" s="12"/>
      <c r="N682" s="39"/>
      <c r="U682" s="23"/>
      <c r="V682" s="23"/>
      <c r="Z682" s="95" t="s">
        <v>81</v>
      </c>
    </row>
    <row r="683" spans="1:26" s="25" customFormat="1" ht="9.9499999999999993" customHeight="1" thickBot="1" x14ac:dyDescent="0.35">
      <c r="A683" s="6"/>
      <c r="B683" s="14"/>
      <c r="C683" s="119">
        <v>823</v>
      </c>
      <c r="D683" s="58"/>
      <c r="E683" s="17"/>
      <c r="F683" s="58"/>
      <c r="G683" s="19"/>
      <c r="H683" s="19"/>
      <c r="I683" s="19"/>
      <c r="J683" s="19"/>
      <c r="K683" s="19"/>
      <c r="L683" s="19"/>
      <c r="M683" s="14"/>
      <c r="N683" s="39"/>
      <c r="Q683" s="1"/>
      <c r="R683" s="1"/>
      <c r="S683" s="1"/>
      <c r="T683" s="1"/>
      <c r="U683" s="24"/>
      <c r="V683" s="24"/>
      <c r="W683" s="1"/>
      <c r="X683" s="1"/>
      <c r="Z683" s="94" t="s">
        <v>81</v>
      </c>
    </row>
    <row r="684" spans="1:26" s="25" customFormat="1" ht="6.95" customHeight="1" x14ac:dyDescent="0.3">
      <c r="A684" s="165">
        <f>+A673+1</f>
        <v>63</v>
      </c>
      <c r="B684" s="166"/>
      <c r="C684" s="167"/>
      <c r="D684" s="160" t="s">
        <v>39</v>
      </c>
      <c r="E684" s="161"/>
      <c r="F684" s="162" t="s">
        <v>40</v>
      </c>
      <c r="G684" s="163"/>
      <c r="H684" s="164"/>
      <c r="I684" s="163"/>
      <c r="J684" s="164"/>
      <c r="K684" s="163"/>
      <c r="L684" s="164"/>
      <c r="M684" s="11"/>
      <c r="N684" s="39"/>
      <c r="Q684" s="15" t="str">
        <f>+CONCATENATE(E684,G684)</f>
        <v/>
      </c>
      <c r="R684" s="15">
        <f>+H684</f>
        <v>0</v>
      </c>
      <c r="S684" s="16"/>
      <c r="T684" s="15">
        <f>+E684</f>
        <v>0</v>
      </c>
      <c r="U684" s="26" t="str">
        <f>IFERROR(LEFT(G684,FIND("*",G684)-1),"-")</f>
        <v>-</v>
      </c>
      <c r="V684" s="26" t="str">
        <f>IFERROR(RIGHT(G684,LEN(G684)-FIND("*",G684)),"-")</f>
        <v>-</v>
      </c>
      <c r="W684" s="27" t="str">
        <f>IFERROR((U684+V684)*2/1000,"-")</f>
        <v>-</v>
      </c>
      <c r="X684" s="27" t="str">
        <f>IFERROR(W684*H684,"-")</f>
        <v>-</v>
      </c>
      <c r="Z684" s="94" t="s">
        <v>81</v>
      </c>
    </row>
    <row r="685" spans="1:26" s="25" customFormat="1" ht="6.95" customHeight="1" x14ac:dyDescent="0.3">
      <c r="A685" s="165"/>
      <c r="B685" s="168"/>
      <c r="C685" s="169"/>
      <c r="D685" s="160"/>
      <c r="E685" s="161"/>
      <c r="F685" s="162"/>
      <c r="G685" s="163"/>
      <c r="H685" s="164"/>
      <c r="I685" s="163"/>
      <c r="J685" s="164"/>
      <c r="K685" s="163"/>
      <c r="L685" s="164"/>
      <c r="M685" s="11"/>
      <c r="N685" s="39"/>
      <c r="Q685" s="15" t="str">
        <f>+CONCATENATE(E684,I684)</f>
        <v/>
      </c>
      <c r="R685" s="15">
        <f>+J684</f>
        <v>0</v>
      </c>
      <c r="S685" s="16"/>
      <c r="T685" s="15">
        <f>+E684</f>
        <v>0</v>
      </c>
      <c r="U685" s="26" t="str">
        <f>IFERROR(LEFT(I684,FIND("*",I684)-1),"-")</f>
        <v>-</v>
      </c>
      <c r="V685" s="26" t="str">
        <f>IFERROR(RIGHT(I684,LEN(I684)-FIND("*",I684)),"-")</f>
        <v>-</v>
      </c>
      <c r="W685" s="27" t="str">
        <f t="shared" ref="W685:W692" si="370">IFERROR((U685+V685)*2/1000,"-")</f>
        <v>-</v>
      </c>
      <c r="X685" s="27" t="str">
        <f>IFERROR(W685*J684,"-")</f>
        <v>-</v>
      </c>
      <c r="Z685" s="94" t="s">
        <v>81</v>
      </c>
    </row>
    <row r="686" spans="1:26" s="25" customFormat="1" ht="6.95" customHeight="1" x14ac:dyDescent="0.3">
      <c r="A686" s="165"/>
      <c r="B686" s="168"/>
      <c r="C686" s="169"/>
      <c r="D686" s="160"/>
      <c r="E686" s="161"/>
      <c r="F686" s="162"/>
      <c r="G686" s="163"/>
      <c r="H686" s="164"/>
      <c r="I686" s="163"/>
      <c r="J686" s="164"/>
      <c r="K686" s="163"/>
      <c r="L686" s="164"/>
      <c r="M686" s="11"/>
      <c r="N686" s="39"/>
      <c r="Q686" s="15" t="str">
        <f>+CONCATENATE(E684,K684)</f>
        <v/>
      </c>
      <c r="R686" s="15">
        <f>+L684</f>
        <v>0</v>
      </c>
      <c r="S686" s="16"/>
      <c r="T686" s="15">
        <f>+E684</f>
        <v>0</v>
      </c>
      <c r="U686" s="26" t="str">
        <f>IFERROR(LEFT(K684,FIND("*",K684)-1),"-")</f>
        <v>-</v>
      </c>
      <c r="V686" s="26" t="str">
        <f>IFERROR(RIGHT(K684,LEN(K684)-FIND("*",K684)),"-")</f>
        <v>-</v>
      </c>
      <c r="W686" s="27" t="str">
        <f t="shared" si="370"/>
        <v>-</v>
      </c>
      <c r="X686" s="27" t="str">
        <f>IFERROR(W686*L684,"-")</f>
        <v>-</v>
      </c>
      <c r="Z686" s="94" t="s">
        <v>81</v>
      </c>
    </row>
    <row r="687" spans="1:26" s="25" customFormat="1" ht="6.95" customHeight="1" x14ac:dyDescent="0.3">
      <c r="A687" s="13"/>
      <c r="B687" s="168"/>
      <c r="C687" s="169"/>
      <c r="D687" s="160" t="s">
        <v>39</v>
      </c>
      <c r="E687" s="161"/>
      <c r="F687" s="162" t="s">
        <v>40</v>
      </c>
      <c r="G687" s="163"/>
      <c r="H687" s="164"/>
      <c r="I687" s="163"/>
      <c r="J687" s="164"/>
      <c r="K687" s="163"/>
      <c r="L687" s="164"/>
      <c r="M687" s="11"/>
      <c r="N687" s="39"/>
      <c r="Q687" s="15" t="str">
        <f>+CONCATENATE(E687,G687)</f>
        <v/>
      </c>
      <c r="R687" s="15">
        <f>+H687</f>
        <v>0</v>
      </c>
      <c r="S687" s="16"/>
      <c r="T687" s="15">
        <f>+E687</f>
        <v>0</v>
      </c>
      <c r="U687" s="26" t="str">
        <f t="shared" ref="U687" si="371">IFERROR(LEFT(G687,FIND("*",G687)-1),"-")</f>
        <v>-</v>
      </c>
      <c r="V687" s="26" t="str">
        <f t="shared" ref="V687" si="372">IFERROR(RIGHT(G687,LEN(G687)-FIND("*",G687)),"-")</f>
        <v>-</v>
      </c>
      <c r="W687" s="27" t="str">
        <f t="shared" si="370"/>
        <v>-</v>
      </c>
      <c r="X687" s="27" t="str">
        <f>IFERROR(W687*H687,"-")</f>
        <v>-</v>
      </c>
      <c r="Z687" s="94" t="s">
        <v>81</v>
      </c>
    </row>
    <row r="688" spans="1:26" s="25" customFormat="1" ht="6.95" customHeight="1" x14ac:dyDescent="0.3">
      <c r="A688" s="10"/>
      <c r="B688" s="168"/>
      <c r="C688" s="169"/>
      <c r="D688" s="160"/>
      <c r="E688" s="161"/>
      <c r="F688" s="162"/>
      <c r="G688" s="163"/>
      <c r="H688" s="164"/>
      <c r="I688" s="163"/>
      <c r="J688" s="164"/>
      <c r="K688" s="163"/>
      <c r="L688" s="164"/>
      <c r="M688" s="11"/>
      <c r="N688" s="39"/>
      <c r="Q688" s="15" t="str">
        <f>+CONCATENATE(E687,I687)</f>
        <v/>
      </c>
      <c r="R688" s="15">
        <f>+J687</f>
        <v>0</v>
      </c>
      <c r="S688" s="16"/>
      <c r="T688" s="15">
        <f>+E687</f>
        <v>0</v>
      </c>
      <c r="U688" s="26" t="str">
        <f>IFERROR(LEFT(I687,FIND("*",I687)-1),"-")</f>
        <v>-</v>
      </c>
      <c r="V688" s="26" t="str">
        <f>IFERROR(RIGHT(I687,LEN(I687)-FIND("*",I687)),"-")</f>
        <v>-</v>
      </c>
      <c r="W688" s="27" t="str">
        <f t="shared" si="370"/>
        <v>-</v>
      </c>
      <c r="X688" s="27" t="str">
        <f>IFERROR(W688*J687,"-")</f>
        <v>-</v>
      </c>
      <c r="Z688" s="94" t="s">
        <v>81</v>
      </c>
    </row>
    <row r="689" spans="1:26" s="25" customFormat="1" ht="6.95" customHeight="1" x14ac:dyDescent="0.3">
      <c r="A689" s="10"/>
      <c r="B689" s="168"/>
      <c r="C689" s="169"/>
      <c r="D689" s="160"/>
      <c r="E689" s="161"/>
      <c r="F689" s="162"/>
      <c r="G689" s="163"/>
      <c r="H689" s="164"/>
      <c r="I689" s="163"/>
      <c r="J689" s="164"/>
      <c r="K689" s="163"/>
      <c r="L689" s="164"/>
      <c r="M689" s="11"/>
      <c r="N689" s="39"/>
      <c r="Q689" s="15" t="str">
        <f>+CONCATENATE(E687,K687)</f>
        <v/>
      </c>
      <c r="R689" s="15">
        <f>+L687</f>
        <v>0</v>
      </c>
      <c r="S689" s="16"/>
      <c r="T689" s="15">
        <f>+E687</f>
        <v>0</v>
      </c>
      <c r="U689" s="26" t="str">
        <f>IFERROR(LEFT(K687,FIND("*",K687)-1),"-")</f>
        <v>-</v>
      </c>
      <c r="V689" s="26" t="str">
        <f>IFERROR(RIGHT(K687,LEN(K687)-FIND("*",K687)),"-")</f>
        <v>-</v>
      </c>
      <c r="W689" s="27" t="str">
        <f t="shared" si="370"/>
        <v>-</v>
      </c>
      <c r="X689" s="27" t="str">
        <f>IFERROR(W689*L687,"-")</f>
        <v>-</v>
      </c>
      <c r="Z689" s="94" t="s">
        <v>81</v>
      </c>
    </row>
    <row r="690" spans="1:26" s="25" customFormat="1" ht="6.95" customHeight="1" x14ac:dyDescent="0.3">
      <c r="A690" s="13"/>
      <c r="B690" s="168"/>
      <c r="C690" s="169"/>
      <c r="D690" s="160" t="s">
        <v>39</v>
      </c>
      <c r="E690" s="161"/>
      <c r="F690" s="162" t="s">
        <v>40</v>
      </c>
      <c r="G690" s="163"/>
      <c r="H690" s="164"/>
      <c r="I690" s="163"/>
      <c r="J690" s="164"/>
      <c r="K690" s="163"/>
      <c r="L690" s="164"/>
      <c r="M690" s="11"/>
      <c r="N690" s="39"/>
      <c r="Q690" s="15" t="str">
        <f>+CONCATENATE(E690,G690)</f>
        <v/>
      </c>
      <c r="R690" s="15">
        <f>+H690</f>
        <v>0</v>
      </c>
      <c r="S690" s="16"/>
      <c r="T690" s="15">
        <f>+E690</f>
        <v>0</v>
      </c>
      <c r="U690" s="26" t="str">
        <f t="shared" ref="U690" si="373">IFERROR(LEFT(G690,FIND("*",G690)-1),"-")</f>
        <v>-</v>
      </c>
      <c r="V690" s="26" t="str">
        <f t="shared" ref="V690" si="374">IFERROR(RIGHT(G690,LEN(G690)-FIND("*",G690)),"-")</f>
        <v>-</v>
      </c>
      <c r="W690" s="27" t="str">
        <f t="shared" si="370"/>
        <v>-</v>
      </c>
      <c r="X690" s="27" t="str">
        <f>IFERROR(W690*H690,"-")</f>
        <v>-</v>
      </c>
      <c r="Z690" s="94" t="s">
        <v>81</v>
      </c>
    </row>
    <row r="691" spans="1:26" s="25" customFormat="1" ht="6.95" customHeight="1" x14ac:dyDescent="0.3">
      <c r="A691" s="10"/>
      <c r="B691" s="168"/>
      <c r="C691" s="169"/>
      <c r="D691" s="160"/>
      <c r="E691" s="161"/>
      <c r="F691" s="162"/>
      <c r="G691" s="163"/>
      <c r="H691" s="164"/>
      <c r="I691" s="163"/>
      <c r="J691" s="164"/>
      <c r="K691" s="163"/>
      <c r="L691" s="164"/>
      <c r="M691" s="11"/>
      <c r="N691" s="39"/>
      <c r="Q691" s="15" t="str">
        <f>+CONCATENATE(E690,I690)</f>
        <v/>
      </c>
      <c r="R691" s="15">
        <f>+J690</f>
        <v>0</v>
      </c>
      <c r="S691" s="16"/>
      <c r="T691" s="15">
        <f>+E690</f>
        <v>0</v>
      </c>
      <c r="U691" s="26" t="str">
        <f>IFERROR(LEFT(I690,FIND("*",I690)-1),"-")</f>
        <v>-</v>
      </c>
      <c r="V691" s="26" t="str">
        <f>IFERROR(RIGHT(I690,LEN(I690)-FIND("*",I690)),"-")</f>
        <v>-</v>
      </c>
      <c r="W691" s="27" t="str">
        <f t="shared" si="370"/>
        <v>-</v>
      </c>
      <c r="X691" s="27" t="str">
        <f t="shared" ref="X691" si="375">IFERROR(W691*J690,"-")</f>
        <v>-</v>
      </c>
      <c r="Z691" s="94" t="s">
        <v>81</v>
      </c>
    </row>
    <row r="692" spans="1:26" s="25" customFormat="1" ht="6.95" customHeight="1" x14ac:dyDescent="0.3">
      <c r="A692" s="10"/>
      <c r="B692" s="168"/>
      <c r="C692" s="169"/>
      <c r="D692" s="160"/>
      <c r="E692" s="161"/>
      <c r="F692" s="162"/>
      <c r="G692" s="163"/>
      <c r="H692" s="164"/>
      <c r="I692" s="163"/>
      <c r="J692" s="164"/>
      <c r="K692" s="163"/>
      <c r="L692" s="164"/>
      <c r="M692" s="11"/>
      <c r="N692" s="39"/>
      <c r="Q692" s="15" t="str">
        <f>+CONCATENATE(E690,K690)</f>
        <v/>
      </c>
      <c r="R692" s="15">
        <f>+L690</f>
        <v>0</v>
      </c>
      <c r="S692" s="16"/>
      <c r="T692" s="15">
        <f>+E690</f>
        <v>0</v>
      </c>
      <c r="U692" s="26" t="str">
        <f>IFERROR(LEFT(K690,FIND("*",K690)-1),"-")</f>
        <v>-</v>
      </c>
      <c r="V692" s="26" t="str">
        <f>IFERROR(RIGHT(K690,LEN(K690)-FIND("*",K690)),"-")</f>
        <v>-</v>
      </c>
      <c r="W692" s="27" t="str">
        <f t="shared" si="370"/>
        <v>-</v>
      </c>
      <c r="X692" s="27" t="str">
        <f>IFERROR(W692*L690,"-")</f>
        <v>-</v>
      </c>
      <c r="Z692" s="94" t="s">
        <v>81</v>
      </c>
    </row>
    <row r="693" spans="1:26" s="25" customFormat="1" ht="21" customHeight="1" thickBot="1" x14ac:dyDescent="0.35">
      <c r="A693" s="10"/>
      <c r="B693" s="170"/>
      <c r="C693" s="171"/>
      <c r="D693" s="172" t="s">
        <v>43</v>
      </c>
      <c r="E693" s="173"/>
      <c r="F693" s="173"/>
      <c r="G693" s="174"/>
      <c r="H693" s="174"/>
      <c r="I693" s="174"/>
      <c r="J693" s="174"/>
      <c r="K693" s="174"/>
      <c r="L693" s="174"/>
      <c r="M693" s="12"/>
      <c r="N693" s="39"/>
      <c r="U693" s="23"/>
      <c r="V693" s="23"/>
      <c r="Z693" s="95" t="s">
        <v>81</v>
      </c>
    </row>
    <row r="694" spans="1:26" s="25" customFormat="1" ht="9.9499999999999993" customHeight="1" thickBot="1" x14ac:dyDescent="0.35">
      <c r="A694" s="6"/>
      <c r="B694" s="14"/>
      <c r="C694" s="119">
        <v>824</v>
      </c>
      <c r="D694" s="58"/>
      <c r="E694" s="17"/>
      <c r="F694" s="58"/>
      <c r="G694" s="19"/>
      <c r="H694" s="19"/>
      <c r="I694" s="19"/>
      <c r="J694" s="19"/>
      <c r="K694" s="19"/>
      <c r="L694" s="19"/>
      <c r="M694" s="14"/>
      <c r="N694" s="39"/>
      <c r="Q694" s="1"/>
      <c r="R694" s="1"/>
      <c r="S694" s="1"/>
      <c r="T694" s="1"/>
      <c r="U694" s="24"/>
      <c r="V694" s="24"/>
      <c r="W694" s="1"/>
      <c r="X694" s="1"/>
      <c r="Z694" s="94" t="s">
        <v>81</v>
      </c>
    </row>
    <row r="695" spans="1:26" s="25" customFormat="1" ht="6.95" customHeight="1" x14ac:dyDescent="0.3">
      <c r="A695" s="165">
        <f>+A684+1</f>
        <v>64</v>
      </c>
      <c r="B695" s="166"/>
      <c r="C695" s="167"/>
      <c r="D695" s="160" t="s">
        <v>39</v>
      </c>
      <c r="E695" s="161"/>
      <c r="F695" s="162" t="s">
        <v>40</v>
      </c>
      <c r="G695" s="163"/>
      <c r="H695" s="164"/>
      <c r="I695" s="163"/>
      <c r="J695" s="164"/>
      <c r="K695" s="163"/>
      <c r="L695" s="164"/>
      <c r="M695" s="11"/>
      <c r="N695" s="39"/>
      <c r="Q695" s="15" t="str">
        <f>+CONCATENATE(E695,G695)</f>
        <v/>
      </c>
      <c r="R695" s="15">
        <f>+H695</f>
        <v>0</v>
      </c>
      <c r="S695" s="16"/>
      <c r="T695" s="15">
        <f>+E695</f>
        <v>0</v>
      </c>
      <c r="U695" s="26" t="str">
        <f>IFERROR(LEFT(G695,FIND("*",G695)-1),"-")</f>
        <v>-</v>
      </c>
      <c r="V695" s="26" t="str">
        <f>IFERROR(RIGHT(G695,LEN(G695)-FIND("*",G695)),"-")</f>
        <v>-</v>
      </c>
      <c r="W695" s="27" t="str">
        <f>IFERROR((U695+V695)*2/1000,"-")</f>
        <v>-</v>
      </c>
      <c r="X695" s="27" t="str">
        <f>IFERROR(W695*H695,"-")</f>
        <v>-</v>
      </c>
      <c r="Z695" s="94" t="s">
        <v>81</v>
      </c>
    </row>
    <row r="696" spans="1:26" s="25" customFormat="1" ht="6.95" customHeight="1" x14ac:dyDescent="0.3">
      <c r="A696" s="165"/>
      <c r="B696" s="168"/>
      <c r="C696" s="169"/>
      <c r="D696" s="160"/>
      <c r="E696" s="161"/>
      <c r="F696" s="162"/>
      <c r="G696" s="163"/>
      <c r="H696" s="164"/>
      <c r="I696" s="163"/>
      <c r="J696" s="164"/>
      <c r="K696" s="163"/>
      <c r="L696" s="164"/>
      <c r="M696" s="11"/>
      <c r="N696" s="39"/>
      <c r="Q696" s="15" t="str">
        <f>+CONCATENATE(E695,I695)</f>
        <v/>
      </c>
      <c r="R696" s="15">
        <f>+J695</f>
        <v>0</v>
      </c>
      <c r="S696" s="16"/>
      <c r="T696" s="15">
        <f>+E695</f>
        <v>0</v>
      </c>
      <c r="U696" s="26" t="str">
        <f>IFERROR(LEFT(I695,FIND("*",I695)-1),"-")</f>
        <v>-</v>
      </c>
      <c r="V696" s="26" t="str">
        <f>IFERROR(RIGHT(I695,LEN(I695)-FIND("*",I695)),"-")</f>
        <v>-</v>
      </c>
      <c r="W696" s="27" t="str">
        <f t="shared" ref="W696:W703" si="376">IFERROR((U696+V696)*2/1000,"-")</f>
        <v>-</v>
      </c>
      <c r="X696" s="27" t="str">
        <f>IFERROR(W696*J695,"-")</f>
        <v>-</v>
      </c>
      <c r="Z696" s="94" t="s">
        <v>81</v>
      </c>
    </row>
    <row r="697" spans="1:26" s="25" customFormat="1" ht="6.95" customHeight="1" x14ac:dyDescent="0.3">
      <c r="A697" s="165"/>
      <c r="B697" s="168"/>
      <c r="C697" s="169"/>
      <c r="D697" s="160"/>
      <c r="E697" s="161"/>
      <c r="F697" s="162"/>
      <c r="G697" s="163"/>
      <c r="H697" s="164"/>
      <c r="I697" s="163"/>
      <c r="J697" s="164"/>
      <c r="K697" s="163"/>
      <c r="L697" s="164"/>
      <c r="M697" s="11"/>
      <c r="N697" s="39"/>
      <c r="Q697" s="15" t="str">
        <f>+CONCATENATE(E695,K695)</f>
        <v/>
      </c>
      <c r="R697" s="15">
        <f>+L695</f>
        <v>0</v>
      </c>
      <c r="S697" s="16"/>
      <c r="T697" s="15">
        <f>+E695</f>
        <v>0</v>
      </c>
      <c r="U697" s="26" t="str">
        <f>IFERROR(LEFT(K695,FIND("*",K695)-1),"-")</f>
        <v>-</v>
      </c>
      <c r="V697" s="26" t="str">
        <f>IFERROR(RIGHT(K695,LEN(K695)-FIND("*",K695)),"-")</f>
        <v>-</v>
      </c>
      <c r="W697" s="27" t="str">
        <f t="shared" si="376"/>
        <v>-</v>
      </c>
      <c r="X697" s="27" t="str">
        <f>IFERROR(W697*L695,"-")</f>
        <v>-</v>
      </c>
      <c r="Z697" s="94" t="s">
        <v>81</v>
      </c>
    </row>
    <row r="698" spans="1:26" s="25" customFormat="1" ht="6.95" customHeight="1" x14ac:dyDescent="0.3">
      <c r="A698" s="13"/>
      <c r="B698" s="168"/>
      <c r="C698" s="169"/>
      <c r="D698" s="160" t="s">
        <v>39</v>
      </c>
      <c r="E698" s="161"/>
      <c r="F698" s="162" t="s">
        <v>40</v>
      </c>
      <c r="G698" s="163"/>
      <c r="H698" s="164"/>
      <c r="I698" s="163"/>
      <c r="J698" s="164"/>
      <c r="K698" s="163"/>
      <c r="L698" s="164"/>
      <c r="M698" s="11"/>
      <c r="N698" s="39"/>
      <c r="Q698" s="15" t="str">
        <f>+CONCATENATE(E698,G698)</f>
        <v/>
      </c>
      <c r="R698" s="15">
        <f>+H698</f>
        <v>0</v>
      </c>
      <c r="S698" s="16"/>
      <c r="T698" s="15">
        <f>+E698</f>
        <v>0</v>
      </c>
      <c r="U698" s="26" t="str">
        <f t="shared" ref="U698" si="377">IFERROR(LEFT(G698,FIND("*",G698)-1),"-")</f>
        <v>-</v>
      </c>
      <c r="V698" s="26" t="str">
        <f t="shared" ref="V698" si="378">IFERROR(RIGHT(G698,LEN(G698)-FIND("*",G698)),"-")</f>
        <v>-</v>
      </c>
      <c r="W698" s="27" t="str">
        <f t="shared" si="376"/>
        <v>-</v>
      </c>
      <c r="X698" s="27" t="str">
        <f>IFERROR(W698*H698,"-")</f>
        <v>-</v>
      </c>
      <c r="Z698" s="94" t="s">
        <v>81</v>
      </c>
    </row>
    <row r="699" spans="1:26" s="25" customFormat="1" ht="6.95" customHeight="1" x14ac:dyDescent="0.3">
      <c r="A699" s="10"/>
      <c r="B699" s="168"/>
      <c r="C699" s="169"/>
      <c r="D699" s="160"/>
      <c r="E699" s="161"/>
      <c r="F699" s="162"/>
      <c r="G699" s="163"/>
      <c r="H699" s="164"/>
      <c r="I699" s="163"/>
      <c r="J699" s="164"/>
      <c r="K699" s="163"/>
      <c r="L699" s="164"/>
      <c r="M699" s="11"/>
      <c r="N699" s="39"/>
      <c r="Q699" s="15" t="str">
        <f>+CONCATENATE(E698,I698)</f>
        <v/>
      </c>
      <c r="R699" s="15">
        <f>+J698</f>
        <v>0</v>
      </c>
      <c r="S699" s="16"/>
      <c r="T699" s="15">
        <f>+E698</f>
        <v>0</v>
      </c>
      <c r="U699" s="26" t="str">
        <f>IFERROR(LEFT(I698,FIND("*",I698)-1),"-")</f>
        <v>-</v>
      </c>
      <c r="V699" s="26" t="str">
        <f>IFERROR(RIGHT(I698,LEN(I698)-FIND("*",I698)),"-")</f>
        <v>-</v>
      </c>
      <c r="W699" s="27" t="str">
        <f t="shared" si="376"/>
        <v>-</v>
      </c>
      <c r="X699" s="27" t="str">
        <f>IFERROR(W699*J698,"-")</f>
        <v>-</v>
      </c>
      <c r="Z699" s="94" t="s">
        <v>81</v>
      </c>
    </row>
    <row r="700" spans="1:26" s="25" customFormat="1" ht="6.95" customHeight="1" x14ac:dyDescent="0.3">
      <c r="A700" s="10"/>
      <c r="B700" s="168"/>
      <c r="C700" s="169"/>
      <c r="D700" s="160"/>
      <c r="E700" s="161"/>
      <c r="F700" s="162"/>
      <c r="G700" s="163"/>
      <c r="H700" s="164"/>
      <c r="I700" s="163"/>
      <c r="J700" s="164"/>
      <c r="K700" s="163"/>
      <c r="L700" s="164"/>
      <c r="M700" s="11"/>
      <c r="N700" s="39"/>
      <c r="Q700" s="15" t="str">
        <f>+CONCATENATE(E698,K698)</f>
        <v/>
      </c>
      <c r="R700" s="15">
        <f>+L698</f>
        <v>0</v>
      </c>
      <c r="S700" s="16"/>
      <c r="T700" s="15">
        <f>+E698</f>
        <v>0</v>
      </c>
      <c r="U700" s="26" t="str">
        <f>IFERROR(LEFT(K698,FIND("*",K698)-1),"-")</f>
        <v>-</v>
      </c>
      <c r="V700" s="26" t="str">
        <f>IFERROR(RIGHT(K698,LEN(K698)-FIND("*",K698)),"-")</f>
        <v>-</v>
      </c>
      <c r="W700" s="27" t="str">
        <f t="shared" si="376"/>
        <v>-</v>
      </c>
      <c r="X700" s="27" t="str">
        <f>IFERROR(W700*L698,"-")</f>
        <v>-</v>
      </c>
      <c r="Z700" s="94" t="s">
        <v>81</v>
      </c>
    </row>
    <row r="701" spans="1:26" s="25" customFormat="1" ht="6.95" customHeight="1" x14ac:dyDescent="0.3">
      <c r="A701" s="13"/>
      <c r="B701" s="168"/>
      <c r="C701" s="169"/>
      <c r="D701" s="160" t="s">
        <v>39</v>
      </c>
      <c r="E701" s="161"/>
      <c r="F701" s="162" t="s">
        <v>40</v>
      </c>
      <c r="G701" s="163"/>
      <c r="H701" s="164"/>
      <c r="I701" s="163"/>
      <c r="J701" s="164"/>
      <c r="K701" s="163"/>
      <c r="L701" s="164"/>
      <c r="M701" s="11"/>
      <c r="N701" s="39"/>
      <c r="Q701" s="15" t="str">
        <f>+CONCATENATE(E701,G701)</f>
        <v/>
      </c>
      <c r="R701" s="15">
        <f>+H701</f>
        <v>0</v>
      </c>
      <c r="S701" s="16"/>
      <c r="T701" s="15">
        <f>+E701</f>
        <v>0</v>
      </c>
      <c r="U701" s="26" t="str">
        <f t="shared" ref="U701" si="379">IFERROR(LEFT(G701,FIND("*",G701)-1),"-")</f>
        <v>-</v>
      </c>
      <c r="V701" s="26" t="str">
        <f t="shared" ref="V701" si="380">IFERROR(RIGHT(G701,LEN(G701)-FIND("*",G701)),"-")</f>
        <v>-</v>
      </c>
      <c r="W701" s="27" t="str">
        <f t="shared" si="376"/>
        <v>-</v>
      </c>
      <c r="X701" s="27" t="str">
        <f>IFERROR(W701*H701,"-")</f>
        <v>-</v>
      </c>
      <c r="Z701" s="94" t="s">
        <v>81</v>
      </c>
    </row>
    <row r="702" spans="1:26" s="25" customFormat="1" ht="6.95" customHeight="1" x14ac:dyDescent="0.3">
      <c r="A702" s="10"/>
      <c r="B702" s="168"/>
      <c r="C702" s="169"/>
      <c r="D702" s="160"/>
      <c r="E702" s="161"/>
      <c r="F702" s="162"/>
      <c r="G702" s="163"/>
      <c r="H702" s="164"/>
      <c r="I702" s="163"/>
      <c r="J702" s="164"/>
      <c r="K702" s="163"/>
      <c r="L702" s="164"/>
      <c r="M702" s="11"/>
      <c r="N702" s="39"/>
      <c r="Q702" s="15" t="str">
        <f>+CONCATENATE(E701,I701)</f>
        <v/>
      </c>
      <c r="R702" s="15">
        <f>+J701</f>
        <v>0</v>
      </c>
      <c r="S702" s="16"/>
      <c r="T702" s="15">
        <f>+E701</f>
        <v>0</v>
      </c>
      <c r="U702" s="26" t="str">
        <f>IFERROR(LEFT(I701,FIND("*",I701)-1),"-")</f>
        <v>-</v>
      </c>
      <c r="V702" s="26" t="str">
        <f>IFERROR(RIGHT(I701,LEN(I701)-FIND("*",I701)),"-")</f>
        <v>-</v>
      </c>
      <c r="W702" s="27" t="str">
        <f t="shared" si="376"/>
        <v>-</v>
      </c>
      <c r="X702" s="27" t="str">
        <f t="shared" ref="X702" si="381">IFERROR(W702*J701,"-")</f>
        <v>-</v>
      </c>
      <c r="Z702" s="94" t="s">
        <v>81</v>
      </c>
    </row>
    <row r="703" spans="1:26" s="25" customFormat="1" ht="6.95" customHeight="1" x14ac:dyDescent="0.3">
      <c r="A703" s="10"/>
      <c r="B703" s="168"/>
      <c r="C703" s="169"/>
      <c r="D703" s="160"/>
      <c r="E703" s="161"/>
      <c r="F703" s="162"/>
      <c r="G703" s="163"/>
      <c r="H703" s="164"/>
      <c r="I703" s="163"/>
      <c r="J703" s="164"/>
      <c r="K703" s="163"/>
      <c r="L703" s="164"/>
      <c r="M703" s="11"/>
      <c r="N703" s="39"/>
      <c r="Q703" s="15" t="str">
        <f>+CONCATENATE(E701,K701)</f>
        <v/>
      </c>
      <c r="R703" s="15">
        <f>+L701</f>
        <v>0</v>
      </c>
      <c r="S703" s="16"/>
      <c r="T703" s="15">
        <f>+E701</f>
        <v>0</v>
      </c>
      <c r="U703" s="26" t="str">
        <f>IFERROR(LEFT(K701,FIND("*",K701)-1),"-")</f>
        <v>-</v>
      </c>
      <c r="V703" s="26" t="str">
        <f>IFERROR(RIGHT(K701,LEN(K701)-FIND("*",K701)),"-")</f>
        <v>-</v>
      </c>
      <c r="W703" s="27" t="str">
        <f t="shared" si="376"/>
        <v>-</v>
      </c>
      <c r="X703" s="27" t="str">
        <f>IFERROR(W703*L701,"-")</f>
        <v>-</v>
      </c>
      <c r="Z703" s="94" t="s">
        <v>81</v>
      </c>
    </row>
    <row r="704" spans="1:26" s="25" customFormat="1" ht="21" customHeight="1" thickBot="1" x14ac:dyDescent="0.35">
      <c r="A704" s="10"/>
      <c r="B704" s="170"/>
      <c r="C704" s="171"/>
      <c r="D704" s="172" t="s">
        <v>43</v>
      </c>
      <c r="E704" s="173"/>
      <c r="F704" s="173"/>
      <c r="G704" s="174"/>
      <c r="H704" s="174"/>
      <c r="I704" s="174"/>
      <c r="J704" s="174"/>
      <c r="K704" s="174"/>
      <c r="L704" s="174"/>
      <c r="M704" s="12"/>
      <c r="N704" s="39"/>
      <c r="U704" s="23"/>
      <c r="V704" s="23"/>
      <c r="Z704" s="95" t="s">
        <v>81</v>
      </c>
    </row>
    <row r="705" spans="1:26" s="25" customFormat="1" ht="9.9499999999999993" customHeight="1" thickBot="1" x14ac:dyDescent="0.35">
      <c r="A705" s="6"/>
      <c r="B705" s="14"/>
      <c r="C705" s="119">
        <v>825</v>
      </c>
      <c r="D705" s="58"/>
      <c r="E705" s="17"/>
      <c r="F705" s="58"/>
      <c r="G705" s="19"/>
      <c r="H705" s="19"/>
      <c r="I705" s="19"/>
      <c r="J705" s="19"/>
      <c r="K705" s="19"/>
      <c r="L705" s="19"/>
      <c r="M705" s="14"/>
      <c r="N705" s="39"/>
      <c r="Q705" s="1"/>
      <c r="R705" s="1"/>
      <c r="S705" s="1"/>
      <c r="T705" s="1"/>
      <c r="U705" s="24"/>
      <c r="V705" s="24"/>
      <c r="W705" s="1"/>
      <c r="X705" s="1"/>
      <c r="Z705" s="94" t="s">
        <v>81</v>
      </c>
    </row>
    <row r="706" spans="1:26" s="25" customFormat="1" ht="6.95" customHeight="1" x14ac:dyDescent="0.3">
      <c r="A706" s="165">
        <f>+A695+1</f>
        <v>65</v>
      </c>
      <c r="B706" s="166"/>
      <c r="C706" s="167"/>
      <c r="D706" s="160" t="s">
        <v>39</v>
      </c>
      <c r="E706" s="161"/>
      <c r="F706" s="162" t="s">
        <v>40</v>
      </c>
      <c r="G706" s="163"/>
      <c r="H706" s="164"/>
      <c r="I706" s="163"/>
      <c r="J706" s="164"/>
      <c r="K706" s="163"/>
      <c r="L706" s="164"/>
      <c r="M706" s="11"/>
      <c r="N706" s="39"/>
      <c r="Q706" s="15" t="str">
        <f>+CONCATENATE(E706,G706)</f>
        <v/>
      </c>
      <c r="R706" s="15">
        <f>+H706</f>
        <v>0</v>
      </c>
      <c r="S706" s="16"/>
      <c r="T706" s="15">
        <f>+E706</f>
        <v>0</v>
      </c>
      <c r="U706" s="26" t="str">
        <f>IFERROR(LEFT(G706,FIND("*",G706)-1),"-")</f>
        <v>-</v>
      </c>
      <c r="V706" s="26" t="str">
        <f>IFERROR(RIGHT(G706,LEN(G706)-FIND("*",G706)),"-")</f>
        <v>-</v>
      </c>
      <c r="W706" s="27" t="str">
        <f>IFERROR((U706+V706)*2/1000,"-")</f>
        <v>-</v>
      </c>
      <c r="X706" s="27" t="str">
        <f>IFERROR(W706*H706,"-")</f>
        <v>-</v>
      </c>
      <c r="Z706" s="94" t="s">
        <v>81</v>
      </c>
    </row>
    <row r="707" spans="1:26" s="25" customFormat="1" ht="6.95" customHeight="1" x14ac:dyDescent="0.3">
      <c r="A707" s="165"/>
      <c r="B707" s="168"/>
      <c r="C707" s="169"/>
      <c r="D707" s="160"/>
      <c r="E707" s="161"/>
      <c r="F707" s="162"/>
      <c r="G707" s="163"/>
      <c r="H707" s="164"/>
      <c r="I707" s="163"/>
      <c r="J707" s="164"/>
      <c r="K707" s="163"/>
      <c r="L707" s="164"/>
      <c r="M707" s="11"/>
      <c r="N707" s="39"/>
      <c r="Q707" s="15" t="str">
        <f>+CONCATENATE(E706,I706)</f>
        <v/>
      </c>
      <c r="R707" s="15">
        <f>+J706</f>
        <v>0</v>
      </c>
      <c r="S707" s="16"/>
      <c r="T707" s="15">
        <f>+E706</f>
        <v>0</v>
      </c>
      <c r="U707" s="26" t="str">
        <f>IFERROR(LEFT(I706,FIND("*",I706)-1),"-")</f>
        <v>-</v>
      </c>
      <c r="V707" s="26" t="str">
        <f>IFERROR(RIGHT(I706,LEN(I706)-FIND("*",I706)),"-")</f>
        <v>-</v>
      </c>
      <c r="W707" s="27" t="str">
        <f t="shared" ref="W707:W714" si="382">IFERROR((U707+V707)*2/1000,"-")</f>
        <v>-</v>
      </c>
      <c r="X707" s="27" t="str">
        <f>IFERROR(W707*J706,"-")</f>
        <v>-</v>
      </c>
      <c r="Z707" s="94" t="s">
        <v>81</v>
      </c>
    </row>
    <row r="708" spans="1:26" s="25" customFormat="1" ht="6.95" customHeight="1" x14ac:dyDescent="0.3">
      <c r="A708" s="165"/>
      <c r="B708" s="168"/>
      <c r="C708" s="169"/>
      <c r="D708" s="160"/>
      <c r="E708" s="161"/>
      <c r="F708" s="162"/>
      <c r="G708" s="163"/>
      <c r="H708" s="164"/>
      <c r="I708" s="163"/>
      <c r="J708" s="164"/>
      <c r="K708" s="163"/>
      <c r="L708" s="164"/>
      <c r="M708" s="11"/>
      <c r="N708" s="39"/>
      <c r="Q708" s="15" t="str">
        <f>+CONCATENATE(E706,K706)</f>
        <v/>
      </c>
      <c r="R708" s="15">
        <f>+L706</f>
        <v>0</v>
      </c>
      <c r="S708" s="16"/>
      <c r="T708" s="15">
        <f>+E706</f>
        <v>0</v>
      </c>
      <c r="U708" s="26" t="str">
        <f>IFERROR(LEFT(K706,FIND("*",K706)-1),"-")</f>
        <v>-</v>
      </c>
      <c r="V708" s="26" t="str">
        <f>IFERROR(RIGHT(K706,LEN(K706)-FIND("*",K706)),"-")</f>
        <v>-</v>
      </c>
      <c r="W708" s="27" t="str">
        <f t="shared" si="382"/>
        <v>-</v>
      </c>
      <c r="X708" s="27" t="str">
        <f>IFERROR(W708*L706,"-")</f>
        <v>-</v>
      </c>
      <c r="Z708" s="94" t="s">
        <v>81</v>
      </c>
    </row>
    <row r="709" spans="1:26" s="25" customFormat="1" ht="6.95" customHeight="1" x14ac:dyDescent="0.3">
      <c r="A709" s="13"/>
      <c r="B709" s="168"/>
      <c r="C709" s="169"/>
      <c r="D709" s="160" t="s">
        <v>39</v>
      </c>
      <c r="E709" s="161"/>
      <c r="F709" s="162" t="s">
        <v>40</v>
      </c>
      <c r="G709" s="163"/>
      <c r="H709" s="164"/>
      <c r="I709" s="163"/>
      <c r="J709" s="164"/>
      <c r="K709" s="163"/>
      <c r="L709" s="164"/>
      <c r="M709" s="11"/>
      <c r="N709" s="39"/>
      <c r="Q709" s="15" t="str">
        <f>+CONCATENATE(E709,G709)</f>
        <v/>
      </c>
      <c r="R709" s="15">
        <f>+H709</f>
        <v>0</v>
      </c>
      <c r="S709" s="16"/>
      <c r="T709" s="15">
        <f>+E709</f>
        <v>0</v>
      </c>
      <c r="U709" s="26" t="str">
        <f t="shared" ref="U709" si="383">IFERROR(LEFT(G709,FIND("*",G709)-1),"-")</f>
        <v>-</v>
      </c>
      <c r="V709" s="26" t="str">
        <f t="shared" ref="V709" si="384">IFERROR(RIGHT(G709,LEN(G709)-FIND("*",G709)),"-")</f>
        <v>-</v>
      </c>
      <c r="W709" s="27" t="str">
        <f t="shared" si="382"/>
        <v>-</v>
      </c>
      <c r="X709" s="27" t="str">
        <f>IFERROR(W709*H709,"-")</f>
        <v>-</v>
      </c>
      <c r="Z709" s="94" t="s">
        <v>81</v>
      </c>
    </row>
    <row r="710" spans="1:26" s="25" customFormat="1" ht="6.95" customHeight="1" x14ac:dyDescent="0.3">
      <c r="A710" s="10"/>
      <c r="B710" s="168"/>
      <c r="C710" s="169"/>
      <c r="D710" s="160"/>
      <c r="E710" s="161"/>
      <c r="F710" s="162"/>
      <c r="G710" s="163"/>
      <c r="H710" s="164"/>
      <c r="I710" s="163"/>
      <c r="J710" s="164"/>
      <c r="K710" s="163"/>
      <c r="L710" s="164"/>
      <c r="M710" s="11"/>
      <c r="N710" s="39"/>
      <c r="Q710" s="15" t="str">
        <f>+CONCATENATE(E709,I709)</f>
        <v/>
      </c>
      <c r="R710" s="15">
        <f>+J709</f>
        <v>0</v>
      </c>
      <c r="S710" s="16"/>
      <c r="T710" s="15">
        <f>+E709</f>
        <v>0</v>
      </c>
      <c r="U710" s="26" t="str">
        <f>IFERROR(LEFT(I709,FIND("*",I709)-1),"-")</f>
        <v>-</v>
      </c>
      <c r="V710" s="26" t="str">
        <f>IFERROR(RIGHT(I709,LEN(I709)-FIND("*",I709)),"-")</f>
        <v>-</v>
      </c>
      <c r="W710" s="27" t="str">
        <f t="shared" si="382"/>
        <v>-</v>
      </c>
      <c r="X710" s="27" t="str">
        <f>IFERROR(W710*J709,"-")</f>
        <v>-</v>
      </c>
      <c r="Z710" s="94" t="s">
        <v>81</v>
      </c>
    </row>
    <row r="711" spans="1:26" s="25" customFormat="1" ht="6.95" customHeight="1" x14ac:dyDescent="0.3">
      <c r="A711" s="10"/>
      <c r="B711" s="168"/>
      <c r="C711" s="169"/>
      <c r="D711" s="160"/>
      <c r="E711" s="161"/>
      <c r="F711" s="162"/>
      <c r="G711" s="163"/>
      <c r="H711" s="164"/>
      <c r="I711" s="163"/>
      <c r="J711" s="164"/>
      <c r="K711" s="163"/>
      <c r="L711" s="164"/>
      <c r="M711" s="11"/>
      <c r="N711" s="39"/>
      <c r="Q711" s="15" t="str">
        <f>+CONCATENATE(E709,K709)</f>
        <v/>
      </c>
      <c r="R711" s="15">
        <f>+L709</f>
        <v>0</v>
      </c>
      <c r="S711" s="16"/>
      <c r="T711" s="15">
        <f>+E709</f>
        <v>0</v>
      </c>
      <c r="U711" s="26" t="str">
        <f>IFERROR(LEFT(K709,FIND("*",K709)-1),"-")</f>
        <v>-</v>
      </c>
      <c r="V711" s="26" t="str">
        <f>IFERROR(RIGHT(K709,LEN(K709)-FIND("*",K709)),"-")</f>
        <v>-</v>
      </c>
      <c r="W711" s="27" t="str">
        <f t="shared" si="382"/>
        <v>-</v>
      </c>
      <c r="X711" s="27" t="str">
        <f>IFERROR(W711*L709,"-")</f>
        <v>-</v>
      </c>
      <c r="Z711" s="94" t="s">
        <v>81</v>
      </c>
    </row>
    <row r="712" spans="1:26" s="25" customFormat="1" ht="6.95" customHeight="1" x14ac:dyDescent="0.3">
      <c r="A712" s="13"/>
      <c r="B712" s="168"/>
      <c r="C712" s="169"/>
      <c r="D712" s="160" t="s">
        <v>39</v>
      </c>
      <c r="E712" s="161"/>
      <c r="F712" s="162" t="s">
        <v>40</v>
      </c>
      <c r="G712" s="163"/>
      <c r="H712" s="164"/>
      <c r="I712" s="163"/>
      <c r="J712" s="164"/>
      <c r="K712" s="163"/>
      <c r="L712" s="164"/>
      <c r="M712" s="11"/>
      <c r="N712" s="39"/>
      <c r="Q712" s="15" t="str">
        <f>+CONCATENATE(E712,G712)</f>
        <v/>
      </c>
      <c r="R712" s="15">
        <f>+H712</f>
        <v>0</v>
      </c>
      <c r="S712" s="16"/>
      <c r="T712" s="15">
        <f>+E712</f>
        <v>0</v>
      </c>
      <c r="U712" s="26" t="str">
        <f t="shared" ref="U712" si="385">IFERROR(LEFT(G712,FIND("*",G712)-1),"-")</f>
        <v>-</v>
      </c>
      <c r="V712" s="26" t="str">
        <f t="shared" ref="V712" si="386">IFERROR(RIGHT(G712,LEN(G712)-FIND("*",G712)),"-")</f>
        <v>-</v>
      </c>
      <c r="W712" s="27" t="str">
        <f t="shared" si="382"/>
        <v>-</v>
      </c>
      <c r="X712" s="27" t="str">
        <f>IFERROR(W712*H712,"-")</f>
        <v>-</v>
      </c>
      <c r="Z712" s="94" t="s">
        <v>81</v>
      </c>
    </row>
    <row r="713" spans="1:26" s="25" customFormat="1" ht="6.95" customHeight="1" x14ac:dyDescent="0.3">
      <c r="A713" s="10"/>
      <c r="B713" s="168"/>
      <c r="C713" s="169"/>
      <c r="D713" s="160"/>
      <c r="E713" s="161"/>
      <c r="F713" s="162"/>
      <c r="G713" s="163"/>
      <c r="H713" s="164"/>
      <c r="I713" s="163"/>
      <c r="J713" s="164"/>
      <c r="K713" s="163"/>
      <c r="L713" s="164"/>
      <c r="M713" s="11"/>
      <c r="N713" s="39"/>
      <c r="Q713" s="15" t="str">
        <f>+CONCATENATE(E712,I712)</f>
        <v/>
      </c>
      <c r="R713" s="15">
        <f>+J712</f>
        <v>0</v>
      </c>
      <c r="S713" s="16"/>
      <c r="T713" s="15">
        <f>+E712</f>
        <v>0</v>
      </c>
      <c r="U713" s="26" t="str">
        <f>IFERROR(LEFT(I712,FIND("*",I712)-1),"-")</f>
        <v>-</v>
      </c>
      <c r="V713" s="26" t="str">
        <f>IFERROR(RIGHT(I712,LEN(I712)-FIND("*",I712)),"-")</f>
        <v>-</v>
      </c>
      <c r="W713" s="27" t="str">
        <f t="shared" si="382"/>
        <v>-</v>
      </c>
      <c r="X713" s="27" t="str">
        <f t="shared" ref="X713" si="387">IFERROR(W713*J712,"-")</f>
        <v>-</v>
      </c>
      <c r="Z713" s="94" t="s">
        <v>81</v>
      </c>
    </row>
    <row r="714" spans="1:26" s="25" customFormat="1" ht="6.95" customHeight="1" x14ac:dyDescent="0.3">
      <c r="A714" s="10"/>
      <c r="B714" s="168"/>
      <c r="C714" s="169"/>
      <c r="D714" s="160"/>
      <c r="E714" s="161"/>
      <c r="F714" s="162"/>
      <c r="G714" s="163"/>
      <c r="H714" s="164"/>
      <c r="I714" s="163"/>
      <c r="J714" s="164"/>
      <c r="K714" s="163"/>
      <c r="L714" s="164"/>
      <c r="M714" s="11"/>
      <c r="N714" s="39"/>
      <c r="Q714" s="15" t="str">
        <f>+CONCATENATE(E712,K712)</f>
        <v/>
      </c>
      <c r="R714" s="15">
        <f>+L712</f>
        <v>0</v>
      </c>
      <c r="S714" s="16"/>
      <c r="T714" s="15">
        <f>+E712</f>
        <v>0</v>
      </c>
      <c r="U714" s="26" t="str">
        <f>IFERROR(LEFT(K712,FIND("*",K712)-1),"-")</f>
        <v>-</v>
      </c>
      <c r="V714" s="26" t="str">
        <f>IFERROR(RIGHT(K712,LEN(K712)-FIND("*",K712)),"-")</f>
        <v>-</v>
      </c>
      <c r="W714" s="27" t="str">
        <f t="shared" si="382"/>
        <v>-</v>
      </c>
      <c r="X714" s="27" t="str">
        <f>IFERROR(W714*L712,"-")</f>
        <v>-</v>
      </c>
      <c r="Z714" s="94" t="s">
        <v>81</v>
      </c>
    </row>
    <row r="715" spans="1:26" s="25" customFormat="1" ht="21" customHeight="1" thickBot="1" x14ac:dyDescent="0.35">
      <c r="A715" s="10"/>
      <c r="B715" s="170"/>
      <c r="C715" s="171"/>
      <c r="D715" s="172" t="s">
        <v>43</v>
      </c>
      <c r="E715" s="173"/>
      <c r="F715" s="173"/>
      <c r="G715" s="174"/>
      <c r="H715" s="174"/>
      <c r="I715" s="174"/>
      <c r="J715" s="174"/>
      <c r="K715" s="174"/>
      <c r="L715" s="174"/>
      <c r="M715" s="12"/>
      <c r="N715" s="40"/>
      <c r="U715" s="23"/>
      <c r="V715" s="23"/>
      <c r="Z715" s="95" t="s">
        <v>81</v>
      </c>
    </row>
    <row r="716" spans="1:26" s="25" customFormat="1" ht="9.9499999999999993" customHeight="1" thickBot="1" x14ac:dyDescent="0.35">
      <c r="A716" s="6"/>
      <c r="B716" s="14"/>
      <c r="C716" s="119">
        <v>826</v>
      </c>
      <c r="D716" s="58"/>
      <c r="E716" s="17"/>
      <c r="F716" s="58"/>
      <c r="G716" s="19"/>
      <c r="H716" s="19"/>
      <c r="I716" s="19"/>
      <c r="J716" s="19"/>
      <c r="K716" s="19"/>
      <c r="L716" s="19"/>
      <c r="M716" s="14"/>
      <c r="N716" s="39"/>
      <c r="Q716" s="1"/>
      <c r="R716" s="1"/>
      <c r="S716" s="1"/>
      <c r="T716" s="1"/>
      <c r="U716" s="24"/>
      <c r="V716" s="24"/>
      <c r="W716" s="1"/>
      <c r="X716" s="1"/>
      <c r="Z716" s="94" t="s">
        <v>81</v>
      </c>
    </row>
    <row r="717" spans="1:26" s="25" customFormat="1" ht="6.95" customHeight="1" x14ac:dyDescent="0.3">
      <c r="A717" s="165">
        <f>+A706+1</f>
        <v>66</v>
      </c>
      <c r="B717" s="166"/>
      <c r="C717" s="167"/>
      <c r="D717" s="160" t="s">
        <v>39</v>
      </c>
      <c r="E717" s="161"/>
      <c r="F717" s="162" t="s">
        <v>40</v>
      </c>
      <c r="G717" s="163"/>
      <c r="H717" s="164"/>
      <c r="I717" s="163"/>
      <c r="J717" s="164"/>
      <c r="K717" s="163"/>
      <c r="L717" s="164"/>
      <c r="M717" s="11"/>
      <c r="N717" s="39"/>
      <c r="Q717" s="15" t="str">
        <f>+CONCATENATE(E717,G717)</f>
        <v/>
      </c>
      <c r="R717" s="15">
        <f>+H717</f>
        <v>0</v>
      </c>
      <c r="S717" s="16"/>
      <c r="T717" s="15">
        <f>+E717</f>
        <v>0</v>
      </c>
      <c r="U717" s="26" t="str">
        <f>IFERROR(LEFT(G717,FIND("*",G717)-1),"-")</f>
        <v>-</v>
      </c>
      <c r="V717" s="26" t="str">
        <f>IFERROR(RIGHT(G717,LEN(G717)-FIND("*",G717)),"-")</f>
        <v>-</v>
      </c>
      <c r="W717" s="27" t="str">
        <f>IFERROR((U717+V717)*2/1000,"-")</f>
        <v>-</v>
      </c>
      <c r="X717" s="27" t="str">
        <f>IFERROR(W717*H717,"-")</f>
        <v>-</v>
      </c>
      <c r="Z717" s="94" t="s">
        <v>81</v>
      </c>
    </row>
    <row r="718" spans="1:26" s="25" customFormat="1" ht="6.95" customHeight="1" x14ac:dyDescent="0.3">
      <c r="A718" s="165"/>
      <c r="B718" s="168"/>
      <c r="C718" s="169"/>
      <c r="D718" s="160"/>
      <c r="E718" s="161"/>
      <c r="F718" s="162"/>
      <c r="G718" s="163"/>
      <c r="H718" s="164"/>
      <c r="I718" s="163"/>
      <c r="J718" s="164"/>
      <c r="K718" s="163"/>
      <c r="L718" s="164"/>
      <c r="M718" s="11"/>
      <c r="N718" s="39"/>
      <c r="Q718" s="15" t="str">
        <f>+CONCATENATE(E717,I717)</f>
        <v/>
      </c>
      <c r="R718" s="15">
        <f>+J717</f>
        <v>0</v>
      </c>
      <c r="S718" s="16"/>
      <c r="T718" s="15">
        <f>+E717</f>
        <v>0</v>
      </c>
      <c r="U718" s="26" t="str">
        <f>IFERROR(LEFT(I717,FIND("*",I717)-1),"-")</f>
        <v>-</v>
      </c>
      <c r="V718" s="26" t="str">
        <f>IFERROR(RIGHT(I717,LEN(I717)-FIND("*",I717)),"-")</f>
        <v>-</v>
      </c>
      <c r="W718" s="27" t="str">
        <f t="shared" ref="W718:W725" si="388">IFERROR((U718+V718)*2/1000,"-")</f>
        <v>-</v>
      </c>
      <c r="X718" s="27" t="str">
        <f>IFERROR(W718*J717,"-")</f>
        <v>-</v>
      </c>
      <c r="Z718" s="94" t="s">
        <v>81</v>
      </c>
    </row>
    <row r="719" spans="1:26" s="25" customFormat="1" ht="6.95" customHeight="1" x14ac:dyDescent="0.3">
      <c r="A719" s="165"/>
      <c r="B719" s="168"/>
      <c r="C719" s="169"/>
      <c r="D719" s="160"/>
      <c r="E719" s="161"/>
      <c r="F719" s="162"/>
      <c r="G719" s="163"/>
      <c r="H719" s="164"/>
      <c r="I719" s="163"/>
      <c r="J719" s="164"/>
      <c r="K719" s="163"/>
      <c r="L719" s="164"/>
      <c r="M719" s="11"/>
      <c r="N719" s="39"/>
      <c r="Q719" s="15" t="str">
        <f>+CONCATENATE(E717,K717)</f>
        <v/>
      </c>
      <c r="R719" s="15">
        <f>+L717</f>
        <v>0</v>
      </c>
      <c r="S719" s="16"/>
      <c r="T719" s="15">
        <f>+E717</f>
        <v>0</v>
      </c>
      <c r="U719" s="26" t="str">
        <f>IFERROR(LEFT(K717,FIND("*",K717)-1),"-")</f>
        <v>-</v>
      </c>
      <c r="V719" s="26" t="str">
        <f>IFERROR(RIGHT(K717,LEN(K717)-FIND("*",K717)),"-")</f>
        <v>-</v>
      </c>
      <c r="W719" s="27" t="str">
        <f t="shared" si="388"/>
        <v>-</v>
      </c>
      <c r="X719" s="27" t="str">
        <f>IFERROR(W719*L717,"-")</f>
        <v>-</v>
      </c>
      <c r="Z719" s="94" t="s">
        <v>81</v>
      </c>
    </row>
    <row r="720" spans="1:26" s="25" customFormat="1" ht="6.95" customHeight="1" x14ac:dyDescent="0.3">
      <c r="A720" s="13"/>
      <c r="B720" s="168"/>
      <c r="C720" s="169"/>
      <c r="D720" s="160" t="s">
        <v>39</v>
      </c>
      <c r="E720" s="161"/>
      <c r="F720" s="162" t="s">
        <v>40</v>
      </c>
      <c r="G720" s="163"/>
      <c r="H720" s="164"/>
      <c r="I720" s="163"/>
      <c r="J720" s="164"/>
      <c r="K720" s="163"/>
      <c r="L720" s="164"/>
      <c r="M720" s="11"/>
      <c r="N720" s="39"/>
      <c r="Q720" s="15" t="str">
        <f>+CONCATENATE(E720,G720)</f>
        <v/>
      </c>
      <c r="R720" s="15">
        <f>+H720</f>
        <v>0</v>
      </c>
      <c r="S720" s="16"/>
      <c r="T720" s="15">
        <f>+E720</f>
        <v>0</v>
      </c>
      <c r="U720" s="26" t="str">
        <f t="shared" ref="U720" si="389">IFERROR(LEFT(G720,FIND("*",G720)-1),"-")</f>
        <v>-</v>
      </c>
      <c r="V720" s="26" t="str">
        <f t="shared" ref="V720" si="390">IFERROR(RIGHT(G720,LEN(G720)-FIND("*",G720)),"-")</f>
        <v>-</v>
      </c>
      <c r="W720" s="27" t="str">
        <f t="shared" si="388"/>
        <v>-</v>
      </c>
      <c r="X720" s="27" t="str">
        <f>IFERROR(W720*H720,"-")</f>
        <v>-</v>
      </c>
      <c r="Z720" s="94" t="s">
        <v>81</v>
      </c>
    </row>
    <row r="721" spans="1:26" s="25" customFormat="1" ht="6.95" customHeight="1" x14ac:dyDescent="0.3">
      <c r="A721" s="10"/>
      <c r="B721" s="168"/>
      <c r="C721" s="169"/>
      <c r="D721" s="160"/>
      <c r="E721" s="161"/>
      <c r="F721" s="162"/>
      <c r="G721" s="163"/>
      <c r="H721" s="164"/>
      <c r="I721" s="163"/>
      <c r="J721" s="164"/>
      <c r="K721" s="163"/>
      <c r="L721" s="164"/>
      <c r="M721" s="11"/>
      <c r="N721" s="39"/>
      <c r="Q721" s="15" t="str">
        <f>+CONCATENATE(E720,I720)</f>
        <v/>
      </c>
      <c r="R721" s="15">
        <f>+J720</f>
        <v>0</v>
      </c>
      <c r="S721" s="16"/>
      <c r="T721" s="15">
        <f>+E720</f>
        <v>0</v>
      </c>
      <c r="U721" s="26" t="str">
        <f>IFERROR(LEFT(I720,FIND("*",I720)-1),"-")</f>
        <v>-</v>
      </c>
      <c r="V721" s="26" t="str">
        <f>IFERROR(RIGHT(I720,LEN(I720)-FIND("*",I720)),"-")</f>
        <v>-</v>
      </c>
      <c r="W721" s="27" t="str">
        <f t="shared" si="388"/>
        <v>-</v>
      </c>
      <c r="X721" s="27" t="str">
        <f>IFERROR(W721*J720,"-")</f>
        <v>-</v>
      </c>
      <c r="Z721" s="94" t="s">
        <v>81</v>
      </c>
    </row>
    <row r="722" spans="1:26" s="25" customFormat="1" ht="6.95" customHeight="1" x14ac:dyDescent="0.3">
      <c r="A722" s="10"/>
      <c r="B722" s="168"/>
      <c r="C722" s="169"/>
      <c r="D722" s="160"/>
      <c r="E722" s="161"/>
      <c r="F722" s="162"/>
      <c r="G722" s="163"/>
      <c r="H722" s="164"/>
      <c r="I722" s="163"/>
      <c r="J722" s="164"/>
      <c r="K722" s="163"/>
      <c r="L722" s="164"/>
      <c r="M722" s="11"/>
      <c r="N722" s="39"/>
      <c r="Q722" s="15" t="str">
        <f>+CONCATENATE(E720,K720)</f>
        <v/>
      </c>
      <c r="R722" s="15">
        <f>+L720</f>
        <v>0</v>
      </c>
      <c r="S722" s="16"/>
      <c r="T722" s="15">
        <f>+E720</f>
        <v>0</v>
      </c>
      <c r="U722" s="26" t="str">
        <f>IFERROR(LEFT(K720,FIND("*",K720)-1),"-")</f>
        <v>-</v>
      </c>
      <c r="V722" s="26" t="str">
        <f>IFERROR(RIGHT(K720,LEN(K720)-FIND("*",K720)),"-")</f>
        <v>-</v>
      </c>
      <c r="W722" s="27" t="str">
        <f t="shared" si="388"/>
        <v>-</v>
      </c>
      <c r="X722" s="27" t="str">
        <f>IFERROR(W722*L720,"-")</f>
        <v>-</v>
      </c>
      <c r="Z722" s="94" t="s">
        <v>81</v>
      </c>
    </row>
    <row r="723" spans="1:26" s="25" customFormat="1" ht="6.95" customHeight="1" x14ac:dyDescent="0.3">
      <c r="A723" s="13"/>
      <c r="B723" s="168"/>
      <c r="C723" s="169"/>
      <c r="D723" s="160" t="s">
        <v>39</v>
      </c>
      <c r="E723" s="161"/>
      <c r="F723" s="162" t="s">
        <v>40</v>
      </c>
      <c r="G723" s="163"/>
      <c r="H723" s="164"/>
      <c r="I723" s="163"/>
      <c r="J723" s="164"/>
      <c r="K723" s="163"/>
      <c r="L723" s="164"/>
      <c r="M723" s="11"/>
      <c r="N723" s="39"/>
      <c r="Q723" s="15" t="str">
        <f>+CONCATENATE(E723,G723)</f>
        <v/>
      </c>
      <c r="R723" s="15">
        <f>+H723</f>
        <v>0</v>
      </c>
      <c r="S723" s="16"/>
      <c r="T723" s="15">
        <f>+E723</f>
        <v>0</v>
      </c>
      <c r="U723" s="26" t="str">
        <f t="shared" ref="U723" si="391">IFERROR(LEFT(G723,FIND("*",G723)-1),"-")</f>
        <v>-</v>
      </c>
      <c r="V723" s="26" t="str">
        <f t="shared" ref="V723" si="392">IFERROR(RIGHT(G723,LEN(G723)-FIND("*",G723)),"-")</f>
        <v>-</v>
      </c>
      <c r="W723" s="27" t="str">
        <f t="shared" si="388"/>
        <v>-</v>
      </c>
      <c r="X723" s="27" t="str">
        <f>IFERROR(W723*H723,"-")</f>
        <v>-</v>
      </c>
      <c r="Z723" s="94" t="s">
        <v>81</v>
      </c>
    </row>
    <row r="724" spans="1:26" s="25" customFormat="1" ht="6.95" customHeight="1" x14ac:dyDescent="0.3">
      <c r="A724" s="10"/>
      <c r="B724" s="168"/>
      <c r="C724" s="169"/>
      <c r="D724" s="160"/>
      <c r="E724" s="161"/>
      <c r="F724" s="162"/>
      <c r="G724" s="163"/>
      <c r="H724" s="164"/>
      <c r="I724" s="163"/>
      <c r="J724" s="164"/>
      <c r="K724" s="163"/>
      <c r="L724" s="164"/>
      <c r="M724" s="11"/>
      <c r="N724" s="39"/>
      <c r="Q724" s="15" t="str">
        <f>+CONCATENATE(E723,I723)</f>
        <v/>
      </c>
      <c r="R724" s="15">
        <f>+J723</f>
        <v>0</v>
      </c>
      <c r="S724" s="16"/>
      <c r="T724" s="15">
        <f>+E723</f>
        <v>0</v>
      </c>
      <c r="U724" s="26" t="str">
        <f>IFERROR(LEFT(I723,FIND("*",I723)-1),"-")</f>
        <v>-</v>
      </c>
      <c r="V724" s="26" t="str">
        <f>IFERROR(RIGHT(I723,LEN(I723)-FIND("*",I723)),"-")</f>
        <v>-</v>
      </c>
      <c r="W724" s="27" t="str">
        <f t="shared" si="388"/>
        <v>-</v>
      </c>
      <c r="X724" s="27" t="str">
        <f t="shared" ref="X724" si="393">IFERROR(W724*J723,"-")</f>
        <v>-</v>
      </c>
      <c r="Z724" s="94" t="s">
        <v>81</v>
      </c>
    </row>
    <row r="725" spans="1:26" s="25" customFormat="1" ht="6.95" customHeight="1" x14ac:dyDescent="0.3">
      <c r="A725" s="10"/>
      <c r="B725" s="168"/>
      <c r="C725" s="169"/>
      <c r="D725" s="160"/>
      <c r="E725" s="161"/>
      <c r="F725" s="162"/>
      <c r="G725" s="163"/>
      <c r="H725" s="164"/>
      <c r="I725" s="163"/>
      <c r="J725" s="164"/>
      <c r="K725" s="163"/>
      <c r="L725" s="164"/>
      <c r="M725" s="11"/>
      <c r="N725" s="39"/>
      <c r="Q725" s="15" t="str">
        <f>+CONCATENATE(E723,K723)</f>
        <v/>
      </c>
      <c r="R725" s="15">
        <f>+L723</f>
        <v>0</v>
      </c>
      <c r="S725" s="16"/>
      <c r="T725" s="15">
        <f>+E723</f>
        <v>0</v>
      </c>
      <c r="U725" s="26" t="str">
        <f>IFERROR(LEFT(K723,FIND("*",K723)-1),"-")</f>
        <v>-</v>
      </c>
      <c r="V725" s="26" t="str">
        <f>IFERROR(RIGHT(K723,LEN(K723)-FIND("*",K723)),"-")</f>
        <v>-</v>
      </c>
      <c r="W725" s="27" t="str">
        <f t="shared" si="388"/>
        <v>-</v>
      </c>
      <c r="X725" s="27" t="str">
        <f>IFERROR(W725*L723,"-")</f>
        <v>-</v>
      </c>
      <c r="Z725" s="94" t="s">
        <v>81</v>
      </c>
    </row>
    <row r="726" spans="1:26" s="25" customFormat="1" ht="21" customHeight="1" thickBot="1" x14ac:dyDescent="0.35">
      <c r="A726" s="10"/>
      <c r="B726" s="170"/>
      <c r="C726" s="171"/>
      <c r="D726" s="172" t="s">
        <v>43</v>
      </c>
      <c r="E726" s="173"/>
      <c r="F726" s="173"/>
      <c r="G726" s="174"/>
      <c r="H726" s="174"/>
      <c r="I726" s="174"/>
      <c r="J726" s="174"/>
      <c r="K726" s="174"/>
      <c r="L726" s="174"/>
      <c r="M726" s="12"/>
      <c r="N726" s="39"/>
      <c r="U726" s="23"/>
      <c r="V726" s="23"/>
      <c r="Z726" s="95" t="s">
        <v>81</v>
      </c>
    </row>
    <row r="727" spans="1:26" s="25" customFormat="1" ht="9.9499999999999993" customHeight="1" thickBot="1" x14ac:dyDescent="0.35">
      <c r="A727" s="6"/>
      <c r="B727" s="14"/>
      <c r="C727" s="119"/>
      <c r="D727" s="58"/>
      <c r="E727" s="17"/>
      <c r="F727" s="58"/>
      <c r="G727" s="19"/>
      <c r="H727" s="19"/>
      <c r="I727" s="19"/>
      <c r="J727" s="19"/>
      <c r="K727" s="19"/>
      <c r="L727" s="19"/>
      <c r="M727" s="14"/>
      <c r="N727" s="39"/>
      <c r="Q727" s="1"/>
      <c r="R727" s="1"/>
      <c r="S727" s="1"/>
      <c r="T727" s="1"/>
      <c r="U727" s="24"/>
      <c r="V727" s="24"/>
      <c r="W727" s="1"/>
      <c r="X727" s="1"/>
      <c r="Z727" s="94" t="s">
        <v>82</v>
      </c>
    </row>
    <row r="728" spans="1:26" s="25" customFormat="1" ht="6.95" customHeight="1" x14ac:dyDescent="0.3">
      <c r="A728" s="165">
        <f>+A717+1</f>
        <v>67</v>
      </c>
      <c r="B728" s="166"/>
      <c r="C728" s="167"/>
      <c r="D728" s="160" t="s">
        <v>39</v>
      </c>
      <c r="E728" s="161"/>
      <c r="F728" s="162" t="s">
        <v>40</v>
      </c>
      <c r="G728" s="163"/>
      <c r="H728" s="164"/>
      <c r="I728" s="163"/>
      <c r="J728" s="164"/>
      <c r="K728" s="163"/>
      <c r="L728" s="164"/>
      <c r="M728" s="11"/>
      <c r="N728" s="39"/>
      <c r="Q728" s="15" t="str">
        <f>+CONCATENATE(E728,G728)</f>
        <v/>
      </c>
      <c r="R728" s="15">
        <f>+H728</f>
        <v>0</v>
      </c>
      <c r="S728" s="16"/>
      <c r="T728" s="15">
        <f>+E728</f>
        <v>0</v>
      </c>
      <c r="U728" s="26" t="str">
        <f>IFERROR(LEFT(G728,FIND("*",G728)-1),"-")</f>
        <v>-</v>
      </c>
      <c r="V728" s="26" t="str">
        <f>IFERROR(RIGHT(G728,LEN(G728)-FIND("*",G728)),"-")</f>
        <v>-</v>
      </c>
      <c r="W728" s="27" t="str">
        <f>IFERROR((U728+V728)*2/1000,"-")</f>
        <v>-</v>
      </c>
      <c r="X728" s="27" t="str">
        <f>IFERROR(W728*H728,"-")</f>
        <v>-</v>
      </c>
      <c r="Z728" s="94" t="s">
        <v>82</v>
      </c>
    </row>
    <row r="729" spans="1:26" s="25" customFormat="1" ht="6.95" customHeight="1" x14ac:dyDescent="0.3">
      <c r="A729" s="165"/>
      <c r="B729" s="168"/>
      <c r="C729" s="169"/>
      <c r="D729" s="160"/>
      <c r="E729" s="161"/>
      <c r="F729" s="162"/>
      <c r="G729" s="163"/>
      <c r="H729" s="164"/>
      <c r="I729" s="163"/>
      <c r="J729" s="164"/>
      <c r="K729" s="163"/>
      <c r="L729" s="164"/>
      <c r="M729" s="11"/>
      <c r="N729" s="39"/>
      <c r="Q729" s="15" t="str">
        <f>+CONCATENATE(E728,I728)</f>
        <v/>
      </c>
      <c r="R729" s="15">
        <f>+J728</f>
        <v>0</v>
      </c>
      <c r="S729" s="16"/>
      <c r="T729" s="15">
        <f>+E728</f>
        <v>0</v>
      </c>
      <c r="U729" s="26" t="str">
        <f>IFERROR(LEFT(I728,FIND("*",I728)-1),"-")</f>
        <v>-</v>
      </c>
      <c r="V729" s="26" t="str">
        <f>IFERROR(RIGHT(I728,LEN(I728)-FIND("*",I728)),"-")</f>
        <v>-</v>
      </c>
      <c r="W729" s="27" t="str">
        <f t="shared" ref="W729:W736" si="394">IFERROR((U729+V729)*2/1000,"-")</f>
        <v>-</v>
      </c>
      <c r="X729" s="27" t="str">
        <f>IFERROR(W729*J728,"-")</f>
        <v>-</v>
      </c>
      <c r="Z729" s="94" t="s">
        <v>82</v>
      </c>
    </row>
    <row r="730" spans="1:26" s="25" customFormat="1" ht="6.95" customHeight="1" x14ac:dyDescent="0.3">
      <c r="A730" s="165"/>
      <c r="B730" s="168"/>
      <c r="C730" s="169"/>
      <c r="D730" s="160"/>
      <c r="E730" s="161"/>
      <c r="F730" s="162"/>
      <c r="G730" s="163"/>
      <c r="H730" s="164"/>
      <c r="I730" s="163"/>
      <c r="J730" s="164"/>
      <c r="K730" s="163"/>
      <c r="L730" s="164"/>
      <c r="M730" s="11"/>
      <c r="N730" s="39"/>
      <c r="Q730" s="15" t="str">
        <f>+CONCATENATE(E728,K728)</f>
        <v/>
      </c>
      <c r="R730" s="15">
        <f>+L728</f>
        <v>0</v>
      </c>
      <c r="S730" s="16"/>
      <c r="T730" s="15">
        <f>+E728</f>
        <v>0</v>
      </c>
      <c r="U730" s="26" t="str">
        <f>IFERROR(LEFT(K728,FIND("*",K728)-1),"-")</f>
        <v>-</v>
      </c>
      <c r="V730" s="26" t="str">
        <f>IFERROR(RIGHT(K728,LEN(K728)-FIND("*",K728)),"-")</f>
        <v>-</v>
      </c>
      <c r="W730" s="27" t="str">
        <f t="shared" si="394"/>
        <v>-</v>
      </c>
      <c r="X730" s="27" t="str">
        <f>IFERROR(W730*L728,"-")</f>
        <v>-</v>
      </c>
      <c r="Z730" s="94" t="s">
        <v>82</v>
      </c>
    </row>
    <row r="731" spans="1:26" s="25" customFormat="1" ht="6.95" customHeight="1" x14ac:dyDescent="0.3">
      <c r="A731" s="13"/>
      <c r="B731" s="168"/>
      <c r="C731" s="169"/>
      <c r="D731" s="160" t="s">
        <v>39</v>
      </c>
      <c r="E731" s="161"/>
      <c r="F731" s="162" t="s">
        <v>40</v>
      </c>
      <c r="G731" s="163"/>
      <c r="H731" s="164"/>
      <c r="I731" s="163"/>
      <c r="J731" s="164"/>
      <c r="K731" s="163"/>
      <c r="L731" s="164"/>
      <c r="M731" s="11"/>
      <c r="N731" s="39"/>
      <c r="Q731" s="15" t="str">
        <f>+CONCATENATE(E731,G731)</f>
        <v/>
      </c>
      <c r="R731" s="15">
        <f>+H731</f>
        <v>0</v>
      </c>
      <c r="S731" s="16"/>
      <c r="T731" s="15">
        <f>+E731</f>
        <v>0</v>
      </c>
      <c r="U731" s="26" t="str">
        <f t="shared" ref="U731" si="395">IFERROR(LEFT(G731,FIND("*",G731)-1),"-")</f>
        <v>-</v>
      </c>
      <c r="V731" s="26" t="str">
        <f t="shared" ref="V731" si="396">IFERROR(RIGHT(G731,LEN(G731)-FIND("*",G731)),"-")</f>
        <v>-</v>
      </c>
      <c r="W731" s="27" t="str">
        <f t="shared" si="394"/>
        <v>-</v>
      </c>
      <c r="X731" s="27" t="str">
        <f>IFERROR(W731*H731,"-")</f>
        <v>-</v>
      </c>
      <c r="Z731" s="94" t="s">
        <v>82</v>
      </c>
    </row>
    <row r="732" spans="1:26" s="25" customFormat="1" ht="6.95" customHeight="1" x14ac:dyDescent="0.3">
      <c r="A732" s="10"/>
      <c r="B732" s="168"/>
      <c r="C732" s="169"/>
      <c r="D732" s="160"/>
      <c r="E732" s="161"/>
      <c r="F732" s="162"/>
      <c r="G732" s="163"/>
      <c r="H732" s="164"/>
      <c r="I732" s="163"/>
      <c r="J732" s="164"/>
      <c r="K732" s="163"/>
      <c r="L732" s="164"/>
      <c r="M732" s="11"/>
      <c r="N732" s="39"/>
      <c r="Q732" s="15" t="str">
        <f>+CONCATENATE(E731,I731)</f>
        <v/>
      </c>
      <c r="R732" s="15">
        <f>+J731</f>
        <v>0</v>
      </c>
      <c r="S732" s="16"/>
      <c r="T732" s="15">
        <f>+E731</f>
        <v>0</v>
      </c>
      <c r="U732" s="26" t="str">
        <f>IFERROR(LEFT(I731,FIND("*",I731)-1),"-")</f>
        <v>-</v>
      </c>
      <c r="V732" s="26" t="str">
        <f>IFERROR(RIGHT(I731,LEN(I731)-FIND("*",I731)),"-")</f>
        <v>-</v>
      </c>
      <c r="W732" s="27" t="str">
        <f t="shared" si="394"/>
        <v>-</v>
      </c>
      <c r="X732" s="27" t="str">
        <f>IFERROR(W732*J731,"-")</f>
        <v>-</v>
      </c>
      <c r="Z732" s="94" t="s">
        <v>82</v>
      </c>
    </row>
    <row r="733" spans="1:26" s="25" customFormat="1" ht="6.95" customHeight="1" x14ac:dyDescent="0.3">
      <c r="A733" s="10"/>
      <c r="B733" s="168"/>
      <c r="C733" s="169"/>
      <c r="D733" s="160"/>
      <c r="E733" s="161"/>
      <c r="F733" s="162"/>
      <c r="G733" s="163"/>
      <c r="H733" s="164"/>
      <c r="I733" s="163"/>
      <c r="J733" s="164"/>
      <c r="K733" s="163"/>
      <c r="L733" s="164"/>
      <c r="M733" s="11"/>
      <c r="N733" s="39"/>
      <c r="Q733" s="15" t="str">
        <f>+CONCATENATE(E731,K731)</f>
        <v/>
      </c>
      <c r="R733" s="15">
        <f>+L731</f>
        <v>0</v>
      </c>
      <c r="S733" s="16"/>
      <c r="T733" s="15">
        <f>+E731</f>
        <v>0</v>
      </c>
      <c r="U733" s="26" t="str">
        <f>IFERROR(LEFT(K731,FIND("*",K731)-1),"-")</f>
        <v>-</v>
      </c>
      <c r="V733" s="26" t="str">
        <f>IFERROR(RIGHT(K731,LEN(K731)-FIND("*",K731)),"-")</f>
        <v>-</v>
      </c>
      <c r="W733" s="27" t="str">
        <f t="shared" si="394"/>
        <v>-</v>
      </c>
      <c r="X733" s="27" t="str">
        <f>IFERROR(W733*L731,"-")</f>
        <v>-</v>
      </c>
      <c r="Z733" s="94" t="s">
        <v>82</v>
      </c>
    </row>
    <row r="734" spans="1:26" s="25" customFormat="1" ht="6.95" customHeight="1" x14ac:dyDescent="0.3">
      <c r="A734" s="13"/>
      <c r="B734" s="168"/>
      <c r="C734" s="169"/>
      <c r="D734" s="160" t="s">
        <v>39</v>
      </c>
      <c r="E734" s="161"/>
      <c r="F734" s="162" t="s">
        <v>40</v>
      </c>
      <c r="G734" s="163"/>
      <c r="H734" s="164"/>
      <c r="I734" s="163"/>
      <c r="J734" s="164"/>
      <c r="K734" s="163"/>
      <c r="L734" s="164"/>
      <c r="M734" s="11"/>
      <c r="N734" s="39"/>
      <c r="Q734" s="15" t="str">
        <f>+CONCATENATE(E734,G734)</f>
        <v/>
      </c>
      <c r="R734" s="15">
        <f>+H734</f>
        <v>0</v>
      </c>
      <c r="S734" s="16"/>
      <c r="T734" s="15">
        <f>+E734</f>
        <v>0</v>
      </c>
      <c r="U734" s="26" t="str">
        <f t="shared" ref="U734" si="397">IFERROR(LEFT(G734,FIND("*",G734)-1),"-")</f>
        <v>-</v>
      </c>
      <c r="V734" s="26" t="str">
        <f t="shared" ref="V734" si="398">IFERROR(RIGHT(G734,LEN(G734)-FIND("*",G734)),"-")</f>
        <v>-</v>
      </c>
      <c r="W734" s="27" t="str">
        <f t="shared" si="394"/>
        <v>-</v>
      </c>
      <c r="X734" s="27" t="str">
        <f>IFERROR(W734*H734,"-")</f>
        <v>-</v>
      </c>
      <c r="Z734" s="94" t="s">
        <v>82</v>
      </c>
    </row>
    <row r="735" spans="1:26" s="25" customFormat="1" ht="6.95" customHeight="1" x14ac:dyDescent="0.3">
      <c r="A735" s="10"/>
      <c r="B735" s="168"/>
      <c r="C735" s="169"/>
      <c r="D735" s="160"/>
      <c r="E735" s="161"/>
      <c r="F735" s="162"/>
      <c r="G735" s="163"/>
      <c r="H735" s="164"/>
      <c r="I735" s="163"/>
      <c r="J735" s="164"/>
      <c r="K735" s="163"/>
      <c r="L735" s="164"/>
      <c r="M735" s="11"/>
      <c r="N735" s="39"/>
      <c r="Q735" s="15" t="str">
        <f>+CONCATENATE(E734,I734)</f>
        <v/>
      </c>
      <c r="R735" s="15">
        <f>+J734</f>
        <v>0</v>
      </c>
      <c r="S735" s="16"/>
      <c r="T735" s="15">
        <f>+E734</f>
        <v>0</v>
      </c>
      <c r="U735" s="26" t="str">
        <f>IFERROR(LEFT(I734,FIND("*",I734)-1),"-")</f>
        <v>-</v>
      </c>
      <c r="V735" s="26" t="str">
        <f>IFERROR(RIGHT(I734,LEN(I734)-FIND("*",I734)),"-")</f>
        <v>-</v>
      </c>
      <c r="W735" s="27" t="str">
        <f t="shared" si="394"/>
        <v>-</v>
      </c>
      <c r="X735" s="27" t="str">
        <f t="shared" ref="X735" si="399">IFERROR(W735*J734,"-")</f>
        <v>-</v>
      </c>
      <c r="Z735" s="94" t="s">
        <v>82</v>
      </c>
    </row>
    <row r="736" spans="1:26" s="25" customFormat="1" ht="6.95" customHeight="1" x14ac:dyDescent="0.3">
      <c r="A736" s="10"/>
      <c r="B736" s="168"/>
      <c r="C736" s="169"/>
      <c r="D736" s="160"/>
      <c r="E736" s="161"/>
      <c r="F736" s="162"/>
      <c r="G736" s="163"/>
      <c r="H736" s="164"/>
      <c r="I736" s="163"/>
      <c r="J736" s="164"/>
      <c r="K736" s="163"/>
      <c r="L736" s="164"/>
      <c r="M736" s="11"/>
      <c r="N736" s="39"/>
      <c r="Q736" s="15" t="str">
        <f>+CONCATENATE(E734,K734)</f>
        <v/>
      </c>
      <c r="R736" s="15">
        <f>+L734</f>
        <v>0</v>
      </c>
      <c r="S736" s="16"/>
      <c r="T736" s="15">
        <f>+E734</f>
        <v>0</v>
      </c>
      <c r="U736" s="26" t="str">
        <f>IFERROR(LEFT(K734,FIND("*",K734)-1),"-")</f>
        <v>-</v>
      </c>
      <c r="V736" s="26" t="str">
        <f>IFERROR(RIGHT(K734,LEN(K734)-FIND("*",K734)),"-")</f>
        <v>-</v>
      </c>
      <c r="W736" s="27" t="str">
        <f t="shared" si="394"/>
        <v>-</v>
      </c>
      <c r="X736" s="27" t="str">
        <f>IFERROR(W736*L734,"-")</f>
        <v>-</v>
      </c>
      <c r="Z736" s="94" t="s">
        <v>82</v>
      </c>
    </row>
    <row r="737" spans="1:26" s="25" customFormat="1" ht="21" customHeight="1" thickBot="1" x14ac:dyDescent="0.35">
      <c r="A737" s="10"/>
      <c r="B737" s="170"/>
      <c r="C737" s="171"/>
      <c r="D737" s="172" t="s">
        <v>43</v>
      </c>
      <c r="E737" s="173"/>
      <c r="F737" s="173"/>
      <c r="G737" s="174"/>
      <c r="H737" s="174"/>
      <c r="I737" s="174"/>
      <c r="J737" s="174"/>
      <c r="K737" s="174"/>
      <c r="L737" s="174"/>
      <c r="M737" s="12"/>
      <c r="N737" s="39"/>
      <c r="U737" s="23"/>
      <c r="V737" s="23"/>
      <c r="Z737" s="95" t="s">
        <v>81</v>
      </c>
    </row>
    <row r="738" spans="1:26" s="25" customFormat="1" ht="9.9499999999999993" customHeight="1" thickBot="1" x14ac:dyDescent="0.35">
      <c r="A738" s="6"/>
      <c r="B738" s="14"/>
      <c r="C738" s="119"/>
      <c r="D738" s="58"/>
      <c r="E738" s="17"/>
      <c r="F738" s="58"/>
      <c r="G738" s="19"/>
      <c r="H738" s="19"/>
      <c r="I738" s="19"/>
      <c r="J738" s="19"/>
      <c r="K738" s="19"/>
      <c r="L738" s="19"/>
      <c r="M738" s="14"/>
      <c r="N738" s="39"/>
      <c r="Q738" s="1"/>
      <c r="R738" s="1"/>
      <c r="S738" s="1"/>
      <c r="T738" s="1"/>
      <c r="U738" s="24"/>
      <c r="V738" s="24"/>
      <c r="W738" s="1"/>
      <c r="X738" s="1"/>
      <c r="Z738" s="94" t="s">
        <v>82</v>
      </c>
    </row>
    <row r="739" spans="1:26" s="25" customFormat="1" ht="6.95" customHeight="1" x14ac:dyDescent="0.3">
      <c r="A739" s="165">
        <f>+A728+1</f>
        <v>68</v>
      </c>
      <c r="B739" s="166"/>
      <c r="C739" s="167"/>
      <c r="D739" s="160" t="s">
        <v>39</v>
      </c>
      <c r="E739" s="161"/>
      <c r="F739" s="162" t="s">
        <v>40</v>
      </c>
      <c r="G739" s="163"/>
      <c r="H739" s="164"/>
      <c r="I739" s="163"/>
      <c r="J739" s="164"/>
      <c r="K739" s="163"/>
      <c r="L739" s="164"/>
      <c r="M739" s="11"/>
      <c r="N739" s="39"/>
      <c r="Q739" s="15" t="str">
        <f>+CONCATENATE(E739,G739)</f>
        <v/>
      </c>
      <c r="R739" s="15">
        <f>+H739</f>
        <v>0</v>
      </c>
      <c r="S739" s="16"/>
      <c r="T739" s="15">
        <f>+E739</f>
        <v>0</v>
      </c>
      <c r="U739" s="26" t="str">
        <f>IFERROR(LEFT(G739,FIND("*",G739)-1),"-")</f>
        <v>-</v>
      </c>
      <c r="V739" s="26" t="str">
        <f>IFERROR(RIGHT(G739,LEN(G739)-FIND("*",G739)),"-")</f>
        <v>-</v>
      </c>
      <c r="W739" s="27" t="str">
        <f>IFERROR((U739+V739)*2/1000,"-")</f>
        <v>-</v>
      </c>
      <c r="X739" s="27" t="str">
        <f>IFERROR(W739*H739,"-")</f>
        <v>-</v>
      </c>
      <c r="Z739" s="94" t="s">
        <v>82</v>
      </c>
    </row>
    <row r="740" spans="1:26" s="25" customFormat="1" ht="6.95" customHeight="1" x14ac:dyDescent="0.3">
      <c r="A740" s="165"/>
      <c r="B740" s="168"/>
      <c r="C740" s="169"/>
      <c r="D740" s="160"/>
      <c r="E740" s="161"/>
      <c r="F740" s="162"/>
      <c r="G740" s="163"/>
      <c r="H740" s="164"/>
      <c r="I740" s="163"/>
      <c r="J740" s="164"/>
      <c r="K740" s="163"/>
      <c r="L740" s="164"/>
      <c r="M740" s="11"/>
      <c r="N740" s="39"/>
      <c r="Q740" s="15" t="str">
        <f>+CONCATENATE(E739,I739)</f>
        <v/>
      </c>
      <c r="R740" s="15">
        <f>+J739</f>
        <v>0</v>
      </c>
      <c r="S740" s="16"/>
      <c r="T740" s="15">
        <f>+E739</f>
        <v>0</v>
      </c>
      <c r="U740" s="26" t="str">
        <f>IFERROR(LEFT(I739,FIND("*",I739)-1),"-")</f>
        <v>-</v>
      </c>
      <c r="V740" s="26" t="str">
        <f>IFERROR(RIGHT(I739,LEN(I739)-FIND("*",I739)),"-")</f>
        <v>-</v>
      </c>
      <c r="W740" s="27" t="str">
        <f t="shared" ref="W740:W747" si="400">IFERROR((U740+V740)*2/1000,"-")</f>
        <v>-</v>
      </c>
      <c r="X740" s="27" t="str">
        <f>IFERROR(W740*J739,"-")</f>
        <v>-</v>
      </c>
      <c r="Z740" s="94" t="s">
        <v>82</v>
      </c>
    </row>
    <row r="741" spans="1:26" s="25" customFormat="1" ht="6.95" customHeight="1" x14ac:dyDescent="0.3">
      <c r="A741" s="165"/>
      <c r="B741" s="168"/>
      <c r="C741" s="169"/>
      <c r="D741" s="160"/>
      <c r="E741" s="161"/>
      <c r="F741" s="162"/>
      <c r="G741" s="163"/>
      <c r="H741" s="164"/>
      <c r="I741" s="163"/>
      <c r="J741" s="164"/>
      <c r="K741" s="163"/>
      <c r="L741" s="164"/>
      <c r="M741" s="11"/>
      <c r="N741" s="39"/>
      <c r="Q741" s="15" t="str">
        <f>+CONCATENATE(E739,K739)</f>
        <v/>
      </c>
      <c r="R741" s="15">
        <f>+L739</f>
        <v>0</v>
      </c>
      <c r="S741" s="16"/>
      <c r="T741" s="15">
        <f>+E739</f>
        <v>0</v>
      </c>
      <c r="U741" s="26" t="str">
        <f>IFERROR(LEFT(K739,FIND("*",K739)-1),"-")</f>
        <v>-</v>
      </c>
      <c r="V741" s="26" t="str">
        <f>IFERROR(RIGHT(K739,LEN(K739)-FIND("*",K739)),"-")</f>
        <v>-</v>
      </c>
      <c r="W741" s="27" t="str">
        <f t="shared" si="400"/>
        <v>-</v>
      </c>
      <c r="X741" s="27" t="str">
        <f>IFERROR(W741*L739,"-")</f>
        <v>-</v>
      </c>
      <c r="Z741" s="94" t="s">
        <v>82</v>
      </c>
    </row>
    <row r="742" spans="1:26" s="25" customFormat="1" ht="6.95" customHeight="1" x14ac:dyDescent="0.3">
      <c r="A742" s="13"/>
      <c r="B742" s="168"/>
      <c r="C742" s="169"/>
      <c r="D742" s="160" t="s">
        <v>39</v>
      </c>
      <c r="E742" s="161"/>
      <c r="F742" s="162" t="s">
        <v>40</v>
      </c>
      <c r="G742" s="163"/>
      <c r="H742" s="164"/>
      <c r="I742" s="163"/>
      <c r="J742" s="164"/>
      <c r="K742" s="163"/>
      <c r="L742" s="164"/>
      <c r="M742" s="11"/>
      <c r="N742" s="39"/>
      <c r="Q742" s="15" t="str">
        <f>+CONCATENATE(E742,G742)</f>
        <v/>
      </c>
      <c r="R742" s="15">
        <f>+H742</f>
        <v>0</v>
      </c>
      <c r="S742" s="16"/>
      <c r="T742" s="15">
        <f>+E742</f>
        <v>0</v>
      </c>
      <c r="U742" s="26" t="str">
        <f t="shared" ref="U742" si="401">IFERROR(LEFT(G742,FIND("*",G742)-1),"-")</f>
        <v>-</v>
      </c>
      <c r="V742" s="26" t="str">
        <f t="shared" ref="V742" si="402">IFERROR(RIGHT(G742,LEN(G742)-FIND("*",G742)),"-")</f>
        <v>-</v>
      </c>
      <c r="W742" s="27" t="str">
        <f t="shared" si="400"/>
        <v>-</v>
      </c>
      <c r="X742" s="27" t="str">
        <f>IFERROR(W742*H742,"-")</f>
        <v>-</v>
      </c>
      <c r="Z742" s="94" t="s">
        <v>82</v>
      </c>
    </row>
    <row r="743" spans="1:26" s="25" customFormat="1" ht="6.95" customHeight="1" x14ac:dyDescent="0.3">
      <c r="A743" s="10"/>
      <c r="B743" s="168"/>
      <c r="C743" s="169"/>
      <c r="D743" s="160"/>
      <c r="E743" s="161"/>
      <c r="F743" s="162"/>
      <c r="G743" s="163"/>
      <c r="H743" s="164"/>
      <c r="I743" s="163"/>
      <c r="J743" s="164"/>
      <c r="K743" s="163"/>
      <c r="L743" s="164"/>
      <c r="M743" s="11"/>
      <c r="N743" s="39"/>
      <c r="Q743" s="15" t="str">
        <f>+CONCATENATE(E742,I742)</f>
        <v/>
      </c>
      <c r="R743" s="15">
        <f>+J742</f>
        <v>0</v>
      </c>
      <c r="S743" s="16"/>
      <c r="T743" s="15">
        <f>+E742</f>
        <v>0</v>
      </c>
      <c r="U743" s="26" t="str">
        <f>IFERROR(LEFT(I742,FIND("*",I742)-1),"-")</f>
        <v>-</v>
      </c>
      <c r="V743" s="26" t="str">
        <f>IFERROR(RIGHT(I742,LEN(I742)-FIND("*",I742)),"-")</f>
        <v>-</v>
      </c>
      <c r="W743" s="27" t="str">
        <f t="shared" si="400"/>
        <v>-</v>
      </c>
      <c r="X743" s="27" t="str">
        <f>IFERROR(W743*J742,"-")</f>
        <v>-</v>
      </c>
      <c r="Z743" s="94" t="s">
        <v>82</v>
      </c>
    </row>
    <row r="744" spans="1:26" s="25" customFormat="1" ht="6.95" customHeight="1" x14ac:dyDescent="0.3">
      <c r="A744" s="10"/>
      <c r="B744" s="168"/>
      <c r="C744" s="169"/>
      <c r="D744" s="160"/>
      <c r="E744" s="161"/>
      <c r="F744" s="162"/>
      <c r="G744" s="163"/>
      <c r="H744" s="164"/>
      <c r="I744" s="163"/>
      <c r="J744" s="164"/>
      <c r="K744" s="163"/>
      <c r="L744" s="164"/>
      <c r="M744" s="11"/>
      <c r="N744" s="39"/>
      <c r="Q744" s="15" t="str">
        <f>+CONCATENATE(E742,K742)</f>
        <v/>
      </c>
      <c r="R744" s="15">
        <f>+L742</f>
        <v>0</v>
      </c>
      <c r="S744" s="16"/>
      <c r="T744" s="15">
        <f>+E742</f>
        <v>0</v>
      </c>
      <c r="U744" s="26" t="str">
        <f>IFERROR(LEFT(K742,FIND("*",K742)-1),"-")</f>
        <v>-</v>
      </c>
      <c r="V744" s="26" t="str">
        <f>IFERROR(RIGHT(K742,LEN(K742)-FIND("*",K742)),"-")</f>
        <v>-</v>
      </c>
      <c r="W744" s="27" t="str">
        <f t="shared" si="400"/>
        <v>-</v>
      </c>
      <c r="X744" s="27" t="str">
        <f>IFERROR(W744*L742,"-")</f>
        <v>-</v>
      </c>
      <c r="Z744" s="94" t="s">
        <v>82</v>
      </c>
    </row>
    <row r="745" spans="1:26" s="25" customFormat="1" ht="6.95" customHeight="1" x14ac:dyDescent="0.3">
      <c r="A745" s="13"/>
      <c r="B745" s="168"/>
      <c r="C745" s="169"/>
      <c r="D745" s="160" t="s">
        <v>39</v>
      </c>
      <c r="E745" s="161"/>
      <c r="F745" s="162" t="s">
        <v>40</v>
      </c>
      <c r="G745" s="163"/>
      <c r="H745" s="164"/>
      <c r="I745" s="163"/>
      <c r="J745" s="164"/>
      <c r="K745" s="163"/>
      <c r="L745" s="164"/>
      <c r="M745" s="11"/>
      <c r="N745" s="39"/>
      <c r="Q745" s="15" t="str">
        <f>+CONCATENATE(E745,G745)</f>
        <v/>
      </c>
      <c r="R745" s="15">
        <f>+H745</f>
        <v>0</v>
      </c>
      <c r="S745" s="16"/>
      <c r="T745" s="15">
        <f>+E745</f>
        <v>0</v>
      </c>
      <c r="U745" s="26" t="str">
        <f t="shared" ref="U745" si="403">IFERROR(LEFT(G745,FIND("*",G745)-1),"-")</f>
        <v>-</v>
      </c>
      <c r="V745" s="26" t="str">
        <f t="shared" ref="V745" si="404">IFERROR(RIGHT(G745,LEN(G745)-FIND("*",G745)),"-")</f>
        <v>-</v>
      </c>
      <c r="W745" s="27" t="str">
        <f t="shared" si="400"/>
        <v>-</v>
      </c>
      <c r="X745" s="27" t="str">
        <f>IFERROR(W745*H745,"-")</f>
        <v>-</v>
      </c>
      <c r="Z745" s="94" t="s">
        <v>82</v>
      </c>
    </row>
    <row r="746" spans="1:26" s="25" customFormat="1" ht="6.95" customHeight="1" x14ac:dyDescent="0.3">
      <c r="A746" s="10"/>
      <c r="B746" s="168"/>
      <c r="C746" s="169"/>
      <c r="D746" s="160"/>
      <c r="E746" s="161"/>
      <c r="F746" s="162"/>
      <c r="G746" s="163"/>
      <c r="H746" s="164"/>
      <c r="I746" s="163"/>
      <c r="J746" s="164"/>
      <c r="K746" s="163"/>
      <c r="L746" s="164"/>
      <c r="M746" s="11"/>
      <c r="N746" s="39"/>
      <c r="Q746" s="15" t="str">
        <f>+CONCATENATE(E745,I745)</f>
        <v/>
      </c>
      <c r="R746" s="15">
        <f>+J745</f>
        <v>0</v>
      </c>
      <c r="S746" s="16"/>
      <c r="T746" s="15">
        <f>+E745</f>
        <v>0</v>
      </c>
      <c r="U746" s="26" t="str">
        <f>IFERROR(LEFT(I745,FIND("*",I745)-1),"-")</f>
        <v>-</v>
      </c>
      <c r="V746" s="26" t="str">
        <f>IFERROR(RIGHT(I745,LEN(I745)-FIND("*",I745)),"-")</f>
        <v>-</v>
      </c>
      <c r="W746" s="27" t="str">
        <f t="shared" si="400"/>
        <v>-</v>
      </c>
      <c r="X746" s="27" t="str">
        <f t="shared" ref="X746" si="405">IFERROR(W746*J745,"-")</f>
        <v>-</v>
      </c>
      <c r="Z746" s="94" t="s">
        <v>82</v>
      </c>
    </row>
    <row r="747" spans="1:26" s="25" customFormat="1" ht="6.95" customHeight="1" x14ac:dyDescent="0.3">
      <c r="A747" s="10"/>
      <c r="B747" s="168"/>
      <c r="C747" s="169"/>
      <c r="D747" s="160"/>
      <c r="E747" s="161"/>
      <c r="F747" s="162"/>
      <c r="G747" s="163"/>
      <c r="H747" s="164"/>
      <c r="I747" s="163"/>
      <c r="J747" s="164"/>
      <c r="K747" s="163"/>
      <c r="L747" s="164"/>
      <c r="M747" s="11"/>
      <c r="N747" s="39"/>
      <c r="Q747" s="15" t="str">
        <f>+CONCATENATE(E745,K745)</f>
        <v/>
      </c>
      <c r="R747" s="15">
        <f>+L745</f>
        <v>0</v>
      </c>
      <c r="S747" s="16"/>
      <c r="T747" s="15">
        <f>+E745</f>
        <v>0</v>
      </c>
      <c r="U747" s="26" t="str">
        <f>IFERROR(LEFT(K745,FIND("*",K745)-1),"-")</f>
        <v>-</v>
      </c>
      <c r="V747" s="26" t="str">
        <f>IFERROR(RIGHT(K745,LEN(K745)-FIND("*",K745)),"-")</f>
        <v>-</v>
      </c>
      <c r="W747" s="27" t="str">
        <f t="shared" si="400"/>
        <v>-</v>
      </c>
      <c r="X747" s="27" t="str">
        <f>IFERROR(W747*L745,"-")</f>
        <v>-</v>
      </c>
      <c r="Z747" s="94" t="s">
        <v>82</v>
      </c>
    </row>
    <row r="748" spans="1:26" s="25" customFormat="1" ht="21" customHeight="1" thickBot="1" x14ac:dyDescent="0.35">
      <c r="A748" s="10"/>
      <c r="B748" s="170"/>
      <c r="C748" s="171"/>
      <c r="D748" s="172" t="s">
        <v>43</v>
      </c>
      <c r="E748" s="173"/>
      <c r="F748" s="173"/>
      <c r="G748" s="174"/>
      <c r="H748" s="174"/>
      <c r="I748" s="174"/>
      <c r="J748" s="174"/>
      <c r="K748" s="174"/>
      <c r="L748" s="174"/>
      <c r="M748" s="12"/>
      <c r="N748" s="39"/>
      <c r="U748" s="23"/>
      <c r="V748" s="23"/>
      <c r="Z748" s="95" t="s">
        <v>81</v>
      </c>
    </row>
    <row r="749" spans="1:26" s="25" customFormat="1" ht="9.9499999999999993" customHeight="1" thickBot="1" x14ac:dyDescent="0.35">
      <c r="A749" s="6"/>
      <c r="B749" s="14"/>
      <c r="C749" s="119"/>
      <c r="D749" s="58"/>
      <c r="E749" s="17"/>
      <c r="F749" s="58"/>
      <c r="G749" s="19"/>
      <c r="H749" s="19"/>
      <c r="I749" s="19"/>
      <c r="J749" s="19"/>
      <c r="K749" s="19"/>
      <c r="L749" s="19"/>
      <c r="M749" s="14"/>
      <c r="N749" s="39"/>
      <c r="Q749" s="1"/>
      <c r="R749" s="1"/>
      <c r="S749" s="1"/>
      <c r="T749" s="1"/>
      <c r="U749" s="24"/>
      <c r="V749" s="24"/>
      <c r="W749" s="1"/>
      <c r="X749" s="1"/>
      <c r="Z749" s="94" t="s">
        <v>82</v>
      </c>
    </row>
    <row r="750" spans="1:26" s="25" customFormat="1" ht="6.95" customHeight="1" x14ac:dyDescent="0.3">
      <c r="A750" s="165">
        <f>+A739+1</f>
        <v>69</v>
      </c>
      <c r="B750" s="166"/>
      <c r="C750" s="167"/>
      <c r="D750" s="160" t="s">
        <v>39</v>
      </c>
      <c r="E750" s="161"/>
      <c r="F750" s="162" t="s">
        <v>40</v>
      </c>
      <c r="G750" s="163"/>
      <c r="H750" s="164"/>
      <c r="I750" s="163"/>
      <c r="J750" s="164"/>
      <c r="K750" s="163"/>
      <c r="L750" s="164"/>
      <c r="M750" s="11"/>
      <c r="N750" s="39"/>
      <c r="Q750" s="15" t="str">
        <f>+CONCATENATE(E750,G750)</f>
        <v/>
      </c>
      <c r="R750" s="15">
        <f>+H750</f>
        <v>0</v>
      </c>
      <c r="S750" s="16"/>
      <c r="T750" s="15">
        <f>+E750</f>
        <v>0</v>
      </c>
      <c r="U750" s="26" t="str">
        <f>IFERROR(LEFT(G750,FIND("*",G750)-1),"-")</f>
        <v>-</v>
      </c>
      <c r="V750" s="26" t="str">
        <f>IFERROR(RIGHT(G750,LEN(G750)-FIND("*",G750)),"-")</f>
        <v>-</v>
      </c>
      <c r="W750" s="27" t="str">
        <f>IFERROR((U750+V750)*2/1000,"-")</f>
        <v>-</v>
      </c>
      <c r="X750" s="27" t="str">
        <f>IFERROR(W750*H750,"-")</f>
        <v>-</v>
      </c>
      <c r="Z750" s="94" t="s">
        <v>82</v>
      </c>
    </row>
    <row r="751" spans="1:26" s="25" customFormat="1" ht="6.95" customHeight="1" x14ac:dyDescent="0.3">
      <c r="A751" s="165"/>
      <c r="B751" s="168"/>
      <c r="C751" s="169"/>
      <c r="D751" s="160"/>
      <c r="E751" s="161"/>
      <c r="F751" s="162"/>
      <c r="G751" s="163"/>
      <c r="H751" s="164"/>
      <c r="I751" s="163"/>
      <c r="J751" s="164"/>
      <c r="K751" s="163"/>
      <c r="L751" s="164"/>
      <c r="M751" s="11"/>
      <c r="N751" s="39"/>
      <c r="Q751" s="15" t="str">
        <f>+CONCATENATE(E750,I750)</f>
        <v/>
      </c>
      <c r="R751" s="15">
        <f>+J750</f>
        <v>0</v>
      </c>
      <c r="S751" s="16"/>
      <c r="T751" s="15">
        <f>+E750</f>
        <v>0</v>
      </c>
      <c r="U751" s="26" t="str">
        <f>IFERROR(LEFT(I750,FIND("*",I750)-1),"-")</f>
        <v>-</v>
      </c>
      <c r="V751" s="26" t="str">
        <f>IFERROR(RIGHT(I750,LEN(I750)-FIND("*",I750)),"-")</f>
        <v>-</v>
      </c>
      <c r="W751" s="27" t="str">
        <f t="shared" ref="W751:W758" si="406">IFERROR((U751+V751)*2/1000,"-")</f>
        <v>-</v>
      </c>
      <c r="X751" s="27" t="str">
        <f>IFERROR(W751*J750,"-")</f>
        <v>-</v>
      </c>
      <c r="Z751" s="94" t="s">
        <v>82</v>
      </c>
    </row>
    <row r="752" spans="1:26" s="25" customFormat="1" ht="6.95" customHeight="1" x14ac:dyDescent="0.3">
      <c r="A752" s="165"/>
      <c r="B752" s="168"/>
      <c r="C752" s="169"/>
      <c r="D752" s="160"/>
      <c r="E752" s="161"/>
      <c r="F752" s="162"/>
      <c r="G752" s="163"/>
      <c r="H752" s="164"/>
      <c r="I752" s="163"/>
      <c r="J752" s="164"/>
      <c r="K752" s="163"/>
      <c r="L752" s="164"/>
      <c r="M752" s="11"/>
      <c r="N752" s="39"/>
      <c r="Q752" s="15" t="str">
        <f>+CONCATENATE(E750,K750)</f>
        <v/>
      </c>
      <c r="R752" s="15">
        <f>+L750</f>
        <v>0</v>
      </c>
      <c r="S752" s="16"/>
      <c r="T752" s="15">
        <f>+E750</f>
        <v>0</v>
      </c>
      <c r="U752" s="26" t="str">
        <f>IFERROR(LEFT(K750,FIND("*",K750)-1),"-")</f>
        <v>-</v>
      </c>
      <c r="V752" s="26" t="str">
        <f>IFERROR(RIGHT(K750,LEN(K750)-FIND("*",K750)),"-")</f>
        <v>-</v>
      </c>
      <c r="W752" s="27" t="str">
        <f t="shared" si="406"/>
        <v>-</v>
      </c>
      <c r="X752" s="27" t="str">
        <f>IFERROR(W752*L750,"-")</f>
        <v>-</v>
      </c>
      <c r="Z752" s="94" t="s">
        <v>82</v>
      </c>
    </row>
    <row r="753" spans="1:26" s="25" customFormat="1" ht="6.95" customHeight="1" x14ac:dyDescent="0.3">
      <c r="A753" s="13"/>
      <c r="B753" s="168"/>
      <c r="C753" s="169"/>
      <c r="D753" s="160" t="s">
        <v>39</v>
      </c>
      <c r="E753" s="161"/>
      <c r="F753" s="162" t="s">
        <v>40</v>
      </c>
      <c r="G753" s="163"/>
      <c r="H753" s="164"/>
      <c r="I753" s="163"/>
      <c r="J753" s="164"/>
      <c r="K753" s="163"/>
      <c r="L753" s="164"/>
      <c r="M753" s="11"/>
      <c r="N753" s="39"/>
      <c r="Q753" s="15" t="str">
        <f>+CONCATENATE(E753,G753)</f>
        <v/>
      </c>
      <c r="R753" s="15">
        <f>+H753</f>
        <v>0</v>
      </c>
      <c r="S753" s="16"/>
      <c r="T753" s="15">
        <f>+E753</f>
        <v>0</v>
      </c>
      <c r="U753" s="26" t="str">
        <f t="shared" ref="U753" si="407">IFERROR(LEFT(G753,FIND("*",G753)-1),"-")</f>
        <v>-</v>
      </c>
      <c r="V753" s="26" t="str">
        <f t="shared" ref="V753" si="408">IFERROR(RIGHT(G753,LEN(G753)-FIND("*",G753)),"-")</f>
        <v>-</v>
      </c>
      <c r="W753" s="27" t="str">
        <f t="shared" si="406"/>
        <v>-</v>
      </c>
      <c r="X753" s="27" t="str">
        <f>IFERROR(W753*H753,"-")</f>
        <v>-</v>
      </c>
      <c r="Z753" s="94" t="s">
        <v>82</v>
      </c>
    </row>
    <row r="754" spans="1:26" s="25" customFormat="1" ht="6.95" customHeight="1" x14ac:dyDescent="0.3">
      <c r="A754" s="10"/>
      <c r="B754" s="168"/>
      <c r="C754" s="169"/>
      <c r="D754" s="160"/>
      <c r="E754" s="161"/>
      <c r="F754" s="162"/>
      <c r="G754" s="163"/>
      <c r="H754" s="164"/>
      <c r="I754" s="163"/>
      <c r="J754" s="164"/>
      <c r="K754" s="163"/>
      <c r="L754" s="164"/>
      <c r="M754" s="11"/>
      <c r="N754" s="39"/>
      <c r="Q754" s="15" t="str">
        <f>+CONCATENATE(E753,I753)</f>
        <v/>
      </c>
      <c r="R754" s="15">
        <f>+J753</f>
        <v>0</v>
      </c>
      <c r="S754" s="16"/>
      <c r="T754" s="15">
        <f>+E753</f>
        <v>0</v>
      </c>
      <c r="U754" s="26" t="str">
        <f>IFERROR(LEFT(I753,FIND("*",I753)-1),"-")</f>
        <v>-</v>
      </c>
      <c r="V754" s="26" t="str">
        <f>IFERROR(RIGHT(I753,LEN(I753)-FIND("*",I753)),"-")</f>
        <v>-</v>
      </c>
      <c r="W754" s="27" t="str">
        <f t="shared" si="406"/>
        <v>-</v>
      </c>
      <c r="X754" s="27" t="str">
        <f>IFERROR(W754*J753,"-")</f>
        <v>-</v>
      </c>
      <c r="Z754" s="94" t="s">
        <v>82</v>
      </c>
    </row>
    <row r="755" spans="1:26" s="25" customFormat="1" ht="6.95" customHeight="1" x14ac:dyDescent="0.3">
      <c r="A755" s="10"/>
      <c r="B755" s="168"/>
      <c r="C755" s="169"/>
      <c r="D755" s="160"/>
      <c r="E755" s="161"/>
      <c r="F755" s="162"/>
      <c r="G755" s="163"/>
      <c r="H755" s="164"/>
      <c r="I755" s="163"/>
      <c r="J755" s="164"/>
      <c r="K755" s="163"/>
      <c r="L755" s="164"/>
      <c r="M755" s="11"/>
      <c r="N755" s="39"/>
      <c r="Q755" s="15" t="str">
        <f>+CONCATENATE(E753,K753)</f>
        <v/>
      </c>
      <c r="R755" s="15">
        <f>+L753</f>
        <v>0</v>
      </c>
      <c r="S755" s="16"/>
      <c r="T755" s="15">
        <f>+E753</f>
        <v>0</v>
      </c>
      <c r="U755" s="26" t="str">
        <f>IFERROR(LEFT(K753,FIND("*",K753)-1),"-")</f>
        <v>-</v>
      </c>
      <c r="V755" s="26" t="str">
        <f>IFERROR(RIGHT(K753,LEN(K753)-FIND("*",K753)),"-")</f>
        <v>-</v>
      </c>
      <c r="W755" s="27" t="str">
        <f t="shared" si="406"/>
        <v>-</v>
      </c>
      <c r="X755" s="27" t="str">
        <f>IFERROR(W755*L753,"-")</f>
        <v>-</v>
      </c>
      <c r="Z755" s="94" t="s">
        <v>82</v>
      </c>
    </row>
    <row r="756" spans="1:26" s="25" customFormat="1" ht="6.95" customHeight="1" x14ac:dyDescent="0.3">
      <c r="A756" s="13"/>
      <c r="B756" s="168"/>
      <c r="C756" s="169"/>
      <c r="D756" s="160" t="s">
        <v>39</v>
      </c>
      <c r="E756" s="161"/>
      <c r="F756" s="162" t="s">
        <v>40</v>
      </c>
      <c r="G756" s="163"/>
      <c r="H756" s="164"/>
      <c r="I756" s="163"/>
      <c r="J756" s="164"/>
      <c r="K756" s="163"/>
      <c r="L756" s="164"/>
      <c r="M756" s="11"/>
      <c r="N756" s="39"/>
      <c r="Q756" s="15" t="str">
        <f>+CONCATENATE(E756,G756)</f>
        <v/>
      </c>
      <c r="R756" s="15">
        <f>+H756</f>
        <v>0</v>
      </c>
      <c r="S756" s="16"/>
      <c r="T756" s="15">
        <f>+E756</f>
        <v>0</v>
      </c>
      <c r="U756" s="26" t="str">
        <f t="shared" ref="U756" si="409">IFERROR(LEFT(G756,FIND("*",G756)-1),"-")</f>
        <v>-</v>
      </c>
      <c r="V756" s="26" t="str">
        <f t="shared" ref="V756" si="410">IFERROR(RIGHT(G756,LEN(G756)-FIND("*",G756)),"-")</f>
        <v>-</v>
      </c>
      <c r="W756" s="27" t="str">
        <f t="shared" si="406"/>
        <v>-</v>
      </c>
      <c r="X756" s="27" t="str">
        <f>IFERROR(W756*H756,"-")</f>
        <v>-</v>
      </c>
      <c r="Z756" s="94" t="s">
        <v>82</v>
      </c>
    </row>
    <row r="757" spans="1:26" s="25" customFormat="1" ht="6.95" customHeight="1" x14ac:dyDescent="0.3">
      <c r="A757" s="10"/>
      <c r="B757" s="168"/>
      <c r="C757" s="169"/>
      <c r="D757" s="160"/>
      <c r="E757" s="161"/>
      <c r="F757" s="162"/>
      <c r="G757" s="163"/>
      <c r="H757" s="164"/>
      <c r="I757" s="163"/>
      <c r="J757" s="164"/>
      <c r="K757" s="163"/>
      <c r="L757" s="164"/>
      <c r="M757" s="11"/>
      <c r="N757" s="39"/>
      <c r="Q757" s="15" t="str">
        <f>+CONCATENATE(E756,I756)</f>
        <v/>
      </c>
      <c r="R757" s="15">
        <f>+J756</f>
        <v>0</v>
      </c>
      <c r="S757" s="16"/>
      <c r="T757" s="15">
        <f>+E756</f>
        <v>0</v>
      </c>
      <c r="U757" s="26" t="str">
        <f>IFERROR(LEFT(I756,FIND("*",I756)-1),"-")</f>
        <v>-</v>
      </c>
      <c r="V757" s="26" t="str">
        <f>IFERROR(RIGHT(I756,LEN(I756)-FIND("*",I756)),"-")</f>
        <v>-</v>
      </c>
      <c r="W757" s="27" t="str">
        <f t="shared" si="406"/>
        <v>-</v>
      </c>
      <c r="X757" s="27" t="str">
        <f t="shared" ref="X757" si="411">IFERROR(W757*J756,"-")</f>
        <v>-</v>
      </c>
      <c r="Z757" s="94" t="s">
        <v>82</v>
      </c>
    </row>
    <row r="758" spans="1:26" s="25" customFormat="1" ht="6.95" customHeight="1" x14ac:dyDescent="0.3">
      <c r="A758" s="10"/>
      <c r="B758" s="168"/>
      <c r="C758" s="169"/>
      <c r="D758" s="160"/>
      <c r="E758" s="161"/>
      <c r="F758" s="162"/>
      <c r="G758" s="163"/>
      <c r="H758" s="164"/>
      <c r="I758" s="163"/>
      <c r="J758" s="164"/>
      <c r="K758" s="163"/>
      <c r="L758" s="164"/>
      <c r="M758" s="11"/>
      <c r="N758" s="39"/>
      <c r="Q758" s="15" t="str">
        <f>+CONCATENATE(E756,K756)</f>
        <v/>
      </c>
      <c r="R758" s="15">
        <f>+L756</f>
        <v>0</v>
      </c>
      <c r="S758" s="16"/>
      <c r="T758" s="15">
        <f>+E756</f>
        <v>0</v>
      </c>
      <c r="U758" s="26" t="str">
        <f>IFERROR(LEFT(K756,FIND("*",K756)-1),"-")</f>
        <v>-</v>
      </c>
      <c r="V758" s="26" t="str">
        <f>IFERROR(RIGHT(K756,LEN(K756)-FIND("*",K756)),"-")</f>
        <v>-</v>
      </c>
      <c r="W758" s="27" t="str">
        <f t="shared" si="406"/>
        <v>-</v>
      </c>
      <c r="X758" s="27" t="str">
        <f>IFERROR(W758*L756,"-")</f>
        <v>-</v>
      </c>
      <c r="Z758" s="94" t="s">
        <v>82</v>
      </c>
    </row>
    <row r="759" spans="1:26" s="25" customFormat="1" ht="21" customHeight="1" thickBot="1" x14ac:dyDescent="0.35">
      <c r="A759" s="10"/>
      <c r="B759" s="170"/>
      <c r="C759" s="171"/>
      <c r="D759" s="172" t="s">
        <v>43</v>
      </c>
      <c r="E759" s="173"/>
      <c r="F759" s="173"/>
      <c r="G759" s="174"/>
      <c r="H759" s="174"/>
      <c r="I759" s="174"/>
      <c r="J759" s="174"/>
      <c r="K759" s="174"/>
      <c r="L759" s="174"/>
      <c r="M759" s="12"/>
      <c r="N759" s="39"/>
      <c r="U759" s="23"/>
      <c r="V759" s="23"/>
      <c r="Z759" s="95" t="s">
        <v>81</v>
      </c>
    </row>
    <row r="760" spans="1:26" s="25" customFormat="1" ht="9.9499999999999993" customHeight="1" thickBot="1" x14ac:dyDescent="0.35">
      <c r="A760" s="6"/>
      <c r="B760" s="14"/>
      <c r="C760" s="119"/>
      <c r="D760" s="58"/>
      <c r="E760" s="17"/>
      <c r="F760" s="58"/>
      <c r="G760" s="19"/>
      <c r="H760" s="19"/>
      <c r="I760" s="19"/>
      <c r="J760" s="19"/>
      <c r="K760" s="19"/>
      <c r="L760" s="19"/>
      <c r="M760" s="14"/>
      <c r="N760" s="39"/>
      <c r="Q760" s="1"/>
      <c r="R760" s="1"/>
      <c r="S760" s="1"/>
      <c r="T760" s="1"/>
      <c r="U760" s="24"/>
      <c r="V760" s="24"/>
      <c r="W760" s="1"/>
      <c r="X760" s="1"/>
      <c r="Z760" s="94" t="s">
        <v>82</v>
      </c>
    </row>
    <row r="761" spans="1:26" s="25" customFormat="1" ht="6.95" customHeight="1" x14ac:dyDescent="0.3">
      <c r="A761" s="165">
        <f>+A750+1</f>
        <v>70</v>
      </c>
      <c r="B761" s="166"/>
      <c r="C761" s="167"/>
      <c r="D761" s="160" t="s">
        <v>39</v>
      </c>
      <c r="E761" s="161"/>
      <c r="F761" s="162" t="s">
        <v>40</v>
      </c>
      <c r="G761" s="163"/>
      <c r="H761" s="164"/>
      <c r="I761" s="163"/>
      <c r="J761" s="164"/>
      <c r="K761" s="163"/>
      <c r="L761" s="164"/>
      <c r="M761" s="11"/>
      <c r="N761" s="39"/>
      <c r="Q761" s="15" t="str">
        <f>+CONCATENATE(E761,G761)</f>
        <v/>
      </c>
      <c r="R761" s="15">
        <f>+H761</f>
        <v>0</v>
      </c>
      <c r="S761" s="16"/>
      <c r="T761" s="15">
        <f>+E761</f>
        <v>0</v>
      </c>
      <c r="U761" s="26" t="str">
        <f>IFERROR(LEFT(G761,FIND("*",G761)-1),"-")</f>
        <v>-</v>
      </c>
      <c r="V761" s="26" t="str">
        <f>IFERROR(RIGHT(G761,LEN(G761)-FIND("*",G761)),"-")</f>
        <v>-</v>
      </c>
      <c r="W761" s="27" t="str">
        <f>IFERROR((U761+V761)*2/1000,"-")</f>
        <v>-</v>
      </c>
      <c r="X761" s="27" t="str">
        <f>IFERROR(W761*H761,"-")</f>
        <v>-</v>
      </c>
      <c r="Z761" s="94" t="s">
        <v>82</v>
      </c>
    </row>
    <row r="762" spans="1:26" s="25" customFormat="1" ht="6.95" customHeight="1" x14ac:dyDescent="0.3">
      <c r="A762" s="165"/>
      <c r="B762" s="168"/>
      <c r="C762" s="169"/>
      <c r="D762" s="160"/>
      <c r="E762" s="161"/>
      <c r="F762" s="162"/>
      <c r="G762" s="163"/>
      <c r="H762" s="164"/>
      <c r="I762" s="163"/>
      <c r="J762" s="164"/>
      <c r="K762" s="163"/>
      <c r="L762" s="164"/>
      <c r="M762" s="11"/>
      <c r="N762" s="39"/>
      <c r="Q762" s="15" t="str">
        <f>+CONCATENATE(E761,I761)</f>
        <v/>
      </c>
      <c r="R762" s="15">
        <f>+J761</f>
        <v>0</v>
      </c>
      <c r="S762" s="16"/>
      <c r="T762" s="15">
        <f>+E761</f>
        <v>0</v>
      </c>
      <c r="U762" s="26" t="str">
        <f>IFERROR(LEFT(I761,FIND("*",I761)-1),"-")</f>
        <v>-</v>
      </c>
      <c r="V762" s="26" t="str">
        <f>IFERROR(RIGHT(I761,LEN(I761)-FIND("*",I761)),"-")</f>
        <v>-</v>
      </c>
      <c r="W762" s="27" t="str">
        <f t="shared" ref="W762:W769" si="412">IFERROR((U762+V762)*2/1000,"-")</f>
        <v>-</v>
      </c>
      <c r="X762" s="27" t="str">
        <f>IFERROR(W762*J761,"-")</f>
        <v>-</v>
      </c>
      <c r="Z762" s="94" t="s">
        <v>82</v>
      </c>
    </row>
    <row r="763" spans="1:26" s="25" customFormat="1" ht="6.95" customHeight="1" x14ac:dyDescent="0.3">
      <c r="A763" s="165"/>
      <c r="B763" s="168"/>
      <c r="C763" s="169"/>
      <c r="D763" s="160"/>
      <c r="E763" s="161"/>
      <c r="F763" s="162"/>
      <c r="G763" s="163"/>
      <c r="H763" s="164"/>
      <c r="I763" s="163"/>
      <c r="J763" s="164"/>
      <c r="K763" s="163"/>
      <c r="L763" s="164"/>
      <c r="M763" s="11"/>
      <c r="N763" s="39"/>
      <c r="Q763" s="15" t="str">
        <f>+CONCATENATE(E761,K761)</f>
        <v/>
      </c>
      <c r="R763" s="15">
        <f>+L761</f>
        <v>0</v>
      </c>
      <c r="S763" s="16"/>
      <c r="T763" s="15">
        <f>+E761</f>
        <v>0</v>
      </c>
      <c r="U763" s="26" t="str">
        <f>IFERROR(LEFT(K761,FIND("*",K761)-1),"-")</f>
        <v>-</v>
      </c>
      <c r="V763" s="26" t="str">
        <f>IFERROR(RIGHT(K761,LEN(K761)-FIND("*",K761)),"-")</f>
        <v>-</v>
      </c>
      <c r="W763" s="27" t="str">
        <f t="shared" si="412"/>
        <v>-</v>
      </c>
      <c r="X763" s="27" t="str">
        <f>IFERROR(W763*L761,"-")</f>
        <v>-</v>
      </c>
      <c r="Z763" s="94" t="s">
        <v>82</v>
      </c>
    </row>
    <row r="764" spans="1:26" s="25" customFormat="1" ht="6.95" customHeight="1" x14ac:dyDescent="0.3">
      <c r="A764" s="13"/>
      <c r="B764" s="168"/>
      <c r="C764" s="169"/>
      <c r="D764" s="160" t="s">
        <v>39</v>
      </c>
      <c r="E764" s="161"/>
      <c r="F764" s="162" t="s">
        <v>40</v>
      </c>
      <c r="G764" s="163"/>
      <c r="H764" s="164"/>
      <c r="I764" s="163"/>
      <c r="J764" s="164"/>
      <c r="K764" s="163"/>
      <c r="L764" s="164"/>
      <c r="M764" s="11"/>
      <c r="N764" s="39"/>
      <c r="Q764" s="15" t="str">
        <f>+CONCATENATE(E764,G764)</f>
        <v/>
      </c>
      <c r="R764" s="15">
        <f>+H764</f>
        <v>0</v>
      </c>
      <c r="S764" s="16"/>
      <c r="T764" s="15">
        <f>+E764</f>
        <v>0</v>
      </c>
      <c r="U764" s="26" t="str">
        <f t="shared" ref="U764" si="413">IFERROR(LEFT(G764,FIND("*",G764)-1),"-")</f>
        <v>-</v>
      </c>
      <c r="V764" s="26" t="str">
        <f t="shared" ref="V764" si="414">IFERROR(RIGHT(G764,LEN(G764)-FIND("*",G764)),"-")</f>
        <v>-</v>
      </c>
      <c r="W764" s="27" t="str">
        <f t="shared" si="412"/>
        <v>-</v>
      </c>
      <c r="X764" s="27" t="str">
        <f>IFERROR(W764*H764,"-")</f>
        <v>-</v>
      </c>
      <c r="Z764" s="94" t="s">
        <v>82</v>
      </c>
    </row>
    <row r="765" spans="1:26" s="25" customFormat="1" ht="6.95" customHeight="1" x14ac:dyDescent="0.3">
      <c r="A765" s="10"/>
      <c r="B765" s="168"/>
      <c r="C765" s="169"/>
      <c r="D765" s="160"/>
      <c r="E765" s="161"/>
      <c r="F765" s="162"/>
      <c r="G765" s="163"/>
      <c r="H765" s="164"/>
      <c r="I765" s="163"/>
      <c r="J765" s="164"/>
      <c r="K765" s="163"/>
      <c r="L765" s="164"/>
      <c r="M765" s="11"/>
      <c r="N765" s="39"/>
      <c r="Q765" s="15" t="str">
        <f>+CONCATENATE(E764,I764)</f>
        <v/>
      </c>
      <c r="R765" s="15">
        <f>+J764</f>
        <v>0</v>
      </c>
      <c r="S765" s="16"/>
      <c r="T765" s="15">
        <f>+E764</f>
        <v>0</v>
      </c>
      <c r="U765" s="26" t="str">
        <f>IFERROR(LEFT(I764,FIND("*",I764)-1),"-")</f>
        <v>-</v>
      </c>
      <c r="V765" s="26" t="str">
        <f>IFERROR(RIGHT(I764,LEN(I764)-FIND("*",I764)),"-")</f>
        <v>-</v>
      </c>
      <c r="W765" s="27" t="str">
        <f t="shared" si="412"/>
        <v>-</v>
      </c>
      <c r="X765" s="27" t="str">
        <f>IFERROR(W765*J764,"-")</f>
        <v>-</v>
      </c>
      <c r="Z765" s="94" t="s">
        <v>82</v>
      </c>
    </row>
    <row r="766" spans="1:26" s="25" customFormat="1" ht="6.95" customHeight="1" x14ac:dyDescent="0.3">
      <c r="A766" s="10"/>
      <c r="B766" s="168"/>
      <c r="C766" s="169"/>
      <c r="D766" s="160"/>
      <c r="E766" s="161"/>
      <c r="F766" s="162"/>
      <c r="G766" s="163"/>
      <c r="H766" s="164"/>
      <c r="I766" s="163"/>
      <c r="J766" s="164"/>
      <c r="K766" s="163"/>
      <c r="L766" s="164"/>
      <c r="M766" s="11"/>
      <c r="N766" s="39"/>
      <c r="Q766" s="15" t="str">
        <f>+CONCATENATE(E764,K764)</f>
        <v/>
      </c>
      <c r="R766" s="15">
        <f>+L764</f>
        <v>0</v>
      </c>
      <c r="S766" s="16"/>
      <c r="T766" s="15">
        <f>+E764</f>
        <v>0</v>
      </c>
      <c r="U766" s="26" t="str">
        <f>IFERROR(LEFT(K764,FIND("*",K764)-1),"-")</f>
        <v>-</v>
      </c>
      <c r="V766" s="26" t="str">
        <f>IFERROR(RIGHT(K764,LEN(K764)-FIND("*",K764)),"-")</f>
        <v>-</v>
      </c>
      <c r="W766" s="27" t="str">
        <f t="shared" si="412"/>
        <v>-</v>
      </c>
      <c r="X766" s="27" t="str">
        <f>IFERROR(W766*L764,"-")</f>
        <v>-</v>
      </c>
      <c r="Z766" s="94" t="s">
        <v>82</v>
      </c>
    </row>
    <row r="767" spans="1:26" s="25" customFormat="1" ht="6.95" customHeight="1" x14ac:dyDescent="0.3">
      <c r="A767" s="13"/>
      <c r="B767" s="168"/>
      <c r="C767" s="169"/>
      <c r="D767" s="160" t="s">
        <v>39</v>
      </c>
      <c r="E767" s="161"/>
      <c r="F767" s="162" t="s">
        <v>40</v>
      </c>
      <c r="G767" s="163"/>
      <c r="H767" s="164"/>
      <c r="I767" s="163"/>
      <c r="J767" s="164"/>
      <c r="K767" s="163"/>
      <c r="L767" s="164"/>
      <c r="M767" s="11"/>
      <c r="N767" s="39"/>
      <c r="Q767" s="15" t="str">
        <f>+CONCATENATE(E767,G767)</f>
        <v/>
      </c>
      <c r="R767" s="15">
        <f>+H767</f>
        <v>0</v>
      </c>
      <c r="S767" s="16"/>
      <c r="T767" s="15">
        <f>+E767</f>
        <v>0</v>
      </c>
      <c r="U767" s="26" t="str">
        <f t="shared" ref="U767" si="415">IFERROR(LEFT(G767,FIND("*",G767)-1),"-")</f>
        <v>-</v>
      </c>
      <c r="V767" s="26" t="str">
        <f t="shared" ref="V767" si="416">IFERROR(RIGHT(G767,LEN(G767)-FIND("*",G767)),"-")</f>
        <v>-</v>
      </c>
      <c r="W767" s="27" t="str">
        <f t="shared" si="412"/>
        <v>-</v>
      </c>
      <c r="X767" s="27" t="str">
        <f>IFERROR(W767*H767,"-")</f>
        <v>-</v>
      </c>
      <c r="Z767" s="94" t="s">
        <v>82</v>
      </c>
    </row>
    <row r="768" spans="1:26" s="25" customFormat="1" ht="6.95" customHeight="1" x14ac:dyDescent="0.3">
      <c r="A768" s="10"/>
      <c r="B768" s="168"/>
      <c r="C768" s="169"/>
      <c r="D768" s="160"/>
      <c r="E768" s="161"/>
      <c r="F768" s="162"/>
      <c r="G768" s="163"/>
      <c r="H768" s="164"/>
      <c r="I768" s="163"/>
      <c r="J768" s="164"/>
      <c r="K768" s="163"/>
      <c r="L768" s="164"/>
      <c r="M768" s="11"/>
      <c r="N768" s="39"/>
      <c r="Q768" s="15" t="str">
        <f>+CONCATENATE(E767,I767)</f>
        <v/>
      </c>
      <c r="R768" s="15">
        <f>+J767</f>
        <v>0</v>
      </c>
      <c r="S768" s="16"/>
      <c r="T768" s="15">
        <f>+E767</f>
        <v>0</v>
      </c>
      <c r="U768" s="26" t="str">
        <f>IFERROR(LEFT(I767,FIND("*",I767)-1),"-")</f>
        <v>-</v>
      </c>
      <c r="V768" s="26" t="str">
        <f>IFERROR(RIGHT(I767,LEN(I767)-FIND("*",I767)),"-")</f>
        <v>-</v>
      </c>
      <c r="W768" s="27" t="str">
        <f t="shared" si="412"/>
        <v>-</v>
      </c>
      <c r="X768" s="27" t="str">
        <f t="shared" ref="X768" si="417">IFERROR(W768*J767,"-")</f>
        <v>-</v>
      </c>
      <c r="Z768" s="94" t="s">
        <v>82</v>
      </c>
    </row>
    <row r="769" spans="1:26" s="25" customFormat="1" ht="6.95" customHeight="1" x14ac:dyDescent="0.3">
      <c r="A769" s="10"/>
      <c r="B769" s="168"/>
      <c r="C769" s="169"/>
      <c r="D769" s="160"/>
      <c r="E769" s="161"/>
      <c r="F769" s="162"/>
      <c r="G769" s="163"/>
      <c r="H769" s="164"/>
      <c r="I769" s="163"/>
      <c r="J769" s="164"/>
      <c r="K769" s="163"/>
      <c r="L769" s="164"/>
      <c r="M769" s="11"/>
      <c r="N769" s="39"/>
      <c r="Q769" s="15" t="str">
        <f>+CONCATENATE(E767,K767)</f>
        <v/>
      </c>
      <c r="R769" s="15">
        <f>+L767</f>
        <v>0</v>
      </c>
      <c r="S769" s="16"/>
      <c r="T769" s="15">
        <f>+E767</f>
        <v>0</v>
      </c>
      <c r="U769" s="26" t="str">
        <f>IFERROR(LEFT(K767,FIND("*",K767)-1),"-")</f>
        <v>-</v>
      </c>
      <c r="V769" s="26" t="str">
        <f>IFERROR(RIGHT(K767,LEN(K767)-FIND("*",K767)),"-")</f>
        <v>-</v>
      </c>
      <c r="W769" s="27" t="str">
        <f t="shared" si="412"/>
        <v>-</v>
      </c>
      <c r="X769" s="27" t="str">
        <f>IFERROR(W769*L767,"-")</f>
        <v>-</v>
      </c>
      <c r="Z769" s="94" t="s">
        <v>82</v>
      </c>
    </row>
    <row r="770" spans="1:26" s="25" customFormat="1" ht="21" customHeight="1" thickBot="1" x14ac:dyDescent="0.35">
      <c r="A770" s="10"/>
      <c r="B770" s="170"/>
      <c r="C770" s="171"/>
      <c r="D770" s="172" t="s">
        <v>43</v>
      </c>
      <c r="E770" s="173"/>
      <c r="F770" s="173"/>
      <c r="G770" s="174"/>
      <c r="H770" s="174"/>
      <c r="I770" s="174"/>
      <c r="J770" s="174"/>
      <c r="K770" s="174"/>
      <c r="L770" s="174"/>
      <c r="M770" s="12"/>
      <c r="N770" s="39"/>
      <c r="U770" s="23"/>
      <c r="V770" s="23"/>
      <c r="Z770" s="95" t="s">
        <v>81</v>
      </c>
    </row>
    <row r="771" spans="1:26" s="25" customFormat="1" ht="9.9499999999999993" customHeight="1" thickBot="1" x14ac:dyDescent="0.35">
      <c r="A771" s="6"/>
      <c r="B771" s="14"/>
      <c r="C771" s="119"/>
      <c r="D771" s="58"/>
      <c r="E771" s="17"/>
      <c r="F771" s="58"/>
      <c r="G771" s="19"/>
      <c r="H771" s="19"/>
      <c r="I771" s="19"/>
      <c r="J771" s="19"/>
      <c r="K771" s="19"/>
      <c r="L771" s="19"/>
      <c r="M771" s="14"/>
      <c r="N771" s="39"/>
      <c r="Q771" s="1"/>
      <c r="R771" s="1"/>
      <c r="S771" s="1"/>
      <c r="T771" s="1"/>
      <c r="U771" s="24"/>
      <c r="V771" s="24"/>
      <c r="W771" s="1"/>
      <c r="X771" s="1"/>
      <c r="Z771" s="94" t="s">
        <v>82</v>
      </c>
    </row>
    <row r="772" spans="1:26" s="25" customFormat="1" ht="6.95" customHeight="1" x14ac:dyDescent="0.3">
      <c r="A772" s="165">
        <f>+A761+1</f>
        <v>71</v>
      </c>
      <c r="B772" s="166"/>
      <c r="C772" s="167"/>
      <c r="D772" s="160" t="s">
        <v>39</v>
      </c>
      <c r="E772" s="161"/>
      <c r="F772" s="162" t="s">
        <v>40</v>
      </c>
      <c r="G772" s="163"/>
      <c r="H772" s="164"/>
      <c r="I772" s="163"/>
      <c r="J772" s="164"/>
      <c r="K772" s="163"/>
      <c r="L772" s="164"/>
      <c r="M772" s="11"/>
      <c r="N772" s="39"/>
      <c r="Q772" s="15" t="str">
        <f>+CONCATENATE(E772,G772)</f>
        <v/>
      </c>
      <c r="R772" s="15">
        <f>+H772</f>
        <v>0</v>
      </c>
      <c r="S772" s="16"/>
      <c r="T772" s="15">
        <f>+E772</f>
        <v>0</v>
      </c>
      <c r="U772" s="26" t="str">
        <f>IFERROR(LEFT(G772,FIND("*",G772)-1),"-")</f>
        <v>-</v>
      </c>
      <c r="V772" s="26" t="str">
        <f>IFERROR(RIGHT(G772,LEN(G772)-FIND("*",G772)),"-")</f>
        <v>-</v>
      </c>
      <c r="W772" s="27" t="str">
        <f>IFERROR((U772+V772)*2/1000,"-")</f>
        <v>-</v>
      </c>
      <c r="X772" s="27" t="str">
        <f>IFERROR(W772*H772,"-")</f>
        <v>-</v>
      </c>
      <c r="Z772" s="94" t="s">
        <v>82</v>
      </c>
    </row>
    <row r="773" spans="1:26" s="25" customFormat="1" ht="6.95" customHeight="1" x14ac:dyDescent="0.3">
      <c r="A773" s="165"/>
      <c r="B773" s="168"/>
      <c r="C773" s="169"/>
      <c r="D773" s="160"/>
      <c r="E773" s="161"/>
      <c r="F773" s="162"/>
      <c r="G773" s="163"/>
      <c r="H773" s="164"/>
      <c r="I773" s="163"/>
      <c r="J773" s="164"/>
      <c r="K773" s="163"/>
      <c r="L773" s="164"/>
      <c r="M773" s="11"/>
      <c r="N773" s="39"/>
      <c r="Q773" s="15" t="str">
        <f>+CONCATENATE(E772,I772)</f>
        <v/>
      </c>
      <c r="R773" s="15">
        <f>+J772</f>
        <v>0</v>
      </c>
      <c r="S773" s="16"/>
      <c r="T773" s="15">
        <f>+E772</f>
        <v>0</v>
      </c>
      <c r="U773" s="26" t="str">
        <f>IFERROR(LEFT(I772,FIND("*",I772)-1),"-")</f>
        <v>-</v>
      </c>
      <c r="V773" s="26" t="str">
        <f>IFERROR(RIGHT(I772,LEN(I772)-FIND("*",I772)),"-")</f>
        <v>-</v>
      </c>
      <c r="W773" s="27" t="str">
        <f t="shared" ref="W773:W780" si="418">IFERROR((U773+V773)*2/1000,"-")</f>
        <v>-</v>
      </c>
      <c r="X773" s="27" t="str">
        <f>IFERROR(W773*J772,"-")</f>
        <v>-</v>
      </c>
      <c r="Z773" s="94" t="s">
        <v>82</v>
      </c>
    </row>
    <row r="774" spans="1:26" s="25" customFormat="1" ht="6.95" customHeight="1" x14ac:dyDescent="0.3">
      <c r="A774" s="165"/>
      <c r="B774" s="168"/>
      <c r="C774" s="169"/>
      <c r="D774" s="160"/>
      <c r="E774" s="161"/>
      <c r="F774" s="162"/>
      <c r="G774" s="163"/>
      <c r="H774" s="164"/>
      <c r="I774" s="163"/>
      <c r="J774" s="164"/>
      <c r="K774" s="163"/>
      <c r="L774" s="164"/>
      <c r="M774" s="11"/>
      <c r="N774" s="39"/>
      <c r="Q774" s="15" t="str">
        <f>+CONCATENATE(E772,K772)</f>
        <v/>
      </c>
      <c r="R774" s="15">
        <f>+L772</f>
        <v>0</v>
      </c>
      <c r="S774" s="16"/>
      <c r="T774" s="15">
        <f>+E772</f>
        <v>0</v>
      </c>
      <c r="U774" s="26" t="str">
        <f>IFERROR(LEFT(K772,FIND("*",K772)-1),"-")</f>
        <v>-</v>
      </c>
      <c r="V774" s="26" t="str">
        <f>IFERROR(RIGHT(K772,LEN(K772)-FIND("*",K772)),"-")</f>
        <v>-</v>
      </c>
      <c r="W774" s="27" t="str">
        <f t="shared" si="418"/>
        <v>-</v>
      </c>
      <c r="X774" s="27" t="str">
        <f>IFERROR(W774*L772,"-")</f>
        <v>-</v>
      </c>
      <c r="Z774" s="94" t="s">
        <v>82</v>
      </c>
    </row>
    <row r="775" spans="1:26" s="25" customFormat="1" ht="6.95" customHeight="1" x14ac:dyDescent="0.3">
      <c r="A775" s="13"/>
      <c r="B775" s="168"/>
      <c r="C775" s="169"/>
      <c r="D775" s="160" t="s">
        <v>39</v>
      </c>
      <c r="E775" s="161"/>
      <c r="F775" s="162" t="s">
        <v>40</v>
      </c>
      <c r="G775" s="163"/>
      <c r="H775" s="164"/>
      <c r="I775" s="163"/>
      <c r="J775" s="164"/>
      <c r="K775" s="163"/>
      <c r="L775" s="164"/>
      <c r="M775" s="11"/>
      <c r="N775" s="39"/>
      <c r="Q775" s="15" t="str">
        <f>+CONCATENATE(E775,G775)</f>
        <v/>
      </c>
      <c r="R775" s="15">
        <f>+H775</f>
        <v>0</v>
      </c>
      <c r="S775" s="16"/>
      <c r="T775" s="15">
        <f>+E775</f>
        <v>0</v>
      </c>
      <c r="U775" s="26" t="str">
        <f t="shared" ref="U775" si="419">IFERROR(LEFT(G775,FIND("*",G775)-1),"-")</f>
        <v>-</v>
      </c>
      <c r="V775" s="26" t="str">
        <f t="shared" ref="V775" si="420">IFERROR(RIGHT(G775,LEN(G775)-FIND("*",G775)),"-")</f>
        <v>-</v>
      </c>
      <c r="W775" s="27" t="str">
        <f t="shared" si="418"/>
        <v>-</v>
      </c>
      <c r="X775" s="27" t="str">
        <f>IFERROR(W775*H775,"-")</f>
        <v>-</v>
      </c>
      <c r="Z775" s="94" t="s">
        <v>82</v>
      </c>
    </row>
    <row r="776" spans="1:26" s="25" customFormat="1" ht="6.95" customHeight="1" x14ac:dyDescent="0.3">
      <c r="A776" s="10"/>
      <c r="B776" s="168"/>
      <c r="C776" s="169"/>
      <c r="D776" s="160"/>
      <c r="E776" s="161"/>
      <c r="F776" s="162"/>
      <c r="G776" s="163"/>
      <c r="H776" s="164"/>
      <c r="I776" s="163"/>
      <c r="J776" s="164"/>
      <c r="K776" s="163"/>
      <c r="L776" s="164"/>
      <c r="M776" s="11"/>
      <c r="N776" s="39"/>
      <c r="Q776" s="15" t="str">
        <f>+CONCATENATE(E775,I775)</f>
        <v/>
      </c>
      <c r="R776" s="15">
        <f>+J775</f>
        <v>0</v>
      </c>
      <c r="S776" s="16"/>
      <c r="T776" s="15">
        <f>+E775</f>
        <v>0</v>
      </c>
      <c r="U776" s="26" t="str">
        <f>IFERROR(LEFT(I775,FIND("*",I775)-1),"-")</f>
        <v>-</v>
      </c>
      <c r="V776" s="26" t="str">
        <f>IFERROR(RIGHT(I775,LEN(I775)-FIND("*",I775)),"-")</f>
        <v>-</v>
      </c>
      <c r="W776" s="27" t="str">
        <f t="shared" si="418"/>
        <v>-</v>
      </c>
      <c r="X776" s="27" t="str">
        <f>IFERROR(W776*J775,"-")</f>
        <v>-</v>
      </c>
      <c r="Z776" s="94" t="s">
        <v>82</v>
      </c>
    </row>
    <row r="777" spans="1:26" s="25" customFormat="1" ht="6.95" customHeight="1" x14ac:dyDescent="0.3">
      <c r="A777" s="10"/>
      <c r="B777" s="168"/>
      <c r="C777" s="169"/>
      <c r="D777" s="160"/>
      <c r="E777" s="161"/>
      <c r="F777" s="162"/>
      <c r="G777" s="163"/>
      <c r="H777" s="164"/>
      <c r="I777" s="163"/>
      <c r="J777" s="164"/>
      <c r="K777" s="163"/>
      <c r="L777" s="164"/>
      <c r="M777" s="11"/>
      <c r="N777" s="39"/>
      <c r="Q777" s="15" t="str">
        <f>+CONCATENATE(E775,K775)</f>
        <v/>
      </c>
      <c r="R777" s="15">
        <f>+L775</f>
        <v>0</v>
      </c>
      <c r="S777" s="16"/>
      <c r="T777" s="15">
        <f>+E775</f>
        <v>0</v>
      </c>
      <c r="U777" s="26" t="str">
        <f>IFERROR(LEFT(K775,FIND("*",K775)-1),"-")</f>
        <v>-</v>
      </c>
      <c r="V777" s="26" t="str">
        <f>IFERROR(RIGHT(K775,LEN(K775)-FIND("*",K775)),"-")</f>
        <v>-</v>
      </c>
      <c r="W777" s="27" t="str">
        <f t="shared" si="418"/>
        <v>-</v>
      </c>
      <c r="X777" s="27" t="str">
        <f>IFERROR(W777*L775,"-")</f>
        <v>-</v>
      </c>
      <c r="Z777" s="94" t="s">
        <v>82</v>
      </c>
    </row>
    <row r="778" spans="1:26" s="25" customFormat="1" ht="6.95" customHeight="1" x14ac:dyDescent="0.3">
      <c r="A778" s="13"/>
      <c r="B778" s="168"/>
      <c r="C778" s="169"/>
      <c r="D778" s="160" t="s">
        <v>39</v>
      </c>
      <c r="E778" s="161"/>
      <c r="F778" s="162" t="s">
        <v>40</v>
      </c>
      <c r="G778" s="163"/>
      <c r="H778" s="164"/>
      <c r="I778" s="163"/>
      <c r="J778" s="164"/>
      <c r="K778" s="163"/>
      <c r="L778" s="164"/>
      <c r="M778" s="11"/>
      <c r="N778" s="39"/>
      <c r="Q778" s="15" t="str">
        <f>+CONCATENATE(E778,G778)</f>
        <v/>
      </c>
      <c r="R778" s="15">
        <f>+H778</f>
        <v>0</v>
      </c>
      <c r="S778" s="16"/>
      <c r="T778" s="15">
        <f>+E778</f>
        <v>0</v>
      </c>
      <c r="U778" s="26" t="str">
        <f t="shared" ref="U778" si="421">IFERROR(LEFT(G778,FIND("*",G778)-1),"-")</f>
        <v>-</v>
      </c>
      <c r="V778" s="26" t="str">
        <f t="shared" ref="V778" si="422">IFERROR(RIGHT(G778,LEN(G778)-FIND("*",G778)),"-")</f>
        <v>-</v>
      </c>
      <c r="W778" s="27" t="str">
        <f t="shared" si="418"/>
        <v>-</v>
      </c>
      <c r="X778" s="27" t="str">
        <f>IFERROR(W778*H778,"-")</f>
        <v>-</v>
      </c>
      <c r="Z778" s="94" t="s">
        <v>82</v>
      </c>
    </row>
    <row r="779" spans="1:26" s="25" customFormat="1" ht="6.95" customHeight="1" x14ac:dyDescent="0.3">
      <c r="A779" s="10"/>
      <c r="B779" s="168"/>
      <c r="C779" s="169"/>
      <c r="D779" s="160"/>
      <c r="E779" s="161"/>
      <c r="F779" s="162"/>
      <c r="G779" s="163"/>
      <c r="H779" s="164"/>
      <c r="I779" s="163"/>
      <c r="J779" s="164"/>
      <c r="K779" s="163"/>
      <c r="L779" s="164"/>
      <c r="M779" s="11"/>
      <c r="N779" s="39"/>
      <c r="Q779" s="15" t="str">
        <f>+CONCATENATE(E778,I778)</f>
        <v/>
      </c>
      <c r="R779" s="15">
        <f>+J778</f>
        <v>0</v>
      </c>
      <c r="S779" s="16"/>
      <c r="T779" s="15">
        <f>+E778</f>
        <v>0</v>
      </c>
      <c r="U779" s="26" t="str">
        <f>IFERROR(LEFT(I778,FIND("*",I778)-1),"-")</f>
        <v>-</v>
      </c>
      <c r="V779" s="26" t="str">
        <f>IFERROR(RIGHT(I778,LEN(I778)-FIND("*",I778)),"-")</f>
        <v>-</v>
      </c>
      <c r="W779" s="27" t="str">
        <f t="shared" si="418"/>
        <v>-</v>
      </c>
      <c r="X779" s="27" t="str">
        <f t="shared" ref="X779" si="423">IFERROR(W779*J778,"-")</f>
        <v>-</v>
      </c>
      <c r="Z779" s="94" t="s">
        <v>82</v>
      </c>
    </row>
    <row r="780" spans="1:26" s="25" customFormat="1" ht="6.95" customHeight="1" x14ac:dyDescent="0.3">
      <c r="A780" s="10"/>
      <c r="B780" s="168"/>
      <c r="C780" s="169"/>
      <c r="D780" s="160"/>
      <c r="E780" s="161"/>
      <c r="F780" s="162"/>
      <c r="G780" s="163"/>
      <c r="H780" s="164"/>
      <c r="I780" s="163"/>
      <c r="J780" s="164"/>
      <c r="K780" s="163"/>
      <c r="L780" s="164"/>
      <c r="M780" s="11"/>
      <c r="N780" s="39"/>
      <c r="Q780" s="15" t="str">
        <f>+CONCATENATE(E778,K778)</f>
        <v/>
      </c>
      <c r="R780" s="15">
        <f>+L778</f>
        <v>0</v>
      </c>
      <c r="S780" s="16"/>
      <c r="T780" s="15">
        <f>+E778</f>
        <v>0</v>
      </c>
      <c r="U780" s="26" t="str">
        <f>IFERROR(LEFT(K778,FIND("*",K778)-1),"-")</f>
        <v>-</v>
      </c>
      <c r="V780" s="26" t="str">
        <f>IFERROR(RIGHT(K778,LEN(K778)-FIND("*",K778)),"-")</f>
        <v>-</v>
      </c>
      <c r="W780" s="27" t="str">
        <f t="shared" si="418"/>
        <v>-</v>
      </c>
      <c r="X780" s="27" t="str">
        <f>IFERROR(W780*L778,"-")</f>
        <v>-</v>
      </c>
      <c r="Z780" s="94" t="s">
        <v>82</v>
      </c>
    </row>
    <row r="781" spans="1:26" s="25" customFormat="1" ht="21" customHeight="1" thickBot="1" x14ac:dyDescent="0.35">
      <c r="A781" s="10"/>
      <c r="B781" s="170"/>
      <c r="C781" s="171"/>
      <c r="D781" s="172" t="s">
        <v>43</v>
      </c>
      <c r="E781" s="173"/>
      <c r="F781" s="173"/>
      <c r="G781" s="174"/>
      <c r="H781" s="174"/>
      <c r="I781" s="174"/>
      <c r="J781" s="174"/>
      <c r="K781" s="174"/>
      <c r="L781" s="174"/>
      <c r="M781" s="12"/>
      <c r="N781" s="39"/>
      <c r="U781" s="23"/>
      <c r="V781" s="23"/>
      <c r="Z781" s="95" t="s">
        <v>81</v>
      </c>
    </row>
    <row r="782" spans="1:26" s="25" customFormat="1" ht="9.9499999999999993" customHeight="1" thickBot="1" x14ac:dyDescent="0.35">
      <c r="A782" s="6"/>
      <c r="B782" s="14"/>
      <c r="C782" s="119"/>
      <c r="D782" s="58"/>
      <c r="E782" s="17"/>
      <c r="F782" s="58"/>
      <c r="G782" s="19"/>
      <c r="H782" s="19"/>
      <c r="I782" s="19"/>
      <c r="J782" s="19"/>
      <c r="K782" s="19"/>
      <c r="L782" s="19"/>
      <c r="M782" s="14"/>
      <c r="N782" s="39"/>
      <c r="Q782" s="1"/>
      <c r="R782" s="1"/>
      <c r="S782" s="1"/>
      <c r="T782" s="1"/>
      <c r="U782" s="24"/>
      <c r="V782" s="24"/>
      <c r="W782" s="1"/>
      <c r="X782" s="1"/>
      <c r="Z782" s="94" t="s">
        <v>82</v>
      </c>
    </row>
    <row r="783" spans="1:26" s="25" customFormat="1" ht="6.95" customHeight="1" x14ac:dyDescent="0.3">
      <c r="A783" s="165">
        <f>+A772+1</f>
        <v>72</v>
      </c>
      <c r="B783" s="166"/>
      <c r="C783" s="167"/>
      <c r="D783" s="160" t="s">
        <v>39</v>
      </c>
      <c r="E783" s="161"/>
      <c r="F783" s="162" t="s">
        <v>40</v>
      </c>
      <c r="G783" s="163"/>
      <c r="H783" s="164"/>
      <c r="I783" s="163"/>
      <c r="J783" s="164"/>
      <c r="K783" s="163"/>
      <c r="L783" s="164"/>
      <c r="M783" s="11"/>
      <c r="N783" s="39"/>
      <c r="Q783" s="15" t="str">
        <f>+CONCATENATE(E783,G783)</f>
        <v/>
      </c>
      <c r="R783" s="15">
        <f>+H783</f>
        <v>0</v>
      </c>
      <c r="S783" s="16"/>
      <c r="T783" s="15">
        <f>+E783</f>
        <v>0</v>
      </c>
      <c r="U783" s="26" t="str">
        <f>IFERROR(LEFT(G783,FIND("*",G783)-1),"-")</f>
        <v>-</v>
      </c>
      <c r="V783" s="26" t="str">
        <f>IFERROR(RIGHT(G783,LEN(G783)-FIND("*",G783)),"-")</f>
        <v>-</v>
      </c>
      <c r="W783" s="27" t="str">
        <f>IFERROR((U783+V783)*2/1000,"-")</f>
        <v>-</v>
      </c>
      <c r="X783" s="27" t="str">
        <f>IFERROR(W783*H783,"-")</f>
        <v>-</v>
      </c>
      <c r="Z783" s="94" t="s">
        <v>82</v>
      </c>
    </row>
    <row r="784" spans="1:26" s="25" customFormat="1" ht="6.95" customHeight="1" x14ac:dyDescent="0.3">
      <c r="A784" s="165"/>
      <c r="B784" s="168"/>
      <c r="C784" s="169"/>
      <c r="D784" s="160"/>
      <c r="E784" s="161"/>
      <c r="F784" s="162"/>
      <c r="G784" s="163"/>
      <c r="H784" s="164"/>
      <c r="I784" s="163"/>
      <c r="J784" s="164"/>
      <c r="K784" s="163"/>
      <c r="L784" s="164"/>
      <c r="M784" s="11"/>
      <c r="N784" s="39"/>
      <c r="Q784" s="15" t="str">
        <f>+CONCATENATE(E783,I783)</f>
        <v/>
      </c>
      <c r="R784" s="15">
        <f>+J783</f>
        <v>0</v>
      </c>
      <c r="S784" s="16"/>
      <c r="T784" s="15">
        <f>+E783</f>
        <v>0</v>
      </c>
      <c r="U784" s="26" t="str">
        <f>IFERROR(LEFT(I783,FIND("*",I783)-1),"-")</f>
        <v>-</v>
      </c>
      <c r="V784" s="26" t="str">
        <f>IFERROR(RIGHT(I783,LEN(I783)-FIND("*",I783)),"-")</f>
        <v>-</v>
      </c>
      <c r="W784" s="27" t="str">
        <f t="shared" ref="W784:W791" si="424">IFERROR((U784+V784)*2/1000,"-")</f>
        <v>-</v>
      </c>
      <c r="X784" s="27" t="str">
        <f>IFERROR(W784*J783,"-")</f>
        <v>-</v>
      </c>
      <c r="Z784" s="94" t="s">
        <v>82</v>
      </c>
    </row>
    <row r="785" spans="1:26" s="25" customFormat="1" ht="6.95" customHeight="1" x14ac:dyDescent="0.3">
      <c r="A785" s="165"/>
      <c r="B785" s="168"/>
      <c r="C785" s="169"/>
      <c r="D785" s="160"/>
      <c r="E785" s="161"/>
      <c r="F785" s="162"/>
      <c r="G785" s="163"/>
      <c r="H785" s="164"/>
      <c r="I785" s="163"/>
      <c r="J785" s="164"/>
      <c r="K785" s="163"/>
      <c r="L785" s="164"/>
      <c r="M785" s="11"/>
      <c r="N785" s="39"/>
      <c r="Q785" s="15" t="str">
        <f>+CONCATENATE(E783,K783)</f>
        <v/>
      </c>
      <c r="R785" s="15">
        <f>+L783</f>
        <v>0</v>
      </c>
      <c r="S785" s="16"/>
      <c r="T785" s="15">
        <f>+E783</f>
        <v>0</v>
      </c>
      <c r="U785" s="26" t="str">
        <f>IFERROR(LEFT(K783,FIND("*",K783)-1),"-")</f>
        <v>-</v>
      </c>
      <c r="V785" s="26" t="str">
        <f>IFERROR(RIGHT(K783,LEN(K783)-FIND("*",K783)),"-")</f>
        <v>-</v>
      </c>
      <c r="W785" s="27" t="str">
        <f t="shared" si="424"/>
        <v>-</v>
      </c>
      <c r="X785" s="27" t="str">
        <f>IFERROR(W785*L783,"-")</f>
        <v>-</v>
      </c>
      <c r="Z785" s="94" t="s">
        <v>82</v>
      </c>
    </row>
    <row r="786" spans="1:26" s="25" customFormat="1" ht="6.95" customHeight="1" x14ac:dyDescent="0.3">
      <c r="A786" s="13"/>
      <c r="B786" s="168"/>
      <c r="C786" s="169"/>
      <c r="D786" s="160" t="s">
        <v>39</v>
      </c>
      <c r="E786" s="161"/>
      <c r="F786" s="162" t="s">
        <v>40</v>
      </c>
      <c r="G786" s="163"/>
      <c r="H786" s="164"/>
      <c r="I786" s="163"/>
      <c r="J786" s="164"/>
      <c r="K786" s="163"/>
      <c r="L786" s="164"/>
      <c r="M786" s="11"/>
      <c r="N786" s="39"/>
      <c r="Q786" s="15" t="str">
        <f>+CONCATENATE(E786,G786)</f>
        <v/>
      </c>
      <c r="R786" s="15">
        <f>+H786</f>
        <v>0</v>
      </c>
      <c r="S786" s="16"/>
      <c r="T786" s="15">
        <f>+E786</f>
        <v>0</v>
      </c>
      <c r="U786" s="26" t="str">
        <f t="shared" ref="U786" si="425">IFERROR(LEFT(G786,FIND("*",G786)-1),"-")</f>
        <v>-</v>
      </c>
      <c r="V786" s="26" t="str">
        <f t="shared" ref="V786" si="426">IFERROR(RIGHT(G786,LEN(G786)-FIND("*",G786)),"-")</f>
        <v>-</v>
      </c>
      <c r="W786" s="27" t="str">
        <f t="shared" si="424"/>
        <v>-</v>
      </c>
      <c r="X786" s="27" t="str">
        <f>IFERROR(W786*H786,"-")</f>
        <v>-</v>
      </c>
      <c r="Z786" s="94" t="s">
        <v>82</v>
      </c>
    </row>
    <row r="787" spans="1:26" s="25" customFormat="1" ht="6.95" customHeight="1" x14ac:dyDescent="0.3">
      <c r="A787" s="10"/>
      <c r="B787" s="168"/>
      <c r="C787" s="169"/>
      <c r="D787" s="160"/>
      <c r="E787" s="161"/>
      <c r="F787" s="162"/>
      <c r="G787" s="163"/>
      <c r="H787" s="164"/>
      <c r="I787" s="163"/>
      <c r="J787" s="164"/>
      <c r="K787" s="163"/>
      <c r="L787" s="164"/>
      <c r="M787" s="11"/>
      <c r="N787" s="39"/>
      <c r="Q787" s="15" t="str">
        <f>+CONCATENATE(E786,I786)</f>
        <v/>
      </c>
      <c r="R787" s="15">
        <f>+J786</f>
        <v>0</v>
      </c>
      <c r="S787" s="16"/>
      <c r="T787" s="15">
        <f>+E786</f>
        <v>0</v>
      </c>
      <c r="U787" s="26" t="str">
        <f>IFERROR(LEFT(I786,FIND("*",I786)-1),"-")</f>
        <v>-</v>
      </c>
      <c r="V787" s="26" t="str">
        <f>IFERROR(RIGHT(I786,LEN(I786)-FIND("*",I786)),"-")</f>
        <v>-</v>
      </c>
      <c r="W787" s="27" t="str">
        <f t="shared" si="424"/>
        <v>-</v>
      </c>
      <c r="X787" s="27" t="str">
        <f>IFERROR(W787*J786,"-")</f>
        <v>-</v>
      </c>
      <c r="Z787" s="94" t="s">
        <v>82</v>
      </c>
    </row>
    <row r="788" spans="1:26" s="25" customFormat="1" ht="6.95" customHeight="1" x14ac:dyDescent="0.3">
      <c r="A788" s="10"/>
      <c r="B788" s="168"/>
      <c r="C788" s="169"/>
      <c r="D788" s="160"/>
      <c r="E788" s="161"/>
      <c r="F788" s="162"/>
      <c r="G788" s="163"/>
      <c r="H788" s="164"/>
      <c r="I788" s="163"/>
      <c r="J788" s="164"/>
      <c r="K788" s="163"/>
      <c r="L788" s="164"/>
      <c r="M788" s="11"/>
      <c r="N788" s="39"/>
      <c r="Q788" s="15" t="str">
        <f>+CONCATENATE(E786,K786)</f>
        <v/>
      </c>
      <c r="R788" s="15">
        <f>+L786</f>
        <v>0</v>
      </c>
      <c r="S788" s="16"/>
      <c r="T788" s="15">
        <f>+E786</f>
        <v>0</v>
      </c>
      <c r="U788" s="26" t="str">
        <f>IFERROR(LEFT(K786,FIND("*",K786)-1),"-")</f>
        <v>-</v>
      </c>
      <c r="V788" s="26" t="str">
        <f>IFERROR(RIGHT(K786,LEN(K786)-FIND("*",K786)),"-")</f>
        <v>-</v>
      </c>
      <c r="W788" s="27" t="str">
        <f t="shared" si="424"/>
        <v>-</v>
      </c>
      <c r="X788" s="27" t="str">
        <f>IFERROR(W788*L786,"-")</f>
        <v>-</v>
      </c>
      <c r="Z788" s="94" t="s">
        <v>82</v>
      </c>
    </row>
    <row r="789" spans="1:26" s="25" customFormat="1" ht="6.95" customHeight="1" x14ac:dyDescent="0.3">
      <c r="A789" s="13"/>
      <c r="B789" s="168"/>
      <c r="C789" s="169"/>
      <c r="D789" s="160" t="s">
        <v>39</v>
      </c>
      <c r="E789" s="161"/>
      <c r="F789" s="162" t="s">
        <v>40</v>
      </c>
      <c r="G789" s="163"/>
      <c r="H789" s="164"/>
      <c r="I789" s="163"/>
      <c r="J789" s="164"/>
      <c r="K789" s="163"/>
      <c r="L789" s="164"/>
      <c r="M789" s="11"/>
      <c r="N789" s="39"/>
      <c r="Q789" s="15" t="str">
        <f>+CONCATENATE(E789,G789)</f>
        <v/>
      </c>
      <c r="R789" s="15">
        <f>+H789</f>
        <v>0</v>
      </c>
      <c r="S789" s="16"/>
      <c r="T789" s="15">
        <f>+E789</f>
        <v>0</v>
      </c>
      <c r="U789" s="26" t="str">
        <f t="shared" ref="U789" si="427">IFERROR(LEFT(G789,FIND("*",G789)-1),"-")</f>
        <v>-</v>
      </c>
      <c r="V789" s="26" t="str">
        <f t="shared" ref="V789" si="428">IFERROR(RIGHT(G789,LEN(G789)-FIND("*",G789)),"-")</f>
        <v>-</v>
      </c>
      <c r="W789" s="27" t="str">
        <f t="shared" si="424"/>
        <v>-</v>
      </c>
      <c r="X789" s="27" t="str">
        <f>IFERROR(W789*H789,"-")</f>
        <v>-</v>
      </c>
      <c r="Z789" s="94" t="s">
        <v>82</v>
      </c>
    </row>
    <row r="790" spans="1:26" s="25" customFormat="1" ht="6.95" customHeight="1" x14ac:dyDescent="0.3">
      <c r="A790" s="10"/>
      <c r="B790" s="168"/>
      <c r="C790" s="169"/>
      <c r="D790" s="160"/>
      <c r="E790" s="161"/>
      <c r="F790" s="162"/>
      <c r="G790" s="163"/>
      <c r="H790" s="164"/>
      <c r="I790" s="163"/>
      <c r="J790" s="164"/>
      <c r="K790" s="163"/>
      <c r="L790" s="164"/>
      <c r="M790" s="11"/>
      <c r="N790" s="39"/>
      <c r="Q790" s="15" t="str">
        <f>+CONCATENATE(E789,I789)</f>
        <v/>
      </c>
      <c r="R790" s="15">
        <f>+J789</f>
        <v>0</v>
      </c>
      <c r="S790" s="16"/>
      <c r="T790" s="15">
        <f>+E789</f>
        <v>0</v>
      </c>
      <c r="U790" s="26" t="str">
        <f>IFERROR(LEFT(I789,FIND("*",I789)-1),"-")</f>
        <v>-</v>
      </c>
      <c r="V790" s="26" t="str">
        <f>IFERROR(RIGHT(I789,LEN(I789)-FIND("*",I789)),"-")</f>
        <v>-</v>
      </c>
      <c r="W790" s="27" t="str">
        <f t="shared" si="424"/>
        <v>-</v>
      </c>
      <c r="X790" s="27" t="str">
        <f t="shared" ref="X790" si="429">IFERROR(W790*J789,"-")</f>
        <v>-</v>
      </c>
      <c r="Z790" s="94" t="s">
        <v>82</v>
      </c>
    </row>
    <row r="791" spans="1:26" s="25" customFormat="1" ht="6.95" customHeight="1" x14ac:dyDescent="0.3">
      <c r="A791" s="10"/>
      <c r="B791" s="168"/>
      <c r="C791" s="169"/>
      <c r="D791" s="160"/>
      <c r="E791" s="161"/>
      <c r="F791" s="162"/>
      <c r="G791" s="163"/>
      <c r="H791" s="164"/>
      <c r="I791" s="163"/>
      <c r="J791" s="164"/>
      <c r="K791" s="163"/>
      <c r="L791" s="164"/>
      <c r="M791" s="11"/>
      <c r="N791" s="39"/>
      <c r="Q791" s="15" t="str">
        <f>+CONCATENATE(E789,K789)</f>
        <v/>
      </c>
      <c r="R791" s="15">
        <f>+L789</f>
        <v>0</v>
      </c>
      <c r="S791" s="16"/>
      <c r="T791" s="15">
        <f>+E789</f>
        <v>0</v>
      </c>
      <c r="U791" s="26" t="str">
        <f>IFERROR(LEFT(K789,FIND("*",K789)-1),"-")</f>
        <v>-</v>
      </c>
      <c r="V791" s="26" t="str">
        <f>IFERROR(RIGHT(K789,LEN(K789)-FIND("*",K789)),"-")</f>
        <v>-</v>
      </c>
      <c r="W791" s="27" t="str">
        <f t="shared" si="424"/>
        <v>-</v>
      </c>
      <c r="X791" s="27" t="str">
        <f>IFERROR(W791*L789,"-")</f>
        <v>-</v>
      </c>
      <c r="Z791" s="94" t="s">
        <v>82</v>
      </c>
    </row>
    <row r="792" spans="1:26" s="25" customFormat="1" ht="21" customHeight="1" thickBot="1" x14ac:dyDescent="0.35">
      <c r="A792" s="10"/>
      <c r="B792" s="170"/>
      <c r="C792" s="171"/>
      <c r="D792" s="172" t="s">
        <v>43</v>
      </c>
      <c r="E792" s="173"/>
      <c r="F792" s="173"/>
      <c r="G792" s="174"/>
      <c r="H792" s="174"/>
      <c r="I792" s="174"/>
      <c r="J792" s="174"/>
      <c r="K792" s="174"/>
      <c r="L792" s="174"/>
      <c r="M792" s="12"/>
      <c r="N792" s="39"/>
      <c r="U792" s="23"/>
      <c r="V792" s="23"/>
      <c r="Z792" s="95" t="s">
        <v>81</v>
      </c>
    </row>
    <row r="793" spans="1:26" s="25" customFormat="1" ht="9.9499999999999993" customHeight="1" thickBot="1" x14ac:dyDescent="0.35">
      <c r="A793" s="6"/>
      <c r="B793" s="14"/>
      <c r="C793" s="119"/>
      <c r="D793" s="58"/>
      <c r="E793" s="17"/>
      <c r="F793" s="58"/>
      <c r="G793" s="19"/>
      <c r="H793" s="19"/>
      <c r="I793" s="19"/>
      <c r="J793" s="19"/>
      <c r="K793" s="19"/>
      <c r="L793" s="19"/>
      <c r="M793" s="14"/>
      <c r="N793" s="39"/>
      <c r="Q793" s="1"/>
      <c r="R793" s="1"/>
      <c r="S793" s="1"/>
      <c r="T793" s="1"/>
      <c r="U793" s="24"/>
      <c r="V793" s="24"/>
      <c r="W793" s="1"/>
      <c r="X793" s="1"/>
      <c r="Z793" s="94" t="s">
        <v>82</v>
      </c>
    </row>
    <row r="794" spans="1:26" s="25" customFormat="1" ht="6.95" customHeight="1" x14ac:dyDescent="0.3">
      <c r="A794" s="165">
        <f>+A783+1</f>
        <v>73</v>
      </c>
      <c r="B794" s="166"/>
      <c r="C794" s="167"/>
      <c r="D794" s="160" t="s">
        <v>39</v>
      </c>
      <c r="E794" s="161"/>
      <c r="F794" s="162" t="s">
        <v>40</v>
      </c>
      <c r="G794" s="163"/>
      <c r="H794" s="164"/>
      <c r="I794" s="163"/>
      <c r="J794" s="164"/>
      <c r="K794" s="163"/>
      <c r="L794" s="164"/>
      <c r="M794" s="11"/>
      <c r="N794" s="39"/>
      <c r="Q794" s="15" t="str">
        <f>+CONCATENATE(E794,G794)</f>
        <v/>
      </c>
      <c r="R794" s="15">
        <f>+H794</f>
        <v>0</v>
      </c>
      <c r="S794" s="16"/>
      <c r="T794" s="15">
        <f>+E794</f>
        <v>0</v>
      </c>
      <c r="U794" s="26" t="str">
        <f>IFERROR(LEFT(G794,FIND("*",G794)-1),"-")</f>
        <v>-</v>
      </c>
      <c r="V794" s="26" t="str">
        <f>IFERROR(RIGHT(G794,LEN(G794)-FIND("*",G794)),"-")</f>
        <v>-</v>
      </c>
      <c r="W794" s="27" t="str">
        <f>IFERROR((U794+V794)*2/1000,"-")</f>
        <v>-</v>
      </c>
      <c r="X794" s="27" t="str">
        <f>IFERROR(W794*H794,"-")</f>
        <v>-</v>
      </c>
      <c r="Z794" s="94" t="s">
        <v>82</v>
      </c>
    </row>
    <row r="795" spans="1:26" s="25" customFormat="1" ht="6.95" customHeight="1" x14ac:dyDescent="0.3">
      <c r="A795" s="165"/>
      <c r="B795" s="168"/>
      <c r="C795" s="169"/>
      <c r="D795" s="160"/>
      <c r="E795" s="161"/>
      <c r="F795" s="162"/>
      <c r="G795" s="163"/>
      <c r="H795" s="164"/>
      <c r="I795" s="163"/>
      <c r="J795" s="164"/>
      <c r="K795" s="163"/>
      <c r="L795" s="164"/>
      <c r="M795" s="11"/>
      <c r="N795" s="39"/>
      <c r="Q795" s="15" t="str">
        <f>+CONCATENATE(E794,I794)</f>
        <v/>
      </c>
      <c r="R795" s="15">
        <f>+J794</f>
        <v>0</v>
      </c>
      <c r="S795" s="16"/>
      <c r="T795" s="15">
        <f>+E794</f>
        <v>0</v>
      </c>
      <c r="U795" s="26" t="str">
        <f>IFERROR(LEFT(I794,FIND("*",I794)-1),"-")</f>
        <v>-</v>
      </c>
      <c r="V795" s="26" t="str">
        <f>IFERROR(RIGHT(I794,LEN(I794)-FIND("*",I794)),"-")</f>
        <v>-</v>
      </c>
      <c r="W795" s="27" t="str">
        <f t="shared" ref="W795:W802" si="430">IFERROR((U795+V795)*2/1000,"-")</f>
        <v>-</v>
      </c>
      <c r="X795" s="27" t="str">
        <f>IFERROR(W795*J794,"-")</f>
        <v>-</v>
      </c>
      <c r="Z795" s="94" t="s">
        <v>82</v>
      </c>
    </row>
    <row r="796" spans="1:26" s="25" customFormat="1" ht="6.95" customHeight="1" x14ac:dyDescent="0.3">
      <c r="A796" s="165"/>
      <c r="B796" s="168"/>
      <c r="C796" s="169"/>
      <c r="D796" s="160"/>
      <c r="E796" s="161"/>
      <c r="F796" s="162"/>
      <c r="G796" s="163"/>
      <c r="H796" s="164"/>
      <c r="I796" s="163"/>
      <c r="J796" s="164"/>
      <c r="K796" s="163"/>
      <c r="L796" s="164"/>
      <c r="M796" s="11"/>
      <c r="N796" s="39"/>
      <c r="Q796" s="15" t="str">
        <f>+CONCATENATE(E794,K794)</f>
        <v/>
      </c>
      <c r="R796" s="15">
        <f>+L794</f>
        <v>0</v>
      </c>
      <c r="S796" s="16"/>
      <c r="T796" s="15">
        <f>+E794</f>
        <v>0</v>
      </c>
      <c r="U796" s="26" t="str">
        <f>IFERROR(LEFT(K794,FIND("*",K794)-1),"-")</f>
        <v>-</v>
      </c>
      <c r="V796" s="26" t="str">
        <f>IFERROR(RIGHT(K794,LEN(K794)-FIND("*",K794)),"-")</f>
        <v>-</v>
      </c>
      <c r="W796" s="27" t="str">
        <f t="shared" si="430"/>
        <v>-</v>
      </c>
      <c r="X796" s="27" t="str">
        <f>IFERROR(W796*L794,"-")</f>
        <v>-</v>
      </c>
      <c r="Z796" s="94" t="s">
        <v>82</v>
      </c>
    </row>
    <row r="797" spans="1:26" s="25" customFormat="1" ht="6.95" customHeight="1" x14ac:dyDescent="0.3">
      <c r="A797" s="13"/>
      <c r="B797" s="168"/>
      <c r="C797" s="169"/>
      <c r="D797" s="160" t="s">
        <v>39</v>
      </c>
      <c r="E797" s="161"/>
      <c r="F797" s="162" t="s">
        <v>40</v>
      </c>
      <c r="G797" s="163"/>
      <c r="H797" s="164"/>
      <c r="I797" s="163"/>
      <c r="J797" s="164"/>
      <c r="K797" s="163"/>
      <c r="L797" s="164"/>
      <c r="M797" s="11"/>
      <c r="N797" s="39"/>
      <c r="Q797" s="15" t="str">
        <f>+CONCATENATE(E797,G797)</f>
        <v/>
      </c>
      <c r="R797" s="15">
        <f>+H797</f>
        <v>0</v>
      </c>
      <c r="S797" s="16"/>
      <c r="T797" s="15">
        <f>+E797</f>
        <v>0</v>
      </c>
      <c r="U797" s="26" t="str">
        <f t="shared" ref="U797" si="431">IFERROR(LEFT(G797,FIND("*",G797)-1),"-")</f>
        <v>-</v>
      </c>
      <c r="V797" s="26" t="str">
        <f t="shared" ref="V797" si="432">IFERROR(RIGHT(G797,LEN(G797)-FIND("*",G797)),"-")</f>
        <v>-</v>
      </c>
      <c r="W797" s="27" t="str">
        <f t="shared" si="430"/>
        <v>-</v>
      </c>
      <c r="X797" s="27" t="str">
        <f>IFERROR(W797*H797,"-")</f>
        <v>-</v>
      </c>
      <c r="Z797" s="94" t="s">
        <v>82</v>
      </c>
    </row>
    <row r="798" spans="1:26" s="25" customFormat="1" ht="6.95" customHeight="1" x14ac:dyDescent="0.3">
      <c r="A798" s="10"/>
      <c r="B798" s="168"/>
      <c r="C798" s="169"/>
      <c r="D798" s="160"/>
      <c r="E798" s="161"/>
      <c r="F798" s="162"/>
      <c r="G798" s="163"/>
      <c r="H798" s="164"/>
      <c r="I798" s="163"/>
      <c r="J798" s="164"/>
      <c r="K798" s="163"/>
      <c r="L798" s="164"/>
      <c r="M798" s="11"/>
      <c r="N798" s="39"/>
      <c r="Q798" s="15" t="str">
        <f>+CONCATENATE(E797,I797)</f>
        <v/>
      </c>
      <c r="R798" s="15">
        <f>+J797</f>
        <v>0</v>
      </c>
      <c r="S798" s="16"/>
      <c r="T798" s="15">
        <f>+E797</f>
        <v>0</v>
      </c>
      <c r="U798" s="26" t="str">
        <f>IFERROR(LEFT(I797,FIND("*",I797)-1),"-")</f>
        <v>-</v>
      </c>
      <c r="V798" s="26" t="str">
        <f>IFERROR(RIGHT(I797,LEN(I797)-FIND("*",I797)),"-")</f>
        <v>-</v>
      </c>
      <c r="W798" s="27" t="str">
        <f t="shared" si="430"/>
        <v>-</v>
      </c>
      <c r="X798" s="27" t="str">
        <f>IFERROR(W798*J797,"-")</f>
        <v>-</v>
      </c>
      <c r="Z798" s="94" t="s">
        <v>82</v>
      </c>
    </row>
    <row r="799" spans="1:26" s="25" customFormat="1" ht="6.95" customHeight="1" x14ac:dyDescent="0.3">
      <c r="A799" s="10"/>
      <c r="B799" s="168"/>
      <c r="C799" s="169"/>
      <c r="D799" s="160"/>
      <c r="E799" s="161"/>
      <c r="F799" s="162"/>
      <c r="G799" s="163"/>
      <c r="H799" s="164"/>
      <c r="I799" s="163"/>
      <c r="J799" s="164"/>
      <c r="K799" s="163"/>
      <c r="L799" s="164"/>
      <c r="M799" s="11"/>
      <c r="N799" s="39"/>
      <c r="Q799" s="15" t="str">
        <f>+CONCATENATE(E797,K797)</f>
        <v/>
      </c>
      <c r="R799" s="15">
        <f>+L797</f>
        <v>0</v>
      </c>
      <c r="S799" s="16"/>
      <c r="T799" s="15">
        <f>+E797</f>
        <v>0</v>
      </c>
      <c r="U799" s="26" t="str">
        <f>IFERROR(LEFT(K797,FIND("*",K797)-1),"-")</f>
        <v>-</v>
      </c>
      <c r="V799" s="26" t="str">
        <f>IFERROR(RIGHT(K797,LEN(K797)-FIND("*",K797)),"-")</f>
        <v>-</v>
      </c>
      <c r="W799" s="27" t="str">
        <f t="shared" si="430"/>
        <v>-</v>
      </c>
      <c r="X799" s="27" t="str">
        <f>IFERROR(W799*L797,"-")</f>
        <v>-</v>
      </c>
      <c r="Z799" s="94" t="s">
        <v>82</v>
      </c>
    </row>
    <row r="800" spans="1:26" s="25" customFormat="1" ht="6.95" customHeight="1" x14ac:dyDescent="0.3">
      <c r="A800" s="13"/>
      <c r="B800" s="168"/>
      <c r="C800" s="169"/>
      <c r="D800" s="160" t="s">
        <v>39</v>
      </c>
      <c r="E800" s="161"/>
      <c r="F800" s="162" t="s">
        <v>40</v>
      </c>
      <c r="G800" s="163"/>
      <c r="H800" s="164"/>
      <c r="I800" s="163"/>
      <c r="J800" s="164"/>
      <c r="K800" s="163"/>
      <c r="L800" s="164"/>
      <c r="M800" s="11"/>
      <c r="N800" s="39"/>
      <c r="Q800" s="15" t="str">
        <f>+CONCATENATE(E800,G800)</f>
        <v/>
      </c>
      <c r="R800" s="15">
        <f>+H800</f>
        <v>0</v>
      </c>
      <c r="S800" s="16"/>
      <c r="T800" s="15">
        <f>+E800</f>
        <v>0</v>
      </c>
      <c r="U800" s="26" t="str">
        <f t="shared" ref="U800" si="433">IFERROR(LEFT(G800,FIND("*",G800)-1),"-")</f>
        <v>-</v>
      </c>
      <c r="V800" s="26" t="str">
        <f t="shared" ref="V800" si="434">IFERROR(RIGHT(G800,LEN(G800)-FIND("*",G800)),"-")</f>
        <v>-</v>
      </c>
      <c r="W800" s="27" t="str">
        <f t="shared" si="430"/>
        <v>-</v>
      </c>
      <c r="X800" s="27" t="str">
        <f>IFERROR(W800*H800,"-")</f>
        <v>-</v>
      </c>
      <c r="Z800" s="94" t="s">
        <v>82</v>
      </c>
    </row>
    <row r="801" spans="1:26" s="25" customFormat="1" ht="6.95" customHeight="1" x14ac:dyDescent="0.3">
      <c r="A801" s="10"/>
      <c r="B801" s="168"/>
      <c r="C801" s="169"/>
      <c r="D801" s="160"/>
      <c r="E801" s="161"/>
      <c r="F801" s="162"/>
      <c r="G801" s="163"/>
      <c r="H801" s="164"/>
      <c r="I801" s="163"/>
      <c r="J801" s="164"/>
      <c r="K801" s="163"/>
      <c r="L801" s="164"/>
      <c r="M801" s="11"/>
      <c r="N801" s="39"/>
      <c r="Q801" s="15" t="str">
        <f>+CONCATENATE(E800,I800)</f>
        <v/>
      </c>
      <c r="R801" s="15">
        <f>+J800</f>
        <v>0</v>
      </c>
      <c r="S801" s="16"/>
      <c r="T801" s="15">
        <f>+E800</f>
        <v>0</v>
      </c>
      <c r="U801" s="26" t="str">
        <f>IFERROR(LEFT(I800,FIND("*",I800)-1),"-")</f>
        <v>-</v>
      </c>
      <c r="V801" s="26" t="str">
        <f>IFERROR(RIGHT(I800,LEN(I800)-FIND("*",I800)),"-")</f>
        <v>-</v>
      </c>
      <c r="W801" s="27" t="str">
        <f t="shared" si="430"/>
        <v>-</v>
      </c>
      <c r="X801" s="27" t="str">
        <f t="shared" ref="X801" si="435">IFERROR(W801*J800,"-")</f>
        <v>-</v>
      </c>
      <c r="Z801" s="94" t="s">
        <v>82</v>
      </c>
    </row>
    <row r="802" spans="1:26" s="25" customFormat="1" ht="6.95" customHeight="1" x14ac:dyDescent="0.3">
      <c r="A802" s="10"/>
      <c r="B802" s="168"/>
      <c r="C802" s="169"/>
      <c r="D802" s="160"/>
      <c r="E802" s="161"/>
      <c r="F802" s="162"/>
      <c r="G802" s="163"/>
      <c r="H802" s="164"/>
      <c r="I802" s="163"/>
      <c r="J802" s="164"/>
      <c r="K802" s="163"/>
      <c r="L802" s="164"/>
      <c r="M802" s="11"/>
      <c r="N802" s="39"/>
      <c r="Q802" s="15" t="str">
        <f>+CONCATENATE(E800,K800)</f>
        <v/>
      </c>
      <c r="R802" s="15">
        <f>+L800</f>
        <v>0</v>
      </c>
      <c r="S802" s="16"/>
      <c r="T802" s="15">
        <f>+E800</f>
        <v>0</v>
      </c>
      <c r="U802" s="26" t="str">
        <f>IFERROR(LEFT(K800,FIND("*",K800)-1),"-")</f>
        <v>-</v>
      </c>
      <c r="V802" s="26" t="str">
        <f>IFERROR(RIGHT(K800,LEN(K800)-FIND("*",K800)),"-")</f>
        <v>-</v>
      </c>
      <c r="W802" s="27" t="str">
        <f t="shared" si="430"/>
        <v>-</v>
      </c>
      <c r="X802" s="27" t="str">
        <f>IFERROR(W802*L800,"-")</f>
        <v>-</v>
      </c>
      <c r="Z802" s="94" t="s">
        <v>82</v>
      </c>
    </row>
    <row r="803" spans="1:26" s="25" customFormat="1" ht="21" customHeight="1" thickBot="1" x14ac:dyDescent="0.35">
      <c r="A803" s="10"/>
      <c r="B803" s="170"/>
      <c r="C803" s="171"/>
      <c r="D803" s="172" t="s">
        <v>43</v>
      </c>
      <c r="E803" s="173"/>
      <c r="F803" s="173"/>
      <c r="G803" s="174"/>
      <c r="H803" s="174"/>
      <c r="I803" s="174"/>
      <c r="J803" s="174"/>
      <c r="K803" s="174"/>
      <c r="L803" s="174"/>
      <c r="M803" s="12"/>
      <c r="N803" s="39"/>
      <c r="U803" s="23"/>
      <c r="V803" s="23"/>
      <c r="Z803" s="95" t="s">
        <v>81</v>
      </c>
    </row>
    <row r="804" spans="1:26" s="25" customFormat="1" ht="9.9499999999999993" customHeight="1" thickBot="1" x14ac:dyDescent="0.35">
      <c r="A804" s="6"/>
      <c r="B804" s="14"/>
      <c r="C804" s="119"/>
      <c r="D804" s="58"/>
      <c r="E804" s="17"/>
      <c r="F804" s="58"/>
      <c r="G804" s="19"/>
      <c r="H804" s="19"/>
      <c r="I804" s="19"/>
      <c r="J804" s="19"/>
      <c r="K804" s="19"/>
      <c r="L804" s="19"/>
      <c r="M804" s="14"/>
      <c r="N804" s="39"/>
      <c r="Q804" s="1"/>
      <c r="R804" s="1"/>
      <c r="S804" s="1"/>
      <c r="T804" s="1"/>
      <c r="U804" s="24"/>
      <c r="V804" s="24"/>
      <c r="W804" s="1"/>
      <c r="X804" s="1"/>
      <c r="Z804" s="94" t="s">
        <v>82</v>
      </c>
    </row>
    <row r="805" spans="1:26" s="25" customFormat="1" ht="6.95" customHeight="1" x14ac:dyDescent="0.3">
      <c r="A805" s="165">
        <f>+A794+1</f>
        <v>74</v>
      </c>
      <c r="B805" s="166"/>
      <c r="C805" s="167"/>
      <c r="D805" s="160" t="s">
        <v>39</v>
      </c>
      <c r="E805" s="161"/>
      <c r="F805" s="162" t="s">
        <v>40</v>
      </c>
      <c r="G805" s="163"/>
      <c r="H805" s="164"/>
      <c r="I805" s="163"/>
      <c r="J805" s="164"/>
      <c r="K805" s="163"/>
      <c r="L805" s="164"/>
      <c r="M805" s="11"/>
      <c r="N805" s="39"/>
      <c r="Q805" s="15" t="str">
        <f>+CONCATENATE(E805,G805)</f>
        <v/>
      </c>
      <c r="R805" s="15">
        <f>+H805</f>
        <v>0</v>
      </c>
      <c r="S805" s="16"/>
      <c r="T805" s="15">
        <f>+E805</f>
        <v>0</v>
      </c>
      <c r="U805" s="26" t="str">
        <f>IFERROR(LEFT(G805,FIND("*",G805)-1),"-")</f>
        <v>-</v>
      </c>
      <c r="V805" s="26" t="str">
        <f>IFERROR(RIGHT(G805,LEN(G805)-FIND("*",G805)),"-")</f>
        <v>-</v>
      </c>
      <c r="W805" s="27" t="str">
        <f>IFERROR((U805+V805)*2/1000,"-")</f>
        <v>-</v>
      </c>
      <c r="X805" s="27" t="str">
        <f>IFERROR(W805*H805,"-")</f>
        <v>-</v>
      </c>
      <c r="Z805" s="94" t="s">
        <v>82</v>
      </c>
    </row>
    <row r="806" spans="1:26" s="25" customFormat="1" ht="6.95" customHeight="1" x14ac:dyDescent="0.3">
      <c r="A806" s="165"/>
      <c r="B806" s="168"/>
      <c r="C806" s="169"/>
      <c r="D806" s="160"/>
      <c r="E806" s="161"/>
      <c r="F806" s="162"/>
      <c r="G806" s="163"/>
      <c r="H806" s="164"/>
      <c r="I806" s="163"/>
      <c r="J806" s="164"/>
      <c r="K806" s="163"/>
      <c r="L806" s="164"/>
      <c r="M806" s="11"/>
      <c r="N806" s="39"/>
      <c r="Q806" s="15" t="str">
        <f>+CONCATENATE(E805,I805)</f>
        <v/>
      </c>
      <c r="R806" s="15">
        <f>+J805</f>
        <v>0</v>
      </c>
      <c r="S806" s="16"/>
      <c r="T806" s="15">
        <f>+E805</f>
        <v>0</v>
      </c>
      <c r="U806" s="26" t="str">
        <f>IFERROR(LEFT(I805,FIND("*",I805)-1),"-")</f>
        <v>-</v>
      </c>
      <c r="V806" s="26" t="str">
        <f>IFERROR(RIGHT(I805,LEN(I805)-FIND("*",I805)),"-")</f>
        <v>-</v>
      </c>
      <c r="W806" s="27" t="str">
        <f t="shared" ref="W806:W813" si="436">IFERROR((U806+V806)*2/1000,"-")</f>
        <v>-</v>
      </c>
      <c r="X806" s="27" t="str">
        <f>IFERROR(W806*J805,"-")</f>
        <v>-</v>
      </c>
      <c r="Z806" s="94" t="s">
        <v>82</v>
      </c>
    </row>
    <row r="807" spans="1:26" s="25" customFormat="1" ht="6.95" customHeight="1" x14ac:dyDescent="0.3">
      <c r="A807" s="165"/>
      <c r="B807" s="168"/>
      <c r="C807" s="169"/>
      <c r="D807" s="160"/>
      <c r="E807" s="161"/>
      <c r="F807" s="162"/>
      <c r="G807" s="163"/>
      <c r="H807" s="164"/>
      <c r="I807" s="163"/>
      <c r="J807" s="164"/>
      <c r="K807" s="163"/>
      <c r="L807" s="164"/>
      <c r="M807" s="11"/>
      <c r="N807" s="39"/>
      <c r="Q807" s="15" t="str">
        <f>+CONCATENATE(E805,K805)</f>
        <v/>
      </c>
      <c r="R807" s="15">
        <f>+L805</f>
        <v>0</v>
      </c>
      <c r="S807" s="16"/>
      <c r="T807" s="15">
        <f>+E805</f>
        <v>0</v>
      </c>
      <c r="U807" s="26" t="str">
        <f>IFERROR(LEFT(K805,FIND("*",K805)-1),"-")</f>
        <v>-</v>
      </c>
      <c r="V807" s="26" t="str">
        <f>IFERROR(RIGHT(K805,LEN(K805)-FIND("*",K805)),"-")</f>
        <v>-</v>
      </c>
      <c r="W807" s="27" t="str">
        <f t="shared" si="436"/>
        <v>-</v>
      </c>
      <c r="X807" s="27" t="str">
        <f>IFERROR(W807*L805,"-")</f>
        <v>-</v>
      </c>
      <c r="Z807" s="94" t="s">
        <v>82</v>
      </c>
    </row>
    <row r="808" spans="1:26" s="25" customFormat="1" ht="6.95" customHeight="1" x14ac:dyDescent="0.3">
      <c r="A808" s="13"/>
      <c r="B808" s="168"/>
      <c r="C808" s="169"/>
      <c r="D808" s="160" t="s">
        <v>39</v>
      </c>
      <c r="E808" s="161"/>
      <c r="F808" s="162" t="s">
        <v>40</v>
      </c>
      <c r="G808" s="163"/>
      <c r="H808" s="164"/>
      <c r="I808" s="163"/>
      <c r="J808" s="164"/>
      <c r="K808" s="163"/>
      <c r="L808" s="164"/>
      <c r="M808" s="11"/>
      <c r="N808" s="39"/>
      <c r="Q808" s="15" t="str">
        <f>+CONCATENATE(E808,G808)</f>
        <v/>
      </c>
      <c r="R808" s="15">
        <f>+H808</f>
        <v>0</v>
      </c>
      <c r="S808" s="16"/>
      <c r="T808" s="15">
        <f>+E808</f>
        <v>0</v>
      </c>
      <c r="U808" s="26" t="str">
        <f t="shared" ref="U808" si="437">IFERROR(LEFT(G808,FIND("*",G808)-1),"-")</f>
        <v>-</v>
      </c>
      <c r="V808" s="26" t="str">
        <f t="shared" ref="V808" si="438">IFERROR(RIGHT(G808,LEN(G808)-FIND("*",G808)),"-")</f>
        <v>-</v>
      </c>
      <c r="W808" s="27" t="str">
        <f t="shared" si="436"/>
        <v>-</v>
      </c>
      <c r="X808" s="27" t="str">
        <f>IFERROR(W808*H808,"-")</f>
        <v>-</v>
      </c>
      <c r="Z808" s="94" t="s">
        <v>82</v>
      </c>
    </row>
    <row r="809" spans="1:26" s="25" customFormat="1" ht="6.95" customHeight="1" x14ac:dyDescent="0.3">
      <c r="A809" s="10"/>
      <c r="B809" s="168"/>
      <c r="C809" s="169"/>
      <c r="D809" s="160"/>
      <c r="E809" s="161"/>
      <c r="F809" s="162"/>
      <c r="G809" s="163"/>
      <c r="H809" s="164"/>
      <c r="I809" s="163"/>
      <c r="J809" s="164"/>
      <c r="K809" s="163"/>
      <c r="L809" s="164"/>
      <c r="M809" s="11"/>
      <c r="N809" s="39"/>
      <c r="Q809" s="15" t="str">
        <f>+CONCATENATE(E808,I808)</f>
        <v/>
      </c>
      <c r="R809" s="15">
        <f>+J808</f>
        <v>0</v>
      </c>
      <c r="S809" s="16"/>
      <c r="T809" s="15">
        <f>+E808</f>
        <v>0</v>
      </c>
      <c r="U809" s="26" t="str">
        <f>IFERROR(LEFT(I808,FIND("*",I808)-1),"-")</f>
        <v>-</v>
      </c>
      <c r="V809" s="26" t="str">
        <f>IFERROR(RIGHT(I808,LEN(I808)-FIND("*",I808)),"-")</f>
        <v>-</v>
      </c>
      <c r="W809" s="27" t="str">
        <f t="shared" si="436"/>
        <v>-</v>
      </c>
      <c r="X809" s="27" t="str">
        <f>IFERROR(W809*J808,"-")</f>
        <v>-</v>
      </c>
      <c r="Z809" s="94" t="s">
        <v>82</v>
      </c>
    </row>
    <row r="810" spans="1:26" s="25" customFormat="1" ht="6.95" customHeight="1" x14ac:dyDescent="0.3">
      <c r="A810" s="10"/>
      <c r="B810" s="168"/>
      <c r="C810" s="169"/>
      <c r="D810" s="160"/>
      <c r="E810" s="161"/>
      <c r="F810" s="162"/>
      <c r="G810" s="163"/>
      <c r="H810" s="164"/>
      <c r="I810" s="163"/>
      <c r="J810" s="164"/>
      <c r="K810" s="163"/>
      <c r="L810" s="164"/>
      <c r="M810" s="11"/>
      <c r="N810" s="39"/>
      <c r="Q810" s="15" t="str">
        <f>+CONCATENATE(E808,K808)</f>
        <v/>
      </c>
      <c r="R810" s="15">
        <f>+L808</f>
        <v>0</v>
      </c>
      <c r="S810" s="16"/>
      <c r="T810" s="15">
        <f>+E808</f>
        <v>0</v>
      </c>
      <c r="U810" s="26" t="str">
        <f>IFERROR(LEFT(K808,FIND("*",K808)-1),"-")</f>
        <v>-</v>
      </c>
      <c r="V810" s="26" t="str">
        <f>IFERROR(RIGHT(K808,LEN(K808)-FIND("*",K808)),"-")</f>
        <v>-</v>
      </c>
      <c r="W810" s="27" t="str">
        <f t="shared" si="436"/>
        <v>-</v>
      </c>
      <c r="X810" s="27" t="str">
        <f>IFERROR(W810*L808,"-")</f>
        <v>-</v>
      </c>
      <c r="Z810" s="94" t="s">
        <v>82</v>
      </c>
    </row>
    <row r="811" spans="1:26" s="25" customFormat="1" ht="6.95" customHeight="1" x14ac:dyDescent="0.3">
      <c r="A811" s="13"/>
      <c r="B811" s="168"/>
      <c r="C811" s="169"/>
      <c r="D811" s="160" t="s">
        <v>39</v>
      </c>
      <c r="E811" s="161"/>
      <c r="F811" s="162" t="s">
        <v>40</v>
      </c>
      <c r="G811" s="163"/>
      <c r="H811" s="164"/>
      <c r="I811" s="163"/>
      <c r="J811" s="164"/>
      <c r="K811" s="163"/>
      <c r="L811" s="164"/>
      <c r="M811" s="11"/>
      <c r="N811" s="39"/>
      <c r="Q811" s="15" t="str">
        <f>+CONCATENATE(E811,G811)</f>
        <v/>
      </c>
      <c r="R811" s="15">
        <f>+H811</f>
        <v>0</v>
      </c>
      <c r="S811" s="16"/>
      <c r="T811" s="15">
        <f>+E811</f>
        <v>0</v>
      </c>
      <c r="U811" s="26" t="str">
        <f t="shared" ref="U811" si="439">IFERROR(LEFT(G811,FIND("*",G811)-1),"-")</f>
        <v>-</v>
      </c>
      <c r="V811" s="26" t="str">
        <f t="shared" ref="V811" si="440">IFERROR(RIGHT(G811,LEN(G811)-FIND("*",G811)),"-")</f>
        <v>-</v>
      </c>
      <c r="W811" s="27" t="str">
        <f t="shared" si="436"/>
        <v>-</v>
      </c>
      <c r="X811" s="27" t="str">
        <f>IFERROR(W811*H811,"-")</f>
        <v>-</v>
      </c>
      <c r="Z811" s="94" t="s">
        <v>82</v>
      </c>
    </row>
    <row r="812" spans="1:26" s="25" customFormat="1" ht="6.95" customHeight="1" x14ac:dyDescent="0.3">
      <c r="A812" s="10"/>
      <c r="B812" s="168"/>
      <c r="C812" s="169"/>
      <c r="D812" s="160"/>
      <c r="E812" s="161"/>
      <c r="F812" s="162"/>
      <c r="G812" s="163"/>
      <c r="H812" s="164"/>
      <c r="I812" s="163"/>
      <c r="J812" s="164"/>
      <c r="K812" s="163"/>
      <c r="L812" s="164"/>
      <c r="M812" s="11"/>
      <c r="N812" s="39"/>
      <c r="Q812" s="15" t="str">
        <f>+CONCATENATE(E811,I811)</f>
        <v/>
      </c>
      <c r="R812" s="15">
        <f>+J811</f>
        <v>0</v>
      </c>
      <c r="S812" s="16"/>
      <c r="T812" s="15">
        <f>+E811</f>
        <v>0</v>
      </c>
      <c r="U812" s="26" t="str">
        <f>IFERROR(LEFT(I811,FIND("*",I811)-1),"-")</f>
        <v>-</v>
      </c>
      <c r="V812" s="26" t="str">
        <f>IFERROR(RIGHT(I811,LEN(I811)-FIND("*",I811)),"-")</f>
        <v>-</v>
      </c>
      <c r="W812" s="27" t="str">
        <f t="shared" si="436"/>
        <v>-</v>
      </c>
      <c r="X812" s="27" t="str">
        <f t="shared" ref="X812" si="441">IFERROR(W812*J811,"-")</f>
        <v>-</v>
      </c>
      <c r="Z812" s="94" t="s">
        <v>82</v>
      </c>
    </row>
    <row r="813" spans="1:26" s="25" customFormat="1" ht="6.95" customHeight="1" x14ac:dyDescent="0.3">
      <c r="A813" s="10"/>
      <c r="B813" s="168"/>
      <c r="C813" s="169"/>
      <c r="D813" s="160"/>
      <c r="E813" s="161"/>
      <c r="F813" s="162"/>
      <c r="G813" s="163"/>
      <c r="H813" s="164"/>
      <c r="I813" s="163"/>
      <c r="J813" s="164"/>
      <c r="K813" s="163"/>
      <c r="L813" s="164"/>
      <c r="M813" s="11"/>
      <c r="N813" s="39"/>
      <c r="Q813" s="15" t="str">
        <f>+CONCATENATE(E811,K811)</f>
        <v/>
      </c>
      <c r="R813" s="15">
        <f>+L811</f>
        <v>0</v>
      </c>
      <c r="S813" s="16"/>
      <c r="T813" s="15">
        <f>+E811</f>
        <v>0</v>
      </c>
      <c r="U813" s="26" t="str">
        <f>IFERROR(LEFT(K811,FIND("*",K811)-1),"-")</f>
        <v>-</v>
      </c>
      <c r="V813" s="26" t="str">
        <f>IFERROR(RIGHT(K811,LEN(K811)-FIND("*",K811)),"-")</f>
        <v>-</v>
      </c>
      <c r="W813" s="27" t="str">
        <f t="shared" si="436"/>
        <v>-</v>
      </c>
      <c r="X813" s="27" t="str">
        <f>IFERROR(W813*L811,"-")</f>
        <v>-</v>
      </c>
      <c r="Z813" s="94" t="s">
        <v>82</v>
      </c>
    </row>
    <row r="814" spans="1:26" s="25" customFormat="1" ht="21" customHeight="1" thickBot="1" x14ac:dyDescent="0.35">
      <c r="A814" s="10"/>
      <c r="B814" s="170"/>
      <c r="C814" s="171"/>
      <c r="D814" s="172" t="s">
        <v>43</v>
      </c>
      <c r="E814" s="173"/>
      <c r="F814" s="173"/>
      <c r="G814" s="174"/>
      <c r="H814" s="174"/>
      <c r="I814" s="174"/>
      <c r="J814" s="174"/>
      <c r="K814" s="174"/>
      <c r="L814" s="174"/>
      <c r="M814" s="12"/>
      <c r="N814" s="39"/>
      <c r="U814" s="23"/>
      <c r="V814" s="23"/>
      <c r="Z814" s="95" t="s">
        <v>81</v>
      </c>
    </row>
    <row r="815" spans="1:26" s="25" customFormat="1" ht="9.9499999999999993" customHeight="1" thickBot="1" x14ac:dyDescent="0.35">
      <c r="A815" s="6"/>
      <c r="B815" s="14"/>
      <c r="C815" s="119"/>
      <c r="D815" s="58"/>
      <c r="E815" s="17"/>
      <c r="F815" s="58"/>
      <c r="G815" s="19"/>
      <c r="H815" s="19"/>
      <c r="I815" s="19"/>
      <c r="J815" s="19"/>
      <c r="K815" s="19"/>
      <c r="L815" s="19"/>
      <c r="M815" s="14"/>
      <c r="N815" s="39"/>
      <c r="Q815" s="1"/>
      <c r="R815" s="1"/>
      <c r="S815" s="1"/>
      <c r="T815" s="1"/>
      <c r="U815" s="24"/>
      <c r="V815" s="24"/>
      <c r="W815" s="1"/>
      <c r="X815" s="1"/>
      <c r="Z815" s="94" t="s">
        <v>82</v>
      </c>
    </row>
    <row r="816" spans="1:26" s="25" customFormat="1" ht="6.95" customHeight="1" x14ac:dyDescent="0.3">
      <c r="A816" s="165">
        <f>+A805+1</f>
        <v>75</v>
      </c>
      <c r="B816" s="166"/>
      <c r="C816" s="167"/>
      <c r="D816" s="160" t="s">
        <v>39</v>
      </c>
      <c r="E816" s="161"/>
      <c r="F816" s="162" t="s">
        <v>40</v>
      </c>
      <c r="G816" s="163"/>
      <c r="H816" s="164"/>
      <c r="I816" s="163"/>
      <c r="J816" s="164"/>
      <c r="K816" s="163"/>
      <c r="L816" s="164"/>
      <c r="M816" s="11"/>
      <c r="N816" s="39"/>
      <c r="Q816" s="15" t="str">
        <f>+CONCATENATE(E816,G816)</f>
        <v/>
      </c>
      <c r="R816" s="15">
        <f>+H816</f>
        <v>0</v>
      </c>
      <c r="S816" s="16"/>
      <c r="T816" s="15">
        <f>+E816</f>
        <v>0</v>
      </c>
      <c r="U816" s="26" t="str">
        <f>IFERROR(LEFT(G816,FIND("*",G816)-1),"-")</f>
        <v>-</v>
      </c>
      <c r="V816" s="26" t="str">
        <f>IFERROR(RIGHT(G816,LEN(G816)-FIND("*",G816)),"-")</f>
        <v>-</v>
      </c>
      <c r="W816" s="27" t="str">
        <f>IFERROR((U816+V816)*2/1000,"-")</f>
        <v>-</v>
      </c>
      <c r="X816" s="27" t="str">
        <f>IFERROR(W816*H816,"-")</f>
        <v>-</v>
      </c>
      <c r="Z816" s="94" t="s">
        <v>82</v>
      </c>
    </row>
    <row r="817" spans="1:26" s="25" customFormat="1" ht="6.95" customHeight="1" x14ac:dyDescent="0.3">
      <c r="A817" s="165"/>
      <c r="B817" s="168"/>
      <c r="C817" s="169"/>
      <c r="D817" s="160"/>
      <c r="E817" s="161"/>
      <c r="F817" s="162"/>
      <c r="G817" s="163"/>
      <c r="H817" s="164"/>
      <c r="I817" s="163"/>
      <c r="J817" s="164"/>
      <c r="K817" s="163"/>
      <c r="L817" s="164"/>
      <c r="M817" s="11"/>
      <c r="N817" s="39"/>
      <c r="Q817" s="15" t="str">
        <f>+CONCATENATE(E816,I816)</f>
        <v/>
      </c>
      <c r="R817" s="15">
        <f>+J816</f>
        <v>0</v>
      </c>
      <c r="S817" s="16"/>
      <c r="T817" s="15">
        <f>+E816</f>
        <v>0</v>
      </c>
      <c r="U817" s="26" t="str">
        <f>IFERROR(LEFT(I816,FIND("*",I816)-1),"-")</f>
        <v>-</v>
      </c>
      <c r="V817" s="26" t="str">
        <f>IFERROR(RIGHT(I816,LEN(I816)-FIND("*",I816)),"-")</f>
        <v>-</v>
      </c>
      <c r="W817" s="27" t="str">
        <f t="shared" ref="W817:W824" si="442">IFERROR((U817+V817)*2/1000,"-")</f>
        <v>-</v>
      </c>
      <c r="X817" s="27" t="str">
        <f>IFERROR(W817*J816,"-")</f>
        <v>-</v>
      </c>
      <c r="Z817" s="94" t="s">
        <v>82</v>
      </c>
    </row>
    <row r="818" spans="1:26" s="25" customFormat="1" ht="6.95" customHeight="1" x14ac:dyDescent="0.3">
      <c r="A818" s="165"/>
      <c r="B818" s="168"/>
      <c r="C818" s="169"/>
      <c r="D818" s="160"/>
      <c r="E818" s="161"/>
      <c r="F818" s="162"/>
      <c r="G818" s="163"/>
      <c r="H818" s="164"/>
      <c r="I818" s="163"/>
      <c r="J818" s="164"/>
      <c r="K818" s="163"/>
      <c r="L818" s="164"/>
      <c r="M818" s="11"/>
      <c r="N818" s="39"/>
      <c r="Q818" s="15" t="str">
        <f>+CONCATENATE(E816,K816)</f>
        <v/>
      </c>
      <c r="R818" s="15">
        <f>+L816</f>
        <v>0</v>
      </c>
      <c r="S818" s="16"/>
      <c r="T818" s="15">
        <f>+E816</f>
        <v>0</v>
      </c>
      <c r="U818" s="26" t="str">
        <f>IFERROR(LEFT(K816,FIND("*",K816)-1),"-")</f>
        <v>-</v>
      </c>
      <c r="V818" s="26" t="str">
        <f>IFERROR(RIGHT(K816,LEN(K816)-FIND("*",K816)),"-")</f>
        <v>-</v>
      </c>
      <c r="W818" s="27" t="str">
        <f t="shared" si="442"/>
        <v>-</v>
      </c>
      <c r="X818" s="27" t="str">
        <f>IFERROR(W818*L816,"-")</f>
        <v>-</v>
      </c>
      <c r="Z818" s="94" t="s">
        <v>82</v>
      </c>
    </row>
    <row r="819" spans="1:26" s="25" customFormat="1" ht="6.95" customHeight="1" x14ac:dyDescent="0.3">
      <c r="A819" s="13"/>
      <c r="B819" s="168"/>
      <c r="C819" s="169"/>
      <c r="D819" s="160" t="s">
        <v>39</v>
      </c>
      <c r="E819" s="161"/>
      <c r="F819" s="162" t="s">
        <v>40</v>
      </c>
      <c r="G819" s="163"/>
      <c r="H819" s="164"/>
      <c r="I819" s="163"/>
      <c r="J819" s="164"/>
      <c r="K819" s="163"/>
      <c r="L819" s="164"/>
      <c r="M819" s="11"/>
      <c r="N819" s="39"/>
      <c r="Q819" s="15" t="str">
        <f>+CONCATENATE(E819,G819)</f>
        <v/>
      </c>
      <c r="R819" s="15">
        <f>+H819</f>
        <v>0</v>
      </c>
      <c r="S819" s="16"/>
      <c r="T819" s="15">
        <f>+E819</f>
        <v>0</v>
      </c>
      <c r="U819" s="26" t="str">
        <f t="shared" ref="U819" si="443">IFERROR(LEFT(G819,FIND("*",G819)-1),"-")</f>
        <v>-</v>
      </c>
      <c r="V819" s="26" t="str">
        <f t="shared" ref="V819" si="444">IFERROR(RIGHT(G819,LEN(G819)-FIND("*",G819)),"-")</f>
        <v>-</v>
      </c>
      <c r="W819" s="27" t="str">
        <f t="shared" si="442"/>
        <v>-</v>
      </c>
      <c r="X819" s="27" t="str">
        <f>IFERROR(W819*H819,"-")</f>
        <v>-</v>
      </c>
      <c r="Z819" s="94" t="s">
        <v>82</v>
      </c>
    </row>
    <row r="820" spans="1:26" s="25" customFormat="1" ht="6.95" customHeight="1" x14ac:dyDescent="0.3">
      <c r="A820" s="10"/>
      <c r="B820" s="168"/>
      <c r="C820" s="169"/>
      <c r="D820" s="160"/>
      <c r="E820" s="161"/>
      <c r="F820" s="162"/>
      <c r="G820" s="163"/>
      <c r="H820" s="164"/>
      <c r="I820" s="163"/>
      <c r="J820" s="164"/>
      <c r="K820" s="163"/>
      <c r="L820" s="164"/>
      <c r="M820" s="11"/>
      <c r="N820" s="39"/>
      <c r="Q820" s="15" t="str">
        <f>+CONCATENATE(E819,I819)</f>
        <v/>
      </c>
      <c r="R820" s="15">
        <f>+J819</f>
        <v>0</v>
      </c>
      <c r="S820" s="16"/>
      <c r="T820" s="15">
        <f>+E819</f>
        <v>0</v>
      </c>
      <c r="U820" s="26" t="str">
        <f>IFERROR(LEFT(I819,FIND("*",I819)-1),"-")</f>
        <v>-</v>
      </c>
      <c r="V820" s="26" t="str">
        <f>IFERROR(RIGHT(I819,LEN(I819)-FIND("*",I819)),"-")</f>
        <v>-</v>
      </c>
      <c r="W820" s="27" t="str">
        <f t="shared" si="442"/>
        <v>-</v>
      </c>
      <c r="X820" s="27" t="str">
        <f>IFERROR(W820*J819,"-")</f>
        <v>-</v>
      </c>
      <c r="Z820" s="94" t="s">
        <v>82</v>
      </c>
    </row>
    <row r="821" spans="1:26" s="25" customFormat="1" ht="6.95" customHeight="1" x14ac:dyDescent="0.3">
      <c r="A821" s="10"/>
      <c r="B821" s="168"/>
      <c r="C821" s="169"/>
      <c r="D821" s="160"/>
      <c r="E821" s="161"/>
      <c r="F821" s="162"/>
      <c r="G821" s="163"/>
      <c r="H821" s="164"/>
      <c r="I821" s="163"/>
      <c r="J821" s="164"/>
      <c r="K821" s="163"/>
      <c r="L821" s="164"/>
      <c r="M821" s="11"/>
      <c r="N821" s="39"/>
      <c r="Q821" s="15" t="str">
        <f>+CONCATENATE(E819,K819)</f>
        <v/>
      </c>
      <c r="R821" s="15">
        <f>+L819</f>
        <v>0</v>
      </c>
      <c r="S821" s="16"/>
      <c r="T821" s="15">
        <f>+E819</f>
        <v>0</v>
      </c>
      <c r="U821" s="26" t="str">
        <f>IFERROR(LEFT(K819,FIND("*",K819)-1),"-")</f>
        <v>-</v>
      </c>
      <c r="V821" s="26" t="str">
        <f>IFERROR(RIGHT(K819,LEN(K819)-FIND("*",K819)),"-")</f>
        <v>-</v>
      </c>
      <c r="W821" s="27" t="str">
        <f t="shared" si="442"/>
        <v>-</v>
      </c>
      <c r="X821" s="27" t="str">
        <f>IFERROR(W821*L819,"-")</f>
        <v>-</v>
      </c>
      <c r="Z821" s="94" t="s">
        <v>82</v>
      </c>
    </row>
    <row r="822" spans="1:26" s="25" customFormat="1" ht="6.95" customHeight="1" x14ac:dyDescent="0.3">
      <c r="A822" s="13"/>
      <c r="B822" s="168"/>
      <c r="C822" s="169"/>
      <c r="D822" s="160" t="s">
        <v>39</v>
      </c>
      <c r="E822" s="161"/>
      <c r="F822" s="162" t="s">
        <v>40</v>
      </c>
      <c r="G822" s="163"/>
      <c r="H822" s="164"/>
      <c r="I822" s="163"/>
      <c r="J822" s="164"/>
      <c r="K822" s="163"/>
      <c r="L822" s="164"/>
      <c r="M822" s="11"/>
      <c r="N822" s="39"/>
      <c r="Q822" s="15" t="str">
        <f>+CONCATENATE(E822,G822)</f>
        <v/>
      </c>
      <c r="R822" s="15">
        <f>+H822</f>
        <v>0</v>
      </c>
      <c r="S822" s="16"/>
      <c r="T822" s="15">
        <f>+E822</f>
        <v>0</v>
      </c>
      <c r="U822" s="26" t="str">
        <f t="shared" ref="U822" si="445">IFERROR(LEFT(G822,FIND("*",G822)-1),"-")</f>
        <v>-</v>
      </c>
      <c r="V822" s="26" t="str">
        <f t="shared" ref="V822" si="446">IFERROR(RIGHT(G822,LEN(G822)-FIND("*",G822)),"-")</f>
        <v>-</v>
      </c>
      <c r="W822" s="27" t="str">
        <f t="shared" si="442"/>
        <v>-</v>
      </c>
      <c r="X822" s="27" t="str">
        <f>IFERROR(W822*H822,"-")</f>
        <v>-</v>
      </c>
      <c r="Z822" s="94" t="s">
        <v>82</v>
      </c>
    </row>
    <row r="823" spans="1:26" s="25" customFormat="1" ht="6.95" customHeight="1" x14ac:dyDescent="0.3">
      <c r="A823" s="10"/>
      <c r="B823" s="168"/>
      <c r="C823" s="169"/>
      <c r="D823" s="160"/>
      <c r="E823" s="161"/>
      <c r="F823" s="162"/>
      <c r="G823" s="163"/>
      <c r="H823" s="164"/>
      <c r="I823" s="163"/>
      <c r="J823" s="164"/>
      <c r="K823" s="163"/>
      <c r="L823" s="164"/>
      <c r="M823" s="11"/>
      <c r="N823" s="39"/>
      <c r="Q823" s="15" t="str">
        <f>+CONCATENATE(E822,I822)</f>
        <v/>
      </c>
      <c r="R823" s="15">
        <f>+J822</f>
        <v>0</v>
      </c>
      <c r="S823" s="16"/>
      <c r="T823" s="15">
        <f>+E822</f>
        <v>0</v>
      </c>
      <c r="U823" s="26" t="str">
        <f>IFERROR(LEFT(I822,FIND("*",I822)-1),"-")</f>
        <v>-</v>
      </c>
      <c r="V823" s="26" t="str">
        <f>IFERROR(RIGHT(I822,LEN(I822)-FIND("*",I822)),"-")</f>
        <v>-</v>
      </c>
      <c r="W823" s="27" t="str">
        <f t="shared" si="442"/>
        <v>-</v>
      </c>
      <c r="X823" s="27" t="str">
        <f t="shared" ref="X823" si="447">IFERROR(W823*J822,"-")</f>
        <v>-</v>
      </c>
      <c r="Z823" s="94" t="s">
        <v>82</v>
      </c>
    </row>
    <row r="824" spans="1:26" s="25" customFormat="1" ht="6.95" customHeight="1" x14ac:dyDescent="0.3">
      <c r="A824" s="10"/>
      <c r="B824" s="168"/>
      <c r="C824" s="169"/>
      <c r="D824" s="160"/>
      <c r="E824" s="161"/>
      <c r="F824" s="162"/>
      <c r="G824" s="163"/>
      <c r="H824" s="164"/>
      <c r="I824" s="163"/>
      <c r="J824" s="164"/>
      <c r="K824" s="163"/>
      <c r="L824" s="164"/>
      <c r="M824" s="11"/>
      <c r="N824" s="39"/>
      <c r="Q824" s="15" t="str">
        <f>+CONCATENATE(E822,K822)</f>
        <v/>
      </c>
      <c r="R824" s="15">
        <f>+L822</f>
        <v>0</v>
      </c>
      <c r="S824" s="16"/>
      <c r="T824" s="15">
        <f>+E822</f>
        <v>0</v>
      </c>
      <c r="U824" s="26" t="str">
        <f>IFERROR(LEFT(K822,FIND("*",K822)-1),"-")</f>
        <v>-</v>
      </c>
      <c r="V824" s="26" t="str">
        <f>IFERROR(RIGHT(K822,LEN(K822)-FIND("*",K822)),"-")</f>
        <v>-</v>
      </c>
      <c r="W824" s="27" t="str">
        <f t="shared" si="442"/>
        <v>-</v>
      </c>
      <c r="X824" s="27" t="str">
        <f>IFERROR(W824*L822,"-")</f>
        <v>-</v>
      </c>
      <c r="Z824" s="94" t="s">
        <v>82</v>
      </c>
    </row>
    <row r="825" spans="1:26" s="25" customFormat="1" ht="21" customHeight="1" thickBot="1" x14ac:dyDescent="0.35">
      <c r="A825" s="10"/>
      <c r="B825" s="170"/>
      <c r="C825" s="171"/>
      <c r="D825" s="172" t="s">
        <v>43</v>
      </c>
      <c r="E825" s="173"/>
      <c r="F825" s="173"/>
      <c r="G825" s="174"/>
      <c r="H825" s="174"/>
      <c r="I825" s="174"/>
      <c r="J825" s="174"/>
      <c r="K825" s="174"/>
      <c r="L825" s="174"/>
      <c r="M825" s="12"/>
      <c r="N825" s="39"/>
      <c r="U825" s="23"/>
      <c r="V825" s="23"/>
      <c r="Z825" s="95" t="s">
        <v>81</v>
      </c>
    </row>
    <row r="826" spans="1:26" s="25" customFormat="1" ht="9.9499999999999993" customHeight="1" thickBot="1" x14ac:dyDescent="0.35">
      <c r="A826" s="6"/>
      <c r="B826" s="14"/>
      <c r="C826" s="119"/>
      <c r="D826" s="58"/>
      <c r="E826" s="17"/>
      <c r="F826" s="58"/>
      <c r="G826" s="19"/>
      <c r="H826" s="19"/>
      <c r="I826" s="19"/>
      <c r="J826" s="19"/>
      <c r="K826" s="19"/>
      <c r="L826" s="19"/>
      <c r="M826" s="14"/>
      <c r="N826" s="39"/>
      <c r="Q826" s="1"/>
      <c r="R826" s="1"/>
      <c r="S826" s="1"/>
      <c r="T826" s="1"/>
      <c r="U826" s="24"/>
      <c r="V826" s="24"/>
      <c r="W826" s="1"/>
      <c r="X826" s="1"/>
      <c r="Z826" s="94" t="s">
        <v>82</v>
      </c>
    </row>
    <row r="827" spans="1:26" s="25" customFormat="1" ht="6.95" customHeight="1" x14ac:dyDescent="0.3">
      <c r="A827" s="165">
        <f>+A816+1</f>
        <v>76</v>
      </c>
      <c r="B827" s="166"/>
      <c r="C827" s="167"/>
      <c r="D827" s="160" t="s">
        <v>39</v>
      </c>
      <c r="E827" s="161"/>
      <c r="F827" s="162" t="s">
        <v>40</v>
      </c>
      <c r="G827" s="163"/>
      <c r="H827" s="164"/>
      <c r="I827" s="163"/>
      <c r="J827" s="164"/>
      <c r="K827" s="163"/>
      <c r="L827" s="164"/>
      <c r="M827" s="11"/>
      <c r="N827" s="39"/>
      <c r="Q827" s="15" t="str">
        <f>+CONCATENATE(E827,G827)</f>
        <v/>
      </c>
      <c r="R827" s="15">
        <f>+H827</f>
        <v>0</v>
      </c>
      <c r="S827" s="16"/>
      <c r="T827" s="15">
        <f>+E827</f>
        <v>0</v>
      </c>
      <c r="U827" s="26" t="str">
        <f>IFERROR(LEFT(G827,FIND("*",G827)-1),"-")</f>
        <v>-</v>
      </c>
      <c r="V827" s="26" t="str">
        <f>IFERROR(RIGHT(G827,LEN(G827)-FIND("*",G827)),"-")</f>
        <v>-</v>
      </c>
      <c r="W827" s="27" t="str">
        <f>IFERROR((U827+V827)*2/1000,"-")</f>
        <v>-</v>
      </c>
      <c r="X827" s="27" t="str">
        <f>IFERROR(W827*H827,"-")</f>
        <v>-</v>
      </c>
      <c r="Z827" s="94" t="s">
        <v>82</v>
      </c>
    </row>
    <row r="828" spans="1:26" s="25" customFormat="1" ht="6.95" customHeight="1" x14ac:dyDescent="0.3">
      <c r="A828" s="165"/>
      <c r="B828" s="168"/>
      <c r="C828" s="169"/>
      <c r="D828" s="160"/>
      <c r="E828" s="161"/>
      <c r="F828" s="162"/>
      <c r="G828" s="163"/>
      <c r="H828" s="164"/>
      <c r="I828" s="163"/>
      <c r="J828" s="164"/>
      <c r="K828" s="163"/>
      <c r="L828" s="164"/>
      <c r="M828" s="11"/>
      <c r="N828" s="39"/>
      <c r="Q828" s="15" t="str">
        <f>+CONCATENATE(E827,I827)</f>
        <v/>
      </c>
      <c r="R828" s="15">
        <f>+J827</f>
        <v>0</v>
      </c>
      <c r="S828" s="16"/>
      <c r="T828" s="15">
        <f>+E827</f>
        <v>0</v>
      </c>
      <c r="U828" s="26" t="str">
        <f>IFERROR(LEFT(I827,FIND("*",I827)-1),"-")</f>
        <v>-</v>
      </c>
      <c r="V828" s="26" t="str">
        <f>IFERROR(RIGHT(I827,LEN(I827)-FIND("*",I827)),"-")</f>
        <v>-</v>
      </c>
      <c r="W828" s="27" t="str">
        <f t="shared" ref="W828:W835" si="448">IFERROR((U828+V828)*2/1000,"-")</f>
        <v>-</v>
      </c>
      <c r="X828" s="27" t="str">
        <f>IFERROR(W828*J827,"-")</f>
        <v>-</v>
      </c>
      <c r="Z828" s="94" t="s">
        <v>82</v>
      </c>
    </row>
    <row r="829" spans="1:26" s="25" customFormat="1" ht="6.95" customHeight="1" x14ac:dyDescent="0.3">
      <c r="A829" s="165"/>
      <c r="B829" s="168"/>
      <c r="C829" s="169"/>
      <c r="D829" s="160"/>
      <c r="E829" s="161"/>
      <c r="F829" s="162"/>
      <c r="G829" s="163"/>
      <c r="H829" s="164"/>
      <c r="I829" s="163"/>
      <c r="J829" s="164"/>
      <c r="K829" s="163"/>
      <c r="L829" s="164"/>
      <c r="M829" s="11"/>
      <c r="N829" s="39"/>
      <c r="Q829" s="15" t="str">
        <f>+CONCATENATE(E827,K827)</f>
        <v/>
      </c>
      <c r="R829" s="15">
        <f>+L827</f>
        <v>0</v>
      </c>
      <c r="S829" s="16"/>
      <c r="T829" s="15">
        <f>+E827</f>
        <v>0</v>
      </c>
      <c r="U829" s="26" t="str">
        <f>IFERROR(LEFT(K827,FIND("*",K827)-1),"-")</f>
        <v>-</v>
      </c>
      <c r="V829" s="26" t="str">
        <f>IFERROR(RIGHT(K827,LEN(K827)-FIND("*",K827)),"-")</f>
        <v>-</v>
      </c>
      <c r="W829" s="27" t="str">
        <f t="shared" si="448"/>
        <v>-</v>
      </c>
      <c r="X829" s="27" t="str">
        <f>IFERROR(W829*L827,"-")</f>
        <v>-</v>
      </c>
      <c r="Z829" s="94" t="s">
        <v>82</v>
      </c>
    </row>
    <row r="830" spans="1:26" s="25" customFormat="1" ht="6.95" customHeight="1" x14ac:dyDescent="0.3">
      <c r="A830" s="13"/>
      <c r="B830" s="168"/>
      <c r="C830" s="169"/>
      <c r="D830" s="160" t="s">
        <v>39</v>
      </c>
      <c r="E830" s="161"/>
      <c r="F830" s="162" t="s">
        <v>40</v>
      </c>
      <c r="G830" s="163"/>
      <c r="H830" s="164"/>
      <c r="I830" s="163"/>
      <c r="J830" s="164"/>
      <c r="K830" s="163"/>
      <c r="L830" s="164"/>
      <c r="M830" s="11"/>
      <c r="N830" s="39"/>
      <c r="Q830" s="15" t="str">
        <f>+CONCATENATE(E830,G830)</f>
        <v/>
      </c>
      <c r="R830" s="15">
        <f>+H830</f>
        <v>0</v>
      </c>
      <c r="S830" s="16"/>
      <c r="T830" s="15">
        <f>+E830</f>
        <v>0</v>
      </c>
      <c r="U830" s="26" t="str">
        <f t="shared" ref="U830" si="449">IFERROR(LEFT(G830,FIND("*",G830)-1),"-")</f>
        <v>-</v>
      </c>
      <c r="V830" s="26" t="str">
        <f t="shared" ref="V830" si="450">IFERROR(RIGHT(G830,LEN(G830)-FIND("*",G830)),"-")</f>
        <v>-</v>
      </c>
      <c r="W830" s="27" t="str">
        <f t="shared" si="448"/>
        <v>-</v>
      </c>
      <c r="X830" s="27" t="str">
        <f>IFERROR(W830*H830,"-")</f>
        <v>-</v>
      </c>
      <c r="Z830" s="94" t="s">
        <v>82</v>
      </c>
    </row>
    <row r="831" spans="1:26" s="25" customFormat="1" ht="6.95" customHeight="1" x14ac:dyDescent="0.3">
      <c r="A831" s="10"/>
      <c r="B831" s="168"/>
      <c r="C831" s="169"/>
      <c r="D831" s="160"/>
      <c r="E831" s="161"/>
      <c r="F831" s="162"/>
      <c r="G831" s="163"/>
      <c r="H831" s="164"/>
      <c r="I831" s="163"/>
      <c r="J831" s="164"/>
      <c r="K831" s="163"/>
      <c r="L831" s="164"/>
      <c r="M831" s="11"/>
      <c r="N831" s="39"/>
      <c r="Q831" s="15" t="str">
        <f>+CONCATENATE(E830,I830)</f>
        <v/>
      </c>
      <c r="R831" s="15">
        <f>+J830</f>
        <v>0</v>
      </c>
      <c r="S831" s="16"/>
      <c r="T831" s="15">
        <f>+E830</f>
        <v>0</v>
      </c>
      <c r="U831" s="26" t="str">
        <f>IFERROR(LEFT(I830,FIND("*",I830)-1),"-")</f>
        <v>-</v>
      </c>
      <c r="V831" s="26" t="str">
        <f>IFERROR(RIGHT(I830,LEN(I830)-FIND("*",I830)),"-")</f>
        <v>-</v>
      </c>
      <c r="W831" s="27" t="str">
        <f t="shared" si="448"/>
        <v>-</v>
      </c>
      <c r="X831" s="27" t="str">
        <f>IFERROR(W831*J830,"-")</f>
        <v>-</v>
      </c>
      <c r="Z831" s="94" t="s">
        <v>82</v>
      </c>
    </row>
    <row r="832" spans="1:26" s="25" customFormat="1" ht="6.95" customHeight="1" x14ac:dyDescent="0.3">
      <c r="A832" s="10"/>
      <c r="B832" s="168"/>
      <c r="C832" s="169"/>
      <c r="D832" s="160"/>
      <c r="E832" s="161"/>
      <c r="F832" s="162"/>
      <c r="G832" s="163"/>
      <c r="H832" s="164"/>
      <c r="I832" s="163"/>
      <c r="J832" s="164"/>
      <c r="K832" s="163"/>
      <c r="L832" s="164"/>
      <c r="M832" s="11"/>
      <c r="N832" s="39"/>
      <c r="Q832" s="15" t="str">
        <f>+CONCATENATE(E830,K830)</f>
        <v/>
      </c>
      <c r="R832" s="15">
        <f>+L830</f>
        <v>0</v>
      </c>
      <c r="S832" s="16"/>
      <c r="T832" s="15">
        <f>+E830</f>
        <v>0</v>
      </c>
      <c r="U832" s="26" t="str">
        <f>IFERROR(LEFT(K830,FIND("*",K830)-1),"-")</f>
        <v>-</v>
      </c>
      <c r="V832" s="26" t="str">
        <f>IFERROR(RIGHT(K830,LEN(K830)-FIND("*",K830)),"-")</f>
        <v>-</v>
      </c>
      <c r="W832" s="27" t="str">
        <f t="shared" si="448"/>
        <v>-</v>
      </c>
      <c r="X832" s="27" t="str">
        <f>IFERROR(W832*L830,"-")</f>
        <v>-</v>
      </c>
      <c r="Z832" s="94" t="s">
        <v>82</v>
      </c>
    </row>
    <row r="833" spans="1:26" s="25" customFormat="1" ht="6.95" customHeight="1" x14ac:dyDescent="0.3">
      <c r="A833" s="13"/>
      <c r="B833" s="168"/>
      <c r="C833" s="169"/>
      <c r="D833" s="160" t="s">
        <v>39</v>
      </c>
      <c r="E833" s="161"/>
      <c r="F833" s="162" t="s">
        <v>40</v>
      </c>
      <c r="G833" s="163"/>
      <c r="H833" s="164"/>
      <c r="I833" s="163"/>
      <c r="J833" s="164"/>
      <c r="K833" s="163"/>
      <c r="L833" s="164"/>
      <c r="M833" s="11"/>
      <c r="N833" s="39"/>
      <c r="Q833" s="15" t="str">
        <f>+CONCATENATE(E833,G833)</f>
        <v/>
      </c>
      <c r="R833" s="15">
        <f>+H833</f>
        <v>0</v>
      </c>
      <c r="S833" s="16"/>
      <c r="T833" s="15">
        <f>+E833</f>
        <v>0</v>
      </c>
      <c r="U833" s="26" t="str">
        <f t="shared" ref="U833" si="451">IFERROR(LEFT(G833,FIND("*",G833)-1),"-")</f>
        <v>-</v>
      </c>
      <c r="V833" s="26" t="str">
        <f t="shared" ref="V833" si="452">IFERROR(RIGHT(G833,LEN(G833)-FIND("*",G833)),"-")</f>
        <v>-</v>
      </c>
      <c r="W833" s="27" t="str">
        <f t="shared" si="448"/>
        <v>-</v>
      </c>
      <c r="X833" s="27" t="str">
        <f>IFERROR(W833*H833,"-")</f>
        <v>-</v>
      </c>
      <c r="Z833" s="94" t="s">
        <v>82</v>
      </c>
    </row>
    <row r="834" spans="1:26" s="25" customFormat="1" ht="6.95" customHeight="1" x14ac:dyDescent="0.3">
      <c r="A834" s="10"/>
      <c r="B834" s="168"/>
      <c r="C834" s="169"/>
      <c r="D834" s="160"/>
      <c r="E834" s="161"/>
      <c r="F834" s="162"/>
      <c r="G834" s="163"/>
      <c r="H834" s="164"/>
      <c r="I834" s="163"/>
      <c r="J834" s="164"/>
      <c r="K834" s="163"/>
      <c r="L834" s="164"/>
      <c r="M834" s="11"/>
      <c r="N834" s="39"/>
      <c r="Q834" s="15" t="str">
        <f>+CONCATENATE(E833,I833)</f>
        <v/>
      </c>
      <c r="R834" s="15">
        <f>+J833</f>
        <v>0</v>
      </c>
      <c r="S834" s="16"/>
      <c r="T834" s="15">
        <f>+E833</f>
        <v>0</v>
      </c>
      <c r="U834" s="26" t="str">
        <f>IFERROR(LEFT(I833,FIND("*",I833)-1),"-")</f>
        <v>-</v>
      </c>
      <c r="V834" s="26" t="str">
        <f>IFERROR(RIGHT(I833,LEN(I833)-FIND("*",I833)),"-")</f>
        <v>-</v>
      </c>
      <c r="W834" s="27" t="str">
        <f t="shared" si="448"/>
        <v>-</v>
      </c>
      <c r="X834" s="27" t="str">
        <f t="shared" ref="X834" si="453">IFERROR(W834*J833,"-")</f>
        <v>-</v>
      </c>
      <c r="Z834" s="94" t="s">
        <v>82</v>
      </c>
    </row>
    <row r="835" spans="1:26" s="25" customFormat="1" ht="6.95" customHeight="1" x14ac:dyDescent="0.3">
      <c r="A835" s="10"/>
      <c r="B835" s="168"/>
      <c r="C835" s="169"/>
      <c r="D835" s="160"/>
      <c r="E835" s="161"/>
      <c r="F835" s="162"/>
      <c r="G835" s="163"/>
      <c r="H835" s="164"/>
      <c r="I835" s="163"/>
      <c r="J835" s="164"/>
      <c r="K835" s="163"/>
      <c r="L835" s="164"/>
      <c r="M835" s="11"/>
      <c r="N835" s="39"/>
      <c r="Q835" s="15" t="str">
        <f>+CONCATENATE(E833,K833)</f>
        <v/>
      </c>
      <c r="R835" s="15">
        <f>+L833</f>
        <v>0</v>
      </c>
      <c r="S835" s="16"/>
      <c r="T835" s="15">
        <f>+E833</f>
        <v>0</v>
      </c>
      <c r="U835" s="26" t="str">
        <f>IFERROR(LEFT(K833,FIND("*",K833)-1),"-")</f>
        <v>-</v>
      </c>
      <c r="V835" s="26" t="str">
        <f>IFERROR(RIGHT(K833,LEN(K833)-FIND("*",K833)),"-")</f>
        <v>-</v>
      </c>
      <c r="W835" s="27" t="str">
        <f t="shared" si="448"/>
        <v>-</v>
      </c>
      <c r="X835" s="27" t="str">
        <f>IFERROR(W835*L833,"-")</f>
        <v>-</v>
      </c>
      <c r="Z835" s="94" t="s">
        <v>82</v>
      </c>
    </row>
    <row r="836" spans="1:26" s="25" customFormat="1" ht="21" customHeight="1" thickBot="1" x14ac:dyDescent="0.35">
      <c r="A836" s="10"/>
      <c r="B836" s="170"/>
      <c r="C836" s="171"/>
      <c r="D836" s="172" t="s">
        <v>43</v>
      </c>
      <c r="E836" s="173"/>
      <c r="F836" s="173"/>
      <c r="G836" s="174"/>
      <c r="H836" s="174"/>
      <c r="I836" s="174"/>
      <c r="J836" s="174"/>
      <c r="K836" s="174"/>
      <c r="L836" s="174"/>
      <c r="M836" s="12"/>
      <c r="N836" s="39"/>
      <c r="U836" s="23"/>
      <c r="V836" s="23"/>
      <c r="Z836" s="95" t="s">
        <v>81</v>
      </c>
    </row>
    <row r="837" spans="1:26" s="25" customFormat="1" ht="9.9499999999999993" customHeight="1" thickBot="1" x14ac:dyDescent="0.35">
      <c r="A837" s="6"/>
      <c r="B837" s="14"/>
      <c r="C837" s="119"/>
      <c r="D837" s="58"/>
      <c r="E837" s="17"/>
      <c r="F837" s="58"/>
      <c r="G837" s="19"/>
      <c r="H837" s="19"/>
      <c r="I837" s="19"/>
      <c r="J837" s="19"/>
      <c r="K837" s="19"/>
      <c r="L837" s="19"/>
      <c r="M837" s="14"/>
      <c r="N837" s="39"/>
      <c r="Q837" s="1"/>
      <c r="R837" s="1"/>
      <c r="S837" s="1"/>
      <c r="T837" s="1"/>
      <c r="U837" s="24"/>
      <c r="V837" s="24"/>
      <c r="W837" s="1"/>
      <c r="X837" s="1"/>
      <c r="Z837" s="94" t="s">
        <v>82</v>
      </c>
    </row>
    <row r="838" spans="1:26" s="25" customFormat="1" ht="6.95" customHeight="1" x14ac:dyDescent="0.3">
      <c r="A838" s="165">
        <f>+A827+1</f>
        <v>77</v>
      </c>
      <c r="B838" s="166"/>
      <c r="C838" s="167"/>
      <c r="D838" s="160" t="s">
        <v>39</v>
      </c>
      <c r="E838" s="161"/>
      <c r="F838" s="162" t="s">
        <v>40</v>
      </c>
      <c r="G838" s="163"/>
      <c r="H838" s="164"/>
      <c r="I838" s="163"/>
      <c r="J838" s="164"/>
      <c r="K838" s="163"/>
      <c r="L838" s="164"/>
      <c r="M838" s="11"/>
      <c r="N838" s="39"/>
      <c r="Q838" s="15" t="str">
        <f>+CONCATENATE(E838,G838)</f>
        <v/>
      </c>
      <c r="R838" s="15">
        <f>+H838</f>
        <v>0</v>
      </c>
      <c r="S838" s="16"/>
      <c r="T838" s="15">
        <f>+E838</f>
        <v>0</v>
      </c>
      <c r="U838" s="26" t="str">
        <f>IFERROR(LEFT(G838,FIND("*",G838)-1),"-")</f>
        <v>-</v>
      </c>
      <c r="V838" s="26" t="str">
        <f>IFERROR(RIGHT(G838,LEN(G838)-FIND("*",G838)),"-")</f>
        <v>-</v>
      </c>
      <c r="W838" s="27" t="str">
        <f>IFERROR((U838+V838)*2/1000,"-")</f>
        <v>-</v>
      </c>
      <c r="X838" s="27" t="str">
        <f>IFERROR(W838*H838,"-")</f>
        <v>-</v>
      </c>
      <c r="Z838" s="94" t="s">
        <v>82</v>
      </c>
    </row>
    <row r="839" spans="1:26" s="25" customFormat="1" ht="6.95" customHeight="1" x14ac:dyDescent="0.3">
      <c r="A839" s="165"/>
      <c r="B839" s="168"/>
      <c r="C839" s="169"/>
      <c r="D839" s="160"/>
      <c r="E839" s="161"/>
      <c r="F839" s="162"/>
      <c r="G839" s="163"/>
      <c r="H839" s="164"/>
      <c r="I839" s="163"/>
      <c r="J839" s="164"/>
      <c r="K839" s="163"/>
      <c r="L839" s="164"/>
      <c r="M839" s="11"/>
      <c r="N839" s="39"/>
      <c r="Q839" s="15" t="str">
        <f>+CONCATENATE(E838,I838)</f>
        <v/>
      </c>
      <c r="R839" s="15">
        <f>+J838</f>
        <v>0</v>
      </c>
      <c r="S839" s="16"/>
      <c r="T839" s="15">
        <f>+E838</f>
        <v>0</v>
      </c>
      <c r="U839" s="26" t="str">
        <f>IFERROR(LEFT(I838,FIND("*",I838)-1),"-")</f>
        <v>-</v>
      </c>
      <c r="V839" s="26" t="str">
        <f>IFERROR(RIGHT(I838,LEN(I838)-FIND("*",I838)),"-")</f>
        <v>-</v>
      </c>
      <c r="W839" s="27" t="str">
        <f t="shared" ref="W839:W846" si="454">IFERROR((U839+V839)*2/1000,"-")</f>
        <v>-</v>
      </c>
      <c r="X839" s="27" t="str">
        <f>IFERROR(W839*J838,"-")</f>
        <v>-</v>
      </c>
      <c r="Z839" s="94" t="s">
        <v>82</v>
      </c>
    </row>
    <row r="840" spans="1:26" s="25" customFormat="1" ht="6.95" customHeight="1" x14ac:dyDescent="0.3">
      <c r="A840" s="165"/>
      <c r="B840" s="168"/>
      <c r="C840" s="169"/>
      <c r="D840" s="160"/>
      <c r="E840" s="161"/>
      <c r="F840" s="162"/>
      <c r="G840" s="163"/>
      <c r="H840" s="164"/>
      <c r="I840" s="163"/>
      <c r="J840" s="164"/>
      <c r="K840" s="163"/>
      <c r="L840" s="164"/>
      <c r="M840" s="11"/>
      <c r="N840" s="39"/>
      <c r="Q840" s="15" t="str">
        <f>+CONCATENATE(E838,K838)</f>
        <v/>
      </c>
      <c r="R840" s="15">
        <f>+L838</f>
        <v>0</v>
      </c>
      <c r="S840" s="16"/>
      <c r="T840" s="15">
        <f>+E838</f>
        <v>0</v>
      </c>
      <c r="U840" s="26" t="str">
        <f>IFERROR(LEFT(K838,FIND("*",K838)-1),"-")</f>
        <v>-</v>
      </c>
      <c r="V840" s="26" t="str">
        <f>IFERROR(RIGHT(K838,LEN(K838)-FIND("*",K838)),"-")</f>
        <v>-</v>
      </c>
      <c r="W840" s="27" t="str">
        <f t="shared" si="454"/>
        <v>-</v>
      </c>
      <c r="X840" s="27" t="str">
        <f>IFERROR(W840*L838,"-")</f>
        <v>-</v>
      </c>
      <c r="Z840" s="94" t="s">
        <v>82</v>
      </c>
    </row>
    <row r="841" spans="1:26" s="25" customFormat="1" ht="6.95" customHeight="1" x14ac:dyDescent="0.3">
      <c r="A841" s="13"/>
      <c r="B841" s="168"/>
      <c r="C841" s="169"/>
      <c r="D841" s="160" t="s">
        <v>39</v>
      </c>
      <c r="E841" s="161"/>
      <c r="F841" s="162" t="s">
        <v>40</v>
      </c>
      <c r="G841" s="163"/>
      <c r="H841" s="164"/>
      <c r="I841" s="163"/>
      <c r="J841" s="164"/>
      <c r="K841" s="163"/>
      <c r="L841" s="164"/>
      <c r="M841" s="11"/>
      <c r="N841" s="39"/>
      <c r="Q841" s="15" t="str">
        <f>+CONCATENATE(E841,G841)</f>
        <v/>
      </c>
      <c r="R841" s="15">
        <f>+H841</f>
        <v>0</v>
      </c>
      <c r="S841" s="16"/>
      <c r="T841" s="15">
        <f>+E841</f>
        <v>0</v>
      </c>
      <c r="U841" s="26" t="str">
        <f t="shared" ref="U841" si="455">IFERROR(LEFT(G841,FIND("*",G841)-1),"-")</f>
        <v>-</v>
      </c>
      <c r="V841" s="26" t="str">
        <f t="shared" ref="V841" si="456">IFERROR(RIGHT(G841,LEN(G841)-FIND("*",G841)),"-")</f>
        <v>-</v>
      </c>
      <c r="W841" s="27" t="str">
        <f t="shared" si="454"/>
        <v>-</v>
      </c>
      <c r="X841" s="27" t="str">
        <f>IFERROR(W841*H841,"-")</f>
        <v>-</v>
      </c>
      <c r="Z841" s="94" t="s">
        <v>82</v>
      </c>
    </row>
    <row r="842" spans="1:26" s="25" customFormat="1" ht="6.95" customHeight="1" x14ac:dyDescent="0.3">
      <c r="A842" s="10"/>
      <c r="B842" s="168"/>
      <c r="C842" s="169"/>
      <c r="D842" s="160"/>
      <c r="E842" s="161"/>
      <c r="F842" s="162"/>
      <c r="G842" s="163"/>
      <c r="H842" s="164"/>
      <c r="I842" s="163"/>
      <c r="J842" s="164"/>
      <c r="K842" s="163"/>
      <c r="L842" s="164"/>
      <c r="M842" s="11"/>
      <c r="N842" s="39"/>
      <c r="Q842" s="15" t="str">
        <f>+CONCATENATE(E841,I841)</f>
        <v/>
      </c>
      <c r="R842" s="15">
        <f>+J841</f>
        <v>0</v>
      </c>
      <c r="S842" s="16"/>
      <c r="T842" s="15">
        <f>+E841</f>
        <v>0</v>
      </c>
      <c r="U842" s="26" t="str">
        <f>IFERROR(LEFT(I841,FIND("*",I841)-1),"-")</f>
        <v>-</v>
      </c>
      <c r="V842" s="26" t="str">
        <f>IFERROR(RIGHT(I841,LEN(I841)-FIND("*",I841)),"-")</f>
        <v>-</v>
      </c>
      <c r="W842" s="27" t="str">
        <f t="shared" si="454"/>
        <v>-</v>
      </c>
      <c r="X842" s="27" t="str">
        <f>IFERROR(W842*J841,"-")</f>
        <v>-</v>
      </c>
      <c r="Z842" s="94" t="s">
        <v>82</v>
      </c>
    </row>
    <row r="843" spans="1:26" s="25" customFormat="1" ht="6.95" customHeight="1" x14ac:dyDescent="0.3">
      <c r="A843" s="10"/>
      <c r="B843" s="168"/>
      <c r="C843" s="169"/>
      <c r="D843" s="160"/>
      <c r="E843" s="161"/>
      <c r="F843" s="162"/>
      <c r="G843" s="163"/>
      <c r="H843" s="164"/>
      <c r="I843" s="163"/>
      <c r="J843" s="164"/>
      <c r="K843" s="163"/>
      <c r="L843" s="164"/>
      <c r="M843" s="11"/>
      <c r="N843" s="39"/>
      <c r="Q843" s="15" t="str">
        <f>+CONCATENATE(E841,K841)</f>
        <v/>
      </c>
      <c r="R843" s="15">
        <f>+L841</f>
        <v>0</v>
      </c>
      <c r="S843" s="16"/>
      <c r="T843" s="15">
        <f>+E841</f>
        <v>0</v>
      </c>
      <c r="U843" s="26" t="str">
        <f>IFERROR(LEFT(K841,FIND("*",K841)-1),"-")</f>
        <v>-</v>
      </c>
      <c r="V843" s="26" t="str">
        <f>IFERROR(RIGHT(K841,LEN(K841)-FIND("*",K841)),"-")</f>
        <v>-</v>
      </c>
      <c r="W843" s="27" t="str">
        <f t="shared" si="454"/>
        <v>-</v>
      </c>
      <c r="X843" s="27" t="str">
        <f>IFERROR(W843*L841,"-")</f>
        <v>-</v>
      </c>
      <c r="Z843" s="94" t="s">
        <v>82</v>
      </c>
    </row>
    <row r="844" spans="1:26" s="25" customFormat="1" ht="6.95" customHeight="1" x14ac:dyDescent="0.3">
      <c r="A844" s="13"/>
      <c r="B844" s="168"/>
      <c r="C844" s="169"/>
      <c r="D844" s="160" t="s">
        <v>39</v>
      </c>
      <c r="E844" s="161"/>
      <c r="F844" s="162" t="s">
        <v>40</v>
      </c>
      <c r="G844" s="163"/>
      <c r="H844" s="164"/>
      <c r="I844" s="163"/>
      <c r="J844" s="164"/>
      <c r="K844" s="163"/>
      <c r="L844" s="164"/>
      <c r="M844" s="11"/>
      <c r="N844" s="39"/>
      <c r="Q844" s="15" t="str">
        <f>+CONCATENATE(E844,G844)</f>
        <v/>
      </c>
      <c r="R844" s="15">
        <f>+H844</f>
        <v>0</v>
      </c>
      <c r="S844" s="16"/>
      <c r="T844" s="15">
        <f>+E844</f>
        <v>0</v>
      </c>
      <c r="U844" s="26" t="str">
        <f t="shared" ref="U844" si="457">IFERROR(LEFT(G844,FIND("*",G844)-1),"-")</f>
        <v>-</v>
      </c>
      <c r="V844" s="26" t="str">
        <f t="shared" ref="V844" si="458">IFERROR(RIGHT(G844,LEN(G844)-FIND("*",G844)),"-")</f>
        <v>-</v>
      </c>
      <c r="W844" s="27" t="str">
        <f t="shared" si="454"/>
        <v>-</v>
      </c>
      <c r="X844" s="27" t="str">
        <f>IFERROR(W844*H844,"-")</f>
        <v>-</v>
      </c>
      <c r="Z844" s="94" t="s">
        <v>82</v>
      </c>
    </row>
    <row r="845" spans="1:26" s="25" customFormat="1" ht="6.95" customHeight="1" x14ac:dyDescent="0.3">
      <c r="A845" s="10"/>
      <c r="B845" s="168"/>
      <c r="C845" s="169"/>
      <c r="D845" s="160"/>
      <c r="E845" s="161"/>
      <c r="F845" s="162"/>
      <c r="G845" s="163"/>
      <c r="H845" s="164"/>
      <c r="I845" s="163"/>
      <c r="J845" s="164"/>
      <c r="K845" s="163"/>
      <c r="L845" s="164"/>
      <c r="M845" s="11"/>
      <c r="N845" s="39"/>
      <c r="Q845" s="15" t="str">
        <f>+CONCATENATE(E844,I844)</f>
        <v/>
      </c>
      <c r="R845" s="15">
        <f>+J844</f>
        <v>0</v>
      </c>
      <c r="S845" s="16"/>
      <c r="T845" s="15">
        <f>+E844</f>
        <v>0</v>
      </c>
      <c r="U845" s="26" t="str">
        <f>IFERROR(LEFT(I844,FIND("*",I844)-1),"-")</f>
        <v>-</v>
      </c>
      <c r="V845" s="26" t="str">
        <f>IFERROR(RIGHT(I844,LEN(I844)-FIND("*",I844)),"-")</f>
        <v>-</v>
      </c>
      <c r="W845" s="27" t="str">
        <f t="shared" si="454"/>
        <v>-</v>
      </c>
      <c r="X845" s="27" t="str">
        <f t="shared" ref="X845" si="459">IFERROR(W845*J844,"-")</f>
        <v>-</v>
      </c>
      <c r="Z845" s="94" t="s">
        <v>82</v>
      </c>
    </row>
    <row r="846" spans="1:26" s="25" customFormat="1" ht="6.95" customHeight="1" x14ac:dyDescent="0.3">
      <c r="A846" s="10"/>
      <c r="B846" s="168"/>
      <c r="C846" s="169"/>
      <c r="D846" s="160"/>
      <c r="E846" s="161"/>
      <c r="F846" s="162"/>
      <c r="G846" s="163"/>
      <c r="H846" s="164"/>
      <c r="I846" s="163"/>
      <c r="J846" s="164"/>
      <c r="K846" s="163"/>
      <c r="L846" s="164"/>
      <c r="M846" s="11"/>
      <c r="N846" s="39"/>
      <c r="Q846" s="15" t="str">
        <f>+CONCATENATE(E844,K844)</f>
        <v/>
      </c>
      <c r="R846" s="15">
        <f>+L844</f>
        <v>0</v>
      </c>
      <c r="S846" s="16"/>
      <c r="T846" s="15">
        <f>+E844</f>
        <v>0</v>
      </c>
      <c r="U846" s="26" t="str">
        <f>IFERROR(LEFT(K844,FIND("*",K844)-1),"-")</f>
        <v>-</v>
      </c>
      <c r="V846" s="26" t="str">
        <f>IFERROR(RIGHT(K844,LEN(K844)-FIND("*",K844)),"-")</f>
        <v>-</v>
      </c>
      <c r="W846" s="27" t="str">
        <f t="shared" si="454"/>
        <v>-</v>
      </c>
      <c r="X846" s="27" t="str">
        <f>IFERROR(W846*L844,"-")</f>
        <v>-</v>
      </c>
      <c r="Z846" s="94" t="s">
        <v>82</v>
      </c>
    </row>
    <row r="847" spans="1:26" s="25" customFormat="1" ht="21" customHeight="1" thickBot="1" x14ac:dyDescent="0.35">
      <c r="A847" s="10"/>
      <c r="B847" s="170"/>
      <c r="C847" s="171"/>
      <c r="D847" s="172" t="s">
        <v>43</v>
      </c>
      <c r="E847" s="173"/>
      <c r="F847" s="173"/>
      <c r="G847" s="174"/>
      <c r="H847" s="174"/>
      <c r="I847" s="174"/>
      <c r="J847" s="174"/>
      <c r="K847" s="174"/>
      <c r="L847" s="174"/>
      <c r="M847" s="12"/>
      <c r="N847" s="39"/>
      <c r="U847" s="23"/>
      <c r="V847" s="23"/>
      <c r="Z847" s="95" t="s">
        <v>81</v>
      </c>
    </row>
    <row r="848" spans="1:26" s="25" customFormat="1" ht="9.9499999999999993" customHeight="1" thickBot="1" x14ac:dyDescent="0.35">
      <c r="A848" s="6"/>
      <c r="B848" s="14"/>
      <c r="C848" s="119"/>
      <c r="D848" s="58"/>
      <c r="E848" s="17"/>
      <c r="F848" s="58"/>
      <c r="G848" s="19"/>
      <c r="H848" s="19"/>
      <c r="I848" s="19"/>
      <c r="J848" s="19"/>
      <c r="K848" s="19"/>
      <c r="L848" s="19"/>
      <c r="M848" s="14"/>
      <c r="N848" s="39"/>
      <c r="Q848" s="1"/>
      <c r="R848" s="1"/>
      <c r="S848" s="1"/>
      <c r="T848" s="1"/>
      <c r="U848" s="24"/>
      <c r="V848" s="24"/>
      <c r="W848" s="1"/>
      <c r="X848" s="1"/>
      <c r="Z848" s="94" t="s">
        <v>82</v>
      </c>
    </row>
    <row r="849" spans="1:26" s="25" customFormat="1" ht="6.95" customHeight="1" x14ac:dyDescent="0.3">
      <c r="A849" s="165">
        <f>+A838+1</f>
        <v>78</v>
      </c>
      <c r="B849" s="166"/>
      <c r="C849" s="167"/>
      <c r="D849" s="160" t="s">
        <v>39</v>
      </c>
      <c r="E849" s="161"/>
      <c r="F849" s="162" t="s">
        <v>40</v>
      </c>
      <c r="G849" s="163"/>
      <c r="H849" s="164"/>
      <c r="I849" s="163"/>
      <c r="J849" s="164"/>
      <c r="K849" s="163"/>
      <c r="L849" s="164"/>
      <c r="M849" s="11"/>
      <c r="N849" s="39"/>
      <c r="Q849" s="15" t="str">
        <f>+CONCATENATE(E849,G849)</f>
        <v/>
      </c>
      <c r="R849" s="15">
        <f>+H849</f>
        <v>0</v>
      </c>
      <c r="S849" s="16"/>
      <c r="T849" s="15">
        <f>+E849</f>
        <v>0</v>
      </c>
      <c r="U849" s="26" t="str">
        <f>IFERROR(LEFT(G849,FIND("*",G849)-1),"-")</f>
        <v>-</v>
      </c>
      <c r="V849" s="26" t="str">
        <f>IFERROR(RIGHT(G849,LEN(G849)-FIND("*",G849)),"-")</f>
        <v>-</v>
      </c>
      <c r="W849" s="27" t="str">
        <f>IFERROR((U849+V849)*2/1000,"-")</f>
        <v>-</v>
      </c>
      <c r="X849" s="27" t="str">
        <f>IFERROR(W849*H849,"-")</f>
        <v>-</v>
      </c>
      <c r="Z849" s="94" t="s">
        <v>82</v>
      </c>
    </row>
    <row r="850" spans="1:26" s="25" customFormat="1" ht="6.95" customHeight="1" x14ac:dyDescent="0.3">
      <c r="A850" s="165"/>
      <c r="B850" s="168"/>
      <c r="C850" s="169"/>
      <c r="D850" s="160"/>
      <c r="E850" s="161"/>
      <c r="F850" s="162"/>
      <c r="G850" s="163"/>
      <c r="H850" s="164"/>
      <c r="I850" s="163"/>
      <c r="J850" s="164"/>
      <c r="K850" s="163"/>
      <c r="L850" s="164"/>
      <c r="M850" s="11"/>
      <c r="N850" s="39"/>
      <c r="Q850" s="15" t="str">
        <f>+CONCATENATE(E849,I849)</f>
        <v/>
      </c>
      <c r="R850" s="15">
        <f>+J849</f>
        <v>0</v>
      </c>
      <c r="S850" s="16"/>
      <c r="T850" s="15">
        <f>+E849</f>
        <v>0</v>
      </c>
      <c r="U850" s="26" t="str">
        <f>IFERROR(LEFT(I849,FIND("*",I849)-1),"-")</f>
        <v>-</v>
      </c>
      <c r="V850" s="26" t="str">
        <f>IFERROR(RIGHT(I849,LEN(I849)-FIND("*",I849)),"-")</f>
        <v>-</v>
      </c>
      <c r="W850" s="27" t="str">
        <f t="shared" ref="W850:W857" si="460">IFERROR((U850+V850)*2/1000,"-")</f>
        <v>-</v>
      </c>
      <c r="X850" s="27" t="str">
        <f>IFERROR(W850*J849,"-")</f>
        <v>-</v>
      </c>
      <c r="Z850" s="94" t="s">
        <v>82</v>
      </c>
    </row>
    <row r="851" spans="1:26" s="25" customFormat="1" ht="6.95" customHeight="1" x14ac:dyDescent="0.3">
      <c r="A851" s="165"/>
      <c r="B851" s="168"/>
      <c r="C851" s="169"/>
      <c r="D851" s="160"/>
      <c r="E851" s="161"/>
      <c r="F851" s="162"/>
      <c r="G851" s="163"/>
      <c r="H851" s="164"/>
      <c r="I851" s="163"/>
      <c r="J851" s="164"/>
      <c r="K851" s="163"/>
      <c r="L851" s="164"/>
      <c r="M851" s="11"/>
      <c r="N851" s="39"/>
      <c r="Q851" s="15" t="str">
        <f>+CONCATENATE(E849,K849)</f>
        <v/>
      </c>
      <c r="R851" s="15">
        <f>+L849</f>
        <v>0</v>
      </c>
      <c r="S851" s="16"/>
      <c r="T851" s="15">
        <f>+E849</f>
        <v>0</v>
      </c>
      <c r="U851" s="26" t="str">
        <f>IFERROR(LEFT(K849,FIND("*",K849)-1),"-")</f>
        <v>-</v>
      </c>
      <c r="V851" s="26" t="str">
        <f>IFERROR(RIGHT(K849,LEN(K849)-FIND("*",K849)),"-")</f>
        <v>-</v>
      </c>
      <c r="W851" s="27" t="str">
        <f t="shared" si="460"/>
        <v>-</v>
      </c>
      <c r="X851" s="27" t="str">
        <f>IFERROR(W851*L849,"-")</f>
        <v>-</v>
      </c>
      <c r="Z851" s="94" t="s">
        <v>82</v>
      </c>
    </row>
    <row r="852" spans="1:26" s="25" customFormat="1" ht="6.95" customHeight="1" x14ac:dyDescent="0.3">
      <c r="A852" s="13"/>
      <c r="B852" s="168"/>
      <c r="C852" s="169"/>
      <c r="D852" s="160" t="s">
        <v>39</v>
      </c>
      <c r="E852" s="161"/>
      <c r="F852" s="162" t="s">
        <v>40</v>
      </c>
      <c r="G852" s="163"/>
      <c r="H852" s="164"/>
      <c r="I852" s="163"/>
      <c r="J852" s="164"/>
      <c r="K852" s="163"/>
      <c r="L852" s="164"/>
      <c r="M852" s="11"/>
      <c r="N852" s="39"/>
      <c r="Q852" s="15" t="str">
        <f>+CONCATENATE(E852,G852)</f>
        <v/>
      </c>
      <c r="R852" s="15">
        <f>+H852</f>
        <v>0</v>
      </c>
      <c r="S852" s="16"/>
      <c r="T852" s="15">
        <f>+E852</f>
        <v>0</v>
      </c>
      <c r="U852" s="26" t="str">
        <f t="shared" ref="U852" si="461">IFERROR(LEFT(G852,FIND("*",G852)-1),"-")</f>
        <v>-</v>
      </c>
      <c r="V852" s="26" t="str">
        <f t="shared" ref="V852" si="462">IFERROR(RIGHT(G852,LEN(G852)-FIND("*",G852)),"-")</f>
        <v>-</v>
      </c>
      <c r="W852" s="27" t="str">
        <f t="shared" si="460"/>
        <v>-</v>
      </c>
      <c r="X852" s="27" t="str">
        <f>IFERROR(W852*H852,"-")</f>
        <v>-</v>
      </c>
      <c r="Z852" s="94" t="s">
        <v>82</v>
      </c>
    </row>
    <row r="853" spans="1:26" s="25" customFormat="1" ht="6.95" customHeight="1" x14ac:dyDescent="0.3">
      <c r="A853" s="10"/>
      <c r="B853" s="168"/>
      <c r="C853" s="169"/>
      <c r="D853" s="160"/>
      <c r="E853" s="161"/>
      <c r="F853" s="162"/>
      <c r="G853" s="163"/>
      <c r="H853" s="164"/>
      <c r="I853" s="163"/>
      <c r="J853" s="164"/>
      <c r="K853" s="163"/>
      <c r="L853" s="164"/>
      <c r="M853" s="11"/>
      <c r="N853" s="39"/>
      <c r="Q853" s="15" t="str">
        <f>+CONCATENATE(E852,I852)</f>
        <v/>
      </c>
      <c r="R853" s="15">
        <f>+J852</f>
        <v>0</v>
      </c>
      <c r="S853" s="16"/>
      <c r="T853" s="15">
        <f>+E852</f>
        <v>0</v>
      </c>
      <c r="U853" s="26" t="str">
        <f>IFERROR(LEFT(I852,FIND("*",I852)-1),"-")</f>
        <v>-</v>
      </c>
      <c r="V853" s="26" t="str">
        <f>IFERROR(RIGHT(I852,LEN(I852)-FIND("*",I852)),"-")</f>
        <v>-</v>
      </c>
      <c r="W853" s="27" t="str">
        <f t="shared" si="460"/>
        <v>-</v>
      </c>
      <c r="X853" s="27" t="str">
        <f>IFERROR(W853*J852,"-")</f>
        <v>-</v>
      </c>
      <c r="Z853" s="94" t="s">
        <v>82</v>
      </c>
    </row>
    <row r="854" spans="1:26" s="25" customFormat="1" ht="6.95" customHeight="1" x14ac:dyDescent="0.3">
      <c r="A854" s="10"/>
      <c r="B854" s="168"/>
      <c r="C854" s="169"/>
      <c r="D854" s="160"/>
      <c r="E854" s="161"/>
      <c r="F854" s="162"/>
      <c r="G854" s="163"/>
      <c r="H854" s="164"/>
      <c r="I854" s="163"/>
      <c r="J854" s="164"/>
      <c r="K854" s="163"/>
      <c r="L854" s="164"/>
      <c r="M854" s="11"/>
      <c r="N854" s="39"/>
      <c r="Q854" s="15" t="str">
        <f>+CONCATENATE(E852,K852)</f>
        <v/>
      </c>
      <c r="R854" s="15">
        <f>+L852</f>
        <v>0</v>
      </c>
      <c r="S854" s="16"/>
      <c r="T854" s="15">
        <f>+E852</f>
        <v>0</v>
      </c>
      <c r="U854" s="26" t="str">
        <f>IFERROR(LEFT(K852,FIND("*",K852)-1),"-")</f>
        <v>-</v>
      </c>
      <c r="V854" s="26" t="str">
        <f>IFERROR(RIGHT(K852,LEN(K852)-FIND("*",K852)),"-")</f>
        <v>-</v>
      </c>
      <c r="W854" s="27" t="str">
        <f t="shared" si="460"/>
        <v>-</v>
      </c>
      <c r="X854" s="27" t="str">
        <f>IFERROR(W854*L852,"-")</f>
        <v>-</v>
      </c>
      <c r="Z854" s="94" t="s">
        <v>82</v>
      </c>
    </row>
    <row r="855" spans="1:26" s="25" customFormat="1" ht="6.95" customHeight="1" x14ac:dyDescent="0.3">
      <c r="A855" s="13"/>
      <c r="B855" s="168"/>
      <c r="C855" s="169"/>
      <c r="D855" s="160" t="s">
        <v>39</v>
      </c>
      <c r="E855" s="161"/>
      <c r="F855" s="162" t="s">
        <v>40</v>
      </c>
      <c r="G855" s="163"/>
      <c r="H855" s="164"/>
      <c r="I855" s="163"/>
      <c r="J855" s="164"/>
      <c r="K855" s="163"/>
      <c r="L855" s="164"/>
      <c r="M855" s="11"/>
      <c r="N855" s="39"/>
      <c r="Q855" s="15" t="str">
        <f>+CONCATENATE(E855,G855)</f>
        <v/>
      </c>
      <c r="R855" s="15">
        <f>+H855</f>
        <v>0</v>
      </c>
      <c r="S855" s="16"/>
      <c r="T855" s="15">
        <f>+E855</f>
        <v>0</v>
      </c>
      <c r="U855" s="26" t="str">
        <f t="shared" ref="U855" si="463">IFERROR(LEFT(G855,FIND("*",G855)-1),"-")</f>
        <v>-</v>
      </c>
      <c r="V855" s="26" t="str">
        <f t="shared" ref="V855" si="464">IFERROR(RIGHT(G855,LEN(G855)-FIND("*",G855)),"-")</f>
        <v>-</v>
      </c>
      <c r="W855" s="27" t="str">
        <f t="shared" si="460"/>
        <v>-</v>
      </c>
      <c r="X855" s="27" t="str">
        <f>IFERROR(W855*H855,"-")</f>
        <v>-</v>
      </c>
      <c r="Z855" s="94" t="s">
        <v>82</v>
      </c>
    </row>
    <row r="856" spans="1:26" s="25" customFormat="1" ht="6.95" customHeight="1" x14ac:dyDescent="0.3">
      <c r="A856" s="10"/>
      <c r="B856" s="168"/>
      <c r="C856" s="169"/>
      <c r="D856" s="160"/>
      <c r="E856" s="161"/>
      <c r="F856" s="162"/>
      <c r="G856" s="163"/>
      <c r="H856" s="164"/>
      <c r="I856" s="163"/>
      <c r="J856" s="164"/>
      <c r="K856" s="163"/>
      <c r="L856" s="164"/>
      <c r="M856" s="11"/>
      <c r="N856" s="39"/>
      <c r="Q856" s="15" t="str">
        <f>+CONCATENATE(E855,I855)</f>
        <v/>
      </c>
      <c r="R856" s="15">
        <f>+J855</f>
        <v>0</v>
      </c>
      <c r="S856" s="16"/>
      <c r="T856" s="15">
        <f>+E855</f>
        <v>0</v>
      </c>
      <c r="U856" s="26" t="str">
        <f>IFERROR(LEFT(I855,FIND("*",I855)-1),"-")</f>
        <v>-</v>
      </c>
      <c r="V856" s="26" t="str">
        <f>IFERROR(RIGHT(I855,LEN(I855)-FIND("*",I855)),"-")</f>
        <v>-</v>
      </c>
      <c r="W856" s="27" t="str">
        <f t="shared" si="460"/>
        <v>-</v>
      </c>
      <c r="X856" s="27" t="str">
        <f t="shared" ref="X856" si="465">IFERROR(W856*J855,"-")</f>
        <v>-</v>
      </c>
      <c r="Z856" s="94" t="s">
        <v>82</v>
      </c>
    </row>
    <row r="857" spans="1:26" s="25" customFormat="1" ht="6.95" customHeight="1" x14ac:dyDescent="0.3">
      <c r="A857" s="10"/>
      <c r="B857" s="168"/>
      <c r="C857" s="169"/>
      <c r="D857" s="160"/>
      <c r="E857" s="161"/>
      <c r="F857" s="162"/>
      <c r="G857" s="163"/>
      <c r="H857" s="164"/>
      <c r="I857" s="163"/>
      <c r="J857" s="164"/>
      <c r="K857" s="163"/>
      <c r="L857" s="164"/>
      <c r="M857" s="11"/>
      <c r="N857" s="39"/>
      <c r="Q857" s="15" t="str">
        <f>+CONCATENATE(E855,K855)</f>
        <v/>
      </c>
      <c r="R857" s="15">
        <f>+L855</f>
        <v>0</v>
      </c>
      <c r="S857" s="16"/>
      <c r="T857" s="15">
        <f>+E855</f>
        <v>0</v>
      </c>
      <c r="U857" s="26" t="str">
        <f>IFERROR(LEFT(K855,FIND("*",K855)-1),"-")</f>
        <v>-</v>
      </c>
      <c r="V857" s="26" t="str">
        <f>IFERROR(RIGHT(K855,LEN(K855)-FIND("*",K855)),"-")</f>
        <v>-</v>
      </c>
      <c r="W857" s="27" t="str">
        <f t="shared" si="460"/>
        <v>-</v>
      </c>
      <c r="X857" s="27" t="str">
        <f>IFERROR(W857*L855,"-")</f>
        <v>-</v>
      </c>
      <c r="Z857" s="94" t="s">
        <v>82</v>
      </c>
    </row>
    <row r="858" spans="1:26" s="25" customFormat="1" ht="21" customHeight="1" thickBot="1" x14ac:dyDescent="0.35">
      <c r="A858" s="10"/>
      <c r="B858" s="170"/>
      <c r="C858" s="171"/>
      <c r="D858" s="172" t="s">
        <v>43</v>
      </c>
      <c r="E858" s="173"/>
      <c r="F858" s="173"/>
      <c r="G858" s="174"/>
      <c r="H858" s="174"/>
      <c r="I858" s="174"/>
      <c r="J858" s="174"/>
      <c r="K858" s="174"/>
      <c r="L858" s="174"/>
      <c r="M858" s="12"/>
      <c r="N858" s="39"/>
      <c r="U858" s="23"/>
      <c r="V858" s="23"/>
      <c r="Z858" s="95" t="s">
        <v>81</v>
      </c>
    </row>
    <row r="859" spans="1:26" s="25" customFormat="1" ht="9.9499999999999993" customHeight="1" thickBot="1" x14ac:dyDescent="0.35">
      <c r="A859" s="6"/>
      <c r="B859" s="14"/>
      <c r="C859" s="119"/>
      <c r="D859" s="58"/>
      <c r="E859" s="17"/>
      <c r="F859" s="58"/>
      <c r="G859" s="19"/>
      <c r="H859" s="19"/>
      <c r="I859" s="19"/>
      <c r="J859" s="19"/>
      <c r="K859" s="19"/>
      <c r="L859" s="19"/>
      <c r="M859" s="14"/>
      <c r="N859" s="39"/>
      <c r="Q859" s="1"/>
      <c r="R859" s="1"/>
      <c r="S859" s="1"/>
      <c r="T859" s="1"/>
      <c r="U859" s="24"/>
      <c r="V859" s="24"/>
      <c r="W859" s="1"/>
      <c r="X859" s="1"/>
      <c r="Z859" s="94" t="s">
        <v>82</v>
      </c>
    </row>
    <row r="860" spans="1:26" s="25" customFormat="1" ht="6.95" customHeight="1" x14ac:dyDescent="0.3">
      <c r="A860" s="165">
        <f>+A849+1</f>
        <v>79</v>
      </c>
      <c r="B860" s="166"/>
      <c r="C860" s="167"/>
      <c r="D860" s="160" t="s">
        <v>39</v>
      </c>
      <c r="E860" s="161"/>
      <c r="F860" s="162" t="s">
        <v>40</v>
      </c>
      <c r="G860" s="163"/>
      <c r="H860" s="164"/>
      <c r="I860" s="163"/>
      <c r="J860" s="164"/>
      <c r="K860" s="163"/>
      <c r="L860" s="164"/>
      <c r="M860" s="11"/>
      <c r="N860" s="39"/>
      <c r="Q860" s="15" t="str">
        <f>+CONCATENATE(E860,G860)</f>
        <v/>
      </c>
      <c r="R860" s="15">
        <f>+H860</f>
        <v>0</v>
      </c>
      <c r="S860" s="16"/>
      <c r="T860" s="15">
        <f>+E860</f>
        <v>0</v>
      </c>
      <c r="U860" s="26" t="str">
        <f>IFERROR(LEFT(G860,FIND("*",G860)-1),"-")</f>
        <v>-</v>
      </c>
      <c r="V860" s="26" t="str">
        <f>IFERROR(RIGHT(G860,LEN(G860)-FIND("*",G860)),"-")</f>
        <v>-</v>
      </c>
      <c r="W860" s="27" t="str">
        <f>IFERROR((U860+V860)*2/1000,"-")</f>
        <v>-</v>
      </c>
      <c r="X860" s="27" t="str">
        <f>IFERROR(W860*H860,"-")</f>
        <v>-</v>
      </c>
      <c r="Z860" s="94" t="s">
        <v>82</v>
      </c>
    </row>
    <row r="861" spans="1:26" s="25" customFormat="1" ht="6.95" customHeight="1" x14ac:dyDescent="0.3">
      <c r="A861" s="165"/>
      <c r="B861" s="168"/>
      <c r="C861" s="169"/>
      <c r="D861" s="160"/>
      <c r="E861" s="161"/>
      <c r="F861" s="162"/>
      <c r="G861" s="163"/>
      <c r="H861" s="164"/>
      <c r="I861" s="163"/>
      <c r="J861" s="164"/>
      <c r="K861" s="163"/>
      <c r="L861" s="164"/>
      <c r="M861" s="11"/>
      <c r="N861" s="39"/>
      <c r="Q861" s="15" t="str">
        <f>+CONCATENATE(E860,I860)</f>
        <v/>
      </c>
      <c r="R861" s="15">
        <f>+J860</f>
        <v>0</v>
      </c>
      <c r="S861" s="16"/>
      <c r="T861" s="15">
        <f>+E860</f>
        <v>0</v>
      </c>
      <c r="U861" s="26" t="str">
        <f>IFERROR(LEFT(I860,FIND("*",I860)-1),"-")</f>
        <v>-</v>
      </c>
      <c r="V861" s="26" t="str">
        <f>IFERROR(RIGHT(I860,LEN(I860)-FIND("*",I860)),"-")</f>
        <v>-</v>
      </c>
      <c r="W861" s="27" t="str">
        <f t="shared" ref="W861:W868" si="466">IFERROR((U861+V861)*2/1000,"-")</f>
        <v>-</v>
      </c>
      <c r="X861" s="27" t="str">
        <f>IFERROR(W861*J860,"-")</f>
        <v>-</v>
      </c>
      <c r="Z861" s="94" t="s">
        <v>82</v>
      </c>
    </row>
    <row r="862" spans="1:26" s="25" customFormat="1" ht="6.95" customHeight="1" x14ac:dyDescent="0.3">
      <c r="A862" s="165"/>
      <c r="B862" s="168"/>
      <c r="C862" s="169"/>
      <c r="D862" s="160"/>
      <c r="E862" s="161"/>
      <c r="F862" s="162"/>
      <c r="G862" s="163"/>
      <c r="H862" s="164"/>
      <c r="I862" s="163"/>
      <c r="J862" s="164"/>
      <c r="K862" s="163"/>
      <c r="L862" s="164"/>
      <c r="M862" s="11"/>
      <c r="N862" s="39"/>
      <c r="Q862" s="15" t="str">
        <f>+CONCATENATE(E860,K860)</f>
        <v/>
      </c>
      <c r="R862" s="15">
        <f>+L860</f>
        <v>0</v>
      </c>
      <c r="S862" s="16"/>
      <c r="T862" s="15">
        <f>+E860</f>
        <v>0</v>
      </c>
      <c r="U862" s="26" t="str">
        <f>IFERROR(LEFT(K860,FIND("*",K860)-1),"-")</f>
        <v>-</v>
      </c>
      <c r="V862" s="26" t="str">
        <f>IFERROR(RIGHT(K860,LEN(K860)-FIND("*",K860)),"-")</f>
        <v>-</v>
      </c>
      <c r="W862" s="27" t="str">
        <f t="shared" si="466"/>
        <v>-</v>
      </c>
      <c r="X862" s="27" t="str">
        <f>IFERROR(W862*L860,"-")</f>
        <v>-</v>
      </c>
      <c r="Z862" s="94" t="s">
        <v>82</v>
      </c>
    </row>
    <row r="863" spans="1:26" s="25" customFormat="1" ht="6.95" customHeight="1" x14ac:dyDescent="0.3">
      <c r="A863" s="13"/>
      <c r="B863" s="168"/>
      <c r="C863" s="169"/>
      <c r="D863" s="160" t="s">
        <v>39</v>
      </c>
      <c r="E863" s="161"/>
      <c r="F863" s="162" t="s">
        <v>40</v>
      </c>
      <c r="G863" s="163"/>
      <c r="H863" s="164"/>
      <c r="I863" s="163"/>
      <c r="J863" s="164"/>
      <c r="K863" s="163"/>
      <c r="L863" s="164"/>
      <c r="M863" s="11"/>
      <c r="N863" s="39"/>
      <c r="Q863" s="15" t="str">
        <f>+CONCATENATE(E863,G863)</f>
        <v/>
      </c>
      <c r="R863" s="15">
        <f>+H863</f>
        <v>0</v>
      </c>
      <c r="S863" s="16"/>
      <c r="T863" s="15">
        <f>+E863</f>
        <v>0</v>
      </c>
      <c r="U863" s="26" t="str">
        <f t="shared" ref="U863" si="467">IFERROR(LEFT(G863,FIND("*",G863)-1),"-")</f>
        <v>-</v>
      </c>
      <c r="V863" s="26" t="str">
        <f t="shared" ref="V863" si="468">IFERROR(RIGHT(G863,LEN(G863)-FIND("*",G863)),"-")</f>
        <v>-</v>
      </c>
      <c r="W863" s="27" t="str">
        <f t="shared" si="466"/>
        <v>-</v>
      </c>
      <c r="X863" s="27" t="str">
        <f>IFERROR(W863*H863,"-")</f>
        <v>-</v>
      </c>
      <c r="Z863" s="94" t="s">
        <v>82</v>
      </c>
    </row>
    <row r="864" spans="1:26" s="25" customFormat="1" ht="6.95" customHeight="1" x14ac:dyDescent="0.3">
      <c r="A864" s="10"/>
      <c r="B864" s="168"/>
      <c r="C864" s="169"/>
      <c r="D864" s="160"/>
      <c r="E864" s="161"/>
      <c r="F864" s="162"/>
      <c r="G864" s="163"/>
      <c r="H864" s="164"/>
      <c r="I864" s="163"/>
      <c r="J864" s="164"/>
      <c r="K864" s="163"/>
      <c r="L864" s="164"/>
      <c r="M864" s="11"/>
      <c r="N864" s="39"/>
      <c r="Q864" s="15" t="str">
        <f>+CONCATENATE(E863,I863)</f>
        <v/>
      </c>
      <c r="R864" s="15">
        <f>+J863</f>
        <v>0</v>
      </c>
      <c r="S864" s="16"/>
      <c r="T864" s="15">
        <f>+E863</f>
        <v>0</v>
      </c>
      <c r="U864" s="26" t="str">
        <f>IFERROR(LEFT(I863,FIND("*",I863)-1),"-")</f>
        <v>-</v>
      </c>
      <c r="V864" s="26" t="str">
        <f>IFERROR(RIGHT(I863,LEN(I863)-FIND("*",I863)),"-")</f>
        <v>-</v>
      </c>
      <c r="W864" s="27" t="str">
        <f t="shared" si="466"/>
        <v>-</v>
      </c>
      <c r="X864" s="27" t="str">
        <f>IFERROR(W864*J863,"-")</f>
        <v>-</v>
      </c>
      <c r="Z864" s="94" t="s">
        <v>82</v>
      </c>
    </row>
    <row r="865" spans="1:26" s="25" customFormat="1" ht="6.95" customHeight="1" x14ac:dyDescent="0.3">
      <c r="A865" s="10"/>
      <c r="B865" s="168"/>
      <c r="C865" s="169"/>
      <c r="D865" s="160"/>
      <c r="E865" s="161"/>
      <c r="F865" s="162"/>
      <c r="G865" s="163"/>
      <c r="H865" s="164"/>
      <c r="I865" s="163"/>
      <c r="J865" s="164"/>
      <c r="K865" s="163"/>
      <c r="L865" s="164"/>
      <c r="M865" s="11"/>
      <c r="N865" s="39"/>
      <c r="Q865" s="15" t="str">
        <f>+CONCATENATE(E863,K863)</f>
        <v/>
      </c>
      <c r="R865" s="15">
        <f>+L863</f>
        <v>0</v>
      </c>
      <c r="S865" s="16"/>
      <c r="T865" s="15">
        <f>+E863</f>
        <v>0</v>
      </c>
      <c r="U865" s="26" t="str">
        <f>IFERROR(LEFT(K863,FIND("*",K863)-1),"-")</f>
        <v>-</v>
      </c>
      <c r="V865" s="26" t="str">
        <f>IFERROR(RIGHT(K863,LEN(K863)-FIND("*",K863)),"-")</f>
        <v>-</v>
      </c>
      <c r="W865" s="27" t="str">
        <f t="shared" si="466"/>
        <v>-</v>
      </c>
      <c r="X865" s="27" t="str">
        <f>IFERROR(W865*L863,"-")</f>
        <v>-</v>
      </c>
      <c r="Z865" s="94" t="s">
        <v>82</v>
      </c>
    </row>
    <row r="866" spans="1:26" s="25" customFormat="1" ht="6.95" customHeight="1" x14ac:dyDescent="0.3">
      <c r="A866" s="13"/>
      <c r="B866" s="168"/>
      <c r="C866" s="169"/>
      <c r="D866" s="160" t="s">
        <v>39</v>
      </c>
      <c r="E866" s="161"/>
      <c r="F866" s="162" t="s">
        <v>40</v>
      </c>
      <c r="G866" s="163"/>
      <c r="H866" s="164"/>
      <c r="I866" s="163"/>
      <c r="J866" s="164"/>
      <c r="K866" s="163"/>
      <c r="L866" s="164"/>
      <c r="M866" s="11"/>
      <c r="N866" s="39"/>
      <c r="Q866" s="15" t="str">
        <f>+CONCATENATE(E866,G866)</f>
        <v/>
      </c>
      <c r="R866" s="15">
        <f>+H866</f>
        <v>0</v>
      </c>
      <c r="S866" s="16"/>
      <c r="T866" s="15">
        <f>+E866</f>
        <v>0</v>
      </c>
      <c r="U866" s="26" t="str">
        <f t="shared" ref="U866" si="469">IFERROR(LEFT(G866,FIND("*",G866)-1),"-")</f>
        <v>-</v>
      </c>
      <c r="V866" s="26" t="str">
        <f t="shared" ref="V866" si="470">IFERROR(RIGHT(G866,LEN(G866)-FIND("*",G866)),"-")</f>
        <v>-</v>
      </c>
      <c r="W866" s="27" t="str">
        <f t="shared" si="466"/>
        <v>-</v>
      </c>
      <c r="X866" s="27" t="str">
        <f>IFERROR(W866*H866,"-")</f>
        <v>-</v>
      </c>
      <c r="Z866" s="94" t="s">
        <v>82</v>
      </c>
    </row>
    <row r="867" spans="1:26" s="25" customFormat="1" ht="6.95" customHeight="1" x14ac:dyDescent="0.3">
      <c r="A867" s="10"/>
      <c r="B867" s="168"/>
      <c r="C867" s="169"/>
      <c r="D867" s="160"/>
      <c r="E867" s="161"/>
      <c r="F867" s="162"/>
      <c r="G867" s="163"/>
      <c r="H867" s="164"/>
      <c r="I867" s="163"/>
      <c r="J867" s="164"/>
      <c r="K867" s="163"/>
      <c r="L867" s="164"/>
      <c r="M867" s="11"/>
      <c r="N867" s="39"/>
      <c r="Q867" s="15" t="str">
        <f>+CONCATENATE(E866,I866)</f>
        <v/>
      </c>
      <c r="R867" s="15">
        <f>+J866</f>
        <v>0</v>
      </c>
      <c r="S867" s="16"/>
      <c r="T867" s="15">
        <f>+E866</f>
        <v>0</v>
      </c>
      <c r="U867" s="26" t="str">
        <f>IFERROR(LEFT(I866,FIND("*",I866)-1),"-")</f>
        <v>-</v>
      </c>
      <c r="V867" s="26" t="str">
        <f>IFERROR(RIGHT(I866,LEN(I866)-FIND("*",I866)),"-")</f>
        <v>-</v>
      </c>
      <c r="W867" s="27" t="str">
        <f t="shared" si="466"/>
        <v>-</v>
      </c>
      <c r="X867" s="27" t="str">
        <f t="shared" ref="X867" si="471">IFERROR(W867*J866,"-")</f>
        <v>-</v>
      </c>
      <c r="Z867" s="94" t="s">
        <v>82</v>
      </c>
    </row>
    <row r="868" spans="1:26" s="25" customFormat="1" ht="6.95" customHeight="1" x14ac:dyDescent="0.3">
      <c r="A868" s="10"/>
      <c r="B868" s="168"/>
      <c r="C868" s="169"/>
      <c r="D868" s="160"/>
      <c r="E868" s="161"/>
      <c r="F868" s="162"/>
      <c r="G868" s="163"/>
      <c r="H868" s="164"/>
      <c r="I868" s="163"/>
      <c r="J868" s="164"/>
      <c r="K868" s="163"/>
      <c r="L868" s="164"/>
      <c r="M868" s="11"/>
      <c r="N868" s="39"/>
      <c r="Q868" s="15" t="str">
        <f>+CONCATENATE(E866,K866)</f>
        <v/>
      </c>
      <c r="R868" s="15">
        <f>+L866</f>
        <v>0</v>
      </c>
      <c r="S868" s="16"/>
      <c r="T868" s="15">
        <f>+E866</f>
        <v>0</v>
      </c>
      <c r="U868" s="26" t="str">
        <f>IFERROR(LEFT(K866,FIND("*",K866)-1),"-")</f>
        <v>-</v>
      </c>
      <c r="V868" s="26" t="str">
        <f>IFERROR(RIGHT(K866,LEN(K866)-FIND("*",K866)),"-")</f>
        <v>-</v>
      </c>
      <c r="W868" s="27" t="str">
        <f t="shared" si="466"/>
        <v>-</v>
      </c>
      <c r="X868" s="27" t="str">
        <f>IFERROR(W868*L866,"-")</f>
        <v>-</v>
      </c>
      <c r="Z868" s="94" t="s">
        <v>82</v>
      </c>
    </row>
    <row r="869" spans="1:26" s="25" customFormat="1" ht="21" customHeight="1" thickBot="1" x14ac:dyDescent="0.35">
      <c r="A869" s="10"/>
      <c r="B869" s="170"/>
      <c r="C869" s="171"/>
      <c r="D869" s="172" t="s">
        <v>43</v>
      </c>
      <c r="E869" s="173"/>
      <c r="F869" s="173"/>
      <c r="G869" s="174"/>
      <c r="H869" s="174"/>
      <c r="I869" s="174"/>
      <c r="J869" s="174"/>
      <c r="K869" s="174"/>
      <c r="L869" s="174"/>
      <c r="M869" s="12"/>
      <c r="N869" s="39"/>
      <c r="U869" s="23"/>
      <c r="V869" s="23"/>
      <c r="Z869" s="95" t="s">
        <v>81</v>
      </c>
    </row>
    <row r="870" spans="1:26" s="25" customFormat="1" ht="9.9499999999999993" customHeight="1" thickBot="1" x14ac:dyDescent="0.35">
      <c r="A870" s="6"/>
      <c r="B870" s="14"/>
      <c r="C870" s="119"/>
      <c r="D870" s="58"/>
      <c r="E870" s="17"/>
      <c r="F870" s="58"/>
      <c r="G870" s="19"/>
      <c r="H870" s="19"/>
      <c r="I870" s="19"/>
      <c r="J870" s="19"/>
      <c r="K870" s="19"/>
      <c r="L870" s="19"/>
      <c r="M870" s="14"/>
      <c r="N870" s="39"/>
      <c r="Q870" s="1"/>
      <c r="R870" s="1"/>
      <c r="S870" s="1"/>
      <c r="T870" s="1"/>
      <c r="U870" s="24"/>
      <c r="V870" s="24"/>
      <c r="W870" s="1"/>
      <c r="X870" s="1"/>
      <c r="Z870" s="94" t="s">
        <v>82</v>
      </c>
    </row>
    <row r="871" spans="1:26" s="25" customFormat="1" ht="6.95" customHeight="1" x14ac:dyDescent="0.3">
      <c r="A871" s="165">
        <f>+A860+1</f>
        <v>80</v>
      </c>
      <c r="B871" s="166"/>
      <c r="C871" s="167"/>
      <c r="D871" s="160" t="s">
        <v>39</v>
      </c>
      <c r="E871" s="161"/>
      <c r="F871" s="162" t="s">
        <v>40</v>
      </c>
      <c r="G871" s="163"/>
      <c r="H871" s="164"/>
      <c r="I871" s="163"/>
      <c r="J871" s="164"/>
      <c r="K871" s="163"/>
      <c r="L871" s="164"/>
      <c r="M871" s="11"/>
      <c r="N871" s="39"/>
      <c r="Q871" s="15" t="str">
        <f>+CONCATENATE(E871,G871)</f>
        <v/>
      </c>
      <c r="R871" s="15">
        <f>+H871</f>
        <v>0</v>
      </c>
      <c r="S871" s="16"/>
      <c r="T871" s="15">
        <f>+E871</f>
        <v>0</v>
      </c>
      <c r="U871" s="26" t="str">
        <f>IFERROR(LEFT(G871,FIND("*",G871)-1),"-")</f>
        <v>-</v>
      </c>
      <c r="V871" s="26" t="str">
        <f>IFERROR(RIGHT(G871,LEN(G871)-FIND("*",G871)),"-")</f>
        <v>-</v>
      </c>
      <c r="W871" s="27" t="str">
        <f>IFERROR((U871+V871)*2/1000,"-")</f>
        <v>-</v>
      </c>
      <c r="X871" s="27" t="str">
        <f>IFERROR(W871*H871,"-")</f>
        <v>-</v>
      </c>
      <c r="Z871" s="94" t="s">
        <v>82</v>
      </c>
    </row>
    <row r="872" spans="1:26" s="25" customFormat="1" ht="6.95" customHeight="1" x14ac:dyDescent="0.3">
      <c r="A872" s="165"/>
      <c r="B872" s="168"/>
      <c r="C872" s="169"/>
      <c r="D872" s="160"/>
      <c r="E872" s="161"/>
      <c r="F872" s="162"/>
      <c r="G872" s="163"/>
      <c r="H872" s="164"/>
      <c r="I872" s="163"/>
      <c r="J872" s="164"/>
      <c r="K872" s="163"/>
      <c r="L872" s="164"/>
      <c r="M872" s="11"/>
      <c r="N872" s="39"/>
      <c r="Q872" s="15" t="str">
        <f>+CONCATENATE(E871,I871)</f>
        <v/>
      </c>
      <c r="R872" s="15">
        <f>+J871</f>
        <v>0</v>
      </c>
      <c r="S872" s="16"/>
      <c r="T872" s="15">
        <f>+E871</f>
        <v>0</v>
      </c>
      <c r="U872" s="26" t="str">
        <f>IFERROR(LEFT(I871,FIND("*",I871)-1),"-")</f>
        <v>-</v>
      </c>
      <c r="V872" s="26" t="str">
        <f>IFERROR(RIGHT(I871,LEN(I871)-FIND("*",I871)),"-")</f>
        <v>-</v>
      </c>
      <c r="W872" s="27" t="str">
        <f t="shared" ref="W872:W879" si="472">IFERROR((U872+V872)*2/1000,"-")</f>
        <v>-</v>
      </c>
      <c r="X872" s="27" t="str">
        <f>IFERROR(W872*J871,"-")</f>
        <v>-</v>
      </c>
      <c r="Z872" s="94" t="s">
        <v>82</v>
      </c>
    </row>
    <row r="873" spans="1:26" s="25" customFormat="1" ht="6.95" customHeight="1" x14ac:dyDescent="0.3">
      <c r="A873" s="165"/>
      <c r="B873" s="168"/>
      <c r="C873" s="169"/>
      <c r="D873" s="160"/>
      <c r="E873" s="161"/>
      <c r="F873" s="162"/>
      <c r="G873" s="163"/>
      <c r="H873" s="164"/>
      <c r="I873" s="163"/>
      <c r="J873" s="164"/>
      <c r="K873" s="163"/>
      <c r="L873" s="164"/>
      <c r="M873" s="11"/>
      <c r="N873" s="39"/>
      <c r="Q873" s="15" t="str">
        <f>+CONCATENATE(E871,K871)</f>
        <v/>
      </c>
      <c r="R873" s="15">
        <f>+L871</f>
        <v>0</v>
      </c>
      <c r="S873" s="16"/>
      <c r="T873" s="15">
        <f>+E871</f>
        <v>0</v>
      </c>
      <c r="U873" s="26" t="str">
        <f>IFERROR(LEFT(K871,FIND("*",K871)-1),"-")</f>
        <v>-</v>
      </c>
      <c r="V873" s="26" t="str">
        <f>IFERROR(RIGHT(K871,LEN(K871)-FIND("*",K871)),"-")</f>
        <v>-</v>
      </c>
      <c r="W873" s="27" t="str">
        <f t="shared" si="472"/>
        <v>-</v>
      </c>
      <c r="X873" s="27" t="str">
        <f>IFERROR(W873*L871,"-")</f>
        <v>-</v>
      </c>
      <c r="Z873" s="94" t="s">
        <v>82</v>
      </c>
    </row>
    <row r="874" spans="1:26" s="25" customFormat="1" ht="6.95" customHeight="1" x14ac:dyDescent="0.3">
      <c r="A874" s="13"/>
      <c r="B874" s="168"/>
      <c r="C874" s="169"/>
      <c r="D874" s="160" t="s">
        <v>39</v>
      </c>
      <c r="E874" s="161"/>
      <c r="F874" s="162" t="s">
        <v>40</v>
      </c>
      <c r="G874" s="163"/>
      <c r="H874" s="164"/>
      <c r="I874" s="163"/>
      <c r="J874" s="164"/>
      <c r="K874" s="163"/>
      <c r="L874" s="164"/>
      <c r="M874" s="11"/>
      <c r="N874" s="39"/>
      <c r="Q874" s="15" t="str">
        <f>+CONCATENATE(E874,G874)</f>
        <v/>
      </c>
      <c r="R874" s="15">
        <f>+H874</f>
        <v>0</v>
      </c>
      <c r="S874" s="16"/>
      <c r="T874" s="15">
        <f>+E874</f>
        <v>0</v>
      </c>
      <c r="U874" s="26" t="str">
        <f t="shared" ref="U874" si="473">IFERROR(LEFT(G874,FIND("*",G874)-1),"-")</f>
        <v>-</v>
      </c>
      <c r="V874" s="26" t="str">
        <f t="shared" ref="V874" si="474">IFERROR(RIGHT(G874,LEN(G874)-FIND("*",G874)),"-")</f>
        <v>-</v>
      </c>
      <c r="W874" s="27" t="str">
        <f t="shared" si="472"/>
        <v>-</v>
      </c>
      <c r="X874" s="27" t="str">
        <f>IFERROR(W874*H874,"-")</f>
        <v>-</v>
      </c>
      <c r="Z874" s="94" t="s">
        <v>82</v>
      </c>
    </row>
    <row r="875" spans="1:26" s="25" customFormat="1" ht="6.95" customHeight="1" x14ac:dyDescent="0.3">
      <c r="A875" s="10"/>
      <c r="B875" s="168"/>
      <c r="C875" s="169"/>
      <c r="D875" s="160"/>
      <c r="E875" s="161"/>
      <c r="F875" s="162"/>
      <c r="G875" s="163"/>
      <c r="H875" s="164"/>
      <c r="I875" s="163"/>
      <c r="J875" s="164"/>
      <c r="K875" s="163"/>
      <c r="L875" s="164"/>
      <c r="M875" s="11"/>
      <c r="N875" s="39"/>
      <c r="Q875" s="15" t="str">
        <f>+CONCATENATE(E874,I874)</f>
        <v/>
      </c>
      <c r="R875" s="15">
        <f>+J874</f>
        <v>0</v>
      </c>
      <c r="S875" s="16"/>
      <c r="T875" s="15">
        <f>+E874</f>
        <v>0</v>
      </c>
      <c r="U875" s="26" t="str">
        <f>IFERROR(LEFT(I874,FIND("*",I874)-1),"-")</f>
        <v>-</v>
      </c>
      <c r="V875" s="26" t="str">
        <f>IFERROR(RIGHT(I874,LEN(I874)-FIND("*",I874)),"-")</f>
        <v>-</v>
      </c>
      <c r="W875" s="27" t="str">
        <f t="shared" si="472"/>
        <v>-</v>
      </c>
      <c r="X875" s="27" t="str">
        <f>IFERROR(W875*J874,"-")</f>
        <v>-</v>
      </c>
      <c r="Z875" s="94" t="s">
        <v>82</v>
      </c>
    </row>
    <row r="876" spans="1:26" s="25" customFormat="1" ht="6.95" customHeight="1" x14ac:dyDescent="0.3">
      <c r="A876" s="10"/>
      <c r="B876" s="168"/>
      <c r="C876" s="169"/>
      <c r="D876" s="160"/>
      <c r="E876" s="161"/>
      <c r="F876" s="162"/>
      <c r="G876" s="163"/>
      <c r="H876" s="164"/>
      <c r="I876" s="163"/>
      <c r="J876" s="164"/>
      <c r="K876" s="163"/>
      <c r="L876" s="164"/>
      <c r="M876" s="11"/>
      <c r="N876" s="39"/>
      <c r="Q876" s="15" t="str">
        <f>+CONCATENATE(E874,K874)</f>
        <v/>
      </c>
      <c r="R876" s="15">
        <f>+L874</f>
        <v>0</v>
      </c>
      <c r="S876" s="16"/>
      <c r="T876" s="15">
        <f>+E874</f>
        <v>0</v>
      </c>
      <c r="U876" s="26" t="str">
        <f>IFERROR(LEFT(K874,FIND("*",K874)-1),"-")</f>
        <v>-</v>
      </c>
      <c r="V876" s="26" t="str">
        <f>IFERROR(RIGHT(K874,LEN(K874)-FIND("*",K874)),"-")</f>
        <v>-</v>
      </c>
      <c r="W876" s="27" t="str">
        <f t="shared" si="472"/>
        <v>-</v>
      </c>
      <c r="X876" s="27" t="str">
        <f>IFERROR(W876*L874,"-")</f>
        <v>-</v>
      </c>
      <c r="Z876" s="94" t="s">
        <v>82</v>
      </c>
    </row>
    <row r="877" spans="1:26" s="25" customFormat="1" ht="6.95" customHeight="1" x14ac:dyDescent="0.3">
      <c r="A877" s="13"/>
      <c r="B877" s="168"/>
      <c r="C877" s="169"/>
      <c r="D877" s="160" t="s">
        <v>39</v>
      </c>
      <c r="E877" s="161"/>
      <c r="F877" s="162" t="s">
        <v>40</v>
      </c>
      <c r="G877" s="163"/>
      <c r="H877" s="164"/>
      <c r="I877" s="163"/>
      <c r="J877" s="164"/>
      <c r="K877" s="163"/>
      <c r="L877" s="164"/>
      <c r="M877" s="11"/>
      <c r="N877" s="39"/>
      <c r="Q877" s="15" t="str">
        <f>+CONCATENATE(E877,G877)</f>
        <v/>
      </c>
      <c r="R877" s="15">
        <f>+H877</f>
        <v>0</v>
      </c>
      <c r="S877" s="16"/>
      <c r="T877" s="15">
        <f>+E877</f>
        <v>0</v>
      </c>
      <c r="U877" s="26" t="str">
        <f t="shared" ref="U877" si="475">IFERROR(LEFT(G877,FIND("*",G877)-1),"-")</f>
        <v>-</v>
      </c>
      <c r="V877" s="26" t="str">
        <f t="shared" ref="V877" si="476">IFERROR(RIGHT(G877,LEN(G877)-FIND("*",G877)),"-")</f>
        <v>-</v>
      </c>
      <c r="W877" s="27" t="str">
        <f t="shared" si="472"/>
        <v>-</v>
      </c>
      <c r="X877" s="27" t="str">
        <f>IFERROR(W877*H877,"-")</f>
        <v>-</v>
      </c>
      <c r="Z877" s="94" t="s">
        <v>82</v>
      </c>
    </row>
    <row r="878" spans="1:26" s="25" customFormat="1" ht="6.95" customHeight="1" x14ac:dyDescent="0.3">
      <c r="A878" s="10"/>
      <c r="B878" s="168"/>
      <c r="C878" s="169"/>
      <c r="D878" s="160"/>
      <c r="E878" s="161"/>
      <c r="F878" s="162"/>
      <c r="G878" s="163"/>
      <c r="H878" s="164"/>
      <c r="I878" s="163"/>
      <c r="J878" s="164"/>
      <c r="K878" s="163"/>
      <c r="L878" s="164"/>
      <c r="M878" s="11"/>
      <c r="N878" s="39"/>
      <c r="Q878" s="15" t="str">
        <f>+CONCATENATE(E877,I877)</f>
        <v/>
      </c>
      <c r="R878" s="15">
        <f>+J877</f>
        <v>0</v>
      </c>
      <c r="S878" s="16"/>
      <c r="T878" s="15">
        <f>+E877</f>
        <v>0</v>
      </c>
      <c r="U878" s="26" t="str">
        <f>IFERROR(LEFT(I877,FIND("*",I877)-1),"-")</f>
        <v>-</v>
      </c>
      <c r="V878" s="26" t="str">
        <f>IFERROR(RIGHT(I877,LEN(I877)-FIND("*",I877)),"-")</f>
        <v>-</v>
      </c>
      <c r="W878" s="27" t="str">
        <f t="shared" si="472"/>
        <v>-</v>
      </c>
      <c r="X878" s="27" t="str">
        <f t="shared" ref="X878" si="477">IFERROR(W878*J877,"-")</f>
        <v>-</v>
      </c>
      <c r="Z878" s="94" t="s">
        <v>82</v>
      </c>
    </row>
    <row r="879" spans="1:26" s="25" customFormat="1" ht="6.95" customHeight="1" x14ac:dyDescent="0.3">
      <c r="A879" s="10"/>
      <c r="B879" s="168"/>
      <c r="C879" s="169"/>
      <c r="D879" s="160"/>
      <c r="E879" s="161"/>
      <c r="F879" s="162"/>
      <c r="G879" s="163"/>
      <c r="H879" s="164"/>
      <c r="I879" s="163"/>
      <c r="J879" s="164"/>
      <c r="K879" s="163"/>
      <c r="L879" s="164"/>
      <c r="M879" s="11"/>
      <c r="N879" s="39"/>
      <c r="Q879" s="15" t="str">
        <f>+CONCATENATE(E877,K877)</f>
        <v/>
      </c>
      <c r="R879" s="15">
        <f>+L877</f>
        <v>0</v>
      </c>
      <c r="S879" s="16"/>
      <c r="T879" s="15">
        <f>+E877</f>
        <v>0</v>
      </c>
      <c r="U879" s="26" t="str">
        <f>IFERROR(LEFT(K877,FIND("*",K877)-1),"-")</f>
        <v>-</v>
      </c>
      <c r="V879" s="26" t="str">
        <f>IFERROR(RIGHT(K877,LEN(K877)-FIND("*",K877)),"-")</f>
        <v>-</v>
      </c>
      <c r="W879" s="27" t="str">
        <f t="shared" si="472"/>
        <v>-</v>
      </c>
      <c r="X879" s="27" t="str">
        <f>IFERROR(W879*L877,"-")</f>
        <v>-</v>
      </c>
      <c r="Z879" s="94" t="s">
        <v>82</v>
      </c>
    </row>
    <row r="880" spans="1:26" s="25" customFormat="1" ht="21" customHeight="1" thickBot="1" x14ac:dyDescent="0.35">
      <c r="A880" s="10"/>
      <c r="B880" s="170"/>
      <c r="C880" s="171"/>
      <c r="D880" s="172" t="s">
        <v>43</v>
      </c>
      <c r="E880" s="173"/>
      <c r="F880" s="173"/>
      <c r="G880" s="174"/>
      <c r="H880" s="174"/>
      <c r="I880" s="174"/>
      <c r="J880" s="174"/>
      <c r="K880" s="174"/>
      <c r="L880" s="174"/>
      <c r="M880" s="12"/>
      <c r="N880" s="39"/>
      <c r="U880" s="23"/>
      <c r="V880" s="23"/>
      <c r="Z880" s="95" t="s">
        <v>81</v>
      </c>
    </row>
    <row r="881" spans="1:26" s="25" customFormat="1" ht="9.9499999999999993" customHeight="1" thickBot="1" x14ac:dyDescent="0.35">
      <c r="A881" s="6"/>
      <c r="B881" s="14"/>
      <c r="C881" s="119"/>
      <c r="D881" s="58"/>
      <c r="E881" s="17"/>
      <c r="F881" s="58"/>
      <c r="G881" s="19"/>
      <c r="H881" s="19"/>
      <c r="I881" s="19"/>
      <c r="J881" s="19"/>
      <c r="K881" s="19"/>
      <c r="L881" s="19"/>
      <c r="M881" s="14"/>
      <c r="N881" s="39"/>
      <c r="Q881" s="1"/>
      <c r="R881" s="1"/>
      <c r="S881" s="1"/>
      <c r="T881" s="1"/>
      <c r="U881" s="24"/>
      <c r="V881" s="24"/>
      <c r="W881" s="1"/>
      <c r="X881" s="1"/>
      <c r="Z881" s="94" t="s">
        <v>82</v>
      </c>
    </row>
    <row r="882" spans="1:26" s="25" customFormat="1" ht="6.95" customHeight="1" x14ac:dyDescent="0.3">
      <c r="A882" s="165">
        <f>+A871+1</f>
        <v>81</v>
      </c>
      <c r="B882" s="166"/>
      <c r="C882" s="167"/>
      <c r="D882" s="160" t="s">
        <v>39</v>
      </c>
      <c r="E882" s="161"/>
      <c r="F882" s="162" t="s">
        <v>40</v>
      </c>
      <c r="G882" s="163"/>
      <c r="H882" s="164"/>
      <c r="I882" s="163"/>
      <c r="J882" s="164"/>
      <c r="K882" s="163"/>
      <c r="L882" s="164"/>
      <c r="M882" s="11"/>
      <c r="N882" s="39"/>
      <c r="Q882" s="15" t="str">
        <f>+CONCATENATE(E882,G882)</f>
        <v/>
      </c>
      <c r="R882" s="15">
        <f>+H882</f>
        <v>0</v>
      </c>
      <c r="S882" s="16"/>
      <c r="T882" s="15">
        <f>+E882</f>
        <v>0</v>
      </c>
      <c r="U882" s="26" t="str">
        <f>IFERROR(LEFT(G882,FIND("*",G882)-1),"-")</f>
        <v>-</v>
      </c>
      <c r="V882" s="26" t="str">
        <f>IFERROR(RIGHT(G882,LEN(G882)-FIND("*",G882)),"-")</f>
        <v>-</v>
      </c>
      <c r="W882" s="27" t="str">
        <f>IFERROR((U882+V882)*2/1000,"-")</f>
        <v>-</v>
      </c>
      <c r="X882" s="27" t="str">
        <f>IFERROR(W882*H882,"-")</f>
        <v>-</v>
      </c>
      <c r="Z882" s="94" t="s">
        <v>82</v>
      </c>
    </row>
    <row r="883" spans="1:26" s="25" customFormat="1" ht="6.95" customHeight="1" x14ac:dyDescent="0.3">
      <c r="A883" s="165"/>
      <c r="B883" s="168"/>
      <c r="C883" s="169"/>
      <c r="D883" s="160"/>
      <c r="E883" s="161"/>
      <c r="F883" s="162"/>
      <c r="G883" s="163"/>
      <c r="H883" s="164"/>
      <c r="I883" s="163"/>
      <c r="J883" s="164"/>
      <c r="K883" s="163"/>
      <c r="L883" s="164"/>
      <c r="M883" s="11"/>
      <c r="N883" s="39"/>
      <c r="Q883" s="15" t="str">
        <f>+CONCATENATE(E882,I882)</f>
        <v/>
      </c>
      <c r="R883" s="15">
        <f>+J882</f>
        <v>0</v>
      </c>
      <c r="S883" s="16"/>
      <c r="T883" s="15">
        <f>+E882</f>
        <v>0</v>
      </c>
      <c r="U883" s="26" t="str">
        <f>IFERROR(LEFT(I882,FIND("*",I882)-1),"-")</f>
        <v>-</v>
      </c>
      <c r="V883" s="26" t="str">
        <f>IFERROR(RIGHT(I882,LEN(I882)-FIND("*",I882)),"-")</f>
        <v>-</v>
      </c>
      <c r="W883" s="27" t="str">
        <f t="shared" ref="W883:W890" si="478">IFERROR((U883+V883)*2/1000,"-")</f>
        <v>-</v>
      </c>
      <c r="X883" s="27" t="str">
        <f>IFERROR(W883*J882,"-")</f>
        <v>-</v>
      </c>
      <c r="Z883" s="94" t="s">
        <v>82</v>
      </c>
    </row>
    <row r="884" spans="1:26" s="25" customFormat="1" ht="6.95" customHeight="1" x14ac:dyDescent="0.3">
      <c r="A884" s="165"/>
      <c r="B884" s="168"/>
      <c r="C884" s="169"/>
      <c r="D884" s="160"/>
      <c r="E884" s="161"/>
      <c r="F884" s="162"/>
      <c r="G884" s="163"/>
      <c r="H884" s="164"/>
      <c r="I884" s="163"/>
      <c r="J884" s="164"/>
      <c r="K884" s="163"/>
      <c r="L884" s="164"/>
      <c r="M884" s="11"/>
      <c r="N884" s="39"/>
      <c r="Q884" s="15" t="str">
        <f>+CONCATENATE(E882,K882)</f>
        <v/>
      </c>
      <c r="R884" s="15">
        <f>+L882</f>
        <v>0</v>
      </c>
      <c r="S884" s="16"/>
      <c r="T884" s="15">
        <f>+E882</f>
        <v>0</v>
      </c>
      <c r="U884" s="26" t="str">
        <f>IFERROR(LEFT(K882,FIND("*",K882)-1),"-")</f>
        <v>-</v>
      </c>
      <c r="V884" s="26" t="str">
        <f>IFERROR(RIGHT(K882,LEN(K882)-FIND("*",K882)),"-")</f>
        <v>-</v>
      </c>
      <c r="W884" s="27" t="str">
        <f t="shared" si="478"/>
        <v>-</v>
      </c>
      <c r="X884" s="27" t="str">
        <f>IFERROR(W884*L882,"-")</f>
        <v>-</v>
      </c>
      <c r="Z884" s="94" t="s">
        <v>82</v>
      </c>
    </row>
    <row r="885" spans="1:26" s="25" customFormat="1" ht="6.95" customHeight="1" x14ac:dyDescent="0.3">
      <c r="A885" s="13"/>
      <c r="B885" s="168"/>
      <c r="C885" s="169"/>
      <c r="D885" s="160" t="s">
        <v>39</v>
      </c>
      <c r="E885" s="161"/>
      <c r="F885" s="162" t="s">
        <v>40</v>
      </c>
      <c r="G885" s="163"/>
      <c r="H885" s="164"/>
      <c r="I885" s="163"/>
      <c r="J885" s="164"/>
      <c r="K885" s="163"/>
      <c r="L885" s="164"/>
      <c r="M885" s="11"/>
      <c r="N885" s="39"/>
      <c r="Q885" s="15" t="str">
        <f>+CONCATENATE(E885,G885)</f>
        <v/>
      </c>
      <c r="R885" s="15">
        <f>+H885</f>
        <v>0</v>
      </c>
      <c r="S885" s="16"/>
      <c r="T885" s="15">
        <f>+E885</f>
        <v>0</v>
      </c>
      <c r="U885" s="26" t="str">
        <f t="shared" ref="U885" si="479">IFERROR(LEFT(G885,FIND("*",G885)-1),"-")</f>
        <v>-</v>
      </c>
      <c r="V885" s="26" t="str">
        <f t="shared" ref="V885" si="480">IFERROR(RIGHT(G885,LEN(G885)-FIND("*",G885)),"-")</f>
        <v>-</v>
      </c>
      <c r="W885" s="27" t="str">
        <f t="shared" si="478"/>
        <v>-</v>
      </c>
      <c r="X885" s="27" t="str">
        <f>IFERROR(W885*H885,"-")</f>
        <v>-</v>
      </c>
      <c r="Z885" s="94" t="s">
        <v>82</v>
      </c>
    </row>
    <row r="886" spans="1:26" s="25" customFormat="1" ht="6.95" customHeight="1" x14ac:dyDescent="0.3">
      <c r="A886" s="10"/>
      <c r="B886" s="168"/>
      <c r="C886" s="169"/>
      <c r="D886" s="160"/>
      <c r="E886" s="161"/>
      <c r="F886" s="162"/>
      <c r="G886" s="163"/>
      <c r="H886" s="164"/>
      <c r="I886" s="163"/>
      <c r="J886" s="164"/>
      <c r="K886" s="163"/>
      <c r="L886" s="164"/>
      <c r="M886" s="11"/>
      <c r="N886" s="39"/>
      <c r="Q886" s="15" t="str">
        <f>+CONCATENATE(E885,I885)</f>
        <v/>
      </c>
      <c r="R886" s="15">
        <f>+J885</f>
        <v>0</v>
      </c>
      <c r="S886" s="16"/>
      <c r="T886" s="15">
        <f>+E885</f>
        <v>0</v>
      </c>
      <c r="U886" s="26" t="str">
        <f>IFERROR(LEFT(I885,FIND("*",I885)-1),"-")</f>
        <v>-</v>
      </c>
      <c r="V886" s="26" t="str">
        <f>IFERROR(RIGHT(I885,LEN(I885)-FIND("*",I885)),"-")</f>
        <v>-</v>
      </c>
      <c r="W886" s="27" t="str">
        <f t="shared" si="478"/>
        <v>-</v>
      </c>
      <c r="X886" s="27" t="str">
        <f>IFERROR(W886*J885,"-")</f>
        <v>-</v>
      </c>
      <c r="Z886" s="94" t="s">
        <v>82</v>
      </c>
    </row>
    <row r="887" spans="1:26" s="25" customFormat="1" ht="6.95" customHeight="1" x14ac:dyDescent="0.3">
      <c r="A887" s="10"/>
      <c r="B887" s="168"/>
      <c r="C887" s="169"/>
      <c r="D887" s="160"/>
      <c r="E887" s="161"/>
      <c r="F887" s="162"/>
      <c r="G887" s="163"/>
      <c r="H887" s="164"/>
      <c r="I887" s="163"/>
      <c r="J887" s="164"/>
      <c r="K887" s="163"/>
      <c r="L887" s="164"/>
      <c r="M887" s="11"/>
      <c r="N887" s="39"/>
      <c r="Q887" s="15" t="str">
        <f>+CONCATENATE(E885,K885)</f>
        <v/>
      </c>
      <c r="R887" s="15">
        <f>+L885</f>
        <v>0</v>
      </c>
      <c r="S887" s="16"/>
      <c r="T887" s="15">
        <f>+E885</f>
        <v>0</v>
      </c>
      <c r="U887" s="26" t="str">
        <f>IFERROR(LEFT(K885,FIND("*",K885)-1),"-")</f>
        <v>-</v>
      </c>
      <c r="V887" s="26" t="str">
        <f>IFERROR(RIGHT(K885,LEN(K885)-FIND("*",K885)),"-")</f>
        <v>-</v>
      </c>
      <c r="W887" s="27" t="str">
        <f t="shared" si="478"/>
        <v>-</v>
      </c>
      <c r="X887" s="27" t="str">
        <f>IFERROR(W887*L885,"-")</f>
        <v>-</v>
      </c>
      <c r="Z887" s="94" t="s">
        <v>82</v>
      </c>
    </row>
    <row r="888" spans="1:26" s="25" customFormat="1" ht="6.95" customHeight="1" x14ac:dyDescent="0.3">
      <c r="A888" s="13"/>
      <c r="B888" s="168"/>
      <c r="C888" s="169"/>
      <c r="D888" s="160" t="s">
        <v>39</v>
      </c>
      <c r="E888" s="161"/>
      <c r="F888" s="162" t="s">
        <v>40</v>
      </c>
      <c r="G888" s="163"/>
      <c r="H888" s="164"/>
      <c r="I888" s="163"/>
      <c r="J888" s="164"/>
      <c r="K888" s="163"/>
      <c r="L888" s="164"/>
      <c r="M888" s="11"/>
      <c r="N888" s="39"/>
      <c r="Q888" s="15" t="str">
        <f>+CONCATENATE(E888,G888)</f>
        <v/>
      </c>
      <c r="R888" s="15">
        <f>+H888</f>
        <v>0</v>
      </c>
      <c r="S888" s="16"/>
      <c r="T888" s="15">
        <f>+E888</f>
        <v>0</v>
      </c>
      <c r="U888" s="26" t="str">
        <f t="shared" ref="U888" si="481">IFERROR(LEFT(G888,FIND("*",G888)-1),"-")</f>
        <v>-</v>
      </c>
      <c r="V888" s="26" t="str">
        <f t="shared" ref="V888" si="482">IFERROR(RIGHT(G888,LEN(G888)-FIND("*",G888)),"-")</f>
        <v>-</v>
      </c>
      <c r="W888" s="27" t="str">
        <f t="shared" si="478"/>
        <v>-</v>
      </c>
      <c r="X888" s="27" t="str">
        <f>IFERROR(W888*H888,"-")</f>
        <v>-</v>
      </c>
      <c r="Z888" s="94" t="s">
        <v>82</v>
      </c>
    </row>
    <row r="889" spans="1:26" s="25" customFormat="1" ht="6.95" customHeight="1" x14ac:dyDescent="0.3">
      <c r="A889" s="10"/>
      <c r="B889" s="168"/>
      <c r="C889" s="169"/>
      <c r="D889" s="160"/>
      <c r="E889" s="161"/>
      <c r="F889" s="162"/>
      <c r="G889" s="163"/>
      <c r="H889" s="164"/>
      <c r="I889" s="163"/>
      <c r="J889" s="164"/>
      <c r="K889" s="163"/>
      <c r="L889" s="164"/>
      <c r="M889" s="11"/>
      <c r="N889" s="39"/>
      <c r="Q889" s="15" t="str">
        <f>+CONCATENATE(E888,I888)</f>
        <v/>
      </c>
      <c r="R889" s="15">
        <f>+J888</f>
        <v>0</v>
      </c>
      <c r="S889" s="16"/>
      <c r="T889" s="15">
        <f>+E888</f>
        <v>0</v>
      </c>
      <c r="U889" s="26" t="str">
        <f>IFERROR(LEFT(I888,FIND("*",I888)-1),"-")</f>
        <v>-</v>
      </c>
      <c r="V889" s="26" t="str">
        <f>IFERROR(RIGHT(I888,LEN(I888)-FIND("*",I888)),"-")</f>
        <v>-</v>
      </c>
      <c r="W889" s="27" t="str">
        <f t="shared" si="478"/>
        <v>-</v>
      </c>
      <c r="X889" s="27" t="str">
        <f t="shared" ref="X889" si="483">IFERROR(W889*J888,"-")</f>
        <v>-</v>
      </c>
      <c r="Z889" s="94" t="s">
        <v>82</v>
      </c>
    </row>
    <row r="890" spans="1:26" s="25" customFormat="1" ht="6.95" customHeight="1" x14ac:dyDescent="0.3">
      <c r="A890" s="10"/>
      <c r="B890" s="168"/>
      <c r="C890" s="169"/>
      <c r="D890" s="160"/>
      <c r="E890" s="161"/>
      <c r="F890" s="162"/>
      <c r="G890" s="163"/>
      <c r="H890" s="164"/>
      <c r="I890" s="163"/>
      <c r="J890" s="164"/>
      <c r="K890" s="163"/>
      <c r="L890" s="164"/>
      <c r="M890" s="11"/>
      <c r="N890" s="39"/>
      <c r="Q890" s="15" t="str">
        <f>+CONCATENATE(E888,K888)</f>
        <v/>
      </c>
      <c r="R890" s="15">
        <f>+L888</f>
        <v>0</v>
      </c>
      <c r="S890" s="16"/>
      <c r="T890" s="15">
        <f>+E888</f>
        <v>0</v>
      </c>
      <c r="U890" s="26" t="str">
        <f>IFERROR(LEFT(K888,FIND("*",K888)-1),"-")</f>
        <v>-</v>
      </c>
      <c r="V890" s="26" t="str">
        <f>IFERROR(RIGHT(K888,LEN(K888)-FIND("*",K888)),"-")</f>
        <v>-</v>
      </c>
      <c r="W890" s="27" t="str">
        <f t="shared" si="478"/>
        <v>-</v>
      </c>
      <c r="X890" s="27" t="str">
        <f>IFERROR(W890*L888,"-")</f>
        <v>-</v>
      </c>
      <c r="Z890" s="94" t="s">
        <v>82</v>
      </c>
    </row>
    <row r="891" spans="1:26" s="25" customFormat="1" ht="21" customHeight="1" thickBot="1" x14ac:dyDescent="0.35">
      <c r="A891" s="10"/>
      <c r="B891" s="170"/>
      <c r="C891" s="171"/>
      <c r="D891" s="172" t="s">
        <v>43</v>
      </c>
      <c r="E891" s="173"/>
      <c r="F891" s="173"/>
      <c r="G891" s="174"/>
      <c r="H891" s="174"/>
      <c r="I891" s="174"/>
      <c r="J891" s="174"/>
      <c r="K891" s="174"/>
      <c r="L891" s="174"/>
      <c r="M891" s="12"/>
      <c r="N891" s="39"/>
      <c r="U891" s="23"/>
      <c r="V891" s="23"/>
      <c r="Z891" s="95" t="s">
        <v>81</v>
      </c>
    </row>
    <row r="892" spans="1:26" s="25" customFormat="1" ht="9.9499999999999993" customHeight="1" thickBot="1" x14ac:dyDescent="0.35">
      <c r="A892" s="6"/>
      <c r="B892" s="14"/>
      <c r="C892" s="119"/>
      <c r="D892" s="58"/>
      <c r="E892" s="17"/>
      <c r="F892" s="58"/>
      <c r="G892" s="19"/>
      <c r="H892" s="19"/>
      <c r="I892" s="19"/>
      <c r="J892" s="19"/>
      <c r="K892" s="19"/>
      <c r="L892" s="19"/>
      <c r="M892" s="14"/>
      <c r="N892" s="39"/>
      <c r="Q892" s="1"/>
      <c r="R892" s="1"/>
      <c r="S892" s="1"/>
      <c r="T892" s="1"/>
      <c r="U892" s="24"/>
      <c r="V892" s="24"/>
      <c r="W892" s="1"/>
      <c r="X892" s="1"/>
      <c r="Z892" s="94" t="s">
        <v>82</v>
      </c>
    </row>
    <row r="893" spans="1:26" s="25" customFormat="1" ht="6.95" customHeight="1" x14ac:dyDescent="0.3">
      <c r="A893" s="165">
        <f>+A882+1</f>
        <v>82</v>
      </c>
      <c r="B893" s="166"/>
      <c r="C893" s="167"/>
      <c r="D893" s="160" t="s">
        <v>39</v>
      </c>
      <c r="E893" s="161"/>
      <c r="F893" s="162" t="s">
        <v>40</v>
      </c>
      <c r="G893" s="163"/>
      <c r="H893" s="164"/>
      <c r="I893" s="163"/>
      <c r="J893" s="164"/>
      <c r="K893" s="163"/>
      <c r="L893" s="164"/>
      <c r="M893" s="11"/>
      <c r="N893" s="39"/>
      <c r="Q893" s="15" t="str">
        <f>+CONCATENATE(E893,G893)</f>
        <v/>
      </c>
      <c r="R893" s="15">
        <f>+H893</f>
        <v>0</v>
      </c>
      <c r="S893" s="16"/>
      <c r="T893" s="15">
        <f>+E893</f>
        <v>0</v>
      </c>
      <c r="U893" s="26" t="str">
        <f>IFERROR(LEFT(G893,FIND("*",G893)-1),"-")</f>
        <v>-</v>
      </c>
      <c r="V893" s="26" t="str">
        <f>IFERROR(RIGHT(G893,LEN(G893)-FIND("*",G893)),"-")</f>
        <v>-</v>
      </c>
      <c r="W893" s="27" t="str">
        <f>IFERROR((U893+V893)*2/1000,"-")</f>
        <v>-</v>
      </c>
      <c r="X893" s="27" t="str">
        <f>IFERROR(W893*H893,"-")</f>
        <v>-</v>
      </c>
      <c r="Z893" s="94" t="s">
        <v>82</v>
      </c>
    </row>
    <row r="894" spans="1:26" s="25" customFormat="1" ht="6.95" customHeight="1" x14ac:dyDescent="0.3">
      <c r="A894" s="165"/>
      <c r="B894" s="168"/>
      <c r="C894" s="169"/>
      <c r="D894" s="160"/>
      <c r="E894" s="161"/>
      <c r="F894" s="162"/>
      <c r="G894" s="163"/>
      <c r="H894" s="164"/>
      <c r="I894" s="163"/>
      <c r="J894" s="164"/>
      <c r="K894" s="163"/>
      <c r="L894" s="164"/>
      <c r="M894" s="11"/>
      <c r="N894" s="39"/>
      <c r="Q894" s="15" t="str">
        <f>+CONCATENATE(E893,I893)</f>
        <v/>
      </c>
      <c r="R894" s="15">
        <f>+J893</f>
        <v>0</v>
      </c>
      <c r="S894" s="16"/>
      <c r="T894" s="15">
        <f>+E893</f>
        <v>0</v>
      </c>
      <c r="U894" s="26" t="str">
        <f>IFERROR(LEFT(I893,FIND("*",I893)-1),"-")</f>
        <v>-</v>
      </c>
      <c r="V894" s="26" t="str">
        <f>IFERROR(RIGHT(I893,LEN(I893)-FIND("*",I893)),"-")</f>
        <v>-</v>
      </c>
      <c r="W894" s="27" t="str">
        <f t="shared" ref="W894:W901" si="484">IFERROR((U894+V894)*2/1000,"-")</f>
        <v>-</v>
      </c>
      <c r="X894" s="27" t="str">
        <f>IFERROR(W894*J893,"-")</f>
        <v>-</v>
      </c>
      <c r="Z894" s="94" t="s">
        <v>82</v>
      </c>
    </row>
    <row r="895" spans="1:26" s="25" customFormat="1" ht="6.95" customHeight="1" x14ac:dyDescent="0.3">
      <c r="A895" s="165"/>
      <c r="B895" s="168"/>
      <c r="C895" s="169"/>
      <c r="D895" s="160"/>
      <c r="E895" s="161"/>
      <c r="F895" s="162"/>
      <c r="G895" s="163"/>
      <c r="H895" s="164"/>
      <c r="I895" s="163"/>
      <c r="J895" s="164"/>
      <c r="K895" s="163"/>
      <c r="L895" s="164"/>
      <c r="M895" s="11"/>
      <c r="N895" s="39"/>
      <c r="Q895" s="15" t="str">
        <f>+CONCATENATE(E893,K893)</f>
        <v/>
      </c>
      <c r="R895" s="15">
        <f>+L893</f>
        <v>0</v>
      </c>
      <c r="S895" s="16"/>
      <c r="T895" s="15">
        <f>+E893</f>
        <v>0</v>
      </c>
      <c r="U895" s="26" t="str">
        <f>IFERROR(LEFT(K893,FIND("*",K893)-1),"-")</f>
        <v>-</v>
      </c>
      <c r="V895" s="26" t="str">
        <f>IFERROR(RIGHT(K893,LEN(K893)-FIND("*",K893)),"-")</f>
        <v>-</v>
      </c>
      <c r="W895" s="27" t="str">
        <f t="shared" si="484"/>
        <v>-</v>
      </c>
      <c r="X895" s="27" t="str">
        <f>IFERROR(W895*L893,"-")</f>
        <v>-</v>
      </c>
      <c r="Z895" s="94" t="s">
        <v>82</v>
      </c>
    </row>
    <row r="896" spans="1:26" s="25" customFormat="1" ht="6.95" customHeight="1" x14ac:dyDescent="0.3">
      <c r="A896" s="13"/>
      <c r="B896" s="168"/>
      <c r="C896" s="169"/>
      <c r="D896" s="160" t="s">
        <v>39</v>
      </c>
      <c r="E896" s="161"/>
      <c r="F896" s="162" t="s">
        <v>40</v>
      </c>
      <c r="G896" s="163"/>
      <c r="H896" s="164"/>
      <c r="I896" s="163"/>
      <c r="J896" s="164"/>
      <c r="K896" s="163"/>
      <c r="L896" s="164"/>
      <c r="M896" s="11"/>
      <c r="N896" s="39"/>
      <c r="Q896" s="15" t="str">
        <f>+CONCATENATE(E896,G896)</f>
        <v/>
      </c>
      <c r="R896" s="15">
        <f>+H896</f>
        <v>0</v>
      </c>
      <c r="S896" s="16"/>
      <c r="T896" s="15">
        <f>+E896</f>
        <v>0</v>
      </c>
      <c r="U896" s="26" t="str">
        <f t="shared" ref="U896" si="485">IFERROR(LEFT(G896,FIND("*",G896)-1),"-")</f>
        <v>-</v>
      </c>
      <c r="V896" s="26" t="str">
        <f t="shared" ref="V896" si="486">IFERROR(RIGHT(G896,LEN(G896)-FIND("*",G896)),"-")</f>
        <v>-</v>
      </c>
      <c r="W896" s="27" t="str">
        <f t="shared" si="484"/>
        <v>-</v>
      </c>
      <c r="X896" s="27" t="str">
        <f>IFERROR(W896*H896,"-")</f>
        <v>-</v>
      </c>
      <c r="Z896" s="94" t="s">
        <v>82</v>
      </c>
    </row>
    <row r="897" spans="1:26" s="25" customFormat="1" ht="6.95" customHeight="1" x14ac:dyDescent="0.3">
      <c r="A897" s="10"/>
      <c r="B897" s="168"/>
      <c r="C897" s="169"/>
      <c r="D897" s="160"/>
      <c r="E897" s="161"/>
      <c r="F897" s="162"/>
      <c r="G897" s="163"/>
      <c r="H897" s="164"/>
      <c r="I897" s="163"/>
      <c r="J897" s="164"/>
      <c r="K897" s="163"/>
      <c r="L897" s="164"/>
      <c r="M897" s="11"/>
      <c r="N897" s="39"/>
      <c r="Q897" s="15" t="str">
        <f>+CONCATENATE(E896,I896)</f>
        <v/>
      </c>
      <c r="R897" s="15">
        <f>+J896</f>
        <v>0</v>
      </c>
      <c r="S897" s="16"/>
      <c r="T897" s="15">
        <f>+E896</f>
        <v>0</v>
      </c>
      <c r="U897" s="26" t="str">
        <f>IFERROR(LEFT(I896,FIND("*",I896)-1),"-")</f>
        <v>-</v>
      </c>
      <c r="V897" s="26" t="str">
        <f>IFERROR(RIGHT(I896,LEN(I896)-FIND("*",I896)),"-")</f>
        <v>-</v>
      </c>
      <c r="W897" s="27" t="str">
        <f t="shared" si="484"/>
        <v>-</v>
      </c>
      <c r="X897" s="27" t="str">
        <f>IFERROR(W897*J896,"-")</f>
        <v>-</v>
      </c>
      <c r="Z897" s="94" t="s">
        <v>82</v>
      </c>
    </row>
    <row r="898" spans="1:26" s="25" customFormat="1" ht="6.95" customHeight="1" x14ac:dyDescent="0.3">
      <c r="A898" s="10"/>
      <c r="B898" s="168"/>
      <c r="C898" s="169"/>
      <c r="D898" s="160"/>
      <c r="E898" s="161"/>
      <c r="F898" s="162"/>
      <c r="G898" s="163"/>
      <c r="H898" s="164"/>
      <c r="I898" s="163"/>
      <c r="J898" s="164"/>
      <c r="K898" s="163"/>
      <c r="L898" s="164"/>
      <c r="M898" s="11"/>
      <c r="N898" s="39"/>
      <c r="Q898" s="15" t="str">
        <f>+CONCATENATE(E896,K896)</f>
        <v/>
      </c>
      <c r="R898" s="15">
        <f>+L896</f>
        <v>0</v>
      </c>
      <c r="S898" s="16"/>
      <c r="T898" s="15">
        <f>+E896</f>
        <v>0</v>
      </c>
      <c r="U898" s="26" t="str">
        <f>IFERROR(LEFT(K896,FIND("*",K896)-1),"-")</f>
        <v>-</v>
      </c>
      <c r="V898" s="26" t="str">
        <f>IFERROR(RIGHT(K896,LEN(K896)-FIND("*",K896)),"-")</f>
        <v>-</v>
      </c>
      <c r="W898" s="27" t="str">
        <f t="shared" si="484"/>
        <v>-</v>
      </c>
      <c r="X898" s="27" t="str">
        <f>IFERROR(W898*L896,"-")</f>
        <v>-</v>
      </c>
      <c r="Z898" s="94" t="s">
        <v>82</v>
      </c>
    </row>
    <row r="899" spans="1:26" s="25" customFormat="1" ht="6.95" customHeight="1" x14ac:dyDescent="0.3">
      <c r="A899" s="13"/>
      <c r="B899" s="168"/>
      <c r="C899" s="169"/>
      <c r="D899" s="160" t="s">
        <v>39</v>
      </c>
      <c r="E899" s="161"/>
      <c r="F899" s="162" t="s">
        <v>40</v>
      </c>
      <c r="G899" s="163"/>
      <c r="H899" s="164"/>
      <c r="I899" s="163"/>
      <c r="J899" s="164"/>
      <c r="K899" s="163"/>
      <c r="L899" s="164"/>
      <c r="M899" s="11"/>
      <c r="N899" s="39"/>
      <c r="Q899" s="15" t="str">
        <f>+CONCATENATE(E899,G899)</f>
        <v/>
      </c>
      <c r="R899" s="15">
        <f>+H899</f>
        <v>0</v>
      </c>
      <c r="S899" s="16"/>
      <c r="T899" s="15">
        <f>+E899</f>
        <v>0</v>
      </c>
      <c r="U899" s="26" t="str">
        <f t="shared" ref="U899" si="487">IFERROR(LEFT(G899,FIND("*",G899)-1),"-")</f>
        <v>-</v>
      </c>
      <c r="V899" s="26" t="str">
        <f t="shared" ref="V899" si="488">IFERROR(RIGHT(G899,LEN(G899)-FIND("*",G899)),"-")</f>
        <v>-</v>
      </c>
      <c r="W899" s="27" t="str">
        <f t="shared" si="484"/>
        <v>-</v>
      </c>
      <c r="X899" s="27" t="str">
        <f>IFERROR(W899*H899,"-")</f>
        <v>-</v>
      </c>
      <c r="Z899" s="94" t="s">
        <v>82</v>
      </c>
    </row>
    <row r="900" spans="1:26" s="25" customFormat="1" ht="6.95" customHeight="1" x14ac:dyDescent="0.3">
      <c r="A900" s="10"/>
      <c r="B900" s="168"/>
      <c r="C900" s="169"/>
      <c r="D900" s="160"/>
      <c r="E900" s="161"/>
      <c r="F900" s="162"/>
      <c r="G900" s="163"/>
      <c r="H900" s="164"/>
      <c r="I900" s="163"/>
      <c r="J900" s="164"/>
      <c r="K900" s="163"/>
      <c r="L900" s="164"/>
      <c r="M900" s="11"/>
      <c r="N900" s="39"/>
      <c r="Q900" s="15" t="str">
        <f>+CONCATENATE(E899,I899)</f>
        <v/>
      </c>
      <c r="R900" s="15">
        <f>+J899</f>
        <v>0</v>
      </c>
      <c r="S900" s="16"/>
      <c r="T900" s="15">
        <f>+E899</f>
        <v>0</v>
      </c>
      <c r="U900" s="26" t="str">
        <f>IFERROR(LEFT(I899,FIND("*",I899)-1),"-")</f>
        <v>-</v>
      </c>
      <c r="V900" s="26" t="str">
        <f>IFERROR(RIGHT(I899,LEN(I899)-FIND("*",I899)),"-")</f>
        <v>-</v>
      </c>
      <c r="W900" s="27" t="str">
        <f t="shared" si="484"/>
        <v>-</v>
      </c>
      <c r="X900" s="27" t="str">
        <f t="shared" ref="X900" si="489">IFERROR(W900*J899,"-")</f>
        <v>-</v>
      </c>
      <c r="Z900" s="94" t="s">
        <v>82</v>
      </c>
    </row>
    <row r="901" spans="1:26" s="25" customFormat="1" ht="6.95" customHeight="1" x14ac:dyDescent="0.3">
      <c r="A901" s="10"/>
      <c r="B901" s="168"/>
      <c r="C901" s="169"/>
      <c r="D901" s="160"/>
      <c r="E901" s="161"/>
      <c r="F901" s="162"/>
      <c r="G901" s="163"/>
      <c r="H901" s="164"/>
      <c r="I901" s="163"/>
      <c r="J901" s="164"/>
      <c r="K901" s="163"/>
      <c r="L901" s="164"/>
      <c r="M901" s="11"/>
      <c r="N901" s="39"/>
      <c r="Q901" s="15" t="str">
        <f>+CONCATENATE(E899,K899)</f>
        <v/>
      </c>
      <c r="R901" s="15">
        <f>+L899</f>
        <v>0</v>
      </c>
      <c r="S901" s="16"/>
      <c r="T901" s="15">
        <f>+E899</f>
        <v>0</v>
      </c>
      <c r="U901" s="26" t="str">
        <f>IFERROR(LEFT(K899,FIND("*",K899)-1),"-")</f>
        <v>-</v>
      </c>
      <c r="V901" s="26" t="str">
        <f>IFERROR(RIGHT(K899,LEN(K899)-FIND("*",K899)),"-")</f>
        <v>-</v>
      </c>
      <c r="W901" s="27" t="str">
        <f t="shared" si="484"/>
        <v>-</v>
      </c>
      <c r="X901" s="27" t="str">
        <f>IFERROR(W901*L899,"-")</f>
        <v>-</v>
      </c>
      <c r="Z901" s="94" t="s">
        <v>82</v>
      </c>
    </row>
    <row r="902" spans="1:26" s="25" customFormat="1" ht="21" customHeight="1" thickBot="1" x14ac:dyDescent="0.35">
      <c r="A902" s="10"/>
      <c r="B902" s="170"/>
      <c r="C902" s="171"/>
      <c r="D902" s="172" t="s">
        <v>43</v>
      </c>
      <c r="E902" s="173"/>
      <c r="F902" s="173"/>
      <c r="G902" s="174"/>
      <c r="H902" s="174"/>
      <c r="I902" s="174"/>
      <c r="J902" s="174"/>
      <c r="K902" s="174"/>
      <c r="L902" s="174"/>
      <c r="M902" s="12"/>
      <c r="N902" s="39"/>
      <c r="U902" s="23"/>
      <c r="V902" s="23"/>
      <c r="Z902" s="95" t="s">
        <v>81</v>
      </c>
    </row>
    <row r="903" spans="1:26" s="25" customFormat="1" ht="9.9499999999999993" customHeight="1" thickBot="1" x14ac:dyDescent="0.35">
      <c r="A903" s="6"/>
      <c r="B903" s="14"/>
      <c r="C903" s="119"/>
      <c r="D903" s="58"/>
      <c r="E903" s="17"/>
      <c r="F903" s="58"/>
      <c r="G903" s="19"/>
      <c r="H903" s="19"/>
      <c r="I903" s="19"/>
      <c r="J903" s="19"/>
      <c r="K903" s="19"/>
      <c r="L903" s="19"/>
      <c r="M903" s="14"/>
      <c r="N903" s="39"/>
      <c r="Q903" s="1"/>
      <c r="R903" s="1"/>
      <c r="S903" s="1"/>
      <c r="T903" s="1"/>
      <c r="U903" s="24"/>
      <c r="V903" s="24"/>
      <c r="W903" s="1"/>
      <c r="X903" s="1"/>
      <c r="Z903" s="94" t="s">
        <v>82</v>
      </c>
    </row>
    <row r="904" spans="1:26" s="25" customFormat="1" ht="6.95" customHeight="1" x14ac:dyDescent="0.3">
      <c r="A904" s="165">
        <f>+A893+1</f>
        <v>83</v>
      </c>
      <c r="B904" s="166"/>
      <c r="C904" s="167"/>
      <c r="D904" s="160" t="s">
        <v>39</v>
      </c>
      <c r="E904" s="161"/>
      <c r="F904" s="162" t="s">
        <v>40</v>
      </c>
      <c r="G904" s="163"/>
      <c r="H904" s="164"/>
      <c r="I904" s="163"/>
      <c r="J904" s="164"/>
      <c r="K904" s="163"/>
      <c r="L904" s="164"/>
      <c r="M904" s="11"/>
      <c r="N904" s="39"/>
      <c r="Q904" s="15" t="str">
        <f>+CONCATENATE(E904,G904)</f>
        <v/>
      </c>
      <c r="R904" s="15">
        <f>+H904</f>
        <v>0</v>
      </c>
      <c r="S904" s="16"/>
      <c r="T904" s="15">
        <f>+E904</f>
        <v>0</v>
      </c>
      <c r="U904" s="26" t="str">
        <f>IFERROR(LEFT(G904,FIND("*",G904)-1),"-")</f>
        <v>-</v>
      </c>
      <c r="V904" s="26" t="str">
        <f>IFERROR(RIGHT(G904,LEN(G904)-FIND("*",G904)),"-")</f>
        <v>-</v>
      </c>
      <c r="W904" s="27" t="str">
        <f>IFERROR((U904+V904)*2/1000,"-")</f>
        <v>-</v>
      </c>
      <c r="X904" s="27" t="str">
        <f>IFERROR(W904*H904,"-")</f>
        <v>-</v>
      </c>
      <c r="Z904" s="94" t="s">
        <v>82</v>
      </c>
    </row>
    <row r="905" spans="1:26" s="25" customFormat="1" ht="6.95" customHeight="1" x14ac:dyDescent="0.3">
      <c r="A905" s="165"/>
      <c r="B905" s="168"/>
      <c r="C905" s="169"/>
      <c r="D905" s="160"/>
      <c r="E905" s="161"/>
      <c r="F905" s="162"/>
      <c r="G905" s="163"/>
      <c r="H905" s="164"/>
      <c r="I905" s="163"/>
      <c r="J905" s="164"/>
      <c r="K905" s="163"/>
      <c r="L905" s="164"/>
      <c r="M905" s="11"/>
      <c r="N905" s="39"/>
      <c r="Q905" s="15" t="str">
        <f>+CONCATENATE(E904,I904)</f>
        <v/>
      </c>
      <c r="R905" s="15">
        <f>+J904</f>
        <v>0</v>
      </c>
      <c r="S905" s="16"/>
      <c r="T905" s="15">
        <f>+E904</f>
        <v>0</v>
      </c>
      <c r="U905" s="26" t="str">
        <f>IFERROR(LEFT(I904,FIND("*",I904)-1),"-")</f>
        <v>-</v>
      </c>
      <c r="V905" s="26" t="str">
        <f>IFERROR(RIGHT(I904,LEN(I904)-FIND("*",I904)),"-")</f>
        <v>-</v>
      </c>
      <c r="W905" s="27" t="str">
        <f t="shared" ref="W905:W912" si="490">IFERROR((U905+V905)*2/1000,"-")</f>
        <v>-</v>
      </c>
      <c r="X905" s="27" t="str">
        <f>IFERROR(W905*J904,"-")</f>
        <v>-</v>
      </c>
      <c r="Z905" s="94" t="s">
        <v>82</v>
      </c>
    </row>
    <row r="906" spans="1:26" s="25" customFormat="1" ht="6.95" customHeight="1" x14ac:dyDescent="0.3">
      <c r="A906" s="165"/>
      <c r="B906" s="168"/>
      <c r="C906" s="169"/>
      <c r="D906" s="160"/>
      <c r="E906" s="161"/>
      <c r="F906" s="162"/>
      <c r="G906" s="163"/>
      <c r="H906" s="164"/>
      <c r="I906" s="163"/>
      <c r="J906" s="164"/>
      <c r="K906" s="163"/>
      <c r="L906" s="164"/>
      <c r="M906" s="11"/>
      <c r="N906" s="39"/>
      <c r="Q906" s="15" t="str">
        <f>+CONCATENATE(E904,K904)</f>
        <v/>
      </c>
      <c r="R906" s="15">
        <f>+L904</f>
        <v>0</v>
      </c>
      <c r="S906" s="16"/>
      <c r="T906" s="15">
        <f>+E904</f>
        <v>0</v>
      </c>
      <c r="U906" s="26" t="str">
        <f>IFERROR(LEFT(K904,FIND("*",K904)-1),"-")</f>
        <v>-</v>
      </c>
      <c r="V906" s="26" t="str">
        <f>IFERROR(RIGHT(K904,LEN(K904)-FIND("*",K904)),"-")</f>
        <v>-</v>
      </c>
      <c r="W906" s="27" t="str">
        <f t="shared" si="490"/>
        <v>-</v>
      </c>
      <c r="X906" s="27" t="str">
        <f>IFERROR(W906*L904,"-")</f>
        <v>-</v>
      </c>
      <c r="Z906" s="94" t="s">
        <v>82</v>
      </c>
    </row>
    <row r="907" spans="1:26" s="25" customFormat="1" ht="6.95" customHeight="1" x14ac:dyDescent="0.3">
      <c r="A907" s="13"/>
      <c r="B907" s="168"/>
      <c r="C907" s="169"/>
      <c r="D907" s="160" t="s">
        <v>39</v>
      </c>
      <c r="E907" s="161"/>
      <c r="F907" s="162" t="s">
        <v>40</v>
      </c>
      <c r="G907" s="163"/>
      <c r="H907" s="164"/>
      <c r="I907" s="163"/>
      <c r="J907" s="164"/>
      <c r="K907" s="163"/>
      <c r="L907" s="164"/>
      <c r="M907" s="11"/>
      <c r="N907" s="39"/>
      <c r="Q907" s="15" t="str">
        <f>+CONCATENATE(E907,G907)</f>
        <v/>
      </c>
      <c r="R907" s="15">
        <f>+H907</f>
        <v>0</v>
      </c>
      <c r="S907" s="16"/>
      <c r="T907" s="15">
        <f>+E907</f>
        <v>0</v>
      </c>
      <c r="U907" s="26" t="str">
        <f t="shared" ref="U907" si="491">IFERROR(LEFT(G907,FIND("*",G907)-1),"-")</f>
        <v>-</v>
      </c>
      <c r="V907" s="26" t="str">
        <f t="shared" ref="V907" si="492">IFERROR(RIGHT(G907,LEN(G907)-FIND("*",G907)),"-")</f>
        <v>-</v>
      </c>
      <c r="W907" s="27" t="str">
        <f t="shared" si="490"/>
        <v>-</v>
      </c>
      <c r="X907" s="27" t="str">
        <f>IFERROR(W907*H907,"-")</f>
        <v>-</v>
      </c>
      <c r="Z907" s="94" t="s">
        <v>82</v>
      </c>
    </row>
    <row r="908" spans="1:26" s="25" customFormat="1" ht="6.95" customHeight="1" x14ac:dyDescent="0.3">
      <c r="A908" s="10"/>
      <c r="B908" s="168"/>
      <c r="C908" s="169"/>
      <c r="D908" s="160"/>
      <c r="E908" s="161"/>
      <c r="F908" s="162"/>
      <c r="G908" s="163"/>
      <c r="H908" s="164"/>
      <c r="I908" s="163"/>
      <c r="J908" s="164"/>
      <c r="K908" s="163"/>
      <c r="L908" s="164"/>
      <c r="M908" s="11"/>
      <c r="N908" s="39"/>
      <c r="Q908" s="15" t="str">
        <f>+CONCATENATE(E907,I907)</f>
        <v/>
      </c>
      <c r="R908" s="15">
        <f>+J907</f>
        <v>0</v>
      </c>
      <c r="S908" s="16"/>
      <c r="T908" s="15">
        <f>+E907</f>
        <v>0</v>
      </c>
      <c r="U908" s="26" t="str">
        <f>IFERROR(LEFT(I907,FIND("*",I907)-1),"-")</f>
        <v>-</v>
      </c>
      <c r="V908" s="26" t="str">
        <f>IFERROR(RIGHT(I907,LEN(I907)-FIND("*",I907)),"-")</f>
        <v>-</v>
      </c>
      <c r="W908" s="27" t="str">
        <f t="shared" si="490"/>
        <v>-</v>
      </c>
      <c r="X908" s="27" t="str">
        <f>IFERROR(W908*J907,"-")</f>
        <v>-</v>
      </c>
      <c r="Z908" s="94" t="s">
        <v>82</v>
      </c>
    </row>
    <row r="909" spans="1:26" s="25" customFormat="1" ht="6.95" customHeight="1" x14ac:dyDescent="0.3">
      <c r="A909" s="10"/>
      <c r="B909" s="168"/>
      <c r="C909" s="169"/>
      <c r="D909" s="160"/>
      <c r="E909" s="161"/>
      <c r="F909" s="162"/>
      <c r="G909" s="163"/>
      <c r="H909" s="164"/>
      <c r="I909" s="163"/>
      <c r="J909" s="164"/>
      <c r="K909" s="163"/>
      <c r="L909" s="164"/>
      <c r="M909" s="11"/>
      <c r="N909" s="39"/>
      <c r="Q909" s="15" t="str">
        <f>+CONCATENATE(E907,K907)</f>
        <v/>
      </c>
      <c r="R909" s="15">
        <f>+L907</f>
        <v>0</v>
      </c>
      <c r="S909" s="16"/>
      <c r="T909" s="15">
        <f>+E907</f>
        <v>0</v>
      </c>
      <c r="U909" s="26" t="str">
        <f>IFERROR(LEFT(K907,FIND("*",K907)-1),"-")</f>
        <v>-</v>
      </c>
      <c r="V909" s="26" t="str">
        <f>IFERROR(RIGHT(K907,LEN(K907)-FIND("*",K907)),"-")</f>
        <v>-</v>
      </c>
      <c r="W909" s="27" t="str">
        <f t="shared" si="490"/>
        <v>-</v>
      </c>
      <c r="X909" s="27" t="str">
        <f>IFERROR(W909*L907,"-")</f>
        <v>-</v>
      </c>
      <c r="Z909" s="94" t="s">
        <v>82</v>
      </c>
    </row>
    <row r="910" spans="1:26" s="25" customFormat="1" ht="6.95" customHeight="1" x14ac:dyDescent="0.3">
      <c r="A910" s="13"/>
      <c r="B910" s="168"/>
      <c r="C910" s="169"/>
      <c r="D910" s="160" t="s">
        <v>39</v>
      </c>
      <c r="E910" s="161"/>
      <c r="F910" s="162" t="s">
        <v>40</v>
      </c>
      <c r="G910" s="163"/>
      <c r="H910" s="164"/>
      <c r="I910" s="163"/>
      <c r="J910" s="164"/>
      <c r="K910" s="163"/>
      <c r="L910" s="164"/>
      <c r="M910" s="11"/>
      <c r="N910" s="39"/>
      <c r="Q910" s="15" t="str">
        <f>+CONCATENATE(E910,G910)</f>
        <v/>
      </c>
      <c r="R910" s="15">
        <f>+H910</f>
        <v>0</v>
      </c>
      <c r="S910" s="16"/>
      <c r="T910" s="15">
        <f>+E910</f>
        <v>0</v>
      </c>
      <c r="U910" s="26" t="str">
        <f t="shared" ref="U910" si="493">IFERROR(LEFT(G910,FIND("*",G910)-1),"-")</f>
        <v>-</v>
      </c>
      <c r="V910" s="26" t="str">
        <f t="shared" ref="V910" si="494">IFERROR(RIGHT(G910,LEN(G910)-FIND("*",G910)),"-")</f>
        <v>-</v>
      </c>
      <c r="W910" s="27" t="str">
        <f t="shared" si="490"/>
        <v>-</v>
      </c>
      <c r="X910" s="27" t="str">
        <f>IFERROR(W910*H910,"-")</f>
        <v>-</v>
      </c>
      <c r="Z910" s="94" t="s">
        <v>82</v>
      </c>
    </row>
    <row r="911" spans="1:26" s="25" customFormat="1" ht="6.95" customHeight="1" x14ac:dyDescent="0.3">
      <c r="A911" s="10"/>
      <c r="B911" s="168"/>
      <c r="C911" s="169"/>
      <c r="D911" s="160"/>
      <c r="E911" s="161"/>
      <c r="F911" s="162"/>
      <c r="G911" s="163"/>
      <c r="H911" s="164"/>
      <c r="I911" s="163"/>
      <c r="J911" s="164"/>
      <c r="K911" s="163"/>
      <c r="L911" s="164"/>
      <c r="M911" s="11"/>
      <c r="N911" s="39"/>
      <c r="Q911" s="15" t="str">
        <f>+CONCATENATE(E910,I910)</f>
        <v/>
      </c>
      <c r="R911" s="15">
        <f>+J910</f>
        <v>0</v>
      </c>
      <c r="S911" s="16"/>
      <c r="T911" s="15">
        <f>+E910</f>
        <v>0</v>
      </c>
      <c r="U911" s="26" t="str">
        <f>IFERROR(LEFT(I910,FIND("*",I910)-1),"-")</f>
        <v>-</v>
      </c>
      <c r="V911" s="26" t="str">
        <f>IFERROR(RIGHT(I910,LEN(I910)-FIND("*",I910)),"-")</f>
        <v>-</v>
      </c>
      <c r="W911" s="27" t="str">
        <f t="shared" si="490"/>
        <v>-</v>
      </c>
      <c r="X911" s="27" t="str">
        <f t="shared" ref="X911" si="495">IFERROR(W911*J910,"-")</f>
        <v>-</v>
      </c>
      <c r="Z911" s="94" t="s">
        <v>82</v>
      </c>
    </row>
    <row r="912" spans="1:26" s="25" customFormat="1" ht="6.95" customHeight="1" x14ac:dyDescent="0.3">
      <c r="A912" s="10"/>
      <c r="B912" s="168"/>
      <c r="C912" s="169"/>
      <c r="D912" s="160"/>
      <c r="E912" s="161"/>
      <c r="F912" s="162"/>
      <c r="G912" s="163"/>
      <c r="H912" s="164"/>
      <c r="I912" s="163"/>
      <c r="J912" s="164"/>
      <c r="K912" s="163"/>
      <c r="L912" s="164"/>
      <c r="M912" s="11"/>
      <c r="N912" s="39"/>
      <c r="Q912" s="15" t="str">
        <f>+CONCATENATE(E910,K910)</f>
        <v/>
      </c>
      <c r="R912" s="15">
        <f>+L910</f>
        <v>0</v>
      </c>
      <c r="S912" s="16"/>
      <c r="T912" s="15">
        <f>+E910</f>
        <v>0</v>
      </c>
      <c r="U912" s="26" t="str">
        <f>IFERROR(LEFT(K910,FIND("*",K910)-1),"-")</f>
        <v>-</v>
      </c>
      <c r="V912" s="26" t="str">
        <f>IFERROR(RIGHT(K910,LEN(K910)-FIND("*",K910)),"-")</f>
        <v>-</v>
      </c>
      <c r="W912" s="27" t="str">
        <f t="shared" si="490"/>
        <v>-</v>
      </c>
      <c r="X912" s="27" t="str">
        <f>IFERROR(W912*L910,"-")</f>
        <v>-</v>
      </c>
      <c r="Z912" s="94" t="s">
        <v>82</v>
      </c>
    </row>
    <row r="913" spans="1:26" s="25" customFormat="1" ht="21" customHeight="1" thickBot="1" x14ac:dyDescent="0.35">
      <c r="A913" s="10"/>
      <c r="B913" s="170"/>
      <c r="C913" s="171"/>
      <c r="D913" s="172" t="s">
        <v>43</v>
      </c>
      <c r="E913" s="173"/>
      <c r="F913" s="173"/>
      <c r="G913" s="174"/>
      <c r="H913" s="174"/>
      <c r="I913" s="174"/>
      <c r="J913" s="174"/>
      <c r="K913" s="174"/>
      <c r="L913" s="174"/>
      <c r="M913" s="12"/>
      <c r="N913" s="39"/>
      <c r="U913" s="23"/>
      <c r="V913" s="23"/>
      <c r="Z913" s="95" t="s">
        <v>81</v>
      </c>
    </row>
    <row r="914" spans="1:26" s="25" customFormat="1" ht="9.9499999999999993" customHeight="1" thickBot="1" x14ac:dyDescent="0.35">
      <c r="A914" s="6"/>
      <c r="B914" s="14"/>
      <c r="C914" s="119"/>
      <c r="D914" s="58"/>
      <c r="E914" s="17"/>
      <c r="F914" s="58"/>
      <c r="G914" s="19"/>
      <c r="H914" s="19"/>
      <c r="I914" s="19"/>
      <c r="J914" s="19"/>
      <c r="K914" s="19"/>
      <c r="L914" s="19"/>
      <c r="M914" s="14"/>
      <c r="N914" s="39"/>
      <c r="Q914" s="1"/>
      <c r="R914" s="1"/>
      <c r="S914" s="1"/>
      <c r="T914" s="1"/>
      <c r="U914" s="24"/>
      <c r="V914" s="24"/>
      <c r="W914" s="1"/>
      <c r="X914" s="1"/>
      <c r="Z914" s="94" t="s">
        <v>82</v>
      </c>
    </row>
    <row r="915" spans="1:26" s="25" customFormat="1" ht="6.95" customHeight="1" x14ac:dyDescent="0.3">
      <c r="A915" s="165">
        <f>+A904+1</f>
        <v>84</v>
      </c>
      <c r="B915" s="166"/>
      <c r="C915" s="167"/>
      <c r="D915" s="160" t="s">
        <v>39</v>
      </c>
      <c r="E915" s="161"/>
      <c r="F915" s="162" t="s">
        <v>40</v>
      </c>
      <c r="G915" s="163"/>
      <c r="H915" s="164"/>
      <c r="I915" s="163"/>
      <c r="J915" s="164"/>
      <c r="K915" s="163"/>
      <c r="L915" s="164"/>
      <c r="M915" s="11"/>
      <c r="N915" s="39"/>
      <c r="Q915" s="15" t="str">
        <f>+CONCATENATE(E915,G915)</f>
        <v/>
      </c>
      <c r="R915" s="15">
        <f>+H915</f>
        <v>0</v>
      </c>
      <c r="S915" s="16"/>
      <c r="T915" s="15">
        <f>+E915</f>
        <v>0</v>
      </c>
      <c r="U915" s="26" t="str">
        <f>IFERROR(LEFT(G915,FIND("*",G915)-1),"-")</f>
        <v>-</v>
      </c>
      <c r="V915" s="26" t="str">
        <f>IFERROR(RIGHT(G915,LEN(G915)-FIND("*",G915)),"-")</f>
        <v>-</v>
      </c>
      <c r="W915" s="27" t="str">
        <f>IFERROR((U915+V915)*2/1000,"-")</f>
        <v>-</v>
      </c>
      <c r="X915" s="27" t="str">
        <f>IFERROR(W915*H915,"-")</f>
        <v>-</v>
      </c>
      <c r="Z915" s="94" t="s">
        <v>82</v>
      </c>
    </row>
    <row r="916" spans="1:26" s="25" customFormat="1" ht="6.95" customHeight="1" x14ac:dyDescent="0.3">
      <c r="A916" s="165"/>
      <c r="B916" s="168"/>
      <c r="C916" s="169"/>
      <c r="D916" s="160"/>
      <c r="E916" s="161"/>
      <c r="F916" s="162"/>
      <c r="G916" s="163"/>
      <c r="H916" s="164"/>
      <c r="I916" s="163"/>
      <c r="J916" s="164"/>
      <c r="K916" s="163"/>
      <c r="L916" s="164"/>
      <c r="M916" s="11"/>
      <c r="N916" s="39"/>
      <c r="Q916" s="15" t="str">
        <f>+CONCATENATE(E915,I915)</f>
        <v/>
      </c>
      <c r="R916" s="15">
        <f>+J915</f>
        <v>0</v>
      </c>
      <c r="S916" s="16"/>
      <c r="T916" s="15">
        <f>+E915</f>
        <v>0</v>
      </c>
      <c r="U916" s="26" t="str">
        <f>IFERROR(LEFT(I915,FIND("*",I915)-1),"-")</f>
        <v>-</v>
      </c>
      <c r="V916" s="26" t="str">
        <f>IFERROR(RIGHT(I915,LEN(I915)-FIND("*",I915)),"-")</f>
        <v>-</v>
      </c>
      <c r="W916" s="27" t="str">
        <f t="shared" ref="W916:W923" si="496">IFERROR((U916+V916)*2/1000,"-")</f>
        <v>-</v>
      </c>
      <c r="X916" s="27" t="str">
        <f>IFERROR(W916*J915,"-")</f>
        <v>-</v>
      </c>
      <c r="Z916" s="94" t="s">
        <v>82</v>
      </c>
    </row>
    <row r="917" spans="1:26" s="25" customFormat="1" ht="6.95" customHeight="1" x14ac:dyDescent="0.3">
      <c r="A917" s="165"/>
      <c r="B917" s="168"/>
      <c r="C917" s="169"/>
      <c r="D917" s="160"/>
      <c r="E917" s="161"/>
      <c r="F917" s="162"/>
      <c r="G917" s="163"/>
      <c r="H917" s="164"/>
      <c r="I917" s="163"/>
      <c r="J917" s="164"/>
      <c r="K917" s="163"/>
      <c r="L917" s="164"/>
      <c r="M917" s="11"/>
      <c r="N917" s="39"/>
      <c r="Q917" s="15" t="str">
        <f>+CONCATENATE(E915,K915)</f>
        <v/>
      </c>
      <c r="R917" s="15">
        <f>+L915</f>
        <v>0</v>
      </c>
      <c r="S917" s="16"/>
      <c r="T917" s="15">
        <f>+E915</f>
        <v>0</v>
      </c>
      <c r="U917" s="26" t="str">
        <f>IFERROR(LEFT(K915,FIND("*",K915)-1),"-")</f>
        <v>-</v>
      </c>
      <c r="V917" s="26" t="str">
        <f>IFERROR(RIGHT(K915,LEN(K915)-FIND("*",K915)),"-")</f>
        <v>-</v>
      </c>
      <c r="W917" s="27" t="str">
        <f t="shared" si="496"/>
        <v>-</v>
      </c>
      <c r="X917" s="27" t="str">
        <f>IFERROR(W917*L915,"-")</f>
        <v>-</v>
      </c>
      <c r="Z917" s="94" t="s">
        <v>82</v>
      </c>
    </row>
    <row r="918" spans="1:26" s="25" customFormat="1" ht="6.95" customHeight="1" x14ac:dyDescent="0.3">
      <c r="A918" s="13"/>
      <c r="B918" s="168"/>
      <c r="C918" s="169"/>
      <c r="D918" s="160" t="s">
        <v>39</v>
      </c>
      <c r="E918" s="161"/>
      <c r="F918" s="162" t="s">
        <v>40</v>
      </c>
      <c r="G918" s="163"/>
      <c r="H918" s="164"/>
      <c r="I918" s="163"/>
      <c r="J918" s="164"/>
      <c r="K918" s="163"/>
      <c r="L918" s="164"/>
      <c r="M918" s="11"/>
      <c r="N918" s="39"/>
      <c r="Q918" s="15" t="str">
        <f>+CONCATENATE(E918,G918)</f>
        <v/>
      </c>
      <c r="R918" s="15">
        <f>+H918</f>
        <v>0</v>
      </c>
      <c r="S918" s="16"/>
      <c r="T918" s="15">
        <f>+E918</f>
        <v>0</v>
      </c>
      <c r="U918" s="26" t="str">
        <f t="shared" ref="U918" si="497">IFERROR(LEFT(G918,FIND("*",G918)-1),"-")</f>
        <v>-</v>
      </c>
      <c r="V918" s="26" t="str">
        <f t="shared" ref="V918" si="498">IFERROR(RIGHT(G918,LEN(G918)-FIND("*",G918)),"-")</f>
        <v>-</v>
      </c>
      <c r="W918" s="27" t="str">
        <f t="shared" si="496"/>
        <v>-</v>
      </c>
      <c r="X918" s="27" t="str">
        <f>IFERROR(W918*H918,"-")</f>
        <v>-</v>
      </c>
      <c r="Z918" s="94" t="s">
        <v>82</v>
      </c>
    </row>
    <row r="919" spans="1:26" s="25" customFormat="1" ht="6.95" customHeight="1" x14ac:dyDescent="0.3">
      <c r="A919" s="10"/>
      <c r="B919" s="168"/>
      <c r="C919" s="169"/>
      <c r="D919" s="160"/>
      <c r="E919" s="161"/>
      <c r="F919" s="162"/>
      <c r="G919" s="163"/>
      <c r="H919" s="164"/>
      <c r="I919" s="163"/>
      <c r="J919" s="164"/>
      <c r="K919" s="163"/>
      <c r="L919" s="164"/>
      <c r="M919" s="11"/>
      <c r="N919" s="39"/>
      <c r="Q919" s="15" t="str">
        <f>+CONCATENATE(E918,I918)</f>
        <v/>
      </c>
      <c r="R919" s="15">
        <f>+J918</f>
        <v>0</v>
      </c>
      <c r="S919" s="16"/>
      <c r="T919" s="15">
        <f>+E918</f>
        <v>0</v>
      </c>
      <c r="U919" s="26" t="str">
        <f>IFERROR(LEFT(I918,FIND("*",I918)-1),"-")</f>
        <v>-</v>
      </c>
      <c r="V919" s="26" t="str">
        <f>IFERROR(RIGHT(I918,LEN(I918)-FIND("*",I918)),"-")</f>
        <v>-</v>
      </c>
      <c r="W919" s="27" t="str">
        <f t="shared" si="496"/>
        <v>-</v>
      </c>
      <c r="X919" s="27" t="str">
        <f>IFERROR(W919*J918,"-")</f>
        <v>-</v>
      </c>
      <c r="Z919" s="94" t="s">
        <v>82</v>
      </c>
    </row>
    <row r="920" spans="1:26" s="25" customFormat="1" ht="6.95" customHeight="1" x14ac:dyDescent="0.3">
      <c r="A920" s="10"/>
      <c r="B920" s="168"/>
      <c r="C920" s="169"/>
      <c r="D920" s="160"/>
      <c r="E920" s="161"/>
      <c r="F920" s="162"/>
      <c r="G920" s="163"/>
      <c r="H920" s="164"/>
      <c r="I920" s="163"/>
      <c r="J920" s="164"/>
      <c r="K920" s="163"/>
      <c r="L920" s="164"/>
      <c r="M920" s="11"/>
      <c r="N920" s="39"/>
      <c r="Q920" s="15" t="str">
        <f>+CONCATENATE(E918,K918)</f>
        <v/>
      </c>
      <c r="R920" s="15">
        <f>+L918</f>
        <v>0</v>
      </c>
      <c r="S920" s="16"/>
      <c r="T920" s="15">
        <f>+E918</f>
        <v>0</v>
      </c>
      <c r="U920" s="26" t="str">
        <f>IFERROR(LEFT(K918,FIND("*",K918)-1),"-")</f>
        <v>-</v>
      </c>
      <c r="V920" s="26" t="str">
        <f>IFERROR(RIGHT(K918,LEN(K918)-FIND("*",K918)),"-")</f>
        <v>-</v>
      </c>
      <c r="W920" s="27" t="str">
        <f t="shared" si="496"/>
        <v>-</v>
      </c>
      <c r="X920" s="27" t="str">
        <f>IFERROR(W920*L918,"-")</f>
        <v>-</v>
      </c>
      <c r="Z920" s="94" t="s">
        <v>82</v>
      </c>
    </row>
    <row r="921" spans="1:26" s="25" customFormat="1" ht="6.95" customHeight="1" x14ac:dyDescent="0.3">
      <c r="A921" s="13"/>
      <c r="B921" s="168"/>
      <c r="C921" s="169"/>
      <c r="D921" s="160" t="s">
        <v>39</v>
      </c>
      <c r="E921" s="161"/>
      <c r="F921" s="162" t="s">
        <v>40</v>
      </c>
      <c r="G921" s="163"/>
      <c r="H921" s="164"/>
      <c r="I921" s="163"/>
      <c r="J921" s="164"/>
      <c r="K921" s="163"/>
      <c r="L921" s="164"/>
      <c r="M921" s="11"/>
      <c r="N921" s="39"/>
      <c r="Q921" s="15" t="str">
        <f>+CONCATENATE(E921,G921)</f>
        <v/>
      </c>
      <c r="R921" s="15">
        <f>+H921</f>
        <v>0</v>
      </c>
      <c r="S921" s="16"/>
      <c r="T921" s="15">
        <f>+E921</f>
        <v>0</v>
      </c>
      <c r="U921" s="26" t="str">
        <f t="shared" ref="U921" si="499">IFERROR(LEFT(G921,FIND("*",G921)-1),"-")</f>
        <v>-</v>
      </c>
      <c r="V921" s="26" t="str">
        <f t="shared" ref="V921" si="500">IFERROR(RIGHT(G921,LEN(G921)-FIND("*",G921)),"-")</f>
        <v>-</v>
      </c>
      <c r="W921" s="27" t="str">
        <f t="shared" si="496"/>
        <v>-</v>
      </c>
      <c r="X921" s="27" t="str">
        <f>IFERROR(W921*H921,"-")</f>
        <v>-</v>
      </c>
      <c r="Z921" s="94" t="s">
        <v>82</v>
      </c>
    </row>
    <row r="922" spans="1:26" s="25" customFormat="1" ht="6.95" customHeight="1" x14ac:dyDescent="0.3">
      <c r="A922" s="10"/>
      <c r="B922" s="168"/>
      <c r="C922" s="169"/>
      <c r="D922" s="160"/>
      <c r="E922" s="161"/>
      <c r="F922" s="162"/>
      <c r="G922" s="163"/>
      <c r="H922" s="164"/>
      <c r="I922" s="163"/>
      <c r="J922" s="164"/>
      <c r="K922" s="163"/>
      <c r="L922" s="164"/>
      <c r="M922" s="11"/>
      <c r="N922" s="39"/>
      <c r="Q922" s="15" t="str">
        <f>+CONCATENATE(E921,I921)</f>
        <v/>
      </c>
      <c r="R922" s="15">
        <f>+J921</f>
        <v>0</v>
      </c>
      <c r="S922" s="16"/>
      <c r="T922" s="15">
        <f>+E921</f>
        <v>0</v>
      </c>
      <c r="U922" s="26" t="str">
        <f>IFERROR(LEFT(I921,FIND("*",I921)-1),"-")</f>
        <v>-</v>
      </c>
      <c r="V922" s="26" t="str">
        <f>IFERROR(RIGHT(I921,LEN(I921)-FIND("*",I921)),"-")</f>
        <v>-</v>
      </c>
      <c r="W922" s="27" t="str">
        <f t="shared" si="496"/>
        <v>-</v>
      </c>
      <c r="X922" s="27" t="str">
        <f t="shared" ref="X922" si="501">IFERROR(W922*J921,"-")</f>
        <v>-</v>
      </c>
      <c r="Z922" s="94" t="s">
        <v>82</v>
      </c>
    </row>
    <row r="923" spans="1:26" s="25" customFormat="1" ht="6.95" customHeight="1" x14ac:dyDescent="0.3">
      <c r="A923" s="10"/>
      <c r="B923" s="168"/>
      <c r="C923" s="169"/>
      <c r="D923" s="160"/>
      <c r="E923" s="161"/>
      <c r="F923" s="162"/>
      <c r="G923" s="163"/>
      <c r="H923" s="164"/>
      <c r="I923" s="163"/>
      <c r="J923" s="164"/>
      <c r="K923" s="163"/>
      <c r="L923" s="164"/>
      <c r="M923" s="11"/>
      <c r="N923" s="39"/>
      <c r="Q923" s="15" t="str">
        <f>+CONCATENATE(E921,K921)</f>
        <v/>
      </c>
      <c r="R923" s="15">
        <f>+L921</f>
        <v>0</v>
      </c>
      <c r="S923" s="16"/>
      <c r="T923" s="15">
        <f>+E921</f>
        <v>0</v>
      </c>
      <c r="U923" s="26" t="str">
        <f>IFERROR(LEFT(K921,FIND("*",K921)-1),"-")</f>
        <v>-</v>
      </c>
      <c r="V923" s="26" t="str">
        <f>IFERROR(RIGHT(K921,LEN(K921)-FIND("*",K921)),"-")</f>
        <v>-</v>
      </c>
      <c r="W923" s="27" t="str">
        <f t="shared" si="496"/>
        <v>-</v>
      </c>
      <c r="X923" s="27" t="str">
        <f>IFERROR(W923*L921,"-")</f>
        <v>-</v>
      </c>
      <c r="Z923" s="94" t="s">
        <v>82</v>
      </c>
    </row>
    <row r="924" spans="1:26" s="25" customFormat="1" ht="21" customHeight="1" thickBot="1" x14ac:dyDescent="0.35">
      <c r="A924" s="10"/>
      <c r="B924" s="170"/>
      <c r="C924" s="171"/>
      <c r="D924" s="172" t="s">
        <v>43</v>
      </c>
      <c r="E924" s="173"/>
      <c r="F924" s="173"/>
      <c r="G924" s="174"/>
      <c r="H924" s="174"/>
      <c r="I924" s="174"/>
      <c r="J924" s="174"/>
      <c r="K924" s="174"/>
      <c r="L924" s="174"/>
      <c r="M924" s="12"/>
      <c r="N924" s="39"/>
      <c r="U924" s="23"/>
      <c r="V924" s="23"/>
      <c r="Z924" s="95" t="s">
        <v>81</v>
      </c>
    </row>
    <row r="925" spans="1:26" s="25" customFormat="1" ht="9.9499999999999993" customHeight="1" thickBot="1" x14ac:dyDescent="0.35">
      <c r="A925" s="6"/>
      <c r="B925" s="14"/>
      <c r="C925" s="119"/>
      <c r="D925" s="58"/>
      <c r="E925" s="17"/>
      <c r="F925" s="58"/>
      <c r="G925" s="19"/>
      <c r="H925" s="19"/>
      <c r="I925" s="19"/>
      <c r="J925" s="19"/>
      <c r="K925" s="19"/>
      <c r="L925" s="19"/>
      <c r="M925" s="14"/>
      <c r="N925" s="39"/>
      <c r="Q925" s="1"/>
      <c r="R925" s="1"/>
      <c r="S925" s="1"/>
      <c r="T925" s="1"/>
      <c r="U925" s="24"/>
      <c r="V925" s="24"/>
      <c r="W925" s="1"/>
      <c r="X925" s="1"/>
      <c r="Z925" s="94" t="s">
        <v>82</v>
      </c>
    </row>
    <row r="926" spans="1:26" s="25" customFormat="1" ht="6.95" customHeight="1" x14ac:dyDescent="0.3">
      <c r="A926" s="165">
        <f>+A915+1</f>
        <v>85</v>
      </c>
      <c r="B926" s="166"/>
      <c r="C926" s="167"/>
      <c r="D926" s="160" t="s">
        <v>39</v>
      </c>
      <c r="E926" s="161"/>
      <c r="F926" s="162" t="s">
        <v>40</v>
      </c>
      <c r="G926" s="163"/>
      <c r="H926" s="164"/>
      <c r="I926" s="163"/>
      <c r="J926" s="164"/>
      <c r="K926" s="163"/>
      <c r="L926" s="164"/>
      <c r="M926" s="11"/>
      <c r="N926" s="39"/>
      <c r="Q926" s="15" t="str">
        <f>+CONCATENATE(E926,G926)</f>
        <v/>
      </c>
      <c r="R926" s="15">
        <f>+H926</f>
        <v>0</v>
      </c>
      <c r="S926" s="16"/>
      <c r="T926" s="15">
        <f>+E926</f>
        <v>0</v>
      </c>
      <c r="U926" s="26" t="str">
        <f>IFERROR(LEFT(G926,FIND("*",G926)-1),"-")</f>
        <v>-</v>
      </c>
      <c r="V926" s="26" t="str">
        <f>IFERROR(RIGHT(G926,LEN(G926)-FIND("*",G926)),"-")</f>
        <v>-</v>
      </c>
      <c r="W926" s="27" t="str">
        <f>IFERROR((U926+V926)*2/1000,"-")</f>
        <v>-</v>
      </c>
      <c r="X926" s="27" t="str">
        <f>IFERROR(W926*H926,"-")</f>
        <v>-</v>
      </c>
      <c r="Z926" s="94" t="s">
        <v>82</v>
      </c>
    </row>
    <row r="927" spans="1:26" s="25" customFormat="1" ht="6.95" customHeight="1" x14ac:dyDescent="0.3">
      <c r="A927" s="165"/>
      <c r="B927" s="168"/>
      <c r="C927" s="169"/>
      <c r="D927" s="160"/>
      <c r="E927" s="161"/>
      <c r="F927" s="162"/>
      <c r="G927" s="163"/>
      <c r="H927" s="164"/>
      <c r="I927" s="163"/>
      <c r="J927" s="164"/>
      <c r="K927" s="163"/>
      <c r="L927" s="164"/>
      <c r="M927" s="11"/>
      <c r="N927" s="39"/>
      <c r="Q927" s="15" t="str">
        <f>+CONCATENATE(E926,I926)</f>
        <v/>
      </c>
      <c r="R927" s="15">
        <f>+J926</f>
        <v>0</v>
      </c>
      <c r="S927" s="16"/>
      <c r="T927" s="15">
        <f>+E926</f>
        <v>0</v>
      </c>
      <c r="U927" s="26" t="str">
        <f>IFERROR(LEFT(I926,FIND("*",I926)-1),"-")</f>
        <v>-</v>
      </c>
      <c r="V927" s="26" t="str">
        <f>IFERROR(RIGHT(I926,LEN(I926)-FIND("*",I926)),"-")</f>
        <v>-</v>
      </c>
      <c r="W927" s="27" t="str">
        <f t="shared" ref="W927:W934" si="502">IFERROR((U927+V927)*2/1000,"-")</f>
        <v>-</v>
      </c>
      <c r="X927" s="27" t="str">
        <f>IFERROR(W927*J926,"-")</f>
        <v>-</v>
      </c>
      <c r="Z927" s="94" t="s">
        <v>82</v>
      </c>
    </row>
    <row r="928" spans="1:26" s="25" customFormat="1" ht="6.95" customHeight="1" x14ac:dyDescent="0.3">
      <c r="A928" s="165"/>
      <c r="B928" s="168"/>
      <c r="C928" s="169"/>
      <c r="D928" s="160"/>
      <c r="E928" s="161"/>
      <c r="F928" s="162"/>
      <c r="G928" s="163"/>
      <c r="H928" s="164"/>
      <c r="I928" s="163"/>
      <c r="J928" s="164"/>
      <c r="K928" s="163"/>
      <c r="L928" s="164"/>
      <c r="M928" s="11"/>
      <c r="N928" s="39"/>
      <c r="Q928" s="15" t="str">
        <f>+CONCATENATE(E926,K926)</f>
        <v/>
      </c>
      <c r="R928" s="15">
        <f>+L926</f>
        <v>0</v>
      </c>
      <c r="S928" s="16"/>
      <c r="T928" s="15">
        <f>+E926</f>
        <v>0</v>
      </c>
      <c r="U928" s="26" t="str">
        <f>IFERROR(LEFT(K926,FIND("*",K926)-1),"-")</f>
        <v>-</v>
      </c>
      <c r="V928" s="26" t="str">
        <f>IFERROR(RIGHT(K926,LEN(K926)-FIND("*",K926)),"-")</f>
        <v>-</v>
      </c>
      <c r="W928" s="27" t="str">
        <f t="shared" si="502"/>
        <v>-</v>
      </c>
      <c r="X928" s="27" t="str">
        <f>IFERROR(W928*L926,"-")</f>
        <v>-</v>
      </c>
      <c r="Z928" s="94" t="s">
        <v>82</v>
      </c>
    </row>
    <row r="929" spans="1:26" s="25" customFormat="1" ht="6.95" customHeight="1" x14ac:dyDescent="0.3">
      <c r="A929" s="13"/>
      <c r="B929" s="168"/>
      <c r="C929" s="169"/>
      <c r="D929" s="160" t="s">
        <v>39</v>
      </c>
      <c r="E929" s="161"/>
      <c r="F929" s="162" t="s">
        <v>40</v>
      </c>
      <c r="G929" s="163"/>
      <c r="H929" s="164"/>
      <c r="I929" s="163"/>
      <c r="J929" s="164"/>
      <c r="K929" s="163"/>
      <c r="L929" s="164"/>
      <c r="M929" s="11"/>
      <c r="N929" s="39"/>
      <c r="Q929" s="15" t="str">
        <f>+CONCATENATE(E929,G929)</f>
        <v/>
      </c>
      <c r="R929" s="15">
        <f>+H929</f>
        <v>0</v>
      </c>
      <c r="S929" s="16"/>
      <c r="T929" s="15">
        <f>+E929</f>
        <v>0</v>
      </c>
      <c r="U929" s="26" t="str">
        <f t="shared" ref="U929" si="503">IFERROR(LEFT(G929,FIND("*",G929)-1),"-")</f>
        <v>-</v>
      </c>
      <c r="V929" s="26" t="str">
        <f t="shared" ref="V929" si="504">IFERROR(RIGHT(G929,LEN(G929)-FIND("*",G929)),"-")</f>
        <v>-</v>
      </c>
      <c r="W929" s="27" t="str">
        <f t="shared" si="502"/>
        <v>-</v>
      </c>
      <c r="X929" s="27" t="str">
        <f>IFERROR(W929*H929,"-")</f>
        <v>-</v>
      </c>
      <c r="Z929" s="94" t="s">
        <v>82</v>
      </c>
    </row>
    <row r="930" spans="1:26" s="25" customFormat="1" ht="6.95" customHeight="1" x14ac:dyDescent="0.3">
      <c r="A930" s="10"/>
      <c r="B930" s="168"/>
      <c r="C930" s="169"/>
      <c r="D930" s="160"/>
      <c r="E930" s="161"/>
      <c r="F930" s="162"/>
      <c r="G930" s="163"/>
      <c r="H930" s="164"/>
      <c r="I930" s="163"/>
      <c r="J930" s="164"/>
      <c r="K930" s="163"/>
      <c r="L930" s="164"/>
      <c r="M930" s="11"/>
      <c r="N930" s="39"/>
      <c r="Q930" s="15" t="str">
        <f>+CONCATENATE(E929,I929)</f>
        <v/>
      </c>
      <c r="R930" s="15">
        <f>+J929</f>
        <v>0</v>
      </c>
      <c r="S930" s="16"/>
      <c r="T930" s="15">
        <f>+E929</f>
        <v>0</v>
      </c>
      <c r="U930" s="26" t="str">
        <f>IFERROR(LEFT(I929,FIND("*",I929)-1),"-")</f>
        <v>-</v>
      </c>
      <c r="V930" s="26" t="str">
        <f>IFERROR(RIGHT(I929,LEN(I929)-FIND("*",I929)),"-")</f>
        <v>-</v>
      </c>
      <c r="W930" s="27" t="str">
        <f t="shared" si="502"/>
        <v>-</v>
      </c>
      <c r="X930" s="27" t="str">
        <f>IFERROR(W930*J929,"-")</f>
        <v>-</v>
      </c>
      <c r="Z930" s="94" t="s">
        <v>82</v>
      </c>
    </row>
    <row r="931" spans="1:26" s="25" customFormat="1" ht="6.95" customHeight="1" x14ac:dyDescent="0.3">
      <c r="A931" s="10"/>
      <c r="B931" s="168"/>
      <c r="C931" s="169"/>
      <c r="D931" s="160"/>
      <c r="E931" s="161"/>
      <c r="F931" s="162"/>
      <c r="G931" s="163"/>
      <c r="H931" s="164"/>
      <c r="I931" s="163"/>
      <c r="J931" s="164"/>
      <c r="K931" s="163"/>
      <c r="L931" s="164"/>
      <c r="M931" s="11"/>
      <c r="N931" s="39"/>
      <c r="Q931" s="15" t="str">
        <f>+CONCATENATE(E929,K929)</f>
        <v/>
      </c>
      <c r="R931" s="15">
        <f>+L929</f>
        <v>0</v>
      </c>
      <c r="S931" s="16"/>
      <c r="T931" s="15">
        <f>+E929</f>
        <v>0</v>
      </c>
      <c r="U931" s="26" t="str">
        <f>IFERROR(LEFT(K929,FIND("*",K929)-1),"-")</f>
        <v>-</v>
      </c>
      <c r="V931" s="26" t="str">
        <f>IFERROR(RIGHT(K929,LEN(K929)-FIND("*",K929)),"-")</f>
        <v>-</v>
      </c>
      <c r="W931" s="27" t="str">
        <f t="shared" si="502"/>
        <v>-</v>
      </c>
      <c r="X931" s="27" t="str">
        <f>IFERROR(W931*L929,"-")</f>
        <v>-</v>
      </c>
      <c r="Z931" s="94" t="s">
        <v>82</v>
      </c>
    </row>
    <row r="932" spans="1:26" s="25" customFormat="1" ht="6.95" customHeight="1" x14ac:dyDescent="0.3">
      <c r="A932" s="13"/>
      <c r="B932" s="168"/>
      <c r="C932" s="169"/>
      <c r="D932" s="160" t="s">
        <v>39</v>
      </c>
      <c r="E932" s="161"/>
      <c r="F932" s="162" t="s">
        <v>40</v>
      </c>
      <c r="G932" s="163"/>
      <c r="H932" s="164"/>
      <c r="I932" s="163"/>
      <c r="J932" s="164"/>
      <c r="K932" s="163"/>
      <c r="L932" s="164"/>
      <c r="M932" s="11"/>
      <c r="N932" s="39"/>
      <c r="Q932" s="15" t="str">
        <f>+CONCATENATE(E932,G932)</f>
        <v/>
      </c>
      <c r="R932" s="15">
        <f>+H932</f>
        <v>0</v>
      </c>
      <c r="S932" s="16"/>
      <c r="T932" s="15">
        <f>+E932</f>
        <v>0</v>
      </c>
      <c r="U932" s="26" t="str">
        <f t="shared" ref="U932" si="505">IFERROR(LEFT(G932,FIND("*",G932)-1),"-")</f>
        <v>-</v>
      </c>
      <c r="V932" s="26" t="str">
        <f t="shared" ref="V932" si="506">IFERROR(RIGHT(G932,LEN(G932)-FIND("*",G932)),"-")</f>
        <v>-</v>
      </c>
      <c r="W932" s="27" t="str">
        <f t="shared" si="502"/>
        <v>-</v>
      </c>
      <c r="X932" s="27" t="str">
        <f>IFERROR(W932*H932,"-")</f>
        <v>-</v>
      </c>
      <c r="Z932" s="94" t="s">
        <v>82</v>
      </c>
    </row>
    <row r="933" spans="1:26" s="25" customFormat="1" ht="6.95" customHeight="1" x14ac:dyDescent="0.3">
      <c r="A933" s="10"/>
      <c r="B933" s="168"/>
      <c r="C933" s="169"/>
      <c r="D933" s="160"/>
      <c r="E933" s="161"/>
      <c r="F933" s="162"/>
      <c r="G933" s="163"/>
      <c r="H933" s="164"/>
      <c r="I933" s="163"/>
      <c r="J933" s="164"/>
      <c r="K933" s="163"/>
      <c r="L933" s="164"/>
      <c r="M933" s="11"/>
      <c r="N933" s="39"/>
      <c r="Q933" s="15" t="str">
        <f>+CONCATENATE(E932,I932)</f>
        <v/>
      </c>
      <c r="R933" s="15">
        <f>+J932</f>
        <v>0</v>
      </c>
      <c r="S933" s="16"/>
      <c r="T933" s="15">
        <f>+E932</f>
        <v>0</v>
      </c>
      <c r="U933" s="26" t="str">
        <f>IFERROR(LEFT(I932,FIND("*",I932)-1),"-")</f>
        <v>-</v>
      </c>
      <c r="V933" s="26" t="str">
        <f>IFERROR(RIGHT(I932,LEN(I932)-FIND("*",I932)),"-")</f>
        <v>-</v>
      </c>
      <c r="W933" s="27" t="str">
        <f t="shared" si="502"/>
        <v>-</v>
      </c>
      <c r="X933" s="27" t="str">
        <f t="shared" ref="X933" si="507">IFERROR(W933*J932,"-")</f>
        <v>-</v>
      </c>
      <c r="Z933" s="94" t="s">
        <v>82</v>
      </c>
    </row>
    <row r="934" spans="1:26" s="25" customFormat="1" ht="6.95" customHeight="1" x14ac:dyDescent="0.3">
      <c r="A934" s="10"/>
      <c r="B934" s="168"/>
      <c r="C934" s="169"/>
      <c r="D934" s="160"/>
      <c r="E934" s="161"/>
      <c r="F934" s="162"/>
      <c r="G934" s="163"/>
      <c r="H934" s="164"/>
      <c r="I934" s="163"/>
      <c r="J934" s="164"/>
      <c r="K934" s="163"/>
      <c r="L934" s="164"/>
      <c r="M934" s="11"/>
      <c r="N934" s="39"/>
      <c r="Q934" s="15" t="str">
        <f>+CONCATENATE(E932,K932)</f>
        <v/>
      </c>
      <c r="R934" s="15">
        <f>+L932</f>
        <v>0</v>
      </c>
      <c r="S934" s="16"/>
      <c r="T934" s="15">
        <f>+E932</f>
        <v>0</v>
      </c>
      <c r="U934" s="26" t="str">
        <f>IFERROR(LEFT(K932,FIND("*",K932)-1),"-")</f>
        <v>-</v>
      </c>
      <c r="V934" s="26" t="str">
        <f>IFERROR(RIGHT(K932,LEN(K932)-FIND("*",K932)),"-")</f>
        <v>-</v>
      </c>
      <c r="W934" s="27" t="str">
        <f t="shared" si="502"/>
        <v>-</v>
      </c>
      <c r="X934" s="27" t="str">
        <f>IFERROR(W934*L932,"-")</f>
        <v>-</v>
      </c>
      <c r="Z934" s="94" t="s">
        <v>82</v>
      </c>
    </row>
    <row r="935" spans="1:26" s="25" customFormat="1" ht="21" customHeight="1" thickBot="1" x14ac:dyDescent="0.35">
      <c r="A935" s="10"/>
      <c r="B935" s="170"/>
      <c r="C935" s="171"/>
      <c r="D935" s="172" t="s">
        <v>43</v>
      </c>
      <c r="E935" s="173"/>
      <c r="F935" s="173"/>
      <c r="G935" s="174"/>
      <c r="H935" s="174"/>
      <c r="I935" s="174"/>
      <c r="J935" s="174"/>
      <c r="K935" s="174"/>
      <c r="L935" s="174"/>
      <c r="M935" s="12"/>
      <c r="N935" s="39"/>
      <c r="U935" s="23"/>
      <c r="V935" s="23"/>
      <c r="Z935" s="95" t="s">
        <v>81</v>
      </c>
    </row>
    <row r="936" spans="1:26" s="25" customFormat="1" ht="9.9499999999999993" customHeight="1" thickBot="1" x14ac:dyDescent="0.35">
      <c r="A936" s="6"/>
      <c r="B936" s="14"/>
      <c r="C936" s="119"/>
      <c r="D936" s="58"/>
      <c r="E936" s="17"/>
      <c r="F936" s="58"/>
      <c r="G936" s="19"/>
      <c r="H936" s="19"/>
      <c r="I936" s="19"/>
      <c r="J936" s="19"/>
      <c r="K936" s="19"/>
      <c r="L936" s="19"/>
      <c r="M936" s="14"/>
      <c r="N936" s="39"/>
      <c r="Q936" s="1"/>
      <c r="R936" s="1"/>
      <c r="S936" s="1"/>
      <c r="T936" s="1"/>
      <c r="U936" s="24"/>
      <c r="V936" s="24"/>
      <c r="W936" s="1"/>
      <c r="X936" s="1"/>
      <c r="Z936" s="94" t="s">
        <v>82</v>
      </c>
    </row>
    <row r="937" spans="1:26" s="25" customFormat="1" ht="6.95" customHeight="1" x14ac:dyDescent="0.3">
      <c r="A937" s="165">
        <f>+A926+1</f>
        <v>86</v>
      </c>
      <c r="B937" s="166"/>
      <c r="C937" s="167"/>
      <c r="D937" s="160" t="s">
        <v>39</v>
      </c>
      <c r="E937" s="161"/>
      <c r="F937" s="162" t="s">
        <v>40</v>
      </c>
      <c r="G937" s="163"/>
      <c r="H937" s="164"/>
      <c r="I937" s="163"/>
      <c r="J937" s="164"/>
      <c r="K937" s="163"/>
      <c r="L937" s="164"/>
      <c r="M937" s="11"/>
      <c r="N937" s="39"/>
      <c r="Q937" s="15" t="str">
        <f>+CONCATENATE(E937,G937)</f>
        <v/>
      </c>
      <c r="R937" s="15">
        <f>+H937</f>
        <v>0</v>
      </c>
      <c r="S937" s="16"/>
      <c r="T937" s="15">
        <f>+E937</f>
        <v>0</v>
      </c>
      <c r="U937" s="26" t="str">
        <f>IFERROR(LEFT(G937,FIND("*",G937)-1),"-")</f>
        <v>-</v>
      </c>
      <c r="V937" s="26" t="str">
        <f>IFERROR(RIGHT(G937,LEN(G937)-FIND("*",G937)),"-")</f>
        <v>-</v>
      </c>
      <c r="W937" s="27" t="str">
        <f>IFERROR((U937+V937)*2/1000,"-")</f>
        <v>-</v>
      </c>
      <c r="X937" s="27" t="str">
        <f>IFERROR(W937*H937,"-")</f>
        <v>-</v>
      </c>
      <c r="Z937" s="94" t="s">
        <v>82</v>
      </c>
    </row>
    <row r="938" spans="1:26" s="25" customFormat="1" ht="6.95" customHeight="1" x14ac:dyDescent="0.3">
      <c r="A938" s="165"/>
      <c r="B938" s="168"/>
      <c r="C938" s="169"/>
      <c r="D938" s="160"/>
      <c r="E938" s="161"/>
      <c r="F938" s="162"/>
      <c r="G938" s="163"/>
      <c r="H938" s="164"/>
      <c r="I938" s="163"/>
      <c r="J938" s="164"/>
      <c r="K938" s="163"/>
      <c r="L938" s="164"/>
      <c r="M938" s="11"/>
      <c r="N938" s="39"/>
      <c r="Q938" s="15" t="str">
        <f>+CONCATENATE(E937,I937)</f>
        <v/>
      </c>
      <c r="R938" s="15">
        <f>+J937</f>
        <v>0</v>
      </c>
      <c r="S938" s="16"/>
      <c r="T938" s="15">
        <f>+E937</f>
        <v>0</v>
      </c>
      <c r="U938" s="26" t="str">
        <f>IFERROR(LEFT(I937,FIND("*",I937)-1),"-")</f>
        <v>-</v>
      </c>
      <c r="V938" s="26" t="str">
        <f>IFERROR(RIGHT(I937,LEN(I937)-FIND("*",I937)),"-")</f>
        <v>-</v>
      </c>
      <c r="W938" s="27" t="str">
        <f t="shared" ref="W938:W945" si="508">IFERROR((U938+V938)*2/1000,"-")</f>
        <v>-</v>
      </c>
      <c r="X938" s="27" t="str">
        <f>IFERROR(W938*J937,"-")</f>
        <v>-</v>
      </c>
      <c r="Z938" s="94" t="s">
        <v>82</v>
      </c>
    </row>
    <row r="939" spans="1:26" s="25" customFormat="1" ht="6.95" customHeight="1" x14ac:dyDescent="0.3">
      <c r="A939" s="165"/>
      <c r="B939" s="168"/>
      <c r="C939" s="169"/>
      <c r="D939" s="160"/>
      <c r="E939" s="161"/>
      <c r="F939" s="162"/>
      <c r="G939" s="163"/>
      <c r="H939" s="164"/>
      <c r="I939" s="163"/>
      <c r="J939" s="164"/>
      <c r="K939" s="163"/>
      <c r="L939" s="164"/>
      <c r="M939" s="11"/>
      <c r="N939" s="39"/>
      <c r="Q939" s="15" t="str">
        <f>+CONCATENATE(E937,K937)</f>
        <v/>
      </c>
      <c r="R939" s="15">
        <f>+L937</f>
        <v>0</v>
      </c>
      <c r="S939" s="16"/>
      <c r="T939" s="15">
        <f>+E937</f>
        <v>0</v>
      </c>
      <c r="U939" s="26" t="str">
        <f>IFERROR(LEFT(K937,FIND("*",K937)-1),"-")</f>
        <v>-</v>
      </c>
      <c r="V939" s="26" t="str">
        <f>IFERROR(RIGHT(K937,LEN(K937)-FIND("*",K937)),"-")</f>
        <v>-</v>
      </c>
      <c r="W939" s="27" t="str">
        <f t="shared" si="508"/>
        <v>-</v>
      </c>
      <c r="X939" s="27" t="str">
        <f>IFERROR(W939*L937,"-")</f>
        <v>-</v>
      </c>
      <c r="Z939" s="94" t="s">
        <v>82</v>
      </c>
    </row>
    <row r="940" spans="1:26" s="25" customFormat="1" ht="6.95" customHeight="1" x14ac:dyDescent="0.3">
      <c r="A940" s="13"/>
      <c r="B940" s="168"/>
      <c r="C940" s="169"/>
      <c r="D940" s="160" t="s">
        <v>39</v>
      </c>
      <c r="E940" s="161"/>
      <c r="F940" s="162" t="s">
        <v>40</v>
      </c>
      <c r="G940" s="163"/>
      <c r="H940" s="164"/>
      <c r="I940" s="163"/>
      <c r="J940" s="164"/>
      <c r="K940" s="163"/>
      <c r="L940" s="164"/>
      <c r="M940" s="11"/>
      <c r="N940" s="39"/>
      <c r="Q940" s="15" t="str">
        <f>+CONCATENATE(E940,G940)</f>
        <v/>
      </c>
      <c r="R940" s="15">
        <f>+H940</f>
        <v>0</v>
      </c>
      <c r="S940" s="16"/>
      <c r="T940" s="15">
        <f>+E940</f>
        <v>0</v>
      </c>
      <c r="U940" s="26" t="str">
        <f t="shared" ref="U940" si="509">IFERROR(LEFT(G940,FIND("*",G940)-1),"-")</f>
        <v>-</v>
      </c>
      <c r="V940" s="26" t="str">
        <f t="shared" ref="V940" si="510">IFERROR(RIGHT(G940,LEN(G940)-FIND("*",G940)),"-")</f>
        <v>-</v>
      </c>
      <c r="W940" s="27" t="str">
        <f t="shared" si="508"/>
        <v>-</v>
      </c>
      <c r="X940" s="27" t="str">
        <f>IFERROR(W940*H940,"-")</f>
        <v>-</v>
      </c>
      <c r="Z940" s="94" t="s">
        <v>82</v>
      </c>
    </row>
    <row r="941" spans="1:26" s="25" customFormat="1" ht="6.95" customHeight="1" x14ac:dyDescent="0.3">
      <c r="A941" s="10"/>
      <c r="B941" s="168"/>
      <c r="C941" s="169"/>
      <c r="D941" s="160"/>
      <c r="E941" s="161"/>
      <c r="F941" s="162"/>
      <c r="G941" s="163"/>
      <c r="H941" s="164"/>
      <c r="I941" s="163"/>
      <c r="J941" s="164"/>
      <c r="K941" s="163"/>
      <c r="L941" s="164"/>
      <c r="M941" s="11"/>
      <c r="N941" s="39"/>
      <c r="Q941" s="15" t="str">
        <f>+CONCATENATE(E940,I940)</f>
        <v/>
      </c>
      <c r="R941" s="15">
        <f>+J940</f>
        <v>0</v>
      </c>
      <c r="S941" s="16"/>
      <c r="T941" s="15">
        <f>+E940</f>
        <v>0</v>
      </c>
      <c r="U941" s="26" t="str">
        <f>IFERROR(LEFT(I940,FIND("*",I940)-1),"-")</f>
        <v>-</v>
      </c>
      <c r="V941" s="26" t="str">
        <f>IFERROR(RIGHT(I940,LEN(I940)-FIND("*",I940)),"-")</f>
        <v>-</v>
      </c>
      <c r="W941" s="27" t="str">
        <f t="shared" si="508"/>
        <v>-</v>
      </c>
      <c r="X941" s="27" t="str">
        <f>IFERROR(W941*J940,"-")</f>
        <v>-</v>
      </c>
      <c r="Z941" s="94" t="s">
        <v>82</v>
      </c>
    </row>
    <row r="942" spans="1:26" s="25" customFormat="1" ht="6.95" customHeight="1" x14ac:dyDescent="0.3">
      <c r="A942" s="10"/>
      <c r="B942" s="168"/>
      <c r="C942" s="169"/>
      <c r="D942" s="160"/>
      <c r="E942" s="161"/>
      <c r="F942" s="162"/>
      <c r="G942" s="163"/>
      <c r="H942" s="164"/>
      <c r="I942" s="163"/>
      <c r="J942" s="164"/>
      <c r="K942" s="163"/>
      <c r="L942" s="164"/>
      <c r="M942" s="11"/>
      <c r="N942" s="39"/>
      <c r="Q942" s="15" t="str">
        <f>+CONCATENATE(E940,K940)</f>
        <v/>
      </c>
      <c r="R942" s="15">
        <f>+L940</f>
        <v>0</v>
      </c>
      <c r="S942" s="16"/>
      <c r="T942" s="15">
        <f>+E940</f>
        <v>0</v>
      </c>
      <c r="U942" s="26" t="str">
        <f>IFERROR(LEFT(K940,FIND("*",K940)-1),"-")</f>
        <v>-</v>
      </c>
      <c r="V942" s="26" t="str">
        <f>IFERROR(RIGHT(K940,LEN(K940)-FIND("*",K940)),"-")</f>
        <v>-</v>
      </c>
      <c r="W942" s="27" t="str">
        <f t="shared" si="508"/>
        <v>-</v>
      </c>
      <c r="X942" s="27" t="str">
        <f>IFERROR(W942*L940,"-")</f>
        <v>-</v>
      </c>
      <c r="Z942" s="94" t="s">
        <v>82</v>
      </c>
    </row>
    <row r="943" spans="1:26" s="25" customFormat="1" ht="6.95" customHeight="1" x14ac:dyDescent="0.3">
      <c r="A943" s="13"/>
      <c r="B943" s="168"/>
      <c r="C943" s="169"/>
      <c r="D943" s="160" t="s">
        <v>39</v>
      </c>
      <c r="E943" s="161"/>
      <c r="F943" s="162" t="s">
        <v>40</v>
      </c>
      <c r="G943" s="163"/>
      <c r="H943" s="164"/>
      <c r="I943" s="163"/>
      <c r="J943" s="164"/>
      <c r="K943" s="163"/>
      <c r="L943" s="164"/>
      <c r="M943" s="11"/>
      <c r="N943" s="39"/>
      <c r="Q943" s="15" t="str">
        <f>+CONCATENATE(E943,G943)</f>
        <v/>
      </c>
      <c r="R943" s="15">
        <f>+H943</f>
        <v>0</v>
      </c>
      <c r="S943" s="16"/>
      <c r="T943" s="15">
        <f>+E943</f>
        <v>0</v>
      </c>
      <c r="U943" s="26" t="str">
        <f t="shared" ref="U943" si="511">IFERROR(LEFT(G943,FIND("*",G943)-1),"-")</f>
        <v>-</v>
      </c>
      <c r="V943" s="26" t="str">
        <f t="shared" ref="V943" si="512">IFERROR(RIGHT(G943,LEN(G943)-FIND("*",G943)),"-")</f>
        <v>-</v>
      </c>
      <c r="W943" s="27" t="str">
        <f t="shared" si="508"/>
        <v>-</v>
      </c>
      <c r="X943" s="27" t="str">
        <f>IFERROR(W943*H943,"-")</f>
        <v>-</v>
      </c>
      <c r="Z943" s="94" t="s">
        <v>82</v>
      </c>
    </row>
    <row r="944" spans="1:26" s="25" customFormat="1" ht="6.95" customHeight="1" x14ac:dyDescent="0.3">
      <c r="A944" s="10"/>
      <c r="B944" s="168"/>
      <c r="C944" s="169"/>
      <c r="D944" s="160"/>
      <c r="E944" s="161"/>
      <c r="F944" s="162"/>
      <c r="G944" s="163"/>
      <c r="H944" s="164"/>
      <c r="I944" s="163"/>
      <c r="J944" s="164"/>
      <c r="K944" s="163"/>
      <c r="L944" s="164"/>
      <c r="M944" s="11"/>
      <c r="N944" s="39"/>
      <c r="Q944" s="15" t="str">
        <f>+CONCATENATE(E943,I943)</f>
        <v/>
      </c>
      <c r="R944" s="15">
        <f>+J943</f>
        <v>0</v>
      </c>
      <c r="S944" s="16"/>
      <c r="T944" s="15">
        <f>+E943</f>
        <v>0</v>
      </c>
      <c r="U944" s="26" t="str">
        <f>IFERROR(LEFT(I943,FIND("*",I943)-1),"-")</f>
        <v>-</v>
      </c>
      <c r="V944" s="26" t="str">
        <f>IFERROR(RIGHT(I943,LEN(I943)-FIND("*",I943)),"-")</f>
        <v>-</v>
      </c>
      <c r="W944" s="27" t="str">
        <f t="shared" si="508"/>
        <v>-</v>
      </c>
      <c r="X944" s="27" t="str">
        <f t="shared" ref="X944" si="513">IFERROR(W944*J943,"-")</f>
        <v>-</v>
      </c>
      <c r="Z944" s="94" t="s">
        <v>82</v>
      </c>
    </row>
    <row r="945" spans="1:26" s="25" customFormat="1" ht="6.95" customHeight="1" x14ac:dyDescent="0.3">
      <c r="A945" s="10"/>
      <c r="B945" s="168"/>
      <c r="C945" s="169"/>
      <c r="D945" s="160"/>
      <c r="E945" s="161"/>
      <c r="F945" s="162"/>
      <c r="G945" s="163"/>
      <c r="H945" s="164"/>
      <c r="I945" s="163"/>
      <c r="J945" s="164"/>
      <c r="K945" s="163"/>
      <c r="L945" s="164"/>
      <c r="M945" s="11"/>
      <c r="N945" s="39"/>
      <c r="Q945" s="15" t="str">
        <f>+CONCATENATE(E943,K943)</f>
        <v/>
      </c>
      <c r="R945" s="15">
        <f>+L943</f>
        <v>0</v>
      </c>
      <c r="S945" s="16"/>
      <c r="T945" s="15">
        <f>+E943</f>
        <v>0</v>
      </c>
      <c r="U945" s="26" t="str">
        <f>IFERROR(LEFT(K943,FIND("*",K943)-1),"-")</f>
        <v>-</v>
      </c>
      <c r="V945" s="26" t="str">
        <f>IFERROR(RIGHT(K943,LEN(K943)-FIND("*",K943)),"-")</f>
        <v>-</v>
      </c>
      <c r="W945" s="27" t="str">
        <f t="shared" si="508"/>
        <v>-</v>
      </c>
      <c r="X945" s="27" t="str">
        <f>IFERROR(W945*L943,"-")</f>
        <v>-</v>
      </c>
      <c r="Z945" s="94" t="s">
        <v>82</v>
      </c>
    </row>
    <row r="946" spans="1:26" s="25" customFormat="1" ht="21" customHeight="1" thickBot="1" x14ac:dyDescent="0.35">
      <c r="A946" s="10"/>
      <c r="B946" s="170"/>
      <c r="C946" s="171"/>
      <c r="D946" s="172" t="s">
        <v>43</v>
      </c>
      <c r="E946" s="173"/>
      <c r="F946" s="173"/>
      <c r="G946" s="174"/>
      <c r="H946" s="174"/>
      <c r="I946" s="174"/>
      <c r="J946" s="174"/>
      <c r="K946" s="174"/>
      <c r="L946" s="174"/>
      <c r="M946" s="12"/>
      <c r="N946" s="39"/>
      <c r="U946" s="23"/>
      <c r="V946" s="23"/>
      <c r="Z946" s="95" t="s">
        <v>81</v>
      </c>
    </row>
    <row r="947" spans="1:26" s="25" customFormat="1" ht="9.9499999999999993" customHeight="1" thickBot="1" x14ac:dyDescent="0.35">
      <c r="A947" s="6"/>
      <c r="B947" s="14"/>
      <c r="C947" s="119"/>
      <c r="D947" s="58"/>
      <c r="E947" s="17"/>
      <c r="F947" s="58"/>
      <c r="G947" s="19"/>
      <c r="H947" s="19"/>
      <c r="I947" s="19"/>
      <c r="J947" s="19"/>
      <c r="K947" s="19"/>
      <c r="L947" s="19"/>
      <c r="M947" s="14"/>
      <c r="N947" s="39"/>
      <c r="Q947" s="1"/>
      <c r="R947" s="1"/>
      <c r="S947" s="1"/>
      <c r="T947" s="1"/>
      <c r="U947" s="24"/>
      <c r="V947" s="24"/>
      <c r="W947" s="1"/>
      <c r="X947" s="1"/>
      <c r="Z947" s="94" t="s">
        <v>82</v>
      </c>
    </row>
    <row r="948" spans="1:26" s="25" customFormat="1" ht="6.95" customHeight="1" x14ac:dyDescent="0.3">
      <c r="A948" s="165">
        <f>+A937+1</f>
        <v>87</v>
      </c>
      <c r="B948" s="166"/>
      <c r="C948" s="167"/>
      <c r="D948" s="160" t="s">
        <v>39</v>
      </c>
      <c r="E948" s="161"/>
      <c r="F948" s="162" t="s">
        <v>40</v>
      </c>
      <c r="G948" s="163"/>
      <c r="H948" s="164"/>
      <c r="I948" s="163"/>
      <c r="J948" s="164"/>
      <c r="K948" s="163"/>
      <c r="L948" s="164"/>
      <c r="M948" s="11"/>
      <c r="N948" s="39"/>
      <c r="Q948" s="15" t="str">
        <f>+CONCATENATE(E948,G948)</f>
        <v/>
      </c>
      <c r="R948" s="15">
        <f>+H948</f>
        <v>0</v>
      </c>
      <c r="S948" s="16"/>
      <c r="T948" s="15">
        <f>+E948</f>
        <v>0</v>
      </c>
      <c r="U948" s="26" t="str">
        <f>IFERROR(LEFT(G948,FIND("*",G948)-1),"-")</f>
        <v>-</v>
      </c>
      <c r="V948" s="26" t="str">
        <f>IFERROR(RIGHT(G948,LEN(G948)-FIND("*",G948)),"-")</f>
        <v>-</v>
      </c>
      <c r="W948" s="27" t="str">
        <f>IFERROR((U948+V948)*2/1000,"-")</f>
        <v>-</v>
      </c>
      <c r="X948" s="27" t="str">
        <f>IFERROR(W948*H948,"-")</f>
        <v>-</v>
      </c>
      <c r="Z948" s="94" t="s">
        <v>82</v>
      </c>
    </row>
    <row r="949" spans="1:26" s="25" customFormat="1" ht="6.95" customHeight="1" x14ac:dyDescent="0.3">
      <c r="A949" s="165"/>
      <c r="B949" s="168"/>
      <c r="C949" s="169"/>
      <c r="D949" s="160"/>
      <c r="E949" s="161"/>
      <c r="F949" s="162"/>
      <c r="G949" s="163"/>
      <c r="H949" s="164"/>
      <c r="I949" s="163"/>
      <c r="J949" s="164"/>
      <c r="K949" s="163"/>
      <c r="L949" s="164"/>
      <c r="M949" s="11"/>
      <c r="N949" s="39"/>
      <c r="Q949" s="15" t="str">
        <f>+CONCATENATE(E948,I948)</f>
        <v/>
      </c>
      <c r="R949" s="15">
        <f>+J948</f>
        <v>0</v>
      </c>
      <c r="S949" s="16"/>
      <c r="T949" s="15">
        <f>+E948</f>
        <v>0</v>
      </c>
      <c r="U949" s="26" t="str">
        <f>IFERROR(LEFT(I948,FIND("*",I948)-1),"-")</f>
        <v>-</v>
      </c>
      <c r="V949" s="26" t="str">
        <f>IFERROR(RIGHT(I948,LEN(I948)-FIND("*",I948)),"-")</f>
        <v>-</v>
      </c>
      <c r="W949" s="27" t="str">
        <f t="shared" ref="W949:W956" si="514">IFERROR((U949+V949)*2/1000,"-")</f>
        <v>-</v>
      </c>
      <c r="X949" s="27" t="str">
        <f>IFERROR(W949*J948,"-")</f>
        <v>-</v>
      </c>
      <c r="Z949" s="94" t="s">
        <v>82</v>
      </c>
    </row>
    <row r="950" spans="1:26" s="25" customFormat="1" ht="6.95" customHeight="1" x14ac:dyDescent="0.3">
      <c r="A950" s="165"/>
      <c r="B950" s="168"/>
      <c r="C950" s="169"/>
      <c r="D950" s="160"/>
      <c r="E950" s="161"/>
      <c r="F950" s="162"/>
      <c r="G950" s="163"/>
      <c r="H950" s="164"/>
      <c r="I950" s="163"/>
      <c r="J950" s="164"/>
      <c r="K950" s="163"/>
      <c r="L950" s="164"/>
      <c r="M950" s="11"/>
      <c r="N950" s="39"/>
      <c r="Q950" s="15" t="str">
        <f>+CONCATENATE(E948,K948)</f>
        <v/>
      </c>
      <c r="R950" s="15">
        <f>+L948</f>
        <v>0</v>
      </c>
      <c r="S950" s="16"/>
      <c r="T950" s="15">
        <f>+E948</f>
        <v>0</v>
      </c>
      <c r="U950" s="26" t="str">
        <f>IFERROR(LEFT(K948,FIND("*",K948)-1),"-")</f>
        <v>-</v>
      </c>
      <c r="V950" s="26" t="str">
        <f>IFERROR(RIGHT(K948,LEN(K948)-FIND("*",K948)),"-")</f>
        <v>-</v>
      </c>
      <c r="W950" s="27" t="str">
        <f t="shared" si="514"/>
        <v>-</v>
      </c>
      <c r="X950" s="27" t="str">
        <f>IFERROR(W950*L948,"-")</f>
        <v>-</v>
      </c>
      <c r="Z950" s="94" t="s">
        <v>82</v>
      </c>
    </row>
    <row r="951" spans="1:26" s="25" customFormat="1" ht="6.95" customHeight="1" x14ac:dyDescent="0.3">
      <c r="A951" s="13"/>
      <c r="B951" s="168"/>
      <c r="C951" s="169"/>
      <c r="D951" s="160" t="s">
        <v>39</v>
      </c>
      <c r="E951" s="161"/>
      <c r="F951" s="162" t="s">
        <v>40</v>
      </c>
      <c r="G951" s="163"/>
      <c r="H951" s="164"/>
      <c r="I951" s="163"/>
      <c r="J951" s="164"/>
      <c r="K951" s="163"/>
      <c r="L951" s="164"/>
      <c r="M951" s="11"/>
      <c r="N951" s="39"/>
      <c r="Q951" s="15" t="str">
        <f>+CONCATENATE(E951,G951)</f>
        <v/>
      </c>
      <c r="R951" s="15">
        <f>+H951</f>
        <v>0</v>
      </c>
      <c r="S951" s="16"/>
      <c r="T951" s="15">
        <f>+E951</f>
        <v>0</v>
      </c>
      <c r="U951" s="26" t="str">
        <f t="shared" ref="U951" si="515">IFERROR(LEFT(G951,FIND("*",G951)-1),"-")</f>
        <v>-</v>
      </c>
      <c r="V951" s="26" t="str">
        <f t="shared" ref="V951" si="516">IFERROR(RIGHT(G951,LEN(G951)-FIND("*",G951)),"-")</f>
        <v>-</v>
      </c>
      <c r="W951" s="27" t="str">
        <f t="shared" si="514"/>
        <v>-</v>
      </c>
      <c r="X951" s="27" t="str">
        <f>IFERROR(W951*H951,"-")</f>
        <v>-</v>
      </c>
      <c r="Z951" s="94" t="s">
        <v>82</v>
      </c>
    </row>
    <row r="952" spans="1:26" s="25" customFormat="1" ht="6.95" customHeight="1" x14ac:dyDescent="0.3">
      <c r="A952" s="10"/>
      <c r="B952" s="168"/>
      <c r="C952" s="169"/>
      <c r="D952" s="160"/>
      <c r="E952" s="161"/>
      <c r="F952" s="162"/>
      <c r="G952" s="163"/>
      <c r="H952" s="164"/>
      <c r="I952" s="163"/>
      <c r="J952" s="164"/>
      <c r="K952" s="163"/>
      <c r="L952" s="164"/>
      <c r="M952" s="11"/>
      <c r="N952" s="39"/>
      <c r="Q952" s="15" t="str">
        <f>+CONCATENATE(E951,I951)</f>
        <v/>
      </c>
      <c r="R952" s="15">
        <f>+J951</f>
        <v>0</v>
      </c>
      <c r="S952" s="16"/>
      <c r="T952" s="15">
        <f>+E951</f>
        <v>0</v>
      </c>
      <c r="U952" s="26" t="str">
        <f>IFERROR(LEFT(I951,FIND("*",I951)-1),"-")</f>
        <v>-</v>
      </c>
      <c r="V952" s="26" t="str">
        <f>IFERROR(RIGHT(I951,LEN(I951)-FIND("*",I951)),"-")</f>
        <v>-</v>
      </c>
      <c r="W952" s="27" t="str">
        <f t="shared" si="514"/>
        <v>-</v>
      </c>
      <c r="X952" s="27" t="str">
        <f>IFERROR(W952*J951,"-")</f>
        <v>-</v>
      </c>
      <c r="Z952" s="94" t="s">
        <v>82</v>
      </c>
    </row>
    <row r="953" spans="1:26" s="25" customFormat="1" ht="6.95" customHeight="1" x14ac:dyDescent="0.3">
      <c r="A953" s="10"/>
      <c r="B953" s="168"/>
      <c r="C953" s="169"/>
      <c r="D953" s="160"/>
      <c r="E953" s="161"/>
      <c r="F953" s="162"/>
      <c r="G953" s="163"/>
      <c r="H953" s="164"/>
      <c r="I953" s="163"/>
      <c r="J953" s="164"/>
      <c r="K953" s="163"/>
      <c r="L953" s="164"/>
      <c r="M953" s="11"/>
      <c r="N953" s="39"/>
      <c r="Q953" s="15" t="str">
        <f>+CONCATENATE(E951,K951)</f>
        <v/>
      </c>
      <c r="R953" s="15">
        <f>+L951</f>
        <v>0</v>
      </c>
      <c r="S953" s="16"/>
      <c r="T953" s="15">
        <f>+E951</f>
        <v>0</v>
      </c>
      <c r="U953" s="26" t="str">
        <f>IFERROR(LEFT(K951,FIND("*",K951)-1),"-")</f>
        <v>-</v>
      </c>
      <c r="V953" s="26" t="str">
        <f>IFERROR(RIGHT(K951,LEN(K951)-FIND("*",K951)),"-")</f>
        <v>-</v>
      </c>
      <c r="W953" s="27" t="str">
        <f t="shared" si="514"/>
        <v>-</v>
      </c>
      <c r="X953" s="27" t="str">
        <f>IFERROR(W953*L951,"-")</f>
        <v>-</v>
      </c>
      <c r="Z953" s="94" t="s">
        <v>82</v>
      </c>
    </row>
    <row r="954" spans="1:26" s="25" customFormat="1" ht="6.95" customHeight="1" x14ac:dyDescent="0.3">
      <c r="A954" s="13"/>
      <c r="B954" s="168"/>
      <c r="C954" s="169"/>
      <c r="D954" s="160" t="s">
        <v>39</v>
      </c>
      <c r="E954" s="161"/>
      <c r="F954" s="162" t="s">
        <v>40</v>
      </c>
      <c r="G954" s="163"/>
      <c r="H954" s="164"/>
      <c r="I954" s="163"/>
      <c r="J954" s="164"/>
      <c r="K954" s="163"/>
      <c r="L954" s="164"/>
      <c r="M954" s="11"/>
      <c r="N954" s="39"/>
      <c r="Q954" s="15" t="str">
        <f>+CONCATENATE(E954,G954)</f>
        <v/>
      </c>
      <c r="R954" s="15">
        <f>+H954</f>
        <v>0</v>
      </c>
      <c r="S954" s="16"/>
      <c r="T954" s="15">
        <f>+E954</f>
        <v>0</v>
      </c>
      <c r="U954" s="26" t="str">
        <f t="shared" ref="U954" si="517">IFERROR(LEFT(G954,FIND("*",G954)-1),"-")</f>
        <v>-</v>
      </c>
      <c r="V954" s="26" t="str">
        <f t="shared" ref="V954" si="518">IFERROR(RIGHT(G954,LEN(G954)-FIND("*",G954)),"-")</f>
        <v>-</v>
      </c>
      <c r="W954" s="27" t="str">
        <f t="shared" si="514"/>
        <v>-</v>
      </c>
      <c r="X954" s="27" t="str">
        <f>IFERROR(W954*H954,"-")</f>
        <v>-</v>
      </c>
      <c r="Z954" s="94" t="s">
        <v>82</v>
      </c>
    </row>
    <row r="955" spans="1:26" s="25" customFormat="1" ht="6.95" customHeight="1" x14ac:dyDescent="0.3">
      <c r="A955" s="10"/>
      <c r="B955" s="168"/>
      <c r="C955" s="169"/>
      <c r="D955" s="160"/>
      <c r="E955" s="161"/>
      <c r="F955" s="162"/>
      <c r="G955" s="163"/>
      <c r="H955" s="164"/>
      <c r="I955" s="163"/>
      <c r="J955" s="164"/>
      <c r="K955" s="163"/>
      <c r="L955" s="164"/>
      <c r="M955" s="11"/>
      <c r="N955" s="39"/>
      <c r="Q955" s="15" t="str">
        <f>+CONCATENATE(E954,I954)</f>
        <v/>
      </c>
      <c r="R955" s="15">
        <f>+J954</f>
        <v>0</v>
      </c>
      <c r="S955" s="16"/>
      <c r="T955" s="15">
        <f>+E954</f>
        <v>0</v>
      </c>
      <c r="U955" s="26" t="str">
        <f>IFERROR(LEFT(I954,FIND("*",I954)-1),"-")</f>
        <v>-</v>
      </c>
      <c r="V955" s="26" t="str">
        <f>IFERROR(RIGHT(I954,LEN(I954)-FIND("*",I954)),"-")</f>
        <v>-</v>
      </c>
      <c r="W955" s="27" t="str">
        <f t="shared" si="514"/>
        <v>-</v>
      </c>
      <c r="X955" s="27" t="str">
        <f t="shared" ref="X955" si="519">IFERROR(W955*J954,"-")</f>
        <v>-</v>
      </c>
      <c r="Z955" s="94" t="s">
        <v>82</v>
      </c>
    </row>
    <row r="956" spans="1:26" s="25" customFormat="1" ht="6.95" customHeight="1" x14ac:dyDescent="0.3">
      <c r="A956" s="10"/>
      <c r="B956" s="168"/>
      <c r="C956" s="169"/>
      <c r="D956" s="160"/>
      <c r="E956" s="161"/>
      <c r="F956" s="162"/>
      <c r="G956" s="163"/>
      <c r="H956" s="164"/>
      <c r="I956" s="163"/>
      <c r="J956" s="164"/>
      <c r="K956" s="163"/>
      <c r="L956" s="164"/>
      <c r="M956" s="11"/>
      <c r="N956" s="39"/>
      <c r="Q956" s="15" t="str">
        <f>+CONCATENATE(E954,K954)</f>
        <v/>
      </c>
      <c r="R956" s="15">
        <f>+L954</f>
        <v>0</v>
      </c>
      <c r="S956" s="16"/>
      <c r="T956" s="15">
        <f>+E954</f>
        <v>0</v>
      </c>
      <c r="U956" s="26" t="str">
        <f>IFERROR(LEFT(K954,FIND("*",K954)-1),"-")</f>
        <v>-</v>
      </c>
      <c r="V956" s="26" t="str">
        <f>IFERROR(RIGHT(K954,LEN(K954)-FIND("*",K954)),"-")</f>
        <v>-</v>
      </c>
      <c r="W956" s="27" t="str">
        <f t="shared" si="514"/>
        <v>-</v>
      </c>
      <c r="X956" s="27" t="str">
        <f>IFERROR(W956*L954,"-")</f>
        <v>-</v>
      </c>
      <c r="Z956" s="94" t="s">
        <v>82</v>
      </c>
    </row>
    <row r="957" spans="1:26" s="25" customFormat="1" ht="21" customHeight="1" thickBot="1" x14ac:dyDescent="0.35">
      <c r="A957" s="10"/>
      <c r="B957" s="170"/>
      <c r="C957" s="171"/>
      <c r="D957" s="172" t="s">
        <v>43</v>
      </c>
      <c r="E957" s="173"/>
      <c r="F957" s="173"/>
      <c r="G957" s="174"/>
      <c r="H957" s="174"/>
      <c r="I957" s="174"/>
      <c r="J957" s="174"/>
      <c r="K957" s="174"/>
      <c r="L957" s="174"/>
      <c r="M957" s="12"/>
      <c r="N957" s="39"/>
      <c r="U957" s="23"/>
      <c r="V957" s="23"/>
      <c r="Z957" s="95" t="s">
        <v>81</v>
      </c>
    </row>
    <row r="958" spans="1:26" s="25" customFormat="1" ht="9.9499999999999993" customHeight="1" thickBot="1" x14ac:dyDescent="0.35">
      <c r="A958" s="6"/>
      <c r="B958" s="14"/>
      <c r="C958" s="119"/>
      <c r="D958" s="58"/>
      <c r="E958" s="17"/>
      <c r="F958" s="58"/>
      <c r="G958" s="19"/>
      <c r="H958" s="19"/>
      <c r="I958" s="19"/>
      <c r="J958" s="19"/>
      <c r="K958" s="19"/>
      <c r="L958" s="19"/>
      <c r="M958" s="14"/>
      <c r="N958" s="39"/>
      <c r="Q958" s="1"/>
      <c r="R958" s="1"/>
      <c r="S958" s="1"/>
      <c r="T958" s="1"/>
      <c r="U958" s="24"/>
      <c r="V958" s="24"/>
      <c r="W958" s="1"/>
      <c r="X958" s="1"/>
      <c r="Z958" s="94" t="s">
        <v>82</v>
      </c>
    </row>
    <row r="959" spans="1:26" s="25" customFormat="1" ht="6.95" customHeight="1" x14ac:dyDescent="0.3">
      <c r="A959" s="165">
        <f>+A948+1</f>
        <v>88</v>
      </c>
      <c r="B959" s="166"/>
      <c r="C959" s="167"/>
      <c r="D959" s="160" t="s">
        <v>39</v>
      </c>
      <c r="E959" s="161"/>
      <c r="F959" s="162" t="s">
        <v>40</v>
      </c>
      <c r="G959" s="163"/>
      <c r="H959" s="164"/>
      <c r="I959" s="163"/>
      <c r="J959" s="164"/>
      <c r="K959" s="163"/>
      <c r="L959" s="164"/>
      <c r="M959" s="11"/>
      <c r="N959" s="39"/>
      <c r="Q959" s="15" t="str">
        <f>+CONCATENATE(E959,G959)</f>
        <v/>
      </c>
      <c r="R959" s="15">
        <f>+H959</f>
        <v>0</v>
      </c>
      <c r="S959" s="16"/>
      <c r="T959" s="15">
        <f>+E959</f>
        <v>0</v>
      </c>
      <c r="U959" s="26" t="str">
        <f>IFERROR(LEFT(G959,FIND("*",G959)-1),"-")</f>
        <v>-</v>
      </c>
      <c r="V959" s="26" t="str">
        <f>IFERROR(RIGHT(G959,LEN(G959)-FIND("*",G959)),"-")</f>
        <v>-</v>
      </c>
      <c r="W959" s="27" t="str">
        <f>IFERROR((U959+V959)*2/1000,"-")</f>
        <v>-</v>
      </c>
      <c r="X959" s="27" t="str">
        <f>IFERROR(W959*H959,"-")</f>
        <v>-</v>
      </c>
      <c r="Z959" s="94" t="s">
        <v>82</v>
      </c>
    </row>
    <row r="960" spans="1:26" s="25" customFormat="1" ht="6.95" customHeight="1" x14ac:dyDescent="0.3">
      <c r="A960" s="165"/>
      <c r="B960" s="168"/>
      <c r="C960" s="169"/>
      <c r="D960" s="160"/>
      <c r="E960" s="161"/>
      <c r="F960" s="162"/>
      <c r="G960" s="163"/>
      <c r="H960" s="164"/>
      <c r="I960" s="163"/>
      <c r="J960" s="164"/>
      <c r="K960" s="163"/>
      <c r="L960" s="164"/>
      <c r="M960" s="11"/>
      <c r="N960" s="39"/>
      <c r="Q960" s="15" t="str">
        <f>+CONCATENATE(E959,I959)</f>
        <v/>
      </c>
      <c r="R960" s="15">
        <f>+J959</f>
        <v>0</v>
      </c>
      <c r="S960" s="16"/>
      <c r="T960" s="15">
        <f>+E959</f>
        <v>0</v>
      </c>
      <c r="U960" s="26" t="str">
        <f>IFERROR(LEFT(I959,FIND("*",I959)-1),"-")</f>
        <v>-</v>
      </c>
      <c r="V960" s="26" t="str">
        <f>IFERROR(RIGHT(I959,LEN(I959)-FIND("*",I959)),"-")</f>
        <v>-</v>
      </c>
      <c r="W960" s="27" t="str">
        <f t="shared" ref="W960:W967" si="520">IFERROR((U960+V960)*2/1000,"-")</f>
        <v>-</v>
      </c>
      <c r="X960" s="27" t="str">
        <f>IFERROR(W960*J959,"-")</f>
        <v>-</v>
      </c>
      <c r="Z960" s="94" t="s">
        <v>82</v>
      </c>
    </row>
    <row r="961" spans="1:26" s="25" customFormat="1" ht="6.95" customHeight="1" x14ac:dyDescent="0.3">
      <c r="A961" s="165"/>
      <c r="B961" s="168"/>
      <c r="C961" s="169"/>
      <c r="D961" s="160"/>
      <c r="E961" s="161"/>
      <c r="F961" s="162"/>
      <c r="G961" s="163"/>
      <c r="H961" s="164"/>
      <c r="I961" s="163"/>
      <c r="J961" s="164"/>
      <c r="K961" s="163"/>
      <c r="L961" s="164"/>
      <c r="M961" s="11"/>
      <c r="N961" s="39"/>
      <c r="Q961" s="15" t="str">
        <f>+CONCATENATE(E959,K959)</f>
        <v/>
      </c>
      <c r="R961" s="15">
        <f>+L959</f>
        <v>0</v>
      </c>
      <c r="S961" s="16"/>
      <c r="T961" s="15">
        <f>+E959</f>
        <v>0</v>
      </c>
      <c r="U961" s="26" t="str">
        <f>IFERROR(LEFT(K959,FIND("*",K959)-1),"-")</f>
        <v>-</v>
      </c>
      <c r="V961" s="26" t="str">
        <f>IFERROR(RIGHT(K959,LEN(K959)-FIND("*",K959)),"-")</f>
        <v>-</v>
      </c>
      <c r="W961" s="27" t="str">
        <f t="shared" si="520"/>
        <v>-</v>
      </c>
      <c r="X961" s="27" t="str">
        <f>IFERROR(W961*L959,"-")</f>
        <v>-</v>
      </c>
      <c r="Z961" s="94" t="s">
        <v>82</v>
      </c>
    </row>
    <row r="962" spans="1:26" s="25" customFormat="1" ht="6.95" customHeight="1" x14ac:dyDescent="0.3">
      <c r="A962" s="13"/>
      <c r="B962" s="168"/>
      <c r="C962" s="169"/>
      <c r="D962" s="160" t="s">
        <v>39</v>
      </c>
      <c r="E962" s="161"/>
      <c r="F962" s="162" t="s">
        <v>40</v>
      </c>
      <c r="G962" s="163"/>
      <c r="H962" s="164"/>
      <c r="I962" s="163"/>
      <c r="J962" s="164"/>
      <c r="K962" s="163"/>
      <c r="L962" s="164"/>
      <c r="M962" s="11"/>
      <c r="N962" s="39"/>
      <c r="Q962" s="15" t="str">
        <f>+CONCATENATE(E962,G962)</f>
        <v/>
      </c>
      <c r="R962" s="15">
        <f>+H962</f>
        <v>0</v>
      </c>
      <c r="S962" s="16"/>
      <c r="T962" s="15">
        <f>+E962</f>
        <v>0</v>
      </c>
      <c r="U962" s="26" t="str">
        <f t="shared" ref="U962" si="521">IFERROR(LEFT(G962,FIND("*",G962)-1),"-")</f>
        <v>-</v>
      </c>
      <c r="V962" s="26" t="str">
        <f t="shared" ref="V962" si="522">IFERROR(RIGHT(G962,LEN(G962)-FIND("*",G962)),"-")</f>
        <v>-</v>
      </c>
      <c r="W962" s="27" t="str">
        <f t="shared" si="520"/>
        <v>-</v>
      </c>
      <c r="X962" s="27" t="str">
        <f>IFERROR(W962*H962,"-")</f>
        <v>-</v>
      </c>
      <c r="Z962" s="94" t="s">
        <v>82</v>
      </c>
    </row>
    <row r="963" spans="1:26" s="25" customFormat="1" ht="6.95" customHeight="1" x14ac:dyDescent="0.3">
      <c r="A963" s="10"/>
      <c r="B963" s="168"/>
      <c r="C963" s="169"/>
      <c r="D963" s="160"/>
      <c r="E963" s="161"/>
      <c r="F963" s="162"/>
      <c r="G963" s="163"/>
      <c r="H963" s="164"/>
      <c r="I963" s="163"/>
      <c r="J963" s="164"/>
      <c r="K963" s="163"/>
      <c r="L963" s="164"/>
      <c r="M963" s="11"/>
      <c r="N963" s="39"/>
      <c r="Q963" s="15" t="str">
        <f>+CONCATENATE(E962,I962)</f>
        <v/>
      </c>
      <c r="R963" s="15">
        <f>+J962</f>
        <v>0</v>
      </c>
      <c r="S963" s="16"/>
      <c r="T963" s="15">
        <f>+E962</f>
        <v>0</v>
      </c>
      <c r="U963" s="26" t="str">
        <f>IFERROR(LEFT(I962,FIND("*",I962)-1),"-")</f>
        <v>-</v>
      </c>
      <c r="V963" s="26" t="str">
        <f>IFERROR(RIGHT(I962,LEN(I962)-FIND("*",I962)),"-")</f>
        <v>-</v>
      </c>
      <c r="W963" s="27" t="str">
        <f t="shared" si="520"/>
        <v>-</v>
      </c>
      <c r="X963" s="27" t="str">
        <f>IFERROR(W963*J962,"-")</f>
        <v>-</v>
      </c>
      <c r="Z963" s="94" t="s">
        <v>82</v>
      </c>
    </row>
    <row r="964" spans="1:26" s="25" customFormat="1" ht="6.95" customHeight="1" x14ac:dyDescent="0.3">
      <c r="A964" s="10"/>
      <c r="B964" s="168"/>
      <c r="C964" s="169"/>
      <c r="D964" s="160"/>
      <c r="E964" s="161"/>
      <c r="F964" s="162"/>
      <c r="G964" s="163"/>
      <c r="H964" s="164"/>
      <c r="I964" s="163"/>
      <c r="J964" s="164"/>
      <c r="K964" s="163"/>
      <c r="L964" s="164"/>
      <c r="M964" s="11"/>
      <c r="N964" s="39"/>
      <c r="Q964" s="15" t="str">
        <f>+CONCATENATE(E962,K962)</f>
        <v/>
      </c>
      <c r="R964" s="15">
        <f>+L962</f>
        <v>0</v>
      </c>
      <c r="S964" s="16"/>
      <c r="T964" s="15">
        <f>+E962</f>
        <v>0</v>
      </c>
      <c r="U964" s="26" t="str">
        <f>IFERROR(LEFT(K962,FIND("*",K962)-1),"-")</f>
        <v>-</v>
      </c>
      <c r="V964" s="26" t="str">
        <f>IFERROR(RIGHT(K962,LEN(K962)-FIND("*",K962)),"-")</f>
        <v>-</v>
      </c>
      <c r="W964" s="27" t="str">
        <f t="shared" si="520"/>
        <v>-</v>
      </c>
      <c r="X964" s="27" t="str">
        <f>IFERROR(W964*L962,"-")</f>
        <v>-</v>
      </c>
      <c r="Z964" s="94" t="s">
        <v>82</v>
      </c>
    </row>
    <row r="965" spans="1:26" s="25" customFormat="1" ht="6.95" customHeight="1" x14ac:dyDescent="0.3">
      <c r="A965" s="13"/>
      <c r="B965" s="168"/>
      <c r="C965" s="169"/>
      <c r="D965" s="160" t="s">
        <v>39</v>
      </c>
      <c r="E965" s="161"/>
      <c r="F965" s="162" t="s">
        <v>40</v>
      </c>
      <c r="G965" s="163"/>
      <c r="H965" s="164"/>
      <c r="I965" s="163"/>
      <c r="J965" s="164"/>
      <c r="K965" s="163"/>
      <c r="L965" s="164"/>
      <c r="M965" s="11"/>
      <c r="N965" s="39"/>
      <c r="Q965" s="15" t="str">
        <f>+CONCATENATE(E965,G965)</f>
        <v/>
      </c>
      <c r="R965" s="15">
        <f>+H965</f>
        <v>0</v>
      </c>
      <c r="S965" s="16"/>
      <c r="T965" s="15">
        <f>+E965</f>
        <v>0</v>
      </c>
      <c r="U965" s="26" t="str">
        <f t="shared" ref="U965" si="523">IFERROR(LEFT(G965,FIND("*",G965)-1),"-")</f>
        <v>-</v>
      </c>
      <c r="V965" s="26" t="str">
        <f t="shared" ref="V965" si="524">IFERROR(RIGHT(G965,LEN(G965)-FIND("*",G965)),"-")</f>
        <v>-</v>
      </c>
      <c r="W965" s="27" t="str">
        <f t="shared" si="520"/>
        <v>-</v>
      </c>
      <c r="X965" s="27" t="str">
        <f>IFERROR(W965*H965,"-")</f>
        <v>-</v>
      </c>
      <c r="Z965" s="94" t="s">
        <v>82</v>
      </c>
    </row>
    <row r="966" spans="1:26" s="25" customFormat="1" ht="6.95" customHeight="1" x14ac:dyDescent="0.3">
      <c r="A966" s="10"/>
      <c r="B966" s="168"/>
      <c r="C966" s="169"/>
      <c r="D966" s="160"/>
      <c r="E966" s="161"/>
      <c r="F966" s="162"/>
      <c r="G966" s="163"/>
      <c r="H966" s="164"/>
      <c r="I966" s="163"/>
      <c r="J966" s="164"/>
      <c r="K966" s="163"/>
      <c r="L966" s="164"/>
      <c r="M966" s="11"/>
      <c r="N966" s="39"/>
      <c r="Q966" s="15" t="str">
        <f>+CONCATENATE(E965,I965)</f>
        <v/>
      </c>
      <c r="R966" s="15">
        <f>+J965</f>
        <v>0</v>
      </c>
      <c r="S966" s="16"/>
      <c r="T966" s="15">
        <f>+E965</f>
        <v>0</v>
      </c>
      <c r="U966" s="26" t="str">
        <f>IFERROR(LEFT(I965,FIND("*",I965)-1),"-")</f>
        <v>-</v>
      </c>
      <c r="V966" s="26" t="str">
        <f>IFERROR(RIGHT(I965,LEN(I965)-FIND("*",I965)),"-")</f>
        <v>-</v>
      </c>
      <c r="W966" s="27" t="str">
        <f t="shared" si="520"/>
        <v>-</v>
      </c>
      <c r="X966" s="27" t="str">
        <f t="shared" ref="X966" si="525">IFERROR(W966*J965,"-")</f>
        <v>-</v>
      </c>
      <c r="Z966" s="94" t="s">
        <v>82</v>
      </c>
    </row>
    <row r="967" spans="1:26" s="25" customFormat="1" ht="6.95" customHeight="1" x14ac:dyDescent="0.3">
      <c r="A967" s="10"/>
      <c r="B967" s="168"/>
      <c r="C967" s="169"/>
      <c r="D967" s="160"/>
      <c r="E967" s="161"/>
      <c r="F967" s="162"/>
      <c r="G967" s="163"/>
      <c r="H967" s="164"/>
      <c r="I967" s="163"/>
      <c r="J967" s="164"/>
      <c r="K967" s="163"/>
      <c r="L967" s="164"/>
      <c r="M967" s="11"/>
      <c r="N967" s="39"/>
      <c r="Q967" s="15" t="str">
        <f>+CONCATENATE(E965,K965)</f>
        <v/>
      </c>
      <c r="R967" s="15">
        <f>+L965</f>
        <v>0</v>
      </c>
      <c r="S967" s="16"/>
      <c r="T967" s="15">
        <f>+E965</f>
        <v>0</v>
      </c>
      <c r="U967" s="26" t="str">
        <f>IFERROR(LEFT(K965,FIND("*",K965)-1),"-")</f>
        <v>-</v>
      </c>
      <c r="V967" s="26" t="str">
        <f>IFERROR(RIGHT(K965,LEN(K965)-FIND("*",K965)),"-")</f>
        <v>-</v>
      </c>
      <c r="W967" s="27" t="str">
        <f t="shared" si="520"/>
        <v>-</v>
      </c>
      <c r="X967" s="27" t="str">
        <f>IFERROR(W967*L965,"-")</f>
        <v>-</v>
      </c>
      <c r="Z967" s="94" t="s">
        <v>82</v>
      </c>
    </row>
    <row r="968" spans="1:26" s="25" customFormat="1" ht="21" customHeight="1" thickBot="1" x14ac:dyDescent="0.35">
      <c r="A968" s="10"/>
      <c r="B968" s="170"/>
      <c r="C968" s="171"/>
      <c r="D968" s="172" t="s">
        <v>43</v>
      </c>
      <c r="E968" s="173"/>
      <c r="F968" s="173"/>
      <c r="G968" s="174"/>
      <c r="H968" s="174"/>
      <c r="I968" s="174"/>
      <c r="J968" s="174"/>
      <c r="K968" s="174"/>
      <c r="L968" s="174"/>
      <c r="M968" s="12"/>
      <c r="N968" s="39"/>
      <c r="U968" s="23"/>
      <c r="V968" s="23"/>
      <c r="Z968" s="95" t="s">
        <v>81</v>
      </c>
    </row>
    <row r="969" spans="1:26" s="25" customFormat="1" ht="9.9499999999999993" customHeight="1" thickBot="1" x14ac:dyDescent="0.35">
      <c r="A969" s="6"/>
      <c r="B969" s="14"/>
      <c r="C969" s="119"/>
      <c r="D969" s="58"/>
      <c r="E969" s="17"/>
      <c r="F969" s="58"/>
      <c r="G969" s="19"/>
      <c r="H969" s="19"/>
      <c r="I969" s="19"/>
      <c r="J969" s="19"/>
      <c r="K969" s="19"/>
      <c r="L969" s="19"/>
      <c r="M969" s="14"/>
      <c r="N969" s="39"/>
      <c r="Q969" s="1"/>
      <c r="R969" s="1"/>
      <c r="S969" s="1"/>
      <c r="T969" s="1"/>
      <c r="U969" s="24"/>
      <c r="V969" s="24"/>
      <c r="W969" s="1"/>
      <c r="X969" s="1"/>
      <c r="Z969" s="94" t="s">
        <v>82</v>
      </c>
    </row>
    <row r="970" spans="1:26" s="25" customFormat="1" ht="6.95" customHeight="1" x14ac:dyDescent="0.3">
      <c r="A970" s="165">
        <f>+A959+1</f>
        <v>89</v>
      </c>
      <c r="B970" s="166"/>
      <c r="C970" s="167"/>
      <c r="D970" s="160" t="s">
        <v>39</v>
      </c>
      <c r="E970" s="161"/>
      <c r="F970" s="162" t="s">
        <v>40</v>
      </c>
      <c r="G970" s="163"/>
      <c r="H970" s="164"/>
      <c r="I970" s="163"/>
      <c r="J970" s="164"/>
      <c r="K970" s="163"/>
      <c r="L970" s="164"/>
      <c r="M970" s="11"/>
      <c r="N970" s="39"/>
      <c r="Q970" s="15" t="str">
        <f>+CONCATENATE(E970,G970)</f>
        <v/>
      </c>
      <c r="R970" s="15">
        <f>+H970</f>
        <v>0</v>
      </c>
      <c r="S970" s="16"/>
      <c r="T970" s="15">
        <f>+E970</f>
        <v>0</v>
      </c>
      <c r="U970" s="26" t="str">
        <f>IFERROR(LEFT(G970,FIND("*",G970)-1),"-")</f>
        <v>-</v>
      </c>
      <c r="V970" s="26" t="str">
        <f>IFERROR(RIGHT(G970,LEN(G970)-FIND("*",G970)),"-")</f>
        <v>-</v>
      </c>
      <c r="W970" s="27" t="str">
        <f>IFERROR((U970+V970)*2/1000,"-")</f>
        <v>-</v>
      </c>
      <c r="X970" s="27" t="str">
        <f>IFERROR(W970*H970,"-")</f>
        <v>-</v>
      </c>
      <c r="Z970" s="94" t="s">
        <v>82</v>
      </c>
    </row>
    <row r="971" spans="1:26" s="25" customFormat="1" ht="6.95" customHeight="1" x14ac:dyDescent="0.3">
      <c r="A971" s="165"/>
      <c r="B971" s="168"/>
      <c r="C971" s="169"/>
      <c r="D971" s="160"/>
      <c r="E971" s="161"/>
      <c r="F971" s="162"/>
      <c r="G971" s="163"/>
      <c r="H971" s="164"/>
      <c r="I971" s="163"/>
      <c r="J971" s="164"/>
      <c r="K971" s="163"/>
      <c r="L971" s="164"/>
      <c r="M971" s="11"/>
      <c r="N971" s="39"/>
      <c r="Q971" s="15" t="str">
        <f>+CONCATENATE(E970,I970)</f>
        <v/>
      </c>
      <c r="R971" s="15">
        <f>+J970</f>
        <v>0</v>
      </c>
      <c r="S971" s="16"/>
      <c r="T971" s="15">
        <f>+E970</f>
        <v>0</v>
      </c>
      <c r="U971" s="26" t="str">
        <f>IFERROR(LEFT(I970,FIND("*",I970)-1),"-")</f>
        <v>-</v>
      </c>
      <c r="V971" s="26" t="str">
        <f>IFERROR(RIGHT(I970,LEN(I970)-FIND("*",I970)),"-")</f>
        <v>-</v>
      </c>
      <c r="W971" s="27" t="str">
        <f t="shared" ref="W971:W978" si="526">IFERROR((U971+V971)*2/1000,"-")</f>
        <v>-</v>
      </c>
      <c r="X971" s="27" t="str">
        <f>IFERROR(W971*J970,"-")</f>
        <v>-</v>
      </c>
      <c r="Z971" s="94" t="s">
        <v>82</v>
      </c>
    </row>
    <row r="972" spans="1:26" s="25" customFormat="1" ht="6.95" customHeight="1" x14ac:dyDescent="0.3">
      <c r="A972" s="165"/>
      <c r="B972" s="168"/>
      <c r="C972" s="169"/>
      <c r="D972" s="160"/>
      <c r="E972" s="161"/>
      <c r="F972" s="162"/>
      <c r="G972" s="163"/>
      <c r="H972" s="164"/>
      <c r="I972" s="163"/>
      <c r="J972" s="164"/>
      <c r="K972" s="163"/>
      <c r="L972" s="164"/>
      <c r="M972" s="11"/>
      <c r="N972" s="39"/>
      <c r="Q972" s="15" t="str">
        <f>+CONCATENATE(E970,K970)</f>
        <v/>
      </c>
      <c r="R972" s="15">
        <f>+L970</f>
        <v>0</v>
      </c>
      <c r="S972" s="16"/>
      <c r="T972" s="15">
        <f>+E970</f>
        <v>0</v>
      </c>
      <c r="U972" s="26" t="str">
        <f>IFERROR(LEFT(K970,FIND("*",K970)-1),"-")</f>
        <v>-</v>
      </c>
      <c r="V972" s="26" t="str">
        <f>IFERROR(RIGHT(K970,LEN(K970)-FIND("*",K970)),"-")</f>
        <v>-</v>
      </c>
      <c r="W972" s="27" t="str">
        <f t="shared" si="526"/>
        <v>-</v>
      </c>
      <c r="X972" s="27" t="str">
        <f>IFERROR(W972*L970,"-")</f>
        <v>-</v>
      </c>
      <c r="Z972" s="94" t="s">
        <v>82</v>
      </c>
    </row>
    <row r="973" spans="1:26" s="25" customFormat="1" ht="6.95" customHeight="1" x14ac:dyDescent="0.3">
      <c r="A973" s="13"/>
      <c r="B973" s="168"/>
      <c r="C973" s="169"/>
      <c r="D973" s="160" t="s">
        <v>39</v>
      </c>
      <c r="E973" s="161"/>
      <c r="F973" s="162" t="s">
        <v>40</v>
      </c>
      <c r="G973" s="163"/>
      <c r="H973" s="164"/>
      <c r="I973" s="163"/>
      <c r="J973" s="164"/>
      <c r="K973" s="163"/>
      <c r="L973" s="164"/>
      <c r="M973" s="11"/>
      <c r="N973" s="39"/>
      <c r="Q973" s="15" t="str">
        <f>+CONCATENATE(E973,G973)</f>
        <v/>
      </c>
      <c r="R973" s="15">
        <f>+H973</f>
        <v>0</v>
      </c>
      <c r="S973" s="16"/>
      <c r="T973" s="15">
        <f>+E973</f>
        <v>0</v>
      </c>
      <c r="U973" s="26" t="str">
        <f t="shared" ref="U973" si="527">IFERROR(LEFT(G973,FIND("*",G973)-1),"-")</f>
        <v>-</v>
      </c>
      <c r="V973" s="26" t="str">
        <f t="shared" ref="V973" si="528">IFERROR(RIGHT(G973,LEN(G973)-FIND("*",G973)),"-")</f>
        <v>-</v>
      </c>
      <c r="W973" s="27" t="str">
        <f t="shared" si="526"/>
        <v>-</v>
      </c>
      <c r="X973" s="27" t="str">
        <f>IFERROR(W973*H973,"-")</f>
        <v>-</v>
      </c>
      <c r="Z973" s="94" t="s">
        <v>82</v>
      </c>
    </row>
    <row r="974" spans="1:26" s="25" customFormat="1" ht="6.95" customHeight="1" x14ac:dyDescent="0.3">
      <c r="A974" s="10"/>
      <c r="B974" s="168"/>
      <c r="C974" s="169"/>
      <c r="D974" s="160"/>
      <c r="E974" s="161"/>
      <c r="F974" s="162"/>
      <c r="G974" s="163"/>
      <c r="H974" s="164"/>
      <c r="I974" s="163"/>
      <c r="J974" s="164"/>
      <c r="K974" s="163"/>
      <c r="L974" s="164"/>
      <c r="M974" s="11"/>
      <c r="N974" s="39"/>
      <c r="Q974" s="15" t="str">
        <f>+CONCATENATE(E973,I973)</f>
        <v/>
      </c>
      <c r="R974" s="15">
        <f>+J973</f>
        <v>0</v>
      </c>
      <c r="S974" s="16"/>
      <c r="T974" s="15">
        <f>+E973</f>
        <v>0</v>
      </c>
      <c r="U974" s="26" t="str">
        <f>IFERROR(LEFT(I973,FIND("*",I973)-1),"-")</f>
        <v>-</v>
      </c>
      <c r="V974" s="26" t="str">
        <f>IFERROR(RIGHT(I973,LEN(I973)-FIND("*",I973)),"-")</f>
        <v>-</v>
      </c>
      <c r="W974" s="27" t="str">
        <f t="shared" si="526"/>
        <v>-</v>
      </c>
      <c r="X974" s="27" t="str">
        <f>IFERROR(W974*J973,"-")</f>
        <v>-</v>
      </c>
      <c r="Z974" s="94" t="s">
        <v>82</v>
      </c>
    </row>
    <row r="975" spans="1:26" s="25" customFormat="1" ht="6.95" customHeight="1" x14ac:dyDescent="0.3">
      <c r="A975" s="10"/>
      <c r="B975" s="168"/>
      <c r="C975" s="169"/>
      <c r="D975" s="160"/>
      <c r="E975" s="161"/>
      <c r="F975" s="162"/>
      <c r="G975" s="163"/>
      <c r="H975" s="164"/>
      <c r="I975" s="163"/>
      <c r="J975" s="164"/>
      <c r="K975" s="163"/>
      <c r="L975" s="164"/>
      <c r="M975" s="11"/>
      <c r="N975" s="39"/>
      <c r="Q975" s="15" t="str">
        <f>+CONCATENATE(E973,K973)</f>
        <v/>
      </c>
      <c r="R975" s="15">
        <f>+L973</f>
        <v>0</v>
      </c>
      <c r="S975" s="16"/>
      <c r="T975" s="15">
        <f>+E973</f>
        <v>0</v>
      </c>
      <c r="U975" s="26" t="str">
        <f>IFERROR(LEFT(K973,FIND("*",K973)-1),"-")</f>
        <v>-</v>
      </c>
      <c r="V975" s="26" t="str">
        <f>IFERROR(RIGHT(K973,LEN(K973)-FIND("*",K973)),"-")</f>
        <v>-</v>
      </c>
      <c r="W975" s="27" t="str">
        <f t="shared" si="526"/>
        <v>-</v>
      </c>
      <c r="X975" s="27" t="str">
        <f>IFERROR(W975*L973,"-")</f>
        <v>-</v>
      </c>
      <c r="Z975" s="94" t="s">
        <v>82</v>
      </c>
    </row>
    <row r="976" spans="1:26" s="25" customFormat="1" ht="6.95" customHeight="1" x14ac:dyDescent="0.3">
      <c r="A976" s="13"/>
      <c r="B976" s="168"/>
      <c r="C976" s="169"/>
      <c r="D976" s="160" t="s">
        <v>39</v>
      </c>
      <c r="E976" s="161"/>
      <c r="F976" s="162" t="s">
        <v>40</v>
      </c>
      <c r="G976" s="163"/>
      <c r="H976" s="164"/>
      <c r="I976" s="163"/>
      <c r="J976" s="164"/>
      <c r="K976" s="163"/>
      <c r="L976" s="164"/>
      <c r="M976" s="11"/>
      <c r="N976" s="39"/>
      <c r="Q976" s="15" t="str">
        <f>+CONCATENATE(E976,G976)</f>
        <v/>
      </c>
      <c r="R976" s="15">
        <f>+H976</f>
        <v>0</v>
      </c>
      <c r="S976" s="16"/>
      <c r="T976" s="15">
        <f>+E976</f>
        <v>0</v>
      </c>
      <c r="U976" s="26" t="str">
        <f t="shared" ref="U976" si="529">IFERROR(LEFT(G976,FIND("*",G976)-1),"-")</f>
        <v>-</v>
      </c>
      <c r="V976" s="26" t="str">
        <f t="shared" ref="V976" si="530">IFERROR(RIGHT(G976,LEN(G976)-FIND("*",G976)),"-")</f>
        <v>-</v>
      </c>
      <c r="W976" s="27" t="str">
        <f t="shared" si="526"/>
        <v>-</v>
      </c>
      <c r="X976" s="27" t="str">
        <f>IFERROR(W976*H976,"-")</f>
        <v>-</v>
      </c>
      <c r="Z976" s="94" t="s">
        <v>82</v>
      </c>
    </row>
    <row r="977" spans="1:26" s="25" customFormat="1" ht="6.95" customHeight="1" x14ac:dyDescent="0.3">
      <c r="A977" s="10"/>
      <c r="B977" s="168"/>
      <c r="C977" s="169"/>
      <c r="D977" s="160"/>
      <c r="E977" s="161"/>
      <c r="F977" s="162"/>
      <c r="G977" s="163"/>
      <c r="H977" s="164"/>
      <c r="I977" s="163"/>
      <c r="J977" s="164"/>
      <c r="K977" s="163"/>
      <c r="L977" s="164"/>
      <c r="M977" s="11"/>
      <c r="N977" s="39"/>
      <c r="Q977" s="15" t="str">
        <f>+CONCATENATE(E976,I976)</f>
        <v/>
      </c>
      <c r="R977" s="15">
        <f>+J976</f>
        <v>0</v>
      </c>
      <c r="S977" s="16"/>
      <c r="T977" s="15">
        <f>+E976</f>
        <v>0</v>
      </c>
      <c r="U977" s="26" t="str">
        <f>IFERROR(LEFT(I976,FIND("*",I976)-1),"-")</f>
        <v>-</v>
      </c>
      <c r="V977" s="26" t="str">
        <f>IFERROR(RIGHT(I976,LEN(I976)-FIND("*",I976)),"-")</f>
        <v>-</v>
      </c>
      <c r="W977" s="27" t="str">
        <f t="shared" si="526"/>
        <v>-</v>
      </c>
      <c r="X977" s="27" t="str">
        <f t="shared" ref="X977" si="531">IFERROR(W977*J976,"-")</f>
        <v>-</v>
      </c>
      <c r="Z977" s="94" t="s">
        <v>82</v>
      </c>
    </row>
    <row r="978" spans="1:26" s="25" customFormat="1" ht="6.95" customHeight="1" x14ac:dyDescent="0.3">
      <c r="A978" s="10"/>
      <c r="B978" s="168"/>
      <c r="C978" s="169"/>
      <c r="D978" s="160"/>
      <c r="E978" s="161"/>
      <c r="F978" s="162"/>
      <c r="G978" s="163"/>
      <c r="H978" s="164"/>
      <c r="I978" s="163"/>
      <c r="J978" s="164"/>
      <c r="K978" s="163"/>
      <c r="L978" s="164"/>
      <c r="M978" s="11"/>
      <c r="N978" s="39"/>
      <c r="Q978" s="15" t="str">
        <f>+CONCATENATE(E976,K976)</f>
        <v/>
      </c>
      <c r="R978" s="15">
        <f>+L976</f>
        <v>0</v>
      </c>
      <c r="S978" s="16"/>
      <c r="T978" s="15">
        <f>+E976</f>
        <v>0</v>
      </c>
      <c r="U978" s="26" t="str">
        <f>IFERROR(LEFT(K976,FIND("*",K976)-1),"-")</f>
        <v>-</v>
      </c>
      <c r="V978" s="26" t="str">
        <f>IFERROR(RIGHT(K976,LEN(K976)-FIND("*",K976)),"-")</f>
        <v>-</v>
      </c>
      <c r="W978" s="27" t="str">
        <f t="shared" si="526"/>
        <v>-</v>
      </c>
      <c r="X978" s="27" t="str">
        <f>IFERROR(W978*L976,"-")</f>
        <v>-</v>
      </c>
      <c r="Z978" s="94" t="s">
        <v>82</v>
      </c>
    </row>
    <row r="979" spans="1:26" s="25" customFormat="1" ht="21" customHeight="1" thickBot="1" x14ac:dyDescent="0.35">
      <c r="A979" s="10"/>
      <c r="B979" s="170"/>
      <c r="C979" s="171"/>
      <c r="D979" s="172" t="s">
        <v>43</v>
      </c>
      <c r="E979" s="173"/>
      <c r="F979" s="173"/>
      <c r="G979" s="174"/>
      <c r="H979" s="174"/>
      <c r="I979" s="174"/>
      <c r="J979" s="174"/>
      <c r="K979" s="174"/>
      <c r="L979" s="174"/>
      <c r="M979" s="12"/>
      <c r="N979" s="39"/>
      <c r="U979" s="23"/>
      <c r="V979" s="23"/>
      <c r="Z979" s="95" t="s">
        <v>81</v>
      </c>
    </row>
    <row r="980" spans="1:26" s="25" customFormat="1" ht="9.9499999999999993" customHeight="1" thickBot="1" x14ac:dyDescent="0.35">
      <c r="A980" s="6"/>
      <c r="B980" s="14"/>
      <c r="C980" s="119"/>
      <c r="D980" s="58"/>
      <c r="E980" s="17"/>
      <c r="F980" s="58"/>
      <c r="G980" s="19"/>
      <c r="H980" s="19"/>
      <c r="I980" s="19"/>
      <c r="J980" s="19"/>
      <c r="K980" s="19"/>
      <c r="L980" s="19"/>
      <c r="M980" s="14"/>
      <c r="N980" s="39"/>
      <c r="Q980" s="1"/>
      <c r="R980" s="1"/>
      <c r="S980" s="1"/>
      <c r="T980" s="1"/>
      <c r="U980" s="24"/>
      <c r="V980" s="24"/>
      <c r="W980" s="1"/>
      <c r="X980" s="1"/>
      <c r="Z980" s="94" t="s">
        <v>82</v>
      </c>
    </row>
    <row r="981" spans="1:26" s="25" customFormat="1" ht="6.95" customHeight="1" x14ac:dyDescent="0.3">
      <c r="A981" s="165">
        <f>+A970+1</f>
        <v>90</v>
      </c>
      <c r="B981" s="166"/>
      <c r="C981" s="167"/>
      <c r="D981" s="160" t="s">
        <v>39</v>
      </c>
      <c r="E981" s="161"/>
      <c r="F981" s="162" t="s">
        <v>40</v>
      </c>
      <c r="G981" s="163"/>
      <c r="H981" s="164"/>
      <c r="I981" s="163"/>
      <c r="J981" s="164"/>
      <c r="K981" s="163"/>
      <c r="L981" s="164"/>
      <c r="M981" s="11"/>
      <c r="N981" s="39"/>
      <c r="Q981" s="15" t="str">
        <f>+CONCATENATE(E981,G981)</f>
        <v/>
      </c>
      <c r="R981" s="15">
        <f>+H981</f>
        <v>0</v>
      </c>
      <c r="S981" s="16"/>
      <c r="T981" s="15">
        <f>+E981</f>
        <v>0</v>
      </c>
      <c r="U981" s="26" t="str">
        <f>IFERROR(LEFT(G981,FIND("*",G981)-1),"-")</f>
        <v>-</v>
      </c>
      <c r="V981" s="26" t="str">
        <f>IFERROR(RIGHT(G981,LEN(G981)-FIND("*",G981)),"-")</f>
        <v>-</v>
      </c>
      <c r="W981" s="27" t="str">
        <f>IFERROR((U981+V981)*2/1000,"-")</f>
        <v>-</v>
      </c>
      <c r="X981" s="27" t="str">
        <f>IFERROR(W981*H981,"-")</f>
        <v>-</v>
      </c>
      <c r="Z981" s="94" t="s">
        <v>82</v>
      </c>
    </row>
    <row r="982" spans="1:26" s="25" customFormat="1" ht="6.95" customHeight="1" x14ac:dyDescent="0.3">
      <c r="A982" s="165"/>
      <c r="B982" s="168"/>
      <c r="C982" s="169"/>
      <c r="D982" s="160"/>
      <c r="E982" s="161"/>
      <c r="F982" s="162"/>
      <c r="G982" s="163"/>
      <c r="H982" s="164"/>
      <c r="I982" s="163"/>
      <c r="J982" s="164"/>
      <c r="K982" s="163"/>
      <c r="L982" s="164"/>
      <c r="M982" s="11"/>
      <c r="N982" s="39"/>
      <c r="Q982" s="15" t="str">
        <f>+CONCATENATE(E981,I981)</f>
        <v/>
      </c>
      <c r="R982" s="15">
        <f>+J981</f>
        <v>0</v>
      </c>
      <c r="S982" s="16"/>
      <c r="T982" s="15">
        <f>+E981</f>
        <v>0</v>
      </c>
      <c r="U982" s="26" t="str">
        <f>IFERROR(LEFT(I981,FIND("*",I981)-1),"-")</f>
        <v>-</v>
      </c>
      <c r="V982" s="26" t="str">
        <f>IFERROR(RIGHT(I981,LEN(I981)-FIND("*",I981)),"-")</f>
        <v>-</v>
      </c>
      <c r="W982" s="27" t="str">
        <f t="shared" ref="W982:W989" si="532">IFERROR((U982+V982)*2/1000,"-")</f>
        <v>-</v>
      </c>
      <c r="X982" s="27" t="str">
        <f>IFERROR(W982*J981,"-")</f>
        <v>-</v>
      </c>
      <c r="Z982" s="94" t="s">
        <v>82</v>
      </c>
    </row>
    <row r="983" spans="1:26" s="25" customFormat="1" ht="6.95" customHeight="1" x14ac:dyDescent="0.3">
      <c r="A983" s="165"/>
      <c r="B983" s="168"/>
      <c r="C983" s="169"/>
      <c r="D983" s="160"/>
      <c r="E983" s="161"/>
      <c r="F983" s="162"/>
      <c r="G983" s="163"/>
      <c r="H983" s="164"/>
      <c r="I983" s="163"/>
      <c r="J983" s="164"/>
      <c r="K983" s="163"/>
      <c r="L983" s="164"/>
      <c r="M983" s="11"/>
      <c r="N983" s="39"/>
      <c r="Q983" s="15" t="str">
        <f>+CONCATENATE(E981,K981)</f>
        <v/>
      </c>
      <c r="R983" s="15">
        <f>+L981</f>
        <v>0</v>
      </c>
      <c r="S983" s="16"/>
      <c r="T983" s="15">
        <f>+E981</f>
        <v>0</v>
      </c>
      <c r="U983" s="26" t="str">
        <f>IFERROR(LEFT(K981,FIND("*",K981)-1),"-")</f>
        <v>-</v>
      </c>
      <c r="V983" s="26" t="str">
        <f>IFERROR(RIGHT(K981,LEN(K981)-FIND("*",K981)),"-")</f>
        <v>-</v>
      </c>
      <c r="W983" s="27" t="str">
        <f t="shared" si="532"/>
        <v>-</v>
      </c>
      <c r="X983" s="27" t="str">
        <f>IFERROR(W983*L981,"-")</f>
        <v>-</v>
      </c>
      <c r="Z983" s="94" t="s">
        <v>82</v>
      </c>
    </row>
    <row r="984" spans="1:26" s="25" customFormat="1" ht="6.95" customHeight="1" x14ac:dyDescent="0.3">
      <c r="A984" s="13"/>
      <c r="B984" s="168"/>
      <c r="C984" s="169"/>
      <c r="D984" s="160" t="s">
        <v>39</v>
      </c>
      <c r="E984" s="161"/>
      <c r="F984" s="162" t="s">
        <v>40</v>
      </c>
      <c r="G984" s="163"/>
      <c r="H984" s="164"/>
      <c r="I984" s="163"/>
      <c r="J984" s="164"/>
      <c r="K984" s="163"/>
      <c r="L984" s="164"/>
      <c r="M984" s="11"/>
      <c r="N984" s="39"/>
      <c r="Q984" s="15" t="str">
        <f>+CONCATENATE(E984,G984)</f>
        <v/>
      </c>
      <c r="R984" s="15">
        <f>+H984</f>
        <v>0</v>
      </c>
      <c r="S984" s="16"/>
      <c r="T984" s="15">
        <f>+E984</f>
        <v>0</v>
      </c>
      <c r="U984" s="26" t="str">
        <f t="shared" ref="U984" si="533">IFERROR(LEFT(G984,FIND("*",G984)-1),"-")</f>
        <v>-</v>
      </c>
      <c r="V984" s="26" t="str">
        <f t="shared" ref="V984" si="534">IFERROR(RIGHT(G984,LEN(G984)-FIND("*",G984)),"-")</f>
        <v>-</v>
      </c>
      <c r="W984" s="27" t="str">
        <f t="shared" si="532"/>
        <v>-</v>
      </c>
      <c r="X984" s="27" t="str">
        <f>IFERROR(W984*H984,"-")</f>
        <v>-</v>
      </c>
      <c r="Z984" s="94" t="s">
        <v>82</v>
      </c>
    </row>
    <row r="985" spans="1:26" s="25" customFormat="1" ht="6.95" customHeight="1" x14ac:dyDescent="0.3">
      <c r="A985" s="10"/>
      <c r="B985" s="168"/>
      <c r="C985" s="169"/>
      <c r="D985" s="160"/>
      <c r="E985" s="161"/>
      <c r="F985" s="162"/>
      <c r="G985" s="163"/>
      <c r="H985" s="164"/>
      <c r="I985" s="163"/>
      <c r="J985" s="164"/>
      <c r="K985" s="163"/>
      <c r="L985" s="164"/>
      <c r="M985" s="11"/>
      <c r="N985" s="39"/>
      <c r="Q985" s="15" t="str">
        <f>+CONCATENATE(E984,I984)</f>
        <v/>
      </c>
      <c r="R985" s="15">
        <f>+J984</f>
        <v>0</v>
      </c>
      <c r="S985" s="16"/>
      <c r="T985" s="15">
        <f>+E984</f>
        <v>0</v>
      </c>
      <c r="U985" s="26" t="str">
        <f>IFERROR(LEFT(I984,FIND("*",I984)-1),"-")</f>
        <v>-</v>
      </c>
      <c r="V985" s="26" t="str">
        <f>IFERROR(RIGHT(I984,LEN(I984)-FIND("*",I984)),"-")</f>
        <v>-</v>
      </c>
      <c r="W985" s="27" t="str">
        <f t="shared" si="532"/>
        <v>-</v>
      </c>
      <c r="X985" s="27" t="str">
        <f>IFERROR(W985*J984,"-")</f>
        <v>-</v>
      </c>
      <c r="Z985" s="94" t="s">
        <v>82</v>
      </c>
    </row>
    <row r="986" spans="1:26" s="25" customFormat="1" ht="6.95" customHeight="1" x14ac:dyDescent="0.3">
      <c r="A986" s="10"/>
      <c r="B986" s="168"/>
      <c r="C986" s="169"/>
      <c r="D986" s="160"/>
      <c r="E986" s="161"/>
      <c r="F986" s="162"/>
      <c r="G986" s="163"/>
      <c r="H986" s="164"/>
      <c r="I986" s="163"/>
      <c r="J986" s="164"/>
      <c r="K986" s="163"/>
      <c r="L986" s="164"/>
      <c r="M986" s="11"/>
      <c r="N986" s="39"/>
      <c r="Q986" s="15" t="str">
        <f>+CONCATENATE(E984,K984)</f>
        <v/>
      </c>
      <c r="R986" s="15">
        <f>+L984</f>
        <v>0</v>
      </c>
      <c r="S986" s="16"/>
      <c r="T986" s="15">
        <f>+E984</f>
        <v>0</v>
      </c>
      <c r="U986" s="26" t="str">
        <f>IFERROR(LEFT(K984,FIND("*",K984)-1),"-")</f>
        <v>-</v>
      </c>
      <c r="V986" s="26" t="str">
        <f>IFERROR(RIGHT(K984,LEN(K984)-FIND("*",K984)),"-")</f>
        <v>-</v>
      </c>
      <c r="W986" s="27" t="str">
        <f t="shared" si="532"/>
        <v>-</v>
      </c>
      <c r="X986" s="27" t="str">
        <f>IFERROR(W986*L984,"-")</f>
        <v>-</v>
      </c>
      <c r="Z986" s="94" t="s">
        <v>82</v>
      </c>
    </row>
    <row r="987" spans="1:26" s="25" customFormat="1" ht="6.95" customHeight="1" x14ac:dyDescent="0.3">
      <c r="A987" s="13"/>
      <c r="B987" s="168"/>
      <c r="C987" s="169"/>
      <c r="D987" s="160" t="s">
        <v>39</v>
      </c>
      <c r="E987" s="161"/>
      <c r="F987" s="162" t="s">
        <v>40</v>
      </c>
      <c r="G987" s="163"/>
      <c r="H987" s="164"/>
      <c r="I987" s="163"/>
      <c r="J987" s="164"/>
      <c r="K987" s="163"/>
      <c r="L987" s="164"/>
      <c r="M987" s="11"/>
      <c r="N987" s="39"/>
      <c r="Q987" s="15" t="str">
        <f>+CONCATENATE(E987,G987)</f>
        <v/>
      </c>
      <c r="R987" s="15">
        <f>+H987</f>
        <v>0</v>
      </c>
      <c r="S987" s="16"/>
      <c r="T987" s="15">
        <f>+E987</f>
        <v>0</v>
      </c>
      <c r="U987" s="26" t="str">
        <f t="shared" ref="U987" si="535">IFERROR(LEFT(G987,FIND("*",G987)-1),"-")</f>
        <v>-</v>
      </c>
      <c r="V987" s="26" t="str">
        <f t="shared" ref="V987" si="536">IFERROR(RIGHT(G987,LEN(G987)-FIND("*",G987)),"-")</f>
        <v>-</v>
      </c>
      <c r="W987" s="27" t="str">
        <f t="shared" si="532"/>
        <v>-</v>
      </c>
      <c r="X987" s="27" t="str">
        <f>IFERROR(W987*H987,"-")</f>
        <v>-</v>
      </c>
      <c r="Z987" s="94" t="s">
        <v>82</v>
      </c>
    </row>
    <row r="988" spans="1:26" s="25" customFormat="1" ht="6.95" customHeight="1" x14ac:dyDescent="0.3">
      <c r="A988" s="10"/>
      <c r="B988" s="168"/>
      <c r="C988" s="169"/>
      <c r="D988" s="160"/>
      <c r="E988" s="161"/>
      <c r="F988" s="162"/>
      <c r="G988" s="163"/>
      <c r="H988" s="164"/>
      <c r="I988" s="163"/>
      <c r="J988" s="164"/>
      <c r="K988" s="163"/>
      <c r="L988" s="164"/>
      <c r="M988" s="11"/>
      <c r="N988" s="39"/>
      <c r="Q988" s="15" t="str">
        <f>+CONCATENATE(E987,I987)</f>
        <v/>
      </c>
      <c r="R988" s="15">
        <f>+J987</f>
        <v>0</v>
      </c>
      <c r="S988" s="16"/>
      <c r="T988" s="15">
        <f>+E987</f>
        <v>0</v>
      </c>
      <c r="U988" s="26" t="str">
        <f>IFERROR(LEFT(I987,FIND("*",I987)-1),"-")</f>
        <v>-</v>
      </c>
      <c r="V988" s="26" t="str">
        <f>IFERROR(RIGHT(I987,LEN(I987)-FIND("*",I987)),"-")</f>
        <v>-</v>
      </c>
      <c r="W988" s="27" t="str">
        <f t="shared" si="532"/>
        <v>-</v>
      </c>
      <c r="X988" s="27" t="str">
        <f t="shared" ref="X988" si="537">IFERROR(W988*J987,"-")</f>
        <v>-</v>
      </c>
      <c r="Z988" s="94" t="s">
        <v>82</v>
      </c>
    </row>
    <row r="989" spans="1:26" s="25" customFormat="1" ht="6.95" customHeight="1" x14ac:dyDescent="0.3">
      <c r="A989" s="10"/>
      <c r="B989" s="168"/>
      <c r="C989" s="169"/>
      <c r="D989" s="160"/>
      <c r="E989" s="161"/>
      <c r="F989" s="162"/>
      <c r="G989" s="163"/>
      <c r="H989" s="164"/>
      <c r="I989" s="163"/>
      <c r="J989" s="164"/>
      <c r="K989" s="163"/>
      <c r="L989" s="164"/>
      <c r="M989" s="11"/>
      <c r="N989" s="39"/>
      <c r="Q989" s="15" t="str">
        <f>+CONCATENATE(E987,K987)</f>
        <v/>
      </c>
      <c r="R989" s="15">
        <f>+L987</f>
        <v>0</v>
      </c>
      <c r="S989" s="16"/>
      <c r="T989" s="15">
        <f>+E987</f>
        <v>0</v>
      </c>
      <c r="U989" s="26" t="str">
        <f>IFERROR(LEFT(K987,FIND("*",K987)-1),"-")</f>
        <v>-</v>
      </c>
      <c r="V989" s="26" t="str">
        <f>IFERROR(RIGHT(K987,LEN(K987)-FIND("*",K987)),"-")</f>
        <v>-</v>
      </c>
      <c r="W989" s="27" t="str">
        <f t="shared" si="532"/>
        <v>-</v>
      </c>
      <c r="X989" s="27" t="str">
        <f>IFERROR(W989*L987,"-")</f>
        <v>-</v>
      </c>
      <c r="Z989" s="94" t="s">
        <v>82</v>
      </c>
    </row>
    <row r="990" spans="1:26" s="25" customFormat="1" ht="21" customHeight="1" thickBot="1" x14ac:dyDescent="0.35">
      <c r="A990" s="10"/>
      <c r="B990" s="170"/>
      <c r="C990" s="171"/>
      <c r="D990" s="172" t="s">
        <v>43</v>
      </c>
      <c r="E990" s="173"/>
      <c r="F990" s="173"/>
      <c r="G990" s="174"/>
      <c r="H990" s="174"/>
      <c r="I990" s="174"/>
      <c r="J990" s="174"/>
      <c r="K990" s="174"/>
      <c r="L990" s="174"/>
      <c r="M990" s="12"/>
      <c r="N990" s="39"/>
      <c r="U990" s="23"/>
      <c r="V990" s="23"/>
      <c r="Z990" s="95" t="s">
        <v>81</v>
      </c>
    </row>
    <row r="991" spans="1:26" s="25" customFormat="1" ht="9.9499999999999993" customHeight="1" thickBot="1" x14ac:dyDescent="0.35">
      <c r="A991" s="6"/>
      <c r="B991" s="14"/>
      <c r="C991" s="119"/>
      <c r="D991" s="58"/>
      <c r="E991" s="17"/>
      <c r="F991" s="58"/>
      <c r="G991" s="19"/>
      <c r="H991" s="19"/>
      <c r="I991" s="19"/>
      <c r="J991" s="19"/>
      <c r="K991" s="19"/>
      <c r="L991" s="19"/>
      <c r="M991" s="14"/>
      <c r="N991" s="39"/>
      <c r="Q991" s="1"/>
      <c r="R991" s="1"/>
      <c r="S991" s="1"/>
      <c r="T991" s="1"/>
      <c r="U991" s="24"/>
      <c r="V991" s="24"/>
      <c r="W991" s="1"/>
      <c r="X991" s="1"/>
      <c r="Z991" s="94" t="s">
        <v>82</v>
      </c>
    </row>
    <row r="992" spans="1:26" s="25" customFormat="1" ht="6.95" customHeight="1" x14ac:dyDescent="0.3">
      <c r="A992" s="165">
        <f>+A981+1</f>
        <v>91</v>
      </c>
      <c r="B992" s="166"/>
      <c r="C992" s="167"/>
      <c r="D992" s="160" t="s">
        <v>39</v>
      </c>
      <c r="E992" s="161"/>
      <c r="F992" s="162" t="s">
        <v>40</v>
      </c>
      <c r="G992" s="163"/>
      <c r="H992" s="164"/>
      <c r="I992" s="163"/>
      <c r="J992" s="164"/>
      <c r="K992" s="163"/>
      <c r="L992" s="164"/>
      <c r="M992" s="11"/>
      <c r="N992" s="39"/>
      <c r="Q992" s="15" t="str">
        <f>+CONCATENATE(E992,G992)</f>
        <v/>
      </c>
      <c r="R992" s="15">
        <f>+H992</f>
        <v>0</v>
      </c>
      <c r="S992" s="16"/>
      <c r="T992" s="15">
        <f>+E992</f>
        <v>0</v>
      </c>
      <c r="U992" s="26" t="str">
        <f>IFERROR(LEFT(G992,FIND("*",G992)-1),"-")</f>
        <v>-</v>
      </c>
      <c r="V992" s="26" t="str">
        <f>IFERROR(RIGHT(G992,LEN(G992)-FIND("*",G992)),"-")</f>
        <v>-</v>
      </c>
      <c r="W992" s="27" t="str">
        <f>IFERROR((U992+V992)*2/1000,"-")</f>
        <v>-</v>
      </c>
      <c r="X992" s="27" t="str">
        <f>IFERROR(W992*H992,"-")</f>
        <v>-</v>
      </c>
      <c r="Z992" s="94" t="s">
        <v>82</v>
      </c>
    </row>
    <row r="993" spans="1:26" s="25" customFormat="1" ht="6.95" customHeight="1" x14ac:dyDescent="0.3">
      <c r="A993" s="165"/>
      <c r="B993" s="168"/>
      <c r="C993" s="169"/>
      <c r="D993" s="160"/>
      <c r="E993" s="161"/>
      <c r="F993" s="162"/>
      <c r="G993" s="163"/>
      <c r="H993" s="164"/>
      <c r="I993" s="163"/>
      <c r="J993" s="164"/>
      <c r="K993" s="163"/>
      <c r="L993" s="164"/>
      <c r="M993" s="11"/>
      <c r="N993" s="39"/>
      <c r="Q993" s="15" t="str">
        <f>+CONCATENATE(E992,I992)</f>
        <v/>
      </c>
      <c r="R993" s="15">
        <f>+J992</f>
        <v>0</v>
      </c>
      <c r="S993" s="16"/>
      <c r="T993" s="15">
        <f>+E992</f>
        <v>0</v>
      </c>
      <c r="U993" s="26" t="str">
        <f>IFERROR(LEFT(I992,FIND("*",I992)-1),"-")</f>
        <v>-</v>
      </c>
      <c r="V993" s="26" t="str">
        <f>IFERROR(RIGHT(I992,LEN(I992)-FIND("*",I992)),"-")</f>
        <v>-</v>
      </c>
      <c r="W993" s="27" t="str">
        <f t="shared" ref="W993:W1000" si="538">IFERROR((U993+V993)*2/1000,"-")</f>
        <v>-</v>
      </c>
      <c r="X993" s="27" t="str">
        <f>IFERROR(W993*J992,"-")</f>
        <v>-</v>
      </c>
      <c r="Z993" s="94" t="s">
        <v>82</v>
      </c>
    </row>
    <row r="994" spans="1:26" s="25" customFormat="1" ht="6.95" customHeight="1" x14ac:dyDescent="0.3">
      <c r="A994" s="165"/>
      <c r="B994" s="168"/>
      <c r="C994" s="169"/>
      <c r="D994" s="160"/>
      <c r="E994" s="161"/>
      <c r="F994" s="162"/>
      <c r="G994" s="163"/>
      <c r="H994" s="164"/>
      <c r="I994" s="163"/>
      <c r="J994" s="164"/>
      <c r="K994" s="163"/>
      <c r="L994" s="164"/>
      <c r="M994" s="11"/>
      <c r="N994" s="39"/>
      <c r="Q994" s="15" t="str">
        <f>+CONCATENATE(E992,K992)</f>
        <v/>
      </c>
      <c r="R994" s="15">
        <f>+L992</f>
        <v>0</v>
      </c>
      <c r="S994" s="16"/>
      <c r="T994" s="15">
        <f>+E992</f>
        <v>0</v>
      </c>
      <c r="U994" s="26" t="str">
        <f>IFERROR(LEFT(K992,FIND("*",K992)-1),"-")</f>
        <v>-</v>
      </c>
      <c r="V994" s="26" t="str">
        <f>IFERROR(RIGHT(K992,LEN(K992)-FIND("*",K992)),"-")</f>
        <v>-</v>
      </c>
      <c r="W994" s="27" t="str">
        <f t="shared" si="538"/>
        <v>-</v>
      </c>
      <c r="X994" s="27" t="str">
        <f>IFERROR(W994*L992,"-")</f>
        <v>-</v>
      </c>
      <c r="Z994" s="94" t="s">
        <v>82</v>
      </c>
    </row>
    <row r="995" spans="1:26" s="25" customFormat="1" ht="6.95" customHeight="1" x14ac:dyDescent="0.3">
      <c r="A995" s="13"/>
      <c r="B995" s="168"/>
      <c r="C995" s="169"/>
      <c r="D995" s="160" t="s">
        <v>39</v>
      </c>
      <c r="E995" s="161"/>
      <c r="F995" s="162" t="s">
        <v>40</v>
      </c>
      <c r="G995" s="163"/>
      <c r="H995" s="164"/>
      <c r="I995" s="163"/>
      <c r="J995" s="164"/>
      <c r="K995" s="163"/>
      <c r="L995" s="164"/>
      <c r="M995" s="11"/>
      <c r="N995" s="39"/>
      <c r="Q995" s="15" t="str">
        <f>+CONCATENATE(E995,G995)</f>
        <v/>
      </c>
      <c r="R995" s="15">
        <f>+H995</f>
        <v>0</v>
      </c>
      <c r="S995" s="16"/>
      <c r="T995" s="15">
        <f>+E995</f>
        <v>0</v>
      </c>
      <c r="U995" s="26" t="str">
        <f t="shared" ref="U995" si="539">IFERROR(LEFT(G995,FIND("*",G995)-1),"-")</f>
        <v>-</v>
      </c>
      <c r="V995" s="26" t="str">
        <f t="shared" ref="V995" si="540">IFERROR(RIGHT(G995,LEN(G995)-FIND("*",G995)),"-")</f>
        <v>-</v>
      </c>
      <c r="W995" s="27" t="str">
        <f t="shared" si="538"/>
        <v>-</v>
      </c>
      <c r="X995" s="27" t="str">
        <f>IFERROR(W995*H995,"-")</f>
        <v>-</v>
      </c>
      <c r="Z995" s="94" t="s">
        <v>82</v>
      </c>
    </row>
    <row r="996" spans="1:26" s="25" customFormat="1" ht="6.95" customHeight="1" x14ac:dyDescent="0.3">
      <c r="A996" s="10"/>
      <c r="B996" s="168"/>
      <c r="C996" s="169"/>
      <c r="D996" s="160"/>
      <c r="E996" s="161"/>
      <c r="F996" s="162"/>
      <c r="G996" s="163"/>
      <c r="H996" s="164"/>
      <c r="I996" s="163"/>
      <c r="J996" s="164"/>
      <c r="K996" s="163"/>
      <c r="L996" s="164"/>
      <c r="M996" s="11"/>
      <c r="N996" s="39"/>
      <c r="Q996" s="15" t="str">
        <f>+CONCATENATE(E995,I995)</f>
        <v/>
      </c>
      <c r="R996" s="15">
        <f>+J995</f>
        <v>0</v>
      </c>
      <c r="S996" s="16"/>
      <c r="T996" s="15">
        <f>+E995</f>
        <v>0</v>
      </c>
      <c r="U996" s="26" t="str">
        <f>IFERROR(LEFT(I995,FIND("*",I995)-1),"-")</f>
        <v>-</v>
      </c>
      <c r="V996" s="26" t="str">
        <f>IFERROR(RIGHT(I995,LEN(I995)-FIND("*",I995)),"-")</f>
        <v>-</v>
      </c>
      <c r="W996" s="27" t="str">
        <f t="shared" si="538"/>
        <v>-</v>
      </c>
      <c r="X996" s="27" t="str">
        <f>IFERROR(W996*J995,"-")</f>
        <v>-</v>
      </c>
      <c r="Z996" s="94" t="s">
        <v>82</v>
      </c>
    </row>
    <row r="997" spans="1:26" s="25" customFormat="1" ht="6.95" customHeight="1" x14ac:dyDescent="0.3">
      <c r="A997" s="10"/>
      <c r="B997" s="168"/>
      <c r="C997" s="169"/>
      <c r="D997" s="160"/>
      <c r="E997" s="161"/>
      <c r="F997" s="162"/>
      <c r="G997" s="163"/>
      <c r="H997" s="164"/>
      <c r="I997" s="163"/>
      <c r="J997" s="164"/>
      <c r="K997" s="163"/>
      <c r="L997" s="164"/>
      <c r="M997" s="11"/>
      <c r="N997" s="39"/>
      <c r="Q997" s="15" t="str">
        <f>+CONCATENATE(E995,K995)</f>
        <v/>
      </c>
      <c r="R997" s="15">
        <f>+L995</f>
        <v>0</v>
      </c>
      <c r="S997" s="16"/>
      <c r="T997" s="15">
        <f>+E995</f>
        <v>0</v>
      </c>
      <c r="U997" s="26" t="str">
        <f>IFERROR(LEFT(K995,FIND("*",K995)-1),"-")</f>
        <v>-</v>
      </c>
      <c r="V997" s="26" t="str">
        <f>IFERROR(RIGHT(K995,LEN(K995)-FIND("*",K995)),"-")</f>
        <v>-</v>
      </c>
      <c r="W997" s="27" t="str">
        <f t="shared" si="538"/>
        <v>-</v>
      </c>
      <c r="X997" s="27" t="str">
        <f>IFERROR(W997*L995,"-")</f>
        <v>-</v>
      </c>
      <c r="Z997" s="94" t="s">
        <v>82</v>
      </c>
    </row>
    <row r="998" spans="1:26" s="25" customFormat="1" ht="6.95" customHeight="1" x14ac:dyDescent="0.3">
      <c r="A998" s="13"/>
      <c r="B998" s="168"/>
      <c r="C998" s="169"/>
      <c r="D998" s="160" t="s">
        <v>39</v>
      </c>
      <c r="E998" s="161"/>
      <c r="F998" s="162" t="s">
        <v>40</v>
      </c>
      <c r="G998" s="163"/>
      <c r="H998" s="164"/>
      <c r="I998" s="163"/>
      <c r="J998" s="164"/>
      <c r="K998" s="163"/>
      <c r="L998" s="164"/>
      <c r="M998" s="11"/>
      <c r="N998" s="39"/>
      <c r="Q998" s="15" t="str">
        <f>+CONCATENATE(E998,G998)</f>
        <v/>
      </c>
      <c r="R998" s="15">
        <f>+H998</f>
        <v>0</v>
      </c>
      <c r="S998" s="16"/>
      <c r="T998" s="15">
        <f>+E998</f>
        <v>0</v>
      </c>
      <c r="U998" s="26" t="str">
        <f t="shared" ref="U998" si="541">IFERROR(LEFT(G998,FIND("*",G998)-1),"-")</f>
        <v>-</v>
      </c>
      <c r="V998" s="26" t="str">
        <f t="shared" ref="V998" si="542">IFERROR(RIGHT(G998,LEN(G998)-FIND("*",G998)),"-")</f>
        <v>-</v>
      </c>
      <c r="W998" s="27" t="str">
        <f t="shared" si="538"/>
        <v>-</v>
      </c>
      <c r="X998" s="27" t="str">
        <f>IFERROR(W998*H998,"-")</f>
        <v>-</v>
      </c>
      <c r="Z998" s="94" t="s">
        <v>82</v>
      </c>
    </row>
    <row r="999" spans="1:26" s="25" customFormat="1" ht="6.95" customHeight="1" x14ac:dyDescent="0.3">
      <c r="A999" s="10"/>
      <c r="B999" s="168"/>
      <c r="C999" s="169"/>
      <c r="D999" s="160"/>
      <c r="E999" s="161"/>
      <c r="F999" s="162"/>
      <c r="G999" s="163"/>
      <c r="H999" s="164"/>
      <c r="I999" s="163"/>
      <c r="J999" s="164"/>
      <c r="K999" s="163"/>
      <c r="L999" s="164"/>
      <c r="M999" s="11"/>
      <c r="N999" s="39"/>
      <c r="Q999" s="15" t="str">
        <f>+CONCATENATE(E998,I998)</f>
        <v/>
      </c>
      <c r="R999" s="15">
        <f>+J998</f>
        <v>0</v>
      </c>
      <c r="S999" s="16"/>
      <c r="T999" s="15">
        <f>+E998</f>
        <v>0</v>
      </c>
      <c r="U999" s="26" t="str">
        <f>IFERROR(LEFT(I998,FIND("*",I998)-1),"-")</f>
        <v>-</v>
      </c>
      <c r="V999" s="26" t="str">
        <f>IFERROR(RIGHT(I998,LEN(I998)-FIND("*",I998)),"-")</f>
        <v>-</v>
      </c>
      <c r="W999" s="27" t="str">
        <f t="shared" si="538"/>
        <v>-</v>
      </c>
      <c r="X999" s="27" t="str">
        <f t="shared" ref="X999" si="543">IFERROR(W999*J998,"-")</f>
        <v>-</v>
      </c>
      <c r="Z999" s="94" t="s">
        <v>82</v>
      </c>
    </row>
    <row r="1000" spans="1:26" s="25" customFormat="1" ht="6.95" customHeight="1" x14ac:dyDescent="0.3">
      <c r="A1000" s="10"/>
      <c r="B1000" s="168"/>
      <c r="C1000" s="169"/>
      <c r="D1000" s="160"/>
      <c r="E1000" s="161"/>
      <c r="F1000" s="162"/>
      <c r="G1000" s="163"/>
      <c r="H1000" s="164"/>
      <c r="I1000" s="163"/>
      <c r="J1000" s="164"/>
      <c r="K1000" s="163"/>
      <c r="L1000" s="164"/>
      <c r="M1000" s="11"/>
      <c r="N1000" s="39"/>
      <c r="Q1000" s="15" t="str">
        <f>+CONCATENATE(E998,K998)</f>
        <v/>
      </c>
      <c r="R1000" s="15">
        <f>+L998</f>
        <v>0</v>
      </c>
      <c r="S1000" s="16"/>
      <c r="T1000" s="15">
        <f>+E998</f>
        <v>0</v>
      </c>
      <c r="U1000" s="26" t="str">
        <f>IFERROR(LEFT(K998,FIND("*",K998)-1),"-")</f>
        <v>-</v>
      </c>
      <c r="V1000" s="26" t="str">
        <f>IFERROR(RIGHT(K998,LEN(K998)-FIND("*",K998)),"-")</f>
        <v>-</v>
      </c>
      <c r="W1000" s="27" t="str">
        <f t="shared" si="538"/>
        <v>-</v>
      </c>
      <c r="X1000" s="27" t="str">
        <f>IFERROR(W1000*L998,"-")</f>
        <v>-</v>
      </c>
      <c r="Z1000" s="94" t="s">
        <v>82</v>
      </c>
    </row>
    <row r="1001" spans="1:26" s="25" customFormat="1" ht="21" customHeight="1" thickBot="1" x14ac:dyDescent="0.35">
      <c r="A1001" s="10"/>
      <c r="B1001" s="170"/>
      <c r="C1001" s="171"/>
      <c r="D1001" s="172" t="s">
        <v>43</v>
      </c>
      <c r="E1001" s="173"/>
      <c r="F1001" s="173"/>
      <c r="G1001" s="174"/>
      <c r="H1001" s="174"/>
      <c r="I1001" s="174"/>
      <c r="J1001" s="174"/>
      <c r="K1001" s="174"/>
      <c r="L1001" s="174"/>
      <c r="M1001" s="12"/>
      <c r="N1001" s="39"/>
      <c r="U1001" s="23"/>
      <c r="V1001" s="23"/>
      <c r="Z1001" s="95" t="s">
        <v>81</v>
      </c>
    </row>
    <row r="1002" spans="1:26" s="25" customFormat="1" ht="9.9499999999999993" customHeight="1" thickBot="1" x14ac:dyDescent="0.35">
      <c r="A1002" s="6"/>
      <c r="B1002" s="14"/>
      <c r="C1002" s="119"/>
      <c r="D1002" s="58"/>
      <c r="E1002" s="17"/>
      <c r="F1002" s="58"/>
      <c r="G1002" s="19"/>
      <c r="H1002" s="19"/>
      <c r="I1002" s="19"/>
      <c r="J1002" s="19"/>
      <c r="K1002" s="19"/>
      <c r="L1002" s="19"/>
      <c r="M1002" s="14"/>
      <c r="N1002" s="39"/>
      <c r="Q1002" s="1"/>
      <c r="R1002" s="1"/>
      <c r="S1002" s="1"/>
      <c r="T1002" s="1"/>
      <c r="U1002" s="24"/>
      <c r="V1002" s="24"/>
      <c r="W1002" s="1"/>
      <c r="X1002" s="1"/>
      <c r="Z1002" s="94" t="s">
        <v>82</v>
      </c>
    </row>
    <row r="1003" spans="1:26" s="25" customFormat="1" ht="6.95" customHeight="1" x14ac:dyDescent="0.3">
      <c r="A1003" s="165">
        <f>+A992+1</f>
        <v>92</v>
      </c>
      <c r="B1003" s="166"/>
      <c r="C1003" s="167"/>
      <c r="D1003" s="160" t="s">
        <v>39</v>
      </c>
      <c r="E1003" s="161"/>
      <c r="F1003" s="162" t="s">
        <v>40</v>
      </c>
      <c r="G1003" s="163"/>
      <c r="H1003" s="164"/>
      <c r="I1003" s="163"/>
      <c r="J1003" s="164"/>
      <c r="K1003" s="163"/>
      <c r="L1003" s="164"/>
      <c r="M1003" s="11"/>
      <c r="N1003" s="39"/>
      <c r="Q1003" s="15" t="str">
        <f>+CONCATENATE(E1003,G1003)</f>
        <v/>
      </c>
      <c r="R1003" s="15">
        <f>+H1003</f>
        <v>0</v>
      </c>
      <c r="S1003" s="16"/>
      <c r="T1003" s="15">
        <f>+E1003</f>
        <v>0</v>
      </c>
      <c r="U1003" s="26" t="str">
        <f>IFERROR(LEFT(G1003,FIND("*",G1003)-1),"-")</f>
        <v>-</v>
      </c>
      <c r="V1003" s="26" t="str">
        <f>IFERROR(RIGHT(G1003,LEN(G1003)-FIND("*",G1003)),"-")</f>
        <v>-</v>
      </c>
      <c r="W1003" s="27" t="str">
        <f>IFERROR((U1003+V1003)*2/1000,"-")</f>
        <v>-</v>
      </c>
      <c r="X1003" s="27" t="str">
        <f>IFERROR(W1003*H1003,"-")</f>
        <v>-</v>
      </c>
      <c r="Z1003" s="94" t="s">
        <v>82</v>
      </c>
    </row>
    <row r="1004" spans="1:26" s="25" customFormat="1" ht="6.95" customHeight="1" x14ac:dyDescent="0.3">
      <c r="A1004" s="165"/>
      <c r="B1004" s="168"/>
      <c r="C1004" s="169"/>
      <c r="D1004" s="160"/>
      <c r="E1004" s="161"/>
      <c r="F1004" s="162"/>
      <c r="G1004" s="163"/>
      <c r="H1004" s="164"/>
      <c r="I1004" s="163"/>
      <c r="J1004" s="164"/>
      <c r="K1004" s="163"/>
      <c r="L1004" s="164"/>
      <c r="M1004" s="11"/>
      <c r="N1004" s="39"/>
      <c r="Q1004" s="15" t="str">
        <f>+CONCATENATE(E1003,I1003)</f>
        <v/>
      </c>
      <c r="R1004" s="15">
        <f>+J1003</f>
        <v>0</v>
      </c>
      <c r="S1004" s="16"/>
      <c r="T1004" s="15">
        <f>+E1003</f>
        <v>0</v>
      </c>
      <c r="U1004" s="26" t="str">
        <f>IFERROR(LEFT(I1003,FIND("*",I1003)-1),"-")</f>
        <v>-</v>
      </c>
      <c r="V1004" s="26" t="str">
        <f>IFERROR(RIGHT(I1003,LEN(I1003)-FIND("*",I1003)),"-")</f>
        <v>-</v>
      </c>
      <c r="W1004" s="27" t="str">
        <f t="shared" ref="W1004:W1011" si="544">IFERROR((U1004+V1004)*2/1000,"-")</f>
        <v>-</v>
      </c>
      <c r="X1004" s="27" t="str">
        <f>IFERROR(W1004*J1003,"-")</f>
        <v>-</v>
      </c>
      <c r="Z1004" s="94" t="s">
        <v>82</v>
      </c>
    </row>
    <row r="1005" spans="1:26" s="25" customFormat="1" ht="6.95" customHeight="1" x14ac:dyDescent="0.3">
      <c r="A1005" s="165"/>
      <c r="B1005" s="168"/>
      <c r="C1005" s="169"/>
      <c r="D1005" s="160"/>
      <c r="E1005" s="161"/>
      <c r="F1005" s="162"/>
      <c r="G1005" s="163"/>
      <c r="H1005" s="164"/>
      <c r="I1005" s="163"/>
      <c r="J1005" s="164"/>
      <c r="K1005" s="163"/>
      <c r="L1005" s="164"/>
      <c r="M1005" s="11"/>
      <c r="N1005" s="39"/>
      <c r="Q1005" s="15" t="str">
        <f>+CONCATENATE(E1003,K1003)</f>
        <v/>
      </c>
      <c r="R1005" s="15">
        <f>+L1003</f>
        <v>0</v>
      </c>
      <c r="S1005" s="16"/>
      <c r="T1005" s="15">
        <f>+E1003</f>
        <v>0</v>
      </c>
      <c r="U1005" s="26" t="str">
        <f>IFERROR(LEFT(K1003,FIND("*",K1003)-1),"-")</f>
        <v>-</v>
      </c>
      <c r="V1005" s="26" t="str">
        <f>IFERROR(RIGHT(K1003,LEN(K1003)-FIND("*",K1003)),"-")</f>
        <v>-</v>
      </c>
      <c r="W1005" s="27" t="str">
        <f t="shared" si="544"/>
        <v>-</v>
      </c>
      <c r="X1005" s="27" t="str">
        <f>IFERROR(W1005*L1003,"-")</f>
        <v>-</v>
      </c>
      <c r="Z1005" s="94" t="s">
        <v>82</v>
      </c>
    </row>
    <row r="1006" spans="1:26" s="25" customFormat="1" ht="6.95" customHeight="1" x14ac:dyDescent="0.3">
      <c r="A1006" s="13"/>
      <c r="B1006" s="168"/>
      <c r="C1006" s="169"/>
      <c r="D1006" s="160" t="s">
        <v>39</v>
      </c>
      <c r="E1006" s="161"/>
      <c r="F1006" s="162" t="s">
        <v>40</v>
      </c>
      <c r="G1006" s="163"/>
      <c r="H1006" s="164"/>
      <c r="I1006" s="163"/>
      <c r="J1006" s="164"/>
      <c r="K1006" s="163"/>
      <c r="L1006" s="164"/>
      <c r="M1006" s="11"/>
      <c r="N1006" s="39"/>
      <c r="Q1006" s="15" t="str">
        <f>+CONCATENATE(E1006,G1006)</f>
        <v/>
      </c>
      <c r="R1006" s="15">
        <f>+H1006</f>
        <v>0</v>
      </c>
      <c r="S1006" s="16"/>
      <c r="T1006" s="15">
        <f>+E1006</f>
        <v>0</v>
      </c>
      <c r="U1006" s="26" t="str">
        <f t="shared" ref="U1006" si="545">IFERROR(LEFT(G1006,FIND("*",G1006)-1),"-")</f>
        <v>-</v>
      </c>
      <c r="V1006" s="26" t="str">
        <f t="shared" ref="V1006" si="546">IFERROR(RIGHT(G1006,LEN(G1006)-FIND("*",G1006)),"-")</f>
        <v>-</v>
      </c>
      <c r="W1006" s="27" t="str">
        <f t="shared" si="544"/>
        <v>-</v>
      </c>
      <c r="X1006" s="27" t="str">
        <f>IFERROR(W1006*H1006,"-")</f>
        <v>-</v>
      </c>
      <c r="Z1006" s="94" t="s">
        <v>82</v>
      </c>
    </row>
    <row r="1007" spans="1:26" s="25" customFormat="1" ht="6.95" customHeight="1" x14ac:dyDescent="0.3">
      <c r="A1007" s="10"/>
      <c r="B1007" s="168"/>
      <c r="C1007" s="169"/>
      <c r="D1007" s="160"/>
      <c r="E1007" s="161"/>
      <c r="F1007" s="162"/>
      <c r="G1007" s="163"/>
      <c r="H1007" s="164"/>
      <c r="I1007" s="163"/>
      <c r="J1007" s="164"/>
      <c r="K1007" s="163"/>
      <c r="L1007" s="164"/>
      <c r="M1007" s="11"/>
      <c r="N1007" s="39"/>
      <c r="Q1007" s="15" t="str">
        <f>+CONCATENATE(E1006,I1006)</f>
        <v/>
      </c>
      <c r="R1007" s="15">
        <f>+J1006</f>
        <v>0</v>
      </c>
      <c r="S1007" s="16"/>
      <c r="T1007" s="15">
        <f>+E1006</f>
        <v>0</v>
      </c>
      <c r="U1007" s="26" t="str">
        <f>IFERROR(LEFT(I1006,FIND("*",I1006)-1),"-")</f>
        <v>-</v>
      </c>
      <c r="V1007" s="26" t="str">
        <f>IFERROR(RIGHT(I1006,LEN(I1006)-FIND("*",I1006)),"-")</f>
        <v>-</v>
      </c>
      <c r="W1007" s="27" t="str">
        <f t="shared" si="544"/>
        <v>-</v>
      </c>
      <c r="X1007" s="27" t="str">
        <f>IFERROR(W1007*J1006,"-")</f>
        <v>-</v>
      </c>
      <c r="Z1007" s="94" t="s">
        <v>82</v>
      </c>
    </row>
    <row r="1008" spans="1:26" s="25" customFormat="1" ht="6.95" customHeight="1" x14ac:dyDescent="0.3">
      <c r="A1008" s="10"/>
      <c r="B1008" s="168"/>
      <c r="C1008" s="169"/>
      <c r="D1008" s="160"/>
      <c r="E1008" s="161"/>
      <c r="F1008" s="162"/>
      <c r="G1008" s="163"/>
      <c r="H1008" s="164"/>
      <c r="I1008" s="163"/>
      <c r="J1008" s="164"/>
      <c r="K1008" s="163"/>
      <c r="L1008" s="164"/>
      <c r="M1008" s="11"/>
      <c r="N1008" s="39"/>
      <c r="Q1008" s="15" t="str">
        <f>+CONCATENATE(E1006,K1006)</f>
        <v/>
      </c>
      <c r="R1008" s="15">
        <f>+L1006</f>
        <v>0</v>
      </c>
      <c r="S1008" s="16"/>
      <c r="T1008" s="15">
        <f>+E1006</f>
        <v>0</v>
      </c>
      <c r="U1008" s="26" t="str">
        <f>IFERROR(LEFT(K1006,FIND("*",K1006)-1),"-")</f>
        <v>-</v>
      </c>
      <c r="V1008" s="26" t="str">
        <f>IFERROR(RIGHT(K1006,LEN(K1006)-FIND("*",K1006)),"-")</f>
        <v>-</v>
      </c>
      <c r="W1008" s="27" t="str">
        <f t="shared" si="544"/>
        <v>-</v>
      </c>
      <c r="X1008" s="27" t="str">
        <f>IFERROR(W1008*L1006,"-")</f>
        <v>-</v>
      </c>
      <c r="Z1008" s="94" t="s">
        <v>82</v>
      </c>
    </row>
    <row r="1009" spans="1:26" s="25" customFormat="1" ht="6.95" customHeight="1" x14ac:dyDescent="0.3">
      <c r="A1009" s="13"/>
      <c r="B1009" s="168"/>
      <c r="C1009" s="169"/>
      <c r="D1009" s="160" t="s">
        <v>39</v>
      </c>
      <c r="E1009" s="161"/>
      <c r="F1009" s="162" t="s">
        <v>40</v>
      </c>
      <c r="G1009" s="163"/>
      <c r="H1009" s="164"/>
      <c r="I1009" s="163"/>
      <c r="J1009" s="164"/>
      <c r="K1009" s="163"/>
      <c r="L1009" s="164"/>
      <c r="M1009" s="11"/>
      <c r="N1009" s="39"/>
      <c r="Q1009" s="15" t="str">
        <f>+CONCATENATE(E1009,G1009)</f>
        <v/>
      </c>
      <c r="R1009" s="15">
        <f>+H1009</f>
        <v>0</v>
      </c>
      <c r="S1009" s="16"/>
      <c r="T1009" s="15">
        <f>+E1009</f>
        <v>0</v>
      </c>
      <c r="U1009" s="26" t="str">
        <f t="shared" ref="U1009" si="547">IFERROR(LEFT(G1009,FIND("*",G1009)-1),"-")</f>
        <v>-</v>
      </c>
      <c r="V1009" s="26" t="str">
        <f t="shared" ref="V1009" si="548">IFERROR(RIGHT(G1009,LEN(G1009)-FIND("*",G1009)),"-")</f>
        <v>-</v>
      </c>
      <c r="W1009" s="27" t="str">
        <f t="shared" si="544"/>
        <v>-</v>
      </c>
      <c r="X1009" s="27" t="str">
        <f>IFERROR(W1009*H1009,"-")</f>
        <v>-</v>
      </c>
      <c r="Z1009" s="94" t="s">
        <v>82</v>
      </c>
    </row>
    <row r="1010" spans="1:26" s="25" customFormat="1" ht="6.95" customHeight="1" x14ac:dyDescent="0.3">
      <c r="A1010" s="10"/>
      <c r="B1010" s="168"/>
      <c r="C1010" s="169"/>
      <c r="D1010" s="160"/>
      <c r="E1010" s="161"/>
      <c r="F1010" s="162"/>
      <c r="G1010" s="163"/>
      <c r="H1010" s="164"/>
      <c r="I1010" s="163"/>
      <c r="J1010" s="164"/>
      <c r="K1010" s="163"/>
      <c r="L1010" s="164"/>
      <c r="M1010" s="11"/>
      <c r="N1010" s="39"/>
      <c r="Q1010" s="15" t="str">
        <f>+CONCATENATE(E1009,I1009)</f>
        <v/>
      </c>
      <c r="R1010" s="15">
        <f>+J1009</f>
        <v>0</v>
      </c>
      <c r="S1010" s="16"/>
      <c r="T1010" s="15">
        <f>+E1009</f>
        <v>0</v>
      </c>
      <c r="U1010" s="26" t="str">
        <f>IFERROR(LEFT(I1009,FIND("*",I1009)-1),"-")</f>
        <v>-</v>
      </c>
      <c r="V1010" s="26" t="str">
        <f>IFERROR(RIGHT(I1009,LEN(I1009)-FIND("*",I1009)),"-")</f>
        <v>-</v>
      </c>
      <c r="W1010" s="27" t="str">
        <f t="shared" si="544"/>
        <v>-</v>
      </c>
      <c r="X1010" s="27" t="str">
        <f t="shared" ref="X1010" si="549">IFERROR(W1010*J1009,"-")</f>
        <v>-</v>
      </c>
      <c r="Z1010" s="94" t="s">
        <v>82</v>
      </c>
    </row>
    <row r="1011" spans="1:26" s="25" customFormat="1" ht="6.95" customHeight="1" x14ac:dyDescent="0.3">
      <c r="A1011" s="10"/>
      <c r="B1011" s="168"/>
      <c r="C1011" s="169"/>
      <c r="D1011" s="160"/>
      <c r="E1011" s="161"/>
      <c r="F1011" s="162"/>
      <c r="G1011" s="163"/>
      <c r="H1011" s="164"/>
      <c r="I1011" s="163"/>
      <c r="J1011" s="164"/>
      <c r="K1011" s="163"/>
      <c r="L1011" s="164"/>
      <c r="M1011" s="11"/>
      <c r="N1011" s="39"/>
      <c r="Q1011" s="15" t="str">
        <f>+CONCATENATE(E1009,K1009)</f>
        <v/>
      </c>
      <c r="R1011" s="15">
        <f>+L1009</f>
        <v>0</v>
      </c>
      <c r="S1011" s="16"/>
      <c r="T1011" s="15">
        <f>+E1009</f>
        <v>0</v>
      </c>
      <c r="U1011" s="26" t="str">
        <f>IFERROR(LEFT(K1009,FIND("*",K1009)-1),"-")</f>
        <v>-</v>
      </c>
      <c r="V1011" s="26" t="str">
        <f>IFERROR(RIGHT(K1009,LEN(K1009)-FIND("*",K1009)),"-")</f>
        <v>-</v>
      </c>
      <c r="W1011" s="27" t="str">
        <f t="shared" si="544"/>
        <v>-</v>
      </c>
      <c r="X1011" s="27" t="str">
        <f>IFERROR(W1011*L1009,"-")</f>
        <v>-</v>
      </c>
      <c r="Z1011" s="94" t="s">
        <v>82</v>
      </c>
    </row>
    <row r="1012" spans="1:26" s="25" customFormat="1" ht="21" customHeight="1" thickBot="1" x14ac:dyDescent="0.35">
      <c r="A1012" s="10"/>
      <c r="B1012" s="170"/>
      <c r="C1012" s="171"/>
      <c r="D1012" s="172" t="s">
        <v>43</v>
      </c>
      <c r="E1012" s="173"/>
      <c r="F1012" s="173"/>
      <c r="G1012" s="174"/>
      <c r="H1012" s="174"/>
      <c r="I1012" s="174"/>
      <c r="J1012" s="174"/>
      <c r="K1012" s="174"/>
      <c r="L1012" s="174"/>
      <c r="M1012" s="12"/>
      <c r="N1012" s="39"/>
      <c r="U1012" s="23"/>
      <c r="V1012" s="23"/>
      <c r="Z1012" s="95" t="s">
        <v>81</v>
      </c>
    </row>
    <row r="1013" spans="1:26" s="25" customFormat="1" ht="9.9499999999999993" customHeight="1" thickBot="1" x14ac:dyDescent="0.35">
      <c r="A1013" s="6"/>
      <c r="B1013" s="14"/>
      <c r="C1013" s="119"/>
      <c r="D1013" s="58"/>
      <c r="E1013" s="17"/>
      <c r="F1013" s="58"/>
      <c r="G1013" s="19"/>
      <c r="H1013" s="19"/>
      <c r="I1013" s="19"/>
      <c r="J1013" s="19"/>
      <c r="K1013" s="19"/>
      <c r="L1013" s="19"/>
      <c r="M1013" s="14"/>
      <c r="N1013" s="39"/>
      <c r="Q1013" s="1"/>
      <c r="R1013" s="1"/>
      <c r="S1013" s="1"/>
      <c r="T1013" s="1"/>
      <c r="U1013" s="24"/>
      <c r="V1013" s="24"/>
      <c r="W1013" s="1"/>
      <c r="X1013" s="1"/>
      <c r="Z1013" s="94" t="s">
        <v>82</v>
      </c>
    </row>
    <row r="1014" spans="1:26" s="25" customFormat="1" ht="6.95" customHeight="1" x14ac:dyDescent="0.3">
      <c r="A1014" s="165">
        <f>+A1003+1</f>
        <v>93</v>
      </c>
      <c r="B1014" s="166"/>
      <c r="C1014" s="167"/>
      <c r="D1014" s="160" t="s">
        <v>39</v>
      </c>
      <c r="E1014" s="161"/>
      <c r="F1014" s="162" t="s">
        <v>40</v>
      </c>
      <c r="G1014" s="163"/>
      <c r="H1014" s="164"/>
      <c r="I1014" s="163"/>
      <c r="J1014" s="164"/>
      <c r="K1014" s="163"/>
      <c r="L1014" s="164"/>
      <c r="M1014" s="11"/>
      <c r="N1014" s="39"/>
      <c r="Q1014" s="15" t="str">
        <f>+CONCATENATE(E1014,G1014)</f>
        <v/>
      </c>
      <c r="R1014" s="15">
        <f>+H1014</f>
        <v>0</v>
      </c>
      <c r="S1014" s="16"/>
      <c r="T1014" s="15">
        <f>+E1014</f>
        <v>0</v>
      </c>
      <c r="U1014" s="26" t="str">
        <f>IFERROR(LEFT(G1014,FIND("*",G1014)-1),"-")</f>
        <v>-</v>
      </c>
      <c r="V1014" s="26" t="str">
        <f>IFERROR(RIGHT(G1014,LEN(G1014)-FIND("*",G1014)),"-")</f>
        <v>-</v>
      </c>
      <c r="W1014" s="27" t="str">
        <f>IFERROR((U1014+V1014)*2/1000,"-")</f>
        <v>-</v>
      </c>
      <c r="X1014" s="27" t="str">
        <f>IFERROR(W1014*H1014,"-")</f>
        <v>-</v>
      </c>
      <c r="Z1014" s="94" t="s">
        <v>82</v>
      </c>
    </row>
    <row r="1015" spans="1:26" s="25" customFormat="1" ht="6.95" customHeight="1" x14ac:dyDescent="0.3">
      <c r="A1015" s="165"/>
      <c r="B1015" s="168"/>
      <c r="C1015" s="169"/>
      <c r="D1015" s="160"/>
      <c r="E1015" s="161"/>
      <c r="F1015" s="162"/>
      <c r="G1015" s="163"/>
      <c r="H1015" s="164"/>
      <c r="I1015" s="163"/>
      <c r="J1015" s="164"/>
      <c r="K1015" s="163"/>
      <c r="L1015" s="164"/>
      <c r="M1015" s="11"/>
      <c r="N1015" s="39"/>
      <c r="Q1015" s="15" t="str">
        <f>+CONCATENATE(E1014,I1014)</f>
        <v/>
      </c>
      <c r="R1015" s="15">
        <f>+J1014</f>
        <v>0</v>
      </c>
      <c r="S1015" s="16"/>
      <c r="T1015" s="15">
        <f>+E1014</f>
        <v>0</v>
      </c>
      <c r="U1015" s="26" t="str">
        <f>IFERROR(LEFT(I1014,FIND("*",I1014)-1),"-")</f>
        <v>-</v>
      </c>
      <c r="V1015" s="26" t="str">
        <f>IFERROR(RIGHT(I1014,LEN(I1014)-FIND("*",I1014)),"-")</f>
        <v>-</v>
      </c>
      <c r="W1015" s="27" t="str">
        <f t="shared" ref="W1015:W1022" si="550">IFERROR((U1015+V1015)*2/1000,"-")</f>
        <v>-</v>
      </c>
      <c r="X1015" s="27" t="str">
        <f>IFERROR(W1015*J1014,"-")</f>
        <v>-</v>
      </c>
      <c r="Z1015" s="94" t="s">
        <v>82</v>
      </c>
    </row>
    <row r="1016" spans="1:26" s="25" customFormat="1" ht="6.95" customHeight="1" x14ac:dyDescent="0.3">
      <c r="A1016" s="165"/>
      <c r="B1016" s="168"/>
      <c r="C1016" s="169"/>
      <c r="D1016" s="160"/>
      <c r="E1016" s="161"/>
      <c r="F1016" s="162"/>
      <c r="G1016" s="163"/>
      <c r="H1016" s="164"/>
      <c r="I1016" s="163"/>
      <c r="J1016" s="164"/>
      <c r="K1016" s="163"/>
      <c r="L1016" s="164"/>
      <c r="M1016" s="11"/>
      <c r="N1016" s="39"/>
      <c r="Q1016" s="15" t="str">
        <f>+CONCATENATE(E1014,K1014)</f>
        <v/>
      </c>
      <c r="R1016" s="15">
        <f>+L1014</f>
        <v>0</v>
      </c>
      <c r="S1016" s="16"/>
      <c r="T1016" s="15">
        <f>+E1014</f>
        <v>0</v>
      </c>
      <c r="U1016" s="26" t="str">
        <f>IFERROR(LEFT(K1014,FIND("*",K1014)-1),"-")</f>
        <v>-</v>
      </c>
      <c r="V1016" s="26" t="str">
        <f>IFERROR(RIGHT(K1014,LEN(K1014)-FIND("*",K1014)),"-")</f>
        <v>-</v>
      </c>
      <c r="W1016" s="27" t="str">
        <f t="shared" si="550"/>
        <v>-</v>
      </c>
      <c r="X1016" s="27" t="str">
        <f>IFERROR(W1016*L1014,"-")</f>
        <v>-</v>
      </c>
      <c r="Z1016" s="94" t="s">
        <v>82</v>
      </c>
    </row>
    <row r="1017" spans="1:26" s="25" customFormat="1" ht="6.95" customHeight="1" x14ac:dyDescent="0.3">
      <c r="A1017" s="13"/>
      <c r="B1017" s="168"/>
      <c r="C1017" s="169"/>
      <c r="D1017" s="160" t="s">
        <v>39</v>
      </c>
      <c r="E1017" s="161"/>
      <c r="F1017" s="162" t="s">
        <v>40</v>
      </c>
      <c r="G1017" s="163"/>
      <c r="H1017" s="164"/>
      <c r="I1017" s="163"/>
      <c r="J1017" s="164"/>
      <c r="K1017" s="163"/>
      <c r="L1017" s="164"/>
      <c r="M1017" s="11"/>
      <c r="N1017" s="39"/>
      <c r="Q1017" s="15" t="str">
        <f>+CONCATENATE(E1017,G1017)</f>
        <v/>
      </c>
      <c r="R1017" s="15">
        <f>+H1017</f>
        <v>0</v>
      </c>
      <c r="S1017" s="16"/>
      <c r="T1017" s="15">
        <f>+E1017</f>
        <v>0</v>
      </c>
      <c r="U1017" s="26" t="str">
        <f t="shared" ref="U1017" si="551">IFERROR(LEFT(G1017,FIND("*",G1017)-1),"-")</f>
        <v>-</v>
      </c>
      <c r="V1017" s="26" t="str">
        <f t="shared" ref="V1017" si="552">IFERROR(RIGHT(G1017,LEN(G1017)-FIND("*",G1017)),"-")</f>
        <v>-</v>
      </c>
      <c r="W1017" s="27" t="str">
        <f t="shared" si="550"/>
        <v>-</v>
      </c>
      <c r="X1017" s="27" t="str">
        <f>IFERROR(W1017*H1017,"-")</f>
        <v>-</v>
      </c>
      <c r="Z1017" s="94" t="s">
        <v>82</v>
      </c>
    </row>
    <row r="1018" spans="1:26" s="25" customFormat="1" ht="6.95" customHeight="1" x14ac:dyDescent="0.3">
      <c r="A1018" s="10"/>
      <c r="B1018" s="168"/>
      <c r="C1018" s="169"/>
      <c r="D1018" s="160"/>
      <c r="E1018" s="161"/>
      <c r="F1018" s="162"/>
      <c r="G1018" s="163"/>
      <c r="H1018" s="164"/>
      <c r="I1018" s="163"/>
      <c r="J1018" s="164"/>
      <c r="K1018" s="163"/>
      <c r="L1018" s="164"/>
      <c r="M1018" s="11"/>
      <c r="N1018" s="39"/>
      <c r="Q1018" s="15" t="str">
        <f>+CONCATENATE(E1017,I1017)</f>
        <v/>
      </c>
      <c r="R1018" s="15">
        <f>+J1017</f>
        <v>0</v>
      </c>
      <c r="S1018" s="16"/>
      <c r="T1018" s="15">
        <f>+E1017</f>
        <v>0</v>
      </c>
      <c r="U1018" s="26" t="str">
        <f>IFERROR(LEFT(I1017,FIND("*",I1017)-1),"-")</f>
        <v>-</v>
      </c>
      <c r="V1018" s="26" t="str">
        <f>IFERROR(RIGHT(I1017,LEN(I1017)-FIND("*",I1017)),"-")</f>
        <v>-</v>
      </c>
      <c r="W1018" s="27" t="str">
        <f t="shared" si="550"/>
        <v>-</v>
      </c>
      <c r="X1018" s="27" t="str">
        <f>IFERROR(W1018*J1017,"-")</f>
        <v>-</v>
      </c>
      <c r="Z1018" s="94" t="s">
        <v>82</v>
      </c>
    </row>
    <row r="1019" spans="1:26" s="25" customFormat="1" ht="6.95" customHeight="1" x14ac:dyDescent="0.3">
      <c r="A1019" s="10"/>
      <c r="B1019" s="168"/>
      <c r="C1019" s="169"/>
      <c r="D1019" s="160"/>
      <c r="E1019" s="161"/>
      <c r="F1019" s="162"/>
      <c r="G1019" s="163"/>
      <c r="H1019" s="164"/>
      <c r="I1019" s="163"/>
      <c r="J1019" s="164"/>
      <c r="K1019" s="163"/>
      <c r="L1019" s="164"/>
      <c r="M1019" s="11"/>
      <c r="N1019" s="39"/>
      <c r="Q1019" s="15" t="str">
        <f>+CONCATENATE(E1017,K1017)</f>
        <v/>
      </c>
      <c r="R1019" s="15">
        <f>+L1017</f>
        <v>0</v>
      </c>
      <c r="S1019" s="16"/>
      <c r="T1019" s="15">
        <f>+E1017</f>
        <v>0</v>
      </c>
      <c r="U1019" s="26" t="str">
        <f>IFERROR(LEFT(K1017,FIND("*",K1017)-1),"-")</f>
        <v>-</v>
      </c>
      <c r="V1019" s="26" t="str">
        <f>IFERROR(RIGHT(K1017,LEN(K1017)-FIND("*",K1017)),"-")</f>
        <v>-</v>
      </c>
      <c r="W1019" s="27" t="str">
        <f t="shared" si="550"/>
        <v>-</v>
      </c>
      <c r="X1019" s="27" t="str">
        <f>IFERROR(W1019*L1017,"-")</f>
        <v>-</v>
      </c>
      <c r="Z1019" s="94" t="s">
        <v>82</v>
      </c>
    </row>
    <row r="1020" spans="1:26" s="25" customFormat="1" ht="6.95" customHeight="1" x14ac:dyDescent="0.3">
      <c r="A1020" s="13"/>
      <c r="B1020" s="168"/>
      <c r="C1020" s="169"/>
      <c r="D1020" s="160" t="s">
        <v>39</v>
      </c>
      <c r="E1020" s="161"/>
      <c r="F1020" s="162" t="s">
        <v>40</v>
      </c>
      <c r="G1020" s="163"/>
      <c r="H1020" s="164"/>
      <c r="I1020" s="163"/>
      <c r="J1020" s="164"/>
      <c r="K1020" s="163"/>
      <c r="L1020" s="164"/>
      <c r="M1020" s="11"/>
      <c r="N1020" s="39"/>
      <c r="Q1020" s="15" t="str">
        <f>+CONCATENATE(E1020,G1020)</f>
        <v/>
      </c>
      <c r="R1020" s="15">
        <f>+H1020</f>
        <v>0</v>
      </c>
      <c r="S1020" s="16"/>
      <c r="T1020" s="15">
        <f>+E1020</f>
        <v>0</v>
      </c>
      <c r="U1020" s="26" t="str">
        <f t="shared" ref="U1020" si="553">IFERROR(LEFT(G1020,FIND("*",G1020)-1),"-")</f>
        <v>-</v>
      </c>
      <c r="V1020" s="26" t="str">
        <f t="shared" ref="V1020" si="554">IFERROR(RIGHT(G1020,LEN(G1020)-FIND("*",G1020)),"-")</f>
        <v>-</v>
      </c>
      <c r="W1020" s="27" t="str">
        <f t="shared" si="550"/>
        <v>-</v>
      </c>
      <c r="X1020" s="27" t="str">
        <f>IFERROR(W1020*H1020,"-")</f>
        <v>-</v>
      </c>
      <c r="Z1020" s="94" t="s">
        <v>82</v>
      </c>
    </row>
    <row r="1021" spans="1:26" s="25" customFormat="1" ht="6.95" customHeight="1" x14ac:dyDescent="0.3">
      <c r="A1021" s="10"/>
      <c r="B1021" s="168"/>
      <c r="C1021" s="169"/>
      <c r="D1021" s="160"/>
      <c r="E1021" s="161"/>
      <c r="F1021" s="162"/>
      <c r="G1021" s="163"/>
      <c r="H1021" s="164"/>
      <c r="I1021" s="163"/>
      <c r="J1021" s="164"/>
      <c r="K1021" s="163"/>
      <c r="L1021" s="164"/>
      <c r="M1021" s="11"/>
      <c r="N1021" s="39"/>
      <c r="Q1021" s="15" t="str">
        <f>+CONCATENATE(E1020,I1020)</f>
        <v/>
      </c>
      <c r="R1021" s="15">
        <f>+J1020</f>
        <v>0</v>
      </c>
      <c r="S1021" s="16"/>
      <c r="T1021" s="15">
        <f>+E1020</f>
        <v>0</v>
      </c>
      <c r="U1021" s="26" t="str">
        <f>IFERROR(LEFT(I1020,FIND("*",I1020)-1),"-")</f>
        <v>-</v>
      </c>
      <c r="V1021" s="26" t="str">
        <f>IFERROR(RIGHT(I1020,LEN(I1020)-FIND("*",I1020)),"-")</f>
        <v>-</v>
      </c>
      <c r="W1021" s="27" t="str">
        <f t="shared" si="550"/>
        <v>-</v>
      </c>
      <c r="X1021" s="27" t="str">
        <f t="shared" ref="X1021" si="555">IFERROR(W1021*J1020,"-")</f>
        <v>-</v>
      </c>
      <c r="Z1021" s="94" t="s">
        <v>82</v>
      </c>
    </row>
    <row r="1022" spans="1:26" s="25" customFormat="1" ht="6.95" customHeight="1" x14ac:dyDescent="0.3">
      <c r="A1022" s="10"/>
      <c r="B1022" s="168"/>
      <c r="C1022" s="169"/>
      <c r="D1022" s="160"/>
      <c r="E1022" s="161"/>
      <c r="F1022" s="162"/>
      <c r="G1022" s="163"/>
      <c r="H1022" s="164"/>
      <c r="I1022" s="163"/>
      <c r="J1022" s="164"/>
      <c r="K1022" s="163"/>
      <c r="L1022" s="164"/>
      <c r="M1022" s="11"/>
      <c r="N1022" s="39"/>
      <c r="Q1022" s="15" t="str">
        <f>+CONCATENATE(E1020,K1020)</f>
        <v/>
      </c>
      <c r="R1022" s="15">
        <f>+L1020</f>
        <v>0</v>
      </c>
      <c r="S1022" s="16"/>
      <c r="T1022" s="15">
        <f>+E1020</f>
        <v>0</v>
      </c>
      <c r="U1022" s="26" t="str">
        <f>IFERROR(LEFT(K1020,FIND("*",K1020)-1),"-")</f>
        <v>-</v>
      </c>
      <c r="V1022" s="26" t="str">
        <f>IFERROR(RIGHT(K1020,LEN(K1020)-FIND("*",K1020)),"-")</f>
        <v>-</v>
      </c>
      <c r="W1022" s="27" t="str">
        <f t="shared" si="550"/>
        <v>-</v>
      </c>
      <c r="X1022" s="27" t="str">
        <f>IFERROR(W1022*L1020,"-")</f>
        <v>-</v>
      </c>
      <c r="Z1022" s="94" t="s">
        <v>82</v>
      </c>
    </row>
    <row r="1023" spans="1:26" s="25" customFormat="1" ht="21" customHeight="1" thickBot="1" x14ac:dyDescent="0.35">
      <c r="A1023" s="10"/>
      <c r="B1023" s="170"/>
      <c r="C1023" s="171"/>
      <c r="D1023" s="172" t="s">
        <v>43</v>
      </c>
      <c r="E1023" s="173"/>
      <c r="F1023" s="173"/>
      <c r="G1023" s="174"/>
      <c r="H1023" s="174"/>
      <c r="I1023" s="174"/>
      <c r="J1023" s="174"/>
      <c r="K1023" s="174"/>
      <c r="L1023" s="174"/>
      <c r="M1023" s="12"/>
      <c r="N1023" s="39"/>
      <c r="U1023" s="23"/>
      <c r="V1023" s="23"/>
      <c r="Z1023" s="95" t="s">
        <v>81</v>
      </c>
    </row>
    <row r="1024" spans="1:26" s="25" customFormat="1" ht="9.9499999999999993" customHeight="1" thickBot="1" x14ac:dyDescent="0.35">
      <c r="A1024" s="6"/>
      <c r="B1024" s="14"/>
      <c r="C1024" s="119"/>
      <c r="D1024" s="58"/>
      <c r="E1024" s="17"/>
      <c r="F1024" s="58"/>
      <c r="G1024" s="19"/>
      <c r="H1024" s="19"/>
      <c r="I1024" s="19"/>
      <c r="J1024" s="19"/>
      <c r="K1024" s="19"/>
      <c r="L1024" s="19"/>
      <c r="M1024" s="14"/>
      <c r="N1024" s="39"/>
      <c r="Q1024" s="1"/>
      <c r="R1024" s="1"/>
      <c r="S1024" s="1"/>
      <c r="T1024" s="1"/>
      <c r="U1024" s="24"/>
      <c r="V1024" s="24"/>
      <c r="W1024" s="1"/>
      <c r="X1024" s="1"/>
      <c r="Z1024" s="94" t="s">
        <v>82</v>
      </c>
    </row>
    <row r="1025" spans="1:26" s="25" customFormat="1" ht="6.95" customHeight="1" x14ac:dyDescent="0.3">
      <c r="A1025" s="165">
        <f>+A1014+1</f>
        <v>94</v>
      </c>
      <c r="B1025" s="166"/>
      <c r="C1025" s="167"/>
      <c r="D1025" s="160" t="s">
        <v>39</v>
      </c>
      <c r="E1025" s="161"/>
      <c r="F1025" s="162" t="s">
        <v>40</v>
      </c>
      <c r="G1025" s="163"/>
      <c r="H1025" s="164"/>
      <c r="I1025" s="163"/>
      <c r="J1025" s="164"/>
      <c r="K1025" s="163"/>
      <c r="L1025" s="164"/>
      <c r="M1025" s="11"/>
      <c r="N1025" s="39"/>
      <c r="Q1025" s="15" t="str">
        <f>+CONCATENATE(E1025,G1025)</f>
        <v/>
      </c>
      <c r="R1025" s="15">
        <f>+H1025</f>
        <v>0</v>
      </c>
      <c r="S1025" s="16"/>
      <c r="T1025" s="15">
        <f>+E1025</f>
        <v>0</v>
      </c>
      <c r="U1025" s="26" t="str">
        <f>IFERROR(LEFT(G1025,FIND("*",G1025)-1),"-")</f>
        <v>-</v>
      </c>
      <c r="V1025" s="26" t="str">
        <f>IFERROR(RIGHT(G1025,LEN(G1025)-FIND("*",G1025)),"-")</f>
        <v>-</v>
      </c>
      <c r="W1025" s="27" t="str">
        <f>IFERROR((U1025+V1025)*2/1000,"-")</f>
        <v>-</v>
      </c>
      <c r="X1025" s="27" t="str">
        <f>IFERROR(W1025*H1025,"-")</f>
        <v>-</v>
      </c>
      <c r="Z1025" s="94" t="s">
        <v>82</v>
      </c>
    </row>
    <row r="1026" spans="1:26" s="25" customFormat="1" ht="6.95" customHeight="1" x14ac:dyDescent="0.3">
      <c r="A1026" s="165"/>
      <c r="B1026" s="168"/>
      <c r="C1026" s="169"/>
      <c r="D1026" s="160"/>
      <c r="E1026" s="161"/>
      <c r="F1026" s="162"/>
      <c r="G1026" s="163"/>
      <c r="H1026" s="164"/>
      <c r="I1026" s="163"/>
      <c r="J1026" s="164"/>
      <c r="K1026" s="163"/>
      <c r="L1026" s="164"/>
      <c r="M1026" s="11"/>
      <c r="N1026" s="39"/>
      <c r="Q1026" s="15" t="str">
        <f>+CONCATENATE(E1025,I1025)</f>
        <v/>
      </c>
      <c r="R1026" s="15">
        <f>+J1025</f>
        <v>0</v>
      </c>
      <c r="S1026" s="16"/>
      <c r="T1026" s="15">
        <f>+E1025</f>
        <v>0</v>
      </c>
      <c r="U1026" s="26" t="str">
        <f>IFERROR(LEFT(I1025,FIND("*",I1025)-1),"-")</f>
        <v>-</v>
      </c>
      <c r="V1026" s="26" t="str">
        <f>IFERROR(RIGHT(I1025,LEN(I1025)-FIND("*",I1025)),"-")</f>
        <v>-</v>
      </c>
      <c r="W1026" s="27" t="str">
        <f t="shared" ref="W1026:W1033" si="556">IFERROR((U1026+V1026)*2/1000,"-")</f>
        <v>-</v>
      </c>
      <c r="X1026" s="27" t="str">
        <f>IFERROR(W1026*J1025,"-")</f>
        <v>-</v>
      </c>
      <c r="Z1026" s="94" t="s">
        <v>82</v>
      </c>
    </row>
    <row r="1027" spans="1:26" s="25" customFormat="1" ht="6.95" customHeight="1" x14ac:dyDescent="0.3">
      <c r="A1027" s="165"/>
      <c r="B1027" s="168"/>
      <c r="C1027" s="169"/>
      <c r="D1027" s="160"/>
      <c r="E1027" s="161"/>
      <c r="F1027" s="162"/>
      <c r="G1027" s="163"/>
      <c r="H1027" s="164"/>
      <c r="I1027" s="163"/>
      <c r="J1027" s="164"/>
      <c r="K1027" s="163"/>
      <c r="L1027" s="164"/>
      <c r="M1027" s="11"/>
      <c r="N1027" s="39"/>
      <c r="Q1027" s="15" t="str">
        <f>+CONCATENATE(E1025,K1025)</f>
        <v/>
      </c>
      <c r="R1027" s="15">
        <f>+L1025</f>
        <v>0</v>
      </c>
      <c r="S1027" s="16"/>
      <c r="T1027" s="15">
        <f>+E1025</f>
        <v>0</v>
      </c>
      <c r="U1027" s="26" t="str">
        <f>IFERROR(LEFT(K1025,FIND("*",K1025)-1),"-")</f>
        <v>-</v>
      </c>
      <c r="V1027" s="26" t="str">
        <f>IFERROR(RIGHT(K1025,LEN(K1025)-FIND("*",K1025)),"-")</f>
        <v>-</v>
      </c>
      <c r="W1027" s="27" t="str">
        <f t="shared" si="556"/>
        <v>-</v>
      </c>
      <c r="X1027" s="27" t="str">
        <f>IFERROR(W1027*L1025,"-")</f>
        <v>-</v>
      </c>
      <c r="Z1027" s="94" t="s">
        <v>82</v>
      </c>
    </row>
    <row r="1028" spans="1:26" s="25" customFormat="1" ht="6.95" customHeight="1" x14ac:dyDescent="0.3">
      <c r="A1028" s="13"/>
      <c r="B1028" s="168"/>
      <c r="C1028" s="169"/>
      <c r="D1028" s="160" t="s">
        <v>39</v>
      </c>
      <c r="E1028" s="161"/>
      <c r="F1028" s="162" t="s">
        <v>40</v>
      </c>
      <c r="G1028" s="163"/>
      <c r="H1028" s="164"/>
      <c r="I1028" s="163"/>
      <c r="J1028" s="164"/>
      <c r="K1028" s="163"/>
      <c r="L1028" s="164"/>
      <c r="M1028" s="11"/>
      <c r="N1028" s="39"/>
      <c r="Q1028" s="15" t="str">
        <f>+CONCATENATE(E1028,G1028)</f>
        <v/>
      </c>
      <c r="R1028" s="15">
        <f>+H1028</f>
        <v>0</v>
      </c>
      <c r="S1028" s="16"/>
      <c r="T1028" s="15">
        <f>+E1028</f>
        <v>0</v>
      </c>
      <c r="U1028" s="26" t="str">
        <f t="shared" ref="U1028" si="557">IFERROR(LEFT(G1028,FIND("*",G1028)-1),"-")</f>
        <v>-</v>
      </c>
      <c r="V1028" s="26" t="str">
        <f t="shared" ref="V1028" si="558">IFERROR(RIGHT(G1028,LEN(G1028)-FIND("*",G1028)),"-")</f>
        <v>-</v>
      </c>
      <c r="W1028" s="27" t="str">
        <f t="shared" si="556"/>
        <v>-</v>
      </c>
      <c r="X1028" s="27" t="str">
        <f>IFERROR(W1028*H1028,"-")</f>
        <v>-</v>
      </c>
      <c r="Z1028" s="94" t="s">
        <v>82</v>
      </c>
    </row>
    <row r="1029" spans="1:26" s="25" customFormat="1" ht="6.95" customHeight="1" x14ac:dyDescent="0.3">
      <c r="A1029" s="10"/>
      <c r="B1029" s="168"/>
      <c r="C1029" s="169"/>
      <c r="D1029" s="160"/>
      <c r="E1029" s="161"/>
      <c r="F1029" s="162"/>
      <c r="G1029" s="163"/>
      <c r="H1029" s="164"/>
      <c r="I1029" s="163"/>
      <c r="J1029" s="164"/>
      <c r="K1029" s="163"/>
      <c r="L1029" s="164"/>
      <c r="M1029" s="11"/>
      <c r="N1029" s="39"/>
      <c r="Q1029" s="15" t="str">
        <f>+CONCATENATE(E1028,I1028)</f>
        <v/>
      </c>
      <c r="R1029" s="15">
        <f>+J1028</f>
        <v>0</v>
      </c>
      <c r="S1029" s="16"/>
      <c r="T1029" s="15">
        <f>+E1028</f>
        <v>0</v>
      </c>
      <c r="U1029" s="26" t="str">
        <f>IFERROR(LEFT(I1028,FIND("*",I1028)-1),"-")</f>
        <v>-</v>
      </c>
      <c r="V1029" s="26" t="str">
        <f>IFERROR(RIGHT(I1028,LEN(I1028)-FIND("*",I1028)),"-")</f>
        <v>-</v>
      </c>
      <c r="W1029" s="27" t="str">
        <f t="shared" si="556"/>
        <v>-</v>
      </c>
      <c r="X1029" s="27" t="str">
        <f>IFERROR(W1029*J1028,"-")</f>
        <v>-</v>
      </c>
      <c r="Z1029" s="94" t="s">
        <v>82</v>
      </c>
    </row>
    <row r="1030" spans="1:26" s="25" customFormat="1" ht="6.95" customHeight="1" x14ac:dyDescent="0.3">
      <c r="A1030" s="10"/>
      <c r="B1030" s="168"/>
      <c r="C1030" s="169"/>
      <c r="D1030" s="160"/>
      <c r="E1030" s="161"/>
      <c r="F1030" s="162"/>
      <c r="G1030" s="163"/>
      <c r="H1030" s="164"/>
      <c r="I1030" s="163"/>
      <c r="J1030" s="164"/>
      <c r="K1030" s="163"/>
      <c r="L1030" s="164"/>
      <c r="M1030" s="11"/>
      <c r="N1030" s="39"/>
      <c r="Q1030" s="15" t="str">
        <f>+CONCATENATE(E1028,K1028)</f>
        <v/>
      </c>
      <c r="R1030" s="15">
        <f>+L1028</f>
        <v>0</v>
      </c>
      <c r="S1030" s="16"/>
      <c r="T1030" s="15">
        <f>+E1028</f>
        <v>0</v>
      </c>
      <c r="U1030" s="26" t="str">
        <f>IFERROR(LEFT(K1028,FIND("*",K1028)-1),"-")</f>
        <v>-</v>
      </c>
      <c r="V1030" s="26" t="str">
        <f>IFERROR(RIGHT(K1028,LEN(K1028)-FIND("*",K1028)),"-")</f>
        <v>-</v>
      </c>
      <c r="W1030" s="27" t="str">
        <f t="shared" si="556"/>
        <v>-</v>
      </c>
      <c r="X1030" s="27" t="str">
        <f>IFERROR(W1030*L1028,"-")</f>
        <v>-</v>
      </c>
      <c r="Z1030" s="94" t="s">
        <v>82</v>
      </c>
    </row>
    <row r="1031" spans="1:26" s="25" customFormat="1" ht="6.95" customHeight="1" x14ac:dyDescent="0.3">
      <c r="A1031" s="13"/>
      <c r="B1031" s="168"/>
      <c r="C1031" s="169"/>
      <c r="D1031" s="160" t="s">
        <v>39</v>
      </c>
      <c r="E1031" s="161"/>
      <c r="F1031" s="162" t="s">
        <v>40</v>
      </c>
      <c r="G1031" s="163"/>
      <c r="H1031" s="164"/>
      <c r="I1031" s="163"/>
      <c r="J1031" s="164"/>
      <c r="K1031" s="163"/>
      <c r="L1031" s="164"/>
      <c r="M1031" s="11"/>
      <c r="N1031" s="39"/>
      <c r="Q1031" s="15" t="str">
        <f>+CONCATENATE(E1031,G1031)</f>
        <v/>
      </c>
      <c r="R1031" s="15">
        <f>+H1031</f>
        <v>0</v>
      </c>
      <c r="S1031" s="16"/>
      <c r="T1031" s="15">
        <f>+E1031</f>
        <v>0</v>
      </c>
      <c r="U1031" s="26" t="str">
        <f t="shared" ref="U1031" si="559">IFERROR(LEFT(G1031,FIND("*",G1031)-1),"-")</f>
        <v>-</v>
      </c>
      <c r="V1031" s="26" t="str">
        <f t="shared" ref="V1031" si="560">IFERROR(RIGHT(G1031,LEN(G1031)-FIND("*",G1031)),"-")</f>
        <v>-</v>
      </c>
      <c r="W1031" s="27" t="str">
        <f t="shared" si="556"/>
        <v>-</v>
      </c>
      <c r="X1031" s="27" t="str">
        <f>IFERROR(W1031*H1031,"-")</f>
        <v>-</v>
      </c>
      <c r="Z1031" s="94" t="s">
        <v>82</v>
      </c>
    </row>
    <row r="1032" spans="1:26" s="25" customFormat="1" ht="6.95" customHeight="1" x14ac:dyDescent="0.3">
      <c r="A1032" s="10"/>
      <c r="B1032" s="168"/>
      <c r="C1032" s="169"/>
      <c r="D1032" s="160"/>
      <c r="E1032" s="161"/>
      <c r="F1032" s="162"/>
      <c r="G1032" s="163"/>
      <c r="H1032" s="164"/>
      <c r="I1032" s="163"/>
      <c r="J1032" s="164"/>
      <c r="K1032" s="163"/>
      <c r="L1032" s="164"/>
      <c r="M1032" s="11"/>
      <c r="N1032" s="39"/>
      <c r="Q1032" s="15" t="str">
        <f>+CONCATENATE(E1031,I1031)</f>
        <v/>
      </c>
      <c r="R1032" s="15">
        <f>+J1031</f>
        <v>0</v>
      </c>
      <c r="S1032" s="16"/>
      <c r="T1032" s="15">
        <f>+E1031</f>
        <v>0</v>
      </c>
      <c r="U1032" s="26" t="str">
        <f>IFERROR(LEFT(I1031,FIND("*",I1031)-1),"-")</f>
        <v>-</v>
      </c>
      <c r="V1032" s="26" t="str">
        <f>IFERROR(RIGHT(I1031,LEN(I1031)-FIND("*",I1031)),"-")</f>
        <v>-</v>
      </c>
      <c r="W1032" s="27" t="str">
        <f t="shared" si="556"/>
        <v>-</v>
      </c>
      <c r="X1032" s="27" t="str">
        <f t="shared" ref="X1032" si="561">IFERROR(W1032*J1031,"-")</f>
        <v>-</v>
      </c>
      <c r="Z1032" s="94" t="s">
        <v>82</v>
      </c>
    </row>
    <row r="1033" spans="1:26" s="25" customFormat="1" ht="6.95" customHeight="1" x14ac:dyDescent="0.3">
      <c r="A1033" s="10"/>
      <c r="B1033" s="168"/>
      <c r="C1033" s="169"/>
      <c r="D1033" s="160"/>
      <c r="E1033" s="161"/>
      <c r="F1033" s="162"/>
      <c r="G1033" s="163"/>
      <c r="H1033" s="164"/>
      <c r="I1033" s="163"/>
      <c r="J1033" s="164"/>
      <c r="K1033" s="163"/>
      <c r="L1033" s="164"/>
      <c r="M1033" s="11"/>
      <c r="N1033" s="39"/>
      <c r="Q1033" s="15" t="str">
        <f>+CONCATENATE(E1031,K1031)</f>
        <v/>
      </c>
      <c r="R1033" s="15">
        <f>+L1031</f>
        <v>0</v>
      </c>
      <c r="S1033" s="16"/>
      <c r="T1033" s="15">
        <f>+E1031</f>
        <v>0</v>
      </c>
      <c r="U1033" s="26" t="str">
        <f>IFERROR(LEFT(K1031,FIND("*",K1031)-1),"-")</f>
        <v>-</v>
      </c>
      <c r="V1033" s="26" t="str">
        <f>IFERROR(RIGHT(K1031,LEN(K1031)-FIND("*",K1031)),"-")</f>
        <v>-</v>
      </c>
      <c r="W1033" s="27" t="str">
        <f t="shared" si="556"/>
        <v>-</v>
      </c>
      <c r="X1033" s="27" t="str">
        <f>IFERROR(W1033*L1031,"-")</f>
        <v>-</v>
      </c>
      <c r="Z1033" s="94" t="s">
        <v>82</v>
      </c>
    </row>
    <row r="1034" spans="1:26" s="25" customFormat="1" ht="21" customHeight="1" thickBot="1" x14ac:dyDescent="0.35">
      <c r="A1034" s="10"/>
      <c r="B1034" s="170"/>
      <c r="C1034" s="171"/>
      <c r="D1034" s="172" t="s">
        <v>43</v>
      </c>
      <c r="E1034" s="173"/>
      <c r="F1034" s="173"/>
      <c r="G1034" s="174"/>
      <c r="H1034" s="174"/>
      <c r="I1034" s="174"/>
      <c r="J1034" s="174"/>
      <c r="K1034" s="174"/>
      <c r="L1034" s="174"/>
      <c r="M1034" s="12"/>
      <c r="N1034" s="39"/>
      <c r="U1034" s="23"/>
      <c r="V1034" s="23"/>
      <c r="Z1034" s="95" t="s">
        <v>81</v>
      </c>
    </row>
    <row r="1035" spans="1:26" s="25" customFormat="1" ht="9.9499999999999993" customHeight="1" thickBot="1" x14ac:dyDescent="0.35">
      <c r="A1035" s="6"/>
      <c r="B1035" s="14"/>
      <c r="C1035" s="119"/>
      <c r="D1035" s="58"/>
      <c r="E1035" s="17"/>
      <c r="F1035" s="58"/>
      <c r="G1035" s="19"/>
      <c r="H1035" s="19"/>
      <c r="I1035" s="19"/>
      <c r="J1035" s="19"/>
      <c r="K1035" s="19"/>
      <c r="L1035" s="19"/>
      <c r="M1035" s="14"/>
      <c r="N1035" s="39"/>
      <c r="Q1035" s="1"/>
      <c r="R1035" s="1"/>
      <c r="S1035" s="1"/>
      <c r="T1035" s="1"/>
      <c r="U1035" s="24"/>
      <c r="V1035" s="24"/>
      <c r="W1035" s="1"/>
      <c r="X1035" s="1"/>
      <c r="Z1035" s="94" t="s">
        <v>82</v>
      </c>
    </row>
    <row r="1036" spans="1:26" s="25" customFormat="1" ht="6.95" customHeight="1" x14ac:dyDescent="0.3">
      <c r="A1036" s="165">
        <f>+A1025+1</f>
        <v>95</v>
      </c>
      <c r="B1036" s="166"/>
      <c r="C1036" s="167"/>
      <c r="D1036" s="160" t="s">
        <v>39</v>
      </c>
      <c r="E1036" s="161"/>
      <c r="F1036" s="162" t="s">
        <v>40</v>
      </c>
      <c r="G1036" s="163"/>
      <c r="H1036" s="164"/>
      <c r="I1036" s="163"/>
      <c r="J1036" s="164"/>
      <c r="K1036" s="163"/>
      <c r="L1036" s="164"/>
      <c r="M1036" s="11"/>
      <c r="N1036" s="39"/>
      <c r="Q1036" s="15" t="str">
        <f>+CONCATENATE(E1036,G1036)</f>
        <v/>
      </c>
      <c r="R1036" s="15">
        <f>+H1036</f>
        <v>0</v>
      </c>
      <c r="S1036" s="16"/>
      <c r="T1036" s="15">
        <f>+E1036</f>
        <v>0</v>
      </c>
      <c r="U1036" s="26" t="str">
        <f>IFERROR(LEFT(G1036,FIND("*",G1036)-1),"-")</f>
        <v>-</v>
      </c>
      <c r="V1036" s="26" t="str">
        <f>IFERROR(RIGHT(G1036,LEN(G1036)-FIND("*",G1036)),"-")</f>
        <v>-</v>
      </c>
      <c r="W1036" s="27" t="str">
        <f>IFERROR((U1036+V1036)*2/1000,"-")</f>
        <v>-</v>
      </c>
      <c r="X1036" s="27" t="str">
        <f>IFERROR(W1036*H1036,"-")</f>
        <v>-</v>
      </c>
      <c r="Z1036" s="94" t="s">
        <v>82</v>
      </c>
    </row>
    <row r="1037" spans="1:26" s="25" customFormat="1" ht="6.95" customHeight="1" x14ac:dyDescent="0.3">
      <c r="A1037" s="165"/>
      <c r="B1037" s="168"/>
      <c r="C1037" s="169"/>
      <c r="D1037" s="160"/>
      <c r="E1037" s="161"/>
      <c r="F1037" s="162"/>
      <c r="G1037" s="163"/>
      <c r="H1037" s="164"/>
      <c r="I1037" s="163"/>
      <c r="J1037" s="164"/>
      <c r="K1037" s="163"/>
      <c r="L1037" s="164"/>
      <c r="M1037" s="11"/>
      <c r="N1037" s="39"/>
      <c r="Q1037" s="15" t="str">
        <f>+CONCATENATE(E1036,I1036)</f>
        <v/>
      </c>
      <c r="R1037" s="15">
        <f>+J1036</f>
        <v>0</v>
      </c>
      <c r="S1037" s="16"/>
      <c r="T1037" s="15">
        <f>+E1036</f>
        <v>0</v>
      </c>
      <c r="U1037" s="26" t="str">
        <f>IFERROR(LEFT(I1036,FIND("*",I1036)-1),"-")</f>
        <v>-</v>
      </c>
      <c r="V1037" s="26" t="str">
        <f>IFERROR(RIGHT(I1036,LEN(I1036)-FIND("*",I1036)),"-")</f>
        <v>-</v>
      </c>
      <c r="W1037" s="27" t="str">
        <f t="shared" ref="W1037:W1044" si="562">IFERROR((U1037+V1037)*2/1000,"-")</f>
        <v>-</v>
      </c>
      <c r="X1037" s="27" t="str">
        <f>IFERROR(W1037*J1036,"-")</f>
        <v>-</v>
      </c>
      <c r="Z1037" s="94" t="s">
        <v>82</v>
      </c>
    </row>
    <row r="1038" spans="1:26" s="25" customFormat="1" ht="6.95" customHeight="1" x14ac:dyDescent="0.3">
      <c r="A1038" s="165"/>
      <c r="B1038" s="168"/>
      <c r="C1038" s="169"/>
      <c r="D1038" s="160"/>
      <c r="E1038" s="161"/>
      <c r="F1038" s="162"/>
      <c r="G1038" s="163"/>
      <c r="H1038" s="164"/>
      <c r="I1038" s="163"/>
      <c r="J1038" s="164"/>
      <c r="K1038" s="163"/>
      <c r="L1038" s="164"/>
      <c r="M1038" s="11"/>
      <c r="N1038" s="39"/>
      <c r="Q1038" s="15" t="str">
        <f>+CONCATENATE(E1036,K1036)</f>
        <v/>
      </c>
      <c r="R1038" s="15">
        <f>+L1036</f>
        <v>0</v>
      </c>
      <c r="S1038" s="16"/>
      <c r="T1038" s="15">
        <f>+E1036</f>
        <v>0</v>
      </c>
      <c r="U1038" s="26" t="str">
        <f>IFERROR(LEFT(K1036,FIND("*",K1036)-1),"-")</f>
        <v>-</v>
      </c>
      <c r="V1038" s="26" t="str">
        <f>IFERROR(RIGHT(K1036,LEN(K1036)-FIND("*",K1036)),"-")</f>
        <v>-</v>
      </c>
      <c r="W1038" s="27" t="str">
        <f t="shared" si="562"/>
        <v>-</v>
      </c>
      <c r="X1038" s="27" t="str">
        <f>IFERROR(W1038*L1036,"-")</f>
        <v>-</v>
      </c>
      <c r="Z1038" s="94" t="s">
        <v>82</v>
      </c>
    </row>
    <row r="1039" spans="1:26" s="25" customFormat="1" ht="6.95" customHeight="1" x14ac:dyDescent="0.3">
      <c r="A1039" s="13"/>
      <c r="B1039" s="168"/>
      <c r="C1039" s="169"/>
      <c r="D1039" s="160" t="s">
        <v>39</v>
      </c>
      <c r="E1039" s="161"/>
      <c r="F1039" s="162" t="s">
        <v>40</v>
      </c>
      <c r="G1039" s="163"/>
      <c r="H1039" s="164"/>
      <c r="I1039" s="163"/>
      <c r="J1039" s="164"/>
      <c r="K1039" s="163"/>
      <c r="L1039" s="164"/>
      <c r="M1039" s="11"/>
      <c r="N1039" s="39"/>
      <c r="Q1039" s="15" t="str">
        <f>+CONCATENATE(E1039,G1039)</f>
        <v/>
      </c>
      <c r="R1039" s="15">
        <f>+H1039</f>
        <v>0</v>
      </c>
      <c r="S1039" s="16"/>
      <c r="T1039" s="15">
        <f>+E1039</f>
        <v>0</v>
      </c>
      <c r="U1039" s="26" t="str">
        <f t="shared" ref="U1039" si="563">IFERROR(LEFT(G1039,FIND("*",G1039)-1),"-")</f>
        <v>-</v>
      </c>
      <c r="V1039" s="26" t="str">
        <f t="shared" ref="V1039" si="564">IFERROR(RIGHT(G1039,LEN(G1039)-FIND("*",G1039)),"-")</f>
        <v>-</v>
      </c>
      <c r="W1039" s="27" t="str">
        <f t="shared" si="562"/>
        <v>-</v>
      </c>
      <c r="X1039" s="27" t="str">
        <f>IFERROR(W1039*H1039,"-")</f>
        <v>-</v>
      </c>
      <c r="Z1039" s="94" t="s">
        <v>82</v>
      </c>
    </row>
    <row r="1040" spans="1:26" s="25" customFormat="1" ht="6.95" customHeight="1" x14ac:dyDescent="0.3">
      <c r="A1040" s="10"/>
      <c r="B1040" s="168"/>
      <c r="C1040" s="169"/>
      <c r="D1040" s="160"/>
      <c r="E1040" s="161"/>
      <c r="F1040" s="162"/>
      <c r="G1040" s="163"/>
      <c r="H1040" s="164"/>
      <c r="I1040" s="163"/>
      <c r="J1040" s="164"/>
      <c r="K1040" s="163"/>
      <c r="L1040" s="164"/>
      <c r="M1040" s="11"/>
      <c r="N1040" s="39"/>
      <c r="Q1040" s="15" t="str">
        <f>+CONCATENATE(E1039,I1039)</f>
        <v/>
      </c>
      <c r="R1040" s="15">
        <f>+J1039</f>
        <v>0</v>
      </c>
      <c r="S1040" s="16"/>
      <c r="T1040" s="15">
        <f>+E1039</f>
        <v>0</v>
      </c>
      <c r="U1040" s="26" t="str">
        <f>IFERROR(LEFT(I1039,FIND("*",I1039)-1),"-")</f>
        <v>-</v>
      </c>
      <c r="V1040" s="26" t="str">
        <f>IFERROR(RIGHT(I1039,LEN(I1039)-FIND("*",I1039)),"-")</f>
        <v>-</v>
      </c>
      <c r="W1040" s="27" t="str">
        <f t="shared" si="562"/>
        <v>-</v>
      </c>
      <c r="X1040" s="27" t="str">
        <f>IFERROR(W1040*J1039,"-")</f>
        <v>-</v>
      </c>
      <c r="Z1040" s="94" t="s">
        <v>82</v>
      </c>
    </row>
    <row r="1041" spans="1:26" s="25" customFormat="1" ht="6.95" customHeight="1" x14ac:dyDescent="0.3">
      <c r="A1041" s="10"/>
      <c r="B1041" s="168"/>
      <c r="C1041" s="169"/>
      <c r="D1041" s="160"/>
      <c r="E1041" s="161"/>
      <c r="F1041" s="162"/>
      <c r="G1041" s="163"/>
      <c r="H1041" s="164"/>
      <c r="I1041" s="163"/>
      <c r="J1041" s="164"/>
      <c r="K1041" s="163"/>
      <c r="L1041" s="164"/>
      <c r="M1041" s="11"/>
      <c r="N1041" s="39"/>
      <c r="Q1041" s="15" t="str">
        <f>+CONCATENATE(E1039,K1039)</f>
        <v/>
      </c>
      <c r="R1041" s="15">
        <f>+L1039</f>
        <v>0</v>
      </c>
      <c r="S1041" s="16"/>
      <c r="T1041" s="15">
        <f>+E1039</f>
        <v>0</v>
      </c>
      <c r="U1041" s="26" t="str">
        <f>IFERROR(LEFT(K1039,FIND("*",K1039)-1),"-")</f>
        <v>-</v>
      </c>
      <c r="V1041" s="26" t="str">
        <f>IFERROR(RIGHT(K1039,LEN(K1039)-FIND("*",K1039)),"-")</f>
        <v>-</v>
      </c>
      <c r="W1041" s="27" t="str">
        <f t="shared" si="562"/>
        <v>-</v>
      </c>
      <c r="X1041" s="27" t="str">
        <f>IFERROR(W1041*L1039,"-")</f>
        <v>-</v>
      </c>
      <c r="Z1041" s="94" t="s">
        <v>82</v>
      </c>
    </row>
    <row r="1042" spans="1:26" s="25" customFormat="1" ht="6.95" customHeight="1" x14ac:dyDescent="0.3">
      <c r="A1042" s="13"/>
      <c r="B1042" s="168"/>
      <c r="C1042" s="169"/>
      <c r="D1042" s="160" t="s">
        <v>39</v>
      </c>
      <c r="E1042" s="161"/>
      <c r="F1042" s="162" t="s">
        <v>40</v>
      </c>
      <c r="G1042" s="163"/>
      <c r="H1042" s="164"/>
      <c r="I1042" s="163"/>
      <c r="J1042" s="164"/>
      <c r="K1042" s="163"/>
      <c r="L1042" s="164"/>
      <c r="M1042" s="11"/>
      <c r="N1042" s="39"/>
      <c r="Q1042" s="15" t="str">
        <f>+CONCATENATE(E1042,G1042)</f>
        <v/>
      </c>
      <c r="R1042" s="15">
        <f>+H1042</f>
        <v>0</v>
      </c>
      <c r="S1042" s="16"/>
      <c r="T1042" s="15">
        <f>+E1042</f>
        <v>0</v>
      </c>
      <c r="U1042" s="26" t="str">
        <f t="shared" ref="U1042" si="565">IFERROR(LEFT(G1042,FIND("*",G1042)-1),"-")</f>
        <v>-</v>
      </c>
      <c r="V1042" s="26" t="str">
        <f t="shared" ref="V1042" si="566">IFERROR(RIGHT(G1042,LEN(G1042)-FIND("*",G1042)),"-")</f>
        <v>-</v>
      </c>
      <c r="W1042" s="27" t="str">
        <f t="shared" si="562"/>
        <v>-</v>
      </c>
      <c r="X1042" s="27" t="str">
        <f>IFERROR(W1042*H1042,"-")</f>
        <v>-</v>
      </c>
      <c r="Z1042" s="94" t="s">
        <v>82</v>
      </c>
    </row>
    <row r="1043" spans="1:26" s="25" customFormat="1" ht="6.95" customHeight="1" x14ac:dyDescent="0.3">
      <c r="A1043" s="10"/>
      <c r="B1043" s="168"/>
      <c r="C1043" s="169"/>
      <c r="D1043" s="160"/>
      <c r="E1043" s="161"/>
      <c r="F1043" s="162"/>
      <c r="G1043" s="163"/>
      <c r="H1043" s="164"/>
      <c r="I1043" s="163"/>
      <c r="J1043" s="164"/>
      <c r="K1043" s="163"/>
      <c r="L1043" s="164"/>
      <c r="M1043" s="11"/>
      <c r="N1043" s="39"/>
      <c r="Q1043" s="15" t="str">
        <f>+CONCATENATE(E1042,I1042)</f>
        <v/>
      </c>
      <c r="R1043" s="15">
        <f>+J1042</f>
        <v>0</v>
      </c>
      <c r="S1043" s="16"/>
      <c r="T1043" s="15">
        <f>+E1042</f>
        <v>0</v>
      </c>
      <c r="U1043" s="26" t="str">
        <f>IFERROR(LEFT(I1042,FIND("*",I1042)-1),"-")</f>
        <v>-</v>
      </c>
      <c r="V1043" s="26" t="str">
        <f>IFERROR(RIGHT(I1042,LEN(I1042)-FIND("*",I1042)),"-")</f>
        <v>-</v>
      </c>
      <c r="W1043" s="27" t="str">
        <f t="shared" si="562"/>
        <v>-</v>
      </c>
      <c r="X1043" s="27" t="str">
        <f t="shared" ref="X1043" si="567">IFERROR(W1043*J1042,"-")</f>
        <v>-</v>
      </c>
      <c r="Z1043" s="94" t="s">
        <v>82</v>
      </c>
    </row>
    <row r="1044" spans="1:26" s="25" customFormat="1" ht="6.95" customHeight="1" x14ac:dyDescent="0.3">
      <c r="A1044" s="10"/>
      <c r="B1044" s="168"/>
      <c r="C1044" s="169"/>
      <c r="D1044" s="160"/>
      <c r="E1044" s="161"/>
      <c r="F1044" s="162"/>
      <c r="G1044" s="163"/>
      <c r="H1044" s="164"/>
      <c r="I1044" s="163"/>
      <c r="J1044" s="164"/>
      <c r="K1044" s="163"/>
      <c r="L1044" s="164"/>
      <c r="M1044" s="11"/>
      <c r="N1044" s="39"/>
      <c r="Q1044" s="15" t="str">
        <f>+CONCATENATE(E1042,K1042)</f>
        <v/>
      </c>
      <c r="R1044" s="15">
        <f>+L1042</f>
        <v>0</v>
      </c>
      <c r="S1044" s="16"/>
      <c r="T1044" s="15">
        <f>+E1042</f>
        <v>0</v>
      </c>
      <c r="U1044" s="26" t="str">
        <f>IFERROR(LEFT(K1042,FIND("*",K1042)-1),"-")</f>
        <v>-</v>
      </c>
      <c r="V1044" s="26" t="str">
        <f>IFERROR(RIGHT(K1042,LEN(K1042)-FIND("*",K1042)),"-")</f>
        <v>-</v>
      </c>
      <c r="W1044" s="27" t="str">
        <f t="shared" si="562"/>
        <v>-</v>
      </c>
      <c r="X1044" s="27" t="str">
        <f>IFERROR(W1044*L1042,"-")</f>
        <v>-</v>
      </c>
      <c r="Z1044" s="94" t="s">
        <v>82</v>
      </c>
    </row>
    <row r="1045" spans="1:26" s="25" customFormat="1" ht="21" customHeight="1" thickBot="1" x14ac:dyDescent="0.35">
      <c r="A1045" s="10"/>
      <c r="B1045" s="170"/>
      <c r="C1045" s="171"/>
      <c r="D1045" s="172" t="s">
        <v>43</v>
      </c>
      <c r="E1045" s="173"/>
      <c r="F1045" s="173"/>
      <c r="G1045" s="174"/>
      <c r="H1045" s="174"/>
      <c r="I1045" s="174"/>
      <c r="J1045" s="174"/>
      <c r="K1045" s="174"/>
      <c r="L1045" s="174"/>
      <c r="M1045" s="12"/>
      <c r="N1045" s="39"/>
      <c r="U1045" s="23"/>
      <c r="V1045" s="23"/>
      <c r="Z1045" s="95" t="s">
        <v>81</v>
      </c>
    </row>
    <row r="1046" spans="1:26" s="25" customFormat="1" ht="9.9499999999999993" customHeight="1" thickBot="1" x14ac:dyDescent="0.35">
      <c r="A1046" s="6"/>
      <c r="B1046" s="14"/>
      <c r="C1046" s="119"/>
      <c r="D1046" s="58"/>
      <c r="E1046" s="17"/>
      <c r="F1046" s="58"/>
      <c r="G1046" s="19"/>
      <c r="H1046" s="19"/>
      <c r="I1046" s="19"/>
      <c r="J1046" s="19"/>
      <c r="K1046" s="19"/>
      <c r="L1046" s="19"/>
      <c r="M1046" s="14"/>
      <c r="N1046" s="39"/>
      <c r="Q1046" s="1"/>
      <c r="R1046" s="1"/>
      <c r="S1046" s="1"/>
      <c r="T1046" s="1"/>
      <c r="U1046" s="24"/>
      <c r="V1046" s="24"/>
      <c r="W1046" s="1"/>
      <c r="X1046" s="1"/>
      <c r="Z1046" s="94" t="s">
        <v>82</v>
      </c>
    </row>
    <row r="1047" spans="1:26" s="25" customFormat="1" ht="6.95" customHeight="1" x14ac:dyDescent="0.3">
      <c r="A1047" s="165">
        <f>+A1036+1</f>
        <v>96</v>
      </c>
      <c r="B1047" s="166"/>
      <c r="C1047" s="167"/>
      <c r="D1047" s="160" t="s">
        <v>39</v>
      </c>
      <c r="E1047" s="161"/>
      <c r="F1047" s="162" t="s">
        <v>40</v>
      </c>
      <c r="G1047" s="163"/>
      <c r="H1047" s="164"/>
      <c r="I1047" s="163"/>
      <c r="J1047" s="164"/>
      <c r="K1047" s="163"/>
      <c r="L1047" s="164"/>
      <c r="M1047" s="11"/>
      <c r="N1047" s="39"/>
      <c r="Q1047" s="15" t="str">
        <f>+CONCATENATE(E1047,G1047)</f>
        <v/>
      </c>
      <c r="R1047" s="15">
        <f>+H1047</f>
        <v>0</v>
      </c>
      <c r="S1047" s="16"/>
      <c r="T1047" s="15">
        <f>+E1047</f>
        <v>0</v>
      </c>
      <c r="U1047" s="26" t="str">
        <f>IFERROR(LEFT(G1047,FIND("*",G1047)-1),"-")</f>
        <v>-</v>
      </c>
      <c r="V1047" s="26" t="str">
        <f>IFERROR(RIGHT(G1047,LEN(G1047)-FIND("*",G1047)),"-")</f>
        <v>-</v>
      </c>
      <c r="W1047" s="27" t="str">
        <f>IFERROR((U1047+V1047)*2/1000,"-")</f>
        <v>-</v>
      </c>
      <c r="X1047" s="27" t="str">
        <f>IFERROR(W1047*H1047,"-")</f>
        <v>-</v>
      </c>
      <c r="Z1047" s="94" t="s">
        <v>82</v>
      </c>
    </row>
    <row r="1048" spans="1:26" s="25" customFormat="1" ht="6.95" customHeight="1" x14ac:dyDescent="0.3">
      <c r="A1048" s="165"/>
      <c r="B1048" s="168"/>
      <c r="C1048" s="169"/>
      <c r="D1048" s="160"/>
      <c r="E1048" s="161"/>
      <c r="F1048" s="162"/>
      <c r="G1048" s="163"/>
      <c r="H1048" s="164"/>
      <c r="I1048" s="163"/>
      <c r="J1048" s="164"/>
      <c r="K1048" s="163"/>
      <c r="L1048" s="164"/>
      <c r="M1048" s="11"/>
      <c r="N1048" s="39"/>
      <c r="Q1048" s="15" t="str">
        <f>+CONCATENATE(E1047,I1047)</f>
        <v/>
      </c>
      <c r="R1048" s="15">
        <f>+J1047</f>
        <v>0</v>
      </c>
      <c r="S1048" s="16"/>
      <c r="T1048" s="15">
        <f>+E1047</f>
        <v>0</v>
      </c>
      <c r="U1048" s="26" t="str">
        <f>IFERROR(LEFT(I1047,FIND("*",I1047)-1),"-")</f>
        <v>-</v>
      </c>
      <c r="V1048" s="26" t="str">
        <f>IFERROR(RIGHT(I1047,LEN(I1047)-FIND("*",I1047)),"-")</f>
        <v>-</v>
      </c>
      <c r="W1048" s="27" t="str">
        <f t="shared" ref="W1048:W1055" si="568">IFERROR((U1048+V1048)*2/1000,"-")</f>
        <v>-</v>
      </c>
      <c r="X1048" s="27" t="str">
        <f>IFERROR(W1048*J1047,"-")</f>
        <v>-</v>
      </c>
      <c r="Z1048" s="94" t="s">
        <v>82</v>
      </c>
    </row>
    <row r="1049" spans="1:26" s="25" customFormat="1" ht="6.95" customHeight="1" x14ac:dyDescent="0.3">
      <c r="A1049" s="165"/>
      <c r="B1049" s="168"/>
      <c r="C1049" s="169"/>
      <c r="D1049" s="160"/>
      <c r="E1049" s="161"/>
      <c r="F1049" s="162"/>
      <c r="G1049" s="163"/>
      <c r="H1049" s="164"/>
      <c r="I1049" s="163"/>
      <c r="J1049" s="164"/>
      <c r="K1049" s="163"/>
      <c r="L1049" s="164"/>
      <c r="M1049" s="11"/>
      <c r="N1049" s="39"/>
      <c r="Q1049" s="15" t="str">
        <f>+CONCATENATE(E1047,K1047)</f>
        <v/>
      </c>
      <c r="R1049" s="15">
        <f>+L1047</f>
        <v>0</v>
      </c>
      <c r="S1049" s="16"/>
      <c r="T1049" s="15">
        <f>+E1047</f>
        <v>0</v>
      </c>
      <c r="U1049" s="26" t="str">
        <f>IFERROR(LEFT(K1047,FIND("*",K1047)-1),"-")</f>
        <v>-</v>
      </c>
      <c r="V1049" s="26" t="str">
        <f>IFERROR(RIGHT(K1047,LEN(K1047)-FIND("*",K1047)),"-")</f>
        <v>-</v>
      </c>
      <c r="W1049" s="27" t="str">
        <f t="shared" si="568"/>
        <v>-</v>
      </c>
      <c r="X1049" s="27" t="str">
        <f>IFERROR(W1049*L1047,"-")</f>
        <v>-</v>
      </c>
      <c r="Z1049" s="94" t="s">
        <v>82</v>
      </c>
    </row>
    <row r="1050" spans="1:26" s="25" customFormat="1" ht="6.95" customHeight="1" x14ac:dyDescent="0.3">
      <c r="A1050" s="13"/>
      <c r="B1050" s="168"/>
      <c r="C1050" s="169"/>
      <c r="D1050" s="160" t="s">
        <v>39</v>
      </c>
      <c r="E1050" s="161"/>
      <c r="F1050" s="162" t="s">
        <v>40</v>
      </c>
      <c r="G1050" s="163"/>
      <c r="H1050" s="164"/>
      <c r="I1050" s="163"/>
      <c r="J1050" s="164"/>
      <c r="K1050" s="163"/>
      <c r="L1050" s="164"/>
      <c r="M1050" s="11"/>
      <c r="N1050" s="39"/>
      <c r="Q1050" s="15" t="str">
        <f>+CONCATENATE(E1050,G1050)</f>
        <v/>
      </c>
      <c r="R1050" s="15">
        <f>+H1050</f>
        <v>0</v>
      </c>
      <c r="S1050" s="16"/>
      <c r="T1050" s="15">
        <f>+E1050</f>
        <v>0</v>
      </c>
      <c r="U1050" s="26" t="str">
        <f t="shared" ref="U1050" si="569">IFERROR(LEFT(G1050,FIND("*",G1050)-1),"-")</f>
        <v>-</v>
      </c>
      <c r="V1050" s="26" t="str">
        <f t="shared" ref="V1050" si="570">IFERROR(RIGHT(G1050,LEN(G1050)-FIND("*",G1050)),"-")</f>
        <v>-</v>
      </c>
      <c r="W1050" s="27" t="str">
        <f t="shared" si="568"/>
        <v>-</v>
      </c>
      <c r="X1050" s="27" t="str">
        <f>IFERROR(W1050*H1050,"-")</f>
        <v>-</v>
      </c>
      <c r="Z1050" s="94" t="s">
        <v>82</v>
      </c>
    </row>
    <row r="1051" spans="1:26" s="25" customFormat="1" ht="6.95" customHeight="1" x14ac:dyDescent="0.3">
      <c r="A1051" s="10"/>
      <c r="B1051" s="168"/>
      <c r="C1051" s="169"/>
      <c r="D1051" s="160"/>
      <c r="E1051" s="161"/>
      <c r="F1051" s="162"/>
      <c r="G1051" s="163"/>
      <c r="H1051" s="164"/>
      <c r="I1051" s="163"/>
      <c r="J1051" s="164"/>
      <c r="K1051" s="163"/>
      <c r="L1051" s="164"/>
      <c r="M1051" s="11"/>
      <c r="N1051" s="39"/>
      <c r="Q1051" s="15" t="str">
        <f>+CONCATENATE(E1050,I1050)</f>
        <v/>
      </c>
      <c r="R1051" s="15">
        <f>+J1050</f>
        <v>0</v>
      </c>
      <c r="S1051" s="16"/>
      <c r="T1051" s="15">
        <f>+E1050</f>
        <v>0</v>
      </c>
      <c r="U1051" s="26" t="str">
        <f>IFERROR(LEFT(I1050,FIND("*",I1050)-1),"-")</f>
        <v>-</v>
      </c>
      <c r="V1051" s="26" t="str">
        <f>IFERROR(RIGHT(I1050,LEN(I1050)-FIND("*",I1050)),"-")</f>
        <v>-</v>
      </c>
      <c r="W1051" s="27" t="str">
        <f t="shared" si="568"/>
        <v>-</v>
      </c>
      <c r="X1051" s="27" t="str">
        <f>IFERROR(W1051*J1050,"-")</f>
        <v>-</v>
      </c>
      <c r="Z1051" s="94" t="s">
        <v>82</v>
      </c>
    </row>
    <row r="1052" spans="1:26" s="25" customFormat="1" ht="6.95" customHeight="1" x14ac:dyDescent="0.3">
      <c r="A1052" s="10"/>
      <c r="B1052" s="168"/>
      <c r="C1052" s="169"/>
      <c r="D1052" s="160"/>
      <c r="E1052" s="161"/>
      <c r="F1052" s="162"/>
      <c r="G1052" s="163"/>
      <c r="H1052" s="164"/>
      <c r="I1052" s="163"/>
      <c r="J1052" s="164"/>
      <c r="K1052" s="163"/>
      <c r="L1052" s="164"/>
      <c r="M1052" s="11"/>
      <c r="N1052" s="39"/>
      <c r="Q1052" s="15" t="str">
        <f>+CONCATENATE(E1050,K1050)</f>
        <v/>
      </c>
      <c r="R1052" s="15">
        <f>+L1050</f>
        <v>0</v>
      </c>
      <c r="S1052" s="16"/>
      <c r="T1052" s="15">
        <f>+E1050</f>
        <v>0</v>
      </c>
      <c r="U1052" s="26" t="str">
        <f>IFERROR(LEFT(K1050,FIND("*",K1050)-1),"-")</f>
        <v>-</v>
      </c>
      <c r="V1052" s="26" t="str">
        <f>IFERROR(RIGHT(K1050,LEN(K1050)-FIND("*",K1050)),"-")</f>
        <v>-</v>
      </c>
      <c r="W1052" s="27" t="str">
        <f t="shared" si="568"/>
        <v>-</v>
      </c>
      <c r="X1052" s="27" t="str">
        <f>IFERROR(W1052*L1050,"-")</f>
        <v>-</v>
      </c>
      <c r="Z1052" s="94" t="s">
        <v>82</v>
      </c>
    </row>
    <row r="1053" spans="1:26" s="25" customFormat="1" ht="6.95" customHeight="1" x14ac:dyDescent="0.3">
      <c r="A1053" s="13"/>
      <c r="B1053" s="168"/>
      <c r="C1053" s="169"/>
      <c r="D1053" s="160" t="s">
        <v>39</v>
      </c>
      <c r="E1053" s="161"/>
      <c r="F1053" s="162" t="s">
        <v>40</v>
      </c>
      <c r="G1053" s="163"/>
      <c r="H1053" s="164"/>
      <c r="I1053" s="163"/>
      <c r="J1053" s="164"/>
      <c r="K1053" s="163"/>
      <c r="L1053" s="164"/>
      <c r="M1053" s="11"/>
      <c r="N1053" s="39"/>
      <c r="Q1053" s="15" t="str">
        <f>+CONCATENATE(E1053,G1053)</f>
        <v/>
      </c>
      <c r="R1053" s="15">
        <f>+H1053</f>
        <v>0</v>
      </c>
      <c r="S1053" s="16"/>
      <c r="T1053" s="15">
        <f>+E1053</f>
        <v>0</v>
      </c>
      <c r="U1053" s="26" t="str">
        <f t="shared" ref="U1053" si="571">IFERROR(LEFT(G1053,FIND("*",G1053)-1),"-")</f>
        <v>-</v>
      </c>
      <c r="V1053" s="26" t="str">
        <f t="shared" ref="V1053" si="572">IFERROR(RIGHT(G1053,LEN(G1053)-FIND("*",G1053)),"-")</f>
        <v>-</v>
      </c>
      <c r="W1053" s="27" t="str">
        <f t="shared" si="568"/>
        <v>-</v>
      </c>
      <c r="X1053" s="27" t="str">
        <f>IFERROR(W1053*H1053,"-")</f>
        <v>-</v>
      </c>
      <c r="Z1053" s="94" t="s">
        <v>82</v>
      </c>
    </row>
    <row r="1054" spans="1:26" s="25" customFormat="1" ht="6.95" customHeight="1" x14ac:dyDescent="0.3">
      <c r="A1054" s="10"/>
      <c r="B1054" s="168"/>
      <c r="C1054" s="169"/>
      <c r="D1054" s="160"/>
      <c r="E1054" s="161"/>
      <c r="F1054" s="162"/>
      <c r="G1054" s="163"/>
      <c r="H1054" s="164"/>
      <c r="I1054" s="163"/>
      <c r="J1054" s="164"/>
      <c r="K1054" s="163"/>
      <c r="L1054" s="164"/>
      <c r="M1054" s="11"/>
      <c r="N1054" s="39"/>
      <c r="Q1054" s="15" t="str">
        <f>+CONCATENATE(E1053,I1053)</f>
        <v/>
      </c>
      <c r="R1054" s="15">
        <f>+J1053</f>
        <v>0</v>
      </c>
      <c r="S1054" s="16"/>
      <c r="T1054" s="15">
        <f>+E1053</f>
        <v>0</v>
      </c>
      <c r="U1054" s="26" t="str">
        <f>IFERROR(LEFT(I1053,FIND("*",I1053)-1),"-")</f>
        <v>-</v>
      </c>
      <c r="V1054" s="26" t="str">
        <f>IFERROR(RIGHT(I1053,LEN(I1053)-FIND("*",I1053)),"-")</f>
        <v>-</v>
      </c>
      <c r="W1054" s="27" t="str">
        <f t="shared" si="568"/>
        <v>-</v>
      </c>
      <c r="X1054" s="27" t="str">
        <f t="shared" ref="X1054" si="573">IFERROR(W1054*J1053,"-")</f>
        <v>-</v>
      </c>
      <c r="Z1054" s="94" t="s">
        <v>82</v>
      </c>
    </row>
    <row r="1055" spans="1:26" s="25" customFormat="1" ht="6.95" customHeight="1" x14ac:dyDescent="0.3">
      <c r="A1055" s="10"/>
      <c r="B1055" s="168"/>
      <c r="C1055" s="169"/>
      <c r="D1055" s="160"/>
      <c r="E1055" s="161"/>
      <c r="F1055" s="162"/>
      <c r="G1055" s="163"/>
      <c r="H1055" s="164"/>
      <c r="I1055" s="163"/>
      <c r="J1055" s="164"/>
      <c r="K1055" s="163"/>
      <c r="L1055" s="164"/>
      <c r="M1055" s="11"/>
      <c r="N1055" s="39"/>
      <c r="Q1055" s="15" t="str">
        <f>+CONCATENATE(E1053,K1053)</f>
        <v/>
      </c>
      <c r="R1055" s="15">
        <f>+L1053</f>
        <v>0</v>
      </c>
      <c r="S1055" s="16"/>
      <c r="T1055" s="15">
        <f>+E1053</f>
        <v>0</v>
      </c>
      <c r="U1055" s="26" t="str">
        <f>IFERROR(LEFT(K1053,FIND("*",K1053)-1),"-")</f>
        <v>-</v>
      </c>
      <c r="V1055" s="26" t="str">
        <f>IFERROR(RIGHT(K1053,LEN(K1053)-FIND("*",K1053)),"-")</f>
        <v>-</v>
      </c>
      <c r="W1055" s="27" t="str">
        <f t="shared" si="568"/>
        <v>-</v>
      </c>
      <c r="X1055" s="27" t="str">
        <f>IFERROR(W1055*L1053,"-")</f>
        <v>-</v>
      </c>
      <c r="Z1055" s="94" t="s">
        <v>82</v>
      </c>
    </row>
    <row r="1056" spans="1:26" s="25" customFormat="1" ht="21" customHeight="1" thickBot="1" x14ac:dyDescent="0.35">
      <c r="A1056" s="10"/>
      <c r="B1056" s="170"/>
      <c r="C1056" s="171"/>
      <c r="D1056" s="172" t="s">
        <v>43</v>
      </c>
      <c r="E1056" s="173"/>
      <c r="F1056" s="173"/>
      <c r="G1056" s="174"/>
      <c r="H1056" s="174"/>
      <c r="I1056" s="174"/>
      <c r="J1056" s="174"/>
      <c r="K1056" s="174"/>
      <c r="L1056" s="174"/>
      <c r="M1056" s="12"/>
      <c r="N1056" s="39"/>
      <c r="U1056" s="23"/>
      <c r="V1056" s="23"/>
      <c r="Z1056" s="95" t="s">
        <v>81</v>
      </c>
    </row>
    <row r="1057" spans="1:26" s="25" customFormat="1" ht="9.9499999999999993" customHeight="1" thickBot="1" x14ac:dyDescent="0.35">
      <c r="A1057" s="6"/>
      <c r="B1057" s="14"/>
      <c r="C1057" s="119"/>
      <c r="D1057" s="58"/>
      <c r="E1057" s="17"/>
      <c r="F1057" s="58"/>
      <c r="G1057" s="19"/>
      <c r="H1057" s="19"/>
      <c r="I1057" s="19"/>
      <c r="J1057" s="19"/>
      <c r="K1057" s="19"/>
      <c r="L1057" s="19"/>
      <c r="M1057" s="14"/>
      <c r="N1057" s="39"/>
      <c r="Q1057" s="1"/>
      <c r="R1057" s="1"/>
      <c r="S1057" s="1"/>
      <c r="T1057" s="1"/>
      <c r="U1057" s="24"/>
      <c r="V1057" s="24"/>
      <c r="W1057" s="1"/>
      <c r="X1057" s="1"/>
      <c r="Z1057" s="94" t="s">
        <v>82</v>
      </c>
    </row>
    <row r="1058" spans="1:26" s="25" customFormat="1" ht="6.95" customHeight="1" x14ac:dyDescent="0.3">
      <c r="A1058" s="165">
        <f>+A1047+1</f>
        <v>97</v>
      </c>
      <c r="B1058" s="166"/>
      <c r="C1058" s="167"/>
      <c r="D1058" s="160" t="s">
        <v>39</v>
      </c>
      <c r="E1058" s="161"/>
      <c r="F1058" s="162" t="s">
        <v>40</v>
      </c>
      <c r="G1058" s="163"/>
      <c r="H1058" s="164"/>
      <c r="I1058" s="163"/>
      <c r="J1058" s="164"/>
      <c r="K1058" s="163"/>
      <c r="L1058" s="164"/>
      <c r="M1058" s="11"/>
      <c r="N1058" s="39"/>
      <c r="Q1058" s="15" t="str">
        <f>+CONCATENATE(E1058,G1058)</f>
        <v/>
      </c>
      <c r="R1058" s="15">
        <f>+H1058</f>
        <v>0</v>
      </c>
      <c r="S1058" s="16"/>
      <c r="T1058" s="15">
        <f>+E1058</f>
        <v>0</v>
      </c>
      <c r="U1058" s="26" t="str">
        <f>IFERROR(LEFT(G1058,FIND("*",G1058)-1),"-")</f>
        <v>-</v>
      </c>
      <c r="V1058" s="26" t="str">
        <f>IFERROR(RIGHT(G1058,LEN(G1058)-FIND("*",G1058)),"-")</f>
        <v>-</v>
      </c>
      <c r="W1058" s="27" t="str">
        <f>IFERROR((U1058+V1058)*2/1000,"-")</f>
        <v>-</v>
      </c>
      <c r="X1058" s="27" t="str">
        <f>IFERROR(W1058*H1058,"-")</f>
        <v>-</v>
      </c>
      <c r="Z1058" s="94" t="s">
        <v>82</v>
      </c>
    </row>
    <row r="1059" spans="1:26" s="25" customFormat="1" ht="6.95" customHeight="1" x14ac:dyDescent="0.3">
      <c r="A1059" s="165"/>
      <c r="B1059" s="168"/>
      <c r="C1059" s="169"/>
      <c r="D1059" s="160"/>
      <c r="E1059" s="161"/>
      <c r="F1059" s="162"/>
      <c r="G1059" s="163"/>
      <c r="H1059" s="164"/>
      <c r="I1059" s="163"/>
      <c r="J1059" s="164"/>
      <c r="K1059" s="163"/>
      <c r="L1059" s="164"/>
      <c r="M1059" s="11"/>
      <c r="N1059" s="39"/>
      <c r="Q1059" s="15" t="str">
        <f>+CONCATENATE(E1058,I1058)</f>
        <v/>
      </c>
      <c r="R1059" s="15">
        <f>+J1058</f>
        <v>0</v>
      </c>
      <c r="S1059" s="16"/>
      <c r="T1059" s="15">
        <f>+E1058</f>
        <v>0</v>
      </c>
      <c r="U1059" s="26" t="str">
        <f>IFERROR(LEFT(I1058,FIND("*",I1058)-1),"-")</f>
        <v>-</v>
      </c>
      <c r="V1059" s="26" t="str">
        <f>IFERROR(RIGHT(I1058,LEN(I1058)-FIND("*",I1058)),"-")</f>
        <v>-</v>
      </c>
      <c r="W1059" s="27" t="str">
        <f t="shared" ref="W1059:W1066" si="574">IFERROR((U1059+V1059)*2/1000,"-")</f>
        <v>-</v>
      </c>
      <c r="X1059" s="27" t="str">
        <f>IFERROR(W1059*J1058,"-")</f>
        <v>-</v>
      </c>
      <c r="Z1059" s="94" t="s">
        <v>82</v>
      </c>
    </row>
    <row r="1060" spans="1:26" s="25" customFormat="1" ht="6.95" customHeight="1" x14ac:dyDescent="0.3">
      <c r="A1060" s="165"/>
      <c r="B1060" s="168"/>
      <c r="C1060" s="169"/>
      <c r="D1060" s="160"/>
      <c r="E1060" s="161"/>
      <c r="F1060" s="162"/>
      <c r="G1060" s="163"/>
      <c r="H1060" s="164"/>
      <c r="I1060" s="163"/>
      <c r="J1060" s="164"/>
      <c r="K1060" s="163"/>
      <c r="L1060" s="164"/>
      <c r="M1060" s="11"/>
      <c r="N1060" s="39"/>
      <c r="Q1060" s="15" t="str">
        <f>+CONCATENATE(E1058,K1058)</f>
        <v/>
      </c>
      <c r="R1060" s="15">
        <f>+L1058</f>
        <v>0</v>
      </c>
      <c r="S1060" s="16"/>
      <c r="T1060" s="15">
        <f>+E1058</f>
        <v>0</v>
      </c>
      <c r="U1060" s="26" t="str">
        <f>IFERROR(LEFT(K1058,FIND("*",K1058)-1),"-")</f>
        <v>-</v>
      </c>
      <c r="V1060" s="26" t="str">
        <f>IFERROR(RIGHT(K1058,LEN(K1058)-FIND("*",K1058)),"-")</f>
        <v>-</v>
      </c>
      <c r="W1060" s="27" t="str">
        <f t="shared" si="574"/>
        <v>-</v>
      </c>
      <c r="X1060" s="27" t="str">
        <f>IFERROR(W1060*L1058,"-")</f>
        <v>-</v>
      </c>
      <c r="Z1060" s="94" t="s">
        <v>82</v>
      </c>
    </row>
    <row r="1061" spans="1:26" s="25" customFormat="1" ht="6.95" customHeight="1" x14ac:dyDescent="0.3">
      <c r="A1061" s="13"/>
      <c r="B1061" s="168"/>
      <c r="C1061" s="169"/>
      <c r="D1061" s="160" t="s">
        <v>39</v>
      </c>
      <c r="E1061" s="161"/>
      <c r="F1061" s="162" t="s">
        <v>40</v>
      </c>
      <c r="G1061" s="163"/>
      <c r="H1061" s="164"/>
      <c r="I1061" s="163"/>
      <c r="J1061" s="164"/>
      <c r="K1061" s="163"/>
      <c r="L1061" s="164"/>
      <c r="M1061" s="11"/>
      <c r="N1061" s="39"/>
      <c r="Q1061" s="15" t="str">
        <f>+CONCATENATE(E1061,G1061)</f>
        <v/>
      </c>
      <c r="R1061" s="15">
        <f>+H1061</f>
        <v>0</v>
      </c>
      <c r="S1061" s="16"/>
      <c r="T1061" s="15">
        <f>+E1061</f>
        <v>0</v>
      </c>
      <c r="U1061" s="26" t="str">
        <f t="shared" ref="U1061" si="575">IFERROR(LEFT(G1061,FIND("*",G1061)-1),"-")</f>
        <v>-</v>
      </c>
      <c r="V1061" s="26" t="str">
        <f t="shared" ref="V1061" si="576">IFERROR(RIGHT(G1061,LEN(G1061)-FIND("*",G1061)),"-")</f>
        <v>-</v>
      </c>
      <c r="W1061" s="27" t="str">
        <f t="shared" si="574"/>
        <v>-</v>
      </c>
      <c r="X1061" s="27" t="str">
        <f>IFERROR(W1061*H1061,"-")</f>
        <v>-</v>
      </c>
      <c r="Z1061" s="94" t="s">
        <v>82</v>
      </c>
    </row>
    <row r="1062" spans="1:26" s="25" customFormat="1" ht="6.95" customHeight="1" x14ac:dyDescent="0.3">
      <c r="A1062" s="10"/>
      <c r="B1062" s="168"/>
      <c r="C1062" s="169"/>
      <c r="D1062" s="160"/>
      <c r="E1062" s="161"/>
      <c r="F1062" s="162"/>
      <c r="G1062" s="163"/>
      <c r="H1062" s="164"/>
      <c r="I1062" s="163"/>
      <c r="J1062" s="164"/>
      <c r="K1062" s="163"/>
      <c r="L1062" s="164"/>
      <c r="M1062" s="11"/>
      <c r="N1062" s="39"/>
      <c r="Q1062" s="15" t="str">
        <f>+CONCATENATE(E1061,I1061)</f>
        <v/>
      </c>
      <c r="R1062" s="15">
        <f>+J1061</f>
        <v>0</v>
      </c>
      <c r="S1062" s="16"/>
      <c r="T1062" s="15">
        <f>+E1061</f>
        <v>0</v>
      </c>
      <c r="U1062" s="26" t="str">
        <f>IFERROR(LEFT(I1061,FIND("*",I1061)-1),"-")</f>
        <v>-</v>
      </c>
      <c r="V1062" s="26" t="str">
        <f>IFERROR(RIGHT(I1061,LEN(I1061)-FIND("*",I1061)),"-")</f>
        <v>-</v>
      </c>
      <c r="W1062" s="27" t="str">
        <f t="shared" si="574"/>
        <v>-</v>
      </c>
      <c r="X1062" s="27" t="str">
        <f>IFERROR(W1062*J1061,"-")</f>
        <v>-</v>
      </c>
      <c r="Z1062" s="94" t="s">
        <v>82</v>
      </c>
    </row>
    <row r="1063" spans="1:26" s="25" customFormat="1" ht="6.95" customHeight="1" x14ac:dyDescent="0.3">
      <c r="A1063" s="10"/>
      <c r="B1063" s="168"/>
      <c r="C1063" s="169"/>
      <c r="D1063" s="160"/>
      <c r="E1063" s="161"/>
      <c r="F1063" s="162"/>
      <c r="G1063" s="163"/>
      <c r="H1063" s="164"/>
      <c r="I1063" s="163"/>
      <c r="J1063" s="164"/>
      <c r="K1063" s="163"/>
      <c r="L1063" s="164"/>
      <c r="M1063" s="11"/>
      <c r="N1063" s="39"/>
      <c r="Q1063" s="15" t="str">
        <f>+CONCATENATE(E1061,K1061)</f>
        <v/>
      </c>
      <c r="R1063" s="15">
        <f>+L1061</f>
        <v>0</v>
      </c>
      <c r="S1063" s="16"/>
      <c r="T1063" s="15">
        <f>+E1061</f>
        <v>0</v>
      </c>
      <c r="U1063" s="26" t="str">
        <f>IFERROR(LEFT(K1061,FIND("*",K1061)-1),"-")</f>
        <v>-</v>
      </c>
      <c r="V1063" s="26" t="str">
        <f>IFERROR(RIGHT(K1061,LEN(K1061)-FIND("*",K1061)),"-")</f>
        <v>-</v>
      </c>
      <c r="W1063" s="27" t="str">
        <f t="shared" si="574"/>
        <v>-</v>
      </c>
      <c r="X1063" s="27" t="str">
        <f>IFERROR(W1063*L1061,"-")</f>
        <v>-</v>
      </c>
      <c r="Z1063" s="94" t="s">
        <v>82</v>
      </c>
    </row>
    <row r="1064" spans="1:26" s="25" customFormat="1" ht="6.95" customHeight="1" x14ac:dyDescent="0.3">
      <c r="A1064" s="13"/>
      <c r="B1064" s="168"/>
      <c r="C1064" s="169"/>
      <c r="D1064" s="160" t="s">
        <v>39</v>
      </c>
      <c r="E1064" s="161"/>
      <c r="F1064" s="162" t="s">
        <v>40</v>
      </c>
      <c r="G1064" s="163"/>
      <c r="H1064" s="164"/>
      <c r="I1064" s="163"/>
      <c r="J1064" s="164"/>
      <c r="K1064" s="163"/>
      <c r="L1064" s="164"/>
      <c r="M1064" s="11"/>
      <c r="N1064" s="39"/>
      <c r="Q1064" s="15" t="str">
        <f>+CONCATENATE(E1064,G1064)</f>
        <v/>
      </c>
      <c r="R1064" s="15">
        <f>+H1064</f>
        <v>0</v>
      </c>
      <c r="S1064" s="16"/>
      <c r="T1064" s="15">
        <f>+E1064</f>
        <v>0</v>
      </c>
      <c r="U1064" s="26" t="str">
        <f t="shared" ref="U1064" si="577">IFERROR(LEFT(G1064,FIND("*",G1064)-1),"-")</f>
        <v>-</v>
      </c>
      <c r="V1064" s="26" t="str">
        <f t="shared" ref="V1064" si="578">IFERROR(RIGHT(G1064,LEN(G1064)-FIND("*",G1064)),"-")</f>
        <v>-</v>
      </c>
      <c r="W1064" s="27" t="str">
        <f t="shared" si="574"/>
        <v>-</v>
      </c>
      <c r="X1064" s="27" t="str">
        <f>IFERROR(W1064*H1064,"-")</f>
        <v>-</v>
      </c>
      <c r="Z1064" s="94" t="s">
        <v>82</v>
      </c>
    </row>
    <row r="1065" spans="1:26" s="25" customFormat="1" ht="6.95" customHeight="1" x14ac:dyDescent="0.3">
      <c r="A1065" s="10"/>
      <c r="B1065" s="168"/>
      <c r="C1065" s="169"/>
      <c r="D1065" s="160"/>
      <c r="E1065" s="161"/>
      <c r="F1065" s="162"/>
      <c r="G1065" s="163"/>
      <c r="H1065" s="164"/>
      <c r="I1065" s="163"/>
      <c r="J1065" s="164"/>
      <c r="K1065" s="163"/>
      <c r="L1065" s="164"/>
      <c r="M1065" s="11"/>
      <c r="N1065" s="39"/>
      <c r="Q1065" s="15" t="str">
        <f>+CONCATENATE(E1064,I1064)</f>
        <v/>
      </c>
      <c r="R1065" s="15">
        <f>+J1064</f>
        <v>0</v>
      </c>
      <c r="S1065" s="16"/>
      <c r="T1065" s="15">
        <f>+E1064</f>
        <v>0</v>
      </c>
      <c r="U1065" s="26" t="str">
        <f>IFERROR(LEFT(I1064,FIND("*",I1064)-1),"-")</f>
        <v>-</v>
      </c>
      <c r="V1065" s="26" t="str">
        <f>IFERROR(RIGHT(I1064,LEN(I1064)-FIND("*",I1064)),"-")</f>
        <v>-</v>
      </c>
      <c r="W1065" s="27" t="str">
        <f t="shared" si="574"/>
        <v>-</v>
      </c>
      <c r="X1065" s="27" t="str">
        <f t="shared" ref="X1065" si="579">IFERROR(W1065*J1064,"-")</f>
        <v>-</v>
      </c>
      <c r="Z1065" s="94" t="s">
        <v>82</v>
      </c>
    </row>
    <row r="1066" spans="1:26" s="25" customFormat="1" ht="6.95" customHeight="1" x14ac:dyDescent="0.3">
      <c r="A1066" s="10"/>
      <c r="B1066" s="168"/>
      <c r="C1066" s="169"/>
      <c r="D1066" s="160"/>
      <c r="E1066" s="161"/>
      <c r="F1066" s="162"/>
      <c r="G1066" s="163"/>
      <c r="H1066" s="164"/>
      <c r="I1066" s="163"/>
      <c r="J1066" s="164"/>
      <c r="K1066" s="163"/>
      <c r="L1066" s="164"/>
      <c r="M1066" s="11"/>
      <c r="N1066" s="39"/>
      <c r="Q1066" s="15" t="str">
        <f>+CONCATENATE(E1064,K1064)</f>
        <v/>
      </c>
      <c r="R1066" s="15">
        <f>+L1064</f>
        <v>0</v>
      </c>
      <c r="S1066" s="16"/>
      <c r="T1066" s="15">
        <f>+E1064</f>
        <v>0</v>
      </c>
      <c r="U1066" s="26" t="str">
        <f>IFERROR(LEFT(K1064,FIND("*",K1064)-1),"-")</f>
        <v>-</v>
      </c>
      <c r="V1066" s="26" t="str">
        <f>IFERROR(RIGHT(K1064,LEN(K1064)-FIND("*",K1064)),"-")</f>
        <v>-</v>
      </c>
      <c r="W1066" s="27" t="str">
        <f t="shared" si="574"/>
        <v>-</v>
      </c>
      <c r="X1066" s="27" t="str">
        <f>IFERROR(W1066*L1064,"-")</f>
        <v>-</v>
      </c>
      <c r="Z1066" s="94" t="s">
        <v>82</v>
      </c>
    </row>
    <row r="1067" spans="1:26" s="25" customFormat="1" ht="21" customHeight="1" thickBot="1" x14ac:dyDescent="0.35">
      <c r="A1067" s="10"/>
      <c r="B1067" s="170"/>
      <c r="C1067" s="171"/>
      <c r="D1067" s="172" t="s">
        <v>43</v>
      </c>
      <c r="E1067" s="173"/>
      <c r="F1067" s="173"/>
      <c r="G1067" s="174"/>
      <c r="H1067" s="174"/>
      <c r="I1067" s="174"/>
      <c r="J1067" s="174"/>
      <c r="K1067" s="174"/>
      <c r="L1067" s="174"/>
      <c r="M1067" s="12"/>
      <c r="N1067" s="39"/>
      <c r="U1067" s="23"/>
      <c r="V1067" s="23"/>
      <c r="Z1067" s="95" t="s">
        <v>81</v>
      </c>
    </row>
    <row r="1068" spans="1:26" s="25" customFormat="1" ht="9.9499999999999993" customHeight="1" thickBot="1" x14ac:dyDescent="0.35">
      <c r="A1068" s="6"/>
      <c r="B1068" s="14"/>
      <c r="C1068" s="119"/>
      <c r="D1068" s="58"/>
      <c r="E1068" s="17"/>
      <c r="F1068" s="58"/>
      <c r="G1068" s="19"/>
      <c r="H1068" s="19"/>
      <c r="I1068" s="19"/>
      <c r="J1068" s="19"/>
      <c r="K1068" s="19"/>
      <c r="L1068" s="19"/>
      <c r="M1068" s="14"/>
      <c r="N1068" s="39"/>
      <c r="Q1068" s="1"/>
      <c r="R1068" s="1"/>
      <c r="S1068" s="1"/>
      <c r="T1068" s="1"/>
      <c r="U1068" s="24"/>
      <c r="V1068" s="24"/>
      <c r="W1068" s="1"/>
      <c r="X1068" s="1"/>
      <c r="Z1068" s="94" t="s">
        <v>82</v>
      </c>
    </row>
    <row r="1069" spans="1:26" s="25" customFormat="1" ht="6.95" customHeight="1" x14ac:dyDescent="0.3">
      <c r="A1069" s="165">
        <f>+A1058+1</f>
        <v>98</v>
      </c>
      <c r="B1069" s="166"/>
      <c r="C1069" s="167"/>
      <c r="D1069" s="160" t="s">
        <v>39</v>
      </c>
      <c r="E1069" s="161"/>
      <c r="F1069" s="162" t="s">
        <v>40</v>
      </c>
      <c r="G1069" s="163"/>
      <c r="H1069" s="164"/>
      <c r="I1069" s="163"/>
      <c r="J1069" s="164"/>
      <c r="K1069" s="163"/>
      <c r="L1069" s="164"/>
      <c r="M1069" s="11"/>
      <c r="N1069" s="39"/>
      <c r="Q1069" s="15" t="str">
        <f>+CONCATENATE(E1069,G1069)</f>
        <v/>
      </c>
      <c r="R1069" s="15">
        <f>+H1069</f>
        <v>0</v>
      </c>
      <c r="S1069" s="16"/>
      <c r="T1069" s="15">
        <f>+E1069</f>
        <v>0</v>
      </c>
      <c r="U1069" s="26" t="str">
        <f>IFERROR(LEFT(G1069,FIND("*",G1069)-1),"-")</f>
        <v>-</v>
      </c>
      <c r="V1069" s="26" t="str">
        <f>IFERROR(RIGHT(G1069,LEN(G1069)-FIND("*",G1069)),"-")</f>
        <v>-</v>
      </c>
      <c r="W1069" s="27" t="str">
        <f>IFERROR((U1069+V1069)*2/1000,"-")</f>
        <v>-</v>
      </c>
      <c r="X1069" s="27" t="str">
        <f>IFERROR(W1069*H1069,"-")</f>
        <v>-</v>
      </c>
      <c r="Z1069" s="94" t="s">
        <v>82</v>
      </c>
    </row>
    <row r="1070" spans="1:26" s="25" customFormat="1" ht="6.95" customHeight="1" x14ac:dyDescent="0.3">
      <c r="A1070" s="165"/>
      <c r="B1070" s="168"/>
      <c r="C1070" s="169"/>
      <c r="D1070" s="160"/>
      <c r="E1070" s="161"/>
      <c r="F1070" s="162"/>
      <c r="G1070" s="163"/>
      <c r="H1070" s="164"/>
      <c r="I1070" s="163"/>
      <c r="J1070" s="164"/>
      <c r="K1070" s="163"/>
      <c r="L1070" s="164"/>
      <c r="M1070" s="11"/>
      <c r="N1070" s="39"/>
      <c r="Q1070" s="15" t="str">
        <f>+CONCATENATE(E1069,I1069)</f>
        <v/>
      </c>
      <c r="R1070" s="15">
        <f>+J1069</f>
        <v>0</v>
      </c>
      <c r="S1070" s="16"/>
      <c r="T1070" s="15">
        <f>+E1069</f>
        <v>0</v>
      </c>
      <c r="U1070" s="26" t="str">
        <f>IFERROR(LEFT(I1069,FIND("*",I1069)-1),"-")</f>
        <v>-</v>
      </c>
      <c r="V1070" s="26" t="str">
        <f>IFERROR(RIGHT(I1069,LEN(I1069)-FIND("*",I1069)),"-")</f>
        <v>-</v>
      </c>
      <c r="W1070" s="27" t="str">
        <f t="shared" ref="W1070:W1077" si="580">IFERROR((U1070+V1070)*2/1000,"-")</f>
        <v>-</v>
      </c>
      <c r="X1070" s="27" t="str">
        <f>IFERROR(W1070*J1069,"-")</f>
        <v>-</v>
      </c>
      <c r="Z1070" s="94" t="s">
        <v>82</v>
      </c>
    </row>
    <row r="1071" spans="1:26" s="25" customFormat="1" ht="6.95" customHeight="1" x14ac:dyDescent="0.3">
      <c r="A1071" s="165"/>
      <c r="B1071" s="168"/>
      <c r="C1071" s="169"/>
      <c r="D1071" s="160"/>
      <c r="E1071" s="161"/>
      <c r="F1071" s="162"/>
      <c r="G1071" s="163"/>
      <c r="H1071" s="164"/>
      <c r="I1071" s="163"/>
      <c r="J1071" s="164"/>
      <c r="K1071" s="163"/>
      <c r="L1071" s="164"/>
      <c r="M1071" s="11"/>
      <c r="N1071" s="39"/>
      <c r="Q1071" s="15" t="str">
        <f>+CONCATENATE(E1069,K1069)</f>
        <v/>
      </c>
      <c r="R1071" s="15">
        <f>+L1069</f>
        <v>0</v>
      </c>
      <c r="S1071" s="16"/>
      <c r="T1071" s="15">
        <f>+E1069</f>
        <v>0</v>
      </c>
      <c r="U1071" s="26" t="str">
        <f>IFERROR(LEFT(K1069,FIND("*",K1069)-1),"-")</f>
        <v>-</v>
      </c>
      <c r="V1071" s="26" t="str">
        <f>IFERROR(RIGHT(K1069,LEN(K1069)-FIND("*",K1069)),"-")</f>
        <v>-</v>
      </c>
      <c r="W1071" s="27" t="str">
        <f t="shared" si="580"/>
        <v>-</v>
      </c>
      <c r="X1071" s="27" t="str">
        <f>IFERROR(W1071*L1069,"-")</f>
        <v>-</v>
      </c>
      <c r="Z1071" s="94" t="s">
        <v>82</v>
      </c>
    </row>
    <row r="1072" spans="1:26" s="25" customFormat="1" ht="6.95" customHeight="1" x14ac:dyDescent="0.3">
      <c r="A1072" s="13"/>
      <c r="B1072" s="168"/>
      <c r="C1072" s="169"/>
      <c r="D1072" s="160" t="s">
        <v>39</v>
      </c>
      <c r="E1072" s="161"/>
      <c r="F1072" s="162" t="s">
        <v>40</v>
      </c>
      <c r="G1072" s="163"/>
      <c r="H1072" s="164"/>
      <c r="I1072" s="163"/>
      <c r="J1072" s="164"/>
      <c r="K1072" s="163"/>
      <c r="L1072" s="164"/>
      <c r="M1072" s="11"/>
      <c r="N1072" s="39"/>
      <c r="Q1072" s="15" t="str">
        <f>+CONCATENATE(E1072,G1072)</f>
        <v/>
      </c>
      <c r="R1072" s="15">
        <f>+H1072</f>
        <v>0</v>
      </c>
      <c r="S1072" s="16"/>
      <c r="T1072" s="15">
        <f>+E1072</f>
        <v>0</v>
      </c>
      <c r="U1072" s="26" t="str">
        <f t="shared" ref="U1072" si="581">IFERROR(LEFT(G1072,FIND("*",G1072)-1),"-")</f>
        <v>-</v>
      </c>
      <c r="V1072" s="26" t="str">
        <f t="shared" ref="V1072" si="582">IFERROR(RIGHT(G1072,LEN(G1072)-FIND("*",G1072)),"-")</f>
        <v>-</v>
      </c>
      <c r="W1072" s="27" t="str">
        <f t="shared" si="580"/>
        <v>-</v>
      </c>
      <c r="X1072" s="27" t="str">
        <f>IFERROR(W1072*H1072,"-")</f>
        <v>-</v>
      </c>
      <c r="Z1072" s="94" t="s">
        <v>82</v>
      </c>
    </row>
    <row r="1073" spans="1:26" s="25" customFormat="1" ht="6.95" customHeight="1" x14ac:dyDescent="0.3">
      <c r="A1073" s="10"/>
      <c r="B1073" s="168"/>
      <c r="C1073" s="169"/>
      <c r="D1073" s="160"/>
      <c r="E1073" s="161"/>
      <c r="F1073" s="162"/>
      <c r="G1073" s="163"/>
      <c r="H1073" s="164"/>
      <c r="I1073" s="163"/>
      <c r="J1073" s="164"/>
      <c r="K1073" s="163"/>
      <c r="L1073" s="164"/>
      <c r="M1073" s="11"/>
      <c r="N1073" s="39"/>
      <c r="Q1073" s="15" t="str">
        <f>+CONCATENATE(E1072,I1072)</f>
        <v/>
      </c>
      <c r="R1073" s="15">
        <f>+J1072</f>
        <v>0</v>
      </c>
      <c r="S1073" s="16"/>
      <c r="T1073" s="15">
        <f>+E1072</f>
        <v>0</v>
      </c>
      <c r="U1073" s="26" t="str">
        <f>IFERROR(LEFT(I1072,FIND("*",I1072)-1),"-")</f>
        <v>-</v>
      </c>
      <c r="V1073" s="26" t="str">
        <f>IFERROR(RIGHT(I1072,LEN(I1072)-FIND("*",I1072)),"-")</f>
        <v>-</v>
      </c>
      <c r="W1073" s="27" t="str">
        <f t="shared" si="580"/>
        <v>-</v>
      </c>
      <c r="X1073" s="27" t="str">
        <f>IFERROR(W1073*J1072,"-")</f>
        <v>-</v>
      </c>
      <c r="Z1073" s="94" t="s">
        <v>82</v>
      </c>
    </row>
    <row r="1074" spans="1:26" s="25" customFormat="1" ht="6.95" customHeight="1" x14ac:dyDescent="0.3">
      <c r="A1074" s="10"/>
      <c r="B1074" s="168"/>
      <c r="C1074" s="169"/>
      <c r="D1074" s="160"/>
      <c r="E1074" s="161"/>
      <c r="F1074" s="162"/>
      <c r="G1074" s="163"/>
      <c r="H1074" s="164"/>
      <c r="I1074" s="163"/>
      <c r="J1074" s="164"/>
      <c r="K1074" s="163"/>
      <c r="L1074" s="164"/>
      <c r="M1074" s="11"/>
      <c r="N1074" s="39"/>
      <c r="Q1074" s="15" t="str">
        <f>+CONCATENATE(E1072,K1072)</f>
        <v/>
      </c>
      <c r="R1074" s="15">
        <f>+L1072</f>
        <v>0</v>
      </c>
      <c r="S1074" s="16"/>
      <c r="T1074" s="15">
        <f>+E1072</f>
        <v>0</v>
      </c>
      <c r="U1074" s="26" t="str">
        <f>IFERROR(LEFT(K1072,FIND("*",K1072)-1),"-")</f>
        <v>-</v>
      </c>
      <c r="V1074" s="26" t="str">
        <f>IFERROR(RIGHT(K1072,LEN(K1072)-FIND("*",K1072)),"-")</f>
        <v>-</v>
      </c>
      <c r="W1074" s="27" t="str">
        <f t="shared" si="580"/>
        <v>-</v>
      </c>
      <c r="X1074" s="27" t="str">
        <f>IFERROR(W1074*L1072,"-")</f>
        <v>-</v>
      </c>
      <c r="Z1074" s="94" t="s">
        <v>82</v>
      </c>
    </row>
    <row r="1075" spans="1:26" s="25" customFormat="1" ht="6.95" customHeight="1" x14ac:dyDescent="0.3">
      <c r="A1075" s="13"/>
      <c r="B1075" s="168"/>
      <c r="C1075" s="169"/>
      <c r="D1075" s="160" t="s">
        <v>39</v>
      </c>
      <c r="E1075" s="161"/>
      <c r="F1075" s="162" t="s">
        <v>40</v>
      </c>
      <c r="G1075" s="163"/>
      <c r="H1075" s="164"/>
      <c r="I1075" s="163"/>
      <c r="J1075" s="164"/>
      <c r="K1075" s="163"/>
      <c r="L1075" s="164"/>
      <c r="M1075" s="11"/>
      <c r="N1075" s="39"/>
      <c r="Q1075" s="15" t="str">
        <f>+CONCATENATE(E1075,G1075)</f>
        <v/>
      </c>
      <c r="R1075" s="15">
        <f>+H1075</f>
        <v>0</v>
      </c>
      <c r="S1075" s="16"/>
      <c r="T1075" s="15">
        <f>+E1075</f>
        <v>0</v>
      </c>
      <c r="U1075" s="26" t="str">
        <f t="shared" ref="U1075" si="583">IFERROR(LEFT(G1075,FIND("*",G1075)-1),"-")</f>
        <v>-</v>
      </c>
      <c r="V1075" s="26" t="str">
        <f t="shared" ref="V1075" si="584">IFERROR(RIGHT(G1075,LEN(G1075)-FIND("*",G1075)),"-")</f>
        <v>-</v>
      </c>
      <c r="W1075" s="27" t="str">
        <f t="shared" si="580"/>
        <v>-</v>
      </c>
      <c r="X1075" s="27" t="str">
        <f>IFERROR(W1075*H1075,"-")</f>
        <v>-</v>
      </c>
      <c r="Z1075" s="94" t="s">
        <v>82</v>
      </c>
    </row>
    <row r="1076" spans="1:26" s="25" customFormat="1" ht="6.95" customHeight="1" x14ac:dyDescent="0.3">
      <c r="A1076" s="10"/>
      <c r="B1076" s="168"/>
      <c r="C1076" s="169"/>
      <c r="D1076" s="160"/>
      <c r="E1076" s="161"/>
      <c r="F1076" s="162"/>
      <c r="G1076" s="163"/>
      <c r="H1076" s="164"/>
      <c r="I1076" s="163"/>
      <c r="J1076" s="164"/>
      <c r="K1076" s="163"/>
      <c r="L1076" s="164"/>
      <c r="M1076" s="11"/>
      <c r="N1076" s="39"/>
      <c r="Q1076" s="15" t="str">
        <f>+CONCATENATE(E1075,I1075)</f>
        <v/>
      </c>
      <c r="R1076" s="15">
        <f>+J1075</f>
        <v>0</v>
      </c>
      <c r="S1076" s="16"/>
      <c r="T1076" s="15">
        <f>+E1075</f>
        <v>0</v>
      </c>
      <c r="U1076" s="26" t="str">
        <f>IFERROR(LEFT(I1075,FIND("*",I1075)-1),"-")</f>
        <v>-</v>
      </c>
      <c r="V1076" s="26" t="str">
        <f>IFERROR(RIGHT(I1075,LEN(I1075)-FIND("*",I1075)),"-")</f>
        <v>-</v>
      </c>
      <c r="W1076" s="27" t="str">
        <f t="shared" si="580"/>
        <v>-</v>
      </c>
      <c r="X1076" s="27" t="str">
        <f t="shared" ref="X1076" si="585">IFERROR(W1076*J1075,"-")</f>
        <v>-</v>
      </c>
      <c r="Z1076" s="94" t="s">
        <v>82</v>
      </c>
    </row>
    <row r="1077" spans="1:26" s="25" customFormat="1" ht="6.95" customHeight="1" x14ac:dyDescent="0.3">
      <c r="A1077" s="10"/>
      <c r="B1077" s="168"/>
      <c r="C1077" s="169"/>
      <c r="D1077" s="160"/>
      <c r="E1077" s="161"/>
      <c r="F1077" s="162"/>
      <c r="G1077" s="163"/>
      <c r="H1077" s="164"/>
      <c r="I1077" s="163"/>
      <c r="J1077" s="164"/>
      <c r="K1077" s="163"/>
      <c r="L1077" s="164"/>
      <c r="M1077" s="11"/>
      <c r="N1077" s="39"/>
      <c r="Q1077" s="15" t="str">
        <f>+CONCATENATE(E1075,K1075)</f>
        <v/>
      </c>
      <c r="R1077" s="15">
        <f>+L1075</f>
        <v>0</v>
      </c>
      <c r="S1077" s="16"/>
      <c r="T1077" s="15">
        <f>+E1075</f>
        <v>0</v>
      </c>
      <c r="U1077" s="26" t="str">
        <f>IFERROR(LEFT(K1075,FIND("*",K1075)-1),"-")</f>
        <v>-</v>
      </c>
      <c r="V1077" s="26" t="str">
        <f>IFERROR(RIGHT(K1075,LEN(K1075)-FIND("*",K1075)),"-")</f>
        <v>-</v>
      </c>
      <c r="W1077" s="27" t="str">
        <f t="shared" si="580"/>
        <v>-</v>
      </c>
      <c r="X1077" s="27" t="str">
        <f>IFERROR(W1077*L1075,"-")</f>
        <v>-</v>
      </c>
      <c r="Z1077" s="94" t="s">
        <v>82</v>
      </c>
    </row>
    <row r="1078" spans="1:26" s="25" customFormat="1" ht="21" customHeight="1" thickBot="1" x14ac:dyDescent="0.35">
      <c r="A1078" s="10"/>
      <c r="B1078" s="170"/>
      <c r="C1078" s="171"/>
      <c r="D1078" s="172" t="s">
        <v>43</v>
      </c>
      <c r="E1078" s="173"/>
      <c r="F1078" s="173"/>
      <c r="G1078" s="174"/>
      <c r="H1078" s="174"/>
      <c r="I1078" s="174"/>
      <c r="J1078" s="174"/>
      <c r="K1078" s="174"/>
      <c r="L1078" s="174"/>
      <c r="M1078" s="12"/>
      <c r="N1078" s="39"/>
      <c r="U1078" s="23"/>
      <c r="V1078" s="23"/>
      <c r="Z1078" s="95" t="s">
        <v>81</v>
      </c>
    </row>
    <row r="1079" spans="1:26" s="25" customFormat="1" ht="9.9499999999999993" customHeight="1" thickBot="1" x14ac:dyDescent="0.35">
      <c r="A1079" s="6"/>
      <c r="B1079" s="14"/>
      <c r="C1079" s="119"/>
      <c r="D1079" s="58"/>
      <c r="E1079" s="17"/>
      <c r="F1079" s="58"/>
      <c r="G1079" s="19"/>
      <c r="H1079" s="19"/>
      <c r="I1079" s="19"/>
      <c r="J1079" s="19"/>
      <c r="K1079" s="19"/>
      <c r="L1079" s="19"/>
      <c r="M1079" s="14"/>
      <c r="N1079" s="39"/>
      <c r="Q1079" s="1"/>
      <c r="R1079" s="1"/>
      <c r="S1079" s="1"/>
      <c r="T1079" s="1"/>
      <c r="U1079" s="24"/>
      <c r="V1079" s="24"/>
      <c r="W1079" s="1"/>
      <c r="X1079" s="1"/>
      <c r="Z1079" s="94" t="s">
        <v>82</v>
      </c>
    </row>
    <row r="1080" spans="1:26" s="25" customFormat="1" ht="6.95" customHeight="1" x14ac:dyDescent="0.3">
      <c r="A1080" s="165">
        <f>+A1069+1</f>
        <v>99</v>
      </c>
      <c r="B1080" s="166"/>
      <c r="C1080" s="167"/>
      <c r="D1080" s="160" t="s">
        <v>39</v>
      </c>
      <c r="E1080" s="161"/>
      <c r="F1080" s="162" t="s">
        <v>40</v>
      </c>
      <c r="G1080" s="163"/>
      <c r="H1080" s="164"/>
      <c r="I1080" s="163"/>
      <c r="J1080" s="164"/>
      <c r="K1080" s="163"/>
      <c r="L1080" s="164"/>
      <c r="M1080" s="11"/>
      <c r="N1080" s="39"/>
      <c r="Q1080" s="15" t="str">
        <f>+CONCATENATE(E1080,G1080)</f>
        <v/>
      </c>
      <c r="R1080" s="15">
        <f>+H1080</f>
        <v>0</v>
      </c>
      <c r="S1080" s="16"/>
      <c r="T1080" s="15">
        <f>+E1080</f>
        <v>0</v>
      </c>
      <c r="U1080" s="26" t="str">
        <f>IFERROR(LEFT(G1080,FIND("*",G1080)-1),"-")</f>
        <v>-</v>
      </c>
      <c r="V1080" s="26" t="str">
        <f>IFERROR(RIGHT(G1080,LEN(G1080)-FIND("*",G1080)),"-")</f>
        <v>-</v>
      </c>
      <c r="W1080" s="27" t="str">
        <f>IFERROR((U1080+V1080)*2/1000,"-")</f>
        <v>-</v>
      </c>
      <c r="X1080" s="27" t="str">
        <f>IFERROR(W1080*H1080,"-")</f>
        <v>-</v>
      </c>
      <c r="Z1080" s="94" t="s">
        <v>82</v>
      </c>
    </row>
    <row r="1081" spans="1:26" s="25" customFormat="1" ht="6.95" customHeight="1" x14ac:dyDescent="0.3">
      <c r="A1081" s="165"/>
      <c r="B1081" s="168"/>
      <c r="C1081" s="169"/>
      <c r="D1081" s="160"/>
      <c r="E1081" s="161"/>
      <c r="F1081" s="162"/>
      <c r="G1081" s="163"/>
      <c r="H1081" s="164"/>
      <c r="I1081" s="163"/>
      <c r="J1081" s="164"/>
      <c r="K1081" s="163"/>
      <c r="L1081" s="164"/>
      <c r="M1081" s="11"/>
      <c r="N1081" s="39"/>
      <c r="Q1081" s="15" t="str">
        <f>+CONCATENATE(E1080,I1080)</f>
        <v/>
      </c>
      <c r="R1081" s="15">
        <f>+J1080</f>
        <v>0</v>
      </c>
      <c r="S1081" s="16"/>
      <c r="T1081" s="15">
        <f>+E1080</f>
        <v>0</v>
      </c>
      <c r="U1081" s="26" t="str">
        <f>IFERROR(LEFT(I1080,FIND("*",I1080)-1),"-")</f>
        <v>-</v>
      </c>
      <c r="V1081" s="26" t="str">
        <f>IFERROR(RIGHT(I1080,LEN(I1080)-FIND("*",I1080)),"-")</f>
        <v>-</v>
      </c>
      <c r="W1081" s="27" t="str">
        <f t="shared" ref="W1081:W1088" si="586">IFERROR((U1081+V1081)*2/1000,"-")</f>
        <v>-</v>
      </c>
      <c r="X1081" s="27" t="str">
        <f>IFERROR(W1081*J1080,"-")</f>
        <v>-</v>
      </c>
      <c r="Z1081" s="94" t="s">
        <v>82</v>
      </c>
    </row>
    <row r="1082" spans="1:26" s="25" customFormat="1" ht="6.95" customHeight="1" x14ac:dyDescent="0.3">
      <c r="A1082" s="165"/>
      <c r="B1082" s="168"/>
      <c r="C1082" s="169"/>
      <c r="D1082" s="160"/>
      <c r="E1082" s="161"/>
      <c r="F1082" s="162"/>
      <c r="G1082" s="163"/>
      <c r="H1082" s="164"/>
      <c r="I1082" s="163"/>
      <c r="J1082" s="164"/>
      <c r="K1082" s="163"/>
      <c r="L1082" s="164"/>
      <c r="M1082" s="11"/>
      <c r="N1082" s="39"/>
      <c r="Q1082" s="15" t="str">
        <f>+CONCATENATE(E1080,K1080)</f>
        <v/>
      </c>
      <c r="R1082" s="15">
        <f>+L1080</f>
        <v>0</v>
      </c>
      <c r="S1082" s="16"/>
      <c r="T1082" s="15">
        <f>+E1080</f>
        <v>0</v>
      </c>
      <c r="U1082" s="26" t="str">
        <f>IFERROR(LEFT(K1080,FIND("*",K1080)-1),"-")</f>
        <v>-</v>
      </c>
      <c r="V1082" s="26" t="str">
        <f>IFERROR(RIGHT(K1080,LEN(K1080)-FIND("*",K1080)),"-")</f>
        <v>-</v>
      </c>
      <c r="W1082" s="27" t="str">
        <f t="shared" si="586"/>
        <v>-</v>
      </c>
      <c r="X1082" s="27" t="str">
        <f>IFERROR(W1082*L1080,"-")</f>
        <v>-</v>
      </c>
      <c r="Z1082" s="94" t="s">
        <v>82</v>
      </c>
    </row>
    <row r="1083" spans="1:26" s="25" customFormat="1" ht="6.95" customHeight="1" x14ac:dyDescent="0.3">
      <c r="A1083" s="13"/>
      <c r="B1083" s="168"/>
      <c r="C1083" s="169"/>
      <c r="D1083" s="160" t="s">
        <v>39</v>
      </c>
      <c r="E1083" s="161"/>
      <c r="F1083" s="162" t="s">
        <v>40</v>
      </c>
      <c r="G1083" s="163"/>
      <c r="H1083" s="164"/>
      <c r="I1083" s="163"/>
      <c r="J1083" s="164"/>
      <c r="K1083" s="163"/>
      <c r="L1083" s="164"/>
      <c r="M1083" s="11"/>
      <c r="N1083" s="39"/>
      <c r="Q1083" s="15" t="str">
        <f>+CONCATENATE(E1083,G1083)</f>
        <v/>
      </c>
      <c r="R1083" s="15">
        <f>+H1083</f>
        <v>0</v>
      </c>
      <c r="S1083" s="16"/>
      <c r="T1083" s="15">
        <f>+E1083</f>
        <v>0</v>
      </c>
      <c r="U1083" s="26" t="str">
        <f t="shared" ref="U1083" si="587">IFERROR(LEFT(G1083,FIND("*",G1083)-1),"-")</f>
        <v>-</v>
      </c>
      <c r="V1083" s="26" t="str">
        <f t="shared" ref="V1083" si="588">IFERROR(RIGHT(G1083,LEN(G1083)-FIND("*",G1083)),"-")</f>
        <v>-</v>
      </c>
      <c r="W1083" s="27" t="str">
        <f t="shared" si="586"/>
        <v>-</v>
      </c>
      <c r="X1083" s="27" t="str">
        <f>IFERROR(W1083*H1083,"-")</f>
        <v>-</v>
      </c>
      <c r="Z1083" s="94" t="s">
        <v>82</v>
      </c>
    </row>
    <row r="1084" spans="1:26" s="25" customFormat="1" ht="6.95" customHeight="1" x14ac:dyDescent="0.3">
      <c r="A1084" s="10"/>
      <c r="B1084" s="168"/>
      <c r="C1084" s="169"/>
      <c r="D1084" s="160"/>
      <c r="E1084" s="161"/>
      <c r="F1084" s="162"/>
      <c r="G1084" s="163"/>
      <c r="H1084" s="164"/>
      <c r="I1084" s="163"/>
      <c r="J1084" s="164"/>
      <c r="K1084" s="163"/>
      <c r="L1084" s="164"/>
      <c r="M1084" s="11"/>
      <c r="N1084" s="39"/>
      <c r="Q1084" s="15" t="str">
        <f>+CONCATENATE(E1083,I1083)</f>
        <v/>
      </c>
      <c r="R1084" s="15">
        <f>+J1083</f>
        <v>0</v>
      </c>
      <c r="S1084" s="16"/>
      <c r="T1084" s="15">
        <f>+E1083</f>
        <v>0</v>
      </c>
      <c r="U1084" s="26" t="str">
        <f>IFERROR(LEFT(I1083,FIND("*",I1083)-1),"-")</f>
        <v>-</v>
      </c>
      <c r="V1084" s="26" t="str">
        <f>IFERROR(RIGHT(I1083,LEN(I1083)-FIND("*",I1083)),"-")</f>
        <v>-</v>
      </c>
      <c r="W1084" s="27" t="str">
        <f t="shared" si="586"/>
        <v>-</v>
      </c>
      <c r="X1084" s="27" t="str">
        <f>IFERROR(W1084*J1083,"-")</f>
        <v>-</v>
      </c>
      <c r="Z1084" s="94" t="s">
        <v>82</v>
      </c>
    </row>
    <row r="1085" spans="1:26" s="25" customFormat="1" ht="6.95" customHeight="1" x14ac:dyDescent="0.3">
      <c r="A1085" s="10"/>
      <c r="B1085" s="168"/>
      <c r="C1085" s="169"/>
      <c r="D1085" s="160"/>
      <c r="E1085" s="161"/>
      <c r="F1085" s="162"/>
      <c r="G1085" s="163"/>
      <c r="H1085" s="164"/>
      <c r="I1085" s="163"/>
      <c r="J1085" s="164"/>
      <c r="K1085" s="163"/>
      <c r="L1085" s="164"/>
      <c r="M1085" s="11"/>
      <c r="N1085" s="39"/>
      <c r="Q1085" s="15" t="str">
        <f>+CONCATENATE(E1083,K1083)</f>
        <v/>
      </c>
      <c r="R1085" s="15">
        <f>+L1083</f>
        <v>0</v>
      </c>
      <c r="S1085" s="16"/>
      <c r="T1085" s="15">
        <f>+E1083</f>
        <v>0</v>
      </c>
      <c r="U1085" s="26" t="str">
        <f>IFERROR(LEFT(K1083,FIND("*",K1083)-1),"-")</f>
        <v>-</v>
      </c>
      <c r="V1085" s="26" t="str">
        <f>IFERROR(RIGHT(K1083,LEN(K1083)-FIND("*",K1083)),"-")</f>
        <v>-</v>
      </c>
      <c r="W1085" s="27" t="str">
        <f t="shared" si="586"/>
        <v>-</v>
      </c>
      <c r="X1085" s="27" t="str">
        <f>IFERROR(W1085*L1083,"-")</f>
        <v>-</v>
      </c>
      <c r="Z1085" s="94" t="s">
        <v>82</v>
      </c>
    </row>
    <row r="1086" spans="1:26" s="25" customFormat="1" ht="6.95" customHeight="1" x14ac:dyDescent="0.3">
      <c r="A1086" s="13"/>
      <c r="B1086" s="168"/>
      <c r="C1086" s="169"/>
      <c r="D1086" s="160" t="s">
        <v>39</v>
      </c>
      <c r="E1086" s="161"/>
      <c r="F1086" s="162" t="s">
        <v>40</v>
      </c>
      <c r="G1086" s="163"/>
      <c r="H1086" s="164"/>
      <c r="I1086" s="163"/>
      <c r="J1086" s="164"/>
      <c r="K1086" s="163"/>
      <c r="L1086" s="164"/>
      <c r="M1086" s="11"/>
      <c r="N1086" s="39"/>
      <c r="Q1086" s="15" t="str">
        <f>+CONCATENATE(E1086,G1086)</f>
        <v/>
      </c>
      <c r="R1086" s="15">
        <f>+H1086</f>
        <v>0</v>
      </c>
      <c r="S1086" s="16"/>
      <c r="T1086" s="15">
        <f>+E1086</f>
        <v>0</v>
      </c>
      <c r="U1086" s="26" t="str">
        <f t="shared" ref="U1086" si="589">IFERROR(LEFT(G1086,FIND("*",G1086)-1),"-")</f>
        <v>-</v>
      </c>
      <c r="V1086" s="26" t="str">
        <f t="shared" ref="V1086" si="590">IFERROR(RIGHT(G1086,LEN(G1086)-FIND("*",G1086)),"-")</f>
        <v>-</v>
      </c>
      <c r="W1086" s="27" t="str">
        <f t="shared" si="586"/>
        <v>-</v>
      </c>
      <c r="X1086" s="27" t="str">
        <f>IFERROR(W1086*H1086,"-")</f>
        <v>-</v>
      </c>
      <c r="Z1086" s="94" t="s">
        <v>82</v>
      </c>
    </row>
    <row r="1087" spans="1:26" s="25" customFormat="1" ht="6.95" customHeight="1" x14ac:dyDescent="0.3">
      <c r="A1087" s="10"/>
      <c r="B1087" s="168"/>
      <c r="C1087" s="169"/>
      <c r="D1087" s="160"/>
      <c r="E1087" s="161"/>
      <c r="F1087" s="162"/>
      <c r="G1087" s="163"/>
      <c r="H1087" s="164"/>
      <c r="I1087" s="163"/>
      <c r="J1087" s="164"/>
      <c r="K1087" s="163"/>
      <c r="L1087" s="164"/>
      <c r="M1087" s="11"/>
      <c r="N1087" s="39"/>
      <c r="Q1087" s="15" t="str">
        <f>+CONCATENATE(E1086,I1086)</f>
        <v/>
      </c>
      <c r="R1087" s="15">
        <f>+J1086</f>
        <v>0</v>
      </c>
      <c r="S1087" s="16"/>
      <c r="T1087" s="15">
        <f>+E1086</f>
        <v>0</v>
      </c>
      <c r="U1087" s="26" t="str">
        <f>IFERROR(LEFT(I1086,FIND("*",I1086)-1),"-")</f>
        <v>-</v>
      </c>
      <c r="V1087" s="26" t="str">
        <f>IFERROR(RIGHT(I1086,LEN(I1086)-FIND("*",I1086)),"-")</f>
        <v>-</v>
      </c>
      <c r="W1087" s="27" t="str">
        <f t="shared" si="586"/>
        <v>-</v>
      </c>
      <c r="X1087" s="27" t="str">
        <f t="shared" ref="X1087" si="591">IFERROR(W1087*J1086,"-")</f>
        <v>-</v>
      </c>
      <c r="Z1087" s="94" t="s">
        <v>82</v>
      </c>
    </row>
    <row r="1088" spans="1:26" s="25" customFormat="1" ht="6.95" customHeight="1" x14ac:dyDescent="0.3">
      <c r="A1088" s="10"/>
      <c r="B1088" s="168"/>
      <c r="C1088" s="169"/>
      <c r="D1088" s="160"/>
      <c r="E1088" s="161"/>
      <c r="F1088" s="162"/>
      <c r="G1088" s="163"/>
      <c r="H1088" s="164"/>
      <c r="I1088" s="163"/>
      <c r="J1088" s="164"/>
      <c r="K1088" s="163"/>
      <c r="L1088" s="164"/>
      <c r="M1088" s="11"/>
      <c r="N1088" s="39"/>
      <c r="Q1088" s="15" t="str">
        <f>+CONCATENATE(E1086,K1086)</f>
        <v/>
      </c>
      <c r="R1088" s="15">
        <f>+L1086</f>
        <v>0</v>
      </c>
      <c r="S1088" s="16"/>
      <c r="T1088" s="15">
        <f>+E1086</f>
        <v>0</v>
      </c>
      <c r="U1088" s="26" t="str">
        <f>IFERROR(LEFT(K1086,FIND("*",K1086)-1),"-")</f>
        <v>-</v>
      </c>
      <c r="V1088" s="26" t="str">
        <f>IFERROR(RIGHT(K1086,LEN(K1086)-FIND("*",K1086)),"-")</f>
        <v>-</v>
      </c>
      <c r="W1088" s="27" t="str">
        <f t="shared" si="586"/>
        <v>-</v>
      </c>
      <c r="X1088" s="27" t="str">
        <f>IFERROR(W1088*L1086,"-")</f>
        <v>-</v>
      </c>
      <c r="Z1088" s="94" t="s">
        <v>82</v>
      </c>
    </row>
    <row r="1089" spans="1:26" s="25" customFormat="1" ht="21" customHeight="1" thickBot="1" x14ac:dyDescent="0.35">
      <c r="A1089" s="10"/>
      <c r="B1089" s="170"/>
      <c r="C1089" s="171"/>
      <c r="D1089" s="172" t="s">
        <v>43</v>
      </c>
      <c r="E1089" s="173"/>
      <c r="F1089" s="173"/>
      <c r="G1089" s="174"/>
      <c r="H1089" s="174"/>
      <c r="I1089" s="174"/>
      <c r="J1089" s="174"/>
      <c r="K1089" s="174"/>
      <c r="L1089" s="174"/>
      <c r="M1089" s="12"/>
      <c r="N1089" s="39"/>
      <c r="U1089" s="23"/>
      <c r="V1089" s="23"/>
      <c r="Z1089" s="95" t="s">
        <v>81</v>
      </c>
    </row>
    <row r="1090" spans="1:26" s="25" customFormat="1" ht="9.9499999999999993" customHeight="1" thickBot="1" x14ac:dyDescent="0.35">
      <c r="A1090" s="6"/>
      <c r="B1090" s="14"/>
      <c r="C1090" s="119"/>
      <c r="D1090" s="58"/>
      <c r="E1090" s="17"/>
      <c r="F1090" s="58"/>
      <c r="G1090" s="19"/>
      <c r="H1090" s="19"/>
      <c r="I1090" s="19"/>
      <c r="J1090" s="19"/>
      <c r="K1090" s="19"/>
      <c r="L1090" s="19"/>
      <c r="M1090" s="14"/>
      <c r="N1090" s="39"/>
      <c r="Q1090" s="1"/>
      <c r="R1090" s="1"/>
      <c r="S1090" s="1"/>
      <c r="T1090" s="1"/>
      <c r="U1090" s="24"/>
      <c r="V1090" s="24"/>
      <c r="W1090" s="1"/>
      <c r="X1090" s="1"/>
      <c r="Z1090" s="94" t="s">
        <v>82</v>
      </c>
    </row>
    <row r="1091" spans="1:26" s="25" customFormat="1" ht="6.95" customHeight="1" x14ac:dyDescent="0.3">
      <c r="A1091" s="165">
        <f>+A1080+1</f>
        <v>100</v>
      </c>
      <c r="B1091" s="166"/>
      <c r="C1091" s="167"/>
      <c r="D1091" s="160" t="s">
        <v>39</v>
      </c>
      <c r="E1091" s="161"/>
      <c r="F1091" s="162" t="s">
        <v>40</v>
      </c>
      <c r="G1091" s="163"/>
      <c r="H1091" s="164"/>
      <c r="I1091" s="163"/>
      <c r="J1091" s="164"/>
      <c r="K1091" s="163"/>
      <c r="L1091" s="164"/>
      <c r="M1091" s="11"/>
      <c r="N1091" s="39"/>
      <c r="Q1091" s="15" t="str">
        <f>+CONCATENATE(E1091,G1091)</f>
        <v/>
      </c>
      <c r="R1091" s="15">
        <f>+H1091</f>
        <v>0</v>
      </c>
      <c r="S1091" s="16"/>
      <c r="T1091" s="15">
        <f>+E1091</f>
        <v>0</v>
      </c>
      <c r="U1091" s="26" t="str">
        <f>IFERROR(LEFT(G1091,FIND("*",G1091)-1),"-")</f>
        <v>-</v>
      </c>
      <c r="V1091" s="26" t="str">
        <f>IFERROR(RIGHT(G1091,LEN(G1091)-FIND("*",G1091)),"-")</f>
        <v>-</v>
      </c>
      <c r="W1091" s="27" t="str">
        <f>IFERROR((U1091+V1091)*2/1000,"-")</f>
        <v>-</v>
      </c>
      <c r="X1091" s="27" t="str">
        <f>IFERROR(W1091*H1091,"-")</f>
        <v>-</v>
      </c>
      <c r="Z1091" s="94" t="s">
        <v>82</v>
      </c>
    </row>
    <row r="1092" spans="1:26" s="25" customFormat="1" ht="6.95" customHeight="1" x14ac:dyDescent="0.3">
      <c r="A1092" s="165"/>
      <c r="B1092" s="168"/>
      <c r="C1092" s="169"/>
      <c r="D1092" s="160"/>
      <c r="E1092" s="161"/>
      <c r="F1092" s="162"/>
      <c r="G1092" s="163"/>
      <c r="H1092" s="164"/>
      <c r="I1092" s="163"/>
      <c r="J1092" s="164"/>
      <c r="K1092" s="163"/>
      <c r="L1092" s="164"/>
      <c r="M1092" s="11"/>
      <c r="N1092" s="39"/>
      <c r="Q1092" s="15" t="str">
        <f>+CONCATENATE(E1091,I1091)</f>
        <v/>
      </c>
      <c r="R1092" s="15">
        <f>+J1091</f>
        <v>0</v>
      </c>
      <c r="S1092" s="16"/>
      <c r="T1092" s="15">
        <f>+E1091</f>
        <v>0</v>
      </c>
      <c r="U1092" s="26" t="str">
        <f>IFERROR(LEFT(I1091,FIND("*",I1091)-1),"-")</f>
        <v>-</v>
      </c>
      <c r="V1092" s="26" t="str">
        <f>IFERROR(RIGHT(I1091,LEN(I1091)-FIND("*",I1091)),"-")</f>
        <v>-</v>
      </c>
      <c r="W1092" s="27" t="str">
        <f t="shared" ref="W1092:W1099" si="592">IFERROR((U1092+V1092)*2/1000,"-")</f>
        <v>-</v>
      </c>
      <c r="X1092" s="27" t="str">
        <f>IFERROR(W1092*J1091,"-")</f>
        <v>-</v>
      </c>
      <c r="Z1092" s="94" t="s">
        <v>82</v>
      </c>
    </row>
    <row r="1093" spans="1:26" s="25" customFormat="1" ht="6.95" customHeight="1" x14ac:dyDescent="0.3">
      <c r="A1093" s="165"/>
      <c r="B1093" s="168"/>
      <c r="C1093" s="169"/>
      <c r="D1093" s="160"/>
      <c r="E1093" s="161"/>
      <c r="F1093" s="162"/>
      <c r="G1093" s="163"/>
      <c r="H1093" s="164"/>
      <c r="I1093" s="163"/>
      <c r="J1093" s="164"/>
      <c r="K1093" s="163"/>
      <c r="L1093" s="164"/>
      <c r="M1093" s="11"/>
      <c r="N1093" s="39"/>
      <c r="Q1093" s="15" t="str">
        <f>+CONCATENATE(E1091,K1091)</f>
        <v/>
      </c>
      <c r="R1093" s="15">
        <f>+L1091</f>
        <v>0</v>
      </c>
      <c r="S1093" s="16"/>
      <c r="T1093" s="15">
        <f>+E1091</f>
        <v>0</v>
      </c>
      <c r="U1093" s="26" t="str">
        <f>IFERROR(LEFT(K1091,FIND("*",K1091)-1),"-")</f>
        <v>-</v>
      </c>
      <c r="V1093" s="26" t="str">
        <f>IFERROR(RIGHT(K1091,LEN(K1091)-FIND("*",K1091)),"-")</f>
        <v>-</v>
      </c>
      <c r="W1093" s="27" t="str">
        <f t="shared" si="592"/>
        <v>-</v>
      </c>
      <c r="X1093" s="27" t="str">
        <f>IFERROR(W1093*L1091,"-")</f>
        <v>-</v>
      </c>
      <c r="Z1093" s="94" t="s">
        <v>82</v>
      </c>
    </row>
    <row r="1094" spans="1:26" s="25" customFormat="1" ht="6.95" customHeight="1" x14ac:dyDescent="0.3">
      <c r="A1094" s="13"/>
      <c r="B1094" s="168"/>
      <c r="C1094" s="169"/>
      <c r="D1094" s="160" t="s">
        <v>39</v>
      </c>
      <c r="E1094" s="161"/>
      <c r="F1094" s="162" t="s">
        <v>40</v>
      </c>
      <c r="G1094" s="163"/>
      <c r="H1094" s="164"/>
      <c r="I1094" s="163"/>
      <c r="J1094" s="164"/>
      <c r="K1094" s="163"/>
      <c r="L1094" s="164"/>
      <c r="M1094" s="11"/>
      <c r="N1094" s="39"/>
      <c r="Q1094" s="15" t="str">
        <f>+CONCATENATE(E1094,G1094)</f>
        <v/>
      </c>
      <c r="R1094" s="15">
        <f>+H1094</f>
        <v>0</v>
      </c>
      <c r="S1094" s="16"/>
      <c r="T1094" s="15">
        <f>+E1094</f>
        <v>0</v>
      </c>
      <c r="U1094" s="26" t="str">
        <f t="shared" ref="U1094" si="593">IFERROR(LEFT(G1094,FIND("*",G1094)-1),"-")</f>
        <v>-</v>
      </c>
      <c r="V1094" s="26" t="str">
        <f t="shared" ref="V1094" si="594">IFERROR(RIGHT(G1094,LEN(G1094)-FIND("*",G1094)),"-")</f>
        <v>-</v>
      </c>
      <c r="W1094" s="27" t="str">
        <f t="shared" si="592"/>
        <v>-</v>
      </c>
      <c r="X1094" s="27" t="str">
        <f>IFERROR(W1094*H1094,"-")</f>
        <v>-</v>
      </c>
      <c r="Z1094" s="94" t="s">
        <v>82</v>
      </c>
    </row>
    <row r="1095" spans="1:26" s="25" customFormat="1" ht="6.95" customHeight="1" x14ac:dyDescent="0.3">
      <c r="A1095" s="10"/>
      <c r="B1095" s="168"/>
      <c r="C1095" s="169"/>
      <c r="D1095" s="160"/>
      <c r="E1095" s="161"/>
      <c r="F1095" s="162"/>
      <c r="G1095" s="163"/>
      <c r="H1095" s="164"/>
      <c r="I1095" s="163"/>
      <c r="J1095" s="164"/>
      <c r="K1095" s="163"/>
      <c r="L1095" s="164"/>
      <c r="M1095" s="11"/>
      <c r="N1095" s="39"/>
      <c r="Q1095" s="15" t="str">
        <f>+CONCATENATE(E1094,I1094)</f>
        <v/>
      </c>
      <c r="R1095" s="15">
        <f>+J1094</f>
        <v>0</v>
      </c>
      <c r="S1095" s="16"/>
      <c r="T1095" s="15">
        <f>+E1094</f>
        <v>0</v>
      </c>
      <c r="U1095" s="26" t="str">
        <f>IFERROR(LEFT(I1094,FIND("*",I1094)-1),"-")</f>
        <v>-</v>
      </c>
      <c r="V1095" s="26" t="str">
        <f>IFERROR(RIGHT(I1094,LEN(I1094)-FIND("*",I1094)),"-")</f>
        <v>-</v>
      </c>
      <c r="W1095" s="27" t="str">
        <f t="shared" si="592"/>
        <v>-</v>
      </c>
      <c r="X1095" s="27" t="str">
        <f>IFERROR(W1095*J1094,"-")</f>
        <v>-</v>
      </c>
      <c r="Z1095" s="94" t="s">
        <v>82</v>
      </c>
    </row>
    <row r="1096" spans="1:26" s="25" customFormat="1" ht="6.95" customHeight="1" x14ac:dyDescent="0.3">
      <c r="A1096" s="10"/>
      <c r="B1096" s="168"/>
      <c r="C1096" s="169"/>
      <c r="D1096" s="160"/>
      <c r="E1096" s="161"/>
      <c r="F1096" s="162"/>
      <c r="G1096" s="163"/>
      <c r="H1096" s="164"/>
      <c r="I1096" s="163"/>
      <c r="J1096" s="164"/>
      <c r="K1096" s="163"/>
      <c r="L1096" s="164"/>
      <c r="M1096" s="11"/>
      <c r="N1096" s="39"/>
      <c r="Q1096" s="15" t="str">
        <f>+CONCATENATE(E1094,K1094)</f>
        <v/>
      </c>
      <c r="R1096" s="15">
        <f>+L1094</f>
        <v>0</v>
      </c>
      <c r="S1096" s="16"/>
      <c r="T1096" s="15">
        <f>+E1094</f>
        <v>0</v>
      </c>
      <c r="U1096" s="26" t="str">
        <f>IFERROR(LEFT(K1094,FIND("*",K1094)-1),"-")</f>
        <v>-</v>
      </c>
      <c r="V1096" s="26" t="str">
        <f>IFERROR(RIGHT(K1094,LEN(K1094)-FIND("*",K1094)),"-")</f>
        <v>-</v>
      </c>
      <c r="W1096" s="27" t="str">
        <f t="shared" si="592"/>
        <v>-</v>
      </c>
      <c r="X1096" s="27" t="str">
        <f>IFERROR(W1096*L1094,"-")</f>
        <v>-</v>
      </c>
      <c r="Z1096" s="94" t="s">
        <v>82</v>
      </c>
    </row>
    <row r="1097" spans="1:26" s="25" customFormat="1" ht="6.95" customHeight="1" x14ac:dyDescent="0.3">
      <c r="A1097" s="13"/>
      <c r="B1097" s="168"/>
      <c r="C1097" s="169"/>
      <c r="D1097" s="160" t="s">
        <v>39</v>
      </c>
      <c r="E1097" s="161"/>
      <c r="F1097" s="162" t="s">
        <v>40</v>
      </c>
      <c r="G1097" s="163"/>
      <c r="H1097" s="164"/>
      <c r="I1097" s="163"/>
      <c r="J1097" s="164"/>
      <c r="K1097" s="163"/>
      <c r="L1097" s="164"/>
      <c r="M1097" s="11"/>
      <c r="N1097" s="39"/>
      <c r="Q1097" s="15" t="str">
        <f>+CONCATENATE(E1097,G1097)</f>
        <v/>
      </c>
      <c r="R1097" s="15">
        <f>+H1097</f>
        <v>0</v>
      </c>
      <c r="S1097" s="16"/>
      <c r="T1097" s="15">
        <f>+E1097</f>
        <v>0</v>
      </c>
      <c r="U1097" s="26" t="str">
        <f t="shared" ref="U1097" si="595">IFERROR(LEFT(G1097,FIND("*",G1097)-1),"-")</f>
        <v>-</v>
      </c>
      <c r="V1097" s="26" t="str">
        <f t="shared" ref="V1097" si="596">IFERROR(RIGHT(G1097,LEN(G1097)-FIND("*",G1097)),"-")</f>
        <v>-</v>
      </c>
      <c r="W1097" s="27" t="str">
        <f t="shared" si="592"/>
        <v>-</v>
      </c>
      <c r="X1097" s="27" t="str">
        <f>IFERROR(W1097*H1097,"-")</f>
        <v>-</v>
      </c>
      <c r="Z1097" s="94" t="s">
        <v>82</v>
      </c>
    </row>
    <row r="1098" spans="1:26" s="25" customFormat="1" ht="6.95" customHeight="1" x14ac:dyDescent="0.3">
      <c r="A1098" s="10"/>
      <c r="B1098" s="168"/>
      <c r="C1098" s="169"/>
      <c r="D1098" s="160"/>
      <c r="E1098" s="161"/>
      <c r="F1098" s="162"/>
      <c r="G1098" s="163"/>
      <c r="H1098" s="164"/>
      <c r="I1098" s="163"/>
      <c r="J1098" s="164"/>
      <c r="K1098" s="163"/>
      <c r="L1098" s="164"/>
      <c r="M1098" s="11"/>
      <c r="N1098" s="39"/>
      <c r="Q1098" s="15" t="str">
        <f>+CONCATENATE(E1097,I1097)</f>
        <v/>
      </c>
      <c r="R1098" s="15">
        <f>+J1097</f>
        <v>0</v>
      </c>
      <c r="S1098" s="16"/>
      <c r="T1098" s="15">
        <f>+E1097</f>
        <v>0</v>
      </c>
      <c r="U1098" s="26" t="str">
        <f>IFERROR(LEFT(I1097,FIND("*",I1097)-1),"-")</f>
        <v>-</v>
      </c>
      <c r="V1098" s="26" t="str">
        <f>IFERROR(RIGHT(I1097,LEN(I1097)-FIND("*",I1097)),"-")</f>
        <v>-</v>
      </c>
      <c r="W1098" s="27" t="str">
        <f t="shared" si="592"/>
        <v>-</v>
      </c>
      <c r="X1098" s="27" t="str">
        <f t="shared" ref="X1098" si="597">IFERROR(W1098*J1097,"-")</f>
        <v>-</v>
      </c>
      <c r="Z1098" s="94" t="s">
        <v>82</v>
      </c>
    </row>
    <row r="1099" spans="1:26" s="25" customFormat="1" ht="6.95" customHeight="1" x14ac:dyDescent="0.3">
      <c r="A1099" s="10"/>
      <c r="B1099" s="168"/>
      <c r="C1099" s="169"/>
      <c r="D1099" s="160"/>
      <c r="E1099" s="161"/>
      <c r="F1099" s="162"/>
      <c r="G1099" s="163"/>
      <c r="H1099" s="164"/>
      <c r="I1099" s="163"/>
      <c r="J1099" s="164"/>
      <c r="K1099" s="163"/>
      <c r="L1099" s="164"/>
      <c r="M1099" s="11"/>
      <c r="N1099" s="39"/>
      <c r="Q1099" s="15" t="str">
        <f>+CONCATENATE(E1097,K1097)</f>
        <v/>
      </c>
      <c r="R1099" s="15">
        <f>+L1097</f>
        <v>0</v>
      </c>
      <c r="S1099" s="16"/>
      <c r="T1099" s="15">
        <f>+E1097</f>
        <v>0</v>
      </c>
      <c r="U1099" s="26" t="str">
        <f>IFERROR(LEFT(K1097,FIND("*",K1097)-1),"-")</f>
        <v>-</v>
      </c>
      <c r="V1099" s="26" t="str">
        <f>IFERROR(RIGHT(K1097,LEN(K1097)-FIND("*",K1097)),"-")</f>
        <v>-</v>
      </c>
      <c r="W1099" s="27" t="str">
        <f t="shared" si="592"/>
        <v>-</v>
      </c>
      <c r="X1099" s="27" t="str">
        <f>IFERROR(W1099*L1097,"-")</f>
        <v>-</v>
      </c>
      <c r="Z1099" s="94" t="s">
        <v>82</v>
      </c>
    </row>
    <row r="1100" spans="1:26" s="25" customFormat="1" ht="21" customHeight="1" thickBot="1" x14ac:dyDescent="0.35">
      <c r="A1100" s="10"/>
      <c r="B1100" s="170"/>
      <c r="C1100" s="171"/>
      <c r="D1100" s="172" t="s">
        <v>43</v>
      </c>
      <c r="E1100" s="173"/>
      <c r="F1100" s="173"/>
      <c r="G1100" s="174"/>
      <c r="H1100" s="174"/>
      <c r="I1100" s="174"/>
      <c r="J1100" s="174"/>
      <c r="K1100" s="174"/>
      <c r="L1100" s="174"/>
      <c r="M1100" s="12"/>
      <c r="N1100" s="39"/>
      <c r="U1100" s="23"/>
      <c r="V1100" s="23"/>
      <c r="Z1100" s="95" t="s">
        <v>81</v>
      </c>
    </row>
    <row r="1101" spans="1:26" s="25" customFormat="1" ht="9.9499999999999993" customHeight="1" thickBot="1" x14ac:dyDescent="0.35">
      <c r="A1101" s="6"/>
      <c r="B1101" s="14"/>
      <c r="C1101" s="119"/>
      <c r="D1101" s="58"/>
      <c r="E1101" s="17"/>
      <c r="F1101" s="58"/>
      <c r="G1101" s="19"/>
      <c r="H1101" s="19"/>
      <c r="I1101" s="19"/>
      <c r="J1101" s="19"/>
      <c r="K1101" s="19"/>
      <c r="L1101" s="19"/>
      <c r="M1101" s="14"/>
      <c r="N1101" s="39"/>
      <c r="Q1101" s="1"/>
      <c r="R1101" s="1"/>
      <c r="S1101" s="1"/>
      <c r="T1101" s="1"/>
      <c r="U1101" s="24"/>
      <c r="V1101" s="24"/>
      <c r="W1101" s="1"/>
      <c r="X1101" s="1"/>
      <c r="Z1101" s="94" t="s">
        <v>82</v>
      </c>
    </row>
    <row r="1102" spans="1:26" s="25" customFormat="1" ht="6.95" customHeight="1" x14ac:dyDescent="0.3">
      <c r="A1102" s="165">
        <f>+A1091+1</f>
        <v>101</v>
      </c>
      <c r="B1102" s="166"/>
      <c r="C1102" s="167"/>
      <c r="D1102" s="160" t="s">
        <v>39</v>
      </c>
      <c r="E1102" s="161"/>
      <c r="F1102" s="162" t="s">
        <v>40</v>
      </c>
      <c r="G1102" s="163"/>
      <c r="H1102" s="164"/>
      <c r="I1102" s="163"/>
      <c r="J1102" s="164"/>
      <c r="K1102" s="163"/>
      <c r="L1102" s="164"/>
      <c r="M1102" s="11"/>
      <c r="N1102" s="39"/>
      <c r="Q1102" s="15" t="str">
        <f>+CONCATENATE(E1102,G1102)</f>
        <v/>
      </c>
      <c r="R1102" s="15">
        <f>+H1102</f>
        <v>0</v>
      </c>
      <c r="S1102" s="16"/>
      <c r="T1102" s="15">
        <f>+E1102</f>
        <v>0</v>
      </c>
      <c r="U1102" s="26" t="str">
        <f>IFERROR(LEFT(G1102,FIND("*",G1102)-1),"-")</f>
        <v>-</v>
      </c>
      <c r="V1102" s="26" t="str">
        <f>IFERROR(RIGHT(G1102,LEN(G1102)-FIND("*",G1102)),"-")</f>
        <v>-</v>
      </c>
      <c r="W1102" s="27" t="str">
        <f>IFERROR((U1102+V1102)*2/1000,"-")</f>
        <v>-</v>
      </c>
      <c r="X1102" s="27" t="str">
        <f>IFERROR(W1102*H1102,"-")</f>
        <v>-</v>
      </c>
      <c r="Z1102" s="94" t="s">
        <v>82</v>
      </c>
    </row>
    <row r="1103" spans="1:26" s="25" customFormat="1" ht="6.95" customHeight="1" x14ac:dyDescent="0.3">
      <c r="A1103" s="165"/>
      <c r="B1103" s="168"/>
      <c r="C1103" s="169"/>
      <c r="D1103" s="160"/>
      <c r="E1103" s="161"/>
      <c r="F1103" s="162"/>
      <c r="G1103" s="163"/>
      <c r="H1103" s="164"/>
      <c r="I1103" s="163"/>
      <c r="J1103" s="164"/>
      <c r="K1103" s="163"/>
      <c r="L1103" s="164"/>
      <c r="M1103" s="11"/>
      <c r="N1103" s="39"/>
      <c r="Q1103" s="15" t="str">
        <f>+CONCATENATE(E1102,I1102)</f>
        <v/>
      </c>
      <c r="R1103" s="15">
        <f>+J1102</f>
        <v>0</v>
      </c>
      <c r="S1103" s="16"/>
      <c r="T1103" s="15">
        <f>+E1102</f>
        <v>0</v>
      </c>
      <c r="U1103" s="26" t="str">
        <f>IFERROR(LEFT(I1102,FIND("*",I1102)-1),"-")</f>
        <v>-</v>
      </c>
      <c r="V1103" s="26" t="str">
        <f>IFERROR(RIGHT(I1102,LEN(I1102)-FIND("*",I1102)),"-")</f>
        <v>-</v>
      </c>
      <c r="W1103" s="27" t="str">
        <f t="shared" ref="W1103:W1110" si="598">IFERROR((U1103+V1103)*2/1000,"-")</f>
        <v>-</v>
      </c>
      <c r="X1103" s="27" t="str">
        <f>IFERROR(W1103*J1102,"-")</f>
        <v>-</v>
      </c>
      <c r="Z1103" s="94" t="s">
        <v>82</v>
      </c>
    </row>
    <row r="1104" spans="1:26" s="25" customFormat="1" ht="6.95" customHeight="1" x14ac:dyDescent="0.3">
      <c r="A1104" s="165"/>
      <c r="B1104" s="168"/>
      <c r="C1104" s="169"/>
      <c r="D1104" s="160"/>
      <c r="E1104" s="161"/>
      <c r="F1104" s="162"/>
      <c r="G1104" s="163"/>
      <c r="H1104" s="164"/>
      <c r="I1104" s="163"/>
      <c r="J1104" s="164"/>
      <c r="K1104" s="163"/>
      <c r="L1104" s="164"/>
      <c r="M1104" s="11"/>
      <c r="N1104" s="39"/>
      <c r="Q1104" s="15" t="str">
        <f>+CONCATENATE(E1102,K1102)</f>
        <v/>
      </c>
      <c r="R1104" s="15">
        <f>+L1102</f>
        <v>0</v>
      </c>
      <c r="S1104" s="16"/>
      <c r="T1104" s="15">
        <f>+E1102</f>
        <v>0</v>
      </c>
      <c r="U1104" s="26" t="str">
        <f>IFERROR(LEFT(K1102,FIND("*",K1102)-1),"-")</f>
        <v>-</v>
      </c>
      <c r="V1104" s="26" t="str">
        <f>IFERROR(RIGHT(K1102,LEN(K1102)-FIND("*",K1102)),"-")</f>
        <v>-</v>
      </c>
      <c r="W1104" s="27" t="str">
        <f t="shared" si="598"/>
        <v>-</v>
      </c>
      <c r="X1104" s="27" t="str">
        <f>IFERROR(W1104*L1102,"-")</f>
        <v>-</v>
      </c>
      <c r="Z1104" s="94" t="s">
        <v>82</v>
      </c>
    </row>
    <row r="1105" spans="1:26" s="25" customFormat="1" ht="6.95" customHeight="1" x14ac:dyDescent="0.3">
      <c r="A1105" s="13"/>
      <c r="B1105" s="168"/>
      <c r="C1105" s="169"/>
      <c r="D1105" s="160" t="s">
        <v>39</v>
      </c>
      <c r="E1105" s="161"/>
      <c r="F1105" s="162" t="s">
        <v>40</v>
      </c>
      <c r="G1105" s="163"/>
      <c r="H1105" s="164"/>
      <c r="I1105" s="163"/>
      <c r="J1105" s="164"/>
      <c r="K1105" s="163"/>
      <c r="L1105" s="164"/>
      <c r="M1105" s="11"/>
      <c r="N1105" s="39"/>
      <c r="Q1105" s="15" t="str">
        <f>+CONCATENATE(E1105,G1105)</f>
        <v/>
      </c>
      <c r="R1105" s="15">
        <f>+H1105</f>
        <v>0</v>
      </c>
      <c r="S1105" s="16"/>
      <c r="T1105" s="15">
        <f>+E1105</f>
        <v>0</v>
      </c>
      <c r="U1105" s="26" t="str">
        <f t="shared" ref="U1105" si="599">IFERROR(LEFT(G1105,FIND("*",G1105)-1),"-")</f>
        <v>-</v>
      </c>
      <c r="V1105" s="26" t="str">
        <f t="shared" ref="V1105" si="600">IFERROR(RIGHT(G1105,LEN(G1105)-FIND("*",G1105)),"-")</f>
        <v>-</v>
      </c>
      <c r="W1105" s="27" t="str">
        <f t="shared" si="598"/>
        <v>-</v>
      </c>
      <c r="X1105" s="27" t="str">
        <f>IFERROR(W1105*H1105,"-")</f>
        <v>-</v>
      </c>
      <c r="Z1105" s="94" t="s">
        <v>82</v>
      </c>
    </row>
    <row r="1106" spans="1:26" s="25" customFormat="1" ht="6.95" customHeight="1" x14ac:dyDescent="0.3">
      <c r="A1106" s="10"/>
      <c r="B1106" s="168"/>
      <c r="C1106" s="169"/>
      <c r="D1106" s="160"/>
      <c r="E1106" s="161"/>
      <c r="F1106" s="162"/>
      <c r="G1106" s="163"/>
      <c r="H1106" s="164"/>
      <c r="I1106" s="163"/>
      <c r="J1106" s="164"/>
      <c r="K1106" s="163"/>
      <c r="L1106" s="164"/>
      <c r="M1106" s="11"/>
      <c r="N1106" s="39"/>
      <c r="Q1106" s="15" t="str">
        <f>+CONCATENATE(E1105,I1105)</f>
        <v/>
      </c>
      <c r="R1106" s="15">
        <f>+J1105</f>
        <v>0</v>
      </c>
      <c r="S1106" s="16"/>
      <c r="T1106" s="15">
        <f>+E1105</f>
        <v>0</v>
      </c>
      <c r="U1106" s="26" t="str">
        <f>IFERROR(LEFT(I1105,FIND("*",I1105)-1),"-")</f>
        <v>-</v>
      </c>
      <c r="V1106" s="26" t="str">
        <f>IFERROR(RIGHT(I1105,LEN(I1105)-FIND("*",I1105)),"-")</f>
        <v>-</v>
      </c>
      <c r="W1106" s="27" t="str">
        <f t="shared" si="598"/>
        <v>-</v>
      </c>
      <c r="X1106" s="27" t="str">
        <f>IFERROR(W1106*J1105,"-")</f>
        <v>-</v>
      </c>
      <c r="Z1106" s="94" t="s">
        <v>82</v>
      </c>
    </row>
    <row r="1107" spans="1:26" s="25" customFormat="1" ht="6.95" customHeight="1" x14ac:dyDescent="0.3">
      <c r="A1107" s="10"/>
      <c r="B1107" s="168"/>
      <c r="C1107" s="169"/>
      <c r="D1107" s="160"/>
      <c r="E1107" s="161"/>
      <c r="F1107" s="162"/>
      <c r="G1107" s="163"/>
      <c r="H1107" s="164"/>
      <c r="I1107" s="163"/>
      <c r="J1107" s="164"/>
      <c r="K1107" s="163"/>
      <c r="L1107" s="164"/>
      <c r="M1107" s="11"/>
      <c r="N1107" s="39"/>
      <c r="Q1107" s="15" t="str">
        <f>+CONCATENATE(E1105,K1105)</f>
        <v/>
      </c>
      <c r="R1107" s="15">
        <f>+L1105</f>
        <v>0</v>
      </c>
      <c r="S1107" s="16"/>
      <c r="T1107" s="15">
        <f>+E1105</f>
        <v>0</v>
      </c>
      <c r="U1107" s="26" t="str">
        <f>IFERROR(LEFT(K1105,FIND("*",K1105)-1),"-")</f>
        <v>-</v>
      </c>
      <c r="V1107" s="26" t="str">
        <f>IFERROR(RIGHT(K1105,LEN(K1105)-FIND("*",K1105)),"-")</f>
        <v>-</v>
      </c>
      <c r="W1107" s="27" t="str">
        <f t="shared" si="598"/>
        <v>-</v>
      </c>
      <c r="X1107" s="27" t="str">
        <f>IFERROR(W1107*L1105,"-")</f>
        <v>-</v>
      </c>
      <c r="Z1107" s="94" t="s">
        <v>82</v>
      </c>
    </row>
    <row r="1108" spans="1:26" s="25" customFormat="1" ht="6.95" customHeight="1" x14ac:dyDescent="0.3">
      <c r="A1108" s="13"/>
      <c r="B1108" s="168"/>
      <c r="C1108" s="169"/>
      <c r="D1108" s="160" t="s">
        <v>39</v>
      </c>
      <c r="E1108" s="161"/>
      <c r="F1108" s="162" t="s">
        <v>40</v>
      </c>
      <c r="G1108" s="163"/>
      <c r="H1108" s="164"/>
      <c r="I1108" s="163"/>
      <c r="J1108" s="164"/>
      <c r="K1108" s="163"/>
      <c r="L1108" s="164"/>
      <c r="M1108" s="11"/>
      <c r="N1108" s="39"/>
      <c r="Q1108" s="15" t="str">
        <f>+CONCATENATE(E1108,G1108)</f>
        <v/>
      </c>
      <c r="R1108" s="15">
        <f>+H1108</f>
        <v>0</v>
      </c>
      <c r="S1108" s="16"/>
      <c r="T1108" s="15">
        <f>+E1108</f>
        <v>0</v>
      </c>
      <c r="U1108" s="26" t="str">
        <f t="shared" ref="U1108" si="601">IFERROR(LEFT(G1108,FIND("*",G1108)-1),"-")</f>
        <v>-</v>
      </c>
      <c r="V1108" s="26" t="str">
        <f t="shared" ref="V1108" si="602">IFERROR(RIGHT(G1108,LEN(G1108)-FIND("*",G1108)),"-")</f>
        <v>-</v>
      </c>
      <c r="W1108" s="27" t="str">
        <f t="shared" si="598"/>
        <v>-</v>
      </c>
      <c r="X1108" s="27" t="str">
        <f>IFERROR(W1108*H1108,"-")</f>
        <v>-</v>
      </c>
      <c r="Z1108" s="94" t="s">
        <v>82</v>
      </c>
    </row>
    <row r="1109" spans="1:26" s="25" customFormat="1" ht="6.95" customHeight="1" x14ac:dyDescent="0.3">
      <c r="A1109" s="10"/>
      <c r="B1109" s="168"/>
      <c r="C1109" s="169"/>
      <c r="D1109" s="160"/>
      <c r="E1109" s="161"/>
      <c r="F1109" s="162"/>
      <c r="G1109" s="163"/>
      <c r="H1109" s="164"/>
      <c r="I1109" s="163"/>
      <c r="J1109" s="164"/>
      <c r="K1109" s="163"/>
      <c r="L1109" s="164"/>
      <c r="M1109" s="11"/>
      <c r="N1109" s="39"/>
      <c r="Q1109" s="15" t="str">
        <f>+CONCATENATE(E1108,I1108)</f>
        <v/>
      </c>
      <c r="R1109" s="15">
        <f>+J1108</f>
        <v>0</v>
      </c>
      <c r="S1109" s="16"/>
      <c r="T1109" s="15">
        <f>+E1108</f>
        <v>0</v>
      </c>
      <c r="U1109" s="26" t="str">
        <f>IFERROR(LEFT(I1108,FIND("*",I1108)-1),"-")</f>
        <v>-</v>
      </c>
      <c r="V1109" s="26" t="str">
        <f>IFERROR(RIGHT(I1108,LEN(I1108)-FIND("*",I1108)),"-")</f>
        <v>-</v>
      </c>
      <c r="W1109" s="27" t="str">
        <f t="shared" si="598"/>
        <v>-</v>
      </c>
      <c r="X1109" s="27" t="str">
        <f t="shared" ref="X1109" si="603">IFERROR(W1109*J1108,"-")</f>
        <v>-</v>
      </c>
      <c r="Z1109" s="94" t="s">
        <v>82</v>
      </c>
    </row>
    <row r="1110" spans="1:26" s="25" customFormat="1" ht="6.95" customHeight="1" x14ac:dyDescent="0.3">
      <c r="A1110" s="10"/>
      <c r="B1110" s="168"/>
      <c r="C1110" s="169"/>
      <c r="D1110" s="160"/>
      <c r="E1110" s="161"/>
      <c r="F1110" s="162"/>
      <c r="G1110" s="163"/>
      <c r="H1110" s="164"/>
      <c r="I1110" s="163"/>
      <c r="J1110" s="164"/>
      <c r="K1110" s="163"/>
      <c r="L1110" s="164"/>
      <c r="M1110" s="11"/>
      <c r="N1110" s="39"/>
      <c r="Q1110" s="15" t="str">
        <f>+CONCATENATE(E1108,K1108)</f>
        <v/>
      </c>
      <c r="R1110" s="15">
        <f>+L1108</f>
        <v>0</v>
      </c>
      <c r="S1110" s="16"/>
      <c r="T1110" s="15">
        <f>+E1108</f>
        <v>0</v>
      </c>
      <c r="U1110" s="26" t="str">
        <f>IFERROR(LEFT(K1108,FIND("*",K1108)-1),"-")</f>
        <v>-</v>
      </c>
      <c r="V1110" s="26" t="str">
        <f>IFERROR(RIGHT(K1108,LEN(K1108)-FIND("*",K1108)),"-")</f>
        <v>-</v>
      </c>
      <c r="W1110" s="27" t="str">
        <f t="shared" si="598"/>
        <v>-</v>
      </c>
      <c r="X1110" s="27" t="str">
        <f>IFERROR(W1110*L1108,"-")</f>
        <v>-</v>
      </c>
      <c r="Z1110" s="94" t="s">
        <v>82</v>
      </c>
    </row>
    <row r="1111" spans="1:26" s="25" customFormat="1" ht="21" customHeight="1" thickBot="1" x14ac:dyDescent="0.35">
      <c r="A1111" s="10"/>
      <c r="B1111" s="170"/>
      <c r="C1111" s="171"/>
      <c r="D1111" s="172" t="s">
        <v>43</v>
      </c>
      <c r="E1111" s="173"/>
      <c r="F1111" s="173"/>
      <c r="G1111" s="174"/>
      <c r="H1111" s="174"/>
      <c r="I1111" s="174"/>
      <c r="J1111" s="174"/>
      <c r="K1111" s="174"/>
      <c r="L1111" s="174"/>
      <c r="M1111" s="12"/>
      <c r="N1111" s="39"/>
      <c r="U1111" s="23"/>
      <c r="V1111" s="23"/>
      <c r="Z1111" s="95" t="s">
        <v>81</v>
      </c>
    </row>
    <row r="1112" spans="1:26" s="25" customFormat="1" ht="9.9499999999999993" customHeight="1" thickBot="1" x14ac:dyDescent="0.35">
      <c r="A1112" s="6"/>
      <c r="B1112" s="14"/>
      <c r="C1112" s="119"/>
      <c r="D1112" s="58"/>
      <c r="E1112" s="17"/>
      <c r="F1112" s="58"/>
      <c r="G1112" s="19"/>
      <c r="H1112" s="19"/>
      <c r="I1112" s="19"/>
      <c r="J1112" s="19"/>
      <c r="K1112" s="19"/>
      <c r="L1112" s="19"/>
      <c r="M1112" s="14"/>
      <c r="N1112" s="39"/>
      <c r="Q1112" s="1"/>
      <c r="R1112" s="1"/>
      <c r="S1112" s="1"/>
      <c r="T1112" s="1"/>
      <c r="U1112" s="24"/>
      <c r="V1112" s="24"/>
      <c r="W1112" s="1"/>
      <c r="X1112" s="1"/>
      <c r="Z1112" s="94" t="s">
        <v>82</v>
      </c>
    </row>
    <row r="1113" spans="1:26" s="25" customFormat="1" ht="6.95" customHeight="1" x14ac:dyDescent="0.3">
      <c r="A1113" s="165">
        <f>+A1102+1</f>
        <v>102</v>
      </c>
      <c r="B1113" s="166"/>
      <c r="C1113" s="167"/>
      <c r="D1113" s="160" t="s">
        <v>39</v>
      </c>
      <c r="E1113" s="161"/>
      <c r="F1113" s="162" t="s">
        <v>40</v>
      </c>
      <c r="G1113" s="163"/>
      <c r="H1113" s="164"/>
      <c r="I1113" s="163"/>
      <c r="J1113" s="164"/>
      <c r="K1113" s="163"/>
      <c r="L1113" s="164"/>
      <c r="M1113" s="11"/>
      <c r="N1113" s="39"/>
      <c r="Q1113" s="15" t="str">
        <f>+CONCATENATE(E1113,G1113)</f>
        <v/>
      </c>
      <c r="R1113" s="15">
        <f>+H1113</f>
        <v>0</v>
      </c>
      <c r="S1113" s="16"/>
      <c r="T1113" s="15">
        <f>+E1113</f>
        <v>0</v>
      </c>
      <c r="U1113" s="26" t="str">
        <f>IFERROR(LEFT(G1113,FIND("*",G1113)-1),"-")</f>
        <v>-</v>
      </c>
      <c r="V1113" s="26" t="str">
        <f>IFERROR(RIGHT(G1113,LEN(G1113)-FIND("*",G1113)),"-")</f>
        <v>-</v>
      </c>
      <c r="W1113" s="27" t="str">
        <f>IFERROR((U1113+V1113)*2/1000,"-")</f>
        <v>-</v>
      </c>
      <c r="X1113" s="27" t="str">
        <f>IFERROR(W1113*H1113,"-")</f>
        <v>-</v>
      </c>
      <c r="Z1113" s="94" t="s">
        <v>82</v>
      </c>
    </row>
    <row r="1114" spans="1:26" s="25" customFormat="1" ht="6.95" customHeight="1" x14ac:dyDescent="0.3">
      <c r="A1114" s="165"/>
      <c r="B1114" s="168"/>
      <c r="C1114" s="169"/>
      <c r="D1114" s="160"/>
      <c r="E1114" s="161"/>
      <c r="F1114" s="162"/>
      <c r="G1114" s="163"/>
      <c r="H1114" s="164"/>
      <c r="I1114" s="163"/>
      <c r="J1114" s="164"/>
      <c r="K1114" s="163"/>
      <c r="L1114" s="164"/>
      <c r="M1114" s="11"/>
      <c r="N1114" s="39"/>
      <c r="Q1114" s="15" t="str">
        <f>+CONCATENATE(E1113,I1113)</f>
        <v/>
      </c>
      <c r="R1114" s="15">
        <f>+J1113</f>
        <v>0</v>
      </c>
      <c r="S1114" s="16"/>
      <c r="T1114" s="15">
        <f>+E1113</f>
        <v>0</v>
      </c>
      <c r="U1114" s="26" t="str">
        <f>IFERROR(LEFT(I1113,FIND("*",I1113)-1),"-")</f>
        <v>-</v>
      </c>
      <c r="V1114" s="26" t="str">
        <f>IFERROR(RIGHT(I1113,LEN(I1113)-FIND("*",I1113)),"-")</f>
        <v>-</v>
      </c>
      <c r="W1114" s="27" t="str">
        <f t="shared" ref="W1114:W1121" si="604">IFERROR((U1114+V1114)*2/1000,"-")</f>
        <v>-</v>
      </c>
      <c r="X1114" s="27" t="str">
        <f>IFERROR(W1114*J1113,"-")</f>
        <v>-</v>
      </c>
      <c r="Z1114" s="94" t="s">
        <v>82</v>
      </c>
    </row>
    <row r="1115" spans="1:26" s="25" customFormat="1" ht="6.95" customHeight="1" x14ac:dyDescent="0.3">
      <c r="A1115" s="165"/>
      <c r="B1115" s="168"/>
      <c r="C1115" s="169"/>
      <c r="D1115" s="160"/>
      <c r="E1115" s="161"/>
      <c r="F1115" s="162"/>
      <c r="G1115" s="163"/>
      <c r="H1115" s="164"/>
      <c r="I1115" s="163"/>
      <c r="J1115" s="164"/>
      <c r="K1115" s="163"/>
      <c r="L1115" s="164"/>
      <c r="M1115" s="11"/>
      <c r="N1115" s="39"/>
      <c r="Q1115" s="15" t="str">
        <f>+CONCATENATE(E1113,K1113)</f>
        <v/>
      </c>
      <c r="R1115" s="15">
        <f>+L1113</f>
        <v>0</v>
      </c>
      <c r="S1115" s="16"/>
      <c r="T1115" s="15">
        <f>+E1113</f>
        <v>0</v>
      </c>
      <c r="U1115" s="26" t="str">
        <f>IFERROR(LEFT(K1113,FIND("*",K1113)-1),"-")</f>
        <v>-</v>
      </c>
      <c r="V1115" s="26" t="str">
        <f>IFERROR(RIGHT(K1113,LEN(K1113)-FIND("*",K1113)),"-")</f>
        <v>-</v>
      </c>
      <c r="W1115" s="27" t="str">
        <f t="shared" si="604"/>
        <v>-</v>
      </c>
      <c r="X1115" s="27" t="str">
        <f>IFERROR(W1115*L1113,"-")</f>
        <v>-</v>
      </c>
      <c r="Z1115" s="94" t="s">
        <v>82</v>
      </c>
    </row>
    <row r="1116" spans="1:26" s="25" customFormat="1" ht="6.95" customHeight="1" x14ac:dyDescent="0.3">
      <c r="A1116" s="13"/>
      <c r="B1116" s="168"/>
      <c r="C1116" s="169"/>
      <c r="D1116" s="160" t="s">
        <v>39</v>
      </c>
      <c r="E1116" s="161"/>
      <c r="F1116" s="162" t="s">
        <v>40</v>
      </c>
      <c r="G1116" s="163"/>
      <c r="H1116" s="164"/>
      <c r="I1116" s="163"/>
      <c r="J1116" s="164"/>
      <c r="K1116" s="163"/>
      <c r="L1116" s="164"/>
      <c r="M1116" s="11"/>
      <c r="N1116" s="39"/>
      <c r="Q1116" s="15" t="str">
        <f>+CONCATENATE(E1116,G1116)</f>
        <v/>
      </c>
      <c r="R1116" s="15">
        <f>+H1116</f>
        <v>0</v>
      </c>
      <c r="S1116" s="16"/>
      <c r="T1116" s="15">
        <f>+E1116</f>
        <v>0</v>
      </c>
      <c r="U1116" s="26" t="str">
        <f t="shared" ref="U1116" si="605">IFERROR(LEFT(G1116,FIND("*",G1116)-1),"-")</f>
        <v>-</v>
      </c>
      <c r="V1116" s="26" t="str">
        <f t="shared" ref="V1116" si="606">IFERROR(RIGHT(G1116,LEN(G1116)-FIND("*",G1116)),"-")</f>
        <v>-</v>
      </c>
      <c r="W1116" s="27" t="str">
        <f t="shared" si="604"/>
        <v>-</v>
      </c>
      <c r="X1116" s="27" t="str">
        <f>IFERROR(W1116*H1116,"-")</f>
        <v>-</v>
      </c>
      <c r="Z1116" s="94" t="s">
        <v>82</v>
      </c>
    </row>
    <row r="1117" spans="1:26" s="25" customFormat="1" ht="6.95" customHeight="1" x14ac:dyDescent="0.3">
      <c r="A1117" s="10"/>
      <c r="B1117" s="168"/>
      <c r="C1117" s="169"/>
      <c r="D1117" s="160"/>
      <c r="E1117" s="161"/>
      <c r="F1117" s="162"/>
      <c r="G1117" s="163"/>
      <c r="H1117" s="164"/>
      <c r="I1117" s="163"/>
      <c r="J1117" s="164"/>
      <c r="K1117" s="163"/>
      <c r="L1117" s="164"/>
      <c r="M1117" s="11"/>
      <c r="N1117" s="39"/>
      <c r="Q1117" s="15" t="str">
        <f>+CONCATENATE(E1116,I1116)</f>
        <v/>
      </c>
      <c r="R1117" s="15">
        <f>+J1116</f>
        <v>0</v>
      </c>
      <c r="S1117" s="16"/>
      <c r="T1117" s="15">
        <f>+E1116</f>
        <v>0</v>
      </c>
      <c r="U1117" s="26" t="str">
        <f>IFERROR(LEFT(I1116,FIND("*",I1116)-1),"-")</f>
        <v>-</v>
      </c>
      <c r="V1117" s="26" t="str">
        <f>IFERROR(RIGHT(I1116,LEN(I1116)-FIND("*",I1116)),"-")</f>
        <v>-</v>
      </c>
      <c r="W1117" s="27" t="str">
        <f t="shared" si="604"/>
        <v>-</v>
      </c>
      <c r="X1117" s="27" t="str">
        <f>IFERROR(W1117*J1116,"-")</f>
        <v>-</v>
      </c>
      <c r="Z1117" s="94" t="s">
        <v>82</v>
      </c>
    </row>
    <row r="1118" spans="1:26" s="25" customFormat="1" ht="6.95" customHeight="1" x14ac:dyDescent="0.3">
      <c r="A1118" s="10"/>
      <c r="B1118" s="168"/>
      <c r="C1118" s="169"/>
      <c r="D1118" s="160"/>
      <c r="E1118" s="161"/>
      <c r="F1118" s="162"/>
      <c r="G1118" s="163"/>
      <c r="H1118" s="164"/>
      <c r="I1118" s="163"/>
      <c r="J1118" s="164"/>
      <c r="K1118" s="163"/>
      <c r="L1118" s="164"/>
      <c r="M1118" s="11"/>
      <c r="N1118" s="39"/>
      <c r="Q1118" s="15" t="str">
        <f>+CONCATENATE(E1116,K1116)</f>
        <v/>
      </c>
      <c r="R1118" s="15">
        <f>+L1116</f>
        <v>0</v>
      </c>
      <c r="S1118" s="16"/>
      <c r="T1118" s="15">
        <f>+E1116</f>
        <v>0</v>
      </c>
      <c r="U1118" s="26" t="str">
        <f>IFERROR(LEFT(K1116,FIND("*",K1116)-1),"-")</f>
        <v>-</v>
      </c>
      <c r="V1118" s="26" t="str">
        <f>IFERROR(RIGHT(K1116,LEN(K1116)-FIND("*",K1116)),"-")</f>
        <v>-</v>
      </c>
      <c r="W1118" s="27" t="str">
        <f t="shared" si="604"/>
        <v>-</v>
      </c>
      <c r="X1118" s="27" t="str">
        <f>IFERROR(W1118*L1116,"-")</f>
        <v>-</v>
      </c>
      <c r="Z1118" s="94" t="s">
        <v>82</v>
      </c>
    </row>
    <row r="1119" spans="1:26" s="25" customFormat="1" ht="6.95" customHeight="1" x14ac:dyDescent="0.3">
      <c r="A1119" s="13"/>
      <c r="B1119" s="168"/>
      <c r="C1119" s="169"/>
      <c r="D1119" s="160" t="s">
        <v>39</v>
      </c>
      <c r="E1119" s="161"/>
      <c r="F1119" s="162" t="s">
        <v>40</v>
      </c>
      <c r="G1119" s="163"/>
      <c r="H1119" s="164"/>
      <c r="I1119" s="163"/>
      <c r="J1119" s="164"/>
      <c r="K1119" s="163"/>
      <c r="L1119" s="164"/>
      <c r="M1119" s="11"/>
      <c r="N1119" s="39"/>
      <c r="Q1119" s="15" t="str">
        <f>+CONCATENATE(E1119,G1119)</f>
        <v/>
      </c>
      <c r="R1119" s="15">
        <f>+H1119</f>
        <v>0</v>
      </c>
      <c r="S1119" s="16"/>
      <c r="T1119" s="15">
        <f>+E1119</f>
        <v>0</v>
      </c>
      <c r="U1119" s="26" t="str">
        <f t="shared" ref="U1119" si="607">IFERROR(LEFT(G1119,FIND("*",G1119)-1),"-")</f>
        <v>-</v>
      </c>
      <c r="V1119" s="26" t="str">
        <f t="shared" ref="V1119" si="608">IFERROR(RIGHT(G1119,LEN(G1119)-FIND("*",G1119)),"-")</f>
        <v>-</v>
      </c>
      <c r="W1119" s="27" t="str">
        <f t="shared" si="604"/>
        <v>-</v>
      </c>
      <c r="X1119" s="27" t="str">
        <f>IFERROR(W1119*H1119,"-")</f>
        <v>-</v>
      </c>
      <c r="Z1119" s="94" t="s">
        <v>82</v>
      </c>
    </row>
    <row r="1120" spans="1:26" s="25" customFormat="1" ht="6.95" customHeight="1" x14ac:dyDescent="0.3">
      <c r="A1120" s="10"/>
      <c r="B1120" s="168"/>
      <c r="C1120" s="169"/>
      <c r="D1120" s="160"/>
      <c r="E1120" s="161"/>
      <c r="F1120" s="162"/>
      <c r="G1120" s="163"/>
      <c r="H1120" s="164"/>
      <c r="I1120" s="163"/>
      <c r="J1120" s="164"/>
      <c r="K1120" s="163"/>
      <c r="L1120" s="164"/>
      <c r="M1120" s="11"/>
      <c r="N1120" s="39"/>
      <c r="Q1120" s="15" t="str">
        <f>+CONCATENATE(E1119,I1119)</f>
        <v/>
      </c>
      <c r="R1120" s="15">
        <f>+J1119</f>
        <v>0</v>
      </c>
      <c r="S1120" s="16"/>
      <c r="T1120" s="15">
        <f>+E1119</f>
        <v>0</v>
      </c>
      <c r="U1120" s="26" t="str">
        <f>IFERROR(LEFT(I1119,FIND("*",I1119)-1),"-")</f>
        <v>-</v>
      </c>
      <c r="V1120" s="26" t="str">
        <f>IFERROR(RIGHT(I1119,LEN(I1119)-FIND("*",I1119)),"-")</f>
        <v>-</v>
      </c>
      <c r="W1120" s="27" t="str">
        <f t="shared" si="604"/>
        <v>-</v>
      </c>
      <c r="X1120" s="27" t="str">
        <f t="shared" ref="X1120" si="609">IFERROR(W1120*J1119,"-")</f>
        <v>-</v>
      </c>
      <c r="Z1120" s="94" t="s">
        <v>82</v>
      </c>
    </row>
    <row r="1121" spans="1:26" s="25" customFormat="1" ht="6.95" customHeight="1" x14ac:dyDescent="0.3">
      <c r="A1121" s="10"/>
      <c r="B1121" s="168"/>
      <c r="C1121" s="169"/>
      <c r="D1121" s="160"/>
      <c r="E1121" s="161"/>
      <c r="F1121" s="162"/>
      <c r="G1121" s="163"/>
      <c r="H1121" s="164"/>
      <c r="I1121" s="163"/>
      <c r="J1121" s="164"/>
      <c r="K1121" s="163"/>
      <c r="L1121" s="164"/>
      <c r="M1121" s="11"/>
      <c r="N1121" s="39"/>
      <c r="Q1121" s="15" t="str">
        <f>+CONCATENATE(E1119,K1119)</f>
        <v/>
      </c>
      <c r="R1121" s="15">
        <f>+L1119</f>
        <v>0</v>
      </c>
      <c r="S1121" s="16"/>
      <c r="T1121" s="15">
        <f>+E1119</f>
        <v>0</v>
      </c>
      <c r="U1121" s="26" t="str">
        <f>IFERROR(LEFT(K1119,FIND("*",K1119)-1),"-")</f>
        <v>-</v>
      </c>
      <c r="V1121" s="26" t="str">
        <f>IFERROR(RIGHT(K1119,LEN(K1119)-FIND("*",K1119)),"-")</f>
        <v>-</v>
      </c>
      <c r="W1121" s="27" t="str">
        <f t="shared" si="604"/>
        <v>-</v>
      </c>
      <c r="X1121" s="27" t="str">
        <f>IFERROR(W1121*L1119,"-")</f>
        <v>-</v>
      </c>
      <c r="Z1121" s="94" t="s">
        <v>82</v>
      </c>
    </row>
    <row r="1122" spans="1:26" s="25" customFormat="1" ht="21" customHeight="1" thickBot="1" x14ac:dyDescent="0.35">
      <c r="A1122" s="10"/>
      <c r="B1122" s="170"/>
      <c r="C1122" s="171"/>
      <c r="D1122" s="172" t="s">
        <v>43</v>
      </c>
      <c r="E1122" s="173"/>
      <c r="F1122" s="173"/>
      <c r="G1122" s="174"/>
      <c r="H1122" s="174"/>
      <c r="I1122" s="174"/>
      <c r="J1122" s="174"/>
      <c r="K1122" s="174"/>
      <c r="L1122" s="174"/>
      <c r="M1122" s="12"/>
      <c r="N1122" s="39"/>
      <c r="U1122" s="23"/>
      <c r="V1122" s="23"/>
      <c r="Z1122" s="95" t="s">
        <v>81</v>
      </c>
    </row>
    <row r="1123" spans="1:26" s="25" customFormat="1" ht="9.9499999999999993" customHeight="1" thickBot="1" x14ac:dyDescent="0.35">
      <c r="A1123" s="6"/>
      <c r="B1123" s="14"/>
      <c r="C1123" s="119"/>
      <c r="D1123" s="58"/>
      <c r="E1123" s="17"/>
      <c r="F1123" s="58"/>
      <c r="G1123" s="19"/>
      <c r="H1123" s="19"/>
      <c r="I1123" s="19"/>
      <c r="J1123" s="19"/>
      <c r="K1123" s="19"/>
      <c r="L1123" s="19"/>
      <c r="M1123" s="14"/>
      <c r="N1123" s="39"/>
      <c r="Q1123" s="1"/>
      <c r="R1123" s="1"/>
      <c r="S1123" s="1"/>
      <c r="T1123" s="1"/>
      <c r="U1123" s="24"/>
      <c r="V1123" s="24"/>
      <c r="W1123" s="1"/>
      <c r="X1123" s="1"/>
      <c r="Z1123" s="94" t="s">
        <v>82</v>
      </c>
    </row>
    <row r="1124" spans="1:26" s="25" customFormat="1" ht="6.95" customHeight="1" x14ac:dyDescent="0.3">
      <c r="A1124" s="165">
        <f>+A1113+1</f>
        <v>103</v>
      </c>
      <c r="B1124" s="166"/>
      <c r="C1124" s="167"/>
      <c r="D1124" s="160" t="s">
        <v>39</v>
      </c>
      <c r="E1124" s="161"/>
      <c r="F1124" s="162" t="s">
        <v>40</v>
      </c>
      <c r="G1124" s="163"/>
      <c r="H1124" s="164"/>
      <c r="I1124" s="163"/>
      <c r="J1124" s="164"/>
      <c r="K1124" s="163"/>
      <c r="L1124" s="164"/>
      <c r="M1124" s="11"/>
      <c r="N1124" s="39"/>
      <c r="Q1124" s="15" t="str">
        <f>+CONCATENATE(E1124,G1124)</f>
        <v/>
      </c>
      <c r="R1124" s="15">
        <f>+H1124</f>
        <v>0</v>
      </c>
      <c r="S1124" s="16"/>
      <c r="T1124" s="15">
        <f>+E1124</f>
        <v>0</v>
      </c>
      <c r="U1124" s="26" t="str">
        <f>IFERROR(LEFT(G1124,FIND("*",G1124)-1),"-")</f>
        <v>-</v>
      </c>
      <c r="V1124" s="26" t="str">
        <f>IFERROR(RIGHT(G1124,LEN(G1124)-FIND("*",G1124)),"-")</f>
        <v>-</v>
      </c>
      <c r="W1124" s="27" t="str">
        <f>IFERROR((U1124+V1124)*2/1000,"-")</f>
        <v>-</v>
      </c>
      <c r="X1124" s="27" t="str">
        <f>IFERROR(W1124*H1124,"-")</f>
        <v>-</v>
      </c>
      <c r="Z1124" s="94" t="s">
        <v>82</v>
      </c>
    </row>
    <row r="1125" spans="1:26" s="25" customFormat="1" ht="6.95" customHeight="1" x14ac:dyDescent="0.3">
      <c r="A1125" s="165"/>
      <c r="B1125" s="168"/>
      <c r="C1125" s="169"/>
      <c r="D1125" s="160"/>
      <c r="E1125" s="161"/>
      <c r="F1125" s="162"/>
      <c r="G1125" s="163"/>
      <c r="H1125" s="164"/>
      <c r="I1125" s="163"/>
      <c r="J1125" s="164"/>
      <c r="K1125" s="163"/>
      <c r="L1125" s="164"/>
      <c r="M1125" s="11"/>
      <c r="N1125" s="39"/>
      <c r="Q1125" s="15" t="str">
        <f>+CONCATENATE(E1124,I1124)</f>
        <v/>
      </c>
      <c r="R1125" s="15">
        <f>+J1124</f>
        <v>0</v>
      </c>
      <c r="S1125" s="16"/>
      <c r="T1125" s="15">
        <f>+E1124</f>
        <v>0</v>
      </c>
      <c r="U1125" s="26" t="str">
        <f>IFERROR(LEFT(I1124,FIND("*",I1124)-1),"-")</f>
        <v>-</v>
      </c>
      <c r="V1125" s="26" t="str">
        <f>IFERROR(RIGHT(I1124,LEN(I1124)-FIND("*",I1124)),"-")</f>
        <v>-</v>
      </c>
      <c r="W1125" s="27" t="str">
        <f t="shared" ref="W1125:W1132" si="610">IFERROR((U1125+V1125)*2/1000,"-")</f>
        <v>-</v>
      </c>
      <c r="X1125" s="27" t="str">
        <f>IFERROR(W1125*J1124,"-")</f>
        <v>-</v>
      </c>
      <c r="Z1125" s="94" t="s">
        <v>82</v>
      </c>
    </row>
    <row r="1126" spans="1:26" s="25" customFormat="1" ht="6.95" customHeight="1" x14ac:dyDescent="0.3">
      <c r="A1126" s="165"/>
      <c r="B1126" s="168"/>
      <c r="C1126" s="169"/>
      <c r="D1126" s="160"/>
      <c r="E1126" s="161"/>
      <c r="F1126" s="162"/>
      <c r="G1126" s="163"/>
      <c r="H1126" s="164"/>
      <c r="I1126" s="163"/>
      <c r="J1126" s="164"/>
      <c r="K1126" s="163"/>
      <c r="L1126" s="164"/>
      <c r="M1126" s="11"/>
      <c r="N1126" s="39"/>
      <c r="Q1126" s="15" t="str">
        <f>+CONCATENATE(E1124,K1124)</f>
        <v/>
      </c>
      <c r="R1126" s="15">
        <f>+L1124</f>
        <v>0</v>
      </c>
      <c r="S1126" s="16"/>
      <c r="T1126" s="15">
        <f>+E1124</f>
        <v>0</v>
      </c>
      <c r="U1126" s="26" t="str">
        <f>IFERROR(LEFT(K1124,FIND("*",K1124)-1),"-")</f>
        <v>-</v>
      </c>
      <c r="V1126" s="26" t="str">
        <f>IFERROR(RIGHT(K1124,LEN(K1124)-FIND("*",K1124)),"-")</f>
        <v>-</v>
      </c>
      <c r="W1126" s="27" t="str">
        <f t="shared" si="610"/>
        <v>-</v>
      </c>
      <c r="X1126" s="27" t="str">
        <f>IFERROR(W1126*L1124,"-")</f>
        <v>-</v>
      </c>
      <c r="Z1126" s="94" t="s">
        <v>82</v>
      </c>
    </row>
    <row r="1127" spans="1:26" s="25" customFormat="1" ht="6.95" customHeight="1" x14ac:dyDescent="0.3">
      <c r="A1127" s="13"/>
      <c r="B1127" s="168"/>
      <c r="C1127" s="169"/>
      <c r="D1127" s="160" t="s">
        <v>39</v>
      </c>
      <c r="E1127" s="161"/>
      <c r="F1127" s="162" t="s">
        <v>40</v>
      </c>
      <c r="G1127" s="163"/>
      <c r="H1127" s="164"/>
      <c r="I1127" s="163"/>
      <c r="J1127" s="164"/>
      <c r="K1127" s="163"/>
      <c r="L1127" s="164"/>
      <c r="M1127" s="11"/>
      <c r="N1127" s="39"/>
      <c r="Q1127" s="15" t="str">
        <f>+CONCATENATE(E1127,G1127)</f>
        <v/>
      </c>
      <c r="R1127" s="15">
        <f>+H1127</f>
        <v>0</v>
      </c>
      <c r="S1127" s="16"/>
      <c r="T1127" s="15">
        <f>+E1127</f>
        <v>0</v>
      </c>
      <c r="U1127" s="26" t="str">
        <f t="shared" ref="U1127" si="611">IFERROR(LEFT(G1127,FIND("*",G1127)-1),"-")</f>
        <v>-</v>
      </c>
      <c r="V1127" s="26" t="str">
        <f t="shared" ref="V1127" si="612">IFERROR(RIGHT(G1127,LEN(G1127)-FIND("*",G1127)),"-")</f>
        <v>-</v>
      </c>
      <c r="W1127" s="27" t="str">
        <f t="shared" si="610"/>
        <v>-</v>
      </c>
      <c r="X1127" s="27" t="str">
        <f>IFERROR(W1127*H1127,"-")</f>
        <v>-</v>
      </c>
      <c r="Z1127" s="94" t="s">
        <v>82</v>
      </c>
    </row>
    <row r="1128" spans="1:26" s="25" customFormat="1" ht="6.95" customHeight="1" x14ac:dyDescent="0.3">
      <c r="A1128" s="10"/>
      <c r="B1128" s="168"/>
      <c r="C1128" s="169"/>
      <c r="D1128" s="160"/>
      <c r="E1128" s="161"/>
      <c r="F1128" s="162"/>
      <c r="G1128" s="163"/>
      <c r="H1128" s="164"/>
      <c r="I1128" s="163"/>
      <c r="J1128" s="164"/>
      <c r="K1128" s="163"/>
      <c r="L1128" s="164"/>
      <c r="M1128" s="11"/>
      <c r="N1128" s="39"/>
      <c r="Q1128" s="15" t="str">
        <f>+CONCATENATE(E1127,I1127)</f>
        <v/>
      </c>
      <c r="R1128" s="15">
        <f>+J1127</f>
        <v>0</v>
      </c>
      <c r="S1128" s="16"/>
      <c r="T1128" s="15">
        <f>+E1127</f>
        <v>0</v>
      </c>
      <c r="U1128" s="26" t="str">
        <f>IFERROR(LEFT(I1127,FIND("*",I1127)-1),"-")</f>
        <v>-</v>
      </c>
      <c r="V1128" s="26" t="str">
        <f>IFERROR(RIGHT(I1127,LEN(I1127)-FIND("*",I1127)),"-")</f>
        <v>-</v>
      </c>
      <c r="W1128" s="27" t="str">
        <f t="shared" si="610"/>
        <v>-</v>
      </c>
      <c r="X1128" s="27" t="str">
        <f>IFERROR(W1128*J1127,"-")</f>
        <v>-</v>
      </c>
      <c r="Z1128" s="94" t="s">
        <v>82</v>
      </c>
    </row>
    <row r="1129" spans="1:26" s="25" customFormat="1" ht="6.95" customHeight="1" x14ac:dyDescent="0.3">
      <c r="A1129" s="10"/>
      <c r="B1129" s="168"/>
      <c r="C1129" s="169"/>
      <c r="D1129" s="160"/>
      <c r="E1129" s="161"/>
      <c r="F1129" s="162"/>
      <c r="G1129" s="163"/>
      <c r="H1129" s="164"/>
      <c r="I1129" s="163"/>
      <c r="J1129" s="164"/>
      <c r="K1129" s="163"/>
      <c r="L1129" s="164"/>
      <c r="M1129" s="11"/>
      <c r="N1129" s="39"/>
      <c r="Q1129" s="15" t="str">
        <f>+CONCATENATE(E1127,K1127)</f>
        <v/>
      </c>
      <c r="R1129" s="15">
        <f>+L1127</f>
        <v>0</v>
      </c>
      <c r="S1129" s="16"/>
      <c r="T1129" s="15">
        <f>+E1127</f>
        <v>0</v>
      </c>
      <c r="U1129" s="26" t="str">
        <f>IFERROR(LEFT(K1127,FIND("*",K1127)-1),"-")</f>
        <v>-</v>
      </c>
      <c r="V1129" s="26" t="str">
        <f>IFERROR(RIGHT(K1127,LEN(K1127)-FIND("*",K1127)),"-")</f>
        <v>-</v>
      </c>
      <c r="W1129" s="27" t="str">
        <f t="shared" si="610"/>
        <v>-</v>
      </c>
      <c r="X1129" s="27" t="str">
        <f>IFERROR(W1129*L1127,"-")</f>
        <v>-</v>
      </c>
      <c r="Z1129" s="94" t="s">
        <v>82</v>
      </c>
    </row>
    <row r="1130" spans="1:26" s="25" customFormat="1" ht="6.95" customHeight="1" x14ac:dyDescent="0.3">
      <c r="A1130" s="13"/>
      <c r="B1130" s="168"/>
      <c r="C1130" s="169"/>
      <c r="D1130" s="160" t="s">
        <v>39</v>
      </c>
      <c r="E1130" s="161"/>
      <c r="F1130" s="162" t="s">
        <v>40</v>
      </c>
      <c r="G1130" s="163"/>
      <c r="H1130" s="164"/>
      <c r="I1130" s="163"/>
      <c r="J1130" s="164"/>
      <c r="K1130" s="163"/>
      <c r="L1130" s="164"/>
      <c r="M1130" s="11"/>
      <c r="N1130" s="39"/>
      <c r="Q1130" s="15" t="str">
        <f>+CONCATENATE(E1130,G1130)</f>
        <v/>
      </c>
      <c r="R1130" s="15">
        <f>+H1130</f>
        <v>0</v>
      </c>
      <c r="S1130" s="16"/>
      <c r="T1130" s="15">
        <f>+E1130</f>
        <v>0</v>
      </c>
      <c r="U1130" s="26" t="str">
        <f t="shared" ref="U1130" si="613">IFERROR(LEFT(G1130,FIND("*",G1130)-1),"-")</f>
        <v>-</v>
      </c>
      <c r="V1130" s="26" t="str">
        <f t="shared" ref="V1130" si="614">IFERROR(RIGHT(G1130,LEN(G1130)-FIND("*",G1130)),"-")</f>
        <v>-</v>
      </c>
      <c r="W1130" s="27" t="str">
        <f t="shared" si="610"/>
        <v>-</v>
      </c>
      <c r="X1130" s="27" t="str">
        <f>IFERROR(W1130*H1130,"-")</f>
        <v>-</v>
      </c>
      <c r="Z1130" s="94" t="s">
        <v>82</v>
      </c>
    </row>
    <row r="1131" spans="1:26" s="25" customFormat="1" ht="6.95" customHeight="1" x14ac:dyDescent="0.3">
      <c r="A1131" s="10"/>
      <c r="B1131" s="168"/>
      <c r="C1131" s="169"/>
      <c r="D1131" s="160"/>
      <c r="E1131" s="161"/>
      <c r="F1131" s="162"/>
      <c r="G1131" s="163"/>
      <c r="H1131" s="164"/>
      <c r="I1131" s="163"/>
      <c r="J1131" s="164"/>
      <c r="K1131" s="163"/>
      <c r="L1131" s="164"/>
      <c r="M1131" s="11"/>
      <c r="N1131" s="39"/>
      <c r="Q1131" s="15" t="str">
        <f>+CONCATENATE(E1130,I1130)</f>
        <v/>
      </c>
      <c r="R1131" s="15">
        <f>+J1130</f>
        <v>0</v>
      </c>
      <c r="S1131" s="16"/>
      <c r="T1131" s="15">
        <f>+E1130</f>
        <v>0</v>
      </c>
      <c r="U1131" s="26" t="str">
        <f>IFERROR(LEFT(I1130,FIND("*",I1130)-1),"-")</f>
        <v>-</v>
      </c>
      <c r="V1131" s="26" t="str">
        <f>IFERROR(RIGHT(I1130,LEN(I1130)-FIND("*",I1130)),"-")</f>
        <v>-</v>
      </c>
      <c r="W1131" s="27" t="str">
        <f t="shared" si="610"/>
        <v>-</v>
      </c>
      <c r="X1131" s="27" t="str">
        <f t="shared" ref="X1131" si="615">IFERROR(W1131*J1130,"-")</f>
        <v>-</v>
      </c>
      <c r="Z1131" s="94" t="s">
        <v>82</v>
      </c>
    </row>
    <row r="1132" spans="1:26" s="25" customFormat="1" ht="6.95" customHeight="1" x14ac:dyDescent="0.3">
      <c r="A1132" s="10"/>
      <c r="B1132" s="168"/>
      <c r="C1132" s="169"/>
      <c r="D1132" s="160"/>
      <c r="E1132" s="161"/>
      <c r="F1132" s="162"/>
      <c r="G1132" s="163"/>
      <c r="H1132" s="164"/>
      <c r="I1132" s="163"/>
      <c r="J1132" s="164"/>
      <c r="K1132" s="163"/>
      <c r="L1132" s="164"/>
      <c r="M1132" s="11"/>
      <c r="N1132" s="39"/>
      <c r="Q1132" s="15" t="str">
        <f>+CONCATENATE(E1130,K1130)</f>
        <v/>
      </c>
      <c r="R1132" s="15">
        <f>+L1130</f>
        <v>0</v>
      </c>
      <c r="S1132" s="16"/>
      <c r="T1132" s="15">
        <f>+E1130</f>
        <v>0</v>
      </c>
      <c r="U1132" s="26" t="str">
        <f>IFERROR(LEFT(K1130,FIND("*",K1130)-1),"-")</f>
        <v>-</v>
      </c>
      <c r="V1132" s="26" t="str">
        <f>IFERROR(RIGHT(K1130,LEN(K1130)-FIND("*",K1130)),"-")</f>
        <v>-</v>
      </c>
      <c r="W1132" s="27" t="str">
        <f t="shared" si="610"/>
        <v>-</v>
      </c>
      <c r="X1132" s="27" t="str">
        <f>IFERROR(W1132*L1130,"-")</f>
        <v>-</v>
      </c>
      <c r="Z1132" s="94" t="s">
        <v>82</v>
      </c>
    </row>
    <row r="1133" spans="1:26" s="25" customFormat="1" ht="21" customHeight="1" thickBot="1" x14ac:dyDescent="0.35">
      <c r="A1133" s="10"/>
      <c r="B1133" s="170"/>
      <c r="C1133" s="171"/>
      <c r="D1133" s="172" t="s">
        <v>43</v>
      </c>
      <c r="E1133" s="173"/>
      <c r="F1133" s="173"/>
      <c r="G1133" s="174"/>
      <c r="H1133" s="174"/>
      <c r="I1133" s="174"/>
      <c r="J1133" s="174"/>
      <c r="K1133" s="174"/>
      <c r="L1133" s="174"/>
      <c r="M1133" s="12"/>
      <c r="N1133" s="39"/>
      <c r="U1133" s="23"/>
      <c r="V1133" s="23"/>
      <c r="Z1133" s="95" t="s">
        <v>81</v>
      </c>
    </row>
    <row r="1134" spans="1:26" s="25" customFormat="1" ht="9.9499999999999993" customHeight="1" thickBot="1" x14ac:dyDescent="0.35">
      <c r="A1134" s="6"/>
      <c r="B1134" s="14"/>
      <c r="C1134" s="119"/>
      <c r="D1134" s="58"/>
      <c r="E1134" s="17"/>
      <c r="F1134" s="58"/>
      <c r="G1134" s="19"/>
      <c r="H1134" s="19"/>
      <c r="I1134" s="19"/>
      <c r="J1134" s="19"/>
      <c r="K1134" s="19"/>
      <c r="L1134" s="19"/>
      <c r="M1134" s="14"/>
      <c r="N1134" s="39"/>
      <c r="Q1134" s="1"/>
      <c r="R1134" s="1"/>
      <c r="S1134" s="1"/>
      <c r="T1134" s="1"/>
      <c r="U1134" s="24"/>
      <c r="V1134" s="24"/>
      <c r="W1134" s="1"/>
      <c r="X1134" s="1"/>
      <c r="Z1134" s="94" t="s">
        <v>82</v>
      </c>
    </row>
    <row r="1135" spans="1:26" s="25" customFormat="1" ht="6.95" customHeight="1" x14ac:dyDescent="0.3">
      <c r="A1135" s="165">
        <f>+A1124+1</f>
        <v>104</v>
      </c>
      <c r="B1135" s="166"/>
      <c r="C1135" s="167"/>
      <c r="D1135" s="160" t="s">
        <v>39</v>
      </c>
      <c r="E1135" s="161"/>
      <c r="F1135" s="162" t="s">
        <v>40</v>
      </c>
      <c r="G1135" s="163"/>
      <c r="H1135" s="164"/>
      <c r="I1135" s="163"/>
      <c r="J1135" s="164"/>
      <c r="K1135" s="163"/>
      <c r="L1135" s="164"/>
      <c r="M1135" s="11"/>
      <c r="N1135" s="39"/>
      <c r="Q1135" s="15" t="str">
        <f>+CONCATENATE(E1135,G1135)</f>
        <v/>
      </c>
      <c r="R1135" s="15">
        <f>+H1135</f>
        <v>0</v>
      </c>
      <c r="S1135" s="16"/>
      <c r="T1135" s="15">
        <f>+E1135</f>
        <v>0</v>
      </c>
      <c r="U1135" s="26" t="str">
        <f>IFERROR(LEFT(G1135,FIND("*",G1135)-1),"-")</f>
        <v>-</v>
      </c>
      <c r="V1135" s="26" t="str">
        <f>IFERROR(RIGHT(G1135,LEN(G1135)-FIND("*",G1135)),"-")</f>
        <v>-</v>
      </c>
      <c r="W1135" s="27" t="str">
        <f>IFERROR((U1135+V1135)*2/1000,"-")</f>
        <v>-</v>
      </c>
      <c r="X1135" s="27" t="str">
        <f>IFERROR(W1135*H1135,"-")</f>
        <v>-</v>
      </c>
      <c r="Z1135" s="94" t="s">
        <v>82</v>
      </c>
    </row>
    <row r="1136" spans="1:26" s="25" customFormat="1" ht="6.95" customHeight="1" x14ac:dyDescent="0.3">
      <c r="A1136" s="165"/>
      <c r="B1136" s="168"/>
      <c r="C1136" s="169"/>
      <c r="D1136" s="160"/>
      <c r="E1136" s="161"/>
      <c r="F1136" s="162"/>
      <c r="G1136" s="163"/>
      <c r="H1136" s="164"/>
      <c r="I1136" s="163"/>
      <c r="J1136" s="164"/>
      <c r="K1136" s="163"/>
      <c r="L1136" s="164"/>
      <c r="M1136" s="11"/>
      <c r="N1136" s="39"/>
      <c r="Q1136" s="15" t="str">
        <f>+CONCATENATE(E1135,I1135)</f>
        <v/>
      </c>
      <c r="R1136" s="15">
        <f>+J1135</f>
        <v>0</v>
      </c>
      <c r="S1136" s="16"/>
      <c r="T1136" s="15">
        <f>+E1135</f>
        <v>0</v>
      </c>
      <c r="U1136" s="26" t="str">
        <f>IFERROR(LEFT(I1135,FIND("*",I1135)-1),"-")</f>
        <v>-</v>
      </c>
      <c r="V1136" s="26" t="str">
        <f>IFERROR(RIGHT(I1135,LEN(I1135)-FIND("*",I1135)),"-")</f>
        <v>-</v>
      </c>
      <c r="W1136" s="27" t="str">
        <f t="shared" ref="W1136:W1143" si="616">IFERROR((U1136+V1136)*2/1000,"-")</f>
        <v>-</v>
      </c>
      <c r="X1136" s="27" t="str">
        <f>IFERROR(W1136*J1135,"-")</f>
        <v>-</v>
      </c>
      <c r="Z1136" s="94" t="s">
        <v>82</v>
      </c>
    </row>
    <row r="1137" spans="1:26" s="25" customFormat="1" ht="6.95" customHeight="1" x14ac:dyDescent="0.3">
      <c r="A1137" s="165"/>
      <c r="B1137" s="168"/>
      <c r="C1137" s="169"/>
      <c r="D1137" s="160"/>
      <c r="E1137" s="161"/>
      <c r="F1137" s="162"/>
      <c r="G1137" s="163"/>
      <c r="H1137" s="164"/>
      <c r="I1137" s="163"/>
      <c r="J1137" s="164"/>
      <c r="K1137" s="163"/>
      <c r="L1137" s="164"/>
      <c r="M1137" s="11"/>
      <c r="N1137" s="39"/>
      <c r="Q1137" s="15" t="str">
        <f>+CONCATENATE(E1135,K1135)</f>
        <v/>
      </c>
      <c r="R1137" s="15">
        <f>+L1135</f>
        <v>0</v>
      </c>
      <c r="S1137" s="16"/>
      <c r="T1137" s="15">
        <f>+E1135</f>
        <v>0</v>
      </c>
      <c r="U1137" s="26" t="str">
        <f>IFERROR(LEFT(K1135,FIND("*",K1135)-1),"-")</f>
        <v>-</v>
      </c>
      <c r="V1137" s="26" t="str">
        <f>IFERROR(RIGHT(K1135,LEN(K1135)-FIND("*",K1135)),"-")</f>
        <v>-</v>
      </c>
      <c r="W1137" s="27" t="str">
        <f t="shared" si="616"/>
        <v>-</v>
      </c>
      <c r="X1137" s="27" t="str">
        <f>IFERROR(W1137*L1135,"-")</f>
        <v>-</v>
      </c>
      <c r="Z1137" s="94" t="s">
        <v>82</v>
      </c>
    </row>
    <row r="1138" spans="1:26" s="25" customFormat="1" ht="6.95" customHeight="1" x14ac:dyDescent="0.3">
      <c r="A1138" s="13"/>
      <c r="B1138" s="168"/>
      <c r="C1138" s="169"/>
      <c r="D1138" s="160" t="s">
        <v>39</v>
      </c>
      <c r="E1138" s="161"/>
      <c r="F1138" s="162" t="s">
        <v>40</v>
      </c>
      <c r="G1138" s="163"/>
      <c r="H1138" s="164"/>
      <c r="I1138" s="163"/>
      <c r="J1138" s="164"/>
      <c r="K1138" s="163"/>
      <c r="L1138" s="164"/>
      <c r="M1138" s="11"/>
      <c r="N1138" s="39"/>
      <c r="Q1138" s="15" t="str">
        <f>+CONCATENATE(E1138,G1138)</f>
        <v/>
      </c>
      <c r="R1138" s="15">
        <f>+H1138</f>
        <v>0</v>
      </c>
      <c r="S1138" s="16"/>
      <c r="T1138" s="15">
        <f>+E1138</f>
        <v>0</v>
      </c>
      <c r="U1138" s="26" t="str">
        <f t="shared" ref="U1138" si="617">IFERROR(LEFT(G1138,FIND("*",G1138)-1),"-")</f>
        <v>-</v>
      </c>
      <c r="V1138" s="26" t="str">
        <f t="shared" ref="V1138" si="618">IFERROR(RIGHT(G1138,LEN(G1138)-FIND("*",G1138)),"-")</f>
        <v>-</v>
      </c>
      <c r="W1138" s="27" t="str">
        <f t="shared" si="616"/>
        <v>-</v>
      </c>
      <c r="X1138" s="27" t="str">
        <f>IFERROR(W1138*H1138,"-")</f>
        <v>-</v>
      </c>
      <c r="Z1138" s="94" t="s">
        <v>82</v>
      </c>
    </row>
    <row r="1139" spans="1:26" s="25" customFormat="1" ht="6.95" customHeight="1" x14ac:dyDescent="0.3">
      <c r="A1139" s="10"/>
      <c r="B1139" s="168"/>
      <c r="C1139" s="169"/>
      <c r="D1139" s="160"/>
      <c r="E1139" s="161"/>
      <c r="F1139" s="162"/>
      <c r="G1139" s="163"/>
      <c r="H1139" s="164"/>
      <c r="I1139" s="163"/>
      <c r="J1139" s="164"/>
      <c r="K1139" s="163"/>
      <c r="L1139" s="164"/>
      <c r="M1139" s="11"/>
      <c r="N1139" s="39"/>
      <c r="Q1139" s="15" t="str">
        <f>+CONCATENATE(E1138,I1138)</f>
        <v/>
      </c>
      <c r="R1139" s="15">
        <f>+J1138</f>
        <v>0</v>
      </c>
      <c r="S1139" s="16"/>
      <c r="T1139" s="15">
        <f>+E1138</f>
        <v>0</v>
      </c>
      <c r="U1139" s="26" t="str">
        <f>IFERROR(LEFT(I1138,FIND("*",I1138)-1),"-")</f>
        <v>-</v>
      </c>
      <c r="V1139" s="26" t="str">
        <f>IFERROR(RIGHT(I1138,LEN(I1138)-FIND("*",I1138)),"-")</f>
        <v>-</v>
      </c>
      <c r="W1139" s="27" t="str">
        <f t="shared" si="616"/>
        <v>-</v>
      </c>
      <c r="X1139" s="27" t="str">
        <f>IFERROR(W1139*J1138,"-")</f>
        <v>-</v>
      </c>
      <c r="Z1139" s="94" t="s">
        <v>82</v>
      </c>
    </row>
    <row r="1140" spans="1:26" s="25" customFormat="1" ht="6.95" customHeight="1" x14ac:dyDescent="0.3">
      <c r="A1140" s="10"/>
      <c r="B1140" s="168"/>
      <c r="C1140" s="169"/>
      <c r="D1140" s="160"/>
      <c r="E1140" s="161"/>
      <c r="F1140" s="162"/>
      <c r="G1140" s="163"/>
      <c r="H1140" s="164"/>
      <c r="I1140" s="163"/>
      <c r="J1140" s="164"/>
      <c r="K1140" s="163"/>
      <c r="L1140" s="164"/>
      <c r="M1140" s="11"/>
      <c r="N1140" s="39"/>
      <c r="Q1140" s="15" t="str">
        <f>+CONCATENATE(E1138,K1138)</f>
        <v/>
      </c>
      <c r="R1140" s="15">
        <f>+L1138</f>
        <v>0</v>
      </c>
      <c r="S1140" s="16"/>
      <c r="T1140" s="15">
        <f>+E1138</f>
        <v>0</v>
      </c>
      <c r="U1140" s="26" t="str">
        <f>IFERROR(LEFT(K1138,FIND("*",K1138)-1),"-")</f>
        <v>-</v>
      </c>
      <c r="V1140" s="26" t="str">
        <f>IFERROR(RIGHT(K1138,LEN(K1138)-FIND("*",K1138)),"-")</f>
        <v>-</v>
      </c>
      <c r="W1140" s="27" t="str">
        <f t="shared" si="616"/>
        <v>-</v>
      </c>
      <c r="X1140" s="27" t="str">
        <f>IFERROR(W1140*L1138,"-")</f>
        <v>-</v>
      </c>
      <c r="Z1140" s="94" t="s">
        <v>82</v>
      </c>
    </row>
    <row r="1141" spans="1:26" s="25" customFormat="1" ht="6.95" customHeight="1" x14ac:dyDescent="0.3">
      <c r="A1141" s="13"/>
      <c r="B1141" s="168"/>
      <c r="C1141" s="169"/>
      <c r="D1141" s="160" t="s">
        <v>39</v>
      </c>
      <c r="E1141" s="161"/>
      <c r="F1141" s="162" t="s">
        <v>40</v>
      </c>
      <c r="G1141" s="163"/>
      <c r="H1141" s="164"/>
      <c r="I1141" s="163"/>
      <c r="J1141" s="164"/>
      <c r="K1141" s="163"/>
      <c r="L1141" s="164"/>
      <c r="M1141" s="11"/>
      <c r="N1141" s="39"/>
      <c r="Q1141" s="15" t="str">
        <f>+CONCATENATE(E1141,G1141)</f>
        <v/>
      </c>
      <c r="R1141" s="15">
        <f>+H1141</f>
        <v>0</v>
      </c>
      <c r="S1141" s="16"/>
      <c r="T1141" s="15">
        <f>+E1141</f>
        <v>0</v>
      </c>
      <c r="U1141" s="26" t="str">
        <f t="shared" ref="U1141" si="619">IFERROR(LEFT(G1141,FIND("*",G1141)-1),"-")</f>
        <v>-</v>
      </c>
      <c r="V1141" s="26" t="str">
        <f t="shared" ref="V1141" si="620">IFERROR(RIGHT(G1141,LEN(G1141)-FIND("*",G1141)),"-")</f>
        <v>-</v>
      </c>
      <c r="W1141" s="27" t="str">
        <f t="shared" si="616"/>
        <v>-</v>
      </c>
      <c r="X1141" s="27" t="str">
        <f>IFERROR(W1141*H1141,"-")</f>
        <v>-</v>
      </c>
      <c r="Z1141" s="94" t="s">
        <v>82</v>
      </c>
    </row>
    <row r="1142" spans="1:26" s="25" customFormat="1" ht="6.95" customHeight="1" x14ac:dyDescent="0.3">
      <c r="A1142" s="10"/>
      <c r="B1142" s="168"/>
      <c r="C1142" s="169"/>
      <c r="D1142" s="160"/>
      <c r="E1142" s="161"/>
      <c r="F1142" s="162"/>
      <c r="G1142" s="163"/>
      <c r="H1142" s="164"/>
      <c r="I1142" s="163"/>
      <c r="J1142" s="164"/>
      <c r="K1142" s="163"/>
      <c r="L1142" s="164"/>
      <c r="M1142" s="11"/>
      <c r="N1142" s="39"/>
      <c r="Q1142" s="15" t="str">
        <f>+CONCATENATE(E1141,I1141)</f>
        <v/>
      </c>
      <c r="R1142" s="15">
        <f>+J1141</f>
        <v>0</v>
      </c>
      <c r="S1142" s="16"/>
      <c r="T1142" s="15">
        <f>+E1141</f>
        <v>0</v>
      </c>
      <c r="U1142" s="26" t="str">
        <f>IFERROR(LEFT(I1141,FIND("*",I1141)-1),"-")</f>
        <v>-</v>
      </c>
      <c r="V1142" s="26" t="str">
        <f>IFERROR(RIGHT(I1141,LEN(I1141)-FIND("*",I1141)),"-")</f>
        <v>-</v>
      </c>
      <c r="W1142" s="27" t="str">
        <f t="shared" si="616"/>
        <v>-</v>
      </c>
      <c r="X1142" s="27" t="str">
        <f t="shared" ref="X1142" si="621">IFERROR(W1142*J1141,"-")</f>
        <v>-</v>
      </c>
      <c r="Z1142" s="94" t="s">
        <v>82</v>
      </c>
    </row>
    <row r="1143" spans="1:26" s="25" customFormat="1" ht="6.95" customHeight="1" x14ac:dyDescent="0.3">
      <c r="A1143" s="10"/>
      <c r="B1143" s="168"/>
      <c r="C1143" s="169"/>
      <c r="D1143" s="160"/>
      <c r="E1143" s="161"/>
      <c r="F1143" s="162"/>
      <c r="G1143" s="163"/>
      <c r="H1143" s="164"/>
      <c r="I1143" s="163"/>
      <c r="J1143" s="164"/>
      <c r="K1143" s="163"/>
      <c r="L1143" s="164"/>
      <c r="M1143" s="11"/>
      <c r="N1143" s="39"/>
      <c r="Q1143" s="15" t="str">
        <f>+CONCATENATE(E1141,K1141)</f>
        <v/>
      </c>
      <c r="R1143" s="15">
        <f>+L1141</f>
        <v>0</v>
      </c>
      <c r="S1143" s="16"/>
      <c r="T1143" s="15">
        <f>+E1141</f>
        <v>0</v>
      </c>
      <c r="U1143" s="26" t="str">
        <f>IFERROR(LEFT(K1141,FIND("*",K1141)-1),"-")</f>
        <v>-</v>
      </c>
      <c r="V1143" s="26" t="str">
        <f>IFERROR(RIGHT(K1141,LEN(K1141)-FIND("*",K1141)),"-")</f>
        <v>-</v>
      </c>
      <c r="W1143" s="27" t="str">
        <f t="shared" si="616"/>
        <v>-</v>
      </c>
      <c r="X1143" s="27" t="str">
        <f>IFERROR(W1143*L1141,"-")</f>
        <v>-</v>
      </c>
      <c r="Z1143" s="94" t="s">
        <v>82</v>
      </c>
    </row>
    <row r="1144" spans="1:26" s="25" customFormat="1" ht="21" customHeight="1" thickBot="1" x14ac:dyDescent="0.35">
      <c r="A1144" s="10"/>
      <c r="B1144" s="170"/>
      <c r="C1144" s="171"/>
      <c r="D1144" s="172" t="s">
        <v>43</v>
      </c>
      <c r="E1144" s="173"/>
      <c r="F1144" s="173"/>
      <c r="G1144" s="174"/>
      <c r="H1144" s="174"/>
      <c r="I1144" s="174"/>
      <c r="J1144" s="174"/>
      <c r="K1144" s="174"/>
      <c r="L1144" s="174"/>
      <c r="M1144" s="12"/>
      <c r="N1144" s="39"/>
      <c r="U1144" s="23"/>
      <c r="V1144" s="23"/>
      <c r="Z1144" s="95" t="s">
        <v>81</v>
      </c>
    </row>
    <row r="1145" spans="1:26" s="25" customFormat="1" ht="9.9499999999999993" customHeight="1" thickBot="1" x14ac:dyDescent="0.35">
      <c r="A1145" s="6"/>
      <c r="B1145" s="14"/>
      <c r="C1145" s="119"/>
      <c r="D1145" s="58"/>
      <c r="E1145" s="17"/>
      <c r="F1145" s="58"/>
      <c r="G1145" s="19"/>
      <c r="H1145" s="19"/>
      <c r="I1145" s="19"/>
      <c r="J1145" s="19"/>
      <c r="K1145" s="19"/>
      <c r="L1145" s="19"/>
      <c r="M1145" s="14"/>
      <c r="N1145" s="39"/>
      <c r="Q1145" s="1"/>
      <c r="R1145" s="1"/>
      <c r="S1145" s="1"/>
      <c r="T1145" s="1"/>
      <c r="U1145" s="24"/>
      <c r="V1145" s="24"/>
      <c r="W1145" s="1"/>
      <c r="X1145" s="1"/>
      <c r="Z1145" s="94" t="s">
        <v>82</v>
      </c>
    </row>
    <row r="1146" spans="1:26" s="25" customFormat="1" ht="6.95" customHeight="1" x14ac:dyDescent="0.3">
      <c r="A1146" s="165">
        <f>+A1135+1</f>
        <v>105</v>
      </c>
      <c r="B1146" s="166"/>
      <c r="C1146" s="167"/>
      <c r="D1146" s="160" t="s">
        <v>39</v>
      </c>
      <c r="E1146" s="161"/>
      <c r="F1146" s="162" t="s">
        <v>40</v>
      </c>
      <c r="G1146" s="163"/>
      <c r="H1146" s="164"/>
      <c r="I1146" s="163"/>
      <c r="J1146" s="164"/>
      <c r="K1146" s="163"/>
      <c r="L1146" s="164"/>
      <c r="M1146" s="11"/>
      <c r="N1146" s="39"/>
      <c r="Q1146" s="15" t="str">
        <f>+CONCATENATE(E1146,G1146)</f>
        <v/>
      </c>
      <c r="R1146" s="15">
        <f>+H1146</f>
        <v>0</v>
      </c>
      <c r="S1146" s="16"/>
      <c r="T1146" s="15">
        <f>+E1146</f>
        <v>0</v>
      </c>
      <c r="U1146" s="26" t="str">
        <f>IFERROR(LEFT(G1146,FIND("*",G1146)-1),"-")</f>
        <v>-</v>
      </c>
      <c r="V1146" s="26" t="str">
        <f>IFERROR(RIGHT(G1146,LEN(G1146)-FIND("*",G1146)),"-")</f>
        <v>-</v>
      </c>
      <c r="W1146" s="27" t="str">
        <f>IFERROR((U1146+V1146)*2/1000,"-")</f>
        <v>-</v>
      </c>
      <c r="X1146" s="27" t="str">
        <f>IFERROR(W1146*H1146,"-")</f>
        <v>-</v>
      </c>
      <c r="Z1146" s="94" t="s">
        <v>82</v>
      </c>
    </row>
    <row r="1147" spans="1:26" s="25" customFormat="1" ht="6.95" customHeight="1" x14ac:dyDescent="0.3">
      <c r="A1147" s="165"/>
      <c r="B1147" s="168"/>
      <c r="C1147" s="169"/>
      <c r="D1147" s="160"/>
      <c r="E1147" s="161"/>
      <c r="F1147" s="162"/>
      <c r="G1147" s="163"/>
      <c r="H1147" s="164"/>
      <c r="I1147" s="163"/>
      <c r="J1147" s="164"/>
      <c r="K1147" s="163"/>
      <c r="L1147" s="164"/>
      <c r="M1147" s="11"/>
      <c r="N1147" s="39"/>
      <c r="Q1147" s="15" t="str">
        <f>+CONCATENATE(E1146,I1146)</f>
        <v/>
      </c>
      <c r="R1147" s="15">
        <f>+J1146</f>
        <v>0</v>
      </c>
      <c r="S1147" s="16"/>
      <c r="T1147" s="15">
        <f>+E1146</f>
        <v>0</v>
      </c>
      <c r="U1147" s="26" t="str">
        <f>IFERROR(LEFT(I1146,FIND("*",I1146)-1),"-")</f>
        <v>-</v>
      </c>
      <c r="V1147" s="26" t="str">
        <f>IFERROR(RIGHT(I1146,LEN(I1146)-FIND("*",I1146)),"-")</f>
        <v>-</v>
      </c>
      <c r="W1147" s="27" t="str">
        <f t="shared" ref="W1147:W1154" si="622">IFERROR((U1147+V1147)*2/1000,"-")</f>
        <v>-</v>
      </c>
      <c r="X1147" s="27" t="str">
        <f>IFERROR(W1147*J1146,"-")</f>
        <v>-</v>
      </c>
      <c r="Z1147" s="94" t="s">
        <v>82</v>
      </c>
    </row>
    <row r="1148" spans="1:26" s="25" customFormat="1" ht="6.95" customHeight="1" x14ac:dyDescent="0.3">
      <c r="A1148" s="165"/>
      <c r="B1148" s="168"/>
      <c r="C1148" s="169"/>
      <c r="D1148" s="160"/>
      <c r="E1148" s="161"/>
      <c r="F1148" s="162"/>
      <c r="G1148" s="163"/>
      <c r="H1148" s="164"/>
      <c r="I1148" s="163"/>
      <c r="J1148" s="164"/>
      <c r="K1148" s="163"/>
      <c r="L1148" s="164"/>
      <c r="M1148" s="11"/>
      <c r="N1148" s="39"/>
      <c r="Q1148" s="15" t="str">
        <f>+CONCATENATE(E1146,K1146)</f>
        <v/>
      </c>
      <c r="R1148" s="15">
        <f>+L1146</f>
        <v>0</v>
      </c>
      <c r="S1148" s="16"/>
      <c r="T1148" s="15">
        <f>+E1146</f>
        <v>0</v>
      </c>
      <c r="U1148" s="26" t="str">
        <f>IFERROR(LEFT(K1146,FIND("*",K1146)-1),"-")</f>
        <v>-</v>
      </c>
      <c r="V1148" s="26" t="str">
        <f>IFERROR(RIGHT(K1146,LEN(K1146)-FIND("*",K1146)),"-")</f>
        <v>-</v>
      </c>
      <c r="W1148" s="27" t="str">
        <f t="shared" si="622"/>
        <v>-</v>
      </c>
      <c r="X1148" s="27" t="str">
        <f>IFERROR(W1148*L1146,"-")</f>
        <v>-</v>
      </c>
      <c r="Z1148" s="94" t="s">
        <v>82</v>
      </c>
    </row>
    <row r="1149" spans="1:26" s="25" customFormat="1" ht="6.95" customHeight="1" x14ac:dyDescent="0.3">
      <c r="A1149" s="13"/>
      <c r="B1149" s="168"/>
      <c r="C1149" s="169"/>
      <c r="D1149" s="160" t="s">
        <v>39</v>
      </c>
      <c r="E1149" s="161"/>
      <c r="F1149" s="162" t="s">
        <v>40</v>
      </c>
      <c r="G1149" s="163"/>
      <c r="H1149" s="164"/>
      <c r="I1149" s="163"/>
      <c r="J1149" s="164"/>
      <c r="K1149" s="163"/>
      <c r="L1149" s="164"/>
      <c r="M1149" s="11"/>
      <c r="N1149" s="39"/>
      <c r="Q1149" s="15" t="str">
        <f>+CONCATENATE(E1149,G1149)</f>
        <v/>
      </c>
      <c r="R1149" s="15">
        <f>+H1149</f>
        <v>0</v>
      </c>
      <c r="S1149" s="16"/>
      <c r="T1149" s="15">
        <f>+E1149</f>
        <v>0</v>
      </c>
      <c r="U1149" s="26" t="str">
        <f t="shared" ref="U1149" si="623">IFERROR(LEFT(G1149,FIND("*",G1149)-1),"-")</f>
        <v>-</v>
      </c>
      <c r="V1149" s="26" t="str">
        <f t="shared" ref="V1149" si="624">IFERROR(RIGHT(G1149,LEN(G1149)-FIND("*",G1149)),"-")</f>
        <v>-</v>
      </c>
      <c r="W1149" s="27" t="str">
        <f t="shared" si="622"/>
        <v>-</v>
      </c>
      <c r="X1149" s="27" t="str">
        <f>IFERROR(W1149*H1149,"-")</f>
        <v>-</v>
      </c>
      <c r="Z1149" s="94" t="s">
        <v>82</v>
      </c>
    </row>
    <row r="1150" spans="1:26" s="25" customFormat="1" ht="6.95" customHeight="1" x14ac:dyDescent="0.3">
      <c r="A1150" s="10"/>
      <c r="B1150" s="168"/>
      <c r="C1150" s="169"/>
      <c r="D1150" s="160"/>
      <c r="E1150" s="161"/>
      <c r="F1150" s="162"/>
      <c r="G1150" s="163"/>
      <c r="H1150" s="164"/>
      <c r="I1150" s="163"/>
      <c r="J1150" s="164"/>
      <c r="K1150" s="163"/>
      <c r="L1150" s="164"/>
      <c r="M1150" s="11"/>
      <c r="N1150" s="39"/>
      <c r="Q1150" s="15" t="str">
        <f>+CONCATENATE(E1149,I1149)</f>
        <v/>
      </c>
      <c r="R1150" s="15">
        <f>+J1149</f>
        <v>0</v>
      </c>
      <c r="S1150" s="16"/>
      <c r="T1150" s="15">
        <f>+E1149</f>
        <v>0</v>
      </c>
      <c r="U1150" s="26" t="str">
        <f>IFERROR(LEFT(I1149,FIND("*",I1149)-1),"-")</f>
        <v>-</v>
      </c>
      <c r="V1150" s="26" t="str">
        <f>IFERROR(RIGHT(I1149,LEN(I1149)-FIND("*",I1149)),"-")</f>
        <v>-</v>
      </c>
      <c r="W1150" s="27" t="str">
        <f t="shared" si="622"/>
        <v>-</v>
      </c>
      <c r="X1150" s="27" t="str">
        <f>IFERROR(W1150*J1149,"-")</f>
        <v>-</v>
      </c>
      <c r="Z1150" s="94" t="s">
        <v>82</v>
      </c>
    </row>
    <row r="1151" spans="1:26" s="25" customFormat="1" ht="6.95" customHeight="1" x14ac:dyDescent="0.3">
      <c r="A1151" s="10"/>
      <c r="B1151" s="168"/>
      <c r="C1151" s="169"/>
      <c r="D1151" s="160"/>
      <c r="E1151" s="161"/>
      <c r="F1151" s="162"/>
      <c r="G1151" s="163"/>
      <c r="H1151" s="164"/>
      <c r="I1151" s="163"/>
      <c r="J1151" s="164"/>
      <c r="K1151" s="163"/>
      <c r="L1151" s="164"/>
      <c r="M1151" s="11"/>
      <c r="N1151" s="39"/>
      <c r="Q1151" s="15" t="str">
        <f>+CONCATENATE(E1149,K1149)</f>
        <v/>
      </c>
      <c r="R1151" s="15">
        <f>+L1149</f>
        <v>0</v>
      </c>
      <c r="S1151" s="16"/>
      <c r="T1151" s="15">
        <f>+E1149</f>
        <v>0</v>
      </c>
      <c r="U1151" s="26" t="str">
        <f>IFERROR(LEFT(K1149,FIND("*",K1149)-1),"-")</f>
        <v>-</v>
      </c>
      <c r="V1151" s="26" t="str">
        <f>IFERROR(RIGHT(K1149,LEN(K1149)-FIND("*",K1149)),"-")</f>
        <v>-</v>
      </c>
      <c r="W1151" s="27" t="str">
        <f t="shared" si="622"/>
        <v>-</v>
      </c>
      <c r="X1151" s="27" t="str">
        <f>IFERROR(W1151*L1149,"-")</f>
        <v>-</v>
      </c>
      <c r="Z1151" s="94" t="s">
        <v>82</v>
      </c>
    </row>
    <row r="1152" spans="1:26" s="25" customFormat="1" ht="6.95" customHeight="1" x14ac:dyDescent="0.3">
      <c r="A1152" s="13"/>
      <c r="B1152" s="168"/>
      <c r="C1152" s="169"/>
      <c r="D1152" s="160" t="s">
        <v>39</v>
      </c>
      <c r="E1152" s="161"/>
      <c r="F1152" s="162" t="s">
        <v>40</v>
      </c>
      <c r="G1152" s="163"/>
      <c r="H1152" s="164"/>
      <c r="I1152" s="163"/>
      <c r="J1152" s="164"/>
      <c r="K1152" s="163"/>
      <c r="L1152" s="164"/>
      <c r="M1152" s="11"/>
      <c r="N1152" s="39"/>
      <c r="Q1152" s="15" t="str">
        <f>+CONCATENATE(E1152,G1152)</f>
        <v/>
      </c>
      <c r="R1152" s="15">
        <f>+H1152</f>
        <v>0</v>
      </c>
      <c r="S1152" s="16"/>
      <c r="T1152" s="15">
        <f>+E1152</f>
        <v>0</v>
      </c>
      <c r="U1152" s="26" t="str">
        <f t="shared" ref="U1152" si="625">IFERROR(LEFT(G1152,FIND("*",G1152)-1),"-")</f>
        <v>-</v>
      </c>
      <c r="V1152" s="26" t="str">
        <f t="shared" ref="V1152" si="626">IFERROR(RIGHT(G1152,LEN(G1152)-FIND("*",G1152)),"-")</f>
        <v>-</v>
      </c>
      <c r="W1152" s="27" t="str">
        <f t="shared" si="622"/>
        <v>-</v>
      </c>
      <c r="X1152" s="27" t="str">
        <f>IFERROR(W1152*H1152,"-")</f>
        <v>-</v>
      </c>
      <c r="Z1152" s="94" t="s">
        <v>82</v>
      </c>
    </row>
    <row r="1153" spans="1:26" s="25" customFormat="1" ht="6.95" customHeight="1" x14ac:dyDescent="0.3">
      <c r="A1153" s="10"/>
      <c r="B1153" s="168"/>
      <c r="C1153" s="169"/>
      <c r="D1153" s="160"/>
      <c r="E1153" s="161"/>
      <c r="F1153" s="162"/>
      <c r="G1153" s="163"/>
      <c r="H1153" s="164"/>
      <c r="I1153" s="163"/>
      <c r="J1153" s="164"/>
      <c r="K1153" s="163"/>
      <c r="L1153" s="164"/>
      <c r="M1153" s="11"/>
      <c r="N1153" s="39"/>
      <c r="Q1153" s="15" t="str">
        <f>+CONCATENATE(E1152,I1152)</f>
        <v/>
      </c>
      <c r="R1153" s="15">
        <f>+J1152</f>
        <v>0</v>
      </c>
      <c r="S1153" s="16"/>
      <c r="T1153" s="15">
        <f>+E1152</f>
        <v>0</v>
      </c>
      <c r="U1153" s="26" t="str">
        <f>IFERROR(LEFT(I1152,FIND("*",I1152)-1),"-")</f>
        <v>-</v>
      </c>
      <c r="V1153" s="26" t="str">
        <f>IFERROR(RIGHT(I1152,LEN(I1152)-FIND("*",I1152)),"-")</f>
        <v>-</v>
      </c>
      <c r="W1153" s="27" t="str">
        <f t="shared" si="622"/>
        <v>-</v>
      </c>
      <c r="X1153" s="27" t="str">
        <f t="shared" ref="X1153" si="627">IFERROR(W1153*J1152,"-")</f>
        <v>-</v>
      </c>
      <c r="Z1153" s="94" t="s">
        <v>82</v>
      </c>
    </row>
    <row r="1154" spans="1:26" s="25" customFormat="1" ht="6.95" customHeight="1" x14ac:dyDescent="0.3">
      <c r="A1154" s="10"/>
      <c r="B1154" s="168"/>
      <c r="C1154" s="169"/>
      <c r="D1154" s="160"/>
      <c r="E1154" s="161"/>
      <c r="F1154" s="162"/>
      <c r="G1154" s="163"/>
      <c r="H1154" s="164"/>
      <c r="I1154" s="163"/>
      <c r="J1154" s="164"/>
      <c r="K1154" s="163"/>
      <c r="L1154" s="164"/>
      <c r="M1154" s="11"/>
      <c r="N1154" s="39"/>
      <c r="Q1154" s="15" t="str">
        <f>+CONCATENATE(E1152,K1152)</f>
        <v/>
      </c>
      <c r="R1154" s="15">
        <f>+L1152</f>
        <v>0</v>
      </c>
      <c r="S1154" s="16"/>
      <c r="T1154" s="15">
        <f>+E1152</f>
        <v>0</v>
      </c>
      <c r="U1154" s="26" t="str">
        <f>IFERROR(LEFT(K1152,FIND("*",K1152)-1),"-")</f>
        <v>-</v>
      </c>
      <c r="V1154" s="26" t="str">
        <f>IFERROR(RIGHT(K1152,LEN(K1152)-FIND("*",K1152)),"-")</f>
        <v>-</v>
      </c>
      <c r="W1154" s="27" t="str">
        <f t="shared" si="622"/>
        <v>-</v>
      </c>
      <c r="X1154" s="27" t="str">
        <f>IFERROR(W1154*L1152,"-")</f>
        <v>-</v>
      </c>
      <c r="Z1154" s="94" t="s">
        <v>82</v>
      </c>
    </row>
    <row r="1155" spans="1:26" s="25" customFormat="1" ht="21" customHeight="1" thickBot="1" x14ac:dyDescent="0.35">
      <c r="A1155" s="10"/>
      <c r="B1155" s="170"/>
      <c r="C1155" s="171"/>
      <c r="D1155" s="172" t="s">
        <v>43</v>
      </c>
      <c r="E1155" s="173"/>
      <c r="F1155" s="173"/>
      <c r="G1155" s="174"/>
      <c r="H1155" s="174"/>
      <c r="I1155" s="174"/>
      <c r="J1155" s="174"/>
      <c r="K1155" s="174"/>
      <c r="L1155" s="174"/>
      <c r="M1155" s="12"/>
      <c r="N1155" s="39"/>
      <c r="U1155" s="23"/>
      <c r="V1155" s="23"/>
      <c r="Z1155" s="95" t="s">
        <v>81</v>
      </c>
    </row>
    <row r="1156" spans="1:26" s="25" customFormat="1" ht="9.9499999999999993" customHeight="1" thickBot="1" x14ac:dyDescent="0.35">
      <c r="A1156" s="6"/>
      <c r="B1156" s="14"/>
      <c r="C1156" s="119"/>
      <c r="D1156" s="58"/>
      <c r="E1156" s="17"/>
      <c r="F1156" s="58"/>
      <c r="G1156" s="19"/>
      <c r="H1156" s="19"/>
      <c r="I1156" s="19"/>
      <c r="J1156" s="19"/>
      <c r="K1156" s="19"/>
      <c r="L1156" s="19"/>
      <c r="M1156" s="14"/>
      <c r="N1156" s="39"/>
      <c r="Q1156" s="1"/>
      <c r="R1156" s="1"/>
      <c r="S1156" s="1"/>
      <c r="T1156" s="1"/>
      <c r="U1156" s="24"/>
      <c r="V1156" s="24"/>
      <c r="W1156" s="1"/>
      <c r="X1156" s="1"/>
      <c r="Z1156" s="94" t="s">
        <v>82</v>
      </c>
    </row>
    <row r="1157" spans="1:26" s="25" customFormat="1" ht="6.95" customHeight="1" x14ac:dyDescent="0.3">
      <c r="A1157" s="165">
        <f>+A1146+1</f>
        <v>106</v>
      </c>
      <c r="B1157" s="166"/>
      <c r="C1157" s="167"/>
      <c r="D1157" s="160" t="s">
        <v>39</v>
      </c>
      <c r="E1157" s="161"/>
      <c r="F1157" s="162" t="s">
        <v>40</v>
      </c>
      <c r="G1157" s="163"/>
      <c r="H1157" s="164"/>
      <c r="I1157" s="163"/>
      <c r="J1157" s="164"/>
      <c r="K1157" s="163"/>
      <c r="L1157" s="164"/>
      <c r="M1157" s="11"/>
      <c r="N1157" s="39"/>
      <c r="Q1157" s="15" t="str">
        <f>+CONCATENATE(E1157,G1157)</f>
        <v/>
      </c>
      <c r="R1157" s="15">
        <f>+H1157</f>
        <v>0</v>
      </c>
      <c r="S1157" s="16"/>
      <c r="T1157" s="15">
        <f>+E1157</f>
        <v>0</v>
      </c>
      <c r="U1157" s="26" t="str">
        <f>IFERROR(LEFT(G1157,FIND("*",G1157)-1),"-")</f>
        <v>-</v>
      </c>
      <c r="V1157" s="26" t="str">
        <f>IFERROR(RIGHT(G1157,LEN(G1157)-FIND("*",G1157)),"-")</f>
        <v>-</v>
      </c>
      <c r="W1157" s="27" t="str">
        <f>IFERROR((U1157+V1157)*2/1000,"-")</f>
        <v>-</v>
      </c>
      <c r="X1157" s="27" t="str">
        <f>IFERROR(W1157*H1157,"-")</f>
        <v>-</v>
      </c>
      <c r="Z1157" s="94" t="s">
        <v>82</v>
      </c>
    </row>
    <row r="1158" spans="1:26" s="25" customFormat="1" ht="6.95" customHeight="1" x14ac:dyDescent="0.3">
      <c r="A1158" s="165"/>
      <c r="B1158" s="168"/>
      <c r="C1158" s="169"/>
      <c r="D1158" s="160"/>
      <c r="E1158" s="161"/>
      <c r="F1158" s="162"/>
      <c r="G1158" s="163"/>
      <c r="H1158" s="164"/>
      <c r="I1158" s="163"/>
      <c r="J1158" s="164"/>
      <c r="K1158" s="163"/>
      <c r="L1158" s="164"/>
      <c r="M1158" s="11"/>
      <c r="N1158" s="39"/>
      <c r="Q1158" s="15" t="str">
        <f>+CONCATENATE(E1157,I1157)</f>
        <v/>
      </c>
      <c r="R1158" s="15">
        <f>+J1157</f>
        <v>0</v>
      </c>
      <c r="S1158" s="16"/>
      <c r="T1158" s="15">
        <f>+E1157</f>
        <v>0</v>
      </c>
      <c r="U1158" s="26" t="str">
        <f>IFERROR(LEFT(I1157,FIND("*",I1157)-1),"-")</f>
        <v>-</v>
      </c>
      <c r="V1158" s="26" t="str">
        <f>IFERROR(RIGHT(I1157,LEN(I1157)-FIND("*",I1157)),"-")</f>
        <v>-</v>
      </c>
      <c r="W1158" s="27" t="str">
        <f t="shared" ref="W1158:W1165" si="628">IFERROR((U1158+V1158)*2/1000,"-")</f>
        <v>-</v>
      </c>
      <c r="X1158" s="27" t="str">
        <f>IFERROR(W1158*J1157,"-")</f>
        <v>-</v>
      </c>
      <c r="Z1158" s="94" t="s">
        <v>82</v>
      </c>
    </row>
    <row r="1159" spans="1:26" s="25" customFormat="1" ht="6.95" customHeight="1" x14ac:dyDescent="0.3">
      <c r="A1159" s="165"/>
      <c r="B1159" s="168"/>
      <c r="C1159" s="169"/>
      <c r="D1159" s="160"/>
      <c r="E1159" s="161"/>
      <c r="F1159" s="162"/>
      <c r="G1159" s="163"/>
      <c r="H1159" s="164"/>
      <c r="I1159" s="163"/>
      <c r="J1159" s="164"/>
      <c r="K1159" s="163"/>
      <c r="L1159" s="164"/>
      <c r="M1159" s="11"/>
      <c r="N1159" s="39"/>
      <c r="Q1159" s="15" t="str">
        <f>+CONCATENATE(E1157,K1157)</f>
        <v/>
      </c>
      <c r="R1159" s="15">
        <f>+L1157</f>
        <v>0</v>
      </c>
      <c r="S1159" s="16"/>
      <c r="T1159" s="15">
        <f>+E1157</f>
        <v>0</v>
      </c>
      <c r="U1159" s="26" t="str">
        <f>IFERROR(LEFT(K1157,FIND("*",K1157)-1),"-")</f>
        <v>-</v>
      </c>
      <c r="V1159" s="26" t="str">
        <f>IFERROR(RIGHT(K1157,LEN(K1157)-FIND("*",K1157)),"-")</f>
        <v>-</v>
      </c>
      <c r="W1159" s="27" t="str">
        <f t="shared" si="628"/>
        <v>-</v>
      </c>
      <c r="X1159" s="27" t="str">
        <f>IFERROR(W1159*L1157,"-")</f>
        <v>-</v>
      </c>
      <c r="Z1159" s="94" t="s">
        <v>82</v>
      </c>
    </row>
    <row r="1160" spans="1:26" s="25" customFormat="1" ht="6.95" customHeight="1" x14ac:dyDescent="0.3">
      <c r="A1160" s="13"/>
      <c r="B1160" s="168"/>
      <c r="C1160" s="169"/>
      <c r="D1160" s="160" t="s">
        <v>39</v>
      </c>
      <c r="E1160" s="161"/>
      <c r="F1160" s="162" t="s">
        <v>40</v>
      </c>
      <c r="G1160" s="163"/>
      <c r="H1160" s="164"/>
      <c r="I1160" s="163"/>
      <c r="J1160" s="164"/>
      <c r="K1160" s="163"/>
      <c r="L1160" s="164"/>
      <c r="M1160" s="11"/>
      <c r="N1160" s="39"/>
      <c r="Q1160" s="15" t="str">
        <f>+CONCATENATE(E1160,G1160)</f>
        <v/>
      </c>
      <c r="R1160" s="15">
        <f>+H1160</f>
        <v>0</v>
      </c>
      <c r="S1160" s="16"/>
      <c r="T1160" s="15">
        <f>+E1160</f>
        <v>0</v>
      </c>
      <c r="U1160" s="26" t="str">
        <f t="shared" ref="U1160" si="629">IFERROR(LEFT(G1160,FIND("*",G1160)-1),"-")</f>
        <v>-</v>
      </c>
      <c r="V1160" s="26" t="str">
        <f t="shared" ref="V1160" si="630">IFERROR(RIGHT(G1160,LEN(G1160)-FIND("*",G1160)),"-")</f>
        <v>-</v>
      </c>
      <c r="W1160" s="27" t="str">
        <f t="shared" si="628"/>
        <v>-</v>
      </c>
      <c r="X1160" s="27" t="str">
        <f>IFERROR(W1160*H1160,"-")</f>
        <v>-</v>
      </c>
      <c r="Z1160" s="94" t="s">
        <v>82</v>
      </c>
    </row>
    <row r="1161" spans="1:26" s="25" customFormat="1" ht="6.95" customHeight="1" x14ac:dyDescent="0.3">
      <c r="A1161" s="10"/>
      <c r="B1161" s="168"/>
      <c r="C1161" s="169"/>
      <c r="D1161" s="160"/>
      <c r="E1161" s="161"/>
      <c r="F1161" s="162"/>
      <c r="G1161" s="163"/>
      <c r="H1161" s="164"/>
      <c r="I1161" s="163"/>
      <c r="J1161" s="164"/>
      <c r="K1161" s="163"/>
      <c r="L1161" s="164"/>
      <c r="M1161" s="11"/>
      <c r="N1161" s="39"/>
      <c r="Q1161" s="15" t="str">
        <f>+CONCATENATE(E1160,I1160)</f>
        <v/>
      </c>
      <c r="R1161" s="15">
        <f>+J1160</f>
        <v>0</v>
      </c>
      <c r="S1161" s="16"/>
      <c r="T1161" s="15">
        <f>+E1160</f>
        <v>0</v>
      </c>
      <c r="U1161" s="26" t="str">
        <f>IFERROR(LEFT(I1160,FIND("*",I1160)-1),"-")</f>
        <v>-</v>
      </c>
      <c r="V1161" s="26" t="str">
        <f>IFERROR(RIGHT(I1160,LEN(I1160)-FIND("*",I1160)),"-")</f>
        <v>-</v>
      </c>
      <c r="W1161" s="27" t="str">
        <f t="shared" si="628"/>
        <v>-</v>
      </c>
      <c r="X1161" s="27" t="str">
        <f>IFERROR(W1161*J1160,"-")</f>
        <v>-</v>
      </c>
      <c r="Z1161" s="94" t="s">
        <v>82</v>
      </c>
    </row>
    <row r="1162" spans="1:26" s="25" customFormat="1" ht="6.95" customHeight="1" x14ac:dyDescent="0.3">
      <c r="A1162" s="10"/>
      <c r="B1162" s="168"/>
      <c r="C1162" s="169"/>
      <c r="D1162" s="160"/>
      <c r="E1162" s="161"/>
      <c r="F1162" s="162"/>
      <c r="G1162" s="163"/>
      <c r="H1162" s="164"/>
      <c r="I1162" s="163"/>
      <c r="J1162" s="164"/>
      <c r="K1162" s="163"/>
      <c r="L1162" s="164"/>
      <c r="M1162" s="11"/>
      <c r="N1162" s="39"/>
      <c r="Q1162" s="15" t="str">
        <f>+CONCATENATE(E1160,K1160)</f>
        <v/>
      </c>
      <c r="R1162" s="15">
        <f>+L1160</f>
        <v>0</v>
      </c>
      <c r="S1162" s="16"/>
      <c r="T1162" s="15">
        <f>+E1160</f>
        <v>0</v>
      </c>
      <c r="U1162" s="26" t="str">
        <f>IFERROR(LEFT(K1160,FIND("*",K1160)-1),"-")</f>
        <v>-</v>
      </c>
      <c r="V1162" s="26" t="str">
        <f>IFERROR(RIGHT(K1160,LEN(K1160)-FIND("*",K1160)),"-")</f>
        <v>-</v>
      </c>
      <c r="W1162" s="27" t="str">
        <f t="shared" si="628"/>
        <v>-</v>
      </c>
      <c r="X1162" s="27" t="str">
        <f>IFERROR(W1162*L1160,"-")</f>
        <v>-</v>
      </c>
      <c r="Z1162" s="94" t="s">
        <v>82</v>
      </c>
    </row>
    <row r="1163" spans="1:26" s="25" customFormat="1" ht="6.95" customHeight="1" x14ac:dyDescent="0.3">
      <c r="A1163" s="13"/>
      <c r="B1163" s="168"/>
      <c r="C1163" s="169"/>
      <c r="D1163" s="160" t="s">
        <v>39</v>
      </c>
      <c r="E1163" s="161"/>
      <c r="F1163" s="162" t="s">
        <v>40</v>
      </c>
      <c r="G1163" s="163"/>
      <c r="H1163" s="164"/>
      <c r="I1163" s="163"/>
      <c r="J1163" s="164"/>
      <c r="K1163" s="163"/>
      <c r="L1163" s="164"/>
      <c r="M1163" s="11"/>
      <c r="N1163" s="39"/>
      <c r="Q1163" s="15" t="str">
        <f>+CONCATENATE(E1163,G1163)</f>
        <v/>
      </c>
      <c r="R1163" s="15">
        <f>+H1163</f>
        <v>0</v>
      </c>
      <c r="S1163" s="16"/>
      <c r="T1163" s="15">
        <f>+E1163</f>
        <v>0</v>
      </c>
      <c r="U1163" s="26" t="str">
        <f t="shared" ref="U1163" si="631">IFERROR(LEFT(G1163,FIND("*",G1163)-1),"-")</f>
        <v>-</v>
      </c>
      <c r="V1163" s="26" t="str">
        <f t="shared" ref="V1163" si="632">IFERROR(RIGHT(G1163,LEN(G1163)-FIND("*",G1163)),"-")</f>
        <v>-</v>
      </c>
      <c r="W1163" s="27" t="str">
        <f t="shared" si="628"/>
        <v>-</v>
      </c>
      <c r="X1163" s="27" t="str">
        <f>IFERROR(W1163*H1163,"-")</f>
        <v>-</v>
      </c>
      <c r="Z1163" s="94" t="s">
        <v>82</v>
      </c>
    </row>
    <row r="1164" spans="1:26" s="25" customFormat="1" ht="6.95" customHeight="1" x14ac:dyDescent="0.3">
      <c r="A1164" s="10"/>
      <c r="B1164" s="168"/>
      <c r="C1164" s="169"/>
      <c r="D1164" s="160"/>
      <c r="E1164" s="161"/>
      <c r="F1164" s="162"/>
      <c r="G1164" s="163"/>
      <c r="H1164" s="164"/>
      <c r="I1164" s="163"/>
      <c r="J1164" s="164"/>
      <c r="K1164" s="163"/>
      <c r="L1164" s="164"/>
      <c r="M1164" s="11"/>
      <c r="N1164" s="39"/>
      <c r="Q1164" s="15" t="str">
        <f>+CONCATENATE(E1163,I1163)</f>
        <v/>
      </c>
      <c r="R1164" s="15">
        <f>+J1163</f>
        <v>0</v>
      </c>
      <c r="S1164" s="16"/>
      <c r="T1164" s="15">
        <f>+E1163</f>
        <v>0</v>
      </c>
      <c r="U1164" s="26" t="str">
        <f>IFERROR(LEFT(I1163,FIND("*",I1163)-1),"-")</f>
        <v>-</v>
      </c>
      <c r="V1164" s="26" t="str">
        <f>IFERROR(RIGHT(I1163,LEN(I1163)-FIND("*",I1163)),"-")</f>
        <v>-</v>
      </c>
      <c r="W1164" s="27" t="str">
        <f t="shared" si="628"/>
        <v>-</v>
      </c>
      <c r="X1164" s="27" t="str">
        <f t="shared" ref="X1164" si="633">IFERROR(W1164*J1163,"-")</f>
        <v>-</v>
      </c>
      <c r="Z1164" s="94" t="s">
        <v>82</v>
      </c>
    </row>
    <row r="1165" spans="1:26" s="25" customFormat="1" ht="6.95" customHeight="1" x14ac:dyDescent="0.3">
      <c r="A1165" s="10"/>
      <c r="B1165" s="168"/>
      <c r="C1165" s="169"/>
      <c r="D1165" s="160"/>
      <c r="E1165" s="161"/>
      <c r="F1165" s="162"/>
      <c r="G1165" s="163"/>
      <c r="H1165" s="164"/>
      <c r="I1165" s="163"/>
      <c r="J1165" s="164"/>
      <c r="K1165" s="163"/>
      <c r="L1165" s="164"/>
      <c r="M1165" s="11"/>
      <c r="N1165" s="39"/>
      <c r="Q1165" s="15" t="str">
        <f>+CONCATENATE(E1163,K1163)</f>
        <v/>
      </c>
      <c r="R1165" s="15">
        <f>+L1163</f>
        <v>0</v>
      </c>
      <c r="S1165" s="16"/>
      <c r="T1165" s="15">
        <f>+E1163</f>
        <v>0</v>
      </c>
      <c r="U1165" s="26" t="str">
        <f>IFERROR(LEFT(K1163,FIND("*",K1163)-1),"-")</f>
        <v>-</v>
      </c>
      <c r="V1165" s="26" t="str">
        <f>IFERROR(RIGHT(K1163,LEN(K1163)-FIND("*",K1163)),"-")</f>
        <v>-</v>
      </c>
      <c r="W1165" s="27" t="str">
        <f t="shared" si="628"/>
        <v>-</v>
      </c>
      <c r="X1165" s="27" t="str">
        <f>IFERROR(W1165*L1163,"-")</f>
        <v>-</v>
      </c>
      <c r="Z1165" s="94" t="s">
        <v>82</v>
      </c>
    </row>
    <row r="1166" spans="1:26" s="25" customFormat="1" ht="21" customHeight="1" thickBot="1" x14ac:dyDescent="0.35">
      <c r="A1166" s="10"/>
      <c r="B1166" s="170"/>
      <c r="C1166" s="171"/>
      <c r="D1166" s="172" t="s">
        <v>43</v>
      </c>
      <c r="E1166" s="173"/>
      <c r="F1166" s="173"/>
      <c r="G1166" s="174"/>
      <c r="H1166" s="174"/>
      <c r="I1166" s="174"/>
      <c r="J1166" s="174"/>
      <c r="K1166" s="174"/>
      <c r="L1166" s="174"/>
      <c r="M1166" s="12"/>
      <c r="N1166" s="39"/>
      <c r="U1166" s="23"/>
      <c r="V1166" s="23"/>
      <c r="Z1166" s="95" t="s">
        <v>81</v>
      </c>
    </row>
    <row r="1167" spans="1:26" s="25" customFormat="1" ht="9.9499999999999993" customHeight="1" thickBot="1" x14ac:dyDescent="0.35">
      <c r="A1167" s="6"/>
      <c r="B1167" s="14"/>
      <c r="C1167" s="119"/>
      <c r="D1167" s="58"/>
      <c r="E1167" s="17"/>
      <c r="F1167" s="58"/>
      <c r="G1167" s="19"/>
      <c r="H1167" s="19"/>
      <c r="I1167" s="19"/>
      <c r="J1167" s="19"/>
      <c r="K1167" s="19"/>
      <c r="L1167" s="19"/>
      <c r="M1167" s="14"/>
      <c r="N1167" s="39"/>
      <c r="Q1167" s="1"/>
      <c r="R1167" s="1"/>
      <c r="S1167" s="1"/>
      <c r="T1167" s="1"/>
      <c r="U1167" s="24"/>
      <c r="V1167" s="24"/>
      <c r="W1167" s="1"/>
      <c r="X1167" s="1"/>
      <c r="Z1167" s="94" t="s">
        <v>82</v>
      </c>
    </row>
    <row r="1168" spans="1:26" s="25" customFormat="1" ht="6.95" customHeight="1" x14ac:dyDescent="0.3">
      <c r="A1168" s="165">
        <f>+A1157+1</f>
        <v>107</v>
      </c>
      <c r="B1168" s="166"/>
      <c r="C1168" s="167"/>
      <c r="D1168" s="160" t="s">
        <v>39</v>
      </c>
      <c r="E1168" s="161"/>
      <c r="F1168" s="162" t="s">
        <v>40</v>
      </c>
      <c r="G1168" s="163"/>
      <c r="H1168" s="164"/>
      <c r="I1168" s="163"/>
      <c r="J1168" s="164"/>
      <c r="K1168" s="163"/>
      <c r="L1168" s="164"/>
      <c r="M1168" s="11"/>
      <c r="N1168" s="39"/>
      <c r="Q1168" s="15" t="str">
        <f>+CONCATENATE(E1168,G1168)</f>
        <v/>
      </c>
      <c r="R1168" s="15">
        <f>+H1168</f>
        <v>0</v>
      </c>
      <c r="S1168" s="16"/>
      <c r="T1168" s="15">
        <f>+E1168</f>
        <v>0</v>
      </c>
      <c r="U1168" s="26" t="str">
        <f>IFERROR(LEFT(G1168,FIND("*",G1168)-1),"-")</f>
        <v>-</v>
      </c>
      <c r="V1168" s="26" t="str">
        <f>IFERROR(RIGHT(G1168,LEN(G1168)-FIND("*",G1168)),"-")</f>
        <v>-</v>
      </c>
      <c r="W1168" s="27" t="str">
        <f>IFERROR((U1168+V1168)*2/1000,"-")</f>
        <v>-</v>
      </c>
      <c r="X1168" s="27" t="str">
        <f>IFERROR(W1168*H1168,"-")</f>
        <v>-</v>
      </c>
      <c r="Z1168" s="94" t="s">
        <v>82</v>
      </c>
    </row>
    <row r="1169" spans="1:26" s="25" customFormat="1" ht="6.95" customHeight="1" x14ac:dyDescent="0.3">
      <c r="A1169" s="165"/>
      <c r="B1169" s="168"/>
      <c r="C1169" s="169"/>
      <c r="D1169" s="160"/>
      <c r="E1169" s="161"/>
      <c r="F1169" s="162"/>
      <c r="G1169" s="163"/>
      <c r="H1169" s="164"/>
      <c r="I1169" s="163"/>
      <c r="J1169" s="164"/>
      <c r="K1169" s="163"/>
      <c r="L1169" s="164"/>
      <c r="M1169" s="11"/>
      <c r="N1169" s="39"/>
      <c r="Q1169" s="15" t="str">
        <f>+CONCATENATE(E1168,I1168)</f>
        <v/>
      </c>
      <c r="R1169" s="15">
        <f>+J1168</f>
        <v>0</v>
      </c>
      <c r="S1169" s="16"/>
      <c r="T1169" s="15">
        <f>+E1168</f>
        <v>0</v>
      </c>
      <c r="U1169" s="26" t="str">
        <f>IFERROR(LEFT(I1168,FIND("*",I1168)-1),"-")</f>
        <v>-</v>
      </c>
      <c r="V1169" s="26" t="str">
        <f>IFERROR(RIGHT(I1168,LEN(I1168)-FIND("*",I1168)),"-")</f>
        <v>-</v>
      </c>
      <c r="W1169" s="27" t="str">
        <f t="shared" ref="W1169:W1176" si="634">IFERROR((U1169+V1169)*2/1000,"-")</f>
        <v>-</v>
      </c>
      <c r="X1169" s="27" t="str">
        <f>IFERROR(W1169*J1168,"-")</f>
        <v>-</v>
      </c>
      <c r="Z1169" s="94" t="s">
        <v>82</v>
      </c>
    </row>
    <row r="1170" spans="1:26" s="25" customFormat="1" ht="6.95" customHeight="1" x14ac:dyDescent="0.3">
      <c r="A1170" s="165"/>
      <c r="B1170" s="168"/>
      <c r="C1170" s="169"/>
      <c r="D1170" s="160"/>
      <c r="E1170" s="161"/>
      <c r="F1170" s="162"/>
      <c r="G1170" s="163"/>
      <c r="H1170" s="164"/>
      <c r="I1170" s="163"/>
      <c r="J1170" s="164"/>
      <c r="K1170" s="163"/>
      <c r="L1170" s="164"/>
      <c r="M1170" s="11"/>
      <c r="N1170" s="39"/>
      <c r="Q1170" s="15" t="str">
        <f>+CONCATENATE(E1168,K1168)</f>
        <v/>
      </c>
      <c r="R1170" s="15">
        <f>+L1168</f>
        <v>0</v>
      </c>
      <c r="S1170" s="16"/>
      <c r="T1170" s="15">
        <f>+E1168</f>
        <v>0</v>
      </c>
      <c r="U1170" s="26" t="str">
        <f>IFERROR(LEFT(K1168,FIND("*",K1168)-1),"-")</f>
        <v>-</v>
      </c>
      <c r="V1170" s="26" t="str">
        <f>IFERROR(RIGHT(K1168,LEN(K1168)-FIND("*",K1168)),"-")</f>
        <v>-</v>
      </c>
      <c r="W1170" s="27" t="str">
        <f t="shared" si="634"/>
        <v>-</v>
      </c>
      <c r="X1170" s="27" t="str">
        <f>IFERROR(W1170*L1168,"-")</f>
        <v>-</v>
      </c>
      <c r="Z1170" s="94" t="s">
        <v>82</v>
      </c>
    </row>
    <row r="1171" spans="1:26" s="25" customFormat="1" ht="6.95" customHeight="1" x14ac:dyDescent="0.3">
      <c r="A1171" s="13"/>
      <c r="B1171" s="168"/>
      <c r="C1171" s="169"/>
      <c r="D1171" s="160" t="s">
        <v>39</v>
      </c>
      <c r="E1171" s="161"/>
      <c r="F1171" s="162" t="s">
        <v>40</v>
      </c>
      <c r="G1171" s="163"/>
      <c r="H1171" s="164"/>
      <c r="I1171" s="163"/>
      <c r="J1171" s="164"/>
      <c r="K1171" s="163"/>
      <c r="L1171" s="164"/>
      <c r="M1171" s="11"/>
      <c r="N1171" s="39"/>
      <c r="Q1171" s="15" t="str">
        <f>+CONCATENATE(E1171,G1171)</f>
        <v/>
      </c>
      <c r="R1171" s="15">
        <f>+H1171</f>
        <v>0</v>
      </c>
      <c r="S1171" s="16"/>
      <c r="T1171" s="15">
        <f>+E1171</f>
        <v>0</v>
      </c>
      <c r="U1171" s="26" t="str">
        <f t="shared" ref="U1171" si="635">IFERROR(LEFT(G1171,FIND("*",G1171)-1),"-")</f>
        <v>-</v>
      </c>
      <c r="V1171" s="26" t="str">
        <f t="shared" ref="V1171" si="636">IFERROR(RIGHT(G1171,LEN(G1171)-FIND("*",G1171)),"-")</f>
        <v>-</v>
      </c>
      <c r="W1171" s="27" t="str">
        <f t="shared" si="634"/>
        <v>-</v>
      </c>
      <c r="X1171" s="27" t="str">
        <f>IFERROR(W1171*H1171,"-")</f>
        <v>-</v>
      </c>
      <c r="Z1171" s="94" t="s">
        <v>82</v>
      </c>
    </row>
    <row r="1172" spans="1:26" s="25" customFormat="1" ht="6.95" customHeight="1" x14ac:dyDescent="0.3">
      <c r="A1172" s="10"/>
      <c r="B1172" s="168"/>
      <c r="C1172" s="169"/>
      <c r="D1172" s="160"/>
      <c r="E1172" s="161"/>
      <c r="F1172" s="162"/>
      <c r="G1172" s="163"/>
      <c r="H1172" s="164"/>
      <c r="I1172" s="163"/>
      <c r="J1172" s="164"/>
      <c r="K1172" s="163"/>
      <c r="L1172" s="164"/>
      <c r="M1172" s="11"/>
      <c r="N1172" s="39"/>
      <c r="Q1172" s="15" t="str">
        <f>+CONCATENATE(E1171,I1171)</f>
        <v/>
      </c>
      <c r="R1172" s="15">
        <f>+J1171</f>
        <v>0</v>
      </c>
      <c r="S1172" s="16"/>
      <c r="T1172" s="15">
        <f>+E1171</f>
        <v>0</v>
      </c>
      <c r="U1172" s="26" t="str">
        <f>IFERROR(LEFT(I1171,FIND("*",I1171)-1),"-")</f>
        <v>-</v>
      </c>
      <c r="V1172" s="26" t="str">
        <f>IFERROR(RIGHT(I1171,LEN(I1171)-FIND("*",I1171)),"-")</f>
        <v>-</v>
      </c>
      <c r="W1172" s="27" t="str">
        <f t="shared" si="634"/>
        <v>-</v>
      </c>
      <c r="X1172" s="27" t="str">
        <f>IFERROR(W1172*J1171,"-")</f>
        <v>-</v>
      </c>
      <c r="Z1172" s="94" t="s">
        <v>82</v>
      </c>
    </row>
    <row r="1173" spans="1:26" s="25" customFormat="1" ht="6.95" customHeight="1" x14ac:dyDescent="0.3">
      <c r="A1173" s="10"/>
      <c r="B1173" s="168"/>
      <c r="C1173" s="169"/>
      <c r="D1173" s="160"/>
      <c r="E1173" s="161"/>
      <c r="F1173" s="162"/>
      <c r="G1173" s="163"/>
      <c r="H1173" s="164"/>
      <c r="I1173" s="163"/>
      <c r="J1173" s="164"/>
      <c r="K1173" s="163"/>
      <c r="L1173" s="164"/>
      <c r="M1173" s="11"/>
      <c r="N1173" s="39"/>
      <c r="Q1173" s="15" t="str">
        <f>+CONCATENATE(E1171,K1171)</f>
        <v/>
      </c>
      <c r="R1173" s="15">
        <f>+L1171</f>
        <v>0</v>
      </c>
      <c r="S1173" s="16"/>
      <c r="T1173" s="15">
        <f>+E1171</f>
        <v>0</v>
      </c>
      <c r="U1173" s="26" t="str">
        <f>IFERROR(LEFT(K1171,FIND("*",K1171)-1),"-")</f>
        <v>-</v>
      </c>
      <c r="V1173" s="26" t="str">
        <f>IFERROR(RIGHT(K1171,LEN(K1171)-FIND("*",K1171)),"-")</f>
        <v>-</v>
      </c>
      <c r="W1173" s="27" t="str">
        <f t="shared" si="634"/>
        <v>-</v>
      </c>
      <c r="X1173" s="27" t="str">
        <f>IFERROR(W1173*L1171,"-")</f>
        <v>-</v>
      </c>
      <c r="Z1173" s="94" t="s">
        <v>82</v>
      </c>
    </row>
    <row r="1174" spans="1:26" s="25" customFormat="1" ht="6.95" customHeight="1" x14ac:dyDescent="0.3">
      <c r="A1174" s="13"/>
      <c r="B1174" s="168"/>
      <c r="C1174" s="169"/>
      <c r="D1174" s="160" t="s">
        <v>39</v>
      </c>
      <c r="E1174" s="161"/>
      <c r="F1174" s="162" t="s">
        <v>40</v>
      </c>
      <c r="G1174" s="163"/>
      <c r="H1174" s="164"/>
      <c r="I1174" s="163"/>
      <c r="J1174" s="164"/>
      <c r="K1174" s="163"/>
      <c r="L1174" s="164"/>
      <c r="M1174" s="11"/>
      <c r="N1174" s="39"/>
      <c r="Q1174" s="15" t="str">
        <f>+CONCATENATE(E1174,G1174)</f>
        <v/>
      </c>
      <c r="R1174" s="15">
        <f>+H1174</f>
        <v>0</v>
      </c>
      <c r="S1174" s="16"/>
      <c r="T1174" s="15">
        <f>+E1174</f>
        <v>0</v>
      </c>
      <c r="U1174" s="26" t="str">
        <f t="shared" ref="U1174" si="637">IFERROR(LEFT(G1174,FIND("*",G1174)-1),"-")</f>
        <v>-</v>
      </c>
      <c r="V1174" s="26" t="str">
        <f t="shared" ref="V1174" si="638">IFERROR(RIGHT(G1174,LEN(G1174)-FIND("*",G1174)),"-")</f>
        <v>-</v>
      </c>
      <c r="W1174" s="27" t="str">
        <f t="shared" si="634"/>
        <v>-</v>
      </c>
      <c r="X1174" s="27" t="str">
        <f>IFERROR(W1174*H1174,"-")</f>
        <v>-</v>
      </c>
      <c r="Z1174" s="94" t="s">
        <v>82</v>
      </c>
    </row>
    <row r="1175" spans="1:26" s="25" customFormat="1" ht="6.95" customHeight="1" x14ac:dyDescent="0.3">
      <c r="A1175" s="10"/>
      <c r="B1175" s="168"/>
      <c r="C1175" s="169"/>
      <c r="D1175" s="160"/>
      <c r="E1175" s="161"/>
      <c r="F1175" s="162"/>
      <c r="G1175" s="163"/>
      <c r="H1175" s="164"/>
      <c r="I1175" s="163"/>
      <c r="J1175" s="164"/>
      <c r="K1175" s="163"/>
      <c r="L1175" s="164"/>
      <c r="M1175" s="11"/>
      <c r="N1175" s="39"/>
      <c r="Q1175" s="15" t="str">
        <f>+CONCATENATE(E1174,I1174)</f>
        <v/>
      </c>
      <c r="R1175" s="15">
        <f>+J1174</f>
        <v>0</v>
      </c>
      <c r="S1175" s="16"/>
      <c r="T1175" s="15">
        <f>+E1174</f>
        <v>0</v>
      </c>
      <c r="U1175" s="26" t="str">
        <f>IFERROR(LEFT(I1174,FIND("*",I1174)-1),"-")</f>
        <v>-</v>
      </c>
      <c r="V1175" s="26" t="str">
        <f>IFERROR(RIGHT(I1174,LEN(I1174)-FIND("*",I1174)),"-")</f>
        <v>-</v>
      </c>
      <c r="W1175" s="27" t="str">
        <f t="shared" si="634"/>
        <v>-</v>
      </c>
      <c r="X1175" s="27" t="str">
        <f t="shared" ref="X1175" si="639">IFERROR(W1175*J1174,"-")</f>
        <v>-</v>
      </c>
      <c r="Z1175" s="94" t="s">
        <v>82</v>
      </c>
    </row>
    <row r="1176" spans="1:26" s="25" customFormat="1" ht="6.95" customHeight="1" x14ac:dyDescent="0.3">
      <c r="A1176" s="10"/>
      <c r="B1176" s="168"/>
      <c r="C1176" s="169"/>
      <c r="D1176" s="160"/>
      <c r="E1176" s="161"/>
      <c r="F1176" s="162"/>
      <c r="G1176" s="163"/>
      <c r="H1176" s="164"/>
      <c r="I1176" s="163"/>
      <c r="J1176" s="164"/>
      <c r="K1176" s="163"/>
      <c r="L1176" s="164"/>
      <c r="M1176" s="11"/>
      <c r="N1176" s="39"/>
      <c r="Q1176" s="15" t="str">
        <f>+CONCATENATE(E1174,K1174)</f>
        <v/>
      </c>
      <c r="R1176" s="15">
        <f>+L1174</f>
        <v>0</v>
      </c>
      <c r="S1176" s="16"/>
      <c r="T1176" s="15">
        <f>+E1174</f>
        <v>0</v>
      </c>
      <c r="U1176" s="26" t="str">
        <f>IFERROR(LEFT(K1174,FIND("*",K1174)-1),"-")</f>
        <v>-</v>
      </c>
      <c r="V1176" s="26" t="str">
        <f>IFERROR(RIGHT(K1174,LEN(K1174)-FIND("*",K1174)),"-")</f>
        <v>-</v>
      </c>
      <c r="W1176" s="27" t="str">
        <f t="shared" si="634"/>
        <v>-</v>
      </c>
      <c r="X1176" s="27" t="str">
        <f>IFERROR(W1176*L1174,"-")</f>
        <v>-</v>
      </c>
      <c r="Z1176" s="94" t="s">
        <v>82</v>
      </c>
    </row>
    <row r="1177" spans="1:26" s="25" customFormat="1" ht="21" customHeight="1" thickBot="1" x14ac:dyDescent="0.35">
      <c r="A1177" s="10"/>
      <c r="B1177" s="170"/>
      <c r="C1177" s="171"/>
      <c r="D1177" s="172" t="s">
        <v>43</v>
      </c>
      <c r="E1177" s="173"/>
      <c r="F1177" s="173"/>
      <c r="G1177" s="174"/>
      <c r="H1177" s="174"/>
      <c r="I1177" s="174"/>
      <c r="J1177" s="174"/>
      <c r="K1177" s="174"/>
      <c r="L1177" s="174"/>
      <c r="M1177" s="12"/>
      <c r="N1177" s="39"/>
      <c r="U1177" s="23"/>
      <c r="V1177" s="23"/>
      <c r="Z1177" s="95" t="s">
        <v>81</v>
      </c>
    </row>
    <row r="1178" spans="1:26" s="25" customFormat="1" ht="9.9499999999999993" customHeight="1" thickBot="1" x14ac:dyDescent="0.35">
      <c r="A1178" s="6"/>
      <c r="B1178" s="14"/>
      <c r="C1178" s="119"/>
      <c r="D1178" s="58"/>
      <c r="E1178" s="17"/>
      <c r="F1178" s="58"/>
      <c r="G1178" s="19"/>
      <c r="H1178" s="19"/>
      <c r="I1178" s="19"/>
      <c r="J1178" s="19"/>
      <c r="K1178" s="19"/>
      <c r="L1178" s="19"/>
      <c r="M1178" s="14"/>
      <c r="N1178" s="39"/>
      <c r="Q1178" s="1"/>
      <c r="R1178" s="1"/>
      <c r="S1178" s="1"/>
      <c r="T1178" s="1"/>
      <c r="U1178" s="24"/>
      <c r="V1178" s="24"/>
      <c r="W1178" s="1"/>
      <c r="X1178" s="1"/>
      <c r="Z1178" s="94" t="s">
        <v>82</v>
      </c>
    </row>
    <row r="1179" spans="1:26" s="25" customFormat="1" ht="6.95" customHeight="1" x14ac:dyDescent="0.3">
      <c r="A1179" s="165">
        <f>+A1168+1</f>
        <v>108</v>
      </c>
      <c r="B1179" s="166"/>
      <c r="C1179" s="167"/>
      <c r="D1179" s="160" t="s">
        <v>39</v>
      </c>
      <c r="E1179" s="161"/>
      <c r="F1179" s="162" t="s">
        <v>40</v>
      </c>
      <c r="G1179" s="163"/>
      <c r="H1179" s="164"/>
      <c r="I1179" s="163"/>
      <c r="J1179" s="164"/>
      <c r="K1179" s="163"/>
      <c r="L1179" s="164"/>
      <c r="M1179" s="11"/>
      <c r="N1179" s="39"/>
      <c r="Q1179" s="15" t="str">
        <f>+CONCATENATE(E1179,G1179)</f>
        <v/>
      </c>
      <c r="R1179" s="15">
        <f>+H1179</f>
        <v>0</v>
      </c>
      <c r="S1179" s="16"/>
      <c r="T1179" s="15">
        <f>+E1179</f>
        <v>0</v>
      </c>
      <c r="U1179" s="26" t="str">
        <f>IFERROR(LEFT(G1179,FIND("*",G1179)-1),"-")</f>
        <v>-</v>
      </c>
      <c r="V1179" s="26" t="str">
        <f>IFERROR(RIGHT(G1179,LEN(G1179)-FIND("*",G1179)),"-")</f>
        <v>-</v>
      </c>
      <c r="W1179" s="27" t="str">
        <f>IFERROR((U1179+V1179)*2/1000,"-")</f>
        <v>-</v>
      </c>
      <c r="X1179" s="27" t="str">
        <f>IFERROR(W1179*H1179,"-")</f>
        <v>-</v>
      </c>
      <c r="Z1179" s="94" t="s">
        <v>82</v>
      </c>
    </row>
    <row r="1180" spans="1:26" s="25" customFormat="1" ht="6.95" customHeight="1" x14ac:dyDescent="0.3">
      <c r="A1180" s="165"/>
      <c r="B1180" s="168"/>
      <c r="C1180" s="169"/>
      <c r="D1180" s="160"/>
      <c r="E1180" s="161"/>
      <c r="F1180" s="162"/>
      <c r="G1180" s="163"/>
      <c r="H1180" s="164"/>
      <c r="I1180" s="163"/>
      <c r="J1180" s="164"/>
      <c r="K1180" s="163"/>
      <c r="L1180" s="164"/>
      <c r="M1180" s="11"/>
      <c r="N1180" s="39"/>
      <c r="Q1180" s="15" t="str">
        <f>+CONCATENATE(E1179,I1179)</f>
        <v/>
      </c>
      <c r="R1180" s="15">
        <f>+J1179</f>
        <v>0</v>
      </c>
      <c r="S1180" s="16"/>
      <c r="T1180" s="15">
        <f>+E1179</f>
        <v>0</v>
      </c>
      <c r="U1180" s="26" t="str">
        <f>IFERROR(LEFT(I1179,FIND("*",I1179)-1),"-")</f>
        <v>-</v>
      </c>
      <c r="V1180" s="26" t="str">
        <f>IFERROR(RIGHT(I1179,LEN(I1179)-FIND("*",I1179)),"-")</f>
        <v>-</v>
      </c>
      <c r="W1180" s="27" t="str">
        <f t="shared" ref="W1180:W1187" si="640">IFERROR((U1180+V1180)*2/1000,"-")</f>
        <v>-</v>
      </c>
      <c r="X1180" s="27" t="str">
        <f>IFERROR(W1180*J1179,"-")</f>
        <v>-</v>
      </c>
      <c r="Z1180" s="94" t="s">
        <v>82</v>
      </c>
    </row>
    <row r="1181" spans="1:26" s="25" customFormat="1" ht="6.95" customHeight="1" x14ac:dyDescent="0.3">
      <c r="A1181" s="165"/>
      <c r="B1181" s="168"/>
      <c r="C1181" s="169"/>
      <c r="D1181" s="160"/>
      <c r="E1181" s="161"/>
      <c r="F1181" s="162"/>
      <c r="G1181" s="163"/>
      <c r="H1181" s="164"/>
      <c r="I1181" s="163"/>
      <c r="J1181" s="164"/>
      <c r="K1181" s="163"/>
      <c r="L1181" s="164"/>
      <c r="M1181" s="11"/>
      <c r="N1181" s="39"/>
      <c r="Q1181" s="15" t="str">
        <f>+CONCATENATE(E1179,K1179)</f>
        <v/>
      </c>
      <c r="R1181" s="15">
        <f>+L1179</f>
        <v>0</v>
      </c>
      <c r="S1181" s="16"/>
      <c r="T1181" s="15">
        <f>+E1179</f>
        <v>0</v>
      </c>
      <c r="U1181" s="26" t="str">
        <f>IFERROR(LEFT(K1179,FIND("*",K1179)-1),"-")</f>
        <v>-</v>
      </c>
      <c r="V1181" s="26" t="str">
        <f>IFERROR(RIGHT(K1179,LEN(K1179)-FIND("*",K1179)),"-")</f>
        <v>-</v>
      </c>
      <c r="W1181" s="27" t="str">
        <f t="shared" si="640"/>
        <v>-</v>
      </c>
      <c r="X1181" s="27" t="str">
        <f>IFERROR(W1181*L1179,"-")</f>
        <v>-</v>
      </c>
      <c r="Z1181" s="94" t="s">
        <v>82</v>
      </c>
    </row>
    <row r="1182" spans="1:26" s="25" customFormat="1" ht="6.95" customHeight="1" x14ac:dyDescent="0.3">
      <c r="A1182" s="13"/>
      <c r="B1182" s="168"/>
      <c r="C1182" s="169"/>
      <c r="D1182" s="160" t="s">
        <v>39</v>
      </c>
      <c r="E1182" s="161"/>
      <c r="F1182" s="162" t="s">
        <v>40</v>
      </c>
      <c r="G1182" s="163"/>
      <c r="H1182" s="164"/>
      <c r="I1182" s="163"/>
      <c r="J1182" s="164"/>
      <c r="K1182" s="163"/>
      <c r="L1182" s="164"/>
      <c r="M1182" s="11"/>
      <c r="N1182" s="39"/>
      <c r="Q1182" s="15" t="str">
        <f>+CONCATENATE(E1182,G1182)</f>
        <v/>
      </c>
      <c r="R1182" s="15">
        <f>+H1182</f>
        <v>0</v>
      </c>
      <c r="S1182" s="16"/>
      <c r="T1182" s="15">
        <f>+E1182</f>
        <v>0</v>
      </c>
      <c r="U1182" s="26" t="str">
        <f t="shared" ref="U1182" si="641">IFERROR(LEFT(G1182,FIND("*",G1182)-1),"-")</f>
        <v>-</v>
      </c>
      <c r="V1182" s="26" t="str">
        <f t="shared" ref="V1182" si="642">IFERROR(RIGHT(G1182,LEN(G1182)-FIND("*",G1182)),"-")</f>
        <v>-</v>
      </c>
      <c r="W1182" s="27" t="str">
        <f t="shared" si="640"/>
        <v>-</v>
      </c>
      <c r="X1182" s="27" t="str">
        <f>IFERROR(W1182*H1182,"-")</f>
        <v>-</v>
      </c>
      <c r="Z1182" s="94" t="s">
        <v>82</v>
      </c>
    </row>
    <row r="1183" spans="1:26" s="25" customFormat="1" ht="6.95" customHeight="1" x14ac:dyDescent="0.3">
      <c r="A1183" s="10"/>
      <c r="B1183" s="168"/>
      <c r="C1183" s="169"/>
      <c r="D1183" s="160"/>
      <c r="E1183" s="161"/>
      <c r="F1183" s="162"/>
      <c r="G1183" s="163"/>
      <c r="H1183" s="164"/>
      <c r="I1183" s="163"/>
      <c r="J1183" s="164"/>
      <c r="K1183" s="163"/>
      <c r="L1183" s="164"/>
      <c r="M1183" s="11"/>
      <c r="N1183" s="39"/>
      <c r="Q1183" s="15" t="str">
        <f>+CONCATENATE(E1182,I1182)</f>
        <v/>
      </c>
      <c r="R1183" s="15">
        <f>+J1182</f>
        <v>0</v>
      </c>
      <c r="S1183" s="16"/>
      <c r="T1183" s="15">
        <f>+E1182</f>
        <v>0</v>
      </c>
      <c r="U1183" s="26" t="str">
        <f>IFERROR(LEFT(I1182,FIND("*",I1182)-1),"-")</f>
        <v>-</v>
      </c>
      <c r="V1183" s="26" t="str">
        <f>IFERROR(RIGHT(I1182,LEN(I1182)-FIND("*",I1182)),"-")</f>
        <v>-</v>
      </c>
      <c r="W1183" s="27" t="str">
        <f t="shared" si="640"/>
        <v>-</v>
      </c>
      <c r="X1183" s="27" t="str">
        <f>IFERROR(W1183*J1182,"-")</f>
        <v>-</v>
      </c>
      <c r="Z1183" s="94" t="s">
        <v>82</v>
      </c>
    </row>
    <row r="1184" spans="1:26" s="25" customFormat="1" ht="6.95" customHeight="1" x14ac:dyDescent="0.3">
      <c r="A1184" s="10"/>
      <c r="B1184" s="168"/>
      <c r="C1184" s="169"/>
      <c r="D1184" s="160"/>
      <c r="E1184" s="161"/>
      <c r="F1184" s="162"/>
      <c r="G1184" s="163"/>
      <c r="H1184" s="164"/>
      <c r="I1184" s="163"/>
      <c r="J1184" s="164"/>
      <c r="K1184" s="163"/>
      <c r="L1184" s="164"/>
      <c r="M1184" s="11"/>
      <c r="N1184" s="39"/>
      <c r="Q1184" s="15" t="str">
        <f>+CONCATENATE(E1182,K1182)</f>
        <v/>
      </c>
      <c r="R1184" s="15">
        <f>+L1182</f>
        <v>0</v>
      </c>
      <c r="S1184" s="16"/>
      <c r="T1184" s="15">
        <f>+E1182</f>
        <v>0</v>
      </c>
      <c r="U1184" s="26" t="str">
        <f>IFERROR(LEFT(K1182,FIND("*",K1182)-1),"-")</f>
        <v>-</v>
      </c>
      <c r="V1184" s="26" t="str">
        <f>IFERROR(RIGHT(K1182,LEN(K1182)-FIND("*",K1182)),"-")</f>
        <v>-</v>
      </c>
      <c r="W1184" s="27" t="str">
        <f t="shared" si="640"/>
        <v>-</v>
      </c>
      <c r="X1184" s="27" t="str">
        <f>IFERROR(W1184*L1182,"-")</f>
        <v>-</v>
      </c>
      <c r="Z1184" s="94" t="s">
        <v>82</v>
      </c>
    </row>
    <row r="1185" spans="1:26" s="25" customFormat="1" ht="6.95" customHeight="1" x14ac:dyDescent="0.3">
      <c r="A1185" s="13"/>
      <c r="B1185" s="168"/>
      <c r="C1185" s="169"/>
      <c r="D1185" s="160" t="s">
        <v>39</v>
      </c>
      <c r="E1185" s="161"/>
      <c r="F1185" s="162" t="s">
        <v>40</v>
      </c>
      <c r="G1185" s="163"/>
      <c r="H1185" s="164"/>
      <c r="I1185" s="163"/>
      <c r="J1185" s="164"/>
      <c r="K1185" s="163"/>
      <c r="L1185" s="164"/>
      <c r="M1185" s="11"/>
      <c r="N1185" s="39"/>
      <c r="Q1185" s="15" t="str">
        <f>+CONCATENATE(E1185,G1185)</f>
        <v/>
      </c>
      <c r="R1185" s="15">
        <f>+H1185</f>
        <v>0</v>
      </c>
      <c r="S1185" s="16"/>
      <c r="T1185" s="15">
        <f>+E1185</f>
        <v>0</v>
      </c>
      <c r="U1185" s="26" t="str">
        <f t="shared" ref="U1185" si="643">IFERROR(LEFT(G1185,FIND("*",G1185)-1),"-")</f>
        <v>-</v>
      </c>
      <c r="V1185" s="26" t="str">
        <f t="shared" ref="V1185" si="644">IFERROR(RIGHT(G1185,LEN(G1185)-FIND("*",G1185)),"-")</f>
        <v>-</v>
      </c>
      <c r="W1185" s="27" t="str">
        <f t="shared" si="640"/>
        <v>-</v>
      </c>
      <c r="X1185" s="27" t="str">
        <f>IFERROR(W1185*H1185,"-")</f>
        <v>-</v>
      </c>
      <c r="Z1185" s="94" t="s">
        <v>82</v>
      </c>
    </row>
    <row r="1186" spans="1:26" s="25" customFormat="1" ht="6.95" customHeight="1" x14ac:dyDescent="0.3">
      <c r="A1186" s="10"/>
      <c r="B1186" s="168"/>
      <c r="C1186" s="169"/>
      <c r="D1186" s="160"/>
      <c r="E1186" s="161"/>
      <c r="F1186" s="162"/>
      <c r="G1186" s="163"/>
      <c r="H1186" s="164"/>
      <c r="I1186" s="163"/>
      <c r="J1186" s="164"/>
      <c r="K1186" s="163"/>
      <c r="L1186" s="164"/>
      <c r="M1186" s="11"/>
      <c r="N1186" s="39"/>
      <c r="Q1186" s="15" t="str">
        <f>+CONCATENATE(E1185,I1185)</f>
        <v/>
      </c>
      <c r="R1186" s="15">
        <f>+J1185</f>
        <v>0</v>
      </c>
      <c r="S1186" s="16"/>
      <c r="T1186" s="15">
        <f>+E1185</f>
        <v>0</v>
      </c>
      <c r="U1186" s="26" t="str">
        <f>IFERROR(LEFT(I1185,FIND("*",I1185)-1),"-")</f>
        <v>-</v>
      </c>
      <c r="V1186" s="26" t="str">
        <f>IFERROR(RIGHT(I1185,LEN(I1185)-FIND("*",I1185)),"-")</f>
        <v>-</v>
      </c>
      <c r="W1186" s="27" t="str">
        <f t="shared" si="640"/>
        <v>-</v>
      </c>
      <c r="X1186" s="27" t="str">
        <f t="shared" ref="X1186" si="645">IFERROR(W1186*J1185,"-")</f>
        <v>-</v>
      </c>
      <c r="Z1186" s="94" t="s">
        <v>82</v>
      </c>
    </row>
    <row r="1187" spans="1:26" s="25" customFormat="1" ht="6.95" customHeight="1" x14ac:dyDescent="0.3">
      <c r="A1187" s="10"/>
      <c r="B1187" s="168"/>
      <c r="C1187" s="169"/>
      <c r="D1187" s="160"/>
      <c r="E1187" s="161"/>
      <c r="F1187" s="162"/>
      <c r="G1187" s="163"/>
      <c r="H1187" s="164"/>
      <c r="I1187" s="163"/>
      <c r="J1187" s="164"/>
      <c r="K1187" s="163"/>
      <c r="L1187" s="164"/>
      <c r="M1187" s="11"/>
      <c r="N1187" s="39"/>
      <c r="Q1187" s="15" t="str">
        <f>+CONCATENATE(E1185,K1185)</f>
        <v/>
      </c>
      <c r="R1187" s="15">
        <f>+L1185</f>
        <v>0</v>
      </c>
      <c r="S1187" s="16"/>
      <c r="T1187" s="15">
        <f>+E1185</f>
        <v>0</v>
      </c>
      <c r="U1187" s="26" t="str">
        <f>IFERROR(LEFT(K1185,FIND("*",K1185)-1),"-")</f>
        <v>-</v>
      </c>
      <c r="V1187" s="26" t="str">
        <f>IFERROR(RIGHT(K1185,LEN(K1185)-FIND("*",K1185)),"-")</f>
        <v>-</v>
      </c>
      <c r="W1187" s="27" t="str">
        <f t="shared" si="640"/>
        <v>-</v>
      </c>
      <c r="X1187" s="27" t="str">
        <f>IFERROR(W1187*L1185,"-")</f>
        <v>-</v>
      </c>
      <c r="Z1187" s="94" t="s">
        <v>82</v>
      </c>
    </row>
    <row r="1188" spans="1:26" s="25" customFormat="1" ht="21" customHeight="1" thickBot="1" x14ac:dyDescent="0.35">
      <c r="A1188" s="10"/>
      <c r="B1188" s="170"/>
      <c r="C1188" s="171"/>
      <c r="D1188" s="172" t="s">
        <v>43</v>
      </c>
      <c r="E1188" s="173"/>
      <c r="F1188" s="173"/>
      <c r="G1188" s="174"/>
      <c r="H1188" s="174"/>
      <c r="I1188" s="174"/>
      <c r="J1188" s="174"/>
      <c r="K1188" s="174"/>
      <c r="L1188" s="174"/>
      <c r="M1188" s="12"/>
      <c r="N1188" s="39"/>
      <c r="U1188" s="23"/>
      <c r="V1188" s="23"/>
      <c r="Z1188" s="95" t="s">
        <v>81</v>
      </c>
    </row>
    <row r="1189" spans="1:26" s="25" customFormat="1" ht="9.9499999999999993" customHeight="1" thickBot="1" x14ac:dyDescent="0.35">
      <c r="A1189" s="6"/>
      <c r="B1189" s="14"/>
      <c r="C1189" s="119"/>
      <c r="D1189" s="58"/>
      <c r="E1189" s="17"/>
      <c r="F1189" s="58"/>
      <c r="G1189" s="19"/>
      <c r="H1189" s="19"/>
      <c r="I1189" s="19"/>
      <c r="J1189" s="19"/>
      <c r="K1189" s="19"/>
      <c r="L1189" s="19"/>
      <c r="M1189" s="14"/>
      <c r="N1189" s="39"/>
      <c r="Q1189" s="1"/>
      <c r="R1189" s="1"/>
      <c r="S1189" s="1"/>
      <c r="T1189" s="1"/>
      <c r="U1189" s="24"/>
      <c r="V1189" s="24"/>
      <c r="W1189" s="1"/>
      <c r="X1189" s="1"/>
      <c r="Z1189" s="94" t="s">
        <v>82</v>
      </c>
    </row>
    <row r="1190" spans="1:26" s="25" customFormat="1" ht="6.95" customHeight="1" x14ac:dyDescent="0.3">
      <c r="A1190" s="165">
        <f>+A1179+1</f>
        <v>109</v>
      </c>
      <c r="B1190" s="166"/>
      <c r="C1190" s="167"/>
      <c r="D1190" s="160" t="s">
        <v>39</v>
      </c>
      <c r="E1190" s="161"/>
      <c r="F1190" s="162" t="s">
        <v>40</v>
      </c>
      <c r="G1190" s="163"/>
      <c r="H1190" s="164"/>
      <c r="I1190" s="163"/>
      <c r="J1190" s="164"/>
      <c r="K1190" s="163"/>
      <c r="L1190" s="164"/>
      <c r="M1190" s="11"/>
      <c r="N1190" s="39"/>
      <c r="Q1190" s="15" t="str">
        <f>+CONCATENATE(E1190,G1190)</f>
        <v/>
      </c>
      <c r="R1190" s="15">
        <f>+H1190</f>
        <v>0</v>
      </c>
      <c r="S1190" s="16"/>
      <c r="T1190" s="15">
        <f>+E1190</f>
        <v>0</v>
      </c>
      <c r="U1190" s="26" t="str">
        <f>IFERROR(LEFT(G1190,FIND("*",G1190)-1),"-")</f>
        <v>-</v>
      </c>
      <c r="V1190" s="26" t="str">
        <f>IFERROR(RIGHT(G1190,LEN(G1190)-FIND("*",G1190)),"-")</f>
        <v>-</v>
      </c>
      <c r="W1190" s="27" t="str">
        <f>IFERROR((U1190+V1190)*2/1000,"-")</f>
        <v>-</v>
      </c>
      <c r="X1190" s="27" t="str">
        <f>IFERROR(W1190*H1190,"-")</f>
        <v>-</v>
      </c>
      <c r="Z1190" s="94" t="s">
        <v>82</v>
      </c>
    </row>
    <row r="1191" spans="1:26" s="25" customFormat="1" ht="6.95" customHeight="1" x14ac:dyDescent="0.3">
      <c r="A1191" s="165"/>
      <c r="B1191" s="168"/>
      <c r="C1191" s="169"/>
      <c r="D1191" s="160"/>
      <c r="E1191" s="161"/>
      <c r="F1191" s="162"/>
      <c r="G1191" s="163"/>
      <c r="H1191" s="164"/>
      <c r="I1191" s="163"/>
      <c r="J1191" s="164"/>
      <c r="K1191" s="163"/>
      <c r="L1191" s="164"/>
      <c r="M1191" s="11"/>
      <c r="N1191" s="39"/>
      <c r="Q1191" s="15" t="str">
        <f>+CONCATENATE(E1190,I1190)</f>
        <v/>
      </c>
      <c r="R1191" s="15">
        <f>+J1190</f>
        <v>0</v>
      </c>
      <c r="S1191" s="16"/>
      <c r="T1191" s="15">
        <f>+E1190</f>
        <v>0</v>
      </c>
      <c r="U1191" s="26" t="str">
        <f>IFERROR(LEFT(I1190,FIND("*",I1190)-1),"-")</f>
        <v>-</v>
      </c>
      <c r="V1191" s="26" t="str">
        <f>IFERROR(RIGHT(I1190,LEN(I1190)-FIND("*",I1190)),"-")</f>
        <v>-</v>
      </c>
      <c r="W1191" s="27" t="str">
        <f t="shared" ref="W1191:W1198" si="646">IFERROR((U1191+V1191)*2/1000,"-")</f>
        <v>-</v>
      </c>
      <c r="X1191" s="27" t="str">
        <f>IFERROR(W1191*J1190,"-")</f>
        <v>-</v>
      </c>
      <c r="Z1191" s="94" t="s">
        <v>82</v>
      </c>
    </row>
    <row r="1192" spans="1:26" s="25" customFormat="1" ht="6.95" customHeight="1" x14ac:dyDescent="0.3">
      <c r="A1192" s="165"/>
      <c r="B1192" s="168"/>
      <c r="C1192" s="169"/>
      <c r="D1192" s="160"/>
      <c r="E1192" s="161"/>
      <c r="F1192" s="162"/>
      <c r="G1192" s="163"/>
      <c r="H1192" s="164"/>
      <c r="I1192" s="163"/>
      <c r="J1192" s="164"/>
      <c r="K1192" s="163"/>
      <c r="L1192" s="164"/>
      <c r="M1192" s="11"/>
      <c r="N1192" s="39"/>
      <c r="Q1192" s="15" t="str">
        <f>+CONCATENATE(E1190,K1190)</f>
        <v/>
      </c>
      <c r="R1192" s="15">
        <f>+L1190</f>
        <v>0</v>
      </c>
      <c r="S1192" s="16"/>
      <c r="T1192" s="15">
        <f>+E1190</f>
        <v>0</v>
      </c>
      <c r="U1192" s="26" t="str">
        <f>IFERROR(LEFT(K1190,FIND("*",K1190)-1),"-")</f>
        <v>-</v>
      </c>
      <c r="V1192" s="26" t="str">
        <f>IFERROR(RIGHT(K1190,LEN(K1190)-FIND("*",K1190)),"-")</f>
        <v>-</v>
      </c>
      <c r="W1192" s="27" t="str">
        <f t="shared" si="646"/>
        <v>-</v>
      </c>
      <c r="X1192" s="27" t="str">
        <f>IFERROR(W1192*L1190,"-")</f>
        <v>-</v>
      </c>
      <c r="Z1192" s="94" t="s">
        <v>82</v>
      </c>
    </row>
    <row r="1193" spans="1:26" s="25" customFormat="1" ht="6.95" customHeight="1" x14ac:dyDescent="0.3">
      <c r="A1193" s="13"/>
      <c r="B1193" s="168"/>
      <c r="C1193" s="169"/>
      <c r="D1193" s="160" t="s">
        <v>39</v>
      </c>
      <c r="E1193" s="161"/>
      <c r="F1193" s="162" t="s">
        <v>40</v>
      </c>
      <c r="G1193" s="163"/>
      <c r="H1193" s="164"/>
      <c r="I1193" s="163"/>
      <c r="J1193" s="164"/>
      <c r="K1193" s="163"/>
      <c r="L1193" s="164"/>
      <c r="M1193" s="11"/>
      <c r="N1193" s="39"/>
      <c r="Q1193" s="15" t="str">
        <f>+CONCATENATE(E1193,G1193)</f>
        <v/>
      </c>
      <c r="R1193" s="15">
        <f>+H1193</f>
        <v>0</v>
      </c>
      <c r="S1193" s="16"/>
      <c r="T1193" s="15">
        <f>+E1193</f>
        <v>0</v>
      </c>
      <c r="U1193" s="26" t="str">
        <f t="shared" ref="U1193" si="647">IFERROR(LEFT(G1193,FIND("*",G1193)-1),"-")</f>
        <v>-</v>
      </c>
      <c r="V1193" s="26" t="str">
        <f t="shared" ref="V1193" si="648">IFERROR(RIGHT(G1193,LEN(G1193)-FIND("*",G1193)),"-")</f>
        <v>-</v>
      </c>
      <c r="W1193" s="27" t="str">
        <f t="shared" si="646"/>
        <v>-</v>
      </c>
      <c r="X1193" s="27" t="str">
        <f>IFERROR(W1193*H1193,"-")</f>
        <v>-</v>
      </c>
      <c r="Z1193" s="94" t="s">
        <v>82</v>
      </c>
    </row>
    <row r="1194" spans="1:26" s="25" customFormat="1" ht="6.95" customHeight="1" x14ac:dyDescent="0.3">
      <c r="A1194" s="10"/>
      <c r="B1194" s="168"/>
      <c r="C1194" s="169"/>
      <c r="D1194" s="160"/>
      <c r="E1194" s="161"/>
      <c r="F1194" s="162"/>
      <c r="G1194" s="163"/>
      <c r="H1194" s="164"/>
      <c r="I1194" s="163"/>
      <c r="J1194" s="164"/>
      <c r="K1194" s="163"/>
      <c r="L1194" s="164"/>
      <c r="M1194" s="11"/>
      <c r="N1194" s="39"/>
      <c r="Q1194" s="15" t="str">
        <f>+CONCATENATE(E1193,I1193)</f>
        <v/>
      </c>
      <c r="R1194" s="15">
        <f>+J1193</f>
        <v>0</v>
      </c>
      <c r="S1194" s="16"/>
      <c r="T1194" s="15">
        <f>+E1193</f>
        <v>0</v>
      </c>
      <c r="U1194" s="26" t="str">
        <f>IFERROR(LEFT(I1193,FIND("*",I1193)-1),"-")</f>
        <v>-</v>
      </c>
      <c r="V1194" s="26" t="str">
        <f>IFERROR(RIGHT(I1193,LEN(I1193)-FIND("*",I1193)),"-")</f>
        <v>-</v>
      </c>
      <c r="W1194" s="27" t="str">
        <f t="shared" si="646"/>
        <v>-</v>
      </c>
      <c r="X1194" s="27" t="str">
        <f>IFERROR(W1194*J1193,"-")</f>
        <v>-</v>
      </c>
      <c r="Z1194" s="94" t="s">
        <v>82</v>
      </c>
    </row>
    <row r="1195" spans="1:26" s="25" customFormat="1" ht="6.95" customHeight="1" x14ac:dyDescent="0.3">
      <c r="A1195" s="10"/>
      <c r="B1195" s="168"/>
      <c r="C1195" s="169"/>
      <c r="D1195" s="160"/>
      <c r="E1195" s="161"/>
      <c r="F1195" s="162"/>
      <c r="G1195" s="163"/>
      <c r="H1195" s="164"/>
      <c r="I1195" s="163"/>
      <c r="J1195" s="164"/>
      <c r="K1195" s="163"/>
      <c r="L1195" s="164"/>
      <c r="M1195" s="11"/>
      <c r="N1195" s="39"/>
      <c r="Q1195" s="15" t="str">
        <f>+CONCATENATE(E1193,K1193)</f>
        <v/>
      </c>
      <c r="R1195" s="15">
        <f>+L1193</f>
        <v>0</v>
      </c>
      <c r="S1195" s="16"/>
      <c r="T1195" s="15">
        <f>+E1193</f>
        <v>0</v>
      </c>
      <c r="U1195" s="26" t="str">
        <f>IFERROR(LEFT(K1193,FIND("*",K1193)-1),"-")</f>
        <v>-</v>
      </c>
      <c r="V1195" s="26" t="str">
        <f>IFERROR(RIGHT(K1193,LEN(K1193)-FIND("*",K1193)),"-")</f>
        <v>-</v>
      </c>
      <c r="W1195" s="27" t="str">
        <f t="shared" si="646"/>
        <v>-</v>
      </c>
      <c r="X1195" s="27" t="str">
        <f>IFERROR(W1195*L1193,"-")</f>
        <v>-</v>
      </c>
      <c r="Z1195" s="94" t="s">
        <v>82</v>
      </c>
    </row>
    <row r="1196" spans="1:26" s="25" customFormat="1" ht="6.95" customHeight="1" x14ac:dyDescent="0.3">
      <c r="A1196" s="13"/>
      <c r="B1196" s="168"/>
      <c r="C1196" s="169"/>
      <c r="D1196" s="160" t="s">
        <v>39</v>
      </c>
      <c r="E1196" s="161"/>
      <c r="F1196" s="162" t="s">
        <v>40</v>
      </c>
      <c r="G1196" s="163"/>
      <c r="H1196" s="164"/>
      <c r="I1196" s="163"/>
      <c r="J1196" s="164"/>
      <c r="K1196" s="163"/>
      <c r="L1196" s="164"/>
      <c r="M1196" s="11"/>
      <c r="N1196" s="39"/>
      <c r="Q1196" s="15" t="str">
        <f>+CONCATENATE(E1196,G1196)</f>
        <v/>
      </c>
      <c r="R1196" s="15">
        <f>+H1196</f>
        <v>0</v>
      </c>
      <c r="S1196" s="16"/>
      <c r="T1196" s="15">
        <f>+E1196</f>
        <v>0</v>
      </c>
      <c r="U1196" s="26" t="str">
        <f t="shared" ref="U1196" si="649">IFERROR(LEFT(G1196,FIND("*",G1196)-1),"-")</f>
        <v>-</v>
      </c>
      <c r="V1196" s="26" t="str">
        <f t="shared" ref="V1196" si="650">IFERROR(RIGHT(G1196,LEN(G1196)-FIND("*",G1196)),"-")</f>
        <v>-</v>
      </c>
      <c r="W1196" s="27" t="str">
        <f t="shared" si="646"/>
        <v>-</v>
      </c>
      <c r="X1196" s="27" t="str">
        <f>IFERROR(W1196*H1196,"-")</f>
        <v>-</v>
      </c>
      <c r="Z1196" s="94" t="s">
        <v>82</v>
      </c>
    </row>
    <row r="1197" spans="1:26" s="25" customFormat="1" ht="6.95" customHeight="1" x14ac:dyDescent="0.3">
      <c r="A1197" s="10"/>
      <c r="B1197" s="168"/>
      <c r="C1197" s="169"/>
      <c r="D1197" s="160"/>
      <c r="E1197" s="161"/>
      <c r="F1197" s="162"/>
      <c r="G1197" s="163"/>
      <c r="H1197" s="164"/>
      <c r="I1197" s="163"/>
      <c r="J1197" s="164"/>
      <c r="K1197" s="163"/>
      <c r="L1197" s="164"/>
      <c r="M1197" s="11"/>
      <c r="N1197" s="39"/>
      <c r="Q1197" s="15" t="str">
        <f>+CONCATENATE(E1196,I1196)</f>
        <v/>
      </c>
      <c r="R1197" s="15">
        <f>+J1196</f>
        <v>0</v>
      </c>
      <c r="S1197" s="16"/>
      <c r="T1197" s="15">
        <f>+E1196</f>
        <v>0</v>
      </c>
      <c r="U1197" s="26" t="str">
        <f>IFERROR(LEFT(I1196,FIND("*",I1196)-1),"-")</f>
        <v>-</v>
      </c>
      <c r="V1197" s="26" t="str">
        <f>IFERROR(RIGHT(I1196,LEN(I1196)-FIND("*",I1196)),"-")</f>
        <v>-</v>
      </c>
      <c r="W1197" s="27" t="str">
        <f t="shared" si="646"/>
        <v>-</v>
      </c>
      <c r="X1197" s="27" t="str">
        <f t="shared" ref="X1197" si="651">IFERROR(W1197*J1196,"-")</f>
        <v>-</v>
      </c>
      <c r="Z1197" s="94" t="s">
        <v>82</v>
      </c>
    </row>
    <row r="1198" spans="1:26" s="25" customFormat="1" ht="6.95" customHeight="1" x14ac:dyDescent="0.3">
      <c r="A1198" s="10"/>
      <c r="B1198" s="168"/>
      <c r="C1198" s="169"/>
      <c r="D1198" s="160"/>
      <c r="E1198" s="161"/>
      <c r="F1198" s="162"/>
      <c r="G1198" s="163"/>
      <c r="H1198" s="164"/>
      <c r="I1198" s="163"/>
      <c r="J1198" s="164"/>
      <c r="K1198" s="163"/>
      <c r="L1198" s="164"/>
      <c r="M1198" s="11"/>
      <c r="N1198" s="39"/>
      <c r="Q1198" s="15" t="str">
        <f>+CONCATENATE(E1196,K1196)</f>
        <v/>
      </c>
      <c r="R1198" s="15">
        <f>+L1196</f>
        <v>0</v>
      </c>
      <c r="S1198" s="16"/>
      <c r="T1198" s="15">
        <f>+E1196</f>
        <v>0</v>
      </c>
      <c r="U1198" s="26" t="str">
        <f>IFERROR(LEFT(K1196,FIND("*",K1196)-1),"-")</f>
        <v>-</v>
      </c>
      <c r="V1198" s="26" t="str">
        <f>IFERROR(RIGHT(K1196,LEN(K1196)-FIND("*",K1196)),"-")</f>
        <v>-</v>
      </c>
      <c r="W1198" s="27" t="str">
        <f t="shared" si="646"/>
        <v>-</v>
      </c>
      <c r="X1198" s="27" t="str">
        <f>IFERROR(W1198*L1196,"-")</f>
        <v>-</v>
      </c>
      <c r="Z1198" s="94" t="s">
        <v>82</v>
      </c>
    </row>
    <row r="1199" spans="1:26" s="25" customFormat="1" ht="21" customHeight="1" thickBot="1" x14ac:dyDescent="0.35">
      <c r="A1199" s="10"/>
      <c r="B1199" s="170"/>
      <c r="C1199" s="171"/>
      <c r="D1199" s="172" t="s">
        <v>43</v>
      </c>
      <c r="E1199" s="173"/>
      <c r="F1199" s="173"/>
      <c r="G1199" s="174"/>
      <c r="H1199" s="174"/>
      <c r="I1199" s="174"/>
      <c r="J1199" s="174"/>
      <c r="K1199" s="174"/>
      <c r="L1199" s="174"/>
      <c r="M1199" s="12"/>
      <c r="N1199" s="39"/>
      <c r="U1199" s="23"/>
      <c r="V1199" s="23"/>
      <c r="Z1199" s="95" t="s">
        <v>81</v>
      </c>
    </row>
    <row r="1200" spans="1:26" s="25" customFormat="1" ht="9.9499999999999993" customHeight="1" thickBot="1" x14ac:dyDescent="0.35">
      <c r="A1200" s="6"/>
      <c r="B1200" s="14"/>
      <c r="C1200" s="119"/>
      <c r="D1200" s="58"/>
      <c r="E1200" s="17"/>
      <c r="F1200" s="58"/>
      <c r="G1200" s="19"/>
      <c r="H1200" s="19"/>
      <c r="I1200" s="19"/>
      <c r="J1200" s="19"/>
      <c r="K1200" s="19"/>
      <c r="L1200" s="19"/>
      <c r="M1200" s="14"/>
      <c r="N1200" s="39"/>
      <c r="Q1200" s="1"/>
      <c r="R1200" s="1"/>
      <c r="S1200" s="1"/>
      <c r="T1200" s="1"/>
      <c r="U1200" s="24"/>
      <c r="V1200" s="24"/>
      <c r="W1200" s="1"/>
      <c r="X1200" s="1"/>
      <c r="Z1200" s="94" t="s">
        <v>82</v>
      </c>
    </row>
    <row r="1201" spans="1:26" s="25" customFormat="1" ht="6.95" customHeight="1" x14ac:dyDescent="0.3">
      <c r="A1201" s="165">
        <f>+A1190+1</f>
        <v>110</v>
      </c>
      <c r="B1201" s="166"/>
      <c r="C1201" s="167"/>
      <c r="D1201" s="160" t="s">
        <v>39</v>
      </c>
      <c r="E1201" s="161"/>
      <c r="F1201" s="162" t="s">
        <v>40</v>
      </c>
      <c r="G1201" s="163"/>
      <c r="H1201" s="164"/>
      <c r="I1201" s="163"/>
      <c r="J1201" s="164"/>
      <c r="K1201" s="163"/>
      <c r="L1201" s="164"/>
      <c r="M1201" s="11"/>
      <c r="N1201" s="39"/>
      <c r="Q1201" s="15" t="str">
        <f>+CONCATENATE(E1201,G1201)</f>
        <v/>
      </c>
      <c r="R1201" s="15">
        <f>+H1201</f>
        <v>0</v>
      </c>
      <c r="S1201" s="16"/>
      <c r="T1201" s="15">
        <f>+E1201</f>
        <v>0</v>
      </c>
      <c r="U1201" s="26" t="str">
        <f>IFERROR(LEFT(G1201,FIND("*",G1201)-1),"-")</f>
        <v>-</v>
      </c>
      <c r="V1201" s="26" t="str">
        <f>IFERROR(RIGHT(G1201,LEN(G1201)-FIND("*",G1201)),"-")</f>
        <v>-</v>
      </c>
      <c r="W1201" s="27" t="str">
        <f>IFERROR((U1201+V1201)*2/1000,"-")</f>
        <v>-</v>
      </c>
      <c r="X1201" s="27" t="str">
        <f>IFERROR(W1201*H1201,"-")</f>
        <v>-</v>
      </c>
      <c r="Z1201" s="94" t="s">
        <v>82</v>
      </c>
    </row>
    <row r="1202" spans="1:26" s="25" customFormat="1" ht="6.95" customHeight="1" x14ac:dyDescent="0.3">
      <c r="A1202" s="165"/>
      <c r="B1202" s="168"/>
      <c r="C1202" s="169"/>
      <c r="D1202" s="160"/>
      <c r="E1202" s="161"/>
      <c r="F1202" s="162"/>
      <c r="G1202" s="163"/>
      <c r="H1202" s="164"/>
      <c r="I1202" s="163"/>
      <c r="J1202" s="164"/>
      <c r="K1202" s="163"/>
      <c r="L1202" s="164"/>
      <c r="M1202" s="11"/>
      <c r="N1202" s="39"/>
      <c r="Q1202" s="15" t="str">
        <f>+CONCATENATE(E1201,I1201)</f>
        <v/>
      </c>
      <c r="R1202" s="15">
        <f>+J1201</f>
        <v>0</v>
      </c>
      <c r="S1202" s="16"/>
      <c r="T1202" s="15">
        <f>+E1201</f>
        <v>0</v>
      </c>
      <c r="U1202" s="26" t="str">
        <f>IFERROR(LEFT(I1201,FIND("*",I1201)-1),"-")</f>
        <v>-</v>
      </c>
      <c r="V1202" s="26" t="str">
        <f>IFERROR(RIGHT(I1201,LEN(I1201)-FIND("*",I1201)),"-")</f>
        <v>-</v>
      </c>
      <c r="W1202" s="27" t="str">
        <f t="shared" ref="W1202:W1209" si="652">IFERROR((U1202+V1202)*2/1000,"-")</f>
        <v>-</v>
      </c>
      <c r="X1202" s="27" t="str">
        <f>IFERROR(W1202*J1201,"-")</f>
        <v>-</v>
      </c>
      <c r="Z1202" s="94" t="s">
        <v>82</v>
      </c>
    </row>
    <row r="1203" spans="1:26" s="25" customFormat="1" ht="6.95" customHeight="1" x14ac:dyDescent="0.3">
      <c r="A1203" s="165"/>
      <c r="B1203" s="168"/>
      <c r="C1203" s="169"/>
      <c r="D1203" s="160"/>
      <c r="E1203" s="161"/>
      <c r="F1203" s="162"/>
      <c r="G1203" s="163"/>
      <c r="H1203" s="164"/>
      <c r="I1203" s="163"/>
      <c r="J1203" s="164"/>
      <c r="K1203" s="163"/>
      <c r="L1203" s="164"/>
      <c r="M1203" s="11"/>
      <c r="N1203" s="39"/>
      <c r="Q1203" s="15" t="str">
        <f>+CONCATENATE(E1201,K1201)</f>
        <v/>
      </c>
      <c r="R1203" s="15">
        <f>+L1201</f>
        <v>0</v>
      </c>
      <c r="S1203" s="16"/>
      <c r="T1203" s="15">
        <f>+E1201</f>
        <v>0</v>
      </c>
      <c r="U1203" s="26" t="str">
        <f>IFERROR(LEFT(K1201,FIND("*",K1201)-1),"-")</f>
        <v>-</v>
      </c>
      <c r="V1203" s="26" t="str">
        <f>IFERROR(RIGHT(K1201,LEN(K1201)-FIND("*",K1201)),"-")</f>
        <v>-</v>
      </c>
      <c r="W1203" s="27" t="str">
        <f t="shared" si="652"/>
        <v>-</v>
      </c>
      <c r="X1203" s="27" t="str">
        <f>IFERROR(W1203*L1201,"-")</f>
        <v>-</v>
      </c>
      <c r="Z1203" s="94" t="s">
        <v>82</v>
      </c>
    </row>
    <row r="1204" spans="1:26" s="25" customFormat="1" ht="6.95" customHeight="1" x14ac:dyDescent="0.3">
      <c r="A1204" s="13"/>
      <c r="B1204" s="168"/>
      <c r="C1204" s="169"/>
      <c r="D1204" s="160" t="s">
        <v>39</v>
      </c>
      <c r="E1204" s="161"/>
      <c r="F1204" s="162" t="s">
        <v>40</v>
      </c>
      <c r="G1204" s="163"/>
      <c r="H1204" s="164"/>
      <c r="I1204" s="163"/>
      <c r="J1204" s="164"/>
      <c r="K1204" s="163"/>
      <c r="L1204" s="164"/>
      <c r="M1204" s="11"/>
      <c r="N1204" s="39"/>
      <c r="Q1204" s="15" t="str">
        <f>+CONCATENATE(E1204,G1204)</f>
        <v/>
      </c>
      <c r="R1204" s="15">
        <f>+H1204</f>
        <v>0</v>
      </c>
      <c r="S1204" s="16"/>
      <c r="T1204" s="15">
        <f>+E1204</f>
        <v>0</v>
      </c>
      <c r="U1204" s="26" t="str">
        <f t="shared" ref="U1204" si="653">IFERROR(LEFT(G1204,FIND("*",G1204)-1),"-")</f>
        <v>-</v>
      </c>
      <c r="V1204" s="26" t="str">
        <f t="shared" ref="V1204" si="654">IFERROR(RIGHT(G1204,LEN(G1204)-FIND("*",G1204)),"-")</f>
        <v>-</v>
      </c>
      <c r="W1204" s="27" t="str">
        <f t="shared" si="652"/>
        <v>-</v>
      </c>
      <c r="X1204" s="27" t="str">
        <f>IFERROR(W1204*H1204,"-")</f>
        <v>-</v>
      </c>
      <c r="Z1204" s="94" t="s">
        <v>82</v>
      </c>
    </row>
    <row r="1205" spans="1:26" s="25" customFormat="1" ht="6.95" customHeight="1" x14ac:dyDescent="0.3">
      <c r="A1205" s="10"/>
      <c r="B1205" s="168"/>
      <c r="C1205" s="169"/>
      <c r="D1205" s="160"/>
      <c r="E1205" s="161"/>
      <c r="F1205" s="162"/>
      <c r="G1205" s="163"/>
      <c r="H1205" s="164"/>
      <c r="I1205" s="163"/>
      <c r="J1205" s="164"/>
      <c r="K1205" s="163"/>
      <c r="L1205" s="164"/>
      <c r="M1205" s="11"/>
      <c r="N1205" s="39"/>
      <c r="Q1205" s="15" t="str">
        <f>+CONCATENATE(E1204,I1204)</f>
        <v/>
      </c>
      <c r="R1205" s="15">
        <f>+J1204</f>
        <v>0</v>
      </c>
      <c r="S1205" s="16"/>
      <c r="T1205" s="15">
        <f>+E1204</f>
        <v>0</v>
      </c>
      <c r="U1205" s="26" t="str">
        <f>IFERROR(LEFT(I1204,FIND("*",I1204)-1),"-")</f>
        <v>-</v>
      </c>
      <c r="V1205" s="26" t="str">
        <f>IFERROR(RIGHT(I1204,LEN(I1204)-FIND("*",I1204)),"-")</f>
        <v>-</v>
      </c>
      <c r="W1205" s="27" t="str">
        <f t="shared" si="652"/>
        <v>-</v>
      </c>
      <c r="X1205" s="27" t="str">
        <f>IFERROR(W1205*J1204,"-")</f>
        <v>-</v>
      </c>
      <c r="Z1205" s="94" t="s">
        <v>82</v>
      </c>
    </row>
    <row r="1206" spans="1:26" s="25" customFormat="1" ht="6.95" customHeight="1" x14ac:dyDescent="0.3">
      <c r="A1206" s="10"/>
      <c r="B1206" s="168"/>
      <c r="C1206" s="169"/>
      <c r="D1206" s="160"/>
      <c r="E1206" s="161"/>
      <c r="F1206" s="162"/>
      <c r="G1206" s="163"/>
      <c r="H1206" s="164"/>
      <c r="I1206" s="163"/>
      <c r="J1206" s="164"/>
      <c r="K1206" s="163"/>
      <c r="L1206" s="164"/>
      <c r="M1206" s="11"/>
      <c r="N1206" s="39"/>
      <c r="Q1206" s="15" t="str">
        <f>+CONCATENATE(E1204,K1204)</f>
        <v/>
      </c>
      <c r="R1206" s="15">
        <f>+L1204</f>
        <v>0</v>
      </c>
      <c r="S1206" s="16"/>
      <c r="T1206" s="15">
        <f>+E1204</f>
        <v>0</v>
      </c>
      <c r="U1206" s="26" t="str">
        <f>IFERROR(LEFT(K1204,FIND("*",K1204)-1),"-")</f>
        <v>-</v>
      </c>
      <c r="V1206" s="26" t="str">
        <f>IFERROR(RIGHT(K1204,LEN(K1204)-FIND("*",K1204)),"-")</f>
        <v>-</v>
      </c>
      <c r="W1206" s="27" t="str">
        <f t="shared" si="652"/>
        <v>-</v>
      </c>
      <c r="X1206" s="27" t="str">
        <f>IFERROR(W1206*L1204,"-")</f>
        <v>-</v>
      </c>
      <c r="Z1206" s="94" t="s">
        <v>82</v>
      </c>
    </row>
    <row r="1207" spans="1:26" s="25" customFormat="1" ht="6.95" customHeight="1" x14ac:dyDescent="0.3">
      <c r="A1207" s="13"/>
      <c r="B1207" s="168"/>
      <c r="C1207" s="169"/>
      <c r="D1207" s="160" t="s">
        <v>39</v>
      </c>
      <c r="E1207" s="161"/>
      <c r="F1207" s="162" t="s">
        <v>40</v>
      </c>
      <c r="G1207" s="163"/>
      <c r="H1207" s="164"/>
      <c r="I1207" s="163"/>
      <c r="J1207" s="164"/>
      <c r="K1207" s="163"/>
      <c r="L1207" s="164"/>
      <c r="M1207" s="11"/>
      <c r="N1207" s="39"/>
      <c r="Q1207" s="15" t="str">
        <f>+CONCATENATE(E1207,G1207)</f>
        <v/>
      </c>
      <c r="R1207" s="15">
        <f>+H1207</f>
        <v>0</v>
      </c>
      <c r="S1207" s="16"/>
      <c r="T1207" s="15">
        <f>+E1207</f>
        <v>0</v>
      </c>
      <c r="U1207" s="26" t="str">
        <f t="shared" ref="U1207" si="655">IFERROR(LEFT(G1207,FIND("*",G1207)-1),"-")</f>
        <v>-</v>
      </c>
      <c r="V1207" s="26" t="str">
        <f t="shared" ref="V1207" si="656">IFERROR(RIGHT(G1207,LEN(G1207)-FIND("*",G1207)),"-")</f>
        <v>-</v>
      </c>
      <c r="W1207" s="27" t="str">
        <f t="shared" si="652"/>
        <v>-</v>
      </c>
      <c r="X1207" s="27" t="str">
        <f>IFERROR(W1207*H1207,"-")</f>
        <v>-</v>
      </c>
      <c r="Z1207" s="94" t="s">
        <v>82</v>
      </c>
    </row>
    <row r="1208" spans="1:26" s="25" customFormat="1" ht="6.95" customHeight="1" x14ac:dyDescent="0.3">
      <c r="A1208" s="10"/>
      <c r="B1208" s="168"/>
      <c r="C1208" s="169"/>
      <c r="D1208" s="160"/>
      <c r="E1208" s="161"/>
      <c r="F1208" s="162"/>
      <c r="G1208" s="163"/>
      <c r="H1208" s="164"/>
      <c r="I1208" s="163"/>
      <c r="J1208" s="164"/>
      <c r="K1208" s="163"/>
      <c r="L1208" s="164"/>
      <c r="M1208" s="11"/>
      <c r="N1208" s="39"/>
      <c r="Q1208" s="15" t="str">
        <f>+CONCATENATE(E1207,I1207)</f>
        <v/>
      </c>
      <c r="R1208" s="15">
        <f>+J1207</f>
        <v>0</v>
      </c>
      <c r="S1208" s="16"/>
      <c r="T1208" s="15">
        <f>+E1207</f>
        <v>0</v>
      </c>
      <c r="U1208" s="26" t="str">
        <f>IFERROR(LEFT(I1207,FIND("*",I1207)-1),"-")</f>
        <v>-</v>
      </c>
      <c r="V1208" s="26" t="str">
        <f>IFERROR(RIGHT(I1207,LEN(I1207)-FIND("*",I1207)),"-")</f>
        <v>-</v>
      </c>
      <c r="W1208" s="27" t="str">
        <f t="shared" si="652"/>
        <v>-</v>
      </c>
      <c r="X1208" s="27" t="str">
        <f t="shared" ref="X1208" si="657">IFERROR(W1208*J1207,"-")</f>
        <v>-</v>
      </c>
      <c r="Z1208" s="94" t="s">
        <v>82</v>
      </c>
    </row>
    <row r="1209" spans="1:26" s="25" customFormat="1" ht="6.95" customHeight="1" x14ac:dyDescent="0.3">
      <c r="A1209" s="10"/>
      <c r="B1209" s="168"/>
      <c r="C1209" s="169"/>
      <c r="D1209" s="160"/>
      <c r="E1209" s="161"/>
      <c r="F1209" s="162"/>
      <c r="G1209" s="163"/>
      <c r="H1209" s="164"/>
      <c r="I1209" s="163"/>
      <c r="J1209" s="164"/>
      <c r="K1209" s="163"/>
      <c r="L1209" s="164"/>
      <c r="M1209" s="11"/>
      <c r="N1209" s="39"/>
      <c r="Q1209" s="15" t="str">
        <f>+CONCATENATE(E1207,K1207)</f>
        <v/>
      </c>
      <c r="R1209" s="15">
        <f>+L1207</f>
        <v>0</v>
      </c>
      <c r="S1209" s="16"/>
      <c r="T1209" s="15">
        <f>+E1207</f>
        <v>0</v>
      </c>
      <c r="U1209" s="26" t="str">
        <f>IFERROR(LEFT(K1207,FIND("*",K1207)-1),"-")</f>
        <v>-</v>
      </c>
      <c r="V1209" s="26" t="str">
        <f>IFERROR(RIGHT(K1207,LEN(K1207)-FIND("*",K1207)),"-")</f>
        <v>-</v>
      </c>
      <c r="W1209" s="27" t="str">
        <f t="shared" si="652"/>
        <v>-</v>
      </c>
      <c r="X1209" s="27" t="str">
        <f>IFERROR(W1209*L1207,"-")</f>
        <v>-</v>
      </c>
      <c r="Z1209" s="94" t="s">
        <v>82</v>
      </c>
    </row>
    <row r="1210" spans="1:26" s="25" customFormat="1" ht="21" customHeight="1" thickBot="1" x14ac:dyDescent="0.35">
      <c r="A1210" s="10"/>
      <c r="B1210" s="170"/>
      <c r="C1210" s="171"/>
      <c r="D1210" s="172" t="s">
        <v>43</v>
      </c>
      <c r="E1210" s="173"/>
      <c r="F1210" s="173"/>
      <c r="G1210" s="174"/>
      <c r="H1210" s="174"/>
      <c r="I1210" s="174"/>
      <c r="J1210" s="174"/>
      <c r="K1210" s="174"/>
      <c r="L1210" s="174"/>
      <c r="M1210" s="12"/>
      <c r="N1210" s="39"/>
      <c r="U1210" s="23"/>
      <c r="V1210" s="23"/>
      <c r="Z1210" s="95" t="s">
        <v>81</v>
      </c>
    </row>
    <row r="1211" spans="1:26" s="25" customFormat="1" ht="9.9499999999999993" customHeight="1" thickBot="1" x14ac:dyDescent="0.35">
      <c r="A1211" s="6"/>
      <c r="B1211" s="14"/>
      <c r="C1211" s="119"/>
      <c r="D1211" s="58"/>
      <c r="E1211" s="17"/>
      <c r="F1211" s="58"/>
      <c r="G1211" s="19"/>
      <c r="H1211" s="19"/>
      <c r="I1211" s="19"/>
      <c r="J1211" s="19"/>
      <c r="K1211" s="19"/>
      <c r="L1211" s="19"/>
      <c r="M1211" s="14"/>
      <c r="N1211" s="39"/>
      <c r="Q1211" s="1"/>
      <c r="R1211" s="1"/>
      <c r="S1211" s="1"/>
      <c r="T1211" s="1"/>
      <c r="U1211" s="24"/>
      <c r="V1211" s="24"/>
      <c r="W1211" s="1"/>
      <c r="X1211" s="1"/>
      <c r="Z1211" s="94" t="s">
        <v>82</v>
      </c>
    </row>
    <row r="1212" spans="1:26" s="25" customFormat="1" ht="6.95" customHeight="1" x14ac:dyDescent="0.3">
      <c r="A1212" s="165">
        <f>+A1201+1</f>
        <v>111</v>
      </c>
      <c r="B1212" s="166"/>
      <c r="C1212" s="167"/>
      <c r="D1212" s="160" t="s">
        <v>39</v>
      </c>
      <c r="E1212" s="161"/>
      <c r="F1212" s="162" t="s">
        <v>40</v>
      </c>
      <c r="G1212" s="163"/>
      <c r="H1212" s="164"/>
      <c r="I1212" s="163"/>
      <c r="J1212" s="164"/>
      <c r="K1212" s="163"/>
      <c r="L1212" s="164"/>
      <c r="M1212" s="11"/>
      <c r="N1212" s="39"/>
      <c r="Q1212" s="15" t="str">
        <f>+CONCATENATE(E1212,G1212)</f>
        <v/>
      </c>
      <c r="R1212" s="15">
        <f>+H1212</f>
        <v>0</v>
      </c>
      <c r="S1212" s="16"/>
      <c r="T1212" s="15">
        <f>+E1212</f>
        <v>0</v>
      </c>
      <c r="U1212" s="26" t="str">
        <f>IFERROR(LEFT(G1212,FIND("*",G1212)-1),"-")</f>
        <v>-</v>
      </c>
      <c r="V1212" s="26" t="str">
        <f>IFERROR(RIGHT(G1212,LEN(G1212)-FIND("*",G1212)),"-")</f>
        <v>-</v>
      </c>
      <c r="W1212" s="27" t="str">
        <f>IFERROR((U1212+V1212)*2/1000,"-")</f>
        <v>-</v>
      </c>
      <c r="X1212" s="27" t="str">
        <f>IFERROR(W1212*H1212,"-")</f>
        <v>-</v>
      </c>
      <c r="Z1212" s="94" t="s">
        <v>82</v>
      </c>
    </row>
    <row r="1213" spans="1:26" s="25" customFormat="1" ht="6.95" customHeight="1" x14ac:dyDescent="0.3">
      <c r="A1213" s="165"/>
      <c r="B1213" s="168"/>
      <c r="C1213" s="169"/>
      <c r="D1213" s="160"/>
      <c r="E1213" s="161"/>
      <c r="F1213" s="162"/>
      <c r="G1213" s="163"/>
      <c r="H1213" s="164"/>
      <c r="I1213" s="163"/>
      <c r="J1213" s="164"/>
      <c r="K1213" s="163"/>
      <c r="L1213" s="164"/>
      <c r="M1213" s="11"/>
      <c r="N1213" s="39"/>
      <c r="Q1213" s="15" t="str">
        <f>+CONCATENATE(E1212,I1212)</f>
        <v/>
      </c>
      <c r="R1213" s="15">
        <f>+J1212</f>
        <v>0</v>
      </c>
      <c r="S1213" s="16"/>
      <c r="T1213" s="15">
        <f>+E1212</f>
        <v>0</v>
      </c>
      <c r="U1213" s="26" t="str">
        <f>IFERROR(LEFT(I1212,FIND("*",I1212)-1),"-")</f>
        <v>-</v>
      </c>
      <c r="V1213" s="26" t="str">
        <f>IFERROR(RIGHT(I1212,LEN(I1212)-FIND("*",I1212)),"-")</f>
        <v>-</v>
      </c>
      <c r="W1213" s="27" t="str">
        <f t="shared" ref="W1213:W1220" si="658">IFERROR((U1213+V1213)*2/1000,"-")</f>
        <v>-</v>
      </c>
      <c r="X1213" s="27" t="str">
        <f>IFERROR(W1213*J1212,"-")</f>
        <v>-</v>
      </c>
      <c r="Z1213" s="94" t="s">
        <v>82</v>
      </c>
    </row>
    <row r="1214" spans="1:26" s="25" customFormat="1" ht="6.95" customHeight="1" x14ac:dyDescent="0.3">
      <c r="A1214" s="165"/>
      <c r="B1214" s="168"/>
      <c r="C1214" s="169"/>
      <c r="D1214" s="160"/>
      <c r="E1214" s="161"/>
      <c r="F1214" s="162"/>
      <c r="G1214" s="163"/>
      <c r="H1214" s="164"/>
      <c r="I1214" s="163"/>
      <c r="J1214" s="164"/>
      <c r="K1214" s="163"/>
      <c r="L1214" s="164"/>
      <c r="M1214" s="11"/>
      <c r="N1214" s="39"/>
      <c r="Q1214" s="15" t="str">
        <f>+CONCATENATE(E1212,K1212)</f>
        <v/>
      </c>
      <c r="R1214" s="15">
        <f>+L1212</f>
        <v>0</v>
      </c>
      <c r="S1214" s="16"/>
      <c r="T1214" s="15">
        <f>+E1212</f>
        <v>0</v>
      </c>
      <c r="U1214" s="26" t="str">
        <f>IFERROR(LEFT(K1212,FIND("*",K1212)-1),"-")</f>
        <v>-</v>
      </c>
      <c r="V1214" s="26" t="str">
        <f>IFERROR(RIGHT(K1212,LEN(K1212)-FIND("*",K1212)),"-")</f>
        <v>-</v>
      </c>
      <c r="W1214" s="27" t="str">
        <f t="shared" si="658"/>
        <v>-</v>
      </c>
      <c r="X1214" s="27" t="str">
        <f>IFERROR(W1214*L1212,"-")</f>
        <v>-</v>
      </c>
      <c r="Z1214" s="94" t="s">
        <v>82</v>
      </c>
    </row>
    <row r="1215" spans="1:26" s="25" customFormat="1" ht="6.95" customHeight="1" x14ac:dyDescent="0.3">
      <c r="A1215" s="13"/>
      <c r="B1215" s="168"/>
      <c r="C1215" s="169"/>
      <c r="D1215" s="160" t="s">
        <v>39</v>
      </c>
      <c r="E1215" s="161"/>
      <c r="F1215" s="162" t="s">
        <v>40</v>
      </c>
      <c r="G1215" s="163"/>
      <c r="H1215" s="164"/>
      <c r="I1215" s="163"/>
      <c r="J1215" s="164"/>
      <c r="K1215" s="163"/>
      <c r="L1215" s="164"/>
      <c r="M1215" s="11"/>
      <c r="N1215" s="39"/>
      <c r="Q1215" s="15" t="str">
        <f>+CONCATENATE(E1215,G1215)</f>
        <v/>
      </c>
      <c r="R1215" s="15">
        <f>+H1215</f>
        <v>0</v>
      </c>
      <c r="S1215" s="16"/>
      <c r="T1215" s="15">
        <f>+E1215</f>
        <v>0</v>
      </c>
      <c r="U1215" s="26" t="str">
        <f t="shared" ref="U1215" si="659">IFERROR(LEFT(G1215,FIND("*",G1215)-1),"-")</f>
        <v>-</v>
      </c>
      <c r="V1215" s="26" t="str">
        <f t="shared" ref="V1215" si="660">IFERROR(RIGHT(G1215,LEN(G1215)-FIND("*",G1215)),"-")</f>
        <v>-</v>
      </c>
      <c r="W1215" s="27" t="str">
        <f t="shared" si="658"/>
        <v>-</v>
      </c>
      <c r="X1215" s="27" t="str">
        <f>IFERROR(W1215*H1215,"-")</f>
        <v>-</v>
      </c>
      <c r="Z1215" s="94" t="s">
        <v>82</v>
      </c>
    </row>
    <row r="1216" spans="1:26" s="25" customFormat="1" ht="6.95" customHeight="1" x14ac:dyDescent="0.3">
      <c r="A1216" s="10"/>
      <c r="B1216" s="168"/>
      <c r="C1216" s="169"/>
      <c r="D1216" s="160"/>
      <c r="E1216" s="161"/>
      <c r="F1216" s="162"/>
      <c r="G1216" s="163"/>
      <c r="H1216" s="164"/>
      <c r="I1216" s="163"/>
      <c r="J1216" s="164"/>
      <c r="K1216" s="163"/>
      <c r="L1216" s="164"/>
      <c r="M1216" s="11"/>
      <c r="N1216" s="39"/>
      <c r="Q1216" s="15" t="str">
        <f>+CONCATENATE(E1215,I1215)</f>
        <v/>
      </c>
      <c r="R1216" s="15">
        <f>+J1215</f>
        <v>0</v>
      </c>
      <c r="S1216" s="16"/>
      <c r="T1216" s="15">
        <f>+E1215</f>
        <v>0</v>
      </c>
      <c r="U1216" s="26" t="str">
        <f>IFERROR(LEFT(I1215,FIND("*",I1215)-1),"-")</f>
        <v>-</v>
      </c>
      <c r="V1216" s="26" t="str">
        <f>IFERROR(RIGHT(I1215,LEN(I1215)-FIND("*",I1215)),"-")</f>
        <v>-</v>
      </c>
      <c r="W1216" s="27" t="str">
        <f t="shared" si="658"/>
        <v>-</v>
      </c>
      <c r="X1216" s="27" t="str">
        <f>IFERROR(W1216*J1215,"-")</f>
        <v>-</v>
      </c>
      <c r="Z1216" s="94" t="s">
        <v>82</v>
      </c>
    </row>
    <row r="1217" spans="1:26" s="25" customFormat="1" ht="6.95" customHeight="1" x14ac:dyDescent="0.3">
      <c r="A1217" s="10"/>
      <c r="B1217" s="168"/>
      <c r="C1217" s="169"/>
      <c r="D1217" s="160"/>
      <c r="E1217" s="161"/>
      <c r="F1217" s="162"/>
      <c r="G1217" s="163"/>
      <c r="H1217" s="164"/>
      <c r="I1217" s="163"/>
      <c r="J1217" s="164"/>
      <c r="K1217" s="163"/>
      <c r="L1217" s="164"/>
      <c r="M1217" s="11"/>
      <c r="N1217" s="39"/>
      <c r="Q1217" s="15" t="str">
        <f>+CONCATENATE(E1215,K1215)</f>
        <v/>
      </c>
      <c r="R1217" s="15">
        <f>+L1215</f>
        <v>0</v>
      </c>
      <c r="S1217" s="16"/>
      <c r="T1217" s="15">
        <f>+E1215</f>
        <v>0</v>
      </c>
      <c r="U1217" s="26" t="str">
        <f>IFERROR(LEFT(K1215,FIND("*",K1215)-1),"-")</f>
        <v>-</v>
      </c>
      <c r="V1217" s="26" t="str">
        <f>IFERROR(RIGHT(K1215,LEN(K1215)-FIND("*",K1215)),"-")</f>
        <v>-</v>
      </c>
      <c r="W1217" s="27" t="str">
        <f t="shared" si="658"/>
        <v>-</v>
      </c>
      <c r="X1217" s="27" t="str">
        <f>IFERROR(W1217*L1215,"-")</f>
        <v>-</v>
      </c>
      <c r="Z1217" s="94" t="s">
        <v>82</v>
      </c>
    </row>
    <row r="1218" spans="1:26" s="25" customFormat="1" ht="6.95" customHeight="1" x14ac:dyDescent="0.3">
      <c r="A1218" s="13"/>
      <c r="B1218" s="168"/>
      <c r="C1218" s="169"/>
      <c r="D1218" s="160" t="s">
        <v>39</v>
      </c>
      <c r="E1218" s="161"/>
      <c r="F1218" s="162" t="s">
        <v>40</v>
      </c>
      <c r="G1218" s="163"/>
      <c r="H1218" s="164"/>
      <c r="I1218" s="163"/>
      <c r="J1218" s="164"/>
      <c r="K1218" s="163"/>
      <c r="L1218" s="164"/>
      <c r="M1218" s="11"/>
      <c r="N1218" s="39"/>
      <c r="Q1218" s="15" t="str">
        <f>+CONCATENATE(E1218,G1218)</f>
        <v/>
      </c>
      <c r="R1218" s="15">
        <f>+H1218</f>
        <v>0</v>
      </c>
      <c r="S1218" s="16"/>
      <c r="T1218" s="15">
        <f>+E1218</f>
        <v>0</v>
      </c>
      <c r="U1218" s="26" t="str">
        <f t="shared" ref="U1218" si="661">IFERROR(LEFT(G1218,FIND("*",G1218)-1),"-")</f>
        <v>-</v>
      </c>
      <c r="V1218" s="26" t="str">
        <f t="shared" ref="V1218" si="662">IFERROR(RIGHT(G1218,LEN(G1218)-FIND("*",G1218)),"-")</f>
        <v>-</v>
      </c>
      <c r="W1218" s="27" t="str">
        <f t="shared" si="658"/>
        <v>-</v>
      </c>
      <c r="X1218" s="27" t="str">
        <f>IFERROR(W1218*H1218,"-")</f>
        <v>-</v>
      </c>
      <c r="Z1218" s="94" t="s">
        <v>82</v>
      </c>
    </row>
    <row r="1219" spans="1:26" s="25" customFormat="1" ht="6.95" customHeight="1" x14ac:dyDescent="0.3">
      <c r="A1219" s="10"/>
      <c r="B1219" s="168"/>
      <c r="C1219" s="169"/>
      <c r="D1219" s="160"/>
      <c r="E1219" s="161"/>
      <c r="F1219" s="162"/>
      <c r="G1219" s="163"/>
      <c r="H1219" s="164"/>
      <c r="I1219" s="163"/>
      <c r="J1219" s="164"/>
      <c r="K1219" s="163"/>
      <c r="L1219" s="164"/>
      <c r="M1219" s="11"/>
      <c r="N1219" s="39"/>
      <c r="Q1219" s="15" t="str">
        <f>+CONCATENATE(E1218,I1218)</f>
        <v/>
      </c>
      <c r="R1219" s="15">
        <f>+J1218</f>
        <v>0</v>
      </c>
      <c r="S1219" s="16"/>
      <c r="T1219" s="15">
        <f>+E1218</f>
        <v>0</v>
      </c>
      <c r="U1219" s="26" t="str">
        <f>IFERROR(LEFT(I1218,FIND("*",I1218)-1),"-")</f>
        <v>-</v>
      </c>
      <c r="V1219" s="26" t="str">
        <f>IFERROR(RIGHT(I1218,LEN(I1218)-FIND("*",I1218)),"-")</f>
        <v>-</v>
      </c>
      <c r="W1219" s="27" t="str">
        <f t="shared" si="658"/>
        <v>-</v>
      </c>
      <c r="X1219" s="27" t="str">
        <f t="shared" ref="X1219" si="663">IFERROR(W1219*J1218,"-")</f>
        <v>-</v>
      </c>
      <c r="Z1219" s="94" t="s">
        <v>82</v>
      </c>
    </row>
    <row r="1220" spans="1:26" s="25" customFormat="1" ht="6.95" customHeight="1" x14ac:dyDescent="0.3">
      <c r="A1220" s="10"/>
      <c r="B1220" s="168"/>
      <c r="C1220" s="169"/>
      <c r="D1220" s="160"/>
      <c r="E1220" s="161"/>
      <c r="F1220" s="162"/>
      <c r="G1220" s="163"/>
      <c r="H1220" s="164"/>
      <c r="I1220" s="163"/>
      <c r="J1220" s="164"/>
      <c r="K1220" s="163"/>
      <c r="L1220" s="164"/>
      <c r="M1220" s="11"/>
      <c r="N1220" s="39"/>
      <c r="Q1220" s="15" t="str">
        <f>+CONCATENATE(E1218,K1218)</f>
        <v/>
      </c>
      <c r="R1220" s="15">
        <f>+L1218</f>
        <v>0</v>
      </c>
      <c r="S1220" s="16"/>
      <c r="T1220" s="15">
        <f>+E1218</f>
        <v>0</v>
      </c>
      <c r="U1220" s="26" t="str">
        <f>IFERROR(LEFT(K1218,FIND("*",K1218)-1),"-")</f>
        <v>-</v>
      </c>
      <c r="V1220" s="26" t="str">
        <f>IFERROR(RIGHT(K1218,LEN(K1218)-FIND("*",K1218)),"-")</f>
        <v>-</v>
      </c>
      <c r="W1220" s="27" t="str">
        <f t="shared" si="658"/>
        <v>-</v>
      </c>
      <c r="X1220" s="27" t="str">
        <f>IFERROR(W1220*L1218,"-")</f>
        <v>-</v>
      </c>
      <c r="Z1220" s="94" t="s">
        <v>82</v>
      </c>
    </row>
    <row r="1221" spans="1:26" s="25" customFormat="1" ht="21" customHeight="1" thickBot="1" x14ac:dyDescent="0.35">
      <c r="A1221" s="10"/>
      <c r="B1221" s="170"/>
      <c r="C1221" s="171"/>
      <c r="D1221" s="172" t="s">
        <v>43</v>
      </c>
      <c r="E1221" s="173"/>
      <c r="F1221" s="173"/>
      <c r="G1221" s="174"/>
      <c r="H1221" s="174"/>
      <c r="I1221" s="174"/>
      <c r="J1221" s="174"/>
      <c r="K1221" s="174"/>
      <c r="L1221" s="174"/>
      <c r="M1221" s="12"/>
      <c r="N1221" s="39"/>
      <c r="U1221" s="23"/>
      <c r="V1221" s="23"/>
      <c r="Z1221" s="95" t="s">
        <v>81</v>
      </c>
    </row>
    <row r="1222" spans="1:26" s="25" customFormat="1" ht="9.9499999999999993" customHeight="1" thickBot="1" x14ac:dyDescent="0.35">
      <c r="A1222" s="6"/>
      <c r="B1222" s="14"/>
      <c r="C1222" s="119"/>
      <c r="D1222" s="58"/>
      <c r="E1222" s="17"/>
      <c r="F1222" s="58"/>
      <c r="G1222" s="19"/>
      <c r="H1222" s="19"/>
      <c r="I1222" s="19"/>
      <c r="J1222" s="19"/>
      <c r="K1222" s="19"/>
      <c r="L1222" s="19"/>
      <c r="M1222" s="14"/>
      <c r="N1222" s="39"/>
      <c r="Q1222" s="1"/>
      <c r="R1222" s="1"/>
      <c r="S1222" s="1"/>
      <c r="T1222" s="1"/>
      <c r="U1222" s="24"/>
      <c r="V1222" s="24"/>
      <c r="W1222" s="1"/>
      <c r="X1222" s="1"/>
      <c r="Z1222" s="94" t="s">
        <v>82</v>
      </c>
    </row>
    <row r="1223" spans="1:26" s="25" customFormat="1" ht="6.95" customHeight="1" x14ac:dyDescent="0.3">
      <c r="A1223" s="165">
        <f>+A1212+1</f>
        <v>112</v>
      </c>
      <c r="B1223" s="166"/>
      <c r="C1223" s="167"/>
      <c r="D1223" s="160" t="s">
        <v>39</v>
      </c>
      <c r="E1223" s="161"/>
      <c r="F1223" s="162" t="s">
        <v>40</v>
      </c>
      <c r="G1223" s="163"/>
      <c r="H1223" s="164"/>
      <c r="I1223" s="163"/>
      <c r="J1223" s="164"/>
      <c r="K1223" s="163"/>
      <c r="L1223" s="164"/>
      <c r="M1223" s="11"/>
      <c r="N1223" s="39"/>
      <c r="Q1223" s="15" t="str">
        <f>+CONCATENATE(E1223,G1223)</f>
        <v/>
      </c>
      <c r="R1223" s="15">
        <f>+H1223</f>
        <v>0</v>
      </c>
      <c r="S1223" s="16"/>
      <c r="T1223" s="15">
        <f>+E1223</f>
        <v>0</v>
      </c>
      <c r="U1223" s="26" t="str">
        <f>IFERROR(LEFT(G1223,FIND("*",G1223)-1),"-")</f>
        <v>-</v>
      </c>
      <c r="V1223" s="26" t="str">
        <f>IFERROR(RIGHT(G1223,LEN(G1223)-FIND("*",G1223)),"-")</f>
        <v>-</v>
      </c>
      <c r="W1223" s="27" t="str">
        <f>IFERROR((U1223+V1223)*2/1000,"-")</f>
        <v>-</v>
      </c>
      <c r="X1223" s="27" t="str">
        <f>IFERROR(W1223*H1223,"-")</f>
        <v>-</v>
      </c>
      <c r="Z1223" s="94" t="s">
        <v>82</v>
      </c>
    </row>
    <row r="1224" spans="1:26" s="25" customFormat="1" ht="6.95" customHeight="1" x14ac:dyDescent="0.3">
      <c r="A1224" s="165"/>
      <c r="B1224" s="168"/>
      <c r="C1224" s="169"/>
      <c r="D1224" s="160"/>
      <c r="E1224" s="161"/>
      <c r="F1224" s="162"/>
      <c r="G1224" s="163"/>
      <c r="H1224" s="164"/>
      <c r="I1224" s="163"/>
      <c r="J1224" s="164"/>
      <c r="K1224" s="163"/>
      <c r="L1224" s="164"/>
      <c r="M1224" s="11"/>
      <c r="N1224" s="39"/>
      <c r="Q1224" s="15" t="str">
        <f>+CONCATENATE(E1223,I1223)</f>
        <v/>
      </c>
      <c r="R1224" s="15">
        <f>+J1223</f>
        <v>0</v>
      </c>
      <c r="S1224" s="16"/>
      <c r="T1224" s="15">
        <f>+E1223</f>
        <v>0</v>
      </c>
      <c r="U1224" s="26" t="str">
        <f>IFERROR(LEFT(I1223,FIND("*",I1223)-1),"-")</f>
        <v>-</v>
      </c>
      <c r="V1224" s="26" t="str">
        <f>IFERROR(RIGHT(I1223,LEN(I1223)-FIND("*",I1223)),"-")</f>
        <v>-</v>
      </c>
      <c r="W1224" s="27" t="str">
        <f t="shared" ref="W1224:W1231" si="664">IFERROR((U1224+V1224)*2/1000,"-")</f>
        <v>-</v>
      </c>
      <c r="X1224" s="27" t="str">
        <f>IFERROR(W1224*J1223,"-")</f>
        <v>-</v>
      </c>
      <c r="Z1224" s="94" t="s">
        <v>82</v>
      </c>
    </row>
    <row r="1225" spans="1:26" s="25" customFormat="1" ht="6.95" customHeight="1" x14ac:dyDescent="0.3">
      <c r="A1225" s="165"/>
      <c r="B1225" s="168"/>
      <c r="C1225" s="169"/>
      <c r="D1225" s="160"/>
      <c r="E1225" s="161"/>
      <c r="F1225" s="162"/>
      <c r="G1225" s="163"/>
      <c r="H1225" s="164"/>
      <c r="I1225" s="163"/>
      <c r="J1225" s="164"/>
      <c r="K1225" s="163"/>
      <c r="L1225" s="164"/>
      <c r="M1225" s="11"/>
      <c r="N1225" s="39"/>
      <c r="Q1225" s="15" t="str">
        <f>+CONCATENATE(E1223,K1223)</f>
        <v/>
      </c>
      <c r="R1225" s="15">
        <f>+L1223</f>
        <v>0</v>
      </c>
      <c r="S1225" s="16"/>
      <c r="T1225" s="15">
        <f>+E1223</f>
        <v>0</v>
      </c>
      <c r="U1225" s="26" t="str">
        <f>IFERROR(LEFT(K1223,FIND("*",K1223)-1),"-")</f>
        <v>-</v>
      </c>
      <c r="V1225" s="26" t="str">
        <f>IFERROR(RIGHT(K1223,LEN(K1223)-FIND("*",K1223)),"-")</f>
        <v>-</v>
      </c>
      <c r="W1225" s="27" t="str">
        <f t="shared" si="664"/>
        <v>-</v>
      </c>
      <c r="X1225" s="27" t="str">
        <f>IFERROR(W1225*L1223,"-")</f>
        <v>-</v>
      </c>
      <c r="Z1225" s="94" t="s">
        <v>82</v>
      </c>
    </row>
    <row r="1226" spans="1:26" s="25" customFormat="1" ht="6.95" customHeight="1" x14ac:dyDescent="0.3">
      <c r="A1226" s="13"/>
      <c r="B1226" s="168"/>
      <c r="C1226" s="169"/>
      <c r="D1226" s="160" t="s">
        <v>39</v>
      </c>
      <c r="E1226" s="161"/>
      <c r="F1226" s="162" t="s">
        <v>40</v>
      </c>
      <c r="G1226" s="163"/>
      <c r="H1226" s="164"/>
      <c r="I1226" s="163"/>
      <c r="J1226" s="164"/>
      <c r="K1226" s="163"/>
      <c r="L1226" s="164"/>
      <c r="M1226" s="11"/>
      <c r="N1226" s="39"/>
      <c r="Q1226" s="15" t="str">
        <f>+CONCATENATE(E1226,G1226)</f>
        <v/>
      </c>
      <c r="R1226" s="15">
        <f>+H1226</f>
        <v>0</v>
      </c>
      <c r="S1226" s="16"/>
      <c r="T1226" s="15">
        <f>+E1226</f>
        <v>0</v>
      </c>
      <c r="U1226" s="26" t="str">
        <f t="shared" ref="U1226" si="665">IFERROR(LEFT(G1226,FIND("*",G1226)-1),"-")</f>
        <v>-</v>
      </c>
      <c r="V1226" s="26" t="str">
        <f t="shared" ref="V1226" si="666">IFERROR(RIGHT(G1226,LEN(G1226)-FIND("*",G1226)),"-")</f>
        <v>-</v>
      </c>
      <c r="W1226" s="27" t="str">
        <f t="shared" si="664"/>
        <v>-</v>
      </c>
      <c r="X1226" s="27" t="str">
        <f>IFERROR(W1226*H1226,"-")</f>
        <v>-</v>
      </c>
      <c r="Z1226" s="94" t="s">
        <v>82</v>
      </c>
    </row>
    <row r="1227" spans="1:26" s="25" customFormat="1" ht="6.95" customHeight="1" x14ac:dyDescent="0.3">
      <c r="A1227" s="10"/>
      <c r="B1227" s="168"/>
      <c r="C1227" s="169"/>
      <c r="D1227" s="160"/>
      <c r="E1227" s="161"/>
      <c r="F1227" s="162"/>
      <c r="G1227" s="163"/>
      <c r="H1227" s="164"/>
      <c r="I1227" s="163"/>
      <c r="J1227" s="164"/>
      <c r="K1227" s="163"/>
      <c r="L1227" s="164"/>
      <c r="M1227" s="11"/>
      <c r="N1227" s="39"/>
      <c r="Q1227" s="15" t="str">
        <f>+CONCATENATE(E1226,I1226)</f>
        <v/>
      </c>
      <c r="R1227" s="15">
        <f>+J1226</f>
        <v>0</v>
      </c>
      <c r="S1227" s="16"/>
      <c r="T1227" s="15">
        <f>+E1226</f>
        <v>0</v>
      </c>
      <c r="U1227" s="26" t="str">
        <f>IFERROR(LEFT(I1226,FIND("*",I1226)-1),"-")</f>
        <v>-</v>
      </c>
      <c r="V1227" s="26" t="str">
        <f>IFERROR(RIGHT(I1226,LEN(I1226)-FIND("*",I1226)),"-")</f>
        <v>-</v>
      </c>
      <c r="W1227" s="27" t="str">
        <f t="shared" si="664"/>
        <v>-</v>
      </c>
      <c r="X1227" s="27" t="str">
        <f>IFERROR(W1227*J1226,"-")</f>
        <v>-</v>
      </c>
      <c r="Z1227" s="94" t="s">
        <v>82</v>
      </c>
    </row>
    <row r="1228" spans="1:26" s="25" customFormat="1" ht="6.95" customHeight="1" x14ac:dyDescent="0.3">
      <c r="A1228" s="10"/>
      <c r="B1228" s="168"/>
      <c r="C1228" s="169"/>
      <c r="D1228" s="160"/>
      <c r="E1228" s="161"/>
      <c r="F1228" s="162"/>
      <c r="G1228" s="163"/>
      <c r="H1228" s="164"/>
      <c r="I1228" s="163"/>
      <c r="J1228" s="164"/>
      <c r="K1228" s="163"/>
      <c r="L1228" s="164"/>
      <c r="M1228" s="11"/>
      <c r="N1228" s="39"/>
      <c r="Q1228" s="15" t="str">
        <f>+CONCATENATE(E1226,K1226)</f>
        <v/>
      </c>
      <c r="R1228" s="15">
        <f>+L1226</f>
        <v>0</v>
      </c>
      <c r="S1228" s="16"/>
      <c r="T1228" s="15">
        <f>+E1226</f>
        <v>0</v>
      </c>
      <c r="U1228" s="26" t="str">
        <f>IFERROR(LEFT(K1226,FIND("*",K1226)-1),"-")</f>
        <v>-</v>
      </c>
      <c r="V1228" s="26" t="str">
        <f>IFERROR(RIGHT(K1226,LEN(K1226)-FIND("*",K1226)),"-")</f>
        <v>-</v>
      </c>
      <c r="W1228" s="27" t="str">
        <f t="shared" si="664"/>
        <v>-</v>
      </c>
      <c r="X1228" s="27" t="str">
        <f>IFERROR(W1228*L1226,"-")</f>
        <v>-</v>
      </c>
      <c r="Z1228" s="94" t="s">
        <v>82</v>
      </c>
    </row>
    <row r="1229" spans="1:26" s="25" customFormat="1" ht="6.95" customHeight="1" x14ac:dyDescent="0.3">
      <c r="A1229" s="13"/>
      <c r="B1229" s="168"/>
      <c r="C1229" s="169"/>
      <c r="D1229" s="160" t="s">
        <v>39</v>
      </c>
      <c r="E1229" s="161"/>
      <c r="F1229" s="162" t="s">
        <v>40</v>
      </c>
      <c r="G1229" s="163"/>
      <c r="H1229" s="164"/>
      <c r="I1229" s="163"/>
      <c r="J1229" s="164"/>
      <c r="K1229" s="163"/>
      <c r="L1229" s="164"/>
      <c r="M1229" s="11"/>
      <c r="N1229" s="39"/>
      <c r="Q1229" s="15" t="str">
        <f>+CONCATENATE(E1229,G1229)</f>
        <v/>
      </c>
      <c r="R1229" s="15">
        <f>+H1229</f>
        <v>0</v>
      </c>
      <c r="S1229" s="16"/>
      <c r="T1229" s="15">
        <f>+E1229</f>
        <v>0</v>
      </c>
      <c r="U1229" s="26" t="str">
        <f t="shared" ref="U1229" si="667">IFERROR(LEFT(G1229,FIND("*",G1229)-1),"-")</f>
        <v>-</v>
      </c>
      <c r="V1229" s="26" t="str">
        <f t="shared" ref="V1229" si="668">IFERROR(RIGHT(G1229,LEN(G1229)-FIND("*",G1229)),"-")</f>
        <v>-</v>
      </c>
      <c r="W1229" s="27" t="str">
        <f t="shared" si="664"/>
        <v>-</v>
      </c>
      <c r="X1229" s="27" t="str">
        <f>IFERROR(W1229*H1229,"-")</f>
        <v>-</v>
      </c>
      <c r="Z1229" s="94" t="s">
        <v>82</v>
      </c>
    </row>
    <row r="1230" spans="1:26" s="25" customFormat="1" ht="6.95" customHeight="1" x14ac:dyDescent="0.3">
      <c r="A1230" s="10"/>
      <c r="B1230" s="168"/>
      <c r="C1230" s="169"/>
      <c r="D1230" s="160"/>
      <c r="E1230" s="161"/>
      <c r="F1230" s="162"/>
      <c r="G1230" s="163"/>
      <c r="H1230" s="164"/>
      <c r="I1230" s="163"/>
      <c r="J1230" s="164"/>
      <c r="K1230" s="163"/>
      <c r="L1230" s="164"/>
      <c r="M1230" s="11"/>
      <c r="N1230" s="39"/>
      <c r="Q1230" s="15" t="str">
        <f>+CONCATENATE(E1229,I1229)</f>
        <v/>
      </c>
      <c r="R1230" s="15">
        <f>+J1229</f>
        <v>0</v>
      </c>
      <c r="S1230" s="16"/>
      <c r="T1230" s="15">
        <f>+E1229</f>
        <v>0</v>
      </c>
      <c r="U1230" s="26" t="str">
        <f>IFERROR(LEFT(I1229,FIND("*",I1229)-1),"-")</f>
        <v>-</v>
      </c>
      <c r="V1230" s="26" t="str">
        <f>IFERROR(RIGHT(I1229,LEN(I1229)-FIND("*",I1229)),"-")</f>
        <v>-</v>
      </c>
      <c r="W1230" s="27" t="str">
        <f t="shared" si="664"/>
        <v>-</v>
      </c>
      <c r="X1230" s="27" t="str">
        <f t="shared" ref="X1230" si="669">IFERROR(W1230*J1229,"-")</f>
        <v>-</v>
      </c>
      <c r="Z1230" s="94" t="s">
        <v>82</v>
      </c>
    </row>
    <row r="1231" spans="1:26" s="25" customFormat="1" ht="6.95" customHeight="1" x14ac:dyDescent="0.3">
      <c r="A1231" s="10"/>
      <c r="B1231" s="168"/>
      <c r="C1231" s="169"/>
      <c r="D1231" s="160"/>
      <c r="E1231" s="161"/>
      <c r="F1231" s="162"/>
      <c r="G1231" s="163"/>
      <c r="H1231" s="164"/>
      <c r="I1231" s="163"/>
      <c r="J1231" s="164"/>
      <c r="K1231" s="163"/>
      <c r="L1231" s="164"/>
      <c r="M1231" s="11"/>
      <c r="N1231" s="39"/>
      <c r="Q1231" s="15" t="str">
        <f>+CONCATENATE(E1229,K1229)</f>
        <v/>
      </c>
      <c r="R1231" s="15">
        <f>+L1229</f>
        <v>0</v>
      </c>
      <c r="S1231" s="16"/>
      <c r="T1231" s="15">
        <f>+E1229</f>
        <v>0</v>
      </c>
      <c r="U1231" s="26" t="str">
        <f>IFERROR(LEFT(K1229,FIND("*",K1229)-1),"-")</f>
        <v>-</v>
      </c>
      <c r="V1231" s="26" t="str">
        <f>IFERROR(RIGHT(K1229,LEN(K1229)-FIND("*",K1229)),"-")</f>
        <v>-</v>
      </c>
      <c r="W1231" s="27" t="str">
        <f t="shared" si="664"/>
        <v>-</v>
      </c>
      <c r="X1231" s="27" t="str">
        <f>IFERROR(W1231*L1229,"-")</f>
        <v>-</v>
      </c>
      <c r="Z1231" s="94" t="s">
        <v>82</v>
      </c>
    </row>
    <row r="1232" spans="1:26" s="25" customFormat="1" ht="21" customHeight="1" thickBot="1" x14ac:dyDescent="0.35">
      <c r="A1232" s="10"/>
      <c r="B1232" s="170"/>
      <c r="C1232" s="171"/>
      <c r="D1232" s="172" t="s">
        <v>43</v>
      </c>
      <c r="E1232" s="173"/>
      <c r="F1232" s="173"/>
      <c r="G1232" s="174"/>
      <c r="H1232" s="174"/>
      <c r="I1232" s="174"/>
      <c r="J1232" s="174"/>
      <c r="K1232" s="174"/>
      <c r="L1232" s="174"/>
      <c r="M1232" s="12"/>
      <c r="N1232" s="39"/>
      <c r="U1232" s="23"/>
      <c r="V1232" s="23"/>
      <c r="Z1232" s="95" t="s">
        <v>81</v>
      </c>
    </row>
    <row r="1233" spans="1:26" s="25" customFormat="1" ht="9.9499999999999993" customHeight="1" thickBot="1" x14ac:dyDescent="0.35">
      <c r="A1233" s="6"/>
      <c r="B1233" s="14"/>
      <c r="C1233" s="119"/>
      <c r="D1233" s="58"/>
      <c r="E1233" s="17"/>
      <c r="F1233" s="58"/>
      <c r="G1233" s="19"/>
      <c r="H1233" s="19"/>
      <c r="I1233" s="19"/>
      <c r="J1233" s="19"/>
      <c r="K1233" s="19"/>
      <c r="L1233" s="19"/>
      <c r="M1233" s="14"/>
      <c r="N1233" s="39"/>
      <c r="Q1233" s="1"/>
      <c r="R1233" s="1"/>
      <c r="S1233" s="1"/>
      <c r="T1233" s="1"/>
      <c r="U1233" s="24"/>
      <c r="V1233" s="24"/>
      <c r="W1233" s="1"/>
      <c r="X1233" s="1"/>
      <c r="Z1233" s="94" t="s">
        <v>82</v>
      </c>
    </row>
    <row r="1234" spans="1:26" s="25" customFormat="1" ht="6.95" customHeight="1" x14ac:dyDescent="0.3">
      <c r="A1234" s="165">
        <f>+A1223+1</f>
        <v>113</v>
      </c>
      <c r="B1234" s="166"/>
      <c r="C1234" s="167"/>
      <c r="D1234" s="160" t="s">
        <v>39</v>
      </c>
      <c r="E1234" s="161"/>
      <c r="F1234" s="162" t="s">
        <v>40</v>
      </c>
      <c r="G1234" s="163"/>
      <c r="H1234" s="164"/>
      <c r="I1234" s="163"/>
      <c r="J1234" s="164"/>
      <c r="K1234" s="163"/>
      <c r="L1234" s="164"/>
      <c r="M1234" s="11"/>
      <c r="N1234" s="39"/>
      <c r="Q1234" s="15" t="str">
        <f>+CONCATENATE(E1234,G1234)</f>
        <v/>
      </c>
      <c r="R1234" s="15">
        <f>+H1234</f>
        <v>0</v>
      </c>
      <c r="S1234" s="16"/>
      <c r="T1234" s="15">
        <f>+E1234</f>
        <v>0</v>
      </c>
      <c r="U1234" s="26" t="str">
        <f>IFERROR(LEFT(G1234,FIND("*",G1234)-1),"-")</f>
        <v>-</v>
      </c>
      <c r="V1234" s="26" t="str">
        <f>IFERROR(RIGHT(G1234,LEN(G1234)-FIND("*",G1234)),"-")</f>
        <v>-</v>
      </c>
      <c r="W1234" s="27" t="str">
        <f>IFERROR((U1234+V1234)*2/1000,"-")</f>
        <v>-</v>
      </c>
      <c r="X1234" s="27" t="str">
        <f>IFERROR(W1234*H1234,"-")</f>
        <v>-</v>
      </c>
      <c r="Z1234" s="94" t="s">
        <v>82</v>
      </c>
    </row>
    <row r="1235" spans="1:26" s="25" customFormat="1" ht="6.95" customHeight="1" x14ac:dyDescent="0.3">
      <c r="A1235" s="165"/>
      <c r="B1235" s="168"/>
      <c r="C1235" s="169"/>
      <c r="D1235" s="160"/>
      <c r="E1235" s="161"/>
      <c r="F1235" s="162"/>
      <c r="G1235" s="163"/>
      <c r="H1235" s="164"/>
      <c r="I1235" s="163"/>
      <c r="J1235" s="164"/>
      <c r="K1235" s="163"/>
      <c r="L1235" s="164"/>
      <c r="M1235" s="11"/>
      <c r="N1235" s="39"/>
      <c r="Q1235" s="15" t="str">
        <f>+CONCATENATE(E1234,I1234)</f>
        <v/>
      </c>
      <c r="R1235" s="15">
        <f>+J1234</f>
        <v>0</v>
      </c>
      <c r="S1235" s="16"/>
      <c r="T1235" s="15">
        <f>+E1234</f>
        <v>0</v>
      </c>
      <c r="U1235" s="26" t="str">
        <f>IFERROR(LEFT(I1234,FIND("*",I1234)-1),"-")</f>
        <v>-</v>
      </c>
      <c r="V1235" s="26" t="str">
        <f>IFERROR(RIGHT(I1234,LEN(I1234)-FIND("*",I1234)),"-")</f>
        <v>-</v>
      </c>
      <c r="W1235" s="27" t="str">
        <f t="shared" ref="W1235:W1242" si="670">IFERROR((U1235+V1235)*2/1000,"-")</f>
        <v>-</v>
      </c>
      <c r="X1235" s="27" t="str">
        <f>IFERROR(W1235*J1234,"-")</f>
        <v>-</v>
      </c>
      <c r="Z1235" s="94" t="s">
        <v>82</v>
      </c>
    </row>
    <row r="1236" spans="1:26" s="25" customFormat="1" ht="6.95" customHeight="1" x14ac:dyDescent="0.3">
      <c r="A1236" s="165"/>
      <c r="B1236" s="168"/>
      <c r="C1236" s="169"/>
      <c r="D1236" s="160"/>
      <c r="E1236" s="161"/>
      <c r="F1236" s="162"/>
      <c r="G1236" s="163"/>
      <c r="H1236" s="164"/>
      <c r="I1236" s="163"/>
      <c r="J1236" s="164"/>
      <c r="K1236" s="163"/>
      <c r="L1236" s="164"/>
      <c r="M1236" s="11"/>
      <c r="N1236" s="39"/>
      <c r="Q1236" s="15" t="str">
        <f>+CONCATENATE(E1234,K1234)</f>
        <v/>
      </c>
      <c r="R1236" s="15">
        <f>+L1234</f>
        <v>0</v>
      </c>
      <c r="S1236" s="16"/>
      <c r="T1236" s="15">
        <f>+E1234</f>
        <v>0</v>
      </c>
      <c r="U1236" s="26" t="str">
        <f>IFERROR(LEFT(K1234,FIND("*",K1234)-1),"-")</f>
        <v>-</v>
      </c>
      <c r="V1236" s="26" t="str">
        <f>IFERROR(RIGHT(K1234,LEN(K1234)-FIND("*",K1234)),"-")</f>
        <v>-</v>
      </c>
      <c r="W1236" s="27" t="str">
        <f t="shared" si="670"/>
        <v>-</v>
      </c>
      <c r="X1236" s="27" t="str">
        <f>IFERROR(W1236*L1234,"-")</f>
        <v>-</v>
      </c>
      <c r="Z1236" s="94" t="s">
        <v>82</v>
      </c>
    </row>
    <row r="1237" spans="1:26" s="25" customFormat="1" ht="6.95" customHeight="1" x14ac:dyDescent="0.3">
      <c r="A1237" s="13"/>
      <c r="B1237" s="168"/>
      <c r="C1237" s="169"/>
      <c r="D1237" s="160" t="s">
        <v>39</v>
      </c>
      <c r="E1237" s="161"/>
      <c r="F1237" s="162" t="s">
        <v>40</v>
      </c>
      <c r="G1237" s="163"/>
      <c r="H1237" s="164"/>
      <c r="I1237" s="163"/>
      <c r="J1237" s="164"/>
      <c r="K1237" s="163"/>
      <c r="L1237" s="164"/>
      <c r="M1237" s="11"/>
      <c r="N1237" s="39"/>
      <c r="Q1237" s="15" t="str">
        <f>+CONCATENATE(E1237,G1237)</f>
        <v/>
      </c>
      <c r="R1237" s="15">
        <f>+H1237</f>
        <v>0</v>
      </c>
      <c r="S1237" s="16"/>
      <c r="T1237" s="15">
        <f>+E1237</f>
        <v>0</v>
      </c>
      <c r="U1237" s="26" t="str">
        <f t="shared" ref="U1237" si="671">IFERROR(LEFT(G1237,FIND("*",G1237)-1),"-")</f>
        <v>-</v>
      </c>
      <c r="V1237" s="26" t="str">
        <f t="shared" ref="V1237" si="672">IFERROR(RIGHT(G1237,LEN(G1237)-FIND("*",G1237)),"-")</f>
        <v>-</v>
      </c>
      <c r="W1237" s="27" t="str">
        <f t="shared" si="670"/>
        <v>-</v>
      </c>
      <c r="X1237" s="27" t="str">
        <f>IFERROR(W1237*H1237,"-")</f>
        <v>-</v>
      </c>
      <c r="Z1237" s="94" t="s">
        <v>82</v>
      </c>
    </row>
    <row r="1238" spans="1:26" s="25" customFormat="1" ht="6.95" customHeight="1" x14ac:dyDescent="0.3">
      <c r="A1238" s="10"/>
      <c r="B1238" s="168"/>
      <c r="C1238" s="169"/>
      <c r="D1238" s="160"/>
      <c r="E1238" s="161"/>
      <c r="F1238" s="162"/>
      <c r="G1238" s="163"/>
      <c r="H1238" s="164"/>
      <c r="I1238" s="163"/>
      <c r="J1238" s="164"/>
      <c r="K1238" s="163"/>
      <c r="L1238" s="164"/>
      <c r="M1238" s="11"/>
      <c r="N1238" s="39"/>
      <c r="Q1238" s="15" t="str">
        <f>+CONCATENATE(E1237,I1237)</f>
        <v/>
      </c>
      <c r="R1238" s="15">
        <f>+J1237</f>
        <v>0</v>
      </c>
      <c r="S1238" s="16"/>
      <c r="T1238" s="15">
        <f>+E1237</f>
        <v>0</v>
      </c>
      <c r="U1238" s="26" t="str">
        <f>IFERROR(LEFT(I1237,FIND("*",I1237)-1),"-")</f>
        <v>-</v>
      </c>
      <c r="V1238" s="26" t="str">
        <f>IFERROR(RIGHT(I1237,LEN(I1237)-FIND("*",I1237)),"-")</f>
        <v>-</v>
      </c>
      <c r="W1238" s="27" t="str">
        <f t="shared" si="670"/>
        <v>-</v>
      </c>
      <c r="X1238" s="27" t="str">
        <f>IFERROR(W1238*J1237,"-")</f>
        <v>-</v>
      </c>
      <c r="Z1238" s="94" t="s">
        <v>82</v>
      </c>
    </row>
    <row r="1239" spans="1:26" s="25" customFormat="1" ht="6.95" customHeight="1" x14ac:dyDescent="0.3">
      <c r="A1239" s="10"/>
      <c r="B1239" s="168"/>
      <c r="C1239" s="169"/>
      <c r="D1239" s="160"/>
      <c r="E1239" s="161"/>
      <c r="F1239" s="162"/>
      <c r="G1239" s="163"/>
      <c r="H1239" s="164"/>
      <c r="I1239" s="163"/>
      <c r="J1239" s="164"/>
      <c r="K1239" s="163"/>
      <c r="L1239" s="164"/>
      <c r="M1239" s="11"/>
      <c r="N1239" s="39"/>
      <c r="Q1239" s="15" t="str">
        <f>+CONCATENATE(E1237,K1237)</f>
        <v/>
      </c>
      <c r="R1239" s="15">
        <f>+L1237</f>
        <v>0</v>
      </c>
      <c r="S1239" s="16"/>
      <c r="T1239" s="15">
        <f>+E1237</f>
        <v>0</v>
      </c>
      <c r="U1239" s="26" t="str">
        <f>IFERROR(LEFT(K1237,FIND("*",K1237)-1),"-")</f>
        <v>-</v>
      </c>
      <c r="V1239" s="26" t="str">
        <f>IFERROR(RIGHT(K1237,LEN(K1237)-FIND("*",K1237)),"-")</f>
        <v>-</v>
      </c>
      <c r="W1239" s="27" t="str">
        <f t="shared" si="670"/>
        <v>-</v>
      </c>
      <c r="X1239" s="27" t="str">
        <f>IFERROR(W1239*L1237,"-")</f>
        <v>-</v>
      </c>
      <c r="Z1239" s="94" t="s">
        <v>82</v>
      </c>
    </row>
    <row r="1240" spans="1:26" s="25" customFormat="1" ht="6.95" customHeight="1" x14ac:dyDescent="0.3">
      <c r="A1240" s="13"/>
      <c r="B1240" s="168"/>
      <c r="C1240" s="169"/>
      <c r="D1240" s="160" t="s">
        <v>39</v>
      </c>
      <c r="E1240" s="161"/>
      <c r="F1240" s="162" t="s">
        <v>40</v>
      </c>
      <c r="G1240" s="163"/>
      <c r="H1240" s="164"/>
      <c r="I1240" s="163"/>
      <c r="J1240" s="164"/>
      <c r="K1240" s="163"/>
      <c r="L1240" s="164"/>
      <c r="M1240" s="11"/>
      <c r="N1240" s="39"/>
      <c r="Q1240" s="15" t="str">
        <f>+CONCATENATE(E1240,G1240)</f>
        <v/>
      </c>
      <c r="R1240" s="15">
        <f>+H1240</f>
        <v>0</v>
      </c>
      <c r="S1240" s="16"/>
      <c r="T1240" s="15">
        <f>+E1240</f>
        <v>0</v>
      </c>
      <c r="U1240" s="26" t="str">
        <f t="shared" ref="U1240" si="673">IFERROR(LEFT(G1240,FIND("*",G1240)-1),"-")</f>
        <v>-</v>
      </c>
      <c r="V1240" s="26" t="str">
        <f t="shared" ref="V1240" si="674">IFERROR(RIGHT(G1240,LEN(G1240)-FIND("*",G1240)),"-")</f>
        <v>-</v>
      </c>
      <c r="W1240" s="27" t="str">
        <f t="shared" si="670"/>
        <v>-</v>
      </c>
      <c r="X1240" s="27" t="str">
        <f>IFERROR(W1240*H1240,"-")</f>
        <v>-</v>
      </c>
      <c r="Z1240" s="94" t="s">
        <v>82</v>
      </c>
    </row>
    <row r="1241" spans="1:26" s="25" customFormat="1" ht="6.95" customHeight="1" x14ac:dyDescent="0.3">
      <c r="A1241" s="10"/>
      <c r="B1241" s="168"/>
      <c r="C1241" s="169"/>
      <c r="D1241" s="160"/>
      <c r="E1241" s="161"/>
      <c r="F1241" s="162"/>
      <c r="G1241" s="163"/>
      <c r="H1241" s="164"/>
      <c r="I1241" s="163"/>
      <c r="J1241" s="164"/>
      <c r="K1241" s="163"/>
      <c r="L1241" s="164"/>
      <c r="M1241" s="11"/>
      <c r="N1241" s="39"/>
      <c r="Q1241" s="15" t="str">
        <f>+CONCATENATE(E1240,I1240)</f>
        <v/>
      </c>
      <c r="R1241" s="15">
        <f>+J1240</f>
        <v>0</v>
      </c>
      <c r="S1241" s="16"/>
      <c r="T1241" s="15">
        <f>+E1240</f>
        <v>0</v>
      </c>
      <c r="U1241" s="26" t="str">
        <f>IFERROR(LEFT(I1240,FIND("*",I1240)-1),"-")</f>
        <v>-</v>
      </c>
      <c r="V1241" s="26" t="str">
        <f>IFERROR(RIGHT(I1240,LEN(I1240)-FIND("*",I1240)),"-")</f>
        <v>-</v>
      </c>
      <c r="W1241" s="27" t="str">
        <f t="shared" si="670"/>
        <v>-</v>
      </c>
      <c r="X1241" s="27" t="str">
        <f t="shared" ref="X1241" si="675">IFERROR(W1241*J1240,"-")</f>
        <v>-</v>
      </c>
      <c r="Z1241" s="94" t="s">
        <v>82</v>
      </c>
    </row>
    <row r="1242" spans="1:26" s="25" customFormat="1" ht="6.95" customHeight="1" x14ac:dyDescent="0.3">
      <c r="A1242" s="10"/>
      <c r="B1242" s="168"/>
      <c r="C1242" s="169"/>
      <c r="D1242" s="160"/>
      <c r="E1242" s="161"/>
      <c r="F1242" s="162"/>
      <c r="G1242" s="163"/>
      <c r="H1242" s="164"/>
      <c r="I1242" s="163"/>
      <c r="J1242" s="164"/>
      <c r="K1242" s="163"/>
      <c r="L1242" s="164"/>
      <c r="M1242" s="11"/>
      <c r="N1242" s="39"/>
      <c r="Q1242" s="15" t="str">
        <f>+CONCATENATE(E1240,K1240)</f>
        <v/>
      </c>
      <c r="R1242" s="15">
        <f>+L1240</f>
        <v>0</v>
      </c>
      <c r="S1242" s="16"/>
      <c r="T1242" s="15">
        <f>+E1240</f>
        <v>0</v>
      </c>
      <c r="U1242" s="26" t="str">
        <f>IFERROR(LEFT(K1240,FIND("*",K1240)-1),"-")</f>
        <v>-</v>
      </c>
      <c r="V1242" s="26" t="str">
        <f>IFERROR(RIGHT(K1240,LEN(K1240)-FIND("*",K1240)),"-")</f>
        <v>-</v>
      </c>
      <c r="W1242" s="27" t="str">
        <f t="shared" si="670"/>
        <v>-</v>
      </c>
      <c r="X1242" s="27" t="str">
        <f>IFERROR(W1242*L1240,"-")</f>
        <v>-</v>
      </c>
      <c r="Z1242" s="94" t="s">
        <v>82</v>
      </c>
    </row>
    <row r="1243" spans="1:26" s="25" customFormat="1" ht="21" customHeight="1" thickBot="1" x14ac:dyDescent="0.35">
      <c r="A1243" s="10"/>
      <c r="B1243" s="170"/>
      <c r="C1243" s="171"/>
      <c r="D1243" s="172" t="s">
        <v>43</v>
      </c>
      <c r="E1243" s="173"/>
      <c r="F1243" s="173"/>
      <c r="G1243" s="174"/>
      <c r="H1243" s="174"/>
      <c r="I1243" s="174"/>
      <c r="J1243" s="174"/>
      <c r="K1243" s="174"/>
      <c r="L1243" s="174"/>
      <c r="M1243" s="12"/>
      <c r="N1243" s="39"/>
      <c r="U1243" s="23"/>
      <c r="V1243" s="23"/>
      <c r="Z1243" s="95" t="s">
        <v>81</v>
      </c>
    </row>
    <row r="1244" spans="1:26" s="25" customFormat="1" ht="9.9499999999999993" customHeight="1" thickBot="1" x14ac:dyDescent="0.35">
      <c r="A1244" s="6"/>
      <c r="B1244" s="14"/>
      <c r="C1244" s="119"/>
      <c r="D1244" s="58"/>
      <c r="E1244" s="17"/>
      <c r="F1244" s="58"/>
      <c r="G1244" s="19"/>
      <c r="H1244" s="19"/>
      <c r="I1244" s="19"/>
      <c r="J1244" s="19"/>
      <c r="K1244" s="19"/>
      <c r="L1244" s="19"/>
      <c r="M1244" s="14"/>
      <c r="N1244" s="39"/>
      <c r="Q1244" s="1"/>
      <c r="R1244" s="1"/>
      <c r="S1244" s="1"/>
      <c r="T1244" s="1"/>
      <c r="U1244" s="24"/>
      <c r="V1244" s="24"/>
      <c r="W1244" s="1"/>
      <c r="X1244" s="1"/>
      <c r="Z1244" s="94" t="s">
        <v>82</v>
      </c>
    </row>
    <row r="1245" spans="1:26" s="25" customFormat="1" ht="6.95" customHeight="1" x14ac:dyDescent="0.3">
      <c r="A1245" s="165">
        <f>+A1234+1</f>
        <v>114</v>
      </c>
      <c r="B1245" s="166"/>
      <c r="C1245" s="167"/>
      <c r="D1245" s="160" t="s">
        <v>39</v>
      </c>
      <c r="E1245" s="161"/>
      <c r="F1245" s="162" t="s">
        <v>40</v>
      </c>
      <c r="G1245" s="163"/>
      <c r="H1245" s="164"/>
      <c r="I1245" s="163"/>
      <c r="J1245" s="164"/>
      <c r="K1245" s="163"/>
      <c r="L1245" s="164"/>
      <c r="M1245" s="11"/>
      <c r="N1245" s="39"/>
      <c r="Q1245" s="15" t="str">
        <f>+CONCATENATE(E1245,G1245)</f>
        <v/>
      </c>
      <c r="R1245" s="15">
        <f>+H1245</f>
        <v>0</v>
      </c>
      <c r="S1245" s="16"/>
      <c r="T1245" s="15">
        <f>+E1245</f>
        <v>0</v>
      </c>
      <c r="U1245" s="26" t="str">
        <f>IFERROR(LEFT(G1245,FIND("*",G1245)-1),"-")</f>
        <v>-</v>
      </c>
      <c r="V1245" s="26" t="str">
        <f>IFERROR(RIGHT(G1245,LEN(G1245)-FIND("*",G1245)),"-")</f>
        <v>-</v>
      </c>
      <c r="W1245" s="27" t="str">
        <f>IFERROR((U1245+V1245)*2/1000,"-")</f>
        <v>-</v>
      </c>
      <c r="X1245" s="27" t="str">
        <f>IFERROR(W1245*H1245,"-")</f>
        <v>-</v>
      </c>
      <c r="Z1245" s="94" t="s">
        <v>82</v>
      </c>
    </row>
    <row r="1246" spans="1:26" s="25" customFormat="1" ht="6.95" customHeight="1" x14ac:dyDescent="0.3">
      <c r="A1246" s="165"/>
      <c r="B1246" s="168"/>
      <c r="C1246" s="169"/>
      <c r="D1246" s="160"/>
      <c r="E1246" s="161"/>
      <c r="F1246" s="162"/>
      <c r="G1246" s="163"/>
      <c r="H1246" s="164"/>
      <c r="I1246" s="163"/>
      <c r="J1246" s="164"/>
      <c r="K1246" s="163"/>
      <c r="L1246" s="164"/>
      <c r="M1246" s="11"/>
      <c r="N1246" s="39"/>
      <c r="Q1246" s="15" t="str">
        <f>+CONCATENATE(E1245,I1245)</f>
        <v/>
      </c>
      <c r="R1246" s="15">
        <f>+J1245</f>
        <v>0</v>
      </c>
      <c r="S1246" s="16"/>
      <c r="T1246" s="15">
        <f>+E1245</f>
        <v>0</v>
      </c>
      <c r="U1246" s="26" t="str">
        <f>IFERROR(LEFT(I1245,FIND("*",I1245)-1),"-")</f>
        <v>-</v>
      </c>
      <c r="V1246" s="26" t="str">
        <f>IFERROR(RIGHT(I1245,LEN(I1245)-FIND("*",I1245)),"-")</f>
        <v>-</v>
      </c>
      <c r="W1246" s="27" t="str">
        <f t="shared" ref="W1246:W1253" si="676">IFERROR((U1246+V1246)*2/1000,"-")</f>
        <v>-</v>
      </c>
      <c r="X1246" s="27" t="str">
        <f>IFERROR(W1246*J1245,"-")</f>
        <v>-</v>
      </c>
      <c r="Z1246" s="94" t="s">
        <v>82</v>
      </c>
    </row>
    <row r="1247" spans="1:26" s="25" customFormat="1" ht="6.95" customHeight="1" x14ac:dyDescent="0.3">
      <c r="A1247" s="165"/>
      <c r="B1247" s="168"/>
      <c r="C1247" s="169"/>
      <c r="D1247" s="160"/>
      <c r="E1247" s="161"/>
      <c r="F1247" s="162"/>
      <c r="G1247" s="163"/>
      <c r="H1247" s="164"/>
      <c r="I1247" s="163"/>
      <c r="J1247" s="164"/>
      <c r="K1247" s="163"/>
      <c r="L1247" s="164"/>
      <c r="M1247" s="11"/>
      <c r="N1247" s="39"/>
      <c r="Q1247" s="15" t="str">
        <f>+CONCATENATE(E1245,K1245)</f>
        <v/>
      </c>
      <c r="R1247" s="15">
        <f>+L1245</f>
        <v>0</v>
      </c>
      <c r="S1247" s="16"/>
      <c r="T1247" s="15">
        <f>+E1245</f>
        <v>0</v>
      </c>
      <c r="U1247" s="26" t="str">
        <f>IFERROR(LEFT(K1245,FIND("*",K1245)-1),"-")</f>
        <v>-</v>
      </c>
      <c r="V1247" s="26" t="str">
        <f>IFERROR(RIGHT(K1245,LEN(K1245)-FIND("*",K1245)),"-")</f>
        <v>-</v>
      </c>
      <c r="W1247" s="27" t="str">
        <f t="shared" si="676"/>
        <v>-</v>
      </c>
      <c r="X1247" s="27" t="str">
        <f>IFERROR(W1247*L1245,"-")</f>
        <v>-</v>
      </c>
      <c r="Z1247" s="94" t="s">
        <v>82</v>
      </c>
    </row>
    <row r="1248" spans="1:26" s="25" customFormat="1" ht="6.95" customHeight="1" x14ac:dyDescent="0.3">
      <c r="A1248" s="13"/>
      <c r="B1248" s="168"/>
      <c r="C1248" s="169"/>
      <c r="D1248" s="160" t="s">
        <v>39</v>
      </c>
      <c r="E1248" s="161"/>
      <c r="F1248" s="162" t="s">
        <v>40</v>
      </c>
      <c r="G1248" s="163"/>
      <c r="H1248" s="164"/>
      <c r="I1248" s="163"/>
      <c r="J1248" s="164"/>
      <c r="K1248" s="163"/>
      <c r="L1248" s="164"/>
      <c r="M1248" s="11"/>
      <c r="N1248" s="39"/>
      <c r="Q1248" s="15" t="str">
        <f>+CONCATENATE(E1248,G1248)</f>
        <v/>
      </c>
      <c r="R1248" s="15">
        <f>+H1248</f>
        <v>0</v>
      </c>
      <c r="S1248" s="16"/>
      <c r="T1248" s="15">
        <f>+E1248</f>
        <v>0</v>
      </c>
      <c r="U1248" s="26" t="str">
        <f t="shared" ref="U1248" si="677">IFERROR(LEFT(G1248,FIND("*",G1248)-1),"-")</f>
        <v>-</v>
      </c>
      <c r="V1248" s="26" t="str">
        <f t="shared" ref="V1248" si="678">IFERROR(RIGHT(G1248,LEN(G1248)-FIND("*",G1248)),"-")</f>
        <v>-</v>
      </c>
      <c r="W1248" s="27" t="str">
        <f t="shared" si="676"/>
        <v>-</v>
      </c>
      <c r="X1248" s="27" t="str">
        <f>IFERROR(W1248*H1248,"-")</f>
        <v>-</v>
      </c>
      <c r="Z1248" s="94" t="s">
        <v>82</v>
      </c>
    </row>
    <row r="1249" spans="1:26" s="25" customFormat="1" ht="6.95" customHeight="1" x14ac:dyDescent="0.3">
      <c r="A1249" s="10"/>
      <c r="B1249" s="168"/>
      <c r="C1249" s="169"/>
      <c r="D1249" s="160"/>
      <c r="E1249" s="161"/>
      <c r="F1249" s="162"/>
      <c r="G1249" s="163"/>
      <c r="H1249" s="164"/>
      <c r="I1249" s="163"/>
      <c r="J1249" s="164"/>
      <c r="K1249" s="163"/>
      <c r="L1249" s="164"/>
      <c r="M1249" s="11"/>
      <c r="N1249" s="39"/>
      <c r="Q1249" s="15" t="str">
        <f>+CONCATENATE(E1248,I1248)</f>
        <v/>
      </c>
      <c r="R1249" s="15">
        <f>+J1248</f>
        <v>0</v>
      </c>
      <c r="S1249" s="16"/>
      <c r="T1249" s="15">
        <f>+E1248</f>
        <v>0</v>
      </c>
      <c r="U1249" s="26" t="str">
        <f>IFERROR(LEFT(I1248,FIND("*",I1248)-1),"-")</f>
        <v>-</v>
      </c>
      <c r="V1249" s="26" t="str">
        <f>IFERROR(RIGHT(I1248,LEN(I1248)-FIND("*",I1248)),"-")</f>
        <v>-</v>
      </c>
      <c r="W1249" s="27" t="str">
        <f t="shared" si="676"/>
        <v>-</v>
      </c>
      <c r="X1249" s="27" t="str">
        <f>IFERROR(W1249*J1248,"-")</f>
        <v>-</v>
      </c>
      <c r="Z1249" s="94" t="s">
        <v>82</v>
      </c>
    </row>
    <row r="1250" spans="1:26" s="25" customFormat="1" ht="6.95" customHeight="1" x14ac:dyDescent="0.3">
      <c r="A1250" s="10"/>
      <c r="B1250" s="168"/>
      <c r="C1250" s="169"/>
      <c r="D1250" s="160"/>
      <c r="E1250" s="161"/>
      <c r="F1250" s="162"/>
      <c r="G1250" s="163"/>
      <c r="H1250" s="164"/>
      <c r="I1250" s="163"/>
      <c r="J1250" s="164"/>
      <c r="K1250" s="163"/>
      <c r="L1250" s="164"/>
      <c r="M1250" s="11"/>
      <c r="N1250" s="39"/>
      <c r="Q1250" s="15" t="str">
        <f>+CONCATENATE(E1248,K1248)</f>
        <v/>
      </c>
      <c r="R1250" s="15">
        <f>+L1248</f>
        <v>0</v>
      </c>
      <c r="S1250" s="16"/>
      <c r="T1250" s="15">
        <f>+E1248</f>
        <v>0</v>
      </c>
      <c r="U1250" s="26" t="str">
        <f>IFERROR(LEFT(K1248,FIND("*",K1248)-1),"-")</f>
        <v>-</v>
      </c>
      <c r="V1250" s="26" t="str">
        <f>IFERROR(RIGHT(K1248,LEN(K1248)-FIND("*",K1248)),"-")</f>
        <v>-</v>
      </c>
      <c r="W1250" s="27" t="str">
        <f t="shared" si="676"/>
        <v>-</v>
      </c>
      <c r="X1250" s="27" t="str">
        <f>IFERROR(W1250*L1248,"-")</f>
        <v>-</v>
      </c>
      <c r="Z1250" s="94" t="s">
        <v>82</v>
      </c>
    </row>
    <row r="1251" spans="1:26" s="25" customFormat="1" ht="6.95" customHeight="1" x14ac:dyDescent="0.3">
      <c r="A1251" s="13"/>
      <c r="B1251" s="168"/>
      <c r="C1251" s="169"/>
      <c r="D1251" s="160" t="s">
        <v>39</v>
      </c>
      <c r="E1251" s="161"/>
      <c r="F1251" s="162" t="s">
        <v>40</v>
      </c>
      <c r="G1251" s="163"/>
      <c r="H1251" s="164"/>
      <c r="I1251" s="163"/>
      <c r="J1251" s="164"/>
      <c r="K1251" s="163"/>
      <c r="L1251" s="164"/>
      <c r="M1251" s="11"/>
      <c r="N1251" s="39"/>
      <c r="Q1251" s="15" t="str">
        <f>+CONCATENATE(E1251,G1251)</f>
        <v/>
      </c>
      <c r="R1251" s="15">
        <f>+H1251</f>
        <v>0</v>
      </c>
      <c r="S1251" s="16"/>
      <c r="T1251" s="15">
        <f>+E1251</f>
        <v>0</v>
      </c>
      <c r="U1251" s="26" t="str">
        <f t="shared" ref="U1251" si="679">IFERROR(LEFT(G1251,FIND("*",G1251)-1),"-")</f>
        <v>-</v>
      </c>
      <c r="V1251" s="26" t="str">
        <f t="shared" ref="V1251" si="680">IFERROR(RIGHT(G1251,LEN(G1251)-FIND("*",G1251)),"-")</f>
        <v>-</v>
      </c>
      <c r="W1251" s="27" t="str">
        <f t="shared" si="676"/>
        <v>-</v>
      </c>
      <c r="X1251" s="27" t="str">
        <f>IFERROR(W1251*H1251,"-")</f>
        <v>-</v>
      </c>
      <c r="Z1251" s="94" t="s">
        <v>82</v>
      </c>
    </row>
    <row r="1252" spans="1:26" s="25" customFormat="1" ht="6.95" customHeight="1" x14ac:dyDescent="0.3">
      <c r="A1252" s="10"/>
      <c r="B1252" s="168"/>
      <c r="C1252" s="169"/>
      <c r="D1252" s="160"/>
      <c r="E1252" s="161"/>
      <c r="F1252" s="162"/>
      <c r="G1252" s="163"/>
      <c r="H1252" s="164"/>
      <c r="I1252" s="163"/>
      <c r="J1252" s="164"/>
      <c r="K1252" s="163"/>
      <c r="L1252" s="164"/>
      <c r="M1252" s="11"/>
      <c r="N1252" s="39"/>
      <c r="Q1252" s="15" t="str">
        <f>+CONCATENATE(E1251,I1251)</f>
        <v/>
      </c>
      <c r="R1252" s="15">
        <f>+J1251</f>
        <v>0</v>
      </c>
      <c r="S1252" s="16"/>
      <c r="T1252" s="15">
        <f>+E1251</f>
        <v>0</v>
      </c>
      <c r="U1252" s="26" t="str">
        <f>IFERROR(LEFT(I1251,FIND("*",I1251)-1),"-")</f>
        <v>-</v>
      </c>
      <c r="V1252" s="26" t="str">
        <f>IFERROR(RIGHT(I1251,LEN(I1251)-FIND("*",I1251)),"-")</f>
        <v>-</v>
      </c>
      <c r="W1252" s="27" t="str">
        <f t="shared" si="676"/>
        <v>-</v>
      </c>
      <c r="X1252" s="27" t="str">
        <f t="shared" ref="X1252" si="681">IFERROR(W1252*J1251,"-")</f>
        <v>-</v>
      </c>
      <c r="Z1252" s="94" t="s">
        <v>82</v>
      </c>
    </row>
    <row r="1253" spans="1:26" s="25" customFormat="1" ht="6.95" customHeight="1" x14ac:dyDescent="0.3">
      <c r="A1253" s="10"/>
      <c r="B1253" s="168"/>
      <c r="C1253" s="169"/>
      <c r="D1253" s="160"/>
      <c r="E1253" s="161"/>
      <c r="F1253" s="162"/>
      <c r="G1253" s="163"/>
      <c r="H1253" s="164"/>
      <c r="I1253" s="163"/>
      <c r="J1253" s="164"/>
      <c r="K1253" s="163"/>
      <c r="L1253" s="164"/>
      <c r="M1253" s="11"/>
      <c r="N1253" s="39"/>
      <c r="Q1253" s="15" t="str">
        <f>+CONCATENATE(E1251,K1251)</f>
        <v/>
      </c>
      <c r="R1253" s="15">
        <f>+L1251</f>
        <v>0</v>
      </c>
      <c r="S1253" s="16"/>
      <c r="T1253" s="15">
        <f>+E1251</f>
        <v>0</v>
      </c>
      <c r="U1253" s="26" t="str">
        <f>IFERROR(LEFT(K1251,FIND("*",K1251)-1),"-")</f>
        <v>-</v>
      </c>
      <c r="V1253" s="26" t="str">
        <f>IFERROR(RIGHT(K1251,LEN(K1251)-FIND("*",K1251)),"-")</f>
        <v>-</v>
      </c>
      <c r="W1253" s="27" t="str">
        <f t="shared" si="676"/>
        <v>-</v>
      </c>
      <c r="X1253" s="27" t="str">
        <f>IFERROR(W1253*L1251,"-")</f>
        <v>-</v>
      </c>
      <c r="Z1253" s="94" t="s">
        <v>82</v>
      </c>
    </row>
    <row r="1254" spans="1:26" s="25" customFormat="1" ht="21" customHeight="1" thickBot="1" x14ac:dyDescent="0.35">
      <c r="A1254" s="10"/>
      <c r="B1254" s="170"/>
      <c r="C1254" s="171"/>
      <c r="D1254" s="172" t="s">
        <v>43</v>
      </c>
      <c r="E1254" s="173"/>
      <c r="F1254" s="173"/>
      <c r="G1254" s="174"/>
      <c r="H1254" s="174"/>
      <c r="I1254" s="174"/>
      <c r="J1254" s="174"/>
      <c r="K1254" s="174"/>
      <c r="L1254" s="174"/>
      <c r="M1254" s="12"/>
      <c r="N1254" s="39"/>
      <c r="U1254" s="23"/>
      <c r="V1254" s="23"/>
      <c r="Z1254" s="95" t="s">
        <v>81</v>
      </c>
    </row>
    <row r="1255" spans="1:26" s="25" customFormat="1" ht="9.9499999999999993" customHeight="1" thickBot="1" x14ac:dyDescent="0.35">
      <c r="A1255" s="6"/>
      <c r="B1255" s="14"/>
      <c r="C1255" s="119"/>
      <c r="D1255" s="58"/>
      <c r="E1255" s="17"/>
      <c r="F1255" s="58"/>
      <c r="G1255" s="19"/>
      <c r="H1255" s="19"/>
      <c r="I1255" s="19"/>
      <c r="J1255" s="19"/>
      <c r="K1255" s="19"/>
      <c r="L1255" s="19"/>
      <c r="M1255" s="14"/>
      <c r="N1255" s="39"/>
      <c r="Q1255" s="1"/>
      <c r="R1255" s="1"/>
      <c r="S1255" s="1"/>
      <c r="T1255" s="1"/>
      <c r="U1255" s="24"/>
      <c r="V1255" s="24"/>
      <c r="W1255" s="1"/>
      <c r="X1255" s="1"/>
      <c r="Z1255" s="94" t="s">
        <v>82</v>
      </c>
    </row>
    <row r="1256" spans="1:26" s="25" customFormat="1" ht="6.95" customHeight="1" x14ac:dyDescent="0.3">
      <c r="A1256" s="165">
        <f>+A1245+1</f>
        <v>115</v>
      </c>
      <c r="B1256" s="166"/>
      <c r="C1256" s="167"/>
      <c r="D1256" s="160" t="s">
        <v>39</v>
      </c>
      <c r="E1256" s="161"/>
      <c r="F1256" s="162" t="s">
        <v>40</v>
      </c>
      <c r="G1256" s="163"/>
      <c r="H1256" s="164"/>
      <c r="I1256" s="163"/>
      <c r="J1256" s="164"/>
      <c r="K1256" s="163"/>
      <c r="L1256" s="164"/>
      <c r="M1256" s="11"/>
      <c r="N1256" s="39"/>
      <c r="Q1256" s="15" t="str">
        <f>+CONCATENATE(E1256,G1256)</f>
        <v/>
      </c>
      <c r="R1256" s="15">
        <f>+H1256</f>
        <v>0</v>
      </c>
      <c r="S1256" s="16"/>
      <c r="T1256" s="15">
        <f>+E1256</f>
        <v>0</v>
      </c>
      <c r="U1256" s="26" t="str">
        <f>IFERROR(LEFT(G1256,FIND("*",G1256)-1),"-")</f>
        <v>-</v>
      </c>
      <c r="V1256" s="26" t="str">
        <f>IFERROR(RIGHT(G1256,LEN(G1256)-FIND("*",G1256)),"-")</f>
        <v>-</v>
      </c>
      <c r="W1256" s="27" t="str">
        <f>IFERROR((U1256+V1256)*2/1000,"-")</f>
        <v>-</v>
      </c>
      <c r="X1256" s="27" t="str">
        <f>IFERROR(W1256*H1256,"-")</f>
        <v>-</v>
      </c>
      <c r="Z1256" s="94" t="s">
        <v>82</v>
      </c>
    </row>
    <row r="1257" spans="1:26" s="25" customFormat="1" ht="6.95" customHeight="1" x14ac:dyDescent="0.3">
      <c r="A1257" s="165"/>
      <c r="B1257" s="168"/>
      <c r="C1257" s="169"/>
      <c r="D1257" s="160"/>
      <c r="E1257" s="161"/>
      <c r="F1257" s="162"/>
      <c r="G1257" s="163"/>
      <c r="H1257" s="164"/>
      <c r="I1257" s="163"/>
      <c r="J1257" s="164"/>
      <c r="K1257" s="163"/>
      <c r="L1257" s="164"/>
      <c r="M1257" s="11"/>
      <c r="N1257" s="39"/>
      <c r="Q1257" s="15" t="str">
        <f>+CONCATENATE(E1256,I1256)</f>
        <v/>
      </c>
      <c r="R1257" s="15">
        <f>+J1256</f>
        <v>0</v>
      </c>
      <c r="S1257" s="16"/>
      <c r="T1257" s="15">
        <f>+E1256</f>
        <v>0</v>
      </c>
      <c r="U1257" s="26" t="str">
        <f>IFERROR(LEFT(I1256,FIND("*",I1256)-1),"-")</f>
        <v>-</v>
      </c>
      <c r="V1257" s="26" t="str">
        <f>IFERROR(RIGHT(I1256,LEN(I1256)-FIND("*",I1256)),"-")</f>
        <v>-</v>
      </c>
      <c r="W1257" s="27" t="str">
        <f t="shared" ref="W1257:W1264" si="682">IFERROR((U1257+V1257)*2/1000,"-")</f>
        <v>-</v>
      </c>
      <c r="X1257" s="27" t="str">
        <f>IFERROR(W1257*J1256,"-")</f>
        <v>-</v>
      </c>
      <c r="Z1257" s="94" t="s">
        <v>82</v>
      </c>
    </row>
    <row r="1258" spans="1:26" s="25" customFormat="1" ht="6.95" customHeight="1" x14ac:dyDescent="0.3">
      <c r="A1258" s="165"/>
      <c r="B1258" s="168"/>
      <c r="C1258" s="169"/>
      <c r="D1258" s="160"/>
      <c r="E1258" s="161"/>
      <c r="F1258" s="162"/>
      <c r="G1258" s="163"/>
      <c r="H1258" s="164"/>
      <c r="I1258" s="163"/>
      <c r="J1258" s="164"/>
      <c r="K1258" s="163"/>
      <c r="L1258" s="164"/>
      <c r="M1258" s="11"/>
      <c r="N1258" s="39"/>
      <c r="Q1258" s="15" t="str">
        <f>+CONCATENATE(E1256,K1256)</f>
        <v/>
      </c>
      <c r="R1258" s="15">
        <f>+L1256</f>
        <v>0</v>
      </c>
      <c r="S1258" s="16"/>
      <c r="T1258" s="15">
        <f>+E1256</f>
        <v>0</v>
      </c>
      <c r="U1258" s="26" t="str">
        <f>IFERROR(LEFT(K1256,FIND("*",K1256)-1),"-")</f>
        <v>-</v>
      </c>
      <c r="V1258" s="26" t="str">
        <f>IFERROR(RIGHT(K1256,LEN(K1256)-FIND("*",K1256)),"-")</f>
        <v>-</v>
      </c>
      <c r="W1258" s="27" t="str">
        <f t="shared" si="682"/>
        <v>-</v>
      </c>
      <c r="X1258" s="27" t="str">
        <f>IFERROR(W1258*L1256,"-")</f>
        <v>-</v>
      </c>
      <c r="Z1258" s="94" t="s">
        <v>82</v>
      </c>
    </row>
    <row r="1259" spans="1:26" s="25" customFormat="1" ht="6.95" customHeight="1" x14ac:dyDescent="0.3">
      <c r="A1259" s="13"/>
      <c r="B1259" s="168"/>
      <c r="C1259" s="169"/>
      <c r="D1259" s="160" t="s">
        <v>39</v>
      </c>
      <c r="E1259" s="161"/>
      <c r="F1259" s="162" t="s">
        <v>40</v>
      </c>
      <c r="G1259" s="163"/>
      <c r="H1259" s="164"/>
      <c r="I1259" s="163"/>
      <c r="J1259" s="164"/>
      <c r="K1259" s="163"/>
      <c r="L1259" s="164"/>
      <c r="M1259" s="11"/>
      <c r="N1259" s="39"/>
      <c r="Q1259" s="15" t="str">
        <f>+CONCATENATE(E1259,G1259)</f>
        <v/>
      </c>
      <c r="R1259" s="15">
        <f>+H1259</f>
        <v>0</v>
      </c>
      <c r="S1259" s="16"/>
      <c r="T1259" s="15">
        <f>+E1259</f>
        <v>0</v>
      </c>
      <c r="U1259" s="26" t="str">
        <f t="shared" ref="U1259" si="683">IFERROR(LEFT(G1259,FIND("*",G1259)-1),"-")</f>
        <v>-</v>
      </c>
      <c r="V1259" s="26" t="str">
        <f t="shared" ref="V1259" si="684">IFERROR(RIGHT(G1259,LEN(G1259)-FIND("*",G1259)),"-")</f>
        <v>-</v>
      </c>
      <c r="W1259" s="27" t="str">
        <f t="shared" si="682"/>
        <v>-</v>
      </c>
      <c r="X1259" s="27" t="str">
        <f>IFERROR(W1259*H1259,"-")</f>
        <v>-</v>
      </c>
      <c r="Z1259" s="94" t="s">
        <v>82</v>
      </c>
    </row>
    <row r="1260" spans="1:26" s="25" customFormat="1" ht="6.95" customHeight="1" x14ac:dyDescent="0.3">
      <c r="A1260" s="10"/>
      <c r="B1260" s="168"/>
      <c r="C1260" s="169"/>
      <c r="D1260" s="160"/>
      <c r="E1260" s="161"/>
      <c r="F1260" s="162"/>
      <c r="G1260" s="163"/>
      <c r="H1260" s="164"/>
      <c r="I1260" s="163"/>
      <c r="J1260" s="164"/>
      <c r="K1260" s="163"/>
      <c r="L1260" s="164"/>
      <c r="M1260" s="11"/>
      <c r="N1260" s="39"/>
      <c r="Q1260" s="15" t="str">
        <f>+CONCATENATE(E1259,I1259)</f>
        <v/>
      </c>
      <c r="R1260" s="15">
        <f>+J1259</f>
        <v>0</v>
      </c>
      <c r="S1260" s="16"/>
      <c r="T1260" s="15">
        <f>+E1259</f>
        <v>0</v>
      </c>
      <c r="U1260" s="26" t="str">
        <f>IFERROR(LEFT(I1259,FIND("*",I1259)-1),"-")</f>
        <v>-</v>
      </c>
      <c r="V1260" s="26" t="str">
        <f>IFERROR(RIGHT(I1259,LEN(I1259)-FIND("*",I1259)),"-")</f>
        <v>-</v>
      </c>
      <c r="W1260" s="27" t="str">
        <f t="shared" si="682"/>
        <v>-</v>
      </c>
      <c r="X1260" s="27" t="str">
        <f>IFERROR(W1260*J1259,"-")</f>
        <v>-</v>
      </c>
      <c r="Z1260" s="94" t="s">
        <v>82</v>
      </c>
    </row>
    <row r="1261" spans="1:26" s="25" customFormat="1" ht="6.95" customHeight="1" x14ac:dyDescent="0.3">
      <c r="A1261" s="10"/>
      <c r="B1261" s="168"/>
      <c r="C1261" s="169"/>
      <c r="D1261" s="160"/>
      <c r="E1261" s="161"/>
      <c r="F1261" s="162"/>
      <c r="G1261" s="163"/>
      <c r="H1261" s="164"/>
      <c r="I1261" s="163"/>
      <c r="J1261" s="164"/>
      <c r="K1261" s="163"/>
      <c r="L1261" s="164"/>
      <c r="M1261" s="11"/>
      <c r="N1261" s="39"/>
      <c r="Q1261" s="15" t="str">
        <f>+CONCATENATE(E1259,K1259)</f>
        <v/>
      </c>
      <c r="R1261" s="15">
        <f>+L1259</f>
        <v>0</v>
      </c>
      <c r="S1261" s="16"/>
      <c r="T1261" s="15">
        <f>+E1259</f>
        <v>0</v>
      </c>
      <c r="U1261" s="26" t="str">
        <f>IFERROR(LEFT(K1259,FIND("*",K1259)-1),"-")</f>
        <v>-</v>
      </c>
      <c r="V1261" s="26" t="str">
        <f>IFERROR(RIGHT(K1259,LEN(K1259)-FIND("*",K1259)),"-")</f>
        <v>-</v>
      </c>
      <c r="W1261" s="27" t="str">
        <f t="shared" si="682"/>
        <v>-</v>
      </c>
      <c r="X1261" s="27" t="str">
        <f>IFERROR(W1261*L1259,"-")</f>
        <v>-</v>
      </c>
      <c r="Z1261" s="94" t="s">
        <v>82</v>
      </c>
    </row>
    <row r="1262" spans="1:26" s="25" customFormat="1" ht="6.95" customHeight="1" x14ac:dyDescent="0.3">
      <c r="A1262" s="13"/>
      <c r="B1262" s="168"/>
      <c r="C1262" s="169"/>
      <c r="D1262" s="160" t="s">
        <v>39</v>
      </c>
      <c r="E1262" s="161"/>
      <c r="F1262" s="162" t="s">
        <v>40</v>
      </c>
      <c r="G1262" s="163"/>
      <c r="H1262" s="164"/>
      <c r="I1262" s="163"/>
      <c r="J1262" s="164"/>
      <c r="K1262" s="163"/>
      <c r="L1262" s="164"/>
      <c r="M1262" s="11"/>
      <c r="N1262" s="39"/>
      <c r="Q1262" s="15" t="str">
        <f>+CONCATENATE(E1262,G1262)</f>
        <v/>
      </c>
      <c r="R1262" s="15">
        <f>+H1262</f>
        <v>0</v>
      </c>
      <c r="S1262" s="16"/>
      <c r="T1262" s="15">
        <f>+E1262</f>
        <v>0</v>
      </c>
      <c r="U1262" s="26" t="str">
        <f t="shared" ref="U1262" si="685">IFERROR(LEFT(G1262,FIND("*",G1262)-1),"-")</f>
        <v>-</v>
      </c>
      <c r="V1262" s="26" t="str">
        <f t="shared" ref="V1262" si="686">IFERROR(RIGHT(G1262,LEN(G1262)-FIND("*",G1262)),"-")</f>
        <v>-</v>
      </c>
      <c r="W1262" s="27" t="str">
        <f t="shared" si="682"/>
        <v>-</v>
      </c>
      <c r="X1262" s="27" t="str">
        <f>IFERROR(W1262*H1262,"-")</f>
        <v>-</v>
      </c>
      <c r="Z1262" s="94" t="s">
        <v>82</v>
      </c>
    </row>
    <row r="1263" spans="1:26" s="25" customFormat="1" ht="6.95" customHeight="1" x14ac:dyDescent="0.3">
      <c r="A1263" s="10"/>
      <c r="B1263" s="168"/>
      <c r="C1263" s="169"/>
      <c r="D1263" s="160"/>
      <c r="E1263" s="161"/>
      <c r="F1263" s="162"/>
      <c r="G1263" s="163"/>
      <c r="H1263" s="164"/>
      <c r="I1263" s="163"/>
      <c r="J1263" s="164"/>
      <c r="K1263" s="163"/>
      <c r="L1263" s="164"/>
      <c r="M1263" s="11"/>
      <c r="N1263" s="39"/>
      <c r="Q1263" s="15" t="str">
        <f>+CONCATENATE(E1262,I1262)</f>
        <v/>
      </c>
      <c r="R1263" s="15">
        <f>+J1262</f>
        <v>0</v>
      </c>
      <c r="S1263" s="16"/>
      <c r="T1263" s="15">
        <f>+E1262</f>
        <v>0</v>
      </c>
      <c r="U1263" s="26" t="str">
        <f>IFERROR(LEFT(I1262,FIND("*",I1262)-1),"-")</f>
        <v>-</v>
      </c>
      <c r="V1263" s="26" t="str">
        <f>IFERROR(RIGHT(I1262,LEN(I1262)-FIND("*",I1262)),"-")</f>
        <v>-</v>
      </c>
      <c r="W1263" s="27" t="str">
        <f t="shared" si="682"/>
        <v>-</v>
      </c>
      <c r="X1263" s="27" t="str">
        <f t="shared" ref="X1263" si="687">IFERROR(W1263*J1262,"-")</f>
        <v>-</v>
      </c>
      <c r="Z1263" s="94" t="s">
        <v>82</v>
      </c>
    </row>
    <row r="1264" spans="1:26" s="25" customFormat="1" ht="6.95" customHeight="1" x14ac:dyDescent="0.3">
      <c r="A1264" s="10"/>
      <c r="B1264" s="168"/>
      <c r="C1264" s="169"/>
      <c r="D1264" s="160"/>
      <c r="E1264" s="161"/>
      <c r="F1264" s="162"/>
      <c r="G1264" s="163"/>
      <c r="H1264" s="164"/>
      <c r="I1264" s="163"/>
      <c r="J1264" s="164"/>
      <c r="K1264" s="163"/>
      <c r="L1264" s="164"/>
      <c r="M1264" s="11"/>
      <c r="N1264" s="39"/>
      <c r="Q1264" s="15" t="str">
        <f>+CONCATENATE(E1262,K1262)</f>
        <v/>
      </c>
      <c r="R1264" s="15">
        <f>+L1262</f>
        <v>0</v>
      </c>
      <c r="S1264" s="16"/>
      <c r="T1264" s="15">
        <f>+E1262</f>
        <v>0</v>
      </c>
      <c r="U1264" s="26" t="str">
        <f>IFERROR(LEFT(K1262,FIND("*",K1262)-1),"-")</f>
        <v>-</v>
      </c>
      <c r="V1264" s="26" t="str">
        <f>IFERROR(RIGHT(K1262,LEN(K1262)-FIND("*",K1262)),"-")</f>
        <v>-</v>
      </c>
      <c r="W1264" s="27" t="str">
        <f t="shared" si="682"/>
        <v>-</v>
      </c>
      <c r="X1264" s="27" t="str">
        <f>IFERROR(W1264*L1262,"-")</f>
        <v>-</v>
      </c>
      <c r="Z1264" s="94" t="s">
        <v>82</v>
      </c>
    </row>
    <row r="1265" spans="1:26" s="25" customFormat="1" ht="21" customHeight="1" thickBot="1" x14ac:dyDescent="0.35">
      <c r="A1265" s="10"/>
      <c r="B1265" s="170"/>
      <c r="C1265" s="171"/>
      <c r="D1265" s="172" t="s">
        <v>43</v>
      </c>
      <c r="E1265" s="173"/>
      <c r="F1265" s="173"/>
      <c r="G1265" s="174"/>
      <c r="H1265" s="174"/>
      <c r="I1265" s="174"/>
      <c r="J1265" s="174"/>
      <c r="K1265" s="174"/>
      <c r="L1265" s="174"/>
      <c r="M1265" s="12"/>
      <c r="N1265" s="39"/>
      <c r="U1265" s="23"/>
      <c r="V1265" s="23"/>
      <c r="Z1265" s="95" t="s">
        <v>81</v>
      </c>
    </row>
    <row r="1266" spans="1:26" s="25" customFormat="1" ht="9.9499999999999993" customHeight="1" thickBot="1" x14ac:dyDescent="0.35">
      <c r="A1266" s="6"/>
      <c r="B1266" s="14"/>
      <c r="C1266" s="119"/>
      <c r="D1266" s="58"/>
      <c r="E1266" s="17"/>
      <c r="F1266" s="58"/>
      <c r="G1266" s="19"/>
      <c r="H1266" s="19"/>
      <c r="I1266" s="19"/>
      <c r="J1266" s="19"/>
      <c r="K1266" s="19"/>
      <c r="L1266" s="19"/>
      <c r="M1266" s="14"/>
      <c r="N1266" s="39"/>
      <c r="Q1266" s="1"/>
      <c r="R1266" s="1"/>
      <c r="S1266" s="1"/>
      <c r="T1266" s="1"/>
      <c r="U1266" s="24"/>
      <c r="V1266" s="24"/>
      <c r="W1266" s="1"/>
      <c r="X1266" s="1"/>
      <c r="Z1266" s="94" t="s">
        <v>82</v>
      </c>
    </row>
    <row r="1267" spans="1:26" s="25" customFormat="1" ht="6.95" customHeight="1" x14ac:dyDescent="0.3">
      <c r="A1267" s="165">
        <f>+A1256+1</f>
        <v>116</v>
      </c>
      <c r="B1267" s="166"/>
      <c r="C1267" s="167"/>
      <c r="D1267" s="160" t="s">
        <v>39</v>
      </c>
      <c r="E1267" s="161"/>
      <c r="F1267" s="162" t="s">
        <v>40</v>
      </c>
      <c r="G1267" s="163"/>
      <c r="H1267" s="164"/>
      <c r="I1267" s="163"/>
      <c r="J1267" s="164"/>
      <c r="K1267" s="163"/>
      <c r="L1267" s="164"/>
      <c r="M1267" s="11"/>
      <c r="N1267" s="39"/>
      <c r="Q1267" s="15" t="str">
        <f>+CONCATENATE(E1267,G1267)</f>
        <v/>
      </c>
      <c r="R1267" s="15">
        <f>+H1267</f>
        <v>0</v>
      </c>
      <c r="S1267" s="16"/>
      <c r="T1267" s="15">
        <f>+E1267</f>
        <v>0</v>
      </c>
      <c r="U1267" s="26" t="str">
        <f>IFERROR(LEFT(G1267,FIND("*",G1267)-1),"-")</f>
        <v>-</v>
      </c>
      <c r="V1267" s="26" t="str">
        <f>IFERROR(RIGHT(G1267,LEN(G1267)-FIND("*",G1267)),"-")</f>
        <v>-</v>
      </c>
      <c r="W1267" s="27" t="str">
        <f>IFERROR((U1267+V1267)*2/1000,"-")</f>
        <v>-</v>
      </c>
      <c r="X1267" s="27" t="str">
        <f>IFERROR(W1267*H1267,"-")</f>
        <v>-</v>
      </c>
      <c r="Z1267" s="94" t="s">
        <v>82</v>
      </c>
    </row>
    <row r="1268" spans="1:26" s="25" customFormat="1" ht="6.95" customHeight="1" x14ac:dyDescent="0.3">
      <c r="A1268" s="165"/>
      <c r="B1268" s="168"/>
      <c r="C1268" s="169"/>
      <c r="D1268" s="160"/>
      <c r="E1268" s="161"/>
      <c r="F1268" s="162"/>
      <c r="G1268" s="163"/>
      <c r="H1268" s="164"/>
      <c r="I1268" s="163"/>
      <c r="J1268" s="164"/>
      <c r="K1268" s="163"/>
      <c r="L1268" s="164"/>
      <c r="M1268" s="11"/>
      <c r="N1268" s="39"/>
      <c r="Q1268" s="15" t="str">
        <f>+CONCATENATE(E1267,I1267)</f>
        <v/>
      </c>
      <c r="R1268" s="15">
        <f>+J1267</f>
        <v>0</v>
      </c>
      <c r="S1268" s="16"/>
      <c r="T1268" s="15">
        <f>+E1267</f>
        <v>0</v>
      </c>
      <c r="U1268" s="26" t="str">
        <f>IFERROR(LEFT(I1267,FIND("*",I1267)-1),"-")</f>
        <v>-</v>
      </c>
      <c r="V1268" s="26" t="str">
        <f>IFERROR(RIGHT(I1267,LEN(I1267)-FIND("*",I1267)),"-")</f>
        <v>-</v>
      </c>
      <c r="W1268" s="27" t="str">
        <f t="shared" ref="W1268:W1275" si="688">IFERROR((U1268+V1268)*2/1000,"-")</f>
        <v>-</v>
      </c>
      <c r="X1268" s="27" t="str">
        <f>IFERROR(W1268*J1267,"-")</f>
        <v>-</v>
      </c>
      <c r="Z1268" s="94" t="s">
        <v>82</v>
      </c>
    </row>
    <row r="1269" spans="1:26" s="25" customFormat="1" ht="6.95" customHeight="1" x14ac:dyDescent="0.3">
      <c r="A1269" s="165"/>
      <c r="B1269" s="168"/>
      <c r="C1269" s="169"/>
      <c r="D1269" s="160"/>
      <c r="E1269" s="161"/>
      <c r="F1269" s="162"/>
      <c r="G1269" s="163"/>
      <c r="H1269" s="164"/>
      <c r="I1269" s="163"/>
      <c r="J1269" s="164"/>
      <c r="K1269" s="163"/>
      <c r="L1269" s="164"/>
      <c r="M1269" s="11"/>
      <c r="N1269" s="39"/>
      <c r="Q1269" s="15" t="str">
        <f>+CONCATENATE(E1267,K1267)</f>
        <v/>
      </c>
      <c r="R1269" s="15">
        <f>+L1267</f>
        <v>0</v>
      </c>
      <c r="S1269" s="16"/>
      <c r="T1269" s="15">
        <f>+E1267</f>
        <v>0</v>
      </c>
      <c r="U1269" s="26" t="str">
        <f>IFERROR(LEFT(K1267,FIND("*",K1267)-1),"-")</f>
        <v>-</v>
      </c>
      <c r="V1269" s="26" t="str">
        <f>IFERROR(RIGHT(K1267,LEN(K1267)-FIND("*",K1267)),"-")</f>
        <v>-</v>
      </c>
      <c r="W1269" s="27" t="str">
        <f t="shared" si="688"/>
        <v>-</v>
      </c>
      <c r="X1269" s="27" t="str">
        <f>IFERROR(W1269*L1267,"-")</f>
        <v>-</v>
      </c>
      <c r="Z1269" s="94" t="s">
        <v>82</v>
      </c>
    </row>
    <row r="1270" spans="1:26" s="25" customFormat="1" ht="6.95" customHeight="1" x14ac:dyDescent="0.3">
      <c r="A1270" s="13"/>
      <c r="B1270" s="168"/>
      <c r="C1270" s="169"/>
      <c r="D1270" s="160" t="s">
        <v>39</v>
      </c>
      <c r="E1270" s="161"/>
      <c r="F1270" s="162" t="s">
        <v>40</v>
      </c>
      <c r="G1270" s="163"/>
      <c r="H1270" s="164"/>
      <c r="I1270" s="163"/>
      <c r="J1270" s="164"/>
      <c r="K1270" s="163"/>
      <c r="L1270" s="164"/>
      <c r="M1270" s="11"/>
      <c r="N1270" s="39"/>
      <c r="Q1270" s="15" t="str">
        <f>+CONCATENATE(E1270,G1270)</f>
        <v/>
      </c>
      <c r="R1270" s="15">
        <f>+H1270</f>
        <v>0</v>
      </c>
      <c r="S1270" s="16"/>
      <c r="T1270" s="15">
        <f>+E1270</f>
        <v>0</v>
      </c>
      <c r="U1270" s="26" t="str">
        <f t="shared" ref="U1270" si="689">IFERROR(LEFT(G1270,FIND("*",G1270)-1),"-")</f>
        <v>-</v>
      </c>
      <c r="V1270" s="26" t="str">
        <f t="shared" ref="V1270" si="690">IFERROR(RIGHT(G1270,LEN(G1270)-FIND("*",G1270)),"-")</f>
        <v>-</v>
      </c>
      <c r="W1270" s="27" t="str">
        <f t="shared" si="688"/>
        <v>-</v>
      </c>
      <c r="X1270" s="27" t="str">
        <f>IFERROR(W1270*H1270,"-")</f>
        <v>-</v>
      </c>
      <c r="Z1270" s="94" t="s">
        <v>82</v>
      </c>
    </row>
    <row r="1271" spans="1:26" s="25" customFormat="1" ht="6.95" customHeight="1" x14ac:dyDescent="0.3">
      <c r="A1271" s="10"/>
      <c r="B1271" s="168"/>
      <c r="C1271" s="169"/>
      <c r="D1271" s="160"/>
      <c r="E1271" s="161"/>
      <c r="F1271" s="162"/>
      <c r="G1271" s="163"/>
      <c r="H1271" s="164"/>
      <c r="I1271" s="163"/>
      <c r="J1271" s="164"/>
      <c r="K1271" s="163"/>
      <c r="L1271" s="164"/>
      <c r="M1271" s="11"/>
      <c r="N1271" s="39"/>
      <c r="Q1271" s="15" t="str">
        <f>+CONCATENATE(E1270,I1270)</f>
        <v/>
      </c>
      <c r="R1271" s="15">
        <f>+J1270</f>
        <v>0</v>
      </c>
      <c r="S1271" s="16"/>
      <c r="T1271" s="15">
        <f>+E1270</f>
        <v>0</v>
      </c>
      <c r="U1271" s="26" t="str">
        <f>IFERROR(LEFT(I1270,FIND("*",I1270)-1),"-")</f>
        <v>-</v>
      </c>
      <c r="V1271" s="26" t="str">
        <f>IFERROR(RIGHT(I1270,LEN(I1270)-FIND("*",I1270)),"-")</f>
        <v>-</v>
      </c>
      <c r="W1271" s="27" t="str">
        <f t="shared" si="688"/>
        <v>-</v>
      </c>
      <c r="X1271" s="27" t="str">
        <f>IFERROR(W1271*J1270,"-")</f>
        <v>-</v>
      </c>
      <c r="Z1271" s="94" t="s">
        <v>82</v>
      </c>
    </row>
    <row r="1272" spans="1:26" s="25" customFormat="1" ht="6.95" customHeight="1" x14ac:dyDescent="0.3">
      <c r="A1272" s="10"/>
      <c r="B1272" s="168"/>
      <c r="C1272" s="169"/>
      <c r="D1272" s="160"/>
      <c r="E1272" s="161"/>
      <c r="F1272" s="162"/>
      <c r="G1272" s="163"/>
      <c r="H1272" s="164"/>
      <c r="I1272" s="163"/>
      <c r="J1272" s="164"/>
      <c r="K1272" s="163"/>
      <c r="L1272" s="164"/>
      <c r="M1272" s="11"/>
      <c r="N1272" s="39"/>
      <c r="Q1272" s="15" t="str">
        <f>+CONCATENATE(E1270,K1270)</f>
        <v/>
      </c>
      <c r="R1272" s="15">
        <f>+L1270</f>
        <v>0</v>
      </c>
      <c r="S1272" s="16"/>
      <c r="T1272" s="15">
        <f>+E1270</f>
        <v>0</v>
      </c>
      <c r="U1272" s="26" t="str">
        <f>IFERROR(LEFT(K1270,FIND("*",K1270)-1),"-")</f>
        <v>-</v>
      </c>
      <c r="V1272" s="26" t="str">
        <f>IFERROR(RIGHT(K1270,LEN(K1270)-FIND("*",K1270)),"-")</f>
        <v>-</v>
      </c>
      <c r="W1272" s="27" t="str">
        <f t="shared" si="688"/>
        <v>-</v>
      </c>
      <c r="X1272" s="27" t="str">
        <f>IFERROR(W1272*L1270,"-")</f>
        <v>-</v>
      </c>
      <c r="Z1272" s="94" t="s">
        <v>82</v>
      </c>
    </row>
    <row r="1273" spans="1:26" s="25" customFormat="1" ht="6.95" customHeight="1" x14ac:dyDescent="0.3">
      <c r="A1273" s="13"/>
      <c r="B1273" s="168"/>
      <c r="C1273" s="169"/>
      <c r="D1273" s="160" t="s">
        <v>39</v>
      </c>
      <c r="E1273" s="161"/>
      <c r="F1273" s="162" t="s">
        <v>40</v>
      </c>
      <c r="G1273" s="163"/>
      <c r="H1273" s="164"/>
      <c r="I1273" s="163"/>
      <c r="J1273" s="164"/>
      <c r="K1273" s="163"/>
      <c r="L1273" s="164"/>
      <c r="M1273" s="11"/>
      <c r="N1273" s="39"/>
      <c r="Q1273" s="15" t="str">
        <f>+CONCATENATE(E1273,G1273)</f>
        <v/>
      </c>
      <c r="R1273" s="15">
        <f>+H1273</f>
        <v>0</v>
      </c>
      <c r="S1273" s="16"/>
      <c r="T1273" s="15">
        <f>+E1273</f>
        <v>0</v>
      </c>
      <c r="U1273" s="26" t="str">
        <f t="shared" ref="U1273" si="691">IFERROR(LEFT(G1273,FIND("*",G1273)-1),"-")</f>
        <v>-</v>
      </c>
      <c r="V1273" s="26" t="str">
        <f t="shared" ref="V1273" si="692">IFERROR(RIGHT(G1273,LEN(G1273)-FIND("*",G1273)),"-")</f>
        <v>-</v>
      </c>
      <c r="W1273" s="27" t="str">
        <f t="shared" si="688"/>
        <v>-</v>
      </c>
      <c r="X1273" s="27" t="str">
        <f>IFERROR(W1273*H1273,"-")</f>
        <v>-</v>
      </c>
      <c r="Z1273" s="94" t="s">
        <v>82</v>
      </c>
    </row>
    <row r="1274" spans="1:26" s="25" customFormat="1" ht="6.95" customHeight="1" x14ac:dyDescent="0.3">
      <c r="A1274" s="10"/>
      <c r="B1274" s="168"/>
      <c r="C1274" s="169"/>
      <c r="D1274" s="160"/>
      <c r="E1274" s="161"/>
      <c r="F1274" s="162"/>
      <c r="G1274" s="163"/>
      <c r="H1274" s="164"/>
      <c r="I1274" s="163"/>
      <c r="J1274" s="164"/>
      <c r="K1274" s="163"/>
      <c r="L1274" s="164"/>
      <c r="M1274" s="11"/>
      <c r="N1274" s="39"/>
      <c r="Q1274" s="15" t="str">
        <f>+CONCATENATE(E1273,I1273)</f>
        <v/>
      </c>
      <c r="R1274" s="15">
        <f>+J1273</f>
        <v>0</v>
      </c>
      <c r="S1274" s="16"/>
      <c r="T1274" s="15">
        <f>+E1273</f>
        <v>0</v>
      </c>
      <c r="U1274" s="26" t="str">
        <f>IFERROR(LEFT(I1273,FIND("*",I1273)-1),"-")</f>
        <v>-</v>
      </c>
      <c r="V1274" s="26" t="str">
        <f>IFERROR(RIGHT(I1273,LEN(I1273)-FIND("*",I1273)),"-")</f>
        <v>-</v>
      </c>
      <c r="W1274" s="27" t="str">
        <f t="shared" si="688"/>
        <v>-</v>
      </c>
      <c r="X1274" s="27" t="str">
        <f t="shared" ref="X1274" si="693">IFERROR(W1274*J1273,"-")</f>
        <v>-</v>
      </c>
      <c r="Z1274" s="94" t="s">
        <v>82</v>
      </c>
    </row>
    <row r="1275" spans="1:26" s="25" customFormat="1" ht="6.95" customHeight="1" x14ac:dyDescent="0.3">
      <c r="A1275" s="10"/>
      <c r="B1275" s="168"/>
      <c r="C1275" s="169"/>
      <c r="D1275" s="160"/>
      <c r="E1275" s="161"/>
      <c r="F1275" s="162"/>
      <c r="G1275" s="163"/>
      <c r="H1275" s="164"/>
      <c r="I1275" s="163"/>
      <c r="J1275" s="164"/>
      <c r="K1275" s="163"/>
      <c r="L1275" s="164"/>
      <c r="M1275" s="11"/>
      <c r="N1275" s="39"/>
      <c r="Q1275" s="15" t="str">
        <f>+CONCATENATE(E1273,K1273)</f>
        <v/>
      </c>
      <c r="R1275" s="15">
        <f>+L1273</f>
        <v>0</v>
      </c>
      <c r="S1275" s="16"/>
      <c r="T1275" s="15">
        <f>+E1273</f>
        <v>0</v>
      </c>
      <c r="U1275" s="26" t="str">
        <f>IFERROR(LEFT(K1273,FIND("*",K1273)-1),"-")</f>
        <v>-</v>
      </c>
      <c r="V1275" s="26" t="str">
        <f>IFERROR(RIGHT(K1273,LEN(K1273)-FIND("*",K1273)),"-")</f>
        <v>-</v>
      </c>
      <c r="W1275" s="27" t="str">
        <f t="shared" si="688"/>
        <v>-</v>
      </c>
      <c r="X1275" s="27" t="str">
        <f>IFERROR(W1275*L1273,"-")</f>
        <v>-</v>
      </c>
      <c r="Z1275" s="94" t="s">
        <v>82</v>
      </c>
    </row>
    <row r="1276" spans="1:26" s="25" customFormat="1" ht="21" customHeight="1" thickBot="1" x14ac:dyDescent="0.35">
      <c r="A1276" s="10"/>
      <c r="B1276" s="170"/>
      <c r="C1276" s="171"/>
      <c r="D1276" s="172" t="s">
        <v>43</v>
      </c>
      <c r="E1276" s="173"/>
      <c r="F1276" s="173"/>
      <c r="G1276" s="174"/>
      <c r="H1276" s="174"/>
      <c r="I1276" s="174"/>
      <c r="J1276" s="174"/>
      <c r="K1276" s="174"/>
      <c r="L1276" s="174"/>
      <c r="M1276" s="12"/>
      <c r="N1276" s="39"/>
      <c r="U1276" s="23"/>
      <c r="V1276" s="23"/>
      <c r="Z1276" s="95" t="s">
        <v>81</v>
      </c>
    </row>
    <row r="1277" spans="1:26" s="25" customFormat="1" ht="9.9499999999999993" customHeight="1" thickBot="1" x14ac:dyDescent="0.35">
      <c r="A1277" s="6"/>
      <c r="B1277" s="14"/>
      <c r="C1277" s="119"/>
      <c r="D1277" s="58"/>
      <c r="E1277" s="17"/>
      <c r="F1277" s="58"/>
      <c r="G1277" s="19"/>
      <c r="H1277" s="19"/>
      <c r="I1277" s="19"/>
      <c r="J1277" s="19"/>
      <c r="K1277" s="19"/>
      <c r="L1277" s="19"/>
      <c r="M1277" s="14"/>
      <c r="N1277" s="39"/>
      <c r="Q1277" s="1"/>
      <c r="R1277" s="1"/>
      <c r="S1277" s="1"/>
      <c r="T1277" s="1"/>
      <c r="U1277" s="24"/>
      <c r="V1277" s="24"/>
      <c r="W1277" s="1"/>
      <c r="X1277" s="1"/>
      <c r="Z1277" s="94" t="s">
        <v>82</v>
      </c>
    </row>
    <row r="1278" spans="1:26" s="25" customFormat="1" ht="6.95" customHeight="1" x14ac:dyDescent="0.3">
      <c r="A1278" s="165">
        <f>+A1267+1</f>
        <v>117</v>
      </c>
      <c r="B1278" s="166"/>
      <c r="C1278" s="167"/>
      <c r="D1278" s="160" t="s">
        <v>39</v>
      </c>
      <c r="E1278" s="161"/>
      <c r="F1278" s="162" t="s">
        <v>40</v>
      </c>
      <c r="G1278" s="163"/>
      <c r="H1278" s="164"/>
      <c r="I1278" s="163"/>
      <c r="J1278" s="164"/>
      <c r="K1278" s="163"/>
      <c r="L1278" s="164"/>
      <c r="M1278" s="11"/>
      <c r="N1278" s="39"/>
      <c r="Q1278" s="15" t="str">
        <f>+CONCATENATE(E1278,G1278)</f>
        <v/>
      </c>
      <c r="R1278" s="15">
        <f>+H1278</f>
        <v>0</v>
      </c>
      <c r="S1278" s="16"/>
      <c r="T1278" s="15">
        <f>+E1278</f>
        <v>0</v>
      </c>
      <c r="U1278" s="26" t="str">
        <f>IFERROR(LEFT(G1278,FIND("*",G1278)-1),"-")</f>
        <v>-</v>
      </c>
      <c r="V1278" s="26" t="str">
        <f>IFERROR(RIGHT(G1278,LEN(G1278)-FIND("*",G1278)),"-")</f>
        <v>-</v>
      </c>
      <c r="W1278" s="27" t="str">
        <f>IFERROR((U1278+V1278)*2/1000,"-")</f>
        <v>-</v>
      </c>
      <c r="X1278" s="27" t="str">
        <f>IFERROR(W1278*H1278,"-")</f>
        <v>-</v>
      </c>
      <c r="Z1278" s="94" t="s">
        <v>82</v>
      </c>
    </row>
    <row r="1279" spans="1:26" s="25" customFormat="1" ht="6.95" customHeight="1" x14ac:dyDescent="0.3">
      <c r="A1279" s="165"/>
      <c r="B1279" s="168"/>
      <c r="C1279" s="169"/>
      <c r="D1279" s="160"/>
      <c r="E1279" s="161"/>
      <c r="F1279" s="162"/>
      <c r="G1279" s="163"/>
      <c r="H1279" s="164"/>
      <c r="I1279" s="163"/>
      <c r="J1279" s="164"/>
      <c r="K1279" s="163"/>
      <c r="L1279" s="164"/>
      <c r="M1279" s="11"/>
      <c r="N1279" s="39"/>
      <c r="Q1279" s="15" t="str">
        <f>+CONCATENATE(E1278,I1278)</f>
        <v/>
      </c>
      <c r="R1279" s="15">
        <f>+J1278</f>
        <v>0</v>
      </c>
      <c r="S1279" s="16"/>
      <c r="T1279" s="15">
        <f>+E1278</f>
        <v>0</v>
      </c>
      <c r="U1279" s="26" t="str">
        <f>IFERROR(LEFT(I1278,FIND("*",I1278)-1),"-")</f>
        <v>-</v>
      </c>
      <c r="V1279" s="26" t="str">
        <f>IFERROR(RIGHT(I1278,LEN(I1278)-FIND("*",I1278)),"-")</f>
        <v>-</v>
      </c>
      <c r="W1279" s="27" t="str">
        <f t="shared" ref="W1279:W1286" si="694">IFERROR((U1279+V1279)*2/1000,"-")</f>
        <v>-</v>
      </c>
      <c r="X1279" s="27" t="str">
        <f>IFERROR(W1279*J1278,"-")</f>
        <v>-</v>
      </c>
      <c r="Z1279" s="94" t="s">
        <v>82</v>
      </c>
    </row>
    <row r="1280" spans="1:26" s="25" customFormat="1" ht="6.95" customHeight="1" x14ac:dyDescent="0.3">
      <c r="A1280" s="165"/>
      <c r="B1280" s="168"/>
      <c r="C1280" s="169"/>
      <c r="D1280" s="160"/>
      <c r="E1280" s="161"/>
      <c r="F1280" s="162"/>
      <c r="G1280" s="163"/>
      <c r="H1280" s="164"/>
      <c r="I1280" s="163"/>
      <c r="J1280" s="164"/>
      <c r="K1280" s="163"/>
      <c r="L1280" s="164"/>
      <c r="M1280" s="11"/>
      <c r="N1280" s="39"/>
      <c r="Q1280" s="15" t="str">
        <f>+CONCATENATE(E1278,K1278)</f>
        <v/>
      </c>
      <c r="R1280" s="15">
        <f>+L1278</f>
        <v>0</v>
      </c>
      <c r="S1280" s="16"/>
      <c r="T1280" s="15">
        <f>+E1278</f>
        <v>0</v>
      </c>
      <c r="U1280" s="26" t="str">
        <f>IFERROR(LEFT(K1278,FIND("*",K1278)-1),"-")</f>
        <v>-</v>
      </c>
      <c r="V1280" s="26" t="str">
        <f>IFERROR(RIGHT(K1278,LEN(K1278)-FIND("*",K1278)),"-")</f>
        <v>-</v>
      </c>
      <c r="W1280" s="27" t="str">
        <f t="shared" si="694"/>
        <v>-</v>
      </c>
      <c r="X1280" s="27" t="str">
        <f>IFERROR(W1280*L1278,"-")</f>
        <v>-</v>
      </c>
      <c r="Z1280" s="94" t="s">
        <v>82</v>
      </c>
    </row>
    <row r="1281" spans="1:26" s="25" customFormat="1" ht="6.95" customHeight="1" x14ac:dyDescent="0.3">
      <c r="A1281" s="13"/>
      <c r="B1281" s="168"/>
      <c r="C1281" s="169"/>
      <c r="D1281" s="160" t="s">
        <v>39</v>
      </c>
      <c r="E1281" s="161"/>
      <c r="F1281" s="162" t="s">
        <v>40</v>
      </c>
      <c r="G1281" s="163"/>
      <c r="H1281" s="164"/>
      <c r="I1281" s="163"/>
      <c r="J1281" s="164"/>
      <c r="K1281" s="163"/>
      <c r="L1281" s="164"/>
      <c r="M1281" s="11"/>
      <c r="N1281" s="39"/>
      <c r="Q1281" s="15" t="str">
        <f>+CONCATENATE(E1281,G1281)</f>
        <v/>
      </c>
      <c r="R1281" s="15">
        <f>+H1281</f>
        <v>0</v>
      </c>
      <c r="S1281" s="16"/>
      <c r="T1281" s="15">
        <f>+E1281</f>
        <v>0</v>
      </c>
      <c r="U1281" s="26" t="str">
        <f t="shared" ref="U1281" si="695">IFERROR(LEFT(G1281,FIND("*",G1281)-1),"-")</f>
        <v>-</v>
      </c>
      <c r="V1281" s="26" t="str">
        <f t="shared" ref="V1281" si="696">IFERROR(RIGHT(G1281,LEN(G1281)-FIND("*",G1281)),"-")</f>
        <v>-</v>
      </c>
      <c r="W1281" s="27" t="str">
        <f t="shared" si="694"/>
        <v>-</v>
      </c>
      <c r="X1281" s="27" t="str">
        <f>IFERROR(W1281*H1281,"-")</f>
        <v>-</v>
      </c>
      <c r="Z1281" s="94" t="s">
        <v>82</v>
      </c>
    </row>
    <row r="1282" spans="1:26" s="25" customFormat="1" ht="6.95" customHeight="1" x14ac:dyDescent="0.3">
      <c r="A1282" s="10"/>
      <c r="B1282" s="168"/>
      <c r="C1282" s="169"/>
      <c r="D1282" s="160"/>
      <c r="E1282" s="161"/>
      <c r="F1282" s="162"/>
      <c r="G1282" s="163"/>
      <c r="H1282" s="164"/>
      <c r="I1282" s="163"/>
      <c r="J1282" s="164"/>
      <c r="K1282" s="163"/>
      <c r="L1282" s="164"/>
      <c r="M1282" s="11"/>
      <c r="N1282" s="39"/>
      <c r="Q1282" s="15" t="str">
        <f>+CONCATENATE(E1281,I1281)</f>
        <v/>
      </c>
      <c r="R1282" s="15">
        <f>+J1281</f>
        <v>0</v>
      </c>
      <c r="S1282" s="16"/>
      <c r="T1282" s="15">
        <f>+E1281</f>
        <v>0</v>
      </c>
      <c r="U1282" s="26" t="str">
        <f>IFERROR(LEFT(I1281,FIND("*",I1281)-1),"-")</f>
        <v>-</v>
      </c>
      <c r="V1282" s="26" t="str">
        <f>IFERROR(RIGHT(I1281,LEN(I1281)-FIND("*",I1281)),"-")</f>
        <v>-</v>
      </c>
      <c r="W1282" s="27" t="str">
        <f t="shared" si="694"/>
        <v>-</v>
      </c>
      <c r="X1282" s="27" t="str">
        <f>IFERROR(W1282*J1281,"-")</f>
        <v>-</v>
      </c>
      <c r="Z1282" s="94" t="s">
        <v>82</v>
      </c>
    </row>
    <row r="1283" spans="1:26" s="25" customFormat="1" ht="6.95" customHeight="1" x14ac:dyDescent="0.3">
      <c r="A1283" s="10"/>
      <c r="B1283" s="168"/>
      <c r="C1283" s="169"/>
      <c r="D1283" s="160"/>
      <c r="E1283" s="161"/>
      <c r="F1283" s="162"/>
      <c r="G1283" s="163"/>
      <c r="H1283" s="164"/>
      <c r="I1283" s="163"/>
      <c r="J1283" s="164"/>
      <c r="K1283" s="163"/>
      <c r="L1283" s="164"/>
      <c r="M1283" s="11"/>
      <c r="N1283" s="39"/>
      <c r="Q1283" s="15" t="str">
        <f>+CONCATENATE(E1281,K1281)</f>
        <v/>
      </c>
      <c r="R1283" s="15">
        <f>+L1281</f>
        <v>0</v>
      </c>
      <c r="S1283" s="16"/>
      <c r="T1283" s="15">
        <f>+E1281</f>
        <v>0</v>
      </c>
      <c r="U1283" s="26" t="str">
        <f>IFERROR(LEFT(K1281,FIND("*",K1281)-1),"-")</f>
        <v>-</v>
      </c>
      <c r="V1283" s="26" t="str">
        <f>IFERROR(RIGHT(K1281,LEN(K1281)-FIND("*",K1281)),"-")</f>
        <v>-</v>
      </c>
      <c r="W1283" s="27" t="str">
        <f t="shared" si="694"/>
        <v>-</v>
      </c>
      <c r="X1283" s="27" t="str">
        <f>IFERROR(W1283*L1281,"-")</f>
        <v>-</v>
      </c>
      <c r="Z1283" s="94" t="s">
        <v>82</v>
      </c>
    </row>
    <row r="1284" spans="1:26" s="25" customFormat="1" ht="6.95" customHeight="1" x14ac:dyDescent="0.3">
      <c r="A1284" s="13"/>
      <c r="B1284" s="168"/>
      <c r="C1284" s="169"/>
      <c r="D1284" s="160" t="s">
        <v>39</v>
      </c>
      <c r="E1284" s="161"/>
      <c r="F1284" s="162" t="s">
        <v>40</v>
      </c>
      <c r="G1284" s="163"/>
      <c r="H1284" s="164"/>
      <c r="I1284" s="163"/>
      <c r="J1284" s="164"/>
      <c r="K1284" s="163"/>
      <c r="L1284" s="164"/>
      <c r="M1284" s="11"/>
      <c r="N1284" s="39"/>
      <c r="Q1284" s="15" t="str">
        <f>+CONCATENATE(E1284,G1284)</f>
        <v/>
      </c>
      <c r="R1284" s="15">
        <f>+H1284</f>
        <v>0</v>
      </c>
      <c r="S1284" s="16"/>
      <c r="T1284" s="15">
        <f>+E1284</f>
        <v>0</v>
      </c>
      <c r="U1284" s="26" t="str">
        <f t="shared" ref="U1284" si="697">IFERROR(LEFT(G1284,FIND("*",G1284)-1),"-")</f>
        <v>-</v>
      </c>
      <c r="V1284" s="26" t="str">
        <f t="shared" ref="V1284" si="698">IFERROR(RIGHT(G1284,LEN(G1284)-FIND("*",G1284)),"-")</f>
        <v>-</v>
      </c>
      <c r="W1284" s="27" t="str">
        <f t="shared" si="694"/>
        <v>-</v>
      </c>
      <c r="X1284" s="27" t="str">
        <f>IFERROR(W1284*H1284,"-")</f>
        <v>-</v>
      </c>
      <c r="Z1284" s="94" t="s">
        <v>82</v>
      </c>
    </row>
    <row r="1285" spans="1:26" s="25" customFormat="1" ht="6.95" customHeight="1" x14ac:dyDescent="0.3">
      <c r="A1285" s="10"/>
      <c r="B1285" s="168"/>
      <c r="C1285" s="169"/>
      <c r="D1285" s="160"/>
      <c r="E1285" s="161"/>
      <c r="F1285" s="162"/>
      <c r="G1285" s="163"/>
      <c r="H1285" s="164"/>
      <c r="I1285" s="163"/>
      <c r="J1285" s="164"/>
      <c r="K1285" s="163"/>
      <c r="L1285" s="164"/>
      <c r="M1285" s="11"/>
      <c r="N1285" s="39"/>
      <c r="Q1285" s="15" t="str">
        <f>+CONCATENATE(E1284,I1284)</f>
        <v/>
      </c>
      <c r="R1285" s="15">
        <f>+J1284</f>
        <v>0</v>
      </c>
      <c r="S1285" s="16"/>
      <c r="T1285" s="15">
        <f>+E1284</f>
        <v>0</v>
      </c>
      <c r="U1285" s="26" t="str">
        <f>IFERROR(LEFT(I1284,FIND("*",I1284)-1),"-")</f>
        <v>-</v>
      </c>
      <c r="V1285" s="26" t="str">
        <f>IFERROR(RIGHT(I1284,LEN(I1284)-FIND("*",I1284)),"-")</f>
        <v>-</v>
      </c>
      <c r="W1285" s="27" t="str">
        <f t="shared" si="694"/>
        <v>-</v>
      </c>
      <c r="X1285" s="27" t="str">
        <f t="shared" ref="X1285" si="699">IFERROR(W1285*J1284,"-")</f>
        <v>-</v>
      </c>
      <c r="Z1285" s="94" t="s">
        <v>82</v>
      </c>
    </row>
    <row r="1286" spans="1:26" s="25" customFormat="1" ht="6.95" customHeight="1" x14ac:dyDescent="0.3">
      <c r="A1286" s="10"/>
      <c r="B1286" s="168"/>
      <c r="C1286" s="169"/>
      <c r="D1286" s="160"/>
      <c r="E1286" s="161"/>
      <c r="F1286" s="162"/>
      <c r="G1286" s="163"/>
      <c r="H1286" s="164"/>
      <c r="I1286" s="163"/>
      <c r="J1286" s="164"/>
      <c r="K1286" s="163"/>
      <c r="L1286" s="164"/>
      <c r="M1286" s="11"/>
      <c r="N1286" s="39"/>
      <c r="Q1286" s="15" t="str">
        <f>+CONCATENATE(E1284,K1284)</f>
        <v/>
      </c>
      <c r="R1286" s="15">
        <f>+L1284</f>
        <v>0</v>
      </c>
      <c r="S1286" s="16"/>
      <c r="T1286" s="15">
        <f>+E1284</f>
        <v>0</v>
      </c>
      <c r="U1286" s="26" t="str">
        <f>IFERROR(LEFT(K1284,FIND("*",K1284)-1),"-")</f>
        <v>-</v>
      </c>
      <c r="V1286" s="26" t="str">
        <f>IFERROR(RIGHT(K1284,LEN(K1284)-FIND("*",K1284)),"-")</f>
        <v>-</v>
      </c>
      <c r="W1286" s="27" t="str">
        <f t="shared" si="694"/>
        <v>-</v>
      </c>
      <c r="X1286" s="27" t="str">
        <f>IFERROR(W1286*L1284,"-")</f>
        <v>-</v>
      </c>
      <c r="Z1286" s="94" t="s">
        <v>82</v>
      </c>
    </row>
    <row r="1287" spans="1:26" s="25" customFormat="1" ht="21" customHeight="1" thickBot="1" x14ac:dyDescent="0.35">
      <c r="A1287" s="10"/>
      <c r="B1287" s="170"/>
      <c r="C1287" s="171"/>
      <c r="D1287" s="172" t="s">
        <v>43</v>
      </c>
      <c r="E1287" s="173"/>
      <c r="F1287" s="173"/>
      <c r="G1287" s="174"/>
      <c r="H1287" s="174"/>
      <c r="I1287" s="174"/>
      <c r="J1287" s="174"/>
      <c r="K1287" s="174"/>
      <c r="L1287" s="174"/>
      <c r="M1287" s="12"/>
      <c r="N1287" s="39"/>
      <c r="U1287" s="23"/>
      <c r="V1287" s="23"/>
      <c r="Z1287" s="95" t="s">
        <v>81</v>
      </c>
    </row>
    <row r="1288" spans="1:26" s="25" customFormat="1" ht="9.9499999999999993" customHeight="1" thickBot="1" x14ac:dyDescent="0.35">
      <c r="A1288" s="6"/>
      <c r="B1288" s="14"/>
      <c r="C1288" s="119"/>
      <c r="D1288" s="58"/>
      <c r="E1288" s="17"/>
      <c r="F1288" s="58"/>
      <c r="G1288" s="19"/>
      <c r="H1288" s="19"/>
      <c r="I1288" s="19"/>
      <c r="J1288" s="19"/>
      <c r="K1288" s="19"/>
      <c r="L1288" s="19"/>
      <c r="M1288" s="14"/>
      <c r="N1288" s="39"/>
      <c r="Q1288" s="1"/>
      <c r="R1288" s="1"/>
      <c r="S1288" s="1"/>
      <c r="T1288" s="1"/>
      <c r="U1288" s="24"/>
      <c r="V1288" s="24"/>
      <c r="W1288" s="1"/>
      <c r="X1288" s="1"/>
      <c r="Z1288" s="94" t="s">
        <v>82</v>
      </c>
    </row>
    <row r="1289" spans="1:26" s="25" customFormat="1" ht="6.95" customHeight="1" x14ac:dyDescent="0.3">
      <c r="A1289" s="165">
        <f>+A1278+1</f>
        <v>118</v>
      </c>
      <c r="B1289" s="166"/>
      <c r="C1289" s="167"/>
      <c r="D1289" s="160" t="s">
        <v>39</v>
      </c>
      <c r="E1289" s="161"/>
      <c r="F1289" s="162" t="s">
        <v>40</v>
      </c>
      <c r="G1289" s="163"/>
      <c r="H1289" s="164"/>
      <c r="I1289" s="163"/>
      <c r="J1289" s="164"/>
      <c r="K1289" s="163"/>
      <c r="L1289" s="164"/>
      <c r="M1289" s="11"/>
      <c r="N1289" s="39"/>
      <c r="Q1289" s="15" t="str">
        <f>+CONCATENATE(E1289,G1289)</f>
        <v/>
      </c>
      <c r="R1289" s="15">
        <f>+H1289</f>
        <v>0</v>
      </c>
      <c r="S1289" s="16"/>
      <c r="T1289" s="15">
        <f>+E1289</f>
        <v>0</v>
      </c>
      <c r="U1289" s="26" t="str">
        <f>IFERROR(LEFT(G1289,FIND("*",G1289)-1),"-")</f>
        <v>-</v>
      </c>
      <c r="V1289" s="26" t="str">
        <f>IFERROR(RIGHT(G1289,LEN(G1289)-FIND("*",G1289)),"-")</f>
        <v>-</v>
      </c>
      <c r="W1289" s="27" t="str">
        <f>IFERROR((U1289+V1289)*2/1000,"-")</f>
        <v>-</v>
      </c>
      <c r="X1289" s="27" t="str">
        <f>IFERROR(W1289*H1289,"-")</f>
        <v>-</v>
      </c>
      <c r="Z1289" s="94" t="s">
        <v>82</v>
      </c>
    </row>
    <row r="1290" spans="1:26" s="25" customFormat="1" ht="6.95" customHeight="1" x14ac:dyDescent="0.3">
      <c r="A1290" s="165"/>
      <c r="B1290" s="168"/>
      <c r="C1290" s="169"/>
      <c r="D1290" s="160"/>
      <c r="E1290" s="161"/>
      <c r="F1290" s="162"/>
      <c r="G1290" s="163"/>
      <c r="H1290" s="164"/>
      <c r="I1290" s="163"/>
      <c r="J1290" s="164"/>
      <c r="K1290" s="163"/>
      <c r="L1290" s="164"/>
      <c r="M1290" s="11"/>
      <c r="N1290" s="39"/>
      <c r="Q1290" s="15" t="str">
        <f>+CONCATENATE(E1289,I1289)</f>
        <v/>
      </c>
      <c r="R1290" s="15">
        <f>+J1289</f>
        <v>0</v>
      </c>
      <c r="S1290" s="16"/>
      <c r="T1290" s="15">
        <f>+E1289</f>
        <v>0</v>
      </c>
      <c r="U1290" s="26" t="str">
        <f>IFERROR(LEFT(I1289,FIND("*",I1289)-1),"-")</f>
        <v>-</v>
      </c>
      <c r="V1290" s="26" t="str">
        <f>IFERROR(RIGHT(I1289,LEN(I1289)-FIND("*",I1289)),"-")</f>
        <v>-</v>
      </c>
      <c r="W1290" s="27" t="str">
        <f t="shared" ref="W1290:W1297" si="700">IFERROR((U1290+V1290)*2/1000,"-")</f>
        <v>-</v>
      </c>
      <c r="X1290" s="27" t="str">
        <f>IFERROR(W1290*J1289,"-")</f>
        <v>-</v>
      </c>
      <c r="Z1290" s="94" t="s">
        <v>82</v>
      </c>
    </row>
    <row r="1291" spans="1:26" s="25" customFormat="1" ht="6.95" customHeight="1" x14ac:dyDescent="0.3">
      <c r="A1291" s="165"/>
      <c r="B1291" s="168"/>
      <c r="C1291" s="169"/>
      <c r="D1291" s="160"/>
      <c r="E1291" s="161"/>
      <c r="F1291" s="162"/>
      <c r="G1291" s="163"/>
      <c r="H1291" s="164"/>
      <c r="I1291" s="163"/>
      <c r="J1291" s="164"/>
      <c r="K1291" s="163"/>
      <c r="L1291" s="164"/>
      <c r="M1291" s="11"/>
      <c r="N1291" s="39"/>
      <c r="Q1291" s="15" t="str">
        <f>+CONCATENATE(E1289,K1289)</f>
        <v/>
      </c>
      <c r="R1291" s="15">
        <f>+L1289</f>
        <v>0</v>
      </c>
      <c r="S1291" s="16"/>
      <c r="T1291" s="15">
        <f>+E1289</f>
        <v>0</v>
      </c>
      <c r="U1291" s="26" t="str">
        <f>IFERROR(LEFT(K1289,FIND("*",K1289)-1),"-")</f>
        <v>-</v>
      </c>
      <c r="V1291" s="26" t="str">
        <f>IFERROR(RIGHT(K1289,LEN(K1289)-FIND("*",K1289)),"-")</f>
        <v>-</v>
      </c>
      <c r="W1291" s="27" t="str">
        <f t="shared" si="700"/>
        <v>-</v>
      </c>
      <c r="X1291" s="27" t="str">
        <f>IFERROR(W1291*L1289,"-")</f>
        <v>-</v>
      </c>
      <c r="Z1291" s="94" t="s">
        <v>82</v>
      </c>
    </row>
    <row r="1292" spans="1:26" s="25" customFormat="1" ht="6.95" customHeight="1" x14ac:dyDescent="0.3">
      <c r="A1292" s="13"/>
      <c r="B1292" s="168"/>
      <c r="C1292" s="169"/>
      <c r="D1292" s="160" t="s">
        <v>39</v>
      </c>
      <c r="E1292" s="161"/>
      <c r="F1292" s="162" t="s">
        <v>40</v>
      </c>
      <c r="G1292" s="163"/>
      <c r="H1292" s="164"/>
      <c r="I1292" s="163"/>
      <c r="J1292" s="164"/>
      <c r="K1292" s="163"/>
      <c r="L1292" s="164"/>
      <c r="M1292" s="11"/>
      <c r="N1292" s="39"/>
      <c r="Q1292" s="15" t="str">
        <f>+CONCATENATE(E1292,G1292)</f>
        <v/>
      </c>
      <c r="R1292" s="15">
        <f>+H1292</f>
        <v>0</v>
      </c>
      <c r="S1292" s="16"/>
      <c r="T1292" s="15">
        <f>+E1292</f>
        <v>0</v>
      </c>
      <c r="U1292" s="26" t="str">
        <f t="shared" ref="U1292" si="701">IFERROR(LEFT(G1292,FIND("*",G1292)-1),"-")</f>
        <v>-</v>
      </c>
      <c r="V1292" s="26" t="str">
        <f t="shared" ref="V1292" si="702">IFERROR(RIGHT(G1292,LEN(G1292)-FIND("*",G1292)),"-")</f>
        <v>-</v>
      </c>
      <c r="W1292" s="27" t="str">
        <f t="shared" si="700"/>
        <v>-</v>
      </c>
      <c r="X1292" s="27" t="str">
        <f>IFERROR(W1292*H1292,"-")</f>
        <v>-</v>
      </c>
      <c r="Z1292" s="94" t="s">
        <v>82</v>
      </c>
    </row>
    <row r="1293" spans="1:26" s="25" customFormat="1" ht="6.95" customHeight="1" x14ac:dyDescent="0.3">
      <c r="A1293" s="10"/>
      <c r="B1293" s="168"/>
      <c r="C1293" s="169"/>
      <c r="D1293" s="160"/>
      <c r="E1293" s="161"/>
      <c r="F1293" s="162"/>
      <c r="G1293" s="163"/>
      <c r="H1293" s="164"/>
      <c r="I1293" s="163"/>
      <c r="J1293" s="164"/>
      <c r="K1293" s="163"/>
      <c r="L1293" s="164"/>
      <c r="M1293" s="11"/>
      <c r="N1293" s="39"/>
      <c r="Q1293" s="15" t="str">
        <f>+CONCATENATE(E1292,I1292)</f>
        <v/>
      </c>
      <c r="R1293" s="15">
        <f>+J1292</f>
        <v>0</v>
      </c>
      <c r="S1293" s="16"/>
      <c r="T1293" s="15">
        <f>+E1292</f>
        <v>0</v>
      </c>
      <c r="U1293" s="26" t="str">
        <f>IFERROR(LEFT(I1292,FIND("*",I1292)-1),"-")</f>
        <v>-</v>
      </c>
      <c r="V1293" s="26" t="str">
        <f>IFERROR(RIGHT(I1292,LEN(I1292)-FIND("*",I1292)),"-")</f>
        <v>-</v>
      </c>
      <c r="W1293" s="27" t="str">
        <f t="shared" si="700"/>
        <v>-</v>
      </c>
      <c r="X1293" s="27" t="str">
        <f>IFERROR(W1293*J1292,"-")</f>
        <v>-</v>
      </c>
      <c r="Z1293" s="94" t="s">
        <v>82</v>
      </c>
    </row>
    <row r="1294" spans="1:26" s="25" customFormat="1" ht="6.95" customHeight="1" x14ac:dyDescent="0.3">
      <c r="A1294" s="10"/>
      <c r="B1294" s="168"/>
      <c r="C1294" s="169"/>
      <c r="D1294" s="160"/>
      <c r="E1294" s="161"/>
      <c r="F1294" s="162"/>
      <c r="G1294" s="163"/>
      <c r="H1294" s="164"/>
      <c r="I1294" s="163"/>
      <c r="J1294" s="164"/>
      <c r="K1294" s="163"/>
      <c r="L1294" s="164"/>
      <c r="M1294" s="11"/>
      <c r="N1294" s="39"/>
      <c r="Q1294" s="15" t="str">
        <f>+CONCATENATE(E1292,K1292)</f>
        <v/>
      </c>
      <c r="R1294" s="15">
        <f>+L1292</f>
        <v>0</v>
      </c>
      <c r="S1294" s="16"/>
      <c r="T1294" s="15">
        <f>+E1292</f>
        <v>0</v>
      </c>
      <c r="U1294" s="26" t="str">
        <f>IFERROR(LEFT(K1292,FIND("*",K1292)-1),"-")</f>
        <v>-</v>
      </c>
      <c r="V1294" s="26" t="str">
        <f>IFERROR(RIGHT(K1292,LEN(K1292)-FIND("*",K1292)),"-")</f>
        <v>-</v>
      </c>
      <c r="W1294" s="27" t="str">
        <f t="shared" si="700"/>
        <v>-</v>
      </c>
      <c r="X1294" s="27" t="str">
        <f>IFERROR(W1294*L1292,"-")</f>
        <v>-</v>
      </c>
      <c r="Z1294" s="94" t="s">
        <v>82</v>
      </c>
    </row>
    <row r="1295" spans="1:26" s="25" customFormat="1" ht="6.95" customHeight="1" x14ac:dyDescent="0.3">
      <c r="A1295" s="13"/>
      <c r="B1295" s="168"/>
      <c r="C1295" s="169"/>
      <c r="D1295" s="160" t="s">
        <v>39</v>
      </c>
      <c r="E1295" s="161"/>
      <c r="F1295" s="162" t="s">
        <v>40</v>
      </c>
      <c r="G1295" s="163"/>
      <c r="H1295" s="164"/>
      <c r="I1295" s="163"/>
      <c r="J1295" s="164"/>
      <c r="K1295" s="163"/>
      <c r="L1295" s="164"/>
      <c r="M1295" s="11"/>
      <c r="N1295" s="39"/>
      <c r="Q1295" s="15" t="str">
        <f>+CONCATENATE(E1295,G1295)</f>
        <v/>
      </c>
      <c r="R1295" s="15">
        <f>+H1295</f>
        <v>0</v>
      </c>
      <c r="S1295" s="16"/>
      <c r="T1295" s="15">
        <f>+E1295</f>
        <v>0</v>
      </c>
      <c r="U1295" s="26" t="str">
        <f t="shared" ref="U1295" si="703">IFERROR(LEFT(G1295,FIND("*",G1295)-1),"-")</f>
        <v>-</v>
      </c>
      <c r="V1295" s="26" t="str">
        <f t="shared" ref="V1295" si="704">IFERROR(RIGHT(G1295,LEN(G1295)-FIND("*",G1295)),"-")</f>
        <v>-</v>
      </c>
      <c r="W1295" s="27" t="str">
        <f t="shared" si="700"/>
        <v>-</v>
      </c>
      <c r="X1295" s="27" t="str">
        <f>IFERROR(W1295*H1295,"-")</f>
        <v>-</v>
      </c>
      <c r="Z1295" s="94" t="s">
        <v>82</v>
      </c>
    </row>
    <row r="1296" spans="1:26" s="25" customFormat="1" ht="6.95" customHeight="1" x14ac:dyDescent="0.3">
      <c r="A1296" s="10"/>
      <c r="B1296" s="168"/>
      <c r="C1296" s="169"/>
      <c r="D1296" s="160"/>
      <c r="E1296" s="161"/>
      <c r="F1296" s="162"/>
      <c r="G1296" s="163"/>
      <c r="H1296" s="164"/>
      <c r="I1296" s="163"/>
      <c r="J1296" s="164"/>
      <c r="K1296" s="163"/>
      <c r="L1296" s="164"/>
      <c r="M1296" s="11"/>
      <c r="N1296" s="39"/>
      <c r="Q1296" s="15" t="str">
        <f>+CONCATENATE(E1295,I1295)</f>
        <v/>
      </c>
      <c r="R1296" s="15">
        <f>+J1295</f>
        <v>0</v>
      </c>
      <c r="S1296" s="16"/>
      <c r="T1296" s="15">
        <f>+E1295</f>
        <v>0</v>
      </c>
      <c r="U1296" s="26" t="str">
        <f>IFERROR(LEFT(I1295,FIND("*",I1295)-1),"-")</f>
        <v>-</v>
      </c>
      <c r="V1296" s="26" t="str">
        <f>IFERROR(RIGHT(I1295,LEN(I1295)-FIND("*",I1295)),"-")</f>
        <v>-</v>
      </c>
      <c r="W1296" s="27" t="str">
        <f t="shared" si="700"/>
        <v>-</v>
      </c>
      <c r="X1296" s="27" t="str">
        <f t="shared" ref="X1296" si="705">IFERROR(W1296*J1295,"-")</f>
        <v>-</v>
      </c>
      <c r="Z1296" s="94" t="s">
        <v>82</v>
      </c>
    </row>
    <row r="1297" spans="1:26" s="25" customFormat="1" ht="6.95" customHeight="1" x14ac:dyDescent="0.3">
      <c r="A1297" s="10"/>
      <c r="B1297" s="168"/>
      <c r="C1297" s="169"/>
      <c r="D1297" s="160"/>
      <c r="E1297" s="161"/>
      <c r="F1297" s="162"/>
      <c r="G1297" s="163"/>
      <c r="H1297" s="164"/>
      <c r="I1297" s="163"/>
      <c r="J1297" s="164"/>
      <c r="K1297" s="163"/>
      <c r="L1297" s="164"/>
      <c r="M1297" s="11"/>
      <c r="N1297" s="39"/>
      <c r="Q1297" s="15" t="str">
        <f>+CONCATENATE(E1295,K1295)</f>
        <v/>
      </c>
      <c r="R1297" s="15">
        <f>+L1295</f>
        <v>0</v>
      </c>
      <c r="S1297" s="16"/>
      <c r="T1297" s="15">
        <f>+E1295</f>
        <v>0</v>
      </c>
      <c r="U1297" s="26" t="str">
        <f>IFERROR(LEFT(K1295,FIND("*",K1295)-1),"-")</f>
        <v>-</v>
      </c>
      <c r="V1297" s="26" t="str">
        <f>IFERROR(RIGHT(K1295,LEN(K1295)-FIND("*",K1295)),"-")</f>
        <v>-</v>
      </c>
      <c r="W1297" s="27" t="str">
        <f t="shared" si="700"/>
        <v>-</v>
      </c>
      <c r="X1297" s="27" t="str">
        <f>IFERROR(W1297*L1295,"-")</f>
        <v>-</v>
      </c>
      <c r="Z1297" s="94" t="s">
        <v>82</v>
      </c>
    </row>
    <row r="1298" spans="1:26" s="25" customFormat="1" ht="21" customHeight="1" thickBot="1" x14ac:dyDescent="0.35">
      <c r="A1298" s="10"/>
      <c r="B1298" s="170"/>
      <c r="C1298" s="171"/>
      <c r="D1298" s="172" t="s">
        <v>43</v>
      </c>
      <c r="E1298" s="173"/>
      <c r="F1298" s="173"/>
      <c r="G1298" s="174"/>
      <c r="H1298" s="174"/>
      <c r="I1298" s="174"/>
      <c r="J1298" s="174"/>
      <c r="K1298" s="174"/>
      <c r="L1298" s="174"/>
      <c r="M1298" s="12"/>
      <c r="N1298" s="39"/>
      <c r="U1298" s="23"/>
      <c r="V1298" s="23"/>
      <c r="Z1298" s="95" t="s">
        <v>81</v>
      </c>
    </row>
    <row r="1299" spans="1:26" s="25" customFormat="1" ht="9.9499999999999993" customHeight="1" thickBot="1" x14ac:dyDescent="0.35">
      <c r="A1299" s="6"/>
      <c r="B1299" s="14"/>
      <c r="C1299" s="119"/>
      <c r="D1299" s="58"/>
      <c r="E1299" s="17"/>
      <c r="F1299" s="58"/>
      <c r="G1299" s="19"/>
      <c r="H1299" s="19"/>
      <c r="I1299" s="19"/>
      <c r="J1299" s="19"/>
      <c r="K1299" s="19"/>
      <c r="L1299" s="19"/>
      <c r="M1299" s="14"/>
      <c r="N1299" s="39"/>
      <c r="Q1299" s="1"/>
      <c r="R1299" s="1"/>
      <c r="S1299" s="1"/>
      <c r="T1299" s="1"/>
      <c r="U1299" s="24"/>
      <c r="V1299" s="24"/>
      <c r="W1299" s="1"/>
      <c r="X1299" s="1"/>
      <c r="Z1299" s="94" t="s">
        <v>82</v>
      </c>
    </row>
    <row r="1300" spans="1:26" s="25" customFormat="1" ht="6.95" customHeight="1" x14ac:dyDescent="0.3">
      <c r="A1300" s="165">
        <f>+A1289+1</f>
        <v>119</v>
      </c>
      <c r="B1300" s="166"/>
      <c r="C1300" s="167"/>
      <c r="D1300" s="160" t="s">
        <v>39</v>
      </c>
      <c r="E1300" s="161"/>
      <c r="F1300" s="162" t="s">
        <v>40</v>
      </c>
      <c r="G1300" s="163"/>
      <c r="H1300" s="164"/>
      <c r="I1300" s="163"/>
      <c r="J1300" s="164"/>
      <c r="K1300" s="163"/>
      <c r="L1300" s="164"/>
      <c r="M1300" s="11"/>
      <c r="N1300" s="39"/>
      <c r="Q1300" s="15" t="str">
        <f>+CONCATENATE(E1300,G1300)</f>
        <v/>
      </c>
      <c r="R1300" s="15">
        <f>+H1300</f>
        <v>0</v>
      </c>
      <c r="S1300" s="16"/>
      <c r="T1300" s="15">
        <f>+E1300</f>
        <v>0</v>
      </c>
      <c r="U1300" s="26" t="str">
        <f>IFERROR(LEFT(G1300,FIND("*",G1300)-1),"-")</f>
        <v>-</v>
      </c>
      <c r="V1300" s="26" t="str">
        <f>IFERROR(RIGHT(G1300,LEN(G1300)-FIND("*",G1300)),"-")</f>
        <v>-</v>
      </c>
      <c r="W1300" s="27" t="str">
        <f>IFERROR((U1300+V1300)*2/1000,"-")</f>
        <v>-</v>
      </c>
      <c r="X1300" s="27" t="str">
        <f>IFERROR(W1300*H1300,"-")</f>
        <v>-</v>
      </c>
      <c r="Z1300" s="94" t="s">
        <v>82</v>
      </c>
    </row>
    <row r="1301" spans="1:26" s="25" customFormat="1" ht="6.95" customHeight="1" x14ac:dyDescent="0.3">
      <c r="A1301" s="165"/>
      <c r="B1301" s="168"/>
      <c r="C1301" s="169"/>
      <c r="D1301" s="160"/>
      <c r="E1301" s="161"/>
      <c r="F1301" s="162"/>
      <c r="G1301" s="163"/>
      <c r="H1301" s="164"/>
      <c r="I1301" s="163"/>
      <c r="J1301" s="164"/>
      <c r="K1301" s="163"/>
      <c r="L1301" s="164"/>
      <c r="M1301" s="11"/>
      <c r="N1301" s="39"/>
      <c r="Q1301" s="15" t="str">
        <f>+CONCATENATE(E1300,I1300)</f>
        <v/>
      </c>
      <c r="R1301" s="15">
        <f>+J1300</f>
        <v>0</v>
      </c>
      <c r="S1301" s="16"/>
      <c r="T1301" s="15">
        <f>+E1300</f>
        <v>0</v>
      </c>
      <c r="U1301" s="26" t="str">
        <f>IFERROR(LEFT(I1300,FIND("*",I1300)-1),"-")</f>
        <v>-</v>
      </c>
      <c r="V1301" s="26" t="str">
        <f>IFERROR(RIGHT(I1300,LEN(I1300)-FIND("*",I1300)),"-")</f>
        <v>-</v>
      </c>
      <c r="W1301" s="27" t="str">
        <f t="shared" ref="W1301:W1308" si="706">IFERROR((U1301+V1301)*2/1000,"-")</f>
        <v>-</v>
      </c>
      <c r="X1301" s="27" t="str">
        <f>IFERROR(W1301*J1300,"-")</f>
        <v>-</v>
      </c>
      <c r="Z1301" s="94" t="s">
        <v>82</v>
      </c>
    </row>
    <row r="1302" spans="1:26" s="25" customFormat="1" ht="6.95" customHeight="1" x14ac:dyDescent="0.3">
      <c r="A1302" s="165"/>
      <c r="B1302" s="168"/>
      <c r="C1302" s="169"/>
      <c r="D1302" s="160"/>
      <c r="E1302" s="161"/>
      <c r="F1302" s="162"/>
      <c r="G1302" s="163"/>
      <c r="H1302" s="164"/>
      <c r="I1302" s="163"/>
      <c r="J1302" s="164"/>
      <c r="K1302" s="163"/>
      <c r="L1302" s="164"/>
      <c r="M1302" s="11"/>
      <c r="N1302" s="39"/>
      <c r="Q1302" s="15" t="str">
        <f>+CONCATENATE(E1300,K1300)</f>
        <v/>
      </c>
      <c r="R1302" s="15">
        <f>+L1300</f>
        <v>0</v>
      </c>
      <c r="S1302" s="16"/>
      <c r="T1302" s="15">
        <f>+E1300</f>
        <v>0</v>
      </c>
      <c r="U1302" s="26" t="str">
        <f>IFERROR(LEFT(K1300,FIND("*",K1300)-1),"-")</f>
        <v>-</v>
      </c>
      <c r="V1302" s="26" t="str">
        <f>IFERROR(RIGHT(K1300,LEN(K1300)-FIND("*",K1300)),"-")</f>
        <v>-</v>
      </c>
      <c r="W1302" s="27" t="str">
        <f t="shared" si="706"/>
        <v>-</v>
      </c>
      <c r="X1302" s="27" t="str">
        <f>IFERROR(W1302*L1300,"-")</f>
        <v>-</v>
      </c>
      <c r="Z1302" s="94" t="s">
        <v>82</v>
      </c>
    </row>
    <row r="1303" spans="1:26" s="25" customFormat="1" ht="6.95" customHeight="1" x14ac:dyDescent="0.3">
      <c r="A1303" s="13"/>
      <c r="B1303" s="168"/>
      <c r="C1303" s="169"/>
      <c r="D1303" s="160" t="s">
        <v>39</v>
      </c>
      <c r="E1303" s="161"/>
      <c r="F1303" s="162" t="s">
        <v>40</v>
      </c>
      <c r="G1303" s="163"/>
      <c r="H1303" s="164"/>
      <c r="I1303" s="163"/>
      <c r="J1303" s="164"/>
      <c r="K1303" s="163"/>
      <c r="L1303" s="164"/>
      <c r="M1303" s="11"/>
      <c r="N1303" s="39"/>
      <c r="Q1303" s="15" t="str">
        <f>+CONCATENATE(E1303,G1303)</f>
        <v/>
      </c>
      <c r="R1303" s="15">
        <f>+H1303</f>
        <v>0</v>
      </c>
      <c r="S1303" s="16"/>
      <c r="T1303" s="15">
        <f>+E1303</f>
        <v>0</v>
      </c>
      <c r="U1303" s="26" t="str">
        <f t="shared" ref="U1303" si="707">IFERROR(LEFT(G1303,FIND("*",G1303)-1),"-")</f>
        <v>-</v>
      </c>
      <c r="V1303" s="26" t="str">
        <f t="shared" ref="V1303" si="708">IFERROR(RIGHT(G1303,LEN(G1303)-FIND("*",G1303)),"-")</f>
        <v>-</v>
      </c>
      <c r="W1303" s="27" t="str">
        <f t="shared" si="706"/>
        <v>-</v>
      </c>
      <c r="X1303" s="27" t="str">
        <f>IFERROR(W1303*H1303,"-")</f>
        <v>-</v>
      </c>
      <c r="Z1303" s="94" t="s">
        <v>82</v>
      </c>
    </row>
    <row r="1304" spans="1:26" s="25" customFormat="1" ht="6.95" customHeight="1" x14ac:dyDescent="0.3">
      <c r="A1304" s="10"/>
      <c r="B1304" s="168"/>
      <c r="C1304" s="169"/>
      <c r="D1304" s="160"/>
      <c r="E1304" s="161"/>
      <c r="F1304" s="162"/>
      <c r="G1304" s="163"/>
      <c r="H1304" s="164"/>
      <c r="I1304" s="163"/>
      <c r="J1304" s="164"/>
      <c r="K1304" s="163"/>
      <c r="L1304" s="164"/>
      <c r="M1304" s="11"/>
      <c r="N1304" s="39"/>
      <c r="Q1304" s="15" t="str">
        <f>+CONCATENATE(E1303,I1303)</f>
        <v/>
      </c>
      <c r="R1304" s="15">
        <f>+J1303</f>
        <v>0</v>
      </c>
      <c r="S1304" s="16"/>
      <c r="T1304" s="15">
        <f>+E1303</f>
        <v>0</v>
      </c>
      <c r="U1304" s="26" t="str">
        <f>IFERROR(LEFT(I1303,FIND("*",I1303)-1),"-")</f>
        <v>-</v>
      </c>
      <c r="V1304" s="26" t="str">
        <f>IFERROR(RIGHT(I1303,LEN(I1303)-FIND("*",I1303)),"-")</f>
        <v>-</v>
      </c>
      <c r="W1304" s="27" t="str">
        <f t="shared" si="706"/>
        <v>-</v>
      </c>
      <c r="X1304" s="27" t="str">
        <f>IFERROR(W1304*J1303,"-")</f>
        <v>-</v>
      </c>
      <c r="Z1304" s="94" t="s">
        <v>82</v>
      </c>
    </row>
    <row r="1305" spans="1:26" s="25" customFormat="1" ht="6.95" customHeight="1" x14ac:dyDescent="0.3">
      <c r="A1305" s="10"/>
      <c r="B1305" s="168"/>
      <c r="C1305" s="169"/>
      <c r="D1305" s="160"/>
      <c r="E1305" s="161"/>
      <c r="F1305" s="162"/>
      <c r="G1305" s="163"/>
      <c r="H1305" s="164"/>
      <c r="I1305" s="163"/>
      <c r="J1305" s="164"/>
      <c r="K1305" s="163"/>
      <c r="L1305" s="164"/>
      <c r="M1305" s="11"/>
      <c r="N1305" s="39"/>
      <c r="Q1305" s="15" t="str">
        <f>+CONCATENATE(E1303,K1303)</f>
        <v/>
      </c>
      <c r="R1305" s="15">
        <f>+L1303</f>
        <v>0</v>
      </c>
      <c r="S1305" s="16"/>
      <c r="T1305" s="15">
        <f>+E1303</f>
        <v>0</v>
      </c>
      <c r="U1305" s="26" t="str">
        <f>IFERROR(LEFT(K1303,FIND("*",K1303)-1),"-")</f>
        <v>-</v>
      </c>
      <c r="V1305" s="26" t="str">
        <f>IFERROR(RIGHT(K1303,LEN(K1303)-FIND("*",K1303)),"-")</f>
        <v>-</v>
      </c>
      <c r="W1305" s="27" t="str">
        <f t="shared" si="706"/>
        <v>-</v>
      </c>
      <c r="X1305" s="27" t="str">
        <f>IFERROR(W1305*L1303,"-")</f>
        <v>-</v>
      </c>
      <c r="Z1305" s="94" t="s">
        <v>82</v>
      </c>
    </row>
    <row r="1306" spans="1:26" s="25" customFormat="1" ht="6.95" customHeight="1" x14ac:dyDescent="0.3">
      <c r="A1306" s="13"/>
      <c r="B1306" s="168"/>
      <c r="C1306" s="169"/>
      <c r="D1306" s="160" t="s">
        <v>39</v>
      </c>
      <c r="E1306" s="161"/>
      <c r="F1306" s="162" t="s">
        <v>40</v>
      </c>
      <c r="G1306" s="163"/>
      <c r="H1306" s="164"/>
      <c r="I1306" s="163"/>
      <c r="J1306" s="164"/>
      <c r="K1306" s="163"/>
      <c r="L1306" s="164"/>
      <c r="M1306" s="11"/>
      <c r="N1306" s="39"/>
      <c r="Q1306" s="15" t="str">
        <f>+CONCATENATE(E1306,G1306)</f>
        <v/>
      </c>
      <c r="R1306" s="15">
        <f>+H1306</f>
        <v>0</v>
      </c>
      <c r="S1306" s="16"/>
      <c r="T1306" s="15">
        <f>+E1306</f>
        <v>0</v>
      </c>
      <c r="U1306" s="26" t="str">
        <f t="shared" ref="U1306" si="709">IFERROR(LEFT(G1306,FIND("*",G1306)-1),"-")</f>
        <v>-</v>
      </c>
      <c r="V1306" s="26" t="str">
        <f t="shared" ref="V1306" si="710">IFERROR(RIGHT(G1306,LEN(G1306)-FIND("*",G1306)),"-")</f>
        <v>-</v>
      </c>
      <c r="W1306" s="27" t="str">
        <f t="shared" si="706"/>
        <v>-</v>
      </c>
      <c r="X1306" s="27" t="str">
        <f>IFERROR(W1306*H1306,"-")</f>
        <v>-</v>
      </c>
      <c r="Z1306" s="94" t="s">
        <v>82</v>
      </c>
    </row>
    <row r="1307" spans="1:26" s="25" customFormat="1" ht="6.95" customHeight="1" x14ac:dyDescent="0.3">
      <c r="A1307" s="10"/>
      <c r="B1307" s="168"/>
      <c r="C1307" s="169"/>
      <c r="D1307" s="160"/>
      <c r="E1307" s="161"/>
      <c r="F1307" s="162"/>
      <c r="G1307" s="163"/>
      <c r="H1307" s="164"/>
      <c r="I1307" s="163"/>
      <c r="J1307" s="164"/>
      <c r="K1307" s="163"/>
      <c r="L1307" s="164"/>
      <c r="M1307" s="11"/>
      <c r="N1307" s="39"/>
      <c r="Q1307" s="15" t="str">
        <f>+CONCATENATE(E1306,I1306)</f>
        <v/>
      </c>
      <c r="R1307" s="15">
        <f>+J1306</f>
        <v>0</v>
      </c>
      <c r="S1307" s="16"/>
      <c r="T1307" s="15">
        <f>+E1306</f>
        <v>0</v>
      </c>
      <c r="U1307" s="26" t="str">
        <f>IFERROR(LEFT(I1306,FIND("*",I1306)-1),"-")</f>
        <v>-</v>
      </c>
      <c r="V1307" s="26" t="str">
        <f>IFERROR(RIGHT(I1306,LEN(I1306)-FIND("*",I1306)),"-")</f>
        <v>-</v>
      </c>
      <c r="W1307" s="27" t="str">
        <f t="shared" si="706"/>
        <v>-</v>
      </c>
      <c r="X1307" s="27" t="str">
        <f t="shared" ref="X1307" si="711">IFERROR(W1307*J1306,"-")</f>
        <v>-</v>
      </c>
      <c r="Z1307" s="94" t="s">
        <v>82</v>
      </c>
    </row>
    <row r="1308" spans="1:26" s="25" customFormat="1" ht="6.95" customHeight="1" x14ac:dyDescent="0.3">
      <c r="A1308" s="10"/>
      <c r="B1308" s="168"/>
      <c r="C1308" s="169"/>
      <c r="D1308" s="160"/>
      <c r="E1308" s="161"/>
      <c r="F1308" s="162"/>
      <c r="G1308" s="163"/>
      <c r="H1308" s="164"/>
      <c r="I1308" s="163"/>
      <c r="J1308" s="164"/>
      <c r="K1308" s="163"/>
      <c r="L1308" s="164"/>
      <c r="M1308" s="11"/>
      <c r="N1308" s="39"/>
      <c r="Q1308" s="15" t="str">
        <f>+CONCATENATE(E1306,K1306)</f>
        <v/>
      </c>
      <c r="R1308" s="15">
        <f>+L1306</f>
        <v>0</v>
      </c>
      <c r="S1308" s="16"/>
      <c r="T1308" s="15">
        <f>+E1306</f>
        <v>0</v>
      </c>
      <c r="U1308" s="26" t="str">
        <f>IFERROR(LEFT(K1306,FIND("*",K1306)-1),"-")</f>
        <v>-</v>
      </c>
      <c r="V1308" s="26" t="str">
        <f>IFERROR(RIGHT(K1306,LEN(K1306)-FIND("*",K1306)),"-")</f>
        <v>-</v>
      </c>
      <c r="W1308" s="27" t="str">
        <f t="shared" si="706"/>
        <v>-</v>
      </c>
      <c r="X1308" s="27" t="str">
        <f>IFERROR(W1308*L1306,"-")</f>
        <v>-</v>
      </c>
      <c r="Z1308" s="94" t="s">
        <v>82</v>
      </c>
    </row>
    <row r="1309" spans="1:26" s="25" customFormat="1" ht="21" customHeight="1" thickBot="1" x14ac:dyDescent="0.35">
      <c r="A1309" s="10"/>
      <c r="B1309" s="170"/>
      <c r="C1309" s="171"/>
      <c r="D1309" s="172" t="s">
        <v>43</v>
      </c>
      <c r="E1309" s="173"/>
      <c r="F1309" s="173"/>
      <c r="G1309" s="174"/>
      <c r="H1309" s="174"/>
      <c r="I1309" s="174"/>
      <c r="J1309" s="174"/>
      <c r="K1309" s="174"/>
      <c r="L1309" s="174"/>
      <c r="M1309" s="12"/>
      <c r="N1309" s="39"/>
      <c r="U1309" s="23"/>
      <c r="V1309" s="23"/>
      <c r="Z1309" s="95" t="s">
        <v>81</v>
      </c>
    </row>
    <row r="1310" spans="1:26" s="25" customFormat="1" ht="9.9499999999999993" customHeight="1" thickBot="1" x14ac:dyDescent="0.35">
      <c r="A1310" s="6"/>
      <c r="B1310" s="14"/>
      <c r="C1310" s="119"/>
      <c r="D1310" s="58"/>
      <c r="E1310" s="17"/>
      <c r="F1310" s="58"/>
      <c r="G1310" s="19"/>
      <c r="H1310" s="19"/>
      <c r="I1310" s="19"/>
      <c r="J1310" s="19"/>
      <c r="K1310" s="19"/>
      <c r="L1310" s="19"/>
      <c r="M1310" s="14"/>
      <c r="N1310" s="39"/>
      <c r="Q1310" s="1"/>
      <c r="R1310" s="1"/>
      <c r="S1310" s="1"/>
      <c r="T1310" s="1"/>
      <c r="U1310" s="24"/>
      <c r="V1310" s="24"/>
      <c r="W1310" s="1"/>
      <c r="X1310" s="1"/>
      <c r="Z1310" s="94" t="s">
        <v>82</v>
      </c>
    </row>
    <row r="1311" spans="1:26" s="25" customFormat="1" ht="6.95" customHeight="1" x14ac:dyDescent="0.3">
      <c r="A1311" s="165">
        <f>+A1300+1</f>
        <v>120</v>
      </c>
      <c r="B1311" s="166"/>
      <c r="C1311" s="167"/>
      <c r="D1311" s="160" t="s">
        <v>39</v>
      </c>
      <c r="E1311" s="161"/>
      <c r="F1311" s="162" t="s">
        <v>40</v>
      </c>
      <c r="G1311" s="163"/>
      <c r="H1311" s="164"/>
      <c r="I1311" s="163"/>
      <c r="J1311" s="164"/>
      <c r="K1311" s="163"/>
      <c r="L1311" s="164"/>
      <c r="M1311" s="11"/>
      <c r="N1311" s="39"/>
      <c r="Q1311" s="15" t="str">
        <f>+CONCATENATE(E1311,G1311)</f>
        <v/>
      </c>
      <c r="R1311" s="15">
        <f>+H1311</f>
        <v>0</v>
      </c>
      <c r="S1311" s="16"/>
      <c r="T1311" s="15">
        <f>+E1311</f>
        <v>0</v>
      </c>
      <c r="U1311" s="26" t="str">
        <f>IFERROR(LEFT(G1311,FIND("*",G1311)-1),"-")</f>
        <v>-</v>
      </c>
      <c r="V1311" s="26" t="str">
        <f>IFERROR(RIGHT(G1311,LEN(G1311)-FIND("*",G1311)),"-")</f>
        <v>-</v>
      </c>
      <c r="W1311" s="27" t="str">
        <f>IFERROR((U1311+V1311)*2/1000,"-")</f>
        <v>-</v>
      </c>
      <c r="X1311" s="27" t="str">
        <f>IFERROR(W1311*H1311,"-")</f>
        <v>-</v>
      </c>
      <c r="Z1311" s="94" t="s">
        <v>82</v>
      </c>
    </row>
    <row r="1312" spans="1:26" s="25" customFormat="1" ht="6.95" customHeight="1" x14ac:dyDescent="0.3">
      <c r="A1312" s="165"/>
      <c r="B1312" s="168"/>
      <c r="C1312" s="169"/>
      <c r="D1312" s="160"/>
      <c r="E1312" s="161"/>
      <c r="F1312" s="162"/>
      <c r="G1312" s="163"/>
      <c r="H1312" s="164"/>
      <c r="I1312" s="163"/>
      <c r="J1312" s="164"/>
      <c r="K1312" s="163"/>
      <c r="L1312" s="164"/>
      <c r="M1312" s="11"/>
      <c r="N1312" s="39"/>
      <c r="Q1312" s="15" t="str">
        <f>+CONCATENATE(E1311,I1311)</f>
        <v/>
      </c>
      <c r="R1312" s="15">
        <f>+J1311</f>
        <v>0</v>
      </c>
      <c r="S1312" s="16"/>
      <c r="T1312" s="15">
        <f>+E1311</f>
        <v>0</v>
      </c>
      <c r="U1312" s="26" t="str">
        <f>IFERROR(LEFT(I1311,FIND("*",I1311)-1),"-")</f>
        <v>-</v>
      </c>
      <c r="V1312" s="26" t="str">
        <f>IFERROR(RIGHT(I1311,LEN(I1311)-FIND("*",I1311)),"-")</f>
        <v>-</v>
      </c>
      <c r="W1312" s="27" t="str">
        <f t="shared" ref="W1312:W1319" si="712">IFERROR((U1312+V1312)*2/1000,"-")</f>
        <v>-</v>
      </c>
      <c r="X1312" s="27" t="str">
        <f>IFERROR(W1312*J1311,"-")</f>
        <v>-</v>
      </c>
      <c r="Z1312" s="94" t="s">
        <v>82</v>
      </c>
    </row>
    <row r="1313" spans="1:26" s="25" customFormat="1" ht="6.95" customHeight="1" x14ac:dyDescent="0.3">
      <c r="A1313" s="165"/>
      <c r="B1313" s="168"/>
      <c r="C1313" s="169"/>
      <c r="D1313" s="160"/>
      <c r="E1313" s="161"/>
      <c r="F1313" s="162"/>
      <c r="G1313" s="163"/>
      <c r="H1313" s="164"/>
      <c r="I1313" s="163"/>
      <c r="J1313" s="164"/>
      <c r="K1313" s="163"/>
      <c r="L1313" s="164"/>
      <c r="M1313" s="11"/>
      <c r="N1313" s="39"/>
      <c r="Q1313" s="15" t="str">
        <f>+CONCATENATE(E1311,K1311)</f>
        <v/>
      </c>
      <c r="R1313" s="15">
        <f>+L1311</f>
        <v>0</v>
      </c>
      <c r="S1313" s="16"/>
      <c r="T1313" s="15">
        <f>+E1311</f>
        <v>0</v>
      </c>
      <c r="U1313" s="26" t="str">
        <f>IFERROR(LEFT(K1311,FIND("*",K1311)-1),"-")</f>
        <v>-</v>
      </c>
      <c r="V1313" s="26" t="str">
        <f>IFERROR(RIGHT(K1311,LEN(K1311)-FIND("*",K1311)),"-")</f>
        <v>-</v>
      </c>
      <c r="W1313" s="27" t="str">
        <f t="shared" si="712"/>
        <v>-</v>
      </c>
      <c r="X1313" s="27" t="str">
        <f>IFERROR(W1313*L1311,"-")</f>
        <v>-</v>
      </c>
      <c r="Z1313" s="94" t="s">
        <v>82</v>
      </c>
    </row>
    <row r="1314" spans="1:26" s="25" customFormat="1" ht="6.95" customHeight="1" x14ac:dyDescent="0.3">
      <c r="A1314" s="13"/>
      <c r="B1314" s="168"/>
      <c r="C1314" s="169"/>
      <c r="D1314" s="160" t="s">
        <v>39</v>
      </c>
      <c r="E1314" s="161"/>
      <c r="F1314" s="162" t="s">
        <v>40</v>
      </c>
      <c r="G1314" s="163"/>
      <c r="H1314" s="164"/>
      <c r="I1314" s="163"/>
      <c r="J1314" s="164"/>
      <c r="K1314" s="163"/>
      <c r="L1314" s="164"/>
      <c r="M1314" s="11"/>
      <c r="N1314" s="39"/>
      <c r="Q1314" s="15" t="str">
        <f>+CONCATENATE(E1314,G1314)</f>
        <v/>
      </c>
      <c r="R1314" s="15">
        <f>+H1314</f>
        <v>0</v>
      </c>
      <c r="S1314" s="16"/>
      <c r="T1314" s="15">
        <f>+E1314</f>
        <v>0</v>
      </c>
      <c r="U1314" s="26" t="str">
        <f t="shared" ref="U1314" si="713">IFERROR(LEFT(G1314,FIND("*",G1314)-1),"-")</f>
        <v>-</v>
      </c>
      <c r="V1314" s="26" t="str">
        <f t="shared" ref="V1314" si="714">IFERROR(RIGHT(G1314,LEN(G1314)-FIND("*",G1314)),"-")</f>
        <v>-</v>
      </c>
      <c r="W1314" s="27" t="str">
        <f t="shared" si="712"/>
        <v>-</v>
      </c>
      <c r="X1314" s="27" t="str">
        <f>IFERROR(W1314*H1314,"-")</f>
        <v>-</v>
      </c>
      <c r="Z1314" s="94" t="s">
        <v>82</v>
      </c>
    </row>
    <row r="1315" spans="1:26" s="25" customFormat="1" ht="6.95" customHeight="1" x14ac:dyDescent="0.3">
      <c r="A1315" s="10"/>
      <c r="B1315" s="168"/>
      <c r="C1315" s="169"/>
      <c r="D1315" s="160"/>
      <c r="E1315" s="161"/>
      <c r="F1315" s="162"/>
      <c r="G1315" s="163"/>
      <c r="H1315" s="164"/>
      <c r="I1315" s="163"/>
      <c r="J1315" s="164"/>
      <c r="K1315" s="163"/>
      <c r="L1315" s="164"/>
      <c r="M1315" s="11"/>
      <c r="N1315" s="39"/>
      <c r="Q1315" s="15" t="str">
        <f>+CONCATENATE(E1314,I1314)</f>
        <v/>
      </c>
      <c r="R1315" s="15">
        <f>+J1314</f>
        <v>0</v>
      </c>
      <c r="S1315" s="16"/>
      <c r="T1315" s="15">
        <f>+E1314</f>
        <v>0</v>
      </c>
      <c r="U1315" s="26" t="str">
        <f>IFERROR(LEFT(I1314,FIND("*",I1314)-1),"-")</f>
        <v>-</v>
      </c>
      <c r="V1315" s="26" t="str">
        <f>IFERROR(RIGHT(I1314,LEN(I1314)-FIND("*",I1314)),"-")</f>
        <v>-</v>
      </c>
      <c r="W1315" s="27" t="str">
        <f t="shared" si="712"/>
        <v>-</v>
      </c>
      <c r="X1315" s="27" t="str">
        <f>IFERROR(W1315*J1314,"-")</f>
        <v>-</v>
      </c>
      <c r="Z1315" s="94" t="s">
        <v>82</v>
      </c>
    </row>
    <row r="1316" spans="1:26" s="25" customFormat="1" ht="6.95" customHeight="1" x14ac:dyDescent="0.3">
      <c r="A1316" s="10"/>
      <c r="B1316" s="168"/>
      <c r="C1316" s="169"/>
      <c r="D1316" s="160"/>
      <c r="E1316" s="161"/>
      <c r="F1316" s="162"/>
      <c r="G1316" s="163"/>
      <c r="H1316" s="164"/>
      <c r="I1316" s="163"/>
      <c r="J1316" s="164"/>
      <c r="K1316" s="163"/>
      <c r="L1316" s="164"/>
      <c r="M1316" s="11"/>
      <c r="N1316" s="39"/>
      <c r="Q1316" s="15" t="str">
        <f>+CONCATENATE(E1314,K1314)</f>
        <v/>
      </c>
      <c r="R1316" s="15">
        <f>+L1314</f>
        <v>0</v>
      </c>
      <c r="S1316" s="16"/>
      <c r="T1316" s="15">
        <f>+E1314</f>
        <v>0</v>
      </c>
      <c r="U1316" s="26" t="str">
        <f>IFERROR(LEFT(K1314,FIND("*",K1314)-1),"-")</f>
        <v>-</v>
      </c>
      <c r="V1316" s="26" t="str">
        <f>IFERROR(RIGHT(K1314,LEN(K1314)-FIND("*",K1314)),"-")</f>
        <v>-</v>
      </c>
      <c r="W1316" s="27" t="str">
        <f t="shared" si="712"/>
        <v>-</v>
      </c>
      <c r="X1316" s="27" t="str">
        <f>IFERROR(W1316*L1314,"-")</f>
        <v>-</v>
      </c>
      <c r="Z1316" s="94" t="s">
        <v>82</v>
      </c>
    </row>
    <row r="1317" spans="1:26" s="25" customFormat="1" ht="6.95" customHeight="1" x14ac:dyDescent="0.3">
      <c r="A1317" s="13"/>
      <c r="B1317" s="168"/>
      <c r="C1317" s="169"/>
      <c r="D1317" s="160" t="s">
        <v>39</v>
      </c>
      <c r="E1317" s="161"/>
      <c r="F1317" s="162" t="s">
        <v>40</v>
      </c>
      <c r="G1317" s="163"/>
      <c r="H1317" s="164"/>
      <c r="I1317" s="163"/>
      <c r="J1317" s="164"/>
      <c r="K1317" s="163"/>
      <c r="L1317" s="164"/>
      <c r="M1317" s="11"/>
      <c r="N1317" s="39"/>
      <c r="Q1317" s="15" t="str">
        <f>+CONCATENATE(E1317,G1317)</f>
        <v/>
      </c>
      <c r="R1317" s="15">
        <f>+H1317</f>
        <v>0</v>
      </c>
      <c r="S1317" s="16"/>
      <c r="T1317" s="15">
        <f>+E1317</f>
        <v>0</v>
      </c>
      <c r="U1317" s="26" t="str">
        <f t="shared" ref="U1317" si="715">IFERROR(LEFT(G1317,FIND("*",G1317)-1),"-")</f>
        <v>-</v>
      </c>
      <c r="V1317" s="26" t="str">
        <f t="shared" ref="V1317" si="716">IFERROR(RIGHT(G1317,LEN(G1317)-FIND("*",G1317)),"-")</f>
        <v>-</v>
      </c>
      <c r="W1317" s="27" t="str">
        <f t="shared" si="712"/>
        <v>-</v>
      </c>
      <c r="X1317" s="27" t="str">
        <f>IFERROR(W1317*H1317,"-")</f>
        <v>-</v>
      </c>
      <c r="Z1317" s="94" t="s">
        <v>82</v>
      </c>
    </row>
    <row r="1318" spans="1:26" s="25" customFormat="1" ht="6.95" customHeight="1" x14ac:dyDescent="0.3">
      <c r="A1318" s="10"/>
      <c r="B1318" s="168"/>
      <c r="C1318" s="169"/>
      <c r="D1318" s="160"/>
      <c r="E1318" s="161"/>
      <c r="F1318" s="162"/>
      <c r="G1318" s="163"/>
      <c r="H1318" s="164"/>
      <c r="I1318" s="163"/>
      <c r="J1318" s="164"/>
      <c r="K1318" s="163"/>
      <c r="L1318" s="164"/>
      <c r="M1318" s="11"/>
      <c r="N1318" s="39"/>
      <c r="Q1318" s="15" t="str">
        <f>+CONCATENATE(E1317,I1317)</f>
        <v/>
      </c>
      <c r="R1318" s="15">
        <f>+J1317</f>
        <v>0</v>
      </c>
      <c r="S1318" s="16"/>
      <c r="T1318" s="15">
        <f>+E1317</f>
        <v>0</v>
      </c>
      <c r="U1318" s="26" t="str">
        <f>IFERROR(LEFT(I1317,FIND("*",I1317)-1),"-")</f>
        <v>-</v>
      </c>
      <c r="V1318" s="26" t="str">
        <f>IFERROR(RIGHT(I1317,LEN(I1317)-FIND("*",I1317)),"-")</f>
        <v>-</v>
      </c>
      <c r="W1318" s="27" t="str">
        <f t="shared" si="712"/>
        <v>-</v>
      </c>
      <c r="X1318" s="27" t="str">
        <f t="shared" ref="X1318" si="717">IFERROR(W1318*J1317,"-")</f>
        <v>-</v>
      </c>
      <c r="Z1318" s="94" t="s">
        <v>82</v>
      </c>
    </row>
    <row r="1319" spans="1:26" s="25" customFormat="1" ht="6.95" customHeight="1" x14ac:dyDescent="0.3">
      <c r="A1319" s="10"/>
      <c r="B1319" s="168"/>
      <c r="C1319" s="169"/>
      <c r="D1319" s="160"/>
      <c r="E1319" s="161"/>
      <c r="F1319" s="162"/>
      <c r="G1319" s="163"/>
      <c r="H1319" s="164"/>
      <c r="I1319" s="163"/>
      <c r="J1319" s="164"/>
      <c r="K1319" s="163"/>
      <c r="L1319" s="164"/>
      <c r="M1319" s="11"/>
      <c r="N1319" s="39"/>
      <c r="Q1319" s="15" t="str">
        <f>+CONCATENATE(E1317,K1317)</f>
        <v/>
      </c>
      <c r="R1319" s="15">
        <f>+L1317</f>
        <v>0</v>
      </c>
      <c r="S1319" s="16"/>
      <c r="T1319" s="15">
        <f>+E1317</f>
        <v>0</v>
      </c>
      <c r="U1319" s="26" t="str">
        <f>IFERROR(LEFT(K1317,FIND("*",K1317)-1),"-")</f>
        <v>-</v>
      </c>
      <c r="V1319" s="26" t="str">
        <f>IFERROR(RIGHT(K1317,LEN(K1317)-FIND("*",K1317)),"-")</f>
        <v>-</v>
      </c>
      <c r="W1319" s="27" t="str">
        <f t="shared" si="712"/>
        <v>-</v>
      </c>
      <c r="X1319" s="27" t="str">
        <f>IFERROR(W1319*L1317,"-")</f>
        <v>-</v>
      </c>
      <c r="Z1319" s="94" t="s">
        <v>82</v>
      </c>
    </row>
    <row r="1320" spans="1:26" s="25" customFormat="1" ht="21" customHeight="1" thickBot="1" x14ac:dyDescent="0.35">
      <c r="A1320" s="10"/>
      <c r="B1320" s="170"/>
      <c r="C1320" s="171"/>
      <c r="D1320" s="172" t="s">
        <v>43</v>
      </c>
      <c r="E1320" s="173"/>
      <c r="F1320" s="173"/>
      <c r="G1320" s="174"/>
      <c r="H1320" s="174"/>
      <c r="I1320" s="174"/>
      <c r="J1320" s="174"/>
      <c r="K1320" s="174"/>
      <c r="L1320" s="174"/>
      <c r="M1320" s="12"/>
      <c r="N1320" s="39"/>
      <c r="U1320" s="23"/>
      <c r="V1320" s="23"/>
      <c r="Z1320" s="95" t="s">
        <v>81</v>
      </c>
    </row>
    <row r="1321" spans="1:26" s="25" customFormat="1" ht="9.9499999999999993" customHeight="1" thickBot="1" x14ac:dyDescent="0.35">
      <c r="A1321" s="6"/>
      <c r="B1321" s="14"/>
      <c r="C1321" s="119"/>
      <c r="D1321" s="58"/>
      <c r="E1321" s="17"/>
      <c r="F1321" s="58"/>
      <c r="G1321" s="19"/>
      <c r="H1321" s="19"/>
      <c r="I1321" s="19"/>
      <c r="J1321" s="19"/>
      <c r="K1321" s="19"/>
      <c r="L1321" s="19"/>
      <c r="M1321" s="14"/>
      <c r="N1321" s="39"/>
      <c r="Q1321" s="1"/>
      <c r="R1321" s="1"/>
      <c r="S1321" s="1"/>
      <c r="T1321" s="1"/>
      <c r="U1321" s="24"/>
      <c r="V1321" s="24"/>
      <c r="W1321" s="1"/>
      <c r="X1321" s="1"/>
      <c r="Z1321" s="94" t="s">
        <v>82</v>
      </c>
    </row>
    <row r="1322" spans="1:26" s="25" customFormat="1" ht="6.95" customHeight="1" x14ac:dyDescent="0.3">
      <c r="A1322" s="165">
        <f>+A1311+1</f>
        <v>121</v>
      </c>
      <c r="B1322" s="166"/>
      <c r="C1322" s="167"/>
      <c r="D1322" s="160" t="s">
        <v>39</v>
      </c>
      <c r="E1322" s="161"/>
      <c r="F1322" s="162" t="s">
        <v>40</v>
      </c>
      <c r="G1322" s="163"/>
      <c r="H1322" s="164"/>
      <c r="I1322" s="163"/>
      <c r="J1322" s="164"/>
      <c r="K1322" s="163"/>
      <c r="L1322" s="164"/>
      <c r="M1322" s="11"/>
      <c r="N1322" s="39"/>
      <c r="Q1322" s="15" t="str">
        <f>+CONCATENATE(E1322,G1322)</f>
        <v/>
      </c>
      <c r="R1322" s="15">
        <f>+H1322</f>
        <v>0</v>
      </c>
      <c r="S1322" s="16"/>
      <c r="T1322" s="15">
        <f>+E1322</f>
        <v>0</v>
      </c>
      <c r="U1322" s="26" t="str">
        <f>IFERROR(LEFT(G1322,FIND("*",G1322)-1),"-")</f>
        <v>-</v>
      </c>
      <c r="V1322" s="26" t="str">
        <f>IFERROR(RIGHT(G1322,LEN(G1322)-FIND("*",G1322)),"-")</f>
        <v>-</v>
      </c>
      <c r="W1322" s="27" t="str">
        <f>IFERROR((U1322+V1322)*2/1000,"-")</f>
        <v>-</v>
      </c>
      <c r="X1322" s="27" t="str">
        <f>IFERROR(W1322*H1322,"-")</f>
        <v>-</v>
      </c>
      <c r="Z1322" s="94" t="s">
        <v>82</v>
      </c>
    </row>
    <row r="1323" spans="1:26" s="25" customFormat="1" ht="6.95" customHeight="1" x14ac:dyDescent="0.3">
      <c r="A1323" s="165"/>
      <c r="B1323" s="168"/>
      <c r="C1323" s="169"/>
      <c r="D1323" s="160"/>
      <c r="E1323" s="161"/>
      <c r="F1323" s="162"/>
      <c r="G1323" s="163"/>
      <c r="H1323" s="164"/>
      <c r="I1323" s="163"/>
      <c r="J1323" s="164"/>
      <c r="K1323" s="163"/>
      <c r="L1323" s="164"/>
      <c r="M1323" s="11"/>
      <c r="N1323" s="39"/>
      <c r="Q1323" s="15" t="str">
        <f>+CONCATENATE(E1322,I1322)</f>
        <v/>
      </c>
      <c r="R1323" s="15">
        <f>+J1322</f>
        <v>0</v>
      </c>
      <c r="S1323" s="16"/>
      <c r="T1323" s="15">
        <f>+E1322</f>
        <v>0</v>
      </c>
      <c r="U1323" s="26" t="str">
        <f>IFERROR(LEFT(I1322,FIND("*",I1322)-1),"-")</f>
        <v>-</v>
      </c>
      <c r="V1323" s="26" t="str">
        <f>IFERROR(RIGHT(I1322,LEN(I1322)-FIND("*",I1322)),"-")</f>
        <v>-</v>
      </c>
      <c r="W1323" s="27" t="str">
        <f t="shared" ref="W1323:W1330" si="718">IFERROR((U1323+V1323)*2/1000,"-")</f>
        <v>-</v>
      </c>
      <c r="X1323" s="27" t="str">
        <f>IFERROR(W1323*J1322,"-")</f>
        <v>-</v>
      </c>
      <c r="Z1323" s="94" t="s">
        <v>82</v>
      </c>
    </row>
    <row r="1324" spans="1:26" s="25" customFormat="1" ht="6.95" customHeight="1" x14ac:dyDescent="0.3">
      <c r="A1324" s="165"/>
      <c r="B1324" s="168"/>
      <c r="C1324" s="169"/>
      <c r="D1324" s="160"/>
      <c r="E1324" s="161"/>
      <c r="F1324" s="162"/>
      <c r="G1324" s="163"/>
      <c r="H1324" s="164"/>
      <c r="I1324" s="163"/>
      <c r="J1324" s="164"/>
      <c r="K1324" s="163"/>
      <c r="L1324" s="164"/>
      <c r="M1324" s="11"/>
      <c r="N1324" s="39"/>
      <c r="Q1324" s="15" t="str">
        <f>+CONCATENATE(E1322,K1322)</f>
        <v/>
      </c>
      <c r="R1324" s="15">
        <f>+L1322</f>
        <v>0</v>
      </c>
      <c r="S1324" s="16"/>
      <c r="T1324" s="15">
        <f>+E1322</f>
        <v>0</v>
      </c>
      <c r="U1324" s="26" t="str">
        <f>IFERROR(LEFT(K1322,FIND("*",K1322)-1),"-")</f>
        <v>-</v>
      </c>
      <c r="V1324" s="26" t="str">
        <f>IFERROR(RIGHT(K1322,LEN(K1322)-FIND("*",K1322)),"-")</f>
        <v>-</v>
      </c>
      <c r="W1324" s="27" t="str">
        <f t="shared" si="718"/>
        <v>-</v>
      </c>
      <c r="X1324" s="27" t="str">
        <f>IFERROR(W1324*L1322,"-")</f>
        <v>-</v>
      </c>
      <c r="Z1324" s="94" t="s">
        <v>82</v>
      </c>
    </row>
    <row r="1325" spans="1:26" s="25" customFormat="1" ht="6.95" customHeight="1" x14ac:dyDescent="0.3">
      <c r="A1325" s="13"/>
      <c r="B1325" s="168"/>
      <c r="C1325" s="169"/>
      <c r="D1325" s="160" t="s">
        <v>39</v>
      </c>
      <c r="E1325" s="161"/>
      <c r="F1325" s="162" t="s">
        <v>40</v>
      </c>
      <c r="G1325" s="163"/>
      <c r="H1325" s="164"/>
      <c r="I1325" s="163"/>
      <c r="J1325" s="164"/>
      <c r="K1325" s="163"/>
      <c r="L1325" s="164"/>
      <c r="M1325" s="11"/>
      <c r="N1325" s="39"/>
      <c r="Q1325" s="15" t="str">
        <f>+CONCATENATE(E1325,G1325)</f>
        <v/>
      </c>
      <c r="R1325" s="15">
        <f>+H1325</f>
        <v>0</v>
      </c>
      <c r="S1325" s="16"/>
      <c r="T1325" s="15">
        <f>+E1325</f>
        <v>0</v>
      </c>
      <c r="U1325" s="26" t="str">
        <f t="shared" ref="U1325" si="719">IFERROR(LEFT(G1325,FIND("*",G1325)-1),"-")</f>
        <v>-</v>
      </c>
      <c r="V1325" s="26" t="str">
        <f t="shared" ref="V1325" si="720">IFERROR(RIGHT(G1325,LEN(G1325)-FIND("*",G1325)),"-")</f>
        <v>-</v>
      </c>
      <c r="W1325" s="27" t="str">
        <f t="shared" si="718"/>
        <v>-</v>
      </c>
      <c r="X1325" s="27" t="str">
        <f>IFERROR(W1325*H1325,"-")</f>
        <v>-</v>
      </c>
      <c r="Z1325" s="94" t="s">
        <v>82</v>
      </c>
    </row>
    <row r="1326" spans="1:26" s="25" customFormat="1" ht="6.95" customHeight="1" x14ac:dyDescent="0.3">
      <c r="A1326" s="10"/>
      <c r="B1326" s="168"/>
      <c r="C1326" s="169"/>
      <c r="D1326" s="160"/>
      <c r="E1326" s="161"/>
      <c r="F1326" s="162"/>
      <c r="G1326" s="163"/>
      <c r="H1326" s="164"/>
      <c r="I1326" s="163"/>
      <c r="J1326" s="164"/>
      <c r="K1326" s="163"/>
      <c r="L1326" s="164"/>
      <c r="M1326" s="11"/>
      <c r="N1326" s="39"/>
      <c r="Q1326" s="15" t="str">
        <f>+CONCATENATE(E1325,I1325)</f>
        <v/>
      </c>
      <c r="R1326" s="15">
        <f>+J1325</f>
        <v>0</v>
      </c>
      <c r="S1326" s="16"/>
      <c r="T1326" s="15">
        <f>+E1325</f>
        <v>0</v>
      </c>
      <c r="U1326" s="26" t="str">
        <f>IFERROR(LEFT(I1325,FIND("*",I1325)-1),"-")</f>
        <v>-</v>
      </c>
      <c r="V1326" s="26" t="str">
        <f>IFERROR(RIGHT(I1325,LEN(I1325)-FIND("*",I1325)),"-")</f>
        <v>-</v>
      </c>
      <c r="W1326" s="27" t="str">
        <f t="shared" si="718"/>
        <v>-</v>
      </c>
      <c r="X1326" s="27" t="str">
        <f>IFERROR(W1326*J1325,"-")</f>
        <v>-</v>
      </c>
      <c r="Z1326" s="94" t="s">
        <v>82</v>
      </c>
    </row>
    <row r="1327" spans="1:26" s="25" customFormat="1" ht="6.95" customHeight="1" x14ac:dyDescent="0.3">
      <c r="A1327" s="10"/>
      <c r="B1327" s="168"/>
      <c r="C1327" s="169"/>
      <c r="D1327" s="160"/>
      <c r="E1327" s="161"/>
      <c r="F1327" s="162"/>
      <c r="G1327" s="163"/>
      <c r="H1327" s="164"/>
      <c r="I1327" s="163"/>
      <c r="J1327" s="164"/>
      <c r="K1327" s="163"/>
      <c r="L1327" s="164"/>
      <c r="M1327" s="11"/>
      <c r="N1327" s="39"/>
      <c r="Q1327" s="15" t="str">
        <f>+CONCATENATE(E1325,K1325)</f>
        <v/>
      </c>
      <c r="R1327" s="15">
        <f>+L1325</f>
        <v>0</v>
      </c>
      <c r="S1327" s="16"/>
      <c r="T1327" s="15">
        <f>+E1325</f>
        <v>0</v>
      </c>
      <c r="U1327" s="26" t="str">
        <f>IFERROR(LEFT(K1325,FIND("*",K1325)-1),"-")</f>
        <v>-</v>
      </c>
      <c r="V1327" s="26" t="str">
        <f>IFERROR(RIGHT(K1325,LEN(K1325)-FIND("*",K1325)),"-")</f>
        <v>-</v>
      </c>
      <c r="W1327" s="27" t="str">
        <f t="shared" si="718"/>
        <v>-</v>
      </c>
      <c r="X1327" s="27" t="str">
        <f>IFERROR(W1327*L1325,"-")</f>
        <v>-</v>
      </c>
      <c r="Z1327" s="94" t="s">
        <v>82</v>
      </c>
    </row>
    <row r="1328" spans="1:26" s="25" customFormat="1" ht="6.95" customHeight="1" x14ac:dyDescent="0.3">
      <c r="A1328" s="13"/>
      <c r="B1328" s="168"/>
      <c r="C1328" s="169"/>
      <c r="D1328" s="160" t="s">
        <v>39</v>
      </c>
      <c r="E1328" s="161"/>
      <c r="F1328" s="162" t="s">
        <v>40</v>
      </c>
      <c r="G1328" s="163"/>
      <c r="H1328" s="164"/>
      <c r="I1328" s="163"/>
      <c r="J1328" s="164"/>
      <c r="K1328" s="163"/>
      <c r="L1328" s="164"/>
      <c r="M1328" s="11"/>
      <c r="N1328" s="39"/>
      <c r="Q1328" s="15" t="str">
        <f>+CONCATENATE(E1328,G1328)</f>
        <v/>
      </c>
      <c r="R1328" s="15">
        <f>+H1328</f>
        <v>0</v>
      </c>
      <c r="S1328" s="16"/>
      <c r="T1328" s="15">
        <f>+E1328</f>
        <v>0</v>
      </c>
      <c r="U1328" s="26" t="str">
        <f t="shared" ref="U1328" si="721">IFERROR(LEFT(G1328,FIND("*",G1328)-1),"-")</f>
        <v>-</v>
      </c>
      <c r="V1328" s="26" t="str">
        <f t="shared" ref="V1328" si="722">IFERROR(RIGHT(G1328,LEN(G1328)-FIND("*",G1328)),"-")</f>
        <v>-</v>
      </c>
      <c r="W1328" s="27" t="str">
        <f t="shared" si="718"/>
        <v>-</v>
      </c>
      <c r="X1328" s="27" t="str">
        <f>IFERROR(W1328*H1328,"-")</f>
        <v>-</v>
      </c>
      <c r="Z1328" s="94" t="s">
        <v>82</v>
      </c>
    </row>
    <row r="1329" spans="1:26" s="25" customFormat="1" ht="6.95" customHeight="1" x14ac:dyDescent="0.3">
      <c r="A1329" s="10"/>
      <c r="B1329" s="168"/>
      <c r="C1329" s="169"/>
      <c r="D1329" s="160"/>
      <c r="E1329" s="161"/>
      <c r="F1329" s="162"/>
      <c r="G1329" s="163"/>
      <c r="H1329" s="164"/>
      <c r="I1329" s="163"/>
      <c r="J1329" s="164"/>
      <c r="K1329" s="163"/>
      <c r="L1329" s="164"/>
      <c r="M1329" s="11"/>
      <c r="N1329" s="39"/>
      <c r="Q1329" s="15" t="str">
        <f>+CONCATENATE(E1328,I1328)</f>
        <v/>
      </c>
      <c r="R1329" s="15">
        <f>+J1328</f>
        <v>0</v>
      </c>
      <c r="S1329" s="16"/>
      <c r="T1329" s="15">
        <f>+E1328</f>
        <v>0</v>
      </c>
      <c r="U1329" s="26" t="str">
        <f>IFERROR(LEFT(I1328,FIND("*",I1328)-1),"-")</f>
        <v>-</v>
      </c>
      <c r="V1329" s="26" t="str">
        <f>IFERROR(RIGHT(I1328,LEN(I1328)-FIND("*",I1328)),"-")</f>
        <v>-</v>
      </c>
      <c r="W1329" s="27" t="str">
        <f t="shared" si="718"/>
        <v>-</v>
      </c>
      <c r="X1329" s="27" t="str">
        <f t="shared" ref="X1329" si="723">IFERROR(W1329*J1328,"-")</f>
        <v>-</v>
      </c>
      <c r="Z1329" s="94" t="s">
        <v>82</v>
      </c>
    </row>
    <row r="1330" spans="1:26" s="25" customFormat="1" ht="6.95" customHeight="1" x14ac:dyDescent="0.3">
      <c r="A1330" s="10"/>
      <c r="B1330" s="168"/>
      <c r="C1330" s="169"/>
      <c r="D1330" s="160"/>
      <c r="E1330" s="161"/>
      <c r="F1330" s="162"/>
      <c r="G1330" s="163"/>
      <c r="H1330" s="164"/>
      <c r="I1330" s="163"/>
      <c r="J1330" s="164"/>
      <c r="K1330" s="163"/>
      <c r="L1330" s="164"/>
      <c r="M1330" s="11"/>
      <c r="N1330" s="39"/>
      <c r="Q1330" s="15" t="str">
        <f>+CONCATENATE(E1328,K1328)</f>
        <v/>
      </c>
      <c r="R1330" s="15">
        <f>+L1328</f>
        <v>0</v>
      </c>
      <c r="S1330" s="16"/>
      <c r="T1330" s="15">
        <f>+E1328</f>
        <v>0</v>
      </c>
      <c r="U1330" s="26" t="str">
        <f>IFERROR(LEFT(K1328,FIND("*",K1328)-1),"-")</f>
        <v>-</v>
      </c>
      <c r="V1330" s="26" t="str">
        <f>IFERROR(RIGHT(K1328,LEN(K1328)-FIND("*",K1328)),"-")</f>
        <v>-</v>
      </c>
      <c r="W1330" s="27" t="str">
        <f t="shared" si="718"/>
        <v>-</v>
      </c>
      <c r="X1330" s="27" t="str">
        <f>IFERROR(W1330*L1328,"-")</f>
        <v>-</v>
      </c>
      <c r="Z1330" s="94" t="s">
        <v>82</v>
      </c>
    </row>
    <row r="1331" spans="1:26" s="25" customFormat="1" ht="21" customHeight="1" thickBot="1" x14ac:dyDescent="0.35">
      <c r="A1331" s="10"/>
      <c r="B1331" s="170"/>
      <c r="C1331" s="171"/>
      <c r="D1331" s="172" t="s">
        <v>43</v>
      </c>
      <c r="E1331" s="173"/>
      <c r="F1331" s="173"/>
      <c r="G1331" s="174"/>
      <c r="H1331" s="174"/>
      <c r="I1331" s="174"/>
      <c r="J1331" s="174"/>
      <c r="K1331" s="174"/>
      <c r="L1331" s="174"/>
      <c r="M1331" s="12"/>
      <c r="N1331" s="39"/>
      <c r="U1331" s="23"/>
      <c r="V1331" s="23"/>
      <c r="Z1331" s="95" t="s">
        <v>81</v>
      </c>
    </row>
    <row r="1332" spans="1:26" s="25" customFormat="1" ht="9.9499999999999993" customHeight="1" thickBot="1" x14ac:dyDescent="0.35">
      <c r="A1332" s="6"/>
      <c r="B1332" s="14"/>
      <c r="C1332" s="119"/>
      <c r="D1332" s="58"/>
      <c r="E1332" s="17"/>
      <c r="F1332" s="58"/>
      <c r="G1332" s="19"/>
      <c r="H1332" s="19"/>
      <c r="I1332" s="19"/>
      <c r="J1332" s="19"/>
      <c r="K1332" s="19"/>
      <c r="L1332" s="19"/>
      <c r="M1332" s="14"/>
      <c r="N1332" s="39"/>
      <c r="Q1332" s="1"/>
      <c r="R1332" s="1"/>
      <c r="S1332" s="1"/>
      <c r="T1332" s="1"/>
      <c r="U1332" s="24"/>
      <c r="V1332" s="24"/>
      <c r="W1332" s="1"/>
      <c r="X1332" s="1"/>
      <c r="Z1332" s="94" t="s">
        <v>82</v>
      </c>
    </row>
    <row r="1333" spans="1:26" s="25" customFormat="1" ht="6.95" customHeight="1" x14ac:dyDescent="0.3">
      <c r="A1333" s="165">
        <f>+A1322+1</f>
        <v>122</v>
      </c>
      <c r="B1333" s="166"/>
      <c r="C1333" s="167"/>
      <c r="D1333" s="160" t="s">
        <v>39</v>
      </c>
      <c r="E1333" s="161"/>
      <c r="F1333" s="162" t="s">
        <v>40</v>
      </c>
      <c r="G1333" s="163"/>
      <c r="H1333" s="164"/>
      <c r="I1333" s="163"/>
      <c r="J1333" s="164"/>
      <c r="K1333" s="163"/>
      <c r="L1333" s="164"/>
      <c r="M1333" s="11"/>
      <c r="N1333" s="39"/>
      <c r="Q1333" s="15" t="str">
        <f>+CONCATENATE(E1333,G1333)</f>
        <v/>
      </c>
      <c r="R1333" s="15">
        <f>+H1333</f>
        <v>0</v>
      </c>
      <c r="S1333" s="16"/>
      <c r="T1333" s="15">
        <f>+E1333</f>
        <v>0</v>
      </c>
      <c r="U1333" s="26" t="str">
        <f>IFERROR(LEFT(G1333,FIND("*",G1333)-1),"-")</f>
        <v>-</v>
      </c>
      <c r="V1333" s="26" t="str">
        <f>IFERROR(RIGHT(G1333,LEN(G1333)-FIND("*",G1333)),"-")</f>
        <v>-</v>
      </c>
      <c r="W1333" s="27" t="str">
        <f>IFERROR((U1333+V1333)*2/1000,"-")</f>
        <v>-</v>
      </c>
      <c r="X1333" s="27" t="str">
        <f>IFERROR(W1333*H1333,"-")</f>
        <v>-</v>
      </c>
      <c r="Z1333" s="94" t="s">
        <v>82</v>
      </c>
    </row>
    <row r="1334" spans="1:26" s="25" customFormat="1" ht="6.95" customHeight="1" x14ac:dyDescent="0.3">
      <c r="A1334" s="165"/>
      <c r="B1334" s="168"/>
      <c r="C1334" s="169"/>
      <c r="D1334" s="160"/>
      <c r="E1334" s="161"/>
      <c r="F1334" s="162"/>
      <c r="G1334" s="163"/>
      <c r="H1334" s="164"/>
      <c r="I1334" s="163"/>
      <c r="J1334" s="164"/>
      <c r="K1334" s="163"/>
      <c r="L1334" s="164"/>
      <c r="M1334" s="11"/>
      <c r="N1334" s="39"/>
      <c r="Q1334" s="15" t="str">
        <f>+CONCATENATE(E1333,I1333)</f>
        <v/>
      </c>
      <c r="R1334" s="15">
        <f>+J1333</f>
        <v>0</v>
      </c>
      <c r="S1334" s="16"/>
      <c r="T1334" s="15">
        <f>+E1333</f>
        <v>0</v>
      </c>
      <c r="U1334" s="26" t="str">
        <f>IFERROR(LEFT(I1333,FIND("*",I1333)-1),"-")</f>
        <v>-</v>
      </c>
      <c r="V1334" s="26" t="str">
        <f>IFERROR(RIGHT(I1333,LEN(I1333)-FIND("*",I1333)),"-")</f>
        <v>-</v>
      </c>
      <c r="W1334" s="27" t="str">
        <f t="shared" ref="W1334:W1341" si="724">IFERROR((U1334+V1334)*2/1000,"-")</f>
        <v>-</v>
      </c>
      <c r="X1334" s="27" t="str">
        <f>IFERROR(W1334*J1333,"-")</f>
        <v>-</v>
      </c>
      <c r="Z1334" s="94" t="s">
        <v>82</v>
      </c>
    </row>
    <row r="1335" spans="1:26" s="25" customFormat="1" ht="6.95" customHeight="1" x14ac:dyDescent="0.3">
      <c r="A1335" s="165"/>
      <c r="B1335" s="168"/>
      <c r="C1335" s="169"/>
      <c r="D1335" s="160"/>
      <c r="E1335" s="161"/>
      <c r="F1335" s="162"/>
      <c r="G1335" s="163"/>
      <c r="H1335" s="164"/>
      <c r="I1335" s="163"/>
      <c r="J1335" s="164"/>
      <c r="K1335" s="163"/>
      <c r="L1335" s="164"/>
      <c r="M1335" s="11"/>
      <c r="N1335" s="39"/>
      <c r="Q1335" s="15" t="str">
        <f>+CONCATENATE(E1333,K1333)</f>
        <v/>
      </c>
      <c r="R1335" s="15">
        <f>+L1333</f>
        <v>0</v>
      </c>
      <c r="S1335" s="16"/>
      <c r="T1335" s="15">
        <f>+E1333</f>
        <v>0</v>
      </c>
      <c r="U1335" s="26" t="str">
        <f>IFERROR(LEFT(K1333,FIND("*",K1333)-1),"-")</f>
        <v>-</v>
      </c>
      <c r="V1335" s="26" t="str">
        <f>IFERROR(RIGHT(K1333,LEN(K1333)-FIND("*",K1333)),"-")</f>
        <v>-</v>
      </c>
      <c r="W1335" s="27" t="str">
        <f t="shared" si="724"/>
        <v>-</v>
      </c>
      <c r="X1335" s="27" t="str">
        <f>IFERROR(W1335*L1333,"-")</f>
        <v>-</v>
      </c>
      <c r="Z1335" s="94" t="s">
        <v>82</v>
      </c>
    </row>
    <row r="1336" spans="1:26" s="25" customFormat="1" ht="6.95" customHeight="1" x14ac:dyDescent="0.3">
      <c r="A1336" s="13"/>
      <c r="B1336" s="168"/>
      <c r="C1336" s="169"/>
      <c r="D1336" s="160" t="s">
        <v>39</v>
      </c>
      <c r="E1336" s="161"/>
      <c r="F1336" s="162" t="s">
        <v>40</v>
      </c>
      <c r="G1336" s="163"/>
      <c r="H1336" s="164"/>
      <c r="I1336" s="163"/>
      <c r="J1336" s="164"/>
      <c r="K1336" s="163"/>
      <c r="L1336" s="164"/>
      <c r="M1336" s="11"/>
      <c r="N1336" s="39"/>
      <c r="Q1336" s="15" t="str">
        <f>+CONCATENATE(E1336,G1336)</f>
        <v/>
      </c>
      <c r="R1336" s="15">
        <f>+H1336</f>
        <v>0</v>
      </c>
      <c r="S1336" s="16"/>
      <c r="T1336" s="15">
        <f>+E1336</f>
        <v>0</v>
      </c>
      <c r="U1336" s="26" t="str">
        <f t="shared" ref="U1336" si="725">IFERROR(LEFT(G1336,FIND("*",G1336)-1),"-")</f>
        <v>-</v>
      </c>
      <c r="V1336" s="26" t="str">
        <f t="shared" ref="V1336" si="726">IFERROR(RIGHT(G1336,LEN(G1336)-FIND("*",G1336)),"-")</f>
        <v>-</v>
      </c>
      <c r="W1336" s="27" t="str">
        <f t="shared" si="724"/>
        <v>-</v>
      </c>
      <c r="X1336" s="27" t="str">
        <f>IFERROR(W1336*H1336,"-")</f>
        <v>-</v>
      </c>
      <c r="Z1336" s="94" t="s">
        <v>82</v>
      </c>
    </row>
    <row r="1337" spans="1:26" s="25" customFormat="1" ht="6.95" customHeight="1" x14ac:dyDescent="0.3">
      <c r="A1337" s="10"/>
      <c r="B1337" s="168"/>
      <c r="C1337" s="169"/>
      <c r="D1337" s="160"/>
      <c r="E1337" s="161"/>
      <c r="F1337" s="162"/>
      <c r="G1337" s="163"/>
      <c r="H1337" s="164"/>
      <c r="I1337" s="163"/>
      <c r="J1337" s="164"/>
      <c r="K1337" s="163"/>
      <c r="L1337" s="164"/>
      <c r="M1337" s="11"/>
      <c r="N1337" s="39"/>
      <c r="Q1337" s="15" t="str">
        <f>+CONCATENATE(E1336,I1336)</f>
        <v/>
      </c>
      <c r="R1337" s="15">
        <f>+J1336</f>
        <v>0</v>
      </c>
      <c r="S1337" s="16"/>
      <c r="T1337" s="15">
        <f>+E1336</f>
        <v>0</v>
      </c>
      <c r="U1337" s="26" t="str">
        <f>IFERROR(LEFT(I1336,FIND("*",I1336)-1),"-")</f>
        <v>-</v>
      </c>
      <c r="V1337" s="26" t="str">
        <f>IFERROR(RIGHT(I1336,LEN(I1336)-FIND("*",I1336)),"-")</f>
        <v>-</v>
      </c>
      <c r="W1337" s="27" t="str">
        <f t="shared" si="724"/>
        <v>-</v>
      </c>
      <c r="X1337" s="27" t="str">
        <f>IFERROR(W1337*J1336,"-")</f>
        <v>-</v>
      </c>
      <c r="Z1337" s="94" t="s">
        <v>82</v>
      </c>
    </row>
    <row r="1338" spans="1:26" s="25" customFormat="1" ht="6.95" customHeight="1" x14ac:dyDescent="0.3">
      <c r="A1338" s="10"/>
      <c r="B1338" s="168"/>
      <c r="C1338" s="169"/>
      <c r="D1338" s="160"/>
      <c r="E1338" s="161"/>
      <c r="F1338" s="162"/>
      <c r="G1338" s="163"/>
      <c r="H1338" s="164"/>
      <c r="I1338" s="163"/>
      <c r="J1338" s="164"/>
      <c r="K1338" s="163"/>
      <c r="L1338" s="164"/>
      <c r="M1338" s="11"/>
      <c r="N1338" s="39"/>
      <c r="Q1338" s="15" t="str">
        <f>+CONCATENATE(E1336,K1336)</f>
        <v/>
      </c>
      <c r="R1338" s="15">
        <f>+L1336</f>
        <v>0</v>
      </c>
      <c r="S1338" s="16"/>
      <c r="T1338" s="15">
        <f>+E1336</f>
        <v>0</v>
      </c>
      <c r="U1338" s="26" t="str">
        <f>IFERROR(LEFT(K1336,FIND("*",K1336)-1),"-")</f>
        <v>-</v>
      </c>
      <c r="V1338" s="26" t="str">
        <f>IFERROR(RIGHT(K1336,LEN(K1336)-FIND("*",K1336)),"-")</f>
        <v>-</v>
      </c>
      <c r="W1338" s="27" t="str">
        <f t="shared" si="724"/>
        <v>-</v>
      </c>
      <c r="X1338" s="27" t="str">
        <f>IFERROR(W1338*L1336,"-")</f>
        <v>-</v>
      </c>
      <c r="Z1338" s="94" t="s">
        <v>82</v>
      </c>
    </row>
    <row r="1339" spans="1:26" s="25" customFormat="1" ht="6.95" customHeight="1" x14ac:dyDescent="0.3">
      <c r="A1339" s="13"/>
      <c r="B1339" s="168"/>
      <c r="C1339" s="169"/>
      <c r="D1339" s="160" t="s">
        <v>39</v>
      </c>
      <c r="E1339" s="161"/>
      <c r="F1339" s="162" t="s">
        <v>40</v>
      </c>
      <c r="G1339" s="163"/>
      <c r="H1339" s="164"/>
      <c r="I1339" s="163"/>
      <c r="J1339" s="164"/>
      <c r="K1339" s="163"/>
      <c r="L1339" s="164"/>
      <c r="M1339" s="11"/>
      <c r="N1339" s="39"/>
      <c r="Q1339" s="15" t="str">
        <f>+CONCATENATE(E1339,G1339)</f>
        <v/>
      </c>
      <c r="R1339" s="15">
        <f>+H1339</f>
        <v>0</v>
      </c>
      <c r="S1339" s="16"/>
      <c r="T1339" s="15">
        <f>+E1339</f>
        <v>0</v>
      </c>
      <c r="U1339" s="26" t="str">
        <f t="shared" ref="U1339" si="727">IFERROR(LEFT(G1339,FIND("*",G1339)-1),"-")</f>
        <v>-</v>
      </c>
      <c r="V1339" s="26" t="str">
        <f t="shared" ref="V1339" si="728">IFERROR(RIGHT(G1339,LEN(G1339)-FIND("*",G1339)),"-")</f>
        <v>-</v>
      </c>
      <c r="W1339" s="27" t="str">
        <f t="shared" si="724"/>
        <v>-</v>
      </c>
      <c r="X1339" s="27" t="str">
        <f>IFERROR(W1339*H1339,"-")</f>
        <v>-</v>
      </c>
      <c r="Z1339" s="94" t="s">
        <v>82</v>
      </c>
    </row>
    <row r="1340" spans="1:26" s="25" customFormat="1" ht="6.95" customHeight="1" x14ac:dyDescent="0.3">
      <c r="A1340" s="10"/>
      <c r="B1340" s="168"/>
      <c r="C1340" s="169"/>
      <c r="D1340" s="160"/>
      <c r="E1340" s="161"/>
      <c r="F1340" s="162"/>
      <c r="G1340" s="163"/>
      <c r="H1340" s="164"/>
      <c r="I1340" s="163"/>
      <c r="J1340" s="164"/>
      <c r="K1340" s="163"/>
      <c r="L1340" s="164"/>
      <c r="M1340" s="11"/>
      <c r="N1340" s="39"/>
      <c r="Q1340" s="15" t="str">
        <f>+CONCATENATE(E1339,I1339)</f>
        <v/>
      </c>
      <c r="R1340" s="15">
        <f>+J1339</f>
        <v>0</v>
      </c>
      <c r="S1340" s="16"/>
      <c r="T1340" s="15">
        <f>+E1339</f>
        <v>0</v>
      </c>
      <c r="U1340" s="26" t="str">
        <f>IFERROR(LEFT(I1339,FIND("*",I1339)-1),"-")</f>
        <v>-</v>
      </c>
      <c r="V1340" s="26" t="str">
        <f>IFERROR(RIGHT(I1339,LEN(I1339)-FIND("*",I1339)),"-")</f>
        <v>-</v>
      </c>
      <c r="W1340" s="27" t="str">
        <f t="shared" si="724"/>
        <v>-</v>
      </c>
      <c r="X1340" s="27" t="str">
        <f t="shared" ref="X1340" si="729">IFERROR(W1340*J1339,"-")</f>
        <v>-</v>
      </c>
      <c r="Z1340" s="94" t="s">
        <v>82</v>
      </c>
    </row>
    <row r="1341" spans="1:26" s="25" customFormat="1" ht="6.95" customHeight="1" x14ac:dyDescent="0.3">
      <c r="A1341" s="10"/>
      <c r="B1341" s="168"/>
      <c r="C1341" s="169"/>
      <c r="D1341" s="160"/>
      <c r="E1341" s="161"/>
      <c r="F1341" s="162"/>
      <c r="G1341" s="163"/>
      <c r="H1341" s="164"/>
      <c r="I1341" s="163"/>
      <c r="J1341" s="164"/>
      <c r="K1341" s="163"/>
      <c r="L1341" s="164"/>
      <c r="M1341" s="11"/>
      <c r="N1341" s="39"/>
      <c r="Q1341" s="15" t="str">
        <f>+CONCATENATE(E1339,K1339)</f>
        <v/>
      </c>
      <c r="R1341" s="15">
        <f>+L1339</f>
        <v>0</v>
      </c>
      <c r="S1341" s="16"/>
      <c r="T1341" s="15">
        <f>+E1339</f>
        <v>0</v>
      </c>
      <c r="U1341" s="26" t="str">
        <f>IFERROR(LEFT(K1339,FIND("*",K1339)-1),"-")</f>
        <v>-</v>
      </c>
      <c r="V1341" s="26" t="str">
        <f>IFERROR(RIGHT(K1339,LEN(K1339)-FIND("*",K1339)),"-")</f>
        <v>-</v>
      </c>
      <c r="W1341" s="27" t="str">
        <f t="shared" si="724"/>
        <v>-</v>
      </c>
      <c r="X1341" s="27" t="str">
        <f>IFERROR(W1341*L1339,"-")</f>
        <v>-</v>
      </c>
      <c r="Z1341" s="94" t="s">
        <v>82</v>
      </c>
    </row>
    <row r="1342" spans="1:26" s="25" customFormat="1" ht="21" customHeight="1" thickBot="1" x14ac:dyDescent="0.35">
      <c r="A1342" s="10"/>
      <c r="B1342" s="170"/>
      <c r="C1342" s="171"/>
      <c r="D1342" s="172" t="s">
        <v>43</v>
      </c>
      <c r="E1342" s="173"/>
      <c r="F1342" s="173"/>
      <c r="G1342" s="174"/>
      <c r="H1342" s="174"/>
      <c r="I1342" s="174"/>
      <c r="J1342" s="174"/>
      <c r="K1342" s="174"/>
      <c r="L1342" s="174"/>
      <c r="M1342" s="12"/>
      <c r="N1342" s="39"/>
      <c r="U1342" s="23"/>
      <c r="V1342" s="23"/>
      <c r="Z1342" s="95" t="s">
        <v>81</v>
      </c>
    </row>
    <row r="1343" spans="1:26" s="25" customFormat="1" ht="9.9499999999999993" customHeight="1" thickBot="1" x14ac:dyDescent="0.35">
      <c r="A1343" s="6"/>
      <c r="B1343" s="14"/>
      <c r="C1343" s="119"/>
      <c r="D1343" s="58"/>
      <c r="E1343" s="17"/>
      <c r="F1343" s="58"/>
      <c r="G1343" s="19"/>
      <c r="H1343" s="19"/>
      <c r="I1343" s="19"/>
      <c r="J1343" s="19"/>
      <c r="K1343" s="19"/>
      <c r="L1343" s="19"/>
      <c r="M1343" s="14"/>
      <c r="N1343" s="39"/>
      <c r="Q1343" s="1"/>
      <c r="R1343" s="1"/>
      <c r="S1343" s="1"/>
      <c r="T1343" s="1"/>
      <c r="U1343" s="24"/>
      <c r="V1343" s="24"/>
      <c r="W1343" s="1"/>
      <c r="X1343" s="1"/>
      <c r="Z1343" s="94" t="s">
        <v>82</v>
      </c>
    </row>
    <row r="1344" spans="1:26" s="25" customFormat="1" ht="6.95" customHeight="1" x14ac:dyDescent="0.3">
      <c r="A1344" s="165">
        <f>+A1333+1</f>
        <v>123</v>
      </c>
      <c r="B1344" s="166"/>
      <c r="C1344" s="167"/>
      <c r="D1344" s="160" t="s">
        <v>39</v>
      </c>
      <c r="E1344" s="161"/>
      <c r="F1344" s="162" t="s">
        <v>40</v>
      </c>
      <c r="G1344" s="163"/>
      <c r="H1344" s="164"/>
      <c r="I1344" s="163"/>
      <c r="J1344" s="164"/>
      <c r="K1344" s="163"/>
      <c r="L1344" s="164"/>
      <c r="M1344" s="11"/>
      <c r="N1344" s="39"/>
      <c r="Q1344" s="15" t="str">
        <f>+CONCATENATE(E1344,G1344)</f>
        <v/>
      </c>
      <c r="R1344" s="15">
        <f>+H1344</f>
        <v>0</v>
      </c>
      <c r="S1344" s="16"/>
      <c r="T1344" s="15">
        <f>+E1344</f>
        <v>0</v>
      </c>
      <c r="U1344" s="26" t="str">
        <f>IFERROR(LEFT(G1344,FIND("*",G1344)-1),"-")</f>
        <v>-</v>
      </c>
      <c r="V1344" s="26" t="str">
        <f>IFERROR(RIGHT(G1344,LEN(G1344)-FIND("*",G1344)),"-")</f>
        <v>-</v>
      </c>
      <c r="W1344" s="27" t="str">
        <f>IFERROR((U1344+V1344)*2/1000,"-")</f>
        <v>-</v>
      </c>
      <c r="X1344" s="27" t="str">
        <f>IFERROR(W1344*H1344,"-")</f>
        <v>-</v>
      </c>
      <c r="Z1344" s="94" t="s">
        <v>82</v>
      </c>
    </row>
    <row r="1345" spans="1:26" s="25" customFormat="1" ht="6.95" customHeight="1" x14ac:dyDescent="0.3">
      <c r="A1345" s="165"/>
      <c r="B1345" s="168"/>
      <c r="C1345" s="169"/>
      <c r="D1345" s="160"/>
      <c r="E1345" s="161"/>
      <c r="F1345" s="162"/>
      <c r="G1345" s="163"/>
      <c r="H1345" s="164"/>
      <c r="I1345" s="163"/>
      <c r="J1345" s="164"/>
      <c r="K1345" s="163"/>
      <c r="L1345" s="164"/>
      <c r="M1345" s="11"/>
      <c r="N1345" s="39"/>
      <c r="Q1345" s="15" t="str">
        <f>+CONCATENATE(E1344,I1344)</f>
        <v/>
      </c>
      <c r="R1345" s="15">
        <f>+J1344</f>
        <v>0</v>
      </c>
      <c r="S1345" s="16"/>
      <c r="T1345" s="15">
        <f>+E1344</f>
        <v>0</v>
      </c>
      <c r="U1345" s="26" t="str">
        <f>IFERROR(LEFT(I1344,FIND("*",I1344)-1),"-")</f>
        <v>-</v>
      </c>
      <c r="V1345" s="26" t="str">
        <f>IFERROR(RIGHT(I1344,LEN(I1344)-FIND("*",I1344)),"-")</f>
        <v>-</v>
      </c>
      <c r="W1345" s="27" t="str">
        <f t="shared" ref="W1345:W1352" si="730">IFERROR((U1345+V1345)*2/1000,"-")</f>
        <v>-</v>
      </c>
      <c r="X1345" s="27" t="str">
        <f>IFERROR(W1345*J1344,"-")</f>
        <v>-</v>
      </c>
      <c r="Z1345" s="94" t="s">
        <v>82</v>
      </c>
    </row>
    <row r="1346" spans="1:26" s="25" customFormat="1" ht="6.95" customHeight="1" x14ac:dyDescent="0.3">
      <c r="A1346" s="165"/>
      <c r="B1346" s="168"/>
      <c r="C1346" s="169"/>
      <c r="D1346" s="160"/>
      <c r="E1346" s="161"/>
      <c r="F1346" s="162"/>
      <c r="G1346" s="163"/>
      <c r="H1346" s="164"/>
      <c r="I1346" s="163"/>
      <c r="J1346" s="164"/>
      <c r="K1346" s="163"/>
      <c r="L1346" s="164"/>
      <c r="M1346" s="11"/>
      <c r="N1346" s="39"/>
      <c r="Q1346" s="15" t="str">
        <f>+CONCATENATE(E1344,K1344)</f>
        <v/>
      </c>
      <c r="R1346" s="15">
        <f>+L1344</f>
        <v>0</v>
      </c>
      <c r="S1346" s="16"/>
      <c r="T1346" s="15">
        <f>+E1344</f>
        <v>0</v>
      </c>
      <c r="U1346" s="26" t="str">
        <f>IFERROR(LEFT(K1344,FIND("*",K1344)-1),"-")</f>
        <v>-</v>
      </c>
      <c r="V1346" s="26" t="str">
        <f>IFERROR(RIGHT(K1344,LEN(K1344)-FIND("*",K1344)),"-")</f>
        <v>-</v>
      </c>
      <c r="W1346" s="27" t="str">
        <f t="shared" si="730"/>
        <v>-</v>
      </c>
      <c r="X1346" s="27" t="str">
        <f>IFERROR(W1346*L1344,"-")</f>
        <v>-</v>
      </c>
      <c r="Z1346" s="94" t="s">
        <v>82</v>
      </c>
    </row>
    <row r="1347" spans="1:26" s="25" customFormat="1" ht="6.95" customHeight="1" x14ac:dyDescent="0.3">
      <c r="A1347" s="13"/>
      <c r="B1347" s="168"/>
      <c r="C1347" s="169"/>
      <c r="D1347" s="160" t="s">
        <v>39</v>
      </c>
      <c r="E1347" s="161"/>
      <c r="F1347" s="162" t="s">
        <v>40</v>
      </c>
      <c r="G1347" s="163"/>
      <c r="H1347" s="164"/>
      <c r="I1347" s="163"/>
      <c r="J1347" s="164"/>
      <c r="K1347" s="163"/>
      <c r="L1347" s="164"/>
      <c r="M1347" s="11"/>
      <c r="N1347" s="39"/>
      <c r="Q1347" s="15" t="str">
        <f>+CONCATENATE(E1347,G1347)</f>
        <v/>
      </c>
      <c r="R1347" s="15">
        <f>+H1347</f>
        <v>0</v>
      </c>
      <c r="S1347" s="16"/>
      <c r="T1347" s="15">
        <f>+E1347</f>
        <v>0</v>
      </c>
      <c r="U1347" s="26" t="str">
        <f t="shared" ref="U1347" si="731">IFERROR(LEFT(G1347,FIND("*",G1347)-1),"-")</f>
        <v>-</v>
      </c>
      <c r="V1347" s="26" t="str">
        <f t="shared" ref="V1347" si="732">IFERROR(RIGHT(G1347,LEN(G1347)-FIND("*",G1347)),"-")</f>
        <v>-</v>
      </c>
      <c r="W1347" s="27" t="str">
        <f t="shared" si="730"/>
        <v>-</v>
      </c>
      <c r="X1347" s="27" t="str">
        <f>IFERROR(W1347*H1347,"-")</f>
        <v>-</v>
      </c>
      <c r="Z1347" s="94" t="s">
        <v>82</v>
      </c>
    </row>
    <row r="1348" spans="1:26" s="25" customFormat="1" ht="6.95" customHeight="1" x14ac:dyDescent="0.3">
      <c r="A1348" s="10"/>
      <c r="B1348" s="168"/>
      <c r="C1348" s="169"/>
      <c r="D1348" s="160"/>
      <c r="E1348" s="161"/>
      <c r="F1348" s="162"/>
      <c r="G1348" s="163"/>
      <c r="H1348" s="164"/>
      <c r="I1348" s="163"/>
      <c r="J1348" s="164"/>
      <c r="K1348" s="163"/>
      <c r="L1348" s="164"/>
      <c r="M1348" s="11"/>
      <c r="N1348" s="39"/>
      <c r="Q1348" s="15" t="str">
        <f>+CONCATENATE(E1347,I1347)</f>
        <v/>
      </c>
      <c r="R1348" s="15">
        <f>+J1347</f>
        <v>0</v>
      </c>
      <c r="S1348" s="16"/>
      <c r="T1348" s="15">
        <f>+E1347</f>
        <v>0</v>
      </c>
      <c r="U1348" s="26" t="str">
        <f>IFERROR(LEFT(I1347,FIND("*",I1347)-1),"-")</f>
        <v>-</v>
      </c>
      <c r="V1348" s="26" t="str">
        <f>IFERROR(RIGHT(I1347,LEN(I1347)-FIND("*",I1347)),"-")</f>
        <v>-</v>
      </c>
      <c r="W1348" s="27" t="str">
        <f t="shared" si="730"/>
        <v>-</v>
      </c>
      <c r="X1348" s="27" t="str">
        <f>IFERROR(W1348*J1347,"-")</f>
        <v>-</v>
      </c>
      <c r="Z1348" s="94" t="s">
        <v>82</v>
      </c>
    </row>
    <row r="1349" spans="1:26" s="25" customFormat="1" ht="6.95" customHeight="1" x14ac:dyDescent="0.3">
      <c r="A1349" s="10"/>
      <c r="B1349" s="168"/>
      <c r="C1349" s="169"/>
      <c r="D1349" s="160"/>
      <c r="E1349" s="161"/>
      <c r="F1349" s="162"/>
      <c r="G1349" s="163"/>
      <c r="H1349" s="164"/>
      <c r="I1349" s="163"/>
      <c r="J1349" s="164"/>
      <c r="K1349" s="163"/>
      <c r="L1349" s="164"/>
      <c r="M1349" s="11"/>
      <c r="N1349" s="39"/>
      <c r="Q1349" s="15" t="str">
        <f>+CONCATENATE(E1347,K1347)</f>
        <v/>
      </c>
      <c r="R1349" s="15">
        <f>+L1347</f>
        <v>0</v>
      </c>
      <c r="S1349" s="16"/>
      <c r="T1349" s="15">
        <f>+E1347</f>
        <v>0</v>
      </c>
      <c r="U1349" s="26" t="str">
        <f>IFERROR(LEFT(K1347,FIND("*",K1347)-1),"-")</f>
        <v>-</v>
      </c>
      <c r="V1349" s="26" t="str">
        <f>IFERROR(RIGHT(K1347,LEN(K1347)-FIND("*",K1347)),"-")</f>
        <v>-</v>
      </c>
      <c r="W1349" s="27" t="str">
        <f t="shared" si="730"/>
        <v>-</v>
      </c>
      <c r="X1349" s="27" t="str">
        <f>IFERROR(W1349*L1347,"-")</f>
        <v>-</v>
      </c>
      <c r="Z1349" s="94" t="s">
        <v>82</v>
      </c>
    </row>
    <row r="1350" spans="1:26" s="25" customFormat="1" ht="6.95" customHeight="1" x14ac:dyDescent="0.3">
      <c r="A1350" s="13"/>
      <c r="B1350" s="168"/>
      <c r="C1350" s="169"/>
      <c r="D1350" s="160" t="s">
        <v>39</v>
      </c>
      <c r="E1350" s="161"/>
      <c r="F1350" s="162" t="s">
        <v>40</v>
      </c>
      <c r="G1350" s="163"/>
      <c r="H1350" s="164"/>
      <c r="I1350" s="163"/>
      <c r="J1350" s="164"/>
      <c r="K1350" s="163"/>
      <c r="L1350" s="164"/>
      <c r="M1350" s="11"/>
      <c r="N1350" s="39"/>
      <c r="Q1350" s="15" t="str">
        <f>+CONCATENATE(E1350,G1350)</f>
        <v/>
      </c>
      <c r="R1350" s="15">
        <f>+H1350</f>
        <v>0</v>
      </c>
      <c r="S1350" s="16"/>
      <c r="T1350" s="15">
        <f>+E1350</f>
        <v>0</v>
      </c>
      <c r="U1350" s="26" t="str">
        <f t="shared" ref="U1350" si="733">IFERROR(LEFT(G1350,FIND("*",G1350)-1),"-")</f>
        <v>-</v>
      </c>
      <c r="V1350" s="26" t="str">
        <f t="shared" ref="V1350" si="734">IFERROR(RIGHT(G1350,LEN(G1350)-FIND("*",G1350)),"-")</f>
        <v>-</v>
      </c>
      <c r="W1350" s="27" t="str">
        <f t="shared" si="730"/>
        <v>-</v>
      </c>
      <c r="X1350" s="27" t="str">
        <f>IFERROR(W1350*H1350,"-")</f>
        <v>-</v>
      </c>
      <c r="Z1350" s="94" t="s">
        <v>82</v>
      </c>
    </row>
    <row r="1351" spans="1:26" s="25" customFormat="1" ht="6.95" customHeight="1" x14ac:dyDescent="0.3">
      <c r="A1351" s="10"/>
      <c r="B1351" s="168"/>
      <c r="C1351" s="169"/>
      <c r="D1351" s="160"/>
      <c r="E1351" s="161"/>
      <c r="F1351" s="162"/>
      <c r="G1351" s="163"/>
      <c r="H1351" s="164"/>
      <c r="I1351" s="163"/>
      <c r="J1351" s="164"/>
      <c r="K1351" s="163"/>
      <c r="L1351" s="164"/>
      <c r="M1351" s="11"/>
      <c r="N1351" s="39"/>
      <c r="Q1351" s="15" t="str">
        <f>+CONCATENATE(E1350,I1350)</f>
        <v/>
      </c>
      <c r="R1351" s="15">
        <f>+J1350</f>
        <v>0</v>
      </c>
      <c r="S1351" s="16"/>
      <c r="T1351" s="15">
        <f>+E1350</f>
        <v>0</v>
      </c>
      <c r="U1351" s="26" t="str">
        <f>IFERROR(LEFT(I1350,FIND("*",I1350)-1),"-")</f>
        <v>-</v>
      </c>
      <c r="V1351" s="26" t="str">
        <f>IFERROR(RIGHT(I1350,LEN(I1350)-FIND("*",I1350)),"-")</f>
        <v>-</v>
      </c>
      <c r="W1351" s="27" t="str">
        <f t="shared" si="730"/>
        <v>-</v>
      </c>
      <c r="X1351" s="27" t="str">
        <f t="shared" ref="X1351" si="735">IFERROR(W1351*J1350,"-")</f>
        <v>-</v>
      </c>
      <c r="Z1351" s="94" t="s">
        <v>82</v>
      </c>
    </row>
    <row r="1352" spans="1:26" s="25" customFormat="1" ht="6.95" customHeight="1" x14ac:dyDescent="0.3">
      <c r="A1352" s="10"/>
      <c r="B1352" s="168"/>
      <c r="C1352" s="169"/>
      <c r="D1352" s="160"/>
      <c r="E1352" s="161"/>
      <c r="F1352" s="162"/>
      <c r="G1352" s="163"/>
      <c r="H1352" s="164"/>
      <c r="I1352" s="163"/>
      <c r="J1352" s="164"/>
      <c r="K1352" s="163"/>
      <c r="L1352" s="164"/>
      <c r="M1352" s="11"/>
      <c r="N1352" s="39"/>
      <c r="Q1352" s="15" t="str">
        <f>+CONCATENATE(E1350,K1350)</f>
        <v/>
      </c>
      <c r="R1352" s="15">
        <f>+L1350</f>
        <v>0</v>
      </c>
      <c r="S1352" s="16"/>
      <c r="T1352" s="15">
        <f>+E1350</f>
        <v>0</v>
      </c>
      <c r="U1352" s="26" t="str">
        <f>IFERROR(LEFT(K1350,FIND("*",K1350)-1),"-")</f>
        <v>-</v>
      </c>
      <c r="V1352" s="26" t="str">
        <f>IFERROR(RIGHT(K1350,LEN(K1350)-FIND("*",K1350)),"-")</f>
        <v>-</v>
      </c>
      <c r="W1352" s="27" t="str">
        <f t="shared" si="730"/>
        <v>-</v>
      </c>
      <c r="X1352" s="27" t="str">
        <f>IFERROR(W1352*L1350,"-")</f>
        <v>-</v>
      </c>
      <c r="Z1352" s="94" t="s">
        <v>82</v>
      </c>
    </row>
    <row r="1353" spans="1:26" s="25" customFormat="1" ht="21" customHeight="1" thickBot="1" x14ac:dyDescent="0.35">
      <c r="A1353" s="10"/>
      <c r="B1353" s="170"/>
      <c r="C1353" s="171"/>
      <c r="D1353" s="172" t="s">
        <v>43</v>
      </c>
      <c r="E1353" s="173"/>
      <c r="F1353" s="173"/>
      <c r="G1353" s="174"/>
      <c r="H1353" s="174"/>
      <c r="I1353" s="174"/>
      <c r="J1353" s="174"/>
      <c r="K1353" s="174"/>
      <c r="L1353" s="174"/>
      <c r="M1353" s="12"/>
      <c r="N1353" s="39"/>
      <c r="U1353" s="23"/>
      <c r="V1353" s="23"/>
      <c r="Z1353" s="95" t="s">
        <v>81</v>
      </c>
    </row>
    <row r="1354" spans="1:26" s="25" customFormat="1" ht="9.9499999999999993" customHeight="1" thickBot="1" x14ac:dyDescent="0.35">
      <c r="A1354" s="6"/>
      <c r="B1354" s="14"/>
      <c r="C1354" s="119"/>
      <c r="D1354" s="58"/>
      <c r="E1354" s="17"/>
      <c r="F1354" s="58"/>
      <c r="G1354" s="19"/>
      <c r="H1354" s="19"/>
      <c r="I1354" s="19"/>
      <c r="J1354" s="19"/>
      <c r="K1354" s="19"/>
      <c r="L1354" s="19"/>
      <c r="M1354" s="14"/>
      <c r="N1354" s="39"/>
      <c r="Q1354" s="1"/>
      <c r="R1354" s="1"/>
      <c r="S1354" s="1"/>
      <c r="T1354" s="1"/>
      <c r="U1354" s="24"/>
      <c r="V1354" s="24"/>
      <c r="W1354" s="1"/>
      <c r="X1354" s="1"/>
      <c r="Z1354" s="94" t="s">
        <v>82</v>
      </c>
    </row>
    <row r="1355" spans="1:26" s="25" customFormat="1" ht="6.95" customHeight="1" x14ac:dyDescent="0.3">
      <c r="A1355" s="165">
        <f>+A1344+1</f>
        <v>124</v>
      </c>
      <c r="B1355" s="166"/>
      <c r="C1355" s="167"/>
      <c r="D1355" s="160" t="s">
        <v>39</v>
      </c>
      <c r="E1355" s="161"/>
      <c r="F1355" s="162" t="s">
        <v>40</v>
      </c>
      <c r="G1355" s="163"/>
      <c r="H1355" s="164"/>
      <c r="I1355" s="163"/>
      <c r="J1355" s="164"/>
      <c r="K1355" s="163"/>
      <c r="L1355" s="164"/>
      <c r="M1355" s="11"/>
      <c r="N1355" s="39"/>
      <c r="Q1355" s="15" t="str">
        <f>+CONCATENATE(E1355,G1355)</f>
        <v/>
      </c>
      <c r="R1355" s="15">
        <f>+H1355</f>
        <v>0</v>
      </c>
      <c r="S1355" s="16"/>
      <c r="T1355" s="15">
        <f>+E1355</f>
        <v>0</v>
      </c>
      <c r="U1355" s="26" t="str">
        <f>IFERROR(LEFT(G1355,FIND("*",G1355)-1),"-")</f>
        <v>-</v>
      </c>
      <c r="V1355" s="26" t="str">
        <f>IFERROR(RIGHT(G1355,LEN(G1355)-FIND("*",G1355)),"-")</f>
        <v>-</v>
      </c>
      <c r="W1355" s="27" t="str">
        <f>IFERROR((U1355+V1355)*2/1000,"-")</f>
        <v>-</v>
      </c>
      <c r="X1355" s="27" t="str">
        <f>IFERROR(W1355*H1355,"-")</f>
        <v>-</v>
      </c>
      <c r="Z1355" s="94" t="s">
        <v>82</v>
      </c>
    </row>
    <row r="1356" spans="1:26" s="25" customFormat="1" ht="6.95" customHeight="1" x14ac:dyDescent="0.3">
      <c r="A1356" s="165"/>
      <c r="B1356" s="168"/>
      <c r="C1356" s="169"/>
      <c r="D1356" s="160"/>
      <c r="E1356" s="161"/>
      <c r="F1356" s="162"/>
      <c r="G1356" s="163"/>
      <c r="H1356" s="164"/>
      <c r="I1356" s="163"/>
      <c r="J1356" s="164"/>
      <c r="K1356" s="163"/>
      <c r="L1356" s="164"/>
      <c r="M1356" s="11"/>
      <c r="N1356" s="39"/>
      <c r="Q1356" s="15" t="str">
        <f>+CONCATENATE(E1355,I1355)</f>
        <v/>
      </c>
      <c r="R1356" s="15">
        <f>+J1355</f>
        <v>0</v>
      </c>
      <c r="S1356" s="16"/>
      <c r="T1356" s="15">
        <f>+E1355</f>
        <v>0</v>
      </c>
      <c r="U1356" s="26" t="str">
        <f>IFERROR(LEFT(I1355,FIND("*",I1355)-1),"-")</f>
        <v>-</v>
      </c>
      <c r="V1356" s="26" t="str">
        <f>IFERROR(RIGHT(I1355,LEN(I1355)-FIND("*",I1355)),"-")</f>
        <v>-</v>
      </c>
      <c r="W1356" s="27" t="str">
        <f t="shared" ref="W1356:W1363" si="736">IFERROR((U1356+V1356)*2/1000,"-")</f>
        <v>-</v>
      </c>
      <c r="X1356" s="27" t="str">
        <f>IFERROR(W1356*J1355,"-")</f>
        <v>-</v>
      </c>
      <c r="Z1356" s="94" t="s">
        <v>82</v>
      </c>
    </row>
    <row r="1357" spans="1:26" s="25" customFormat="1" ht="6.95" customHeight="1" x14ac:dyDescent="0.3">
      <c r="A1357" s="165"/>
      <c r="B1357" s="168"/>
      <c r="C1357" s="169"/>
      <c r="D1357" s="160"/>
      <c r="E1357" s="161"/>
      <c r="F1357" s="162"/>
      <c r="G1357" s="163"/>
      <c r="H1357" s="164"/>
      <c r="I1357" s="163"/>
      <c r="J1357" s="164"/>
      <c r="K1357" s="163"/>
      <c r="L1357" s="164"/>
      <c r="M1357" s="11"/>
      <c r="N1357" s="39"/>
      <c r="Q1357" s="15" t="str">
        <f>+CONCATENATE(E1355,K1355)</f>
        <v/>
      </c>
      <c r="R1357" s="15">
        <f>+L1355</f>
        <v>0</v>
      </c>
      <c r="S1357" s="16"/>
      <c r="T1357" s="15">
        <f>+E1355</f>
        <v>0</v>
      </c>
      <c r="U1357" s="26" t="str">
        <f>IFERROR(LEFT(K1355,FIND("*",K1355)-1),"-")</f>
        <v>-</v>
      </c>
      <c r="V1357" s="26" t="str">
        <f>IFERROR(RIGHT(K1355,LEN(K1355)-FIND("*",K1355)),"-")</f>
        <v>-</v>
      </c>
      <c r="W1357" s="27" t="str">
        <f t="shared" si="736"/>
        <v>-</v>
      </c>
      <c r="X1357" s="27" t="str">
        <f>IFERROR(W1357*L1355,"-")</f>
        <v>-</v>
      </c>
      <c r="Z1357" s="94" t="s">
        <v>82</v>
      </c>
    </row>
    <row r="1358" spans="1:26" s="25" customFormat="1" ht="6.95" customHeight="1" x14ac:dyDescent="0.3">
      <c r="A1358" s="13"/>
      <c r="B1358" s="168"/>
      <c r="C1358" s="169"/>
      <c r="D1358" s="160" t="s">
        <v>39</v>
      </c>
      <c r="E1358" s="161"/>
      <c r="F1358" s="162" t="s">
        <v>40</v>
      </c>
      <c r="G1358" s="163"/>
      <c r="H1358" s="164"/>
      <c r="I1358" s="163"/>
      <c r="J1358" s="164"/>
      <c r="K1358" s="163"/>
      <c r="L1358" s="164"/>
      <c r="M1358" s="11"/>
      <c r="N1358" s="39"/>
      <c r="Q1358" s="15" t="str">
        <f>+CONCATENATE(E1358,G1358)</f>
        <v/>
      </c>
      <c r="R1358" s="15">
        <f>+H1358</f>
        <v>0</v>
      </c>
      <c r="S1358" s="16"/>
      <c r="T1358" s="15">
        <f>+E1358</f>
        <v>0</v>
      </c>
      <c r="U1358" s="26" t="str">
        <f t="shared" ref="U1358" si="737">IFERROR(LEFT(G1358,FIND("*",G1358)-1),"-")</f>
        <v>-</v>
      </c>
      <c r="V1358" s="26" t="str">
        <f t="shared" ref="V1358" si="738">IFERROR(RIGHT(G1358,LEN(G1358)-FIND("*",G1358)),"-")</f>
        <v>-</v>
      </c>
      <c r="W1358" s="27" t="str">
        <f t="shared" si="736"/>
        <v>-</v>
      </c>
      <c r="X1358" s="27" t="str">
        <f>IFERROR(W1358*H1358,"-")</f>
        <v>-</v>
      </c>
      <c r="Z1358" s="94" t="s">
        <v>82</v>
      </c>
    </row>
    <row r="1359" spans="1:26" s="25" customFormat="1" ht="6.95" customHeight="1" x14ac:dyDescent="0.3">
      <c r="A1359" s="10"/>
      <c r="B1359" s="168"/>
      <c r="C1359" s="169"/>
      <c r="D1359" s="160"/>
      <c r="E1359" s="161"/>
      <c r="F1359" s="162"/>
      <c r="G1359" s="163"/>
      <c r="H1359" s="164"/>
      <c r="I1359" s="163"/>
      <c r="J1359" s="164"/>
      <c r="K1359" s="163"/>
      <c r="L1359" s="164"/>
      <c r="M1359" s="11"/>
      <c r="N1359" s="39"/>
      <c r="Q1359" s="15" t="str">
        <f>+CONCATENATE(E1358,I1358)</f>
        <v/>
      </c>
      <c r="R1359" s="15">
        <f>+J1358</f>
        <v>0</v>
      </c>
      <c r="S1359" s="16"/>
      <c r="T1359" s="15">
        <f>+E1358</f>
        <v>0</v>
      </c>
      <c r="U1359" s="26" t="str">
        <f>IFERROR(LEFT(I1358,FIND("*",I1358)-1),"-")</f>
        <v>-</v>
      </c>
      <c r="V1359" s="26" t="str">
        <f>IFERROR(RIGHT(I1358,LEN(I1358)-FIND("*",I1358)),"-")</f>
        <v>-</v>
      </c>
      <c r="W1359" s="27" t="str">
        <f t="shared" si="736"/>
        <v>-</v>
      </c>
      <c r="X1359" s="27" t="str">
        <f>IFERROR(W1359*J1358,"-")</f>
        <v>-</v>
      </c>
      <c r="Z1359" s="94" t="s">
        <v>82</v>
      </c>
    </row>
    <row r="1360" spans="1:26" s="25" customFormat="1" ht="6.95" customHeight="1" x14ac:dyDescent="0.3">
      <c r="A1360" s="10"/>
      <c r="B1360" s="168"/>
      <c r="C1360" s="169"/>
      <c r="D1360" s="160"/>
      <c r="E1360" s="161"/>
      <c r="F1360" s="162"/>
      <c r="G1360" s="163"/>
      <c r="H1360" s="164"/>
      <c r="I1360" s="163"/>
      <c r="J1360" s="164"/>
      <c r="K1360" s="163"/>
      <c r="L1360" s="164"/>
      <c r="M1360" s="11"/>
      <c r="N1360" s="39"/>
      <c r="Q1360" s="15" t="str">
        <f>+CONCATENATE(E1358,K1358)</f>
        <v/>
      </c>
      <c r="R1360" s="15">
        <f>+L1358</f>
        <v>0</v>
      </c>
      <c r="S1360" s="16"/>
      <c r="T1360" s="15">
        <f>+E1358</f>
        <v>0</v>
      </c>
      <c r="U1360" s="26" t="str">
        <f>IFERROR(LEFT(K1358,FIND("*",K1358)-1),"-")</f>
        <v>-</v>
      </c>
      <c r="V1360" s="26" t="str">
        <f>IFERROR(RIGHT(K1358,LEN(K1358)-FIND("*",K1358)),"-")</f>
        <v>-</v>
      </c>
      <c r="W1360" s="27" t="str">
        <f t="shared" si="736"/>
        <v>-</v>
      </c>
      <c r="X1360" s="27" t="str">
        <f>IFERROR(W1360*L1358,"-")</f>
        <v>-</v>
      </c>
      <c r="Z1360" s="94" t="s">
        <v>82</v>
      </c>
    </row>
    <row r="1361" spans="1:26" s="25" customFormat="1" ht="6.95" customHeight="1" x14ac:dyDescent="0.3">
      <c r="A1361" s="13"/>
      <c r="B1361" s="168"/>
      <c r="C1361" s="169"/>
      <c r="D1361" s="160" t="s">
        <v>39</v>
      </c>
      <c r="E1361" s="161"/>
      <c r="F1361" s="162" t="s">
        <v>40</v>
      </c>
      <c r="G1361" s="163"/>
      <c r="H1361" s="164"/>
      <c r="I1361" s="163"/>
      <c r="J1361" s="164"/>
      <c r="K1361" s="163"/>
      <c r="L1361" s="164"/>
      <c r="M1361" s="11"/>
      <c r="N1361" s="39"/>
      <c r="Q1361" s="15" t="str">
        <f>+CONCATENATE(E1361,G1361)</f>
        <v/>
      </c>
      <c r="R1361" s="15">
        <f>+H1361</f>
        <v>0</v>
      </c>
      <c r="S1361" s="16"/>
      <c r="T1361" s="15">
        <f>+E1361</f>
        <v>0</v>
      </c>
      <c r="U1361" s="26" t="str">
        <f t="shared" ref="U1361" si="739">IFERROR(LEFT(G1361,FIND("*",G1361)-1),"-")</f>
        <v>-</v>
      </c>
      <c r="V1361" s="26" t="str">
        <f t="shared" ref="V1361" si="740">IFERROR(RIGHT(G1361,LEN(G1361)-FIND("*",G1361)),"-")</f>
        <v>-</v>
      </c>
      <c r="W1361" s="27" t="str">
        <f t="shared" si="736"/>
        <v>-</v>
      </c>
      <c r="X1361" s="27" t="str">
        <f>IFERROR(W1361*H1361,"-")</f>
        <v>-</v>
      </c>
      <c r="Z1361" s="94" t="s">
        <v>82</v>
      </c>
    </row>
    <row r="1362" spans="1:26" s="25" customFormat="1" ht="6.95" customHeight="1" x14ac:dyDescent="0.3">
      <c r="A1362" s="10"/>
      <c r="B1362" s="168"/>
      <c r="C1362" s="169"/>
      <c r="D1362" s="160"/>
      <c r="E1362" s="161"/>
      <c r="F1362" s="162"/>
      <c r="G1362" s="163"/>
      <c r="H1362" s="164"/>
      <c r="I1362" s="163"/>
      <c r="J1362" s="164"/>
      <c r="K1362" s="163"/>
      <c r="L1362" s="164"/>
      <c r="M1362" s="11"/>
      <c r="N1362" s="39"/>
      <c r="Q1362" s="15" t="str">
        <f>+CONCATENATE(E1361,I1361)</f>
        <v/>
      </c>
      <c r="R1362" s="15">
        <f>+J1361</f>
        <v>0</v>
      </c>
      <c r="S1362" s="16"/>
      <c r="T1362" s="15">
        <f>+E1361</f>
        <v>0</v>
      </c>
      <c r="U1362" s="26" t="str">
        <f>IFERROR(LEFT(I1361,FIND("*",I1361)-1),"-")</f>
        <v>-</v>
      </c>
      <c r="V1362" s="26" t="str">
        <f>IFERROR(RIGHT(I1361,LEN(I1361)-FIND("*",I1361)),"-")</f>
        <v>-</v>
      </c>
      <c r="W1362" s="27" t="str">
        <f t="shared" si="736"/>
        <v>-</v>
      </c>
      <c r="X1362" s="27" t="str">
        <f t="shared" ref="X1362" si="741">IFERROR(W1362*J1361,"-")</f>
        <v>-</v>
      </c>
      <c r="Z1362" s="94" t="s">
        <v>82</v>
      </c>
    </row>
    <row r="1363" spans="1:26" s="25" customFormat="1" ht="6.95" customHeight="1" x14ac:dyDescent="0.3">
      <c r="A1363" s="10"/>
      <c r="B1363" s="168"/>
      <c r="C1363" s="169"/>
      <c r="D1363" s="160"/>
      <c r="E1363" s="161"/>
      <c r="F1363" s="162"/>
      <c r="G1363" s="163"/>
      <c r="H1363" s="164"/>
      <c r="I1363" s="163"/>
      <c r="J1363" s="164"/>
      <c r="K1363" s="163"/>
      <c r="L1363" s="164"/>
      <c r="M1363" s="11"/>
      <c r="N1363" s="39"/>
      <c r="Q1363" s="15" t="str">
        <f>+CONCATENATE(E1361,K1361)</f>
        <v/>
      </c>
      <c r="R1363" s="15">
        <f>+L1361</f>
        <v>0</v>
      </c>
      <c r="S1363" s="16"/>
      <c r="T1363" s="15">
        <f>+E1361</f>
        <v>0</v>
      </c>
      <c r="U1363" s="26" t="str">
        <f>IFERROR(LEFT(K1361,FIND("*",K1361)-1),"-")</f>
        <v>-</v>
      </c>
      <c r="V1363" s="26" t="str">
        <f>IFERROR(RIGHT(K1361,LEN(K1361)-FIND("*",K1361)),"-")</f>
        <v>-</v>
      </c>
      <c r="W1363" s="27" t="str">
        <f t="shared" si="736"/>
        <v>-</v>
      </c>
      <c r="X1363" s="27" t="str">
        <f>IFERROR(W1363*L1361,"-")</f>
        <v>-</v>
      </c>
      <c r="Z1363" s="94" t="s">
        <v>82</v>
      </c>
    </row>
    <row r="1364" spans="1:26" s="25" customFormat="1" ht="21" customHeight="1" thickBot="1" x14ac:dyDescent="0.35">
      <c r="A1364" s="10"/>
      <c r="B1364" s="170"/>
      <c r="C1364" s="171"/>
      <c r="D1364" s="172" t="s">
        <v>43</v>
      </c>
      <c r="E1364" s="173"/>
      <c r="F1364" s="173"/>
      <c r="G1364" s="174"/>
      <c r="H1364" s="174"/>
      <c r="I1364" s="174"/>
      <c r="J1364" s="174"/>
      <c r="K1364" s="174"/>
      <c r="L1364" s="174"/>
      <c r="M1364" s="12"/>
      <c r="N1364" s="39"/>
      <c r="U1364" s="23"/>
      <c r="V1364" s="23"/>
      <c r="Z1364" s="95" t="s">
        <v>81</v>
      </c>
    </row>
    <row r="1365" spans="1:26" s="25" customFormat="1" ht="9.9499999999999993" customHeight="1" thickBot="1" x14ac:dyDescent="0.35">
      <c r="A1365" s="6"/>
      <c r="B1365" s="14"/>
      <c r="C1365" s="119"/>
      <c r="D1365" s="58"/>
      <c r="E1365" s="17"/>
      <c r="F1365" s="58"/>
      <c r="G1365" s="19"/>
      <c r="H1365" s="19"/>
      <c r="I1365" s="19"/>
      <c r="J1365" s="19"/>
      <c r="K1365" s="19"/>
      <c r="L1365" s="19"/>
      <c r="M1365" s="14"/>
      <c r="N1365" s="39"/>
      <c r="Q1365" s="1"/>
      <c r="R1365" s="1"/>
      <c r="S1365" s="1"/>
      <c r="T1365" s="1"/>
      <c r="U1365" s="24"/>
      <c r="V1365" s="24"/>
      <c r="W1365" s="1"/>
      <c r="X1365" s="1"/>
      <c r="Z1365" s="94" t="s">
        <v>82</v>
      </c>
    </row>
    <row r="1366" spans="1:26" s="25" customFormat="1" ht="6.95" customHeight="1" x14ac:dyDescent="0.3">
      <c r="A1366" s="165">
        <f>+A1355+1</f>
        <v>125</v>
      </c>
      <c r="B1366" s="166"/>
      <c r="C1366" s="167"/>
      <c r="D1366" s="160" t="s">
        <v>39</v>
      </c>
      <c r="E1366" s="161"/>
      <c r="F1366" s="162" t="s">
        <v>40</v>
      </c>
      <c r="G1366" s="163"/>
      <c r="H1366" s="164"/>
      <c r="I1366" s="163"/>
      <c r="J1366" s="164"/>
      <c r="K1366" s="163"/>
      <c r="L1366" s="164"/>
      <c r="M1366" s="11"/>
      <c r="N1366" s="39"/>
      <c r="Q1366" s="15" t="str">
        <f>+CONCATENATE(E1366,G1366)</f>
        <v/>
      </c>
      <c r="R1366" s="15">
        <f>+H1366</f>
        <v>0</v>
      </c>
      <c r="S1366" s="16"/>
      <c r="T1366" s="15">
        <f>+E1366</f>
        <v>0</v>
      </c>
      <c r="U1366" s="26" t="str">
        <f>IFERROR(LEFT(G1366,FIND("*",G1366)-1),"-")</f>
        <v>-</v>
      </c>
      <c r="V1366" s="26" t="str">
        <f>IFERROR(RIGHT(G1366,LEN(G1366)-FIND("*",G1366)),"-")</f>
        <v>-</v>
      </c>
      <c r="W1366" s="27" t="str">
        <f>IFERROR((U1366+V1366)*2/1000,"-")</f>
        <v>-</v>
      </c>
      <c r="X1366" s="27" t="str">
        <f>IFERROR(W1366*H1366,"-")</f>
        <v>-</v>
      </c>
      <c r="Z1366" s="94" t="s">
        <v>82</v>
      </c>
    </row>
    <row r="1367" spans="1:26" s="25" customFormat="1" ht="6.95" customHeight="1" x14ac:dyDescent="0.3">
      <c r="A1367" s="165"/>
      <c r="B1367" s="168"/>
      <c r="C1367" s="169"/>
      <c r="D1367" s="160"/>
      <c r="E1367" s="161"/>
      <c r="F1367" s="162"/>
      <c r="G1367" s="163"/>
      <c r="H1367" s="164"/>
      <c r="I1367" s="163"/>
      <c r="J1367" s="164"/>
      <c r="K1367" s="163"/>
      <c r="L1367" s="164"/>
      <c r="M1367" s="11"/>
      <c r="N1367" s="39"/>
      <c r="Q1367" s="15" t="str">
        <f>+CONCATENATE(E1366,I1366)</f>
        <v/>
      </c>
      <c r="R1367" s="15">
        <f>+J1366</f>
        <v>0</v>
      </c>
      <c r="S1367" s="16"/>
      <c r="T1367" s="15">
        <f>+E1366</f>
        <v>0</v>
      </c>
      <c r="U1367" s="26" t="str">
        <f>IFERROR(LEFT(I1366,FIND("*",I1366)-1),"-")</f>
        <v>-</v>
      </c>
      <c r="V1367" s="26" t="str">
        <f>IFERROR(RIGHT(I1366,LEN(I1366)-FIND("*",I1366)),"-")</f>
        <v>-</v>
      </c>
      <c r="W1367" s="27" t="str">
        <f t="shared" ref="W1367:W1374" si="742">IFERROR((U1367+V1367)*2/1000,"-")</f>
        <v>-</v>
      </c>
      <c r="X1367" s="27" t="str">
        <f>IFERROR(W1367*J1366,"-")</f>
        <v>-</v>
      </c>
      <c r="Z1367" s="94" t="s">
        <v>82</v>
      </c>
    </row>
    <row r="1368" spans="1:26" s="25" customFormat="1" ht="6.95" customHeight="1" x14ac:dyDescent="0.3">
      <c r="A1368" s="165"/>
      <c r="B1368" s="168"/>
      <c r="C1368" s="169"/>
      <c r="D1368" s="160"/>
      <c r="E1368" s="161"/>
      <c r="F1368" s="162"/>
      <c r="G1368" s="163"/>
      <c r="H1368" s="164"/>
      <c r="I1368" s="163"/>
      <c r="J1368" s="164"/>
      <c r="K1368" s="163"/>
      <c r="L1368" s="164"/>
      <c r="M1368" s="11"/>
      <c r="N1368" s="39"/>
      <c r="Q1368" s="15" t="str">
        <f>+CONCATENATE(E1366,K1366)</f>
        <v/>
      </c>
      <c r="R1368" s="15">
        <f>+L1366</f>
        <v>0</v>
      </c>
      <c r="S1368" s="16"/>
      <c r="T1368" s="15">
        <f>+E1366</f>
        <v>0</v>
      </c>
      <c r="U1368" s="26" t="str">
        <f>IFERROR(LEFT(K1366,FIND("*",K1366)-1),"-")</f>
        <v>-</v>
      </c>
      <c r="V1368" s="26" t="str">
        <f>IFERROR(RIGHT(K1366,LEN(K1366)-FIND("*",K1366)),"-")</f>
        <v>-</v>
      </c>
      <c r="W1368" s="27" t="str">
        <f t="shared" si="742"/>
        <v>-</v>
      </c>
      <c r="X1368" s="27" t="str">
        <f>IFERROR(W1368*L1366,"-")</f>
        <v>-</v>
      </c>
      <c r="Z1368" s="94" t="s">
        <v>82</v>
      </c>
    </row>
    <row r="1369" spans="1:26" s="25" customFormat="1" ht="6.95" customHeight="1" x14ac:dyDescent="0.3">
      <c r="A1369" s="13"/>
      <c r="B1369" s="168"/>
      <c r="C1369" s="169"/>
      <c r="D1369" s="160" t="s">
        <v>39</v>
      </c>
      <c r="E1369" s="161"/>
      <c r="F1369" s="162" t="s">
        <v>40</v>
      </c>
      <c r="G1369" s="163"/>
      <c r="H1369" s="164"/>
      <c r="I1369" s="163"/>
      <c r="J1369" s="164"/>
      <c r="K1369" s="163"/>
      <c r="L1369" s="164"/>
      <c r="M1369" s="11"/>
      <c r="N1369" s="39"/>
      <c r="Q1369" s="15" t="str">
        <f>+CONCATENATE(E1369,G1369)</f>
        <v/>
      </c>
      <c r="R1369" s="15">
        <f>+H1369</f>
        <v>0</v>
      </c>
      <c r="S1369" s="16"/>
      <c r="T1369" s="15">
        <f>+E1369</f>
        <v>0</v>
      </c>
      <c r="U1369" s="26" t="str">
        <f t="shared" ref="U1369" si="743">IFERROR(LEFT(G1369,FIND("*",G1369)-1),"-")</f>
        <v>-</v>
      </c>
      <c r="V1369" s="26" t="str">
        <f t="shared" ref="V1369" si="744">IFERROR(RIGHT(G1369,LEN(G1369)-FIND("*",G1369)),"-")</f>
        <v>-</v>
      </c>
      <c r="W1369" s="27" t="str">
        <f t="shared" si="742"/>
        <v>-</v>
      </c>
      <c r="X1369" s="27" t="str">
        <f>IFERROR(W1369*H1369,"-")</f>
        <v>-</v>
      </c>
      <c r="Z1369" s="94" t="s">
        <v>82</v>
      </c>
    </row>
    <row r="1370" spans="1:26" s="25" customFormat="1" ht="6.95" customHeight="1" x14ac:dyDescent="0.3">
      <c r="A1370" s="10"/>
      <c r="B1370" s="168"/>
      <c r="C1370" s="169"/>
      <c r="D1370" s="160"/>
      <c r="E1370" s="161"/>
      <c r="F1370" s="162"/>
      <c r="G1370" s="163"/>
      <c r="H1370" s="164"/>
      <c r="I1370" s="163"/>
      <c r="J1370" s="164"/>
      <c r="K1370" s="163"/>
      <c r="L1370" s="164"/>
      <c r="M1370" s="11"/>
      <c r="N1370" s="39"/>
      <c r="Q1370" s="15" t="str">
        <f>+CONCATENATE(E1369,I1369)</f>
        <v/>
      </c>
      <c r="R1370" s="15">
        <f>+J1369</f>
        <v>0</v>
      </c>
      <c r="S1370" s="16"/>
      <c r="T1370" s="15">
        <f>+E1369</f>
        <v>0</v>
      </c>
      <c r="U1370" s="26" t="str">
        <f>IFERROR(LEFT(I1369,FIND("*",I1369)-1),"-")</f>
        <v>-</v>
      </c>
      <c r="V1370" s="26" t="str">
        <f>IFERROR(RIGHT(I1369,LEN(I1369)-FIND("*",I1369)),"-")</f>
        <v>-</v>
      </c>
      <c r="W1370" s="27" t="str">
        <f t="shared" si="742"/>
        <v>-</v>
      </c>
      <c r="X1370" s="27" t="str">
        <f>IFERROR(W1370*J1369,"-")</f>
        <v>-</v>
      </c>
      <c r="Z1370" s="94" t="s">
        <v>82</v>
      </c>
    </row>
    <row r="1371" spans="1:26" s="25" customFormat="1" ht="6.95" customHeight="1" x14ac:dyDescent="0.3">
      <c r="A1371" s="10"/>
      <c r="B1371" s="168"/>
      <c r="C1371" s="169"/>
      <c r="D1371" s="160"/>
      <c r="E1371" s="161"/>
      <c r="F1371" s="162"/>
      <c r="G1371" s="163"/>
      <c r="H1371" s="164"/>
      <c r="I1371" s="163"/>
      <c r="J1371" s="164"/>
      <c r="K1371" s="163"/>
      <c r="L1371" s="164"/>
      <c r="M1371" s="11"/>
      <c r="N1371" s="39"/>
      <c r="Q1371" s="15" t="str">
        <f>+CONCATENATE(E1369,K1369)</f>
        <v/>
      </c>
      <c r="R1371" s="15">
        <f>+L1369</f>
        <v>0</v>
      </c>
      <c r="S1371" s="16"/>
      <c r="T1371" s="15">
        <f>+E1369</f>
        <v>0</v>
      </c>
      <c r="U1371" s="26" t="str">
        <f>IFERROR(LEFT(K1369,FIND("*",K1369)-1),"-")</f>
        <v>-</v>
      </c>
      <c r="V1371" s="26" t="str">
        <f>IFERROR(RIGHT(K1369,LEN(K1369)-FIND("*",K1369)),"-")</f>
        <v>-</v>
      </c>
      <c r="W1371" s="27" t="str">
        <f t="shared" si="742"/>
        <v>-</v>
      </c>
      <c r="X1371" s="27" t="str">
        <f>IFERROR(W1371*L1369,"-")</f>
        <v>-</v>
      </c>
      <c r="Z1371" s="94" t="s">
        <v>82</v>
      </c>
    </row>
    <row r="1372" spans="1:26" s="25" customFormat="1" ht="6.95" customHeight="1" x14ac:dyDescent="0.3">
      <c r="A1372" s="13"/>
      <c r="B1372" s="168"/>
      <c r="C1372" s="169"/>
      <c r="D1372" s="160" t="s">
        <v>39</v>
      </c>
      <c r="E1372" s="161"/>
      <c r="F1372" s="162" t="s">
        <v>40</v>
      </c>
      <c r="G1372" s="163"/>
      <c r="H1372" s="164"/>
      <c r="I1372" s="163"/>
      <c r="J1372" s="164"/>
      <c r="K1372" s="163"/>
      <c r="L1372" s="164"/>
      <c r="M1372" s="11"/>
      <c r="N1372" s="39"/>
      <c r="Q1372" s="15" t="str">
        <f>+CONCATENATE(E1372,G1372)</f>
        <v/>
      </c>
      <c r="R1372" s="15">
        <f>+H1372</f>
        <v>0</v>
      </c>
      <c r="S1372" s="16"/>
      <c r="T1372" s="15">
        <f>+E1372</f>
        <v>0</v>
      </c>
      <c r="U1372" s="26" t="str">
        <f t="shared" ref="U1372" si="745">IFERROR(LEFT(G1372,FIND("*",G1372)-1),"-")</f>
        <v>-</v>
      </c>
      <c r="V1372" s="26" t="str">
        <f t="shared" ref="V1372" si="746">IFERROR(RIGHT(G1372,LEN(G1372)-FIND("*",G1372)),"-")</f>
        <v>-</v>
      </c>
      <c r="W1372" s="27" t="str">
        <f t="shared" si="742"/>
        <v>-</v>
      </c>
      <c r="X1372" s="27" t="str">
        <f>IFERROR(W1372*H1372,"-")</f>
        <v>-</v>
      </c>
      <c r="Z1372" s="94" t="s">
        <v>82</v>
      </c>
    </row>
    <row r="1373" spans="1:26" s="25" customFormat="1" ht="6.95" customHeight="1" x14ac:dyDescent="0.3">
      <c r="A1373" s="10"/>
      <c r="B1373" s="168"/>
      <c r="C1373" s="169"/>
      <c r="D1373" s="160"/>
      <c r="E1373" s="161"/>
      <c r="F1373" s="162"/>
      <c r="G1373" s="163"/>
      <c r="H1373" s="164"/>
      <c r="I1373" s="163"/>
      <c r="J1373" s="164"/>
      <c r="K1373" s="163"/>
      <c r="L1373" s="164"/>
      <c r="M1373" s="11"/>
      <c r="N1373" s="39"/>
      <c r="Q1373" s="15" t="str">
        <f>+CONCATENATE(E1372,I1372)</f>
        <v/>
      </c>
      <c r="R1373" s="15">
        <f>+J1372</f>
        <v>0</v>
      </c>
      <c r="S1373" s="16"/>
      <c r="T1373" s="15">
        <f>+E1372</f>
        <v>0</v>
      </c>
      <c r="U1373" s="26" t="str">
        <f>IFERROR(LEFT(I1372,FIND("*",I1372)-1),"-")</f>
        <v>-</v>
      </c>
      <c r="V1373" s="26" t="str">
        <f>IFERROR(RIGHT(I1372,LEN(I1372)-FIND("*",I1372)),"-")</f>
        <v>-</v>
      </c>
      <c r="W1373" s="27" t="str">
        <f t="shared" si="742"/>
        <v>-</v>
      </c>
      <c r="X1373" s="27" t="str">
        <f t="shared" ref="X1373" si="747">IFERROR(W1373*J1372,"-")</f>
        <v>-</v>
      </c>
      <c r="Z1373" s="94" t="s">
        <v>82</v>
      </c>
    </row>
    <row r="1374" spans="1:26" s="25" customFormat="1" ht="6.95" customHeight="1" x14ac:dyDescent="0.3">
      <c r="A1374" s="10"/>
      <c r="B1374" s="168"/>
      <c r="C1374" s="169"/>
      <c r="D1374" s="160"/>
      <c r="E1374" s="161"/>
      <c r="F1374" s="162"/>
      <c r="G1374" s="163"/>
      <c r="H1374" s="164"/>
      <c r="I1374" s="163"/>
      <c r="J1374" s="164"/>
      <c r="K1374" s="163"/>
      <c r="L1374" s="164"/>
      <c r="M1374" s="11"/>
      <c r="N1374" s="39"/>
      <c r="Q1374" s="15" t="str">
        <f>+CONCATENATE(E1372,K1372)</f>
        <v/>
      </c>
      <c r="R1374" s="15">
        <f>+L1372</f>
        <v>0</v>
      </c>
      <c r="S1374" s="16"/>
      <c r="T1374" s="15">
        <f>+E1372</f>
        <v>0</v>
      </c>
      <c r="U1374" s="26" t="str">
        <f>IFERROR(LEFT(K1372,FIND("*",K1372)-1),"-")</f>
        <v>-</v>
      </c>
      <c r="V1374" s="26" t="str">
        <f>IFERROR(RIGHT(K1372,LEN(K1372)-FIND("*",K1372)),"-")</f>
        <v>-</v>
      </c>
      <c r="W1374" s="27" t="str">
        <f t="shared" si="742"/>
        <v>-</v>
      </c>
      <c r="X1374" s="27" t="str">
        <f>IFERROR(W1374*L1372,"-")</f>
        <v>-</v>
      </c>
      <c r="Z1374" s="94" t="s">
        <v>82</v>
      </c>
    </row>
    <row r="1375" spans="1:26" s="25" customFormat="1" ht="21" customHeight="1" thickBot="1" x14ac:dyDescent="0.35">
      <c r="A1375" s="10"/>
      <c r="B1375" s="170"/>
      <c r="C1375" s="171"/>
      <c r="D1375" s="172" t="s">
        <v>43</v>
      </c>
      <c r="E1375" s="173"/>
      <c r="F1375" s="173"/>
      <c r="G1375" s="174"/>
      <c r="H1375" s="174"/>
      <c r="I1375" s="174"/>
      <c r="J1375" s="174"/>
      <c r="K1375" s="174"/>
      <c r="L1375" s="174"/>
      <c r="M1375" s="12"/>
      <c r="N1375" s="39"/>
      <c r="U1375" s="23"/>
      <c r="V1375" s="23"/>
      <c r="Z1375" s="95" t="s">
        <v>81</v>
      </c>
    </row>
    <row r="1376" spans="1:26" s="25" customFormat="1" ht="9.9499999999999993" customHeight="1" thickBot="1" x14ac:dyDescent="0.35">
      <c r="A1376" s="6"/>
      <c r="B1376" s="14"/>
      <c r="C1376" s="119"/>
      <c r="D1376" s="58"/>
      <c r="E1376" s="17"/>
      <c r="F1376" s="58"/>
      <c r="G1376" s="19"/>
      <c r="H1376" s="19"/>
      <c r="I1376" s="19"/>
      <c r="J1376" s="19"/>
      <c r="K1376" s="19"/>
      <c r="L1376" s="19"/>
      <c r="M1376" s="14"/>
      <c r="N1376" s="39"/>
      <c r="Q1376" s="1"/>
      <c r="R1376" s="1"/>
      <c r="S1376" s="1"/>
      <c r="T1376" s="1"/>
      <c r="U1376" s="24"/>
      <c r="V1376" s="24"/>
      <c r="W1376" s="1"/>
      <c r="X1376" s="1"/>
      <c r="Z1376" s="94" t="s">
        <v>82</v>
      </c>
    </row>
    <row r="1377" spans="1:26" s="25" customFormat="1" ht="6.95" customHeight="1" x14ac:dyDescent="0.3">
      <c r="A1377" s="165">
        <f>+A1366+1</f>
        <v>126</v>
      </c>
      <c r="B1377" s="166"/>
      <c r="C1377" s="167"/>
      <c r="D1377" s="160" t="s">
        <v>39</v>
      </c>
      <c r="E1377" s="161"/>
      <c r="F1377" s="162" t="s">
        <v>40</v>
      </c>
      <c r="G1377" s="163"/>
      <c r="H1377" s="164"/>
      <c r="I1377" s="163"/>
      <c r="J1377" s="164"/>
      <c r="K1377" s="163"/>
      <c r="L1377" s="164"/>
      <c r="M1377" s="11"/>
      <c r="N1377" s="39"/>
      <c r="Q1377" s="15" t="str">
        <f>+CONCATENATE(E1377,G1377)</f>
        <v/>
      </c>
      <c r="R1377" s="15">
        <f>+H1377</f>
        <v>0</v>
      </c>
      <c r="S1377" s="16"/>
      <c r="T1377" s="15">
        <f>+E1377</f>
        <v>0</v>
      </c>
      <c r="U1377" s="26" t="str">
        <f>IFERROR(LEFT(G1377,FIND("*",G1377)-1),"-")</f>
        <v>-</v>
      </c>
      <c r="V1377" s="26" t="str">
        <f>IFERROR(RIGHT(G1377,LEN(G1377)-FIND("*",G1377)),"-")</f>
        <v>-</v>
      </c>
      <c r="W1377" s="27" t="str">
        <f>IFERROR((U1377+V1377)*2/1000,"-")</f>
        <v>-</v>
      </c>
      <c r="X1377" s="27" t="str">
        <f>IFERROR(W1377*H1377,"-")</f>
        <v>-</v>
      </c>
      <c r="Z1377" s="94" t="s">
        <v>82</v>
      </c>
    </row>
    <row r="1378" spans="1:26" s="25" customFormat="1" ht="6.95" customHeight="1" x14ac:dyDescent="0.3">
      <c r="A1378" s="165"/>
      <c r="B1378" s="168"/>
      <c r="C1378" s="169"/>
      <c r="D1378" s="160"/>
      <c r="E1378" s="161"/>
      <c r="F1378" s="162"/>
      <c r="G1378" s="163"/>
      <c r="H1378" s="164"/>
      <c r="I1378" s="163"/>
      <c r="J1378" s="164"/>
      <c r="K1378" s="163"/>
      <c r="L1378" s="164"/>
      <c r="M1378" s="11"/>
      <c r="N1378" s="39"/>
      <c r="Q1378" s="15" t="str">
        <f>+CONCATENATE(E1377,I1377)</f>
        <v/>
      </c>
      <c r="R1378" s="15">
        <f>+J1377</f>
        <v>0</v>
      </c>
      <c r="S1378" s="16"/>
      <c r="T1378" s="15">
        <f>+E1377</f>
        <v>0</v>
      </c>
      <c r="U1378" s="26" t="str">
        <f>IFERROR(LEFT(I1377,FIND("*",I1377)-1),"-")</f>
        <v>-</v>
      </c>
      <c r="V1378" s="26" t="str">
        <f>IFERROR(RIGHT(I1377,LEN(I1377)-FIND("*",I1377)),"-")</f>
        <v>-</v>
      </c>
      <c r="W1378" s="27" t="str">
        <f t="shared" ref="W1378:W1385" si="748">IFERROR((U1378+V1378)*2/1000,"-")</f>
        <v>-</v>
      </c>
      <c r="X1378" s="27" t="str">
        <f>IFERROR(W1378*J1377,"-")</f>
        <v>-</v>
      </c>
      <c r="Z1378" s="94" t="s">
        <v>82</v>
      </c>
    </row>
    <row r="1379" spans="1:26" s="25" customFormat="1" ht="6.95" customHeight="1" x14ac:dyDescent="0.3">
      <c r="A1379" s="165"/>
      <c r="B1379" s="168"/>
      <c r="C1379" s="169"/>
      <c r="D1379" s="160"/>
      <c r="E1379" s="161"/>
      <c r="F1379" s="162"/>
      <c r="G1379" s="163"/>
      <c r="H1379" s="164"/>
      <c r="I1379" s="163"/>
      <c r="J1379" s="164"/>
      <c r="K1379" s="163"/>
      <c r="L1379" s="164"/>
      <c r="M1379" s="11"/>
      <c r="N1379" s="39"/>
      <c r="Q1379" s="15" t="str">
        <f>+CONCATENATE(E1377,K1377)</f>
        <v/>
      </c>
      <c r="R1379" s="15">
        <f>+L1377</f>
        <v>0</v>
      </c>
      <c r="S1379" s="16"/>
      <c r="T1379" s="15">
        <f>+E1377</f>
        <v>0</v>
      </c>
      <c r="U1379" s="26" t="str">
        <f>IFERROR(LEFT(K1377,FIND("*",K1377)-1),"-")</f>
        <v>-</v>
      </c>
      <c r="V1379" s="26" t="str">
        <f>IFERROR(RIGHT(K1377,LEN(K1377)-FIND("*",K1377)),"-")</f>
        <v>-</v>
      </c>
      <c r="W1379" s="27" t="str">
        <f t="shared" si="748"/>
        <v>-</v>
      </c>
      <c r="X1379" s="27" t="str">
        <f>IFERROR(W1379*L1377,"-")</f>
        <v>-</v>
      </c>
      <c r="Z1379" s="94" t="s">
        <v>82</v>
      </c>
    </row>
    <row r="1380" spans="1:26" s="25" customFormat="1" ht="6.95" customHeight="1" x14ac:dyDescent="0.3">
      <c r="A1380" s="13"/>
      <c r="B1380" s="168"/>
      <c r="C1380" s="169"/>
      <c r="D1380" s="160" t="s">
        <v>39</v>
      </c>
      <c r="E1380" s="161"/>
      <c r="F1380" s="162" t="s">
        <v>40</v>
      </c>
      <c r="G1380" s="163"/>
      <c r="H1380" s="164"/>
      <c r="I1380" s="163"/>
      <c r="J1380" s="164"/>
      <c r="K1380" s="163"/>
      <c r="L1380" s="164"/>
      <c r="M1380" s="11"/>
      <c r="N1380" s="39"/>
      <c r="Q1380" s="15" t="str">
        <f>+CONCATENATE(E1380,G1380)</f>
        <v/>
      </c>
      <c r="R1380" s="15">
        <f>+H1380</f>
        <v>0</v>
      </c>
      <c r="S1380" s="16"/>
      <c r="T1380" s="15">
        <f>+E1380</f>
        <v>0</v>
      </c>
      <c r="U1380" s="26" t="str">
        <f t="shared" ref="U1380" si="749">IFERROR(LEFT(G1380,FIND("*",G1380)-1),"-")</f>
        <v>-</v>
      </c>
      <c r="V1380" s="26" t="str">
        <f t="shared" ref="V1380" si="750">IFERROR(RIGHT(G1380,LEN(G1380)-FIND("*",G1380)),"-")</f>
        <v>-</v>
      </c>
      <c r="W1380" s="27" t="str">
        <f t="shared" si="748"/>
        <v>-</v>
      </c>
      <c r="X1380" s="27" t="str">
        <f>IFERROR(W1380*H1380,"-")</f>
        <v>-</v>
      </c>
      <c r="Z1380" s="94" t="s">
        <v>82</v>
      </c>
    </row>
    <row r="1381" spans="1:26" s="25" customFormat="1" ht="6.95" customHeight="1" x14ac:dyDescent="0.3">
      <c r="A1381" s="10"/>
      <c r="B1381" s="168"/>
      <c r="C1381" s="169"/>
      <c r="D1381" s="160"/>
      <c r="E1381" s="161"/>
      <c r="F1381" s="162"/>
      <c r="G1381" s="163"/>
      <c r="H1381" s="164"/>
      <c r="I1381" s="163"/>
      <c r="J1381" s="164"/>
      <c r="K1381" s="163"/>
      <c r="L1381" s="164"/>
      <c r="M1381" s="11"/>
      <c r="N1381" s="39"/>
      <c r="Q1381" s="15" t="str">
        <f>+CONCATENATE(E1380,I1380)</f>
        <v/>
      </c>
      <c r="R1381" s="15">
        <f>+J1380</f>
        <v>0</v>
      </c>
      <c r="S1381" s="16"/>
      <c r="T1381" s="15">
        <f>+E1380</f>
        <v>0</v>
      </c>
      <c r="U1381" s="26" t="str">
        <f>IFERROR(LEFT(I1380,FIND("*",I1380)-1),"-")</f>
        <v>-</v>
      </c>
      <c r="V1381" s="26" t="str">
        <f>IFERROR(RIGHT(I1380,LEN(I1380)-FIND("*",I1380)),"-")</f>
        <v>-</v>
      </c>
      <c r="W1381" s="27" t="str">
        <f t="shared" si="748"/>
        <v>-</v>
      </c>
      <c r="X1381" s="27" t="str">
        <f>IFERROR(W1381*J1380,"-")</f>
        <v>-</v>
      </c>
      <c r="Z1381" s="94" t="s">
        <v>82</v>
      </c>
    </row>
    <row r="1382" spans="1:26" s="25" customFormat="1" ht="6.95" customHeight="1" x14ac:dyDescent="0.3">
      <c r="A1382" s="10"/>
      <c r="B1382" s="168"/>
      <c r="C1382" s="169"/>
      <c r="D1382" s="160"/>
      <c r="E1382" s="161"/>
      <c r="F1382" s="162"/>
      <c r="G1382" s="163"/>
      <c r="H1382" s="164"/>
      <c r="I1382" s="163"/>
      <c r="J1382" s="164"/>
      <c r="K1382" s="163"/>
      <c r="L1382" s="164"/>
      <c r="M1382" s="11"/>
      <c r="N1382" s="39"/>
      <c r="Q1382" s="15" t="str">
        <f>+CONCATENATE(E1380,K1380)</f>
        <v/>
      </c>
      <c r="R1382" s="15">
        <f>+L1380</f>
        <v>0</v>
      </c>
      <c r="S1382" s="16"/>
      <c r="T1382" s="15">
        <f>+E1380</f>
        <v>0</v>
      </c>
      <c r="U1382" s="26" t="str">
        <f>IFERROR(LEFT(K1380,FIND("*",K1380)-1),"-")</f>
        <v>-</v>
      </c>
      <c r="V1382" s="26" t="str">
        <f>IFERROR(RIGHT(K1380,LEN(K1380)-FIND("*",K1380)),"-")</f>
        <v>-</v>
      </c>
      <c r="W1382" s="27" t="str">
        <f t="shared" si="748"/>
        <v>-</v>
      </c>
      <c r="X1382" s="27" t="str">
        <f>IFERROR(W1382*L1380,"-")</f>
        <v>-</v>
      </c>
      <c r="Z1382" s="94" t="s">
        <v>82</v>
      </c>
    </row>
    <row r="1383" spans="1:26" s="25" customFormat="1" ht="6.95" customHeight="1" x14ac:dyDescent="0.3">
      <c r="A1383" s="13"/>
      <c r="B1383" s="168"/>
      <c r="C1383" s="169"/>
      <c r="D1383" s="160" t="s">
        <v>39</v>
      </c>
      <c r="E1383" s="161"/>
      <c r="F1383" s="162" t="s">
        <v>40</v>
      </c>
      <c r="G1383" s="163"/>
      <c r="H1383" s="164"/>
      <c r="I1383" s="163"/>
      <c r="J1383" s="164"/>
      <c r="K1383" s="163"/>
      <c r="L1383" s="164"/>
      <c r="M1383" s="11"/>
      <c r="N1383" s="39"/>
      <c r="Q1383" s="15" t="str">
        <f>+CONCATENATE(E1383,G1383)</f>
        <v/>
      </c>
      <c r="R1383" s="15">
        <f>+H1383</f>
        <v>0</v>
      </c>
      <c r="S1383" s="16"/>
      <c r="T1383" s="15">
        <f>+E1383</f>
        <v>0</v>
      </c>
      <c r="U1383" s="26" t="str">
        <f t="shared" ref="U1383" si="751">IFERROR(LEFT(G1383,FIND("*",G1383)-1),"-")</f>
        <v>-</v>
      </c>
      <c r="V1383" s="26" t="str">
        <f t="shared" ref="V1383" si="752">IFERROR(RIGHT(G1383,LEN(G1383)-FIND("*",G1383)),"-")</f>
        <v>-</v>
      </c>
      <c r="W1383" s="27" t="str">
        <f t="shared" si="748"/>
        <v>-</v>
      </c>
      <c r="X1383" s="27" t="str">
        <f>IFERROR(W1383*H1383,"-")</f>
        <v>-</v>
      </c>
      <c r="Z1383" s="94" t="s">
        <v>82</v>
      </c>
    </row>
    <row r="1384" spans="1:26" s="25" customFormat="1" ht="6.95" customHeight="1" x14ac:dyDescent="0.3">
      <c r="A1384" s="10"/>
      <c r="B1384" s="168"/>
      <c r="C1384" s="169"/>
      <c r="D1384" s="160"/>
      <c r="E1384" s="161"/>
      <c r="F1384" s="162"/>
      <c r="G1384" s="163"/>
      <c r="H1384" s="164"/>
      <c r="I1384" s="163"/>
      <c r="J1384" s="164"/>
      <c r="K1384" s="163"/>
      <c r="L1384" s="164"/>
      <c r="M1384" s="11"/>
      <c r="N1384" s="39"/>
      <c r="Q1384" s="15" t="str">
        <f>+CONCATENATE(E1383,I1383)</f>
        <v/>
      </c>
      <c r="R1384" s="15">
        <f>+J1383</f>
        <v>0</v>
      </c>
      <c r="S1384" s="16"/>
      <c r="T1384" s="15">
        <f>+E1383</f>
        <v>0</v>
      </c>
      <c r="U1384" s="26" t="str">
        <f>IFERROR(LEFT(I1383,FIND("*",I1383)-1),"-")</f>
        <v>-</v>
      </c>
      <c r="V1384" s="26" t="str">
        <f>IFERROR(RIGHT(I1383,LEN(I1383)-FIND("*",I1383)),"-")</f>
        <v>-</v>
      </c>
      <c r="W1384" s="27" t="str">
        <f t="shared" si="748"/>
        <v>-</v>
      </c>
      <c r="X1384" s="27" t="str">
        <f t="shared" ref="X1384" si="753">IFERROR(W1384*J1383,"-")</f>
        <v>-</v>
      </c>
      <c r="Z1384" s="94" t="s">
        <v>82</v>
      </c>
    </row>
    <row r="1385" spans="1:26" s="25" customFormat="1" ht="6.95" customHeight="1" x14ac:dyDescent="0.3">
      <c r="A1385" s="10"/>
      <c r="B1385" s="168"/>
      <c r="C1385" s="169"/>
      <c r="D1385" s="160"/>
      <c r="E1385" s="161"/>
      <c r="F1385" s="162"/>
      <c r="G1385" s="163"/>
      <c r="H1385" s="164"/>
      <c r="I1385" s="163"/>
      <c r="J1385" s="164"/>
      <c r="K1385" s="163"/>
      <c r="L1385" s="164"/>
      <c r="M1385" s="11"/>
      <c r="N1385" s="39"/>
      <c r="Q1385" s="15" t="str">
        <f>+CONCATENATE(E1383,K1383)</f>
        <v/>
      </c>
      <c r="R1385" s="15">
        <f>+L1383</f>
        <v>0</v>
      </c>
      <c r="S1385" s="16"/>
      <c r="T1385" s="15">
        <f>+E1383</f>
        <v>0</v>
      </c>
      <c r="U1385" s="26" t="str">
        <f>IFERROR(LEFT(K1383,FIND("*",K1383)-1),"-")</f>
        <v>-</v>
      </c>
      <c r="V1385" s="26" t="str">
        <f>IFERROR(RIGHT(K1383,LEN(K1383)-FIND("*",K1383)),"-")</f>
        <v>-</v>
      </c>
      <c r="W1385" s="27" t="str">
        <f t="shared" si="748"/>
        <v>-</v>
      </c>
      <c r="X1385" s="27" t="str">
        <f>IFERROR(W1385*L1383,"-")</f>
        <v>-</v>
      </c>
      <c r="Z1385" s="94" t="s">
        <v>82</v>
      </c>
    </row>
    <row r="1386" spans="1:26" s="25" customFormat="1" ht="21" customHeight="1" thickBot="1" x14ac:dyDescent="0.35">
      <c r="A1386" s="10"/>
      <c r="B1386" s="170"/>
      <c r="C1386" s="171"/>
      <c r="D1386" s="172" t="s">
        <v>43</v>
      </c>
      <c r="E1386" s="173"/>
      <c r="F1386" s="173"/>
      <c r="G1386" s="174"/>
      <c r="H1386" s="174"/>
      <c r="I1386" s="174"/>
      <c r="J1386" s="174"/>
      <c r="K1386" s="174"/>
      <c r="L1386" s="174"/>
      <c r="M1386" s="12"/>
      <c r="N1386" s="39"/>
      <c r="U1386" s="23"/>
      <c r="V1386" s="23"/>
      <c r="Z1386" s="95" t="s">
        <v>81</v>
      </c>
    </row>
    <row r="1387" spans="1:26" s="25" customFormat="1" ht="9.9499999999999993" customHeight="1" thickBot="1" x14ac:dyDescent="0.35">
      <c r="A1387" s="6"/>
      <c r="B1387" s="14"/>
      <c r="C1387" s="119"/>
      <c r="D1387" s="58"/>
      <c r="E1387" s="17"/>
      <c r="F1387" s="58"/>
      <c r="G1387" s="19"/>
      <c r="H1387" s="19"/>
      <c r="I1387" s="19"/>
      <c r="J1387" s="19"/>
      <c r="K1387" s="19"/>
      <c r="L1387" s="19"/>
      <c r="M1387" s="14"/>
      <c r="N1387" s="39"/>
      <c r="Q1387" s="1"/>
      <c r="R1387" s="1"/>
      <c r="S1387" s="1"/>
      <c r="T1387" s="1"/>
      <c r="U1387" s="24"/>
      <c r="V1387" s="24"/>
      <c r="W1387" s="1"/>
      <c r="X1387" s="1"/>
      <c r="Z1387" s="94" t="s">
        <v>82</v>
      </c>
    </row>
    <row r="1388" spans="1:26" s="25" customFormat="1" ht="6.95" customHeight="1" x14ac:dyDescent="0.3">
      <c r="A1388" s="165">
        <f>+A1377+1</f>
        <v>127</v>
      </c>
      <c r="B1388" s="166"/>
      <c r="C1388" s="167"/>
      <c r="D1388" s="160" t="s">
        <v>39</v>
      </c>
      <c r="E1388" s="161"/>
      <c r="F1388" s="162" t="s">
        <v>40</v>
      </c>
      <c r="G1388" s="163"/>
      <c r="H1388" s="164"/>
      <c r="I1388" s="163"/>
      <c r="J1388" s="164"/>
      <c r="K1388" s="163"/>
      <c r="L1388" s="164"/>
      <c r="M1388" s="11"/>
      <c r="N1388" s="39"/>
      <c r="Q1388" s="15" t="str">
        <f>+CONCATENATE(E1388,G1388)</f>
        <v/>
      </c>
      <c r="R1388" s="15">
        <f>+H1388</f>
        <v>0</v>
      </c>
      <c r="S1388" s="16"/>
      <c r="T1388" s="15">
        <f>+E1388</f>
        <v>0</v>
      </c>
      <c r="U1388" s="26" t="str">
        <f>IFERROR(LEFT(G1388,FIND("*",G1388)-1),"-")</f>
        <v>-</v>
      </c>
      <c r="V1388" s="26" t="str">
        <f>IFERROR(RIGHT(G1388,LEN(G1388)-FIND("*",G1388)),"-")</f>
        <v>-</v>
      </c>
      <c r="W1388" s="27" t="str">
        <f>IFERROR((U1388+V1388)*2/1000,"-")</f>
        <v>-</v>
      </c>
      <c r="X1388" s="27" t="str">
        <f>IFERROR(W1388*H1388,"-")</f>
        <v>-</v>
      </c>
      <c r="Z1388" s="94" t="s">
        <v>82</v>
      </c>
    </row>
    <row r="1389" spans="1:26" s="25" customFormat="1" ht="6.95" customHeight="1" x14ac:dyDescent="0.3">
      <c r="A1389" s="165"/>
      <c r="B1389" s="168"/>
      <c r="C1389" s="169"/>
      <c r="D1389" s="160"/>
      <c r="E1389" s="161"/>
      <c r="F1389" s="162"/>
      <c r="G1389" s="163"/>
      <c r="H1389" s="164"/>
      <c r="I1389" s="163"/>
      <c r="J1389" s="164"/>
      <c r="K1389" s="163"/>
      <c r="L1389" s="164"/>
      <c r="M1389" s="11"/>
      <c r="N1389" s="39"/>
      <c r="Q1389" s="15" t="str">
        <f>+CONCATENATE(E1388,I1388)</f>
        <v/>
      </c>
      <c r="R1389" s="15">
        <f>+J1388</f>
        <v>0</v>
      </c>
      <c r="S1389" s="16"/>
      <c r="T1389" s="15">
        <f>+E1388</f>
        <v>0</v>
      </c>
      <c r="U1389" s="26" t="str">
        <f>IFERROR(LEFT(I1388,FIND("*",I1388)-1),"-")</f>
        <v>-</v>
      </c>
      <c r="V1389" s="26" t="str">
        <f>IFERROR(RIGHT(I1388,LEN(I1388)-FIND("*",I1388)),"-")</f>
        <v>-</v>
      </c>
      <c r="W1389" s="27" t="str">
        <f t="shared" ref="W1389:W1396" si="754">IFERROR((U1389+V1389)*2/1000,"-")</f>
        <v>-</v>
      </c>
      <c r="X1389" s="27" t="str">
        <f>IFERROR(W1389*J1388,"-")</f>
        <v>-</v>
      </c>
      <c r="Z1389" s="94" t="s">
        <v>82</v>
      </c>
    </row>
    <row r="1390" spans="1:26" s="25" customFormat="1" ht="6.95" customHeight="1" x14ac:dyDescent="0.3">
      <c r="A1390" s="165"/>
      <c r="B1390" s="168"/>
      <c r="C1390" s="169"/>
      <c r="D1390" s="160"/>
      <c r="E1390" s="161"/>
      <c r="F1390" s="162"/>
      <c r="G1390" s="163"/>
      <c r="H1390" s="164"/>
      <c r="I1390" s="163"/>
      <c r="J1390" s="164"/>
      <c r="K1390" s="163"/>
      <c r="L1390" s="164"/>
      <c r="M1390" s="11"/>
      <c r="N1390" s="39"/>
      <c r="Q1390" s="15" t="str">
        <f>+CONCATENATE(E1388,K1388)</f>
        <v/>
      </c>
      <c r="R1390" s="15">
        <f>+L1388</f>
        <v>0</v>
      </c>
      <c r="S1390" s="16"/>
      <c r="T1390" s="15">
        <f>+E1388</f>
        <v>0</v>
      </c>
      <c r="U1390" s="26" t="str">
        <f>IFERROR(LEFT(K1388,FIND("*",K1388)-1),"-")</f>
        <v>-</v>
      </c>
      <c r="V1390" s="26" t="str">
        <f>IFERROR(RIGHT(K1388,LEN(K1388)-FIND("*",K1388)),"-")</f>
        <v>-</v>
      </c>
      <c r="W1390" s="27" t="str">
        <f t="shared" si="754"/>
        <v>-</v>
      </c>
      <c r="X1390" s="27" t="str">
        <f>IFERROR(W1390*L1388,"-")</f>
        <v>-</v>
      </c>
      <c r="Z1390" s="94" t="s">
        <v>82</v>
      </c>
    </row>
    <row r="1391" spans="1:26" s="25" customFormat="1" ht="6.95" customHeight="1" x14ac:dyDescent="0.3">
      <c r="A1391" s="13"/>
      <c r="B1391" s="168"/>
      <c r="C1391" s="169"/>
      <c r="D1391" s="160" t="s">
        <v>39</v>
      </c>
      <c r="E1391" s="161"/>
      <c r="F1391" s="162" t="s">
        <v>40</v>
      </c>
      <c r="G1391" s="163"/>
      <c r="H1391" s="164"/>
      <c r="I1391" s="163"/>
      <c r="J1391" s="164"/>
      <c r="K1391" s="163"/>
      <c r="L1391" s="164"/>
      <c r="M1391" s="11"/>
      <c r="N1391" s="39"/>
      <c r="Q1391" s="15" t="str">
        <f>+CONCATENATE(E1391,G1391)</f>
        <v/>
      </c>
      <c r="R1391" s="15">
        <f>+H1391</f>
        <v>0</v>
      </c>
      <c r="S1391" s="16"/>
      <c r="T1391" s="15">
        <f>+E1391</f>
        <v>0</v>
      </c>
      <c r="U1391" s="26" t="str">
        <f t="shared" ref="U1391" si="755">IFERROR(LEFT(G1391,FIND("*",G1391)-1),"-")</f>
        <v>-</v>
      </c>
      <c r="V1391" s="26" t="str">
        <f t="shared" ref="V1391" si="756">IFERROR(RIGHT(G1391,LEN(G1391)-FIND("*",G1391)),"-")</f>
        <v>-</v>
      </c>
      <c r="W1391" s="27" t="str">
        <f t="shared" si="754"/>
        <v>-</v>
      </c>
      <c r="X1391" s="27" t="str">
        <f>IFERROR(W1391*H1391,"-")</f>
        <v>-</v>
      </c>
      <c r="Z1391" s="94" t="s">
        <v>82</v>
      </c>
    </row>
    <row r="1392" spans="1:26" s="25" customFormat="1" ht="6.95" customHeight="1" x14ac:dyDescent="0.3">
      <c r="A1392" s="10"/>
      <c r="B1392" s="168"/>
      <c r="C1392" s="169"/>
      <c r="D1392" s="160"/>
      <c r="E1392" s="161"/>
      <c r="F1392" s="162"/>
      <c r="G1392" s="163"/>
      <c r="H1392" s="164"/>
      <c r="I1392" s="163"/>
      <c r="J1392" s="164"/>
      <c r="K1392" s="163"/>
      <c r="L1392" s="164"/>
      <c r="M1392" s="11"/>
      <c r="N1392" s="39"/>
      <c r="Q1392" s="15" t="str">
        <f>+CONCATENATE(E1391,I1391)</f>
        <v/>
      </c>
      <c r="R1392" s="15">
        <f>+J1391</f>
        <v>0</v>
      </c>
      <c r="S1392" s="16"/>
      <c r="T1392" s="15">
        <f>+E1391</f>
        <v>0</v>
      </c>
      <c r="U1392" s="26" t="str">
        <f>IFERROR(LEFT(I1391,FIND("*",I1391)-1),"-")</f>
        <v>-</v>
      </c>
      <c r="V1392" s="26" t="str">
        <f>IFERROR(RIGHT(I1391,LEN(I1391)-FIND("*",I1391)),"-")</f>
        <v>-</v>
      </c>
      <c r="W1392" s="27" t="str">
        <f t="shared" si="754"/>
        <v>-</v>
      </c>
      <c r="X1392" s="27" t="str">
        <f>IFERROR(W1392*J1391,"-")</f>
        <v>-</v>
      </c>
      <c r="Z1392" s="94" t="s">
        <v>82</v>
      </c>
    </row>
    <row r="1393" spans="1:26" s="25" customFormat="1" ht="6.95" customHeight="1" x14ac:dyDescent="0.3">
      <c r="A1393" s="10"/>
      <c r="B1393" s="168"/>
      <c r="C1393" s="169"/>
      <c r="D1393" s="160"/>
      <c r="E1393" s="161"/>
      <c r="F1393" s="162"/>
      <c r="G1393" s="163"/>
      <c r="H1393" s="164"/>
      <c r="I1393" s="163"/>
      <c r="J1393" s="164"/>
      <c r="K1393" s="163"/>
      <c r="L1393" s="164"/>
      <c r="M1393" s="11"/>
      <c r="N1393" s="39"/>
      <c r="Q1393" s="15" t="str">
        <f>+CONCATENATE(E1391,K1391)</f>
        <v/>
      </c>
      <c r="R1393" s="15">
        <f>+L1391</f>
        <v>0</v>
      </c>
      <c r="S1393" s="16"/>
      <c r="T1393" s="15">
        <f>+E1391</f>
        <v>0</v>
      </c>
      <c r="U1393" s="26" t="str">
        <f>IFERROR(LEFT(K1391,FIND("*",K1391)-1),"-")</f>
        <v>-</v>
      </c>
      <c r="V1393" s="26" t="str">
        <f>IFERROR(RIGHT(K1391,LEN(K1391)-FIND("*",K1391)),"-")</f>
        <v>-</v>
      </c>
      <c r="W1393" s="27" t="str">
        <f t="shared" si="754"/>
        <v>-</v>
      </c>
      <c r="X1393" s="27" t="str">
        <f>IFERROR(W1393*L1391,"-")</f>
        <v>-</v>
      </c>
      <c r="Z1393" s="94" t="s">
        <v>82</v>
      </c>
    </row>
    <row r="1394" spans="1:26" s="25" customFormat="1" ht="6.95" customHeight="1" x14ac:dyDescent="0.3">
      <c r="A1394" s="13"/>
      <c r="B1394" s="168"/>
      <c r="C1394" s="169"/>
      <c r="D1394" s="160" t="s">
        <v>39</v>
      </c>
      <c r="E1394" s="161"/>
      <c r="F1394" s="162" t="s">
        <v>40</v>
      </c>
      <c r="G1394" s="163"/>
      <c r="H1394" s="164"/>
      <c r="I1394" s="163"/>
      <c r="J1394" s="164"/>
      <c r="K1394" s="163"/>
      <c r="L1394" s="164"/>
      <c r="M1394" s="11"/>
      <c r="N1394" s="39"/>
      <c r="Q1394" s="15" t="str">
        <f>+CONCATENATE(E1394,G1394)</f>
        <v/>
      </c>
      <c r="R1394" s="15">
        <f>+H1394</f>
        <v>0</v>
      </c>
      <c r="S1394" s="16"/>
      <c r="T1394" s="15">
        <f>+E1394</f>
        <v>0</v>
      </c>
      <c r="U1394" s="26" t="str">
        <f t="shared" ref="U1394" si="757">IFERROR(LEFT(G1394,FIND("*",G1394)-1),"-")</f>
        <v>-</v>
      </c>
      <c r="V1394" s="26" t="str">
        <f t="shared" ref="V1394" si="758">IFERROR(RIGHT(G1394,LEN(G1394)-FIND("*",G1394)),"-")</f>
        <v>-</v>
      </c>
      <c r="W1394" s="27" t="str">
        <f t="shared" si="754"/>
        <v>-</v>
      </c>
      <c r="X1394" s="27" t="str">
        <f>IFERROR(W1394*H1394,"-")</f>
        <v>-</v>
      </c>
      <c r="Z1394" s="94" t="s">
        <v>82</v>
      </c>
    </row>
    <row r="1395" spans="1:26" s="25" customFormat="1" ht="6.95" customHeight="1" x14ac:dyDescent="0.3">
      <c r="A1395" s="10"/>
      <c r="B1395" s="168"/>
      <c r="C1395" s="169"/>
      <c r="D1395" s="160"/>
      <c r="E1395" s="161"/>
      <c r="F1395" s="162"/>
      <c r="G1395" s="163"/>
      <c r="H1395" s="164"/>
      <c r="I1395" s="163"/>
      <c r="J1395" s="164"/>
      <c r="K1395" s="163"/>
      <c r="L1395" s="164"/>
      <c r="M1395" s="11"/>
      <c r="N1395" s="39"/>
      <c r="Q1395" s="15" t="str">
        <f>+CONCATENATE(E1394,I1394)</f>
        <v/>
      </c>
      <c r="R1395" s="15">
        <f>+J1394</f>
        <v>0</v>
      </c>
      <c r="S1395" s="16"/>
      <c r="T1395" s="15">
        <f>+E1394</f>
        <v>0</v>
      </c>
      <c r="U1395" s="26" t="str">
        <f>IFERROR(LEFT(I1394,FIND("*",I1394)-1),"-")</f>
        <v>-</v>
      </c>
      <c r="V1395" s="26" t="str">
        <f>IFERROR(RIGHT(I1394,LEN(I1394)-FIND("*",I1394)),"-")</f>
        <v>-</v>
      </c>
      <c r="W1395" s="27" t="str">
        <f t="shared" si="754"/>
        <v>-</v>
      </c>
      <c r="X1395" s="27" t="str">
        <f t="shared" ref="X1395" si="759">IFERROR(W1395*J1394,"-")</f>
        <v>-</v>
      </c>
      <c r="Z1395" s="94" t="s">
        <v>82</v>
      </c>
    </row>
    <row r="1396" spans="1:26" s="25" customFormat="1" ht="6.95" customHeight="1" x14ac:dyDescent="0.3">
      <c r="A1396" s="10"/>
      <c r="B1396" s="168"/>
      <c r="C1396" s="169"/>
      <c r="D1396" s="160"/>
      <c r="E1396" s="161"/>
      <c r="F1396" s="162"/>
      <c r="G1396" s="163"/>
      <c r="H1396" s="164"/>
      <c r="I1396" s="163"/>
      <c r="J1396" s="164"/>
      <c r="K1396" s="163"/>
      <c r="L1396" s="164"/>
      <c r="M1396" s="11"/>
      <c r="N1396" s="39"/>
      <c r="Q1396" s="15" t="str">
        <f>+CONCATENATE(E1394,K1394)</f>
        <v/>
      </c>
      <c r="R1396" s="15">
        <f>+L1394</f>
        <v>0</v>
      </c>
      <c r="S1396" s="16"/>
      <c r="T1396" s="15">
        <f>+E1394</f>
        <v>0</v>
      </c>
      <c r="U1396" s="26" t="str">
        <f>IFERROR(LEFT(K1394,FIND("*",K1394)-1),"-")</f>
        <v>-</v>
      </c>
      <c r="V1396" s="26" t="str">
        <f>IFERROR(RIGHT(K1394,LEN(K1394)-FIND("*",K1394)),"-")</f>
        <v>-</v>
      </c>
      <c r="W1396" s="27" t="str">
        <f t="shared" si="754"/>
        <v>-</v>
      </c>
      <c r="X1396" s="27" t="str">
        <f>IFERROR(W1396*L1394,"-")</f>
        <v>-</v>
      </c>
      <c r="Z1396" s="94" t="s">
        <v>82</v>
      </c>
    </row>
    <row r="1397" spans="1:26" s="25" customFormat="1" ht="21" customHeight="1" thickBot="1" x14ac:dyDescent="0.35">
      <c r="A1397" s="10"/>
      <c r="B1397" s="170"/>
      <c r="C1397" s="171"/>
      <c r="D1397" s="172" t="s">
        <v>43</v>
      </c>
      <c r="E1397" s="173"/>
      <c r="F1397" s="173"/>
      <c r="G1397" s="174"/>
      <c r="H1397" s="174"/>
      <c r="I1397" s="174"/>
      <c r="J1397" s="174"/>
      <c r="K1397" s="174"/>
      <c r="L1397" s="174"/>
      <c r="M1397" s="12"/>
      <c r="N1397" s="39"/>
      <c r="U1397" s="23"/>
      <c r="V1397" s="23"/>
      <c r="Z1397" s="95" t="s">
        <v>81</v>
      </c>
    </row>
    <row r="1398" spans="1:26" s="25" customFormat="1" ht="9.9499999999999993" customHeight="1" thickBot="1" x14ac:dyDescent="0.35">
      <c r="A1398" s="6"/>
      <c r="B1398" s="14"/>
      <c r="C1398" s="119"/>
      <c r="D1398" s="58"/>
      <c r="E1398" s="17"/>
      <c r="F1398" s="58"/>
      <c r="G1398" s="19"/>
      <c r="H1398" s="19"/>
      <c r="I1398" s="19"/>
      <c r="J1398" s="19"/>
      <c r="K1398" s="19"/>
      <c r="L1398" s="19"/>
      <c r="M1398" s="14"/>
      <c r="N1398" s="39"/>
      <c r="Q1398" s="1"/>
      <c r="R1398" s="1"/>
      <c r="S1398" s="1"/>
      <c r="T1398" s="1"/>
      <c r="U1398" s="24"/>
      <c r="V1398" s="24"/>
      <c r="W1398" s="1"/>
      <c r="X1398" s="1"/>
      <c r="Z1398" s="94" t="s">
        <v>82</v>
      </c>
    </row>
    <row r="1399" spans="1:26" s="25" customFormat="1" ht="6.95" customHeight="1" x14ac:dyDescent="0.3">
      <c r="A1399" s="165">
        <f>+A1388+1</f>
        <v>128</v>
      </c>
      <c r="B1399" s="166"/>
      <c r="C1399" s="167"/>
      <c r="D1399" s="160" t="s">
        <v>39</v>
      </c>
      <c r="E1399" s="161"/>
      <c r="F1399" s="162" t="s">
        <v>40</v>
      </c>
      <c r="G1399" s="163"/>
      <c r="H1399" s="164"/>
      <c r="I1399" s="163"/>
      <c r="J1399" s="164"/>
      <c r="K1399" s="163"/>
      <c r="L1399" s="164"/>
      <c r="M1399" s="11"/>
      <c r="N1399" s="39"/>
      <c r="Q1399" s="15" t="str">
        <f>+CONCATENATE(E1399,G1399)</f>
        <v/>
      </c>
      <c r="R1399" s="15">
        <f>+H1399</f>
        <v>0</v>
      </c>
      <c r="S1399" s="16"/>
      <c r="T1399" s="15">
        <f>+E1399</f>
        <v>0</v>
      </c>
      <c r="U1399" s="26" t="str">
        <f>IFERROR(LEFT(G1399,FIND("*",G1399)-1),"-")</f>
        <v>-</v>
      </c>
      <c r="V1399" s="26" t="str">
        <f>IFERROR(RIGHT(G1399,LEN(G1399)-FIND("*",G1399)),"-")</f>
        <v>-</v>
      </c>
      <c r="W1399" s="27" t="str">
        <f>IFERROR((U1399+V1399)*2/1000,"-")</f>
        <v>-</v>
      </c>
      <c r="X1399" s="27" t="str">
        <f>IFERROR(W1399*H1399,"-")</f>
        <v>-</v>
      </c>
      <c r="Z1399" s="94" t="s">
        <v>82</v>
      </c>
    </row>
    <row r="1400" spans="1:26" s="25" customFormat="1" ht="6.95" customHeight="1" x14ac:dyDescent="0.3">
      <c r="A1400" s="165"/>
      <c r="B1400" s="168"/>
      <c r="C1400" s="169"/>
      <c r="D1400" s="160"/>
      <c r="E1400" s="161"/>
      <c r="F1400" s="162"/>
      <c r="G1400" s="163"/>
      <c r="H1400" s="164"/>
      <c r="I1400" s="163"/>
      <c r="J1400" s="164"/>
      <c r="K1400" s="163"/>
      <c r="L1400" s="164"/>
      <c r="M1400" s="11"/>
      <c r="N1400" s="39"/>
      <c r="Q1400" s="15" t="str">
        <f>+CONCATENATE(E1399,I1399)</f>
        <v/>
      </c>
      <c r="R1400" s="15">
        <f>+J1399</f>
        <v>0</v>
      </c>
      <c r="S1400" s="16"/>
      <c r="T1400" s="15">
        <f>+E1399</f>
        <v>0</v>
      </c>
      <c r="U1400" s="26" t="str">
        <f>IFERROR(LEFT(I1399,FIND("*",I1399)-1),"-")</f>
        <v>-</v>
      </c>
      <c r="V1400" s="26" t="str">
        <f>IFERROR(RIGHT(I1399,LEN(I1399)-FIND("*",I1399)),"-")</f>
        <v>-</v>
      </c>
      <c r="W1400" s="27" t="str">
        <f t="shared" ref="W1400:W1407" si="760">IFERROR((U1400+V1400)*2/1000,"-")</f>
        <v>-</v>
      </c>
      <c r="X1400" s="27" t="str">
        <f>IFERROR(W1400*J1399,"-")</f>
        <v>-</v>
      </c>
      <c r="Z1400" s="94" t="s">
        <v>82</v>
      </c>
    </row>
    <row r="1401" spans="1:26" s="25" customFormat="1" ht="6.95" customHeight="1" x14ac:dyDescent="0.3">
      <c r="A1401" s="165"/>
      <c r="B1401" s="168"/>
      <c r="C1401" s="169"/>
      <c r="D1401" s="160"/>
      <c r="E1401" s="161"/>
      <c r="F1401" s="162"/>
      <c r="G1401" s="163"/>
      <c r="H1401" s="164"/>
      <c r="I1401" s="163"/>
      <c r="J1401" s="164"/>
      <c r="K1401" s="163"/>
      <c r="L1401" s="164"/>
      <c r="M1401" s="11"/>
      <c r="N1401" s="39"/>
      <c r="Q1401" s="15" t="str">
        <f>+CONCATENATE(E1399,K1399)</f>
        <v/>
      </c>
      <c r="R1401" s="15">
        <f>+L1399</f>
        <v>0</v>
      </c>
      <c r="S1401" s="16"/>
      <c r="T1401" s="15">
        <f>+E1399</f>
        <v>0</v>
      </c>
      <c r="U1401" s="26" t="str">
        <f>IFERROR(LEFT(K1399,FIND("*",K1399)-1),"-")</f>
        <v>-</v>
      </c>
      <c r="V1401" s="26" t="str">
        <f>IFERROR(RIGHT(K1399,LEN(K1399)-FIND("*",K1399)),"-")</f>
        <v>-</v>
      </c>
      <c r="W1401" s="27" t="str">
        <f t="shared" si="760"/>
        <v>-</v>
      </c>
      <c r="X1401" s="27" t="str">
        <f>IFERROR(W1401*L1399,"-")</f>
        <v>-</v>
      </c>
      <c r="Z1401" s="94" t="s">
        <v>82</v>
      </c>
    </row>
    <row r="1402" spans="1:26" s="25" customFormat="1" ht="6.95" customHeight="1" x14ac:dyDescent="0.3">
      <c r="A1402" s="13"/>
      <c r="B1402" s="168"/>
      <c r="C1402" s="169"/>
      <c r="D1402" s="160" t="s">
        <v>39</v>
      </c>
      <c r="E1402" s="161"/>
      <c r="F1402" s="162" t="s">
        <v>40</v>
      </c>
      <c r="G1402" s="163"/>
      <c r="H1402" s="164"/>
      <c r="I1402" s="163"/>
      <c r="J1402" s="164"/>
      <c r="K1402" s="163"/>
      <c r="L1402" s="164"/>
      <c r="M1402" s="11"/>
      <c r="N1402" s="39"/>
      <c r="Q1402" s="15" t="str">
        <f>+CONCATENATE(E1402,G1402)</f>
        <v/>
      </c>
      <c r="R1402" s="15">
        <f>+H1402</f>
        <v>0</v>
      </c>
      <c r="S1402" s="16"/>
      <c r="T1402" s="15">
        <f>+E1402</f>
        <v>0</v>
      </c>
      <c r="U1402" s="26" t="str">
        <f t="shared" ref="U1402" si="761">IFERROR(LEFT(G1402,FIND("*",G1402)-1),"-")</f>
        <v>-</v>
      </c>
      <c r="V1402" s="26" t="str">
        <f t="shared" ref="V1402" si="762">IFERROR(RIGHT(G1402,LEN(G1402)-FIND("*",G1402)),"-")</f>
        <v>-</v>
      </c>
      <c r="W1402" s="27" t="str">
        <f t="shared" si="760"/>
        <v>-</v>
      </c>
      <c r="X1402" s="27" t="str">
        <f>IFERROR(W1402*H1402,"-")</f>
        <v>-</v>
      </c>
      <c r="Z1402" s="94" t="s">
        <v>82</v>
      </c>
    </row>
    <row r="1403" spans="1:26" s="25" customFormat="1" ht="6.95" customHeight="1" x14ac:dyDescent="0.3">
      <c r="A1403" s="10"/>
      <c r="B1403" s="168"/>
      <c r="C1403" s="169"/>
      <c r="D1403" s="160"/>
      <c r="E1403" s="161"/>
      <c r="F1403" s="162"/>
      <c r="G1403" s="163"/>
      <c r="H1403" s="164"/>
      <c r="I1403" s="163"/>
      <c r="J1403" s="164"/>
      <c r="K1403" s="163"/>
      <c r="L1403" s="164"/>
      <c r="M1403" s="11"/>
      <c r="N1403" s="39"/>
      <c r="Q1403" s="15" t="str">
        <f>+CONCATENATE(E1402,I1402)</f>
        <v/>
      </c>
      <c r="R1403" s="15">
        <f>+J1402</f>
        <v>0</v>
      </c>
      <c r="S1403" s="16"/>
      <c r="T1403" s="15">
        <f>+E1402</f>
        <v>0</v>
      </c>
      <c r="U1403" s="26" t="str">
        <f>IFERROR(LEFT(I1402,FIND("*",I1402)-1),"-")</f>
        <v>-</v>
      </c>
      <c r="V1403" s="26" t="str">
        <f>IFERROR(RIGHT(I1402,LEN(I1402)-FIND("*",I1402)),"-")</f>
        <v>-</v>
      </c>
      <c r="W1403" s="27" t="str">
        <f t="shared" si="760"/>
        <v>-</v>
      </c>
      <c r="X1403" s="27" t="str">
        <f>IFERROR(W1403*J1402,"-")</f>
        <v>-</v>
      </c>
      <c r="Z1403" s="94" t="s">
        <v>82</v>
      </c>
    </row>
    <row r="1404" spans="1:26" s="25" customFormat="1" ht="6.95" customHeight="1" x14ac:dyDescent="0.3">
      <c r="A1404" s="10"/>
      <c r="B1404" s="168"/>
      <c r="C1404" s="169"/>
      <c r="D1404" s="160"/>
      <c r="E1404" s="161"/>
      <c r="F1404" s="162"/>
      <c r="G1404" s="163"/>
      <c r="H1404" s="164"/>
      <c r="I1404" s="163"/>
      <c r="J1404" s="164"/>
      <c r="K1404" s="163"/>
      <c r="L1404" s="164"/>
      <c r="M1404" s="11"/>
      <c r="N1404" s="39"/>
      <c r="Q1404" s="15" t="str">
        <f>+CONCATENATE(E1402,K1402)</f>
        <v/>
      </c>
      <c r="R1404" s="15">
        <f>+L1402</f>
        <v>0</v>
      </c>
      <c r="S1404" s="16"/>
      <c r="T1404" s="15">
        <f>+E1402</f>
        <v>0</v>
      </c>
      <c r="U1404" s="26" t="str">
        <f>IFERROR(LEFT(K1402,FIND("*",K1402)-1),"-")</f>
        <v>-</v>
      </c>
      <c r="V1404" s="26" t="str">
        <f>IFERROR(RIGHT(K1402,LEN(K1402)-FIND("*",K1402)),"-")</f>
        <v>-</v>
      </c>
      <c r="W1404" s="27" t="str">
        <f t="shared" si="760"/>
        <v>-</v>
      </c>
      <c r="X1404" s="27" t="str">
        <f>IFERROR(W1404*L1402,"-")</f>
        <v>-</v>
      </c>
      <c r="Z1404" s="94" t="s">
        <v>82</v>
      </c>
    </row>
    <row r="1405" spans="1:26" s="25" customFormat="1" ht="6.95" customHeight="1" x14ac:dyDescent="0.3">
      <c r="A1405" s="13"/>
      <c r="B1405" s="168"/>
      <c r="C1405" s="169"/>
      <c r="D1405" s="160" t="s">
        <v>39</v>
      </c>
      <c r="E1405" s="161"/>
      <c r="F1405" s="162" t="s">
        <v>40</v>
      </c>
      <c r="G1405" s="163"/>
      <c r="H1405" s="164"/>
      <c r="I1405" s="163"/>
      <c r="J1405" s="164"/>
      <c r="K1405" s="163"/>
      <c r="L1405" s="164"/>
      <c r="M1405" s="11"/>
      <c r="N1405" s="39"/>
      <c r="Q1405" s="15" t="str">
        <f>+CONCATENATE(E1405,G1405)</f>
        <v/>
      </c>
      <c r="R1405" s="15">
        <f>+H1405</f>
        <v>0</v>
      </c>
      <c r="S1405" s="16"/>
      <c r="T1405" s="15">
        <f>+E1405</f>
        <v>0</v>
      </c>
      <c r="U1405" s="26" t="str">
        <f t="shared" ref="U1405" si="763">IFERROR(LEFT(G1405,FIND("*",G1405)-1),"-")</f>
        <v>-</v>
      </c>
      <c r="V1405" s="26" t="str">
        <f t="shared" ref="V1405" si="764">IFERROR(RIGHT(G1405,LEN(G1405)-FIND("*",G1405)),"-")</f>
        <v>-</v>
      </c>
      <c r="W1405" s="27" t="str">
        <f t="shared" si="760"/>
        <v>-</v>
      </c>
      <c r="X1405" s="27" t="str">
        <f>IFERROR(W1405*H1405,"-")</f>
        <v>-</v>
      </c>
      <c r="Z1405" s="94" t="s">
        <v>82</v>
      </c>
    </row>
    <row r="1406" spans="1:26" s="25" customFormat="1" ht="6.95" customHeight="1" x14ac:dyDescent="0.3">
      <c r="A1406" s="10"/>
      <c r="B1406" s="168"/>
      <c r="C1406" s="169"/>
      <c r="D1406" s="160"/>
      <c r="E1406" s="161"/>
      <c r="F1406" s="162"/>
      <c r="G1406" s="163"/>
      <c r="H1406" s="164"/>
      <c r="I1406" s="163"/>
      <c r="J1406" s="164"/>
      <c r="K1406" s="163"/>
      <c r="L1406" s="164"/>
      <c r="M1406" s="11"/>
      <c r="N1406" s="39"/>
      <c r="Q1406" s="15" t="str">
        <f>+CONCATENATE(E1405,I1405)</f>
        <v/>
      </c>
      <c r="R1406" s="15">
        <f>+J1405</f>
        <v>0</v>
      </c>
      <c r="S1406" s="16"/>
      <c r="T1406" s="15">
        <f>+E1405</f>
        <v>0</v>
      </c>
      <c r="U1406" s="26" t="str">
        <f>IFERROR(LEFT(I1405,FIND("*",I1405)-1),"-")</f>
        <v>-</v>
      </c>
      <c r="V1406" s="26" t="str">
        <f>IFERROR(RIGHT(I1405,LEN(I1405)-FIND("*",I1405)),"-")</f>
        <v>-</v>
      </c>
      <c r="W1406" s="27" t="str">
        <f t="shared" si="760"/>
        <v>-</v>
      </c>
      <c r="X1406" s="27" t="str">
        <f t="shared" ref="X1406" si="765">IFERROR(W1406*J1405,"-")</f>
        <v>-</v>
      </c>
      <c r="Z1406" s="94" t="s">
        <v>82</v>
      </c>
    </row>
    <row r="1407" spans="1:26" s="25" customFormat="1" ht="6.95" customHeight="1" x14ac:dyDescent="0.3">
      <c r="A1407" s="10"/>
      <c r="B1407" s="168"/>
      <c r="C1407" s="169"/>
      <c r="D1407" s="160"/>
      <c r="E1407" s="161"/>
      <c r="F1407" s="162"/>
      <c r="G1407" s="163"/>
      <c r="H1407" s="164"/>
      <c r="I1407" s="163"/>
      <c r="J1407" s="164"/>
      <c r="K1407" s="163"/>
      <c r="L1407" s="164"/>
      <c r="M1407" s="11"/>
      <c r="N1407" s="39"/>
      <c r="Q1407" s="15" t="str">
        <f>+CONCATENATE(E1405,K1405)</f>
        <v/>
      </c>
      <c r="R1407" s="15">
        <f>+L1405</f>
        <v>0</v>
      </c>
      <c r="S1407" s="16"/>
      <c r="T1407" s="15">
        <f>+E1405</f>
        <v>0</v>
      </c>
      <c r="U1407" s="26" t="str">
        <f>IFERROR(LEFT(K1405,FIND("*",K1405)-1),"-")</f>
        <v>-</v>
      </c>
      <c r="V1407" s="26" t="str">
        <f>IFERROR(RIGHT(K1405,LEN(K1405)-FIND("*",K1405)),"-")</f>
        <v>-</v>
      </c>
      <c r="W1407" s="27" t="str">
        <f t="shared" si="760"/>
        <v>-</v>
      </c>
      <c r="X1407" s="27" t="str">
        <f>IFERROR(W1407*L1405,"-")</f>
        <v>-</v>
      </c>
      <c r="Z1407" s="94" t="s">
        <v>82</v>
      </c>
    </row>
    <row r="1408" spans="1:26" s="25" customFormat="1" ht="21" customHeight="1" thickBot="1" x14ac:dyDescent="0.35">
      <c r="A1408" s="10"/>
      <c r="B1408" s="170"/>
      <c r="C1408" s="171"/>
      <c r="D1408" s="172" t="s">
        <v>43</v>
      </c>
      <c r="E1408" s="173"/>
      <c r="F1408" s="173"/>
      <c r="G1408" s="174"/>
      <c r="H1408" s="174"/>
      <c r="I1408" s="174"/>
      <c r="J1408" s="174"/>
      <c r="K1408" s="174"/>
      <c r="L1408" s="174"/>
      <c r="M1408" s="12"/>
      <c r="N1408" s="39"/>
      <c r="U1408" s="23"/>
      <c r="V1408" s="23"/>
      <c r="Z1408" s="95" t="s">
        <v>81</v>
      </c>
    </row>
    <row r="1409" spans="1:26" s="25" customFormat="1" ht="9.9499999999999993" customHeight="1" thickBot="1" x14ac:dyDescent="0.35">
      <c r="A1409" s="6"/>
      <c r="B1409" s="14"/>
      <c r="C1409" s="119"/>
      <c r="D1409" s="58"/>
      <c r="E1409" s="17"/>
      <c r="F1409" s="58"/>
      <c r="G1409" s="19"/>
      <c r="H1409" s="19"/>
      <c r="I1409" s="19"/>
      <c r="J1409" s="19"/>
      <c r="K1409" s="19"/>
      <c r="L1409" s="19"/>
      <c r="M1409" s="14"/>
      <c r="N1409" s="39"/>
      <c r="Q1409" s="1"/>
      <c r="R1409" s="1"/>
      <c r="S1409" s="1"/>
      <c r="T1409" s="1"/>
      <c r="U1409" s="24"/>
      <c r="V1409" s="24"/>
      <c r="W1409" s="1"/>
      <c r="X1409" s="1"/>
      <c r="Z1409" s="94" t="s">
        <v>82</v>
      </c>
    </row>
    <row r="1410" spans="1:26" s="25" customFormat="1" ht="6.95" customHeight="1" x14ac:dyDescent="0.3">
      <c r="A1410" s="165">
        <f>+A1399+1</f>
        <v>129</v>
      </c>
      <c r="B1410" s="166"/>
      <c r="C1410" s="167"/>
      <c r="D1410" s="160" t="s">
        <v>39</v>
      </c>
      <c r="E1410" s="161"/>
      <c r="F1410" s="162" t="s">
        <v>40</v>
      </c>
      <c r="G1410" s="163"/>
      <c r="H1410" s="164"/>
      <c r="I1410" s="163"/>
      <c r="J1410" s="164"/>
      <c r="K1410" s="163"/>
      <c r="L1410" s="164"/>
      <c r="M1410" s="11"/>
      <c r="N1410" s="39"/>
      <c r="Q1410" s="15" t="str">
        <f>+CONCATENATE(E1410,G1410)</f>
        <v/>
      </c>
      <c r="R1410" s="15">
        <f>+H1410</f>
        <v>0</v>
      </c>
      <c r="S1410" s="16"/>
      <c r="T1410" s="15">
        <f>+E1410</f>
        <v>0</v>
      </c>
      <c r="U1410" s="26" t="str">
        <f>IFERROR(LEFT(G1410,FIND("*",G1410)-1),"-")</f>
        <v>-</v>
      </c>
      <c r="V1410" s="26" t="str">
        <f>IFERROR(RIGHT(G1410,LEN(G1410)-FIND("*",G1410)),"-")</f>
        <v>-</v>
      </c>
      <c r="W1410" s="27" t="str">
        <f>IFERROR((U1410+V1410)*2/1000,"-")</f>
        <v>-</v>
      </c>
      <c r="X1410" s="27" t="str">
        <f>IFERROR(W1410*H1410,"-")</f>
        <v>-</v>
      </c>
      <c r="Z1410" s="94" t="s">
        <v>82</v>
      </c>
    </row>
    <row r="1411" spans="1:26" s="25" customFormat="1" ht="6.95" customHeight="1" x14ac:dyDescent="0.3">
      <c r="A1411" s="165"/>
      <c r="B1411" s="168"/>
      <c r="C1411" s="169"/>
      <c r="D1411" s="160"/>
      <c r="E1411" s="161"/>
      <c r="F1411" s="162"/>
      <c r="G1411" s="163"/>
      <c r="H1411" s="164"/>
      <c r="I1411" s="163"/>
      <c r="J1411" s="164"/>
      <c r="K1411" s="163"/>
      <c r="L1411" s="164"/>
      <c r="M1411" s="11"/>
      <c r="N1411" s="39"/>
      <c r="Q1411" s="15" t="str">
        <f>+CONCATENATE(E1410,I1410)</f>
        <v/>
      </c>
      <c r="R1411" s="15">
        <f>+J1410</f>
        <v>0</v>
      </c>
      <c r="S1411" s="16"/>
      <c r="T1411" s="15">
        <f>+E1410</f>
        <v>0</v>
      </c>
      <c r="U1411" s="26" t="str">
        <f>IFERROR(LEFT(I1410,FIND("*",I1410)-1),"-")</f>
        <v>-</v>
      </c>
      <c r="V1411" s="26" t="str">
        <f>IFERROR(RIGHT(I1410,LEN(I1410)-FIND("*",I1410)),"-")</f>
        <v>-</v>
      </c>
      <c r="W1411" s="27" t="str">
        <f t="shared" ref="W1411:W1418" si="766">IFERROR((U1411+V1411)*2/1000,"-")</f>
        <v>-</v>
      </c>
      <c r="X1411" s="27" t="str">
        <f>IFERROR(W1411*J1410,"-")</f>
        <v>-</v>
      </c>
      <c r="Z1411" s="94" t="s">
        <v>82</v>
      </c>
    </row>
    <row r="1412" spans="1:26" s="25" customFormat="1" ht="6.95" customHeight="1" x14ac:dyDescent="0.3">
      <c r="A1412" s="165"/>
      <c r="B1412" s="168"/>
      <c r="C1412" s="169"/>
      <c r="D1412" s="160"/>
      <c r="E1412" s="161"/>
      <c r="F1412" s="162"/>
      <c r="G1412" s="163"/>
      <c r="H1412" s="164"/>
      <c r="I1412" s="163"/>
      <c r="J1412" s="164"/>
      <c r="K1412" s="163"/>
      <c r="L1412" s="164"/>
      <c r="M1412" s="11"/>
      <c r="N1412" s="39"/>
      <c r="Q1412" s="15" t="str">
        <f>+CONCATENATE(E1410,K1410)</f>
        <v/>
      </c>
      <c r="R1412" s="15">
        <f>+L1410</f>
        <v>0</v>
      </c>
      <c r="S1412" s="16"/>
      <c r="T1412" s="15">
        <f>+E1410</f>
        <v>0</v>
      </c>
      <c r="U1412" s="26" t="str">
        <f>IFERROR(LEFT(K1410,FIND("*",K1410)-1),"-")</f>
        <v>-</v>
      </c>
      <c r="V1412" s="26" t="str">
        <f>IFERROR(RIGHT(K1410,LEN(K1410)-FIND("*",K1410)),"-")</f>
        <v>-</v>
      </c>
      <c r="W1412" s="27" t="str">
        <f t="shared" si="766"/>
        <v>-</v>
      </c>
      <c r="X1412" s="27" t="str">
        <f>IFERROR(W1412*L1410,"-")</f>
        <v>-</v>
      </c>
      <c r="Z1412" s="94" t="s">
        <v>82</v>
      </c>
    </row>
    <row r="1413" spans="1:26" s="25" customFormat="1" ht="6.95" customHeight="1" x14ac:dyDescent="0.3">
      <c r="A1413" s="13"/>
      <c r="B1413" s="168"/>
      <c r="C1413" s="169"/>
      <c r="D1413" s="160" t="s">
        <v>39</v>
      </c>
      <c r="E1413" s="161"/>
      <c r="F1413" s="162" t="s">
        <v>40</v>
      </c>
      <c r="G1413" s="163"/>
      <c r="H1413" s="164"/>
      <c r="I1413" s="163"/>
      <c r="J1413" s="164"/>
      <c r="K1413" s="163"/>
      <c r="L1413" s="164"/>
      <c r="M1413" s="11"/>
      <c r="N1413" s="39"/>
      <c r="Q1413" s="15" t="str">
        <f>+CONCATENATE(E1413,G1413)</f>
        <v/>
      </c>
      <c r="R1413" s="15">
        <f>+H1413</f>
        <v>0</v>
      </c>
      <c r="S1413" s="16"/>
      <c r="T1413" s="15">
        <f>+E1413</f>
        <v>0</v>
      </c>
      <c r="U1413" s="26" t="str">
        <f t="shared" ref="U1413" si="767">IFERROR(LEFT(G1413,FIND("*",G1413)-1),"-")</f>
        <v>-</v>
      </c>
      <c r="V1413" s="26" t="str">
        <f t="shared" ref="V1413" si="768">IFERROR(RIGHT(G1413,LEN(G1413)-FIND("*",G1413)),"-")</f>
        <v>-</v>
      </c>
      <c r="W1413" s="27" t="str">
        <f t="shared" si="766"/>
        <v>-</v>
      </c>
      <c r="X1413" s="27" t="str">
        <f>IFERROR(W1413*H1413,"-")</f>
        <v>-</v>
      </c>
      <c r="Z1413" s="94" t="s">
        <v>82</v>
      </c>
    </row>
    <row r="1414" spans="1:26" s="25" customFormat="1" ht="6.95" customHeight="1" x14ac:dyDescent="0.3">
      <c r="A1414" s="10"/>
      <c r="B1414" s="168"/>
      <c r="C1414" s="169"/>
      <c r="D1414" s="160"/>
      <c r="E1414" s="161"/>
      <c r="F1414" s="162"/>
      <c r="G1414" s="163"/>
      <c r="H1414" s="164"/>
      <c r="I1414" s="163"/>
      <c r="J1414" s="164"/>
      <c r="K1414" s="163"/>
      <c r="L1414" s="164"/>
      <c r="M1414" s="11"/>
      <c r="N1414" s="39"/>
      <c r="Q1414" s="15" t="str">
        <f>+CONCATENATE(E1413,I1413)</f>
        <v/>
      </c>
      <c r="R1414" s="15">
        <f>+J1413</f>
        <v>0</v>
      </c>
      <c r="S1414" s="16"/>
      <c r="T1414" s="15">
        <f>+E1413</f>
        <v>0</v>
      </c>
      <c r="U1414" s="26" t="str">
        <f>IFERROR(LEFT(I1413,FIND("*",I1413)-1),"-")</f>
        <v>-</v>
      </c>
      <c r="V1414" s="26" t="str">
        <f>IFERROR(RIGHT(I1413,LEN(I1413)-FIND("*",I1413)),"-")</f>
        <v>-</v>
      </c>
      <c r="W1414" s="27" t="str">
        <f t="shared" si="766"/>
        <v>-</v>
      </c>
      <c r="X1414" s="27" t="str">
        <f>IFERROR(W1414*J1413,"-")</f>
        <v>-</v>
      </c>
      <c r="Z1414" s="94" t="s">
        <v>82</v>
      </c>
    </row>
    <row r="1415" spans="1:26" s="25" customFormat="1" ht="6.95" customHeight="1" x14ac:dyDescent="0.3">
      <c r="A1415" s="10"/>
      <c r="B1415" s="168"/>
      <c r="C1415" s="169"/>
      <c r="D1415" s="160"/>
      <c r="E1415" s="161"/>
      <c r="F1415" s="162"/>
      <c r="G1415" s="163"/>
      <c r="H1415" s="164"/>
      <c r="I1415" s="163"/>
      <c r="J1415" s="164"/>
      <c r="K1415" s="163"/>
      <c r="L1415" s="164"/>
      <c r="M1415" s="11"/>
      <c r="N1415" s="39"/>
      <c r="Q1415" s="15" t="str">
        <f>+CONCATENATE(E1413,K1413)</f>
        <v/>
      </c>
      <c r="R1415" s="15">
        <f>+L1413</f>
        <v>0</v>
      </c>
      <c r="S1415" s="16"/>
      <c r="T1415" s="15">
        <f>+E1413</f>
        <v>0</v>
      </c>
      <c r="U1415" s="26" t="str">
        <f>IFERROR(LEFT(K1413,FIND("*",K1413)-1),"-")</f>
        <v>-</v>
      </c>
      <c r="V1415" s="26" t="str">
        <f>IFERROR(RIGHT(K1413,LEN(K1413)-FIND("*",K1413)),"-")</f>
        <v>-</v>
      </c>
      <c r="W1415" s="27" t="str">
        <f t="shared" si="766"/>
        <v>-</v>
      </c>
      <c r="X1415" s="27" t="str">
        <f>IFERROR(W1415*L1413,"-")</f>
        <v>-</v>
      </c>
      <c r="Z1415" s="94" t="s">
        <v>82</v>
      </c>
    </row>
    <row r="1416" spans="1:26" s="25" customFormat="1" ht="6.95" customHeight="1" x14ac:dyDescent="0.3">
      <c r="A1416" s="13"/>
      <c r="B1416" s="168"/>
      <c r="C1416" s="169"/>
      <c r="D1416" s="160" t="s">
        <v>39</v>
      </c>
      <c r="E1416" s="161"/>
      <c r="F1416" s="162" t="s">
        <v>40</v>
      </c>
      <c r="G1416" s="163"/>
      <c r="H1416" s="164"/>
      <c r="I1416" s="163"/>
      <c r="J1416" s="164"/>
      <c r="K1416" s="163"/>
      <c r="L1416" s="164"/>
      <c r="M1416" s="11"/>
      <c r="N1416" s="39"/>
      <c r="Q1416" s="15" t="str">
        <f>+CONCATENATE(E1416,G1416)</f>
        <v/>
      </c>
      <c r="R1416" s="15">
        <f>+H1416</f>
        <v>0</v>
      </c>
      <c r="S1416" s="16"/>
      <c r="T1416" s="15">
        <f>+E1416</f>
        <v>0</v>
      </c>
      <c r="U1416" s="26" t="str">
        <f t="shared" ref="U1416" si="769">IFERROR(LEFT(G1416,FIND("*",G1416)-1),"-")</f>
        <v>-</v>
      </c>
      <c r="V1416" s="26" t="str">
        <f t="shared" ref="V1416" si="770">IFERROR(RIGHT(G1416,LEN(G1416)-FIND("*",G1416)),"-")</f>
        <v>-</v>
      </c>
      <c r="W1416" s="27" t="str">
        <f t="shared" si="766"/>
        <v>-</v>
      </c>
      <c r="X1416" s="27" t="str">
        <f>IFERROR(W1416*H1416,"-")</f>
        <v>-</v>
      </c>
      <c r="Z1416" s="94" t="s">
        <v>82</v>
      </c>
    </row>
    <row r="1417" spans="1:26" s="25" customFormat="1" ht="6.95" customHeight="1" x14ac:dyDescent="0.3">
      <c r="A1417" s="10"/>
      <c r="B1417" s="168"/>
      <c r="C1417" s="169"/>
      <c r="D1417" s="160"/>
      <c r="E1417" s="161"/>
      <c r="F1417" s="162"/>
      <c r="G1417" s="163"/>
      <c r="H1417" s="164"/>
      <c r="I1417" s="163"/>
      <c r="J1417" s="164"/>
      <c r="K1417" s="163"/>
      <c r="L1417" s="164"/>
      <c r="M1417" s="11"/>
      <c r="N1417" s="39"/>
      <c r="Q1417" s="15" t="str">
        <f>+CONCATENATE(E1416,I1416)</f>
        <v/>
      </c>
      <c r="R1417" s="15">
        <f>+J1416</f>
        <v>0</v>
      </c>
      <c r="S1417" s="16"/>
      <c r="T1417" s="15">
        <f>+E1416</f>
        <v>0</v>
      </c>
      <c r="U1417" s="26" t="str">
        <f>IFERROR(LEFT(I1416,FIND("*",I1416)-1),"-")</f>
        <v>-</v>
      </c>
      <c r="V1417" s="26" t="str">
        <f>IFERROR(RIGHT(I1416,LEN(I1416)-FIND("*",I1416)),"-")</f>
        <v>-</v>
      </c>
      <c r="W1417" s="27" t="str">
        <f t="shared" si="766"/>
        <v>-</v>
      </c>
      <c r="X1417" s="27" t="str">
        <f t="shared" ref="X1417" si="771">IFERROR(W1417*J1416,"-")</f>
        <v>-</v>
      </c>
      <c r="Z1417" s="94" t="s">
        <v>82</v>
      </c>
    </row>
    <row r="1418" spans="1:26" s="25" customFormat="1" ht="6.95" customHeight="1" x14ac:dyDescent="0.3">
      <c r="A1418" s="10"/>
      <c r="B1418" s="168"/>
      <c r="C1418" s="169"/>
      <c r="D1418" s="160"/>
      <c r="E1418" s="161"/>
      <c r="F1418" s="162"/>
      <c r="G1418" s="163"/>
      <c r="H1418" s="164"/>
      <c r="I1418" s="163"/>
      <c r="J1418" s="164"/>
      <c r="K1418" s="163"/>
      <c r="L1418" s="164"/>
      <c r="M1418" s="11"/>
      <c r="N1418" s="39"/>
      <c r="Q1418" s="15" t="str">
        <f>+CONCATENATE(E1416,K1416)</f>
        <v/>
      </c>
      <c r="R1418" s="15">
        <f>+L1416</f>
        <v>0</v>
      </c>
      <c r="S1418" s="16"/>
      <c r="T1418" s="15">
        <f>+E1416</f>
        <v>0</v>
      </c>
      <c r="U1418" s="26" t="str">
        <f>IFERROR(LEFT(K1416,FIND("*",K1416)-1),"-")</f>
        <v>-</v>
      </c>
      <c r="V1418" s="26" t="str">
        <f>IFERROR(RIGHT(K1416,LEN(K1416)-FIND("*",K1416)),"-")</f>
        <v>-</v>
      </c>
      <c r="W1418" s="27" t="str">
        <f t="shared" si="766"/>
        <v>-</v>
      </c>
      <c r="X1418" s="27" t="str">
        <f>IFERROR(W1418*L1416,"-")</f>
        <v>-</v>
      </c>
      <c r="Z1418" s="94" t="s">
        <v>82</v>
      </c>
    </row>
    <row r="1419" spans="1:26" s="25" customFormat="1" ht="21" customHeight="1" thickBot="1" x14ac:dyDescent="0.35">
      <c r="A1419" s="10"/>
      <c r="B1419" s="170"/>
      <c r="C1419" s="171"/>
      <c r="D1419" s="172" t="s">
        <v>43</v>
      </c>
      <c r="E1419" s="173"/>
      <c r="F1419" s="173"/>
      <c r="G1419" s="174"/>
      <c r="H1419" s="174"/>
      <c r="I1419" s="174"/>
      <c r="J1419" s="174"/>
      <c r="K1419" s="174"/>
      <c r="L1419" s="174"/>
      <c r="M1419" s="12"/>
      <c r="N1419" s="39"/>
      <c r="U1419" s="23"/>
      <c r="V1419" s="23"/>
      <c r="Z1419" s="95" t="s">
        <v>81</v>
      </c>
    </row>
    <row r="1420" spans="1:26" s="25" customFormat="1" ht="9.9499999999999993" customHeight="1" thickBot="1" x14ac:dyDescent="0.35">
      <c r="A1420" s="6"/>
      <c r="B1420" s="14"/>
      <c r="C1420" s="119"/>
      <c r="D1420" s="58"/>
      <c r="E1420" s="17"/>
      <c r="F1420" s="58"/>
      <c r="G1420" s="19"/>
      <c r="H1420" s="19"/>
      <c r="I1420" s="19"/>
      <c r="J1420" s="19"/>
      <c r="K1420" s="19"/>
      <c r="L1420" s="19"/>
      <c r="M1420" s="14"/>
      <c r="N1420" s="39"/>
      <c r="Q1420" s="1"/>
      <c r="R1420" s="1"/>
      <c r="S1420" s="1"/>
      <c r="T1420" s="1"/>
      <c r="U1420" s="24"/>
      <c r="V1420" s="24"/>
      <c r="W1420" s="1"/>
      <c r="X1420" s="1"/>
      <c r="Z1420" s="94" t="s">
        <v>82</v>
      </c>
    </row>
    <row r="1421" spans="1:26" s="25" customFormat="1" ht="6.95" customHeight="1" x14ac:dyDescent="0.3">
      <c r="A1421" s="165">
        <f>+A1410+1</f>
        <v>130</v>
      </c>
      <c r="B1421" s="166"/>
      <c r="C1421" s="167"/>
      <c r="D1421" s="160" t="s">
        <v>39</v>
      </c>
      <c r="E1421" s="161"/>
      <c r="F1421" s="162" t="s">
        <v>40</v>
      </c>
      <c r="G1421" s="163"/>
      <c r="H1421" s="164"/>
      <c r="I1421" s="163"/>
      <c r="J1421" s="164"/>
      <c r="K1421" s="163"/>
      <c r="L1421" s="164"/>
      <c r="M1421" s="11"/>
      <c r="N1421" s="39"/>
      <c r="Q1421" s="15" t="str">
        <f>+CONCATENATE(E1421,G1421)</f>
        <v/>
      </c>
      <c r="R1421" s="15">
        <f>+H1421</f>
        <v>0</v>
      </c>
      <c r="S1421" s="16"/>
      <c r="T1421" s="15">
        <f>+E1421</f>
        <v>0</v>
      </c>
      <c r="U1421" s="26" t="str">
        <f>IFERROR(LEFT(G1421,FIND("*",G1421)-1),"-")</f>
        <v>-</v>
      </c>
      <c r="V1421" s="26" t="str">
        <f>IFERROR(RIGHT(G1421,LEN(G1421)-FIND("*",G1421)),"-")</f>
        <v>-</v>
      </c>
      <c r="W1421" s="27" t="str">
        <f>IFERROR((U1421+V1421)*2/1000,"-")</f>
        <v>-</v>
      </c>
      <c r="X1421" s="27" t="str">
        <f>IFERROR(W1421*H1421,"-")</f>
        <v>-</v>
      </c>
      <c r="Z1421" s="94" t="s">
        <v>82</v>
      </c>
    </row>
    <row r="1422" spans="1:26" s="25" customFormat="1" ht="6.95" customHeight="1" x14ac:dyDescent="0.3">
      <c r="A1422" s="165"/>
      <c r="B1422" s="168"/>
      <c r="C1422" s="169"/>
      <c r="D1422" s="160"/>
      <c r="E1422" s="161"/>
      <c r="F1422" s="162"/>
      <c r="G1422" s="163"/>
      <c r="H1422" s="164"/>
      <c r="I1422" s="163"/>
      <c r="J1422" s="164"/>
      <c r="K1422" s="163"/>
      <c r="L1422" s="164"/>
      <c r="M1422" s="11"/>
      <c r="N1422" s="39"/>
      <c r="Q1422" s="15" t="str">
        <f>+CONCATENATE(E1421,I1421)</f>
        <v/>
      </c>
      <c r="R1422" s="15">
        <f>+J1421</f>
        <v>0</v>
      </c>
      <c r="S1422" s="16"/>
      <c r="T1422" s="15">
        <f>+E1421</f>
        <v>0</v>
      </c>
      <c r="U1422" s="26" t="str">
        <f>IFERROR(LEFT(I1421,FIND("*",I1421)-1),"-")</f>
        <v>-</v>
      </c>
      <c r="V1422" s="26" t="str">
        <f>IFERROR(RIGHT(I1421,LEN(I1421)-FIND("*",I1421)),"-")</f>
        <v>-</v>
      </c>
      <c r="W1422" s="27" t="str">
        <f t="shared" ref="W1422:W1429" si="772">IFERROR((U1422+V1422)*2/1000,"-")</f>
        <v>-</v>
      </c>
      <c r="X1422" s="27" t="str">
        <f>IFERROR(W1422*J1421,"-")</f>
        <v>-</v>
      </c>
      <c r="Z1422" s="94" t="s">
        <v>82</v>
      </c>
    </row>
    <row r="1423" spans="1:26" s="25" customFormat="1" ht="6.95" customHeight="1" x14ac:dyDescent="0.3">
      <c r="A1423" s="165"/>
      <c r="B1423" s="168"/>
      <c r="C1423" s="169"/>
      <c r="D1423" s="160"/>
      <c r="E1423" s="161"/>
      <c r="F1423" s="162"/>
      <c r="G1423" s="163"/>
      <c r="H1423" s="164"/>
      <c r="I1423" s="163"/>
      <c r="J1423" s="164"/>
      <c r="K1423" s="163"/>
      <c r="L1423" s="164"/>
      <c r="M1423" s="11"/>
      <c r="N1423" s="39"/>
      <c r="Q1423" s="15" t="str">
        <f>+CONCATENATE(E1421,K1421)</f>
        <v/>
      </c>
      <c r="R1423" s="15">
        <f>+L1421</f>
        <v>0</v>
      </c>
      <c r="S1423" s="16"/>
      <c r="T1423" s="15">
        <f>+E1421</f>
        <v>0</v>
      </c>
      <c r="U1423" s="26" t="str">
        <f>IFERROR(LEFT(K1421,FIND("*",K1421)-1),"-")</f>
        <v>-</v>
      </c>
      <c r="V1423" s="26" t="str">
        <f>IFERROR(RIGHT(K1421,LEN(K1421)-FIND("*",K1421)),"-")</f>
        <v>-</v>
      </c>
      <c r="W1423" s="27" t="str">
        <f t="shared" si="772"/>
        <v>-</v>
      </c>
      <c r="X1423" s="27" t="str">
        <f>IFERROR(W1423*L1421,"-")</f>
        <v>-</v>
      </c>
      <c r="Z1423" s="94" t="s">
        <v>82</v>
      </c>
    </row>
    <row r="1424" spans="1:26" s="25" customFormat="1" ht="6.95" customHeight="1" x14ac:dyDescent="0.3">
      <c r="A1424" s="13"/>
      <c r="B1424" s="168"/>
      <c r="C1424" s="169"/>
      <c r="D1424" s="160" t="s">
        <v>39</v>
      </c>
      <c r="E1424" s="161"/>
      <c r="F1424" s="162" t="s">
        <v>40</v>
      </c>
      <c r="G1424" s="163"/>
      <c r="H1424" s="164"/>
      <c r="I1424" s="163"/>
      <c r="J1424" s="164"/>
      <c r="K1424" s="163"/>
      <c r="L1424" s="164"/>
      <c r="M1424" s="11"/>
      <c r="N1424" s="39"/>
      <c r="Q1424" s="15" t="str">
        <f>+CONCATENATE(E1424,G1424)</f>
        <v/>
      </c>
      <c r="R1424" s="15">
        <f>+H1424</f>
        <v>0</v>
      </c>
      <c r="S1424" s="16"/>
      <c r="T1424" s="15">
        <f>+E1424</f>
        <v>0</v>
      </c>
      <c r="U1424" s="26" t="str">
        <f t="shared" ref="U1424" si="773">IFERROR(LEFT(G1424,FIND("*",G1424)-1),"-")</f>
        <v>-</v>
      </c>
      <c r="V1424" s="26" t="str">
        <f t="shared" ref="V1424" si="774">IFERROR(RIGHT(G1424,LEN(G1424)-FIND("*",G1424)),"-")</f>
        <v>-</v>
      </c>
      <c r="W1424" s="27" t="str">
        <f t="shared" si="772"/>
        <v>-</v>
      </c>
      <c r="X1424" s="27" t="str">
        <f>IFERROR(W1424*H1424,"-")</f>
        <v>-</v>
      </c>
      <c r="Z1424" s="94" t="s">
        <v>82</v>
      </c>
    </row>
    <row r="1425" spans="1:26" s="25" customFormat="1" ht="6.95" customHeight="1" x14ac:dyDescent="0.3">
      <c r="A1425" s="10"/>
      <c r="B1425" s="168"/>
      <c r="C1425" s="169"/>
      <c r="D1425" s="160"/>
      <c r="E1425" s="161"/>
      <c r="F1425" s="162"/>
      <c r="G1425" s="163"/>
      <c r="H1425" s="164"/>
      <c r="I1425" s="163"/>
      <c r="J1425" s="164"/>
      <c r="K1425" s="163"/>
      <c r="L1425" s="164"/>
      <c r="M1425" s="11"/>
      <c r="N1425" s="39"/>
      <c r="Q1425" s="15" t="str">
        <f>+CONCATENATE(E1424,I1424)</f>
        <v/>
      </c>
      <c r="R1425" s="15">
        <f>+J1424</f>
        <v>0</v>
      </c>
      <c r="S1425" s="16"/>
      <c r="T1425" s="15">
        <f>+E1424</f>
        <v>0</v>
      </c>
      <c r="U1425" s="26" t="str">
        <f>IFERROR(LEFT(I1424,FIND("*",I1424)-1),"-")</f>
        <v>-</v>
      </c>
      <c r="V1425" s="26" t="str">
        <f>IFERROR(RIGHT(I1424,LEN(I1424)-FIND("*",I1424)),"-")</f>
        <v>-</v>
      </c>
      <c r="W1425" s="27" t="str">
        <f t="shared" si="772"/>
        <v>-</v>
      </c>
      <c r="X1425" s="27" t="str">
        <f>IFERROR(W1425*J1424,"-")</f>
        <v>-</v>
      </c>
      <c r="Z1425" s="94" t="s">
        <v>82</v>
      </c>
    </row>
    <row r="1426" spans="1:26" s="25" customFormat="1" ht="6.95" customHeight="1" x14ac:dyDescent="0.3">
      <c r="A1426" s="10"/>
      <c r="B1426" s="168"/>
      <c r="C1426" s="169"/>
      <c r="D1426" s="160"/>
      <c r="E1426" s="161"/>
      <c r="F1426" s="162"/>
      <c r="G1426" s="163"/>
      <c r="H1426" s="164"/>
      <c r="I1426" s="163"/>
      <c r="J1426" s="164"/>
      <c r="K1426" s="163"/>
      <c r="L1426" s="164"/>
      <c r="M1426" s="11"/>
      <c r="N1426" s="39"/>
      <c r="Q1426" s="15" t="str">
        <f>+CONCATENATE(E1424,K1424)</f>
        <v/>
      </c>
      <c r="R1426" s="15">
        <f>+L1424</f>
        <v>0</v>
      </c>
      <c r="S1426" s="16"/>
      <c r="T1426" s="15">
        <f>+E1424</f>
        <v>0</v>
      </c>
      <c r="U1426" s="26" t="str">
        <f>IFERROR(LEFT(K1424,FIND("*",K1424)-1),"-")</f>
        <v>-</v>
      </c>
      <c r="V1426" s="26" t="str">
        <f>IFERROR(RIGHT(K1424,LEN(K1424)-FIND("*",K1424)),"-")</f>
        <v>-</v>
      </c>
      <c r="W1426" s="27" t="str">
        <f t="shared" si="772"/>
        <v>-</v>
      </c>
      <c r="X1426" s="27" t="str">
        <f>IFERROR(W1426*L1424,"-")</f>
        <v>-</v>
      </c>
      <c r="Z1426" s="94" t="s">
        <v>82</v>
      </c>
    </row>
    <row r="1427" spans="1:26" s="25" customFormat="1" ht="6.95" customHeight="1" x14ac:dyDescent="0.3">
      <c r="A1427" s="13"/>
      <c r="B1427" s="168"/>
      <c r="C1427" s="169"/>
      <c r="D1427" s="160" t="s">
        <v>39</v>
      </c>
      <c r="E1427" s="161"/>
      <c r="F1427" s="162" t="s">
        <v>40</v>
      </c>
      <c r="G1427" s="163"/>
      <c r="H1427" s="164"/>
      <c r="I1427" s="163"/>
      <c r="J1427" s="164"/>
      <c r="K1427" s="163"/>
      <c r="L1427" s="164"/>
      <c r="M1427" s="11"/>
      <c r="N1427" s="39"/>
      <c r="Q1427" s="15" t="str">
        <f>+CONCATENATE(E1427,G1427)</f>
        <v/>
      </c>
      <c r="R1427" s="15">
        <f>+H1427</f>
        <v>0</v>
      </c>
      <c r="S1427" s="16"/>
      <c r="T1427" s="15">
        <f>+E1427</f>
        <v>0</v>
      </c>
      <c r="U1427" s="26" t="str">
        <f t="shared" ref="U1427" si="775">IFERROR(LEFT(G1427,FIND("*",G1427)-1),"-")</f>
        <v>-</v>
      </c>
      <c r="V1427" s="26" t="str">
        <f t="shared" ref="V1427" si="776">IFERROR(RIGHT(G1427,LEN(G1427)-FIND("*",G1427)),"-")</f>
        <v>-</v>
      </c>
      <c r="W1427" s="27" t="str">
        <f t="shared" si="772"/>
        <v>-</v>
      </c>
      <c r="X1427" s="27" t="str">
        <f>IFERROR(W1427*H1427,"-")</f>
        <v>-</v>
      </c>
      <c r="Z1427" s="94" t="s">
        <v>82</v>
      </c>
    </row>
    <row r="1428" spans="1:26" s="25" customFormat="1" ht="6.95" customHeight="1" x14ac:dyDescent="0.3">
      <c r="A1428" s="10"/>
      <c r="B1428" s="168"/>
      <c r="C1428" s="169"/>
      <c r="D1428" s="160"/>
      <c r="E1428" s="161"/>
      <c r="F1428" s="162"/>
      <c r="G1428" s="163"/>
      <c r="H1428" s="164"/>
      <c r="I1428" s="163"/>
      <c r="J1428" s="164"/>
      <c r="K1428" s="163"/>
      <c r="L1428" s="164"/>
      <c r="M1428" s="11"/>
      <c r="N1428" s="39"/>
      <c r="Q1428" s="15" t="str">
        <f>+CONCATENATE(E1427,I1427)</f>
        <v/>
      </c>
      <c r="R1428" s="15">
        <f>+J1427</f>
        <v>0</v>
      </c>
      <c r="S1428" s="16"/>
      <c r="T1428" s="15">
        <f>+E1427</f>
        <v>0</v>
      </c>
      <c r="U1428" s="26" t="str">
        <f>IFERROR(LEFT(I1427,FIND("*",I1427)-1),"-")</f>
        <v>-</v>
      </c>
      <c r="V1428" s="26" t="str">
        <f>IFERROR(RIGHT(I1427,LEN(I1427)-FIND("*",I1427)),"-")</f>
        <v>-</v>
      </c>
      <c r="W1428" s="27" t="str">
        <f t="shared" si="772"/>
        <v>-</v>
      </c>
      <c r="X1428" s="27" t="str">
        <f t="shared" ref="X1428" si="777">IFERROR(W1428*J1427,"-")</f>
        <v>-</v>
      </c>
      <c r="Z1428" s="94" t="s">
        <v>82</v>
      </c>
    </row>
    <row r="1429" spans="1:26" s="25" customFormat="1" ht="6.95" customHeight="1" x14ac:dyDescent="0.3">
      <c r="A1429" s="10"/>
      <c r="B1429" s="168"/>
      <c r="C1429" s="169"/>
      <c r="D1429" s="160"/>
      <c r="E1429" s="161"/>
      <c r="F1429" s="162"/>
      <c r="G1429" s="163"/>
      <c r="H1429" s="164"/>
      <c r="I1429" s="163"/>
      <c r="J1429" s="164"/>
      <c r="K1429" s="163"/>
      <c r="L1429" s="164"/>
      <c r="M1429" s="11"/>
      <c r="N1429" s="39"/>
      <c r="Q1429" s="15" t="str">
        <f>+CONCATENATE(E1427,K1427)</f>
        <v/>
      </c>
      <c r="R1429" s="15">
        <f>+L1427</f>
        <v>0</v>
      </c>
      <c r="S1429" s="16"/>
      <c r="T1429" s="15">
        <f>+E1427</f>
        <v>0</v>
      </c>
      <c r="U1429" s="26" t="str">
        <f>IFERROR(LEFT(K1427,FIND("*",K1427)-1),"-")</f>
        <v>-</v>
      </c>
      <c r="V1429" s="26" t="str">
        <f>IFERROR(RIGHT(K1427,LEN(K1427)-FIND("*",K1427)),"-")</f>
        <v>-</v>
      </c>
      <c r="W1429" s="27" t="str">
        <f t="shared" si="772"/>
        <v>-</v>
      </c>
      <c r="X1429" s="27" t="str">
        <f>IFERROR(W1429*L1427,"-")</f>
        <v>-</v>
      </c>
      <c r="Z1429" s="94" t="s">
        <v>82</v>
      </c>
    </row>
    <row r="1430" spans="1:26" s="25" customFormat="1" ht="21" customHeight="1" thickBot="1" x14ac:dyDescent="0.35">
      <c r="A1430" s="10"/>
      <c r="B1430" s="170"/>
      <c r="C1430" s="171"/>
      <c r="D1430" s="172" t="s">
        <v>43</v>
      </c>
      <c r="E1430" s="173"/>
      <c r="F1430" s="173"/>
      <c r="G1430" s="174"/>
      <c r="H1430" s="174"/>
      <c r="I1430" s="174"/>
      <c r="J1430" s="174"/>
      <c r="K1430" s="174"/>
      <c r="L1430" s="174"/>
      <c r="M1430" s="12"/>
      <c r="N1430" s="39"/>
      <c r="U1430" s="23"/>
      <c r="V1430" s="23"/>
      <c r="Z1430" s="95" t="s">
        <v>81</v>
      </c>
    </row>
    <row r="1431" spans="1:26" s="25" customFormat="1" ht="9.9499999999999993" customHeight="1" thickBot="1" x14ac:dyDescent="0.35">
      <c r="A1431" s="6"/>
      <c r="B1431" s="14"/>
      <c r="C1431" s="119"/>
      <c r="D1431" s="58"/>
      <c r="E1431" s="17"/>
      <c r="F1431" s="58"/>
      <c r="G1431" s="19"/>
      <c r="H1431" s="19"/>
      <c r="I1431" s="19"/>
      <c r="J1431" s="19"/>
      <c r="K1431" s="19"/>
      <c r="L1431" s="19"/>
      <c r="M1431" s="14"/>
      <c r="N1431" s="39"/>
      <c r="Q1431" s="1"/>
      <c r="R1431" s="1"/>
      <c r="S1431" s="1"/>
      <c r="T1431" s="1"/>
      <c r="U1431" s="24"/>
      <c r="V1431" s="24"/>
      <c r="W1431" s="1"/>
      <c r="X1431" s="1"/>
      <c r="Z1431" s="94" t="s">
        <v>82</v>
      </c>
    </row>
    <row r="1432" spans="1:26" s="25" customFormat="1" ht="6.95" customHeight="1" x14ac:dyDescent="0.3">
      <c r="A1432" s="165">
        <f>+A1421+1</f>
        <v>131</v>
      </c>
      <c r="B1432" s="166"/>
      <c r="C1432" s="167"/>
      <c r="D1432" s="160" t="s">
        <v>39</v>
      </c>
      <c r="E1432" s="161"/>
      <c r="F1432" s="162" t="s">
        <v>40</v>
      </c>
      <c r="G1432" s="163"/>
      <c r="H1432" s="164"/>
      <c r="I1432" s="163"/>
      <c r="J1432" s="164"/>
      <c r="K1432" s="163"/>
      <c r="L1432" s="164"/>
      <c r="M1432" s="11"/>
      <c r="N1432" s="39"/>
      <c r="Q1432" s="15" t="str">
        <f>+CONCATENATE(E1432,G1432)</f>
        <v/>
      </c>
      <c r="R1432" s="15">
        <f>+H1432</f>
        <v>0</v>
      </c>
      <c r="S1432" s="16"/>
      <c r="T1432" s="15">
        <f>+E1432</f>
        <v>0</v>
      </c>
      <c r="U1432" s="26" t="str">
        <f>IFERROR(LEFT(G1432,FIND("*",G1432)-1),"-")</f>
        <v>-</v>
      </c>
      <c r="V1432" s="26" t="str">
        <f>IFERROR(RIGHT(G1432,LEN(G1432)-FIND("*",G1432)),"-")</f>
        <v>-</v>
      </c>
      <c r="W1432" s="27" t="str">
        <f>IFERROR((U1432+V1432)*2/1000,"-")</f>
        <v>-</v>
      </c>
      <c r="X1432" s="27" t="str">
        <f>IFERROR(W1432*H1432,"-")</f>
        <v>-</v>
      </c>
      <c r="Z1432" s="94" t="s">
        <v>82</v>
      </c>
    </row>
    <row r="1433" spans="1:26" s="25" customFormat="1" ht="6.95" customHeight="1" x14ac:dyDescent="0.3">
      <c r="A1433" s="165"/>
      <c r="B1433" s="168"/>
      <c r="C1433" s="169"/>
      <c r="D1433" s="160"/>
      <c r="E1433" s="161"/>
      <c r="F1433" s="162"/>
      <c r="G1433" s="163"/>
      <c r="H1433" s="164"/>
      <c r="I1433" s="163"/>
      <c r="J1433" s="164"/>
      <c r="K1433" s="163"/>
      <c r="L1433" s="164"/>
      <c r="M1433" s="11"/>
      <c r="N1433" s="39"/>
      <c r="Q1433" s="15" t="str">
        <f>+CONCATENATE(E1432,I1432)</f>
        <v/>
      </c>
      <c r="R1433" s="15">
        <f>+J1432</f>
        <v>0</v>
      </c>
      <c r="S1433" s="16"/>
      <c r="T1433" s="15">
        <f>+E1432</f>
        <v>0</v>
      </c>
      <c r="U1433" s="26" t="str">
        <f>IFERROR(LEFT(I1432,FIND("*",I1432)-1),"-")</f>
        <v>-</v>
      </c>
      <c r="V1433" s="26" t="str">
        <f>IFERROR(RIGHT(I1432,LEN(I1432)-FIND("*",I1432)),"-")</f>
        <v>-</v>
      </c>
      <c r="W1433" s="27" t="str">
        <f t="shared" ref="W1433:W1440" si="778">IFERROR((U1433+V1433)*2/1000,"-")</f>
        <v>-</v>
      </c>
      <c r="X1433" s="27" t="str">
        <f>IFERROR(W1433*J1432,"-")</f>
        <v>-</v>
      </c>
      <c r="Z1433" s="94" t="s">
        <v>82</v>
      </c>
    </row>
    <row r="1434" spans="1:26" s="25" customFormat="1" ht="6.95" customHeight="1" x14ac:dyDescent="0.3">
      <c r="A1434" s="165"/>
      <c r="B1434" s="168"/>
      <c r="C1434" s="169"/>
      <c r="D1434" s="160"/>
      <c r="E1434" s="161"/>
      <c r="F1434" s="162"/>
      <c r="G1434" s="163"/>
      <c r="H1434" s="164"/>
      <c r="I1434" s="163"/>
      <c r="J1434" s="164"/>
      <c r="K1434" s="163"/>
      <c r="L1434" s="164"/>
      <c r="M1434" s="11"/>
      <c r="N1434" s="39"/>
      <c r="Q1434" s="15" t="str">
        <f>+CONCATENATE(E1432,K1432)</f>
        <v/>
      </c>
      <c r="R1434" s="15">
        <f>+L1432</f>
        <v>0</v>
      </c>
      <c r="S1434" s="16"/>
      <c r="T1434" s="15">
        <f>+E1432</f>
        <v>0</v>
      </c>
      <c r="U1434" s="26" t="str">
        <f>IFERROR(LEFT(K1432,FIND("*",K1432)-1),"-")</f>
        <v>-</v>
      </c>
      <c r="V1434" s="26" t="str">
        <f>IFERROR(RIGHT(K1432,LEN(K1432)-FIND("*",K1432)),"-")</f>
        <v>-</v>
      </c>
      <c r="W1434" s="27" t="str">
        <f t="shared" si="778"/>
        <v>-</v>
      </c>
      <c r="X1434" s="27" t="str">
        <f>IFERROR(W1434*L1432,"-")</f>
        <v>-</v>
      </c>
      <c r="Z1434" s="94" t="s">
        <v>82</v>
      </c>
    </row>
    <row r="1435" spans="1:26" s="25" customFormat="1" ht="6.95" customHeight="1" x14ac:dyDescent="0.3">
      <c r="A1435" s="13"/>
      <c r="B1435" s="168"/>
      <c r="C1435" s="169"/>
      <c r="D1435" s="160" t="s">
        <v>39</v>
      </c>
      <c r="E1435" s="161"/>
      <c r="F1435" s="162" t="s">
        <v>40</v>
      </c>
      <c r="G1435" s="163"/>
      <c r="H1435" s="164"/>
      <c r="I1435" s="163"/>
      <c r="J1435" s="164"/>
      <c r="K1435" s="163"/>
      <c r="L1435" s="164"/>
      <c r="M1435" s="11"/>
      <c r="N1435" s="39"/>
      <c r="Q1435" s="15" t="str">
        <f>+CONCATENATE(E1435,G1435)</f>
        <v/>
      </c>
      <c r="R1435" s="15">
        <f>+H1435</f>
        <v>0</v>
      </c>
      <c r="S1435" s="16"/>
      <c r="T1435" s="15">
        <f>+E1435</f>
        <v>0</v>
      </c>
      <c r="U1435" s="26" t="str">
        <f t="shared" ref="U1435" si="779">IFERROR(LEFT(G1435,FIND("*",G1435)-1),"-")</f>
        <v>-</v>
      </c>
      <c r="V1435" s="26" t="str">
        <f t="shared" ref="V1435" si="780">IFERROR(RIGHT(G1435,LEN(G1435)-FIND("*",G1435)),"-")</f>
        <v>-</v>
      </c>
      <c r="W1435" s="27" t="str">
        <f t="shared" si="778"/>
        <v>-</v>
      </c>
      <c r="X1435" s="27" t="str">
        <f>IFERROR(W1435*H1435,"-")</f>
        <v>-</v>
      </c>
      <c r="Z1435" s="94" t="s">
        <v>82</v>
      </c>
    </row>
    <row r="1436" spans="1:26" s="25" customFormat="1" ht="6.95" customHeight="1" x14ac:dyDescent="0.3">
      <c r="A1436" s="10"/>
      <c r="B1436" s="168"/>
      <c r="C1436" s="169"/>
      <c r="D1436" s="160"/>
      <c r="E1436" s="161"/>
      <c r="F1436" s="162"/>
      <c r="G1436" s="163"/>
      <c r="H1436" s="164"/>
      <c r="I1436" s="163"/>
      <c r="J1436" s="164"/>
      <c r="K1436" s="163"/>
      <c r="L1436" s="164"/>
      <c r="M1436" s="11"/>
      <c r="N1436" s="39"/>
      <c r="Q1436" s="15" t="str">
        <f>+CONCATENATE(E1435,I1435)</f>
        <v/>
      </c>
      <c r="R1436" s="15">
        <f>+J1435</f>
        <v>0</v>
      </c>
      <c r="S1436" s="16"/>
      <c r="T1436" s="15">
        <f>+E1435</f>
        <v>0</v>
      </c>
      <c r="U1436" s="26" t="str">
        <f>IFERROR(LEFT(I1435,FIND("*",I1435)-1),"-")</f>
        <v>-</v>
      </c>
      <c r="V1436" s="26" t="str">
        <f>IFERROR(RIGHT(I1435,LEN(I1435)-FIND("*",I1435)),"-")</f>
        <v>-</v>
      </c>
      <c r="W1436" s="27" t="str">
        <f t="shared" si="778"/>
        <v>-</v>
      </c>
      <c r="X1436" s="27" t="str">
        <f>IFERROR(W1436*J1435,"-")</f>
        <v>-</v>
      </c>
      <c r="Z1436" s="94" t="s">
        <v>82</v>
      </c>
    </row>
    <row r="1437" spans="1:26" s="25" customFormat="1" ht="6.95" customHeight="1" x14ac:dyDescent="0.3">
      <c r="A1437" s="10"/>
      <c r="B1437" s="168"/>
      <c r="C1437" s="169"/>
      <c r="D1437" s="160"/>
      <c r="E1437" s="161"/>
      <c r="F1437" s="162"/>
      <c r="G1437" s="163"/>
      <c r="H1437" s="164"/>
      <c r="I1437" s="163"/>
      <c r="J1437" s="164"/>
      <c r="K1437" s="163"/>
      <c r="L1437" s="164"/>
      <c r="M1437" s="11"/>
      <c r="N1437" s="39"/>
      <c r="Q1437" s="15" t="str">
        <f>+CONCATENATE(E1435,K1435)</f>
        <v/>
      </c>
      <c r="R1437" s="15">
        <f>+L1435</f>
        <v>0</v>
      </c>
      <c r="S1437" s="16"/>
      <c r="T1437" s="15">
        <f>+E1435</f>
        <v>0</v>
      </c>
      <c r="U1437" s="26" t="str">
        <f>IFERROR(LEFT(K1435,FIND("*",K1435)-1),"-")</f>
        <v>-</v>
      </c>
      <c r="V1437" s="26" t="str">
        <f>IFERROR(RIGHT(K1435,LEN(K1435)-FIND("*",K1435)),"-")</f>
        <v>-</v>
      </c>
      <c r="W1437" s="27" t="str">
        <f t="shared" si="778"/>
        <v>-</v>
      </c>
      <c r="X1437" s="27" t="str">
        <f>IFERROR(W1437*L1435,"-")</f>
        <v>-</v>
      </c>
      <c r="Z1437" s="94" t="s">
        <v>82</v>
      </c>
    </row>
    <row r="1438" spans="1:26" s="25" customFormat="1" ht="6.95" customHeight="1" x14ac:dyDescent="0.3">
      <c r="A1438" s="13"/>
      <c r="B1438" s="168"/>
      <c r="C1438" s="169"/>
      <c r="D1438" s="160" t="s">
        <v>39</v>
      </c>
      <c r="E1438" s="161"/>
      <c r="F1438" s="162" t="s">
        <v>40</v>
      </c>
      <c r="G1438" s="163"/>
      <c r="H1438" s="164"/>
      <c r="I1438" s="163"/>
      <c r="J1438" s="164"/>
      <c r="K1438" s="163"/>
      <c r="L1438" s="164"/>
      <c r="M1438" s="11"/>
      <c r="N1438" s="39"/>
      <c r="Q1438" s="15" t="str">
        <f>+CONCATENATE(E1438,G1438)</f>
        <v/>
      </c>
      <c r="R1438" s="15">
        <f>+H1438</f>
        <v>0</v>
      </c>
      <c r="S1438" s="16"/>
      <c r="T1438" s="15">
        <f>+E1438</f>
        <v>0</v>
      </c>
      <c r="U1438" s="26" t="str">
        <f t="shared" ref="U1438" si="781">IFERROR(LEFT(G1438,FIND("*",G1438)-1),"-")</f>
        <v>-</v>
      </c>
      <c r="V1438" s="26" t="str">
        <f t="shared" ref="V1438" si="782">IFERROR(RIGHT(G1438,LEN(G1438)-FIND("*",G1438)),"-")</f>
        <v>-</v>
      </c>
      <c r="W1438" s="27" t="str">
        <f t="shared" si="778"/>
        <v>-</v>
      </c>
      <c r="X1438" s="27" t="str">
        <f>IFERROR(W1438*H1438,"-")</f>
        <v>-</v>
      </c>
      <c r="Z1438" s="94" t="s">
        <v>82</v>
      </c>
    </row>
    <row r="1439" spans="1:26" s="25" customFormat="1" ht="6.95" customHeight="1" x14ac:dyDescent="0.3">
      <c r="A1439" s="10"/>
      <c r="B1439" s="168"/>
      <c r="C1439" s="169"/>
      <c r="D1439" s="160"/>
      <c r="E1439" s="161"/>
      <c r="F1439" s="162"/>
      <c r="G1439" s="163"/>
      <c r="H1439" s="164"/>
      <c r="I1439" s="163"/>
      <c r="J1439" s="164"/>
      <c r="K1439" s="163"/>
      <c r="L1439" s="164"/>
      <c r="M1439" s="11"/>
      <c r="N1439" s="39"/>
      <c r="Q1439" s="15" t="str">
        <f>+CONCATENATE(E1438,I1438)</f>
        <v/>
      </c>
      <c r="R1439" s="15">
        <f>+J1438</f>
        <v>0</v>
      </c>
      <c r="S1439" s="16"/>
      <c r="T1439" s="15">
        <f>+E1438</f>
        <v>0</v>
      </c>
      <c r="U1439" s="26" t="str">
        <f>IFERROR(LEFT(I1438,FIND("*",I1438)-1),"-")</f>
        <v>-</v>
      </c>
      <c r="V1439" s="26" t="str">
        <f>IFERROR(RIGHT(I1438,LEN(I1438)-FIND("*",I1438)),"-")</f>
        <v>-</v>
      </c>
      <c r="W1439" s="27" t="str">
        <f t="shared" si="778"/>
        <v>-</v>
      </c>
      <c r="X1439" s="27" t="str">
        <f t="shared" ref="X1439" si="783">IFERROR(W1439*J1438,"-")</f>
        <v>-</v>
      </c>
      <c r="Z1439" s="94" t="s">
        <v>82</v>
      </c>
    </row>
    <row r="1440" spans="1:26" s="25" customFormat="1" ht="6.95" customHeight="1" x14ac:dyDescent="0.3">
      <c r="A1440" s="10"/>
      <c r="B1440" s="168"/>
      <c r="C1440" s="169"/>
      <c r="D1440" s="160"/>
      <c r="E1440" s="161"/>
      <c r="F1440" s="162"/>
      <c r="G1440" s="163"/>
      <c r="H1440" s="164"/>
      <c r="I1440" s="163"/>
      <c r="J1440" s="164"/>
      <c r="K1440" s="163"/>
      <c r="L1440" s="164"/>
      <c r="M1440" s="11"/>
      <c r="N1440" s="39"/>
      <c r="Q1440" s="15" t="str">
        <f>+CONCATENATE(E1438,K1438)</f>
        <v/>
      </c>
      <c r="R1440" s="15">
        <f>+L1438</f>
        <v>0</v>
      </c>
      <c r="S1440" s="16"/>
      <c r="T1440" s="15">
        <f>+E1438</f>
        <v>0</v>
      </c>
      <c r="U1440" s="26" t="str">
        <f>IFERROR(LEFT(K1438,FIND("*",K1438)-1),"-")</f>
        <v>-</v>
      </c>
      <c r="V1440" s="26" t="str">
        <f>IFERROR(RIGHT(K1438,LEN(K1438)-FIND("*",K1438)),"-")</f>
        <v>-</v>
      </c>
      <c r="W1440" s="27" t="str">
        <f t="shared" si="778"/>
        <v>-</v>
      </c>
      <c r="X1440" s="27" t="str">
        <f>IFERROR(W1440*L1438,"-")</f>
        <v>-</v>
      </c>
      <c r="Z1440" s="94" t="s">
        <v>82</v>
      </c>
    </row>
    <row r="1441" spans="1:26" s="25" customFormat="1" ht="21" customHeight="1" thickBot="1" x14ac:dyDescent="0.35">
      <c r="A1441" s="10"/>
      <c r="B1441" s="170"/>
      <c r="C1441" s="171"/>
      <c r="D1441" s="172" t="s">
        <v>43</v>
      </c>
      <c r="E1441" s="173"/>
      <c r="F1441" s="173"/>
      <c r="G1441" s="174"/>
      <c r="H1441" s="174"/>
      <c r="I1441" s="174"/>
      <c r="J1441" s="174"/>
      <c r="K1441" s="174"/>
      <c r="L1441" s="174"/>
      <c r="M1441" s="12"/>
      <c r="N1441" s="39"/>
      <c r="U1441" s="23"/>
      <c r="V1441" s="23"/>
      <c r="Z1441" s="95" t="s">
        <v>81</v>
      </c>
    </row>
    <row r="1442" spans="1:26" s="25" customFormat="1" ht="9.9499999999999993" customHeight="1" thickBot="1" x14ac:dyDescent="0.35">
      <c r="A1442" s="6"/>
      <c r="B1442" s="14"/>
      <c r="C1442" s="119"/>
      <c r="D1442" s="58"/>
      <c r="E1442" s="17"/>
      <c r="F1442" s="58"/>
      <c r="G1442" s="19"/>
      <c r="H1442" s="19"/>
      <c r="I1442" s="19"/>
      <c r="J1442" s="19"/>
      <c r="K1442" s="19"/>
      <c r="L1442" s="19"/>
      <c r="M1442" s="14"/>
      <c r="N1442" s="39"/>
      <c r="Q1442" s="1"/>
      <c r="R1442" s="1"/>
      <c r="S1442" s="1"/>
      <c r="T1442" s="1"/>
      <c r="U1442" s="24"/>
      <c r="V1442" s="24"/>
      <c r="W1442" s="1"/>
      <c r="X1442" s="1"/>
      <c r="Z1442" s="94" t="s">
        <v>82</v>
      </c>
    </row>
    <row r="1443" spans="1:26" s="25" customFormat="1" ht="6.95" customHeight="1" x14ac:dyDescent="0.3">
      <c r="A1443" s="165">
        <f>+A1432+1</f>
        <v>132</v>
      </c>
      <c r="B1443" s="166"/>
      <c r="C1443" s="167"/>
      <c r="D1443" s="160" t="s">
        <v>39</v>
      </c>
      <c r="E1443" s="161"/>
      <c r="F1443" s="162" t="s">
        <v>40</v>
      </c>
      <c r="G1443" s="163"/>
      <c r="H1443" s="164"/>
      <c r="I1443" s="163"/>
      <c r="J1443" s="164"/>
      <c r="K1443" s="163"/>
      <c r="L1443" s="164"/>
      <c r="M1443" s="11"/>
      <c r="N1443" s="39"/>
      <c r="Q1443" s="15" t="str">
        <f>+CONCATENATE(E1443,G1443)</f>
        <v/>
      </c>
      <c r="R1443" s="15">
        <f>+H1443</f>
        <v>0</v>
      </c>
      <c r="S1443" s="16"/>
      <c r="T1443" s="15">
        <f>+E1443</f>
        <v>0</v>
      </c>
      <c r="U1443" s="26" t="str">
        <f>IFERROR(LEFT(G1443,FIND("*",G1443)-1),"-")</f>
        <v>-</v>
      </c>
      <c r="V1443" s="26" t="str">
        <f>IFERROR(RIGHT(G1443,LEN(G1443)-FIND("*",G1443)),"-")</f>
        <v>-</v>
      </c>
      <c r="W1443" s="27" t="str">
        <f>IFERROR((U1443+V1443)*2/1000,"-")</f>
        <v>-</v>
      </c>
      <c r="X1443" s="27" t="str">
        <f>IFERROR(W1443*H1443,"-")</f>
        <v>-</v>
      </c>
      <c r="Z1443" s="94" t="s">
        <v>82</v>
      </c>
    </row>
    <row r="1444" spans="1:26" s="25" customFormat="1" ht="6.95" customHeight="1" x14ac:dyDescent="0.3">
      <c r="A1444" s="165"/>
      <c r="B1444" s="168"/>
      <c r="C1444" s="169"/>
      <c r="D1444" s="160"/>
      <c r="E1444" s="161"/>
      <c r="F1444" s="162"/>
      <c r="G1444" s="163"/>
      <c r="H1444" s="164"/>
      <c r="I1444" s="163"/>
      <c r="J1444" s="164"/>
      <c r="K1444" s="163"/>
      <c r="L1444" s="164"/>
      <c r="M1444" s="11"/>
      <c r="N1444" s="39"/>
      <c r="Q1444" s="15" t="str">
        <f>+CONCATENATE(E1443,I1443)</f>
        <v/>
      </c>
      <c r="R1444" s="15">
        <f>+J1443</f>
        <v>0</v>
      </c>
      <c r="S1444" s="16"/>
      <c r="T1444" s="15">
        <f>+E1443</f>
        <v>0</v>
      </c>
      <c r="U1444" s="26" t="str">
        <f>IFERROR(LEFT(I1443,FIND("*",I1443)-1),"-")</f>
        <v>-</v>
      </c>
      <c r="V1444" s="26" t="str">
        <f>IFERROR(RIGHT(I1443,LEN(I1443)-FIND("*",I1443)),"-")</f>
        <v>-</v>
      </c>
      <c r="W1444" s="27" t="str">
        <f t="shared" ref="W1444:W1451" si="784">IFERROR((U1444+V1444)*2/1000,"-")</f>
        <v>-</v>
      </c>
      <c r="X1444" s="27" t="str">
        <f>IFERROR(W1444*J1443,"-")</f>
        <v>-</v>
      </c>
      <c r="Z1444" s="94" t="s">
        <v>82</v>
      </c>
    </row>
    <row r="1445" spans="1:26" s="25" customFormat="1" ht="6.95" customHeight="1" x14ac:dyDescent="0.3">
      <c r="A1445" s="165"/>
      <c r="B1445" s="168"/>
      <c r="C1445" s="169"/>
      <c r="D1445" s="160"/>
      <c r="E1445" s="161"/>
      <c r="F1445" s="162"/>
      <c r="G1445" s="163"/>
      <c r="H1445" s="164"/>
      <c r="I1445" s="163"/>
      <c r="J1445" s="164"/>
      <c r="K1445" s="163"/>
      <c r="L1445" s="164"/>
      <c r="M1445" s="11"/>
      <c r="N1445" s="39"/>
      <c r="Q1445" s="15" t="str">
        <f>+CONCATENATE(E1443,K1443)</f>
        <v/>
      </c>
      <c r="R1445" s="15">
        <f>+L1443</f>
        <v>0</v>
      </c>
      <c r="S1445" s="16"/>
      <c r="T1445" s="15">
        <f>+E1443</f>
        <v>0</v>
      </c>
      <c r="U1445" s="26" t="str">
        <f>IFERROR(LEFT(K1443,FIND("*",K1443)-1),"-")</f>
        <v>-</v>
      </c>
      <c r="V1445" s="26" t="str">
        <f>IFERROR(RIGHT(K1443,LEN(K1443)-FIND("*",K1443)),"-")</f>
        <v>-</v>
      </c>
      <c r="W1445" s="27" t="str">
        <f t="shared" si="784"/>
        <v>-</v>
      </c>
      <c r="X1445" s="27" t="str">
        <f>IFERROR(W1445*L1443,"-")</f>
        <v>-</v>
      </c>
      <c r="Z1445" s="94" t="s">
        <v>82</v>
      </c>
    </row>
    <row r="1446" spans="1:26" s="25" customFormat="1" ht="6.95" customHeight="1" x14ac:dyDescent="0.3">
      <c r="A1446" s="13"/>
      <c r="B1446" s="168"/>
      <c r="C1446" s="169"/>
      <c r="D1446" s="160" t="s">
        <v>39</v>
      </c>
      <c r="E1446" s="161"/>
      <c r="F1446" s="162" t="s">
        <v>40</v>
      </c>
      <c r="G1446" s="163"/>
      <c r="H1446" s="164"/>
      <c r="I1446" s="163"/>
      <c r="J1446" s="164"/>
      <c r="K1446" s="163"/>
      <c r="L1446" s="164"/>
      <c r="M1446" s="11"/>
      <c r="N1446" s="39"/>
      <c r="Q1446" s="15" t="str">
        <f>+CONCATENATE(E1446,G1446)</f>
        <v/>
      </c>
      <c r="R1446" s="15">
        <f>+H1446</f>
        <v>0</v>
      </c>
      <c r="S1446" s="16"/>
      <c r="T1446" s="15">
        <f>+E1446</f>
        <v>0</v>
      </c>
      <c r="U1446" s="26" t="str">
        <f t="shared" ref="U1446" si="785">IFERROR(LEFT(G1446,FIND("*",G1446)-1),"-")</f>
        <v>-</v>
      </c>
      <c r="V1446" s="26" t="str">
        <f t="shared" ref="V1446" si="786">IFERROR(RIGHT(G1446,LEN(G1446)-FIND("*",G1446)),"-")</f>
        <v>-</v>
      </c>
      <c r="W1446" s="27" t="str">
        <f t="shared" si="784"/>
        <v>-</v>
      </c>
      <c r="X1446" s="27" t="str">
        <f>IFERROR(W1446*H1446,"-")</f>
        <v>-</v>
      </c>
      <c r="Z1446" s="94" t="s">
        <v>82</v>
      </c>
    </row>
    <row r="1447" spans="1:26" s="25" customFormat="1" ht="6.95" customHeight="1" x14ac:dyDescent="0.3">
      <c r="A1447" s="10"/>
      <c r="B1447" s="168"/>
      <c r="C1447" s="169"/>
      <c r="D1447" s="160"/>
      <c r="E1447" s="161"/>
      <c r="F1447" s="162"/>
      <c r="G1447" s="163"/>
      <c r="H1447" s="164"/>
      <c r="I1447" s="163"/>
      <c r="J1447" s="164"/>
      <c r="K1447" s="163"/>
      <c r="L1447" s="164"/>
      <c r="M1447" s="11"/>
      <c r="N1447" s="39"/>
      <c r="Q1447" s="15" t="str">
        <f>+CONCATENATE(E1446,I1446)</f>
        <v/>
      </c>
      <c r="R1447" s="15">
        <f>+J1446</f>
        <v>0</v>
      </c>
      <c r="S1447" s="16"/>
      <c r="T1447" s="15">
        <f>+E1446</f>
        <v>0</v>
      </c>
      <c r="U1447" s="26" t="str">
        <f>IFERROR(LEFT(I1446,FIND("*",I1446)-1),"-")</f>
        <v>-</v>
      </c>
      <c r="V1447" s="26" t="str">
        <f>IFERROR(RIGHT(I1446,LEN(I1446)-FIND("*",I1446)),"-")</f>
        <v>-</v>
      </c>
      <c r="W1447" s="27" t="str">
        <f t="shared" si="784"/>
        <v>-</v>
      </c>
      <c r="X1447" s="27" t="str">
        <f>IFERROR(W1447*J1446,"-")</f>
        <v>-</v>
      </c>
      <c r="Z1447" s="94" t="s">
        <v>82</v>
      </c>
    </row>
    <row r="1448" spans="1:26" s="25" customFormat="1" ht="6.95" customHeight="1" x14ac:dyDescent="0.3">
      <c r="A1448" s="10"/>
      <c r="B1448" s="168"/>
      <c r="C1448" s="169"/>
      <c r="D1448" s="160"/>
      <c r="E1448" s="161"/>
      <c r="F1448" s="162"/>
      <c r="G1448" s="163"/>
      <c r="H1448" s="164"/>
      <c r="I1448" s="163"/>
      <c r="J1448" s="164"/>
      <c r="K1448" s="163"/>
      <c r="L1448" s="164"/>
      <c r="M1448" s="11"/>
      <c r="N1448" s="39"/>
      <c r="Q1448" s="15" t="str">
        <f>+CONCATENATE(E1446,K1446)</f>
        <v/>
      </c>
      <c r="R1448" s="15">
        <f>+L1446</f>
        <v>0</v>
      </c>
      <c r="S1448" s="16"/>
      <c r="T1448" s="15">
        <f>+E1446</f>
        <v>0</v>
      </c>
      <c r="U1448" s="26" t="str">
        <f>IFERROR(LEFT(K1446,FIND("*",K1446)-1),"-")</f>
        <v>-</v>
      </c>
      <c r="V1448" s="26" t="str">
        <f>IFERROR(RIGHT(K1446,LEN(K1446)-FIND("*",K1446)),"-")</f>
        <v>-</v>
      </c>
      <c r="W1448" s="27" t="str">
        <f t="shared" si="784"/>
        <v>-</v>
      </c>
      <c r="X1448" s="27" t="str">
        <f>IFERROR(W1448*L1446,"-")</f>
        <v>-</v>
      </c>
      <c r="Z1448" s="94" t="s">
        <v>82</v>
      </c>
    </row>
    <row r="1449" spans="1:26" s="25" customFormat="1" ht="6.95" customHeight="1" x14ac:dyDescent="0.3">
      <c r="A1449" s="13"/>
      <c r="B1449" s="168"/>
      <c r="C1449" s="169"/>
      <c r="D1449" s="160" t="s">
        <v>39</v>
      </c>
      <c r="E1449" s="161"/>
      <c r="F1449" s="162" t="s">
        <v>40</v>
      </c>
      <c r="G1449" s="163"/>
      <c r="H1449" s="164"/>
      <c r="I1449" s="163"/>
      <c r="J1449" s="164"/>
      <c r="K1449" s="163"/>
      <c r="L1449" s="164"/>
      <c r="M1449" s="11"/>
      <c r="N1449" s="39"/>
      <c r="Q1449" s="15" t="str">
        <f>+CONCATENATE(E1449,G1449)</f>
        <v/>
      </c>
      <c r="R1449" s="15">
        <f>+H1449</f>
        <v>0</v>
      </c>
      <c r="S1449" s="16"/>
      <c r="T1449" s="15">
        <f>+E1449</f>
        <v>0</v>
      </c>
      <c r="U1449" s="26" t="str">
        <f t="shared" ref="U1449" si="787">IFERROR(LEFT(G1449,FIND("*",G1449)-1),"-")</f>
        <v>-</v>
      </c>
      <c r="V1449" s="26" t="str">
        <f t="shared" ref="V1449" si="788">IFERROR(RIGHT(G1449,LEN(G1449)-FIND("*",G1449)),"-")</f>
        <v>-</v>
      </c>
      <c r="W1449" s="27" t="str">
        <f t="shared" si="784"/>
        <v>-</v>
      </c>
      <c r="X1449" s="27" t="str">
        <f>IFERROR(W1449*H1449,"-")</f>
        <v>-</v>
      </c>
      <c r="Z1449" s="94" t="s">
        <v>82</v>
      </c>
    </row>
    <row r="1450" spans="1:26" s="25" customFormat="1" ht="6.95" customHeight="1" x14ac:dyDescent="0.3">
      <c r="A1450" s="10"/>
      <c r="B1450" s="168"/>
      <c r="C1450" s="169"/>
      <c r="D1450" s="160"/>
      <c r="E1450" s="161"/>
      <c r="F1450" s="162"/>
      <c r="G1450" s="163"/>
      <c r="H1450" s="164"/>
      <c r="I1450" s="163"/>
      <c r="J1450" s="164"/>
      <c r="K1450" s="163"/>
      <c r="L1450" s="164"/>
      <c r="M1450" s="11"/>
      <c r="N1450" s="39"/>
      <c r="Q1450" s="15" t="str">
        <f>+CONCATENATE(E1449,I1449)</f>
        <v/>
      </c>
      <c r="R1450" s="15">
        <f>+J1449</f>
        <v>0</v>
      </c>
      <c r="S1450" s="16"/>
      <c r="T1450" s="15">
        <f>+E1449</f>
        <v>0</v>
      </c>
      <c r="U1450" s="26" t="str">
        <f>IFERROR(LEFT(I1449,FIND("*",I1449)-1),"-")</f>
        <v>-</v>
      </c>
      <c r="V1450" s="26" t="str">
        <f>IFERROR(RIGHT(I1449,LEN(I1449)-FIND("*",I1449)),"-")</f>
        <v>-</v>
      </c>
      <c r="W1450" s="27" t="str">
        <f t="shared" si="784"/>
        <v>-</v>
      </c>
      <c r="X1450" s="27" t="str">
        <f t="shared" ref="X1450" si="789">IFERROR(W1450*J1449,"-")</f>
        <v>-</v>
      </c>
      <c r="Z1450" s="94" t="s">
        <v>82</v>
      </c>
    </row>
    <row r="1451" spans="1:26" s="25" customFormat="1" ht="6.95" customHeight="1" x14ac:dyDescent="0.3">
      <c r="A1451" s="10"/>
      <c r="B1451" s="168"/>
      <c r="C1451" s="169"/>
      <c r="D1451" s="160"/>
      <c r="E1451" s="161"/>
      <c r="F1451" s="162"/>
      <c r="G1451" s="163"/>
      <c r="H1451" s="164"/>
      <c r="I1451" s="163"/>
      <c r="J1451" s="164"/>
      <c r="K1451" s="163"/>
      <c r="L1451" s="164"/>
      <c r="M1451" s="11"/>
      <c r="N1451" s="39"/>
      <c r="Q1451" s="15" t="str">
        <f>+CONCATENATE(E1449,K1449)</f>
        <v/>
      </c>
      <c r="R1451" s="15">
        <f>+L1449</f>
        <v>0</v>
      </c>
      <c r="S1451" s="16"/>
      <c r="T1451" s="15">
        <f>+E1449</f>
        <v>0</v>
      </c>
      <c r="U1451" s="26" t="str">
        <f>IFERROR(LEFT(K1449,FIND("*",K1449)-1),"-")</f>
        <v>-</v>
      </c>
      <c r="V1451" s="26" t="str">
        <f>IFERROR(RIGHT(K1449,LEN(K1449)-FIND("*",K1449)),"-")</f>
        <v>-</v>
      </c>
      <c r="W1451" s="27" t="str">
        <f t="shared" si="784"/>
        <v>-</v>
      </c>
      <c r="X1451" s="27" t="str">
        <f>IFERROR(W1451*L1449,"-")</f>
        <v>-</v>
      </c>
      <c r="Z1451" s="94" t="s">
        <v>82</v>
      </c>
    </row>
    <row r="1452" spans="1:26" s="25" customFormat="1" ht="21" customHeight="1" thickBot="1" x14ac:dyDescent="0.35">
      <c r="A1452" s="10"/>
      <c r="B1452" s="170"/>
      <c r="C1452" s="171"/>
      <c r="D1452" s="172" t="s">
        <v>43</v>
      </c>
      <c r="E1452" s="173"/>
      <c r="F1452" s="173"/>
      <c r="G1452" s="174"/>
      <c r="H1452" s="174"/>
      <c r="I1452" s="174"/>
      <c r="J1452" s="174"/>
      <c r="K1452" s="174"/>
      <c r="L1452" s="174"/>
      <c r="M1452" s="12"/>
      <c r="N1452" s="39"/>
      <c r="U1452" s="23"/>
      <c r="V1452" s="23"/>
      <c r="Z1452" s="95" t="s">
        <v>81</v>
      </c>
    </row>
    <row r="1453" spans="1:26" s="25" customFormat="1" ht="9.9499999999999993" customHeight="1" thickBot="1" x14ac:dyDescent="0.35">
      <c r="A1453" s="6"/>
      <c r="B1453" s="14"/>
      <c r="C1453" s="119"/>
      <c r="D1453" s="58"/>
      <c r="E1453" s="17"/>
      <c r="F1453" s="58"/>
      <c r="G1453" s="19"/>
      <c r="H1453" s="19"/>
      <c r="I1453" s="19"/>
      <c r="J1453" s="19"/>
      <c r="K1453" s="19"/>
      <c r="L1453" s="19"/>
      <c r="M1453" s="14"/>
      <c r="N1453" s="39"/>
      <c r="Q1453" s="1"/>
      <c r="R1453" s="1"/>
      <c r="S1453" s="1"/>
      <c r="T1453" s="1"/>
      <c r="U1453" s="24"/>
      <c r="V1453" s="24"/>
      <c r="W1453" s="1"/>
      <c r="X1453" s="1"/>
      <c r="Z1453" s="94" t="s">
        <v>82</v>
      </c>
    </row>
    <row r="1454" spans="1:26" s="25" customFormat="1" ht="6.95" customHeight="1" x14ac:dyDescent="0.3">
      <c r="A1454" s="165">
        <f>+A1443+1</f>
        <v>133</v>
      </c>
      <c r="B1454" s="166"/>
      <c r="C1454" s="167"/>
      <c r="D1454" s="160" t="s">
        <v>39</v>
      </c>
      <c r="E1454" s="161"/>
      <c r="F1454" s="162" t="s">
        <v>40</v>
      </c>
      <c r="G1454" s="163"/>
      <c r="H1454" s="164"/>
      <c r="I1454" s="163"/>
      <c r="J1454" s="164"/>
      <c r="K1454" s="163"/>
      <c r="L1454" s="164"/>
      <c r="M1454" s="11"/>
      <c r="N1454" s="39"/>
      <c r="Q1454" s="15" t="str">
        <f>+CONCATENATE(E1454,G1454)</f>
        <v/>
      </c>
      <c r="R1454" s="15">
        <f>+H1454</f>
        <v>0</v>
      </c>
      <c r="S1454" s="16"/>
      <c r="T1454" s="15">
        <f>+E1454</f>
        <v>0</v>
      </c>
      <c r="U1454" s="26" t="str">
        <f>IFERROR(LEFT(G1454,FIND("*",G1454)-1),"-")</f>
        <v>-</v>
      </c>
      <c r="V1454" s="26" t="str">
        <f>IFERROR(RIGHT(G1454,LEN(G1454)-FIND("*",G1454)),"-")</f>
        <v>-</v>
      </c>
      <c r="W1454" s="27" t="str">
        <f>IFERROR((U1454+V1454)*2/1000,"-")</f>
        <v>-</v>
      </c>
      <c r="X1454" s="27" t="str">
        <f>IFERROR(W1454*H1454,"-")</f>
        <v>-</v>
      </c>
      <c r="Z1454" s="94" t="s">
        <v>82</v>
      </c>
    </row>
    <row r="1455" spans="1:26" s="25" customFormat="1" ht="6.95" customHeight="1" x14ac:dyDescent="0.3">
      <c r="A1455" s="165"/>
      <c r="B1455" s="168"/>
      <c r="C1455" s="169"/>
      <c r="D1455" s="160"/>
      <c r="E1455" s="161"/>
      <c r="F1455" s="162"/>
      <c r="G1455" s="163"/>
      <c r="H1455" s="164"/>
      <c r="I1455" s="163"/>
      <c r="J1455" s="164"/>
      <c r="K1455" s="163"/>
      <c r="L1455" s="164"/>
      <c r="M1455" s="11"/>
      <c r="N1455" s="39"/>
      <c r="Q1455" s="15" t="str">
        <f>+CONCATENATE(E1454,I1454)</f>
        <v/>
      </c>
      <c r="R1455" s="15">
        <f>+J1454</f>
        <v>0</v>
      </c>
      <c r="S1455" s="16"/>
      <c r="T1455" s="15">
        <f>+E1454</f>
        <v>0</v>
      </c>
      <c r="U1455" s="26" t="str">
        <f>IFERROR(LEFT(I1454,FIND("*",I1454)-1),"-")</f>
        <v>-</v>
      </c>
      <c r="V1455" s="26" t="str">
        <f>IFERROR(RIGHT(I1454,LEN(I1454)-FIND("*",I1454)),"-")</f>
        <v>-</v>
      </c>
      <c r="W1455" s="27" t="str">
        <f t="shared" ref="W1455:W1462" si="790">IFERROR((U1455+V1455)*2/1000,"-")</f>
        <v>-</v>
      </c>
      <c r="X1455" s="27" t="str">
        <f>IFERROR(W1455*J1454,"-")</f>
        <v>-</v>
      </c>
      <c r="Z1455" s="94" t="s">
        <v>82</v>
      </c>
    </row>
    <row r="1456" spans="1:26" s="25" customFormat="1" ht="6.95" customHeight="1" x14ac:dyDescent="0.3">
      <c r="A1456" s="165"/>
      <c r="B1456" s="168"/>
      <c r="C1456" s="169"/>
      <c r="D1456" s="160"/>
      <c r="E1456" s="161"/>
      <c r="F1456" s="162"/>
      <c r="G1456" s="163"/>
      <c r="H1456" s="164"/>
      <c r="I1456" s="163"/>
      <c r="J1456" s="164"/>
      <c r="K1456" s="163"/>
      <c r="L1456" s="164"/>
      <c r="M1456" s="11"/>
      <c r="N1456" s="39"/>
      <c r="Q1456" s="15" t="str">
        <f>+CONCATENATE(E1454,K1454)</f>
        <v/>
      </c>
      <c r="R1456" s="15">
        <f>+L1454</f>
        <v>0</v>
      </c>
      <c r="S1456" s="16"/>
      <c r="T1456" s="15">
        <f>+E1454</f>
        <v>0</v>
      </c>
      <c r="U1456" s="26" t="str">
        <f>IFERROR(LEFT(K1454,FIND("*",K1454)-1),"-")</f>
        <v>-</v>
      </c>
      <c r="V1456" s="26" t="str">
        <f>IFERROR(RIGHT(K1454,LEN(K1454)-FIND("*",K1454)),"-")</f>
        <v>-</v>
      </c>
      <c r="W1456" s="27" t="str">
        <f t="shared" si="790"/>
        <v>-</v>
      </c>
      <c r="X1456" s="27" t="str">
        <f>IFERROR(W1456*L1454,"-")</f>
        <v>-</v>
      </c>
      <c r="Z1456" s="94" t="s">
        <v>82</v>
      </c>
    </row>
    <row r="1457" spans="1:26" s="25" customFormat="1" ht="6.95" customHeight="1" x14ac:dyDescent="0.3">
      <c r="A1457" s="13"/>
      <c r="B1457" s="168"/>
      <c r="C1457" s="169"/>
      <c r="D1457" s="160" t="s">
        <v>39</v>
      </c>
      <c r="E1457" s="161"/>
      <c r="F1457" s="162" t="s">
        <v>40</v>
      </c>
      <c r="G1457" s="163"/>
      <c r="H1457" s="164"/>
      <c r="I1457" s="163"/>
      <c r="J1457" s="164"/>
      <c r="K1457" s="163"/>
      <c r="L1457" s="164"/>
      <c r="M1457" s="11"/>
      <c r="N1457" s="39"/>
      <c r="Q1457" s="15" t="str">
        <f>+CONCATENATE(E1457,G1457)</f>
        <v/>
      </c>
      <c r="R1457" s="15">
        <f>+H1457</f>
        <v>0</v>
      </c>
      <c r="S1457" s="16"/>
      <c r="T1457" s="15">
        <f>+E1457</f>
        <v>0</v>
      </c>
      <c r="U1457" s="26" t="str">
        <f t="shared" ref="U1457" si="791">IFERROR(LEFT(G1457,FIND("*",G1457)-1),"-")</f>
        <v>-</v>
      </c>
      <c r="V1457" s="26" t="str">
        <f t="shared" ref="V1457" si="792">IFERROR(RIGHT(G1457,LEN(G1457)-FIND("*",G1457)),"-")</f>
        <v>-</v>
      </c>
      <c r="W1457" s="27" t="str">
        <f t="shared" si="790"/>
        <v>-</v>
      </c>
      <c r="X1457" s="27" t="str">
        <f>IFERROR(W1457*H1457,"-")</f>
        <v>-</v>
      </c>
      <c r="Z1457" s="94" t="s">
        <v>82</v>
      </c>
    </row>
    <row r="1458" spans="1:26" s="25" customFormat="1" ht="6.95" customHeight="1" x14ac:dyDescent="0.3">
      <c r="A1458" s="10"/>
      <c r="B1458" s="168"/>
      <c r="C1458" s="169"/>
      <c r="D1458" s="160"/>
      <c r="E1458" s="161"/>
      <c r="F1458" s="162"/>
      <c r="G1458" s="163"/>
      <c r="H1458" s="164"/>
      <c r="I1458" s="163"/>
      <c r="J1458" s="164"/>
      <c r="K1458" s="163"/>
      <c r="L1458" s="164"/>
      <c r="M1458" s="11"/>
      <c r="N1458" s="39"/>
      <c r="Q1458" s="15" t="str">
        <f>+CONCATENATE(E1457,I1457)</f>
        <v/>
      </c>
      <c r="R1458" s="15">
        <f>+J1457</f>
        <v>0</v>
      </c>
      <c r="S1458" s="16"/>
      <c r="T1458" s="15">
        <f>+E1457</f>
        <v>0</v>
      </c>
      <c r="U1458" s="26" t="str">
        <f>IFERROR(LEFT(I1457,FIND("*",I1457)-1),"-")</f>
        <v>-</v>
      </c>
      <c r="V1458" s="26" t="str">
        <f>IFERROR(RIGHT(I1457,LEN(I1457)-FIND("*",I1457)),"-")</f>
        <v>-</v>
      </c>
      <c r="W1458" s="27" t="str">
        <f t="shared" si="790"/>
        <v>-</v>
      </c>
      <c r="X1458" s="27" t="str">
        <f>IFERROR(W1458*J1457,"-")</f>
        <v>-</v>
      </c>
      <c r="Z1458" s="94" t="s">
        <v>82</v>
      </c>
    </row>
    <row r="1459" spans="1:26" s="25" customFormat="1" ht="6.95" customHeight="1" x14ac:dyDescent="0.3">
      <c r="A1459" s="10"/>
      <c r="B1459" s="168"/>
      <c r="C1459" s="169"/>
      <c r="D1459" s="160"/>
      <c r="E1459" s="161"/>
      <c r="F1459" s="162"/>
      <c r="G1459" s="163"/>
      <c r="H1459" s="164"/>
      <c r="I1459" s="163"/>
      <c r="J1459" s="164"/>
      <c r="K1459" s="163"/>
      <c r="L1459" s="164"/>
      <c r="M1459" s="11"/>
      <c r="N1459" s="39"/>
      <c r="Q1459" s="15" t="str">
        <f>+CONCATENATE(E1457,K1457)</f>
        <v/>
      </c>
      <c r="R1459" s="15">
        <f>+L1457</f>
        <v>0</v>
      </c>
      <c r="S1459" s="16"/>
      <c r="T1459" s="15">
        <f>+E1457</f>
        <v>0</v>
      </c>
      <c r="U1459" s="26" t="str">
        <f>IFERROR(LEFT(K1457,FIND("*",K1457)-1),"-")</f>
        <v>-</v>
      </c>
      <c r="V1459" s="26" t="str">
        <f>IFERROR(RIGHT(K1457,LEN(K1457)-FIND("*",K1457)),"-")</f>
        <v>-</v>
      </c>
      <c r="W1459" s="27" t="str">
        <f t="shared" si="790"/>
        <v>-</v>
      </c>
      <c r="X1459" s="27" t="str">
        <f>IFERROR(W1459*L1457,"-")</f>
        <v>-</v>
      </c>
      <c r="Z1459" s="94" t="s">
        <v>82</v>
      </c>
    </row>
    <row r="1460" spans="1:26" s="25" customFormat="1" ht="6.95" customHeight="1" x14ac:dyDescent="0.3">
      <c r="A1460" s="13"/>
      <c r="B1460" s="168"/>
      <c r="C1460" s="169"/>
      <c r="D1460" s="160" t="s">
        <v>39</v>
      </c>
      <c r="E1460" s="161"/>
      <c r="F1460" s="162" t="s">
        <v>40</v>
      </c>
      <c r="G1460" s="163"/>
      <c r="H1460" s="164"/>
      <c r="I1460" s="163"/>
      <c r="J1460" s="164"/>
      <c r="K1460" s="163"/>
      <c r="L1460" s="164"/>
      <c r="M1460" s="11"/>
      <c r="N1460" s="39"/>
      <c r="Q1460" s="15" t="str">
        <f>+CONCATENATE(E1460,G1460)</f>
        <v/>
      </c>
      <c r="R1460" s="15">
        <f>+H1460</f>
        <v>0</v>
      </c>
      <c r="S1460" s="16"/>
      <c r="T1460" s="15">
        <f>+E1460</f>
        <v>0</v>
      </c>
      <c r="U1460" s="26" t="str">
        <f t="shared" ref="U1460" si="793">IFERROR(LEFT(G1460,FIND("*",G1460)-1),"-")</f>
        <v>-</v>
      </c>
      <c r="V1460" s="26" t="str">
        <f t="shared" ref="V1460" si="794">IFERROR(RIGHT(G1460,LEN(G1460)-FIND("*",G1460)),"-")</f>
        <v>-</v>
      </c>
      <c r="W1460" s="27" t="str">
        <f t="shared" si="790"/>
        <v>-</v>
      </c>
      <c r="X1460" s="27" t="str">
        <f>IFERROR(W1460*H1460,"-")</f>
        <v>-</v>
      </c>
      <c r="Z1460" s="94" t="s">
        <v>82</v>
      </c>
    </row>
    <row r="1461" spans="1:26" s="25" customFormat="1" ht="6.95" customHeight="1" x14ac:dyDescent="0.3">
      <c r="A1461" s="10"/>
      <c r="B1461" s="168"/>
      <c r="C1461" s="169"/>
      <c r="D1461" s="160"/>
      <c r="E1461" s="161"/>
      <c r="F1461" s="162"/>
      <c r="G1461" s="163"/>
      <c r="H1461" s="164"/>
      <c r="I1461" s="163"/>
      <c r="J1461" s="164"/>
      <c r="K1461" s="163"/>
      <c r="L1461" s="164"/>
      <c r="M1461" s="11"/>
      <c r="N1461" s="39"/>
      <c r="Q1461" s="15" t="str">
        <f>+CONCATENATE(E1460,I1460)</f>
        <v/>
      </c>
      <c r="R1461" s="15">
        <f>+J1460</f>
        <v>0</v>
      </c>
      <c r="S1461" s="16"/>
      <c r="T1461" s="15">
        <f>+E1460</f>
        <v>0</v>
      </c>
      <c r="U1461" s="26" t="str">
        <f>IFERROR(LEFT(I1460,FIND("*",I1460)-1),"-")</f>
        <v>-</v>
      </c>
      <c r="V1461" s="26" t="str">
        <f>IFERROR(RIGHT(I1460,LEN(I1460)-FIND("*",I1460)),"-")</f>
        <v>-</v>
      </c>
      <c r="W1461" s="27" t="str">
        <f t="shared" si="790"/>
        <v>-</v>
      </c>
      <c r="X1461" s="27" t="str">
        <f t="shared" ref="X1461" si="795">IFERROR(W1461*J1460,"-")</f>
        <v>-</v>
      </c>
      <c r="Z1461" s="94" t="s">
        <v>82</v>
      </c>
    </row>
    <row r="1462" spans="1:26" s="25" customFormat="1" ht="6.95" customHeight="1" x14ac:dyDescent="0.3">
      <c r="A1462" s="10"/>
      <c r="B1462" s="168"/>
      <c r="C1462" s="169"/>
      <c r="D1462" s="160"/>
      <c r="E1462" s="161"/>
      <c r="F1462" s="162"/>
      <c r="G1462" s="163"/>
      <c r="H1462" s="164"/>
      <c r="I1462" s="163"/>
      <c r="J1462" s="164"/>
      <c r="K1462" s="163"/>
      <c r="L1462" s="164"/>
      <c r="M1462" s="11"/>
      <c r="N1462" s="39"/>
      <c r="Q1462" s="15" t="str">
        <f>+CONCATENATE(E1460,K1460)</f>
        <v/>
      </c>
      <c r="R1462" s="15">
        <f>+L1460</f>
        <v>0</v>
      </c>
      <c r="S1462" s="16"/>
      <c r="T1462" s="15">
        <f>+E1460</f>
        <v>0</v>
      </c>
      <c r="U1462" s="26" t="str">
        <f>IFERROR(LEFT(K1460,FIND("*",K1460)-1),"-")</f>
        <v>-</v>
      </c>
      <c r="V1462" s="26" t="str">
        <f>IFERROR(RIGHT(K1460,LEN(K1460)-FIND("*",K1460)),"-")</f>
        <v>-</v>
      </c>
      <c r="W1462" s="27" t="str">
        <f t="shared" si="790"/>
        <v>-</v>
      </c>
      <c r="X1462" s="27" t="str">
        <f>IFERROR(W1462*L1460,"-")</f>
        <v>-</v>
      </c>
      <c r="Z1462" s="94" t="s">
        <v>82</v>
      </c>
    </row>
    <row r="1463" spans="1:26" s="25" customFormat="1" ht="21" customHeight="1" thickBot="1" x14ac:dyDescent="0.35">
      <c r="A1463" s="10"/>
      <c r="B1463" s="170"/>
      <c r="C1463" s="171"/>
      <c r="D1463" s="172" t="s">
        <v>43</v>
      </c>
      <c r="E1463" s="173"/>
      <c r="F1463" s="173"/>
      <c r="G1463" s="174"/>
      <c r="H1463" s="174"/>
      <c r="I1463" s="174"/>
      <c r="J1463" s="174"/>
      <c r="K1463" s="174"/>
      <c r="L1463" s="174"/>
      <c r="M1463" s="12"/>
      <c r="N1463" s="39"/>
      <c r="U1463" s="23"/>
      <c r="V1463" s="23"/>
      <c r="Z1463" s="95" t="s">
        <v>81</v>
      </c>
    </row>
    <row r="1464" spans="1:26" s="25" customFormat="1" ht="9.9499999999999993" customHeight="1" thickBot="1" x14ac:dyDescent="0.35">
      <c r="A1464" s="6"/>
      <c r="B1464" s="14"/>
      <c r="C1464" s="119"/>
      <c r="D1464" s="58"/>
      <c r="E1464" s="17"/>
      <c r="F1464" s="58"/>
      <c r="G1464" s="19"/>
      <c r="H1464" s="19"/>
      <c r="I1464" s="19"/>
      <c r="J1464" s="19"/>
      <c r="K1464" s="19"/>
      <c r="L1464" s="19"/>
      <c r="M1464" s="14"/>
      <c r="N1464" s="39"/>
      <c r="Q1464" s="1"/>
      <c r="R1464" s="1"/>
      <c r="S1464" s="1"/>
      <c r="T1464" s="1"/>
      <c r="U1464" s="24"/>
      <c r="V1464" s="24"/>
      <c r="W1464" s="1"/>
      <c r="X1464" s="1"/>
      <c r="Z1464" s="94" t="s">
        <v>82</v>
      </c>
    </row>
    <row r="1465" spans="1:26" s="25" customFormat="1" ht="6.95" customHeight="1" x14ac:dyDescent="0.3">
      <c r="A1465" s="165">
        <f>+A1454+1</f>
        <v>134</v>
      </c>
      <c r="B1465" s="166"/>
      <c r="C1465" s="167"/>
      <c r="D1465" s="160" t="s">
        <v>39</v>
      </c>
      <c r="E1465" s="161"/>
      <c r="F1465" s="162" t="s">
        <v>40</v>
      </c>
      <c r="G1465" s="163"/>
      <c r="H1465" s="164"/>
      <c r="I1465" s="163"/>
      <c r="J1465" s="164"/>
      <c r="K1465" s="163"/>
      <c r="L1465" s="164"/>
      <c r="M1465" s="11"/>
      <c r="N1465" s="39"/>
      <c r="Q1465" s="15" t="str">
        <f>+CONCATENATE(E1465,G1465)</f>
        <v/>
      </c>
      <c r="R1465" s="15">
        <f>+H1465</f>
        <v>0</v>
      </c>
      <c r="S1465" s="16"/>
      <c r="T1465" s="15">
        <f>+E1465</f>
        <v>0</v>
      </c>
      <c r="U1465" s="26" t="str">
        <f>IFERROR(LEFT(G1465,FIND("*",G1465)-1),"-")</f>
        <v>-</v>
      </c>
      <c r="V1465" s="26" t="str">
        <f>IFERROR(RIGHT(G1465,LEN(G1465)-FIND("*",G1465)),"-")</f>
        <v>-</v>
      </c>
      <c r="W1465" s="27" t="str">
        <f>IFERROR((U1465+V1465)*2/1000,"-")</f>
        <v>-</v>
      </c>
      <c r="X1465" s="27" t="str">
        <f>IFERROR(W1465*H1465,"-")</f>
        <v>-</v>
      </c>
      <c r="Z1465" s="94" t="s">
        <v>82</v>
      </c>
    </row>
    <row r="1466" spans="1:26" s="25" customFormat="1" ht="6.95" customHeight="1" x14ac:dyDescent="0.3">
      <c r="A1466" s="165"/>
      <c r="B1466" s="168"/>
      <c r="C1466" s="169"/>
      <c r="D1466" s="160"/>
      <c r="E1466" s="161"/>
      <c r="F1466" s="162"/>
      <c r="G1466" s="163"/>
      <c r="H1466" s="164"/>
      <c r="I1466" s="163"/>
      <c r="J1466" s="164"/>
      <c r="K1466" s="163"/>
      <c r="L1466" s="164"/>
      <c r="M1466" s="11"/>
      <c r="N1466" s="39"/>
      <c r="Q1466" s="15" t="str">
        <f>+CONCATENATE(E1465,I1465)</f>
        <v/>
      </c>
      <c r="R1466" s="15">
        <f>+J1465</f>
        <v>0</v>
      </c>
      <c r="S1466" s="16"/>
      <c r="T1466" s="15">
        <f>+E1465</f>
        <v>0</v>
      </c>
      <c r="U1466" s="26" t="str">
        <f>IFERROR(LEFT(I1465,FIND("*",I1465)-1),"-")</f>
        <v>-</v>
      </c>
      <c r="V1466" s="26" t="str">
        <f>IFERROR(RIGHT(I1465,LEN(I1465)-FIND("*",I1465)),"-")</f>
        <v>-</v>
      </c>
      <c r="W1466" s="27" t="str">
        <f t="shared" ref="W1466:W1473" si="796">IFERROR((U1466+V1466)*2/1000,"-")</f>
        <v>-</v>
      </c>
      <c r="X1466" s="27" t="str">
        <f>IFERROR(W1466*J1465,"-")</f>
        <v>-</v>
      </c>
      <c r="Z1466" s="94" t="s">
        <v>82</v>
      </c>
    </row>
    <row r="1467" spans="1:26" s="25" customFormat="1" ht="6.95" customHeight="1" x14ac:dyDescent="0.3">
      <c r="A1467" s="165"/>
      <c r="B1467" s="168"/>
      <c r="C1467" s="169"/>
      <c r="D1467" s="160"/>
      <c r="E1467" s="161"/>
      <c r="F1467" s="162"/>
      <c r="G1467" s="163"/>
      <c r="H1467" s="164"/>
      <c r="I1467" s="163"/>
      <c r="J1467" s="164"/>
      <c r="K1467" s="163"/>
      <c r="L1467" s="164"/>
      <c r="M1467" s="11"/>
      <c r="N1467" s="39"/>
      <c r="Q1467" s="15" t="str">
        <f>+CONCATENATE(E1465,K1465)</f>
        <v/>
      </c>
      <c r="R1467" s="15">
        <f>+L1465</f>
        <v>0</v>
      </c>
      <c r="S1467" s="16"/>
      <c r="T1467" s="15">
        <f>+E1465</f>
        <v>0</v>
      </c>
      <c r="U1467" s="26" t="str">
        <f>IFERROR(LEFT(K1465,FIND("*",K1465)-1),"-")</f>
        <v>-</v>
      </c>
      <c r="V1467" s="26" t="str">
        <f>IFERROR(RIGHT(K1465,LEN(K1465)-FIND("*",K1465)),"-")</f>
        <v>-</v>
      </c>
      <c r="W1467" s="27" t="str">
        <f t="shared" si="796"/>
        <v>-</v>
      </c>
      <c r="X1467" s="27" t="str">
        <f>IFERROR(W1467*L1465,"-")</f>
        <v>-</v>
      </c>
      <c r="Z1467" s="94" t="s">
        <v>82</v>
      </c>
    </row>
    <row r="1468" spans="1:26" s="25" customFormat="1" ht="6.95" customHeight="1" x14ac:dyDescent="0.3">
      <c r="A1468" s="13"/>
      <c r="B1468" s="168"/>
      <c r="C1468" s="169"/>
      <c r="D1468" s="160" t="s">
        <v>39</v>
      </c>
      <c r="E1468" s="161"/>
      <c r="F1468" s="162" t="s">
        <v>40</v>
      </c>
      <c r="G1468" s="163"/>
      <c r="H1468" s="164"/>
      <c r="I1468" s="163"/>
      <c r="J1468" s="164"/>
      <c r="K1468" s="163"/>
      <c r="L1468" s="164"/>
      <c r="M1468" s="11"/>
      <c r="N1468" s="39"/>
      <c r="Q1468" s="15" t="str">
        <f>+CONCATENATE(E1468,G1468)</f>
        <v/>
      </c>
      <c r="R1468" s="15">
        <f>+H1468</f>
        <v>0</v>
      </c>
      <c r="S1468" s="16"/>
      <c r="T1468" s="15">
        <f>+E1468</f>
        <v>0</v>
      </c>
      <c r="U1468" s="26" t="str">
        <f t="shared" ref="U1468" si="797">IFERROR(LEFT(G1468,FIND("*",G1468)-1),"-")</f>
        <v>-</v>
      </c>
      <c r="V1468" s="26" t="str">
        <f t="shared" ref="V1468" si="798">IFERROR(RIGHT(G1468,LEN(G1468)-FIND("*",G1468)),"-")</f>
        <v>-</v>
      </c>
      <c r="W1468" s="27" t="str">
        <f t="shared" si="796"/>
        <v>-</v>
      </c>
      <c r="X1468" s="27" t="str">
        <f>IFERROR(W1468*H1468,"-")</f>
        <v>-</v>
      </c>
      <c r="Z1468" s="94" t="s">
        <v>82</v>
      </c>
    </row>
    <row r="1469" spans="1:26" s="25" customFormat="1" ht="6.95" customHeight="1" x14ac:dyDescent="0.3">
      <c r="A1469" s="10"/>
      <c r="B1469" s="168"/>
      <c r="C1469" s="169"/>
      <c r="D1469" s="160"/>
      <c r="E1469" s="161"/>
      <c r="F1469" s="162"/>
      <c r="G1469" s="163"/>
      <c r="H1469" s="164"/>
      <c r="I1469" s="163"/>
      <c r="J1469" s="164"/>
      <c r="K1469" s="163"/>
      <c r="L1469" s="164"/>
      <c r="M1469" s="11"/>
      <c r="N1469" s="39"/>
      <c r="Q1469" s="15" t="str">
        <f>+CONCATENATE(E1468,I1468)</f>
        <v/>
      </c>
      <c r="R1469" s="15">
        <f>+J1468</f>
        <v>0</v>
      </c>
      <c r="S1469" s="16"/>
      <c r="T1469" s="15">
        <f>+E1468</f>
        <v>0</v>
      </c>
      <c r="U1469" s="26" t="str">
        <f>IFERROR(LEFT(I1468,FIND("*",I1468)-1),"-")</f>
        <v>-</v>
      </c>
      <c r="V1469" s="26" t="str">
        <f>IFERROR(RIGHT(I1468,LEN(I1468)-FIND("*",I1468)),"-")</f>
        <v>-</v>
      </c>
      <c r="W1469" s="27" t="str">
        <f t="shared" si="796"/>
        <v>-</v>
      </c>
      <c r="X1469" s="27" t="str">
        <f>IFERROR(W1469*J1468,"-")</f>
        <v>-</v>
      </c>
      <c r="Z1469" s="94" t="s">
        <v>82</v>
      </c>
    </row>
    <row r="1470" spans="1:26" s="25" customFormat="1" ht="6.95" customHeight="1" x14ac:dyDescent="0.3">
      <c r="A1470" s="10"/>
      <c r="B1470" s="168"/>
      <c r="C1470" s="169"/>
      <c r="D1470" s="160"/>
      <c r="E1470" s="161"/>
      <c r="F1470" s="162"/>
      <c r="G1470" s="163"/>
      <c r="H1470" s="164"/>
      <c r="I1470" s="163"/>
      <c r="J1470" s="164"/>
      <c r="K1470" s="163"/>
      <c r="L1470" s="164"/>
      <c r="M1470" s="11"/>
      <c r="N1470" s="39"/>
      <c r="Q1470" s="15" t="str">
        <f>+CONCATENATE(E1468,K1468)</f>
        <v/>
      </c>
      <c r="R1470" s="15">
        <f>+L1468</f>
        <v>0</v>
      </c>
      <c r="S1470" s="16"/>
      <c r="T1470" s="15">
        <f>+E1468</f>
        <v>0</v>
      </c>
      <c r="U1470" s="26" t="str">
        <f>IFERROR(LEFT(K1468,FIND("*",K1468)-1),"-")</f>
        <v>-</v>
      </c>
      <c r="V1470" s="26" t="str">
        <f>IFERROR(RIGHT(K1468,LEN(K1468)-FIND("*",K1468)),"-")</f>
        <v>-</v>
      </c>
      <c r="W1470" s="27" t="str">
        <f t="shared" si="796"/>
        <v>-</v>
      </c>
      <c r="X1470" s="27" t="str">
        <f>IFERROR(W1470*L1468,"-")</f>
        <v>-</v>
      </c>
      <c r="Z1470" s="94" t="s">
        <v>82</v>
      </c>
    </row>
    <row r="1471" spans="1:26" s="25" customFormat="1" ht="6.95" customHeight="1" x14ac:dyDescent="0.3">
      <c r="A1471" s="13"/>
      <c r="B1471" s="168"/>
      <c r="C1471" s="169"/>
      <c r="D1471" s="160" t="s">
        <v>39</v>
      </c>
      <c r="E1471" s="161"/>
      <c r="F1471" s="162" t="s">
        <v>40</v>
      </c>
      <c r="G1471" s="163"/>
      <c r="H1471" s="164"/>
      <c r="I1471" s="163"/>
      <c r="J1471" s="164"/>
      <c r="K1471" s="163"/>
      <c r="L1471" s="164"/>
      <c r="M1471" s="11"/>
      <c r="N1471" s="39"/>
      <c r="Q1471" s="15" t="str">
        <f>+CONCATENATE(E1471,G1471)</f>
        <v/>
      </c>
      <c r="R1471" s="15">
        <f>+H1471</f>
        <v>0</v>
      </c>
      <c r="S1471" s="16"/>
      <c r="T1471" s="15">
        <f>+E1471</f>
        <v>0</v>
      </c>
      <c r="U1471" s="26" t="str">
        <f t="shared" ref="U1471" si="799">IFERROR(LEFT(G1471,FIND("*",G1471)-1),"-")</f>
        <v>-</v>
      </c>
      <c r="V1471" s="26" t="str">
        <f t="shared" ref="V1471" si="800">IFERROR(RIGHT(G1471,LEN(G1471)-FIND("*",G1471)),"-")</f>
        <v>-</v>
      </c>
      <c r="W1471" s="27" t="str">
        <f t="shared" si="796"/>
        <v>-</v>
      </c>
      <c r="X1471" s="27" t="str">
        <f>IFERROR(W1471*H1471,"-")</f>
        <v>-</v>
      </c>
      <c r="Z1471" s="94" t="s">
        <v>82</v>
      </c>
    </row>
    <row r="1472" spans="1:26" s="25" customFormat="1" ht="6.95" customHeight="1" x14ac:dyDescent="0.3">
      <c r="A1472" s="10"/>
      <c r="B1472" s="168"/>
      <c r="C1472" s="169"/>
      <c r="D1472" s="160"/>
      <c r="E1472" s="161"/>
      <c r="F1472" s="162"/>
      <c r="G1472" s="163"/>
      <c r="H1472" s="164"/>
      <c r="I1472" s="163"/>
      <c r="J1472" s="164"/>
      <c r="K1472" s="163"/>
      <c r="L1472" s="164"/>
      <c r="M1472" s="11"/>
      <c r="N1472" s="39"/>
      <c r="Q1472" s="15" t="str">
        <f>+CONCATENATE(E1471,I1471)</f>
        <v/>
      </c>
      <c r="R1472" s="15">
        <f>+J1471</f>
        <v>0</v>
      </c>
      <c r="S1472" s="16"/>
      <c r="T1472" s="15">
        <f>+E1471</f>
        <v>0</v>
      </c>
      <c r="U1472" s="26" t="str">
        <f>IFERROR(LEFT(I1471,FIND("*",I1471)-1),"-")</f>
        <v>-</v>
      </c>
      <c r="V1472" s="26" t="str">
        <f>IFERROR(RIGHT(I1471,LEN(I1471)-FIND("*",I1471)),"-")</f>
        <v>-</v>
      </c>
      <c r="W1472" s="27" t="str">
        <f t="shared" si="796"/>
        <v>-</v>
      </c>
      <c r="X1472" s="27" t="str">
        <f t="shared" ref="X1472" si="801">IFERROR(W1472*J1471,"-")</f>
        <v>-</v>
      </c>
      <c r="Z1472" s="94" t="s">
        <v>82</v>
      </c>
    </row>
    <row r="1473" spans="1:26" s="25" customFormat="1" ht="6.95" customHeight="1" x14ac:dyDescent="0.3">
      <c r="A1473" s="10"/>
      <c r="B1473" s="168"/>
      <c r="C1473" s="169"/>
      <c r="D1473" s="160"/>
      <c r="E1473" s="161"/>
      <c r="F1473" s="162"/>
      <c r="G1473" s="163"/>
      <c r="H1473" s="164"/>
      <c r="I1473" s="163"/>
      <c r="J1473" s="164"/>
      <c r="K1473" s="163"/>
      <c r="L1473" s="164"/>
      <c r="M1473" s="11"/>
      <c r="N1473" s="39"/>
      <c r="Q1473" s="15" t="str">
        <f>+CONCATENATE(E1471,K1471)</f>
        <v/>
      </c>
      <c r="R1473" s="15">
        <f>+L1471</f>
        <v>0</v>
      </c>
      <c r="S1473" s="16"/>
      <c r="T1473" s="15">
        <f>+E1471</f>
        <v>0</v>
      </c>
      <c r="U1473" s="26" t="str">
        <f>IFERROR(LEFT(K1471,FIND("*",K1471)-1),"-")</f>
        <v>-</v>
      </c>
      <c r="V1473" s="26" t="str">
        <f>IFERROR(RIGHT(K1471,LEN(K1471)-FIND("*",K1471)),"-")</f>
        <v>-</v>
      </c>
      <c r="W1473" s="27" t="str">
        <f t="shared" si="796"/>
        <v>-</v>
      </c>
      <c r="X1473" s="27" t="str">
        <f>IFERROR(W1473*L1471,"-")</f>
        <v>-</v>
      </c>
      <c r="Z1473" s="94" t="s">
        <v>82</v>
      </c>
    </row>
    <row r="1474" spans="1:26" s="25" customFormat="1" ht="21" customHeight="1" thickBot="1" x14ac:dyDescent="0.35">
      <c r="A1474" s="10"/>
      <c r="B1474" s="170"/>
      <c r="C1474" s="171"/>
      <c r="D1474" s="172" t="s">
        <v>43</v>
      </c>
      <c r="E1474" s="173"/>
      <c r="F1474" s="173"/>
      <c r="G1474" s="174"/>
      <c r="H1474" s="174"/>
      <c r="I1474" s="174"/>
      <c r="J1474" s="174"/>
      <c r="K1474" s="174"/>
      <c r="L1474" s="174"/>
      <c r="M1474" s="12"/>
      <c r="N1474" s="39"/>
      <c r="U1474" s="23"/>
      <c r="V1474" s="23"/>
      <c r="Z1474" s="95" t="s">
        <v>81</v>
      </c>
    </row>
    <row r="1475" spans="1:26" s="25" customFormat="1" ht="9.9499999999999993" customHeight="1" thickBot="1" x14ac:dyDescent="0.35">
      <c r="A1475" s="6"/>
      <c r="B1475" s="14"/>
      <c r="C1475" s="119"/>
      <c r="D1475" s="58"/>
      <c r="E1475" s="17"/>
      <c r="F1475" s="58"/>
      <c r="G1475" s="19"/>
      <c r="H1475" s="19"/>
      <c r="I1475" s="19"/>
      <c r="J1475" s="19"/>
      <c r="K1475" s="19"/>
      <c r="L1475" s="19"/>
      <c r="M1475" s="14"/>
      <c r="N1475" s="39"/>
      <c r="Q1475" s="1"/>
      <c r="R1475" s="1"/>
      <c r="S1475" s="1"/>
      <c r="T1475" s="1"/>
      <c r="U1475" s="24"/>
      <c r="V1475" s="24"/>
      <c r="W1475" s="1"/>
      <c r="X1475" s="1"/>
      <c r="Z1475" s="94" t="s">
        <v>82</v>
      </c>
    </row>
    <row r="1476" spans="1:26" s="25" customFormat="1" ht="6.95" customHeight="1" x14ac:dyDescent="0.3">
      <c r="A1476" s="165">
        <f>+A1465+1</f>
        <v>135</v>
      </c>
      <c r="B1476" s="166"/>
      <c r="C1476" s="167"/>
      <c r="D1476" s="160" t="s">
        <v>39</v>
      </c>
      <c r="E1476" s="161"/>
      <c r="F1476" s="162" t="s">
        <v>40</v>
      </c>
      <c r="G1476" s="163"/>
      <c r="H1476" s="164"/>
      <c r="I1476" s="163"/>
      <c r="J1476" s="164"/>
      <c r="K1476" s="163"/>
      <c r="L1476" s="164"/>
      <c r="M1476" s="11"/>
      <c r="N1476" s="39"/>
      <c r="Q1476" s="15" t="str">
        <f>+CONCATENATE(E1476,G1476)</f>
        <v/>
      </c>
      <c r="R1476" s="15">
        <f>+H1476</f>
        <v>0</v>
      </c>
      <c r="S1476" s="16"/>
      <c r="T1476" s="15">
        <f>+E1476</f>
        <v>0</v>
      </c>
      <c r="U1476" s="26" t="str">
        <f>IFERROR(LEFT(G1476,FIND("*",G1476)-1),"-")</f>
        <v>-</v>
      </c>
      <c r="V1476" s="26" t="str">
        <f>IFERROR(RIGHT(G1476,LEN(G1476)-FIND("*",G1476)),"-")</f>
        <v>-</v>
      </c>
      <c r="W1476" s="27" t="str">
        <f>IFERROR((U1476+V1476)*2/1000,"-")</f>
        <v>-</v>
      </c>
      <c r="X1476" s="27" t="str">
        <f>IFERROR(W1476*H1476,"-")</f>
        <v>-</v>
      </c>
      <c r="Z1476" s="94" t="s">
        <v>82</v>
      </c>
    </row>
    <row r="1477" spans="1:26" s="25" customFormat="1" ht="6.95" customHeight="1" x14ac:dyDescent="0.3">
      <c r="A1477" s="165"/>
      <c r="B1477" s="168"/>
      <c r="C1477" s="169"/>
      <c r="D1477" s="160"/>
      <c r="E1477" s="161"/>
      <c r="F1477" s="162"/>
      <c r="G1477" s="163"/>
      <c r="H1477" s="164"/>
      <c r="I1477" s="163"/>
      <c r="J1477" s="164"/>
      <c r="K1477" s="163"/>
      <c r="L1477" s="164"/>
      <c r="M1477" s="11"/>
      <c r="N1477" s="39"/>
      <c r="Q1477" s="15" t="str">
        <f>+CONCATENATE(E1476,I1476)</f>
        <v/>
      </c>
      <c r="R1477" s="15">
        <f>+J1476</f>
        <v>0</v>
      </c>
      <c r="S1477" s="16"/>
      <c r="T1477" s="15">
        <f>+E1476</f>
        <v>0</v>
      </c>
      <c r="U1477" s="26" t="str">
        <f>IFERROR(LEFT(I1476,FIND("*",I1476)-1),"-")</f>
        <v>-</v>
      </c>
      <c r="V1477" s="26" t="str">
        <f>IFERROR(RIGHT(I1476,LEN(I1476)-FIND("*",I1476)),"-")</f>
        <v>-</v>
      </c>
      <c r="W1477" s="27" t="str">
        <f t="shared" ref="W1477:W1484" si="802">IFERROR((U1477+V1477)*2/1000,"-")</f>
        <v>-</v>
      </c>
      <c r="X1477" s="27" t="str">
        <f>IFERROR(W1477*J1476,"-")</f>
        <v>-</v>
      </c>
      <c r="Z1477" s="94" t="s">
        <v>82</v>
      </c>
    </row>
    <row r="1478" spans="1:26" s="25" customFormat="1" ht="6.95" customHeight="1" x14ac:dyDescent="0.3">
      <c r="A1478" s="165"/>
      <c r="B1478" s="168"/>
      <c r="C1478" s="169"/>
      <c r="D1478" s="160"/>
      <c r="E1478" s="161"/>
      <c r="F1478" s="162"/>
      <c r="G1478" s="163"/>
      <c r="H1478" s="164"/>
      <c r="I1478" s="163"/>
      <c r="J1478" s="164"/>
      <c r="K1478" s="163"/>
      <c r="L1478" s="164"/>
      <c r="M1478" s="11"/>
      <c r="N1478" s="39"/>
      <c r="Q1478" s="15" t="str">
        <f>+CONCATENATE(E1476,K1476)</f>
        <v/>
      </c>
      <c r="R1478" s="15">
        <f>+L1476</f>
        <v>0</v>
      </c>
      <c r="S1478" s="16"/>
      <c r="T1478" s="15">
        <f>+E1476</f>
        <v>0</v>
      </c>
      <c r="U1478" s="26" t="str">
        <f>IFERROR(LEFT(K1476,FIND("*",K1476)-1),"-")</f>
        <v>-</v>
      </c>
      <c r="V1478" s="26" t="str">
        <f>IFERROR(RIGHT(K1476,LEN(K1476)-FIND("*",K1476)),"-")</f>
        <v>-</v>
      </c>
      <c r="W1478" s="27" t="str">
        <f t="shared" si="802"/>
        <v>-</v>
      </c>
      <c r="X1478" s="27" t="str">
        <f>IFERROR(W1478*L1476,"-")</f>
        <v>-</v>
      </c>
      <c r="Z1478" s="94" t="s">
        <v>82</v>
      </c>
    </row>
    <row r="1479" spans="1:26" s="25" customFormat="1" ht="6.95" customHeight="1" x14ac:dyDescent="0.3">
      <c r="A1479" s="13"/>
      <c r="B1479" s="168"/>
      <c r="C1479" s="169"/>
      <c r="D1479" s="160" t="s">
        <v>39</v>
      </c>
      <c r="E1479" s="161"/>
      <c r="F1479" s="162" t="s">
        <v>40</v>
      </c>
      <c r="G1479" s="163"/>
      <c r="H1479" s="164"/>
      <c r="I1479" s="163"/>
      <c r="J1479" s="164"/>
      <c r="K1479" s="163"/>
      <c r="L1479" s="164"/>
      <c r="M1479" s="11"/>
      <c r="N1479" s="39"/>
      <c r="Q1479" s="15" t="str">
        <f>+CONCATENATE(E1479,G1479)</f>
        <v/>
      </c>
      <c r="R1479" s="15">
        <f>+H1479</f>
        <v>0</v>
      </c>
      <c r="S1479" s="16"/>
      <c r="T1479" s="15">
        <f>+E1479</f>
        <v>0</v>
      </c>
      <c r="U1479" s="26" t="str">
        <f t="shared" ref="U1479" si="803">IFERROR(LEFT(G1479,FIND("*",G1479)-1),"-")</f>
        <v>-</v>
      </c>
      <c r="V1479" s="26" t="str">
        <f t="shared" ref="V1479" si="804">IFERROR(RIGHT(G1479,LEN(G1479)-FIND("*",G1479)),"-")</f>
        <v>-</v>
      </c>
      <c r="W1479" s="27" t="str">
        <f t="shared" si="802"/>
        <v>-</v>
      </c>
      <c r="X1479" s="27" t="str">
        <f>IFERROR(W1479*H1479,"-")</f>
        <v>-</v>
      </c>
      <c r="Z1479" s="94" t="s">
        <v>82</v>
      </c>
    </row>
    <row r="1480" spans="1:26" s="25" customFormat="1" ht="6.95" customHeight="1" x14ac:dyDescent="0.3">
      <c r="A1480" s="10"/>
      <c r="B1480" s="168"/>
      <c r="C1480" s="169"/>
      <c r="D1480" s="160"/>
      <c r="E1480" s="161"/>
      <c r="F1480" s="162"/>
      <c r="G1480" s="163"/>
      <c r="H1480" s="164"/>
      <c r="I1480" s="163"/>
      <c r="J1480" s="164"/>
      <c r="K1480" s="163"/>
      <c r="L1480" s="164"/>
      <c r="M1480" s="11"/>
      <c r="N1480" s="39"/>
      <c r="Q1480" s="15" t="str">
        <f>+CONCATENATE(E1479,I1479)</f>
        <v/>
      </c>
      <c r="R1480" s="15">
        <f>+J1479</f>
        <v>0</v>
      </c>
      <c r="S1480" s="16"/>
      <c r="T1480" s="15">
        <f>+E1479</f>
        <v>0</v>
      </c>
      <c r="U1480" s="26" t="str">
        <f>IFERROR(LEFT(I1479,FIND("*",I1479)-1),"-")</f>
        <v>-</v>
      </c>
      <c r="V1480" s="26" t="str">
        <f>IFERROR(RIGHT(I1479,LEN(I1479)-FIND("*",I1479)),"-")</f>
        <v>-</v>
      </c>
      <c r="W1480" s="27" t="str">
        <f t="shared" si="802"/>
        <v>-</v>
      </c>
      <c r="X1480" s="27" t="str">
        <f>IFERROR(W1480*J1479,"-")</f>
        <v>-</v>
      </c>
      <c r="Z1480" s="94" t="s">
        <v>82</v>
      </c>
    </row>
    <row r="1481" spans="1:26" s="25" customFormat="1" ht="6.95" customHeight="1" x14ac:dyDescent="0.3">
      <c r="A1481" s="10"/>
      <c r="B1481" s="168"/>
      <c r="C1481" s="169"/>
      <c r="D1481" s="160"/>
      <c r="E1481" s="161"/>
      <c r="F1481" s="162"/>
      <c r="G1481" s="163"/>
      <c r="H1481" s="164"/>
      <c r="I1481" s="163"/>
      <c r="J1481" s="164"/>
      <c r="K1481" s="163"/>
      <c r="L1481" s="164"/>
      <c r="M1481" s="11"/>
      <c r="N1481" s="39"/>
      <c r="Q1481" s="15" t="str">
        <f>+CONCATENATE(E1479,K1479)</f>
        <v/>
      </c>
      <c r="R1481" s="15">
        <f>+L1479</f>
        <v>0</v>
      </c>
      <c r="S1481" s="16"/>
      <c r="T1481" s="15">
        <f>+E1479</f>
        <v>0</v>
      </c>
      <c r="U1481" s="26" t="str">
        <f>IFERROR(LEFT(K1479,FIND("*",K1479)-1),"-")</f>
        <v>-</v>
      </c>
      <c r="V1481" s="26" t="str">
        <f>IFERROR(RIGHT(K1479,LEN(K1479)-FIND("*",K1479)),"-")</f>
        <v>-</v>
      </c>
      <c r="W1481" s="27" t="str">
        <f t="shared" si="802"/>
        <v>-</v>
      </c>
      <c r="X1481" s="27" t="str">
        <f>IFERROR(W1481*L1479,"-")</f>
        <v>-</v>
      </c>
      <c r="Z1481" s="94" t="s">
        <v>82</v>
      </c>
    </row>
    <row r="1482" spans="1:26" s="25" customFormat="1" ht="6.95" customHeight="1" x14ac:dyDescent="0.3">
      <c r="A1482" s="13"/>
      <c r="B1482" s="168"/>
      <c r="C1482" s="169"/>
      <c r="D1482" s="160" t="s">
        <v>39</v>
      </c>
      <c r="E1482" s="161"/>
      <c r="F1482" s="162" t="s">
        <v>40</v>
      </c>
      <c r="G1482" s="163"/>
      <c r="H1482" s="164"/>
      <c r="I1482" s="163"/>
      <c r="J1482" s="164"/>
      <c r="K1482" s="163"/>
      <c r="L1482" s="164"/>
      <c r="M1482" s="11"/>
      <c r="N1482" s="39"/>
      <c r="Q1482" s="15" t="str">
        <f>+CONCATENATE(E1482,G1482)</f>
        <v/>
      </c>
      <c r="R1482" s="15">
        <f>+H1482</f>
        <v>0</v>
      </c>
      <c r="S1482" s="16"/>
      <c r="T1482" s="15">
        <f>+E1482</f>
        <v>0</v>
      </c>
      <c r="U1482" s="26" t="str">
        <f t="shared" ref="U1482" si="805">IFERROR(LEFT(G1482,FIND("*",G1482)-1),"-")</f>
        <v>-</v>
      </c>
      <c r="V1482" s="26" t="str">
        <f t="shared" ref="V1482" si="806">IFERROR(RIGHT(G1482,LEN(G1482)-FIND("*",G1482)),"-")</f>
        <v>-</v>
      </c>
      <c r="W1482" s="27" t="str">
        <f t="shared" si="802"/>
        <v>-</v>
      </c>
      <c r="X1482" s="27" t="str">
        <f>IFERROR(W1482*H1482,"-")</f>
        <v>-</v>
      </c>
      <c r="Z1482" s="94" t="s">
        <v>82</v>
      </c>
    </row>
    <row r="1483" spans="1:26" s="25" customFormat="1" ht="6.95" customHeight="1" x14ac:dyDescent="0.3">
      <c r="A1483" s="10"/>
      <c r="B1483" s="168"/>
      <c r="C1483" s="169"/>
      <c r="D1483" s="160"/>
      <c r="E1483" s="161"/>
      <c r="F1483" s="162"/>
      <c r="G1483" s="163"/>
      <c r="H1483" s="164"/>
      <c r="I1483" s="163"/>
      <c r="J1483" s="164"/>
      <c r="K1483" s="163"/>
      <c r="L1483" s="164"/>
      <c r="M1483" s="11"/>
      <c r="N1483" s="39"/>
      <c r="Q1483" s="15" t="str">
        <f>+CONCATENATE(E1482,I1482)</f>
        <v/>
      </c>
      <c r="R1483" s="15">
        <f>+J1482</f>
        <v>0</v>
      </c>
      <c r="S1483" s="16"/>
      <c r="T1483" s="15">
        <f>+E1482</f>
        <v>0</v>
      </c>
      <c r="U1483" s="26" t="str">
        <f>IFERROR(LEFT(I1482,FIND("*",I1482)-1),"-")</f>
        <v>-</v>
      </c>
      <c r="V1483" s="26" t="str">
        <f>IFERROR(RIGHT(I1482,LEN(I1482)-FIND("*",I1482)),"-")</f>
        <v>-</v>
      </c>
      <c r="W1483" s="27" t="str">
        <f t="shared" si="802"/>
        <v>-</v>
      </c>
      <c r="X1483" s="27" t="str">
        <f t="shared" ref="X1483" si="807">IFERROR(W1483*J1482,"-")</f>
        <v>-</v>
      </c>
      <c r="Z1483" s="94" t="s">
        <v>82</v>
      </c>
    </row>
    <row r="1484" spans="1:26" s="25" customFormat="1" ht="6.95" customHeight="1" x14ac:dyDescent="0.3">
      <c r="A1484" s="10"/>
      <c r="B1484" s="168"/>
      <c r="C1484" s="169"/>
      <c r="D1484" s="160"/>
      <c r="E1484" s="161"/>
      <c r="F1484" s="162"/>
      <c r="G1484" s="163"/>
      <c r="H1484" s="164"/>
      <c r="I1484" s="163"/>
      <c r="J1484" s="164"/>
      <c r="K1484" s="163"/>
      <c r="L1484" s="164"/>
      <c r="M1484" s="11"/>
      <c r="N1484" s="39"/>
      <c r="Q1484" s="15" t="str">
        <f>+CONCATENATE(E1482,K1482)</f>
        <v/>
      </c>
      <c r="R1484" s="15">
        <f>+L1482</f>
        <v>0</v>
      </c>
      <c r="S1484" s="16"/>
      <c r="T1484" s="15">
        <f>+E1482</f>
        <v>0</v>
      </c>
      <c r="U1484" s="26" t="str">
        <f>IFERROR(LEFT(K1482,FIND("*",K1482)-1),"-")</f>
        <v>-</v>
      </c>
      <c r="V1484" s="26" t="str">
        <f>IFERROR(RIGHT(K1482,LEN(K1482)-FIND("*",K1482)),"-")</f>
        <v>-</v>
      </c>
      <c r="W1484" s="27" t="str">
        <f t="shared" si="802"/>
        <v>-</v>
      </c>
      <c r="X1484" s="27" t="str">
        <f>IFERROR(W1484*L1482,"-")</f>
        <v>-</v>
      </c>
      <c r="Z1484" s="94" t="s">
        <v>82</v>
      </c>
    </row>
    <row r="1485" spans="1:26" s="25" customFormat="1" ht="21" customHeight="1" thickBot="1" x14ac:dyDescent="0.35">
      <c r="A1485" s="10"/>
      <c r="B1485" s="170"/>
      <c r="C1485" s="171"/>
      <c r="D1485" s="172" t="s">
        <v>43</v>
      </c>
      <c r="E1485" s="173"/>
      <c r="F1485" s="173"/>
      <c r="G1485" s="174"/>
      <c r="H1485" s="174"/>
      <c r="I1485" s="174"/>
      <c r="J1485" s="174"/>
      <c r="K1485" s="174"/>
      <c r="L1485" s="174"/>
      <c r="M1485" s="12"/>
      <c r="N1485" s="39"/>
      <c r="U1485" s="23"/>
      <c r="V1485" s="23"/>
      <c r="Z1485" s="95" t="s">
        <v>81</v>
      </c>
    </row>
    <row r="1486" spans="1:26" s="25" customFormat="1" ht="9.9499999999999993" customHeight="1" thickBot="1" x14ac:dyDescent="0.35">
      <c r="A1486" s="6"/>
      <c r="B1486" s="14"/>
      <c r="C1486" s="119"/>
      <c r="D1486" s="58"/>
      <c r="E1486" s="17"/>
      <c r="F1486" s="58"/>
      <c r="G1486" s="19"/>
      <c r="H1486" s="19"/>
      <c r="I1486" s="19"/>
      <c r="J1486" s="19"/>
      <c r="K1486" s="19"/>
      <c r="L1486" s="19"/>
      <c r="M1486" s="14"/>
      <c r="N1486" s="39"/>
      <c r="Q1486" s="1"/>
      <c r="R1486" s="1"/>
      <c r="S1486" s="1"/>
      <c r="T1486" s="1"/>
      <c r="U1486" s="24"/>
      <c r="V1486" s="24"/>
      <c r="W1486" s="1"/>
      <c r="X1486" s="1"/>
      <c r="Z1486" s="94" t="s">
        <v>82</v>
      </c>
    </row>
    <row r="1487" spans="1:26" s="25" customFormat="1" ht="6.95" customHeight="1" x14ac:dyDescent="0.3">
      <c r="A1487" s="165">
        <f>+A1476+1</f>
        <v>136</v>
      </c>
      <c r="B1487" s="166"/>
      <c r="C1487" s="167"/>
      <c r="D1487" s="160" t="s">
        <v>39</v>
      </c>
      <c r="E1487" s="161"/>
      <c r="F1487" s="162" t="s">
        <v>40</v>
      </c>
      <c r="G1487" s="163"/>
      <c r="H1487" s="164"/>
      <c r="I1487" s="163"/>
      <c r="J1487" s="164"/>
      <c r="K1487" s="163"/>
      <c r="L1487" s="164"/>
      <c r="M1487" s="11"/>
      <c r="N1487" s="39"/>
      <c r="Q1487" s="15" t="str">
        <f>+CONCATENATE(E1487,G1487)</f>
        <v/>
      </c>
      <c r="R1487" s="15">
        <f>+H1487</f>
        <v>0</v>
      </c>
      <c r="S1487" s="16"/>
      <c r="T1487" s="15">
        <f>+E1487</f>
        <v>0</v>
      </c>
      <c r="U1487" s="26" t="str">
        <f>IFERROR(LEFT(G1487,FIND("*",G1487)-1),"-")</f>
        <v>-</v>
      </c>
      <c r="V1487" s="26" t="str">
        <f>IFERROR(RIGHT(G1487,LEN(G1487)-FIND("*",G1487)),"-")</f>
        <v>-</v>
      </c>
      <c r="W1487" s="27" t="str">
        <f>IFERROR((U1487+V1487)*2/1000,"-")</f>
        <v>-</v>
      </c>
      <c r="X1487" s="27" t="str">
        <f>IFERROR(W1487*H1487,"-")</f>
        <v>-</v>
      </c>
      <c r="Z1487" s="94" t="s">
        <v>82</v>
      </c>
    </row>
    <row r="1488" spans="1:26" s="25" customFormat="1" ht="6.95" customHeight="1" x14ac:dyDescent="0.3">
      <c r="A1488" s="165"/>
      <c r="B1488" s="168"/>
      <c r="C1488" s="169"/>
      <c r="D1488" s="160"/>
      <c r="E1488" s="161"/>
      <c r="F1488" s="162"/>
      <c r="G1488" s="163"/>
      <c r="H1488" s="164"/>
      <c r="I1488" s="163"/>
      <c r="J1488" s="164"/>
      <c r="K1488" s="163"/>
      <c r="L1488" s="164"/>
      <c r="M1488" s="11"/>
      <c r="N1488" s="39"/>
      <c r="Q1488" s="15" t="str">
        <f>+CONCATENATE(E1487,I1487)</f>
        <v/>
      </c>
      <c r="R1488" s="15">
        <f>+J1487</f>
        <v>0</v>
      </c>
      <c r="S1488" s="16"/>
      <c r="T1488" s="15">
        <f>+E1487</f>
        <v>0</v>
      </c>
      <c r="U1488" s="26" t="str">
        <f>IFERROR(LEFT(I1487,FIND("*",I1487)-1),"-")</f>
        <v>-</v>
      </c>
      <c r="V1488" s="26" t="str">
        <f>IFERROR(RIGHT(I1487,LEN(I1487)-FIND("*",I1487)),"-")</f>
        <v>-</v>
      </c>
      <c r="W1488" s="27" t="str">
        <f t="shared" ref="W1488:W1495" si="808">IFERROR((U1488+V1488)*2/1000,"-")</f>
        <v>-</v>
      </c>
      <c r="X1488" s="27" t="str">
        <f>IFERROR(W1488*J1487,"-")</f>
        <v>-</v>
      </c>
      <c r="Z1488" s="94" t="s">
        <v>82</v>
      </c>
    </row>
    <row r="1489" spans="1:26" s="25" customFormat="1" ht="6.95" customHeight="1" x14ac:dyDescent="0.3">
      <c r="A1489" s="165"/>
      <c r="B1489" s="168"/>
      <c r="C1489" s="169"/>
      <c r="D1489" s="160"/>
      <c r="E1489" s="161"/>
      <c r="F1489" s="162"/>
      <c r="G1489" s="163"/>
      <c r="H1489" s="164"/>
      <c r="I1489" s="163"/>
      <c r="J1489" s="164"/>
      <c r="K1489" s="163"/>
      <c r="L1489" s="164"/>
      <c r="M1489" s="11"/>
      <c r="N1489" s="39"/>
      <c r="Q1489" s="15" t="str">
        <f>+CONCATENATE(E1487,K1487)</f>
        <v/>
      </c>
      <c r="R1489" s="15">
        <f>+L1487</f>
        <v>0</v>
      </c>
      <c r="S1489" s="16"/>
      <c r="T1489" s="15">
        <f>+E1487</f>
        <v>0</v>
      </c>
      <c r="U1489" s="26" t="str">
        <f>IFERROR(LEFT(K1487,FIND("*",K1487)-1),"-")</f>
        <v>-</v>
      </c>
      <c r="V1489" s="26" t="str">
        <f>IFERROR(RIGHT(K1487,LEN(K1487)-FIND("*",K1487)),"-")</f>
        <v>-</v>
      </c>
      <c r="W1489" s="27" t="str">
        <f t="shared" si="808"/>
        <v>-</v>
      </c>
      <c r="X1489" s="27" t="str">
        <f>IFERROR(W1489*L1487,"-")</f>
        <v>-</v>
      </c>
      <c r="Z1489" s="94" t="s">
        <v>82</v>
      </c>
    </row>
    <row r="1490" spans="1:26" s="25" customFormat="1" ht="6.95" customHeight="1" x14ac:dyDescent="0.3">
      <c r="A1490" s="13"/>
      <c r="B1490" s="168"/>
      <c r="C1490" s="169"/>
      <c r="D1490" s="160" t="s">
        <v>39</v>
      </c>
      <c r="E1490" s="161"/>
      <c r="F1490" s="162" t="s">
        <v>40</v>
      </c>
      <c r="G1490" s="163"/>
      <c r="H1490" s="164"/>
      <c r="I1490" s="163"/>
      <c r="J1490" s="164"/>
      <c r="K1490" s="163"/>
      <c r="L1490" s="164"/>
      <c r="M1490" s="11"/>
      <c r="N1490" s="39"/>
      <c r="Q1490" s="15" t="str">
        <f>+CONCATENATE(E1490,G1490)</f>
        <v/>
      </c>
      <c r="R1490" s="15">
        <f>+H1490</f>
        <v>0</v>
      </c>
      <c r="S1490" s="16"/>
      <c r="T1490" s="15">
        <f>+E1490</f>
        <v>0</v>
      </c>
      <c r="U1490" s="26" t="str">
        <f t="shared" ref="U1490" si="809">IFERROR(LEFT(G1490,FIND("*",G1490)-1),"-")</f>
        <v>-</v>
      </c>
      <c r="V1490" s="26" t="str">
        <f t="shared" ref="V1490" si="810">IFERROR(RIGHT(G1490,LEN(G1490)-FIND("*",G1490)),"-")</f>
        <v>-</v>
      </c>
      <c r="W1490" s="27" t="str">
        <f t="shared" si="808"/>
        <v>-</v>
      </c>
      <c r="X1490" s="27" t="str">
        <f>IFERROR(W1490*H1490,"-")</f>
        <v>-</v>
      </c>
      <c r="Z1490" s="94" t="s">
        <v>82</v>
      </c>
    </row>
    <row r="1491" spans="1:26" s="25" customFormat="1" ht="6.95" customHeight="1" x14ac:dyDescent="0.3">
      <c r="A1491" s="10"/>
      <c r="B1491" s="168"/>
      <c r="C1491" s="169"/>
      <c r="D1491" s="160"/>
      <c r="E1491" s="161"/>
      <c r="F1491" s="162"/>
      <c r="G1491" s="163"/>
      <c r="H1491" s="164"/>
      <c r="I1491" s="163"/>
      <c r="J1491" s="164"/>
      <c r="K1491" s="163"/>
      <c r="L1491" s="164"/>
      <c r="M1491" s="11"/>
      <c r="N1491" s="39"/>
      <c r="Q1491" s="15" t="str">
        <f>+CONCATENATE(E1490,I1490)</f>
        <v/>
      </c>
      <c r="R1491" s="15">
        <f>+J1490</f>
        <v>0</v>
      </c>
      <c r="S1491" s="16"/>
      <c r="T1491" s="15">
        <f>+E1490</f>
        <v>0</v>
      </c>
      <c r="U1491" s="26" t="str">
        <f>IFERROR(LEFT(I1490,FIND("*",I1490)-1),"-")</f>
        <v>-</v>
      </c>
      <c r="V1491" s="26" t="str">
        <f>IFERROR(RIGHT(I1490,LEN(I1490)-FIND("*",I1490)),"-")</f>
        <v>-</v>
      </c>
      <c r="W1491" s="27" t="str">
        <f t="shared" si="808"/>
        <v>-</v>
      </c>
      <c r="X1491" s="27" t="str">
        <f>IFERROR(W1491*J1490,"-")</f>
        <v>-</v>
      </c>
      <c r="Z1491" s="94" t="s">
        <v>82</v>
      </c>
    </row>
    <row r="1492" spans="1:26" s="25" customFormat="1" ht="6.95" customHeight="1" x14ac:dyDescent="0.3">
      <c r="A1492" s="10"/>
      <c r="B1492" s="168"/>
      <c r="C1492" s="169"/>
      <c r="D1492" s="160"/>
      <c r="E1492" s="161"/>
      <c r="F1492" s="162"/>
      <c r="G1492" s="163"/>
      <c r="H1492" s="164"/>
      <c r="I1492" s="163"/>
      <c r="J1492" s="164"/>
      <c r="K1492" s="163"/>
      <c r="L1492" s="164"/>
      <c r="M1492" s="11"/>
      <c r="N1492" s="39"/>
      <c r="Q1492" s="15" t="str">
        <f>+CONCATENATE(E1490,K1490)</f>
        <v/>
      </c>
      <c r="R1492" s="15">
        <f>+L1490</f>
        <v>0</v>
      </c>
      <c r="S1492" s="16"/>
      <c r="T1492" s="15">
        <f>+E1490</f>
        <v>0</v>
      </c>
      <c r="U1492" s="26" t="str">
        <f>IFERROR(LEFT(K1490,FIND("*",K1490)-1),"-")</f>
        <v>-</v>
      </c>
      <c r="V1492" s="26" t="str">
        <f>IFERROR(RIGHT(K1490,LEN(K1490)-FIND("*",K1490)),"-")</f>
        <v>-</v>
      </c>
      <c r="W1492" s="27" t="str">
        <f t="shared" si="808"/>
        <v>-</v>
      </c>
      <c r="X1492" s="27" t="str">
        <f>IFERROR(W1492*L1490,"-")</f>
        <v>-</v>
      </c>
      <c r="Z1492" s="94" t="s">
        <v>82</v>
      </c>
    </row>
    <row r="1493" spans="1:26" s="25" customFormat="1" ht="6.95" customHeight="1" x14ac:dyDescent="0.3">
      <c r="A1493" s="13"/>
      <c r="B1493" s="168"/>
      <c r="C1493" s="169"/>
      <c r="D1493" s="160" t="s">
        <v>39</v>
      </c>
      <c r="E1493" s="161"/>
      <c r="F1493" s="162" t="s">
        <v>40</v>
      </c>
      <c r="G1493" s="163"/>
      <c r="H1493" s="164"/>
      <c r="I1493" s="163"/>
      <c r="J1493" s="164"/>
      <c r="K1493" s="163"/>
      <c r="L1493" s="164"/>
      <c r="M1493" s="11"/>
      <c r="N1493" s="39"/>
      <c r="Q1493" s="15" t="str">
        <f>+CONCATENATE(E1493,G1493)</f>
        <v/>
      </c>
      <c r="R1493" s="15">
        <f>+H1493</f>
        <v>0</v>
      </c>
      <c r="S1493" s="16"/>
      <c r="T1493" s="15">
        <f>+E1493</f>
        <v>0</v>
      </c>
      <c r="U1493" s="26" t="str">
        <f t="shared" ref="U1493" si="811">IFERROR(LEFT(G1493,FIND("*",G1493)-1),"-")</f>
        <v>-</v>
      </c>
      <c r="V1493" s="26" t="str">
        <f t="shared" ref="V1493" si="812">IFERROR(RIGHT(G1493,LEN(G1493)-FIND("*",G1493)),"-")</f>
        <v>-</v>
      </c>
      <c r="W1493" s="27" t="str">
        <f t="shared" si="808"/>
        <v>-</v>
      </c>
      <c r="X1493" s="27" t="str">
        <f>IFERROR(W1493*H1493,"-")</f>
        <v>-</v>
      </c>
      <c r="Z1493" s="94" t="s">
        <v>82</v>
      </c>
    </row>
    <row r="1494" spans="1:26" s="25" customFormat="1" ht="6.95" customHeight="1" x14ac:dyDescent="0.3">
      <c r="A1494" s="10"/>
      <c r="B1494" s="168"/>
      <c r="C1494" s="169"/>
      <c r="D1494" s="160"/>
      <c r="E1494" s="161"/>
      <c r="F1494" s="162"/>
      <c r="G1494" s="163"/>
      <c r="H1494" s="164"/>
      <c r="I1494" s="163"/>
      <c r="J1494" s="164"/>
      <c r="K1494" s="163"/>
      <c r="L1494" s="164"/>
      <c r="M1494" s="11"/>
      <c r="N1494" s="39"/>
      <c r="Q1494" s="15" t="str">
        <f>+CONCATENATE(E1493,I1493)</f>
        <v/>
      </c>
      <c r="R1494" s="15">
        <f>+J1493</f>
        <v>0</v>
      </c>
      <c r="S1494" s="16"/>
      <c r="T1494" s="15">
        <f>+E1493</f>
        <v>0</v>
      </c>
      <c r="U1494" s="26" t="str">
        <f>IFERROR(LEFT(I1493,FIND("*",I1493)-1),"-")</f>
        <v>-</v>
      </c>
      <c r="V1494" s="26" t="str">
        <f>IFERROR(RIGHT(I1493,LEN(I1493)-FIND("*",I1493)),"-")</f>
        <v>-</v>
      </c>
      <c r="W1494" s="27" t="str">
        <f t="shared" si="808"/>
        <v>-</v>
      </c>
      <c r="X1494" s="27" t="str">
        <f t="shared" ref="X1494" si="813">IFERROR(W1494*J1493,"-")</f>
        <v>-</v>
      </c>
      <c r="Z1494" s="94" t="s">
        <v>82</v>
      </c>
    </row>
    <row r="1495" spans="1:26" s="25" customFormat="1" ht="6.95" customHeight="1" x14ac:dyDescent="0.3">
      <c r="A1495" s="10"/>
      <c r="B1495" s="168"/>
      <c r="C1495" s="169"/>
      <c r="D1495" s="160"/>
      <c r="E1495" s="161"/>
      <c r="F1495" s="162"/>
      <c r="G1495" s="163"/>
      <c r="H1495" s="164"/>
      <c r="I1495" s="163"/>
      <c r="J1495" s="164"/>
      <c r="K1495" s="163"/>
      <c r="L1495" s="164"/>
      <c r="M1495" s="11"/>
      <c r="N1495" s="39"/>
      <c r="Q1495" s="15" t="str">
        <f>+CONCATENATE(E1493,K1493)</f>
        <v/>
      </c>
      <c r="R1495" s="15">
        <f>+L1493</f>
        <v>0</v>
      </c>
      <c r="S1495" s="16"/>
      <c r="T1495" s="15">
        <f>+E1493</f>
        <v>0</v>
      </c>
      <c r="U1495" s="26" t="str">
        <f>IFERROR(LEFT(K1493,FIND("*",K1493)-1),"-")</f>
        <v>-</v>
      </c>
      <c r="V1495" s="26" t="str">
        <f>IFERROR(RIGHT(K1493,LEN(K1493)-FIND("*",K1493)),"-")</f>
        <v>-</v>
      </c>
      <c r="W1495" s="27" t="str">
        <f t="shared" si="808"/>
        <v>-</v>
      </c>
      <c r="X1495" s="27" t="str">
        <f>IFERROR(W1495*L1493,"-")</f>
        <v>-</v>
      </c>
      <c r="Z1495" s="94" t="s">
        <v>82</v>
      </c>
    </row>
    <row r="1496" spans="1:26" s="25" customFormat="1" ht="21" customHeight="1" thickBot="1" x14ac:dyDescent="0.35">
      <c r="A1496" s="10"/>
      <c r="B1496" s="170"/>
      <c r="C1496" s="171"/>
      <c r="D1496" s="172" t="s">
        <v>43</v>
      </c>
      <c r="E1496" s="173"/>
      <c r="F1496" s="173"/>
      <c r="G1496" s="174"/>
      <c r="H1496" s="174"/>
      <c r="I1496" s="174"/>
      <c r="J1496" s="174"/>
      <c r="K1496" s="174"/>
      <c r="L1496" s="174"/>
      <c r="M1496" s="12"/>
      <c r="N1496" s="39"/>
      <c r="U1496" s="23"/>
      <c r="V1496" s="23"/>
      <c r="Z1496" s="95" t="s">
        <v>81</v>
      </c>
    </row>
    <row r="1497" spans="1:26" s="25" customFormat="1" ht="9.9499999999999993" customHeight="1" thickBot="1" x14ac:dyDescent="0.35">
      <c r="A1497" s="6"/>
      <c r="B1497" s="14"/>
      <c r="C1497" s="119"/>
      <c r="D1497" s="58"/>
      <c r="E1497" s="17"/>
      <c r="F1497" s="58"/>
      <c r="G1497" s="19"/>
      <c r="H1497" s="19"/>
      <c r="I1497" s="19"/>
      <c r="J1497" s="19"/>
      <c r="K1497" s="19"/>
      <c r="L1497" s="19"/>
      <c r="M1497" s="14"/>
      <c r="N1497" s="39"/>
      <c r="Q1497" s="1"/>
      <c r="R1497" s="1"/>
      <c r="S1497" s="1"/>
      <c r="T1497" s="1"/>
      <c r="U1497" s="24"/>
      <c r="V1497" s="24"/>
      <c r="W1497" s="1"/>
      <c r="X1497" s="1"/>
      <c r="Z1497" s="94" t="s">
        <v>82</v>
      </c>
    </row>
    <row r="1498" spans="1:26" s="25" customFormat="1" ht="6.95" customHeight="1" x14ac:dyDescent="0.3">
      <c r="A1498" s="165">
        <f>+A1487+1</f>
        <v>137</v>
      </c>
      <c r="B1498" s="166"/>
      <c r="C1498" s="167"/>
      <c r="D1498" s="160" t="s">
        <v>39</v>
      </c>
      <c r="E1498" s="161"/>
      <c r="F1498" s="162" t="s">
        <v>40</v>
      </c>
      <c r="G1498" s="163"/>
      <c r="H1498" s="164"/>
      <c r="I1498" s="163"/>
      <c r="J1498" s="164"/>
      <c r="K1498" s="163"/>
      <c r="L1498" s="164"/>
      <c r="M1498" s="11"/>
      <c r="N1498" s="39"/>
      <c r="Q1498" s="15" t="str">
        <f>+CONCATENATE(E1498,G1498)</f>
        <v/>
      </c>
      <c r="R1498" s="15">
        <f>+H1498</f>
        <v>0</v>
      </c>
      <c r="S1498" s="16"/>
      <c r="T1498" s="15">
        <f>+E1498</f>
        <v>0</v>
      </c>
      <c r="U1498" s="26" t="str">
        <f>IFERROR(LEFT(G1498,FIND("*",G1498)-1),"-")</f>
        <v>-</v>
      </c>
      <c r="V1498" s="26" t="str">
        <f>IFERROR(RIGHT(G1498,LEN(G1498)-FIND("*",G1498)),"-")</f>
        <v>-</v>
      </c>
      <c r="W1498" s="27" t="str">
        <f>IFERROR((U1498+V1498)*2/1000,"-")</f>
        <v>-</v>
      </c>
      <c r="X1498" s="27" t="str">
        <f>IFERROR(W1498*H1498,"-")</f>
        <v>-</v>
      </c>
      <c r="Z1498" s="94" t="s">
        <v>82</v>
      </c>
    </row>
    <row r="1499" spans="1:26" s="25" customFormat="1" ht="6.95" customHeight="1" x14ac:dyDescent="0.3">
      <c r="A1499" s="165"/>
      <c r="B1499" s="168"/>
      <c r="C1499" s="169"/>
      <c r="D1499" s="160"/>
      <c r="E1499" s="161"/>
      <c r="F1499" s="162"/>
      <c r="G1499" s="163"/>
      <c r="H1499" s="164"/>
      <c r="I1499" s="163"/>
      <c r="J1499" s="164"/>
      <c r="K1499" s="163"/>
      <c r="L1499" s="164"/>
      <c r="M1499" s="11"/>
      <c r="N1499" s="39"/>
      <c r="Q1499" s="15" t="str">
        <f>+CONCATENATE(E1498,I1498)</f>
        <v/>
      </c>
      <c r="R1499" s="15">
        <f>+J1498</f>
        <v>0</v>
      </c>
      <c r="S1499" s="16"/>
      <c r="T1499" s="15">
        <f>+E1498</f>
        <v>0</v>
      </c>
      <c r="U1499" s="26" t="str">
        <f>IFERROR(LEFT(I1498,FIND("*",I1498)-1),"-")</f>
        <v>-</v>
      </c>
      <c r="V1499" s="26" t="str">
        <f>IFERROR(RIGHT(I1498,LEN(I1498)-FIND("*",I1498)),"-")</f>
        <v>-</v>
      </c>
      <c r="W1499" s="27" t="str">
        <f t="shared" ref="W1499:W1506" si="814">IFERROR((U1499+V1499)*2/1000,"-")</f>
        <v>-</v>
      </c>
      <c r="X1499" s="27" t="str">
        <f>IFERROR(W1499*J1498,"-")</f>
        <v>-</v>
      </c>
      <c r="Z1499" s="94" t="s">
        <v>82</v>
      </c>
    </row>
    <row r="1500" spans="1:26" s="25" customFormat="1" ht="6.95" customHeight="1" x14ac:dyDescent="0.3">
      <c r="A1500" s="165"/>
      <c r="B1500" s="168"/>
      <c r="C1500" s="169"/>
      <c r="D1500" s="160"/>
      <c r="E1500" s="161"/>
      <c r="F1500" s="162"/>
      <c r="G1500" s="163"/>
      <c r="H1500" s="164"/>
      <c r="I1500" s="163"/>
      <c r="J1500" s="164"/>
      <c r="K1500" s="163"/>
      <c r="L1500" s="164"/>
      <c r="M1500" s="11"/>
      <c r="N1500" s="39"/>
      <c r="Q1500" s="15" t="str">
        <f>+CONCATENATE(E1498,K1498)</f>
        <v/>
      </c>
      <c r="R1500" s="15">
        <f>+L1498</f>
        <v>0</v>
      </c>
      <c r="S1500" s="16"/>
      <c r="T1500" s="15">
        <f>+E1498</f>
        <v>0</v>
      </c>
      <c r="U1500" s="26" t="str">
        <f>IFERROR(LEFT(K1498,FIND("*",K1498)-1),"-")</f>
        <v>-</v>
      </c>
      <c r="V1500" s="26" t="str">
        <f>IFERROR(RIGHT(K1498,LEN(K1498)-FIND("*",K1498)),"-")</f>
        <v>-</v>
      </c>
      <c r="W1500" s="27" t="str">
        <f t="shared" si="814"/>
        <v>-</v>
      </c>
      <c r="X1500" s="27" t="str">
        <f>IFERROR(W1500*L1498,"-")</f>
        <v>-</v>
      </c>
      <c r="Z1500" s="94" t="s">
        <v>82</v>
      </c>
    </row>
    <row r="1501" spans="1:26" s="25" customFormat="1" ht="6.95" customHeight="1" x14ac:dyDescent="0.3">
      <c r="A1501" s="13"/>
      <c r="B1501" s="168"/>
      <c r="C1501" s="169"/>
      <c r="D1501" s="160" t="s">
        <v>39</v>
      </c>
      <c r="E1501" s="161"/>
      <c r="F1501" s="162" t="s">
        <v>40</v>
      </c>
      <c r="G1501" s="163"/>
      <c r="H1501" s="164"/>
      <c r="I1501" s="163"/>
      <c r="J1501" s="164"/>
      <c r="K1501" s="163"/>
      <c r="L1501" s="164"/>
      <c r="M1501" s="11"/>
      <c r="N1501" s="39"/>
      <c r="Q1501" s="15" t="str">
        <f>+CONCATENATE(E1501,G1501)</f>
        <v/>
      </c>
      <c r="R1501" s="15">
        <f>+H1501</f>
        <v>0</v>
      </c>
      <c r="S1501" s="16"/>
      <c r="T1501" s="15">
        <f>+E1501</f>
        <v>0</v>
      </c>
      <c r="U1501" s="26" t="str">
        <f t="shared" ref="U1501" si="815">IFERROR(LEFT(G1501,FIND("*",G1501)-1),"-")</f>
        <v>-</v>
      </c>
      <c r="V1501" s="26" t="str">
        <f t="shared" ref="V1501" si="816">IFERROR(RIGHT(G1501,LEN(G1501)-FIND("*",G1501)),"-")</f>
        <v>-</v>
      </c>
      <c r="W1501" s="27" t="str">
        <f t="shared" si="814"/>
        <v>-</v>
      </c>
      <c r="X1501" s="27" t="str">
        <f>IFERROR(W1501*H1501,"-")</f>
        <v>-</v>
      </c>
      <c r="Z1501" s="94" t="s">
        <v>82</v>
      </c>
    </row>
    <row r="1502" spans="1:26" s="25" customFormat="1" ht="6.95" customHeight="1" x14ac:dyDescent="0.3">
      <c r="A1502" s="10"/>
      <c r="B1502" s="168"/>
      <c r="C1502" s="169"/>
      <c r="D1502" s="160"/>
      <c r="E1502" s="161"/>
      <c r="F1502" s="162"/>
      <c r="G1502" s="163"/>
      <c r="H1502" s="164"/>
      <c r="I1502" s="163"/>
      <c r="J1502" s="164"/>
      <c r="K1502" s="163"/>
      <c r="L1502" s="164"/>
      <c r="M1502" s="11"/>
      <c r="N1502" s="39"/>
      <c r="Q1502" s="15" t="str">
        <f>+CONCATENATE(E1501,I1501)</f>
        <v/>
      </c>
      <c r="R1502" s="15">
        <f>+J1501</f>
        <v>0</v>
      </c>
      <c r="S1502" s="16"/>
      <c r="T1502" s="15">
        <f>+E1501</f>
        <v>0</v>
      </c>
      <c r="U1502" s="26" t="str">
        <f>IFERROR(LEFT(I1501,FIND("*",I1501)-1),"-")</f>
        <v>-</v>
      </c>
      <c r="V1502" s="26" t="str">
        <f>IFERROR(RIGHT(I1501,LEN(I1501)-FIND("*",I1501)),"-")</f>
        <v>-</v>
      </c>
      <c r="W1502" s="27" t="str">
        <f t="shared" si="814"/>
        <v>-</v>
      </c>
      <c r="X1502" s="27" t="str">
        <f>IFERROR(W1502*J1501,"-")</f>
        <v>-</v>
      </c>
      <c r="Z1502" s="94" t="s">
        <v>82</v>
      </c>
    </row>
    <row r="1503" spans="1:26" s="25" customFormat="1" ht="6.95" customHeight="1" x14ac:dyDescent="0.3">
      <c r="A1503" s="10"/>
      <c r="B1503" s="168"/>
      <c r="C1503" s="169"/>
      <c r="D1503" s="160"/>
      <c r="E1503" s="161"/>
      <c r="F1503" s="162"/>
      <c r="G1503" s="163"/>
      <c r="H1503" s="164"/>
      <c r="I1503" s="163"/>
      <c r="J1503" s="164"/>
      <c r="K1503" s="163"/>
      <c r="L1503" s="164"/>
      <c r="M1503" s="11"/>
      <c r="N1503" s="39"/>
      <c r="Q1503" s="15" t="str">
        <f>+CONCATENATE(E1501,K1501)</f>
        <v/>
      </c>
      <c r="R1503" s="15">
        <f>+L1501</f>
        <v>0</v>
      </c>
      <c r="S1503" s="16"/>
      <c r="T1503" s="15">
        <f>+E1501</f>
        <v>0</v>
      </c>
      <c r="U1503" s="26" t="str">
        <f>IFERROR(LEFT(K1501,FIND("*",K1501)-1),"-")</f>
        <v>-</v>
      </c>
      <c r="V1503" s="26" t="str">
        <f>IFERROR(RIGHT(K1501,LEN(K1501)-FIND("*",K1501)),"-")</f>
        <v>-</v>
      </c>
      <c r="W1503" s="27" t="str">
        <f t="shared" si="814"/>
        <v>-</v>
      </c>
      <c r="X1503" s="27" t="str">
        <f>IFERROR(W1503*L1501,"-")</f>
        <v>-</v>
      </c>
      <c r="Z1503" s="94" t="s">
        <v>82</v>
      </c>
    </row>
    <row r="1504" spans="1:26" s="25" customFormat="1" ht="6.95" customHeight="1" x14ac:dyDescent="0.3">
      <c r="A1504" s="13"/>
      <c r="B1504" s="168"/>
      <c r="C1504" s="169"/>
      <c r="D1504" s="160" t="s">
        <v>39</v>
      </c>
      <c r="E1504" s="161"/>
      <c r="F1504" s="162" t="s">
        <v>40</v>
      </c>
      <c r="G1504" s="163"/>
      <c r="H1504" s="164"/>
      <c r="I1504" s="163"/>
      <c r="J1504" s="164"/>
      <c r="K1504" s="163"/>
      <c r="L1504" s="164"/>
      <c r="M1504" s="11"/>
      <c r="N1504" s="39"/>
      <c r="Q1504" s="15" t="str">
        <f>+CONCATENATE(E1504,G1504)</f>
        <v/>
      </c>
      <c r="R1504" s="15">
        <f>+H1504</f>
        <v>0</v>
      </c>
      <c r="S1504" s="16"/>
      <c r="T1504" s="15">
        <f>+E1504</f>
        <v>0</v>
      </c>
      <c r="U1504" s="26" t="str">
        <f t="shared" ref="U1504" si="817">IFERROR(LEFT(G1504,FIND("*",G1504)-1),"-")</f>
        <v>-</v>
      </c>
      <c r="V1504" s="26" t="str">
        <f t="shared" ref="V1504" si="818">IFERROR(RIGHT(G1504,LEN(G1504)-FIND("*",G1504)),"-")</f>
        <v>-</v>
      </c>
      <c r="W1504" s="27" t="str">
        <f t="shared" si="814"/>
        <v>-</v>
      </c>
      <c r="X1504" s="27" t="str">
        <f>IFERROR(W1504*H1504,"-")</f>
        <v>-</v>
      </c>
      <c r="Z1504" s="94" t="s">
        <v>82</v>
      </c>
    </row>
    <row r="1505" spans="1:26" s="25" customFormat="1" ht="6.95" customHeight="1" x14ac:dyDescent="0.3">
      <c r="A1505" s="10"/>
      <c r="B1505" s="168"/>
      <c r="C1505" s="169"/>
      <c r="D1505" s="160"/>
      <c r="E1505" s="161"/>
      <c r="F1505" s="162"/>
      <c r="G1505" s="163"/>
      <c r="H1505" s="164"/>
      <c r="I1505" s="163"/>
      <c r="J1505" s="164"/>
      <c r="K1505" s="163"/>
      <c r="L1505" s="164"/>
      <c r="M1505" s="11"/>
      <c r="N1505" s="39"/>
      <c r="Q1505" s="15" t="str">
        <f>+CONCATENATE(E1504,I1504)</f>
        <v/>
      </c>
      <c r="R1505" s="15">
        <f>+J1504</f>
        <v>0</v>
      </c>
      <c r="S1505" s="16"/>
      <c r="T1505" s="15">
        <f>+E1504</f>
        <v>0</v>
      </c>
      <c r="U1505" s="26" t="str">
        <f>IFERROR(LEFT(I1504,FIND("*",I1504)-1),"-")</f>
        <v>-</v>
      </c>
      <c r="V1505" s="26" t="str">
        <f>IFERROR(RIGHT(I1504,LEN(I1504)-FIND("*",I1504)),"-")</f>
        <v>-</v>
      </c>
      <c r="W1505" s="27" t="str">
        <f t="shared" si="814"/>
        <v>-</v>
      </c>
      <c r="X1505" s="27" t="str">
        <f t="shared" ref="X1505" si="819">IFERROR(W1505*J1504,"-")</f>
        <v>-</v>
      </c>
      <c r="Z1505" s="94" t="s">
        <v>82</v>
      </c>
    </row>
    <row r="1506" spans="1:26" s="25" customFormat="1" ht="6.95" customHeight="1" x14ac:dyDescent="0.3">
      <c r="A1506" s="10"/>
      <c r="B1506" s="168"/>
      <c r="C1506" s="169"/>
      <c r="D1506" s="160"/>
      <c r="E1506" s="161"/>
      <c r="F1506" s="162"/>
      <c r="G1506" s="163"/>
      <c r="H1506" s="164"/>
      <c r="I1506" s="163"/>
      <c r="J1506" s="164"/>
      <c r="K1506" s="163"/>
      <c r="L1506" s="164"/>
      <c r="M1506" s="11"/>
      <c r="N1506" s="39"/>
      <c r="Q1506" s="15" t="str">
        <f>+CONCATENATE(E1504,K1504)</f>
        <v/>
      </c>
      <c r="R1506" s="15">
        <f>+L1504</f>
        <v>0</v>
      </c>
      <c r="S1506" s="16"/>
      <c r="T1506" s="15">
        <f>+E1504</f>
        <v>0</v>
      </c>
      <c r="U1506" s="26" t="str">
        <f>IFERROR(LEFT(K1504,FIND("*",K1504)-1),"-")</f>
        <v>-</v>
      </c>
      <c r="V1506" s="26" t="str">
        <f>IFERROR(RIGHT(K1504,LEN(K1504)-FIND("*",K1504)),"-")</f>
        <v>-</v>
      </c>
      <c r="W1506" s="27" t="str">
        <f t="shared" si="814"/>
        <v>-</v>
      </c>
      <c r="X1506" s="27" t="str">
        <f>IFERROR(W1506*L1504,"-")</f>
        <v>-</v>
      </c>
      <c r="Z1506" s="94" t="s">
        <v>82</v>
      </c>
    </row>
    <row r="1507" spans="1:26" s="25" customFormat="1" ht="21" customHeight="1" thickBot="1" x14ac:dyDescent="0.35">
      <c r="A1507" s="10"/>
      <c r="B1507" s="170"/>
      <c r="C1507" s="171"/>
      <c r="D1507" s="172" t="s">
        <v>43</v>
      </c>
      <c r="E1507" s="173"/>
      <c r="F1507" s="173"/>
      <c r="G1507" s="174"/>
      <c r="H1507" s="174"/>
      <c r="I1507" s="174"/>
      <c r="J1507" s="174"/>
      <c r="K1507" s="174"/>
      <c r="L1507" s="174"/>
      <c r="M1507" s="12"/>
      <c r="N1507" s="39"/>
      <c r="U1507" s="23"/>
      <c r="V1507" s="23"/>
      <c r="Z1507" s="95" t="s">
        <v>81</v>
      </c>
    </row>
    <row r="1508" spans="1:26" s="25" customFormat="1" ht="9.9499999999999993" customHeight="1" thickBot="1" x14ac:dyDescent="0.35">
      <c r="A1508" s="6"/>
      <c r="B1508" s="14"/>
      <c r="C1508" s="119"/>
      <c r="D1508" s="58"/>
      <c r="E1508" s="17"/>
      <c r="F1508" s="58"/>
      <c r="G1508" s="19"/>
      <c r="H1508" s="19"/>
      <c r="I1508" s="19"/>
      <c r="J1508" s="19"/>
      <c r="K1508" s="19"/>
      <c r="L1508" s="19"/>
      <c r="M1508" s="14"/>
      <c r="N1508" s="39"/>
      <c r="Q1508" s="1"/>
      <c r="R1508" s="1"/>
      <c r="S1508" s="1"/>
      <c r="T1508" s="1"/>
      <c r="U1508" s="24"/>
      <c r="V1508" s="24"/>
      <c r="W1508" s="1"/>
      <c r="X1508" s="1"/>
      <c r="Z1508" s="94" t="s">
        <v>82</v>
      </c>
    </row>
    <row r="1509" spans="1:26" s="25" customFormat="1" ht="6.95" customHeight="1" x14ac:dyDescent="0.3">
      <c r="A1509" s="165">
        <f>+A1498+1</f>
        <v>138</v>
      </c>
      <c r="B1509" s="166"/>
      <c r="C1509" s="167"/>
      <c r="D1509" s="160" t="s">
        <v>39</v>
      </c>
      <c r="E1509" s="161"/>
      <c r="F1509" s="162" t="s">
        <v>40</v>
      </c>
      <c r="G1509" s="163"/>
      <c r="H1509" s="164"/>
      <c r="I1509" s="163"/>
      <c r="J1509" s="164"/>
      <c r="K1509" s="163"/>
      <c r="L1509" s="164"/>
      <c r="M1509" s="11"/>
      <c r="N1509" s="39"/>
      <c r="Q1509" s="15" t="str">
        <f>+CONCATENATE(E1509,G1509)</f>
        <v/>
      </c>
      <c r="R1509" s="15">
        <f>+H1509</f>
        <v>0</v>
      </c>
      <c r="S1509" s="16"/>
      <c r="T1509" s="15">
        <f>+E1509</f>
        <v>0</v>
      </c>
      <c r="U1509" s="26" t="str">
        <f>IFERROR(LEFT(G1509,FIND("*",G1509)-1),"-")</f>
        <v>-</v>
      </c>
      <c r="V1509" s="26" t="str">
        <f>IFERROR(RIGHT(G1509,LEN(G1509)-FIND("*",G1509)),"-")</f>
        <v>-</v>
      </c>
      <c r="W1509" s="27" t="str">
        <f>IFERROR((U1509+V1509)*2/1000,"-")</f>
        <v>-</v>
      </c>
      <c r="X1509" s="27" t="str">
        <f>IFERROR(W1509*H1509,"-")</f>
        <v>-</v>
      </c>
      <c r="Z1509" s="94" t="s">
        <v>82</v>
      </c>
    </row>
    <row r="1510" spans="1:26" s="25" customFormat="1" ht="6.95" customHeight="1" x14ac:dyDescent="0.3">
      <c r="A1510" s="165"/>
      <c r="B1510" s="168"/>
      <c r="C1510" s="169"/>
      <c r="D1510" s="160"/>
      <c r="E1510" s="161"/>
      <c r="F1510" s="162"/>
      <c r="G1510" s="163"/>
      <c r="H1510" s="164"/>
      <c r="I1510" s="163"/>
      <c r="J1510" s="164"/>
      <c r="K1510" s="163"/>
      <c r="L1510" s="164"/>
      <c r="M1510" s="11"/>
      <c r="N1510" s="39"/>
      <c r="Q1510" s="15" t="str">
        <f>+CONCATENATE(E1509,I1509)</f>
        <v/>
      </c>
      <c r="R1510" s="15">
        <f>+J1509</f>
        <v>0</v>
      </c>
      <c r="S1510" s="16"/>
      <c r="T1510" s="15">
        <f>+E1509</f>
        <v>0</v>
      </c>
      <c r="U1510" s="26" t="str">
        <f>IFERROR(LEFT(I1509,FIND("*",I1509)-1),"-")</f>
        <v>-</v>
      </c>
      <c r="V1510" s="26" t="str">
        <f>IFERROR(RIGHT(I1509,LEN(I1509)-FIND("*",I1509)),"-")</f>
        <v>-</v>
      </c>
      <c r="W1510" s="27" t="str">
        <f t="shared" ref="W1510:W1517" si="820">IFERROR((U1510+V1510)*2/1000,"-")</f>
        <v>-</v>
      </c>
      <c r="X1510" s="27" t="str">
        <f>IFERROR(W1510*J1509,"-")</f>
        <v>-</v>
      </c>
      <c r="Z1510" s="94" t="s">
        <v>82</v>
      </c>
    </row>
    <row r="1511" spans="1:26" s="25" customFormat="1" ht="6.95" customHeight="1" x14ac:dyDescent="0.3">
      <c r="A1511" s="165"/>
      <c r="B1511" s="168"/>
      <c r="C1511" s="169"/>
      <c r="D1511" s="160"/>
      <c r="E1511" s="161"/>
      <c r="F1511" s="162"/>
      <c r="G1511" s="163"/>
      <c r="H1511" s="164"/>
      <c r="I1511" s="163"/>
      <c r="J1511" s="164"/>
      <c r="K1511" s="163"/>
      <c r="L1511" s="164"/>
      <c r="M1511" s="11"/>
      <c r="N1511" s="39"/>
      <c r="Q1511" s="15" t="str">
        <f>+CONCATENATE(E1509,K1509)</f>
        <v/>
      </c>
      <c r="R1511" s="15">
        <f>+L1509</f>
        <v>0</v>
      </c>
      <c r="S1511" s="16"/>
      <c r="T1511" s="15">
        <f>+E1509</f>
        <v>0</v>
      </c>
      <c r="U1511" s="26" t="str">
        <f>IFERROR(LEFT(K1509,FIND("*",K1509)-1),"-")</f>
        <v>-</v>
      </c>
      <c r="V1511" s="26" t="str">
        <f>IFERROR(RIGHT(K1509,LEN(K1509)-FIND("*",K1509)),"-")</f>
        <v>-</v>
      </c>
      <c r="W1511" s="27" t="str">
        <f t="shared" si="820"/>
        <v>-</v>
      </c>
      <c r="X1511" s="27" t="str">
        <f>IFERROR(W1511*L1509,"-")</f>
        <v>-</v>
      </c>
      <c r="Z1511" s="94" t="s">
        <v>82</v>
      </c>
    </row>
    <row r="1512" spans="1:26" s="25" customFormat="1" ht="6.95" customHeight="1" x14ac:dyDescent="0.3">
      <c r="A1512" s="13"/>
      <c r="B1512" s="168"/>
      <c r="C1512" s="169"/>
      <c r="D1512" s="160" t="s">
        <v>39</v>
      </c>
      <c r="E1512" s="161"/>
      <c r="F1512" s="162" t="s">
        <v>40</v>
      </c>
      <c r="G1512" s="163"/>
      <c r="H1512" s="164"/>
      <c r="I1512" s="163"/>
      <c r="J1512" s="164"/>
      <c r="K1512" s="163"/>
      <c r="L1512" s="164"/>
      <c r="M1512" s="11"/>
      <c r="N1512" s="39"/>
      <c r="Q1512" s="15" t="str">
        <f>+CONCATENATE(E1512,G1512)</f>
        <v/>
      </c>
      <c r="R1512" s="15">
        <f>+H1512</f>
        <v>0</v>
      </c>
      <c r="S1512" s="16"/>
      <c r="T1512" s="15">
        <f>+E1512</f>
        <v>0</v>
      </c>
      <c r="U1512" s="26" t="str">
        <f t="shared" ref="U1512" si="821">IFERROR(LEFT(G1512,FIND("*",G1512)-1),"-")</f>
        <v>-</v>
      </c>
      <c r="V1512" s="26" t="str">
        <f t="shared" ref="V1512" si="822">IFERROR(RIGHT(G1512,LEN(G1512)-FIND("*",G1512)),"-")</f>
        <v>-</v>
      </c>
      <c r="W1512" s="27" t="str">
        <f t="shared" si="820"/>
        <v>-</v>
      </c>
      <c r="X1512" s="27" t="str">
        <f>IFERROR(W1512*H1512,"-")</f>
        <v>-</v>
      </c>
      <c r="Z1512" s="94" t="s">
        <v>82</v>
      </c>
    </row>
    <row r="1513" spans="1:26" s="25" customFormat="1" ht="6.95" customHeight="1" x14ac:dyDescent="0.3">
      <c r="A1513" s="10"/>
      <c r="B1513" s="168"/>
      <c r="C1513" s="169"/>
      <c r="D1513" s="160"/>
      <c r="E1513" s="161"/>
      <c r="F1513" s="162"/>
      <c r="G1513" s="163"/>
      <c r="H1513" s="164"/>
      <c r="I1513" s="163"/>
      <c r="J1513" s="164"/>
      <c r="K1513" s="163"/>
      <c r="L1513" s="164"/>
      <c r="M1513" s="11"/>
      <c r="N1513" s="39"/>
      <c r="Q1513" s="15" t="str">
        <f>+CONCATENATE(E1512,I1512)</f>
        <v/>
      </c>
      <c r="R1513" s="15">
        <f>+J1512</f>
        <v>0</v>
      </c>
      <c r="S1513" s="16"/>
      <c r="T1513" s="15">
        <f>+E1512</f>
        <v>0</v>
      </c>
      <c r="U1513" s="26" t="str">
        <f>IFERROR(LEFT(I1512,FIND("*",I1512)-1),"-")</f>
        <v>-</v>
      </c>
      <c r="V1513" s="26" t="str">
        <f>IFERROR(RIGHT(I1512,LEN(I1512)-FIND("*",I1512)),"-")</f>
        <v>-</v>
      </c>
      <c r="W1513" s="27" t="str">
        <f t="shared" si="820"/>
        <v>-</v>
      </c>
      <c r="X1513" s="27" t="str">
        <f>IFERROR(W1513*J1512,"-")</f>
        <v>-</v>
      </c>
      <c r="Z1513" s="94" t="s">
        <v>82</v>
      </c>
    </row>
    <row r="1514" spans="1:26" s="25" customFormat="1" ht="6.95" customHeight="1" x14ac:dyDescent="0.3">
      <c r="A1514" s="10"/>
      <c r="B1514" s="168"/>
      <c r="C1514" s="169"/>
      <c r="D1514" s="160"/>
      <c r="E1514" s="161"/>
      <c r="F1514" s="162"/>
      <c r="G1514" s="163"/>
      <c r="H1514" s="164"/>
      <c r="I1514" s="163"/>
      <c r="J1514" s="164"/>
      <c r="K1514" s="163"/>
      <c r="L1514" s="164"/>
      <c r="M1514" s="11"/>
      <c r="N1514" s="39"/>
      <c r="Q1514" s="15" t="str">
        <f>+CONCATENATE(E1512,K1512)</f>
        <v/>
      </c>
      <c r="R1514" s="15">
        <f>+L1512</f>
        <v>0</v>
      </c>
      <c r="S1514" s="16"/>
      <c r="T1514" s="15">
        <f>+E1512</f>
        <v>0</v>
      </c>
      <c r="U1514" s="26" t="str">
        <f>IFERROR(LEFT(K1512,FIND("*",K1512)-1),"-")</f>
        <v>-</v>
      </c>
      <c r="V1514" s="26" t="str">
        <f>IFERROR(RIGHT(K1512,LEN(K1512)-FIND("*",K1512)),"-")</f>
        <v>-</v>
      </c>
      <c r="W1514" s="27" t="str">
        <f t="shared" si="820"/>
        <v>-</v>
      </c>
      <c r="X1514" s="27" t="str">
        <f>IFERROR(W1514*L1512,"-")</f>
        <v>-</v>
      </c>
      <c r="Z1514" s="94" t="s">
        <v>82</v>
      </c>
    </row>
    <row r="1515" spans="1:26" s="25" customFormat="1" ht="6.95" customHeight="1" x14ac:dyDescent="0.3">
      <c r="A1515" s="13"/>
      <c r="B1515" s="168"/>
      <c r="C1515" s="169"/>
      <c r="D1515" s="160" t="s">
        <v>39</v>
      </c>
      <c r="E1515" s="161"/>
      <c r="F1515" s="162" t="s">
        <v>40</v>
      </c>
      <c r="G1515" s="163"/>
      <c r="H1515" s="164"/>
      <c r="I1515" s="163"/>
      <c r="J1515" s="164"/>
      <c r="K1515" s="163"/>
      <c r="L1515" s="164"/>
      <c r="M1515" s="11"/>
      <c r="N1515" s="39"/>
      <c r="Q1515" s="15" t="str">
        <f>+CONCATENATE(E1515,G1515)</f>
        <v/>
      </c>
      <c r="R1515" s="15">
        <f>+H1515</f>
        <v>0</v>
      </c>
      <c r="S1515" s="16"/>
      <c r="T1515" s="15">
        <f>+E1515</f>
        <v>0</v>
      </c>
      <c r="U1515" s="26" t="str">
        <f t="shared" ref="U1515" si="823">IFERROR(LEFT(G1515,FIND("*",G1515)-1),"-")</f>
        <v>-</v>
      </c>
      <c r="V1515" s="26" t="str">
        <f t="shared" ref="V1515" si="824">IFERROR(RIGHT(G1515,LEN(G1515)-FIND("*",G1515)),"-")</f>
        <v>-</v>
      </c>
      <c r="W1515" s="27" t="str">
        <f t="shared" si="820"/>
        <v>-</v>
      </c>
      <c r="X1515" s="27" t="str">
        <f>IFERROR(W1515*H1515,"-")</f>
        <v>-</v>
      </c>
      <c r="Z1515" s="94" t="s">
        <v>82</v>
      </c>
    </row>
    <row r="1516" spans="1:26" s="25" customFormat="1" ht="6.95" customHeight="1" x14ac:dyDescent="0.3">
      <c r="A1516" s="10"/>
      <c r="B1516" s="168"/>
      <c r="C1516" s="169"/>
      <c r="D1516" s="160"/>
      <c r="E1516" s="161"/>
      <c r="F1516" s="162"/>
      <c r="G1516" s="163"/>
      <c r="H1516" s="164"/>
      <c r="I1516" s="163"/>
      <c r="J1516" s="164"/>
      <c r="K1516" s="163"/>
      <c r="L1516" s="164"/>
      <c r="M1516" s="11"/>
      <c r="N1516" s="39"/>
      <c r="Q1516" s="15" t="str">
        <f>+CONCATENATE(E1515,I1515)</f>
        <v/>
      </c>
      <c r="R1516" s="15">
        <f>+J1515</f>
        <v>0</v>
      </c>
      <c r="S1516" s="16"/>
      <c r="T1516" s="15">
        <f>+E1515</f>
        <v>0</v>
      </c>
      <c r="U1516" s="26" t="str">
        <f>IFERROR(LEFT(I1515,FIND("*",I1515)-1),"-")</f>
        <v>-</v>
      </c>
      <c r="V1516" s="26" t="str">
        <f>IFERROR(RIGHT(I1515,LEN(I1515)-FIND("*",I1515)),"-")</f>
        <v>-</v>
      </c>
      <c r="W1516" s="27" t="str">
        <f t="shared" si="820"/>
        <v>-</v>
      </c>
      <c r="X1516" s="27" t="str">
        <f t="shared" ref="X1516" si="825">IFERROR(W1516*J1515,"-")</f>
        <v>-</v>
      </c>
      <c r="Z1516" s="94" t="s">
        <v>82</v>
      </c>
    </row>
    <row r="1517" spans="1:26" s="25" customFormat="1" ht="6.95" customHeight="1" x14ac:dyDescent="0.3">
      <c r="A1517" s="10"/>
      <c r="B1517" s="168"/>
      <c r="C1517" s="169"/>
      <c r="D1517" s="160"/>
      <c r="E1517" s="161"/>
      <c r="F1517" s="162"/>
      <c r="G1517" s="163"/>
      <c r="H1517" s="164"/>
      <c r="I1517" s="163"/>
      <c r="J1517" s="164"/>
      <c r="K1517" s="163"/>
      <c r="L1517" s="164"/>
      <c r="M1517" s="11"/>
      <c r="N1517" s="39"/>
      <c r="Q1517" s="15" t="str">
        <f>+CONCATENATE(E1515,K1515)</f>
        <v/>
      </c>
      <c r="R1517" s="15">
        <f>+L1515</f>
        <v>0</v>
      </c>
      <c r="S1517" s="16"/>
      <c r="T1517" s="15">
        <f>+E1515</f>
        <v>0</v>
      </c>
      <c r="U1517" s="26" t="str">
        <f>IFERROR(LEFT(K1515,FIND("*",K1515)-1),"-")</f>
        <v>-</v>
      </c>
      <c r="V1517" s="26" t="str">
        <f>IFERROR(RIGHT(K1515,LEN(K1515)-FIND("*",K1515)),"-")</f>
        <v>-</v>
      </c>
      <c r="W1517" s="27" t="str">
        <f t="shared" si="820"/>
        <v>-</v>
      </c>
      <c r="X1517" s="27" t="str">
        <f>IFERROR(W1517*L1515,"-")</f>
        <v>-</v>
      </c>
      <c r="Z1517" s="94" t="s">
        <v>82</v>
      </c>
    </row>
    <row r="1518" spans="1:26" s="25" customFormat="1" ht="21" customHeight="1" thickBot="1" x14ac:dyDescent="0.35">
      <c r="A1518" s="10"/>
      <c r="B1518" s="170"/>
      <c r="C1518" s="171"/>
      <c r="D1518" s="172" t="s">
        <v>43</v>
      </c>
      <c r="E1518" s="173"/>
      <c r="F1518" s="173"/>
      <c r="G1518" s="174"/>
      <c r="H1518" s="174"/>
      <c r="I1518" s="174"/>
      <c r="J1518" s="174"/>
      <c r="K1518" s="174"/>
      <c r="L1518" s="174"/>
      <c r="M1518" s="12"/>
      <c r="N1518" s="39"/>
      <c r="U1518" s="23"/>
      <c r="V1518" s="23"/>
      <c r="Z1518" s="95" t="s">
        <v>81</v>
      </c>
    </row>
    <row r="1519" spans="1:26" s="25" customFormat="1" ht="9.9499999999999993" customHeight="1" thickBot="1" x14ac:dyDescent="0.35">
      <c r="A1519" s="6"/>
      <c r="B1519" s="14"/>
      <c r="C1519" s="119"/>
      <c r="D1519" s="58"/>
      <c r="E1519" s="17"/>
      <c r="F1519" s="58"/>
      <c r="G1519" s="19"/>
      <c r="H1519" s="19"/>
      <c r="I1519" s="19"/>
      <c r="J1519" s="19"/>
      <c r="K1519" s="19"/>
      <c r="L1519" s="19"/>
      <c r="M1519" s="14"/>
      <c r="N1519" s="39"/>
      <c r="Q1519" s="1"/>
      <c r="R1519" s="1"/>
      <c r="S1519" s="1"/>
      <c r="T1519" s="1"/>
      <c r="U1519" s="24"/>
      <c r="V1519" s="24"/>
      <c r="W1519" s="1"/>
      <c r="X1519" s="1"/>
      <c r="Z1519" s="94" t="s">
        <v>82</v>
      </c>
    </row>
    <row r="1520" spans="1:26" s="25" customFormat="1" ht="6.95" customHeight="1" x14ac:dyDescent="0.3">
      <c r="A1520" s="165">
        <f>+A1509+1</f>
        <v>139</v>
      </c>
      <c r="B1520" s="166"/>
      <c r="C1520" s="167"/>
      <c r="D1520" s="160" t="s">
        <v>39</v>
      </c>
      <c r="E1520" s="161"/>
      <c r="F1520" s="162" t="s">
        <v>40</v>
      </c>
      <c r="G1520" s="163"/>
      <c r="H1520" s="164"/>
      <c r="I1520" s="163"/>
      <c r="J1520" s="164"/>
      <c r="K1520" s="163"/>
      <c r="L1520" s="164"/>
      <c r="M1520" s="11"/>
      <c r="N1520" s="39"/>
      <c r="Q1520" s="15" t="str">
        <f>+CONCATENATE(E1520,G1520)</f>
        <v/>
      </c>
      <c r="R1520" s="15">
        <f>+H1520</f>
        <v>0</v>
      </c>
      <c r="S1520" s="16"/>
      <c r="T1520" s="15">
        <f>+E1520</f>
        <v>0</v>
      </c>
      <c r="U1520" s="26" t="str">
        <f>IFERROR(LEFT(G1520,FIND("*",G1520)-1),"-")</f>
        <v>-</v>
      </c>
      <c r="V1520" s="26" t="str">
        <f>IFERROR(RIGHT(G1520,LEN(G1520)-FIND("*",G1520)),"-")</f>
        <v>-</v>
      </c>
      <c r="W1520" s="27" t="str">
        <f>IFERROR((U1520+V1520)*2/1000,"-")</f>
        <v>-</v>
      </c>
      <c r="X1520" s="27" t="str">
        <f>IFERROR(W1520*H1520,"-")</f>
        <v>-</v>
      </c>
      <c r="Z1520" s="94" t="s">
        <v>82</v>
      </c>
    </row>
    <row r="1521" spans="1:26" s="25" customFormat="1" ht="6.95" customHeight="1" x14ac:dyDescent="0.3">
      <c r="A1521" s="165"/>
      <c r="B1521" s="168"/>
      <c r="C1521" s="169"/>
      <c r="D1521" s="160"/>
      <c r="E1521" s="161"/>
      <c r="F1521" s="162"/>
      <c r="G1521" s="163"/>
      <c r="H1521" s="164"/>
      <c r="I1521" s="163"/>
      <c r="J1521" s="164"/>
      <c r="K1521" s="163"/>
      <c r="L1521" s="164"/>
      <c r="M1521" s="11"/>
      <c r="N1521" s="39"/>
      <c r="Q1521" s="15" t="str">
        <f>+CONCATENATE(E1520,I1520)</f>
        <v/>
      </c>
      <c r="R1521" s="15">
        <f>+J1520</f>
        <v>0</v>
      </c>
      <c r="S1521" s="16"/>
      <c r="T1521" s="15">
        <f>+E1520</f>
        <v>0</v>
      </c>
      <c r="U1521" s="26" t="str">
        <f>IFERROR(LEFT(I1520,FIND("*",I1520)-1),"-")</f>
        <v>-</v>
      </c>
      <c r="V1521" s="26" t="str">
        <f>IFERROR(RIGHT(I1520,LEN(I1520)-FIND("*",I1520)),"-")</f>
        <v>-</v>
      </c>
      <c r="W1521" s="27" t="str">
        <f t="shared" ref="W1521:W1528" si="826">IFERROR((U1521+V1521)*2/1000,"-")</f>
        <v>-</v>
      </c>
      <c r="X1521" s="27" t="str">
        <f>IFERROR(W1521*J1520,"-")</f>
        <v>-</v>
      </c>
      <c r="Z1521" s="94" t="s">
        <v>82</v>
      </c>
    </row>
    <row r="1522" spans="1:26" s="25" customFormat="1" ht="6.95" customHeight="1" x14ac:dyDescent="0.3">
      <c r="A1522" s="165"/>
      <c r="B1522" s="168"/>
      <c r="C1522" s="169"/>
      <c r="D1522" s="160"/>
      <c r="E1522" s="161"/>
      <c r="F1522" s="162"/>
      <c r="G1522" s="163"/>
      <c r="H1522" s="164"/>
      <c r="I1522" s="163"/>
      <c r="J1522" s="164"/>
      <c r="K1522" s="163"/>
      <c r="L1522" s="164"/>
      <c r="M1522" s="11"/>
      <c r="N1522" s="39"/>
      <c r="Q1522" s="15" t="str">
        <f>+CONCATENATE(E1520,K1520)</f>
        <v/>
      </c>
      <c r="R1522" s="15">
        <f>+L1520</f>
        <v>0</v>
      </c>
      <c r="S1522" s="16"/>
      <c r="T1522" s="15">
        <f>+E1520</f>
        <v>0</v>
      </c>
      <c r="U1522" s="26" t="str">
        <f>IFERROR(LEFT(K1520,FIND("*",K1520)-1),"-")</f>
        <v>-</v>
      </c>
      <c r="V1522" s="26" t="str">
        <f>IFERROR(RIGHT(K1520,LEN(K1520)-FIND("*",K1520)),"-")</f>
        <v>-</v>
      </c>
      <c r="W1522" s="27" t="str">
        <f t="shared" si="826"/>
        <v>-</v>
      </c>
      <c r="X1522" s="27" t="str">
        <f>IFERROR(W1522*L1520,"-")</f>
        <v>-</v>
      </c>
      <c r="Z1522" s="94" t="s">
        <v>82</v>
      </c>
    </row>
    <row r="1523" spans="1:26" s="25" customFormat="1" ht="6.95" customHeight="1" x14ac:dyDescent="0.3">
      <c r="A1523" s="13"/>
      <c r="B1523" s="168"/>
      <c r="C1523" s="169"/>
      <c r="D1523" s="160" t="s">
        <v>39</v>
      </c>
      <c r="E1523" s="161"/>
      <c r="F1523" s="162" t="s">
        <v>40</v>
      </c>
      <c r="G1523" s="163"/>
      <c r="H1523" s="164"/>
      <c r="I1523" s="163"/>
      <c r="J1523" s="164"/>
      <c r="K1523" s="163"/>
      <c r="L1523" s="164"/>
      <c r="M1523" s="11"/>
      <c r="N1523" s="39"/>
      <c r="Q1523" s="15" t="str">
        <f>+CONCATENATE(E1523,G1523)</f>
        <v/>
      </c>
      <c r="R1523" s="15">
        <f>+H1523</f>
        <v>0</v>
      </c>
      <c r="S1523" s="16"/>
      <c r="T1523" s="15">
        <f>+E1523</f>
        <v>0</v>
      </c>
      <c r="U1523" s="26" t="str">
        <f t="shared" ref="U1523" si="827">IFERROR(LEFT(G1523,FIND("*",G1523)-1),"-")</f>
        <v>-</v>
      </c>
      <c r="V1523" s="26" t="str">
        <f t="shared" ref="V1523" si="828">IFERROR(RIGHT(G1523,LEN(G1523)-FIND("*",G1523)),"-")</f>
        <v>-</v>
      </c>
      <c r="W1523" s="27" t="str">
        <f t="shared" si="826"/>
        <v>-</v>
      </c>
      <c r="X1523" s="27" t="str">
        <f>IFERROR(W1523*H1523,"-")</f>
        <v>-</v>
      </c>
      <c r="Z1523" s="94" t="s">
        <v>82</v>
      </c>
    </row>
    <row r="1524" spans="1:26" s="25" customFormat="1" ht="6.95" customHeight="1" x14ac:dyDescent="0.3">
      <c r="A1524" s="10"/>
      <c r="B1524" s="168"/>
      <c r="C1524" s="169"/>
      <c r="D1524" s="160"/>
      <c r="E1524" s="161"/>
      <c r="F1524" s="162"/>
      <c r="G1524" s="163"/>
      <c r="H1524" s="164"/>
      <c r="I1524" s="163"/>
      <c r="J1524" s="164"/>
      <c r="K1524" s="163"/>
      <c r="L1524" s="164"/>
      <c r="M1524" s="11"/>
      <c r="N1524" s="39"/>
      <c r="Q1524" s="15" t="str">
        <f>+CONCATENATE(E1523,I1523)</f>
        <v/>
      </c>
      <c r="R1524" s="15">
        <f>+J1523</f>
        <v>0</v>
      </c>
      <c r="S1524" s="16"/>
      <c r="T1524" s="15">
        <f>+E1523</f>
        <v>0</v>
      </c>
      <c r="U1524" s="26" t="str">
        <f>IFERROR(LEFT(I1523,FIND("*",I1523)-1),"-")</f>
        <v>-</v>
      </c>
      <c r="V1524" s="26" t="str">
        <f>IFERROR(RIGHT(I1523,LEN(I1523)-FIND("*",I1523)),"-")</f>
        <v>-</v>
      </c>
      <c r="W1524" s="27" t="str">
        <f t="shared" si="826"/>
        <v>-</v>
      </c>
      <c r="X1524" s="27" t="str">
        <f>IFERROR(W1524*J1523,"-")</f>
        <v>-</v>
      </c>
      <c r="Z1524" s="94" t="s">
        <v>82</v>
      </c>
    </row>
    <row r="1525" spans="1:26" s="25" customFormat="1" ht="6.95" customHeight="1" x14ac:dyDescent="0.3">
      <c r="A1525" s="10"/>
      <c r="B1525" s="168"/>
      <c r="C1525" s="169"/>
      <c r="D1525" s="160"/>
      <c r="E1525" s="161"/>
      <c r="F1525" s="162"/>
      <c r="G1525" s="163"/>
      <c r="H1525" s="164"/>
      <c r="I1525" s="163"/>
      <c r="J1525" s="164"/>
      <c r="K1525" s="163"/>
      <c r="L1525" s="164"/>
      <c r="M1525" s="11"/>
      <c r="N1525" s="39"/>
      <c r="Q1525" s="15" t="str">
        <f>+CONCATENATE(E1523,K1523)</f>
        <v/>
      </c>
      <c r="R1525" s="15">
        <f>+L1523</f>
        <v>0</v>
      </c>
      <c r="S1525" s="16"/>
      <c r="T1525" s="15">
        <f>+E1523</f>
        <v>0</v>
      </c>
      <c r="U1525" s="26" t="str">
        <f>IFERROR(LEFT(K1523,FIND("*",K1523)-1),"-")</f>
        <v>-</v>
      </c>
      <c r="V1525" s="26" t="str">
        <f>IFERROR(RIGHT(K1523,LEN(K1523)-FIND("*",K1523)),"-")</f>
        <v>-</v>
      </c>
      <c r="W1525" s="27" t="str">
        <f t="shared" si="826"/>
        <v>-</v>
      </c>
      <c r="X1525" s="27" t="str">
        <f>IFERROR(W1525*L1523,"-")</f>
        <v>-</v>
      </c>
      <c r="Z1525" s="94" t="s">
        <v>82</v>
      </c>
    </row>
    <row r="1526" spans="1:26" s="25" customFormat="1" ht="6.95" customHeight="1" x14ac:dyDescent="0.3">
      <c r="A1526" s="13"/>
      <c r="B1526" s="168"/>
      <c r="C1526" s="169"/>
      <c r="D1526" s="160" t="s">
        <v>39</v>
      </c>
      <c r="E1526" s="161"/>
      <c r="F1526" s="162" t="s">
        <v>40</v>
      </c>
      <c r="G1526" s="163"/>
      <c r="H1526" s="164"/>
      <c r="I1526" s="163"/>
      <c r="J1526" s="164"/>
      <c r="K1526" s="163"/>
      <c r="L1526" s="164"/>
      <c r="M1526" s="11"/>
      <c r="N1526" s="39"/>
      <c r="Q1526" s="15" t="str">
        <f>+CONCATENATE(E1526,G1526)</f>
        <v/>
      </c>
      <c r="R1526" s="15">
        <f>+H1526</f>
        <v>0</v>
      </c>
      <c r="S1526" s="16"/>
      <c r="T1526" s="15">
        <f>+E1526</f>
        <v>0</v>
      </c>
      <c r="U1526" s="26" t="str">
        <f t="shared" ref="U1526" si="829">IFERROR(LEFT(G1526,FIND("*",G1526)-1),"-")</f>
        <v>-</v>
      </c>
      <c r="V1526" s="26" t="str">
        <f t="shared" ref="V1526" si="830">IFERROR(RIGHT(G1526,LEN(G1526)-FIND("*",G1526)),"-")</f>
        <v>-</v>
      </c>
      <c r="W1526" s="27" t="str">
        <f t="shared" si="826"/>
        <v>-</v>
      </c>
      <c r="X1526" s="27" t="str">
        <f>IFERROR(W1526*H1526,"-")</f>
        <v>-</v>
      </c>
      <c r="Z1526" s="94" t="s">
        <v>82</v>
      </c>
    </row>
    <row r="1527" spans="1:26" s="25" customFormat="1" ht="6.95" customHeight="1" x14ac:dyDescent="0.3">
      <c r="A1527" s="10"/>
      <c r="B1527" s="168"/>
      <c r="C1527" s="169"/>
      <c r="D1527" s="160"/>
      <c r="E1527" s="161"/>
      <c r="F1527" s="162"/>
      <c r="G1527" s="163"/>
      <c r="H1527" s="164"/>
      <c r="I1527" s="163"/>
      <c r="J1527" s="164"/>
      <c r="K1527" s="163"/>
      <c r="L1527" s="164"/>
      <c r="M1527" s="11"/>
      <c r="N1527" s="39"/>
      <c r="Q1527" s="15" t="str">
        <f>+CONCATENATE(E1526,I1526)</f>
        <v/>
      </c>
      <c r="R1527" s="15">
        <f>+J1526</f>
        <v>0</v>
      </c>
      <c r="S1527" s="16"/>
      <c r="T1527" s="15">
        <f>+E1526</f>
        <v>0</v>
      </c>
      <c r="U1527" s="26" t="str">
        <f>IFERROR(LEFT(I1526,FIND("*",I1526)-1),"-")</f>
        <v>-</v>
      </c>
      <c r="V1527" s="26" t="str">
        <f>IFERROR(RIGHT(I1526,LEN(I1526)-FIND("*",I1526)),"-")</f>
        <v>-</v>
      </c>
      <c r="W1527" s="27" t="str">
        <f t="shared" si="826"/>
        <v>-</v>
      </c>
      <c r="X1527" s="27" t="str">
        <f t="shared" ref="X1527" si="831">IFERROR(W1527*J1526,"-")</f>
        <v>-</v>
      </c>
      <c r="Z1527" s="94" t="s">
        <v>82</v>
      </c>
    </row>
    <row r="1528" spans="1:26" s="25" customFormat="1" ht="6.95" customHeight="1" x14ac:dyDescent="0.3">
      <c r="A1528" s="10"/>
      <c r="B1528" s="168"/>
      <c r="C1528" s="169"/>
      <c r="D1528" s="160"/>
      <c r="E1528" s="161"/>
      <c r="F1528" s="162"/>
      <c r="G1528" s="163"/>
      <c r="H1528" s="164"/>
      <c r="I1528" s="163"/>
      <c r="J1528" s="164"/>
      <c r="K1528" s="163"/>
      <c r="L1528" s="164"/>
      <c r="M1528" s="11"/>
      <c r="N1528" s="39"/>
      <c r="Q1528" s="15" t="str">
        <f>+CONCATENATE(E1526,K1526)</f>
        <v/>
      </c>
      <c r="R1528" s="15">
        <f>+L1526</f>
        <v>0</v>
      </c>
      <c r="S1528" s="16"/>
      <c r="T1528" s="15">
        <f>+E1526</f>
        <v>0</v>
      </c>
      <c r="U1528" s="26" t="str">
        <f>IFERROR(LEFT(K1526,FIND("*",K1526)-1),"-")</f>
        <v>-</v>
      </c>
      <c r="V1528" s="26" t="str">
        <f>IFERROR(RIGHT(K1526,LEN(K1526)-FIND("*",K1526)),"-")</f>
        <v>-</v>
      </c>
      <c r="W1528" s="27" t="str">
        <f t="shared" si="826"/>
        <v>-</v>
      </c>
      <c r="X1528" s="27" t="str">
        <f>IFERROR(W1528*L1526,"-")</f>
        <v>-</v>
      </c>
      <c r="Z1528" s="94" t="s">
        <v>82</v>
      </c>
    </row>
    <row r="1529" spans="1:26" s="25" customFormat="1" ht="21" customHeight="1" thickBot="1" x14ac:dyDescent="0.35">
      <c r="A1529" s="10"/>
      <c r="B1529" s="170"/>
      <c r="C1529" s="171"/>
      <c r="D1529" s="172" t="s">
        <v>43</v>
      </c>
      <c r="E1529" s="173"/>
      <c r="F1529" s="173"/>
      <c r="G1529" s="174"/>
      <c r="H1529" s="174"/>
      <c r="I1529" s="174"/>
      <c r="J1529" s="174"/>
      <c r="K1529" s="174"/>
      <c r="L1529" s="174"/>
      <c r="M1529" s="12"/>
      <c r="N1529" s="39"/>
      <c r="U1529" s="23"/>
      <c r="V1529" s="23"/>
      <c r="Z1529" s="95" t="s">
        <v>81</v>
      </c>
    </row>
    <row r="1530" spans="1:26" s="25" customFormat="1" ht="9.9499999999999993" customHeight="1" thickBot="1" x14ac:dyDescent="0.35">
      <c r="A1530" s="6"/>
      <c r="B1530" s="14"/>
      <c r="C1530" s="119"/>
      <c r="D1530" s="58"/>
      <c r="E1530" s="17"/>
      <c r="F1530" s="58"/>
      <c r="G1530" s="19"/>
      <c r="H1530" s="19"/>
      <c r="I1530" s="19"/>
      <c r="J1530" s="19"/>
      <c r="K1530" s="19"/>
      <c r="L1530" s="19"/>
      <c r="M1530" s="14"/>
      <c r="N1530" s="39"/>
      <c r="Q1530" s="1"/>
      <c r="R1530" s="1"/>
      <c r="S1530" s="1"/>
      <c r="T1530" s="1"/>
      <c r="U1530" s="24"/>
      <c r="V1530" s="24"/>
      <c r="W1530" s="1"/>
      <c r="X1530" s="1"/>
      <c r="Z1530" s="94" t="s">
        <v>82</v>
      </c>
    </row>
    <row r="1531" spans="1:26" s="25" customFormat="1" ht="6.95" customHeight="1" x14ac:dyDescent="0.3">
      <c r="A1531" s="165">
        <f>+A1520+1</f>
        <v>140</v>
      </c>
      <c r="B1531" s="166"/>
      <c r="C1531" s="167"/>
      <c r="D1531" s="160" t="s">
        <v>39</v>
      </c>
      <c r="E1531" s="161"/>
      <c r="F1531" s="162" t="s">
        <v>40</v>
      </c>
      <c r="G1531" s="163"/>
      <c r="H1531" s="164"/>
      <c r="I1531" s="163"/>
      <c r="J1531" s="164"/>
      <c r="K1531" s="163"/>
      <c r="L1531" s="164"/>
      <c r="M1531" s="11"/>
      <c r="N1531" s="39"/>
      <c r="Q1531" s="15" t="str">
        <f>+CONCATENATE(E1531,G1531)</f>
        <v/>
      </c>
      <c r="R1531" s="15">
        <f>+H1531</f>
        <v>0</v>
      </c>
      <c r="S1531" s="16"/>
      <c r="T1531" s="15">
        <f>+E1531</f>
        <v>0</v>
      </c>
      <c r="U1531" s="26" t="str">
        <f>IFERROR(LEFT(G1531,FIND("*",G1531)-1),"-")</f>
        <v>-</v>
      </c>
      <c r="V1531" s="26" t="str">
        <f>IFERROR(RIGHT(G1531,LEN(G1531)-FIND("*",G1531)),"-")</f>
        <v>-</v>
      </c>
      <c r="W1531" s="27" t="str">
        <f>IFERROR((U1531+V1531)*2/1000,"-")</f>
        <v>-</v>
      </c>
      <c r="X1531" s="27" t="str">
        <f>IFERROR(W1531*H1531,"-")</f>
        <v>-</v>
      </c>
      <c r="Z1531" s="94" t="s">
        <v>82</v>
      </c>
    </row>
    <row r="1532" spans="1:26" s="25" customFormat="1" ht="6.95" customHeight="1" x14ac:dyDescent="0.3">
      <c r="A1532" s="165"/>
      <c r="B1532" s="168"/>
      <c r="C1532" s="169"/>
      <c r="D1532" s="160"/>
      <c r="E1532" s="161"/>
      <c r="F1532" s="162"/>
      <c r="G1532" s="163"/>
      <c r="H1532" s="164"/>
      <c r="I1532" s="163"/>
      <c r="J1532" s="164"/>
      <c r="K1532" s="163"/>
      <c r="L1532" s="164"/>
      <c r="M1532" s="11"/>
      <c r="N1532" s="39"/>
      <c r="Q1532" s="15" t="str">
        <f>+CONCATENATE(E1531,I1531)</f>
        <v/>
      </c>
      <c r="R1532" s="15">
        <f>+J1531</f>
        <v>0</v>
      </c>
      <c r="S1532" s="16"/>
      <c r="T1532" s="15">
        <f>+E1531</f>
        <v>0</v>
      </c>
      <c r="U1532" s="26" t="str">
        <f>IFERROR(LEFT(I1531,FIND("*",I1531)-1),"-")</f>
        <v>-</v>
      </c>
      <c r="V1532" s="26" t="str">
        <f>IFERROR(RIGHT(I1531,LEN(I1531)-FIND("*",I1531)),"-")</f>
        <v>-</v>
      </c>
      <c r="W1532" s="27" t="str">
        <f t="shared" ref="W1532:W1539" si="832">IFERROR((U1532+V1532)*2/1000,"-")</f>
        <v>-</v>
      </c>
      <c r="X1532" s="27" t="str">
        <f>IFERROR(W1532*J1531,"-")</f>
        <v>-</v>
      </c>
      <c r="Z1532" s="94" t="s">
        <v>82</v>
      </c>
    </row>
    <row r="1533" spans="1:26" s="25" customFormat="1" ht="6.95" customHeight="1" x14ac:dyDescent="0.3">
      <c r="A1533" s="165"/>
      <c r="B1533" s="168"/>
      <c r="C1533" s="169"/>
      <c r="D1533" s="160"/>
      <c r="E1533" s="161"/>
      <c r="F1533" s="162"/>
      <c r="G1533" s="163"/>
      <c r="H1533" s="164"/>
      <c r="I1533" s="163"/>
      <c r="J1533" s="164"/>
      <c r="K1533" s="163"/>
      <c r="L1533" s="164"/>
      <c r="M1533" s="11"/>
      <c r="N1533" s="39"/>
      <c r="Q1533" s="15" t="str">
        <f>+CONCATENATE(E1531,K1531)</f>
        <v/>
      </c>
      <c r="R1533" s="15">
        <f>+L1531</f>
        <v>0</v>
      </c>
      <c r="S1533" s="16"/>
      <c r="T1533" s="15">
        <f>+E1531</f>
        <v>0</v>
      </c>
      <c r="U1533" s="26" t="str">
        <f>IFERROR(LEFT(K1531,FIND("*",K1531)-1),"-")</f>
        <v>-</v>
      </c>
      <c r="V1533" s="26" t="str">
        <f>IFERROR(RIGHT(K1531,LEN(K1531)-FIND("*",K1531)),"-")</f>
        <v>-</v>
      </c>
      <c r="W1533" s="27" t="str">
        <f t="shared" si="832"/>
        <v>-</v>
      </c>
      <c r="X1533" s="27" t="str">
        <f>IFERROR(W1533*L1531,"-")</f>
        <v>-</v>
      </c>
      <c r="Z1533" s="94" t="s">
        <v>82</v>
      </c>
    </row>
    <row r="1534" spans="1:26" s="25" customFormat="1" ht="6.95" customHeight="1" x14ac:dyDescent="0.3">
      <c r="A1534" s="13"/>
      <c r="B1534" s="168"/>
      <c r="C1534" s="169"/>
      <c r="D1534" s="160" t="s">
        <v>39</v>
      </c>
      <c r="E1534" s="161"/>
      <c r="F1534" s="162" t="s">
        <v>40</v>
      </c>
      <c r="G1534" s="163"/>
      <c r="H1534" s="164"/>
      <c r="I1534" s="163"/>
      <c r="J1534" s="164"/>
      <c r="K1534" s="163"/>
      <c r="L1534" s="164"/>
      <c r="M1534" s="11"/>
      <c r="N1534" s="39"/>
      <c r="Q1534" s="15" t="str">
        <f>+CONCATENATE(E1534,G1534)</f>
        <v/>
      </c>
      <c r="R1534" s="15">
        <f>+H1534</f>
        <v>0</v>
      </c>
      <c r="S1534" s="16"/>
      <c r="T1534" s="15">
        <f>+E1534</f>
        <v>0</v>
      </c>
      <c r="U1534" s="26" t="str">
        <f t="shared" ref="U1534" si="833">IFERROR(LEFT(G1534,FIND("*",G1534)-1),"-")</f>
        <v>-</v>
      </c>
      <c r="V1534" s="26" t="str">
        <f t="shared" ref="V1534" si="834">IFERROR(RIGHT(G1534,LEN(G1534)-FIND("*",G1534)),"-")</f>
        <v>-</v>
      </c>
      <c r="W1534" s="27" t="str">
        <f t="shared" si="832"/>
        <v>-</v>
      </c>
      <c r="X1534" s="27" t="str">
        <f>IFERROR(W1534*H1534,"-")</f>
        <v>-</v>
      </c>
      <c r="Z1534" s="94" t="s">
        <v>82</v>
      </c>
    </row>
    <row r="1535" spans="1:26" s="25" customFormat="1" ht="6.95" customHeight="1" x14ac:dyDescent="0.3">
      <c r="A1535" s="10"/>
      <c r="B1535" s="168"/>
      <c r="C1535" s="169"/>
      <c r="D1535" s="160"/>
      <c r="E1535" s="161"/>
      <c r="F1535" s="162"/>
      <c r="G1535" s="163"/>
      <c r="H1535" s="164"/>
      <c r="I1535" s="163"/>
      <c r="J1535" s="164"/>
      <c r="K1535" s="163"/>
      <c r="L1535" s="164"/>
      <c r="M1535" s="11"/>
      <c r="N1535" s="39"/>
      <c r="Q1535" s="15" t="str">
        <f>+CONCATENATE(E1534,I1534)</f>
        <v/>
      </c>
      <c r="R1535" s="15">
        <f>+J1534</f>
        <v>0</v>
      </c>
      <c r="S1535" s="16"/>
      <c r="T1535" s="15">
        <f>+E1534</f>
        <v>0</v>
      </c>
      <c r="U1535" s="26" t="str">
        <f>IFERROR(LEFT(I1534,FIND("*",I1534)-1),"-")</f>
        <v>-</v>
      </c>
      <c r="V1535" s="26" t="str">
        <f>IFERROR(RIGHT(I1534,LEN(I1534)-FIND("*",I1534)),"-")</f>
        <v>-</v>
      </c>
      <c r="W1535" s="27" t="str">
        <f t="shared" si="832"/>
        <v>-</v>
      </c>
      <c r="X1535" s="27" t="str">
        <f>IFERROR(W1535*J1534,"-")</f>
        <v>-</v>
      </c>
      <c r="Z1535" s="94" t="s">
        <v>82</v>
      </c>
    </row>
    <row r="1536" spans="1:26" s="25" customFormat="1" ht="6.95" customHeight="1" x14ac:dyDescent="0.3">
      <c r="A1536" s="10"/>
      <c r="B1536" s="168"/>
      <c r="C1536" s="169"/>
      <c r="D1536" s="160"/>
      <c r="E1536" s="161"/>
      <c r="F1536" s="162"/>
      <c r="G1536" s="163"/>
      <c r="H1536" s="164"/>
      <c r="I1536" s="163"/>
      <c r="J1536" s="164"/>
      <c r="K1536" s="163"/>
      <c r="L1536" s="164"/>
      <c r="M1536" s="11"/>
      <c r="N1536" s="39"/>
      <c r="Q1536" s="15" t="str">
        <f>+CONCATENATE(E1534,K1534)</f>
        <v/>
      </c>
      <c r="R1536" s="15">
        <f>+L1534</f>
        <v>0</v>
      </c>
      <c r="S1536" s="16"/>
      <c r="T1536" s="15">
        <f>+E1534</f>
        <v>0</v>
      </c>
      <c r="U1536" s="26" t="str">
        <f>IFERROR(LEFT(K1534,FIND("*",K1534)-1),"-")</f>
        <v>-</v>
      </c>
      <c r="V1536" s="26" t="str">
        <f>IFERROR(RIGHT(K1534,LEN(K1534)-FIND("*",K1534)),"-")</f>
        <v>-</v>
      </c>
      <c r="W1536" s="27" t="str">
        <f t="shared" si="832"/>
        <v>-</v>
      </c>
      <c r="X1536" s="27" t="str">
        <f>IFERROR(W1536*L1534,"-")</f>
        <v>-</v>
      </c>
      <c r="Z1536" s="94" t="s">
        <v>82</v>
      </c>
    </row>
    <row r="1537" spans="1:26" s="25" customFormat="1" ht="6.95" customHeight="1" x14ac:dyDescent="0.3">
      <c r="A1537" s="13"/>
      <c r="B1537" s="168"/>
      <c r="C1537" s="169"/>
      <c r="D1537" s="160" t="s">
        <v>39</v>
      </c>
      <c r="E1537" s="161"/>
      <c r="F1537" s="162" t="s">
        <v>40</v>
      </c>
      <c r="G1537" s="163"/>
      <c r="H1537" s="164"/>
      <c r="I1537" s="163"/>
      <c r="J1537" s="164"/>
      <c r="K1537" s="163"/>
      <c r="L1537" s="164"/>
      <c r="M1537" s="11"/>
      <c r="N1537" s="39"/>
      <c r="Q1537" s="15" t="str">
        <f>+CONCATENATE(E1537,G1537)</f>
        <v/>
      </c>
      <c r="R1537" s="15">
        <f>+H1537</f>
        <v>0</v>
      </c>
      <c r="S1537" s="16"/>
      <c r="T1537" s="15">
        <f>+E1537</f>
        <v>0</v>
      </c>
      <c r="U1537" s="26" t="str">
        <f t="shared" ref="U1537" si="835">IFERROR(LEFT(G1537,FIND("*",G1537)-1),"-")</f>
        <v>-</v>
      </c>
      <c r="V1537" s="26" t="str">
        <f t="shared" ref="V1537" si="836">IFERROR(RIGHT(G1537,LEN(G1537)-FIND("*",G1537)),"-")</f>
        <v>-</v>
      </c>
      <c r="W1537" s="27" t="str">
        <f t="shared" si="832"/>
        <v>-</v>
      </c>
      <c r="X1537" s="27" t="str">
        <f>IFERROR(W1537*H1537,"-")</f>
        <v>-</v>
      </c>
      <c r="Z1537" s="94" t="s">
        <v>82</v>
      </c>
    </row>
    <row r="1538" spans="1:26" s="25" customFormat="1" ht="6.95" customHeight="1" x14ac:dyDescent="0.3">
      <c r="A1538" s="10"/>
      <c r="B1538" s="168"/>
      <c r="C1538" s="169"/>
      <c r="D1538" s="160"/>
      <c r="E1538" s="161"/>
      <c r="F1538" s="162"/>
      <c r="G1538" s="163"/>
      <c r="H1538" s="164"/>
      <c r="I1538" s="163"/>
      <c r="J1538" s="164"/>
      <c r="K1538" s="163"/>
      <c r="L1538" s="164"/>
      <c r="M1538" s="11"/>
      <c r="N1538" s="39"/>
      <c r="Q1538" s="15" t="str">
        <f>+CONCATENATE(E1537,I1537)</f>
        <v/>
      </c>
      <c r="R1538" s="15">
        <f>+J1537</f>
        <v>0</v>
      </c>
      <c r="S1538" s="16"/>
      <c r="T1538" s="15">
        <f>+E1537</f>
        <v>0</v>
      </c>
      <c r="U1538" s="26" t="str">
        <f>IFERROR(LEFT(I1537,FIND("*",I1537)-1),"-")</f>
        <v>-</v>
      </c>
      <c r="V1538" s="26" t="str">
        <f>IFERROR(RIGHT(I1537,LEN(I1537)-FIND("*",I1537)),"-")</f>
        <v>-</v>
      </c>
      <c r="W1538" s="27" t="str">
        <f t="shared" si="832"/>
        <v>-</v>
      </c>
      <c r="X1538" s="27" t="str">
        <f t="shared" ref="X1538" si="837">IFERROR(W1538*J1537,"-")</f>
        <v>-</v>
      </c>
      <c r="Z1538" s="94" t="s">
        <v>82</v>
      </c>
    </row>
    <row r="1539" spans="1:26" s="25" customFormat="1" ht="6.95" customHeight="1" x14ac:dyDescent="0.3">
      <c r="A1539" s="10"/>
      <c r="B1539" s="168"/>
      <c r="C1539" s="169"/>
      <c r="D1539" s="160"/>
      <c r="E1539" s="161"/>
      <c r="F1539" s="162"/>
      <c r="G1539" s="163"/>
      <c r="H1539" s="164"/>
      <c r="I1539" s="163"/>
      <c r="J1539" s="164"/>
      <c r="K1539" s="163"/>
      <c r="L1539" s="164"/>
      <c r="M1539" s="11"/>
      <c r="N1539" s="39"/>
      <c r="Q1539" s="15" t="str">
        <f>+CONCATENATE(E1537,K1537)</f>
        <v/>
      </c>
      <c r="R1539" s="15">
        <f>+L1537</f>
        <v>0</v>
      </c>
      <c r="S1539" s="16"/>
      <c r="T1539" s="15">
        <f>+E1537</f>
        <v>0</v>
      </c>
      <c r="U1539" s="26" t="str">
        <f>IFERROR(LEFT(K1537,FIND("*",K1537)-1),"-")</f>
        <v>-</v>
      </c>
      <c r="V1539" s="26" t="str">
        <f>IFERROR(RIGHT(K1537,LEN(K1537)-FIND("*",K1537)),"-")</f>
        <v>-</v>
      </c>
      <c r="W1539" s="27" t="str">
        <f t="shared" si="832"/>
        <v>-</v>
      </c>
      <c r="X1539" s="27" t="str">
        <f>IFERROR(W1539*L1537,"-")</f>
        <v>-</v>
      </c>
      <c r="Z1539" s="94" t="s">
        <v>82</v>
      </c>
    </row>
    <row r="1540" spans="1:26" s="25" customFormat="1" ht="21" customHeight="1" thickBot="1" x14ac:dyDescent="0.35">
      <c r="A1540" s="10"/>
      <c r="B1540" s="170"/>
      <c r="C1540" s="171"/>
      <c r="D1540" s="172" t="s">
        <v>43</v>
      </c>
      <c r="E1540" s="173"/>
      <c r="F1540" s="173"/>
      <c r="G1540" s="174"/>
      <c r="H1540" s="174"/>
      <c r="I1540" s="174"/>
      <c r="J1540" s="174"/>
      <c r="K1540" s="174"/>
      <c r="L1540" s="174"/>
      <c r="M1540" s="12"/>
      <c r="N1540" s="39"/>
      <c r="U1540" s="23"/>
      <c r="V1540" s="23"/>
      <c r="Z1540" s="95" t="s">
        <v>81</v>
      </c>
    </row>
    <row r="1541" spans="1:26" s="25" customFormat="1" ht="9.9499999999999993" customHeight="1" thickBot="1" x14ac:dyDescent="0.35">
      <c r="A1541" s="6"/>
      <c r="B1541" s="14"/>
      <c r="C1541" s="119"/>
      <c r="D1541" s="58"/>
      <c r="E1541" s="17"/>
      <c r="F1541" s="58"/>
      <c r="G1541" s="19"/>
      <c r="H1541" s="19"/>
      <c r="I1541" s="19"/>
      <c r="J1541" s="19"/>
      <c r="K1541" s="19"/>
      <c r="L1541" s="19"/>
      <c r="M1541" s="14"/>
      <c r="N1541" s="39"/>
      <c r="Q1541" s="1"/>
      <c r="R1541" s="1"/>
      <c r="S1541" s="1"/>
      <c r="T1541" s="1"/>
      <c r="U1541" s="24"/>
      <c r="V1541" s="24"/>
      <c r="W1541" s="1"/>
      <c r="X1541" s="1"/>
      <c r="Z1541" s="94" t="s">
        <v>82</v>
      </c>
    </row>
    <row r="1542" spans="1:26" s="25" customFormat="1" ht="6.95" customHeight="1" x14ac:dyDescent="0.3">
      <c r="A1542" s="165">
        <f>+A1531+1</f>
        <v>141</v>
      </c>
      <c r="B1542" s="166"/>
      <c r="C1542" s="167"/>
      <c r="D1542" s="160" t="s">
        <v>39</v>
      </c>
      <c r="E1542" s="161"/>
      <c r="F1542" s="162" t="s">
        <v>40</v>
      </c>
      <c r="G1542" s="163"/>
      <c r="H1542" s="164"/>
      <c r="I1542" s="163"/>
      <c r="J1542" s="164"/>
      <c r="K1542" s="163"/>
      <c r="L1542" s="164"/>
      <c r="M1542" s="11"/>
      <c r="N1542" s="39"/>
      <c r="Q1542" s="15" t="str">
        <f>+CONCATENATE(E1542,G1542)</f>
        <v/>
      </c>
      <c r="R1542" s="15">
        <f>+H1542</f>
        <v>0</v>
      </c>
      <c r="S1542" s="16"/>
      <c r="T1542" s="15">
        <f>+E1542</f>
        <v>0</v>
      </c>
      <c r="U1542" s="26" t="str">
        <f>IFERROR(LEFT(G1542,FIND("*",G1542)-1),"-")</f>
        <v>-</v>
      </c>
      <c r="V1542" s="26" t="str">
        <f>IFERROR(RIGHT(G1542,LEN(G1542)-FIND("*",G1542)),"-")</f>
        <v>-</v>
      </c>
      <c r="W1542" s="27" t="str">
        <f>IFERROR((U1542+V1542)*2/1000,"-")</f>
        <v>-</v>
      </c>
      <c r="X1542" s="27" t="str">
        <f>IFERROR(W1542*H1542,"-")</f>
        <v>-</v>
      </c>
      <c r="Z1542" s="94" t="s">
        <v>82</v>
      </c>
    </row>
    <row r="1543" spans="1:26" s="25" customFormat="1" ht="6.95" customHeight="1" x14ac:dyDescent="0.3">
      <c r="A1543" s="165"/>
      <c r="B1543" s="168"/>
      <c r="C1543" s="169"/>
      <c r="D1543" s="160"/>
      <c r="E1543" s="161"/>
      <c r="F1543" s="162"/>
      <c r="G1543" s="163"/>
      <c r="H1543" s="164"/>
      <c r="I1543" s="163"/>
      <c r="J1543" s="164"/>
      <c r="K1543" s="163"/>
      <c r="L1543" s="164"/>
      <c r="M1543" s="11"/>
      <c r="N1543" s="39"/>
      <c r="Q1543" s="15" t="str">
        <f>+CONCATENATE(E1542,I1542)</f>
        <v/>
      </c>
      <c r="R1543" s="15">
        <f>+J1542</f>
        <v>0</v>
      </c>
      <c r="S1543" s="16"/>
      <c r="T1543" s="15">
        <f>+E1542</f>
        <v>0</v>
      </c>
      <c r="U1543" s="26" t="str">
        <f>IFERROR(LEFT(I1542,FIND("*",I1542)-1),"-")</f>
        <v>-</v>
      </c>
      <c r="V1543" s="26" t="str">
        <f>IFERROR(RIGHT(I1542,LEN(I1542)-FIND("*",I1542)),"-")</f>
        <v>-</v>
      </c>
      <c r="W1543" s="27" t="str">
        <f t="shared" ref="W1543:W1550" si="838">IFERROR((U1543+V1543)*2/1000,"-")</f>
        <v>-</v>
      </c>
      <c r="X1543" s="27" t="str">
        <f>IFERROR(W1543*J1542,"-")</f>
        <v>-</v>
      </c>
      <c r="Z1543" s="94" t="s">
        <v>82</v>
      </c>
    </row>
    <row r="1544" spans="1:26" s="25" customFormat="1" ht="6.95" customHeight="1" x14ac:dyDescent="0.3">
      <c r="A1544" s="165"/>
      <c r="B1544" s="168"/>
      <c r="C1544" s="169"/>
      <c r="D1544" s="160"/>
      <c r="E1544" s="161"/>
      <c r="F1544" s="162"/>
      <c r="G1544" s="163"/>
      <c r="H1544" s="164"/>
      <c r="I1544" s="163"/>
      <c r="J1544" s="164"/>
      <c r="K1544" s="163"/>
      <c r="L1544" s="164"/>
      <c r="M1544" s="11"/>
      <c r="N1544" s="39"/>
      <c r="Q1544" s="15" t="str">
        <f>+CONCATENATE(E1542,K1542)</f>
        <v/>
      </c>
      <c r="R1544" s="15">
        <f>+L1542</f>
        <v>0</v>
      </c>
      <c r="S1544" s="16"/>
      <c r="T1544" s="15">
        <f>+E1542</f>
        <v>0</v>
      </c>
      <c r="U1544" s="26" t="str">
        <f>IFERROR(LEFT(K1542,FIND("*",K1542)-1),"-")</f>
        <v>-</v>
      </c>
      <c r="V1544" s="26" t="str">
        <f>IFERROR(RIGHT(K1542,LEN(K1542)-FIND("*",K1542)),"-")</f>
        <v>-</v>
      </c>
      <c r="W1544" s="27" t="str">
        <f t="shared" si="838"/>
        <v>-</v>
      </c>
      <c r="X1544" s="27" t="str">
        <f>IFERROR(W1544*L1542,"-")</f>
        <v>-</v>
      </c>
      <c r="Z1544" s="94" t="s">
        <v>82</v>
      </c>
    </row>
    <row r="1545" spans="1:26" s="25" customFormat="1" ht="6.95" customHeight="1" x14ac:dyDescent="0.3">
      <c r="A1545" s="13"/>
      <c r="B1545" s="168"/>
      <c r="C1545" s="169"/>
      <c r="D1545" s="160" t="s">
        <v>39</v>
      </c>
      <c r="E1545" s="161"/>
      <c r="F1545" s="162" t="s">
        <v>40</v>
      </c>
      <c r="G1545" s="163"/>
      <c r="H1545" s="164"/>
      <c r="I1545" s="163"/>
      <c r="J1545" s="164"/>
      <c r="K1545" s="163"/>
      <c r="L1545" s="164"/>
      <c r="M1545" s="11"/>
      <c r="N1545" s="39"/>
      <c r="Q1545" s="15" t="str">
        <f>+CONCATENATE(E1545,G1545)</f>
        <v/>
      </c>
      <c r="R1545" s="15">
        <f>+H1545</f>
        <v>0</v>
      </c>
      <c r="S1545" s="16"/>
      <c r="T1545" s="15">
        <f>+E1545</f>
        <v>0</v>
      </c>
      <c r="U1545" s="26" t="str">
        <f t="shared" ref="U1545" si="839">IFERROR(LEFT(G1545,FIND("*",G1545)-1),"-")</f>
        <v>-</v>
      </c>
      <c r="V1545" s="26" t="str">
        <f t="shared" ref="V1545" si="840">IFERROR(RIGHT(G1545,LEN(G1545)-FIND("*",G1545)),"-")</f>
        <v>-</v>
      </c>
      <c r="W1545" s="27" t="str">
        <f t="shared" si="838"/>
        <v>-</v>
      </c>
      <c r="X1545" s="27" t="str">
        <f>IFERROR(W1545*H1545,"-")</f>
        <v>-</v>
      </c>
      <c r="Z1545" s="94" t="s">
        <v>82</v>
      </c>
    </row>
    <row r="1546" spans="1:26" s="25" customFormat="1" ht="6.95" customHeight="1" x14ac:dyDescent="0.3">
      <c r="A1546" s="10"/>
      <c r="B1546" s="168"/>
      <c r="C1546" s="169"/>
      <c r="D1546" s="160"/>
      <c r="E1546" s="161"/>
      <c r="F1546" s="162"/>
      <c r="G1546" s="163"/>
      <c r="H1546" s="164"/>
      <c r="I1546" s="163"/>
      <c r="J1546" s="164"/>
      <c r="K1546" s="163"/>
      <c r="L1546" s="164"/>
      <c r="M1546" s="11"/>
      <c r="N1546" s="39"/>
      <c r="Q1546" s="15" t="str">
        <f>+CONCATENATE(E1545,I1545)</f>
        <v/>
      </c>
      <c r="R1546" s="15">
        <f>+J1545</f>
        <v>0</v>
      </c>
      <c r="S1546" s="16"/>
      <c r="T1546" s="15">
        <f>+E1545</f>
        <v>0</v>
      </c>
      <c r="U1546" s="26" t="str">
        <f>IFERROR(LEFT(I1545,FIND("*",I1545)-1),"-")</f>
        <v>-</v>
      </c>
      <c r="V1546" s="26" t="str">
        <f>IFERROR(RIGHT(I1545,LEN(I1545)-FIND("*",I1545)),"-")</f>
        <v>-</v>
      </c>
      <c r="W1546" s="27" t="str">
        <f t="shared" si="838"/>
        <v>-</v>
      </c>
      <c r="X1546" s="27" t="str">
        <f>IFERROR(W1546*J1545,"-")</f>
        <v>-</v>
      </c>
      <c r="Z1546" s="94" t="s">
        <v>82</v>
      </c>
    </row>
    <row r="1547" spans="1:26" s="25" customFormat="1" ht="6.95" customHeight="1" x14ac:dyDescent="0.3">
      <c r="A1547" s="10"/>
      <c r="B1547" s="168"/>
      <c r="C1547" s="169"/>
      <c r="D1547" s="160"/>
      <c r="E1547" s="161"/>
      <c r="F1547" s="162"/>
      <c r="G1547" s="163"/>
      <c r="H1547" s="164"/>
      <c r="I1547" s="163"/>
      <c r="J1547" s="164"/>
      <c r="K1547" s="163"/>
      <c r="L1547" s="164"/>
      <c r="M1547" s="11"/>
      <c r="N1547" s="39"/>
      <c r="Q1547" s="15" t="str">
        <f>+CONCATENATE(E1545,K1545)</f>
        <v/>
      </c>
      <c r="R1547" s="15">
        <f>+L1545</f>
        <v>0</v>
      </c>
      <c r="S1547" s="16"/>
      <c r="T1547" s="15">
        <f>+E1545</f>
        <v>0</v>
      </c>
      <c r="U1547" s="26" t="str">
        <f>IFERROR(LEFT(K1545,FIND("*",K1545)-1),"-")</f>
        <v>-</v>
      </c>
      <c r="V1547" s="26" t="str">
        <f>IFERROR(RIGHT(K1545,LEN(K1545)-FIND("*",K1545)),"-")</f>
        <v>-</v>
      </c>
      <c r="W1547" s="27" t="str">
        <f t="shared" si="838"/>
        <v>-</v>
      </c>
      <c r="X1547" s="27" t="str">
        <f>IFERROR(W1547*L1545,"-")</f>
        <v>-</v>
      </c>
      <c r="Z1547" s="94" t="s">
        <v>82</v>
      </c>
    </row>
    <row r="1548" spans="1:26" s="25" customFormat="1" ht="6.95" customHeight="1" x14ac:dyDescent="0.3">
      <c r="A1548" s="13"/>
      <c r="B1548" s="168"/>
      <c r="C1548" s="169"/>
      <c r="D1548" s="160" t="s">
        <v>39</v>
      </c>
      <c r="E1548" s="161"/>
      <c r="F1548" s="162" t="s">
        <v>40</v>
      </c>
      <c r="G1548" s="163"/>
      <c r="H1548" s="164"/>
      <c r="I1548" s="163"/>
      <c r="J1548" s="164"/>
      <c r="K1548" s="163"/>
      <c r="L1548" s="164"/>
      <c r="M1548" s="11"/>
      <c r="N1548" s="39"/>
      <c r="Q1548" s="15" t="str">
        <f>+CONCATENATE(E1548,G1548)</f>
        <v/>
      </c>
      <c r="R1548" s="15">
        <f>+H1548</f>
        <v>0</v>
      </c>
      <c r="S1548" s="16"/>
      <c r="T1548" s="15">
        <f>+E1548</f>
        <v>0</v>
      </c>
      <c r="U1548" s="26" t="str">
        <f t="shared" ref="U1548" si="841">IFERROR(LEFT(G1548,FIND("*",G1548)-1),"-")</f>
        <v>-</v>
      </c>
      <c r="V1548" s="26" t="str">
        <f t="shared" ref="V1548" si="842">IFERROR(RIGHT(G1548,LEN(G1548)-FIND("*",G1548)),"-")</f>
        <v>-</v>
      </c>
      <c r="W1548" s="27" t="str">
        <f t="shared" si="838"/>
        <v>-</v>
      </c>
      <c r="X1548" s="27" t="str">
        <f>IFERROR(W1548*H1548,"-")</f>
        <v>-</v>
      </c>
      <c r="Z1548" s="94" t="s">
        <v>82</v>
      </c>
    </row>
    <row r="1549" spans="1:26" s="25" customFormat="1" ht="6.95" customHeight="1" x14ac:dyDescent="0.3">
      <c r="A1549" s="10"/>
      <c r="B1549" s="168"/>
      <c r="C1549" s="169"/>
      <c r="D1549" s="160"/>
      <c r="E1549" s="161"/>
      <c r="F1549" s="162"/>
      <c r="G1549" s="163"/>
      <c r="H1549" s="164"/>
      <c r="I1549" s="163"/>
      <c r="J1549" s="164"/>
      <c r="K1549" s="163"/>
      <c r="L1549" s="164"/>
      <c r="M1549" s="11"/>
      <c r="N1549" s="39"/>
      <c r="Q1549" s="15" t="str">
        <f>+CONCATENATE(E1548,I1548)</f>
        <v/>
      </c>
      <c r="R1549" s="15">
        <f>+J1548</f>
        <v>0</v>
      </c>
      <c r="S1549" s="16"/>
      <c r="T1549" s="15">
        <f>+E1548</f>
        <v>0</v>
      </c>
      <c r="U1549" s="26" t="str">
        <f>IFERROR(LEFT(I1548,FIND("*",I1548)-1),"-")</f>
        <v>-</v>
      </c>
      <c r="V1549" s="26" t="str">
        <f>IFERROR(RIGHT(I1548,LEN(I1548)-FIND("*",I1548)),"-")</f>
        <v>-</v>
      </c>
      <c r="W1549" s="27" t="str">
        <f t="shared" si="838"/>
        <v>-</v>
      </c>
      <c r="X1549" s="27" t="str">
        <f t="shared" ref="X1549" si="843">IFERROR(W1549*J1548,"-")</f>
        <v>-</v>
      </c>
      <c r="Z1549" s="94" t="s">
        <v>82</v>
      </c>
    </row>
    <row r="1550" spans="1:26" s="25" customFormat="1" ht="6.95" customHeight="1" x14ac:dyDescent="0.3">
      <c r="A1550" s="10"/>
      <c r="B1550" s="168"/>
      <c r="C1550" s="169"/>
      <c r="D1550" s="160"/>
      <c r="E1550" s="161"/>
      <c r="F1550" s="162"/>
      <c r="G1550" s="163"/>
      <c r="H1550" s="164"/>
      <c r="I1550" s="163"/>
      <c r="J1550" s="164"/>
      <c r="K1550" s="163"/>
      <c r="L1550" s="164"/>
      <c r="M1550" s="11"/>
      <c r="N1550" s="39"/>
      <c r="Q1550" s="15" t="str">
        <f>+CONCATENATE(E1548,K1548)</f>
        <v/>
      </c>
      <c r="R1550" s="15">
        <f>+L1548</f>
        <v>0</v>
      </c>
      <c r="S1550" s="16"/>
      <c r="T1550" s="15">
        <f>+E1548</f>
        <v>0</v>
      </c>
      <c r="U1550" s="26" t="str">
        <f>IFERROR(LEFT(K1548,FIND("*",K1548)-1),"-")</f>
        <v>-</v>
      </c>
      <c r="V1550" s="26" t="str">
        <f>IFERROR(RIGHT(K1548,LEN(K1548)-FIND("*",K1548)),"-")</f>
        <v>-</v>
      </c>
      <c r="W1550" s="27" t="str">
        <f t="shared" si="838"/>
        <v>-</v>
      </c>
      <c r="X1550" s="27" t="str">
        <f>IFERROR(W1550*L1548,"-")</f>
        <v>-</v>
      </c>
      <c r="Z1550" s="94" t="s">
        <v>82</v>
      </c>
    </row>
    <row r="1551" spans="1:26" s="25" customFormat="1" ht="21" customHeight="1" thickBot="1" x14ac:dyDescent="0.35">
      <c r="A1551" s="10"/>
      <c r="B1551" s="170"/>
      <c r="C1551" s="171"/>
      <c r="D1551" s="172" t="s">
        <v>43</v>
      </c>
      <c r="E1551" s="173"/>
      <c r="F1551" s="173"/>
      <c r="G1551" s="174"/>
      <c r="H1551" s="174"/>
      <c r="I1551" s="174"/>
      <c r="J1551" s="174"/>
      <c r="K1551" s="174"/>
      <c r="L1551" s="174"/>
      <c r="M1551" s="12"/>
      <c r="N1551" s="39"/>
      <c r="U1551" s="23"/>
      <c r="V1551" s="23"/>
      <c r="Z1551" s="95" t="s">
        <v>81</v>
      </c>
    </row>
    <row r="1552" spans="1:26" s="25" customFormat="1" ht="9.9499999999999993" customHeight="1" thickBot="1" x14ac:dyDescent="0.35">
      <c r="A1552" s="6"/>
      <c r="B1552" s="14"/>
      <c r="C1552" s="119"/>
      <c r="D1552" s="58"/>
      <c r="E1552" s="17"/>
      <c r="F1552" s="58"/>
      <c r="G1552" s="19"/>
      <c r="H1552" s="19"/>
      <c r="I1552" s="19"/>
      <c r="J1552" s="19"/>
      <c r="K1552" s="19"/>
      <c r="L1552" s="19"/>
      <c r="M1552" s="14"/>
      <c r="N1552" s="39"/>
      <c r="Q1552" s="1"/>
      <c r="R1552" s="1"/>
      <c r="S1552" s="1"/>
      <c r="T1552" s="1"/>
      <c r="U1552" s="24"/>
      <c r="V1552" s="24"/>
      <c r="W1552" s="1"/>
      <c r="X1552" s="1"/>
      <c r="Z1552" s="94" t="s">
        <v>82</v>
      </c>
    </row>
    <row r="1553" spans="1:26" s="25" customFormat="1" ht="6.95" customHeight="1" x14ac:dyDescent="0.3">
      <c r="A1553" s="165">
        <f>+A1542+1</f>
        <v>142</v>
      </c>
      <c r="B1553" s="166"/>
      <c r="C1553" s="167"/>
      <c r="D1553" s="160" t="s">
        <v>39</v>
      </c>
      <c r="E1553" s="161"/>
      <c r="F1553" s="162" t="s">
        <v>40</v>
      </c>
      <c r="G1553" s="163"/>
      <c r="H1553" s="164"/>
      <c r="I1553" s="163"/>
      <c r="J1553" s="164"/>
      <c r="K1553" s="163"/>
      <c r="L1553" s="164"/>
      <c r="M1553" s="11"/>
      <c r="N1553" s="39"/>
      <c r="Q1553" s="15" t="str">
        <f>+CONCATENATE(E1553,G1553)</f>
        <v/>
      </c>
      <c r="R1553" s="15">
        <f>+H1553</f>
        <v>0</v>
      </c>
      <c r="S1553" s="16"/>
      <c r="T1553" s="15">
        <f>+E1553</f>
        <v>0</v>
      </c>
      <c r="U1553" s="26" t="str">
        <f>IFERROR(LEFT(G1553,FIND("*",G1553)-1),"-")</f>
        <v>-</v>
      </c>
      <c r="V1553" s="26" t="str">
        <f>IFERROR(RIGHT(G1553,LEN(G1553)-FIND("*",G1553)),"-")</f>
        <v>-</v>
      </c>
      <c r="W1553" s="27" t="str">
        <f>IFERROR((U1553+V1553)*2/1000,"-")</f>
        <v>-</v>
      </c>
      <c r="X1553" s="27" t="str">
        <f>IFERROR(W1553*H1553,"-")</f>
        <v>-</v>
      </c>
      <c r="Z1553" s="94" t="s">
        <v>82</v>
      </c>
    </row>
    <row r="1554" spans="1:26" s="25" customFormat="1" ht="6.95" customHeight="1" x14ac:dyDescent="0.3">
      <c r="A1554" s="165"/>
      <c r="B1554" s="168"/>
      <c r="C1554" s="169"/>
      <c r="D1554" s="160"/>
      <c r="E1554" s="161"/>
      <c r="F1554" s="162"/>
      <c r="G1554" s="163"/>
      <c r="H1554" s="164"/>
      <c r="I1554" s="163"/>
      <c r="J1554" s="164"/>
      <c r="K1554" s="163"/>
      <c r="L1554" s="164"/>
      <c r="M1554" s="11"/>
      <c r="N1554" s="39"/>
      <c r="Q1554" s="15" t="str">
        <f>+CONCATENATE(E1553,I1553)</f>
        <v/>
      </c>
      <c r="R1554" s="15">
        <f>+J1553</f>
        <v>0</v>
      </c>
      <c r="S1554" s="16"/>
      <c r="T1554" s="15">
        <f>+E1553</f>
        <v>0</v>
      </c>
      <c r="U1554" s="26" t="str">
        <f>IFERROR(LEFT(I1553,FIND("*",I1553)-1),"-")</f>
        <v>-</v>
      </c>
      <c r="V1554" s="26" t="str">
        <f>IFERROR(RIGHT(I1553,LEN(I1553)-FIND("*",I1553)),"-")</f>
        <v>-</v>
      </c>
      <c r="W1554" s="27" t="str">
        <f t="shared" ref="W1554:W1561" si="844">IFERROR((U1554+V1554)*2/1000,"-")</f>
        <v>-</v>
      </c>
      <c r="X1554" s="27" t="str">
        <f>IFERROR(W1554*J1553,"-")</f>
        <v>-</v>
      </c>
      <c r="Z1554" s="94" t="s">
        <v>82</v>
      </c>
    </row>
    <row r="1555" spans="1:26" s="25" customFormat="1" ht="6.95" customHeight="1" x14ac:dyDescent="0.3">
      <c r="A1555" s="165"/>
      <c r="B1555" s="168"/>
      <c r="C1555" s="169"/>
      <c r="D1555" s="160"/>
      <c r="E1555" s="161"/>
      <c r="F1555" s="162"/>
      <c r="G1555" s="163"/>
      <c r="H1555" s="164"/>
      <c r="I1555" s="163"/>
      <c r="J1555" s="164"/>
      <c r="K1555" s="163"/>
      <c r="L1555" s="164"/>
      <c r="M1555" s="11"/>
      <c r="N1555" s="39"/>
      <c r="Q1555" s="15" t="str">
        <f>+CONCATENATE(E1553,K1553)</f>
        <v/>
      </c>
      <c r="R1555" s="15">
        <f>+L1553</f>
        <v>0</v>
      </c>
      <c r="S1555" s="16"/>
      <c r="T1555" s="15">
        <f>+E1553</f>
        <v>0</v>
      </c>
      <c r="U1555" s="26" t="str">
        <f>IFERROR(LEFT(K1553,FIND("*",K1553)-1),"-")</f>
        <v>-</v>
      </c>
      <c r="V1555" s="26" t="str">
        <f>IFERROR(RIGHT(K1553,LEN(K1553)-FIND("*",K1553)),"-")</f>
        <v>-</v>
      </c>
      <c r="W1555" s="27" t="str">
        <f t="shared" si="844"/>
        <v>-</v>
      </c>
      <c r="X1555" s="27" t="str">
        <f>IFERROR(W1555*L1553,"-")</f>
        <v>-</v>
      </c>
      <c r="Z1555" s="94" t="s">
        <v>82</v>
      </c>
    </row>
    <row r="1556" spans="1:26" s="25" customFormat="1" ht="6.95" customHeight="1" x14ac:dyDescent="0.3">
      <c r="A1556" s="13"/>
      <c r="B1556" s="168"/>
      <c r="C1556" s="169"/>
      <c r="D1556" s="160" t="s">
        <v>39</v>
      </c>
      <c r="E1556" s="161"/>
      <c r="F1556" s="162" t="s">
        <v>40</v>
      </c>
      <c r="G1556" s="163"/>
      <c r="H1556" s="164"/>
      <c r="I1556" s="163"/>
      <c r="J1556" s="164"/>
      <c r="K1556" s="163"/>
      <c r="L1556" s="164"/>
      <c r="M1556" s="11"/>
      <c r="N1556" s="39"/>
      <c r="Q1556" s="15" t="str">
        <f>+CONCATENATE(E1556,G1556)</f>
        <v/>
      </c>
      <c r="R1556" s="15">
        <f>+H1556</f>
        <v>0</v>
      </c>
      <c r="S1556" s="16"/>
      <c r="T1556" s="15">
        <f>+E1556</f>
        <v>0</v>
      </c>
      <c r="U1556" s="26" t="str">
        <f t="shared" ref="U1556" si="845">IFERROR(LEFT(G1556,FIND("*",G1556)-1),"-")</f>
        <v>-</v>
      </c>
      <c r="V1556" s="26" t="str">
        <f t="shared" ref="V1556" si="846">IFERROR(RIGHT(G1556,LEN(G1556)-FIND("*",G1556)),"-")</f>
        <v>-</v>
      </c>
      <c r="W1556" s="27" t="str">
        <f t="shared" si="844"/>
        <v>-</v>
      </c>
      <c r="X1556" s="27" t="str">
        <f>IFERROR(W1556*H1556,"-")</f>
        <v>-</v>
      </c>
      <c r="Z1556" s="94" t="s">
        <v>82</v>
      </c>
    </row>
    <row r="1557" spans="1:26" s="25" customFormat="1" ht="6.95" customHeight="1" x14ac:dyDescent="0.3">
      <c r="A1557" s="10"/>
      <c r="B1557" s="168"/>
      <c r="C1557" s="169"/>
      <c r="D1557" s="160"/>
      <c r="E1557" s="161"/>
      <c r="F1557" s="162"/>
      <c r="G1557" s="163"/>
      <c r="H1557" s="164"/>
      <c r="I1557" s="163"/>
      <c r="J1557" s="164"/>
      <c r="K1557" s="163"/>
      <c r="L1557" s="164"/>
      <c r="M1557" s="11"/>
      <c r="N1557" s="39"/>
      <c r="Q1557" s="15" t="str">
        <f>+CONCATENATE(E1556,I1556)</f>
        <v/>
      </c>
      <c r="R1557" s="15">
        <f>+J1556</f>
        <v>0</v>
      </c>
      <c r="S1557" s="16"/>
      <c r="T1557" s="15">
        <f>+E1556</f>
        <v>0</v>
      </c>
      <c r="U1557" s="26" t="str">
        <f>IFERROR(LEFT(I1556,FIND("*",I1556)-1),"-")</f>
        <v>-</v>
      </c>
      <c r="V1557" s="26" t="str">
        <f>IFERROR(RIGHT(I1556,LEN(I1556)-FIND("*",I1556)),"-")</f>
        <v>-</v>
      </c>
      <c r="W1557" s="27" t="str">
        <f t="shared" si="844"/>
        <v>-</v>
      </c>
      <c r="X1557" s="27" t="str">
        <f>IFERROR(W1557*J1556,"-")</f>
        <v>-</v>
      </c>
      <c r="Z1557" s="94" t="s">
        <v>82</v>
      </c>
    </row>
    <row r="1558" spans="1:26" s="25" customFormat="1" ht="6.95" customHeight="1" x14ac:dyDescent="0.3">
      <c r="A1558" s="10"/>
      <c r="B1558" s="168"/>
      <c r="C1558" s="169"/>
      <c r="D1558" s="160"/>
      <c r="E1558" s="161"/>
      <c r="F1558" s="162"/>
      <c r="G1558" s="163"/>
      <c r="H1558" s="164"/>
      <c r="I1558" s="163"/>
      <c r="J1558" s="164"/>
      <c r="K1558" s="163"/>
      <c r="L1558" s="164"/>
      <c r="M1558" s="11"/>
      <c r="N1558" s="39"/>
      <c r="Q1558" s="15" t="str">
        <f>+CONCATENATE(E1556,K1556)</f>
        <v/>
      </c>
      <c r="R1558" s="15">
        <f>+L1556</f>
        <v>0</v>
      </c>
      <c r="S1558" s="16"/>
      <c r="T1558" s="15">
        <f>+E1556</f>
        <v>0</v>
      </c>
      <c r="U1558" s="26" t="str">
        <f>IFERROR(LEFT(K1556,FIND("*",K1556)-1),"-")</f>
        <v>-</v>
      </c>
      <c r="V1558" s="26" t="str">
        <f>IFERROR(RIGHT(K1556,LEN(K1556)-FIND("*",K1556)),"-")</f>
        <v>-</v>
      </c>
      <c r="W1558" s="27" t="str">
        <f t="shared" si="844"/>
        <v>-</v>
      </c>
      <c r="X1558" s="27" t="str">
        <f>IFERROR(W1558*L1556,"-")</f>
        <v>-</v>
      </c>
      <c r="Z1558" s="94" t="s">
        <v>82</v>
      </c>
    </row>
    <row r="1559" spans="1:26" s="25" customFormat="1" ht="6.95" customHeight="1" x14ac:dyDescent="0.3">
      <c r="A1559" s="13"/>
      <c r="B1559" s="168"/>
      <c r="C1559" s="169"/>
      <c r="D1559" s="160" t="s">
        <v>39</v>
      </c>
      <c r="E1559" s="161"/>
      <c r="F1559" s="162" t="s">
        <v>40</v>
      </c>
      <c r="G1559" s="163"/>
      <c r="H1559" s="164"/>
      <c r="I1559" s="163"/>
      <c r="J1559" s="164"/>
      <c r="K1559" s="163"/>
      <c r="L1559" s="164"/>
      <c r="M1559" s="11"/>
      <c r="N1559" s="39"/>
      <c r="Q1559" s="15" t="str">
        <f>+CONCATENATE(E1559,G1559)</f>
        <v/>
      </c>
      <c r="R1559" s="15">
        <f>+H1559</f>
        <v>0</v>
      </c>
      <c r="S1559" s="16"/>
      <c r="T1559" s="15">
        <f>+E1559</f>
        <v>0</v>
      </c>
      <c r="U1559" s="26" t="str">
        <f t="shared" ref="U1559" si="847">IFERROR(LEFT(G1559,FIND("*",G1559)-1),"-")</f>
        <v>-</v>
      </c>
      <c r="V1559" s="26" t="str">
        <f t="shared" ref="V1559" si="848">IFERROR(RIGHT(G1559,LEN(G1559)-FIND("*",G1559)),"-")</f>
        <v>-</v>
      </c>
      <c r="W1559" s="27" t="str">
        <f t="shared" si="844"/>
        <v>-</v>
      </c>
      <c r="X1559" s="27" t="str">
        <f>IFERROR(W1559*H1559,"-")</f>
        <v>-</v>
      </c>
      <c r="Z1559" s="94" t="s">
        <v>82</v>
      </c>
    </row>
    <row r="1560" spans="1:26" s="25" customFormat="1" ht="6.95" customHeight="1" x14ac:dyDescent="0.3">
      <c r="A1560" s="10"/>
      <c r="B1560" s="168"/>
      <c r="C1560" s="169"/>
      <c r="D1560" s="160"/>
      <c r="E1560" s="161"/>
      <c r="F1560" s="162"/>
      <c r="G1560" s="163"/>
      <c r="H1560" s="164"/>
      <c r="I1560" s="163"/>
      <c r="J1560" s="164"/>
      <c r="K1560" s="163"/>
      <c r="L1560" s="164"/>
      <c r="M1560" s="11"/>
      <c r="N1560" s="39"/>
      <c r="Q1560" s="15" t="str">
        <f>+CONCATENATE(E1559,I1559)</f>
        <v/>
      </c>
      <c r="R1560" s="15">
        <f>+J1559</f>
        <v>0</v>
      </c>
      <c r="S1560" s="16"/>
      <c r="T1560" s="15">
        <f>+E1559</f>
        <v>0</v>
      </c>
      <c r="U1560" s="26" t="str">
        <f>IFERROR(LEFT(I1559,FIND("*",I1559)-1),"-")</f>
        <v>-</v>
      </c>
      <c r="V1560" s="26" t="str">
        <f>IFERROR(RIGHT(I1559,LEN(I1559)-FIND("*",I1559)),"-")</f>
        <v>-</v>
      </c>
      <c r="W1560" s="27" t="str">
        <f t="shared" si="844"/>
        <v>-</v>
      </c>
      <c r="X1560" s="27" t="str">
        <f t="shared" ref="X1560" si="849">IFERROR(W1560*J1559,"-")</f>
        <v>-</v>
      </c>
      <c r="Z1560" s="94" t="s">
        <v>82</v>
      </c>
    </row>
    <row r="1561" spans="1:26" s="25" customFormat="1" ht="6.95" customHeight="1" x14ac:dyDescent="0.3">
      <c r="A1561" s="10"/>
      <c r="B1561" s="168"/>
      <c r="C1561" s="169"/>
      <c r="D1561" s="160"/>
      <c r="E1561" s="161"/>
      <c r="F1561" s="162"/>
      <c r="G1561" s="163"/>
      <c r="H1561" s="164"/>
      <c r="I1561" s="163"/>
      <c r="J1561" s="164"/>
      <c r="K1561" s="163"/>
      <c r="L1561" s="164"/>
      <c r="M1561" s="11"/>
      <c r="N1561" s="39"/>
      <c r="Q1561" s="15" t="str">
        <f>+CONCATENATE(E1559,K1559)</f>
        <v/>
      </c>
      <c r="R1561" s="15">
        <f>+L1559</f>
        <v>0</v>
      </c>
      <c r="S1561" s="16"/>
      <c r="T1561" s="15">
        <f>+E1559</f>
        <v>0</v>
      </c>
      <c r="U1561" s="26" t="str">
        <f>IFERROR(LEFT(K1559,FIND("*",K1559)-1),"-")</f>
        <v>-</v>
      </c>
      <c r="V1561" s="26" t="str">
        <f>IFERROR(RIGHT(K1559,LEN(K1559)-FIND("*",K1559)),"-")</f>
        <v>-</v>
      </c>
      <c r="W1561" s="27" t="str">
        <f t="shared" si="844"/>
        <v>-</v>
      </c>
      <c r="X1561" s="27" t="str">
        <f>IFERROR(W1561*L1559,"-")</f>
        <v>-</v>
      </c>
      <c r="Z1561" s="94" t="s">
        <v>82</v>
      </c>
    </row>
    <row r="1562" spans="1:26" s="25" customFormat="1" ht="21" customHeight="1" thickBot="1" x14ac:dyDescent="0.35">
      <c r="A1562" s="10"/>
      <c r="B1562" s="170"/>
      <c r="C1562" s="171"/>
      <c r="D1562" s="172" t="s">
        <v>43</v>
      </c>
      <c r="E1562" s="173"/>
      <c r="F1562" s="173"/>
      <c r="G1562" s="174"/>
      <c r="H1562" s="174"/>
      <c r="I1562" s="174"/>
      <c r="J1562" s="174"/>
      <c r="K1562" s="174"/>
      <c r="L1562" s="174"/>
      <c r="M1562" s="12"/>
      <c r="N1562" s="39"/>
      <c r="U1562" s="23"/>
      <c r="V1562" s="23"/>
      <c r="Z1562" s="95" t="s">
        <v>81</v>
      </c>
    </row>
    <row r="1563" spans="1:26" s="25" customFormat="1" ht="9.9499999999999993" customHeight="1" thickBot="1" x14ac:dyDescent="0.35">
      <c r="A1563" s="6"/>
      <c r="B1563" s="14"/>
      <c r="C1563" s="119"/>
      <c r="D1563" s="58"/>
      <c r="E1563" s="17"/>
      <c r="F1563" s="58"/>
      <c r="G1563" s="19"/>
      <c r="H1563" s="19"/>
      <c r="I1563" s="19"/>
      <c r="J1563" s="19"/>
      <c r="K1563" s="19"/>
      <c r="L1563" s="19"/>
      <c r="M1563" s="14"/>
      <c r="N1563" s="39"/>
      <c r="Q1563" s="1"/>
      <c r="R1563" s="1"/>
      <c r="S1563" s="1"/>
      <c r="T1563" s="1"/>
      <c r="U1563" s="24"/>
      <c r="V1563" s="24"/>
      <c r="W1563" s="1"/>
      <c r="X1563" s="1"/>
      <c r="Z1563" s="94" t="s">
        <v>82</v>
      </c>
    </row>
    <row r="1564" spans="1:26" s="25" customFormat="1" ht="6.95" customHeight="1" x14ac:dyDescent="0.3">
      <c r="A1564" s="165">
        <f>+A1553+1</f>
        <v>143</v>
      </c>
      <c r="B1564" s="166"/>
      <c r="C1564" s="167"/>
      <c r="D1564" s="160" t="s">
        <v>39</v>
      </c>
      <c r="E1564" s="161"/>
      <c r="F1564" s="162" t="s">
        <v>40</v>
      </c>
      <c r="G1564" s="163"/>
      <c r="H1564" s="164"/>
      <c r="I1564" s="163"/>
      <c r="J1564" s="164"/>
      <c r="K1564" s="163"/>
      <c r="L1564" s="164"/>
      <c r="M1564" s="11"/>
      <c r="N1564" s="39"/>
      <c r="Q1564" s="15" t="str">
        <f>+CONCATENATE(E1564,G1564)</f>
        <v/>
      </c>
      <c r="R1564" s="15">
        <f>+H1564</f>
        <v>0</v>
      </c>
      <c r="S1564" s="16"/>
      <c r="T1564" s="15">
        <f>+E1564</f>
        <v>0</v>
      </c>
      <c r="U1564" s="26" t="str">
        <f>IFERROR(LEFT(G1564,FIND("*",G1564)-1),"-")</f>
        <v>-</v>
      </c>
      <c r="V1564" s="26" t="str">
        <f>IFERROR(RIGHT(G1564,LEN(G1564)-FIND("*",G1564)),"-")</f>
        <v>-</v>
      </c>
      <c r="W1564" s="27" t="str">
        <f>IFERROR((U1564+V1564)*2/1000,"-")</f>
        <v>-</v>
      </c>
      <c r="X1564" s="27" t="str">
        <f>IFERROR(W1564*H1564,"-")</f>
        <v>-</v>
      </c>
      <c r="Z1564" s="94" t="s">
        <v>82</v>
      </c>
    </row>
    <row r="1565" spans="1:26" s="25" customFormat="1" ht="6.95" customHeight="1" x14ac:dyDescent="0.3">
      <c r="A1565" s="165"/>
      <c r="B1565" s="168"/>
      <c r="C1565" s="169"/>
      <c r="D1565" s="160"/>
      <c r="E1565" s="161"/>
      <c r="F1565" s="162"/>
      <c r="G1565" s="163"/>
      <c r="H1565" s="164"/>
      <c r="I1565" s="163"/>
      <c r="J1565" s="164"/>
      <c r="K1565" s="163"/>
      <c r="L1565" s="164"/>
      <c r="M1565" s="11"/>
      <c r="N1565" s="39"/>
      <c r="Q1565" s="15" t="str">
        <f>+CONCATENATE(E1564,I1564)</f>
        <v/>
      </c>
      <c r="R1565" s="15">
        <f>+J1564</f>
        <v>0</v>
      </c>
      <c r="S1565" s="16"/>
      <c r="T1565" s="15">
        <f>+E1564</f>
        <v>0</v>
      </c>
      <c r="U1565" s="26" t="str">
        <f>IFERROR(LEFT(I1564,FIND("*",I1564)-1),"-")</f>
        <v>-</v>
      </c>
      <c r="V1565" s="26" t="str">
        <f>IFERROR(RIGHT(I1564,LEN(I1564)-FIND("*",I1564)),"-")</f>
        <v>-</v>
      </c>
      <c r="W1565" s="27" t="str">
        <f t="shared" ref="W1565:W1572" si="850">IFERROR((U1565+V1565)*2/1000,"-")</f>
        <v>-</v>
      </c>
      <c r="X1565" s="27" t="str">
        <f>IFERROR(W1565*J1564,"-")</f>
        <v>-</v>
      </c>
      <c r="Z1565" s="94" t="s">
        <v>82</v>
      </c>
    </row>
    <row r="1566" spans="1:26" s="25" customFormat="1" ht="6.95" customHeight="1" x14ac:dyDescent="0.3">
      <c r="A1566" s="165"/>
      <c r="B1566" s="168"/>
      <c r="C1566" s="169"/>
      <c r="D1566" s="160"/>
      <c r="E1566" s="161"/>
      <c r="F1566" s="162"/>
      <c r="G1566" s="163"/>
      <c r="H1566" s="164"/>
      <c r="I1566" s="163"/>
      <c r="J1566" s="164"/>
      <c r="K1566" s="163"/>
      <c r="L1566" s="164"/>
      <c r="M1566" s="11"/>
      <c r="N1566" s="39"/>
      <c r="Q1566" s="15" t="str">
        <f>+CONCATENATE(E1564,K1564)</f>
        <v/>
      </c>
      <c r="R1566" s="15">
        <f>+L1564</f>
        <v>0</v>
      </c>
      <c r="S1566" s="16"/>
      <c r="T1566" s="15">
        <f>+E1564</f>
        <v>0</v>
      </c>
      <c r="U1566" s="26" t="str">
        <f>IFERROR(LEFT(K1564,FIND("*",K1564)-1),"-")</f>
        <v>-</v>
      </c>
      <c r="V1566" s="26" t="str">
        <f>IFERROR(RIGHT(K1564,LEN(K1564)-FIND("*",K1564)),"-")</f>
        <v>-</v>
      </c>
      <c r="W1566" s="27" t="str">
        <f t="shared" si="850"/>
        <v>-</v>
      </c>
      <c r="X1566" s="27" t="str">
        <f>IFERROR(W1566*L1564,"-")</f>
        <v>-</v>
      </c>
      <c r="Z1566" s="94" t="s">
        <v>82</v>
      </c>
    </row>
    <row r="1567" spans="1:26" s="25" customFormat="1" ht="6.95" customHeight="1" x14ac:dyDescent="0.3">
      <c r="A1567" s="13"/>
      <c r="B1567" s="168"/>
      <c r="C1567" s="169"/>
      <c r="D1567" s="160" t="s">
        <v>39</v>
      </c>
      <c r="E1567" s="161"/>
      <c r="F1567" s="162" t="s">
        <v>40</v>
      </c>
      <c r="G1567" s="163"/>
      <c r="H1567" s="164"/>
      <c r="I1567" s="163"/>
      <c r="J1567" s="164"/>
      <c r="K1567" s="163"/>
      <c r="L1567" s="164"/>
      <c r="M1567" s="11"/>
      <c r="N1567" s="39"/>
      <c r="Q1567" s="15" t="str">
        <f>+CONCATENATE(E1567,G1567)</f>
        <v/>
      </c>
      <c r="R1567" s="15">
        <f>+H1567</f>
        <v>0</v>
      </c>
      <c r="S1567" s="16"/>
      <c r="T1567" s="15">
        <f>+E1567</f>
        <v>0</v>
      </c>
      <c r="U1567" s="26" t="str">
        <f t="shared" ref="U1567" si="851">IFERROR(LEFT(G1567,FIND("*",G1567)-1),"-")</f>
        <v>-</v>
      </c>
      <c r="V1567" s="26" t="str">
        <f t="shared" ref="V1567" si="852">IFERROR(RIGHT(G1567,LEN(G1567)-FIND("*",G1567)),"-")</f>
        <v>-</v>
      </c>
      <c r="W1567" s="27" t="str">
        <f t="shared" si="850"/>
        <v>-</v>
      </c>
      <c r="X1567" s="27" t="str">
        <f>IFERROR(W1567*H1567,"-")</f>
        <v>-</v>
      </c>
      <c r="Z1567" s="94" t="s">
        <v>82</v>
      </c>
    </row>
    <row r="1568" spans="1:26" s="25" customFormat="1" ht="6.95" customHeight="1" x14ac:dyDescent="0.3">
      <c r="A1568" s="10"/>
      <c r="B1568" s="168"/>
      <c r="C1568" s="169"/>
      <c r="D1568" s="160"/>
      <c r="E1568" s="161"/>
      <c r="F1568" s="162"/>
      <c r="G1568" s="163"/>
      <c r="H1568" s="164"/>
      <c r="I1568" s="163"/>
      <c r="J1568" s="164"/>
      <c r="K1568" s="163"/>
      <c r="L1568" s="164"/>
      <c r="M1568" s="11"/>
      <c r="N1568" s="39"/>
      <c r="Q1568" s="15" t="str">
        <f>+CONCATENATE(E1567,I1567)</f>
        <v/>
      </c>
      <c r="R1568" s="15">
        <f>+J1567</f>
        <v>0</v>
      </c>
      <c r="S1568" s="16"/>
      <c r="T1568" s="15">
        <f>+E1567</f>
        <v>0</v>
      </c>
      <c r="U1568" s="26" t="str">
        <f>IFERROR(LEFT(I1567,FIND("*",I1567)-1),"-")</f>
        <v>-</v>
      </c>
      <c r="V1568" s="26" t="str">
        <f>IFERROR(RIGHT(I1567,LEN(I1567)-FIND("*",I1567)),"-")</f>
        <v>-</v>
      </c>
      <c r="W1568" s="27" t="str">
        <f t="shared" si="850"/>
        <v>-</v>
      </c>
      <c r="X1568" s="27" t="str">
        <f>IFERROR(W1568*J1567,"-")</f>
        <v>-</v>
      </c>
      <c r="Z1568" s="94" t="s">
        <v>82</v>
      </c>
    </row>
    <row r="1569" spans="1:26" s="25" customFormat="1" ht="6.95" customHeight="1" x14ac:dyDescent="0.3">
      <c r="A1569" s="10"/>
      <c r="B1569" s="168"/>
      <c r="C1569" s="169"/>
      <c r="D1569" s="160"/>
      <c r="E1569" s="161"/>
      <c r="F1569" s="162"/>
      <c r="G1569" s="163"/>
      <c r="H1569" s="164"/>
      <c r="I1569" s="163"/>
      <c r="J1569" s="164"/>
      <c r="K1569" s="163"/>
      <c r="L1569" s="164"/>
      <c r="M1569" s="11"/>
      <c r="N1569" s="39"/>
      <c r="Q1569" s="15" t="str">
        <f>+CONCATENATE(E1567,K1567)</f>
        <v/>
      </c>
      <c r="R1569" s="15">
        <f>+L1567</f>
        <v>0</v>
      </c>
      <c r="S1569" s="16"/>
      <c r="T1569" s="15">
        <f>+E1567</f>
        <v>0</v>
      </c>
      <c r="U1569" s="26" t="str">
        <f>IFERROR(LEFT(K1567,FIND("*",K1567)-1),"-")</f>
        <v>-</v>
      </c>
      <c r="V1569" s="26" t="str">
        <f>IFERROR(RIGHT(K1567,LEN(K1567)-FIND("*",K1567)),"-")</f>
        <v>-</v>
      </c>
      <c r="W1569" s="27" t="str">
        <f t="shared" si="850"/>
        <v>-</v>
      </c>
      <c r="X1569" s="27" t="str">
        <f>IFERROR(W1569*L1567,"-")</f>
        <v>-</v>
      </c>
      <c r="Z1569" s="94" t="s">
        <v>82</v>
      </c>
    </row>
    <row r="1570" spans="1:26" s="25" customFormat="1" ht="6.95" customHeight="1" x14ac:dyDescent="0.3">
      <c r="A1570" s="13"/>
      <c r="B1570" s="168"/>
      <c r="C1570" s="169"/>
      <c r="D1570" s="160" t="s">
        <v>39</v>
      </c>
      <c r="E1570" s="161"/>
      <c r="F1570" s="162" t="s">
        <v>40</v>
      </c>
      <c r="G1570" s="163"/>
      <c r="H1570" s="164"/>
      <c r="I1570" s="163"/>
      <c r="J1570" s="164"/>
      <c r="K1570" s="163"/>
      <c r="L1570" s="164"/>
      <c r="M1570" s="11"/>
      <c r="N1570" s="39"/>
      <c r="Q1570" s="15" t="str">
        <f>+CONCATENATE(E1570,G1570)</f>
        <v/>
      </c>
      <c r="R1570" s="15">
        <f>+H1570</f>
        <v>0</v>
      </c>
      <c r="S1570" s="16"/>
      <c r="T1570" s="15">
        <f>+E1570</f>
        <v>0</v>
      </c>
      <c r="U1570" s="26" t="str">
        <f t="shared" ref="U1570" si="853">IFERROR(LEFT(G1570,FIND("*",G1570)-1),"-")</f>
        <v>-</v>
      </c>
      <c r="V1570" s="26" t="str">
        <f t="shared" ref="V1570" si="854">IFERROR(RIGHT(G1570,LEN(G1570)-FIND("*",G1570)),"-")</f>
        <v>-</v>
      </c>
      <c r="W1570" s="27" t="str">
        <f t="shared" si="850"/>
        <v>-</v>
      </c>
      <c r="X1570" s="27" t="str">
        <f>IFERROR(W1570*H1570,"-")</f>
        <v>-</v>
      </c>
      <c r="Z1570" s="94" t="s">
        <v>82</v>
      </c>
    </row>
    <row r="1571" spans="1:26" s="25" customFormat="1" ht="6.95" customHeight="1" x14ac:dyDescent="0.3">
      <c r="A1571" s="10"/>
      <c r="B1571" s="168"/>
      <c r="C1571" s="169"/>
      <c r="D1571" s="160"/>
      <c r="E1571" s="161"/>
      <c r="F1571" s="162"/>
      <c r="G1571" s="163"/>
      <c r="H1571" s="164"/>
      <c r="I1571" s="163"/>
      <c r="J1571" s="164"/>
      <c r="K1571" s="163"/>
      <c r="L1571" s="164"/>
      <c r="M1571" s="11"/>
      <c r="N1571" s="39"/>
      <c r="Q1571" s="15" t="str">
        <f>+CONCATENATE(E1570,I1570)</f>
        <v/>
      </c>
      <c r="R1571" s="15">
        <f>+J1570</f>
        <v>0</v>
      </c>
      <c r="S1571" s="16"/>
      <c r="T1571" s="15">
        <f>+E1570</f>
        <v>0</v>
      </c>
      <c r="U1571" s="26" t="str">
        <f>IFERROR(LEFT(I1570,FIND("*",I1570)-1),"-")</f>
        <v>-</v>
      </c>
      <c r="V1571" s="26" t="str">
        <f>IFERROR(RIGHT(I1570,LEN(I1570)-FIND("*",I1570)),"-")</f>
        <v>-</v>
      </c>
      <c r="W1571" s="27" t="str">
        <f t="shared" si="850"/>
        <v>-</v>
      </c>
      <c r="X1571" s="27" t="str">
        <f t="shared" ref="X1571" si="855">IFERROR(W1571*J1570,"-")</f>
        <v>-</v>
      </c>
      <c r="Z1571" s="94" t="s">
        <v>82</v>
      </c>
    </row>
    <row r="1572" spans="1:26" s="25" customFormat="1" ht="6.95" customHeight="1" x14ac:dyDescent="0.3">
      <c r="A1572" s="10"/>
      <c r="B1572" s="168"/>
      <c r="C1572" s="169"/>
      <c r="D1572" s="160"/>
      <c r="E1572" s="161"/>
      <c r="F1572" s="162"/>
      <c r="G1572" s="163"/>
      <c r="H1572" s="164"/>
      <c r="I1572" s="163"/>
      <c r="J1572" s="164"/>
      <c r="K1572" s="163"/>
      <c r="L1572" s="164"/>
      <c r="M1572" s="11"/>
      <c r="N1572" s="39"/>
      <c r="Q1572" s="15" t="str">
        <f>+CONCATENATE(E1570,K1570)</f>
        <v/>
      </c>
      <c r="R1572" s="15">
        <f>+L1570</f>
        <v>0</v>
      </c>
      <c r="S1572" s="16"/>
      <c r="T1572" s="15">
        <f>+E1570</f>
        <v>0</v>
      </c>
      <c r="U1572" s="26" t="str">
        <f>IFERROR(LEFT(K1570,FIND("*",K1570)-1),"-")</f>
        <v>-</v>
      </c>
      <c r="V1572" s="26" t="str">
        <f>IFERROR(RIGHT(K1570,LEN(K1570)-FIND("*",K1570)),"-")</f>
        <v>-</v>
      </c>
      <c r="W1572" s="27" t="str">
        <f t="shared" si="850"/>
        <v>-</v>
      </c>
      <c r="X1572" s="27" t="str">
        <f>IFERROR(W1572*L1570,"-")</f>
        <v>-</v>
      </c>
      <c r="Z1572" s="94" t="s">
        <v>82</v>
      </c>
    </row>
    <row r="1573" spans="1:26" s="25" customFormat="1" ht="21" customHeight="1" thickBot="1" x14ac:dyDescent="0.35">
      <c r="A1573" s="10"/>
      <c r="B1573" s="170"/>
      <c r="C1573" s="171"/>
      <c r="D1573" s="172" t="s">
        <v>43</v>
      </c>
      <c r="E1573" s="173"/>
      <c r="F1573" s="173"/>
      <c r="G1573" s="174"/>
      <c r="H1573" s="174"/>
      <c r="I1573" s="174"/>
      <c r="J1573" s="174"/>
      <c r="K1573" s="174"/>
      <c r="L1573" s="174"/>
      <c r="M1573" s="12"/>
      <c r="N1573" s="39"/>
      <c r="U1573" s="23"/>
      <c r="V1573" s="23"/>
      <c r="Z1573" s="95" t="s">
        <v>81</v>
      </c>
    </row>
    <row r="1574" spans="1:26" s="25" customFormat="1" ht="9.9499999999999993" customHeight="1" thickBot="1" x14ac:dyDescent="0.35">
      <c r="A1574" s="6"/>
      <c r="B1574" s="14"/>
      <c r="C1574" s="119"/>
      <c r="D1574" s="58"/>
      <c r="E1574" s="17"/>
      <c r="F1574" s="58"/>
      <c r="G1574" s="19"/>
      <c r="H1574" s="19"/>
      <c r="I1574" s="19"/>
      <c r="J1574" s="19"/>
      <c r="K1574" s="19"/>
      <c r="L1574" s="19"/>
      <c r="M1574" s="14"/>
      <c r="N1574" s="39"/>
      <c r="Q1574" s="1"/>
      <c r="R1574" s="1"/>
      <c r="S1574" s="1"/>
      <c r="T1574" s="1"/>
      <c r="U1574" s="24"/>
      <c r="V1574" s="24"/>
      <c r="W1574" s="1"/>
      <c r="X1574" s="1"/>
      <c r="Z1574" s="94" t="s">
        <v>82</v>
      </c>
    </row>
    <row r="1575" spans="1:26" s="25" customFormat="1" ht="6.95" customHeight="1" x14ac:dyDescent="0.3">
      <c r="A1575" s="165">
        <f>+A1564+1</f>
        <v>144</v>
      </c>
      <c r="B1575" s="166"/>
      <c r="C1575" s="167"/>
      <c r="D1575" s="160" t="s">
        <v>39</v>
      </c>
      <c r="E1575" s="161"/>
      <c r="F1575" s="162" t="s">
        <v>40</v>
      </c>
      <c r="G1575" s="163"/>
      <c r="H1575" s="164"/>
      <c r="I1575" s="163"/>
      <c r="J1575" s="164"/>
      <c r="K1575" s="163"/>
      <c r="L1575" s="164"/>
      <c r="M1575" s="11"/>
      <c r="N1575" s="39"/>
      <c r="Q1575" s="15" t="str">
        <f>+CONCATENATE(E1575,G1575)</f>
        <v/>
      </c>
      <c r="R1575" s="15">
        <f>+H1575</f>
        <v>0</v>
      </c>
      <c r="S1575" s="16"/>
      <c r="T1575" s="15">
        <f>+E1575</f>
        <v>0</v>
      </c>
      <c r="U1575" s="26" t="str">
        <f>IFERROR(LEFT(G1575,FIND("*",G1575)-1),"-")</f>
        <v>-</v>
      </c>
      <c r="V1575" s="26" t="str">
        <f>IFERROR(RIGHT(G1575,LEN(G1575)-FIND("*",G1575)),"-")</f>
        <v>-</v>
      </c>
      <c r="W1575" s="27" t="str">
        <f>IFERROR((U1575+V1575)*2/1000,"-")</f>
        <v>-</v>
      </c>
      <c r="X1575" s="27" t="str">
        <f>IFERROR(W1575*H1575,"-")</f>
        <v>-</v>
      </c>
      <c r="Z1575" s="94" t="s">
        <v>82</v>
      </c>
    </row>
    <row r="1576" spans="1:26" s="25" customFormat="1" ht="6.95" customHeight="1" x14ac:dyDescent="0.3">
      <c r="A1576" s="165"/>
      <c r="B1576" s="168"/>
      <c r="C1576" s="169"/>
      <c r="D1576" s="160"/>
      <c r="E1576" s="161"/>
      <c r="F1576" s="162"/>
      <c r="G1576" s="163"/>
      <c r="H1576" s="164"/>
      <c r="I1576" s="163"/>
      <c r="J1576" s="164"/>
      <c r="K1576" s="163"/>
      <c r="L1576" s="164"/>
      <c r="M1576" s="11"/>
      <c r="N1576" s="39"/>
      <c r="Q1576" s="15" t="str">
        <f>+CONCATENATE(E1575,I1575)</f>
        <v/>
      </c>
      <c r="R1576" s="15">
        <f>+J1575</f>
        <v>0</v>
      </c>
      <c r="S1576" s="16"/>
      <c r="T1576" s="15">
        <f>+E1575</f>
        <v>0</v>
      </c>
      <c r="U1576" s="26" t="str">
        <f>IFERROR(LEFT(I1575,FIND("*",I1575)-1),"-")</f>
        <v>-</v>
      </c>
      <c r="V1576" s="26" t="str">
        <f>IFERROR(RIGHT(I1575,LEN(I1575)-FIND("*",I1575)),"-")</f>
        <v>-</v>
      </c>
      <c r="W1576" s="27" t="str">
        <f t="shared" ref="W1576:W1583" si="856">IFERROR((U1576+V1576)*2/1000,"-")</f>
        <v>-</v>
      </c>
      <c r="X1576" s="27" t="str">
        <f>IFERROR(W1576*J1575,"-")</f>
        <v>-</v>
      </c>
      <c r="Z1576" s="94" t="s">
        <v>82</v>
      </c>
    </row>
    <row r="1577" spans="1:26" s="25" customFormat="1" ht="6.95" customHeight="1" x14ac:dyDescent="0.3">
      <c r="A1577" s="165"/>
      <c r="B1577" s="168"/>
      <c r="C1577" s="169"/>
      <c r="D1577" s="160"/>
      <c r="E1577" s="161"/>
      <c r="F1577" s="162"/>
      <c r="G1577" s="163"/>
      <c r="H1577" s="164"/>
      <c r="I1577" s="163"/>
      <c r="J1577" s="164"/>
      <c r="K1577" s="163"/>
      <c r="L1577" s="164"/>
      <c r="M1577" s="11"/>
      <c r="N1577" s="39"/>
      <c r="Q1577" s="15" t="str">
        <f>+CONCATENATE(E1575,K1575)</f>
        <v/>
      </c>
      <c r="R1577" s="15">
        <f>+L1575</f>
        <v>0</v>
      </c>
      <c r="S1577" s="16"/>
      <c r="T1577" s="15">
        <f>+E1575</f>
        <v>0</v>
      </c>
      <c r="U1577" s="26" t="str">
        <f>IFERROR(LEFT(K1575,FIND("*",K1575)-1),"-")</f>
        <v>-</v>
      </c>
      <c r="V1577" s="26" t="str">
        <f>IFERROR(RIGHT(K1575,LEN(K1575)-FIND("*",K1575)),"-")</f>
        <v>-</v>
      </c>
      <c r="W1577" s="27" t="str">
        <f t="shared" si="856"/>
        <v>-</v>
      </c>
      <c r="X1577" s="27" t="str">
        <f>IFERROR(W1577*L1575,"-")</f>
        <v>-</v>
      </c>
      <c r="Z1577" s="94" t="s">
        <v>82</v>
      </c>
    </row>
    <row r="1578" spans="1:26" s="25" customFormat="1" ht="6.95" customHeight="1" x14ac:dyDescent="0.3">
      <c r="A1578" s="13"/>
      <c r="B1578" s="168"/>
      <c r="C1578" s="169"/>
      <c r="D1578" s="160" t="s">
        <v>39</v>
      </c>
      <c r="E1578" s="161"/>
      <c r="F1578" s="162" t="s">
        <v>40</v>
      </c>
      <c r="G1578" s="163"/>
      <c r="H1578" s="164"/>
      <c r="I1578" s="163"/>
      <c r="J1578" s="164"/>
      <c r="K1578" s="163"/>
      <c r="L1578" s="164"/>
      <c r="M1578" s="11"/>
      <c r="N1578" s="39"/>
      <c r="Q1578" s="15" t="str">
        <f>+CONCATENATE(E1578,G1578)</f>
        <v/>
      </c>
      <c r="R1578" s="15">
        <f>+H1578</f>
        <v>0</v>
      </c>
      <c r="S1578" s="16"/>
      <c r="T1578" s="15">
        <f>+E1578</f>
        <v>0</v>
      </c>
      <c r="U1578" s="26" t="str">
        <f t="shared" ref="U1578" si="857">IFERROR(LEFT(G1578,FIND("*",G1578)-1),"-")</f>
        <v>-</v>
      </c>
      <c r="V1578" s="26" t="str">
        <f t="shared" ref="V1578" si="858">IFERROR(RIGHT(G1578,LEN(G1578)-FIND("*",G1578)),"-")</f>
        <v>-</v>
      </c>
      <c r="W1578" s="27" t="str">
        <f t="shared" si="856"/>
        <v>-</v>
      </c>
      <c r="X1578" s="27" t="str">
        <f>IFERROR(W1578*H1578,"-")</f>
        <v>-</v>
      </c>
      <c r="Z1578" s="94" t="s">
        <v>82</v>
      </c>
    </row>
    <row r="1579" spans="1:26" s="25" customFormat="1" ht="6.95" customHeight="1" x14ac:dyDescent="0.3">
      <c r="A1579" s="10"/>
      <c r="B1579" s="168"/>
      <c r="C1579" s="169"/>
      <c r="D1579" s="160"/>
      <c r="E1579" s="161"/>
      <c r="F1579" s="162"/>
      <c r="G1579" s="163"/>
      <c r="H1579" s="164"/>
      <c r="I1579" s="163"/>
      <c r="J1579" s="164"/>
      <c r="K1579" s="163"/>
      <c r="L1579" s="164"/>
      <c r="M1579" s="11"/>
      <c r="N1579" s="39"/>
      <c r="Q1579" s="15" t="str">
        <f>+CONCATENATE(E1578,I1578)</f>
        <v/>
      </c>
      <c r="R1579" s="15">
        <f>+J1578</f>
        <v>0</v>
      </c>
      <c r="S1579" s="16"/>
      <c r="T1579" s="15">
        <f>+E1578</f>
        <v>0</v>
      </c>
      <c r="U1579" s="26" t="str">
        <f>IFERROR(LEFT(I1578,FIND("*",I1578)-1),"-")</f>
        <v>-</v>
      </c>
      <c r="V1579" s="26" t="str">
        <f>IFERROR(RIGHT(I1578,LEN(I1578)-FIND("*",I1578)),"-")</f>
        <v>-</v>
      </c>
      <c r="W1579" s="27" t="str">
        <f t="shared" si="856"/>
        <v>-</v>
      </c>
      <c r="X1579" s="27" t="str">
        <f>IFERROR(W1579*J1578,"-")</f>
        <v>-</v>
      </c>
      <c r="Z1579" s="94" t="s">
        <v>82</v>
      </c>
    </row>
    <row r="1580" spans="1:26" s="25" customFormat="1" ht="6.95" customHeight="1" x14ac:dyDescent="0.3">
      <c r="A1580" s="10"/>
      <c r="B1580" s="168"/>
      <c r="C1580" s="169"/>
      <c r="D1580" s="160"/>
      <c r="E1580" s="161"/>
      <c r="F1580" s="162"/>
      <c r="G1580" s="163"/>
      <c r="H1580" s="164"/>
      <c r="I1580" s="163"/>
      <c r="J1580" s="164"/>
      <c r="K1580" s="163"/>
      <c r="L1580" s="164"/>
      <c r="M1580" s="11"/>
      <c r="N1580" s="39"/>
      <c r="Q1580" s="15" t="str">
        <f>+CONCATENATE(E1578,K1578)</f>
        <v/>
      </c>
      <c r="R1580" s="15">
        <f>+L1578</f>
        <v>0</v>
      </c>
      <c r="S1580" s="16"/>
      <c r="T1580" s="15">
        <f>+E1578</f>
        <v>0</v>
      </c>
      <c r="U1580" s="26" t="str">
        <f>IFERROR(LEFT(K1578,FIND("*",K1578)-1),"-")</f>
        <v>-</v>
      </c>
      <c r="V1580" s="26" t="str">
        <f>IFERROR(RIGHT(K1578,LEN(K1578)-FIND("*",K1578)),"-")</f>
        <v>-</v>
      </c>
      <c r="W1580" s="27" t="str">
        <f t="shared" si="856"/>
        <v>-</v>
      </c>
      <c r="X1580" s="27" t="str">
        <f>IFERROR(W1580*L1578,"-")</f>
        <v>-</v>
      </c>
      <c r="Z1580" s="94" t="s">
        <v>82</v>
      </c>
    </row>
    <row r="1581" spans="1:26" s="25" customFormat="1" ht="6.95" customHeight="1" x14ac:dyDescent="0.3">
      <c r="A1581" s="13"/>
      <c r="B1581" s="168"/>
      <c r="C1581" s="169"/>
      <c r="D1581" s="160" t="s">
        <v>39</v>
      </c>
      <c r="E1581" s="161"/>
      <c r="F1581" s="162" t="s">
        <v>40</v>
      </c>
      <c r="G1581" s="163"/>
      <c r="H1581" s="164"/>
      <c r="I1581" s="163"/>
      <c r="J1581" s="164"/>
      <c r="K1581" s="163"/>
      <c r="L1581" s="164"/>
      <c r="M1581" s="11"/>
      <c r="N1581" s="39"/>
      <c r="Q1581" s="15" t="str">
        <f>+CONCATENATE(E1581,G1581)</f>
        <v/>
      </c>
      <c r="R1581" s="15">
        <f>+H1581</f>
        <v>0</v>
      </c>
      <c r="S1581" s="16"/>
      <c r="T1581" s="15">
        <f>+E1581</f>
        <v>0</v>
      </c>
      <c r="U1581" s="26" t="str">
        <f t="shared" ref="U1581" si="859">IFERROR(LEFT(G1581,FIND("*",G1581)-1),"-")</f>
        <v>-</v>
      </c>
      <c r="V1581" s="26" t="str">
        <f t="shared" ref="V1581" si="860">IFERROR(RIGHT(G1581,LEN(G1581)-FIND("*",G1581)),"-")</f>
        <v>-</v>
      </c>
      <c r="W1581" s="27" t="str">
        <f t="shared" si="856"/>
        <v>-</v>
      </c>
      <c r="X1581" s="27" t="str">
        <f>IFERROR(W1581*H1581,"-")</f>
        <v>-</v>
      </c>
      <c r="Z1581" s="94" t="s">
        <v>82</v>
      </c>
    </row>
    <row r="1582" spans="1:26" s="25" customFormat="1" ht="6.95" customHeight="1" x14ac:dyDescent="0.3">
      <c r="A1582" s="10"/>
      <c r="B1582" s="168"/>
      <c r="C1582" s="169"/>
      <c r="D1582" s="160"/>
      <c r="E1582" s="161"/>
      <c r="F1582" s="162"/>
      <c r="G1582" s="163"/>
      <c r="H1582" s="164"/>
      <c r="I1582" s="163"/>
      <c r="J1582" s="164"/>
      <c r="K1582" s="163"/>
      <c r="L1582" s="164"/>
      <c r="M1582" s="11"/>
      <c r="N1582" s="39"/>
      <c r="Q1582" s="15" t="str">
        <f>+CONCATENATE(E1581,I1581)</f>
        <v/>
      </c>
      <c r="R1582" s="15">
        <f>+J1581</f>
        <v>0</v>
      </c>
      <c r="S1582" s="16"/>
      <c r="T1582" s="15">
        <f>+E1581</f>
        <v>0</v>
      </c>
      <c r="U1582" s="26" t="str">
        <f>IFERROR(LEFT(I1581,FIND("*",I1581)-1),"-")</f>
        <v>-</v>
      </c>
      <c r="V1582" s="26" t="str">
        <f>IFERROR(RIGHT(I1581,LEN(I1581)-FIND("*",I1581)),"-")</f>
        <v>-</v>
      </c>
      <c r="W1582" s="27" t="str">
        <f t="shared" si="856"/>
        <v>-</v>
      </c>
      <c r="X1582" s="27" t="str">
        <f t="shared" ref="X1582" si="861">IFERROR(W1582*J1581,"-")</f>
        <v>-</v>
      </c>
      <c r="Z1582" s="94" t="s">
        <v>82</v>
      </c>
    </row>
    <row r="1583" spans="1:26" s="25" customFormat="1" ht="6.95" customHeight="1" x14ac:dyDescent="0.3">
      <c r="A1583" s="10"/>
      <c r="B1583" s="168"/>
      <c r="C1583" s="169"/>
      <c r="D1583" s="160"/>
      <c r="E1583" s="161"/>
      <c r="F1583" s="162"/>
      <c r="G1583" s="163"/>
      <c r="H1583" s="164"/>
      <c r="I1583" s="163"/>
      <c r="J1583" s="164"/>
      <c r="K1583" s="163"/>
      <c r="L1583" s="164"/>
      <c r="M1583" s="11"/>
      <c r="N1583" s="39"/>
      <c r="Q1583" s="15" t="str">
        <f>+CONCATENATE(E1581,K1581)</f>
        <v/>
      </c>
      <c r="R1583" s="15">
        <f>+L1581</f>
        <v>0</v>
      </c>
      <c r="S1583" s="16"/>
      <c r="T1583" s="15">
        <f>+E1581</f>
        <v>0</v>
      </c>
      <c r="U1583" s="26" t="str">
        <f>IFERROR(LEFT(K1581,FIND("*",K1581)-1),"-")</f>
        <v>-</v>
      </c>
      <c r="V1583" s="26" t="str">
        <f>IFERROR(RIGHT(K1581,LEN(K1581)-FIND("*",K1581)),"-")</f>
        <v>-</v>
      </c>
      <c r="W1583" s="27" t="str">
        <f t="shared" si="856"/>
        <v>-</v>
      </c>
      <c r="X1583" s="27" t="str">
        <f>IFERROR(W1583*L1581,"-")</f>
        <v>-</v>
      </c>
      <c r="Z1583" s="94" t="s">
        <v>82</v>
      </c>
    </row>
    <row r="1584" spans="1:26" s="25" customFormat="1" ht="21" customHeight="1" thickBot="1" x14ac:dyDescent="0.35">
      <c r="A1584" s="10"/>
      <c r="B1584" s="170"/>
      <c r="C1584" s="171"/>
      <c r="D1584" s="172" t="s">
        <v>43</v>
      </c>
      <c r="E1584" s="173"/>
      <c r="F1584" s="173"/>
      <c r="G1584" s="174"/>
      <c r="H1584" s="174"/>
      <c r="I1584" s="174"/>
      <c r="J1584" s="174"/>
      <c r="K1584" s="174"/>
      <c r="L1584" s="174"/>
      <c r="M1584" s="12"/>
      <c r="N1584" s="39"/>
      <c r="U1584" s="23"/>
      <c r="V1584" s="23"/>
      <c r="Z1584" s="95" t="s">
        <v>81</v>
      </c>
    </row>
    <row r="1585" spans="1:26" s="25" customFormat="1" ht="9.9499999999999993" customHeight="1" thickBot="1" x14ac:dyDescent="0.35">
      <c r="A1585" s="6"/>
      <c r="B1585" s="14"/>
      <c r="C1585" s="119"/>
      <c r="D1585" s="58"/>
      <c r="E1585" s="17"/>
      <c r="F1585" s="58"/>
      <c r="G1585" s="19"/>
      <c r="H1585" s="19"/>
      <c r="I1585" s="19"/>
      <c r="J1585" s="19"/>
      <c r="K1585" s="19"/>
      <c r="L1585" s="19"/>
      <c r="M1585" s="14"/>
      <c r="N1585" s="39"/>
      <c r="Q1585" s="1"/>
      <c r="R1585" s="1"/>
      <c r="S1585" s="1"/>
      <c r="T1585" s="1"/>
      <c r="U1585" s="24"/>
      <c r="V1585" s="24"/>
      <c r="W1585" s="1"/>
      <c r="X1585" s="1"/>
      <c r="Z1585" s="94" t="s">
        <v>82</v>
      </c>
    </row>
    <row r="1586" spans="1:26" s="25" customFormat="1" ht="6.95" customHeight="1" x14ac:dyDescent="0.3">
      <c r="A1586" s="165">
        <f>+A1575+1</f>
        <v>145</v>
      </c>
      <c r="B1586" s="166"/>
      <c r="C1586" s="167"/>
      <c r="D1586" s="160" t="s">
        <v>39</v>
      </c>
      <c r="E1586" s="161"/>
      <c r="F1586" s="162" t="s">
        <v>40</v>
      </c>
      <c r="G1586" s="163"/>
      <c r="H1586" s="164"/>
      <c r="I1586" s="163"/>
      <c r="J1586" s="164"/>
      <c r="K1586" s="163"/>
      <c r="L1586" s="164"/>
      <c r="M1586" s="11"/>
      <c r="N1586" s="39"/>
      <c r="Q1586" s="15" t="str">
        <f>+CONCATENATE(E1586,G1586)</f>
        <v/>
      </c>
      <c r="R1586" s="15">
        <f>+H1586</f>
        <v>0</v>
      </c>
      <c r="S1586" s="16"/>
      <c r="T1586" s="15">
        <f>+E1586</f>
        <v>0</v>
      </c>
      <c r="U1586" s="26" t="str">
        <f>IFERROR(LEFT(G1586,FIND("*",G1586)-1),"-")</f>
        <v>-</v>
      </c>
      <c r="V1586" s="26" t="str">
        <f>IFERROR(RIGHT(G1586,LEN(G1586)-FIND("*",G1586)),"-")</f>
        <v>-</v>
      </c>
      <c r="W1586" s="27" t="str">
        <f>IFERROR((U1586+V1586)*2/1000,"-")</f>
        <v>-</v>
      </c>
      <c r="X1586" s="27" t="str">
        <f>IFERROR(W1586*H1586,"-")</f>
        <v>-</v>
      </c>
      <c r="Z1586" s="94" t="s">
        <v>82</v>
      </c>
    </row>
    <row r="1587" spans="1:26" s="25" customFormat="1" ht="6.95" customHeight="1" x14ac:dyDescent="0.3">
      <c r="A1587" s="165"/>
      <c r="B1587" s="168"/>
      <c r="C1587" s="169"/>
      <c r="D1587" s="160"/>
      <c r="E1587" s="161"/>
      <c r="F1587" s="162"/>
      <c r="G1587" s="163"/>
      <c r="H1587" s="164"/>
      <c r="I1587" s="163"/>
      <c r="J1587" s="164"/>
      <c r="K1587" s="163"/>
      <c r="L1587" s="164"/>
      <c r="M1587" s="11"/>
      <c r="N1587" s="39"/>
      <c r="Q1587" s="15" t="str">
        <f>+CONCATENATE(E1586,I1586)</f>
        <v/>
      </c>
      <c r="R1587" s="15">
        <f>+J1586</f>
        <v>0</v>
      </c>
      <c r="S1587" s="16"/>
      <c r="T1587" s="15">
        <f>+E1586</f>
        <v>0</v>
      </c>
      <c r="U1587" s="26" t="str">
        <f>IFERROR(LEFT(I1586,FIND("*",I1586)-1),"-")</f>
        <v>-</v>
      </c>
      <c r="V1587" s="26" t="str">
        <f>IFERROR(RIGHT(I1586,LEN(I1586)-FIND("*",I1586)),"-")</f>
        <v>-</v>
      </c>
      <c r="W1587" s="27" t="str">
        <f t="shared" ref="W1587:W1594" si="862">IFERROR((U1587+V1587)*2/1000,"-")</f>
        <v>-</v>
      </c>
      <c r="X1587" s="27" t="str">
        <f>IFERROR(W1587*J1586,"-")</f>
        <v>-</v>
      </c>
      <c r="Z1587" s="94" t="s">
        <v>82</v>
      </c>
    </row>
    <row r="1588" spans="1:26" s="25" customFormat="1" ht="6.95" customHeight="1" x14ac:dyDescent="0.3">
      <c r="A1588" s="165"/>
      <c r="B1588" s="168"/>
      <c r="C1588" s="169"/>
      <c r="D1588" s="160"/>
      <c r="E1588" s="161"/>
      <c r="F1588" s="162"/>
      <c r="G1588" s="163"/>
      <c r="H1588" s="164"/>
      <c r="I1588" s="163"/>
      <c r="J1588" s="164"/>
      <c r="K1588" s="163"/>
      <c r="L1588" s="164"/>
      <c r="M1588" s="11"/>
      <c r="N1588" s="39"/>
      <c r="Q1588" s="15" t="str">
        <f>+CONCATENATE(E1586,K1586)</f>
        <v/>
      </c>
      <c r="R1588" s="15">
        <f>+L1586</f>
        <v>0</v>
      </c>
      <c r="S1588" s="16"/>
      <c r="T1588" s="15">
        <f>+E1586</f>
        <v>0</v>
      </c>
      <c r="U1588" s="26" t="str">
        <f>IFERROR(LEFT(K1586,FIND("*",K1586)-1),"-")</f>
        <v>-</v>
      </c>
      <c r="V1588" s="26" t="str">
        <f>IFERROR(RIGHT(K1586,LEN(K1586)-FIND("*",K1586)),"-")</f>
        <v>-</v>
      </c>
      <c r="W1588" s="27" t="str">
        <f t="shared" si="862"/>
        <v>-</v>
      </c>
      <c r="X1588" s="27" t="str">
        <f>IFERROR(W1588*L1586,"-")</f>
        <v>-</v>
      </c>
      <c r="Z1588" s="94" t="s">
        <v>82</v>
      </c>
    </row>
    <row r="1589" spans="1:26" s="25" customFormat="1" ht="6.95" customHeight="1" x14ac:dyDescent="0.3">
      <c r="A1589" s="13"/>
      <c r="B1589" s="168"/>
      <c r="C1589" s="169"/>
      <c r="D1589" s="160" t="s">
        <v>39</v>
      </c>
      <c r="E1589" s="161"/>
      <c r="F1589" s="162" t="s">
        <v>40</v>
      </c>
      <c r="G1589" s="163"/>
      <c r="H1589" s="164"/>
      <c r="I1589" s="163"/>
      <c r="J1589" s="164"/>
      <c r="K1589" s="163"/>
      <c r="L1589" s="164"/>
      <c r="M1589" s="11"/>
      <c r="N1589" s="39"/>
      <c r="Q1589" s="15" t="str">
        <f>+CONCATENATE(E1589,G1589)</f>
        <v/>
      </c>
      <c r="R1589" s="15">
        <f>+H1589</f>
        <v>0</v>
      </c>
      <c r="S1589" s="16"/>
      <c r="T1589" s="15">
        <f>+E1589</f>
        <v>0</v>
      </c>
      <c r="U1589" s="26" t="str">
        <f t="shared" ref="U1589" si="863">IFERROR(LEFT(G1589,FIND("*",G1589)-1),"-")</f>
        <v>-</v>
      </c>
      <c r="V1589" s="26" t="str">
        <f t="shared" ref="V1589" si="864">IFERROR(RIGHT(G1589,LEN(G1589)-FIND("*",G1589)),"-")</f>
        <v>-</v>
      </c>
      <c r="W1589" s="27" t="str">
        <f t="shared" si="862"/>
        <v>-</v>
      </c>
      <c r="X1589" s="27" t="str">
        <f>IFERROR(W1589*H1589,"-")</f>
        <v>-</v>
      </c>
      <c r="Z1589" s="94" t="s">
        <v>82</v>
      </c>
    </row>
    <row r="1590" spans="1:26" s="25" customFormat="1" ht="6.95" customHeight="1" x14ac:dyDescent="0.3">
      <c r="A1590" s="10"/>
      <c r="B1590" s="168"/>
      <c r="C1590" s="169"/>
      <c r="D1590" s="160"/>
      <c r="E1590" s="161"/>
      <c r="F1590" s="162"/>
      <c r="G1590" s="163"/>
      <c r="H1590" s="164"/>
      <c r="I1590" s="163"/>
      <c r="J1590" s="164"/>
      <c r="K1590" s="163"/>
      <c r="L1590" s="164"/>
      <c r="M1590" s="11"/>
      <c r="N1590" s="39"/>
      <c r="Q1590" s="15" t="str">
        <f>+CONCATENATE(E1589,I1589)</f>
        <v/>
      </c>
      <c r="R1590" s="15">
        <f>+J1589</f>
        <v>0</v>
      </c>
      <c r="S1590" s="16"/>
      <c r="T1590" s="15">
        <f>+E1589</f>
        <v>0</v>
      </c>
      <c r="U1590" s="26" t="str">
        <f>IFERROR(LEFT(I1589,FIND("*",I1589)-1),"-")</f>
        <v>-</v>
      </c>
      <c r="V1590" s="26" t="str">
        <f>IFERROR(RIGHT(I1589,LEN(I1589)-FIND("*",I1589)),"-")</f>
        <v>-</v>
      </c>
      <c r="W1590" s="27" t="str">
        <f t="shared" si="862"/>
        <v>-</v>
      </c>
      <c r="X1590" s="27" t="str">
        <f>IFERROR(W1590*J1589,"-")</f>
        <v>-</v>
      </c>
      <c r="Z1590" s="94" t="s">
        <v>82</v>
      </c>
    </row>
    <row r="1591" spans="1:26" s="25" customFormat="1" ht="6.95" customHeight="1" x14ac:dyDescent="0.3">
      <c r="A1591" s="10"/>
      <c r="B1591" s="168"/>
      <c r="C1591" s="169"/>
      <c r="D1591" s="160"/>
      <c r="E1591" s="161"/>
      <c r="F1591" s="162"/>
      <c r="G1591" s="163"/>
      <c r="H1591" s="164"/>
      <c r="I1591" s="163"/>
      <c r="J1591" s="164"/>
      <c r="K1591" s="163"/>
      <c r="L1591" s="164"/>
      <c r="M1591" s="11"/>
      <c r="N1591" s="39"/>
      <c r="Q1591" s="15" t="str">
        <f>+CONCATENATE(E1589,K1589)</f>
        <v/>
      </c>
      <c r="R1591" s="15">
        <f>+L1589</f>
        <v>0</v>
      </c>
      <c r="S1591" s="16"/>
      <c r="T1591" s="15">
        <f>+E1589</f>
        <v>0</v>
      </c>
      <c r="U1591" s="26" t="str">
        <f>IFERROR(LEFT(K1589,FIND("*",K1589)-1),"-")</f>
        <v>-</v>
      </c>
      <c r="V1591" s="26" t="str">
        <f>IFERROR(RIGHT(K1589,LEN(K1589)-FIND("*",K1589)),"-")</f>
        <v>-</v>
      </c>
      <c r="W1591" s="27" t="str">
        <f t="shared" si="862"/>
        <v>-</v>
      </c>
      <c r="X1591" s="27" t="str">
        <f>IFERROR(W1591*L1589,"-")</f>
        <v>-</v>
      </c>
      <c r="Z1591" s="94" t="s">
        <v>82</v>
      </c>
    </row>
    <row r="1592" spans="1:26" s="25" customFormat="1" ht="6.95" customHeight="1" x14ac:dyDescent="0.3">
      <c r="A1592" s="13"/>
      <c r="B1592" s="168"/>
      <c r="C1592" s="169"/>
      <c r="D1592" s="160" t="s">
        <v>39</v>
      </c>
      <c r="E1592" s="161"/>
      <c r="F1592" s="162" t="s">
        <v>40</v>
      </c>
      <c r="G1592" s="163"/>
      <c r="H1592" s="164"/>
      <c r="I1592" s="163"/>
      <c r="J1592" s="164"/>
      <c r="K1592" s="163"/>
      <c r="L1592" s="164"/>
      <c r="M1592" s="11"/>
      <c r="N1592" s="39"/>
      <c r="Q1592" s="15" t="str">
        <f>+CONCATENATE(E1592,G1592)</f>
        <v/>
      </c>
      <c r="R1592" s="15">
        <f>+H1592</f>
        <v>0</v>
      </c>
      <c r="S1592" s="16"/>
      <c r="T1592" s="15">
        <f>+E1592</f>
        <v>0</v>
      </c>
      <c r="U1592" s="26" t="str">
        <f t="shared" ref="U1592" si="865">IFERROR(LEFT(G1592,FIND("*",G1592)-1),"-")</f>
        <v>-</v>
      </c>
      <c r="V1592" s="26" t="str">
        <f t="shared" ref="V1592" si="866">IFERROR(RIGHT(G1592,LEN(G1592)-FIND("*",G1592)),"-")</f>
        <v>-</v>
      </c>
      <c r="W1592" s="27" t="str">
        <f t="shared" si="862"/>
        <v>-</v>
      </c>
      <c r="X1592" s="27" t="str">
        <f>IFERROR(W1592*H1592,"-")</f>
        <v>-</v>
      </c>
      <c r="Z1592" s="94" t="s">
        <v>82</v>
      </c>
    </row>
    <row r="1593" spans="1:26" s="25" customFormat="1" ht="6.95" customHeight="1" x14ac:dyDescent="0.3">
      <c r="A1593" s="10"/>
      <c r="B1593" s="168"/>
      <c r="C1593" s="169"/>
      <c r="D1593" s="160"/>
      <c r="E1593" s="161"/>
      <c r="F1593" s="162"/>
      <c r="G1593" s="163"/>
      <c r="H1593" s="164"/>
      <c r="I1593" s="163"/>
      <c r="J1593" s="164"/>
      <c r="K1593" s="163"/>
      <c r="L1593" s="164"/>
      <c r="M1593" s="11"/>
      <c r="N1593" s="39"/>
      <c r="Q1593" s="15" t="str">
        <f>+CONCATENATE(E1592,I1592)</f>
        <v/>
      </c>
      <c r="R1593" s="15">
        <f>+J1592</f>
        <v>0</v>
      </c>
      <c r="S1593" s="16"/>
      <c r="T1593" s="15">
        <f>+E1592</f>
        <v>0</v>
      </c>
      <c r="U1593" s="26" t="str">
        <f>IFERROR(LEFT(I1592,FIND("*",I1592)-1),"-")</f>
        <v>-</v>
      </c>
      <c r="V1593" s="26" t="str">
        <f>IFERROR(RIGHT(I1592,LEN(I1592)-FIND("*",I1592)),"-")</f>
        <v>-</v>
      </c>
      <c r="W1593" s="27" t="str">
        <f t="shared" si="862"/>
        <v>-</v>
      </c>
      <c r="X1593" s="27" t="str">
        <f t="shared" ref="X1593" si="867">IFERROR(W1593*J1592,"-")</f>
        <v>-</v>
      </c>
      <c r="Z1593" s="94" t="s">
        <v>82</v>
      </c>
    </row>
    <row r="1594" spans="1:26" s="25" customFormat="1" ht="6.95" customHeight="1" x14ac:dyDescent="0.3">
      <c r="A1594" s="10"/>
      <c r="B1594" s="168"/>
      <c r="C1594" s="169"/>
      <c r="D1594" s="160"/>
      <c r="E1594" s="161"/>
      <c r="F1594" s="162"/>
      <c r="G1594" s="163"/>
      <c r="H1594" s="164"/>
      <c r="I1594" s="163"/>
      <c r="J1594" s="164"/>
      <c r="K1594" s="163"/>
      <c r="L1594" s="164"/>
      <c r="M1594" s="11"/>
      <c r="N1594" s="39"/>
      <c r="Q1594" s="15" t="str">
        <f>+CONCATENATE(E1592,K1592)</f>
        <v/>
      </c>
      <c r="R1594" s="15">
        <f>+L1592</f>
        <v>0</v>
      </c>
      <c r="S1594" s="16"/>
      <c r="T1594" s="15">
        <f>+E1592</f>
        <v>0</v>
      </c>
      <c r="U1594" s="26" t="str">
        <f>IFERROR(LEFT(K1592,FIND("*",K1592)-1),"-")</f>
        <v>-</v>
      </c>
      <c r="V1594" s="26" t="str">
        <f>IFERROR(RIGHT(K1592,LEN(K1592)-FIND("*",K1592)),"-")</f>
        <v>-</v>
      </c>
      <c r="W1594" s="27" t="str">
        <f t="shared" si="862"/>
        <v>-</v>
      </c>
      <c r="X1594" s="27" t="str">
        <f>IFERROR(W1594*L1592,"-")</f>
        <v>-</v>
      </c>
      <c r="Z1594" s="94" t="s">
        <v>82</v>
      </c>
    </row>
    <row r="1595" spans="1:26" s="25" customFormat="1" ht="21" customHeight="1" thickBot="1" x14ac:dyDescent="0.35">
      <c r="A1595" s="10"/>
      <c r="B1595" s="170"/>
      <c r="C1595" s="171"/>
      <c r="D1595" s="172" t="s">
        <v>43</v>
      </c>
      <c r="E1595" s="173"/>
      <c r="F1595" s="173"/>
      <c r="G1595" s="174"/>
      <c r="H1595" s="174"/>
      <c r="I1595" s="174"/>
      <c r="J1595" s="174"/>
      <c r="K1595" s="174"/>
      <c r="L1595" s="174"/>
      <c r="M1595" s="12"/>
      <c r="N1595" s="39"/>
      <c r="U1595" s="23"/>
      <c r="V1595" s="23"/>
      <c r="Z1595" s="95" t="s">
        <v>81</v>
      </c>
    </row>
    <row r="1596" spans="1:26" s="25" customFormat="1" ht="9.9499999999999993" customHeight="1" thickBot="1" x14ac:dyDescent="0.35">
      <c r="A1596" s="6"/>
      <c r="B1596" s="14"/>
      <c r="C1596" s="119"/>
      <c r="D1596" s="58"/>
      <c r="E1596" s="17"/>
      <c r="F1596" s="58"/>
      <c r="G1596" s="19"/>
      <c r="H1596" s="19"/>
      <c r="I1596" s="19"/>
      <c r="J1596" s="19"/>
      <c r="K1596" s="19"/>
      <c r="L1596" s="19"/>
      <c r="M1596" s="14"/>
      <c r="N1596" s="39"/>
      <c r="Q1596" s="1"/>
      <c r="R1596" s="1"/>
      <c r="S1596" s="1"/>
      <c r="T1596" s="1"/>
      <c r="U1596" s="24"/>
      <c r="V1596" s="24"/>
      <c r="W1596" s="1"/>
      <c r="X1596" s="1"/>
      <c r="Z1596" s="94" t="s">
        <v>82</v>
      </c>
    </row>
    <row r="1597" spans="1:26" s="25" customFormat="1" ht="6.95" customHeight="1" x14ac:dyDescent="0.3">
      <c r="A1597" s="165">
        <f>+A1586+1</f>
        <v>146</v>
      </c>
      <c r="B1597" s="166"/>
      <c r="C1597" s="167"/>
      <c r="D1597" s="160" t="s">
        <v>39</v>
      </c>
      <c r="E1597" s="161"/>
      <c r="F1597" s="162" t="s">
        <v>40</v>
      </c>
      <c r="G1597" s="163"/>
      <c r="H1597" s="164"/>
      <c r="I1597" s="163"/>
      <c r="J1597" s="164"/>
      <c r="K1597" s="163"/>
      <c r="L1597" s="164"/>
      <c r="M1597" s="11"/>
      <c r="N1597" s="39"/>
      <c r="Q1597" s="15" t="str">
        <f>+CONCATENATE(E1597,G1597)</f>
        <v/>
      </c>
      <c r="R1597" s="15">
        <f>+H1597</f>
        <v>0</v>
      </c>
      <c r="S1597" s="16"/>
      <c r="T1597" s="15">
        <f>+E1597</f>
        <v>0</v>
      </c>
      <c r="U1597" s="26" t="str">
        <f>IFERROR(LEFT(G1597,FIND("*",G1597)-1),"-")</f>
        <v>-</v>
      </c>
      <c r="V1597" s="26" t="str">
        <f>IFERROR(RIGHT(G1597,LEN(G1597)-FIND("*",G1597)),"-")</f>
        <v>-</v>
      </c>
      <c r="W1597" s="27" t="str">
        <f>IFERROR((U1597+V1597)*2/1000,"-")</f>
        <v>-</v>
      </c>
      <c r="X1597" s="27" t="str">
        <f>IFERROR(W1597*H1597,"-")</f>
        <v>-</v>
      </c>
      <c r="Z1597" s="94" t="s">
        <v>82</v>
      </c>
    </row>
    <row r="1598" spans="1:26" s="25" customFormat="1" ht="6.95" customHeight="1" x14ac:dyDescent="0.3">
      <c r="A1598" s="165"/>
      <c r="B1598" s="168"/>
      <c r="C1598" s="169"/>
      <c r="D1598" s="160"/>
      <c r="E1598" s="161"/>
      <c r="F1598" s="162"/>
      <c r="G1598" s="163"/>
      <c r="H1598" s="164"/>
      <c r="I1598" s="163"/>
      <c r="J1598" s="164"/>
      <c r="K1598" s="163"/>
      <c r="L1598" s="164"/>
      <c r="M1598" s="11"/>
      <c r="N1598" s="39"/>
      <c r="Q1598" s="15" t="str">
        <f>+CONCATENATE(E1597,I1597)</f>
        <v/>
      </c>
      <c r="R1598" s="15">
        <f>+J1597</f>
        <v>0</v>
      </c>
      <c r="S1598" s="16"/>
      <c r="T1598" s="15">
        <f>+E1597</f>
        <v>0</v>
      </c>
      <c r="U1598" s="26" t="str">
        <f>IFERROR(LEFT(I1597,FIND("*",I1597)-1),"-")</f>
        <v>-</v>
      </c>
      <c r="V1598" s="26" t="str">
        <f>IFERROR(RIGHT(I1597,LEN(I1597)-FIND("*",I1597)),"-")</f>
        <v>-</v>
      </c>
      <c r="W1598" s="27" t="str">
        <f t="shared" ref="W1598:W1605" si="868">IFERROR((U1598+V1598)*2/1000,"-")</f>
        <v>-</v>
      </c>
      <c r="X1598" s="27" t="str">
        <f>IFERROR(W1598*J1597,"-")</f>
        <v>-</v>
      </c>
      <c r="Z1598" s="94" t="s">
        <v>82</v>
      </c>
    </row>
    <row r="1599" spans="1:26" s="25" customFormat="1" ht="6.95" customHeight="1" x14ac:dyDescent="0.3">
      <c r="A1599" s="165"/>
      <c r="B1599" s="168"/>
      <c r="C1599" s="169"/>
      <c r="D1599" s="160"/>
      <c r="E1599" s="161"/>
      <c r="F1599" s="162"/>
      <c r="G1599" s="163"/>
      <c r="H1599" s="164"/>
      <c r="I1599" s="163"/>
      <c r="J1599" s="164"/>
      <c r="K1599" s="163"/>
      <c r="L1599" s="164"/>
      <c r="M1599" s="11"/>
      <c r="N1599" s="39"/>
      <c r="Q1599" s="15" t="str">
        <f>+CONCATENATE(E1597,K1597)</f>
        <v/>
      </c>
      <c r="R1599" s="15">
        <f>+L1597</f>
        <v>0</v>
      </c>
      <c r="S1599" s="16"/>
      <c r="T1599" s="15">
        <f>+E1597</f>
        <v>0</v>
      </c>
      <c r="U1599" s="26" t="str">
        <f>IFERROR(LEFT(K1597,FIND("*",K1597)-1),"-")</f>
        <v>-</v>
      </c>
      <c r="V1599" s="26" t="str">
        <f>IFERROR(RIGHT(K1597,LEN(K1597)-FIND("*",K1597)),"-")</f>
        <v>-</v>
      </c>
      <c r="W1599" s="27" t="str">
        <f t="shared" si="868"/>
        <v>-</v>
      </c>
      <c r="X1599" s="27" t="str">
        <f>IFERROR(W1599*L1597,"-")</f>
        <v>-</v>
      </c>
      <c r="Z1599" s="94" t="s">
        <v>82</v>
      </c>
    </row>
    <row r="1600" spans="1:26" s="25" customFormat="1" ht="6.95" customHeight="1" x14ac:dyDescent="0.3">
      <c r="A1600" s="13"/>
      <c r="B1600" s="168"/>
      <c r="C1600" s="169"/>
      <c r="D1600" s="160" t="s">
        <v>39</v>
      </c>
      <c r="E1600" s="161"/>
      <c r="F1600" s="162" t="s">
        <v>40</v>
      </c>
      <c r="G1600" s="163"/>
      <c r="H1600" s="164"/>
      <c r="I1600" s="163"/>
      <c r="J1600" s="164"/>
      <c r="K1600" s="163"/>
      <c r="L1600" s="164"/>
      <c r="M1600" s="11"/>
      <c r="N1600" s="39"/>
      <c r="Q1600" s="15" t="str">
        <f>+CONCATENATE(E1600,G1600)</f>
        <v/>
      </c>
      <c r="R1600" s="15">
        <f>+H1600</f>
        <v>0</v>
      </c>
      <c r="S1600" s="16"/>
      <c r="T1600" s="15">
        <f>+E1600</f>
        <v>0</v>
      </c>
      <c r="U1600" s="26" t="str">
        <f t="shared" ref="U1600" si="869">IFERROR(LEFT(G1600,FIND("*",G1600)-1),"-")</f>
        <v>-</v>
      </c>
      <c r="V1600" s="26" t="str">
        <f t="shared" ref="V1600" si="870">IFERROR(RIGHT(G1600,LEN(G1600)-FIND("*",G1600)),"-")</f>
        <v>-</v>
      </c>
      <c r="W1600" s="27" t="str">
        <f t="shared" si="868"/>
        <v>-</v>
      </c>
      <c r="X1600" s="27" t="str">
        <f>IFERROR(W1600*H1600,"-")</f>
        <v>-</v>
      </c>
      <c r="Z1600" s="94" t="s">
        <v>82</v>
      </c>
    </row>
    <row r="1601" spans="1:26" s="25" customFormat="1" ht="6.95" customHeight="1" x14ac:dyDescent="0.3">
      <c r="A1601" s="10"/>
      <c r="B1601" s="168"/>
      <c r="C1601" s="169"/>
      <c r="D1601" s="160"/>
      <c r="E1601" s="161"/>
      <c r="F1601" s="162"/>
      <c r="G1601" s="163"/>
      <c r="H1601" s="164"/>
      <c r="I1601" s="163"/>
      <c r="J1601" s="164"/>
      <c r="K1601" s="163"/>
      <c r="L1601" s="164"/>
      <c r="M1601" s="11"/>
      <c r="N1601" s="39"/>
      <c r="Q1601" s="15" t="str">
        <f>+CONCATENATE(E1600,I1600)</f>
        <v/>
      </c>
      <c r="R1601" s="15">
        <f>+J1600</f>
        <v>0</v>
      </c>
      <c r="S1601" s="16"/>
      <c r="T1601" s="15">
        <f>+E1600</f>
        <v>0</v>
      </c>
      <c r="U1601" s="26" t="str">
        <f>IFERROR(LEFT(I1600,FIND("*",I1600)-1),"-")</f>
        <v>-</v>
      </c>
      <c r="V1601" s="26" t="str">
        <f>IFERROR(RIGHT(I1600,LEN(I1600)-FIND("*",I1600)),"-")</f>
        <v>-</v>
      </c>
      <c r="W1601" s="27" t="str">
        <f t="shared" si="868"/>
        <v>-</v>
      </c>
      <c r="X1601" s="27" t="str">
        <f>IFERROR(W1601*J1600,"-")</f>
        <v>-</v>
      </c>
      <c r="Z1601" s="94" t="s">
        <v>82</v>
      </c>
    </row>
    <row r="1602" spans="1:26" s="25" customFormat="1" ht="6.95" customHeight="1" x14ac:dyDescent="0.3">
      <c r="A1602" s="10"/>
      <c r="B1602" s="168"/>
      <c r="C1602" s="169"/>
      <c r="D1602" s="160"/>
      <c r="E1602" s="161"/>
      <c r="F1602" s="162"/>
      <c r="G1602" s="163"/>
      <c r="H1602" s="164"/>
      <c r="I1602" s="163"/>
      <c r="J1602" s="164"/>
      <c r="K1602" s="163"/>
      <c r="L1602" s="164"/>
      <c r="M1602" s="11"/>
      <c r="N1602" s="39"/>
      <c r="Q1602" s="15" t="str">
        <f>+CONCATENATE(E1600,K1600)</f>
        <v/>
      </c>
      <c r="R1602" s="15">
        <f>+L1600</f>
        <v>0</v>
      </c>
      <c r="S1602" s="16"/>
      <c r="T1602" s="15">
        <f>+E1600</f>
        <v>0</v>
      </c>
      <c r="U1602" s="26" t="str">
        <f>IFERROR(LEFT(K1600,FIND("*",K1600)-1),"-")</f>
        <v>-</v>
      </c>
      <c r="V1602" s="26" t="str">
        <f>IFERROR(RIGHT(K1600,LEN(K1600)-FIND("*",K1600)),"-")</f>
        <v>-</v>
      </c>
      <c r="W1602" s="27" t="str">
        <f t="shared" si="868"/>
        <v>-</v>
      </c>
      <c r="X1602" s="27" t="str">
        <f>IFERROR(W1602*L1600,"-")</f>
        <v>-</v>
      </c>
      <c r="Z1602" s="94" t="s">
        <v>82</v>
      </c>
    </row>
    <row r="1603" spans="1:26" s="25" customFormat="1" ht="6.95" customHeight="1" x14ac:dyDescent="0.3">
      <c r="A1603" s="13"/>
      <c r="B1603" s="168"/>
      <c r="C1603" s="169"/>
      <c r="D1603" s="160" t="s">
        <v>39</v>
      </c>
      <c r="E1603" s="161"/>
      <c r="F1603" s="162" t="s">
        <v>40</v>
      </c>
      <c r="G1603" s="163"/>
      <c r="H1603" s="164"/>
      <c r="I1603" s="163"/>
      <c r="J1603" s="164"/>
      <c r="K1603" s="163"/>
      <c r="L1603" s="164"/>
      <c r="M1603" s="11"/>
      <c r="N1603" s="39"/>
      <c r="Q1603" s="15" t="str">
        <f>+CONCATENATE(E1603,G1603)</f>
        <v/>
      </c>
      <c r="R1603" s="15">
        <f>+H1603</f>
        <v>0</v>
      </c>
      <c r="S1603" s="16"/>
      <c r="T1603" s="15">
        <f>+E1603</f>
        <v>0</v>
      </c>
      <c r="U1603" s="26" t="str">
        <f t="shared" ref="U1603" si="871">IFERROR(LEFT(G1603,FIND("*",G1603)-1),"-")</f>
        <v>-</v>
      </c>
      <c r="V1603" s="26" t="str">
        <f t="shared" ref="V1603" si="872">IFERROR(RIGHT(G1603,LEN(G1603)-FIND("*",G1603)),"-")</f>
        <v>-</v>
      </c>
      <c r="W1603" s="27" t="str">
        <f t="shared" si="868"/>
        <v>-</v>
      </c>
      <c r="X1603" s="27" t="str">
        <f>IFERROR(W1603*H1603,"-")</f>
        <v>-</v>
      </c>
      <c r="Z1603" s="94" t="s">
        <v>82</v>
      </c>
    </row>
    <row r="1604" spans="1:26" s="25" customFormat="1" ht="6.95" customHeight="1" x14ac:dyDescent="0.3">
      <c r="A1604" s="10"/>
      <c r="B1604" s="168"/>
      <c r="C1604" s="169"/>
      <c r="D1604" s="160"/>
      <c r="E1604" s="161"/>
      <c r="F1604" s="162"/>
      <c r="G1604" s="163"/>
      <c r="H1604" s="164"/>
      <c r="I1604" s="163"/>
      <c r="J1604" s="164"/>
      <c r="K1604" s="163"/>
      <c r="L1604" s="164"/>
      <c r="M1604" s="11"/>
      <c r="N1604" s="39"/>
      <c r="Q1604" s="15" t="str">
        <f>+CONCATENATE(E1603,I1603)</f>
        <v/>
      </c>
      <c r="R1604" s="15">
        <f>+J1603</f>
        <v>0</v>
      </c>
      <c r="S1604" s="16"/>
      <c r="T1604" s="15">
        <f>+E1603</f>
        <v>0</v>
      </c>
      <c r="U1604" s="26" t="str">
        <f>IFERROR(LEFT(I1603,FIND("*",I1603)-1),"-")</f>
        <v>-</v>
      </c>
      <c r="V1604" s="26" t="str">
        <f>IFERROR(RIGHT(I1603,LEN(I1603)-FIND("*",I1603)),"-")</f>
        <v>-</v>
      </c>
      <c r="W1604" s="27" t="str">
        <f t="shared" si="868"/>
        <v>-</v>
      </c>
      <c r="X1604" s="27" t="str">
        <f t="shared" ref="X1604" si="873">IFERROR(W1604*J1603,"-")</f>
        <v>-</v>
      </c>
      <c r="Z1604" s="94" t="s">
        <v>82</v>
      </c>
    </row>
    <row r="1605" spans="1:26" s="25" customFormat="1" ht="6.95" customHeight="1" x14ac:dyDescent="0.3">
      <c r="A1605" s="10"/>
      <c r="B1605" s="168"/>
      <c r="C1605" s="169"/>
      <c r="D1605" s="160"/>
      <c r="E1605" s="161"/>
      <c r="F1605" s="162"/>
      <c r="G1605" s="163"/>
      <c r="H1605" s="164"/>
      <c r="I1605" s="163"/>
      <c r="J1605" s="164"/>
      <c r="K1605" s="163"/>
      <c r="L1605" s="164"/>
      <c r="M1605" s="11"/>
      <c r="N1605" s="39"/>
      <c r="Q1605" s="15" t="str">
        <f>+CONCATENATE(E1603,K1603)</f>
        <v/>
      </c>
      <c r="R1605" s="15">
        <f>+L1603</f>
        <v>0</v>
      </c>
      <c r="S1605" s="16"/>
      <c r="T1605" s="15">
        <f>+E1603</f>
        <v>0</v>
      </c>
      <c r="U1605" s="26" t="str">
        <f>IFERROR(LEFT(K1603,FIND("*",K1603)-1),"-")</f>
        <v>-</v>
      </c>
      <c r="V1605" s="26" t="str">
        <f>IFERROR(RIGHT(K1603,LEN(K1603)-FIND("*",K1603)),"-")</f>
        <v>-</v>
      </c>
      <c r="W1605" s="27" t="str">
        <f t="shared" si="868"/>
        <v>-</v>
      </c>
      <c r="X1605" s="27" t="str">
        <f>IFERROR(W1605*L1603,"-")</f>
        <v>-</v>
      </c>
      <c r="Z1605" s="94" t="s">
        <v>82</v>
      </c>
    </row>
    <row r="1606" spans="1:26" s="25" customFormat="1" ht="21" customHeight="1" thickBot="1" x14ac:dyDescent="0.35">
      <c r="A1606" s="10"/>
      <c r="B1606" s="170"/>
      <c r="C1606" s="171"/>
      <c r="D1606" s="172" t="s">
        <v>43</v>
      </c>
      <c r="E1606" s="173"/>
      <c r="F1606" s="173"/>
      <c r="G1606" s="174"/>
      <c r="H1606" s="174"/>
      <c r="I1606" s="174"/>
      <c r="J1606" s="174"/>
      <c r="K1606" s="174"/>
      <c r="L1606" s="174"/>
      <c r="M1606" s="12"/>
      <c r="N1606" s="39"/>
      <c r="U1606" s="23"/>
      <c r="V1606" s="23"/>
      <c r="Z1606" s="95" t="s">
        <v>81</v>
      </c>
    </row>
    <row r="1607" spans="1:26" s="25" customFormat="1" ht="9.9499999999999993" customHeight="1" thickBot="1" x14ac:dyDescent="0.35">
      <c r="A1607" s="6"/>
      <c r="B1607" s="14"/>
      <c r="C1607" s="119"/>
      <c r="D1607" s="58"/>
      <c r="E1607" s="17"/>
      <c r="F1607" s="58"/>
      <c r="G1607" s="19"/>
      <c r="H1607" s="19"/>
      <c r="I1607" s="19"/>
      <c r="J1607" s="19"/>
      <c r="K1607" s="19"/>
      <c r="L1607" s="19"/>
      <c r="M1607" s="14"/>
      <c r="N1607" s="39"/>
      <c r="Q1607" s="1"/>
      <c r="R1607" s="1"/>
      <c r="S1607" s="1"/>
      <c r="T1607" s="1"/>
      <c r="U1607" s="24"/>
      <c r="V1607" s="24"/>
      <c r="W1607" s="1"/>
      <c r="X1607" s="1"/>
      <c r="Z1607" s="94" t="s">
        <v>82</v>
      </c>
    </row>
    <row r="1608" spans="1:26" s="25" customFormat="1" ht="6.95" customHeight="1" x14ac:dyDescent="0.3">
      <c r="A1608" s="165">
        <f>+A1597+1</f>
        <v>147</v>
      </c>
      <c r="B1608" s="166"/>
      <c r="C1608" s="167"/>
      <c r="D1608" s="160" t="s">
        <v>39</v>
      </c>
      <c r="E1608" s="161"/>
      <c r="F1608" s="162" t="s">
        <v>40</v>
      </c>
      <c r="G1608" s="163"/>
      <c r="H1608" s="164"/>
      <c r="I1608" s="163"/>
      <c r="J1608" s="164"/>
      <c r="K1608" s="163"/>
      <c r="L1608" s="164"/>
      <c r="M1608" s="11"/>
      <c r="N1608" s="39"/>
      <c r="Q1608" s="15" t="str">
        <f>+CONCATENATE(E1608,G1608)</f>
        <v/>
      </c>
      <c r="R1608" s="15">
        <f>+H1608</f>
        <v>0</v>
      </c>
      <c r="S1608" s="16"/>
      <c r="T1608" s="15">
        <f>+E1608</f>
        <v>0</v>
      </c>
      <c r="U1608" s="26" t="str">
        <f>IFERROR(LEFT(G1608,FIND("*",G1608)-1),"-")</f>
        <v>-</v>
      </c>
      <c r="V1608" s="26" t="str">
        <f>IFERROR(RIGHT(G1608,LEN(G1608)-FIND("*",G1608)),"-")</f>
        <v>-</v>
      </c>
      <c r="W1608" s="27" t="str">
        <f>IFERROR((U1608+V1608)*2/1000,"-")</f>
        <v>-</v>
      </c>
      <c r="X1608" s="27" t="str">
        <f>IFERROR(W1608*H1608,"-")</f>
        <v>-</v>
      </c>
      <c r="Z1608" s="94" t="s">
        <v>82</v>
      </c>
    </row>
    <row r="1609" spans="1:26" s="25" customFormat="1" ht="6.95" customHeight="1" x14ac:dyDescent="0.3">
      <c r="A1609" s="165"/>
      <c r="B1609" s="168"/>
      <c r="C1609" s="169"/>
      <c r="D1609" s="160"/>
      <c r="E1609" s="161"/>
      <c r="F1609" s="162"/>
      <c r="G1609" s="163"/>
      <c r="H1609" s="164"/>
      <c r="I1609" s="163"/>
      <c r="J1609" s="164"/>
      <c r="K1609" s="163"/>
      <c r="L1609" s="164"/>
      <c r="M1609" s="11"/>
      <c r="N1609" s="39"/>
      <c r="Q1609" s="15" t="str">
        <f>+CONCATENATE(E1608,I1608)</f>
        <v/>
      </c>
      <c r="R1609" s="15">
        <f>+J1608</f>
        <v>0</v>
      </c>
      <c r="S1609" s="16"/>
      <c r="T1609" s="15">
        <f>+E1608</f>
        <v>0</v>
      </c>
      <c r="U1609" s="26" t="str">
        <f>IFERROR(LEFT(I1608,FIND("*",I1608)-1),"-")</f>
        <v>-</v>
      </c>
      <c r="V1609" s="26" t="str">
        <f>IFERROR(RIGHT(I1608,LEN(I1608)-FIND("*",I1608)),"-")</f>
        <v>-</v>
      </c>
      <c r="W1609" s="27" t="str">
        <f t="shared" ref="W1609:W1616" si="874">IFERROR((U1609+V1609)*2/1000,"-")</f>
        <v>-</v>
      </c>
      <c r="X1609" s="27" t="str">
        <f>IFERROR(W1609*J1608,"-")</f>
        <v>-</v>
      </c>
      <c r="Z1609" s="94" t="s">
        <v>82</v>
      </c>
    </row>
    <row r="1610" spans="1:26" s="25" customFormat="1" ht="6.95" customHeight="1" x14ac:dyDescent="0.3">
      <c r="A1610" s="165"/>
      <c r="B1610" s="168"/>
      <c r="C1610" s="169"/>
      <c r="D1610" s="160"/>
      <c r="E1610" s="161"/>
      <c r="F1610" s="162"/>
      <c r="G1610" s="163"/>
      <c r="H1610" s="164"/>
      <c r="I1610" s="163"/>
      <c r="J1610" s="164"/>
      <c r="K1610" s="163"/>
      <c r="L1610" s="164"/>
      <c r="M1610" s="11"/>
      <c r="N1610" s="39"/>
      <c r="Q1610" s="15" t="str">
        <f>+CONCATENATE(E1608,K1608)</f>
        <v/>
      </c>
      <c r="R1610" s="15">
        <f>+L1608</f>
        <v>0</v>
      </c>
      <c r="S1610" s="16"/>
      <c r="T1610" s="15">
        <f>+E1608</f>
        <v>0</v>
      </c>
      <c r="U1610" s="26" t="str">
        <f>IFERROR(LEFT(K1608,FIND("*",K1608)-1),"-")</f>
        <v>-</v>
      </c>
      <c r="V1610" s="26" t="str">
        <f>IFERROR(RIGHT(K1608,LEN(K1608)-FIND("*",K1608)),"-")</f>
        <v>-</v>
      </c>
      <c r="W1610" s="27" t="str">
        <f t="shared" si="874"/>
        <v>-</v>
      </c>
      <c r="X1610" s="27" t="str">
        <f>IFERROR(W1610*L1608,"-")</f>
        <v>-</v>
      </c>
      <c r="Z1610" s="94" t="s">
        <v>82</v>
      </c>
    </row>
    <row r="1611" spans="1:26" s="25" customFormat="1" ht="6.95" customHeight="1" x14ac:dyDescent="0.3">
      <c r="A1611" s="13"/>
      <c r="B1611" s="168"/>
      <c r="C1611" s="169"/>
      <c r="D1611" s="160" t="s">
        <v>39</v>
      </c>
      <c r="E1611" s="161"/>
      <c r="F1611" s="162" t="s">
        <v>40</v>
      </c>
      <c r="G1611" s="163"/>
      <c r="H1611" s="164"/>
      <c r="I1611" s="163"/>
      <c r="J1611" s="164"/>
      <c r="K1611" s="163"/>
      <c r="L1611" s="164"/>
      <c r="M1611" s="11"/>
      <c r="N1611" s="39"/>
      <c r="Q1611" s="15" t="str">
        <f>+CONCATENATE(E1611,G1611)</f>
        <v/>
      </c>
      <c r="R1611" s="15">
        <f>+H1611</f>
        <v>0</v>
      </c>
      <c r="S1611" s="16"/>
      <c r="T1611" s="15">
        <f>+E1611</f>
        <v>0</v>
      </c>
      <c r="U1611" s="26" t="str">
        <f t="shared" ref="U1611" si="875">IFERROR(LEFT(G1611,FIND("*",G1611)-1),"-")</f>
        <v>-</v>
      </c>
      <c r="V1611" s="26" t="str">
        <f t="shared" ref="V1611" si="876">IFERROR(RIGHT(G1611,LEN(G1611)-FIND("*",G1611)),"-")</f>
        <v>-</v>
      </c>
      <c r="W1611" s="27" t="str">
        <f t="shared" si="874"/>
        <v>-</v>
      </c>
      <c r="X1611" s="27" t="str">
        <f>IFERROR(W1611*H1611,"-")</f>
        <v>-</v>
      </c>
      <c r="Z1611" s="94" t="s">
        <v>82</v>
      </c>
    </row>
    <row r="1612" spans="1:26" s="25" customFormat="1" ht="6.95" customHeight="1" x14ac:dyDescent="0.3">
      <c r="A1612" s="10"/>
      <c r="B1612" s="168"/>
      <c r="C1612" s="169"/>
      <c r="D1612" s="160"/>
      <c r="E1612" s="161"/>
      <c r="F1612" s="162"/>
      <c r="G1612" s="163"/>
      <c r="H1612" s="164"/>
      <c r="I1612" s="163"/>
      <c r="J1612" s="164"/>
      <c r="K1612" s="163"/>
      <c r="L1612" s="164"/>
      <c r="M1612" s="11"/>
      <c r="N1612" s="39"/>
      <c r="Q1612" s="15" t="str">
        <f>+CONCATENATE(E1611,I1611)</f>
        <v/>
      </c>
      <c r="R1612" s="15">
        <f>+J1611</f>
        <v>0</v>
      </c>
      <c r="S1612" s="16"/>
      <c r="T1612" s="15">
        <f>+E1611</f>
        <v>0</v>
      </c>
      <c r="U1612" s="26" t="str">
        <f>IFERROR(LEFT(I1611,FIND("*",I1611)-1),"-")</f>
        <v>-</v>
      </c>
      <c r="V1612" s="26" t="str">
        <f>IFERROR(RIGHT(I1611,LEN(I1611)-FIND("*",I1611)),"-")</f>
        <v>-</v>
      </c>
      <c r="W1612" s="27" t="str">
        <f t="shared" si="874"/>
        <v>-</v>
      </c>
      <c r="X1612" s="27" t="str">
        <f>IFERROR(W1612*J1611,"-")</f>
        <v>-</v>
      </c>
      <c r="Z1612" s="94" t="s">
        <v>82</v>
      </c>
    </row>
    <row r="1613" spans="1:26" s="25" customFormat="1" ht="6.95" customHeight="1" x14ac:dyDescent="0.3">
      <c r="A1613" s="10"/>
      <c r="B1613" s="168"/>
      <c r="C1613" s="169"/>
      <c r="D1613" s="160"/>
      <c r="E1613" s="161"/>
      <c r="F1613" s="162"/>
      <c r="G1613" s="163"/>
      <c r="H1613" s="164"/>
      <c r="I1613" s="163"/>
      <c r="J1613" s="164"/>
      <c r="K1613" s="163"/>
      <c r="L1613" s="164"/>
      <c r="M1613" s="11"/>
      <c r="N1613" s="39"/>
      <c r="Q1613" s="15" t="str">
        <f>+CONCATENATE(E1611,K1611)</f>
        <v/>
      </c>
      <c r="R1613" s="15">
        <f>+L1611</f>
        <v>0</v>
      </c>
      <c r="S1613" s="16"/>
      <c r="T1613" s="15">
        <f>+E1611</f>
        <v>0</v>
      </c>
      <c r="U1613" s="26" t="str">
        <f>IFERROR(LEFT(K1611,FIND("*",K1611)-1),"-")</f>
        <v>-</v>
      </c>
      <c r="V1613" s="26" t="str">
        <f>IFERROR(RIGHT(K1611,LEN(K1611)-FIND("*",K1611)),"-")</f>
        <v>-</v>
      </c>
      <c r="W1613" s="27" t="str">
        <f t="shared" si="874"/>
        <v>-</v>
      </c>
      <c r="X1613" s="27" t="str">
        <f>IFERROR(W1613*L1611,"-")</f>
        <v>-</v>
      </c>
      <c r="Z1613" s="94" t="s">
        <v>82</v>
      </c>
    </row>
    <row r="1614" spans="1:26" s="25" customFormat="1" ht="6.95" customHeight="1" x14ac:dyDescent="0.3">
      <c r="A1614" s="13"/>
      <c r="B1614" s="168"/>
      <c r="C1614" s="169"/>
      <c r="D1614" s="160" t="s">
        <v>39</v>
      </c>
      <c r="E1614" s="161"/>
      <c r="F1614" s="162" t="s">
        <v>40</v>
      </c>
      <c r="G1614" s="163"/>
      <c r="H1614" s="164"/>
      <c r="I1614" s="163"/>
      <c r="J1614" s="164"/>
      <c r="K1614" s="163"/>
      <c r="L1614" s="164"/>
      <c r="M1614" s="11"/>
      <c r="N1614" s="39"/>
      <c r="Q1614" s="15" t="str">
        <f>+CONCATENATE(E1614,G1614)</f>
        <v/>
      </c>
      <c r="R1614" s="15">
        <f>+H1614</f>
        <v>0</v>
      </c>
      <c r="S1614" s="16"/>
      <c r="T1614" s="15">
        <f>+E1614</f>
        <v>0</v>
      </c>
      <c r="U1614" s="26" t="str">
        <f t="shared" ref="U1614" si="877">IFERROR(LEFT(G1614,FIND("*",G1614)-1),"-")</f>
        <v>-</v>
      </c>
      <c r="V1614" s="26" t="str">
        <f t="shared" ref="V1614" si="878">IFERROR(RIGHT(G1614,LEN(G1614)-FIND("*",G1614)),"-")</f>
        <v>-</v>
      </c>
      <c r="W1614" s="27" t="str">
        <f t="shared" si="874"/>
        <v>-</v>
      </c>
      <c r="X1614" s="27" t="str">
        <f>IFERROR(W1614*H1614,"-")</f>
        <v>-</v>
      </c>
      <c r="Z1614" s="94" t="s">
        <v>82</v>
      </c>
    </row>
    <row r="1615" spans="1:26" s="25" customFormat="1" ht="6.95" customHeight="1" x14ac:dyDescent="0.3">
      <c r="A1615" s="10"/>
      <c r="B1615" s="168"/>
      <c r="C1615" s="169"/>
      <c r="D1615" s="160"/>
      <c r="E1615" s="161"/>
      <c r="F1615" s="162"/>
      <c r="G1615" s="163"/>
      <c r="H1615" s="164"/>
      <c r="I1615" s="163"/>
      <c r="J1615" s="164"/>
      <c r="K1615" s="163"/>
      <c r="L1615" s="164"/>
      <c r="M1615" s="11"/>
      <c r="N1615" s="39"/>
      <c r="Q1615" s="15" t="str">
        <f>+CONCATENATE(E1614,I1614)</f>
        <v/>
      </c>
      <c r="R1615" s="15">
        <f>+J1614</f>
        <v>0</v>
      </c>
      <c r="S1615" s="16"/>
      <c r="T1615" s="15">
        <f>+E1614</f>
        <v>0</v>
      </c>
      <c r="U1615" s="26" t="str">
        <f>IFERROR(LEFT(I1614,FIND("*",I1614)-1),"-")</f>
        <v>-</v>
      </c>
      <c r="V1615" s="26" t="str">
        <f>IFERROR(RIGHT(I1614,LEN(I1614)-FIND("*",I1614)),"-")</f>
        <v>-</v>
      </c>
      <c r="W1615" s="27" t="str">
        <f t="shared" si="874"/>
        <v>-</v>
      </c>
      <c r="X1615" s="27" t="str">
        <f t="shared" ref="X1615" si="879">IFERROR(W1615*J1614,"-")</f>
        <v>-</v>
      </c>
      <c r="Z1615" s="94" t="s">
        <v>82</v>
      </c>
    </row>
    <row r="1616" spans="1:26" s="25" customFormat="1" ht="6.95" customHeight="1" x14ac:dyDescent="0.3">
      <c r="A1616" s="10"/>
      <c r="B1616" s="168"/>
      <c r="C1616" s="169"/>
      <c r="D1616" s="160"/>
      <c r="E1616" s="161"/>
      <c r="F1616" s="162"/>
      <c r="G1616" s="163"/>
      <c r="H1616" s="164"/>
      <c r="I1616" s="163"/>
      <c r="J1616" s="164"/>
      <c r="K1616" s="163"/>
      <c r="L1616" s="164"/>
      <c r="M1616" s="11"/>
      <c r="N1616" s="39"/>
      <c r="Q1616" s="15" t="str">
        <f>+CONCATENATE(E1614,K1614)</f>
        <v/>
      </c>
      <c r="R1616" s="15">
        <f>+L1614</f>
        <v>0</v>
      </c>
      <c r="S1616" s="16"/>
      <c r="T1616" s="15">
        <f>+E1614</f>
        <v>0</v>
      </c>
      <c r="U1616" s="26" t="str">
        <f>IFERROR(LEFT(K1614,FIND("*",K1614)-1),"-")</f>
        <v>-</v>
      </c>
      <c r="V1616" s="26" t="str">
        <f>IFERROR(RIGHT(K1614,LEN(K1614)-FIND("*",K1614)),"-")</f>
        <v>-</v>
      </c>
      <c r="W1616" s="27" t="str">
        <f t="shared" si="874"/>
        <v>-</v>
      </c>
      <c r="X1616" s="27" t="str">
        <f>IFERROR(W1616*L1614,"-")</f>
        <v>-</v>
      </c>
      <c r="Z1616" s="94" t="s">
        <v>82</v>
      </c>
    </row>
    <row r="1617" spans="1:26" s="25" customFormat="1" ht="21" customHeight="1" thickBot="1" x14ac:dyDescent="0.35">
      <c r="A1617" s="10"/>
      <c r="B1617" s="170"/>
      <c r="C1617" s="171"/>
      <c r="D1617" s="172" t="s">
        <v>43</v>
      </c>
      <c r="E1617" s="173"/>
      <c r="F1617" s="173"/>
      <c r="G1617" s="174"/>
      <c r="H1617" s="174"/>
      <c r="I1617" s="174"/>
      <c r="J1617" s="174"/>
      <c r="K1617" s="174"/>
      <c r="L1617" s="174"/>
      <c r="M1617" s="12"/>
      <c r="N1617" s="39"/>
      <c r="U1617" s="23"/>
      <c r="V1617" s="23"/>
      <c r="Z1617" s="95" t="s">
        <v>81</v>
      </c>
    </row>
    <row r="1618" spans="1:26" s="25" customFormat="1" ht="9.9499999999999993" customHeight="1" thickBot="1" x14ac:dyDescent="0.35">
      <c r="A1618" s="6"/>
      <c r="B1618" s="14"/>
      <c r="C1618" s="119"/>
      <c r="D1618" s="58"/>
      <c r="E1618" s="17"/>
      <c r="F1618" s="58"/>
      <c r="G1618" s="19"/>
      <c r="H1618" s="19"/>
      <c r="I1618" s="19"/>
      <c r="J1618" s="19"/>
      <c r="K1618" s="19"/>
      <c r="L1618" s="19"/>
      <c r="M1618" s="14"/>
      <c r="N1618" s="39"/>
      <c r="Q1618" s="1"/>
      <c r="R1618" s="1"/>
      <c r="S1618" s="1"/>
      <c r="T1618" s="1"/>
      <c r="U1618" s="24"/>
      <c r="V1618" s="24"/>
      <c r="W1618" s="1"/>
      <c r="X1618" s="1"/>
      <c r="Z1618" s="94" t="s">
        <v>82</v>
      </c>
    </row>
    <row r="1619" spans="1:26" s="25" customFormat="1" ht="6.95" customHeight="1" x14ac:dyDescent="0.3">
      <c r="A1619" s="165">
        <f>+A1608+1</f>
        <v>148</v>
      </c>
      <c r="B1619" s="166"/>
      <c r="C1619" s="167"/>
      <c r="D1619" s="160" t="s">
        <v>39</v>
      </c>
      <c r="E1619" s="161"/>
      <c r="F1619" s="162" t="s">
        <v>40</v>
      </c>
      <c r="G1619" s="163"/>
      <c r="H1619" s="164"/>
      <c r="I1619" s="163"/>
      <c r="J1619" s="164"/>
      <c r="K1619" s="163"/>
      <c r="L1619" s="164"/>
      <c r="M1619" s="11"/>
      <c r="N1619" s="39"/>
      <c r="Q1619" s="15" t="str">
        <f>+CONCATENATE(E1619,G1619)</f>
        <v/>
      </c>
      <c r="R1619" s="15">
        <f>+H1619</f>
        <v>0</v>
      </c>
      <c r="S1619" s="16"/>
      <c r="T1619" s="15">
        <f>+E1619</f>
        <v>0</v>
      </c>
      <c r="U1619" s="26" t="str">
        <f>IFERROR(LEFT(G1619,FIND("*",G1619)-1),"-")</f>
        <v>-</v>
      </c>
      <c r="V1619" s="26" t="str">
        <f>IFERROR(RIGHT(G1619,LEN(G1619)-FIND("*",G1619)),"-")</f>
        <v>-</v>
      </c>
      <c r="W1619" s="27" t="str">
        <f>IFERROR((U1619+V1619)*2/1000,"-")</f>
        <v>-</v>
      </c>
      <c r="X1619" s="27" t="str">
        <f>IFERROR(W1619*H1619,"-")</f>
        <v>-</v>
      </c>
      <c r="Z1619" s="94" t="s">
        <v>82</v>
      </c>
    </row>
    <row r="1620" spans="1:26" s="25" customFormat="1" ht="6.95" customHeight="1" x14ac:dyDescent="0.3">
      <c r="A1620" s="165"/>
      <c r="B1620" s="168"/>
      <c r="C1620" s="169"/>
      <c r="D1620" s="160"/>
      <c r="E1620" s="161"/>
      <c r="F1620" s="162"/>
      <c r="G1620" s="163"/>
      <c r="H1620" s="164"/>
      <c r="I1620" s="163"/>
      <c r="J1620" s="164"/>
      <c r="K1620" s="163"/>
      <c r="L1620" s="164"/>
      <c r="M1620" s="11"/>
      <c r="N1620" s="39"/>
      <c r="Q1620" s="15" t="str">
        <f>+CONCATENATE(E1619,I1619)</f>
        <v/>
      </c>
      <c r="R1620" s="15">
        <f>+J1619</f>
        <v>0</v>
      </c>
      <c r="S1620" s="16"/>
      <c r="T1620" s="15">
        <f>+E1619</f>
        <v>0</v>
      </c>
      <c r="U1620" s="26" t="str">
        <f>IFERROR(LEFT(I1619,FIND("*",I1619)-1),"-")</f>
        <v>-</v>
      </c>
      <c r="V1620" s="26" t="str">
        <f>IFERROR(RIGHT(I1619,LEN(I1619)-FIND("*",I1619)),"-")</f>
        <v>-</v>
      </c>
      <c r="W1620" s="27" t="str">
        <f t="shared" ref="W1620:W1627" si="880">IFERROR((U1620+V1620)*2/1000,"-")</f>
        <v>-</v>
      </c>
      <c r="X1620" s="27" t="str">
        <f>IFERROR(W1620*J1619,"-")</f>
        <v>-</v>
      </c>
      <c r="Z1620" s="94" t="s">
        <v>82</v>
      </c>
    </row>
    <row r="1621" spans="1:26" s="25" customFormat="1" ht="6.95" customHeight="1" x14ac:dyDescent="0.3">
      <c r="A1621" s="165"/>
      <c r="B1621" s="168"/>
      <c r="C1621" s="169"/>
      <c r="D1621" s="160"/>
      <c r="E1621" s="161"/>
      <c r="F1621" s="162"/>
      <c r="G1621" s="163"/>
      <c r="H1621" s="164"/>
      <c r="I1621" s="163"/>
      <c r="J1621" s="164"/>
      <c r="K1621" s="163"/>
      <c r="L1621" s="164"/>
      <c r="M1621" s="11"/>
      <c r="N1621" s="39"/>
      <c r="Q1621" s="15" t="str">
        <f>+CONCATENATE(E1619,K1619)</f>
        <v/>
      </c>
      <c r="R1621" s="15">
        <f>+L1619</f>
        <v>0</v>
      </c>
      <c r="S1621" s="16"/>
      <c r="T1621" s="15">
        <f>+E1619</f>
        <v>0</v>
      </c>
      <c r="U1621" s="26" t="str">
        <f>IFERROR(LEFT(K1619,FIND("*",K1619)-1),"-")</f>
        <v>-</v>
      </c>
      <c r="V1621" s="26" t="str">
        <f>IFERROR(RIGHT(K1619,LEN(K1619)-FIND("*",K1619)),"-")</f>
        <v>-</v>
      </c>
      <c r="W1621" s="27" t="str">
        <f t="shared" si="880"/>
        <v>-</v>
      </c>
      <c r="X1621" s="27" t="str">
        <f>IFERROR(W1621*L1619,"-")</f>
        <v>-</v>
      </c>
      <c r="Z1621" s="94" t="s">
        <v>82</v>
      </c>
    </row>
    <row r="1622" spans="1:26" s="25" customFormat="1" ht="6.95" customHeight="1" x14ac:dyDescent="0.3">
      <c r="A1622" s="13"/>
      <c r="B1622" s="168"/>
      <c r="C1622" s="169"/>
      <c r="D1622" s="160" t="s">
        <v>39</v>
      </c>
      <c r="E1622" s="161"/>
      <c r="F1622" s="162" t="s">
        <v>40</v>
      </c>
      <c r="G1622" s="163"/>
      <c r="H1622" s="164"/>
      <c r="I1622" s="163"/>
      <c r="J1622" s="164"/>
      <c r="K1622" s="163"/>
      <c r="L1622" s="164"/>
      <c r="M1622" s="11"/>
      <c r="N1622" s="39"/>
      <c r="Q1622" s="15" t="str">
        <f>+CONCATENATE(E1622,G1622)</f>
        <v/>
      </c>
      <c r="R1622" s="15">
        <f>+H1622</f>
        <v>0</v>
      </c>
      <c r="S1622" s="16"/>
      <c r="T1622" s="15">
        <f>+E1622</f>
        <v>0</v>
      </c>
      <c r="U1622" s="26" t="str">
        <f t="shared" ref="U1622" si="881">IFERROR(LEFT(G1622,FIND("*",G1622)-1),"-")</f>
        <v>-</v>
      </c>
      <c r="V1622" s="26" t="str">
        <f t="shared" ref="V1622" si="882">IFERROR(RIGHT(G1622,LEN(G1622)-FIND("*",G1622)),"-")</f>
        <v>-</v>
      </c>
      <c r="W1622" s="27" t="str">
        <f t="shared" si="880"/>
        <v>-</v>
      </c>
      <c r="X1622" s="27" t="str">
        <f>IFERROR(W1622*H1622,"-")</f>
        <v>-</v>
      </c>
      <c r="Z1622" s="94" t="s">
        <v>82</v>
      </c>
    </row>
    <row r="1623" spans="1:26" s="25" customFormat="1" ht="6.95" customHeight="1" x14ac:dyDescent="0.3">
      <c r="A1623" s="10"/>
      <c r="B1623" s="168"/>
      <c r="C1623" s="169"/>
      <c r="D1623" s="160"/>
      <c r="E1623" s="161"/>
      <c r="F1623" s="162"/>
      <c r="G1623" s="163"/>
      <c r="H1623" s="164"/>
      <c r="I1623" s="163"/>
      <c r="J1623" s="164"/>
      <c r="K1623" s="163"/>
      <c r="L1623" s="164"/>
      <c r="M1623" s="11"/>
      <c r="N1623" s="39"/>
      <c r="Q1623" s="15" t="str">
        <f>+CONCATENATE(E1622,I1622)</f>
        <v/>
      </c>
      <c r="R1623" s="15">
        <f>+J1622</f>
        <v>0</v>
      </c>
      <c r="S1623" s="16"/>
      <c r="T1623" s="15">
        <f>+E1622</f>
        <v>0</v>
      </c>
      <c r="U1623" s="26" t="str">
        <f>IFERROR(LEFT(I1622,FIND("*",I1622)-1),"-")</f>
        <v>-</v>
      </c>
      <c r="V1623" s="26" t="str">
        <f>IFERROR(RIGHT(I1622,LEN(I1622)-FIND("*",I1622)),"-")</f>
        <v>-</v>
      </c>
      <c r="W1623" s="27" t="str">
        <f t="shared" si="880"/>
        <v>-</v>
      </c>
      <c r="X1623" s="27" t="str">
        <f>IFERROR(W1623*J1622,"-")</f>
        <v>-</v>
      </c>
      <c r="Z1623" s="94" t="s">
        <v>82</v>
      </c>
    </row>
    <row r="1624" spans="1:26" s="25" customFormat="1" ht="6.95" customHeight="1" x14ac:dyDescent="0.3">
      <c r="A1624" s="10"/>
      <c r="B1624" s="168"/>
      <c r="C1624" s="169"/>
      <c r="D1624" s="160"/>
      <c r="E1624" s="161"/>
      <c r="F1624" s="162"/>
      <c r="G1624" s="163"/>
      <c r="H1624" s="164"/>
      <c r="I1624" s="163"/>
      <c r="J1624" s="164"/>
      <c r="K1624" s="163"/>
      <c r="L1624" s="164"/>
      <c r="M1624" s="11"/>
      <c r="N1624" s="39"/>
      <c r="Q1624" s="15" t="str">
        <f>+CONCATENATE(E1622,K1622)</f>
        <v/>
      </c>
      <c r="R1624" s="15">
        <f>+L1622</f>
        <v>0</v>
      </c>
      <c r="S1624" s="16"/>
      <c r="T1624" s="15">
        <f>+E1622</f>
        <v>0</v>
      </c>
      <c r="U1624" s="26" t="str">
        <f>IFERROR(LEFT(K1622,FIND("*",K1622)-1),"-")</f>
        <v>-</v>
      </c>
      <c r="V1624" s="26" t="str">
        <f>IFERROR(RIGHT(K1622,LEN(K1622)-FIND("*",K1622)),"-")</f>
        <v>-</v>
      </c>
      <c r="W1624" s="27" t="str">
        <f t="shared" si="880"/>
        <v>-</v>
      </c>
      <c r="X1624" s="27" t="str">
        <f>IFERROR(W1624*L1622,"-")</f>
        <v>-</v>
      </c>
      <c r="Z1624" s="94" t="s">
        <v>82</v>
      </c>
    </row>
    <row r="1625" spans="1:26" s="25" customFormat="1" ht="6.95" customHeight="1" x14ac:dyDescent="0.3">
      <c r="A1625" s="13"/>
      <c r="B1625" s="168"/>
      <c r="C1625" s="169"/>
      <c r="D1625" s="160" t="s">
        <v>39</v>
      </c>
      <c r="E1625" s="161"/>
      <c r="F1625" s="162" t="s">
        <v>40</v>
      </c>
      <c r="G1625" s="163"/>
      <c r="H1625" s="164"/>
      <c r="I1625" s="163"/>
      <c r="J1625" s="164"/>
      <c r="K1625" s="163"/>
      <c r="L1625" s="164"/>
      <c r="M1625" s="11"/>
      <c r="N1625" s="39"/>
      <c r="Q1625" s="15" t="str">
        <f>+CONCATENATE(E1625,G1625)</f>
        <v/>
      </c>
      <c r="R1625" s="15">
        <f>+H1625</f>
        <v>0</v>
      </c>
      <c r="S1625" s="16"/>
      <c r="T1625" s="15">
        <f>+E1625</f>
        <v>0</v>
      </c>
      <c r="U1625" s="26" t="str">
        <f t="shared" ref="U1625" si="883">IFERROR(LEFT(G1625,FIND("*",G1625)-1),"-")</f>
        <v>-</v>
      </c>
      <c r="V1625" s="26" t="str">
        <f t="shared" ref="V1625" si="884">IFERROR(RIGHT(G1625,LEN(G1625)-FIND("*",G1625)),"-")</f>
        <v>-</v>
      </c>
      <c r="W1625" s="27" t="str">
        <f t="shared" si="880"/>
        <v>-</v>
      </c>
      <c r="X1625" s="27" t="str">
        <f>IFERROR(W1625*H1625,"-")</f>
        <v>-</v>
      </c>
      <c r="Z1625" s="94" t="s">
        <v>82</v>
      </c>
    </row>
    <row r="1626" spans="1:26" s="25" customFormat="1" ht="6.95" customHeight="1" x14ac:dyDescent="0.3">
      <c r="A1626" s="10"/>
      <c r="B1626" s="168"/>
      <c r="C1626" s="169"/>
      <c r="D1626" s="160"/>
      <c r="E1626" s="161"/>
      <c r="F1626" s="162"/>
      <c r="G1626" s="163"/>
      <c r="H1626" s="164"/>
      <c r="I1626" s="163"/>
      <c r="J1626" s="164"/>
      <c r="K1626" s="163"/>
      <c r="L1626" s="164"/>
      <c r="M1626" s="11"/>
      <c r="N1626" s="39"/>
      <c r="Q1626" s="15" t="str">
        <f>+CONCATENATE(E1625,I1625)</f>
        <v/>
      </c>
      <c r="R1626" s="15">
        <f>+J1625</f>
        <v>0</v>
      </c>
      <c r="S1626" s="16"/>
      <c r="T1626" s="15">
        <f>+E1625</f>
        <v>0</v>
      </c>
      <c r="U1626" s="26" t="str">
        <f>IFERROR(LEFT(I1625,FIND("*",I1625)-1),"-")</f>
        <v>-</v>
      </c>
      <c r="V1626" s="26" t="str">
        <f>IFERROR(RIGHT(I1625,LEN(I1625)-FIND("*",I1625)),"-")</f>
        <v>-</v>
      </c>
      <c r="W1626" s="27" t="str">
        <f t="shared" si="880"/>
        <v>-</v>
      </c>
      <c r="X1626" s="27" t="str">
        <f t="shared" ref="X1626" si="885">IFERROR(W1626*J1625,"-")</f>
        <v>-</v>
      </c>
      <c r="Z1626" s="94" t="s">
        <v>82</v>
      </c>
    </row>
    <row r="1627" spans="1:26" s="25" customFormat="1" ht="6.95" customHeight="1" x14ac:dyDescent="0.3">
      <c r="A1627" s="10"/>
      <c r="B1627" s="168"/>
      <c r="C1627" s="169"/>
      <c r="D1627" s="160"/>
      <c r="E1627" s="161"/>
      <c r="F1627" s="162"/>
      <c r="G1627" s="163"/>
      <c r="H1627" s="164"/>
      <c r="I1627" s="163"/>
      <c r="J1627" s="164"/>
      <c r="K1627" s="163"/>
      <c r="L1627" s="164"/>
      <c r="M1627" s="11"/>
      <c r="N1627" s="39"/>
      <c r="Q1627" s="15" t="str">
        <f>+CONCATENATE(E1625,K1625)</f>
        <v/>
      </c>
      <c r="R1627" s="15">
        <f>+L1625</f>
        <v>0</v>
      </c>
      <c r="S1627" s="16"/>
      <c r="T1627" s="15">
        <f>+E1625</f>
        <v>0</v>
      </c>
      <c r="U1627" s="26" t="str">
        <f>IFERROR(LEFT(K1625,FIND("*",K1625)-1),"-")</f>
        <v>-</v>
      </c>
      <c r="V1627" s="26" t="str">
        <f>IFERROR(RIGHT(K1625,LEN(K1625)-FIND("*",K1625)),"-")</f>
        <v>-</v>
      </c>
      <c r="W1627" s="27" t="str">
        <f t="shared" si="880"/>
        <v>-</v>
      </c>
      <c r="X1627" s="27" t="str">
        <f>IFERROR(W1627*L1625,"-")</f>
        <v>-</v>
      </c>
      <c r="Z1627" s="94" t="s">
        <v>82</v>
      </c>
    </row>
    <row r="1628" spans="1:26" s="25" customFormat="1" ht="21" customHeight="1" thickBot="1" x14ac:dyDescent="0.35">
      <c r="A1628" s="10"/>
      <c r="B1628" s="170"/>
      <c r="C1628" s="171"/>
      <c r="D1628" s="172" t="s">
        <v>43</v>
      </c>
      <c r="E1628" s="173"/>
      <c r="F1628" s="173"/>
      <c r="G1628" s="174"/>
      <c r="H1628" s="174"/>
      <c r="I1628" s="174"/>
      <c r="J1628" s="174"/>
      <c r="K1628" s="174"/>
      <c r="L1628" s="174"/>
      <c r="M1628" s="12"/>
      <c r="N1628" s="39"/>
      <c r="U1628" s="23"/>
      <c r="V1628" s="23"/>
      <c r="Z1628" s="95" t="s">
        <v>81</v>
      </c>
    </row>
    <row r="1629" spans="1:26" s="25" customFormat="1" ht="9.9499999999999993" customHeight="1" thickBot="1" x14ac:dyDescent="0.35">
      <c r="A1629" s="6"/>
      <c r="B1629" s="14"/>
      <c r="C1629" s="119"/>
      <c r="D1629" s="58"/>
      <c r="E1629" s="17"/>
      <c r="F1629" s="58"/>
      <c r="G1629" s="19"/>
      <c r="H1629" s="19"/>
      <c r="I1629" s="19"/>
      <c r="J1629" s="19"/>
      <c r="K1629" s="19"/>
      <c r="L1629" s="19"/>
      <c r="M1629" s="14"/>
      <c r="N1629" s="39"/>
      <c r="Q1629" s="1"/>
      <c r="R1629" s="1"/>
      <c r="S1629" s="1"/>
      <c r="T1629" s="1"/>
      <c r="U1629" s="24"/>
      <c r="V1629" s="24"/>
      <c r="W1629" s="1"/>
      <c r="X1629" s="1"/>
      <c r="Z1629" s="94" t="s">
        <v>82</v>
      </c>
    </row>
    <row r="1630" spans="1:26" s="25" customFormat="1" ht="6.95" customHeight="1" x14ac:dyDescent="0.3">
      <c r="A1630" s="165">
        <f>+A1619+1</f>
        <v>149</v>
      </c>
      <c r="B1630" s="166"/>
      <c r="C1630" s="167"/>
      <c r="D1630" s="160" t="s">
        <v>39</v>
      </c>
      <c r="E1630" s="161"/>
      <c r="F1630" s="162" t="s">
        <v>40</v>
      </c>
      <c r="G1630" s="163"/>
      <c r="H1630" s="164"/>
      <c r="I1630" s="163"/>
      <c r="J1630" s="164"/>
      <c r="K1630" s="163"/>
      <c r="L1630" s="164"/>
      <c r="M1630" s="11"/>
      <c r="N1630" s="39"/>
      <c r="Q1630" s="15" t="str">
        <f>+CONCATENATE(E1630,G1630)</f>
        <v/>
      </c>
      <c r="R1630" s="15">
        <f>+H1630</f>
        <v>0</v>
      </c>
      <c r="S1630" s="16"/>
      <c r="T1630" s="15">
        <f>+E1630</f>
        <v>0</v>
      </c>
      <c r="U1630" s="26" t="str">
        <f>IFERROR(LEFT(G1630,FIND("*",G1630)-1),"-")</f>
        <v>-</v>
      </c>
      <c r="V1630" s="26" t="str">
        <f>IFERROR(RIGHT(G1630,LEN(G1630)-FIND("*",G1630)),"-")</f>
        <v>-</v>
      </c>
      <c r="W1630" s="27" t="str">
        <f>IFERROR((U1630+V1630)*2/1000,"-")</f>
        <v>-</v>
      </c>
      <c r="X1630" s="27" t="str">
        <f>IFERROR(W1630*H1630,"-")</f>
        <v>-</v>
      </c>
      <c r="Z1630" s="94" t="s">
        <v>82</v>
      </c>
    </row>
    <row r="1631" spans="1:26" s="25" customFormat="1" ht="6.95" customHeight="1" x14ac:dyDescent="0.3">
      <c r="A1631" s="165"/>
      <c r="B1631" s="168"/>
      <c r="C1631" s="169"/>
      <c r="D1631" s="160"/>
      <c r="E1631" s="161"/>
      <c r="F1631" s="162"/>
      <c r="G1631" s="163"/>
      <c r="H1631" s="164"/>
      <c r="I1631" s="163"/>
      <c r="J1631" s="164"/>
      <c r="K1631" s="163"/>
      <c r="L1631" s="164"/>
      <c r="M1631" s="11"/>
      <c r="N1631" s="39"/>
      <c r="Q1631" s="15" t="str">
        <f>+CONCATENATE(E1630,I1630)</f>
        <v/>
      </c>
      <c r="R1631" s="15">
        <f>+J1630</f>
        <v>0</v>
      </c>
      <c r="S1631" s="16"/>
      <c r="T1631" s="15">
        <f>+E1630</f>
        <v>0</v>
      </c>
      <c r="U1631" s="26" t="str">
        <f>IFERROR(LEFT(I1630,FIND("*",I1630)-1),"-")</f>
        <v>-</v>
      </c>
      <c r="V1631" s="26" t="str">
        <f>IFERROR(RIGHT(I1630,LEN(I1630)-FIND("*",I1630)),"-")</f>
        <v>-</v>
      </c>
      <c r="W1631" s="27" t="str">
        <f t="shared" ref="W1631:W1638" si="886">IFERROR((U1631+V1631)*2/1000,"-")</f>
        <v>-</v>
      </c>
      <c r="X1631" s="27" t="str">
        <f>IFERROR(W1631*J1630,"-")</f>
        <v>-</v>
      </c>
      <c r="Z1631" s="94" t="s">
        <v>82</v>
      </c>
    </row>
    <row r="1632" spans="1:26" s="25" customFormat="1" ht="6.95" customHeight="1" x14ac:dyDescent="0.3">
      <c r="A1632" s="165"/>
      <c r="B1632" s="168"/>
      <c r="C1632" s="169"/>
      <c r="D1632" s="160"/>
      <c r="E1632" s="161"/>
      <c r="F1632" s="162"/>
      <c r="G1632" s="163"/>
      <c r="H1632" s="164"/>
      <c r="I1632" s="163"/>
      <c r="J1632" s="164"/>
      <c r="K1632" s="163"/>
      <c r="L1632" s="164"/>
      <c r="M1632" s="11"/>
      <c r="N1632" s="39"/>
      <c r="Q1632" s="15" t="str">
        <f>+CONCATENATE(E1630,K1630)</f>
        <v/>
      </c>
      <c r="R1632" s="15">
        <f>+L1630</f>
        <v>0</v>
      </c>
      <c r="S1632" s="16"/>
      <c r="T1632" s="15">
        <f>+E1630</f>
        <v>0</v>
      </c>
      <c r="U1632" s="26" t="str">
        <f>IFERROR(LEFT(K1630,FIND("*",K1630)-1),"-")</f>
        <v>-</v>
      </c>
      <c r="V1632" s="26" t="str">
        <f>IFERROR(RIGHT(K1630,LEN(K1630)-FIND("*",K1630)),"-")</f>
        <v>-</v>
      </c>
      <c r="W1632" s="27" t="str">
        <f t="shared" si="886"/>
        <v>-</v>
      </c>
      <c r="X1632" s="27" t="str">
        <f>IFERROR(W1632*L1630,"-")</f>
        <v>-</v>
      </c>
      <c r="Z1632" s="94" t="s">
        <v>82</v>
      </c>
    </row>
    <row r="1633" spans="1:26" s="25" customFormat="1" ht="6.95" customHeight="1" x14ac:dyDescent="0.3">
      <c r="A1633" s="13"/>
      <c r="B1633" s="168"/>
      <c r="C1633" s="169"/>
      <c r="D1633" s="160" t="s">
        <v>39</v>
      </c>
      <c r="E1633" s="161"/>
      <c r="F1633" s="162" t="s">
        <v>40</v>
      </c>
      <c r="G1633" s="163"/>
      <c r="H1633" s="164"/>
      <c r="I1633" s="163"/>
      <c r="J1633" s="164"/>
      <c r="K1633" s="163"/>
      <c r="L1633" s="164"/>
      <c r="M1633" s="11"/>
      <c r="N1633" s="39"/>
      <c r="Q1633" s="15" t="str">
        <f>+CONCATENATE(E1633,G1633)</f>
        <v/>
      </c>
      <c r="R1633" s="15">
        <f>+H1633</f>
        <v>0</v>
      </c>
      <c r="S1633" s="16"/>
      <c r="T1633" s="15">
        <f>+E1633</f>
        <v>0</v>
      </c>
      <c r="U1633" s="26" t="str">
        <f t="shared" ref="U1633" si="887">IFERROR(LEFT(G1633,FIND("*",G1633)-1),"-")</f>
        <v>-</v>
      </c>
      <c r="V1633" s="26" t="str">
        <f t="shared" ref="V1633" si="888">IFERROR(RIGHT(G1633,LEN(G1633)-FIND("*",G1633)),"-")</f>
        <v>-</v>
      </c>
      <c r="W1633" s="27" t="str">
        <f t="shared" si="886"/>
        <v>-</v>
      </c>
      <c r="X1633" s="27" t="str">
        <f>IFERROR(W1633*H1633,"-")</f>
        <v>-</v>
      </c>
      <c r="Z1633" s="94" t="s">
        <v>82</v>
      </c>
    </row>
    <row r="1634" spans="1:26" s="25" customFormat="1" ht="6.95" customHeight="1" x14ac:dyDescent="0.3">
      <c r="A1634" s="10"/>
      <c r="B1634" s="168"/>
      <c r="C1634" s="169"/>
      <c r="D1634" s="160"/>
      <c r="E1634" s="161"/>
      <c r="F1634" s="162"/>
      <c r="G1634" s="163"/>
      <c r="H1634" s="164"/>
      <c r="I1634" s="163"/>
      <c r="J1634" s="164"/>
      <c r="K1634" s="163"/>
      <c r="L1634" s="164"/>
      <c r="M1634" s="11"/>
      <c r="N1634" s="39"/>
      <c r="Q1634" s="15" t="str">
        <f>+CONCATENATE(E1633,I1633)</f>
        <v/>
      </c>
      <c r="R1634" s="15">
        <f>+J1633</f>
        <v>0</v>
      </c>
      <c r="S1634" s="16"/>
      <c r="T1634" s="15">
        <f>+E1633</f>
        <v>0</v>
      </c>
      <c r="U1634" s="26" t="str">
        <f>IFERROR(LEFT(I1633,FIND("*",I1633)-1),"-")</f>
        <v>-</v>
      </c>
      <c r="V1634" s="26" t="str">
        <f>IFERROR(RIGHT(I1633,LEN(I1633)-FIND("*",I1633)),"-")</f>
        <v>-</v>
      </c>
      <c r="W1634" s="27" t="str">
        <f t="shared" si="886"/>
        <v>-</v>
      </c>
      <c r="X1634" s="27" t="str">
        <f>IFERROR(W1634*J1633,"-")</f>
        <v>-</v>
      </c>
      <c r="Z1634" s="94" t="s">
        <v>82</v>
      </c>
    </row>
    <row r="1635" spans="1:26" s="25" customFormat="1" ht="6.95" customHeight="1" x14ac:dyDescent="0.3">
      <c r="A1635" s="10"/>
      <c r="B1635" s="168"/>
      <c r="C1635" s="169"/>
      <c r="D1635" s="160"/>
      <c r="E1635" s="161"/>
      <c r="F1635" s="162"/>
      <c r="G1635" s="163"/>
      <c r="H1635" s="164"/>
      <c r="I1635" s="163"/>
      <c r="J1635" s="164"/>
      <c r="K1635" s="163"/>
      <c r="L1635" s="164"/>
      <c r="M1635" s="11"/>
      <c r="N1635" s="39"/>
      <c r="Q1635" s="15" t="str">
        <f>+CONCATENATE(E1633,K1633)</f>
        <v/>
      </c>
      <c r="R1635" s="15">
        <f>+L1633</f>
        <v>0</v>
      </c>
      <c r="S1635" s="16"/>
      <c r="T1635" s="15">
        <f>+E1633</f>
        <v>0</v>
      </c>
      <c r="U1635" s="26" t="str">
        <f>IFERROR(LEFT(K1633,FIND("*",K1633)-1),"-")</f>
        <v>-</v>
      </c>
      <c r="V1635" s="26" t="str">
        <f>IFERROR(RIGHT(K1633,LEN(K1633)-FIND("*",K1633)),"-")</f>
        <v>-</v>
      </c>
      <c r="W1635" s="27" t="str">
        <f t="shared" si="886"/>
        <v>-</v>
      </c>
      <c r="X1635" s="27" t="str">
        <f>IFERROR(W1635*L1633,"-")</f>
        <v>-</v>
      </c>
      <c r="Z1635" s="94" t="s">
        <v>82</v>
      </c>
    </row>
    <row r="1636" spans="1:26" s="25" customFormat="1" ht="6.95" customHeight="1" x14ac:dyDescent="0.3">
      <c r="A1636" s="13"/>
      <c r="B1636" s="168"/>
      <c r="C1636" s="169"/>
      <c r="D1636" s="160" t="s">
        <v>39</v>
      </c>
      <c r="E1636" s="161"/>
      <c r="F1636" s="162" t="s">
        <v>40</v>
      </c>
      <c r="G1636" s="163"/>
      <c r="H1636" s="164"/>
      <c r="I1636" s="163"/>
      <c r="J1636" s="164"/>
      <c r="K1636" s="163"/>
      <c r="L1636" s="164"/>
      <c r="M1636" s="11"/>
      <c r="N1636" s="39"/>
      <c r="Q1636" s="15" t="str">
        <f>+CONCATENATE(E1636,G1636)</f>
        <v/>
      </c>
      <c r="R1636" s="15">
        <f>+H1636</f>
        <v>0</v>
      </c>
      <c r="S1636" s="16"/>
      <c r="T1636" s="15">
        <f>+E1636</f>
        <v>0</v>
      </c>
      <c r="U1636" s="26" t="str">
        <f t="shared" ref="U1636" si="889">IFERROR(LEFT(G1636,FIND("*",G1636)-1),"-")</f>
        <v>-</v>
      </c>
      <c r="V1636" s="26" t="str">
        <f t="shared" ref="V1636" si="890">IFERROR(RIGHT(G1636,LEN(G1636)-FIND("*",G1636)),"-")</f>
        <v>-</v>
      </c>
      <c r="W1636" s="27" t="str">
        <f t="shared" si="886"/>
        <v>-</v>
      </c>
      <c r="X1636" s="27" t="str">
        <f>IFERROR(W1636*H1636,"-")</f>
        <v>-</v>
      </c>
      <c r="Z1636" s="94" t="s">
        <v>82</v>
      </c>
    </row>
    <row r="1637" spans="1:26" s="25" customFormat="1" ht="6.95" customHeight="1" x14ac:dyDescent="0.3">
      <c r="A1637" s="10"/>
      <c r="B1637" s="168"/>
      <c r="C1637" s="169"/>
      <c r="D1637" s="160"/>
      <c r="E1637" s="161"/>
      <c r="F1637" s="162"/>
      <c r="G1637" s="163"/>
      <c r="H1637" s="164"/>
      <c r="I1637" s="163"/>
      <c r="J1637" s="164"/>
      <c r="K1637" s="163"/>
      <c r="L1637" s="164"/>
      <c r="M1637" s="11"/>
      <c r="N1637" s="39"/>
      <c r="Q1637" s="15" t="str">
        <f>+CONCATENATE(E1636,I1636)</f>
        <v/>
      </c>
      <c r="R1637" s="15">
        <f>+J1636</f>
        <v>0</v>
      </c>
      <c r="S1637" s="16"/>
      <c r="T1637" s="15">
        <f>+E1636</f>
        <v>0</v>
      </c>
      <c r="U1637" s="26" t="str">
        <f>IFERROR(LEFT(I1636,FIND("*",I1636)-1),"-")</f>
        <v>-</v>
      </c>
      <c r="V1637" s="26" t="str">
        <f>IFERROR(RIGHT(I1636,LEN(I1636)-FIND("*",I1636)),"-")</f>
        <v>-</v>
      </c>
      <c r="W1637" s="27" t="str">
        <f t="shared" si="886"/>
        <v>-</v>
      </c>
      <c r="X1637" s="27" t="str">
        <f t="shared" ref="X1637" si="891">IFERROR(W1637*J1636,"-")</f>
        <v>-</v>
      </c>
      <c r="Z1637" s="94" t="s">
        <v>82</v>
      </c>
    </row>
    <row r="1638" spans="1:26" s="25" customFormat="1" ht="6.95" customHeight="1" x14ac:dyDescent="0.3">
      <c r="A1638" s="10"/>
      <c r="B1638" s="168"/>
      <c r="C1638" s="169"/>
      <c r="D1638" s="160"/>
      <c r="E1638" s="161"/>
      <c r="F1638" s="162"/>
      <c r="G1638" s="163"/>
      <c r="H1638" s="164"/>
      <c r="I1638" s="163"/>
      <c r="J1638" s="164"/>
      <c r="K1638" s="163"/>
      <c r="L1638" s="164"/>
      <c r="M1638" s="11"/>
      <c r="N1638" s="39"/>
      <c r="Q1638" s="15" t="str">
        <f>+CONCATENATE(E1636,K1636)</f>
        <v/>
      </c>
      <c r="R1638" s="15">
        <f>+L1636</f>
        <v>0</v>
      </c>
      <c r="S1638" s="16"/>
      <c r="T1638" s="15">
        <f>+E1636</f>
        <v>0</v>
      </c>
      <c r="U1638" s="26" t="str">
        <f>IFERROR(LEFT(K1636,FIND("*",K1636)-1),"-")</f>
        <v>-</v>
      </c>
      <c r="V1638" s="26" t="str">
        <f>IFERROR(RIGHT(K1636,LEN(K1636)-FIND("*",K1636)),"-")</f>
        <v>-</v>
      </c>
      <c r="W1638" s="27" t="str">
        <f t="shared" si="886"/>
        <v>-</v>
      </c>
      <c r="X1638" s="27" t="str">
        <f>IFERROR(W1638*L1636,"-")</f>
        <v>-</v>
      </c>
      <c r="Z1638" s="94" t="s">
        <v>82</v>
      </c>
    </row>
    <row r="1639" spans="1:26" s="25" customFormat="1" ht="21" customHeight="1" thickBot="1" x14ac:dyDescent="0.35">
      <c r="A1639" s="10"/>
      <c r="B1639" s="170"/>
      <c r="C1639" s="171"/>
      <c r="D1639" s="172" t="s">
        <v>43</v>
      </c>
      <c r="E1639" s="173"/>
      <c r="F1639" s="173"/>
      <c r="G1639" s="174"/>
      <c r="H1639" s="174"/>
      <c r="I1639" s="174"/>
      <c r="J1639" s="174"/>
      <c r="K1639" s="174"/>
      <c r="L1639" s="174"/>
      <c r="M1639" s="12"/>
      <c r="N1639" s="39"/>
      <c r="U1639" s="23"/>
      <c r="V1639" s="23"/>
      <c r="Z1639" s="95" t="s">
        <v>81</v>
      </c>
    </row>
    <row r="1640" spans="1:26" s="25" customFormat="1" ht="9.9499999999999993" customHeight="1" thickBot="1" x14ac:dyDescent="0.35">
      <c r="A1640" s="6"/>
      <c r="B1640" s="14"/>
      <c r="C1640" s="119"/>
      <c r="D1640" s="58"/>
      <c r="E1640" s="17"/>
      <c r="F1640" s="58"/>
      <c r="G1640" s="19"/>
      <c r="H1640" s="19"/>
      <c r="I1640" s="19"/>
      <c r="J1640" s="19"/>
      <c r="K1640" s="19"/>
      <c r="L1640" s="19"/>
      <c r="M1640" s="14"/>
      <c r="N1640" s="39"/>
      <c r="Q1640" s="1"/>
      <c r="R1640" s="1"/>
      <c r="S1640" s="1"/>
      <c r="T1640" s="1"/>
      <c r="U1640" s="24"/>
      <c r="V1640" s="24"/>
      <c r="W1640" s="1"/>
      <c r="X1640" s="1"/>
      <c r="Z1640" s="94" t="s">
        <v>82</v>
      </c>
    </row>
    <row r="1641" spans="1:26" s="25" customFormat="1" ht="6.95" customHeight="1" x14ac:dyDescent="0.3">
      <c r="A1641" s="165">
        <f>+A1630+1</f>
        <v>150</v>
      </c>
      <c r="B1641" s="166"/>
      <c r="C1641" s="167"/>
      <c r="D1641" s="160" t="s">
        <v>39</v>
      </c>
      <c r="E1641" s="161"/>
      <c r="F1641" s="162" t="s">
        <v>40</v>
      </c>
      <c r="G1641" s="163"/>
      <c r="H1641" s="164"/>
      <c r="I1641" s="163"/>
      <c r="J1641" s="164"/>
      <c r="K1641" s="163"/>
      <c r="L1641" s="164"/>
      <c r="M1641" s="11"/>
      <c r="N1641" s="39"/>
      <c r="Q1641" s="15" t="str">
        <f>+CONCATENATE(E1641,G1641)</f>
        <v/>
      </c>
      <c r="R1641" s="15">
        <f>+H1641</f>
        <v>0</v>
      </c>
      <c r="S1641" s="16"/>
      <c r="T1641" s="15">
        <f>+E1641</f>
        <v>0</v>
      </c>
      <c r="U1641" s="26" t="str">
        <f>IFERROR(LEFT(G1641,FIND("*",G1641)-1),"-")</f>
        <v>-</v>
      </c>
      <c r="V1641" s="26" t="str">
        <f>IFERROR(RIGHT(G1641,LEN(G1641)-FIND("*",G1641)),"-")</f>
        <v>-</v>
      </c>
      <c r="W1641" s="27" t="str">
        <f>IFERROR((U1641+V1641)*2/1000,"-")</f>
        <v>-</v>
      </c>
      <c r="X1641" s="27" t="str">
        <f>IFERROR(W1641*H1641,"-")</f>
        <v>-</v>
      </c>
      <c r="Z1641" s="94" t="s">
        <v>82</v>
      </c>
    </row>
    <row r="1642" spans="1:26" s="25" customFormat="1" ht="6.95" customHeight="1" x14ac:dyDescent="0.3">
      <c r="A1642" s="165"/>
      <c r="B1642" s="168"/>
      <c r="C1642" s="169"/>
      <c r="D1642" s="160"/>
      <c r="E1642" s="161"/>
      <c r="F1642" s="162"/>
      <c r="G1642" s="163"/>
      <c r="H1642" s="164"/>
      <c r="I1642" s="163"/>
      <c r="J1642" s="164"/>
      <c r="K1642" s="163"/>
      <c r="L1642" s="164"/>
      <c r="M1642" s="11"/>
      <c r="N1642" s="39"/>
      <c r="Q1642" s="15" t="str">
        <f>+CONCATENATE(E1641,I1641)</f>
        <v/>
      </c>
      <c r="R1642" s="15">
        <f>+J1641</f>
        <v>0</v>
      </c>
      <c r="S1642" s="16"/>
      <c r="T1642" s="15">
        <f>+E1641</f>
        <v>0</v>
      </c>
      <c r="U1642" s="26" t="str">
        <f>IFERROR(LEFT(I1641,FIND("*",I1641)-1),"-")</f>
        <v>-</v>
      </c>
      <c r="V1642" s="26" t="str">
        <f>IFERROR(RIGHT(I1641,LEN(I1641)-FIND("*",I1641)),"-")</f>
        <v>-</v>
      </c>
      <c r="W1642" s="27" t="str">
        <f t="shared" ref="W1642:W1649" si="892">IFERROR((U1642+V1642)*2/1000,"-")</f>
        <v>-</v>
      </c>
      <c r="X1642" s="27" t="str">
        <f>IFERROR(W1642*J1641,"-")</f>
        <v>-</v>
      </c>
      <c r="Z1642" s="94" t="s">
        <v>82</v>
      </c>
    </row>
    <row r="1643" spans="1:26" s="25" customFormat="1" ht="6.95" customHeight="1" x14ac:dyDescent="0.3">
      <c r="A1643" s="165"/>
      <c r="B1643" s="168"/>
      <c r="C1643" s="169"/>
      <c r="D1643" s="160"/>
      <c r="E1643" s="161"/>
      <c r="F1643" s="162"/>
      <c r="G1643" s="163"/>
      <c r="H1643" s="164"/>
      <c r="I1643" s="163"/>
      <c r="J1643" s="164"/>
      <c r="K1643" s="163"/>
      <c r="L1643" s="164"/>
      <c r="M1643" s="11"/>
      <c r="N1643" s="39"/>
      <c r="Q1643" s="15" t="str">
        <f>+CONCATENATE(E1641,K1641)</f>
        <v/>
      </c>
      <c r="R1643" s="15">
        <f>+L1641</f>
        <v>0</v>
      </c>
      <c r="S1643" s="16"/>
      <c r="T1643" s="15">
        <f>+E1641</f>
        <v>0</v>
      </c>
      <c r="U1643" s="26" t="str">
        <f>IFERROR(LEFT(K1641,FIND("*",K1641)-1),"-")</f>
        <v>-</v>
      </c>
      <c r="V1643" s="26" t="str">
        <f>IFERROR(RIGHT(K1641,LEN(K1641)-FIND("*",K1641)),"-")</f>
        <v>-</v>
      </c>
      <c r="W1643" s="27" t="str">
        <f t="shared" si="892"/>
        <v>-</v>
      </c>
      <c r="X1643" s="27" t="str">
        <f>IFERROR(W1643*L1641,"-")</f>
        <v>-</v>
      </c>
      <c r="Z1643" s="94" t="s">
        <v>82</v>
      </c>
    </row>
    <row r="1644" spans="1:26" s="25" customFormat="1" ht="6.95" customHeight="1" x14ac:dyDescent="0.3">
      <c r="A1644" s="13"/>
      <c r="B1644" s="168"/>
      <c r="C1644" s="169"/>
      <c r="D1644" s="160" t="s">
        <v>39</v>
      </c>
      <c r="E1644" s="161"/>
      <c r="F1644" s="162" t="s">
        <v>40</v>
      </c>
      <c r="G1644" s="163"/>
      <c r="H1644" s="164"/>
      <c r="I1644" s="163"/>
      <c r="J1644" s="164"/>
      <c r="K1644" s="163"/>
      <c r="L1644" s="164"/>
      <c r="M1644" s="11"/>
      <c r="N1644" s="39"/>
      <c r="Q1644" s="15" t="str">
        <f>+CONCATENATE(E1644,G1644)</f>
        <v/>
      </c>
      <c r="R1644" s="15">
        <f>+H1644</f>
        <v>0</v>
      </c>
      <c r="S1644" s="16"/>
      <c r="T1644" s="15">
        <f>+E1644</f>
        <v>0</v>
      </c>
      <c r="U1644" s="26" t="str">
        <f t="shared" ref="U1644" si="893">IFERROR(LEFT(G1644,FIND("*",G1644)-1),"-")</f>
        <v>-</v>
      </c>
      <c r="V1644" s="26" t="str">
        <f t="shared" ref="V1644" si="894">IFERROR(RIGHT(G1644,LEN(G1644)-FIND("*",G1644)),"-")</f>
        <v>-</v>
      </c>
      <c r="W1644" s="27" t="str">
        <f t="shared" si="892"/>
        <v>-</v>
      </c>
      <c r="X1644" s="27" t="str">
        <f>IFERROR(W1644*H1644,"-")</f>
        <v>-</v>
      </c>
      <c r="Z1644" s="94" t="s">
        <v>82</v>
      </c>
    </row>
    <row r="1645" spans="1:26" s="25" customFormat="1" ht="6.95" customHeight="1" x14ac:dyDescent="0.3">
      <c r="A1645" s="10"/>
      <c r="B1645" s="168"/>
      <c r="C1645" s="169"/>
      <c r="D1645" s="160"/>
      <c r="E1645" s="161"/>
      <c r="F1645" s="162"/>
      <c r="G1645" s="163"/>
      <c r="H1645" s="164"/>
      <c r="I1645" s="163"/>
      <c r="J1645" s="164"/>
      <c r="K1645" s="163"/>
      <c r="L1645" s="164"/>
      <c r="M1645" s="11"/>
      <c r="N1645" s="39"/>
      <c r="Q1645" s="15" t="str">
        <f>+CONCATENATE(E1644,I1644)</f>
        <v/>
      </c>
      <c r="R1645" s="15">
        <f>+J1644</f>
        <v>0</v>
      </c>
      <c r="S1645" s="16"/>
      <c r="T1645" s="15">
        <f>+E1644</f>
        <v>0</v>
      </c>
      <c r="U1645" s="26" t="str">
        <f>IFERROR(LEFT(I1644,FIND("*",I1644)-1),"-")</f>
        <v>-</v>
      </c>
      <c r="V1645" s="26" t="str">
        <f>IFERROR(RIGHT(I1644,LEN(I1644)-FIND("*",I1644)),"-")</f>
        <v>-</v>
      </c>
      <c r="W1645" s="27" t="str">
        <f t="shared" si="892"/>
        <v>-</v>
      </c>
      <c r="X1645" s="27" t="str">
        <f>IFERROR(W1645*J1644,"-")</f>
        <v>-</v>
      </c>
      <c r="Z1645" s="94" t="s">
        <v>82</v>
      </c>
    </row>
    <row r="1646" spans="1:26" s="25" customFormat="1" ht="6.95" customHeight="1" x14ac:dyDescent="0.3">
      <c r="A1646" s="10"/>
      <c r="B1646" s="168"/>
      <c r="C1646" s="169"/>
      <c r="D1646" s="160"/>
      <c r="E1646" s="161"/>
      <c r="F1646" s="162"/>
      <c r="G1646" s="163"/>
      <c r="H1646" s="164"/>
      <c r="I1646" s="163"/>
      <c r="J1646" s="164"/>
      <c r="K1646" s="163"/>
      <c r="L1646" s="164"/>
      <c r="M1646" s="11"/>
      <c r="N1646" s="39"/>
      <c r="Q1646" s="15" t="str">
        <f>+CONCATENATE(E1644,K1644)</f>
        <v/>
      </c>
      <c r="R1646" s="15">
        <f>+L1644</f>
        <v>0</v>
      </c>
      <c r="S1646" s="16"/>
      <c r="T1646" s="15">
        <f>+E1644</f>
        <v>0</v>
      </c>
      <c r="U1646" s="26" t="str">
        <f>IFERROR(LEFT(K1644,FIND("*",K1644)-1),"-")</f>
        <v>-</v>
      </c>
      <c r="V1646" s="26" t="str">
        <f>IFERROR(RIGHT(K1644,LEN(K1644)-FIND("*",K1644)),"-")</f>
        <v>-</v>
      </c>
      <c r="W1646" s="27" t="str">
        <f t="shared" si="892"/>
        <v>-</v>
      </c>
      <c r="X1646" s="27" t="str">
        <f>IFERROR(W1646*L1644,"-")</f>
        <v>-</v>
      </c>
      <c r="Z1646" s="94" t="s">
        <v>82</v>
      </c>
    </row>
    <row r="1647" spans="1:26" s="25" customFormat="1" ht="6.95" customHeight="1" x14ac:dyDescent="0.3">
      <c r="A1647" s="13"/>
      <c r="B1647" s="168"/>
      <c r="C1647" s="169"/>
      <c r="D1647" s="160" t="s">
        <v>39</v>
      </c>
      <c r="E1647" s="161"/>
      <c r="F1647" s="162" t="s">
        <v>40</v>
      </c>
      <c r="G1647" s="163"/>
      <c r="H1647" s="164"/>
      <c r="I1647" s="163"/>
      <c r="J1647" s="164"/>
      <c r="K1647" s="163"/>
      <c r="L1647" s="164"/>
      <c r="M1647" s="11"/>
      <c r="N1647" s="39"/>
      <c r="Q1647" s="15" t="str">
        <f>+CONCATENATE(E1647,G1647)</f>
        <v/>
      </c>
      <c r="R1647" s="15">
        <f>+H1647</f>
        <v>0</v>
      </c>
      <c r="S1647" s="16"/>
      <c r="T1647" s="15">
        <f>+E1647</f>
        <v>0</v>
      </c>
      <c r="U1647" s="26" t="str">
        <f t="shared" ref="U1647" si="895">IFERROR(LEFT(G1647,FIND("*",G1647)-1),"-")</f>
        <v>-</v>
      </c>
      <c r="V1647" s="26" t="str">
        <f t="shared" ref="V1647" si="896">IFERROR(RIGHT(G1647,LEN(G1647)-FIND("*",G1647)),"-")</f>
        <v>-</v>
      </c>
      <c r="W1647" s="27" t="str">
        <f t="shared" si="892"/>
        <v>-</v>
      </c>
      <c r="X1647" s="27" t="str">
        <f>IFERROR(W1647*H1647,"-")</f>
        <v>-</v>
      </c>
      <c r="Z1647" s="94" t="s">
        <v>82</v>
      </c>
    </row>
    <row r="1648" spans="1:26" s="25" customFormat="1" ht="6.95" customHeight="1" x14ac:dyDescent="0.3">
      <c r="A1648" s="10"/>
      <c r="B1648" s="168"/>
      <c r="C1648" s="169"/>
      <c r="D1648" s="160"/>
      <c r="E1648" s="161"/>
      <c r="F1648" s="162"/>
      <c r="G1648" s="163"/>
      <c r="H1648" s="164"/>
      <c r="I1648" s="163"/>
      <c r="J1648" s="164"/>
      <c r="K1648" s="163"/>
      <c r="L1648" s="164"/>
      <c r="M1648" s="11"/>
      <c r="N1648" s="39"/>
      <c r="Q1648" s="15" t="str">
        <f>+CONCATENATE(E1647,I1647)</f>
        <v/>
      </c>
      <c r="R1648" s="15">
        <f>+J1647</f>
        <v>0</v>
      </c>
      <c r="S1648" s="16"/>
      <c r="T1648" s="15">
        <f>+E1647</f>
        <v>0</v>
      </c>
      <c r="U1648" s="26" t="str">
        <f>IFERROR(LEFT(I1647,FIND("*",I1647)-1),"-")</f>
        <v>-</v>
      </c>
      <c r="V1648" s="26" t="str">
        <f>IFERROR(RIGHT(I1647,LEN(I1647)-FIND("*",I1647)),"-")</f>
        <v>-</v>
      </c>
      <c r="W1648" s="27" t="str">
        <f t="shared" si="892"/>
        <v>-</v>
      </c>
      <c r="X1648" s="27" t="str">
        <f t="shared" ref="X1648" si="897">IFERROR(W1648*J1647,"-")</f>
        <v>-</v>
      </c>
      <c r="Z1648" s="94" t="s">
        <v>82</v>
      </c>
    </row>
    <row r="1649" spans="1:26" s="25" customFormat="1" ht="6.95" customHeight="1" x14ac:dyDescent="0.3">
      <c r="A1649" s="10"/>
      <c r="B1649" s="168"/>
      <c r="C1649" s="169"/>
      <c r="D1649" s="160"/>
      <c r="E1649" s="161"/>
      <c r="F1649" s="162"/>
      <c r="G1649" s="163"/>
      <c r="H1649" s="164"/>
      <c r="I1649" s="163"/>
      <c r="J1649" s="164"/>
      <c r="K1649" s="163"/>
      <c r="L1649" s="164"/>
      <c r="M1649" s="11"/>
      <c r="N1649" s="39"/>
      <c r="Q1649" s="15" t="str">
        <f>+CONCATENATE(E1647,K1647)</f>
        <v/>
      </c>
      <c r="R1649" s="15">
        <f>+L1647</f>
        <v>0</v>
      </c>
      <c r="S1649" s="16"/>
      <c r="T1649" s="15">
        <f>+E1647</f>
        <v>0</v>
      </c>
      <c r="U1649" s="26" t="str">
        <f>IFERROR(LEFT(K1647,FIND("*",K1647)-1),"-")</f>
        <v>-</v>
      </c>
      <c r="V1649" s="26" t="str">
        <f>IFERROR(RIGHT(K1647,LEN(K1647)-FIND("*",K1647)),"-")</f>
        <v>-</v>
      </c>
      <c r="W1649" s="27" t="str">
        <f t="shared" si="892"/>
        <v>-</v>
      </c>
      <c r="X1649" s="27" t="str">
        <f>IFERROR(W1649*L1647,"-")</f>
        <v>-</v>
      </c>
      <c r="Z1649" s="94" t="s">
        <v>82</v>
      </c>
    </row>
    <row r="1650" spans="1:26" s="25" customFormat="1" ht="21" customHeight="1" thickBot="1" x14ac:dyDescent="0.35">
      <c r="A1650" s="10"/>
      <c r="B1650" s="170"/>
      <c r="C1650" s="171"/>
      <c r="D1650" s="172" t="s">
        <v>43</v>
      </c>
      <c r="E1650" s="173"/>
      <c r="F1650" s="173"/>
      <c r="G1650" s="174"/>
      <c r="H1650" s="174"/>
      <c r="I1650" s="174"/>
      <c r="J1650" s="174"/>
      <c r="K1650" s="174"/>
      <c r="L1650" s="174"/>
      <c r="M1650" s="12"/>
      <c r="N1650" s="39"/>
      <c r="U1650" s="23"/>
      <c r="V1650" s="23"/>
      <c r="Z1650" s="95" t="s">
        <v>81</v>
      </c>
    </row>
    <row r="1651" spans="1:26" s="25" customFormat="1" ht="9.9499999999999993" customHeight="1" thickBot="1" x14ac:dyDescent="0.35">
      <c r="A1651" s="6"/>
      <c r="B1651" s="14"/>
      <c r="C1651" s="119"/>
      <c r="D1651" s="58"/>
      <c r="E1651" s="17"/>
      <c r="F1651" s="58"/>
      <c r="G1651" s="19"/>
      <c r="H1651" s="19"/>
      <c r="I1651" s="19"/>
      <c r="J1651" s="19"/>
      <c r="K1651" s="19"/>
      <c r="L1651" s="19"/>
      <c r="M1651" s="14"/>
      <c r="N1651" s="39"/>
      <c r="Q1651" s="1"/>
      <c r="R1651" s="1"/>
      <c r="S1651" s="1"/>
      <c r="T1651" s="1"/>
      <c r="U1651" s="24"/>
      <c r="V1651" s="24"/>
      <c r="W1651" s="1"/>
      <c r="X1651" s="1"/>
      <c r="Z1651" s="94" t="s">
        <v>82</v>
      </c>
    </row>
    <row r="1652" spans="1:26" s="25" customFormat="1" ht="6.95" customHeight="1" x14ac:dyDescent="0.3">
      <c r="A1652" s="165">
        <f>+A1641+1</f>
        <v>151</v>
      </c>
      <c r="B1652" s="166"/>
      <c r="C1652" s="167"/>
      <c r="D1652" s="160" t="s">
        <v>39</v>
      </c>
      <c r="E1652" s="161"/>
      <c r="F1652" s="162" t="s">
        <v>40</v>
      </c>
      <c r="G1652" s="163"/>
      <c r="H1652" s="164"/>
      <c r="I1652" s="163"/>
      <c r="J1652" s="164"/>
      <c r="K1652" s="163"/>
      <c r="L1652" s="164"/>
      <c r="M1652" s="11"/>
      <c r="N1652" s="39"/>
      <c r="Q1652" s="15" t="str">
        <f>+CONCATENATE(E1652,G1652)</f>
        <v/>
      </c>
      <c r="R1652" s="15">
        <f>+H1652</f>
        <v>0</v>
      </c>
      <c r="S1652" s="16"/>
      <c r="T1652" s="15">
        <f>+E1652</f>
        <v>0</v>
      </c>
      <c r="U1652" s="26" t="str">
        <f>IFERROR(LEFT(G1652,FIND("*",G1652)-1),"-")</f>
        <v>-</v>
      </c>
      <c r="V1652" s="26" t="str">
        <f>IFERROR(RIGHT(G1652,LEN(G1652)-FIND("*",G1652)),"-")</f>
        <v>-</v>
      </c>
      <c r="W1652" s="27" t="str">
        <f>IFERROR((U1652+V1652)*2/1000,"-")</f>
        <v>-</v>
      </c>
      <c r="X1652" s="27" t="str">
        <f>IFERROR(W1652*H1652,"-")</f>
        <v>-</v>
      </c>
      <c r="Z1652" s="94" t="s">
        <v>82</v>
      </c>
    </row>
    <row r="1653" spans="1:26" s="25" customFormat="1" ht="6.95" customHeight="1" x14ac:dyDescent="0.3">
      <c r="A1653" s="165"/>
      <c r="B1653" s="168"/>
      <c r="C1653" s="169"/>
      <c r="D1653" s="160"/>
      <c r="E1653" s="161"/>
      <c r="F1653" s="162"/>
      <c r="G1653" s="163"/>
      <c r="H1653" s="164"/>
      <c r="I1653" s="163"/>
      <c r="J1653" s="164"/>
      <c r="K1653" s="163"/>
      <c r="L1653" s="164"/>
      <c r="M1653" s="11"/>
      <c r="N1653" s="39"/>
      <c r="Q1653" s="15" t="str">
        <f>+CONCATENATE(E1652,I1652)</f>
        <v/>
      </c>
      <c r="R1653" s="15">
        <f>+J1652</f>
        <v>0</v>
      </c>
      <c r="S1653" s="16"/>
      <c r="T1653" s="15">
        <f>+E1652</f>
        <v>0</v>
      </c>
      <c r="U1653" s="26" t="str">
        <f>IFERROR(LEFT(I1652,FIND("*",I1652)-1),"-")</f>
        <v>-</v>
      </c>
      <c r="V1653" s="26" t="str">
        <f>IFERROR(RIGHT(I1652,LEN(I1652)-FIND("*",I1652)),"-")</f>
        <v>-</v>
      </c>
      <c r="W1653" s="27" t="str">
        <f t="shared" ref="W1653:W1660" si="898">IFERROR((U1653+V1653)*2/1000,"-")</f>
        <v>-</v>
      </c>
      <c r="X1653" s="27" t="str">
        <f>IFERROR(W1653*J1652,"-")</f>
        <v>-</v>
      </c>
      <c r="Z1653" s="94" t="s">
        <v>82</v>
      </c>
    </row>
    <row r="1654" spans="1:26" s="25" customFormat="1" ht="6.95" customHeight="1" x14ac:dyDescent="0.3">
      <c r="A1654" s="165"/>
      <c r="B1654" s="168"/>
      <c r="C1654" s="169"/>
      <c r="D1654" s="160"/>
      <c r="E1654" s="161"/>
      <c r="F1654" s="162"/>
      <c r="G1654" s="163"/>
      <c r="H1654" s="164"/>
      <c r="I1654" s="163"/>
      <c r="J1654" s="164"/>
      <c r="K1654" s="163"/>
      <c r="L1654" s="164"/>
      <c r="M1654" s="11"/>
      <c r="N1654" s="39"/>
      <c r="Q1654" s="15" t="str">
        <f>+CONCATENATE(E1652,K1652)</f>
        <v/>
      </c>
      <c r="R1654" s="15">
        <f>+L1652</f>
        <v>0</v>
      </c>
      <c r="S1654" s="16"/>
      <c r="T1654" s="15">
        <f>+E1652</f>
        <v>0</v>
      </c>
      <c r="U1654" s="26" t="str">
        <f>IFERROR(LEFT(K1652,FIND("*",K1652)-1),"-")</f>
        <v>-</v>
      </c>
      <c r="V1654" s="26" t="str">
        <f>IFERROR(RIGHT(K1652,LEN(K1652)-FIND("*",K1652)),"-")</f>
        <v>-</v>
      </c>
      <c r="W1654" s="27" t="str">
        <f t="shared" si="898"/>
        <v>-</v>
      </c>
      <c r="X1654" s="27" t="str">
        <f>IFERROR(W1654*L1652,"-")</f>
        <v>-</v>
      </c>
      <c r="Z1654" s="94" t="s">
        <v>82</v>
      </c>
    </row>
    <row r="1655" spans="1:26" s="25" customFormat="1" ht="6.95" customHeight="1" x14ac:dyDescent="0.3">
      <c r="A1655" s="13"/>
      <c r="B1655" s="168"/>
      <c r="C1655" s="169"/>
      <c r="D1655" s="160" t="s">
        <v>39</v>
      </c>
      <c r="E1655" s="161"/>
      <c r="F1655" s="162" t="s">
        <v>40</v>
      </c>
      <c r="G1655" s="163"/>
      <c r="H1655" s="164"/>
      <c r="I1655" s="163"/>
      <c r="J1655" s="164"/>
      <c r="K1655" s="163"/>
      <c r="L1655" s="164"/>
      <c r="M1655" s="11"/>
      <c r="N1655" s="39"/>
      <c r="Q1655" s="15" t="str">
        <f>+CONCATENATE(E1655,G1655)</f>
        <v/>
      </c>
      <c r="R1655" s="15">
        <f>+H1655</f>
        <v>0</v>
      </c>
      <c r="S1655" s="16"/>
      <c r="T1655" s="15">
        <f>+E1655</f>
        <v>0</v>
      </c>
      <c r="U1655" s="26" t="str">
        <f t="shared" ref="U1655" si="899">IFERROR(LEFT(G1655,FIND("*",G1655)-1),"-")</f>
        <v>-</v>
      </c>
      <c r="V1655" s="26" t="str">
        <f t="shared" ref="V1655" si="900">IFERROR(RIGHT(G1655,LEN(G1655)-FIND("*",G1655)),"-")</f>
        <v>-</v>
      </c>
      <c r="W1655" s="27" t="str">
        <f t="shared" si="898"/>
        <v>-</v>
      </c>
      <c r="X1655" s="27" t="str">
        <f>IFERROR(W1655*H1655,"-")</f>
        <v>-</v>
      </c>
      <c r="Z1655" s="94" t="s">
        <v>82</v>
      </c>
    </row>
    <row r="1656" spans="1:26" s="25" customFormat="1" ht="6.95" customHeight="1" x14ac:dyDescent="0.3">
      <c r="A1656" s="10"/>
      <c r="B1656" s="168"/>
      <c r="C1656" s="169"/>
      <c r="D1656" s="160"/>
      <c r="E1656" s="161"/>
      <c r="F1656" s="162"/>
      <c r="G1656" s="163"/>
      <c r="H1656" s="164"/>
      <c r="I1656" s="163"/>
      <c r="J1656" s="164"/>
      <c r="K1656" s="163"/>
      <c r="L1656" s="164"/>
      <c r="M1656" s="11"/>
      <c r="N1656" s="39"/>
      <c r="Q1656" s="15" t="str">
        <f>+CONCATENATE(E1655,I1655)</f>
        <v/>
      </c>
      <c r="R1656" s="15">
        <f>+J1655</f>
        <v>0</v>
      </c>
      <c r="S1656" s="16"/>
      <c r="T1656" s="15">
        <f>+E1655</f>
        <v>0</v>
      </c>
      <c r="U1656" s="26" t="str">
        <f>IFERROR(LEFT(I1655,FIND("*",I1655)-1),"-")</f>
        <v>-</v>
      </c>
      <c r="V1656" s="26" t="str">
        <f>IFERROR(RIGHT(I1655,LEN(I1655)-FIND("*",I1655)),"-")</f>
        <v>-</v>
      </c>
      <c r="W1656" s="27" t="str">
        <f t="shared" si="898"/>
        <v>-</v>
      </c>
      <c r="X1656" s="27" t="str">
        <f>IFERROR(W1656*J1655,"-")</f>
        <v>-</v>
      </c>
      <c r="Z1656" s="94" t="s">
        <v>82</v>
      </c>
    </row>
    <row r="1657" spans="1:26" s="25" customFormat="1" ht="6.95" customHeight="1" x14ac:dyDescent="0.3">
      <c r="A1657" s="10"/>
      <c r="B1657" s="168"/>
      <c r="C1657" s="169"/>
      <c r="D1657" s="160"/>
      <c r="E1657" s="161"/>
      <c r="F1657" s="162"/>
      <c r="G1657" s="163"/>
      <c r="H1657" s="164"/>
      <c r="I1657" s="163"/>
      <c r="J1657" s="164"/>
      <c r="K1657" s="163"/>
      <c r="L1657" s="164"/>
      <c r="M1657" s="11"/>
      <c r="N1657" s="39"/>
      <c r="Q1657" s="15" t="str">
        <f>+CONCATENATE(E1655,K1655)</f>
        <v/>
      </c>
      <c r="R1657" s="15">
        <f>+L1655</f>
        <v>0</v>
      </c>
      <c r="S1657" s="16"/>
      <c r="T1657" s="15">
        <f>+E1655</f>
        <v>0</v>
      </c>
      <c r="U1657" s="26" t="str">
        <f>IFERROR(LEFT(K1655,FIND("*",K1655)-1),"-")</f>
        <v>-</v>
      </c>
      <c r="V1657" s="26" t="str">
        <f>IFERROR(RIGHT(K1655,LEN(K1655)-FIND("*",K1655)),"-")</f>
        <v>-</v>
      </c>
      <c r="W1657" s="27" t="str">
        <f t="shared" si="898"/>
        <v>-</v>
      </c>
      <c r="X1657" s="27" t="str">
        <f>IFERROR(W1657*L1655,"-")</f>
        <v>-</v>
      </c>
      <c r="Z1657" s="94" t="s">
        <v>82</v>
      </c>
    </row>
    <row r="1658" spans="1:26" s="25" customFormat="1" ht="6.95" customHeight="1" x14ac:dyDescent="0.3">
      <c r="A1658" s="13"/>
      <c r="B1658" s="168"/>
      <c r="C1658" s="169"/>
      <c r="D1658" s="160" t="s">
        <v>39</v>
      </c>
      <c r="E1658" s="161"/>
      <c r="F1658" s="162" t="s">
        <v>40</v>
      </c>
      <c r="G1658" s="163"/>
      <c r="H1658" s="164"/>
      <c r="I1658" s="163"/>
      <c r="J1658" s="164"/>
      <c r="K1658" s="163"/>
      <c r="L1658" s="164"/>
      <c r="M1658" s="11"/>
      <c r="N1658" s="39"/>
      <c r="Q1658" s="15" t="str">
        <f>+CONCATENATE(E1658,G1658)</f>
        <v/>
      </c>
      <c r="R1658" s="15">
        <f>+H1658</f>
        <v>0</v>
      </c>
      <c r="S1658" s="16"/>
      <c r="T1658" s="15">
        <f>+E1658</f>
        <v>0</v>
      </c>
      <c r="U1658" s="26" t="str">
        <f t="shared" ref="U1658" si="901">IFERROR(LEFT(G1658,FIND("*",G1658)-1),"-")</f>
        <v>-</v>
      </c>
      <c r="V1658" s="26" t="str">
        <f t="shared" ref="V1658" si="902">IFERROR(RIGHT(G1658,LEN(G1658)-FIND("*",G1658)),"-")</f>
        <v>-</v>
      </c>
      <c r="W1658" s="27" t="str">
        <f t="shared" si="898"/>
        <v>-</v>
      </c>
      <c r="X1658" s="27" t="str">
        <f>IFERROR(W1658*H1658,"-")</f>
        <v>-</v>
      </c>
      <c r="Z1658" s="94" t="s">
        <v>82</v>
      </c>
    </row>
    <row r="1659" spans="1:26" s="25" customFormat="1" ht="6.95" customHeight="1" x14ac:dyDescent="0.3">
      <c r="A1659" s="10"/>
      <c r="B1659" s="168"/>
      <c r="C1659" s="169"/>
      <c r="D1659" s="160"/>
      <c r="E1659" s="161"/>
      <c r="F1659" s="162"/>
      <c r="G1659" s="163"/>
      <c r="H1659" s="164"/>
      <c r="I1659" s="163"/>
      <c r="J1659" s="164"/>
      <c r="K1659" s="163"/>
      <c r="L1659" s="164"/>
      <c r="M1659" s="11"/>
      <c r="N1659" s="39"/>
      <c r="Q1659" s="15" t="str">
        <f>+CONCATENATE(E1658,I1658)</f>
        <v/>
      </c>
      <c r="R1659" s="15">
        <f>+J1658</f>
        <v>0</v>
      </c>
      <c r="S1659" s="16"/>
      <c r="T1659" s="15">
        <f>+E1658</f>
        <v>0</v>
      </c>
      <c r="U1659" s="26" t="str">
        <f>IFERROR(LEFT(I1658,FIND("*",I1658)-1),"-")</f>
        <v>-</v>
      </c>
      <c r="V1659" s="26" t="str">
        <f>IFERROR(RIGHT(I1658,LEN(I1658)-FIND("*",I1658)),"-")</f>
        <v>-</v>
      </c>
      <c r="W1659" s="27" t="str">
        <f t="shared" si="898"/>
        <v>-</v>
      </c>
      <c r="X1659" s="27" t="str">
        <f t="shared" ref="X1659" si="903">IFERROR(W1659*J1658,"-")</f>
        <v>-</v>
      </c>
      <c r="Z1659" s="94" t="s">
        <v>82</v>
      </c>
    </row>
    <row r="1660" spans="1:26" s="25" customFormat="1" ht="6.95" customHeight="1" x14ac:dyDescent="0.3">
      <c r="A1660" s="10"/>
      <c r="B1660" s="168"/>
      <c r="C1660" s="169"/>
      <c r="D1660" s="160"/>
      <c r="E1660" s="161"/>
      <c r="F1660" s="162"/>
      <c r="G1660" s="163"/>
      <c r="H1660" s="164"/>
      <c r="I1660" s="163"/>
      <c r="J1660" s="164"/>
      <c r="K1660" s="163"/>
      <c r="L1660" s="164"/>
      <c r="M1660" s="11"/>
      <c r="N1660" s="39"/>
      <c r="Q1660" s="15" t="str">
        <f>+CONCATENATE(E1658,K1658)</f>
        <v/>
      </c>
      <c r="R1660" s="15">
        <f>+L1658</f>
        <v>0</v>
      </c>
      <c r="S1660" s="16"/>
      <c r="T1660" s="15">
        <f>+E1658</f>
        <v>0</v>
      </c>
      <c r="U1660" s="26" t="str">
        <f>IFERROR(LEFT(K1658,FIND("*",K1658)-1),"-")</f>
        <v>-</v>
      </c>
      <c r="V1660" s="26" t="str">
        <f>IFERROR(RIGHT(K1658,LEN(K1658)-FIND("*",K1658)),"-")</f>
        <v>-</v>
      </c>
      <c r="W1660" s="27" t="str">
        <f t="shared" si="898"/>
        <v>-</v>
      </c>
      <c r="X1660" s="27" t="str">
        <f>IFERROR(W1660*L1658,"-")</f>
        <v>-</v>
      </c>
      <c r="Z1660" s="94" t="s">
        <v>82</v>
      </c>
    </row>
    <row r="1661" spans="1:26" s="25" customFormat="1" ht="21" customHeight="1" thickBot="1" x14ac:dyDescent="0.35">
      <c r="A1661" s="10"/>
      <c r="B1661" s="170"/>
      <c r="C1661" s="171"/>
      <c r="D1661" s="172" t="s">
        <v>43</v>
      </c>
      <c r="E1661" s="173"/>
      <c r="F1661" s="173"/>
      <c r="G1661" s="174"/>
      <c r="H1661" s="174"/>
      <c r="I1661" s="174"/>
      <c r="J1661" s="174"/>
      <c r="K1661" s="174"/>
      <c r="L1661" s="174"/>
      <c r="M1661" s="12"/>
      <c r="N1661" s="39"/>
      <c r="U1661" s="23"/>
      <c r="V1661" s="23"/>
      <c r="Z1661" s="95" t="s">
        <v>81</v>
      </c>
    </row>
    <row r="1662" spans="1:26" s="25" customFormat="1" ht="9.9499999999999993" customHeight="1" thickBot="1" x14ac:dyDescent="0.35">
      <c r="A1662" s="6"/>
      <c r="B1662" s="14"/>
      <c r="C1662" s="119"/>
      <c r="D1662" s="58"/>
      <c r="E1662" s="17"/>
      <c r="F1662" s="58"/>
      <c r="G1662" s="19"/>
      <c r="H1662" s="19"/>
      <c r="I1662" s="19"/>
      <c r="J1662" s="19"/>
      <c r="K1662" s="19"/>
      <c r="L1662" s="19"/>
      <c r="M1662" s="14"/>
      <c r="N1662" s="39"/>
      <c r="Q1662" s="1"/>
      <c r="R1662" s="1"/>
      <c r="S1662" s="1"/>
      <c r="T1662" s="1"/>
      <c r="U1662" s="24"/>
      <c r="V1662" s="24"/>
      <c r="W1662" s="1"/>
      <c r="X1662" s="1"/>
      <c r="Z1662" s="94" t="s">
        <v>82</v>
      </c>
    </row>
    <row r="1663" spans="1:26" s="25" customFormat="1" ht="6.95" customHeight="1" x14ac:dyDescent="0.3">
      <c r="A1663" s="165">
        <f>+A1652+1</f>
        <v>152</v>
      </c>
      <c r="B1663" s="166"/>
      <c r="C1663" s="167"/>
      <c r="D1663" s="160" t="s">
        <v>39</v>
      </c>
      <c r="E1663" s="161"/>
      <c r="F1663" s="162" t="s">
        <v>40</v>
      </c>
      <c r="G1663" s="163"/>
      <c r="H1663" s="164"/>
      <c r="I1663" s="163"/>
      <c r="J1663" s="164"/>
      <c r="K1663" s="163"/>
      <c r="L1663" s="164"/>
      <c r="M1663" s="11"/>
      <c r="N1663" s="39"/>
      <c r="Q1663" s="15" t="str">
        <f>+CONCATENATE(E1663,G1663)</f>
        <v/>
      </c>
      <c r="R1663" s="15">
        <f>+H1663</f>
        <v>0</v>
      </c>
      <c r="S1663" s="16"/>
      <c r="T1663" s="15">
        <f>+E1663</f>
        <v>0</v>
      </c>
      <c r="U1663" s="26" t="str">
        <f>IFERROR(LEFT(G1663,FIND("*",G1663)-1),"-")</f>
        <v>-</v>
      </c>
      <c r="V1663" s="26" t="str">
        <f>IFERROR(RIGHT(G1663,LEN(G1663)-FIND("*",G1663)),"-")</f>
        <v>-</v>
      </c>
      <c r="W1663" s="27" t="str">
        <f>IFERROR((U1663+V1663)*2/1000,"-")</f>
        <v>-</v>
      </c>
      <c r="X1663" s="27" t="str">
        <f>IFERROR(W1663*H1663,"-")</f>
        <v>-</v>
      </c>
      <c r="Z1663" s="94" t="s">
        <v>82</v>
      </c>
    </row>
    <row r="1664" spans="1:26" s="25" customFormat="1" ht="6.95" customHeight="1" x14ac:dyDescent="0.3">
      <c r="A1664" s="165"/>
      <c r="B1664" s="168"/>
      <c r="C1664" s="169"/>
      <c r="D1664" s="160"/>
      <c r="E1664" s="161"/>
      <c r="F1664" s="162"/>
      <c r="G1664" s="163"/>
      <c r="H1664" s="164"/>
      <c r="I1664" s="163"/>
      <c r="J1664" s="164"/>
      <c r="K1664" s="163"/>
      <c r="L1664" s="164"/>
      <c r="M1664" s="11"/>
      <c r="N1664" s="39"/>
      <c r="Q1664" s="15" t="str">
        <f>+CONCATENATE(E1663,I1663)</f>
        <v/>
      </c>
      <c r="R1664" s="15">
        <f>+J1663</f>
        <v>0</v>
      </c>
      <c r="S1664" s="16"/>
      <c r="T1664" s="15">
        <f>+E1663</f>
        <v>0</v>
      </c>
      <c r="U1664" s="26" t="str">
        <f>IFERROR(LEFT(I1663,FIND("*",I1663)-1),"-")</f>
        <v>-</v>
      </c>
      <c r="V1664" s="26" t="str">
        <f>IFERROR(RIGHT(I1663,LEN(I1663)-FIND("*",I1663)),"-")</f>
        <v>-</v>
      </c>
      <c r="W1664" s="27" t="str">
        <f t="shared" ref="W1664:W1671" si="904">IFERROR((U1664+V1664)*2/1000,"-")</f>
        <v>-</v>
      </c>
      <c r="X1664" s="27" t="str">
        <f>IFERROR(W1664*J1663,"-")</f>
        <v>-</v>
      </c>
      <c r="Z1664" s="94" t="s">
        <v>82</v>
      </c>
    </row>
    <row r="1665" spans="1:26" s="25" customFormat="1" ht="6.95" customHeight="1" x14ac:dyDescent="0.3">
      <c r="A1665" s="165"/>
      <c r="B1665" s="168"/>
      <c r="C1665" s="169"/>
      <c r="D1665" s="160"/>
      <c r="E1665" s="161"/>
      <c r="F1665" s="162"/>
      <c r="G1665" s="163"/>
      <c r="H1665" s="164"/>
      <c r="I1665" s="163"/>
      <c r="J1665" s="164"/>
      <c r="K1665" s="163"/>
      <c r="L1665" s="164"/>
      <c r="M1665" s="11"/>
      <c r="N1665" s="39"/>
      <c r="Q1665" s="15" t="str">
        <f>+CONCATENATE(E1663,K1663)</f>
        <v/>
      </c>
      <c r="R1665" s="15">
        <f>+L1663</f>
        <v>0</v>
      </c>
      <c r="S1665" s="16"/>
      <c r="T1665" s="15">
        <f>+E1663</f>
        <v>0</v>
      </c>
      <c r="U1665" s="26" t="str">
        <f>IFERROR(LEFT(K1663,FIND("*",K1663)-1),"-")</f>
        <v>-</v>
      </c>
      <c r="V1665" s="26" t="str">
        <f>IFERROR(RIGHT(K1663,LEN(K1663)-FIND("*",K1663)),"-")</f>
        <v>-</v>
      </c>
      <c r="W1665" s="27" t="str">
        <f t="shared" si="904"/>
        <v>-</v>
      </c>
      <c r="X1665" s="27" t="str">
        <f>IFERROR(W1665*L1663,"-")</f>
        <v>-</v>
      </c>
      <c r="Z1665" s="94" t="s">
        <v>82</v>
      </c>
    </row>
    <row r="1666" spans="1:26" s="25" customFormat="1" ht="6.95" customHeight="1" x14ac:dyDescent="0.3">
      <c r="A1666" s="13"/>
      <c r="B1666" s="168"/>
      <c r="C1666" s="169"/>
      <c r="D1666" s="160" t="s">
        <v>39</v>
      </c>
      <c r="E1666" s="161"/>
      <c r="F1666" s="162" t="s">
        <v>40</v>
      </c>
      <c r="G1666" s="163"/>
      <c r="H1666" s="164"/>
      <c r="I1666" s="163"/>
      <c r="J1666" s="164"/>
      <c r="K1666" s="163"/>
      <c r="L1666" s="164"/>
      <c r="M1666" s="11"/>
      <c r="N1666" s="39"/>
      <c r="Q1666" s="15" t="str">
        <f>+CONCATENATE(E1666,G1666)</f>
        <v/>
      </c>
      <c r="R1666" s="15">
        <f>+H1666</f>
        <v>0</v>
      </c>
      <c r="S1666" s="16"/>
      <c r="T1666" s="15">
        <f>+E1666</f>
        <v>0</v>
      </c>
      <c r="U1666" s="26" t="str">
        <f t="shared" ref="U1666" si="905">IFERROR(LEFT(G1666,FIND("*",G1666)-1),"-")</f>
        <v>-</v>
      </c>
      <c r="V1666" s="26" t="str">
        <f t="shared" ref="V1666" si="906">IFERROR(RIGHT(G1666,LEN(G1666)-FIND("*",G1666)),"-")</f>
        <v>-</v>
      </c>
      <c r="W1666" s="27" t="str">
        <f t="shared" si="904"/>
        <v>-</v>
      </c>
      <c r="X1666" s="27" t="str">
        <f>IFERROR(W1666*H1666,"-")</f>
        <v>-</v>
      </c>
      <c r="Z1666" s="94" t="s">
        <v>82</v>
      </c>
    </row>
    <row r="1667" spans="1:26" s="25" customFormat="1" ht="6.95" customHeight="1" x14ac:dyDescent="0.3">
      <c r="A1667" s="10"/>
      <c r="B1667" s="168"/>
      <c r="C1667" s="169"/>
      <c r="D1667" s="160"/>
      <c r="E1667" s="161"/>
      <c r="F1667" s="162"/>
      <c r="G1667" s="163"/>
      <c r="H1667" s="164"/>
      <c r="I1667" s="163"/>
      <c r="J1667" s="164"/>
      <c r="K1667" s="163"/>
      <c r="L1667" s="164"/>
      <c r="M1667" s="11"/>
      <c r="N1667" s="39"/>
      <c r="Q1667" s="15" t="str">
        <f>+CONCATENATE(E1666,I1666)</f>
        <v/>
      </c>
      <c r="R1667" s="15">
        <f>+J1666</f>
        <v>0</v>
      </c>
      <c r="S1667" s="16"/>
      <c r="T1667" s="15">
        <f>+E1666</f>
        <v>0</v>
      </c>
      <c r="U1667" s="26" t="str">
        <f>IFERROR(LEFT(I1666,FIND("*",I1666)-1),"-")</f>
        <v>-</v>
      </c>
      <c r="V1667" s="26" t="str">
        <f>IFERROR(RIGHT(I1666,LEN(I1666)-FIND("*",I1666)),"-")</f>
        <v>-</v>
      </c>
      <c r="W1667" s="27" t="str">
        <f t="shared" si="904"/>
        <v>-</v>
      </c>
      <c r="X1667" s="27" t="str">
        <f>IFERROR(W1667*J1666,"-")</f>
        <v>-</v>
      </c>
      <c r="Z1667" s="94" t="s">
        <v>82</v>
      </c>
    </row>
    <row r="1668" spans="1:26" s="25" customFormat="1" ht="6.95" customHeight="1" x14ac:dyDescent="0.3">
      <c r="A1668" s="10"/>
      <c r="B1668" s="168"/>
      <c r="C1668" s="169"/>
      <c r="D1668" s="160"/>
      <c r="E1668" s="161"/>
      <c r="F1668" s="162"/>
      <c r="G1668" s="163"/>
      <c r="H1668" s="164"/>
      <c r="I1668" s="163"/>
      <c r="J1668" s="164"/>
      <c r="K1668" s="163"/>
      <c r="L1668" s="164"/>
      <c r="M1668" s="11"/>
      <c r="N1668" s="39"/>
      <c r="Q1668" s="15" t="str">
        <f>+CONCATENATE(E1666,K1666)</f>
        <v/>
      </c>
      <c r="R1668" s="15">
        <f>+L1666</f>
        <v>0</v>
      </c>
      <c r="S1668" s="16"/>
      <c r="T1668" s="15">
        <f>+E1666</f>
        <v>0</v>
      </c>
      <c r="U1668" s="26" t="str">
        <f>IFERROR(LEFT(K1666,FIND("*",K1666)-1),"-")</f>
        <v>-</v>
      </c>
      <c r="V1668" s="26" t="str">
        <f>IFERROR(RIGHT(K1666,LEN(K1666)-FIND("*",K1666)),"-")</f>
        <v>-</v>
      </c>
      <c r="W1668" s="27" t="str">
        <f t="shared" si="904"/>
        <v>-</v>
      </c>
      <c r="X1668" s="27" t="str">
        <f>IFERROR(W1668*L1666,"-")</f>
        <v>-</v>
      </c>
      <c r="Z1668" s="94" t="s">
        <v>82</v>
      </c>
    </row>
    <row r="1669" spans="1:26" s="25" customFormat="1" ht="6.95" customHeight="1" x14ac:dyDescent="0.3">
      <c r="A1669" s="13"/>
      <c r="B1669" s="168"/>
      <c r="C1669" s="169"/>
      <c r="D1669" s="160" t="s">
        <v>39</v>
      </c>
      <c r="E1669" s="161"/>
      <c r="F1669" s="162" t="s">
        <v>40</v>
      </c>
      <c r="G1669" s="163"/>
      <c r="H1669" s="164"/>
      <c r="I1669" s="163"/>
      <c r="J1669" s="164"/>
      <c r="K1669" s="163"/>
      <c r="L1669" s="164"/>
      <c r="M1669" s="11"/>
      <c r="N1669" s="39"/>
      <c r="Q1669" s="15" t="str">
        <f>+CONCATENATE(E1669,G1669)</f>
        <v/>
      </c>
      <c r="R1669" s="15">
        <f>+H1669</f>
        <v>0</v>
      </c>
      <c r="S1669" s="16"/>
      <c r="T1669" s="15">
        <f>+E1669</f>
        <v>0</v>
      </c>
      <c r="U1669" s="26" t="str">
        <f t="shared" ref="U1669" si="907">IFERROR(LEFT(G1669,FIND("*",G1669)-1),"-")</f>
        <v>-</v>
      </c>
      <c r="V1669" s="26" t="str">
        <f t="shared" ref="V1669" si="908">IFERROR(RIGHT(G1669,LEN(G1669)-FIND("*",G1669)),"-")</f>
        <v>-</v>
      </c>
      <c r="W1669" s="27" t="str">
        <f t="shared" si="904"/>
        <v>-</v>
      </c>
      <c r="X1669" s="27" t="str">
        <f>IFERROR(W1669*H1669,"-")</f>
        <v>-</v>
      </c>
      <c r="Z1669" s="94" t="s">
        <v>82</v>
      </c>
    </row>
    <row r="1670" spans="1:26" s="25" customFormat="1" ht="6.95" customHeight="1" x14ac:dyDescent="0.3">
      <c r="A1670" s="10"/>
      <c r="B1670" s="168"/>
      <c r="C1670" s="169"/>
      <c r="D1670" s="160"/>
      <c r="E1670" s="161"/>
      <c r="F1670" s="162"/>
      <c r="G1670" s="163"/>
      <c r="H1670" s="164"/>
      <c r="I1670" s="163"/>
      <c r="J1670" s="164"/>
      <c r="K1670" s="163"/>
      <c r="L1670" s="164"/>
      <c r="M1670" s="11"/>
      <c r="N1670" s="39"/>
      <c r="Q1670" s="15" t="str">
        <f>+CONCATENATE(E1669,I1669)</f>
        <v/>
      </c>
      <c r="R1670" s="15">
        <f>+J1669</f>
        <v>0</v>
      </c>
      <c r="S1670" s="16"/>
      <c r="T1670" s="15">
        <f>+E1669</f>
        <v>0</v>
      </c>
      <c r="U1670" s="26" t="str">
        <f>IFERROR(LEFT(I1669,FIND("*",I1669)-1),"-")</f>
        <v>-</v>
      </c>
      <c r="V1670" s="26" t="str">
        <f>IFERROR(RIGHT(I1669,LEN(I1669)-FIND("*",I1669)),"-")</f>
        <v>-</v>
      </c>
      <c r="W1670" s="27" t="str">
        <f t="shared" si="904"/>
        <v>-</v>
      </c>
      <c r="X1670" s="27" t="str">
        <f t="shared" ref="X1670" si="909">IFERROR(W1670*J1669,"-")</f>
        <v>-</v>
      </c>
      <c r="Z1670" s="94" t="s">
        <v>82</v>
      </c>
    </row>
    <row r="1671" spans="1:26" s="25" customFormat="1" ht="6.95" customHeight="1" x14ac:dyDescent="0.3">
      <c r="A1671" s="10"/>
      <c r="B1671" s="168"/>
      <c r="C1671" s="169"/>
      <c r="D1671" s="160"/>
      <c r="E1671" s="161"/>
      <c r="F1671" s="162"/>
      <c r="G1671" s="163"/>
      <c r="H1671" s="164"/>
      <c r="I1671" s="163"/>
      <c r="J1671" s="164"/>
      <c r="K1671" s="163"/>
      <c r="L1671" s="164"/>
      <c r="M1671" s="11"/>
      <c r="N1671" s="39"/>
      <c r="Q1671" s="15" t="str">
        <f>+CONCATENATE(E1669,K1669)</f>
        <v/>
      </c>
      <c r="R1671" s="15">
        <f>+L1669</f>
        <v>0</v>
      </c>
      <c r="S1671" s="16"/>
      <c r="T1671" s="15">
        <f>+E1669</f>
        <v>0</v>
      </c>
      <c r="U1671" s="26" t="str">
        <f>IFERROR(LEFT(K1669,FIND("*",K1669)-1),"-")</f>
        <v>-</v>
      </c>
      <c r="V1671" s="26" t="str">
        <f>IFERROR(RIGHT(K1669,LEN(K1669)-FIND("*",K1669)),"-")</f>
        <v>-</v>
      </c>
      <c r="W1671" s="27" t="str">
        <f t="shared" si="904"/>
        <v>-</v>
      </c>
      <c r="X1671" s="27" t="str">
        <f>IFERROR(W1671*L1669,"-")</f>
        <v>-</v>
      </c>
      <c r="Z1671" s="94" t="s">
        <v>82</v>
      </c>
    </row>
    <row r="1672" spans="1:26" s="25" customFormat="1" ht="21" customHeight="1" thickBot="1" x14ac:dyDescent="0.35">
      <c r="A1672" s="10"/>
      <c r="B1672" s="170"/>
      <c r="C1672" s="171"/>
      <c r="D1672" s="172" t="s">
        <v>43</v>
      </c>
      <c r="E1672" s="173"/>
      <c r="F1672" s="173"/>
      <c r="G1672" s="174"/>
      <c r="H1672" s="174"/>
      <c r="I1672" s="174"/>
      <c r="J1672" s="174"/>
      <c r="K1672" s="174"/>
      <c r="L1672" s="174"/>
      <c r="M1672" s="12"/>
      <c r="N1672" s="39"/>
      <c r="U1672" s="23"/>
      <c r="V1672" s="23"/>
      <c r="Z1672" s="95" t="s">
        <v>81</v>
      </c>
    </row>
    <row r="1673" spans="1:26" s="25" customFormat="1" ht="9.9499999999999993" customHeight="1" thickBot="1" x14ac:dyDescent="0.35">
      <c r="A1673" s="6"/>
      <c r="B1673" s="14"/>
      <c r="C1673" s="119"/>
      <c r="D1673" s="58"/>
      <c r="E1673" s="17"/>
      <c r="F1673" s="58"/>
      <c r="G1673" s="19"/>
      <c r="H1673" s="19"/>
      <c r="I1673" s="19"/>
      <c r="J1673" s="19"/>
      <c r="K1673" s="19"/>
      <c r="L1673" s="19"/>
      <c r="M1673" s="14"/>
      <c r="N1673" s="39"/>
      <c r="Q1673" s="1"/>
      <c r="R1673" s="1"/>
      <c r="S1673" s="1"/>
      <c r="T1673" s="1"/>
      <c r="U1673" s="24"/>
      <c r="V1673" s="24"/>
      <c r="W1673" s="1"/>
      <c r="X1673" s="1"/>
      <c r="Z1673" s="94" t="s">
        <v>82</v>
      </c>
    </row>
    <row r="1674" spans="1:26" s="25" customFormat="1" ht="6.95" customHeight="1" x14ac:dyDescent="0.3">
      <c r="A1674" s="165">
        <f>+A1663+1</f>
        <v>153</v>
      </c>
      <c r="B1674" s="166"/>
      <c r="C1674" s="167"/>
      <c r="D1674" s="160" t="s">
        <v>39</v>
      </c>
      <c r="E1674" s="161"/>
      <c r="F1674" s="162" t="s">
        <v>40</v>
      </c>
      <c r="G1674" s="163"/>
      <c r="H1674" s="164"/>
      <c r="I1674" s="163"/>
      <c r="J1674" s="164"/>
      <c r="K1674" s="163"/>
      <c r="L1674" s="164"/>
      <c r="M1674" s="11"/>
      <c r="N1674" s="39"/>
      <c r="Q1674" s="15" t="str">
        <f>+CONCATENATE(E1674,G1674)</f>
        <v/>
      </c>
      <c r="R1674" s="15">
        <f>+H1674</f>
        <v>0</v>
      </c>
      <c r="S1674" s="16"/>
      <c r="T1674" s="15">
        <f>+E1674</f>
        <v>0</v>
      </c>
      <c r="U1674" s="26" t="str">
        <f>IFERROR(LEFT(G1674,FIND("*",G1674)-1),"-")</f>
        <v>-</v>
      </c>
      <c r="V1674" s="26" t="str">
        <f>IFERROR(RIGHT(G1674,LEN(G1674)-FIND("*",G1674)),"-")</f>
        <v>-</v>
      </c>
      <c r="W1674" s="27" t="str">
        <f>IFERROR((U1674+V1674)*2/1000,"-")</f>
        <v>-</v>
      </c>
      <c r="X1674" s="27" t="str">
        <f>IFERROR(W1674*H1674,"-")</f>
        <v>-</v>
      </c>
      <c r="Z1674" s="94" t="s">
        <v>82</v>
      </c>
    </row>
    <row r="1675" spans="1:26" s="25" customFormat="1" ht="6.95" customHeight="1" x14ac:dyDescent="0.3">
      <c r="A1675" s="165"/>
      <c r="B1675" s="168"/>
      <c r="C1675" s="169"/>
      <c r="D1675" s="160"/>
      <c r="E1675" s="161"/>
      <c r="F1675" s="162"/>
      <c r="G1675" s="163"/>
      <c r="H1675" s="164"/>
      <c r="I1675" s="163"/>
      <c r="J1675" s="164"/>
      <c r="K1675" s="163"/>
      <c r="L1675" s="164"/>
      <c r="M1675" s="11"/>
      <c r="N1675" s="39"/>
      <c r="Q1675" s="15" t="str">
        <f>+CONCATENATE(E1674,I1674)</f>
        <v/>
      </c>
      <c r="R1675" s="15">
        <f>+J1674</f>
        <v>0</v>
      </c>
      <c r="S1675" s="16"/>
      <c r="T1675" s="15">
        <f>+E1674</f>
        <v>0</v>
      </c>
      <c r="U1675" s="26" t="str">
        <f>IFERROR(LEFT(I1674,FIND("*",I1674)-1),"-")</f>
        <v>-</v>
      </c>
      <c r="V1675" s="26" t="str">
        <f>IFERROR(RIGHT(I1674,LEN(I1674)-FIND("*",I1674)),"-")</f>
        <v>-</v>
      </c>
      <c r="W1675" s="27" t="str">
        <f t="shared" ref="W1675:W1682" si="910">IFERROR((U1675+V1675)*2/1000,"-")</f>
        <v>-</v>
      </c>
      <c r="X1675" s="27" t="str">
        <f>IFERROR(W1675*J1674,"-")</f>
        <v>-</v>
      </c>
      <c r="Z1675" s="94" t="s">
        <v>82</v>
      </c>
    </row>
    <row r="1676" spans="1:26" s="25" customFormat="1" ht="6.95" customHeight="1" x14ac:dyDescent="0.3">
      <c r="A1676" s="165"/>
      <c r="B1676" s="168"/>
      <c r="C1676" s="169"/>
      <c r="D1676" s="160"/>
      <c r="E1676" s="161"/>
      <c r="F1676" s="162"/>
      <c r="G1676" s="163"/>
      <c r="H1676" s="164"/>
      <c r="I1676" s="163"/>
      <c r="J1676" s="164"/>
      <c r="K1676" s="163"/>
      <c r="L1676" s="164"/>
      <c r="M1676" s="11"/>
      <c r="N1676" s="39"/>
      <c r="Q1676" s="15" t="str">
        <f>+CONCATENATE(E1674,K1674)</f>
        <v/>
      </c>
      <c r="R1676" s="15">
        <f>+L1674</f>
        <v>0</v>
      </c>
      <c r="S1676" s="16"/>
      <c r="T1676" s="15">
        <f>+E1674</f>
        <v>0</v>
      </c>
      <c r="U1676" s="26" t="str">
        <f>IFERROR(LEFT(K1674,FIND("*",K1674)-1),"-")</f>
        <v>-</v>
      </c>
      <c r="V1676" s="26" t="str">
        <f>IFERROR(RIGHT(K1674,LEN(K1674)-FIND("*",K1674)),"-")</f>
        <v>-</v>
      </c>
      <c r="W1676" s="27" t="str">
        <f t="shared" si="910"/>
        <v>-</v>
      </c>
      <c r="X1676" s="27" t="str">
        <f>IFERROR(W1676*L1674,"-")</f>
        <v>-</v>
      </c>
      <c r="Z1676" s="94" t="s">
        <v>82</v>
      </c>
    </row>
    <row r="1677" spans="1:26" s="25" customFormat="1" ht="6.95" customHeight="1" x14ac:dyDescent="0.3">
      <c r="A1677" s="13"/>
      <c r="B1677" s="168"/>
      <c r="C1677" s="169"/>
      <c r="D1677" s="160" t="s">
        <v>39</v>
      </c>
      <c r="E1677" s="161"/>
      <c r="F1677" s="162" t="s">
        <v>40</v>
      </c>
      <c r="G1677" s="163"/>
      <c r="H1677" s="164"/>
      <c r="I1677" s="163"/>
      <c r="J1677" s="164"/>
      <c r="K1677" s="163"/>
      <c r="L1677" s="164"/>
      <c r="M1677" s="11"/>
      <c r="N1677" s="39"/>
      <c r="Q1677" s="15" t="str">
        <f>+CONCATENATE(E1677,G1677)</f>
        <v/>
      </c>
      <c r="R1677" s="15">
        <f>+H1677</f>
        <v>0</v>
      </c>
      <c r="S1677" s="16"/>
      <c r="T1677" s="15">
        <f>+E1677</f>
        <v>0</v>
      </c>
      <c r="U1677" s="26" t="str">
        <f t="shared" ref="U1677" si="911">IFERROR(LEFT(G1677,FIND("*",G1677)-1),"-")</f>
        <v>-</v>
      </c>
      <c r="V1677" s="26" t="str">
        <f t="shared" ref="V1677" si="912">IFERROR(RIGHT(G1677,LEN(G1677)-FIND("*",G1677)),"-")</f>
        <v>-</v>
      </c>
      <c r="W1677" s="27" t="str">
        <f t="shared" si="910"/>
        <v>-</v>
      </c>
      <c r="X1677" s="27" t="str">
        <f>IFERROR(W1677*H1677,"-")</f>
        <v>-</v>
      </c>
      <c r="Z1677" s="94" t="s">
        <v>82</v>
      </c>
    </row>
    <row r="1678" spans="1:26" s="25" customFormat="1" ht="6.95" customHeight="1" x14ac:dyDescent="0.3">
      <c r="A1678" s="10"/>
      <c r="B1678" s="168"/>
      <c r="C1678" s="169"/>
      <c r="D1678" s="160"/>
      <c r="E1678" s="161"/>
      <c r="F1678" s="162"/>
      <c r="G1678" s="163"/>
      <c r="H1678" s="164"/>
      <c r="I1678" s="163"/>
      <c r="J1678" s="164"/>
      <c r="K1678" s="163"/>
      <c r="L1678" s="164"/>
      <c r="M1678" s="11"/>
      <c r="N1678" s="39"/>
      <c r="Q1678" s="15" t="str">
        <f>+CONCATENATE(E1677,I1677)</f>
        <v/>
      </c>
      <c r="R1678" s="15">
        <f>+J1677</f>
        <v>0</v>
      </c>
      <c r="S1678" s="16"/>
      <c r="T1678" s="15">
        <f>+E1677</f>
        <v>0</v>
      </c>
      <c r="U1678" s="26" t="str">
        <f>IFERROR(LEFT(I1677,FIND("*",I1677)-1),"-")</f>
        <v>-</v>
      </c>
      <c r="V1678" s="26" t="str">
        <f>IFERROR(RIGHT(I1677,LEN(I1677)-FIND("*",I1677)),"-")</f>
        <v>-</v>
      </c>
      <c r="W1678" s="27" t="str">
        <f t="shared" si="910"/>
        <v>-</v>
      </c>
      <c r="X1678" s="27" t="str">
        <f>IFERROR(W1678*J1677,"-")</f>
        <v>-</v>
      </c>
      <c r="Z1678" s="94" t="s">
        <v>82</v>
      </c>
    </row>
    <row r="1679" spans="1:26" s="25" customFormat="1" ht="6.95" customHeight="1" x14ac:dyDescent="0.3">
      <c r="A1679" s="10"/>
      <c r="B1679" s="168"/>
      <c r="C1679" s="169"/>
      <c r="D1679" s="160"/>
      <c r="E1679" s="161"/>
      <c r="F1679" s="162"/>
      <c r="G1679" s="163"/>
      <c r="H1679" s="164"/>
      <c r="I1679" s="163"/>
      <c r="J1679" s="164"/>
      <c r="K1679" s="163"/>
      <c r="L1679" s="164"/>
      <c r="M1679" s="11"/>
      <c r="N1679" s="39"/>
      <c r="Q1679" s="15" t="str">
        <f>+CONCATENATE(E1677,K1677)</f>
        <v/>
      </c>
      <c r="R1679" s="15">
        <f>+L1677</f>
        <v>0</v>
      </c>
      <c r="S1679" s="16"/>
      <c r="T1679" s="15">
        <f>+E1677</f>
        <v>0</v>
      </c>
      <c r="U1679" s="26" t="str">
        <f>IFERROR(LEFT(K1677,FIND("*",K1677)-1),"-")</f>
        <v>-</v>
      </c>
      <c r="V1679" s="26" t="str">
        <f>IFERROR(RIGHT(K1677,LEN(K1677)-FIND("*",K1677)),"-")</f>
        <v>-</v>
      </c>
      <c r="W1679" s="27" t="str">
        <f t="shared" si="910"/>
        <v>-</v>
      </c>
      <c r="X1679" s="27" t="str">
        <f>IFERROR(W1679*L1677,"-")</f>
        <v>-</v>
      </c>
      <c r="Z1679" s="94" t="s">
        <v>82</v>
      </c>
    </row>
    <row r="1680" spans="1:26" s="25" customFormat="1" ht="6.95" customHeight="1" x14ac:dyDescent="0.3">
      <c r="A1680" s="13"/>
      <c r="B1680" s="168"/>
      <c r="C1680" s="169"/>
      <c r="D1680" s="160" t="s">
        <v>39</v>
      </c>
      <c r="E1680" s="161"/>
      <c r="F1680" s="162" t="s">
        <v>40</v>
      </c>
      <c r="G1680" s="163"/>
      <c r="H1680" s="164"/>
      <c r="I1680" s="163"/>
      <c r="J1680" s="164"/>
      <c r="K1680" s="163"/>
      <c r="L1680" s="164"/>
      <c r="M1680" s="11"/>
      <c r="N1680" s="39"/>
      <c r="Q1680" s="15" t="str">
        <f>+CONCATENATE(E1680,G1680)</f>
        <v/>
      </c>
      <c r="R1680" s="15">
        <f>+H1680</f>
        <v>0</v>
      </c>
      <c r="S1680" s="16"/>
      <c r="T1680" s="15">
        <f>+E1680</f>
        <v>0</v>
      </c>
      <c r="U1680" s="26" t="str">
        <f t="shared" ref="U1680" si="913">IFERROR(LEFT(G1680,FIND("*",G1680)-1),"-")</f>
        <v>-</v>
      </c>
      <c r="V1680" s="26" t="str">
        <f t="shared" ref="V1680" si="914">IFERROR(RIGHT(G1680,LEN(G1680)-FIND("*",G1680)),"-")</f>
        <v>-</v>
      </c>
      <c r="W1680" s="27" t="str">
        <f t="shared" si="910"/>
        <v>-</v>
      </c>
      <c r="X1680" s="27" t="str">
        <f>IFERROR(W1680*H1680,"-")</f>
        <v>-</v>
      </c>
      <c r="Z1680" s="94" t="s">
        <v>82</v>
      </c>
    </row>
    <row r="1681" spans="1:26" s="25" customFormat="1" ht="6.95" customHeight="1" x14ac:dyDescent="0.3">
      <c r="A1681" s="10"/>
      <c r="B1681" s="168"/>
      <c r="C1681" s="169"/>
      <c r="D1681" s="160"/>
      <c r="E1681" s="161"/>
      <c r="F1681" s="162"/>
      <c r="G1681" s="163"/>
      <c r="H1681" s="164"/>
      <c r="I1681" s="163"/>
      <c r="J1681" s="164"/>
      <c r="K1681" s="163"/>
      <c r="L1681" s="164"/>
      <c r="M1681" s="11"/>
      <c r="N1681" s="39"/>
      <c r="Q1681" s="15" t="str">
        <f>+CONCATENATE(E1680,I1680)</f>
        <v/>
      </c>
      <c r="R1681" s="15">
        <f>+J1680</f>
        <v>0</v>
      </c>
      <c r="S1681" s="16"/>
      <c r="T1681" s="15">
        <f>+E1680</f>
        <v>0</v>
      </c>
      <c r="U1681" s="26" t="str">
        <f>IFERROR(LEFT(I1680,FIND("*",I1680)-1),"-")</f>
        <v>-</v>
      </c>
      <c r="V1681" s="26" t="str">
        <f>IFERROR(RIGHT(I1680,LEN(I1680)-FIND("*",I1680)),"-")</f>
        <v>-</v>
      </c>
      <c r="W1681" s="27" t="str">
        <f t="shared" si="910"/>
        <v>-</v>
      </c>
      <c r="X1681" s="27" t="str">
        <f t="shared" ref="X1681" si="915">IFERROR(W1681*J1680,"-")</f>
        <v>-</v>
      </c>
      <c r="Z1681" s="94" t="s">
        <v>82</v>
      </c>
    </row>
    <row r="1682" spans="1:26" s="25" customFormat="1" ht="6.95" customHeight="1" x14ac:dyDescent="0.3">
      <c r="A1682" s="10"/>
      <c r="B1682" s="168"/>
      <c r="C1682" s="169"/>
      <c r="D1682" s="160"/>
      <c r="E1682" s="161"/>
      <c r="F1682" s="162"/>
      <c r="G1682" s="163"/>
      <c r="H1682" s="164"/>
      <c r="I1682" s="163"/>
      <c r="J1682" s="164"/>
      <c r="K1682" s="163"/>
      <c r="L1682" s="164"/>
      <c r="M1682" s="11"/>
      <c r="N1682" s="39"/>
      <c r="Q1682" s="15" t="str">
        <f>+CONCATENATE(E1680,K1680)</f>
        <v/>
      </c>
      <c r="R1682" s="15">
        <f>+L1680</f>
        <v>0</v>
      </c>
      <c r="S1682" s="16"/>
      <c r="T1682" s="15">
        <f>+E1680</f>
        <v>0</v>
      </c>
      <c r="U1682" s="26" t="str">
        <f>IFERROR(LEFT(K1680,FIND("*",K1680)-1),"-")</f>
        <v>-</v>
      </c>
      <c r="V1682" s="26" t="str">
        <f>IFERROR(RIGHT(K1680,LEN(K1680)-FIND("*",K1680)),"-")</f>
        <v>-</v>
      </c>
      <c r="W1682" s="27" t="str">
        <f t="shared" si="910"/>
        <v>-</v>
      </c>
      <c r="X1682" s="27" t="str">
        <f>IFERROR(W1682*L1680,"-")</f>
        <v>-</v>
      </c>
      <c r="Z1682" s="94" t="s">
        <v>82</v>
      </c>
    </row>
    <row r="1683" spans="1:26" s="25" customFormat="1" ht="21" customHeight="1" thickBot="1" x14ac:dyDescent="0.35">
      <c r="A1683" s="10"/>
      <c r="B1683" s="170"/>
      <c r="C1683" s="171"/>
      <c r="D1683" s="172" t="s">
        <v>43</v>
      </c>
      <c r="E1683" s="173"/>
      <c r="F1683" s="173"/>
      <c r="G1683" s="174"/>
      <c r="H1683" s="174"/>
      <c r="I1683" s="174"/>
      <c r="J1683" s="174"/>
      <c r="K1683" s="174"/>
      <c r="L1683" s="174"/>
      <c r="M1683" s="12"/>
      <c r="N1683" s="39"/>
      <c r="U1683" s="23"/>
      <c r="V1683" s="23"/>
      <c r="Z1683" s="95" t="s">
        <v>81</v>
      </c>
    </row>
    <row r="1684" spans="1:26" s="25" customFormat="1" ht="9.9499999999999993" customHeight="1" thickBot="1" x14ac:dyDescent="0.35">
      <c r="A1684" s="6"/>
      <c r="B1684" s="14"/>
      <c r="C1684" s="119"/>
      <c r="D1684" s="58"/>
      <c r="E1684" s="17"/>
      <c r="F1684" s="58"/>
      <c r="G1684" s="19"/>
      <c r="H1684" s="19"/>
      <c r="I1684" s="19"/>
      <c r="J1684" s="19"/>
      <c r="K1684" s="19"/>
      <c r="L1684" s="19"/>
      <c r="M1684" s="14"/>
      <c r="N1684" s="39"/>
      <c r="Q1684" s="1"/>
      <c r="R1684" s="1"/>
      <c r="S1684" s="1"/>
      <c r="T1684" s="1"/>
      <c r="U1684" s="24"/>
      <c r="V1684" s="24"/>
      <c r="W1684" s="1"/>
      <c r="X1684" s="1"/>
      <c r="Z1684" s="94" t="s">
        <v>82</v>
      </c>
    </row>
    <row r="1685" spans="1:26" s="25" customFormat="1" ht="6.95" customHeight="1" x14ac:dyDescent="0.3">
      <c r="A1685" s="165">
        <f>+A1674+1</f>
        <v>154</v>
      </c>
      <c r="B1685" s="166"/>
      <c r="C1685" s="167"/>
      <c r="D1685" s="160" t="s">
        <v>39</v>
      </c>
      <c r="E1685" s="161"/>
      <c r="F1685" s="162" t="s">
        <v>40</v>
      </c>
      <c r="G1685" s="163"/>
      <c r="H1685" s="164"/>
      <c r="I1685" s="163"/>
      <c r="J1685" s="164"/>
      <c r="K1685" s="163"/>
      <c r="L1685" s="164"/>
      <c r="M1685" s="11"/>
      <c r="N1685" s="39"/>
      <c r="Q1685" s="15" t="str">
        <f>+CONCATENATE(E1685,G1685)</f>
        <v/>
      </c>
      <c r="R1685" s="15">
        <f>+H1685</f>
        <v>0</v>
      </c>
      <c r="S1685" s="16"/>
      <c r="T1685" s="15">
        <f>+E1685</f>
        <v>0</v>
      </c>
      <c r="U1685" s="26" t="str">
        <f>IFERROR(LEFT(G1685,FIND("*",G1685)-1),"-")</f>
        <v>-</v>
      </c>
      <c r="V1685" s="26" t="str">
        <f>IFERROR(RIGHT(G1685,LEN(G1685)-FIND("*",G1685)),"-")</f>
        <v>-</v>
      </c>
      <c r="W1685" s="27" t="str">
        <f>IFERROR((U1685+V1685)*2/1000,"-")</f>
        <v>-</v>
      </c>
      <c r="X1685" s="27" t="str">
        <f>IFERROR(W1685*H1685,"-")</f>
        <v>-</v>
      </c>
      <c r="Z1685" s="94" t="s">
        <v>82</v>
      </c>
    </row>
    <row r="1686" spans="1:26" s="25" customFormat="1" ht="6.95" customHeight="1" x14ac:dyDescent="0.3">
      <c r="A1686" s="165"/>
      <c r="B1686" s="168"/>
      <c r="C1686" s="169"/>
      <c r="D1686" s="160"/>
      <c r="E1686" s="161"/>
      <c r="F1686" s="162"/>
      <c r="G1686" s="163"/>
      <c r="H1686" s="164"/>
      <c r="I1686" s="163"/>
      <c r="J1686" s="164"/>
      <c r="K1686" s="163"/>
      <c r="L1686" s="164"/>
      <c r="M1686" s="11"/>
      <c r="N1686" s="39"/>
      <c r="Q1686" s="15" t="str">
        <f>+CONCATENATE(E1685,I1685)</f>
        <v/>
      </c>
      <c r="R1686" s="15">
        <f>+J1685</f>
        <v>0</v>
      </c>
      <c r="S1686" s="16"/>
      <c r="T1686" s="15">
        <f>+E1685</f>
        <v>0</v>
      </c>
      <c r="U1686" s="26" t="str">
        <f>IFERROR(LEFT(I1685,FIND("*",I1685)-1),"-")</f>
        <v>-</v>
      </c>
      <c r="V1686" s="26" t="str">
        <f>IFERROR(RIGHT(I1685,LEN(I1685)-FIND("*",I1685)),"-")</f>
        <v>-</v>
      </c>
      <c r="W1686" s="27" t="str">
        <f t="shared" ref="W1686:W1693" si="916">IFERROR((U1686+V1686)*2/1000,"-")</f>
        <v>-</v>
      </c>
      <c r="X1686" s="27" t="str">
        <f>IFERROR(W1686*J1685,"-")</f>
        <v>-</v>
      </c>
      <c r="Z1686" s="94" t="s">
        <v>82</v>
      </c>
    </row>
    <row r="1687" spans="1:26" s="25" customFormat="1" ht="6.95" customHeight="1" x14ac:dyDescent="0.3">
      <c r="A1687" s="165"/>
      <c r="B1687" s="168"/>
      <c r="C1687" s="169"/>
      <c r="D1687" s="160"/>
      <c r="E1687" s="161"/>
      <c r="F1687" s="162"/>
      <c r="G1687" s="163"/>
      <c r="H1687" s="164"/>
      <c r="I1687" s="163"/>
      <c r="J1687" s="164"/>
      <c r="K1687" s="163"/>
      <c r="L1687" s="164"/>
      <c r="M1687" s="11"/>
      <c r="N1687" s="39"/>
      <c r="Q1687" s="15" t="str">
        <f>+CONCATENATE(E1685,K1685)</f>
        <v/>
      </c>
      <c r="R1687" s="15">
        <f>+L1685</f>
        <v>0</v>
      </c>
      <c r="S1687" s="16"/>
      <c r="T1687" s="15">
        <f>+E1685</f>
        <v>0</v>
      </c>
      <c r="U1687" s="26" t="str">
        <f>IFERROR(LEFT(K1685,FIND("*",K1685)-1),"-")</f>
        <v>-</v>
      </c>
      <c r="V1687" s="26" t="str">
        <f>IFERROR(RIGHT(K1685,LEN(K1685)-FIND("*",K1685)),"-")</f>
        <v>-</v>
      </c>
      <c r="W1687" s="27" t="str">
        <f t="shared" si="916"/>
        <v>-</v>
      </c>
      <c r="X1687" s="27" t="str">
        <f>IFERROR(W1687*L1685,"-")</f>
        <v>-</v>
      </c>
      <c r="Z1687" s="94" t="s">
        <v>82</v>
      </c>
    </row>
    <row r="1688" spans="1:26" s="25" customFormat="1" ht="6.95" customHeight="1" x14ac:dyDescent="0.3">
      <c r="A1688" s="13"/>
      <c r="B1688" s="168"/>
      <c r="C1688" s="169"/>
      <c r="D1688" s="160" t="s">
        <v>39</v>
      </c>
      <c r="E1688" s="161"/>
      <c r="F1688" s="162" t="s">
        <v>40</v>
      </c>
      <c r="G1688" s="163"/>
      <c r="H1688" s="164"/>
      <c r="I1688" s="163"/>
      <c r="J1688" s="164"/>
      <c r="K1688" s="163"/>
      <c r="L1688" s="164"/>
      <c r="M1688" s="11"/>
      <c r="N1688" s="39"/>
      <c r="Q1688" s="15" t="str">
        <f>+CONCATENATE(E1688,G1688)</f>
        <v/>
      </c>
      <c r="R1688" s="15">
        <f>+H1688</f>
        <v>0</v>
      </c>
      <c r="S1688" s="16"/>
      <c r="T1688" s="15">
        <f>+E1688</f>
        <v>0</v>
      </c>
      <c r="U1688" s="26" t="str">
        <f t="shared" ref="U1688" si="917">IFERROR(LEFT(G1688,FIND("*",G1688)-1),"-")</f>
        <v>-</v>
      </c>
      <c r="V1688" s="26" t="str">
        <f t="shared" ref="V1688" si="918">IFERROR(RIGHT(G1688,LEN(G1688)-FIND("*",G1688)),"-")</f>
        <v>-</v>
      </c>
      <c r="W1688" s="27" t="str">
        <f t="shared" si="916"/>
        <v>-</v>
      </c>
      <c r="X1688" s="27" t="str">
        <f>IFERROR(W1688*H1688,"-")</f>
        <v>-</v>
      </c>
      <c r="Z1688" s="94" t="s">
        <v>82</v>
      </c>
    </row>
    <row r="1689" spans="1:26" s="25" customFormat="1" ht="6.95" customHeight="1" x14ac:dyDescent="0.3">
      <c r="A1689" s="10"/>
      <c r="B1689" s="168"/>
      <c r="C1689" s="169"/>
      <c r="D1689" s="160"/>
      <c r="E1689" s="161"/>
      <c r="F1689" s="162"/>
      <c r="G1689" s="163"/>
      <c r="H1689" s="164"/>
      <c r="I1689" s="163"/>
      <c r="J1689" s="164"/>
      <c r="K1689" s="163"/>
      <c r="L1689" s="164"/>
      <c r="M1689" s="11"/>
      <c r="N1689" s="39"/>
      <c r="Q1689" s="15" t="str">
        <f>+CONCATENATE(E1688,I1688)</f>
        <v/>
      </c>
      <c r="R1689" s="15">
        <f>+J1688</f>
        <v>0</v>
      </c>
      <c r="S1689" s="16"/>
      <c r="T1689" s="15">
        <f>+E1688</f>
        <v>0</v>
      </c>
      <c r="U1689" s="26" t="str">
        <f>IFERROR(LEFT(I1688,FIND("*",I1688)-1),"-")</f>
        <v>-</v>
      </c>
      <c r="V1689" s="26" t="str">
        <f>IFERROR(RIGHT(I1688,LEN(I1688)-FIND("*",I1688)),"-")</f>
        <v>-</v>
      </c>
      <c r="W1689" s="27" t="str">
        <f t="shared" si="916"/>
        <v>-</v>
      </c>
      <c r="X1689" s="27" t="str">
        <f>IFERROR(W1689*J1688,"-")</f>
        <v>-</v>
      </c>
      <c r="Z1689" s="94" t="s">
        <v>82</v>
      </c>
    </row>
    <row r="1690" spans="1:26" s="25" customFormat="1" ht="6.95" customHeight="1" x14ac:dyDescent="0.3">
      <c r="A1690" s="10"/>
      <c r="B1690" s="168"/>
      <c r="C1690" s="169"/>
      <c r="D1690" s="160"/>
      <c r="E1690" s="161"/>
      <c r="F1690" s="162"/>
      <c r="G1690" s="163"/>
      <c r="H1690" s="164"/>
      <c r="I1690" s="163"/>
      <c r="J1690" s="164"/>
      <c r="K1690" s="163"/>
      <c r="L1690" s="164"/>
      <c r="M1690" s="11"/>
      <c r="N1690" s="39"/>
      <c r="Q1690" s="15" t="str">
        <f>+CONCATENATE(E1688,K1688)</f>
        <v/>
      </c>
      <c r="R1690" s="15">
        <f>+L1688</f>
        <v>0</v>
      </c>
      <c r="S1690" s="16"/>
      <c r="T1690" s="15">
        <f>+E1688</f>
        <v>0</v>
      </c>
      <c r="U1690" s="26" t="str">
        <f>IFERROR(LEFT(K1688,FIND("*",K1688)-1),"-")</f>
        <v>-</v>
      </c>
      <c r="V1690" s="26" t="str">
        <f>IFERROR(RIGHT(K1688,LEN(K1688)-FIND("*",K1688)),"-")</f>
        <v>-</v>
      </c>
      <c r="W1690" s="27" t="str">
        <f t="shared" si="916"/>
        <v>-</v>
      </c>
      <c r="X1690" s="27" t="str">
        <f>IFERROR(W1690*L1688,"-")</f>
        <v>-</v>
      </c>
      <c r="Z1690" s="94" t="s">
        <v>82</v>
      </c>
    </row>
    <row r="1691" spans="1:26" s="25" customFormat="1" ht="6.95" customHeight="1" x14ac:dyDescent="0.3">
      <c r="A1691" s="13"/>
      <c r="B1691" s="168"/>
      <c r="C1691" s="169"/>
      <c r="D1691" s="160" t="s">
        <v>39</v>
      </c>
      <c r="E1691" s="161"/>
      <c r="F1691" s="162" t="s">
        <v>40</v>
      </c>
      <c r="G1691" s="163"/>
      <c r="H1691" s="164"/>
      <c r="I1691" s="163"/>
      <c r="J1691" s="164"/>
      <c r="K1691" s="163"/>
      <c r="L1691" s="164"/>
      <c r="M1691" s="11"/>
      <c r="N1691" s="39"/>
      <c r="Q1691" s="15" t="str">
        <f>+CONCATENATE(E1691,G1691)</f>
        <v/>
      </c>
      <c r="R1691" s="15">
        <f>+H1691</f>
        <v>0</v>
      </c>
      <c r="S1691" s="16"/>
      <c r="T1691" s="15">
        <f>+E1691</f>
        <v>0</v>
      </c>
      <c r="U1691" s="26" t="str">
        <f t="shared" ref="U1691" si="919">IFERROR(LEFT(G1691,FIND("*",G1691)-1),"-")</f>
        <v>-</v>
      </c>
      <c r="V1691" s="26" t="str">
        <f t="shared" ref="V1691" si="920">IFERROR(RIGHT(G1691,LEN(G1691)-FIND("*",G1691)),"-")</f>
        <v>-</v>
      </c>
      <c r="W1691" s="27" t="str">
        <f t="shared" si="916"/>
        <v>-</v>
      </c>
      <c r="X1691" s="27" t="str">
        <f>IFERROR(W1691*H1691,"-")</f>
        <v>-</v>
      </c>
      <c r="Z1691" s="94" t="s">
        <v>82</v>
      </c>
    </row>
    <row r="1692" spans="1:26" s="25" customFormat="1" ht="6.95" customHeight="1" x14ac:dyDescent="0.3">
      <c r="A1692" s="10"/>
      <c r="B1692" s="168"/>
      <c r="C1692" s="169"/>
      <c r="D1692" s="160"/>
      <c r="E1692" s="161"/>
      <c r="F1692" s="162"/>
      <c r="G1692" s="163"/>
      <c r="H1692" s="164"/>
      <c r="I1692" s="163"/>
      <c r="J1692" s="164"/>
      <c r="K1692" s="163"/>
      <c r="L1692" s="164"/>
      <c r="M1692" s="11"/>
      <c r="N1692" s="39"/>
      <c r="Q1692" s="15" t="str">
        <f>+CONCATENATE(E1691,I1691)</f>
        <v/>
      </c>
      <c r="R1692" s="15">
        <f>+J1691</f>
        <v>0</v>
      </c>
      <c r="S1692" s="16"/>
      <c r="T1692" s="15">
        <f>+E1691</f>
        <v>0</v>
      </c>
      <c r="U1692" s="26" t="str">
        <f>IFERROR(LEFT(I1691,FIND("*",I1691)-1),"-")</f>
        <v>-</v>
      </c>
      <c r="V1692" s="26" t="str">
        <f>IFERROR(RIGHT(I1691,LEN(I1691)-FIND("*",I1691)),"-")</f>
        <v>-</v>
      </c>
      <c r="W1692" s="27" t="str">
        <f t="shared" si="916"/>
        <v>-</v>
      </c>
      <c r="X1692" s="27" t="str">
        <f t="shared" ref="X1692" si="921">IFERROR(W1692*J1691,"-")</f>
        <v>-</v>
      </c>
      <c r="Z1692" s="94" t="s">
        <v>82</v>
      </c>
    </row>
    <row r="1693" spans="1:26" s="25" customFormat="1" ht="6.95" customHeight="1" x14ac:dyDescent="0.3">
      <c r="A1693" s="10"/>
      <c r="B1693" s="168"/>
      <c r="C1693" s="169"/>
      <c r="D1693" s="160"/>
      <c r="E1693" s="161"/>
      <c r="F1693" s="162"/>
      <c r="G1693" s="163"/>
      <c r="H1693" s="164"/>
      <c r="I1693" s="163"/>
      <c r="J1693" s="164"/>
      <c r="K1693" s="163"/>
      <c r="L1693" s="164"/>
      <c r="M1693" s="11"/>
      <c r="N1693" s="39"/>
      <c r="Q1693" s="15" t="str">
        <f>+CONCATENATE(E1691,K1691)</f>
        <v/>
      </c>
      <c r="R1693" s="15">
        <f>+L1691</f>
        <v>0</v>
      </c>
      <c r="S1693" s="16"/>
      <c r="T1693" s="15">
        <f>+E1691</f>
        <v>0</v>
      </c>
      <c r="U1693" s="26" t="str">
        <f>IFERROR(LEFT(K1691,FIND("*",K1691)-1),"-")</f>
        <v>-</v>
      </c>
      <c r="V1693" s="26" t="str">
        <f>IFERROR(RIGHT(K1691,LEN(K1691)-FIND("*",K1691)),"-")</f>
        <v>-</v>
      </c>
      <c r="W1693" s="27" t="str">
        <f t="shared" si="916"/>
        <v>-</v>
      </c>
      <c r="X1693" s="27" t="str">
        <f>IFERROR(W1693*L1691,"-")</f>
        <v>-</v>
      </c>
      <c r="Z1693" s="94" t="s">
        <v>82</v>
      </c>
    </row>
    <row r="1694" spans="1:26" s="25" customFormat="1" ht="21" customHeight="1" thickBot="1" x14ac:dyDescent="0.35">
      <c r="A1694" s="10"/>
      <c r="B1694" s="170"/>
      <c r="C1694" s="171"/>
      <c r="D1694" s="172" t="s">
        <v>43</v>
      </c>
      <c r="E1694" s="173"/>
      <c r="F1694" s="173"/>
      <c r="G1694" s="174"/>
      <c r="H1694" s="174"/>
      <c r="I1694" s="174"/>
      <c r="J1694" s="174"/>
      <c r="K1694" s="174"/>
      <c r="L1694" s="174"/>
      <c r="M1694" s="12"/>
      <c r="N1694" s="39"/>
      <c r="U1694" s="23"/>
      <c r="V1694" s="23"/>
      <c r="Z1694" s="95" t="s">
        <v>81</v>
      </c>
    </row>
    <row r="1695" spans="1:26" s="25" customFormat="1" ht="9.9499999999999993" customHeight="1" thickBot="1" x14ac:dyDescent="0.35">
      <c r="A1695" s="6"/>
      <c r="B1695" s="14"/>
      <c r="C1695" s="119"/>
      <c r="D1695" s="58"/>
      <c r="E1695" s="17"/>
      <c r="F1695" s="58"/>
      <c r="G1695" s="19"/>
      <c r="H1695" s="19"/>
      <c r="I1695" s="19"/>
      <c r="J1695" s="19"/>
      <c r="K1695" s="19"/>
      <c r="L1695" s="19"/>
      <c r="M1695" s="14"/>
      <c r="N1695" s="39"/>
      <c r="Q1695" s="1"/>
      <c r="R1695" s="1"/>
      <c r="S1695" s="1"/>
      <c r="T1695" s="1"/>
      <c r="U1695" s="24"/>
      <c r="V1695" s="24"/>
      <c r="W1695" s="1"/>
      <c r="X1695" s="1"/>
      <c r="Z1695" s="94" t="s">
        <v>82</v>
      </c>
    </row>
    <row r="1696" spans="1:26" s="25" customFormat="1" ht="6.95" customHeight="1" x14ac:dyDescent="0.3">
      <c r="A1696" s="165">
        <f>+A1685+1</f>
        <v>155</v>
      </c>
      <c r="B1696" s="166"/>
      <c r="C1696" s="167"/>
      <c r="D1696" s="160" t="s">
        <v>39</v>
      </c>
      <c r="E1696" s="161"/>
      <c r="F1696" s="162" t="s">
        <v>40</v>
      </c>
      <c r="G1696" s="163"/>
      <c r="H1696" s="164"/>
      <c r="I1696" s="163"/>
      <c r="J1696" s="164"/>
      <c r="K1696" s="163"/>
      <c r="L1696" s="164"/>
      <c r="M1696" s="11"/>
      <c r="N1696" s="39"/>
      <c r="Q1696" s="15" t="str">
        <f>+CONCATENATE(E1696,G1696)</f>
        <v/>
      </c>
      <c r="R1696" s="15">
        <f>+H1696</f>
        <v>0</v>
      </c>
      <c r="S1696" s="16"/>
      <c r="T1696" s="15">
        <f>+E1696</f>
        <v>0</v>
      </c>
      <c r="U1696" s="26" t="str">
        <f>IFERROR(LEFT(G1696,FIND("*",G1696)-1),"-")</f>
        <v>-</v>
      </c>
      <c r="V1696" s="26" t="str">
        <f>IFERROR(RIGHT(G1696,LEN(G1696)-FIND("*",G1696)),"-")</f>
        <v>-</v>
      </c>
      <c r="W1696" s="27" t="str">
        <f>IFERROR((U1696+V1696)*2/1000,"-")</f>
        <v>-</v>
      </c>
      <c r="X1696" s="27" t="str">
        <f>IFERROR(W1696*H1696,"-")</f>
        <v>-</v>
      </c>
      <c r="Z1696" s="94" t="s">
        <v>82</v>
      </c>
    </row>
    <row r="1697" spans="1:26" s="25" customFormat="1" ht="6.95" customHeight="1" x14ac:dyDescent="0.3">
      <c r="A1697" s="165"/>
      <c r="B1697" s="168"/>
      <c r="C1697" s="169"/>
      <c r="D1697" s="160"/>
      <c r="E1697" s="161"/>
      <c r="F1697" s="162"/>
      <c r="G1697" s="163"/>
      <c r="H1697" s="164"/>
      <c r="I1697" s="163"/>
      <c r="J1697" s="164"/>
      <c r="K1697" s="163"/>
      <c r="L1697" s="164"/>
      <c r="M1697" s="11"/>
      <c r="N1697" s="39"/>
      <c r="Q1697" s="15" t="str">
        <f>+CONCATENATE(E1696,I1696)</f>
        <v/>
      </c>
      <c r="R1697" s="15">
        <f>+J1696</f>
        <v>0</v>
      </c>
      <c r="S1697" s="16"/>
      <c r="T1697" s="15">
        <f>+E1696</f>
        <v>0</v>
      </c>
      <c r="U1697" s="26" t="str">
        <f>IFERROR(LEFT(I1696,FIND("*",I1696)-1),"-")</f>
        <v>-</v>
      </c>
      <c r="V1697" s="26" t="str">
        <f>IFERROR(RIGHT(I1696,LEN(I1696)-FIND("*",I1696)),"-")</f>
        <v>-</v>
      </c>
      <c r="W1697" s="27" t="str">
        <f t="shared" ref="W1697:W1704" si="922">IFERROR((U1697+V1697)*2/1000,"-")</f>
        <v>-</v>
      </c>
      <c r="X1697" s="27" t="str">
        <f>IFERROR(W1697*J1696,"-")</f>
        <v>-</v>
      </c>
      <c r="Z1697" s="94" t="s">
        <v>82</v>
      </c>
    </row>
    <row r="1698" spans="1:26" s="25" customFormat="1" ht="6.95" customHeight="1" x14ac:dyDescent="0.3">
      <c r="A1698" s="165"/>
      <c r="B1698" s="168"/>
      <c r="C1698" s="169"/>
      <c r="D1698" s="160"/>
      <c r="E1698" s="161"/>
      <c r="F1698" s="162"/>
      <c r="G1698" s="163"/>
      <c r="H1698" s="164"/>
      <c r="I1698" s="163"/>
      <c r="J1698" s="164"/>
      <c r="K1698" s="163"/>
      <c r="L1698" s="164"/>
      <c r="M1698" s="11"/>
      <c r="N1698" s="39"/>
      <c r="Q1698" s="15" t="str">
        <f>+CONCATENATE(E1696,K1696)</f>
        <v/>
      </c>
      <c r="R1698" s="15">
        <f>+L1696</f>
        <v>0</v>
      </c>
      <c r="S1698" s="16"/>
      <c r="T1698" s="15">
        <f>+E1696</f>
        <v>0</v>
      </c>
      <c r="U1698" s="26" t="str">
        <f>IFERROR(LEFT(K1696,FIND("*",K1696)-1),"-")</f>
        <v>-</v>
      </c>
      <c r="V1698" s="26" t="str">
        <f>IFERROR(RIGHT(K1696,LEN(K1696)-FIND("*",K1696)),"-")</f>
        <v>-</v>
      </c>
      <c r="W1698" s="27" t="str">
        <f t="shared" si="922"/>
        <v>-</v>
      </c>
      <c r="X1698" s="27" t="str">
        <f>IFERROR(W1698*L1696,"-")</f>
        <v>-</v>
      </c>
      <c r="Z1698" s="94" t="s">
        <v>82</v>
      </c>
    </row>
    <row r="1699" spans="1:26" s="25" customFormat="1" ht="6.95" customHeight="1" x14ac:dyDescent="0.3">
      <c r="A1699" s="13"/>
      <c r="B1699" s="168"/>
      <c r="C1699" s="169"/>
      <c r="D1699" s="160" t="s">
        <v>39</v>
      </c>
      <c r="E1699" s="161"/>
      <c r="F1699" s="162" t="s">
        <v>40</v>
      </c>
      <c r="G1699" s="163"/>
      <c r="H1699" s="164"/>
      <c r="I1699" s="163"/>
      <c r="J1699" s="164"/>
      <c r="K1699" s="163"/>
      <c r="L1699" s="164"/>
      <c r="M1699" s="11"/>
      <c r="N1699" s="39"/>
      <c r="Q1699" s="15" t="str">
        <f>+CONCATENATE(E1699,G1699)</f>
        <v/>
      </c>
      <c r="R1699" s="15">
        <f>+H1699</f>
        <v>0</v>
      </c>
      <c r="S1699" s="16"/>
      <c r="T1699" s="15">
        <f>+E1699</f>
        <v>0</v>
      </c>
      <c r="U1699" s="26" t="str">
        <f t="shared" ref="U1699" si="923">IFERROR(LEFT(G1699,FIND("*",G1699)-1),"-")</f>
        <v>-</v>
      </c>
      <c r="V1699" s="26" t="str">
        <f t="shared" ref="V1699" si="924">IFERROR(RIGHT(G1699,LEN(G1699)-FIND("*",G1699)),"-")</f>
        <v>-</v>
      </c>
      <c r="W1699" s="27" t="str">
        <f t="shared" si="922"/>
        <v>-</v>
      </c>
      <c r="X1699" s="27" t="str">
        <f>IFERROR(W1699*H1699,"-")</f>
        <v>-</v>
      </c>
      <c r="Z1699" s="94" t="s">
        <v>82</v>
      </c>
    </row>
    <row r="1700" spans="1:26" s="25" customFormat="1" ht="6.95" customHeight="1" x14ac:dyDescent="0.3">
      <c r="A1700" s="10"/>
      <c r="B1700" s="168"/>
      <c r="C1700" s="169"/>
      <c r="D1700" s="160"/>
      <c r="E1700" s="161"/>
      <c r="F1700" s="162"/>
      <c r="G1700" s="163"/>
      <c r="H1700" s="164"/>
      <c r="I1700" s="163"/>
      <c r="J1700" s="164"/>
      <c r="K1700" s="163"/>
      <c r="L1700" s="164"/>
      <c r="M1700" s="11"/>
      <c r="N1700" s="39"/>
      <c r="Q1700" s="15" t="str">
        <f>+CONCATENATE(E1699,I1699)</f>
        <v/>
      </c>
      <c r="R1700" s="15">
        <f>+J1699</f>
        <v>0</v>
      </c>
      <c r="S1700" s="16"/>
      <c r="T1700" s="15">
        <f>+E1699</f>
        <v>0</v>
      </c>
      <c r="U1700" s="26" t="str">
        <f>IFERROR(LEFT(I1699,FIND("*",I1699)-1),"-")</f>
        <v>-</v>
      </c>
      <c r="V1700" s="26" t="str">
        <f>IFERROR(RIGHT(I1699,LEN(I1699)-FIND("*",I1699)),"-")</f>
        <v>-</v>
      </c>
      <c r="W1700" s="27" t="str">
        <f t="shared" si="922"/>
        <v>-</v>
      </c>
      <c r="X1700" s="27" t="str">
        <f>IFERROR(W1700*J1699,"-")</f>
        <v>-</v>
      </c>
      <c r="Z1700" s="94" t="s">
        <v>82</v>
      </c>
    </row>
    <row r="1701" spans="1:26" s="25" customFormat="1" ht="6.95" customHeight="1" x14ac:dyDescent="0.3">
      <c r="A1701" s="10"/>
      <c r="B1701" s="168"/>
      <c r="C1701" s="169"/>
      <c r="D1701" s="160"/>
      <c r="E1701" s="161"/>
      <c r="F1701" s="162"/>
      <c r="G1701" s="163"/>
      <c r="H1701" s="164"/>
      <c r="I1701" s="163"/>
      <c r="J1701" s="164"/>
      <c r="K1701" s="163"/>
      <c r="L1701" s="164"/>
      <c r="M1701" s="11"/>
      <c r="N1701" s="39"/>
      <c r="Q1701" s="15" t="str">
        <f>+CONCATENATE(E1699,K1699)</f>
        <v/>
      </c>
      <c r="R1701" s="15">
        <f>+L1699</f>
        <v>0</v>
      </c>
      <c r="S1701" s="16"/>
      <c r="T1701" s="15">
        <f>+E1699</f>
        <v>0</v>
      </c>
      <c r="U1701" s="26" t="str">
        <f>IFERROR(LEFT(K1699,FIND("*",K1699)-1),"-")</f>
        <v>-</v>
      </c>
      <c r="V1701" s="26" t="str">
        <f>IFERROR(RIGHT(K1699,LEN(K1699)-FIND("*",K1699)),"-")</f>
        <v>-</v>
      </c>
      <c r="W1701" s="27" t="str">
        <f t="shared" si="922"/>
        <v>-</v>
      </c>
      <c r="X1701" s="27" t="str">
        <f>IFERROR(W1701*L1699,"-")</f>
        <v>-</v>
      </c>
      <c r="Z1701" s="94" t="s">
        <v>82</v>
      </c>
    </row>
    <row r="1702" spans="1:26" s="25" customFormat="1" ht="6.95" customHeight="1" x14ac:dyDescent="0.3">
      <c r="A1702" s="13"/>
      <c r="B1702" s="168"/>
      <c r="C1702" s="169"/>
      <c r="D1702" s="160" t="s">
        <v>39</v>
      </c>
      <c r="E1702" s="161"/>
      <c r="F1702" s="162" t="s">
        <v>40</v>
      </c>
      <c r="G1702" s="163"/>
      <c r="H1702" s="164"/>
      <c r="I1702" s="163"/>
      <c r="J1702" s="164"/>
      <c r="K1702" s="163"/>
      <c r="L1702" s="164"/>
      <c r="M1702" s="11"/>
      <c r="N1702" s="39"/>
      <c r="Q1702" s="15" t="str">
        <f>+CONCATENATE(E1702,G1702)</f>
        <v/>
      </c>
      <c r="R1702" s="15">
        <f>+H1702</f>
        <v>0</v>
      </c>
      <c r="S1702" s="16"/>
      <c r="T1702" s="15">
        <f>+E1702</f>
        <v>0</v>
      </c>
      <c r="U1702" s="26" t="str">
        <f t="shared" ref="U1702" si="925">IFERROR(LEFT(G1702,FIND("*",G1702)-1),"-")</f>
        <v>-</v>
      </c>
      <c r="V1702" s="26" t="str">
        <f t="shared" ref="V1702" si="926">IFERROR(RIGHT(G1702,LEN(G1702)-FIND("*",G1702)),"-")</f>
        <v>-</v>
      </c>
      <c r="W1702" s="27" t="str">
        <f t="shared" si="922"/>
        <v>-</v>
      </c>
      <c r="X1702" s="27" t="str">
        <f>IFERROR(W1702*H1702,"-")</f>
        <v>-</v>
      </c>
      <c r="Z1702" s="94" t="s">
        <v>82</v>
      </c>
    </row>
    <row r="1703" spans="1:26" s="25" customFormat="1" ht="6.95" customHeight="1" x14ac:dyDescent="0.3">
      <c r="A1703" s="10"/>
      <c r="B1703" s="168"/>
      <c r="C1703" s="169"/>
      <c r="D1703" s="160"/>
      <c r="E1703" s="161"/>
      <c r="F1703" s="162"/>
      <c r="G1703" s="163"/>
      <c r="H1703" s="164"/>
      <c r="I1703" s="163"/>
      <c r="J1703" s="164"/>
      <c r="K1703" s="163"/>
      <c r="L1703" s="164"/>
      <c r="M1703" s="11"/>
      <c r="N1703" s="39"/>
      <c r="Q1703" s="15" t="str">
        <f>+CONCATENATE(E1702,I1702)</f>
        <v/>
      </c>
      <c r="R1703" s="15">
        <f>+J1702</f>
        <v>0</v>
      </c>
      <c r="S1703" s="16"/>
      <c r="T1703" s="15">
        <f>+E1702</f>
        <v>0</v>
      </c>
      <c r="U1703" s="26" t="str">
        <f>IFERROR(LEFT(I1702,FIND("*",I1702)-1),"-")</f>
        <v>-</v>
      </c>
      <c r="V1703" s="26" t="str">
        <f>IFERROR(RIGHT(I1702,LEN(I1702)-FIND("*",I1702)),"-")</f>
        <v>-</v>
      </c>
      <c r="W1703" s="27" t="str">
        <f t="shared" si="922"/>
        <v>-</v>
      </c>
      <c r="X1703" s="27" t="str">
        <f t="shared" ref="X1703" si="927">IFERROR(W1703*J1702,"-")</f>
        <v>-</v>
      </c>
      <c r="Z1703" s="94" t="s">
        <v>82</v>
      </c>
    </row>
    <row r="1704" spans="1:26" s="25" customFormat="1" ht="6.95" customHeight="1" x14ac:dyDescent="0.3">
      <c r="A1704" s="10"/>
      <c r="B1704" s="168"/>
      <c r="C1704" s="169"/>
      <c r="D1704" s="160"/>
      <c r="E1704" s="161"/>
      <c r="F1704" s="162"/>
      <c r="G1704" s="163"/>
      <c r="H1704" s="164"/>
      <c r="I1704" s="163"/>
      <c r="J1704" s="164"/>
      <c r="K1704" s="163"/>
      <c r="L1704" s="164"/>
      <c r="M1704" s="11"/>
      <c r="N1704" s="39"/>
      <c r="Q1704" s="15" t="str">
        <f>+CONCATENATE(E1702,K1702)</f>
        <v/>
      </c>
      <c r="R1704" s="15">
        <f>+L1702</f>
        <v>0</v>
      </c>
      <c r="S1704" s="16"/>
      <c r="T1704" s="15">
        <f>+E1702</f>
        <v>0</v>
      </c>
      <c r="U1704" s="26" t="str">
        <f>IFERROR(LEFT(K1702,FIND("*",K1702)-1),"-")</f>
        <v>-</v>
      </c>
      <c r="V1704" s="26" t="str">
        <f>IFERROR(RIGHT(K1702,LEN(K1702)-FIND("*",K1702)),"-")</f>
        <v>-</v>
      </c>
      <c r="W1704" s="27" t="str">
        <f t="shared" si="922"/>
        <v>-</v>
      </c>
      <c r="X1704" s="27" t="str">
        <f>IFERROR(W1704*L1702,"-")</f>
        <v>-</v>
      </c>
      <c r="Z1704" s="94" t="s">
        <v>82</v>
      </c>
    </row>
    <row r="1705" spans="1:26" s="25" customFormat="1" ht="21" customHeight="1" thickBot="1" x14ac:dyDescent="0.35">
      <c r="A1705" s="10"/>
      <c r="B1705" s="170"/>
      <c r="C1705" s="171"/>
      <c r="D1705" s="172" t="s">
        <v>43</v>
      </c>
      <c r="E1705" s="173"/>
      <c r="F1705" s="173"/>
      <c r="G1705" s="174"/>
      <c r="H1705" s="174"/>
      <c r="I1705" s="174"/>
      <c r="J1705" s="174"/>
      <c r="K1705" s="174"/>
      <c r="L1705" s="174"/>
      <c r="M1705" s="12"/>
      <c r="N1705" s="39"/>
      <c r="U1705" s="23"/>
      <c r="V1705" s="23"/>
      <c r="Z1705" s="95" t="s">
        <v>81</v>
      </c>
    </row>
    <row r="1706" spans="1:26" s="25" customFormat="1" ht="9.9499999999999993" customHeight="1" thickBot="1" x14ac:dyDescent="0.35">
      <c r="A1706" s="6"/>
      <c r="B1706" s="14"/>
      <c r="C1706" s="119"/>
      <c r="D1706" s="58"/>
      <c r="E1706" s="17"/>
      <c r="F1706" s="58"/>
      <c r="G1706" s="19"/>
      <c r="H1706" s="19"/>
      <c r="I1706" s="19"/>
      <c r="J1706" s="19"/>
      <c r="K1706" s="19"/>
      <c r="L1706" s="19"/>
      <c r="M1706" s="14"/>
      <c r="N1706" s="39"/>
      <c r="Q1706" s="1"/>
      <c r="R1706" s="1"/>
      <c r="S1706" s="1"/>
      <c r="T1706" s="1"/>
      <c r="U1706" s="24"/>
      <c r="V1706" s="24"/>
      <c r="W1706" s="1"/>
      <c r="X1706" s="1"/>
      <c r="Z1706" s="94" t="s">
        <v>82</v>
      </c>
    </row>
    <row r="1707" spans="1:26" s="25" customFormat="1" ht="6.95" customHeight="1" x14ac:dyDescent="0.3">
      <c r="A1707" s="165">
        <f>+A1696+1</f>
        <v>156</v>
      </c>
      <c r="B1707" s="166"/>
      <c r="C1707" s="167"/>
      <c r="D1707" s="160" t="s">
        <v>39</v>
      </c>
      <c r="E1707" s="161"/>
      <c r="F1707" s="162" t="s">
        <v>40</v>
      </c>
      <c r="G1707" s="163"/>
      <c r="H1707" s="164"/>
      <c r="I1707" s="163"/>
      <c r="J1707" s="164"/>
      <c r="K1707" s="163"/>
      <c r="L1707" s="164"/>
      <c r="M1707" s="11"/>
      <c r="N1707" s="39"/>
      <c r="Q1707" s="15" t="str">
        <f>+CONCATENATE(E1707,G1707)</f>
        <v/>
      </c>
      <c r="R1707" s="15">
        <f>+H1707</f>
        <v>0</v>
      </c>
      <c r="S1707" s="16"/>
      <c r="T1707" s="15">
        <f>+E1707</f>
        <v>0</v>
      </c>
      <c r="U1707" s="26" t="str">
        <f>IFERROR(LEFT(G1707,FIND("*",G1707)-1),"-")</f>
        <v>-</v>
      </c>
      <c r="V1707" s="26" t="str">
        <f>IFERROR(RIGHT(G1707,LEN(G1707)-FIND("*",G1707)),"-")</f>
        <v>-</v>
      </c>
      <c r="W1707" s="27" t="str">
        <f>IFERROR((U1707+V1707)*2/1000,"-")</f>
        <v>-</v>
      </c>
      <c r="X1707" s="27" t="str">
        <f>IFERROR(W1707*H1707,"-")</f>
        <v>-</v>
      </c>
      <c r="Z1707" s="94" t="s">
        <v>82</v>
      </c>
    </row>
    <row r="1708" spans="1:26" s="25" customFormat="1" ht="6.95" customHeight="1" x14ac:dyDescent="0.3">
      <c r="A1708" s="165"/>
      <c r="B1708" s="168"/>
      <c r="C1708" s="169"/>
      <c r="D1708" s="160"/>
      <c r="E1708" s="161"/>
      <c r="F1708" s="162"/>
      <c r="G1708" s="163"/>
      <c r="H1708" s="164"/>
      <c r="I1708" s="163"/>
      <c r="J1708" s="164"/>
      <c r="K1708" s="163"/>
      <c r="L1708" s="164"/>
      <c r="M1708" s="11"/>
      <c r="N1708" s="39"/>
      <c r="Q1708" s="15" t="str">
        <f>+CONCATENATE(E1707,I1707)</f>
        <v/>
      </c>
      <c r="R1708" s="15">
        <f>+J1707</f>
        <v>0</v>
      </c>
      <c r="S1708" s="16"/>
      <c r="T1708" s="15">
        <f>+E1707</f>
        <v>0</v>
      </c>
      <c r="U1708" s="26" t="str">
        <f>IFERROR(LEFT(I1707,FIND("*",I1707)-1),"-")</f>
        <v>-</v>
      </c>
      <c r="V1708" s="26" t="str">
        <f>IFERROR(RIGHT(I1707,LEN(I1707)-FIND("*",I1707)),"-")</f>
        <v>-</v>
      </c>
      <c r="W1708" s="27" t="str">
        <f t="shared" ref="W1708:W1715" si="928">IFERROR((U1708+V1708)*2/1000,"-")</f>
        <v>-</v>
      </c>
      <c r="X1708" s="27" t="str">
        <f>IFERROR(W1708*J1707,"-")</f>
        <v>-</v>
      </c>
      <c r="Z1708" s="94" t="s">
        <v>82</v>
      </c>
    </row>
    <row r="1709" spans="1:26" s="25" customFormat="1" ht="6.95" customHeight="1" x14ac:dyDescent="0.3">
      <c r="A1709" s="165"/>
      <c r="B1709" s="168"/>
      <c r="C1709" s="169"/>
      <c r="D1709" s="160"/>
      <c r="E1709" s="161"/>
      <c r="F1709" s="162"/>
      <c r="G1709" s="163"/>
      <c r="H1709" s="164"/>
      <c r="I1709" s="163"/>
      <c r="J1709" s="164"/>
      <c r="K1709" s="163"/>
      <c r="L1709" s="164"/>
      <c r="M1709" s="11"/>
      <c r="N1709" s="39"/>
      <c r="Q1709" s="15" t="str">
        <f>+CONCATENATE(E1707,K1707)</f>
        <v/>
      </c>
      <c r="R1709" s="15">
        <f>+L1707</f>
        <v>0</v>
      </c>
      <c r="S1709" s="16"/>
      <c r="T1709" s="15">
        <f>+E1707</f>
        <v>0</v>
      </c>
      <c r="U1709" s="26" t="str">
        <f>IFERROR(LEFT(K1707,FIND("*",K1707)-1),"-")</f>
        <v>-</v>
      </c>
      <c r="V1709" s="26" t="str">
        <f>IFERROR(RIGHT(K1707,LEN(K1707)-FIND("*",K1707)),"-")</f>
        <v>-</v>
      </c>
      <c r="W1709" s="27" t="str">
        <f t="shared" si="928"/>
        <v>-</v>
      </c>
      <c r="X1709" s="27" t="str">
        <f>IFERROR(W1709*L1707,"-")</f>
        <v>-</v>
      </c>
      <c r="Z1709" s="94" t="s">
        <v>82</v>
      </c>
    </row>
    <row r="1710" spans="1:26" s="25" customFormat="1" ht="6.95" customHeight="1" x14ac:dyDescent="0.3">
      <c r="A1710" s="13"/>
      <c r="B1710" s="168"/>
      <c r="C1710" s="169"/>
      <c r="D1710" s="160" t="s">
        <v>39</v>
      </c>
      <c r="E1710" s="161"/>
      <c r="F1710" s="162" t="s">
        <v>40</v>
      </c>
      <c r="G1710" s="163"/>
      <c r="H1710" s="164"/>
      <c r="I1710" s="163"/>
      <c r="J1710" s="164"/>
      <c r="K1710" s="163"/>
      <c r="L1710" s="164"/>
      <c r="M1710" s="11"/>
      <c r="N1710" s="39"/>
      <c r="Q1710" s="15" t="str">
        <f>+CONCATENATE(E1710,G1710)</f>
        <v/>
      </c>
      <c r="R1710" s="15">
        <f>+H1710</f>
        <v>0</v>
      </c>
      <c r="S1710" s="16"/>
      <c r="T1710" s="15">
        <f>+E1710</f>
        <v>0</v>
      </c>
      <c r="U1710" s="26" t="str">
        <f t="shared" ref="U1710" si="929">IFERROR(LEFT(G1710,FIND("*",G1710)-1),"-")</f>
        <v>-</v>
      </c>
      <c r="V1710" s="26" t="str">
        <f t="shared" ref="V1710" si="930">IFERROR(RIGHT(G1710,LEN(G1710)-FIND("*",G1710)),"-")</f>
        <v>-</v>
      </c>
      <c r="W1710" s="27" t="str">
        <f t="shared" si="928"/>
        <v>-</v>
      </c>
      <c r="X1710" s="27" t="str">
        <f>IFERROR(W1710*H1710,"-")</f>
        <v>-</v>
      </c>
      <c r="Z1710" s="94" t="s">
        <v>82</v>
      </c>
    </row>
    <row r="1711" spans="1:26" s="25" customFormat="1" ht="6.95" customHeight="1" x14ac:dyDescent="0.3">
      <c r="A1711" s="10"/>
      <c r="B1711" s="168"/>
      <c r="C1711" s="169"/>
      <c r="D1711" s="160"/>
      <c r="E1711" s="161"/>
      <c r="F1711" s="162"/>
      <c r="G1711" s="163"/>
      <c r="H1711" s="164"/>
      <c r="I1711" s="163"/>
      <c r="J1711" s="164"/>
      <c r="K1711" s="163"/>
      <c r="L1711" s="164"/>
      <c r="M1711" s="11"/>
      <c r="N1711" s="39"/>
      <c r="Q1711" s="15" t="str">
        <f>+CONCATENATE(E1710,I1710)</f>
        <v/>
      </c>
      <c r="R1711" s="15">
        <f>+J1710</f>
        <v>0</v>
      </c>
      <c r="S1711" s="16"/>
      <c r="T1711" s="15">
        <f>+E1710</f>
        <v>0</v>
      </c>
      <c r="U1711" s="26" t="str">
        <f>IFERROR(LEFT(I1710,FIND("*",I1710)-1),"-")</f>
        <v>-</v>
      </c>
      <c r="V1711" s="26" t="str">
        <f>IFERROR(RIGHT(I1710,LEN(I1710)-FIND("*",I1710)),"-")</f>
        <v>-</v>
      </c>
      <c r="W1711" s="27" t="str">
        <f t="shared" si="928"/>
        <v>-</v>
      </c>
      <c r="X1711" s="27" t="str">
        <f>IFERROR(W1711*J1710,"-")</f>
        <v>-</v>
      </c>
      <c r="Z1711" s="94" t="s">
        <v>82</v>
      </c>
    </row>
    <row r="1712" spans="1:26" s="25" customFormat="1" ht="6.95" customHeight="1" x14ac:dyDescent="0.3">
      <c r="A1712" s="10"/>
      <c r="B1712" s="168"/>
      <c r="C1712" s="169"/>
      <c r="D1712" s="160"/>
      <c r="E1712" s="161"/>
      <c r="F1712" s="162"/>
      <c r="G1712" s="163"/>
      <c r="H1712" s="164"/>
      <c r="I1712" s="163"/>
      <c r="J1712" s="164"/>
      <c r="K1712" s="163"/>
      <c r="L1712" s="164"/>
      <c r="M1712" s="11"/>
      <c r="N1712" s="39"/>
      <c r="Q1712" s="15" t="str">
        <f>+CONCATENATE(E1710,K1710)</f>
        <v/>
      </c>
      <c r="R1712" s="15">
        <f>+L1710</f>
        <v>0</v>
      </c>
      <c r="S1712" s="16"/>
      <c r="T1712" s="15">
        <f>+E1710</f>
        <v>0</v>
      </c>
      <c r="U1712" s="26" t="str">
        <f>IFERROR(LEFT(K1710,FIND("*",K1710)-1),"-")</f>
        <v>-</v>
      </c>
      <c r="V1712" s="26" t="str">
        <f>IFERROR(RIGHT(K1710,LEN(K1710)-FIND("*",K1710)),"-")</f>
        <v>-</v>
      </c>
      <c r="W1712" s="27" t="str">
        <f t="shared" si="928"/>
        <v>-</v>
      </c>
      <c r="X1712" s="27" t="str">
        <f>IFERROR(W1712*L1710,"-")</f>
        <v>-</v>
      </c>
      <c r="Z1712" s="94" t="s">
        <v>82</v>
      </c>
    </row>
    <row r="1713" spans="1:26" s="25" customFormat="1" ht="6.95" customHeight="1" x14ac:dyDescent="0.3">
      <c r="A1713" s="13"/>
      <c r="B1713" s="168"/>
      <c r="C1713" s="169"/>
      <c r="D1713" s="160" t="s">
        <v>39</v>
      </c>
      <c r="E1713" s="161"/>
      <c r="F1713" s="162" t="s">
        <v>40</v>
      </c>
      <c r="G1713" s="163"/>
      <c r="H1713" s="164"/>
      <c r="I1713" s="163"/>
      <c r="J1713" s="164"/>
      <c r="K1713" s="163"/>
      <c r="L1713" s="164"/>
      <c r="M1713" s="11"/>
      <c r="N1713" s="39"/>
      <c r="Q1713" s="15" t="str">
        <f>+CONCATENATE(E1713,G1713)</f>
        <v/>
      </c>
      <c r="R1713" s="15">
        <f>+H1713</f>
        <v>0</v>
      </c>
      <c r="S1713" s="16"/>
      <c r="T1713" s="15">
        <f>+E1713</f>
        <v>0</v>
      </c>
      <c r="U1713" s="26" t="str">
        <f t="shared" ref="U1713" si="931">IFERROR(LEFT(G1713,FIND("*",G1713)-1),"-")</f>
        <v>-</v>
      </c>
      <c r="V1713" s="26" t="str">
        <f t="shared" ref="V1713" si="932">IFERROR(RIGHT(G1713,LEN(G1713)-FIND("*",G1713)),"-")</f>
        <v>-</v>
      </c>
      <c r="W1713" s="27" t="str">
        <f t="shared" si="928"/>
        <v>-</v>
      </c>
      <c r="X1713" s="27" t="str">
        <f>IFERROR(W1713*H1713,"-")</f>
        <v>-</v>
      </c>
      <c r="Z1713" s="94" t="s">
        <v>82</v>
      </c>
    </row>
    <row r="1714" spans="1:26" s="25" customFormat="1" ht="6.95" customHeight="1" x14ac:dyDescent="0.3">
      <c r="A1714" s="10"/>
      <c r="B1714" s="168"/>
      <c r="C1714" s="169"/>
      <c r="D1714" s="160"/>
      <c r="E1714" s="161"/>
      <c r="F1714" s="162"/>
      <c r="G1714" s="163"/>
      <c r="H1714" s="164"/>
      <c r="I1714" s="163"/>
      <c r="J1714" s="164"/>
      <c r="K1714" s="163"/>
      <c r="L1714" s="164"/>
      <c r="M1714" s="11"/>
      <c r="N1714" s="39"/>
      <c r="Q1714" s="15" t="str">
        <f>+CONCATENATE(E1713,I1713)</f>
        <v/>
      </c>
      <c r="R1714" s="15">
        <f>+J1713</f>
        <v>0</v>
      </c>
      <c r="S1714" s="16"/>
      <c r="T1714" s="15">
        <f>+E1713</f>
        <v>0</v>
      </c>
      <c r="U1714" s="26" t="str">
        <f>IFERROR(LEFT(I1713,FIND("*",I1713)-1),"-")</f>
        <v>-</v>
      </c>
      <c r="V1714" s="26" t="str">
        <f>IFERROR(RIGHT(I1713,LEN(I1713)-FIND("*",I1713)),"-")</f>
        <v>-</v>
      </c>
      <c r="W1714" s="27" t="str">
        <f t="shared" si="928"/>
        <v>-</v>
      </c>
      <c r="X1714" s="27" t="str">
        <f t="shared" ref="X1714" si="933">IFERROR(W1714*J1713,"-")</f>
        <v>-</v>
      </c>
      <c r="Z1714" s="94" t="s">
        <v>82</v>
      </c>
    </row>
    <row r="1715" spans="1:26" s="25" customFormat="1" ht="6.95" customHeight="1" x14ac:dyDescent="0.3">
      <c r="A1715" s="10"/>
      <c r="B1715" s="168"/>
      <c r="C1715" s="169"/>
      <c r="D1715" s="160"/>
      <c r="E1715" s="161"/>
      <c r="F1715" s="162"/>
      <c r="G1715" s="163"/>
      <c r="H1715" s="164"/>
      <c r="I1715" s="163"/>
      <c r="J1715" s="164"/>
      <c r="K1715" s="163"/>
      <c r="L1715" s="164"/>
      <c r="M1715" s="11"/>
      <c r="N1715" s="39"/>
      <c r="Q1715" s="15" t="str">
        <f>+CONCATENATE(E1713,K1713)</f>
        <v/>
      </c>
      <c r="R1715" s="15">
        <f>+L1713</f>
        <v>0</v>
      </c>
      <c r="S1715" s="16"/>
      <c r="T1715" s="15">
        <f>+E1713</f>
        <v>0</v>
      </c>
      <c r="U1715" s="26" t="str">
        <f>IFERROR(LEFT(K1713,FIND("*",K1713)-1),"-")</f>
        <v>-</v>
      </c>
      <c r="V1715" s="26" t="str">
        <f>IFERROR(RIGHT(K1713,LEN(K1713)-FIND("*",K1713)),"-")</f>
        <v>-</v>
      </c>
      <c r="W1715" s="27" t="str">
        <f t="shared" si="928"/>
        <v>-</v>
      </c>
      <c r="X1715" s="27" t="str">
        <f>IFERROR(W1715*L1713,"-")</f>
        <v>-</v>
      </c>
      <c r="Z1715" s="94" t="s">
        <v>82</v>
      </c>
    </row>
    <row r="1716" spans="1:26" s="25" customFormat="1" ht="21" customHeight="1" thickBot="1" x14ac:dyDescent="0.35">
      <c r="A1716" s="10"/>
      <c r="B1716" s="170"/>
      <c r="C1716" s="171"/>
      <c r="D1716" s="172" t="s">
        <v>43</v>
      </c>
      <c r="E1716" s="173"/>
      <c r="F1716" s="173"/>
      <c r="G1716" s="174"/>
      <c r="H1716" s="174"/>
      <c r="I1716" s="174"/>
      <c r="J1716" s="174"/>
      <c r="K1716" s="174"/>
      <c r="L1716" s="174"/>
      <c r="M1716" s="12"/>
      <c r="N1716" s="39"/>
      <c r="U1716" s="23"/>
      <c r="V1716" s="23"/>
      <c r="Z1716" s="95" t="s">
        <v>81</v>
      </c>
    </row>
    <row r="1717" spans="1:26" s="25" customFormat="1" ht="9.9499999999999993" customHeight="1" thickBot="1" x14ac:dyDescent="0.35">
      <c r="A1717" s="6"/>
      <c r="B1717" s="14"/>
      <c r="C1717" s="119"/>
      <c r="D1717" s="58"/>
      <c r="E1717" s="17"/>
      <c r="F1717" s="58"/>
      <c r="G1717" s="19"/>
      <c r="H1717" s="19"/>
      <c r="I1717" s="19"/>
      <c r="J1717" s="19"/>
      <c r="K1717" s="19"/>
      <c r="L1717" s="19"/>
      <c r="M1717" s="14"/>
      <c r="N1717" s="39"/>
      <c r="Q1717" s="1"/>
      <c r="R1717" s="1"/>
      <c r="S1717" s="1"/>
      <c r="T1717" s="1"/>
      <c r="U1717" s="24"/>
      <c r="V1717" s="24"/>
      <c r="W1717" s="1"/>
      <c r="X1717" s="1"/>
      <c r="Z1717" s="94" t="s">
        <v>82</v>
      </c>
    </row>
    <row r="1718" spans="1:26" s="25" customFormat="1" ht="6.95" customHeight="1" x14ac:dyDescent="0.3">
      <c r="A1718" s="165">
        <f>+A1707+1</f>
        <v>157</v>
      </c>
      <c r="B1718" s="166"/>
      <c r="C1718" s="167"/>
      <c r="D1718" s="160" t="s">
        <v>39</v>
      </c>
      <c r="E1718" s="161"/>
      <c r="F1718" s="162" t="s">
        <v>40</v>
      </c>
      <c r="G1718" s="163"/>
      <c r="H1718" s="164"/>
      <c r="I1718" s="163"/>
      <c r="J1718" s="164"/>
      <c r="K1718" s="163"/>
      <c r="L1718" s="164"/>
      <c r="M1718" s="11"/>
      <c r="N1718" s="39"/>
      <c r="Q1718" s="15" t="str">
        <f>+CONCATENATE(E1718,G1718)</f>
        <v/>
      </c>
      <c r="R1718" s="15">
        <f>+H1718</f>
        <v>0</v>
      </c>
      <c r="S1718" s="16"/>
      <c r="T1718" s="15">
        <f>+E1718</f>
        <v>0</v>
      </c>
      <c r="U1718" s="26" t="str">
        <f>IFERROR(LEFT(G1718,FIND("*",G1718)-1),"-")</f>
        <v>-</v>
      </c>
      <c r="V1718" s="26" t="str">
        <f>IFERROR(RIGHT(G1718,LEN(G1718)-FIND("*",G1718)),"-")</f>
        <v>-</v>
      </c>
      <c r="W1718" s="27" t="str">
        <f>IFERROR((U1718+V1718)*2/1000,"-")</f>
        <v>-</v>
      </c>
      <c r="X1718" s="27" t="str">
        <f>IFERROR(W1718*H1718,"-")</f>
        <v>-</v>
      </c>
      <c r="Z1718" s="94" t="s">
        <v>82</v>
      </c>
    </row>
    <row r="1719" spans="1:26" s="25" customFormat="1" ht="6.95" customHeight="1" x14ac:dyDescent="0.3">
      <c r="A1719" s="165"/>
      <c r="B1719" s="168"/>
      <c r="C1719" s="169"/>
      <c r="D1719" s="160"/>
      <c r="E1719" s="161"/>
      <c r="F1719" s="162"/>
      <c r="G1719" s="163"/>
      <c r="H1719" s="164"/>
      <c r="I1719" s="163"/>
      <c r="J1719" s="164"/>
      <c r="K1719" s="163"/>
      <c r="L1719" s="164"/>
      <c r="M1719" s="11"/>
      <c r="N1719" s="39"/>
      <c r="Q1719" s="15" t="str">
        <f>+CONCATENATE(E1718,I1718)</f>
        <v/>
      </c>
      <c r="R1719" s="15">
        <f>+J1718</f>
        <v>0</v>
      </c>
      <c r="S1719" s="16"/>
      <c r="T1719" s="15">
        <f>+E1718</f>
        <v>0</v>
      </c>
      <c r="U1719" s="26" t="str">
        <f>IFERROR(LEFT(I1718,FIND("*",I1718)-1),"-")</f>
        <v>-</v>
      </c>
      <c r="V1719" s="26" t="str">
        <f>IFERROR(RIGHT(I1718,LEN(I1718)-FIND("*",I1718)),"-")</f>
        <v>-</v>
      </c>
      <c r="W1719" s="27" t="str">
        <f t="shared" ref="W1719:W1726" si="934">IFERROR((U1719+V1719)*2/1000,"-")</f>
        <v>-</v>
      </c>
      <c r="X1719" s="27" t="str">
        <f>IFERROR(W1719*J1718,"-")</f>
        <v>-</v>
      </c>
      <c r="Z1719" s="94" t="s">
        <v>82</v>
      </c>
    </row>
    <row r="1720" spans="1:26" s="25" customFormat="1" ht="6.95" customHeight="1" x14ac:dyDescent="0.3">
      <c r="A1720" s="165"/>
      <c r="B1720" s="168"/>
      <c r="C1720" s="169"/>
      <c r="D1720" s="160"/>
      <c r="E1720" s="161"/>
      <c r="F1720" s="162"/>
      <c r="G1720" s="163"/>
      <c r="H1720" s="164"/>
      <c r="I1720" s="163"/>
      <c r="J1720" s="164"/>
      <c r="K1720" s="163"/>
      <c r="L1720" s="164"/>
      <c r="M1720" s="11"/>
      <c r="N1720" s="39"/>
      <c r="Q1720" s="15" t="str">
        <f>+CONCATENATE(E1718,K1718)</f>
        <v/>
      </c>
      <c r="R1720" s="15">
        <f>+L1718</f>
        <v>0</v>
      </c>
      <c r="S1720" s="16"/>
      <c r="T1720" s="15">
        <f>+E1718</f>
        <v>0</v>
      </c>
      <c r="U1720" s="26" t="str">
        <f>IFERROR(LEFT(K1718,FIND("*",K1718)-1),"-")</f>
        <v>-</v>
      </c>
      <c r="V1720" s="26" t="str">
        <f>IFERROR(RIGHT(K1718,LEN(K1718)-FIND("*",K1718)),"-")</f>
        <v>-</v>
      </c>
      <c r="W1720" s="27" t="str">
        <f t="shared" si="934"/>
        <v>-</v>
      </c>
      <c r="X1720" s="27" t="str">
        <f>IFERROR(W1720*L1718,"-")</f>
        <v>-</v>
      </c>
      <c r="Z1720" s="94" t="s">
        <v>82</v>
      </c>
    </row>
    <row r="1721" spans="1:26" s="25" customFormat="1" ht="6.95" customHeight="1" x14ac:dyDescent="0.3">
      <c r="A1721" s="13"/>
      <c r="B1721" s="168"/>
      <c r="C1721" s="169"/>
      <c r="D1721" s="160" t="s">
        <v>39</v>
      </c>
      <c r="E1721" s="161"/>
      <c r="F1721" s="162" t="s">
        <v>40</v>
      </c>
      <c r="G1721" s="163"/>
      <c r="H1721" s="164"/>
      <c r="I1721" s="163"/>
      <c r="J1721" s="164"/>
      <c r="K1721" s="163"/>
      <c r="L1721" s="164"/>
      <c r="M1721" s="11"/>
      <c r="N1721" s="39"/>
      <c r="Q1721" s="15" t="str">
        <f>+CONCATENATE(E1721,G1721)</f>
        <v/>
      </c>
      <c r="R1721" s="15">
        <f>+H1721</f>
        <v>0</v>
      </c>
      <c r="S1721" s="16"/>
      <c r="T1721" s="15">
        <f>+E1721</f>
        <v>0</v>
      </c>
      <c r="U1721" s="26" t="str">
        <f t="shared" ref="U1721" si="935">IFERROR(LEFT(G1721,FIND("*",G1721)-1),"-")</f>
        <v>-</v>
      </c>
      <c r="V1721" s="26" t="str">
        <f t="shared" ref="V1721" si="936">IFERROR(RIGHT(G1721,LEN(G1721)-FIND("*",G1721)),"-")</f>
        <v>-</v>
      </c>
      <c r="W1721" s="27" t="str">
        <f t="shared" si="934"/>
        <v>-</v>
      </c>
      <c r="X1721" s="27" t="str">
        <f>IFERROR(W1721*H1721,"-")</f>
        <v>-</v>
      </c>
      <c r="Z1721" s="94" t="s">
        <v>82</v>
      </c>
    </row>
    <row r="1722" spans="1:26" s="25" customFormat="1" ht="6.95" customHeight="1" x14ac:dyDescent="0.3">
      <c r="A1722" s="10"/>
      <c r="B1722" s="168"/>
      <c r="C1722" s="169"/>
      <c r="D1722" s="160"/>
      <c r="E1722" s="161"/>
      <c r="F1722" s="162"/>
      <c r="G1722" s="163"/>
      <c r="H1722" s="164"/>
      <c r="I1722" s="163"/>
      <c r="J1722" s="164"/>
      <c r="K1722" s="163"/>
      <c r="L1722" s="164"/>
      <c r="M1722" s="11"/>
      <c r="N1722" s="39"/>
      <c r="Q1722" s="15" t="str">
        <f>+CONCATENATE(E1721,I1721)</f>
        <v/>
      </c>
      <c r="R1722" s="15">
        <f>+J1721</f>
        <v>0</v>
      </c>
      <c r="S1722" s="16"/>
      <c r="T1722" s="15">
        <f>+E1721</f>
        <v>0</v>
      </c>
      <c r="U1722" s="26" t="str">
        <f>IFERROR(LEFT(I1721,FIND("*",I1721)-1),"-")</f>
        <v>-</v>
      </c>
      <c r="V1722" s="26" t="str">
        <f>IFERROR(RIGHT(I1721,LEN(I1721)-FIND("*",I1721)),"-")</f>
        <v>-</v>
      </c>
      <c r="W1722" s="27" t="str">
        <f t="shared" si="934"/>
        <v>-</v>
      </c>
      <c r="X1722" s="27" t="str">
        <f>IFERROR(W1722*J1721,"-")</f>
        <v>-</v>
      </c>
      <c r="Z1722" s="94" t="s">
        <v>82</v>
      </c>
    </row>
    <row r="1723" spans="1:26" s="25" customFormat="1" ht="6.95" customHeight="1" x14ac:dyDescent="0.3">
      <c r="A1723" s="10"/>
      <c r="B1723" s="168"/>
      <c r="C1723" s="169"/>
      <c r="D1723" s="160"/>
      <c r="E1723" s="161"/>
      <c r="F1723" s="162"/>
      <c r="G1723" s="163"/>
      <c r="H1723" s="164"/>
      <c r="I1723" s="163"/>
      <c r="J1723" s="164"/>
      <c r="K1723" s="163"/>
      <c r="L1723" s="164"/>
      <c r="M1723" s="11"/>
      <c r="N1723" s="39"/>
      <c r="Q1723" s="15" t="str">
        <f>+CONCATENATE(E1721,K1721)</f>
        <v/>
      </c>
      <c r="R1723" s="15">
        <f>+L1721</f>
        <v>0</v>
      </c>
      <c r="S1723" s="16"/>
      <c r="T1723" s="15">
        <f>+E1721</f>
        <v>0</v>
      </c>
      <c r="U1723" s="26" t="str">
        <f>IFERROR(LEFT(K1721,FIND("*",K1721)-1),"-")</f>
        <v>-</v>
      </c>
      <c r="V1723" s="26" t="str">
        <f>IFERROR(RIGHT(K1721,LEN(K1721)-FIND("*",K1721)),"-")</f>
        <v>-</v>
      </c>
      <c r="W1723" s="27" t="str">
        <f t="shared" si="934"/>
        <v>-</v>
      </c>
      <c r="X1723" s="27" t="str">
        <f>IFERROR(W1723*L1721,"-")</f>
        <v>-</v>
      </c>
      <c r="Z1723" s="94" t="s">
        <v>82</v>
      </c>
    </row>
    <row r="1724" spans="1:26" s="25" customFormat="1" ht="6.95" customHeight="1" x14ac:dyDescent="0.3">
      <c r="A1724" s="13"/>
      <c r="B1724" s="168"/>
      <c r="C1724" s="169"/>
      <c r="D1724" s="160" t="s">
        <v>39</v>
      </c>
      <c r="E1724" s="161"/>
      <c r="F1724" s="162" t="s">
        <v>40</v>
      </c>
      <c r="G1724" s="163"/>
      <c r="H1724" s="164"/>
      <c r="I1724" s="163"/>
      <c r="J1724" s="164"/>
      <c r="K1724" s="163"/>
      <c r="L1724" s="164"/>
      <c r="M1724" s="11"/>
      <c r="N1724" s="39"/>
      <c r="Q1724" s="15" t="str">
        <f>+CONCATENATE(E1724,G1724)</f>
        <v/>
      </c>
      <c r="R1724" s="15">
        <f>+H1724</f>
        <v>0</v>
      </c>
      <c r="S1724" s="16"/>
      <c r="T1724" s="15">
        <f>+E1724</f>
        <v>0</v>
      </c>
      <c r="U1724" s="26" t="str">
        <f t="shared" ref="U1724" si="937">IFERROR(LEFT(G1724,FIND("*",G1724)-1),"-")</f>
        <v>-</v>
      </c>
      <c r="V1724" s="26" t="str">
        <f t="shared" ref="V1724" si="938">IFERROR(RIGHT(G1724,LEN(G1724)-FIND("*",G1724)),"-")</f>
        <v>-</v>
      </c>
      <c r="W1724" s="27" t="str">
        <f t="shared" si="934"/>
        <v>-</v>
      </c>
      <c r="X1724" s="27" t="str">
        <f>IFERROR(W1724*H1724,"-")</f>
        <v>-</v>
      </c>
      <c r="Z1724" s="94" t="s">
        <v>82</v>
      </c>
    </row>
    <row r="1725" spans="1:26" s="25" customFormat="1" ht="6.95" customHeight="1" x14ac:dyDescent="0.3">
      <c r="A1725" s="10"/>
      <c r="B1725" s="168"/>
      <c r="C1725" s="169"/>
      <c r="D1725" s="160"/>
      <c r="E1725" s="161"/>
      <c r="F1725" s="162"/>
      <c r="G1725" s="163"/>
      <c r="H1725" s="164"/>
      <c r="I1725" s="163"/>
      <c r="J1725" s="164"/>
      <c r="K1725" s="163"/>
      <c r="L1725" s="164"/>
      <c r="M1725" s="11"/>
      <c r="N1725" s="39"/>
      <c r="Q1725" s="15" t="str">
        <f>+CONCATENATE(E1724,I1724)</f>
        <v/>
      </c>
      <c r="R1725" s="15">
        <f>+J1724</f>
        <v>0</v>
      </c>
      <c r="S1725" s="16"/>
      <c r="T1725" s="15">
        <f>+E1724</f>
        <v>0</v>
      </c>
      <c r="U1725" s="26" t="str">
        <f>IFERROR(LEFT(I1724,FIND("*",I1724)-1),"-")</f>
        <v>-</v>
      </c>
      <c r="V1725" s="26" t="str">
        <f>IFERROR(RIGHT(I1724,LEN(I1724)-FIND("*",I1724)),"-")</f>
        <v>-</v>
      </c>
      <c r="W1725" s="27" t="str">
        <f t="shared" si="934"/>
        <v>-</v>
      </c>
      <c r="X1725" s="27" t="str">
        <f t="shared" ref="X1725" si="939">IFERROR(W1725*J1724,"-")</f>
        <v>-</v>
      </c>
      <c r="Z1725" s="94" t="s">
        <v>82</v>
      </c>
    </row>
    <row r="1726" spans="1:26" s="25" customFormat="1" ht="6.95" customHeight="1" x14ac:dyDescent="0.3">
      <c r="A1726" s="10"/>
      <c r="B1726" s="168"/>
      <c r="C1726" s="169"/>
      <c r="D1726" s="160"/>
      <c r="E1726" s="161"/>
      <c r="F1726" s="162"/>
      <c r="G1726" s="163"/>
      <c r="H1726" s="164"/>
      <c r="I1726" s="163"/>
      <c r="J1726" s="164"/>
      <c r="K1726" s="163"/>
      <c r="L1726" s="164"/>
      <c r="M1726" s="11"/>
      <c r="N1726" s="39"/>
      <c r="Q1726" s="15" t="str">
        <f>+CONCATENATE(E1724,K1724)</f>
        <v/>
      </c>
      <c r="R1726" s="15">
        <f>+L1724</f>
        <v>0</v>
      </c>
      <c r="S1726" s="16"/>
      <c r="T1726" s="15">
        <f>+E1724</f>
        <v>0</v>
      </c>
      <c r="U1726" s="26" t="str">
        <f>IFERROR(LEFT(K1724,FIND("*",K1724)-1),"-")</f>
        <v>-</v>
      </c>
      <c r="V1726" s="26" t="str">
        <f>IFERROR(RIGHT(K1724,LEN(K1724)-FIND("*",K1724)),"-")</f>
        <v>-</v>
      </c>
      <c r="W1726" s="27" t="str">
        <f t="shared" si="934"/>
        <v>-</v>
      </c>
      <c r="X1726" s="27" t="str">
        <f>IFERROR(W1726*L1724,"-")</f>
        <v>-</v>
      </c>
      <c r="Z1726" s="94" t="s">
        <v>82</v>
      </c>
    </row>
    <row r="1727" spans="1:26" s="25" customFormat="1" ht="21" customHeight="1" thickBot="1" x14ac:dyDescent="0.35">
      <c r="A1727" s="10"/>
      <c r="B1727" s="170"/>
      <c r="C1727" s="171"/>
      <c r="D1727" s="172" t="s">
        <v>43</v>
      </c>
      <c r="E1727" s="173"/>
      <c r="F1727" s="173"/>
      <c r="G1727" s="174"/>
      <c r="H1727" s="174"/>
      <c r="I1727" s="174"/>
      <c r="J1727" s="174"/>
      <c r="K1727" s="174"/>
      <c r="L1727" s="174"/>
      <c r="M1727" s="12"/>
      <c r="N1727" s="39"/>
      <c r="U1727" s="23"/>
      <c r="V1727" s="23"/>
      <c r="Z1727" s="95" t="s">
        <v>81</v>
      </c>
    </row>
    <row r="1728" spans="1:26" s="25" customFormat="1" ht="9.9499999999999993" customHeight="1" thickBot="1" x14ac:dyDescent="0.35">
      <c r="A1728" s="6"/>
      <c r="B1728" s="14"/>
      <c r="C1728" s="119"/>
      <c r="D1728" s="58"/>
      <c r="E1728" s="17"/>
      <c r="F1728" s="58"/>
      <c r="G1728" s="19"/>
      <c r="H1728" s="19"/>
      <c r="I1728" s="19"/>
      <c r="J1728" s="19"/>
      <c r="K1728" s="19"/>
      <c r="L1728" s="19"/>
      <c r="M1728" s="14"/>
      <c r="N1728" s="39"/>
      <c r="Q1728" s="1"/>
      <c r="R1728" s="1"/>
      <c r="S1728" s="1"/>
      <c r="T1728" s="1"/>
      <c r="U1728" s="24"/>
      <c r="V1728" s="24"/>
      <c r="W1728" s="1"/>
      <c r="X1728" s="1"/>
      <c r="Z1728" s="94" t="s">
        <v>82</v>
      </c>
    </row>
    <row r="1729" spans="1:26" s="25" customFormat="1" ht="6.95" customHeight="1" x14ac:dyDescent="0.3">
      <c r="A1729" s="165">
        <f>+A1718+1</f>
        <v>158</v>
      </c>
      <c r="B1729" s="166"/>
      <c r="C1729" s="167"/>
      <c r="D1729" s="160" t="s">
        <v>39</v>
      </c>
      <c r="E1729" s="161"/>
      <c r="F1729" s="162" t="s">
        <v>40</v>
      </c>
      <c r="G1729" s="163"/>
      <c r="H1729" s="164"/>
      <c r="I1729" s="163"/>
      <c r="J1729" s="164"/>
      <c r="K1729" s="163"/>
      <c r="L1729" s="164"/>
      <c r="M1729" s="11"/>
      <c r="N1729" s="39"/>
      <c r="Q1729" s="15" t="str">
        <f>+CONCATENATE(E1729,G1729)</f>
        <v/>
      </c>
      <c r="R1729" s="15">
        <f>+H1729</f>
        <v>0</v>
      </c>
      <c r="S1729" s="16"/>
      <c r="T1729" s="15">
        <f>+E1729</f>
        <v>0</v>
      </c>
      <c r="U1729" s="26" t="str">
        <f>IFERROR(LEFT(G1729,FIND("*",G1729)-1),"-")</f>
        <v>-</v>
      </c>
      <c r="V1729" s="26" t="str">
        <f>IFERROR(RIGHT(G1729,LEN(G1729)-FIND("*",G1729)),"-")</f>
        <v>-</v>
      </c>
      <c r="W1729" s="27" t="str">
        <f>IFERROR((U1729+V1729)*2/1000,"-")</f>
        <v>-</v>
      </c>
      <c r="X1729" s="27" t="str">
        <f>IFERROR(W1729*H1729,"-")</f>
        <v>-</v>
      </c>
      <c r="Z1729" s="94" t="s">
        <v>82</v>
      </c>
    </row>
    <row r="1730" spans="1:26" s="25" customFormat="1" ht="6.95" customHeight="1" x14ac:dyDescent="0.3">
      <c r="A1730" s="165"/>
      <c r="B1730" s="168"/>
      <c r="C1730" s="169"/>
      <c r="D1730" s="160"/>
      <c r="E1730" s="161"/>
      <c r="F1730" s="162"/>
      <c r="G1730" s="163"/>
      <c r="H1730" s="164"/>
      <c r="I1730" s="163"/>
      <c r="J1730" s="164"/>
      <c r="K1730" s="163"/>
      <c r="L1730" s="164"/>
      <c r="M1730" s="11"/>
      <c r="N1730" s="39"/>
      <c r="Q1730" s="15" t="str">
        <f>+CONCATENATE(E1729,I1729)</f>
        <v/>
      </c>
      <c r="R1730" s="15">
        <f>+J1729</f>
        <v>0</v>
      </c>
      <c r="S1730" s="16"/>
      <c r="T1730" s="15">
        <f>+E1729</f>
        <v>0</v>
      </c>
      <c r="U1730" s="26" t="str">
        <f>IFERROR(LEFT(I1729,FIND("*",I1729)-1),"-")</f>
        <v>-</v>
      </c>
      <c r="V1730" s="26" t="str">
        <f>IFERROR(RIGHT(I1729,LEN(I1729)-FIND("*",I1729)),"-")</f>
        <v>-</v>
      </c>
      <c r="W1730" s="27" t="str">
        <f t="shared" ref="W1730:W1737" si="940">IFERROR((U1730+V1730)*2/1000,"-")</f>
        <v>-</v>
      </c>
      <c r="X1730" s="27" t="str">
        <f>IFERROR(W1730*J1729,"-")</f>
        <v>-</v>
      </c>
      <c r="Z1730" s="94" t="s">
        <v>82</v>
      </c>
    </row>
    <row r="1731" spans="1:26" s="25" customFormat="1" ht="6.95" customHeight="1" x14ac:dyDescent="0.3">
      <c r="A1731" s="165"/>
      <c r="B1731" s="168"/>
      <c r="C1731" s="169"/>
      <c r="D1731" s="160"/>
      <c r="E1731" s="161"/>
      <c r="F1731" s="162"/>
      <c r="G1731" s="163"/>
      <c r="H1731" s="164"/>
      <c r="I1731" s="163"/>
      <c r="J1731" s="164"/>
      <c r="K1731" s="163"/>
      <c r="L1731" s="164"/>
      <c r="M1731" s="11"/>
      <c r="N1731" s="39"/>
      <c r="Q1731" s="15" t="str">
        <f>+CONCATENATE(E1729,K1729)</f>
        <v/>
      </c>
      <c r="R1731" s="15">
        <f>+L1729</f>
        <v>0</v>
      </c>
      <c r="S1731" s="16"/>
      <c r="T1731" s="15">
        <f>+E1729</f>
        <v>0</v>
      </c>
      <c r="U1731" s="26" t="str">
        <f>IFERROR(LEFT(K1729,FIND("*",K1729)-1),"-")</f>
        <v>-</v>
      </c>
      <c r="V1731" s="26" t="str">
        <f>IFERROR(RIGHT(K1729,LEN(K1729)-FIND("*",K1729)),"-")</f>
        <v>-</v>
      </c>
      <c r="W1731" s="27" t="str">
        <f t="shared" si="940"/>
        <v>-</v>
      </c>
      <c r="X1731" s="27" t="str">
        <f>IFERROR(W1731*L1729,"-")</f>
        <v>-</v>
      </c>
      <c r="Z1731" s="94" t="s">
        <v>82</v>
      </c>
    </row>
    <row r="1732" spans="1:26" s="25" customFormat="1" ht="6.95" customHeight="1" x14ac:dyDescent="0.3">
      <c r="A1732" s="13"/>
      <c r="B1732" s="168"/>
      <c r="C1732" s="169"/>
      <c r="D1732" s="160" t="s">
        <v>39</v>
      </c>
      <c r="E1732" s="161"/>
      <c r="F1732" s="162" t="s">
        <v>40</v>
      </c>
      <c r="G1732" s="163"/>
      <c r="H1732" s="164"/>
      <c r="I1732" s="163"/>
      <c r="J1732" s="164"/>
      <c r="K1732" s="163"/>
      <c r="L1732" s="164"/>
      <c r="M1732" s="11"/>
      <c r="N1732" s="39"/>
      <c r="Q1732" s="15" t="str">
        <f>+CONCATENATE(E1732,G1732)</f>
        <v/>
      </c>
      <c r="R1732" s="15">
        <f>+H1732</f>
        <v>0</v>
      </c>
      <c r="S1732" s="16"/>
      <c r="T1732" s="15">
        <f>+E1732</f>
        <v>0</v>
      </c>
      <c r="U1732" s="26" t="str">
        <f t="shared" ref="U1732" si="941">IFERROR(LEFT(G1732,FIND("*",G1732)-1),"-")</f>
        <v>-</v>
      </c>
      <c r="V1732" s="26" t="str">
        <f t="shared" ref="V1732" si="942">IFERROR(RIGHT(G1732,LEN(G1732)-FIND("*",G1732)),"-")</f>
        <v>-</v>
      </c>
      <c r="W1732" s="27" t="str">
        <f t="shared" si="940"/>
        <v>-</v>
      </c>
      <c r="X1732" s="27" t="str">
        <f>IFERROR(W1732*H1732,"-")</f>
        <v>-</v>
      </c>
      <c r="Z1732" s="94" t="s">
        <v>82</v>
      </c>
    </row>
    <row r="1733" spans="1:26" s="25" customFormat="1" ht="6.95" customHeight="1" x14ac:dyDescent="0.3">
      <c r="A1733" s="10"/>
      <c r="B1733" s="168"/>
      <c r="C1733" s="169"/>
      <c r="D1733" s="160"/>
      <c r="E1733" s="161"/>
      <c r="F1733" s="162"/>
      <c r="G1733" s="163"/>
      <c r="H1733" s="164"/>
      <c r="I1733" s="163"/>
      <c r="J1733" s="164"/>
      <c r="K1733" s="163"/>
      <c r="L1733" s="164"/>
      <c r="M1733" s="11"/>
      <c r="N1733" s="39"/>
      <c r="Q1733" s="15" t="str">
        <f>+CONCATENATE(E1732,I1732)</f>
        <v/>
      </c>
      <c r="R1733" s="15">
        <f>+J1732</f>
        <v>0</v>
      </c>
      <c r="S1733" s="16"/>
      <c r="T1733" s="15">
        <f>+E1732</f>
        <v>0</v>
      </c>
      <c r="U1733" s="26" t="str">
        <f>IFERROR(LEFT(I1732,FIND("*",I1732)-1),"-")</f>
        <v>-</v>
      </c>
      <c r="V1733" s="26" t="str">
        <f>IFERROR(RIGHT(I1732,LEN(I1732)-FIND("*",I1732)),"-")</f>
        <v>-</v>
      </c>
      <c r="W1733" s="27" t="str">
        <f t="shared" si="940"/>
        <v>-</v>
      </c>
      <c r="X1733" s="27" t="str">
        <f>IFERROR(W1733*J1732,"-")</f>
        <v>-</v>
      </c>
      <c r="Z1733" s="94" t="s">
        <v>82</v>
      </c>
    </row>
    <row r="1734" spans="1:26" s="25" customFormat="1" ht="6.95" customHeight="1" x14ac:dyDescent="0.3">
      <c r="A1734" s="10"/>
      <c r="B1734" s="168"/>
      <c r="C1734" s="169"/>
      <c r="D1734" s="160"/>
      <c r="E1734" s="161"/>
      <c r="F1734" s="162"/>
      <c r="G1734" s="163"/>
      <c r="H1734" s="164"/>
      <c r="I1734" s="163"/>
      <c r="J1734" s="164"/>
      <c r="K1734" s="163"/>
      <c r="L1734" s="164"/>
      <c r="M1734" s="11"/>
      <c r="N1734" s="39"/>
      <c r="Q1734" s="15" t="str">
        <f>+CONCATENATE(E1732,K1732)</f>
        <v/>
      </c>
      <c r="R1734" s="15">
        <f>+L1732</f>
        <v>0</v>
      </c>
      <c r="S1734" s="16"/>
      <c r="T1734" s="15">
        <f>+E1732</f>
        <v>0</v>
      </c>
      <c r="U1734" s="26" t="str">
        <f>IFERROR(LEFT(K1732,FIND("*",K1732)-1),"-")</f>
        <v>-</v>
      </c>
      <c r="V1734" s="26" t="str">
        <f>IFERROR(RIGHT(K1732,LEN(K1732)-FIND("*",K1732)),"-")</f>
        <v>-</v>
      </c>
      <c r="W1734" s="27" t="str">
        <f t="shared" si="940"/>
        <v>-</v>
      </c>
      <c r="X1734" s="27" t="str">
        <f>IFERROR(W1734*L1732,"-")</f>
        <v>-</v>
      </c>
      <c r="Z1734" s="94" t="s">
        <v>82</v>
      </c>
    </row>
    <row r="1735" spans="1:26" s="25" customFormat="1" ht="6.95" customHeight="1" x14ac:dyDescent="0.3">
      <c r="A1735" s="13"/>
      <c r="B1735" s="168"/>
      <c r="C1735" s="169"/>
      <c r="D1735" s="160" t="s">
        <v>39</v>
      </c>
      <c r="E1735" s="161"/>
      <c r="F1735" s="162" t="s">
        <v>40</v>
      </c>
      <c r="G1735" s="163"/>
      <c r="H1735" s="164"/>
      <c r="I1735" s="163"/>
      <c r="J1735" s="164"/>
      <c r="K1735" s="163"/>
      <c r="L1735" s="164"/>
      <c r="M1735" s="11"/>
      <c r="N1735" s="39"/>
      <c r="Q1735" s="15" t="str">
        <f>+CONCATENATE(E1735,G1735)</f>
        <v/>
      </c>
      <c r="R1735" s="15">
        <f>+H1735</f>
        <v>0</v>
      </c>
      <c r="S1735" s="16"/>
      <c r="T1735" s="15">
        <f>+E1735</f>
        <v>0</v>
      </c>
      <c r="U1735" s="26" t="str">
        <f t="shared" ref="U1735" si="943">IFERROR(LEFT(G1735,FIND("*",G1735)-1),"-")</f>
        <v>-</v>
      </c>
      <c r="V1735" s="26" t="str">
        <f t="shared" ref="V1735" si="944">IFERROR(RIGHT(G1735,LEN(G1735)-FIND("*",G1735)),"-")</f>
        <v>-</v>
      </c>
      <c r="W1735" s="27" t="str">
        <f t="shared" si="940"/>
        <v>-</v>
      </c>
      <c r="X1735" s="27" t="str">
        <f>IFERROR(W1735*H1735,"-")</f>
        <v>-</v>
      </c>
      <c r="Z1735" s="94" t="s">
        <v>82</v>
      </c>
    </row>
    <row r="1736" spans="1:26" s="25" customFormat="1" ht="6.95" customHeight="1" x14ac:dyDescent="0.3">
      <c r="A1736" s="10"/>
      <c r="B1736" s="168"/>
      <c r="C1736" s="169"/>
      <c r="D1736" s="160"/>
      <c r="E1736" s="161"/>
      <c r="F1736" s="162"/>
      <c r="G1736" s="163"/>
      <c r="H1736" s="164"/>
      <c r="I1736" s="163"/>
      <c r="J1736" s="164"/>
      <c r="K1736" s="163"/>
      <c r="L1736" s="164"/>
      <c r="M1736" s="11"/>
      <c r="N1736" s="39"/>
      <c r="Q1736" s="15" t="str">
        <f>+CONCATENATE(E1735,I1735)</f>
        <v/>
      </c>
      <c r="R1736" s="15">
        <f>+J1735</f>
        <v>0</v>
      </c>
      <c r="S1736" s="16"/>
      <c r="T1736" s="15">
        <f>+E1735</f>
        <v>0</v>
      </c>
      <c r="U1736" s="26" t="str">
        <f>IFERROR(LEFT(I1735,FIND("*",I1735)-1),"-")</f>
        <v>-</v>
      </c>
      <c r="V1736" s="26" t="str">
        <f>IFERROR(RIGHT(I1735,LEN(I1735)-FIND("*",I1735)),"-")</f>
        <v>-</v>
      </c>
      <c r="W1736" s="27" t="str">
        <f t="shared" si="940"/>
        <v>-</v>
      </c>
      <c r="X1736" s="27" t="str">
        <f t="shared" ref="X1736" si="945">IFERROR(W1736*J1735,"-")</f>
        <v>-</v>
      </c>
      <c r="Z1736" s="94" t="s">
        <v>82</v>
      </c>
    </row>
    <row r="1737" spans="1:26" s="25" customFormat="1" ht="6.95" customHeight="1" x14ac:dyDescent="0.3">
      <c r="A1737" s="10"/>
      <c r="B1737" s="168"/>
      <c r="C1737" s="169"/>
      <c r="D1737" s="160"/>
      <c r="E1737" s="161"/>
      <c r="F1737" s="162"/>
      <c r="G1737" s="163"/>
      <c r="H1737" s="164"/>
      <c r="I1737" s="163"/>
      <c r="J1737" s="164"/>
      <c r="K1737" s="163"/>
      <c r="L1737" s="164"/>
      <c r="M1737" s="11"/>
      <c r="N1737" s="39"/>
      <c r="Q1737" s="15" t="str">
        <f>+CONCATENATE(E1735,K1735)</f>
        <v/>
      </c>
      <c r="R1737" s="15">
        <f>+L1735</f>
        <v>0</v>
      </c>
      <c r="S1737" s="16"/>
      <c r="T1737" s="15">
        <f>+E1735</f>
        <v>0</v>
      </c>
      <c r="U1737" s="26" t="str">
        <f>IFERROR(LEFT(K1735,FIND("*",K1735)-1),"-")</f>
        <v>-</v>
      </c>
      <c r="V1737" s="26" t="str">
        <f>IFERROR(RIGHT(K1735,LEN(K1735)-FIND("*",K1735)),"-")</f>
        <v>-</v>
      </c>
      <c r="W1737" s="27" t="str">
        <f t="shared" si="940"/>
        <v>-</v>
      </c>
      <c r="X1737" s="27" t="str">
        <f>IFERROR(W1737*L1735,"-")</f>
        <v>-</v>
      </c>
      <c r="Z1737" s="94" t="s">
        <v>82</v>
      </c>
    </row>
    <row r="1738" spans="1:26" s="25" customFormat="1" ht="21" customHeight="1" thickBot="1" x14ac:dyDescent="0.35">
      <c r="A1738" s="10"/>
      <c r="B1738" s="170"/>
      <c r="C1738" s="171"/>
      <c r="D1738" s="172" t="s">
        <v>43</v>
      </c>
      <c r="E1738" s="173"/>
      <c r="F1738" s="173"/>
      <c r="G1738" s="174"/>
      <c r="H1738" s="174"/>
      <c r="I1738" s="174"/>
      <c r="J1738" s="174"/>
      <c r="K1738" s="174"/>
      <c r="L1738" s="174"/>
      <c r="M1738" s="12"/>
      <c r="N1738" s="39"/>
      <c r="U1738" s="23"/>
      <c r="V1738" s="23"/>
      <c r="Z1738" s="95" t="s">
        <v>81</v>
      </c>
    </row>
    <row r="1739" spans="1:26" s="25" customFormat="1" ht="9.9499999999999993" customHeight="1" thickBot="1" x14ac:dyDescent="0.35">
      <c r="A1739" s="6"/>
      <c r="B1739" s="14"/>
      <c r="C1739" s="119"/>
      <c r="D1739" s="58"/>
      <c r="E1739" s="17"/>
      <c r="F1739" s="58"/>
      <c r="G1739" s="19"/>
      <c r="H1739" s="19"/>
      <c r="I1739" s="19"/>
      <c r="J1739" s="19"/>
      <c r="K1739" s="19"/>
      <c r="L1739" s="19"/>
      <c r="M1739" s="14"/>
      <c r="N1739" s="39"/>
      <c r="Q1739" s="1"/>
      <c r="R1739" s="1"/>
      <c r="S1739" s="1"/>
      <c r="T1739" s="1"/>
      <c r="U1739" s="24"/>
      <c r="V1739" s="24"/>
      <c r="W1739" s="1"/>
      <c r="X1739" s="1"/>
      <c r="Z1739" s="94" t="s">
        <v>82</v>
      </c>
    </row>
    <row r="1740" spans="1:26" s="25" customFormat="1" ht="6.95" customHeight="1" x14ac:dyDescent="0.3">
      <c r="A1740" s="165">
        <f>+A1729+1</f>
        <v>159</v>
      </c>
      <c r="B1740" s="166"/>
      <c r="C1740" s="167"/>
      <c r="D1740" s="160" t="s">
        <v>39</v>
      </c>
      <c r="E1740" s="161"/>
      <c r="F1740" s="162" t="s">
        <v>40</v>
      </c>
      <c r="G1740" s="163"/>
      <c r="H1740" s="164"/>
      <c r="I1740" s="163"/>
      <c r="J1740" s="164"/>
      <c r="K1740" s="163"/>
      <c r="L1740" s="164"/>
      <c r="M1740" s="11"/>
      <c r="N1740" s="39"/>
      <c r="Q1740" s="15" t="str">
        <f>+CONCATENATE(E1740,G1740)</f>
        <v/>
      </c>
      <c r="R1740" s="15">
        <f>+H1740</f>
        <v>0</v>
      </c>
      <c r="S1740" s="16"/>
      <c r="T1740" s="15">
        <f>+E1740</f>
        <v>0</v>
      </c>
      <c r="U1740" s="26" t="str">
        <f>IFERROR(LEFT(G1740,FIND("*",G1740)-1),"-")</f>
        <v>-</v>
      </c>
      <c r="V1740" s="26" t="str">
        <f>IFERROR(RIGHT(G1740,LEN(G1740)-FIND("*",G1740)),"-")</f>
        <v>-</v>
      </c>
      <c r="W1740" s="27" t="str">
        <f>IFERROR((U1740+V1740)*2/1000,"-")</f>
        <v>-</v>
      </c>
      <c r="X1740" s="27" t="str">
        <f>IFERROR(W1740*H1740,"-")</f>
        <v>-</v>
      </c>
      <c r="Z1740" s="94" t="s">
        <v>82</v>
      </c>
    </row>
    <row r="1741" spans="1:26" s="25" customFormat="1" ht="6.95" customHeight="1" x14ac:dyDescent="0.3">
      <c r="A1741" s="165"/>
      <c r="B1741" s="168"/>
      <c r="C1741" s="169"/>
      <c r="D1741" s="160"/>
      <c r="E1741" s="161"/>
      <c r="F1741" s="162"/>
      <c r="G1741" s="163"/>
      <c r="H1741" s="164"/>
      <c r="I1741" s="163"/>
      <c r="J1741" s="164"/>
      <c r="K1741" s="163"/>
      <c r="L1741" s="164"/>
      <c r="M1741" s="11"/>
      <c r="N1741" s="39"/>
      <c r="Q1741" s="15" t="str">
        <f>+CONCATENATE(E1740,I1740)</f>
        <v/>
      </c>
      <c r="R1741" s="15">
        <f>+J1740</f>
        <v>0</v>
      </c>
      <c r="S1741" s="16"/>
      <c r="T1741" s="15">
        <f>+E1740</f>
        <v>0</v>
      </c>
      <c r="U1741" s="26" t="str">
        <f>IFERROR(LEFT(I1740,FIND("*",I1740)-1),"-")</f>
        <v>-</v>
      </c>
      <c r="V1741" s="26" t="str">
        <f>IFERROR(RIGHT(I1740,LEN(I1740)-FIND("*",I1740)),"-")</f>
        <v>-</v>
      </c>
      <c r="W1741" s="27" t="str">
        <f t="shared" ref="W1741:W1748" si="946">IFERROR((U1741+V1741)*2/1000,"-")</f>
        <v>-</v>
      </c>
      <c r="X1741" s="27" t="str">
        <f>IFERROR(W1741*J1740,"-")</f>
        <v>-</v>
      </c>
      <c r="Z1741" s="94" t="s">
        <v>82</v>
      </c>
    </row>
    <row r="1742" spans="1:26" s="25" customFormat="1" ht="6.95" customHeight="1" x14ac:dyDescent="0.3">
      <c r="A1742" s="165"/>
      <c r="B1742" s="168"/>
      <c r="C1742" s="169"/>
      <c r="D1742" s="160"/>
      <c r="E1742" s="161"/>
      <c r="F1742" s="162"/>
      <c r="G1742" s="163"/>
      <c r="H1742" s="164"/>
      <c r="I1742" s="163"/>
      <c r="J1742" s="164"/>
      <c r="K1742" s="163"/>
      <c r="L1742" s="164"/>
      <c r="M1742" s="11"/>
      <c r="N1742" s="39"/>
      <c r="Q1742" s="15" t="str">
        <f>+CONCATENATE(E1740,K1740)</f>
        <v/>
      </c>
      <c r="R1742" s="15">
        <f>+L1740</f>
        <v>0</v>
      </c>
      <c r="S1742" s="16"/>
      <c r="T1742" s="15">
        <f>+E1740</f>
        <v>0</v>
      </c>
      <c r="U1742" s="26" t="str">
        <f>IFERROR(LEFT(K1740,FIND("*",K1740)-1),"-")</f>
        <v>-</v>
      </c>
      <c r="V1742" s="26" t="str">
        <f>IFERROR(RIGHT(K1740,LEN(K1740)-FIND("*",K1740)),"-")</f>
        <v>-</v>
      </c>
      <c r="W1742" s="27" t="str">
        <f t="shared" si="946"/>
        <v>-</v>
      </c>
      <c r="X1742" s="27" t="str">
        <f>IFERROR(W1742*L1740,"-")</f>
        <v>-</v>
      </c>
      <c r="Z1742" s="94" t="s">
        <v>82</v>
      </c>
    </row>
    <row r="1743" spans="1:26" s="25" customFormat="1" ht="6.95" customHeight="1" x14ac:dyDescent="0.3">
      <c r="A1743" s="13"/>
      <c r="B1743" s="168"/>
      <c r="C1743" s="169"/>
      <c r="D1743" s="160" t="s">
        <v>39</v>
      </c>
      <c r="E1743" s="161"/>
      <c r="F1743" s="162" t="s">
        <v>40</v>
      </c>
      <c r="G1743" s="163"/>
      <c r="H1743" s="164"/>
      <c r="I1743" s="163"/>
      <c r="J1743" s="164"/>
      <c r="K1743" s="163"/>
      <c r="L1743" s="164"/>
      <c r="M1743" s="11"/>
      <c r="N1743" s="39"/>
      <c r="Q1743" s="15" t="str">
        <f>+CONCATENATE(E1743,G1743)</f>
        <v/>
      </c>
      <c r="R1743" s="15">
        <f>+H1743</f>
        <v>0</v>
      </c>
      <c r="S1743" s="16"/>
      <c r="T1743" s="15">
        <f>+E1743</f>
        <v>0</v>
      </c>
      <c r="U1743" s="26" t="str">
        <f t="shared" ref="U1743" si="947">IFERROR(LEFT(G1743,FIND("*",G1743)-1),"-")</f>
        <v>-</v>
      </c>
      <c r="V1743" s="26" t="str">
        <f t="shared" ref="V1743" si="948">IFERROR(RIGHT(G1743,LEN(G1743)-FIND("*",G1743)),"-")</f>
        <v>-</v>
      </c>
      <c r="W1743" s="27" t="str">
        <f t="shared" si="946"/>
        <v>-</v>
      </c>
      <c r="X1743" s="27" t="str">
        <f>IFERROR(W1743*H1743,"-")</f>
        <v>-</v>
      </c>
      <c r="Z1743" s="94" t="s">
        <v>82</v>
      </c>
    </row>
    <row r="1744" spans="1:26" s="25" customFormat="1" ht="6.95" customHeight="1" x14ac:dyDescent="0.3">
      <c r="A1744" s="10"/>
      <c r="B1744" s="168"/>
      <c r="C1744" s="169"/>
      <c r="D1744" s="160"/>
      <c r="E1744" s="161"/>
      <c r="F1744" s="162"/>
      <c r="G1744" s="163"/>
      <c r="H1744" s="164"/>
      <c r="I1744" s="163"/>
      <c r="J1744" s="164"/>
      <c r="K1744" s="163"/>
      <c r="L1744" s="164"/>
      <c r="M1744" s="11"/>
      <c r="N1744" s="39"/>
      <c r="Q1744" s="15" t="str">
        <f>+CONCATENATE(E1743,I1743)</f>
        <v/>
      </c>
      <c r="R1744" s="15">
        <f>+J1743</f>
        <v>0</v>
      </c>
      <c r="S1744" s="16"/>
      <c r="T1744" s="15">
        <f>+E1743</f>
        <v>0</v>
      </c>
      <c r="U1744" s="26" t="str">
        <f>IFERROR(LEFT(I1743,FIND("*",I1743)-1),"-")</f>
        <v>-</v>
      </c>
      <c r="V1744" s="26" t="str">
        <f>IFERROR(RIGHT(I1743,LEN(I1743)-FIND("*",I1743)),"-")</f>
        <v>-</v>
      </c>
      <c r="W1744" s="27" t="str">
        <f t="shared" si="946"/>
        <v>-</v>
      </c>
      <c r="X1744" s="27" t="str">
        <f>IFERROR(W1744*J1743,"-")</f>
        <v>-</v>
      </c>
      <c r="Z1744" s="94" t="s">
        <v>82</v>
      </c>
    </row>
    <row r="1745" spans="1:26" s="25" customFormat="1" ht="6.95" customHeight="1" x14ac:dyDescent="0.3">
      <c r="A1745" s="10"/>
      <c r="B1745" s="168"/>
      <c r="C1745" s="169"/>
      <c r="D1745" s="160"/>
      <c r="E1745" s="161"/>
      <c r="F1745" s="162"/>
      <c r="G1745" s="163"/>
      <c r="H1745" s="164"/>
      <c r="I1745" s="163"/>
      <c r="J1745" s="164"/>
      <c r="K1745" s="163"/>
      <c r="L1745" s="164"/>
      <c r="M1745" s="11"/>
      <c r="N1745" s="39"/>
      <c r="Q1745" s="15" t="str">
        <f>+CONCATENATE(E1743,K1743)</f>
        <v/>
      </c>
      <c r="R1745" s="15">
        <f>+L1743</f>
        <v>0</v>
      </c>
      <c r="S1745" s="16"/>
      <c r="T1745" s="15">
        <f>+E1743</f>
        <v>0</v>
      </c>
      <c r="U1745" s="26" t="str">
        <f>IFERROR(LEFT(K1743,FIND("*",K1743)-1),"-")</f>
        <v>-</v>
      </c>
      <c r="V1745" s="26" t="str">
        <f>IFERROR(RIGHT(K1743,LEN(K1743)-FIND("*",K1743)),"-")</f>
        <v>-</v>
      </c>
      <c r="W1745" s="27" t="str">
        <f t="shared" si="946"/>
        <v>-</v>
      </c>
      <c r="X1745" s="27" t="str">
        <f>IFERROR(W1745*L1743,"-")</f>
        <v>-</v>
      </c>
      <c r="Z1745" s="94" t="s">
        <v>82</v>
      </c>
    </row>
    <row r="1746" spans="1:26" s="25" customFormat="1" ht="6.95" customHeight="1" x14ac:dyDescent="0.3">
      <c r="A1746" s="13"/>
      <c r="B1746" s="168"/>
      <c r="C1746" s="169"/>
      <c r="D1746" s="160" t="s">
        <v>39</v>
      </c>
      <c r="E1746" s="161"/>
      <c r="F1746" s="162" t="s">
        <v>40</v>
      </c>
      <c r="G1746" s="163"/>
      <c r="H1746" s="164"/>
      <c r="I1746" s="163"/>
      <c r="J1746" s="164"/>
      <c r="K1746" s="163"/>
      <c r="L1746" s="164"/>
      <c r="M1746" s="11"/>
      <c r="N1746" s="39"/>
      <c r="Q1746" s="15" t="str">
        <f>+CONCATENATE(E1746,G1746)</f>
        <v/>
      </c>
      <c r="R1746" s="15">
        <f>+H1746</f>
        <v>0</v>
      </c>
      <c r="S1746" s="16"/>
      <c r="T1746" s="15">
        <f>+E1746</f>
        <v>0</v>
      </c>
      <c r="U1746" s="26" t="str">
        <f t="shared" ref="U1746" si="949">IFERROR(LEFT(G1746,FIND("*",G1746)-1),"-")</f>
        <v>-</v>
      </c>
      <c r="V1746" s="26" t="str">
        <f t="shared" ref="V1746" si="950">IFERROR(RIGHT(G1746,LEN(G1746)-FIND("*",G1746)),"-")</f>
        <v>-</v>
      </c>
      <c r="W1746" s="27" t="str">
        <f t="shared" si="946"/>
        <v>-</v>
      </c>
      <c r="X1746" s="27" t="str">
        <f>IFERROR(W1746*H1746,"-")</f>
        <v>-</v>
      </c>
      <c r="Z1746" s="94" t="s">
        <v>82</v>
      </c>
    </row>
    <row r="1747" spans="1:26" s="25" customFormat="1" ht="6.95" customHeight="1" x14ac:dyDescent="0.3">
      <c r="A1747" s="10"/>
      <c r="B1747" s="168"/>
      <c r="C1747" s="169"/>
      <c r="D1747" s="160"/>
      <c r="E1747" s="161"/>
      <c r="F1747" s="162"/>
      <c r="G1747" s="163"/>
      <c r="H1747" s="164"/>
      <c r="I1747" s="163"/>
      <c r="J1747" s="164"/>
      <c r="K1747" s="163"/>
      <c r="L1747" s="164"/>
      <c r="M1747" s="11"/>
      <c r="N1747" s="39"/>
      <c r="Q1747" s="15" t="str">
        <f>+CONCATENATE(E1746,I1746)</f>
        <v/>
      </c>
      <c r="R1747" s="15">
        <f>+J1746</f>
        <v>0</v>
      </c>
      <c r="S1747" s="16"/>
      <c r="T1747" s="15">
        <f>+E1746</f>
        <v>0</v>
      </c>
      <c r="U1747" s="26" t="str">
        <f>IFERROR(LEFT(I1746,FIND("*",I1746)-1),"-")</f>
        <v>-</v>
      </c>
      <c r="V1747" s="26" t="str">
        <f>IFERROR(RIGHT(I1746,LEN(I1746)-FIND("*",I1746)),"-")</f>
        <v>-</v>
      </c>
      <c r="W1747" s="27" t="str">
        <f t="shared" si="946"/>
        <v>-</v>
      </c>
      <c r="X1747" s="27" t="str">
        <f t="shared" ref="X1747" si="951">IFERROR(W1747*J1746,"-")</f>
        <v>-</v>
      </c>
      <c r="Z1747" s="94" t="s">
        <v>82</v>
      </c>
    </row>
    <row r="1748" spans="1:26" s="25" customFormat="1" ht="6.95" customHeight="1" x14ac:dyDescent="0.3">
      <c r="A1748" s="10"/>
      <c r="B1748" s="168"/>
      <c r="C1748" s="169"/>
      <c r="D1748" s="160"/>
      <c r="E1748" s="161"/>
      <c r="F1748" s="162"/>
      <c r="G1748" s="163"/>
      <c r="H1748" s="164"/>
      <c r="I1748" s="163"/>
      <c r="J1748" s="164"/>
      <c r="K1748" s="163"/>
      <c r="L1748" s="164"/>
      <c r="M1748" s="11"/>
      <c r="N1748" s="39"/>
      <c r="Q1748" s="15" t="str">
        <f>+CONCATENATE(E1746,K1746)</f>
        <v/>
      </c>
      <c r="R1748" s="15">
        <f>+L1746</f>
        <v>0</v>
      </c>
      <c r="S1748" s="16"/>
      <c r="T1748" s="15">
        <f>+E1746</f>
        <v>0</v>
      </c>
      <c r="U1748" s="26" t="str">
        <f>IFERROR(LEFT(K1746,FIND("*",K1746)-1),"-")</f>
        <v>-</v>
      </c>
      <c r="V1748" s="26" t="str">
        <f>IFERROR(RIGHT(K1746,LEN(K1746)-FIND("*",K1746)),"-")</f>
        <v>-</v>
      </c>
      <c r="W1748" s="27" t="str">
        <f t="shared" si="946"/>
        <v>-</v>
      </c>
      <c r="X1748" s="27" t="str">
        <f>IFERROR(W1748*L1746,"-")</f>
        <v>-</v>
      </c>
      <c r="Z1748" s="94" t="s">
        <v>82</v>
      </c>
    </row>
    <row r="1749" spans="1:26" s="25" customFormat="1" ht="21" customHeight="1" thickBot="1" x14ac:dyDescent="0.35">
      <c r="A1749" s="10"/>
      <c r="B1749" s="170"/>
      <c r="C1749" s="171"/>
      <c r="D1749" s="172" t="s">
        <v>43</v>
      </c>
      <c r="E1749" s="173"/>
      <c r="F1749" s="173"/>
      <c r="G1749" s="174"/>
      <c r="H1749" s="174"/>
      <c r="I1749" s="174"/>
      <c r="J1749" s="174"/>
      <c r="K1749" s="174"/>
      <c r="L1749" s="174"/>
      <c r="M1749" s="12"/>
      <c r="N1749" s="39"/>
      <c r="U1749" s="23"/>
      <c r="V1749" s="23"/>
      <c r="Z1749" s="95" t="s">
        <v>81</v>
      </c>
    </row>
    <row r="1750" spans="1:26" s="25" customFormat="1" ht="9.9499999999999993" customHeight="1" thickBot="1" x14ac:dyDescent="0.35">
      <c r="A1750" s="6"/>
      <c r="B1750" s="14"/>
      <c r="C1750" s="119"/>
      <c r="D1750" s="58"/>
      <c r="E1750" s="17"/>
      <c r="F1750" s="58"/>
      <c r="G1750" s="19"/>
      <c r="H1750" s="19"/>
      <c r="I1750" s="19"/>
      <c r="J1750" s="19"/>
      <c r="K1750" s="19"/>
      <c r="L1750" s="19"/>
      <c r="M1750" s="14"/>
      <c r="N1750" s="39"/>
      <c r="Q1750" s="1"/>
      <c r="R1750" s="1"/>
      <c r="S1750" s="1"/>
      <c r="T1750" s="1"/>
      <c r="U1750" s="24"/>
      <c r="V1750" s="24"/>
      <c r="W1750" s="1"/>
      <c r="X1750" s="1"/>
      <c r="Z1750" s="94" t="s">
        <v>82</v>
      </c>
    </row>
    <row r="1751" spans="1:26" s="25" customFormat="1" ht="6.95" customHeight="1" x14ac:dyDescent="0.3">
      <c r="A1751" s="165">
        <f>+A1740+1</f>
        <v>160</v>
      </c>
      <c r="B1751" s="166"/>
      <c r="C1751" s="167"/>
      <c r="D1751" s="160" t="s">
        <v>39</v>
      </c>
      <c r="E1751" s="161"/>
      <c r="F1751" s="162" t="s">
        <v>40</v>
      </c>
      <c r="G1751" s="163"/>
      <c r="H1751" s="164"/>
      <c r="I1751" s="163"/>
      <c r="J1751" s="164"/>
      <c r="K1751" s="163"/>
      <c r="L1751" s="164"/>
      <c r="M1751" s="11"/>
      <c r="N1751" s="39"/>
      <c r="Q1751" s="15" t="str">
        <f>+CONCATENATE(E1751,G1751)</f>
        <v/>
      </c>
      <c r="R1751" s="15">
        <f>+H1751</f>
        <v>0</v>
      </c>
      <c r="S1751" s="16"/>
      <c r="T1751" s="15">
        <f>+E1751</f>
        <v>0</v>
      </c>
      <c r="U1751" s="26" t="str">
        <f>IFERROR(LEFT(G1751,FIND("*",G1751)-1),"-")</f>
        <v>-</v>
      </c>
      <c r="V1751" s="26" t="str">
        <f>IFERROR(RIGHT(G1751,LEN(G1751)-FIND("*",G1751)),"-")</f>
        <v>-</v>
      </c>
      <c r="W1751" s="27" t="str">
        <f>IFERROR((U1751+V1751)*2/1000,"-")</f>
        <v>-</v>
      </c>
      <c r="X1751" s="27" t="str">
        <f>IFERROR(W1751*H1751,"-")</f>
        <v>-</v>
      </c>
      <c r="Z1751" s="94" t="s">
        <v>82</v>
      </c>
    </row>
    <row r="1752" spans="1:26" s="25" customFormat="1" ht="6.95" customHeight="1" x14ac:dyDescent="0.3">
      <c r="A1752" s="165"/>
      <c r="B1752" s="168"/>
      <c r="C1752" s="169"/>
      <c r="D1752" s="160"/>
      <c r="E1752" s="161"/>
      <c r="F1752" s="162"/>
      <c r="G1752" s="163"/>
      <c r="H1752" s="164"/>
      <c r="I1752" s="163"/>
      <c r="J1752" s="164"/>
      <c r="K1752" s="163"/>
      <c r="L1752" s="164"/>
      <c r="M1752" s="11"/>
      <c r="N1752" s="39"/>
      <c r="Q1752" s="15" t="str">
        <f>+CONCATENATE(E1751,I1751)</f>
        <v/>
      </c>
      <c r="R1752" s="15">
        <f>+J1751</f>
        <v>0</v>
      </c>
      <c r="S1752" s="16"/>
      <c r="T1752" s="15">
        <f>+E1751</f>
        <v>0</v>
      </c>
      <c r="U1752" s="26" t="str">
        <f>IFERROR(LEFT(I1751,FIND("*",I1751)-1),"-")</f>
        <v>-</v>
      </c>
      <c r="V1752" s="26" t="str">
        <f>IFERROR(RIGHT(I1751,LEN(I1751)-FIND("*",I1751)),"-")</f>
        <v>-</v>
      </c>
      <c r="W1752" s="27" t="str">
        <f t="shared" ref="W1752:W1759" si="952">IFERROR((U1752+V1752)*2/1000,"-")</f>
        <v>-</v>
      </c>
      <c r="X1752" s="27" t="str">
        <f>IFERROR(W1752*J1751,"-")</f>
        <v>-</v>
      </c>
      <c r="Z1752" s="94" t="s">
        <v>82</v>
      </c>
    </row>
    <row r="1753" spans="1:26" s="25" customFormat="1" ht="6.95" customHeight="1" x14ac:dyDescent="0.3">
      <c r="A1753" s="165"/>
      <c r="B1753" s="168"/>
      <c r="C1753" s="169"/>
      <c r="D1753" s="160"/>
      <c r="E1753" s="161"/>
      <c r="F1753" s="162"/>
      <c r="G1753" s="163"/>
      <c r="H1753" s="164"/>
      <c r="I1753" s="163"/>
      <c r="J1753" s="164"/>
      <c r="K1753" s="163"/>
      <c r="L1753" s="164"/>
      <c r="M1753" s="11"/>
      <c r="N1753" s="39"/>
      <c r="Q1753" s="15" t="str">
        <f>+CONCATENATE(E1751,K1751)</f>
        <v/>
      </c>
      <c r="R1753" s="15">
        <f>+L1751</f>
        <v>0</v>
      </c>
      <c r="S1753" s="16"/>
      <c r="T1753" s="15">
        <f>+E1751</f>
        <v>0</v>
      </c>
      <c r="U1753" s="26" t="str">
        <f>IFERROR(LEFT(K1751,FIND("*",K1751)-1),"-")</f>
        <v>-</v>
      </c>
      <c r="V1753" s="26" t="str">
        <f>IFERROR(RIGHT(K1751,LEN(K1751)-FIND("*",K1751)),"-")</f>
        <v>-</v>
      </c>
      <c r="W1753" s="27" t="str">
        <f t="shared" si="952"/>
        <v>-</v>
      </c>
      <c r="X1753" s="27" t="str">
        <f>IFERROR(W1753*L1751,"-")</f>
        <v>-</v>
      </c>
      <c r="Z1753" s="94" t="s">
        <v>82</v>
      </c>
    </row>
    <row r="1754" spans="1:26" s="25" customFormat="1" ht="6.95" customHeight="1" x14ac:dyDescent="0.3">
      <c r="A1754" s="13"/>
      <c r="B1754" s="168"/>
      <c r="C1754" s="169"/>
      <c r="D1754" s="160" t="s">
        <v>39</v>
      </c>
      <c r="E1754" s="161"/>
      <c r="F1754" s="162" t="s">
        <v>40</v>
      </c>
      <c r="G1754" s="163"/>
      <c r="H1754" s="164"/>
      <c r="I1754" s="163"/>
      <c r="J1754" s="164"/>
      <c r="K1754" s="163"/>
      <c r="L1754" s="164"/>
      <c r="M1754" s="11"/>
      <c r="N1754" s="39"/>
      <c r="Q1754" s="15" t="str">
        <f>+CONCATENATE(E1754,G1754)</f>
        <v/>
      </c>
      <c r="R1754" s="15">
        <f>+H1754</f>
        <v>0</v>
      </c>
      <c r="S1754" s="16"/>
      <c r="T1754" s="15">
        <f>+E1754</f>
        <v>0</v>
      </c>
      <c r="U1754" s="26" t="str">
        <f t="shared" ref="U1754" si="953">IFERROR(LEFT(G1754,FIND("*",G1754)-1),"-")</f>
        <v>-</v>
      </c>
      <c r="V1754" s="26" t="str">
        <f t="shared" ref="V1754" si="954">IFERROR(RIGHT(G1754,LEN(G1754)-FIND("*",G1754)),"-")</f>
        <v>-</v>
      </c>
      <c r="W1754" s="27" t="str">
        <f t="shared" si="952"/>
        <v>-</v>
      </c>
      <c r="X1754" s="27" t="str">
        <f>IFERROR(W1754*H1754,"-")</f>
        <v>-</v>
      </c>
      <c r="Z1754" s="94" t="s">
        <v>82</v>
      </c>
    </row>
    <row r="1755" spans="1:26" s="25" customFormat="1" ht="6.95" customHeight="1" x14ac:dyDescent="0.3">
      <c r="A1755" s="10"/>
      <c r="B1755" s="168"/>
      <c r="C1755" s="169"/>
      <c r="D1755" s="160"/>
      <c r="E1755" s="161"/>
      <c r="F1755" s="162"/>
      <c r="G1755" s="163"/>
      <c r="H1755" s="164"/>
      <c r="I1755" s="163"/>
      <c r="J1755" s="164"/>
      <c r="K1755" s="163"/>
      <c r="L1755" s="164"/>
      <c r="M1755" s="11"/>
      <c r="N1755" s="39"/>
      <c r="Q1755" s="15" t="str">
        <f>+CONCATENATE(E1754,I1754)</f>
        <v/>
      </c>
      <c r="R1755" s="15">
        <f>+J1754</f>
        <v>0</v>
      </c>
      <c r="S1755" s="16"/>
      <c r="T1755" s="15">
        <f>+E1754</f>
        <v>0</v>
      </c>
      <c r="U1755" s="26" t="str">
        <f>IFERROR(LEFT(I1754,FIND("*",I1754)-1),"-")</f>
        <v>-</v>
      </c>
      <c r="V1755" s="26" t="str">
        <f>IFERROR(RIGHT(I1754,LEN(I1754)-FIND("*",I1754)),"-")</f>
        <v>-</v>
      </c>
      <c r="W1755" s="27" t="str">
        <f t="shared" si="952"/>
        <v>-</v>
      </c>
      <c r="X1755" s="27" t="str">
        <f>IFERROR(W1755*J1754,"-")</f>
        <v>-</v>
      </c>
      <c r="Z1755" s="94" t="s">
        <v>82</v>
      </c>
    </row>
    <row r="1756" spans="1:26" s="25" customFormat="1" ht="6.95" customHeight="1" x14ac:dyDescent="0.3">
      <c r="A1756" s="10"/>
      <c r="B1756" s="168"/>
      <c r="C1756" s="169"/>
      <c r="D1756" s="160"/>
      <c r="E1756" s="161"/>
      <c r="F1756" s="162"/>
      <c r="G1756" s="163"/>
      <c r="H1756" s="164"/>
      <c r="I1756" s="163"/>
      <c r="J1756" s="164"/>
      <c r="K1756" s="163"/>
      <c r="L1756" s="164"/>
      <c r="M1756" s="11"/>
      <c r="N1756" s="39"/>
      <c r="Q1756" s="15" t="str">
        <f>+CONCATENATE(E1754,K1754)</f>
        <v/>
      </c>
      <c r="R1756" s="15">
        <f>+L1754</f>
        <v>0</v>
      </c>
      <c r="S1756" s="16"/>
      <c r="T1756" s="15">
        <f>+E1754</f>
        <v>0</v>
      </c>
      <c r="U1756" s="26" t="str">
        <f>IFERROR(LEFT(K1754,FIND("*",K1754)-1),"-")</f>
        <v>-</v>
      </c>
      <c r="V1756" s="26" t="str">
        <f>IFERROR(RIGHT(K1754,LEN(K1754)-FIND("*",K1754)),"-")</f>
        <v>-</v>
      </c>
      <c r="W1756" s="27" t="str">
        <f t="shared" si="952"/>
        <v>-</v>
      </c>
      <c r="X1756" s="27" t="str">
        <f>IFERROR(W1756*L1754,"-")</f>
        <v>-</v>
      </c>
      <c r="Z1756" s="94" t="s">
        <v>82</v>
      </c>
    </row>
    <row r="1757" spans="1:26" s="25" customFormat="1" ht="6.95" customHeight="1" x14ac:dyDescent="0.3">
      <c r="A1757" s="13"/>
      <c r="B1757" s="168"/>
      <c r="C1757" s="169"/>
      <c r="D1757" s="160" t="s">
        <v>39</v>
      </c>
      <c r="E1757" s="161"/>
      <c r="F1757" s="162" t="s">
        <v>40</v>
      </c>
      <c r="G1757" s="163"/>
      <c r="H1757" s="164"/>
      <c r="I1757" s="163"/>
      <c r="J1757" s="164"/>
      <c r="K1757" s="163"/>
      <c r="L1757" s="164"/>
      <c r="M1757" s="11"/>
      <c r="N1757" s="39"/>
      <c r="Q1757" s="15" t="str">
        <f>+CONCATENATE(E1757,G1757)</f>
        <v/>
      </c>
      <c r="R1757" s="15">
        <f>+H1757</f>
        <v>0</v>
      </c>
      <c r="S1757" s="16"/>
      <c r="T1757" s="15">
        <f>+E1757</f>
        <v>0</v>
      </c>
      <c r="U1757" s="26" t="str">
        <f t="shared" ref="U1757" si="955">IFERROR(LEFT(G1757,FIND("*",G1757)-1),"-")</f>
        <v>-</v>
      </c>
      <c r="V1757" s="26" t="str">
        <f t="shared" ref="V1757" si="956">IFERROR(RIGHT(G1757,LEN(G1757)-FIND("*",G1757)),"-")</f>
        <v>-</v>
      </c>
      <c r="W1757" s="27" t="str">
        <f t="shared" si="952"/>
        <v>-</v>
      </c>
      <c r="X1757" s="27" t="str">
        <f>IFERROR(W1757*H1757,"-")</f>
        <v>-</v>
      </c>
      <c r="Z1757" s="94" t="s">
        <v>82</v>
      </c>
    </row>
    <row r="1758" spans="1:26" s="25" customFormat="1" ht="6.95" customHeight="1" x14ac:dyDescent="0.3">
      <c r="A1758" s="10"/>
      <c r="B1758" s="168"/>
      <c r="C1758" s="169"/>
      <c r="D1758" s="160"/>
      <c r="E1758" s="161"/>
      <c r="F1758" s="162"/>
      <c r="G1758" s="163"/>
      <c r="H1758" s="164"/>
      <c r="I1758" s="163"/>
      <c r="J1758" s="164"/>
      <c r="K1758" s="163"/>
      <c r="L1758" s="164"/>
      <c r="M1758" s="11"/>
      <c r="N1758" s="39"/>
      <c r="Q1758" s="15" t="str">
        <f>+CONCATENATE(E1757,I1757)</f>
        <v/>
      </c>
      <c r="R1758" s="15">
        <f>+J1757</f>
        <v>0</v>
      </c>
      <c r="S1758" s="16"/>
      <c r="T1758" s="15">
        <f>+E1757</f>
        <v>0</v>
      </c>
      <c r="U1758" s="26" t="str">
        <f>IFERROR(LEFT(I1757,FIND("*",I1757)-1),"-")</f>
        <v>-</v>
      </c>
      <c r="V1758" s="26" t="str">
        <f>IFERROR(RIGHT(I1757,LEN(I1757)-FIND("*",I1757)),"-")</f>
        <v>-</v>
      </c>
      <c r="W1758" s="27" t="str">
        <f t="shared" si="952"/>
        <v>-</v>
      </c>
      <c r="X1758" s="27" t="str">
        <f t="shared" ref="X1758" si="957">IFERROR(W1758*J1757,"-")</f>
        <v>-</v>
      </c>
      <c r="Z1758" s="94" t="s">
        <v>82</v>
      </c>
    </row>
    <row r="1759" spans="1:26" s="25" customFormat="1" ht="6.95" customHeight="1" x14ac:dyDescent="0.3">
      <c r="A1759" s="10"/>
      <c r="B1759" s="168"/>
      <c r="C1759" s="169"/>
      <c r="D1759" s="160"/>
      <c r="E1759" s="161"/>
      <c r="F1759" s="162"/>
      <c r="G1759" s="163"/>
      <c r="H1759" s="164"/>
      <c r="I1759" s="163"/>
      <c r="J1759" s="164"/>
      <c r="K1759" s="163"/>
      <c r="L1759" s="164"/>
      <c r="M1759" s="11"/>
      <c r="N1759" s="39"/>
      <c r="Q1759" s="15" t="str">
        <f>+CONCATENATE(E1757,K1757)</f>
        <v/>
      </c>
      <c r="R1759" s="15">
        <f>+L1757</f>
        <v>0</v>
      </c>
      <c r="S1759" s="16"/>
      <c r="T1759" s="15">
        <f>+E1757</f>
        <v>0</v>
      </c>
      <c r="U1759" s="26" t="str">
        <f>IFERROR(LEFT(K1757,FIND("*",K1757)-1),"-")</f>
        <v>-</v>
      </c>
      <c r="V1759" s="26" t="str">
        <f>IFERROR(RIGHT(K1757,LEN(K1757)-FIND("*",K1757)),"-")</f>
        <v>-</v>
      </c>
      <c r="W1759" s="27" t="str">
        <f t="shared" si="952"/>
        <v>-</v>
      </c>
      <c r="X1759" s="27" t="str">
        <f>IFERROR(W1759*L1757,"-")</f>
        <v>-</v>
      </c>
      <c r="Z1759" s="94" t="s">
        <v>82</v>
      </c>
    </row>
    <row r="1760" spans="1:26" s="25" customFormat="1" ht="21" customHeight="1" thickBot="1" x14ac:dyDescent="0.35">
      <c r="A1760" s="10"/>
      <c r="B1760" s="170"/>
      <c r="C1760" s="171"/>
      <c r="D1760" s="172" t="s">
        <v>43</v>
      </c>
      <c r="E1760" s="173"/>
      <c r="F1760" s="173"/>
      <c r="G1760" s="174"/>
      <c r="H1760" s="174"/>
      <c r="I1760" s="174"/>
      <c r="J1760" s="174"/>
      <c r="K1760" s="174"/>
      <c r="L1760" s="174"/>
      <c r="M1760" s="12"/>
      <c r="N1760" s="39"/>
      <c r="U1760" s="23"/>
      <c r="V1760" s="23"/>
      <c r="Z1760" s="95" t="s">
        <v>81</v>
      </c>
    </row>
    <row r="1761" spans="1:26" s="25" customFormat="1" ht="9.9499999999999993" customHeight="1" thickBot="1" x14ac:dyDescent="0.35">
      <c r="A1761" s="6"/>
      <c r="B1761" s="14"/>
      <c r="C1761" s="119"/>
      <c r="D1761" s="58"/>
      <c r="E1761" s="17"/>
      <c r="F1761" s="58"/>
      <c r="G1761" s="19"/>
      <c r="H1761" s="19"/>
      <c r="I1761" s="19"/>
      <c r="J1761" s="19"/>
      <c r="K1761" s="19"/>
      <c r="L1761" s="19"/>
      <c r="M1761" s="14"/>
      <c r="N1761" s="39"/>
      <c r="Q1761" s="1"/>
      <c r="R1761" s="1"/>
      <c r="S1761" s="1"/>
      <c r="T1761" s="1"/>
      <c r="U1761" s="24"/>
      <c r="V1761" s="24"/>
      <c r="W1761" s="1"/>
      <c r="X1761" s="1"/>
      <c r="Z1761" s="94" t="s">
        <v>82</v>
      </c>
    </row>
    <row r="1762" spans="1:26" s="25" customFormat="1" ht="6.95" customHeight="1" x14ac:dyDescent="0.3">
      <c r="A1762" s="165">
        <f>+A1751+1</f>
        <v>161</v>
      </c>
      <c r="B1762" s="166"/>
      <c r="C1762" s="167"/>
      <c r="D1762" s="160" t="s">
        <v>39</v>
      </c>
      <c r="E1762" s="161"/>
      <c r="F1762" s="162" t="s">
        <v>40</v>
      </c>
      <c r="G1762" s="163"/>
      <c r="H1762" s="164"/>
      <c r="I1762" s="163"/>
      <c r="J1762" s="164"/>
      <c r="K1762" s="163"/>
      <c r="L1762" s="164"/>
      <c r="M1762" s="11"/>
      <c r="N1762" s="39"/>
      <c r="Q1762" s="15" t="str">
        <f>+CONCATENATE(E1762,G1762)</f>
        <v/>
      </c>
      <c r="R1762" s="15">
        <f>+H1762</f>
        <v>0</v>
      </c>
      <c r="S1762" s="16"/>
      <c r="T1762" s="15">
        <f>+E1762</f>
        <v>0</v>
      </c>
      <c r="U1762" s="26" t="str">
        <f>IFERROR(LEFT(G1762,FIND("*",G1762)-1),"-")</f>
        <v>-</v>
      </c>
      <c r="V1762" s="26" t="str">
        <f>IFERROR(RIGHT(G1762,LEN(G1762)-FIND("*",G1762)),"-")</f>
        <v>-</v>
      </c>
      <c r="W1762" s="27" t="str">
        <f>IFERROR((U1762+V1762)*2/1000,"-")</f>
        <v>-</v>
      </c>
      <c r="X1762" s="27" t="str">
        <f>IFERROR(W1762*H1762,"-")</f>
        <v>-</v>
      </c>
      <c r="Z1762" s="94" t="s">
        <v>82</v>
      </c>
    </row>
    <row r="1763" spans="1:26" s="25" customFormat="1" ht="6.95" customHeight="1" x14ac:dyDescent="0.3">
      <c r="A1763" s="165"/>
      <c r="B1763" s="168"/>
      <c r="C1763" s="169"/>
      <c r="D1763" s="160"/>
      <c r="E1763" s="161"/>
      <c r="F1763" s="162"/>
      <c r="G1763" s="163"/>
      <c r="H1763" s="164"/>
      <c r="I1763" s="163"/>
      <c r="J1763" s="164"/>
      <c r="K1763" s="163"/>
      <c r="L1763" s="164"/>
      <c r="M1763" s="11"/>
      <c r="N1763" s="39"/>
      <c r="Q1763" s="15" t="str">
        <f>+CONCATENATE(E1762,I1762)</f>
        <v/>
      </c>
      <c r="R1763" s="15">
        <f>+J1762</f>
        <v>0</v>
      </c>
      <c r="S1763" s="16"/>
      <c r="T1763" s="15">
        <f>+E1762</f>
        <v>0</v>
      </c>
      <c r="U1763" s="26" t="str">
        <f>IFERROR(LEFT(I1762,FIND("*",I1762)-1),"-")</f>
        <v>-</v>
      </c>
      <c r="V1763" s="26" t="str">
        <f>IFERROR(RIGHT(I1762,LEN(I1762)-FIND("*",I1762)),"-")</f>
        <v>-</v>
      </c>
      <c r="W1763" s="27" t="str">
        <f t="shared" ref="W1763:W1770" si="958">IFERROR((U1763+V1763)*2/1000,"-")</f>
        <v>-</v>
      </c>
      <c r="X1763" s="27" t="str">
        <f>IFERROR(W1763*J1762,"-")</f>
        <v>-</v>
      </c>
      <c r="Z1763" s="94" t="s">
        <v>82</v>
      </c>
    </row>
    <row r="1764" spans="1:26" s="25" customFormat="1" ht="6.95" customHeight="1" x14ac:dyDescent="0.3">
      <c r="A1764" s="165"/>
      <c r="B1764" s="168"/>
      <c r="C1764" s="169"/>
      <c r="D1764" s="160"/>
      <c r="E1764" s="161"/>
      <c r="F1764" s="162"/>
      <c r="G1764" s="163"/>
      <c r="H1764" s="164"/>
      <c r="I1764" s="163"/>
      <c r="J1764" s="164"/>
      <c r="K1764" s="163"/>
      <c r="L1764" s="164"/>
      <c r="M1764" s="11"/>
      <c r="N1764" s="39"/>
      <c r="Q1764" s="15" t="str">
        <f>+CONCATENATE(E1762,K1762)</f>
        <v/>
      </c>
      <c r="R1764" s="15">
        <f>+L1762</f>
        <v>0</v>
      </c>
      <c r="S1764" s="16"/>
      <c r="T1764" s="15">
        <f>+E1762</f>
        <v>0</v>
      </c>
      <c r="U1764" s="26" t="str">
        <f>IFERROR(LEFT(K1762,FIND("*",K1762)-1),"-")</f>
        <v>-</v>
      </c>
      <c r="V1764" s="26" t="str">
        <f>IFERROR(RIGHT(K1762,LEN(K1762)-FIND("*",K1762)),"-")</f>
        <v>-</v>
      </c>
      <c r="W1764" s="27" t="str">
        <f t="shared" si="958"/>
        <v>-</v>
      </c>
      <c r="X1764" s="27" t="str">
        <f>IFERROR(W1764*L1762,"-")</f>
        <v>-</v>
      </c>
      <c r="Z1764" s="94" t="s">
        <v>82</v>
      </c>
    </row>
    <row r="1765" spans="1:26" s="25" customFormat="1" ht="6.95" customHeight="1" x14ac:dyDescent="0.3">
      <c r="A1765" s="13"/>
      <c r="B1765" s="168"/>
      <c r="C1765" s="169"/>
      <c r="D1765" s="160" t="s">
        <v>39</v>
      </c>
      <c r="E1765" s="161"/>
      <c r="F1765" s="162" t="s">
        <v>40</v>
      </c>
      <c r="G1765" s="163"/>
      <c r="H1765" s="164"/>
      <c r="I1765" s="163"/>
      <c r="J1765" s="164"/>
      <c r="K1765" s="163"/>
      <c r="L1765" s="164"/>
      <c r="M1765" s="11"/>
      <c r="N1765" s="39"/>
      <c r="Q1765" s="15" t="str">
        <f>+CONCATENATE(E1765,G1765)</f>
        <v/>
      </c>
      <c r="R1765" s="15">
        <f>+H1765</f>
        <v>0</v>
      </c>
      <c r="S1765" s="16"/>
      <c r="T1765" s="15">
        <f>+E1765</f>
        <v>0</v>
      </c>
      <c r="U1765" s="26" t="str">
        <f t="shared" ref="U1765" si="959">IFERROR(LEFT(G1765,FIND("*",G1765)-1),"-")</f>
        <v>-</v>
      </c>
      <c r="V1765" s="26" t="str">
        <f t="shared" ref="V1765" si="960">IFERROR(RIGHT(G1765,LEN(G1765)-FIND("*",G1765)),"-")</f>
        <v>-</v>
      </c>
      <c r="W1765" s="27" t="str">
        <f t="shared" si="958"/>
        <v>-</v>
      </c>
      <c r="X1765" s="27" t="str">
        <f>IFERROR(W1765*H1765,"-")</f>
        <v>-</v>
      </c>
      <c r="Z1765" s="94" t="s">
        <v>82</v>
      </c>
    </row>
    <row r="1766" spans="1:26" s="25" customFormat="1" ht="6.95" customHeight="1" x14ac:dyDescent="0.3">
      <c r="A1766" s="10"/>
      <c r="B1766" s="168"/>
      <c r="C1766" s="169"/>
      <c r="D1766" s="160"/>
      <c r="E1766" s="161"/>
      <c r="F1766" s="162"/>
      <c r="G1766" s="163"/>
      <c r="H1766" s="164"/>
      <c r="I1766" s="163"/>
      <c r="J1766" s="164"/>
      <c r="K1766" s="163"/>
      <c r="L1766" s="164"/>
      <c r="M1766" s="11"/>
      <c r="N1766" s="39"/>
      <c r="Q1766" s="15" t="str">
        <f>+CONCATENATE(E1765,I1765)</f>
        <v/>
      </c>
      <c r="R1766" s="15">
        <f>+J1765</f>
        <v>0</v>
      </c>
      <c r="S1766" s="16"/>
      <c r="T1766" s="15">
        <f>+E1765</f>
        <v>0</v>
      </c>
      <c r="U1766" s="26" t="str">
        <f>IFERROR(LEFT(I1765,FIND("*",I1765)-1),"-")</f>
        <v>-</v>
      </c>
      <c r="V1766" s="26" t="str">
        <f>IFERROR(RIGHT(I1765,LEN(I1765)-FIND("*",I1765)),"-")</f>
        <v>-</v>
      </c>
      <c r="W1766" s="27" t="str">
        <f t="shared" si="958"/>
        <v>-</v>
      </c>
      <c r="X1766" s="27" t="str">
        <f>IFERROR(W1766*J1765,"-")</f>
        <v>-</v>
      </c>
      <c r="Z1766" s="94" t="s">
        <v>82</v>
      </c>
    </row>
    <row r="1767" spans="1:26" s="25" customFormat="1" ht="6.95" customHeight="1" x14ac:dyDescent="0.3">
      <c r="A1767" s="10"/>
      <c r="B1767" s="168"/>
      <c r="C1767" s="169"/>
      <c r="D1767" s="160"/>
      <c r="E1767" s="161"/>
      <c r="F1767" s="162"/>
      <c r="G1767" s="163"/>
      <c r="H1767" s="164"/>
      <c r="I1767" s="163"/>
      <c r="J1767" s="164"/>
      <c r="K1767" s="163"/>
      <c r="L1767" s="164"/>
      <c r="M1767" s="11"/>
      <c r="N1767" s="39"/>
      <c r="Q1767" s="15" t="str">
        <f>+CONCATENATE(E1765,K1765)</f>
        <v/>
      </c>
      <c r="R1767" s="15">
        <f>+L1765</f>
        <v>0</v>
      </c>
      <c r="S1767" s="16"/>
      <c r="T1767" s="15">
        <f>+E1765</f>
        <v>0</v>
      </c>
      <c r="U1767" s="26" t="str">
        <f>IFERROR(LEFT(K1765,FIND("*",K1765)-1),"-")</f>
        <v>-</v>
      </c>
      <c r="V1767" s="26" t="str">
        <f>IFERROR(RIGHT(K1765,LEN(K1765)-FIND("*",K1765)),"-")</f>
        <v>-</v>
      </c>
      <c r="W1767" s="27" t="str">
        <f t="shared" si="958"/>
        <v>-</v>
      </c>
      <c r="X1767" s="27" t="str">
        <f>IFERROR(W1767*L1765,"-")</f>
        <v>-</v>
      </c>
      <c r="Z1767" s="94" t="s">
        <v>82</v>
      </c>
    </row>
    <row r="1768" spans="1:26" s="25" customFormat="1" ht="6.95" customHeight="1" x14ac:dyDescent="0.3">
      <c r="A1768" s="13"/>
      <c r="B1768" s="168"/>
      <c r="C1768" s="169"/>
      <c r="D1768" s="160" t="s">
        <v>39</v>
      </c>
      <c r="E1768" s="161"/>
      <c r="F1768" s="162" t="s">
        <v>40</v>
      </c>
      <c r="G1768" s="163"/>
      <c r="H1768" s="164"/>
      <c r="I1768" s="163"/>
      <c r="J1768" s="164"/>
      <c r="K1768" s="163"/>
      <c r="L1768" s="164"/>
      <c r="M1768" s="11"/>
      <c r="N1768" s="39"/>
      <c r="Q1768" s="15" t="str">
        <f>+CONCATENATE(E1768,G1768)</f>
        <v/>
      </c>
      <c r="R1768" s="15">
        <f>+H1768</f>
        <v>0</v>
      </c>
      <c r="S1768" s="16"/>
      <c r="T1768" s="15">
        <f>+E1768</f>
        <v>0</v>
      </c>
      <c r="U1768" s="26" t="str">
        <f t="shared" ref="U1768" si="961">IFERROR(LEFT(G1768,FIND("*",G1768)-1),"-")</f>
        <v>-</v>
      </c>
      <c r="V1768" s="26" t="str">
        <f t="shared" ref="V1768" si="962">IFERROR(RIGHT(G1768,LEN(G1768)-FIND("*",G1768)),"-")</f>
        <v>-</v>
      </c>
      <c r="W1768" s="27" t="str">
        <f t="shared" si="958"/>
        <v>-</v>
      </c>
      <c r="X1768" s="27" t="str">
        <f>IFERROR(W1768*H1768,"-")</f>
        <v>-</v>
      </c>
      <c r="Z1768" s="94" t="s">
        <v>82</v>
      </c>
    </row>
    <row r="1769" spans="1:26" s="25" customFormat="1" ht="6.95" customHeight="1" x14ac:dyDescent="0.3">
      <c r="A1769" s="10"/>
      <c r="B1769" s="168"/>
      <c r="C1769" s="169"/>
      <c r="D1769" s="160"/>
      <c r="E1769" s="161"/>
      <c r="F1769" s="162"/>
      <c r="G1769" s="163"/>
      <c r="H1769" s="164"/>
      <c r="I1769" s="163"/>
      <c r="J1769" s="164"/>
      <c r="K1769" s="163"/>
      <c r="L1769" s="164"/>
      <c r="M1769" s="11"/>
      <c r="N1769" s="39"/>
      <c r="Q1769" s="15" t="str">
        <f>+CONCATENATE(E1768,I1768)</f>
        <v/>
      </c>
      <c r="R1769" s="15">
        <f>+J1768</f>
        <v>0</v>
      </c>
      <c r="S1769" s="16"/>
      <c r="T1769" s="15">
        <f>+E1768</f>
        <v>0</v>
      </c>
      <c r="U1769" s="26" t="str">
        <f>IFERROR(LEFT(I1768,FIND("*",I1768)-1),"-")</f>
        <v>-</v>
      </c>
      <c r="V1769" s="26" t="str">
        <f>IFERROR(RIGHT(I1768,LEN(I1768)-FIND("*",I1768)),"-")</f>
        <v>-</v>
      </c>
      <c r="W1769" s="27" t="str">
        <f t="shared" si="958"/>
        <v>-</v>
      </c>
      <c r="X1769" s="27" t="str">
        <f t="shared" ref="X1769" si="963">IFERROR(W1769*J1768,"-")</f>
        <v>-</v>
      </c>
      <c r="Z1769" s="94" t="s">
        <v>82</v>
      </c>
    </row>
    <row r="1770" spans="1:26" s="25" customFormat="1" ht="6.95" customHeight="1" x14ac:dyDescent="0.3">
      <c r="A1770" s="10"/>
      <c r="B1770" s="168"/>
      <c r="C1770" s="169"/>
      <c r="D1770" s="160"/>
      <c r="E1770" s="161"/>
      <c r="F1770" s="162"/>
      <c r="G1770" s="163"/>
      <c r="H1770" s="164"/>
      <c r="I1770" s="163"/>
      <c r="J1770" s="164"/>
      <c r="K1770" s="163"/>
      <c r="L1770" s="164"/>
      <c r="M1770" s="11"/>
      <c r="N1770" s="39"/>
      <c r="Q1770" s="15" t="str">
        <f>+CONCATENATE(E1768,K1768)</f>
        <v/>
      </c>
      <c r="R1770" s="15">
        <f>+L1768</f>
        <v>0</v>
      </c>
      <c r="S1770" s="16"/>
      <c r="T1770" s="15">
        <f>+E1768</f>
        <v>0</v>
      </c>
      <c r="U1770" s="26" t="str">
        <f>IFERROR(LEFT(K1768,FIND("*",K1768)-1),"-")</f>
        <v>-</v>
      </c>
      <c r="V1770" s="26" t="str">
        <f>IFERROR(RIGHT(K1768,LEN(K1768)-FIND("*",K1768)),"-")</f>
        <v>-</v>
      </c>
      <c r="W1770" s="27" t="str">
        <f t="shared" si="958"/>
        <v>-</v>
      </c>
      <c r="X1770" s="27" t="str">
        <f>IFERROR(W1770*L1768,"-")</f>
        <v>-</v>
      </c>
      <c r="Z1770" s="94" t="s">
        <v>82</v>
      </c>
    </row>
    <row r="1771" spans="1:26" s="25" customFormat="1" ht="21" customHeight="1" thickBot="1" x14ac:dyDescent="0.35">
      <c r="A1771" s="10"/>
      <c r="B1771" s="170"/>
      <c r="C1771" s="171"/>
      <c r="D1771" s="172" t="s">
        <v>43</v>
      </c>
      <c r="E1771" s="173"/>
      <c r="F1771" s="173"/>
      <c r="G1771" s="174"/>
      <c r="H1771" s="174"/>
      <c r="I1771" s="174"/>
      <c r="J1771" s="174"/>
      <c r="K1771" s="174"/>
      <c r="L1771" s="174"/>
      <c r="M1771" s="12"/>
      <c r="N1771" s="39"/>
      <c r="U1771" s="23"/>
      <c r="V1771" s="23"/>
      <c r="Z1771" s="95" t="s">
        <v>81</v>
      </c>
    </row>
    <row r="1772" spans="1:26" s="25" customFormat="1" ht="9.9499999999999993" customHeight="1" thickBot="1" x14ac:dyDescent="0.35">
      <c r="A1772" s="6"/>
      <c r="B1772" s="14"/>
      <c r="C1772" s="119"/>
      <c r="D1772" s="58"/>
      <c r="E1772" s="17"/>
      <c r="F1772" s="58"/>
      <c r="G1772" s="19"/>
      <c r="H1772" s="19"/>
      <c r="I1772" s="19"/>
      <c r="J1772" s="19"/>
      <c r="K1772" s="19"/>
      <c r="L1772" s="19"/>
      <c r="M1772" s="14"/>
      <c r="N1772" s="39"/>
      <c r="Q1772" s="1"/>
      <c r="R1772" s="1"/>
      <c r="S1772" s="1"/>
      <c r="T1772" s="1"/>
      <c r="U1772" s="24"/>
      <c r="V1772" s="24"/>
      <c r="W1772" s="1"/>
      <c r="X1772" s="1"/>
      <c r="Z1772" s="94" t="s">
        <v>82</v>
      </c>
    </row>
    <row r="1773" spans="1:26" s="25" customFormat="1" ht="6.95" customHeight="1" x14ac:dyDescent="0.3">
      <c r="A1773" s="165">
        <f>+A1762+1</f>
        <v>162</v>
      </c>
      <c r="B1773" s="166"/>
      <c r="C1773" s="167"/>
      <c r="D1773" s="160" t="s">
        <v>39</v>
      </c>
      <c r="E1773" s="161"/>
      <c r="F1773" s="162" t="s">
        <v>40</v>
      </c>
      <c r="G1773" s="163"/>
      <c r="H1773" s="164"/>
      <c r="I1773" s="163"/>
      <c r="J1773" s="164"/>
      <c r="K1773" s="163"/>
      <c r="L1773" s="164"/>
      <c r="M1773" s="11"/>
      <c r="N1773" s="39"/>
      <c r="Q1773" s="15" t="str">
        <f>+CONCATENATE(E1773,G1773)</f>
        <v/>
      </c>
      <c r="R1773" s="15">
        <f>+H1773</f>
        <v>0</v>
      </c>
      <c r="S1773" s="16"/>
      <c r="T1773" s="15">
        <f>+E1773</f>
        <v>0</v>
      </c>
      <c r="U1773" s="26" t="str">
        <f>IFERROR(LEFT(G1773,FIND("*",G1773)-1),"-")</f>
        <v>-</v>
      </c>
      <c r="V1773" s="26" t="str">
        <f>IFERROR(RIGHT(G1773,LEN(G1773)-FIND("*",G1773)),"-")</f>
        <v>-</v>
      </c>
      <c r="W1773" s="27" t="str">
        <f>IFERROR((U1773+V1773)*2/1000,"-")</f>
        <v>-</v>
      </c>
      <c r="X1773" s="27" t="str">
        <f>IFERROR(W1773*H1773,"-")</f>
        <v>-</v>
      </c>
      <c r="Z1773" s="94" t="s">
        <v>82</v>
      </c>
    </row>
    <row r="1774" spans="1:26" s="25" customFormat="1" ht="6.95" customHeight="1" x14ac:dyDescent="0.3">
      <c r="A1774" s="165"/>
      <c r="B1774" s="168"/>
      <c r="C1774" s="169"/>
      <c r="D1774" s="160"/>
      <c r="E1774" s="161"/>
      <c r="F1774" s="162"/>
      <c r="G1774" s="163"/>
      <c r="H1774" s="164"/>
      <c r="I1774" s="163"/>
      <c r="J1774" s="164"/>
      <c r="K1774" s="163"/>
      <c r="L1774" s="164"/>
      <c r="M1774" s="11"/>
      <c r="N1774" s="39"/>
      <c r="Q1774" s="15" t="str">
        <f>+CONCATENATE(E1773,I1773)</f>
        <v/>
      </c>
      <c r="R1774" s="15">
        <f>+J1773</f>
        <v>0</v>
      </c>
      <c r="S1774" s="16"/>
      <c r="T1774" s="15">
        <f>+E1773</f>
        <v>0</v>
      </c>
      <c r="U1774" s="26" t="str">
        <f>IFERROR(LEFT(I1773,FIND("*",I1773)-1),"-")</f>
        <v>-</v>
      </c>
      <c r="V1774" s="26" t="str">
        <f>IFERROR(RIGHT(I1773,LEN(I1773)-FIND("*",I1773)),"-")</f>
        <v>-</v>
      </c>
      <c r="W1774" s="27" t="str">
        <f t="shared" ref="W1774:W1781" si="964">IFERROR((U1774+V1774)*2/1000,"-")</f>
        <v>-</v>
      </c>
      <c r="X1774" s="27" t="str">
        <f>IFERROR(W1774*J1773,"-")</f>
        <v>-</v>
      </c>
      <c r="Z1774" s="94" t="s">
        <v>82</v>
      </c>
    </row>
    <row r="1775" spans="1:26" s="25" customFormat="1" ht="6.95" customHeight="1" x14ac:dyDescent="0.3">
      <c r="A1775" s="165"/>
      <c r="B1775" s="168"/>
      <c r="C1775" s="169"/>
      <c r="D1775" s="160"/>
      <c r="E1775" s="161"/>
      <c r="F1775" s="162"/>
      <c r="G1775" s="163"/>
      <c r="H1775" s="164"/>
      <c r="I1775" s="163"/>
      <c r="J1775" s="164"/>
      <c r="K1775" s="163"/>
      <c r="L1775" s="164"/>
      <c r="M1775" s="11"/>
      <c r="N1775" s="39"/>
      <c r="Q1775" s="15" t="str">
        <f>+CONCATENATE(E1773,K1773)</f>
        <v/>
      </c>
      <c r="R1775" s="15">
        <f>+L1773</f>
        <v>0</v>
      </c>
      <c r="S1775" s="16"/>
      <c r="T1775" s="15">
        <f>+E1773</f>
        <v>0</v>
      </c>
      <c r="U1775" s="26" t="str">
        <f>IFERROR(LEFT(K1773,FIND("*",K1773)-1),"-")</f>
        <v>-</v>
      </c>
      <c r="V1775" s="26" t="str">
        <f>IFERROR(RIGHT(K1773,LEN(K1773)-FIND("*",K1773)),"-")</f>
        <v>-</v>
      </c>
      <c r="W1775" s="27" t="str">
        <f t="shared" si="964"/>
        <v>-</v>
      </c>
      <c r="X1775" s="27" t="str">
        <f>IFERROR(W1775*L1773,"-")</f>
        <v>-</v>
      </c>
      <c r="Z1775" s="94" t="s">
        <v>82</v>
      </c>
    </row>
    <row r="1776" spans="1:26" s="25" customFormat="1" ht="6.95" customHeight="1" x14ac:dyDescent="0.3">
      <c r="A1776" s="13"/>
      <c r="B1776" s="168"/>
      <c r="C1776" s="169"/>
      <c r="D1776" s="160" t="s">
        <v>39</v>
      </c>
      <c r="E1776" s="161"/>
      <c r="F1776" s="162" t="s">
        <v>40</v>
      </c>
      <c r="G1776" s="163"/>
      <c r="H1776" s="164"/>
      <c r="I1776" s="163"/>
      <c r="J1776" s="164"/>
      <c r="K1776" s="163"/>
      <c r="L1776" s="164"/>
      <c r="M1776" s="11"/>
      <c r="N1776" s="39"/>
      <c r="Q1776" s="15" t="str">
        <f>+CONCATENATE(E1776,G1776)</f>
        <v/>
      </c>
      <c r="R1776" s="15">
        <f>+H1776</f>
        <v>0</v>
      </c>
      <c r="S1776" s="16"/>
      <c r="T1776" s="15">
        <f>+E1776</f>
        <v>0</v>
      </c>
      <c r="U1776" s="26" t="str">
        <f t="shared" ref="U1776" si="965">IFERROR(LEFT(G1776,FIND("*",G1776)-1),"-")</f>
        <v>-</v>
      </c>
      <c r="V1776" s="26" t="str">
        <f t="shared" ref="V1776" si="966">IFERROR(RIGHT(G1776,LEN(G1776)-FIND("*",G1776)),"-")</f>
        <v>-</v>
      </c>
      <c r="W1776" s="27" t="str">
        <f t="shared" si="964"/>
        <v>-</v>
      </c>
      <c r="X1776" s="27" t="str">
        <f>IFERROR(W1776*H1776,"-")</f>
        <v>-</v>
      </c>
      <c r="Z1776" s="94" t="s">
        <v>82</v>
      </c>
    </row>
    <row r="1777" spans="1:26" s="25" customFormat="1" ht="6.95" customHeight="1" x14ac:dyDescent="0.3">
      <c r="A1777" s="10"/>
      <c r="B1777" s="168"/>
      <c r="C1777" s="169"/>
      <c r="D1777" s="160"/>
      <c r="E1777" s="161"/>
      <c r="F1777" s="162"/>
      <c r="G1777" s="163"/>
      <c r="H1777" s="164"/>
      <c r="I1777" s="163"/>
      <c r="J1777" s="164"/>
      <c r="K1777" s="163"/>
      <c r="L1777" s="164"/>
      <c r="M1777" s="11"/>
      <c r="N1777" s="39"/>
      <c r="Q1777" s="15" t="str">
        <f>+CONCATENATE(E1776,I1776)</f>
        <v/>
      </c>
      <c r="R1777" s="15">
        <f>+J1776</f>
        <v>0</v>
      </c>
      <c r="S1777" s="16"/>
      <c r="T1777" s="15">
        <f>+E1776</f>
        <v>0</v>
      </c>
      <c r="U1777" s="26" t="str">
        <f>IFERROR(LEFT(I1776,FIND("*",I1776)-1),"-")</f>
        <v>-</v>
      </c>
      <c r="V1777" s="26" t="str">
        <f>IFERROR(RIGHT(I1776,LEN(I1776)-FIND("*",I1776)),"-")</f>
        <v>-</v>
      </c>
      <c r="W1777" s="27" t="str">
        <f t="shared" si="964"/>
        <v>-</v>
      </c>
      <c r="X1777" s="27" t="str">
        <f>IFERROR(W1777*J1776,"-")</f>
        <v>-</v>
      </c>
      <c r="Z1777" s="94" t="s">
        <v>82</v>
      </c>
    </row>
    <row r="1778" spans="1:26" s="25" customFormat="1" ht="6.95" customHeight="1" x14ac:dyDescent="0.3">
      <c r="A1778" s="10"/>
      <c r="B1778" s="168"/>
      <c r="C1778" s="169"/>
      <c r="D1778" s="160"/>
      <c r="E1778" s="161"/>
      <c r="F1778" s="162"/>
      <c r="G1778" s="163"/>
      <c r="H1778" s="164"/>
      <c r="I1778" s="163"/>
      <c r="J1778" s="164"/>
      <c r="K1778" s="163"/>
      <c r="L1778" s="164"/>
      <c r="M1778" s="11"/>
      <c r="N1778" s="39"/>
      <c r="Q1778" s="15" t="str">
        <f>+CONCATENATE(E1776,K1776)</f>
        <v/>
      </c>
      <c r="R1778" s="15">
        <f>+L1776</f>
        <v>0</v>
      </c>
      <c r="S1778" s="16"/>
      <c r="T1778" s="15">
        <f>+E1776</f>
        <v>0</v>
      </c>
      <c r="U1778" s="26" t="str">
        <f>IFERROR(LEFT(K1776,FIND("*",K1776)-1),"-")</f>
        <v>-</v>
      </c>
      <c r="V1778" s="26" t="str">
        <f>IFERROR(RIGHT(K1776,LEN(K1776)-FIND("*",K1776)),"-")</f>
        <v>-</v>
      </c>
      <c r="W1778" s="27" t="str">
        <f t="shared" si="964"/>
        <v>-</v>
      </c>
      <c r="X1778" s="27" t="str">
        <f>IFERROR(W1778*L1776,"-")</f>
        <v>-</v>
      </c>
      <c r="Z1778" s="94" t="s">
        <v>82</v>
      </c>
    </row>
    <row r="1779" spans="1:26" s="25" customFormat="1" ht="6.95" customHeight="1" x14ac:dyDescent="0.3">
      <c r="A1779" s="13"/>
      <c r="B1779" s="168"/>
      <c r="C1779" s="169"/>
      <c r="D1779" s="160" t="s">
        <v>39</v>
      </c>
      <c r="E1779" s="161"/>
      <c r="F1779" s="162" t="s">
        <v>40</v>
      </c>
      <c r="G1779" s="163"/>
      <c r="H1779" s="164"/>
      <c r="I1779" s="163"/>
      <c r="J1779" s="164"/>
      <c r="K1779" s="163"/>
      <c r="L1779" s="164"/>
      <c r="M1779" s="11"/>
      <c r="N1779" s="39"/>
      <c r="Q1779" s="15" t="str">
        <f>+CONCATENATE(E1779,G1779)</f>
        <v/>
      </c>
      <c r="R1779" s="15">
        <f>+H1779</f>
        <v>0</v>
      </c>
      <c r="S1779" s="16"/>
      <c r="T1779" s="15">
        <f>+E1779</f>
        <v>0</v>
      </c>
      <c r="U1779" s="26" t="str">
        <f t="shared" ref="U1779" si="967">IFERROR(LEFT(G1779,FIND("*",G1779)-1),"-")</f>
        <v>-</v>
      </c>
      <c r="V1779" s="26" t="str">
        <f t="shared" ref="V1779" si="968">IFERROR(RIGHT(G1779,LEN(G1779)-FIND("*",G1779)),"-")</f>
        <v>-</v>
      </c>
      <c r="W1779" s="27" t="str">
        <f t="shared" si="964"/>
        <v>-</v>
      </c>
      <c r="X1779" s="27" t="str">
        <f>IFERROR(W1779*H1779,"-")</f>
        <v>-</v>
      </c>
      <c r="Z1779" s="94" t="s">
        <v>82</v>
      </c>
    </row>
    <row r="1780" spans="1:26" s="25" customFormat="1" ht="6.95" customHeight="1" x14ac:dyDescent="0.3">
      <c r="A1780" s="10"/>
      <c r="B1780" s="168"/>
      <c r="C1780" s="169"/>
      <c r="D1780" s="160"/>
      <c r="E1780" s="161"/>
      <c r="F1780" s="162"/>
      <c r="G1780" s="163"/>
      <c r="H1780" s="164"/>
      <c r="I1780" s="163"/>
      <c r="J1780" s="164"/>
      <c r="K1780" s="163"/>
      <c r="L1780" s="164"/>
      <c r="M1780" s="11"/>
      <c r="N1780" s="39"/>
      <c r="Q1780" s="15" t="str">
        <f>+CONCATENATE(E1779,I1779)</f>
        <v/>
      </c>
      <c r="R1780" s="15">
        <f>+J1779</f>
        <v>0</v>
      </c>
      <c r="S1780" s="16"/>
      <c r="T1780" s="15">
        <f>+E1779</f>
        <v>0</v>
      </c>
      <c r="U1780" s="26" t="str">
        <f>IFERROR(LEFT(I1779,FIND("*",I1779)-1),"-")</f>
        <v>-</v>
      </c>
      <c r="V1780" s="26" t="str">
        <f>IFERROR(RIGHT(I1779,LEN(I1779)-FIND("*",I1779)),"-")</f>
        <v>-</v>
      </c>
      <c r="W1780" s="27" t="str">
        <f t="shared" si="964"/>
        <v>-</v>
      </c>
      <c r="X1780" s="27" t="str">
        <f t="shared" ref="X1780" si="969">IFERROR(W1780*J1779,"-")</f>
        <v>-</v>
      </c>
      <c r="Z1780" s="94" t="s">
        <v>82</v>
      </c>
    </row>
    <row r="1781" spans="1:26" s="25" customFormat="1" ht="6.95" customHeight="1" x14ac:dyDescent="0.3">
      <c r="A1781" s="10"/>
      <c r="B1781" s="168"/>
      <c r="C1781" s="169"/>
      <c r="D1781" s="160"/>
      <c r="E1781" s="161"/>
      <c r="F1781" s="162"/>
      <c r="G1781" s="163"/>
      <c r="H1781" s="164"/>
      <c r="I1781" s="163"/>
      <c r="J1781" s="164"/>
      <c r="K1781" s="163"/>
      <c r="L1781" s="164"/>
      <c r="M1781" s="11"/>
      <c r="N1781" s="39"/>
      <c r="Q1781" s="15" t="str">
        <f>+CONCATENATE(E1779,K1779)</f>
        <v/>
      </c>
      <c r="R1781" s="15">
        <f>+L1779</f>
        <v>0</v>
      </c>
      <c r="S1781" s="16"/>
      <c r="T1781" s="15">
        <f>+E1779</f>
        <v>0</v>
      </c>
      <c r="U1781" s="26" t="str">
        <f>IFERROR(LEFT(K1779,FIND("*",K1779)-1),"-")</f>
        <v>-</v>
      </c>
      <c r="V1781" s="26" t="str">
        <f>IFERROR(RIGHT(K1779,LEN(K1779)-FIND("*",K1779)),"-")</f>
        <v>-</v>
      </c>
      <c r="W1781" s="27" t="str">
        <f t="shared" si="964"/>
        <v>-</v>
      </c>
      <c r="X1781" s="27" t="str">
        <f>IFERROR(W1781*L1779,"-")</f>
        <v>-</v>
      </c>
      <c r="Z1781" s="94" t="s">
        <v>82</v>
      </c>
    </row>
    <row r="1782" spans="1:26" s="25" customFormat="1" ht="21" customHeight="1" thickBot="1" x14ac:dyDescent="0.35">
      <c r="A1782" s="10"/>
      <c r="B1782" s="170"/>
      <c r="C1782" s="171"/>
      <c r="D1782" s="172" t="s">
        <v>43</v>
      </c>
      <c r="E1782" s="173"/>
      <c r="F1782" s="173"/>
      <c r="G1782" s="174"/>
      <c r="H1782" s="174"/>
      <c r="I1782" s="174"/>
      <c r="J1782" s="174"/>
      <c r="K1782" s="174"/>
      <c r="L1782" s="174"/>
      <c r="M1782" s="12"/>
      <c r="N1782" s="39"/>
      <c r="U1782" s="23"/>
      <c r="V1782" s="23"/>
      <c r="Z1782" s="95" t="s">
        <v>81</v>
      </c>
    </row>
    <row r="1783" spans="1:26" s="25" customFormat="1" ht="9.9499999999999993" customHeight="1" thickBot="1" x14ac:dyDescent="0.35">
      <c r="A1783" s="6"/>
      <c r="B1783" s="14"/>
      <c r="C1783" s="119"/>
      <c r="D1783" s="58"/>
      <c r="E1783" s="17"/>
      <c r="F1783" s="58"/>
      <c r="G1783" s="19"/>
      <c r="H1783" s="19"/>
      <c r="I1783" s="19"/>
      <c r="J1783" s="19"/>
      <c r="K1783" s="19"/>
      <c r="L1783" s="19"/>
      <c r="M1783" s="14"/>
      <c r="N1783" s="39"/>
      <c r="Q1783" s="1"/>
      <c r="R1783" s="1"/>
      <c r="S1783" s="1"/>
      <c r="T1783" s="1"/>
      <c r="U1783" s="24"/>
      <c r="V1783" s="24"/>
      <c r="W1783" s="1"/>
      <c r="X1783" s="1"/>
      <c r="Z1783" s="94" t="s">
        <v>82</v>
      </c>
    </row>
    <row r="1784" spans="1:26" s="25" customFormat="1" ht="6.95" customHeight="1" x14ac:dyDescent="0.3">
      <c r="A1784" s="165">
        <f>+A1773+1</f>
        <v>163</v>
      </c>
      <c r="B1784" s="166"/>
      <c r="C1784" s="167"/>
      <c r="D1784" s="160" t="s">
        <v>39</v>
      </c>
      <c r="E1784" s="161"/>
      <c r="F1784" s="162" t="s">
        <v>40</v>
      </c>
      <c r="G1784" s="163"/>
      <c r="H1784" s="164"/>
      <c r="I1784" s="163"/>
      <c r="J1784" s="164"/>
      <c r="K1784" s="163"/>
      <c r="L1784" s="164"/>
      <c r="M1784" s="11"/>
      <c r="N1784" s="39"/>
      <c r="Q1784" s="15" t="str">
        <f>+CONCATENATE(E1784,G1784)</f>
        <v/>
      </c>
      <c r="R1784" s="15">
        <f>+H1784</f>
        <v>0</v>
      </c>
      <c r="S1784" s="16"/>
      <c r="T1784" s="15">
        <f>+E1784</f>
        <v>0</v>
      </c>
      <c r="U1784" s="26" t="str">
        <f>IFERROR(LEFT(G1784,FIND("*",G1784)-1),"-")</f>
        <v>-</v>
      </c>
      <c r="V1784" s="26" t="str">
        <f>IFERROR(RIGHT(G1784,LEN(G1784)-FIND("*",G1784)),"-")</f>
        <v>-</v>
      </c>
      <c r="W1784" s="27" t="str">
        <f>IFERROR((U1784+V1784)*2/1000,"-")</f>
        <v>-</v>
      </c>
      <c r="X1784" s="27" t="str">
        <f>IFERROR(W1784*H1784,"-")</f>
        <v>-</v>
      </c>
      <c r="Z1784" s="94" t="s">
        <v>82</v>
      </c>
    </row>
    <row r="1785" spans="1:26" s="25" customFormat="1" ht="6.95" customHeight="1" x14ac:dyDescent="0.3">
      <c r="A1785" s="165"/>
      <c r="B1785" s="168"/>
      <c r="C1785" s="169"/>
      <c r="D1785" s="160"/>
      <c r="E1785" s="161"/>
      <c r="F1785" s="162"/>
      <c r="G1785" s="163"/>
      <c r="H1785" s="164"/>
      <c r="I1785" s="163"/>
      <c r="J1785" s="164"/>
      <c r="K1785" s="163"/>
      <c r="L1785" s="164"/>
      <c r="M1785" s="11"/>
      <c r="N1785" s="39"/>
      <c r="Q1785" s="15" t="str">
        <f>+CONCATENATE(E1784,I1784)</f>
        <v/>
      </c>
      <c r="R1785" s="15">
        <f>+J1784</f>
        <v>0</v>
      </c>
      <c r="S1785" s="16"/>
      <c r="T1785" s="15">
        <f>+E1784</f>
        <v>0</v>
      </c>
      <c r="U1785" s="26" t="str">
        <f>IFERROR(LEFT(I1784,FIND("*",I1784)-1),"-")</f>
        <v>-</v>
      </c>
      <c r="V1785" s="26" t="str">
        <f>IFERROR(RIGHT(I1784,LEN(I1784)-FIND("*",I1784)),"-")</f>
        <v>-</v>
      </c>
      <c r="W1785" s="27" t="str">
        <f t="shared" ref="W1785:W1792" si="970">IFERROR((U1785+V1785)*2/1000,"-")</f>
        <v>-</v>
      </c>
      <c r="X1785" s="27" t="str">
        <f>IFERROR(W1785*J1784,"-")</f>
        <v>-</v>
      </c>
      <c r="Z1785" s="94" t="s">
        <v>82</v>
      </c>
    </row>
    <row r="1786" spans="1:26" s="25" customFormat="1" ht="6.95" customHeight="1" x14ac:dyDescent="0.3">
      <c r="A1786" s="165"/>
      <c r="B1786" s="168"/>
      <c r="C1786" s="169"/>
      <c r="D1786" s="160"/>
      <c r="E1786" s="161"/>
      <c r="F1786" s="162"/>
      <c r="G1786" s="163"/>
      <c r="H1786" s="164"/>
      <c r="I1786" s="163"/>
      <c r="J1786" s="164"/>
      <c r="K1786" s="163"/>
      <c r="L1786" s="164"/>
      <c r="M1786" s="11"/>
      <c r="N1786" s="39"/>
      <c r="Q1786" s="15" t="str">
        <f>+CONCATENATE(E1784,K1784)</f>
        <v/>
      </c>
      <c r="R1786" s="15">
        <f>+L1784</f>
        <v>0</v>
      </c>
      <c r="S1786" s="16"/>
      <c r="T1786" s="15">
        <f>+E1784</f>
        <v>0</v>
      </c>
      <c r="U1786" s="26" t="str">
        <f>IFERROR(LEFT(K1784,FIND("*",K1784)-1),"-")</f>
        <v>-</v>
      </c>
      <c r="V1786" s="26" t="str">
        <f>IFERROR(RIGHT(K1784,LEN(K1784)-FIND("*",K1784)),"-")</f>
        <v>-</v>
      </c>
      <c r="W1786" s="27" t="str">
        <f t="shared" si="970"/>
        <v>-</v>
      </c>
      <c r="X1786" s="27" t="str">
        <f>IFERROR(W1786*L1784,"-")</f>
        <v>-</v>
      </c>
      <c r="Z1786" s="94" t="s">
        <v>82</v>
      </c>
    </row>
    <row r="1787" spans="1:26" s="25" customFormat="1" ht="6.95" customHeight="1" x14ac:dyDescent="0.3">
      <c r="A1787" s="13"/>
      <c r="B1787" s="168"/>
      <c r="C1787" s="169"/>
      <c r="D1787" s="160" t="s">
        <v>39</v>
      </c>
      <c r="E1787" s="161"/>
      <c r="F1787" s="162" t="s">
        <v>40</v>
      </c>
      <c r="G1787" s="163"/>
      <c r="H1787" s="164"/>
      <c r="I1787" s="163"/>
      <c r="J1787" s="164"/>
      <c r="K1787" s="163"/>
      <c r="L1787" s="164"/>
      <c r="M1787" s="11"/>
      <c r="N1787" s="39"/>
      <c r="Q1787" s="15" t="str">
        <f>+CONCATENATE(E1787,G1787)</f>
        <v/>
      </c>
      <c r="R1787" s="15">
        <f>+H1787</f>
        <v>0</v>
      </c>
      <c r="S1787" s="16"/>
      <c r="T1787" s="15">
        <f>+E1787</f>
        <v>0</v>
      </c>
      <c r="U1787" s="26" t="str">
        <f t="shared" ref="U1787" si="971">IFERROR(LEFT(G1787,FIND("*",G1787)-1),"-")</f>
        <v>-</v>
      </c>
      <c r="V1787" s="26" t="str">
        <f t="shared" ref="V1787" si="972">IFERROR(RIGHT(G1787,LEN(G1787)-FIND("*",G1787)),"-")</f>
        <v>-</v>
      </c>
      <c r="W1787" s="27" t="str">
        <f t="shared" si="970"/>
        <v>-</v>
      </c>
      <c r="X1787" s="27" t="str">
        <f>IFERROR(W1787*H1787,"-")</f>
        <v>-</v>
      </c>
      <c r="Z1787" s="94" t="s">
        <v>82</v>
      </c>
    </row>
    <row r="1788" spans="1:26" s="25" customFormat="1" ht="6.95" customHeight="1" x14ac:dyDescent="0.3">
      <c r="A1788" s="10"/>
      <c r="B1788" s="168"/>
      <c r="C1788" s="169"/>
      <c r="D1788" s="160"/>
      <c r="E1788" s="161"/>
      <c r="F1788" s="162"/>
      <c r="G1788" s="163"/>
      <c r="H1788" s="164"/>
      <c r="I1788" s="163"/>
      <c r="J1788" s="164"/>
      <c r="K1788" s="163"/>
      <c r="L1788" s="164"/>
      <c r="M1788" s="11"/>
      <c r="N1788" s="39"/>
      <c r="Q1788" s="15" t="str">
        <f>+CONCATENATE(E1787,I1787)</f>
        <v/>
      </c>
      <c r="R1788" s="15">
        <f>+J1787</f>
        <v>0</v>
      </c>
      <c r="S1788" s="16"/>
      <c r="T1788" s="15">
        <f>+E1787</f>
        <v>0</v>
      </c>
      <c r="U1788" s="26" t="str">
        <f>IFERROR(LEFT(I1787,FIND("*",I1787)-1),"-")</f>
        <v>-</v>
      </c>
      <c r="V1788" s="26" t="str">
        <f>IFERROR(RIGHT(I1787,LEN(I1787)-FIND("*",I1787)),"-")</f>
        <v>-</v>
      </c>
      <c r="W1788" s="27" t="str">
        <f t="shared" si="970"/>
        <v>-</v>
      </c>
      <c r="X1788" s="27" t="str">
        <f>IFERROR(W1788*J1787,"-")</f>
        <v>-</v>
      </c>
      <c r="Z1788" s="94" t="s">
        <v>82</v>
      </c>
    </row>
    <row r="1789" spans="1:26" s="25" customFormat="1" ht="6.95" customHeight="1" x14ac:dyDescent="0.3">
      <c r="A1789" s="10"/>
      <c r="B1789" s="168"/>
      <c r="C1789" s="169"/>
      <c r="D1789" s="160"/>
      <c r="E1789" s="161"/>
      <c r="F1789" s="162"/>
      <c r="G1789" s="163"/>
      <c r="H1789" s="164"/>
      <c r="I1789" s="163"/>
      <c r="J1789" s="164"/>
      <c r="K1789" s="163"/>
      <c r="L1789" s="164"/>
      <c r="M1789" s="11"/>
      <c r="N1789" s="39"/>
      <c r="Q1789" s="15" t="str">
        <f>+CONCATENATE(E1787,K1787)</f>
        <v/>
      </c>
      <c r="R1789" s="15">
        <f>+L1787</f>
        <v>0</v>
      </c>
      <c r="S1789" s="16"/>
      <c r="T1789" s="15">
        <f>+E1787</f>
        <v>0</v>
      </c>
      <c r="U1789" s="26" t="str">
        <f>IFERROR(LEFT(K1787,FIND("*",K1787)-1),"-")</f>
        <v>-</v>
      </c>
      <c r="V1789" s="26" t="str">
        <f>IFERROR(RIGHT(K1787,LEN(K1787)-FIND("*",K1787)),"-")</f>
        <v>-</v>
      </c>
      <c r="W1789" s="27" t="str">
        <f t="shared" si="970"/>
        <v>-</v>
      </c>
      <c r="X1789" s="27" t="str">
        <f>IFERROR(W1789*L1787,"-")</f>
        <v>-</v>
      </c>
      <c r="Z1789" s="94" t="s">
        <v>82</v>
      </c>
    </row>
    <row r="1790" spans="1:26" s="25" customFormat="1" ht="6.95" customHeight="1" x14ac:dyDescent="0.3">
      <c r="A1790" s="13"/>
      <c r="B1790" s="168"/>
      <c r="C1790" s="169"/>
      <c r="D1790" s="160" t="s">
        <v>39</v>
      </c>
      <c r="E1790" s="161"/>
      <c r="F1790" s="162" t="s">
        <v>40</v>
      </c>
      <c r="G1790" s="163"/>
      <c r="H1790" s="164"/>
      <c r="I1790" s="163"/>
      <c r="J1790" s="164"/>
      <c r="K1790" s="163"/>
      <c r="L1790" s="164"/>
      <c r="M1790" s="11"/>
      <c r="N1790" s="39"/>
      <c r="Q1790" s="15" t="str">
        <f>+CONCATENATE(E1790,G1790)</f>
        <v/>
      </c>
      <c r="R1790" s="15">
        <f>+H1790</f>
        <v>0</v>
      </c>
      <c r="S1790" s="16"/>
      <c r="T1790" s="15">
        <f>+E1790</f>
        <v>0</v>
      </c>
      <c r="U1790" s="26" t="str">
        <f t="shared" ref="U1790" si="973">IFERROR(LEFT(G1790,FIND("*",G1790)-1),"-")</f>
        <v>-</v>
      </c>
      <c r="V1790" s="26" t="str">
        <f t="shared" ref="V1790" si="974">IFERROR(RIGHT(G1790,LEN(G1790)-FIND("*",G1790)),"-")</f>
        <v>-</v>
      </c>
      <c r="W1790" s="27" t="str">
        <f t="shared" si="970"/>
        <v>-</v>
      </c>
      <c r="X1790" s="27" t="str">
        <f>IFERROR(W1790*H1790,"-")</f>
        <v>-</v>
      </c>
      <c r="Z1790" s="94" t="s">
        <v>82</v>
      </c>
    </row>
    <row r="1791" spans="1:26" s="25" customFormat="1" ht="6.95" customHeight="1" x14ac:dyDescent="0.3">
      <c r="A1791" s="10"/>
      <c r="B1791" s="168"/>
      <c r="C1791" s="169"/>
      <c r="D1791" s="160"/>
      <c r="E1791" s="161"/>
      <c r="F1791" s="162"/>
      <c r="G1791" s="163"/>
      <c r="H1791" s="164"/>
      <c r="I1791" s="163"/>
      <c r="J1791" s="164"/>
      <c r="K1791" s="163"/>
      <c r="L1791" s="164"/>
      <c r="M1791" s="11"/>
      <c r="N1791" s="39"/>
      <c r="Q1791" s="15" t="str">
        <f>+CONCATENATE(E1790,I1790)</f>
        <v/>
      </c>
      <c r="R1791" s="15">
        <f>+J1790</f>
        <v>0</v>
      </c>
      <c r="S1791" s="16"/>
      <c r="T1791" s="15">
        <f>+E1790</f>
        <v>0</v>
      </c>
      <c r="U1791" s="26" t="str">
        <f>IFERROR(LEFT(I1790,FIND("*",I1790)-1),"-")</f>
        <v>-</v>
      </c>
      <c r="V1791" s="26" t="str">
        <f>IFERROR(RIGHT(I1790,LEN(I1790)-FIND("*",I1790)),"-")</f>
        <v>-</v>
      </c>
      <c r="W1791" s="27" t="str">
        <f t="shared" si="970"/>
        <v>-</v>
      </c>
      <c r="X1791" s="27" t="str">
        <f t="shared" ref="X1791" si="975">IFERROR(W1791*J1790,"-")</f>
        <v>-</v>
      </c>
      <c r="Z1791" s="94" t="s">
        <v>82</v>
      </c>
    </row>
    <row r="1792" spans="1:26" s="25" customFormat="1" ht="6.95" customHeight="1" x14ac:dyDescent="0.3">
      <c r="A1792" s="10"/>
      <c r="B1792" s="168"/>
      <c r="C1792" s="169"/>
      <c r="D1792" s="160"/>
      <c r="E1792" s="161"/>
      <c r="F1792" s="162"/>
      <c r="G1792" s="163"/>
      <c r="H1792" s="164"/>
      <c r="I1792" s="163"/>
      <c r="J1792" s="164"/>
      <c r="K1792" s="163"/>
      <c r="L1792" s="164"/>
      <c r="M1792" s="11"/>
      <c r="N1792" s="39"/>
      <c r="Q1792" s="15" t="str">
        <f>+CONCATENATE(E1790,K1790)</f>
        <v/>
      </c>
      <c r="R1792" s="15">
        <f>+L1790</f>
        <v>0</v>
      </c>
      <c r="S1792" s="16"/>
      <c r="T1792" s="15">
        <f>+E1790</f>
        <v>0</v>
      </c>
      <c r="U1792" s="26" t="str">
        <f>IFERROR(LEFT(K1790,FIND("*",K1790)-1),"-")</f>
        <v>-</v>
      </c>
      <c r="V1792" s="26" t="str">
        <f>IFERROR(RIGHT(K1790,LEN(K1790)-FIND("*",K1790)),"-")</f>
        <v>-</v>
      </c>
      <c r="W1792" s="27" t="str">
        <f t="shared" si="970"/>
        <v>-</v>
      </c>
      <c r="X1792" s="27" t="str">
        <f>IFERROR(W1792*L1790,"-")</f>
        <v>-</v>
      </c>
      <c r="Z1792" s="94" t="s">
        <v>82</v>
      </c>
    </row>
    <row r="1793" spans="1:26" s="25" customFormat="1" ht="21" customHeight="1" thickBot="1" x14ac:dyDescent="0.35">
      <c r="A1793" s="10"/>
      <c r="B1793" s="170"/>
      <c r="C1793" s="171"/>
      <c r="D1793" s="172" t="s">
        <v>43</v>
      </c>
      <c r="E1793" s="173"/>
      <c r="F1793" s="173"/>
      <c r="G1793" s="174"/>
      <c r="H1793" s="174"/>
      <c r="I1793" s="174"/>
      <c r="J1793" s="174"/>
      <c r="K1793" s="174"/>
      <c r="L1793" s="174"/>
      <c r="M1793" s="12"/>
      <c r="N1793" s="39"/>
      <c r="U1793" s="23"/>
      <c r="V1793" s="23"/>
      <c r="Z1793" s="95" t="s">
        <v>81</v>
      </c>
    </row>
    <row r="1794" spans="1:26" s="25" customFormat="1" ht="9.9499999999999993" customHeight="1" thickBot="1" x14ac:dyDescent="0.35">
      <c r="A1794" s="6"/>
      <c r="B1794" s="14"/>
      <c r="C1794" s="119"/>
      <c r="D1794" s="58"/>
      <c r="E1794" s="17"/>
      <c r="F1794" s="58"/>
      <c r="G1794" s="19"/>
      <c r="H1794" s="19"/>
      <c r="I1794" s="19"/>
      <c r="J1794" s="19"/>
      <c r="K1794" s="19"/>
      <c r="L1794" s="19"/>
      <c r="M1794" s="14"/>
      <c r="N1794" s="39"/>
      <c r="Q1794" s="1"/>
      <c r="R1794" s="1"/>
      <c r="S1794" s="1"/>
      <c r="T1794" s="1"/>
      <c r="U1794" s="24"/>
      <c r="V1794" s="24"/>
      <c r="W1794" s="1"/>
      <c r="X1794" s="1"/>
      <c r="Z1794" s="94" t="s">
        <v>82</v>
      </c>
    </row>
    <row r="1795" spans="1:26" s="25" customFormat="1" ht="6.95" customHeight="1" x14ac:dyDescent="0.3">
      <c r="A1795" s="165">
        <f>+A1784+1</f>
        <v>164</v>
      </c>
      <c r="B1795" s="166"/>
      <c r="C1795" s="167"/>
      <c r="D1795" s="160" t="s">
        <v>39</v>
      </c>
      <c r="E1795" s="161"/>
      <c r="F1795" s="162" t="s">
        <v>40</v>
      </c>
      <c r="G1795" s="163"/>
      <c r="H1795" s="164"/>
      <c r="I1795" s="163"/>
      <c r="J1795" s="164"/>
      <c r="K1795" s="163"/>
      <c r="L1795" s="164"/>
      <c r="M1795" s="11"/>
      <c r="N1795" s="39"/>
      <c r="Q1795" s="15" t="str">
        <f>+CONCATENATE(E1795,G1795)</f>
        <v/>
      </c>
      <c r="R1795" s="15">
        <f>+H1795</f>
        <v>0</v>
      </c>
      <c r="S1795" s="16"/>
      <c r="T1795" s="15">
        <f>+E1795</f>
        <v>0</v>
      </c>
      <c r="U1795" s="26" t="str">
        <f>IFERROR(LEFT(G1795,FIND("*",G1795)-1),"-")</f>
        <v>-</v>
      </c>
      <c r="V1795" s="26" t="str">
        <f>IFERROR(RIGHT(G1795,LEN(G1795)-FIND("*",G1795)),"-")</f>
        <v>-</v>
      </c>
      <c r="W1795" s="27" t="str">
        <f>IFERROR((U1795+V1795)*2/1000,"-")</f>
        <v>-</v>
      </c>
      <c r="X1795" s="27" t="str">
        <f>IFERROR(W1795*H1795,"-")</f>
        <v>-</v>
      </c>
      <c r="Z1795" s="94" t="s">
        <v>82</v>
      </c>
    </row>
    <row r="1796" spans="1:26" s="25" customFormat="1" ht="6.95" customHeight="1" x14ac:dyDescent="0.3">
      <c r="A1796" s="165"/>
      <c r="B1796" s="168"/>
      <c r="C1796" s="169"/>
      <c r="D1796" s="160"/>
      <c r="E1796" s="161"/>
      <c r="F1796" s="162"/>
      <c r="G1796" s="163"/>
      <c r="H1796" s="164"/>
      <c r="I1796" s="163"/>
      <c r="J1796" s="164"/>
      <c r="K1796" s="163"/>
      <c r="L1796" s="164"/>
      <c r="M1796" s="11"/>
      <c r="N1796" s="39"/>
      <c r="Q1796" s="15" t="str">
        <f>+CONCATENATE(E1795,I1795)</f>
        <v/>
      </c>
      <c r="R1796" s="15">
        <f>+J1795</f>
        <v>0</v>
      </c>
      <c r="S1796" s="16"/>
      <c r="T1796" s="15">
        <f>+E1795</f>
        <v>0</v>
      </c>
      <c r="U1796" s="26" t="str">
        <f>IFERROR(LEFT(I1795,FIND("*",I1795)-1),"-")</f>
        <v>-</v>
      </c>
      <c r="V1796" s="26" t="str">
        <f>IFERROR(RIGHT(I1795,LEN(I1795)-FIND("*",I1795)),"-")</f>
        <v>-</v>
      </c>
      <c r="W1796" s="27" t="str">
        <f t="shared" ref="W1796:W1803" si="976">IFERROR((U1796+V1796)*2/1000,"-")</f>
        <v>-</v>
      </c>
      <c r="X1796" s="27" t="str">
        <f>IFERROR(W1796*J1795,"-")</f>
        <v>-</v>
      </c>
      <c r="Z1796" s="94" t="s">
        <v>82</v>
      </c>
    </row>
    <row r="1797" spans="1:26" s="25" customFormat="1" ht="6.95" customHeight="1" x14ac:dyDescent="0.3">
      <c r="A1797" s="165"/>
      <c r="B1797" s="168"/>
      <c r="C1797" s="169"/>
      <c r="D1797" s="160"/>
      <c r="E1797" s="161"/>
      <c r="F1797" s="162"/>
      <c r="G1797" s="163"/>
      <c r="H1797" s="164"/>
      <c r="I1797" s="163"/>
      <c r="J1797" s="164"/>
      <c r="K1797" s="163"/>
      <c r="L1797" s="164"/>
      <c r="M1797" s="11"/>
      <c r="N1797" s="39"/>
      <c r="Q1797" s="15" t="str">
        <f>+CONCATENATE(E1795,K1795)</f>
        <v/>
      </c>
      <c r="R1797" s="15">
        <f>+L1795</f>
        <v>0</v>
      </c>
      <c r="S1797" s="16"/>
      <c r="T1797" s="15">
        <f>+E1795</f>
        <v>0</v>
      </c>
      <c r="U1797" s="26" t="str">
        <f>IFERROR(LEFT(K1795,FIND("*",K1795)-1),"-")</f>
        <v>-</v>
      </c>
      <c r="V1797" s="26" t="str">
        <f>IFERROR(RIGHT(K1795,LEN(K1795)-FIND("*",K1795)),"-")</f>
        <v>-</v>
      </c>
      <c r="W1797" s="27" t="str">
        <f t="shared" si="976"/>
        <v>-</v>
      </c>
      <c r="X1797" s="27" t="str">
        <f>IFERROR(W1797*L1795,"-")</f>
        <v>-</v>
      </c>
      <c r="Z1797" s="94" t="s">
        <v>82</v>
      </c>
    </row>
    <row r="1798" spans="1:26" s="25" customFormat="1" ht="6.95" customHeight="1" x14ac:dyDescent="0.3">
      <c r="A1798" s="13"/>
      <c r="B1798" s="168"/>
      <c r="C1798" s="169"/>
      <c r="D1798" s="160" t="s">
        <v>39</v>
      </c>
      <c r="E1798" s="161"/>
      <c r="F1798" s="162" t="s">
        <v>40</v>
      </c>
      <c r="G1798" s="163"/>
      <c r="H1798" s="164"/>
      <c r="I1798" s="163"/>
      <c r="J1798" s="164"/>
      <c r="K1798" s="163"/>
      <c r="L1798" s="164"/>
      <c r="M1798" s="11"/>
      <c r="N1798" s="39"/>
      <c r="Q1798" s="15" t="str">
        <f>+CONCATENATE(E1798,G1798)</f>
        <v/>
      </c>
      <c r="R1798" s="15">
        <f>+H1798</f>
        <v>0</v>
      </c>
      <c r="S1798" s="16"/>
      <c r="T1798" s="15">
        <f>+E1798</f>
        <v>0</v>
      </c>
      <c r="U1798" s="26" t="str">
        <f t="shared" ref="U1798" si="977">IFERROR(LEFT(G1798,FIND("*",G1798)-1),"-")</f>
        <v>-</v>
      </c>
      <c r="V1798" s="26" t="str">
        <f t="shared" ref="V1798" si="978">IFERROR(RIGHT(G1798,LEN(G1798)-FIND("*",G1798)),"-")</f>
        <v>-</v>
      </c>
      <c r="W1798" s="27" t="str">
        <f t="shared" si="976"/>
        <v>-</v>
      </c>
      <c r="X1798" s="27" t="str">
        <f>IFERROR(W1798*H1798,"-")</f>
        <v>-</v>
      </c>
      <c r="Z1798" s="94" t="s">
        <v>82</v>
      </c>
    </row>
    <row r="1799" spans="1:26" s="25" customFormat="1" ht="6.95" customHeight="1" x14ac:dyDescent="0.3">
      <c r="A1799" s="10"/>
      <c r="B1799" s="168"/>
      <c r="C1799" s="169"/>
      <c r="D1799" s="160"/>
      <c r="E1799" s="161"/>
      <c r="F1799" s="162"/>
      <c r="G1799" s="163"/>
      <c r="H1799" s="164"/>
      <c r="I1799" s="163"/>
      <c r="J1799" s="164"/>
      <c r="K1799" s="163"/>
      <c r="L1799" s="164"/>
      <c r="M1799" s="11"/>
      <c r="N1799" s="39"/>
      <c r="Q1799" s="15" t="str">
        <f>+CONCATENATE(E1798,I1798)</f>
        <v/>
      </c>
      <c r="R1799" s="15">
        <f>+J1798</f>
        <v>0</v>
      </c>
      <c r="S1799" s="16"/>
      <c r="T1799" s="15">
        <f>+E1798</f>
        <v>0</v>
      </c>
      <c r="U1799" s="26" t="str">
        <f>IFERROR(LEFT(I1798,FIND("*",I1798)-1),"-")</f>
        <v>-</v>
      </c>
      <c r="V1799" s="26" t="str">
        <f>IFERROR(RIGHT(I1798,LEN(I1798)-FIND("*",I1798)),"-")</f>
        <v>-</v>
      </c>
      <c r="W1799" s="27" t="str">
        <f t="shared" si="976"/>
        <v>-</v>
      </c>
      <c r="X1799" s="27" t="str">
        <f>IFERROR(W1799*J1798,"-")</f>
        <v>-</v>
      </c>
      <c r="Z1799" s="94" t="s">
        <v>82</v>
      </c>
    </row>
    <row r="1800" spans="1:26" s="25" customFormat="1" ht="6.95" customHeight="1" x14ac:dyDescent="0.3">
      <c r="A1800" s="10"/>
      <c r="B1800" s="168"/>
      <c r="C1800" s="169"/>
      <c r="D1800" s="160"/>
      <c r="E1800" s="161"/>
      <c r="F1800" s="162"/>
      <c r="G1800" s="163"/>
      <c r="H1800" s="164"/>
      <c r="I1800" s="163"/>
      <c r="J1800" s="164"/>
      <c r="K1800" s="163"/>
      <c r="L1800" s="164"/>
      <c r="M1800" s="11"/>
      <c r="N1800" s="39"/>
      <c r="Q1800" s="15" t="str">
        <f>+CONCATENATE(E1798,K1798)</f>
        <v/>
      </c>
      <c r="R1800" s="15">
        <f>+L1798</f>
        <v>0</v>
      </c>
      <c r="S1800" s="16"/>
      <c r="T1800" s="15">
        <f>+E1798</f>
        <v>0</v>
      </c>
      <c r="U1800" s="26" t="str">
        <f>IFERROR(LEFT(K1798,FIND("*",K1798)-1),"-")</f>
        <v>-</v>
      </c>
      <c r="V1800" s="26" t="str">
        <f>IFERROR(RIGHT(K1798,LEN(K1798)-FIND("*",K1798)),"-")</f>
        <v>-</v>
      </c>
      <c r="W1800" s="27" t="str">
        <f t="shared" si="976"/>
        <v>-</v>
      </c>
      <c r="X1800" s="27" t="str">
        <f>IFERROR(W1800*L1798,"-")</f>
        <v>-</v>
      </c>
      <c r="Z1800" s="94" t="s">
        <v>82</v>
      </c>
    </row>
    <row r="1801" spans="1:26" s="25" customFormat="1" ht="6.95" customHeight="1" x14ac:dyDescent="0.3">
      <c r="A1801" s="13"/>
      <c r="B1801" s="168"/>
      <c r="C1801" s="169"/>
      <c r="D1801" s="160" t="s">
        <v>39</v>
      </c>
      <c r="E1801" s="161"/>
      <c r="F1801" s="162" t="s">
        <v>40</v>
      </c>
      <c r="G1801" s="163"/>
      <c r="H1801" s="164"/>
      <c r="I1801" s="163"/>
      <c r="J1801" s="164"/>
      <c r="K1801" s="163"/>
      <c r="L1801" s="164"/>
      <c r="M1801" s="11"/>
      <c r="N1801" s="39"/>
      <c r="Q1801" s="15" t="str">
        <f>+CONCATENATE(E1801,G1801)</f>
        <v/>
      </c>
      <c r="R1801" s="15">
        <f>+H1801</f>
        <v>0</v>
      </c>
      <c r="S1801" s="16"/>
      <c r="T1801" s="15">
        <f>+E1801</f>
        <v>0</v>
      </c>
      <c r="U1801" s="26" t="str">
        <f t="shared" ref="U1801" si="979">IFERROR(LEFT(G1801,FIND("*",G1801)-1),"-")</f>
        <v>-</v>
      </c>
      <c r="V1801" s="26" t="str">
        <f t="shared" ref="V1801" si="980">IFERROR(RIGHT(G1801,LEN(G1801)-FIND("*",G1801)),"-")</f>
        <v>-</v>
      </c>
      <c r="W1801" s="27" t="str">
        <f t="shared" si="976"/>
        <v>-</v>
      </c>
      <c r="X1801" s="27" t="str">
        <f>IFERROR(W1801*H1801,"-")</f>
        <v>-</v>
      </c>
      <c r="Z1801" s="94" t="s">
        <v>82</v>
      </c>
    </row>
    <row r="1802" spans="1:26" s="25" customFormat="1" ht="6.95" customHeight="1" x14ac:dyDescent="0.3">
      <c r="A1802" s="10"/>
      <c r="B1802" s="168"/>
      <c r="C1802" s="169"/>
      <c r="D1802" s="160"/>
      <c r="E1802" s="161"/>
      <c r="F1802" s="162"/>
      <c r="G1802" s="163"/>
      <c r="H1802" s="164"/>
      <c r="I1802" s="163"/>
      <c r="J1802" s="164"/>
      <c r="K1802" s="163"/>
      <c r="L1802" s="164"/>
      <c r="M1802" s="11"/>
      <c r="N1802" s="39"/>
      <c r="Q1802" s="15" t="str">
        <f>+CONCATENATE(E1801,I1801)</f>
        <v/>
      </c>
      <c r="R1802" s="15">
        <f>+J1801</f>
        <v>0</v>
      </c>
      <c r="S1802" s="16"/>
      <c r="T1802" s="15">
        <f>+E1801</f>
        <v>0</v>
      </c>
      <c r="U1802" s="26" t="str">
        <f>IFERROR(LEFT(I1801,FIND("*",I1801)-1),"-")</f>
        <v>-</v>
      </c>
      <c r="V1802" s="26" t="str">
        <f>IFERROR(RIGHT(I1801,LEN(I1801)-FIND("*",I1801)),"-")</f>
        <v>-</v>
      </c>
      <c r="W1802" s="27" t="str">
        <f t="shared" si="976"/>
        <v>-</v>
      </c>
      <c r="X1802" s="27" t="str">
        <f t="shared" ref="X1802" si="981">IFERROR(W1802*J1801,"-")</f>
        <v>-</v>
      </c>
      <c r="Z1802" s="94" t="s">
        <v>82</v>
      </c>
    </row>
    <row r="1803" spans="1:26" s="25" customFormat="1" ht="6.95" customHeight="1" x14ac:dyDescent="0.3">
      <c r="A1803" s="10"/>
      <c r="B1803" s="168"/>
      <c r="C1803" s="169"/>
      <c r="D1803" s="160"/>
      <c r="E1803" s="161"/>
      <c r="F1803" s="162"/>
      <c r="G1803" s="163"/>
      <c r="H1803" s="164"/>
      <c r="I1803" s="163"/>
      <c r="J1803" s="164"/>
      <c r="K1803" s="163"/>
      <c r="L1803" s="164"/>
      <c r="M1803" s="11"/>
      <c r="N1803" s="39"/>
      <c r="Q1803" s="15" t="str">
        <f>+CONCATENATE(E1801,K1801)</f>
        <v/>
      </c>
      <c r="R1803" s="15">
        <f>+L1801</f>
        <v>0</v>
      </c>
      <c r="S1803" s="16"/>
      <c r="T1803" s="15">
        <f>+E1801</f>
        <v>0</v>
      </c>
      <c r="U1803" s="26" t="str">
        <f>IFERROR(LEFT(K1801,FIND("*",K1801)-1),"-")</f>
        <v>-</v>
      </c>
      <c r="V1803" s="26" t="str">
        <f>IFERROR(RIGHT(K1801,LEN(K1801)-FIND("*",K1801)),"-")</f>
        <v>-</v>
      </c>
      <c r="W1803" s="27" t="str">
        <f t="shared" si="976"/>
        <v>-</v>
      </c>
      <c r="X1803" s="27" t="str">
        <f>IFERROR(W1803*L1801,"-")</f>
        <v>-</v>
      </c>
      <c r="Z1803" s="94" t="s">
        <v>82</v>
      </c>
    </row>
    <row r="1804" spans="1:26" s="25" customFormat="1" ht="21" customHeight="1" thickBot="1" x14ac:dyDescent="0.35">
      <c r="A1804" s="10"/>
      <c r="B1804" s="170"/>
      <c r="C1804" s="171"/>
      <c r="D1804" s="172" t="s">
        <v>43</v>
      </c>
      <c r="E1804" s="173"/>
      <c r="F1804" s="173"/>
      <c r="G1804" s="174"/>
      <c r="H1804" s="174"/>
      <c r="I1804" s="174"/>
      <c r="J1804" s="174"/>
      <c r="K1804" s="174"/>
      <c r="L1804" s="174"/>
      <c r="M1804" s="12"/>
      <c r="N1804" s="39"/>
      <c r="U1804" s="23"/>
      <c r="V1804" s="23"/>
      <c r="Z1804" s="95" t="s">
        <v>81</v>
      </c>
    </row>
    <row r="1805" spans="1:26" s="25" customFormat="1" ht="9.9499999999999993" customHeight="1" thickBot="1" x14ac:dyDescent="0.35">
      <c r="A1805" s="6"/>
      <c r="B1805" s="14"/>
      <c r="C1805" s="119"/>
      <c r="D1805" s="58"/>
      <c r="E1805" s="17"/>
      <c r="F1805" s="58"/>
      <c r="G1805" s="19"/>
      <c r="H1805" s="19"/>
      <c r="I1805" s="19"/>
      <c r="J1805" s="19"/>
      <c r="K1805" s="19"/>
      <c r="L1805" s="19"/>
      <c r="M1805" s="14"/>
      <c r="N1805" s="39"/>
      <c r="Q1805" s="1"/>
      <c r="R1805" s="1"/>
      <c r="S1805" s="1"/>
      <c r="T1805" s="1"/>
      <c r="U1805" s="24"/>
      <c r="V1805" s="24"/>
      <c r="W1805" s="1"/>
      <c r="X1805" s="1"/>
      <c r="Z1805" s="94" t="s">
        <v>82</v>
      </c>
    </row>
    <row r="1806" spans="1:26" s="25" customFormat="1" ht="6.95" customHeight="1" x14ac:dyDescent="0.3">
      <c r="A1806" s="165">
        <f>+A1795+1</f>
        <v>165</v>
      </c>
      <c r="B1806" s="166"/>
      <c r="C1806" s="167"/>
      <c r="D1806" s="160" t="s">
        <v>39</v>
      </c>
      <c r="E1806" s="161"/>
      <c r="F1806" s="162" t="s">
        <v>40</v>
      </c>
      <c r="G1806" s="163"/>
      <c r="H1806" s="164"/>
      <c r="I1806" s="163"/>
      <c r="J1806" s="164"/>
      <c r="K1806" s="163"/>
      <c r="L1806" s="164"/>
      <c r="M1806" s="11"/>
      <c r="N1806" s="39"/>
      <c r="Q1806" s="15" t="str">
        <f>+CONCATENATE(E1806,G1806)</f>
        <v/>
      </c>
      <c r="R1806" s="15">
        <f>+H1806</f>
        <v>0</v>
      </c>
      <c r="S1806" s="16"/>
      <c r="T1806" s="15">
        <f>+E1806</f>
        <v>0</v>
      </c>
      <c r="U1806" s="26" t="str">
        <f>IFERROR(LEFT(G1806,FIND("*",G1806)-1),"-")</f>
        <v>-</v>
      </c>
      <c r="V1806" s="26" t="str">
        <f>IFERROR(RIGHT(G1806,LEN(G1806)-FIND("*",G1806)),"-")</f>
        <v>-</v>
      </c>
      <c r="W1806" s="27" t="str">
        <f>IFERROR((U1806+V1806)*2/1000,"-")</f>
        <v>-</v>
      </c>
      <c r="X1806" s="27" t="str">
        <f>IFERROR(W1806*H1806,"-")</f>
        <v>-</v>
      </c>
      <c r="Z1806" s="94" t="s">
        <v>82</v>
      </c>
    </row>
    <row r="1807" spans="1:26" s="25" customFormat="1" ht="6.95" customHeight="1" x14ac:dyDescent="0.3">
      <c r="A1807" s="165"/>
      <c r="B1807" s="168"/>
      <c r="C1807" s="169"/>
      <c r="D1807" s="160"/>
      <c r="E1807" s="161"/>
      <c r="F1807" s="162"/>
      <c r="G1807" s="163"/>
      <c r="H1807" s="164"/>
      <c r="I1807" s="163"/>
      <c r="J1807" s="164"/>
      <c r="K1807" s="163"/>
      <c r="L1807" s="164"/>
      <c r="M1807" s="11"/>
      <c r="N1807" s="39"/>
      <c r="Q1807" s="15" t="str">
        <f>+CONCATENATE(E1806,I1806)</f>
        <v/>
      </c>
      <c r="R1807" s="15">
        <f>+J1806</f>
        <v>0</v>
      </c>
      <c r="S1807" s="16"/>
      <c r="T1807" s="15">
        <f>+E1806</f>
        <v>0</v>
      </c>
      <c r="U1807" s="26" t="str">
        <f>IFERROR(LEFT(I1806,FIND("*",I1806)-1),"-")</f>
        <v>-</v>
      </c>
      <c r="V1807" s="26" t="str">
        <f>IFERROR(RIGHT(I1806,LEN(I1806)-FIND("*",I1806)),"-")</f>
        <v>-</v>
      </c>
      <c r="W1807" s="27" t="str">
        <f t="shared" ref="W1807:W1814" si="982">IFERROR((U1807+V1807)*2/1000,"-")</f>
        <v>-</v>
      </c>
      <c r="X1807" s="27" t="str">
        <f>IFERROR(W1807*J1806,"-")</f>
        <v>-</v>
      </c>
      <c r="Z1807" s="94" t="s">
        <v>82</v>
      </c>
    </row>
    <row r="1808" spans="1:26" s="25" customFormat="1" ht="6.95" customHeight="1" x14ac:dyDescent="0.3">
      <c r="A1808" s="165"/>
      <c r="B1808" s="168"/>
      <c r="C1808" s="169"/>
      <c r="D1808" s="160"/>
      <c r="E1808" s="161"/>
      <c r="F1808" s="162"/>
      <c r="G1808" s="163"/>
      <c r="H1808" s="164"/>
      <c r="I1808" s="163"/>
      <c r="J1808" s="164"/>
      <c r="K1808" s="163"/>
      <c r="L1808" s="164"/>
      <c r="M1808" s="11"/>
      <c r="N1808" s="39"/>
      <c r="Q1808" s="15" t="str">
        <f>+CONCATENATE(E1806,K1806)</f>
        <v/>
      </c>
      <c r="R1808" s="15">
        <f>+L1806</f>
        <v>0</v>
      </c>
      <c r="S1808" s="16"/>
      <c r="T1808" s="15">
        <f>+E1806</f>
        <v>0</v>
      </c>
      <c r="U1808" s="26" t="str">
        <f>IFERROR(LEFT(K1806,FIND("*",K1806)-1),"-")</f>
        <v>-</v>
      </c>
      <c r="V1808" s="26" t="str">
        <f>IFERROR(RIGHT(K1806,LEN(K1806)-FIND("*",K1806)),"-")</f>
        <v>-</v>
      </c>
      <c r="W1808" s="27" t="str">
        <f t="shared" si="982"/>
        <v>-</v>
      </c>
      <c r="X1808" s="27" t="str">
        <f>IFERROR(W1808*L1806,"-")</f>
        <v>-</v>
      </c>
      <c r="Z1808" s="94" t="s">
        <v>82</v>
      </c>
    </row>
    <row r="1809" spans="1:26" s="25" customFormat="1" ht="6.95" customHeight="1" x14ac:dyDescent="0.3">
      <c r="A1809" s="13"/>
      <c r="B1809" s="168"/>
      <c r="C1809" s="169"/>
      <c r="D1809" s="160" t="s">
        <v>39</v>
      </c>
      <c r="E1809" s="161"/>
      <c r="F1809" s="162" t="s">
        <v>40</v>
      </c>
      <c r="G1809" s="163"/>
      <c r="H1809" s="164"/>
      <c r="I1809" s="163"/>
      <c r="J1809" s="164"/>
      <c r="K1809" s="163"/>
      <c r="L1809" s="164"/>
      <c r="M1809" s="11"/>
      <c r="N1809" s="39"/>
      <c r="Q1809" s="15" t="str">
        <f>+CONCATENATE(E1809,G1809)</f>
        <v/>
      </c>
      <c r="R1809" s="15">
        <f>+H1809</f>
        <v>0</v>
      </c>
      <c r="S1809" s="16"/>
      <c r="T1809" s="15">
        <f>+E1809</f>
        <v>0</v>
      </c>
      <c r="U1809" s="26" t="str">
        <f t="shared" ref="U1809" si="983">IFERROR(LEFT(G1809,FIND("*",G1809)-1),"-")</f>
        <v>-</v>
      </c>
      <c r="V1809" s="26" t="str">
        <f t="shared" ref="V1809" si="984">IFERROR(RIGHT(G1809,LEN(G1809)-FIND("*",G1809)),"-")</f>
        <v>-</v>
      </c>
      <c r="W1809" s="27" t="str">
        <f t="shared" si="982"/>
        <v>-</v>
      </c>
      <c r="X1809" s="27" t="str">
        <f>IFERROR(W1809*H1809,"-")</f>
        <v>-</v>
      </c>
      <c r="Z1809" s="94" t="s">
        <v>82</v>
      </c>
    </row>
    <row r="1810" spans="1:26" s="25" customFormat="1" ht="6.95" customHeight="1" x14ac:dyDescent="0.3">
      <c r="A1810" s="10"/>
      <c r="B1810" s="168"/>
      <c r="C1810" s="169"/>
      <c r="D1810" s="160"/>
      <c r="E1810" s="161"/>
      <c r="F1810" s="162"/>
      <c r="G1810" s="163"/>
      <c r="H1810" s="164"/>
      <c r="I1810" s="163"/>
      <c r="J1810" s="164"/>
      <c r="K1810" s="163"/>
      <c r="L1810" s="164"/>
      <c r="M1810" s="11"/>
      <c r="N1810" s="39"/>
      <c r="Q1810" s="15" t="str">
        <f>+CONCATENATE(E1809,I1809)</f>
        <v/>
      </c>
      <c r="R1810" s="15">
        <f>+J1809</f>
        <v>0</v>
      </c>
      <c r="S1810" s="16"/>
      <c r="T1810" s="15">
        <f>+E1809</f>
        <v>0</v>
      </c>
      <c r="U1810" s="26" t="str">
        <f>IFERROR(LEFT(I1809,FIND("*",I1809)-1),"-")</f>
        <v>-</v>
      </c>
      <c r="V1810" s="26" t="str">
        <f>IFERROR(RIGHT(I1809,LEN(I1809)-FIND("*",I1809)),"-")</f>
        <v>-</v>
      </c>
      <c r="W1810" s="27" t="str">
        <f t="shared" si="982"/>
        <v>-</v>
      </c>
      <c r="X1810" s="27" t="str">
        <f>IFERROR(W1810*J1809,"-")</f>
        <v>-</v>
      </c>
      <c r="Z1810" s="94" t="s">
        <v>82</v>
      </c>
    </row>
    <row r="1811" spans="1:26" s="25" customFormat="1" ht="6.95" customHeight="1" x14ac:dyDescent="0.3">
      <c r="A1811" s="10"/>
      <c r="B1811" s="168"/>
      <c r="C1811" s="169"/>
      <c r="D1811" s="160"/>
      <c r="E1811" s="161"/>
      <c r="F1811" s="162"/>
      <c r="G1811" s="163"/>
      <c r="H1811" s="164"/>
      <c r="I1811" s="163"/>
      <c r="J1811" s="164"/>
      <c r="K1811" s="163"/>
      <c r="L1811" s="164"/>
      <c r="M1811" s="11"/>
      <c r="N1811" s="39"/>
      <c r="Q1811" s="15" t="str">
        <f>+CONCATENATE(E1809,K1809)</f>
        <v/>
      </c>
      <c r="R1811" s="15">
        <f>+L1809</f>
        <v>0</v>
      </c>
      <c r="S1811" s="16"/>
      <c r="T1811" s="15">
        <f>+E1809</f>
        <v>0</v>
      </c>
      <c r="U1811" s="26" t="str">
        <f>IFERROR(LEFT(K1809,FIND("*",K1809)-1),"-")</f>
        <v>-</v>
      </c>
      <c r="V1811" s="26" t="str">
        <f>IFERROR(RIGHT(K1809,LEN(K1809)-FIND("*",K1809)),"-")</f>
        <v>-</v>
      </c>
      <c r="W1811" s="27" t="str">
        <f t="shared" si="982"/>
        <v>-</v>
      </c>
      <c r="X1811" s="27" t="str">
        <f>IFERROR(W1811*L1809,"-")</f>
        <v>-</v>
      </c>
      <c r="Z1811" s="94" t="s">
        <v>82</v>
      </c>
    </row>
    <row r="1812" spans="1:26" s="25" customFormat="1" ht="6.95" customHeight="1" x14ac:dyDescent="0.3">
      <c r="A1812" s="13"/>
      <c r="B1812" s="168"/>
      <c r="C1812" s="169"/>
      <c r="D1812" s="160" t="s">
        <v>39</v>
      </c>
      <c r="E1812" s="161"/>
      <c r="F1812" s="162" t="s">
        <v>40</v>
      </c>
      <c r="G1812" s="163"/>
      <c r="H1812" s="164"/>
      <c r="I1812" s="163"/>
      <c r="J1812" s="164"/>
      <c r="K1812" s="163"/>
      <c r="L1812" s="164"/>
      <c r="M1812" s="11"/>
      <c r="N1812" s="39"/>
      <c r="Q1812" s="15" t="str">
        <f>+CONCATENATE(E1812,G1812)</f>
        <v/>
      </c>
      <c r="R1812" s="15">
        <f>+H1812</f>
        <v>0</v>
      </c>
      <c r="S1812" s="16"/>
      <c r="T1812" s="15">
        <f>+E1812</f>
        <v>0</v>
      </c>
      <c r="U1812" s="26" t="str">
        <f t="shared" ref="U1812" si="985">IFERROR(LEFT(G1812,FIND("*",G1812)-1),"-")</f>
        <v>-</v>
      </c>
      <c r="V1812" s="26" t="str">
        <f t="shared" ref="V1812" si="986">IFERROR(RIGHT(G1812,LEN(G1812)-FIND("*",G1812)),"-")</f>
        <v>-</v>
      </c>
      <c r="W1812" s="27" t="str">
        <f t="shared" si="982"/>
        <v>-</v>
      </c>
      <c r="X1812" s="27" t="str">
        <f>IFERROR(W1812*H1812,"-")</f>
        <v>-</v>
      </c>
      <c r="Z1812" s="94" t="s">
        <v>82</v>
      </c>
    </row>
    <row r="1813" spans="1:26" s="25" customFormat="1" ht="6.95" customHeight="1" x14ac:dyDescent="0.3">
      <c r="A1813" s="10"/>
      <c r="B1813" s="168"/>
      <c r="C1813" s="169"/>
      <c r="D1813" s="160"/>
      <c r="E1813" s="161"/>
      <c r="F1813" s="162"/>
      <c r="G1813" s="163"/>
      <c r="H1813" s="164"/>
      <c r="I1813" s="163"/>
      <c r="J1813" s="164"/>
      <c r="K1813" s="163"/>
      <c r="L1813" s="164"/>
      <c r="M1813" s="11"/>
      <c r="N1813" s="39"/>
      <c r="Q1813" s="15" t="str">
        <f>+CONCATENATE(E1812,I1812)</f>
        <v/>
      </c>
      <c r="R1813" s="15">
        <f>+J1812</f>
        <v>0</v>
      </c>
      <c r="S1813" s="16"/>
      <c r="T1813" s="15">
        <f>+E1812</f>
        <v>0</v>
      </c>
      <c r="U1813" s="26" t="str">
        <f>IFERROR(LEFT(I1812,FIND("*",I1812)-1),"-")</f>
        <v>-</v>
      </c>
      <c r="V1813" s="26" t="str">
        <f>IFERROR(RIGHT(I1812,LEN(I1812)-FIND("*",I1812)),"-")</f>
        <v>-</v>
      </c>
      <c r="W1813" s="27" t="str">
        <f t="shared" si="982"/>
        <v>-</v>
      </c>
      <c r="X1813" s="27" t="str">
        <f t="shared" ref="X1813" si="987">IFERROR(W1813*J1812,"-")</f>
        <v>-</v>
      </c>
      <c r="Z1813" s="94" t="s">
        <v>82</v>
      </c>
    </row>
    <row r="1814" spans="1:26" s="25" customFormat="1" ht="6.95" customHeight="1" x14ac:dyDescent="0.3">
      <c r="A1814" s="10"/>
      <c r="B1814" s="168"/>
      <c r="C1814" s="169"/>
      <c r="D1814" s="160"/>
      <c r="E1814" s="161"/>
      <c r="F1814" s="162"/>
      <c r="G1814" s="163"/>
      <c r="H1814" s="164"/>
      <c r="I1814" s="163"/>
      <c r="J1814" s="164"/>
      <c r="K1814" s="163"/>
      <c r="L1814" s="164"/>
      <c r="M1814" s="11"/>
      <c r="N1814" s="39"/>
      <c r="Q1814" s="15" t="str">
        <f>+CONCATENATE(E1812,K1812)</f>
        <v/>
      </c>
      <c r="R1814" s="15">
        <f>+L1812</f>
        <v>0</v>
      </c>
      <c r="S1814" s="16"/>
      <c r="T1814" s="15">
        <f>+E1812</f>
        <v>0</v>
      </c>
      <c r="U1814" s="26" t="str">
        <f>IFERROR(LEFT(K1812,FIND("*",K1812)-1),"-")</f>
        <v>-</v>
      </c>
      <c r="V1814" s="26" t="str">
        <f>IFERROR(RIGHT(K1812,LEN(K1812)-FIND("*",K1812)),"-")</f>
        <v>-</v>
      </c>
      <c r="W1814" s="27" t="str">
        <f t="shared" si="982"/>
        <v>-</v>
      </c>
      <c r="X1814" s="27" t="str">
        <f>IFERROR(W1814*L1812,"-")</f>
        <v>-</v>
      </c>
      <c r="Z1814" s="94" t="s">
        <v>82</v>
      </c>
    </row>
    <row r="1815" spans="1:26" s="25" customFormat="1" ht="21" customHeight="1" thickBot="1" x14ac:dyDescent="0.35">
      <c r="A1815" s="10"/>
      <c r="B1815" s="170"/>
      <c r="C1815" s="171"/>
      <c r="D1815" s="172" t="s">
        <v>43</v>
      </c>
      <c r="E1815" s="173"/>
      <c r="F1815" s="173"/>
      <c r="G1815" s="174"/>
      <c r="H1815" s="174"/>
      <c r="I1815" s="174"/>
      <c r="J1815" s="174"/>
      <c r="K1815" s="174"/>
      <c r="L1815" s="174"/>
      <c r="M1815" s="12"/>
      <c r="N1815" s="39"/>
      <c r="U1815" s="23"/>
      <c r="V1815" s="23"/>
      <c r="Z1815" s="95" t="s">
        <v>81</v>
      </c>
    </row>
    <row r="1816" spans="1:26" s="25" customFormat="1" ht="9.9499999999999993" customHeight="1" thickBot="1" x14ac:dyDescent="0.35">
      <c r="A1816" s="6"/>
      <c r="B1816" s="14"/>
      <c r="C1816" s="119"/>
      <c r="D1816" s="58"/>
      <c r="E1816" s="17"/>
      <c r="F1816" s="58"/>
      <c r="G1816" s="19"/>
      <c r="H1816" s="19"/>
      <c r="I1816" s="19"/>
      <c r="J1816" s="19"/>
      <c r="K1816" s="19"/>
      <c r="L1816" s="19"/>
      <c r="M1816" s="14"/>
      <c r="N1816" s="39"/>
      <c r="Q1816" s="1"/>
      <c r="R1816" s="1"/>
      <c r="S1816" s="1"/>
      <c r="T1816" s="1"/>
      <c r="U1816" s="24"/>
      <c r="V1816" s="24"/>
      <c r="W1816" s="1"/>
      <c r="X1816" s="1"/>
      <c r="Z1816" s="94" t="s">
        <v>82</v>
      </c>
    </row>
    <row r="1817" spans="1:26" s="25" customFormat="1" ht="6.95" customHeight="1" x14ac:dyDescent="0.3">
      <c r="A1817" s="165">
        <f>+A1806+1</f>
        <v>166</v>
      </c>
      <c r="B1817" s="166"/>
      <c r="C1817" s="167"/>
      <c r="D1817" s="160" t="s">
        <v>39</v>
      </c>
      <c r="E1817" s="161"/>
      <c r="F1817" s="162" t="s">
        <v>40</v>
      </c>
      <c r="G1817" s="163"/>
      <c r="H1817" s="164"/>
      <c r="I1817" s="163"/>
      <c r="J1817" s="164"/>
      <c r="K1817" s="163"/>
      <c r="L1817" s="164"/>
      <c r="M1817" s="11"/>
      <c r="N1817" s="39"/>
      <c r="Q1817" s="15" t="str">
        <f>+CONCATENATE(E1817,G1817)</f>
        <v/>
      </c>
      <c r="R1817" s="15">
        <f>+H1817</f>
        <v>0</v>
      </c>
      <c r="S1817" s="16"/>
      <c r="T1817" s="15">
        <f>+E1817</f>
        <v>0</v>
      </c>
      <c r="U1817" s="26" t="str">
        <f>IFERROR(LEFT(G1817,FIND("*",G1817)-1),"-")</f>
        <v>-</v>
      </c>
      <c r="V1817" s="26" t="str">
        <f>IFERROR(RIGHT(G1817,LEN(G1817)-FIND("*",G1817)),"-")</f>
        <v>-</v>
      </c>
      <c r="W1817" s="27" t="str">
        <f>IFERROR((U1817+V1817)*2/1000,"-")</f>
        <v>-</v>
      </c>
      <c r="X1817" s="27" t="str">
        <f>IFERROR(W1817*H1817,"-")</f>
        <v>-</v>
      </c>
      <c r="Z1817" s="94" t="s">
        <v>82</v>
      </c>
    </row>
    <row r="1818" spans="1:26" s="25" customFormat="1" ht="6.95" customHeight="1" x14ac:dyDescent="0.3">
      <c r="A1818" s="165"/>
      <c r="B1818" s="168"/>
      <c r="C1818" s="169"/>
      <c r="D1818" s="160"/>
      <c r="E1818" s="161"/>
      <c r="F1818" s="162"/>
      <c r="G1818" s="163"/>
      <c r="H1818" s="164"/>
      <c r="I1818" s="163"/>
      <c r="J1818" s="164"/>
      <c r="K1818" s="163"/>
      <c r="L1818" s="164"/>
      <c r="M1818" s="11"/>
      <c r="N1818" s="39"/>
      <c r="Q1818" s="15" t="str">
        <f>+CONCATENATE(E1817,I1817)</f>
        <v/>
      </c>
      <c r="R1818" s="15">
        <f>+J1817</f>
        <v>0</v>
      </c>
      <c r="S1818" s="16"/>
      <c r="T1818" s="15">
        <f>+E1817</f>
        <v>0</v>
      </c>
      <c r="U1818" s="26" t="str">
        <f>IFERROR(LEFT(I1817,FIND("*",I1817)-1),"-")</f>
        <v>-</v>
      </c>
      <c r="V1818" s="26" t="str">
        <f>IFERROR(RIGHT(I1817,LEN(I1817)-FIND("*",I1817)),"-")</f>
        <v>-</v>
      </c>
      <c r="W1818" s="27" t="str">
        <f t="shared" ref="W1818:W1825" si="988">IFERROR((U1818+V1818)*2/1000,"-")</f>
        <v>-</v>
      </c>
      <c r="X1818" s="27" t="str">
        <f>IFERROR(W1818*J1817,"-")</f>
        <v>-</v>
      </c>
      <c r="Z1818" s="94" t="s">
        <v>82</v>
      </c>
    </row>
    <row r="1819" spans="1:26" s="25" customFormat="1" ht="6.95" customHeight="1" x14ac:dyDescent="0.3">
      <c r="A1819" s="165"/>
      <c r="B1819" s="168"/>
      <c r="C1819" s="169"/>
      <c r="D1819" s="160"/>
      <c r="E1819" s="161"/>
      <c r="F1819" s="162"/>
      <c r="G1819" s="163"/>
      <c r="H1819" s="164"/>
      <c r="I1819" s="163"/>
      <c r="J1819" s="164"/>
      <c r="K1819" s="163"/>
      <c r="L1819" s="164"/>
      <c r="M1819" s="11"/>
      <c r="N1819" s="39"/>
      <c r="Q1819" s="15" t="str">
        <f>+CONCATENATE(E1817,K1817)</f>
        <v/>
      </c>
      <c r="R1819" s="15">
        <f>+L1817</f>
        <v>0</v>
      </c>
      <c r="S1819" s="16"/>
      <c r="T1819" s="15">
        <f>+E1817</f>
        <v>0</v>
      </c>
      <c r="U1819" s="26" t="str">
        <f>IFERROR(LEFT(K1817,FIND("*",K1817)-1),"-")</f>
        <v>-</v>
      </c>
      <c r="V1819" s="26" t="str">
        <f>IFERROR(RIGHT(K1817,LEN(K1817)-FIND("*",K1817)),"-")</f>
        <v>-</v>
      </c>
      <c r="W1819" s="27" t="str">
        <f t="shared" si="988"/>
        <v>-</v>
      </c>
      <c r="X1819" s="27" t="str">
        <f>IFERROR(W1819*L1817,"-")</f>
        <v>-</v>
      </c>
      <c r="Z1819" s="94" t="s">
        <v>82</v>
      </c>
    </row>
    <row r="1820" spans="1:26" s="25" customFormat="1" ht="6.95" customHeight="1" x14ac:dyDescent="0.3">
      <c r="A1820" s="13"/>
      <c r="B1820" s="168"/>
      <c r="C1820" s="169"/>
      <c r="D1820" s="160" t="s">
        <v>39</v>
      </c>
      <c r="E1820" s="161"/>
      <c r="F1820" s="162" t="s">
        <v>40</v>
      </c>
      <c r="G1820" s="163"/>
      <c r="H1820" s="164"/>
      <c r="I1820" s="163"/>
      <c r="J1820" s="164"/>
      <c r="K1820" s="163"/>
      <c r="L1820" s="164"/>
      <c r="M1820" s="11"/>
      <c r="N1820" s="39"/>
      <c r="Q1820" s="15" t="str">
        <f>+CONCATENATE(E1820,G1820)</f>
        <v/>
      </c>
      <c r="R1820" s="15">
        <f>+H1820</f>
        <v>0</v>
      </c>
      <c r="S1820" s="16"/>
      <c r="T1820" s="15">
        <f>+E1820</f>
        <v>0</v>
      </c>
      <c r="U1820" s="26" t="str">
        <f t="shared" ref="U1820" si="989">IFERROR(LEFT(G1820,FIND("*",G1820)-1),"-")</f>
        <v>-</v>
      </c>
      <c r="V1820" s="26" t="str">
        <f t="shared" ref="V1820" si="990">IFERROR(RIGHT(G1820,LEN(G1820)-FIND("*",G1820)),"-")</f>
        <v>-</v>
      </c>
      <c r="W1820" s="27" t="str">
        <f t="shared" si="988"/>
        <v>-</v>
      </c>
      <c r="X1820" s="27" t="str">
        <f>IFERROR(W1820*H1820,"-")</f>
        <v>-</v>
      </c>
      <c r="Z1820" s="94" t="s">
        <v>82</v>
      </c>
    </row>
    <row r="1821" spans="1:26" s="25" customFormat="1" ht="6.95" customHeight="1" x14ac:dyDescent="0.3">
      <c r="A1821" s="10"/>
      <c r="B1821" s="168"/>
      <c r="C1821" s="169"/>
      <c r="D1821" s="160"/>
      <c r="E1821" s="161"/>
      <c r="F1821" s="162"/>
      <c r="G1821" s="163"/>
      <c r="H1821" s="164"/>
      <c r="I1821" s="163"/>
      <c r="J1821" s="164"/>
      <c r="K1821" s="163"/>
      <c r="L1821" s="164"/>
      <c r="M1821" s="11"/>
      <c r="N1821" s="39"/>
      <c r="Q1821" s="15" t="str">
        <f>+CONCATENATE(E1820,I1820)</f>
        <v/>
      </c>
      <c r="R1821" s="15">
        <f>+J1820</f>
        <v>0</v>
      </c>
      <c r="S1821" s="16"/>
      <c r="T1821" s="15">
        <f>+E1820</f>
        <v>0</v>
      </c>
      <c r="U1821" s="26" t="str">
        <f>IFERROR(LEFT(I1820,FIND("*",I1820)-1),"-")</f>
        <v>-</v>
      </c>
      <c r="V1821" s="26" t="str">
        <f>IFERROR(RIGHT(I1820,LEN(I1820)-FIND("*",I1820)),"-")</f>
        <v>-</v>
      </c>
      <c r="W1821" s="27" t="str">
        <f t="shared" si="988"/>
        <v>-</v>
      </c>
      <c r="X1821" s="27" t="str">
        <f>IFERROR(W1821*J1820,"-")</f>
        <v>-</v>
      </c>
      <c r="Z1821" s="94" t="s">
        <v>82</v>
      </c>
    </row>
    <row r="1822" spans="1:26" s="25" customFormat="1" ht="6.95" customHeight="1" x14ac:dyDescent="0.3">
      <c r="A1822" s="10"/>
      <c r="B1822" s="168"/>
      <c r="C1822" s="169"/>
      <c r="D1822" s="160"/>
      <c r="E1822" s="161"/>
      <c r="F1822" s="162"/>
      <c r="G1822" s="163"/>
      <c r="H1822" s="164"/>
      <c r="I1822" s="163"/>
      <c r="J1822" s="164"/>
      <c r="K1822" s="163"/>
      <c r="L1822" s="164"/>
      <c r="M1822" s="11"/>
      <c r="N1822" s="39"/>
      <c r="Q1822" s="15" t="str">
        <f>+CONCATENATE(E1820,K1820)</f>
        <v/>
      </c>
      <c r="R1822" s="15">
        <f>+L1820</f>
        <v>0</v>
      </c>
      <c r="S1822" s="16"/>
      <c r="T1822" s="15">
        <f>+E1820</f>
        <v>0</v>
      </c>
      <c r="U1822" s="26" t="str">
        <f>IFERROR(LEFT(K1820,FIND("*",K1820)-1),"-")</f>
        <v>-</v>
      </c>
      <c r="V1822" s="26" t="str">
        <f>IFERROR(RIGHT(K1820,LEN(K1820)-FIND("*",K1820)),"-")</f>
        <v>-</v>
      </c>
      <c r="W1822" s="27" t="str">
        <f t="shared" si="988"/>
        <v>-</v>
      </c>
      <c r="X1822" s="27" t="str">
        <f>IFERROR(W1822*L1820,"-")</f>
        <v>-</v>
      </c>
      <c r="Z1822" s="94" t="s">
        <v>82</v>
      </c>
    </row>
    <row r="1823" spans="1:26" s="25" customFormat="1" ht="6.95" customHeight="1" x14ac:dyDescent="0.3">
      <c r="A1823" s="13"/>
      <c r="B1823" s="168"/>
      <c r="C1823" s="169"/>
      <c r="D1823" s="160" t="s">
        <v>39</v>
      </c>
      <c r="E1823" s="161"/>
      <c r="F1823" s="162" t="s">
        <v>40</v>
      </c>
      <c r="G1823" s="163"/>
      <c r="H1823" s="164"/>
      <c r="I1823" s="163"/>
      <c r="J1823" s="164"/>
      <c r="K1823" s="163"/>
      <c r="L1823" s="164"/>
      <c r="M1823" s="11"/>
      <c r="N1823" s="39"/>
      <c r="Q1823" s="15" t="str">
        <f>+CONCATENATE(E1823,G1823)</f>
        <v/>
      </c>
      <c r="R1823" s="15">
        <f>+H1823</f>
        <v>0</v>
      </c>
      <c r="S1823" s="16"/>
      <c r="T1823" s="15">
        <f>+E1823</f>
        <v>0</v>
      </c>
      <c r="U1823" s="26" t="str">
        <f t="shared" ref="U1823" si="991">IFERROR(LEFT(G1823,FIND("*",G1823)-1),"-")</f>
        <v>-</v>
      </c>
      <c r="V1823" s="26" t="str">
        <f t="shared" ref="V1823" si="992">IFERROR(RIGHT(G1823,LEN(G1823)-FIND("*",G1823)),"-")</f>
        <v>-</v>
      </c>
      <c r="W1823" s="27" t="str">
        <f t="shared" si="988"/>
        <v>-</v>
      </c>
      <c r="X1823" s="27" t="str">
        <f>IFERROR(W1823*H1823,"-")</f>
        <v>-</v>
      </c>
      <c r="Z1823" s="94" t="s">
        <v>82</v>
      </c>
    </row>
    <row r="1824" spans="1:26" s="25" customFormat="1" ht="6.95" customHeight="1" x14ac:dyDescent="0.3">
      <c r="A1824" s="10"/>
      <c r="B1824" s="168"/>
      <c r="C1824" s="169"/>
      <c r="D1824" s="160"/>
      <c r="E1824" s="161"/>
      <c r="F1824" s="162"/>
      <c r="G1824" s="163"/>
      <c r="H1824" s="164"/>
      <c r="I1824" s="163"/>
      <c r="J1824" s="164"/>
      <c r="K1824" s="163"/>
      <c r="L1824" s="164"/>
      <c r="M1824" s="11"/>
      <c r="N1824" s="39"/>
      <c r="Q1824" s="15" t="str">
        <f>+CONCATENATE(E1823,I1823)</f>
        <v/>
      </c>
      <c r="R1824" s="15">
        <f>+J1823</f>
        <v>0</v>
      </c>
      <c r="S1824" s="16"/>
      <c r="T1824" s="15">
        <f>+E1823</f>
        <v>0</v>
      </c>
      <c r="U1824" s="26" t="str">
        <f>IFERROR(LEFT(I1823,FIND("*",I1823)-1),"-")</f>
        <v>-</v>
      </c>
      <c r="V1824" s="26" t="str">
        <f>IFERROR(RIGHT(I1823,LEN(I1823)-FIND("*",I1823)),"-")</f>
        <v>-</v>
      </c>
      <c r="W1824" s="27" t="str">
        <f t="shared" si="988"/>
        <v>-</v>
      </c>
      <c r="X1824" s="27" t="str">
        <f t="shared" ref="X1824" si="993">IFERROR(W1824*J1823,"-")</f>
        <v>-</v>
      </c>
      <c r="Z1824" s="94" t="s">
        <v>82</v>
      </c>
    </row>
    <row r="1825" spans="1:26" s="25" customFormat="1" ht="6.95" customHeight="1" x14ac:dyDescent="0.3">
      <c r="A1825" s="10"/>
      <c r="B1825" s="168"/>
      <c r="C1825" s="169"/>
      <c r="D1825" s="160"/>
      <c r="E1825" s="161"/>
      <c r="F1825" s="162"/>
      <c r="G1825" s="163"/>
      <c r="H1825" s="164"/>
      <c r="I1825" s="163"/>
      <c r="J1825" s="164"/>
      <c r="K1825" s="163"/>
      <c r="L1825" s="164"/>
      <c r="M1825" s="11"/>
      <c r="N1825" s="39"/>
      <c r="Q1825" s="15" t="str">
        <f>+CONCATENATE(E1823,K1823)</f>
        <v/>
      </c>
      <c r="R1825" s="15">
        <f>+L1823</f>
        <v>0</v>
      </c>
      <c r="S1825" s="16"/>
      <c r="T1825" s="15">
        <f>+E1823</f>
        <v>0</v>
      </c>
      <c r="U1825" s="26" t="str">
        <f>IFERROR(LEFT(K1823,FIND("*",K1823)-1),"-")</f>
        <v>-</v>
      </c>
      <c r="V1825" s="26" t="str">
        <f>IFERROR(RIGHT(K1823,LEN(K1823)-FIND("*",K1823)),"-")</f>
        <v>-</v>
      </c>
      <c r="W1825" s="27" t="str">
        <f t="shared" si="988"/>
        <v>-</v>
      </c>
      <c r="X1825" s="27" t="str">
        <f>IFERROR(W1825*L1823,"-")</f>
        <v>-</v>
      </c>
      <c r="Z1825" s="94" t="s">
        <v>82</v>
      </c>
    </row>
    <row r="1826" spans="1:26" s="25" customFormat="1" ht="21" customHeight="1" thickBot="1" x14ac:dyDescent="0.35">
      <c r="A1826" s="10"/>
      <c r="B1826" s="170"/>
      <c r="C1826" s="171"/>
      <c r="D1826" s="172" t="s">
        <v>43</v>
      </c>
      <c r="E1826" s="173"/>
      <c r="F1826" s="173"/>
      <c r="G1826" s="174"/>
      <c r="H1826" s="174"/>
      <c r="I1826" s="174"/>
      <c r="J1826" s="174"/>
      <c r="K1826" s="174"/>
      <c r="L1826" s="174"/>
      <c r="M1826" s="12"/>
      <c r="N1826" s="39"/>
      <c r="U1826" s="23"/>
      <c r="V1826" s="23"/>
      <c r="Z1826" s="95" t="s">
        <v>81</v>
      </c>
    </row>
    <row r="1827" spans="1:26" s="25" customFormat="1" ht="9.9499999999999993" customHeight="1" thickBot="1" x14ac:dyDescent="0.35">
      <c r="A1827" s="6"/>
      <c r="B1827" s="14"/>
      <c r="C1827" s="119"/>
      <c r="D1827" s="58"/>
      <c r="E1827" s="17"/>
      <c r="F1827" s="58"/>
      <c r="G1827" s="19"/>
      <c r="H1827" s="19"/>
      <c r="I1827" s="19"/>
      <c r="J1827" s="19"/>
      <c r="K1827" s="19"/>
      <c r="L1827" s="19"/>
      <c r="M1827" s="14"/>
      <c r="N1827" s="39"/>
      <c r="Q1827" s="1"/>
      <c r="R1827" s="1"/>
      <c r="S1827" s="1"/>
      <c r="T1827" s="1"/>
      <c r="U1827" s="24"/>
      <c r="V1827" s="24"/>
      <c r="W1827" s="1"/>
      <c r="X1827" s="1"/>
      <c r="Z1827" s="94" t="s">
        <v>82</v>
      </c>
    </row>
    <row r="1828" spans="1:26" s="25" customFormat="1" ht="6.95" customHeight="1" x14ac:dyDescent="0.3">
      <c r="A1828" s="165">
        <f>+A1817+1</f>
        <v>167</v>
      </c>
      <c r="B1828" s="166"/>
      <c r="C1828" s="167"/>
      <c r="D1828" s="160" t="s">
        <v>39</v>
      </c>
      <c r="E1828" s="161"/>
      <c r="F1828" s="162" t="s">
        <v>40</v>
      </c>
      <c r="G1828" s="163"/>
      <c r="H1828" s="164"/>
      <c r="I1828" s="163"/>
      <c r="J1828" s="164"/>
      <c r="K1828" s="163"/>
      <c r="L1828" s="164"/>
      <c r="M1828" s="11"/>
      <c r="N1828" s="39"/>
      <c r="Q1828" s="15" t="str">
        <f>+CONCATENATE(E1828,G1828)</f>
        <v/>
      </c>
      <c r="R1828" s="15">
        <f>+H1828</f>
        <v>0</v>
      </c>
      <c r="S1828" s="16"/>
      <c r="T1828" s="15">
        <f>+E1828</f>
        <v>0</v>
      </c>
      <c r="U1828" s="26" t="str">
        <f>IFERROR(LEFT(G1828,FIND("*",G1828)-1),"-")</f>
        <v>-</v>
      </c>
      <c r="V1828" s="26" t="str">
        <f>IFERROR(RIGHT(G1828,LEN(G1828)-FIND("*",G1828)),"-")</f>
        <v>-</v>
      </c>
      <c r="W1828" s="27" t="str">
        <f>IFERROR((U1828+V1828)*2/1000,"-")</f>
        <v>-</v>
      </c>
      <c r="X1828" s="27" t="str">
        <f>IFERROR(W1828*H1828,"-")</f>
        <v>-</v>
      </c>
      <c r="Z1828" s="94" t="s">
        <v>82</v>
      </c>
    </row>
    <row r="1829" spans="1:26" s="25" customFormat="1" ht="6.95" customHeight="1" x14ac:dyDescent="0.3">
      <c r="A1829" s="165"/>
      <c r="B1829" s="168"/>
      <c r="C1829" s="169"/>
      <c r="D1829" s="160"/>
      <c r="E1829" s="161"/>
      <c r="F1829" s="162"/>
      <c r="G1829" s="163"/>
      <c r="H1829" s="164"/>
      <c r="I1829" s="163"/>
      <c r="J1829" s="164"/>
      <c r="K1829" s="163"/>
      <c r="L1829" s="164"/>
      <c r="M1829" s="11"/>
      <c r="N1829" s="39"/>
      <c r="Q1829" s="15" t="str">
        <f>+CONCATENATE(E1828,I1828)</f>
        <v/>
      </c>
      <c r="R1829" s="15">
        <f>+J1828</f>
        <v>0</v>
      </c>
      <c r="S1829" s="16"/>
      <c r="T1829" s="15">
        <f>+E1828</f>
        <v>0</v>
      </c>
      <c r="U1829" s="26" t="str">
        <f>IFERROR(LEFT(I1828,FIND("*",I1828)-1),"-")</f>
        <v>-</v>
      </c>
      <c r="V1829" s="26" t="str">
        <f>IFERROR(RIGHT(I1828,LEN(I1828)-FIND("*",I1828)),"-")</f>
        <v>-</v>
      </c>
      <c r="W1829" s="27" t="str">
        <f t="shared" ref="W1829:W1836" si="994">IFERROR((U1829+V1829)*2/1000,"-")</f>
        <v>-</v>
      </c>
      <c r="X1829" s="27" t="str">
        <f>IFERROR(W1829*J1828,"-")</f>
        <v>-</v>
      </c>
      <c r="Z1829" s="94" t="s">
        <v>82</v>
      </c>
    </row>
    <row r="1830" spans="1:26" s="25" customFormat="1" ht="6.95" customHeight="1" x14ac:dyDescent="0.3">
      <c r="A1830" s="165"/>
      <c r="B1830" s="168"/>
      <c r="C1830" s="169"/>
      <c r="D1830" s="160"/>
      <c r="E1830" s="161"/>
      <c r="F1830" s="162"/>
      <c r="G1830" s="163"/>
      <c r="H1830" s="164"/>
      <c r="I1830" s="163"/>
      <c r="J1830" s="164"/>
      <c r="K1830" s="163"/>
      <c r="L1830" s="164"/>
      <c r="M1830" s="11"/>
      <c r="N1830" s="39"/>
      <c r="Q1830" s="15" t="str">
        <f>+CONCATENATE(E1828,K1828)</f>
        <v/>
      </c>
      <c r="R1830" s="15">
        <f>+L1828</f>
        <v>0</v>
      </c>
      <c r="S1830" s="16"/>
      <c r="T1830" s="15">
        <f>+E1828</f>
        <v>0</v>
      </c>
      <c r="U1830" s="26" t="str">
        <f>IFERROR(LEFT(K1828,FIND("*",K1828)-1),"-")</f>
        <v>-</v>
      </c>
      <c r="V1830" s="26" t="str">
        <f>IFERROR(RIGHT(K1828,LEN(K1828)-FIND("*",K1828)),"-")</f>
        <v>-</v>
      </c>
      <c r="W1830" s="27" t="str">
        <f t="shared" si="994"/>
        <v>-</v>
      </c>
      <c r="X1830" s="27" t="str">
        <f>IFERROR(W1830*L1828,"-")</f>
        <v>-</v>
      </c>
      <c r="Z1830" s="94" t="s">
        <v>82</v>
      </c>
    </row>
    <row r="1831" spans="1:26" s="25" customFormat="1" ht="6.95" customHeight="1" x14ac:dyDescent="0.3">
      <c r="A1831" s="13"/>
      <c r="B1831" s="168"/>
      <c r="C1831" s="169"/>
      <c r="D1831" s="160" t="s">
        <v>39</v>
      </c>
      <c r="E1831" s="161"/>
      <c r="F1831" s="162" t="s">
        <v>40</v>
      </c>
      <c r="G1831" s="163"/>
      <c r="H1831" s="164"/>
      <c r="I1831" s="163"/>
      <c r="J1831" s="164"/>
      <c r="K1831" s="163"/>
      <c r="L1831" s="164"/>
      <c r="M1831" s="11"/>
      <c r="N1831" s="39"/>
      <c r="Q1831" s="15" t="str">
        <f>+CONCATENATE(E1831,G1831)</f>
        <v/>
      </c>
      <c r="R1831" s="15">
        <f>+H1831</f>
        <v>0</v>
      </c>
      <c r="S1831" s="16"/>
      <c r="T1831" s="15">
        <f>+E1831</f>
        <v>0</v>
      </c>
      <c r="U1831" s="26" t="str">
        <f t="shared" ref="U1831" si="995">IFERROR(LEFT(G1831,FIND("*",G1831)-1),"-")</f>
        <v>-</v>
      </c>
      <c r="V1831" s="26" t="str">
        <f t="shared" ref="V1831" si="996">IFERROR(RIGHT(G1831,LEN(G1831)-FIND("*",G1831)),"-")</f>
        <v>-</v>
      </c>
      <c r="W1831" s="27" t="str">
        <f t="shared" si="994"/>
        <v>-</v>
      </c>
      <c r="X1831" s="27" t="str">
        <f>IFERROR(W1831*H1831,"-")</f>
        <v>-</v>
      </c>
      <c r="Z1831" s="94" t="s">
        <v>82</v>
      </c>
    </row>
    <row r="1832" spans="1:26" s="25" customFormat="1" ht="6.95" customHeight="1" x14ac:dyDescent="0.3">
      <c r="A1832" s="10"/>
      <c r="B1832" s="168"/>
      <c r="C1832" s="169"/>
      <c r="D1832" s="160"/>
      <c r="E1832" s="161"/>
      <c r="F1832" s="162"/>
      <c r="G1832" s="163"/>
      <c r="H1832" s="164"/>
      <c r="I1832" s="163"/>
      <c r="J1832" s="164"/>
      <c r="K1832" s="163"/>
      <c r="L1832" s="164"/>
      <c r="M1832" s="11"/>
      <c r="N1832" s="39"/>
      <c r="Q1832" s="15" t="str">
        <f>+CONCATENATE(E1831,I1831)</f>
        <v/>
      </c>
      <c r="R1832" s="15">
        <f>+J1831</f>
        <v>0</v>
      </c>
      <c r="S1832" s="16"/>
      <c r="T1832" s="15">
        <f>+E1831</f>
        <v>0</v>
      </c>
      <c r="U1832" s="26" t="str">
        <f>IFERROR(LEFT(I1831,FIND("*",I1831)-1),"-")</f>
        <v>-</v>
      </c>
      <c r="V1832" s="26" t="str">
        <f>IFERROR(RIGHT(I1831,LEN(I1831)-FIND("*",I1831)),"-")</f>
        <v>-</v>
      </c>
      <c r="W1832" s="27" t="str">
        <f t="shared" si="994"/>
        <v>-</v>
      </c>
      <c r="X1832" s="27" t="str">
        <f>IFERROR(W1832*J1831,"-")</f>
        <v>-</v>
      </c>
      <c r="Z1832" s="94" t="s">
        <v>82</v>
      </c>
    </row>
    <row r="1833" spans="1:26" s="25" customFormat="1" ht="6.95" customHeight="1" x14ac:dyDescent="0.3">
      <c r="A1833" s="10"/>
      <c r="B1833" s="168"/>
      <c r="C1833" s="169"/>
      <c r="D1833" s="160"/>
      <c r="E1833" s="161"/>
      <c r="F1833" s="162"/>
      <c r="G1833" s="163"/>
      <c r="H1833" s="164"/>
      <c r="I1833" s="163"/>
      <c r="J1833" s="164"/>
      <c r="K1833" s="163"/>
      <c r="L1833" s="164"/>
      <c r="M1833" s="11"/>
      <c r="N1833" s="39"/>
      <c r="Q1833" s="15" t="str">
        <f>+CONCATENATE(E1831,K1831)</f>
        <v/>
      </c>
      <c r="R1833" s="15">
        <f>+L1831</f>
        <v>0</v>
      </c>
      <c r="S1833" s="16"/>
      <c r="T1833" s="15">
        <f>+E1831</f>
        <v>0</v>
      </c>
      <c r="U1833" s="26" t="str">
        <f>IFERROR(LEFT(K1831,FIND("*",K1831)-1),"-")</f>
        <v>-</v>
      </c>
      <c r="V1833" s="26" t="str">
        <f>IFERROR(RIGHT(K1831,LEN(K1831)-FIND("*",K1831)),"-")</f>
        <v>-</v>
      </c>
      <c r="W1833" s="27" t="str">
        <f t="shared" si="994"/>
        <v>-</v>
      </c>
      <c r="X1833" s="27" t="str">
        <f>IFERROR(W1833*L1831,"-")</f>
        <v>-</v>
      </c>
      <c r="Z1833" s="94" t="s">
        <v>82</v>
      </c>
    </row>
    <row r="1834" spans="1:26" s="25" customFormat="1" ht="6.95" customHeight="1" x14ac:dyDescent="0.3">
      <c r="A1834" s="13"/>
      <c r="B1834" s="168"/>
      <c r="C1834" s="169"/>
      <c r="D1834" s="160" t="s">
        <v>39</v>
      </c>
      <c r="E1834" s="161"/>
      <c r="F1834" s="162" t="s">
        <v>40</v>
      </c>
      <c r="G1834" s="163"/>
      <c r="H1834" s="164"/>
      <c r="I1834" s="163"/>
      <c r="J1834" s="164"/>
      <c r="K1834" s="163"/>
      <c r="L1834" s="164"/>
      <c r="M1834" s="11"/>
      <c r="N1834" s="39"/>
      <c r="Q1834" s="15" t="str">
        <f>+CONCATENATE(E1834,G1834)</f>
        <v/>
      </c>
      <c r="R1834" s="15">
        <f>+H1834</f>
        <v>0</v>
      </c>
      <c r="S1834" s="16"/>
      <c r="T1834" s="15">
        <f>+E1834</f>
        <v>0</v>
      </c>
      <c r="U1834" s="26" t="str">
        <f t="shared" ref="U1834" si="997">IFERROR(LEFT(G1834,FIND("*",G1834)-1),"-")</f>
        <v>-</v>
      </c>
      <c r="V1834" s="26" t="str">
        <f t="shared" ref="V1834" si="998">IFERROR(RIGHT(G1834,LEN(G1834)-FIND("*",G1834)),"-")</f>
        <v>-</v>
      </c>
      <c r="W1834" s="27" t="str">
        <f t="shared" si="994"/>
        <v>-</v>
      </c>
      <c r="X1834" s="27" t="str">
        <f>IFERROR(W1834*H1834,"-")</f>
        <v>-</v>
      </c>
      <c r="Z1834" s="94" t="s">
        <v>82</v>
      </c>
    </row>
    <row r="1835" spans="1:26" s="25" customFormat="1" ht="6.95" customHeight="1" x14ac:dyDescent="0.3">
      <c r="A1835" s="10"/>
      <c r="B1835" s="168"/>
      <c r="C1835" s="169"/>
      <c r="D1835" s="160"/>
      <c r="E1835" s="161"/>
      <c r="F1835" s="162"/>
      <c r="G1835" s="163"/>
      <c r="H1835" s="164"/>
      <c r="I1835" s="163"/>
      <c r="J1835" s="164"/>
      <c r="K1835" s="163"/>
      <c r="L1835" s="164"/>
      <c r="M1835" s="11"/>
      <c r="N1835" s="39"/>
      <c r="Q1835" s="15" t="str">
        <f>+CONCATENATE(E1834,I1834)</f>
        <v/>
      </c>
      <c r="R1835" s="15">
        <f>+J1834</f>
        <v>0</v>
      </c>
      <c r="S1835" s="16"/>
      <c r="T1835" s="15">
        <f>+E1834</f>
        <v>0</v>
      </c>
      <c r="U1835" s="26" t="str">
        <f>IFERROR(LEFT(I1834,FIND("*",I1834)-1),"-")</f>
        <v>-</v>
      </c>
      <c r="V1835" s="26" t="str">
        <f>IFERROR(RIGHT(I1834,LEN(I1834)-FIND("*",I1834)),"-")</f>
        <v>-</v>
      </c>
      <c r="W1835" s="27" t="str">
        <f t="shared" si="994"/>
        <v>-</v>
      </c>
      <c r="X1835" s="27" t="str">
        <f t="shared" ref="X1835" si="999">IFERROR(W1835*J1834,"-")</f>
        <v>-</v>
      </c>
      <c r="Z1835" s="94" t="s">
        <v>82</v>
      </c>
    </row>
    <row r="1836" spans="1:26" s="25" customFormat="1" ht="6.95" customHeight="1" x14ac:dyDescent="0.3">
      <c r="A1836" s="10"/>
      <c r="B1836" s="168"/>
      <c r="C1836" s="169"/>
      <c r="D1836" s="160"/>
      <c r="E1836" s="161"/>
      <c r="F1836" s="162"/>
      <c r="G1836" s="163"/>
      <c r="H1836" s="164"/>
      <c r="I1836" s="163"/>
      <c r="J1836" s="164"/>
      <c r="K1836" s="163"/>
      <c r="L1836" s="164"/>
      <c r="M1836" s="11"/>
      <c r="N1836" s="39"/>
      <c r="Q1836" s="15" t="str">
        <f>+CONCATENATE(E1834,K1834)</f>
        <v/>
      </c>
      <c r="R1836" s="15">
        <f>+L1834</f>
        <v>0</v>
      </c>
      <c r="S1836" s="16"/>
      <c r="T1836" s="15">
        <f>+E1834</f>
        <v>0</v>
      </c>
      <c r="U1836" s="26" t="str">
        <f>IFERROR(LEFT(K1834,FIND("*",K1834)-1),"-")</f>
        <v>-</v>
      </c>
      <c r="V1836" s="26" t="str">
        <f>IFERROR(RIGHT(K1834,LEN(K1834)-FIND("*",K1834)),"-")</f>
        <v>-</v>
      </c>
      <c r="W1836" s="27" t="str">
        <f t="shared" si="994"/>
        <v>-</v>
      </c>
      <c r="X1836" s="27" t="str">
        <f>IFERROR(W1836*L1834,"-")</f>
        <v>-</v>
      </c>
      <c r="Z1836" s="94" t="s">
        <v>82</v>
      </c>
    </row>
    <row r="1837" spans="1:26" s="25" customFormat="1" ht="21" customHeight="1" thickBot="1" x14ac:dyDescent="0.35">
      <c r="A1837" s="10"/>
      <c r="B1837" s="170"/>
      <c r="C1837" s="171"/>
      <c r="D1837" s="172" t="s">
        <v>43</v>
      </c>
      <c r="E1837" s="173"/>
      <c r="F1837" s="173"/>
      <c r="G1837" s="174"/>
      <c r="H1837" s="174"/>
      <c r="I1837" s="174"/>
      <c r="J1837" s="174"/>
      <c r="K1837" s="174"/>
      <c r="L1837" s="174"/>
      <c r="M1837" s="12"/>
      <c r="N1837" s="39"/>
      <c r="U1837" s="23"/>
      <c r="V1837" s="23"/>
      <c r="Z1837" s="95" t="s">
        <v>81</v>
      </c>
    </row>
    <row r="1838" spans="1:26" s="25" customFormat="1" ht="9.9499999999999993" customHeight="1" thickBot="1" x14ac:dyDescent="0.35">
      <c r="A1838" s="6"/>
      <c r="B1838" s="14"/>
      <c r="C1838" s="119"/>
      <c r="D1838" s="58"/>
      <c r="E1838" s="17"/>
      <c r="F1838" s="58"/>
      <c r="G1838" s="19"/>
      <c r="H1838" s="19"/>
      <c r="I1838" s="19"/>
      <c r="J1838" s="19"/>
      <c r="K1838" s="19"/>
      <c r="L1838" s="19"/>
      <c r="M1838" s="14"/>
      <c r="N1838" s="39"/>
      <c r="Q1838" s="1"/>
      <c r="R1838" s="1"/>
      <c r="S1838" s="1"/>
      <c r="T1838" s="1"/>
      <c r="U1838" s="24"/>
      <c r="V1838" s="24"/>
      <c r="W1838" s="1"/>
      <c r="X1838" s="1"/>
      <c r="Z1838" s="94" t="s">
        <v>82</v>
      </c>
    </row>
    <row r="1839" spans="1:26" s="25" customFormat="1" ht="6.95" customHeight="1" x14ac:dyDescent="0.3">
      <c r="A1839" s="165">
        <f>+A1828+1</f>
        <v>168</v>
      </c>
      <c r="B1839" s="166"/>
      <c r="C1839" s="167"/>
      <c r="D1839" s="160" t="s">
        <v>39</v>
      </c>
      <c r="E1839" s="161"/>
      <c r="F1839" s="162" t="s">
        <v>40</v>
      </c>
      <c r="G1839" s="163"/>
      <c r="H1839" s="164"/>
      <c r="I1839" s="163"/>
      <c r="J1839" s="164"/>
      <c r="K1839" s="163"/>
      <c r="L1839" s="164"/>
      <c r="M1839" s="11"/>
      <c r="N1839" s="39"/>
      <c r="Q1839" s="15" t="str">
        <f>+CONCATENATE(E1839,G1839)</f>
        <v/>
      </c>
      <c r="R1839" s="15">
        <f>+H1839</f>
        <v>0</v>
      </c>
      <c r="S1839" s="16"/>
      <c r="T1839" s="15">
        <f>+E1839</f>
        <v>0</v>
      </c>
      <c r="U1839" s="26" t="str">
        <f>IFERROR(LEFT(G1839,FIND("*",G1839)-1),"-")</f>
        <v>-</v>
      </c>
      <c r="V1839" s="26" t="str">
        <f>IFERROR(RIGHT(G1839,LEN(G1839)-FIND("*",G1839)),"-")</f>
        <v>-</v>
      </c>
      <c r="W1839" s="27" t="str">
        <f>IFERROR((U1839+V1839)*2/1000,"-")</f>
        <v>-</v>
      </c>
      <c r="X1839" s="27" t="str">
        <f>IFERROR(W1839*H1839,"-")</f>
        <v>-</v>
      </c>
      <c r="Z1839" s="94" t="s">
        <v>82</v>
      </c>
    </row>
    <row r="1840" spans="1:26" s="25" customFormat="1" ht="6.95" customHeight="1" x14ac:dyDescent="0.3">
      <c r="A1840" s="165"/>
      <c r="B1840" s="168"/>
      <c r="C1840" s="169"/>
      <c r="D1840" s="160"/>
      <c r="E1840" s="161"/>
      <c r="F1840" s="162"/>
      <c r="G1840" s="163"/>
      <c r="H1840" s="164"/>
      <c r="I1840" s="163"/>
      <c r="J1840" s="164"/>
      <c r="K1840" s="163"/>
      <c r="L1840" s="164"/>
      <c r="M1840" s="11"/>
      <c r="N1840" s="39"/>
      <c r="Q1840" s="15" t="str">
        <f>+CONCATENATE(E1839,I1839)</f>
        <v/>
      </c>
      <c r="R1840" s="15">
        <f>+J1839</f>
        <v>0</v>
      </c>
      <c r="S1840" s="16"/>
      <c r="T1840" s="15">
        <f>+E1839</f>
        <v>0</v>
      </c>
      <c r="U1840" s="26" t="str">
        <f>IFERROR(LEFT(I1839,FIND("*",I1839)-1),"-")</f>
        <v>-</v>
      </c>
      <c r="V1840" s="26" t="str">
        <f>IFERROR(RIGHT(I1839,LEN(I1839)-FIND("*",I1839)),"-")</f>
        <v>-</v>
      </c>
      <c r="W1840" s="27" t="str">
        <f t="shared" ref="W1840:W1847" si="1000">IFERROR((U1840+V1840)*2/1000,"-")</f>
        <v>-</v>
      </c>
      <c r="X1840" s="27" t="str">
        <f>IFERROR(W1840*J1839,"-")</f>
        <v>-</v>
      </c>
      <c r="Z1840" s="94" t="s">
        <v>82</v>
      </c>
    </row>
    <row r="1841" spans="1:26" s="25" customFormat="1" ht="6.95" customHeight="1" x14ac:dyDescent="0.3">
      <c r="A1841" s="165"/>
      <c r="B1841" s="168"/>
      <c r="C1841" s="169"/>
      <c r="D1841" s="160"/>
      <c r="E1841" s="161"/>
      <c r="F1841" s="162"/>
      <c r="G1841" s="163"/>
      <c r="H1841" s="164"/>
      <c r="I1841" s="163"/>
      <c r="J1841" s="164"/>
      <c r="K1841" s="163"/>
      <c r="L1841" s="164"/>
      <c r="M1841" s="11"/>
      <c r="N1841" s="39"/>
      <c r="Q1841" s="15" t="str">
        <f>+CONCATENATE(E1839,K1839)</f>
        <v/>
      </c>
      <c r="R1841" s="15">
        <f>+L1839</f>
        <v>0</v>
      </c>
      <c r="S1841" s="16"/>
      <c r="T1841" s="15">
        <f>+E1839</f>
        <v>0</v>
      </c>
      <c r="U1841" s="26" t="str">
        <f>IFERROR(LEFT(K1839,FIND("*",K1839)-1),"-")</f>
        <v>-</v>
      </c>
      <c r="V1841" s="26" t="str">
        <f>IFERROR(RIGHT(K1839,LEN(K1839)-FIND("*",K1839)),"-")</f>
        <v>-</v>
      </c>
      <c r="W1841" s="27" t="str">
        <f t="shared" si="1000"/>
        <v>-</v>
      </c>
      <c r="X1841" s="27" t="str">
        <f>IFERROR(W1841*L1839,"-")</f>
        <v>-</v>
      </c>
      <c r="Z1841" s="94" t="s">
        <v>82</v>
      </c>
    </row>
    <row r="1842" spans="1:26" s="25" customFormat="1" ht="6.95" customHeight="1" x14ac:dyDescent="0.3">
      <c r="A1842" s="13"/>
      <c r="B1842" s="168"/>
      <c r="C1842" s="169"/>
      <c r="D1842" s="160" t="s">
        <v>39</v>
      </c>
      <c r="E1842" s="161"/>
      <c r="F1842" s="162" t="s">
        <v>40</v>
      </c>
      <c r="G1842" s="163"/>
      <c r="H1842" s="164"/>
      <c r="I1842" s="163"/>
      <c r="J1842" s="164"/>
      <c r="K1842" s="163"/>
      <c r="L1842" s="164"/>
      <c r="M1842" s="11"/>
      <c r="N1842" s="39"/>
      <c r="Q1842" s="15" t="str">
        <f>+CONCATENATE(E1842,G1842)</f>
        <v/>
      </c>
      <c r="R1842" s="15">
        <f>+H1842</f>
        <v>0</v>
      </c>
      <c r="S1842" s="16"/>
      <c r="T1842" s="15">
        <f>+E1842</f>
        <v>0</v>
      </c>
      <c r="U1842" s="26" t="str">
        <f t="shared" ref="U1842" si="1001">IFERROR(LEFT(G1842,FIND("*",G1842)-1),"-")</f>
        <v>-</v>
      </c>
      <c r="V1842" s="26" t="str">
        <f t="shared" ref="V1842" si="1002">IFERROR(RIGHT(G1842,LEN(G1842)-FIND("*",G1842)),"-")</f>
        <v>-</v>
      </c>
      <c r="W1842" s="27" t="str">
        <f t="shared" si="1000"/>
        <v>-</v>
      </c>
      <c r="X1842" s="27" t="str">
        <f>IFERROR(W1842*H1842,"-")</f>
        <v>-</v>
      </c>
      <c r="Z1842" s="94" t="s">
        <v>82</v>
      </c>
    </row>
    <row r="1843" spans="1:26" s="25" customFormat="1" ht="6.95" customHeight="1" x14ac:dyDescent="0.3">
      <c r="A1843" s="10"/>
      <c r="B1843" s="168"/>
      <c r="C1843" s="169"/>
      <c r="D1843" s="160"/>
      <c r="E1843" s="161"/>
      <c r="F1843" s="162"/>
      <c r="G1843" s="163"/>
      <c r="H1843" s="164"/>
      <c r="I1843" s="163"/>
      <c r="J1843" s="164"/>
      <c r="K1843" s="163"/>
      <c r="L1843" s="164"/>
      <c r="M1843" s="11"/>
      <c r="N1843" s="39"/>
      <c r="Q1843" s="15" t="str">
        <f>+CONCATENATE(E1842,I1842)</f>
        <v/>
      </c>
      <c r="R1843" s="15">
        <f>+J1842</f>
        <v>0</v>
      </c>
      <c r="S1843" s="16"/>
      <c r="T1843" s="15">
        <f>+E1842</f>
        <v>0</v>
      </c>
      <c r="U1843" s="26" t="str">
        <f>IFERROR(LEFT(I1842,FIND("*",I1842)-1),"-")</f>
        <v>-</v>
      </c>
      <c r="V1843" s="26" t="str">
        <f>IFERROR(RIGHT(I1842,LEN(I1842)-FIND("*",I1842)),"-")</f>
        <v>-</v>
      </c>
      <c r="W1843" s="27" t="str">
        <f t="shared" si="1000"/>
        <v>-</v>
      </c>
      <c r="X1843" s="27" t="str">
        <f>IFERROR(W1843*J1842,"-")</f>
        <v>-</v>
      </c>
      <c r="Z1843" s="94" t="s">
        <v>82</v>
      </c>
    </row>
    <row r="1844" spans="1:26" s="25" customFormat="1" ht="6.95" customHeight="1" x14ac:dyDescent="0.3">
      <c r="A1844" s="10"/>
      <c r="B1844" s="168"/>
      <c r="C1844" s="169"/>
      <c r="D1844" s="160"/>
      <c r="E1844" s="161"/>
      <c r="F1844" s="162"/>
      <c r="G1844" s="163"/>
      <c r="H1844" s="164"/>
      <c r="I1844" s="163"/>
      <c r="J1844" s="164"/>
      <c r="K1844" s="163"/>
      <c r="L1844" s="164"/>
      <c r="M1844" s="11"/>
      <c r="N1844" s="39"/>
      <c r="Q1844" s="15" t="str">
        <f>+CONCATENATE(E1842,K1842)</f>
        <v/>
      </c>
      <c r="R1844" s="15">
        <f>+L1842</f>
        <v>0</v>
      </c>
      <c r="S1844" s="16"/>
      <c r="T1844" s="15">
        <f>+E1842</f>
        <v>0</v>
      </c>
      <c r="U1844" s="26" t="str">
        <f>IFERROR(LEFT(K1842,FIND("*",K1842)-1),"-")</f>
        <v>-</v>
      </c>
      <c r="V1844" s="26" t="str">
        <f>IFERROR(RIGHT(K1842,LEN(K1842)-FIND("*",K1842)),"-")</f>
        <v>-</v>
      </c>
      <c r="W1844" s="27" t="str">
        <f t="shared" si="1000"/>
        <v>-</v>
      </c>
      <c r="X1844" s="27" t="str">
        <f>IFERROR(W1844*L1842,"-")</f>
        <v>-</v>
      </c>
      <c r="Z1844" s="94" t="s">
        <v>82</v>
      </c>
    </row>
    <row r="1845" spans="1:26" s="25" customFormat="1" ht="6.95" customHeight="1" x14ac:dyDescent="0.3">
      <c r="A1845" s="13"/>
      <c r="B1845" s="168"/>
      <c r="C1845" s="169"/>
      <c r="D1845" s="160" t="s">
        <v>39</v>
      </c>
      <c r="E1845" s="161"/>
      <c r="F1845" s="162" t="s">
        <v>40</v>
      </c>
      <c r="G1845" s="163"/>
      <c r="H1845" s="164"/>
      <c r="I1845" s="163"/>
      <c r="J1845" s="164"/>
      <c r="K1845" s="163"/>
      <c r="L1845" s="164"/>
      <c r="M1845" s="11"/>
      <c r="N1845" s="39"/>
      <c r="Q1845" s="15" t="str">
        <f>+CONCATENATE(E1845,G1845)</f>
        <v/>
      </c>
      <c r="R1845" s="15">
        <f>+H1845</f>
        <v>0</v>
      </c>
      <c r="S1845" s="16"/>
      <c r="T1845" s="15">
        <f>+E1845</f>
        <v>0</v>
      </c>
      <c r="U1845" s="26" t="str">
        <f t="shared" ref="U1845" si="1003">IFERROR(LEFT(G1845,FIND("*",G1845)-1),"-")</f>
        <v>-</v>
      </c>
      <c r="V1845" s="26" t="str">
        <f t="shared" ref="V1845" si="1004">IFERROR(RIGHT(G1845,LEN(G1845)-FIND("*",G1845)),"-")</f>
        <v>-</v>
      </c>
      <c r="W1845" s="27" t="str">
        <f t="shared" si="1000"/>
        <v>-</v>
      </c>
      <c r="X1845" s="27" t="str">
        <f>IFERROR(W1845*H1845,"-")</f>
        <v>-</v>
      </c>
      <c r="Z1845" s="94" t="s">
        <v>82</v>
      </c>
    </row>
    <row r="1846" spans="1:26" s="25" customFormat="1" ht="6.95" customHeight="1" x14ac:dyDescent="0.3">
      <c r="A1846" s="10"/>
      <c r="B1846" s="168"/>
      <c r="C1846" s="169"/>
      <c r="D1846" s="160"/>
      <c r="E1846" s="161"/>
      <c r="F1846" s="162"/>
      <c r="G1846" s="163"/>
      <c r="H1846" s="164"/>
      <c r="I1846" s="163"/>
      <c r="J1846" s="164"/>
      <c r="K1846" s="163"/>
      <c r="L1846" s="164"/>
      <c r="M1846" s="11"/>
      <c r="N1846" s="39"/>
      <c r="Q1846" s="15" t="str">
        <f>+CONCATENATE(E1845,I1845)</f>
        <v/>
      </c>
      <c r="R1846" s="15">
        <f>+J1845</f>
        <v>0</v>
      </c>
      <c r="S1846" s="16"/>
      <c r="T1846" s="15">
        <f>+E1845</f>
        <v>0</v>
      </c>
      <c r="U1846" s="26" t="str">
        <f>IFERROR(LEFT(I1845,FIND("*",I1845)-1),"-")</f>
        <v>-</v>
      </c>
      <c r="V1846" s="26" t="str">
        <f>IFERROR(RIGHT(I1845,LEN(I1845)-FIND("*",I1845)),"-")</f>
        <v>-</v>
      </c>
      <c r="W1846" s="27" t="str">
        <f t="shared" si="1000"/>
        <v>-</v>
      </c>
      <c r="X1846" s="27" t="str">
        <f t="shared" ref="X1846" si="1005">IFERROR(W1846*J1845,"-")</f>
        <v>-</v>
      </c>
      <c r="Z1846" s="94" t="s">
        <v>82</v>
      </c>
    </row>
    <row r="1847" spans="1:26" s="25" customFormat="1" ht="6.95" customHeight="1" x14ac:dyDescent="0.3">
      <c r="A1847" s="10"/>
      <c r="B1847" s="168"/>
      <c r="C1847" s="169"/>
      <c r="D1847" s="160"/>
      <c r="E1847" s="161"/>
      <c r="F1847" s="162"/>
      <c r="G1847" s="163"/>
      <c r="H1847" s="164"/>
      <c r="I1847" s="163"/>
      <c r="J1847" s="164"/>
      <c r="K1847" s="163"/>
      <c r="L1847" s="164"/>
      <c r="M1847" s="11"/>
      <c r="N1847" s="39"/>
      <c r="Q1847" s="15" t="str">
        <f>+CONCATENATE(E1845,K1845)</f>
        <v/>
      </c>
      <c r="R1847" s="15">
        <f>+L1845</f>
        <v>0</v>
      </c>
      <c r="S1847" s="16"/>
      <c r="T1847" s="15">
        <f>+E1845</f>
        <v>0</v>
      </c>
      <c r="U1847" s="26" t="str">
        <f>IFERROR(LEFT(K1845,FIND("*",K1845)-1),"-")</f>
        <v>-</v>
      </c>
      <c r="V1847" s="26" t="str">
        <f>IFERROR(RIGHT(K1845,LEN(K1845)-FIND("*",K1845)),"-")</f>
        <v>-</v>
      </c>
      <c r="W1847" s="27" t="str">
        <f t="shared" si="1000"/>
        <v>-</v>
      </c>
      <c r="X1847" s="27" t="str">
        <f>IFERROR(W1847*L1845,"-")</f>
        <v>-</v>
      </c>
      <c r="Z1847" s="94" t="s">
        <v>82</v>
      </c>
    </row>
    <row r="1848" spans="1:26" s="25" customFormat="1" ht="21" customHeight="1" thickBot="1" x14ac:dyDescent="0.35">
      <c r="A1848" s="10"/>
      <c r="B1848" s="170"/>
      <c r="C1848" s="171"/>
      <c r="D1848" s="172" t="s">
        <v>43</v>
      </c>
      <c r="E1848" s="173"/>
      <c r="F1848" s="173"/>
      <c r="G1848" s="174"/>
      <c r="H1848" s="174"/>
      <c r="I1848" s="174"/>
      <c r="J1848" s="174"/>
      <c r="K1848" s="174"/>
      <c r="L1848" s="174"/>
      <c r="M1848" s="12"/>
      <c r="N1848" s="39"/>
      <c r="U1848" s="23"/>
      <c r="V1848" s="23"/>
      <c r="Z1848" s="95" t="s">
        <v>81</v>
      </c>
    </row>
    <row r="1849" spans="1:26" s="25" customFormat="1" ht="9.9499999999999993" customHeight="1" thickBot="1" x14ac:dyDescent="0.35">
      <c r="A1849" s="6"/>
      <c r="B1849" s="14"/>
      <c r="C1849" s="119"/>
      <c r="D1849" s="58"/>
      <c r="E1849" s="17"/>
      <c r="F1849" s="58"/>
      <c r="G1849" s="19"/>
      <c r="H1849" s="19"/>
      <c r="I1849" s="19"/>
      <c r="J1849" s="19"/>
      <c r="K1849" s="19"/>
      <c r="L1849" s="19"/>
      <c r="M1849" s="14"/>
      <c r="N1849" s="39"/>
      <c r="Q1849" s="1"/>
      <c r="R1849" s="1"/>
      <c r="S1849" s="1"/>
      <c r="T1849" s="1"/>
      <c r="U1849" s="24"/>
      <c r="V1849" s="24"/>
      <c r="W1849" s="1"/>
      <c r="X1849" s="1"/>
      <c r="Z1849" s="94" t="s">
        <v>82</v>
      </c>
    </row>
    <row r="1850" spans="1:26" s="25" customFormat="1" ht="6.95" customHeight="1" x14ac:dyDescent="0.3">
      <c r="A1850" s="165">
        <f>+A1839+1</f>
        <v>169</v>
      </c>
      <c r="B1850" s="166"/>
      <c r="C1850" s="167"/>
      <c r="D1850" s="160" t="s">
        <v>39</v>
      </c>
      <c r="E1850" s="161"/>
      <c r="F1850" s="162" t="s">
        <v>40</v>
      </c>
      <c r="G1850" s="163"/>
      <c r="H1850" s="164"/>
      <c r="I1850" s="163"/>
      <c r="J1850" s="164"/>
      <c r="K1850" s="163"/>
      <c r="L1850" s="164"/>
      <c r="M1850" s="11"/>
      <c r="N1850" s="39"/>
      <c r="Q1850" s="15" t="str">
        <f>+CONCATENATE(E1850,G1850)</f>
        <v/>
      </c>
      <c r="R1850" s="15">
        <f>+H1850</f>
        <v>0</v>
      </c>
      <c r="S1850" s="16"/>
      <c r="T1850" s="15">
        <f>+E1850</f>
        <v>0</v>
      </c>
      <c r="U1850" s="26" t="str">
        <f>IFERROR(LEFT(G1850,FIND("*",G1850)-1),"-")</f>
        <v>-</v>
      </c>
      <c r="V1850" s="26" t="str">
        <f>IFERROR(RIGHT(G1850,LEN(G1850)-FIND("*",G1850)),"-")</f>
        <v>-</v>
      </c>
      <c r="W1850" s="27" t="str">
        <f>IFERROR((U1850+V1850)*2/1000,"-")</f>
        <v>-</v>
      </c>
      <c r="X1850" s="27" t="str">
        <f>IFERROR(W1850*H1850,"-")</f>
        <v>-</v>
      </c>
      <c r="Z1850" s="94" t="s">
        <v>82</v>
      </c>
    </row>
    <row r="1851" spans="1:26" s="25" customFormat="1" ht="6.95" customHeight="1" x14ac:dyDescent="0.3">
      <c r="A1851" s="165"/>
      <c r="B1851" s="168"/>
      <c r="C1851" s="169"/>
      <c r="D1851" s="160"/>
      <c r="E1851" s="161"/>
      <c r="F1851" s="162"/>
      <c r="G1851" s="163"/>
      <c r="H1851" s="164"/>
      <c r="I1851" s="163"/>
      <c r="J1851" s="164"/>
      <c r="K1851" s="163"/>
      <c r="L1851" s="164"/>
      <c r="M1851" s="11"/>
      <c r="N1851" s="39"/>
      <c r="Q1851" s="15" t="str">
        <f>+CONCATENATE(E1850,I1850)</f>
        <v/>
      </c>
      <c r="R1851" s="15">
        <f>+J1850</f>
        <v>0</v>
      </c>
      <c r="S1851" s="16"/>
      <c r="T1851" s="15">
        <f>+E1850</f>
        <v>0</v>
      </c>
      <c r="U1851" s="26" t="str">
        <f>IFERROR(LEFT(I1850,FIND("*",I1850)-1),"-")</f>
        <v>-</v>
      </c>
      <c r="V1851" s="26" t="str">
        <f>IFERROR(RIGHT(I1850,LEN(I1850)-FIND("*",I1850)),"-")</f>
        <v>-</v>
      </c>
      <c r="W1851" s="27" t="str">
        <f t="shared" ref="W1851:W1858" si="1006">IFERROR((U1851+V1851)*2/1000,"-")</f>
        <v>-</v>
      </c>
      <c r="X1851" s="27" t="str">
        <f>IFERROR(W1851*J1850,"-")</f>
        <v>-</v>
      </c>
      <c r="Z1851" s="94" t="s">
        <v>82</v>
      </c>
    </row>
    <row r="1852" spans="1:26" s="25" customFormat="1" ht="6.95" customHeight="1" x14ac:dyDescent="0.3">
      <c r="A1852" s="165"/>
      <c r="B1852" s="168"/>
      <c r="C1852" s="169"/>
      <c r="D1852" s="160"/>
      <c r="E1852" s="161"/>
      <c r="F1852" s="162"/>
      <c r="G1852" s="163"/>
      <c r="H1852" s="164"/>
      <c r="I1852" s="163"/>
      <c r="J1852" s="164"/>
      <c r="K1852" s="163"/>
      <c r="L1852" s="164"/>
      <c r="M1852" s="11"/>
      <c r="N1852" s="39"/>
      <c r="Q1852" s="15" t="str">
        <f>+CONCATENATE(E1850,K1850)</f>
        <v/>
      </c>
      <c r="R1852" s="15">
        <f>+L1850</f>
        <v>0</v>
      </c>
      <c r="S1852" s="16"/>
      <c r="T1852" s="15">
        <f>+E1850</f>
        <v>0</v>
      </c>
      <c r="U1852" s="26" t="str">
        <f>IFERROR(LEFT(K1850,FIND("*",K1850)-1),"-")</f>
        <v>-</v>
      </c>
      <c r="V1852" s="26" t="str">
        <f>IFERROR(RIGHT(K1850,LEN(K1850)-FIND("*",K1850)),"-")</f>
        <v>-</v>
      </c>
      <c r="W1852" s="27" t="str">
        <f t="shared" si="1006"/>
        <v>-</v>
      </c>
      <c r="X1852" s="27" t="str">
        <f>IFERROR(W1852*L1850,"-")</f>
        <v>-</v>
      </c>
      <c r="Z1852" s="94" t="s">
        <v>82</v>
      </c>
    </row>
    <row r="1853" spans="1:26" s="25" customFormat="1" ht="6.95" customHeight="1" x14ac:dyDescent="0.3">
      <c r="A1853" s="13"/>
      <c r="B1853" s="168"/>
      <c r="C1853" s="169"/>
      <c r="D1853" s="160" t="s">
        <v>39</v>
      </c>
      <c r="E1853" s="161"/>
      <c r="F1853" s="162" t="s">
        <v>40</v>
      </c>
      <c r="G1853" s="163"/>
      <c r="H1853" s="164"/>
      <c r="I1853" s="163"/>
      <c r="J1853" s="164"/>
      <c r="K1853" s="163"/>
      <c r="L1853" s="164"/>
      <c r="M1853" s="11"/>
      <c r="N1853" s="39"/>
      <c r="Q1853" s="15" t="str">
        <f>+CONCATENATE(E1853,G1853)</f>
        <v/>
      </c>
      <c r="R1853" s="15">
        <f>+H1853</f>
        <v>0</v>
      </c>
      <c r="S1853" s="16"/>
      <c r="T1853" s="15">
        <f>+E1853</f>
        <v>0</v>
      </c>
      <c r="U1853" s="26" t="str">
        <f t="shared" ref="U1853" si="1007">IFERROR(LEFT(G1853,FIND("*",G1853)-1),"-")</f>
        <v>-</v>
      </c>
      <c r="V1853" s="26" t="str">
        <f t="shared" ref="V1853" si="1008">IFERROR(RIGHT(G1853,LEN(G1853)-FIND("*",G1853)),"-")</f>
        <v>-</v>
      </c>
      <c r="W1853" s="27" t="str">
        <f t="shared" si="1006"/>
        <v>-</v>
      </c>
      <c r="X1853" s="27" t="str">
        <f>IFERROR(W1853*H1853,"-")</f>
        <v>-</v>
      </c>
      <c r="Z1853" s="94" t="s">
        <v>82</v>
      </c>
    </row>
    <row r="1854" spans="1:26" s="25" customFormat="1" ht="6.95" customHeight="1" x14ac:dyDescent="0.3">
      <c r="A1854" s="10"/>
      <c r="B1854" s="168"/>
      <c r="C1854" s="169"/>
      <c r="D1854" s="160"/>
      <c r="E1854" s="161"/>
      <c r="F1854" s="162"/>
      <c r="G1854" s="163"/>
      <c r="H1854" s="164"/>
      <c r="I1854" s="163"/>
      <c r="J1854" s="164"/>
      <c r="K1854" s="163"/>
      <c r="L1854" s="164"/>
      <c r="M1854" s="11"/>
      <c r="N1854" s="39"/>
      <c r="Q1854" s="15" t="str">
        <f>+CONCATENATE(E1853,I1853)</f>
        <v/>
      </c>
      <c r="R1854" s="15">
        <f>+J1853</f>
        <v>0</v>
      </c>
      <c r="S1854" s="16"/>
      <c r="T1854" s="15">
        <f>+E1853</f>
        <v>0</v>
      </c>
      <c r="U1854" s="26" t="str">
        <f>IFERROR(LEFT(I1853,FIND("*",I1853)-1),"-")</f>
        <v>-</v>
      </c>
      <c r="V1854" s="26" t="str">
        <f>IFERROR(RIGHT(I1853,LEN(I1853)-FIND("*",I1853)),"-")</f>
        <v>-</v>
      </c>
      <c r="W1854" s="27" t="str">
        <f t="shared" si="1006"/>
        <v>-</v>
      </c>
      <c r="X1854" s="27" t="str">
        <f>IFERROR(W1854*J1853,"-")</f>
        <v>-</v>
      </c>
      <c r="Z1854" s="94" t="s">
        <v>82</v>
      </c>
    </row>
    <row r="1855" spans="1:26" s="25" customFormat="1" ht="6.95" customHeight="1" x14ac:dyDescent="0.3">
      <c r="A1855" s="10"/>
      <c r="B1855" s="168"/>
      <c r="C1855" s="169"/>
      <c r="D1855" s="160"/>
      <c r="E1855" s="161"/>
      <c r="F1855" s="162"/>
      <c r="G1855" s="163"/>
      <c r="H1855" s="164"/>
      <c r="I1855" s="163"/>
      <c r="J1855" s="164"/>
      <c r="K1855" s="163"/>
      <c r="L1855" s="164"/>
      <c r="M1855" s="11"/>
      <c r="N1855" s="39"/>
      <c r="Q1855" s="15" t="str">
        <f>+CONCATENATE(E1853,K1853)</f>
        <v/>
      </c>
      <c r="R1855" s="15">
        <f>+L1853</f>
        <v>0</v>
      </c>
      <c r="S1855" s="16"/>
      <c r="T1855" s="15">
        <f>+E1853</f>
        <v>0</v>
      </c>
      <c r="U1855" s="26" t="str">
        <f>IFERROR(LEFT(K1853,FIND("*",K1853)-1),"-")</f>
        <v>-</v>
      </c>
      <c r="V1855" s="26" t="str">
        <f>IFERROR(RIGHT(K1853,LEN(K1853)-FIND("*",K1853)),"-")</f>
        <v>-</v>
      </c>
      <c r="W1855" s="27" t="str">
        <f t="shared" si="1006"/>
        <v>-</v>
      </c>
      <c r="X1855" s="27" t="str">
        <f>IFERROR(W1855*L1853,"-")</f>
        <v>-</v>
      </c>
      <c r="Z1855" s="94" t="s">
        <v>82</v>
      </c>
    </row>
    <row r="1856" spans="1:26" s="25" customFormat="1" ht="6.95" customHeight="1" x14ac:dyDescent="0.3">
      <c r="A1856" s="13"/>
      <c r="B1856" s="168"/>
      <c r="C1856" s="169"/>
      <c r="D1856" s="160" t="s">
        <v>39</v>
      </c>
      <c r="E1856" s="161"/>
      <c r="F1856" s="162" t="s">
        <v>40</v>
      </c>
      <c r="G1856" s="163"/>
      <c r="H1856" s="164"/>
      <c r="I1856" s="163"/>
      <c r="J1856" s="164"/>
      <c r="K1856" s="163"/>
      <c r="L1856" s="164"/>
      <c r="M1856" s="11"/>
      <c r="N1856" s="39"/>
      <c r="Q1856" s="15" t="str">
        <f>+CONCATENATE(E1856,G1856)</f>
        <v/>
      </c>
      <c r="R1856" s="15">
        <f>+H1856</f>
        <v>0</v>
      </c>
      <c r="S1856" s="16"/>
      <c r="T1856" s="15">
        <f>+E1856</f>
        <v>0</v>
      </c>
      <c r="U1856" s="26" t="str">
        <f t="shared" ref="U1856" si="1009">IFERROR(LEFT(G1856,FIND("*",G1856)-1),"-")</f>
        <v>-</v>
      </c>
      <c r="V1856" s="26" t="str">
        <f t="shared" ref="V1856" si="1010">IFERROR(RIGHT(G1856,LEN(G1856)-FIND("*",G1856)),"-")</f>
        <v>-</v>
      </c>
      <c r="W1856" s="27" t="str">
        <f t="shared" si="1006"/>
        <v>-</v>
      </c>
      <c r="X1856" s="27" t="str">
        <f>IFERROR(W1856*H1856,"-")</f>
        <v>-</v>
      </c>
      <c r="Z1856" s="94" t="s">
        <v>82</v>
      </c>
    </row>
    <row r="1857" spans="1:26" s="25" customFormat="1" ht="6.95" customHeight="1" x14ac:dyDescent="0.3">
      <c r="A1857" s="10"/>
      <c r="B1857" s="168"/>
      <c r="C1857" s="169"/>
      <c r="D1857" s="160"/>
      <c r="E1857" s="161"/>
      <c r="F1857" s="162"/>
      <c r="G1857" s="163"/>
      <c r="H1857" s="164"/>
      <c r="I1857" s="163"/>
      <c r="J1857" s="164"/>
      <c r="K1857" s="163"/>
      <c r="L1857" s="164"/>
      <c r="M1857" s="11"/>
      <c r="N1857" s="39"/>
      <c r="Q1857" s="15" t="str">
        <f>+CONCATENATE(E1856,I1856)</f>
        <v/>
      </c>
      <c r="R1857" s="15">
        <f>+J1856</f>
        <v>0</v>
      </c>
      <c r="S1857" s="16"/>
      <c r="T1857" s="15">
        <f>+E1856</f>
        <v>0</v>
      </c>
      <c r="U1857" s="26" t="str">
        <f>IFERROR(LEFT(I1856,FIND("*",I1856)-1),"-")</f>
        <v>-</v>
      </c>
      <c r="V1857" s="26" t="str">
        <f>IFERROR(RIGHT(I1856,LEN(I1856)-FIND("*",I1856)),"-")</f>
        <v>-</v>
      </c>
      <c r="W1857" s="27" t="str">
        <f t="shared" si="1006"/>
        <v>-</v>
      </c>
      <c r="X1857" s="27" t="str">
        <f t="shared" ref="X1857" si="1011">IFERROR(W1857*J1856,"-")</f>
        <v>-</v>
      </c>
      <c r="Z1857" s="94" t="s">
        <v>82</v>
      </c>
    </row>
    <row r="1858" spans="1:26" s="25" customFormat="1" ht="6.95" customHeight="1" x14ac:dyDescent="0.3">
      <c r="A1858" s="10"/>
      <c r="B1858" s="168"/>
      <c r="C1858" s="169"/>
      <c r="D1858" s="160"/>
      <c r="E1858" s="161"/>
      <c r="F1858" s="162"/>
      <c r="G1858" s="163"/>
      <c r="H1858" s="164"/>
      <c r="I1858" s="163"/>
      <c r="J1858" s="164"/>
      <c r="K1858" s="163"/>
      <c r="L1858" s="164"/>
      <c r="M1858" s="11"/>
      <c r="N1858" s="39"/>
      <c r="Q1858" s="15" t="str">
        <f>+CONCATENATE(E1856,K1856)</f>
        <v/>
      </c>
      <c r="R1858" s="15">
        <f>+L1856</f>
        <v>0</v>
      </c>
      <c r="S1858" s="16"/>
      <c r="T1858" s="15">
        <f>+E1856</f>
        <v>0</v>
      </c>
      <c r="U1858" s="26" t="str">
        <f>IFERROR(LEFT(K1856,FIND("*",K1856)-1),"-")</f>
        <v>-</v>
      </c>
      <c r="V1858" s="26" t="str">
        <f>IFERROR(RIGHT(K1856,LEN(K1856)-FIND("*",K1856)),"-")</f>
        <v>-</v>
      </c>
      <c r="W1858" s="27" t="str">
        <f t="shared" si="1006"/>
        <v>-</v>
      </c>
      <c r="X1858" s="27" t="str">
        <f>IFERROR(W1858*L1856,"-")</f>
        <v>-</v>
      </c>
      <c r="Z1858" s="94" t="s">
        <v>82</v>
      </c>
    </row>
    <row r="1859" spans="1:26" s="25" customFormat="1" ht="21" customHeight="1" thickBot="1" x14ac:dyDescent="0.35">
      <c r="A1859" s="10"/>
      <c r="B1859" s="170"/>
      <c r="C1859" s="171"/>
      <c r="D1859" s="172" t="s">
        <v>43</v>
      </c>
      <c r="E1859" s="173"/>
      <c r="F1859" s="173"/>
      <c r="G1859" s="174"/>
      <c r="H1859" s="174"/>
      <c r="I1859" s="174"/>
      <c r="J1859" s="174"/>
      <c r="K1859" s="174"/>
      <c r="L1859" s="174"/>
      <c r="M1859" s="12"/>
      <c r="N1859" s="39"/>
      <c r="U1859" s="23"/>
      <c r="V1859" s="23"/>
      <c r="Z1859" s="95" t="s">
        <v>81</v>
      </c>
    </row>
    <row r="1860" spans="1:26" s="25" customFormat="1" ht="9.9499999999999993" customHeight="1" thickBot="1" x14ac:dyDescent="0.35">
      <c r="A1860" s="6"/>
      <c r="B1860" s="14"/>
      <c r="C1860" s="119"/>
      <c r="D1860" s="58"/>
      <c r="E1860" s="17"/>
      <c r="F1860" s="58"/>
      <c r="G1860" s="19"/>
      <c r="H1860" s="19"/>
      <c r="I1860" s="19"/>
      <c r="J1860" s="19"/>
      <c r="K1860" s="19"/>
      <c r="L1860" s="19"/>
      <c r="M1860" s="14"/>
      <c r="N1860" s="39"/>
      <c r="Q1860" s="1"/>
      <c r="R1860" s="1"/>
      <c r="S1860" s="1"/>
      <c r="T1860" s="1"/>
      <c r="U1860" s="24"/>
      <c r="V1860" s="24"/>
      <c r="W1860" s="1"/>
      <c r="X1860" s="1"/>
      <c r="Z1860" s="94" t="s">
        <v>82</v>
      </c>
    </row>
    <row r="1861" spans="1:26" s="25" customFormat="1" ht="6.95" customHeight="1" x14ac:dyDescent="0.3">
      <c r="A1861" s="165">
        <f>+A1850+1</f>
        <v>170</v>
      </c>
      <c r="B1861" s="166"/>
      <c r="C1861" s="167"/>
      <c r="D1861" s="160" t="s">
        <v>39</v>
      </c>
      <c r="E1861" s="161"/>
      <c r="F1861" s="162" t="s">
        <v>40</v>
      </c>
      <c r="G1861" s="163"/>
      <c r="H1861" s="164"/>
      <c r="I1861" s="163"/>
      <c r="J1861" s="164"/>
      <c r="K1861" s="163"/>
      <c r="L1861" s="164"/>
      <c r="M1861" s="11"/>
      <c r="N1861" s="39"/>
      <c r="Q1861" s="15" t="str">
        <f>+CONCATENATE(E1861,G1861)</f>
        <v/>
      </c>
      <c r="R1861" s="15">
        <f>+H1861</f>
        <v>0</v>
      </c>
      <c r="S1861" s="16"/>
      <c r="T1861" s="15">
        <f>+E1861</f>
        <v>0</v>
      </c>
      <c r="U1861" s="26" t="str">
        <f>IFERROR(LEFT(G1861,FIND("*",G1861)-1),"-")</f>
        <v>-</v>
      </c>
      <c r="V1861" s="26" t="str">
        <f>IFERROR(RIGHT(G1861,LEN(G1861)-FIND("*",G1861)),"-")</f>
        <v>-</v>
      </c>
      <c r="W1861" s="27" t="str">
        <f>IFERROR((U1861+V1861)*2/1000,"-")</f>
        <v>-</v>
      </c>
      <c r="X1861" s="27" t="str">
        <f>IFERROR(W1861*H1861,"-")</f>
        <v>-</v>
      </c>
      <c r="Z1861" s="94" t="s">
        <v>82</v>
      </c>
    </row>
    <row r="1862" spans="1:26" s="25" customFormat="1" ht="6.95" customHeight="1" x14ac:dyDescent="0.3">
      <c r="A1862" s="165"/>
      <c r="B1862" s="168"/>
      <c r="C1862" s="169"/>
      <c r="D1862" s="160"/>
      <c r="E1862" s="161"/>
      <c r="F1862" s="162"/>
      <c r="G1862" s="163"/>
      <c r="H1862" s="164"/>
      <c r="I1862" s="163"/>
      <c r="J1862" s="164"/>
      <c r="K1862" s="163"/>
      <c r="L1862" s="164"/>
      <c r="M1862" s="11"/>
      <c r="N1862" s="39"/>
      <c r="Q1862" s="15" t="str">
        <f>+CONCATENATE(E1861,I1861)</f>
        <v/>
      </c>
      <c r="R1862" s="15">
        <f>+J1861</f>
        <v>0</v>
      </c>
      <c r="S1862" s="16"/>
      <c r="T1862" s="15">
        <f>+E1861</f>
        <v>0</v>
      </c>
      <c r="U1862" s="26" t="str">
        <f>IFERROR(LEFT(I1861,FIND("*",I1861)-1),"-")</f>
        <v>-</v>
      </c>
      <c r="V1862" s="26" t="str">
        <f>IFERROR(RIGHT(I1861,LEN(I1861)-FIND("*",I1861)),"-")</f>
        <v>-</v>
      </c>
      <c r="W1862" s="27" t="str">
        <f t="shared" ref="W1862:W1869" si="1012">IFERROR((U1862+V1862)*2/1000,"-")</f>
        <v>-</v>
      </c>
      <c r="X1862" s="27" t="str">
        <f>IFERROR(W1862*J1861,"-")</f>
        <v>-</v>
      </c>
      <c r="Z1862" s="94" t="s">
        <v>82</v>
      </c>
    </row>
    <row r="1863" spans="1:26" s="25" customFormat="1" ht="6.95" customHeight="1" x14ac:dyDescent="0.3">
      <c r="A1863" s="165"/>
      <c r="B1863" s="168"/>
      <c r="C1863" s="169"/>
      <c r="D1863" s="160"/>
      <c r="E1863" s="161"/>
      <c r="F1863" s="162"/>
      <c r="G1863" s="163"/>
      <c r="H1863" s="164"/>
      <c r="I1863" s="163"/>
      <c r="J1863" s="164"/>
      <c r="K1863" s="163"/>
      <c r="L1863" s="164"/>
      <c r="M1863" s="11"/>
      <c r="N1863" s="39"/>
      <c r="Q1863" s="15" t="str">
        <f>+CONCATENATE(E1861,K1861)</f>
        <v/>
      </c>
      <c r="R1863" s="15">
        <f>+L1861</f>
        <v>0</v>
      </c>
      <c r="S1863" s="16"/>
      <c r="T1863" s="15">
        <f>+E1861</f>
        <v>0</v>
      </c>
      <c r="U1863" s="26" t="str">
        <f>IFERROR(LEFT(K1861,FIND("*",K1861)-1),"-")</f>
        <v>-</v>
      </c>
      <c r="V1863" s="26" t="str">
        <f>IFERROR(RIGHT(K1861,LEN(K1861)-FIND("*",K1861)),"-")</f>
        <v>-</v>
      </c>
      <c r="W1863" s="27" t="str">
        <f t="shared" si="1012"/>
        <v>-</v>
      </c>
      <c r="X1863" s="27" t="str">
        <f>IFERROR(W1863*L1861,"-")</f>
        <v>-</v>
      </c>
      <c r="Z1863" s="94" t="s">
        <v>82</v>
      </c>
    </row>
    <row r="1864" spans="1:26" s="25" customFormat="1" ht="6.95" customHeight="1" x14ac:dyDescent="0.3">
      <c r="A1864" s="13"/>
      <c r="B1864" s="168"/>
      <c r="C1864" s="169"/>
      <c r="D1864" s="160" t="s">
        <v>39</v>
      </c>
      <c r="E1864" s="161"/>
      <c r="F1864" s="162" t="s">
        <v>40</v>
      </c>
      <c r="G1864" s="163"/>
      <c r="H1864" s="164"/>
      <c r="I1864" s="163"/>
      <c r="J1864" s="164"/>
      <c r="K1864" s="163"/>
      <c r="L1864" s="164"/>
      <c r="M1864" s="11"/>
      <c r="N1864" s="39"/>
      <c r="Q1864" s="15" t="str">
        <f>+CONCATENATE(E1864,G1864)</f>
        <v/>
      </c>
      <c r="R1864" s="15">
        <f>+H1864</f>
        <v>0</v>
      </c>
      <c r="S1864" s="16"/>
      <c r="T1864" s="15">
        <f>+E1864</f>
        <v>0</v>
      </c>
      <c r="U1864" s="26" t="str">
        <f t="shared" ref="U1864" si="1013">IFERROR(LEFT(G1864,FIND("*",G1864)-1),"-")</f>
        <v>-</v>
      </c>
      <c r="V1864" s="26" t="str">
        <f t="shared" ref="V1864" si="1014">IFERROR(RIGHT(G1864,LEN(G1864)-FIND("*",G1864)),"-")</f>
        <v>-</v>
      </c>
      <c r="W1864" s="27" t="str">
        <f t="shared" si="1012"/>
        <v>-</v>
      </c>
      <c r="X1864" s="27" t="str">
        <f>IFERROR(W1864*H1864,"-")</f>
        <v>-</v>
      </c>
      <c r="Z1864" s="94" t="s">
        <v>82</v>
      </c>
    </row>
    <row r="1865" spans="1:26" s="25" customFormat="1" ht="6.95" customHeight="1" x14ac:dyDescent="0.3">
      <c r="A1865" s="10"/>
      <c r="B1865" s="168"/>
      <c r="C1865" s="169"/>
      <c r="D1865" s="160"/>
      <c r="E1865" s="161"/>
      <c r="F1865" s="162"/>
      <c r="G1865" s="163"/>
      <c r="H1865" s="164"/>
      <c r="I1865" s="163"/>
      <c r="J1865" s="164"/>
      <c r="K1865" s="163"/>
      <c r="L1865" s="164"/>
      <c r="M1865" s="11"/>
      <c r="N1865" s="39"/>
      <c r="Q1865" s="15" t="str">
        <f>+CONCATENATE(E1864,I1864)</f>
        <v/>
      </c>
      <c r="R1865" s="15">
        <f>+J1864</f>
        <v>0</v>
      </c>
      <c r="S1865" s="16"/>
      <c r="T1865" s="15">
        <f>+E1864</f>
        <v>0</v>
      </c>
      <c r="U1865" s="26" t="str">
        <f>IFERROR(LEFT(I1864,FIND("*",I1864)-1),"-")</f>
        <v>-</v>
      </c>
      <c r="V1865" s="26" t="str">
        <f>IFERROR(RIGHT(I1864,LEN(I1864)-FIND("*",I1864)),"-")</f>
        <v>-</v>
      </c>
      <c r="W1865" s="27" t="str">
        <f t="shared" si="1012"/>
        <v>-</v>
      </c>
      <c r="X1865" s="27" t="str">
        <f>IFERROR(W1865*J1864,"-")</f>
        <v>-</v>
      </c>
      <c r="Z1865" s="94" t="s">
        <v>82</v>
      </c>
    </row>
    <row r="1866" spans="1:26" s="25" customFormat="1" ht="6.95" customHeight="1" x14ac:dyDescent="0.3">
      <c r="A1866" s="10"/>
      <c r="B1866" s="168"/>
      <c r="C1866" s="169"/>
      <c r="D1866" s="160"/>
      <c r="E1866" s="161"/>
      <c r="F1866" s="162"/>
      <c r="G1866" s="163"/>
      <c r="H1866" s="164"/>
      <c r="I1866" s="163"/>
      <c r="J1866" s="164"/>
      <c r="K1866" s="163"/>
      <c r="L1866" s="164"/>
      <c r="M1866" s="11"/>
      <c r="N1866" s="39"/>
      <c r="Q1866" s="15" t="str">
        <f>+CONCATENATE(E1864,K1864)</f>
        <v/>
      </c>
      <c r="R1866" s="15">
        <f>+L1864</f>
        <v>0</v>
      </c>
      <c r="S1866" s="16"/>
      <c r="T1866" s="15">
        <f>+E1864</f>
        <v>0</v>
      </c>
      <c r="U1866" s="26" t="str">
        <f>IFERROR(LEFT(K1864,FIND("*",K1864)-1),"-")</f>
        <v>-</v>
      </c>
      <c r="V1866" s="26" t="str">
        <f>IFERROR(RIGHT(K1864,LEN(K1864)-FIND("*",K1864)),"-")</f>
        <v>-</v>
      </c>
      <c r="W1866" s="27" t="str">
        <f t="shared" si="1012"/>
        <v>-</v>
      </c>
      <c r="X1866" s="27" t="str">
        <f>IFERROR(W1866*L1864,"-")</f>
        <v>-</v>
      </c>
      <c r="Z1866" s="94" t="s">
        <v>82</v>
      </c>
    </row>
    <row r="1867" spans="1:26" s="25" customFormat="1" ht="6.95" customHeight="1" x14ac:dyDescent="0.3">
      <c r="A1867" s="13"/>
      <c r="B1867" s="168"/>
      <c r="C1867" s="169"/>
      <c r="D1867" s="160" t="s">
        <v>39</v>
      </c>
      <c r="E1867" s="161"/>
      <c r="F1867" s="162" t="s">
        <v>40</v>
      </c>
      <c r="G1867" s="163"/>
      <c r="H1867" s="164"/>
      <c r="I1867" s="163"/>
      <c r="J1867" s="164"/>
      <c r="K1867" s="163"/>
      <c r="L1867" s="164"/>
      <c r="M1867" s="11"/>
      <c r="N1867" s="39"/>
      <c r="Q1867" s="15" t="str">
        <f>+CONCATENATE(E1867,G1867)</f>
        <v/>
      </c>
      <c r="R1867" s="15">
        <f>+H1867</f>
        <v>0</v>
      </c>
      <c r="S1867" s="16"/>
      <c r="T1867" s="15">
        <f>+E1867</f>
        <v>0</v>
      </c>
      <c r="U1867" s="26" t="str">
        <f t="shared" ref="U1867" si="1015">IFERROR(LEFT(G1867,FIND("*",G1867)-1),"-")</f>
        <v>-</v>
      </c>
      <c r="V1867" s="26" t="str">
        <f t="shared" ref="V1867" si="1016">IFERROR(RIGHT(G1867,LEN(G1867)-FIND("*",G1867)),"-")</f>
        <v>-</v>
      </c>
      <c r="W1867" s="27" t="str">
        <f t="shared" si="1012"/>
        <v>-</v>
      </c>
      <c r="X1867" s="27" t="str">
        <f>IFERROR(W1867*H1867,"-")</f>
        <v>-</v>
      </c>
      <c r="Z1867" s="94" t="s">
        <v>82</v>
      </c>
    </row>
    <row r="1868" spans="1:26" s="25" customFormat="1" ht="6.95" customHeight="1" x14ac:dyDescent="0.3">
      <c r="A1868" s="10"/>
      <c r="B1868" s="168"/>
      <c r="C1868" s="169"/>
      <c r="D1868" s="160"/>
      <c r="E1868" s="161"/>
      <c r="F1868" s="162"/>
      <c r="G1868" s="163"/>
      <c r="H1868" s="164"/>
      <c r="I1868" s="163"/>
      <c r="J1868" s="164"/>
      <c r="K1868" s="163"/>
      <c r="L1868" s="164"/>
      <c r="M1868" s="11"/>
      <c r="N1868" s="39"/>
      <c r="Q1868" s="15" t="str">
        <f>+CONCATENATE(E1867,I1867)</f>
        <v/>
      </c>
      <c r="R1868" s="15">
        <f>+J1867</f>
        <v>0</v>
      </c>
      <c r="S1868" s="16"/>
      <c r="T1868" s="15">
        <f>+E1867</f>
        <v>0</v>
      </c>
      <c r="U1868" s="26" t="str">
        <f>IFERROR(LEFT(I1867,FIND("*",I1867)-1),"-")</f>
        <v>-</v>
      </c>
      <c r="V1868" s="26" t="str">
        <f>IFERROR(RIGHT(I1867,LEN(I1867)-FIND("*",I1867)),"-")</f>
        <v>-</v>
      </c>
      <c r="W1868" s="27" t="str">
        <f t="shared" si="1012"/>
        <v>-</v>
      </c>
      <c r="X1868" s="27" t="str">
        <f t="shared" ref="X1868" si="1017">IFERROR(W1868*J1867,"-")</f>
        <v>-</v>
      </c>
      <c r="Z1868" s="94" t="s">
        <v>82</v>
      </c>
    </row>
    <row r="1869" spans="1:26" s="25" customFormat="1" ht="6.95" customHeight="1" x14ac:dyDescent="0.3">
      <c r="A1869" s="10"/>
      <c r="B1869" s="168"/>
      <c r="C1869" s="169"/>
      <c r="D1869" s="160"/>
      <c r="E1869" s="161"/>
      <c r="F1869" s="162"/>
      <c r="G1869" s="163"/>
      <c r="H1869" s="164"/>
      <c r="I1869" s="163"/>
      <c r="J1869" s="164"/>
      <c r="K1869" s="163"/>
      <c r="L1869" s="164"/>
      <c r="M1869" s="11"/>
      <c r="N1869" s="39"/>
      <c r="Q1869" s="15" t="str">
        <f>+CONCATENATE(E1867,K1867)</f>
        <v/>
      </c>
      <c r="R1869" s="15">
        <f>+L1867</f>
        <v>0</v>
      </c>
      <c r="S1869" s="16"/>
      <c r="T1869" s="15">
        <f>+E1867</f>
        <v>0</v>
      </c>
      <c r="U1869" s="26" t="str">
        <f>IFERROR(LEFT(K1867,FIND("*",K1867)-1),"-")</f>
        <v>-</v>
      </c>
      <c r="V1869" s="26" t="str">
        <f>IFERROR(RIGHT(K1867,LEN(K1867)-FIND("*",K1867)),"-")</f>
        <v>-</v>
      </c>
      <c r="W1869" s="27" t="str">
        <f t="shared" si="1012"/>
        <v>-</v>
      </c>
      <c r="X1869" s="27" t="str">
        <f>IFERROR(W1869*L1867,"-")</f>
        <v>-</v>
      </c>
      <c r="Z1869" s="94" t="s">
        <v>82</v>
      </c>
    </row>
    <row r="1870" spans="1:26" s="25" customFormat="1" ht="21" customHeight="1" thickBot="1" x14ac:dyDescent="0.35">
      <c r="A1870" s="10"/>
      <c r="B1870" s="170"/>
      <c r="C1870" s="171"/>
      <c r="D1870" s="172" t="s">
        <v>43</v>
      </c>
      <c r="E1870" s="173"/>
      <c r="F1870" s="173"/>
      <c r="G1870" s="174"/>
      <c r="H1870" s="174"/>
      <c r="I1870" s="174"/>
      <c r="J1870" s="174"/>
      <c r="K1870" s="174"/>
      <c r="L1870" s="174"/>
      <c r="M1870" s="12"/>
      <c r="N1870" s="39"/>
      <c r="U1870" s="23"/>
      <c r="V1870" s="23"/>
      <c r="Z1870" s="95" t="s">
        <v>81</v>
      </c>
    </row>
    <row r="1871" spans="1:26" s="25" customFormat="1" ht="9.9499999999999993" customHeight="1" thickBot="1" x14ac:dyDescent="0.35">
      <c r="A1871" s="6"/>
      <c r="B1871" s="14"/>
      <c r="C1871" s="119"/>
      <c r="D1871" s="58"/>
      <c r="E1871" s="17"/>
      <c r="F1871" s="58"/>
      <c r="G1871" s="19"/>
      <c r="H1871" s="19"/>
      <c r="I1871" s="19"/>
      <c r="J1871" s="19"/>
      <c r="K1871" s="19"/>
      <c r="L1871" s="19"/>
      <c r="M1871" s="14"/>
      <c r="N1871" s="39"/>
      <c r="Q1871" s="1"/>
      <c r="R1871" s="1"/>
      <c r="S1871" s="1"/>
      <c r="T1871" s="1"/>
      <c r="U1871" s="24"/>
      <c r="V1871" s="24"/>
      <c r="W1871" s="1"/>
      <c r="X1871" s="1"/>
      <c r="Z1871" s="94" t="s">
        <v>82</v>
      </c>
    </row>
    <row r="1872" spans="1:26" s="25" customFormat="1" ht="6.95" customHeight="1" x14ac:dyDescent="0.3">
      <c r="A1872" s="165">
        <f>+A1861+1</f>
        <v>171</v>
      </c>
      <c r="B1872" s="166"/>
      <c r="C1872" s="167"/>
      <c r="D1872" s="160" t="s">
        <v>39</v>
      </c>
      <c r="E1872" s="161"/>
      <c r="F1872" s="162" t="s">
        <v>40</v>
      </c>
      <c r="G1872" s="163"/>
      <c r="H1872" s="164"/>
      <c r="I1872" s="163"/>
      <c r="J1872" s="164"/>
      <c r="K1872" s="163"/>
      <c r="L1872" s="164"/>
      <c r="M1872" s="11"/>
      <c r="N1872" s="39"/>
      <c r="Q1872" s="15" t="str">
        <f>+CONCATENATE(E1872,G1872)</f>
        <v/>
      </c>
      <c r="R1872" s="15">
        <f>+H1872</f>
        <v>0</v>
      </c>
      <c r="S1872" s="16"/>
      <c r="T1872" s="15">
        <f>+E1872</f>
        <v>0</v>
      </c>
      <c r="U1872" s="26" t="str">
        <f>IFERROR(LEFT(G1872,FIND("*",G1872)-1),"-")</f>
        <v>-</v>
      </c>
      <c r="V1872" s="26" t="str">
        <f>IFERROR(RIGHT(G1872,LEN(G1872)-FIND("*",G1872)),"-")</f>
        <v>-</v>
      </c>
      <c r="W1872" s="27" t="str">
        <f>IFERROR((U1872+V1872)*2/1000,"-")</f>
        <v>-</v>
      </c>
      <c r="X1872" s="27" t="str">
        <f>IFERROR(W1872*H1872,"-")</f>
        <v>-</v>
      </c>
      <c r="Z1872" s="94" t="s">
        <v>82</v>
      </c>
    </row>
    <row r="1873" spans="1:26" s="25" customFormat="1" ht="6.95" customHeight="1" x14ac:dyDescent="0.3">
      <c r="A1873" s="165"/>
      <c r="B1873" s="168"/>
      <c r="C1873" s="169"/>
      <c r="D1873" s="160"/>
      <c r="E1873" s="161"/>
      <c r="F1873" s="162"/>
      <c r="G1873" s="163"/>
      <c r="H1873" s="164"/>
      <c r="I1873" s="163"/>
      <c r="J1873" s="164"/>
      <c r="K1873" s="163"/>
      <c r="L1873" s="164"/>
      <c r="M1873" s="11"/>
      <c r="N1873" s="39"/>
      <c r="Q1873" s="15" t="str">
        <f>+CONCATENATE(E1872,I1872)</f>
        <v/>
      </c>
      <c r="R1873" s="15">
        <f>+J1872</f>
        <v>0</v>
      </c>
      <c r="S1873" s="16"/>
      <c r="T1873" s="15">
        <f>+E1872</f>
        <v>0</v>
      </c>
      <c r="U1873" s="26" t="str">
        <f>IFERROR(LEFT(I1872,FIND("*",I1872)-1),"-")</f>
        <v>-</v>
      </c>
      <c r="V1873" s="26" t="str">
        <f>IFERROR(RIGHT(I1872,LEN(I1872)-FIND("*",I1872)),"-")</f>
        <v>-</v>
      </c>
      <c r="W1873" s="27" t="str">
        <f t="shared" ref="W1873:W1880" si="1018">IFERROR((U1873+V1873)*2/1000,"-")</f>
        <v>-</v>
      </c>
      <c r="X1873" s="27" t="str">
        <f>IFERROR(W1873*J1872,"-")</f>
        <v>-</v>
      </c>
      <c r="Z1873" s="94" t="s">
        <v>82</v>
      </c>
    </row>
    <row r="1874" spans="1:26" s="25" customFormat="1" ht="6.95" customHeight="1" x14ac:dyDescent="0.3">
      <c r="A1874" s="165"/>
      <c r="B1874" s="168"/>
      <c r="C1874" s="169"/>
      <c r="D1874" s="160"/>
      <c r="E1874" s="161"/>
      <c r="F1874" s="162"/>
      <c r="G1874" s="163"/>
      <c r="H1874" s="164"/>
      <c r="I1874" s="163"/>
      <c r="J1874" s="164"/>
      <c r="K1874" s="163"/>
      <c r="L1874" s="164"/>
      <c r="M1874" s="11"/>
      <c r="N1874" s="39"/>
      <c r="Q1874" s="15" t="str">
        <f>+CONCATENATE(E1872,K1872)</f>
        <v/>
      </c>
      <c r="R1874" s="15">
        <f>+L1872</f>
        <v>0</v>
      </c>
      <c r="S1874" s="16"/>
      <c r="T1874" s="15">
        <f>+E1872</f>
        <v>0</v>
      </c>
      <c r="U1874" s="26" t="str">
        <f>IFERROR(LEFT(K1872,FIND("*",K1872)-1),"-")</f>
        <v>-</v>
      </c>
      <c r="V1874" s="26" t="str">
        <f>IFERROR(RIGHT(K1872,LEN(K1872)-FIND("*",K1872)),"-")</f>
        <v>-</v>
      </c>
      <c r="W1874" s="27" t="str">
        <f t="shared" si="1018"/>
        <v>-</v>
      </c>
      <c r="X1874" s="27" t="str">
        <f>IFERROR(W1874*L1872,"-")</f>
        <v>-</v>
      </c>
      <c r="Z1874" s="94" t="s">
        <v>82</v>
      </c>
    </row>
    <row r="1875" spans="1:26" s="25" customFormat="1" ht="6.95" customHeight="1" x14ac:dyDescent="0.3">
      <c r="A1875" s="13"/>
      <c r="B1875" s="168"/>
      <c r="C1875" s="169"/>
      <c r="D1875" s="160" t="s">
        <v>39</v>
      </c>
      <c r="E1875" s="161"/>
      <c r="F1875" s="162" t="s">
        <v>40</v>
      </c>
      <c r="G1875" s="163"/>
      <c r="H1875" s="164"/>
      <c r="I1875" s="163"/>
      <c r="J1875" s="164"/>
      <c r="K1875" s="163"/>
      <c r="L1875" s="164"/>
      <c r="M1875" s="11"/>
      <c r="N1875" s="39"/>
      <c r="Q1875" s="15" t="str">
        <f>+CONCATENATE(E1875,G1875)</f>
        <v/>
      </c>
      <c r="R1875" s="15">
        <f>+H1875</f>
        <v>0</v>
      </c>
      <c r="S1875" s="16"/>
      <c r="T1875" s="15">
        <f>+E1875</f>
        <v>0</v>
      </c>
      <c r="U1875" s="26" t="str">
        <f t="shared" ref="U1875" si="1019">IFERROR(LEFT(G1875,FIND("*",G1875)-1),"-")</f>
        <v>-</v>
      </c>
      <c r="V1875" s="26" t="str">
        <f t="shared" ref="V1875" si="1020">IFERROR(RIGHT(G1875,LEN(G1875)-FIND("*",G1875)),"-")</f>
        <v>-</v>
      </c>
      <c r="W1875" s="27" t="str">
        <f t="shared" si="1018"/>
        <v>-</v>
      </c>
      <c r="X1875" s="27" t="str">
        <f>IFERROR(W1875*H1875,"-")</f>
        <v>-</v>
      </c>
      <c r="Z1875" s="94" t="s">
        <v>82</v>
      </c>
    </row>
    <row r="1876" spans="1:26" s="25" customFormat="1" ht="6.95" customHeight="1" x14ac:dyDescent="0.3">
      <c r="A1876" s="10"/>
      <c r="B1876" s="168"/>
      <c r="C1876" s="169"/>
      <c r="D1876" s="160"/>
      <c r="E1876" s="161"/>
      <c r="F1876" s="162"/>
      <c r="G1876" s="163"/>
      <c r="H1876" s="164"/>
      <c r="I1876" s="163"/>
      <c r="J1876" s="164"/>
      <c r="K1876" s="163"/>
      <c r="L1876" s="164"/>
      <c r="M1876" s="11"/>
      <c r="N1876" s="39"/>
      <c r="Q1876" s="15" t="str">
        <f>+CONCATENATE(E1875,I1875)</f>
        <v/>
      </c>
      <c r="R1876" s="15">
        <f>+J1875</f>
        <v>0</v>
      </c>
      <c r="S1876" s="16"/>
      <c r="T1876" s="15">
        <f>+E1875</f>
        <v>0</v>
      </c>
      <c r="U1876" s="26" t="str">
        <f>IFERROR(LEFT(I1875,FIND("*",I1875)-1),"-")</f>
        <v>-</v>
      </c>
      <c r="V1876" s="26" t="str">
        <f>IFERROR(RIGHT(I1875,LEN(I1875)-FIND("*",I1875)),"-")</f>
        <v>-</v>
      </c>
      <c r="W1876" s="27" t="str">
        <f t="shared" si="1018"/>
        <v>-</v>
      </c>
      <c r="X1876" s="27" t="str">
        <f>IFERROR(W1876*J1875,"-")</f>
        <v>-</v>
      </c>
      <c r="Z1876" s="94" t="s">
        <v>82</v>
      </c>
    </row>
    <row r="1877" spans="1:26" s="25" customFormat="1" ht="6.95" customHeight="1" x14ac:dyDescent="0.3">
      <c r="A1877" s="10"/>
      <c r="B1877" s="168"/>
      <c r="C1877" s="169"/>
      <c r="D1877" s="160"/>
      <c r="E1877" s="161"/>
      <c r="F1877" s="162"/>
      <c r="G1877" s="163"/>
      <c r="H1877" s="164"/>
      <c r="I1877" s="163"/>
      <c r="J1877" s="164"/>
      <c r="K1877" s="163"/>
      <c r="L1877" s="164"/>
      <c r="M1877" s="11"/>
      <c r="N1877" s="39"/>
      <c r="Q1877" s="15" t="str">
        <f>+CONCATENATE(E1875,K1875)</f>
        <v/>
      </c>
      <c r="R1877" s="15">
        <f>+L1875</f>
        <v>0</v>
      </c>
      <c r="S1877" s="16"/>
      <c r="T1877" s="15">
        <f>+E1875</f>
        <v>0</v>
      </c>
      <c r="U1877" s="26" t="str">
        <f>IFERROR(LEFT(K1875,FIND("*",K1875)-1),"-")</f>
        <v>-</v>
      </c>
      <c r="V1877" s="26" t="str">
        <f>IFERROR(RIGHT(K1875,LEN(K1875)-FIND("*",K1875)),"-")</f>
        <v>-</v>
      </c>
      <c r="W1877" s="27" t="str">
        <f t="shared" si="1018"/>
        <v>-</v>
      </c>
      <c r="X1877" s="27" t="str">
        <f>IFERROR(W1877*L1875,"-")</f>
        <v>-</v>
      </c>
      <c r="Z1877" s="94" t="s">
        <v>82</v>
      </c>
    </row>
    <row r="1878" spans="1:26" s="25" customFormat="1" ht="6.95" customHeight="1" x14ac:dyDescent="0.3">
      <c r="A1878" s="13"/>
      <c r="B1878" s="168"/>
      <c r="C1878" s="169"/>
      <c r="D1878" s="160" t="s">
        <v>39</v>
      </c>
      <c r="E1878" s="161"/>
      <c r="F1878" s="162" t="s">
        <v>40</v>
      </c>
      <c r="G1878" s="163"/>
      <c r="H1878" s="164"/>
      <c r="I1878" s="163"/>
      <c r="J1878" s="164"/>
      <c r="K1878" s="163"/>
      <c r="L1878" s="164"/>
      <c r="M1878" s="11"/>
      <c r="N1878" s="39"/>
      <c r="Q1878" s="15" t="str">
        <f>+CONCATENATE(E1878,G1878)</f>
        <v/>
      </c>
      <c r="R1878" s="15">
        <f>+H1878</f>
        <v>0</v>
      </c>
      <c r="S1878" s="16"/>
      <c r="T1878" s="15">
        <f>+E1878</f>
        <v>0</v>
      </c>
      <c r="U1878" s="26" t="str">
        <f t="shared" ref="U1878" si="1021">IFERROR(LEFT(G1878,FIND("*",G1878)-1),"-")</f>
        <v>-</v>
      </c>
      <c r="V1878" s="26" t="str">
        <f t="shared" ref="V1878" si="1022">IFERROR(RIGHT(G1878,LEN(G1878)-FIND("*",G1878)),"-")</f>
        <v>-</v>
      </c>
      <c r="W1878" s="27" t="str">
        <f t="shared" si="1018"/>
        <v>-</v>
      </c>
      <c r="X1878" s="27" t="str">
        <f>IFERROR(W1878*H1878,"-")</f>
        <v>-</v>
      </c>
      <c r="Z1878" s="94" t="s">
        <v>82</v>
      </c>
    </row>
    <row r="1879" spans="1:26" s="25" customFormat="1" ht="6.95" customHeight="1" x14ac:dyDescent="0.3">
      <c r="A1879" s="10"/>
      <c r="B1879" s="168"/>
      <c r="C1879" s="169"/>
      <c r="D1879" s="160"/>
      <c r="E1879" s="161"/>
      <c r="F1879" s="162"/>
      <c r="G1879" s="163"/>
      <c r="H1879" s="164"/>
      <c r="I1879" s="163"/>
      <c r="J1879" s="164"/>
      <c r="K1879" s="163"/>
      <c r="L1879" s="164"/>
      <c r="M1879" s="11"/>
      <c r="N1879" s="39"/>
      <c r="Q1879" s="15" t="str">
        <f>+CONCATENATE(E1878,I1878)</f>
        <v/>
      </c>
      <c r="R1879" s="15">
        <f>+J1878</f>
        <v>0</v>
      </c>
      <c r="S1879" s="16"/>
      <c r="T1879" s="15">
        <f>+E1878</f>
        <v>0</v>
      </c>
      <c r="U1879" s="26" t="str">
        <f>IFERROR(LEFT(I1878,FIND("*",I1878)-1),"-")</f>
        <v>-</v>
      </c>
      <c r="V1879" s="26" t="str">
        <f>IFERROR(RIGHT(I1878,LEN(I1878)-FIND("*",I1878)),"-")</f>
        <v>-</v>
      </c>
      <c r="W1879" s="27" t="str">
        <f t="shared" si="1018"/>
        <v>-</v>
      </c>
      <c r="X1879" s="27" t="str">
        <f t="shared" ref="X1879" si="1023">IFERROR(W1879*J1878,"-")</f>
        <v>-</v>
      </c>
      <c r="Z1879" s="94" t="s">
        <v>82</v>
      </c>
    </row>
    <row r="1880" spans="1:26" s="25" customFormat="1" ht="6.95" customHeight="1" x14ac:dyDescent="0.3">
      <c r="A1880" s="10"/>
      <c r="B1880" s="168"/>
      <c r="C1880" s="169"/>
      <c r="D1880" s="160"/>
      <c r="E1880" s="161"/>
      <c r="F1880" s="162"/>
      <c r="G1880" s="163"/>
      <c r="H1880" s="164"/>
      <c r="I1880" s="163"/>
      <c r="J1880" s="164"/>
      <c r="K1880" s="163"/>
      <c r="L1880" s="164"/>
      <c r="M1880" s="11"/>
      <c r="N1880" s="39"/>
      <c r="Q1880" s="15" t="str">
        <f>+CONCATENATE(E1878,K1878)</f>
        <v/>
      </c>
      <c r="R1880" s="15">
        <f>+L1878</f>
        <v>0</v>
      </c>
      <c r="S1880" s="16"/>
      <c r="T1880" s="15">
        <f>+E1878</f>
        <v>0</v>
      </c>
      <c r="U1880" s="26" t="str">
        <f>IFERROR(LEFT(K1878,FIND("*",K1878)-1),"-")</f>
        <v>-</v>
      </c>
      <c r="V1880" s="26" t="str">
        <f>IFERROR(RIGHT(K1878,LEN(K1878)-FIND("*",K1878)),"-")</f>
        <v>-</v>
      </c>
      <c r="W1880" s="27" t="str">
        <f t="shared" si="1018"/>
        <v>-</v>
      </c>
      <c r="X1880" s="27" t="str">
        <f>IFERROR(W1880*L1878,"-")</f>
        <v>-</v>
      </c>
      <c r="Z1880" s="94" t="s">
        <v>82</v>
      </c>
    </row>
    <row r="1881" spans="1:26" s="25" customFormat="1" ht="21" customHeight="1" thickBot="1" x14ac:dyDescent="0.35">
      <c r="A1881" s="10"/>
      <c r="B1881" s="170"/>
      <c r="C1881" s="171"/>
      <c r="D1881" s="172" t="s">
        <v>43</v>
      </c>
      <c r="E1881" s="173"/>
      <c r="F1881" s="173"/>
      <c r="G1881" s="174"/>
      <c r="H1881" s="174"/>
      <c r="I1881" s="174"/>
      <c r="J1881" s="174"/>
      <c r="K1881" s="174"/>
      <c r="L1881" s="174"/>
      <c r="M1881" s="12"/>
      <c r="N1881" s="39"/>
      <c r="U1881" s="23"/>
      <c r="V1881" s="23"/>
      <c r="Z1881" s="95" t="s">
        <v>81</v>
      </c>
    </row>
    <row r="1882" spans="1:26" s="25" customFormat="1" ht="9.9499999999999993" customHeight="1" thickBot="1" x14ac:dyDescent="0.35">
      <c r="A1882" s="6"/>
      <c r="B1882" s="14"/>
      <c r="C1882" s="119"/>
      <c r="D1882" s="58"/>
      <c r="E1882" s="17"/>
      <c r="F1882" s="58"/>
      <c r="G1882" s="19"/>
      <c r="H1882" s="19"/>
      <c r="I1882" s="19"/>
      <c r="J1882" s="19"/>
      <c r="K1882" s="19"/>
      <c r="L1882" s="19"/>
      <c r="M1882" s="14"/>
      <c r="N1882" s="39"/>
      <c r="Q1882" s="1"/>
      <c r="R1882" s="1"/>
      <c r="S1882" s="1"/>
      <c r="T1882" s="1"/>
      <c r="U1882" s="24"/>
      <c r="V1882" s="24"/>
      <c r="W1882" s="1"/>
      <c r="X1882" s="1"/>
      <c r="Z1882" s="94" t="s">
        <v>82</v>
      </c>
    </row>
    <row r="1883" spans="1:26" s="25" customFormat="1" ht="6.95" customHeight="1" x14ac:dyDescent="0.3">
      <c r="A1883" s="165">
        <f>+A1872+1</f>
        <v>172</v>
      </c>
      <c r="B1883" s="166"/>
      <c r="C1883" s="167"/>
      <c r="D1883" s="160" t="s">
        <v>39</v>
      </c>
      <c r="E1883" s="161"/>
      <c r="F1883" s="162" t="s">
        <v>40</v>
      </c>
      <c r="G1883" s="163"/>
      <c r="H1883" s="164"/>
      <c r="I1883" s="163"/>
      <c r="J1883" s="164"/>
      <c r="K1883" s="163"/>
      <c r="L1883" s="164"/>
      <c r="M1883" s="11"/>
      <c r="N1883" s="39"/>
      <c r="Q1883" s="15" t="str">
        <f>+CONCATENATE(E1883,G1883)</f>
        <v/>
      </c>
      <c r="R1883" s="15">
        <f>+H1883</f>
        <v>0</v>
      </c>
      <c r="S1883" s="16"/>
      <c r="T1883" s="15">
        <f>+E1883</f>
        <v>0</v>
      </c>
      <c r="U1883" s="26" t="str">
        <f>IFERROR(LEFT(G1883,FIND("*",G1883)-1),"-")</f>
        <v>-</v>
      </c>
      <c r="V1883" s="26" t="str">
        <f>IFERROR(RIGHT(G1883,LEN(G1883)-FIND("*",G1883)),"-")</f>
        <v>-</v>
      </c>
      <c r="W1883" s="27" t="str">
        <f>IFERROR((U1883+V1883)*2/1000,"-")</f>
        <v>-</v>
      </c>
      <c r="X1883" s="27" t="str">
        <f>IFERROR(W1883*H1883,"-")</f>
        <v>-</v>
      </c>
      <c r="Z1883" s="94" t="s">
        <v>82</v>
      </c>
    </row>
    <row r="1884" spans="1:26" s="25" customFormat="1" ht="6.95" customHeight="1" x14ac:dyDescent="0.3">
      <c r="A1884" s="165"/>
      <c r="B1884" s="168"/>
      <c r="C1884" s="169"/>
      <c r="D1884" s="160"/>
      <c r="E1884" s="161"/>
      <c r="F1884" s="162"/>
      <c r="G1884" s="163"/>
      <c r="H1884" s="164"/>
      <c r="I1884" s="163"/>
      <c r="J1884" s="164"/>
      <c r="K1884" s="163"/>
      <c r="L1884" s="164"/>
      <c r="M1884" s="11"/>
      <c r="N1884" s="39"/>
      <c r="Q1884" s="15" t="str">
        <f>+CONCATENATE(E1883,I1883)</f>
        <v/>
      </c>
      <c r="R1884" s="15">
        <f>+J1883</f>
        <v>0</v>
      </c>
      <c r="S1884" s="16"/>
      <c r="T1884" s="15">
        <f>+E1883</f>
        <v>0</v>
      </c>
      <c r="U1884" s="26" t="str">
        <f>IFERROR(LEFT(I1883,FIND("*",I1883)-1),"-")</f>
        <v>-</v>
      </c>
      <c r="V1884" s="26" t="str">
        <f>IFERROR(RIGHT(I1883,LEN(I1883)-FIND("*",I1883)),"-")</f>
        <v>-</v>
      </c>
      <c r="W1884" s="27" t="str">
        <f t="shared" ref="W1884:W1891" si="1024">IFERROR((U1884+V1884)*2/1000,"-")</f>
        <v>-</v>
      </c>
      <c r="X1884" s="27" t="str">
        <f>IFERROR(W1884*J1883,"-")</f>
        <v>-</v>
      </c>
      <c r="Z1884" s="94" t="s">
        <v>82</v>
      </c>
    </row>
    <row r="1885" spans="1:26" s="25" customFormat="1" ht="6.95" customHeight="1" x14ac:dyDescent="0.3">
      <c r="A1885" s="165"/>
      <c r="B1885" s="168"/>
      <c r="C1885" s="169"/>
      <c r="D1885" s="160"/>
      <c r="E1885" s="161"/>
      <c r="F1885" s="162"/>
      <c r="G1885" s="163"/>
      <c r="H1885" s="164"/>
      <c r="I1885" s="163"/>
      <c r="J1885" s="164"/>
      <c r="K1885" s="163"/>
      <c r="L1885" s="164"/>
      <c r="M1885" s="11"/>
      <c r="N1885" s="39"/>
      <c r="Q1885" s="15" t="str">
        <f>+CONCATENATE(E1883,K1883)</f>
        <v/>
      </c>
      <c r="R1885" s="15">
        <f>+L1883</f>
        <v>0</v>
      </c>
      <c r="S1885" s="16"/>
      <c r="T1885" s="15">
        <f>+E1883</f>
        <v>0</v>
      </c>
      <c r="U1885" s="26" t="str">
        <f>IFERROR(LEFT(K1883,FIND("*",K1883)-1),"-")</f>
        <v>-</v>
      </c>
      <c r="V1885" s="26" t="str">
        <f>IFERROR(RIGHT(K1883,LEN(K1883)-FIND("*",K1883)),"-")</f>
        <v>-</v>
      </c>
      <c r="W1885" s="27" t="str">
        <f t="shared" si="1024"/>
        <v>-</v>
      </c>
      <c r="X1885" s="27" t="str">
        <f>IFERROR(W1885*L1883,"-")</f>
        <v>-</v>
      </c>
      <c r="Z1885" s="94" t="s">
        <v>82</v>
      </c>
    </row>
    <row r="1886" spans="1:26" s="25" customFormat="1" ht="6.95" customHeight="1" x14ac:dyDescent="0.3">
      <c r="A1886" s="13"/>
      <c r="B1886" s="168"/>
      <c r="C1886" s="169"/>
      <c r="D1886" s="160" t="s">
        <v>39</v>
      </c>
      <c r="E1886" s="161"/>
      <c r="F1886" s="162" t="s">
        <v>40</v>
      </c>
      <c r="G1886" s="163"/>
      <c r="H1886" s="164"/>
      <c r="I1886" s="163"/>
      <c r="J1886" s="164"/>
      <c r="K1886" s="163"/>
      <c r="L1886" s="164"/>
      <c r="M1886" s="11"/>
      <c r="N1886" s="39"/>
      <c r="Q1886" s="15" t="str">
        <f>+CONCATENATE(E1886,G1886)</f>
        <v/>
      </c>
      <c r="R1886" s="15">
        <f>+H1886</f>
        <v>0</v>
      </c>
      <c r="S1886" s="16"/>
      <c r="T1886" s="15">
        <f>+E1886</f>
        <v>0</v>
      </c>
      <c r="U1886" s="26" t="str">
        <f t="shared" ref="U1886" si="1025">IFERROR(LEFT(G1886,FIND("*",G1886)-1),"-")</f>
        <v>-</v>
      </c>
      <c r="V1886" s="26" t="str">
        <f t="shared" ref="V1886" si="1026">IFERROR(RIGHT(G1886,LEN(G1886)-FIND("*",G1886)),"-")</f>
        <v>-</v>
      </c>
      <c r="W1886" s="27" t="str">
        <f t="shared" si="1024"/>
        <v>-</v>
      </c>
      <c r="X1886" s="27" t="str">
        <f>IFERROR(W1886*H1886,"-")</f>
        <v>-</v>
      </c>
      <c r="Z1886" s="94" t="s">
        <v>82</v>
      </c>
    </row>
    <row r="1887" spans="1:26" s="25" customFormat="1" ht="6.95" customHeight="1" x14ac:dyDescent="0.3">
      <c r="A1887" s="10"/>
      <c r="B1887" s="168"/>
      <c r="C1887" s="169"/>
      <c r="D1887" s="160"/>
      <c r="E1887" s="161"/>
      <c r="F1887" s="162"/>
      <c r="G1887" s="163"/>
      <c r="H1887" s="164"/>
      <c r="I1887" s="163"/>
      <c r="J1887" s="164"/>
      <c r="K1887" s="163"/>
      <c r="L1887" s="164"/>
      <c r="M1887" s="11"/>
      <c r="N1887" s="39"/>
      <c r="Q1887" s="15" t="str">
        <f>+CONCATENATE(E1886,I1886)</f>
        <v/>
      </c>
      <c r="R1887" s="15">
        <f>+J1886</f>
        <v>0</v>
      </c>
      <c r="S1887" s="16"/>
      <c r="T1887" s="15">
        <f>+E1886</f>
        <v>0</v>
      </c>
      <c r="U1887" s="26" t="str">
        <f>IFERROR(LEFT(I1886,FIND("*",I1886)-1),"-")</f>
        <v>-</v>
      </c>
      <c r="V1887" s="26" t="str">
        <f>IFERROR(RIGHT(I1886,LEN(I1886)-FIND("*",I1886)),"-")</f>
        <v>-</v>
      </c>
      <c r="W1887" s="27" t="str">
        <f t="shared" si="1024"/>
        <v>-</v>
      </c>
      <c r="X1887" s="27" t="str">
        <f>IFERROR(W1887*J1886,"-")</f>
        <v>-</v>
      </c>
      <c r="Z1887" s="94" t="s">
        <v>82</v>
      </c>
    </row>
    <row r="1888" spans="1:26" s="25" customFormat="1" ht="6.95" customHeight="1" x14ac:dyDescent="0.3">
      <c r="A1888" s="10"/>
      <c r="B1888" s="168"/>
      <c r="C1888" s="169"/>
      <c r="D1888" s="160"/>
      <c r="E1888" s="161"/>
      <c r="F1888" s="162"/>
      <c r="G1888" s="163"/>
      <c r="H1888" s="164"/>
      <c r="I1888" s="163"/>
      <c r="J1888" s="164"/>
      <c r="K1888" s="163"/>
      <c r="L1888" s="164"/>
      <c r="M1888" s="11"/>
      <c r="N1888" s="39"/>
      <c r="Q1888" s="15" t="str">
        <f>+CONCATENATE(E1886,K1886)</f>
        <v/>
      </c>
      <c r="R1888" s="15">
        <f>+L1886</f>
        <v>0</v>
      </c>
      <c r="S1888" s="16"/>
      <c r="T1888" s="15">
        <f>+E1886</f>
        <v>0</v>
      </c>
      <c r="U1888" s="26" t="str">
        <f>IFERROR(LEFT(K1886,FIND("*",K1886)-1),"-")</f>
        <v>-</v>
      </c>
      <c r="V1888" s="26" t="str">
        <f>IFERROR(RIGHT(K1886,LEN(K1886)-FIND("*",K1886)),"-")</f>
        <v>-</v>
      </c>
      <c r="W1888" s="27" t="str">
        <f t="shared" si="1024"/>
        <v>-</v>
      </c>
      <c r="X1888" s="27" t="str">
        <f>IFERROR(W1888*L1886,"-")</f>
        <v>-</v>
      </c>
      <c r="Z1888" s="94" t="s">
        <v>82</v>
      </c>
    </row>
    <row r="1889" spans="1:26" s="25" customFormat="1" ht="6.95" customHeight="1" x14ac:dyDescent="0.3">
      <c r="A1889" s="13"/>
      <c r="B1889" s="168"/>
      <c r="C1889" s="169"/>
      <c r="D1889" s="160" t="s">
        <v>39</v>
      </c>
      <c r="E1889" s="161"/>
      <c r="F1889" s="162" t="s">
        <v>40</v>
      </c>
      <c r="G1889" s="163"/>
      <c r="H1889" s="164"/>
      <c r="I1889" s="163"/>
      <c r="J1889" s="164"/>
      <c r="K1889" s="163"/>
      <c r="L1889" s="164"/>
      <c r="M1889" s="11"/>
      <c r="N1889" s="39"/>
      <c r="Q1889" s="15" t="str">
        <f>+CONCATENATE(E1889,G1889)</f>
        <v/>
      </c>
      <c r="R1889" s="15">
        <f>+H1889</f>
        <v>0</v>
      </c>
      <c r="S1889" s="16"/>
      <c r="T1889" s="15">
        <f>+E1889</f>
        <v>0</v>
      </c>
      <c r="U1889" s="26" t="str">
        <f t="shared" ref="U1889" si="1027">IFERROR(LEFT(G1889,FIND("*",G1889)-1),"-")</f>
        <v>-</v>
      </c>
      <c r="V1889" s="26" t="str">
        <f t="shared" ref="V1889" si="1028">IFERROR(RIGHT(G1889,LEN(G1889)-FIND("*",G1889)),"-")</f>
        <v>-</v>
      </c>
      <c r="W1889" s="27" t="str">
        <f t="shared" si="1024"/>
        <v>-</v>
      </c>
      <c r="X1889" s="27" t="str">
        <f>IFERROR(W1889*H1889,"-")</f>
        <v>-</v>
      </c>
      <c r="Z1889" s="94" t="s">
        <v>82</v>
      </c>
    </row>
    <row r="1890" spans="1:26" s="25" customFormat="1" ht="6.95" customHeight="1" x14ac:dyDescent="0.3">
      <c r="A1890" s="10"/>
      <c r="B1890" s="168"/>
      <c r="C1890" s="169"/>
      <c r="D1890" s="160"/>
      <c r="E1890" s="161"/>
      <c r="F1890" s="162"/>
      <c r="G1890" s="163"/>
      <c r="H1890" s="164"/>
      <c r="I1890" s="163"/>
      <c r="J1890" s="164"/>
      <c r="K1890" s="163"/>
      <c r="L1890" s="164"/>
      <c r="M1890" s="11"/>
      <c r="N1890" s="39"/>
      <c r="Q1890" s="15" t="str">
        <f>+CONCATENATE(E1889,I1889)</f>
        <v/>
      </c>
      <c r="R1890" s="15">
        <f>+J1889</f>
        <v>0</v>
      </c>
      <c r="S1890" s="16"/>
      <c r="T1890" s="15">
        <f>+E1889</f>
        <v>0</v>
      </c>
      <c r="U1890" s="26" t="str">
        <f>IFERROR(LEFT(I1889,FIND("*",I1889)-1),"-")</f>
        <v>-</v>
      </c>
      <c r="V1890" s="26" t="str">
        <f>IFERROR(RIGHT(I1889,LEN(I1889)-FIND("*",I1889)),"-")</f>
        <v>-</v>
      </c>
      <c r="W1890" s="27" t="str">
        <f t="shared" si="1024"/>
        <v>-</v>
      </c>
      <c r="X1890" s="27" t="str">
        <f t="shared" ref="X1890" si="1029">IFERROR(W1890*J1889,"-")</f>
        <v>-</v>
      </c>
      <c r="Z1890" s="94" t="s">
        <v>82</v>
      </c>
    </row>
    <row r="1891" spans="1:26" s="25" customFormat="1" ht="6.95" customHeight="1" x14ac:dyDescent="0.3">
      <c r="A1891" s="10"/>
      <c r="B1891" s="168"/>
      <c r="C1891" s="169"/>
      <c r="D1891" s="160"/>
      <c r="E1891" s="161"/>
      <c r="F1891" s="162"/>
      <c r="G1891" s="163"/>
      <c r="H1891" s="164"/>
      <c r="I1891" s="163"/>
      <c r="J1891" s="164"/>
      <c r="K1891" s="163"/>
      <c r="L1891" s="164"/>
      <c r="M1891" s="11"/>
      <c r="N1891" s="39"/>
      <c r="Q1891" s="15" t="str">
        <f>+CONCATENATE(E1889,K1889)</f>
        <v/>
      </c>
      <c r="R1891" s="15">
        <f>+L1889</f>
        <v>0</v>
      </c>
      <c r="S1891" s="16"/>
      <c r="T1891" s="15">
        <f>+E1889</f>
        <v>0</v>
      </c>
      <c r="U1891" s="26" t="str">
        <f>IFERROR(LEFT(K1889,FIND("*",K1889)-1),"-")</f>
        <v>-</v>
      </c>
      <c r="V1891" s="26" t="str">
        <f>IFERROR(RIGHT(K1889,LEN(K1889)-FIND("*",K1889)),"-")</f>
        <v>-</v>
      </c>
      <c r="W1891" s="27" t="str">
        <f t="shared" si="1024"/>
        <v>-</v>
      </c>
      <c r="X1891" s="27" t="str">
        <f>IFERROR(W1891*L1889,"-")</f>
        <v>-</v>
      </c>
      <c r="Z1891" s="94" t="s">
        <v>82</v>
      </c>
    </row>
    <row r="1892" spans="1:26" s="25" customFormat="1" ht="21" customHeight="1" thickBot="1" x14ac:dyDescent="0.35">
      <c r="A1892" s="10"/>
      <c r="B1892" s="170"/>
      <c r="C1892" s="171"/>
      <c r="D1892" s="172" t="s">
        <v>43</v>
      </c>
      <c r="E1892" s="173"/>
      <c r="F1892" s="173"/>
      <c r="G1892" s="174"/>
      <c r="H1892" s="174"/>
      <c r="I1892" s="174"/>
      <c r="J1892" s="174"/>
      <c r="K1892" s="174"/>
      <c r="L1892" s="174"/>
      <c r="M1892" s="12"/>
      <c r="N1892" s="39"/>
      <c r="U1892" s="23"/>
      <c r="V1892" s="23"/>
      <c r="Z1892" s="95" t="s">
        <v>81</v>
      </c>
    </row>
    <row r="1893" spans="1:26" s="25" customFormat="1" ht="9.9499999999999993" customHeight="1" thickBot="1" x14ac:dyDescent="0.35">
      <c r="A1893" s="6"/>
      <c r="B1893" s="14"/>
      <c r="C1893" s="119"/>
      <c r="D1893" s="58"/>
      <c r="E1893" s="17"/>
      <c r="F1893" s="58"/>
      <c r="G1893" s="19"/>
      <c r="H1893" s="19"/>
      <c r="I1893" s="19"/>
      <c r="J1893" s="19"/>
      <c r="K1893" s="19"/>
      <c r="L1893" s="19"/>
      <c r="M1893" s="14"/>
      <c r="N1893" s="39"/>
      <c r="Q1893" s="1"/>
      <c r="R1893" s="1"/>
      <c r="S1893" s="1"/>
      <c r="T1893" s="1"/>
      <c r="U1893" s="24"/>
      <c r="V1893" s="24"/>
      <c r="W1893" s="1"/>
      <c r="X1893" s="1"/>
      <c r="Z1893" s="94" t="s">
        <v>82</v>
      </c>
    </row>
    <row r="1894" spans="1:26" s="25" customFormat="1" ht="6.95" customHeight="1" x14ac:dyDescent="0.3">
      <c r="A1894" s="165">
        <f>+A1883+1</f>
        <v>173</v>
      </c>
      <c r="B1894" s="166"/>
      <c r="C1894" s="167"/>
      <c r="D1894" s="160" t="s">
        <v>39</v>
      </c>
      <c r="E1894" s="161"/>
      <c r="F1894" s="162" t="s">
        <v>40</v>
      </c>
      <c r="G1894" s="163"/>
      <c r="H1894" s="164"/>
      <c r="I1894" s="163"/>
      <c r="J1894" s="164"/>
      <c r="K1894" s="163"/>
      <c r="L1894" s="164"/>
      <c r="M1894" s="11"/>
      <c r="N1894" s="39"/>
      <c r="Q1894" s="15" t="str">
        <f>+CONCATENATE(E1894,G1894)</f>
        <v/>
      </c>
      <c r="R1894" s="15">
        <f>+H1894</f>
        <v>0</v>
      </c>
      <c r="S1894" s="16"/>
      <c r="T1894" s="15">
        <f>+E1894</f>
        <v>0</v>
      </c>
      <c r="U1894" s="26" t="str">
        <f>IFERROR(LEFT(G1894,FIND("*",G1894)-1),"-")</f>
        <v>-</v>
      </c>
      <c r="V1894" s="26" t="str">
        <f>IFERROR(RIGHT(G1894,LEN(G1894)-FIND("*",G1894)),"-")</f>
        <v>-</v>
      </c>
      <c r="W1894" s="27" t="str">
        <f>IFERROR((U1894+V1894)*2/1000,"-")</f>
        <v>-</v>
      </c>
      <c r="X1894" s="27" t="str">
        <f>IFERROR(W1894*H1894,"-")</f>
        <v>-</v>
      </c>
      <c r="Z1894" s="94" t="s">
        <v>82</v>
      </c>
    </row>
    <row r="1895" spans="1:26" s="25" customFormat="1" ht="6.95" customHeight="1" x14ac:dyDescent="0.3">
      <c r="A1895" s="165"/>
      <c r="B1895" s="168"/>
      <c r="C1895" s="169"/>
      <c r="D1895" s="160"/>
      <c r="E1895" s="161"/>
      <c r="F1895" s="162"/>
      <c r="G1895" s="163"/>
      <c r="H1895" s="164"/>
      <c r="I1895" s="163"/>
      <c r="J1895" s="164"/>
      <c r="K1895" s="163"/>
      <c r="L1895" s="164"/>
      <c r="M1895" s="11"/>
      <c r="N1895" s="39"/>
      <c r="Q1895" s="15" t="str">
        <f>+CONCATENATE(E1894,I1894)</f>
        <v/>
      </c>
      <c r="R1895" s="15">
        <f>+J1894</f>
        <v>0</v>
      </c>
      <c r="S1895" s="16"/>
      <c r="T1895" s="15">
        <f>+E1894</f>
        <v>0</v>
      </c>
      <c r="U1895" s="26" t="str">
        <f>IFERROR(LEFT(I1894,FIND("*",I1894)-1),"-")</f>
        <v>-</v>
      </c>
      <c r="V1895" s="26" t="str">
        <f>IFERROR(RIGHT(I1894,LEN(I1894)-FIND("*",I1894)),"-")</f>
        <v>-</v>
      </c>
      <c r="W1895" s="27" t="str">
        <f t="shared" ref="W1895:W1902" si="1030">IFERROR((U1895+V1895)*2/1000,"-")</f>
        <v>-</v>
      </c>
      <c r="X1895" s="27" t="str">
        <f>IFERROR(W1895*J1894,"-")</f>
        <v>-</v>
      </c>
      <c r="Z1895" s="94" t="s">
        <v>82</v>
      </c>
    </row>
    <row r="1896" spans="1:26" s="25" customFormat="1" ht="6.95" customHeight="1" x14ac:dyDescent="0.3">
      <c r="A1896" s="165"/>
      <c r="B1896" s="168"/>
      <c r="C1896" s="169"/>
      <c r="D1896" s="160"/>
      <c r="E1896" s="161"/>
      <c r="F1896" s="162"/>
      <c r="G1896" s="163"/>
      <c r="H1896" s="164"/>
      <c r="I1896" s="163"/>
      <c r="J1896" s="164"/>
      <c r="K1896" s="163"/>
      <c r="L1896" s="164"/>
      <c r="M1896" s="11"/>
      <c r="N1896" s="39"/>
      <c r="Q1896" s="15" t="str">
        <f>+CONCATENATE(E1894,K1894)</f>
        <v/>
      </c>
      <c r="R1896" s="15">
        <f>+L1894</f>
        <v>0</v>
      </c>
      <c r="S1896" s="16"/>
      <c r="T1896" s="15">
        <f>+E1894</f>
        <v>0</v>
      </c>
      <c r="U1896" s="26" t="str">
        <f>IFERROR(LEFT(K1894,FIND("*",K1894)-1),"-")</f>
        <v>-</v>
      </c>
      <c r="V1896" s="26" t="str">
        <f>IFERROR(RIGHT(K1894,LEN(K1894)-FIND("*",K1894)),"-")</f>
        <v>-</v>
      </c>
      <c r="W1896" s="27" t="str">
        <f t="shared" si="1030"/>
        <v>-</v>
      </c>
      <c r="X1896" s="27" t="str">
        <f>IFERROR(W1896*L1894,"-")</f>
        <v>-</v>
      </c>
      <c r="Z1896" s="94" t="s">
        <v>82</v>
      </c>
    </row>
    <row r="1897" spans="1:26" s="25" customFormat="1" ht="6.95" customHeight="1" x14ac:dyDescent="0.3">
      <c r="A1897" s="13"/>
      <c r="B1897" s="168"/>
      <c r="C1897" s="169"/>
      <c r="D1897" s="160" t="s">
        <v>39</v>
      </c>
      <c r="E1897" s="161"/>
      <c r="F1897" s="162" t="s">
        <v>40</v>
      </c>
      <c r="G1897" s="163"/>
      <c r="H1897" s="164"/>
      <c r="I1897" s="163"/>
      <c r="J1897" s="164"/>
      <c r="K1897" s="163"/>
      <c r="L1897" s="164"/>
      <c r="M1897" s="11"/>
      <c r="N1897" s="39"/>
      <c r="Q1897" s="15" t="str">
        <f>+CONCATENATE(E1897,G1897)</f>
        <v/>
      </c>
      <c r="R1897" s="15">
        <f>+H1897</f>
        <v>0</v>
      </c>
      <c r="S1897" s="16"/>
      <c r="T1897" s="15">
        <f>+E1897</f>
        <v>0</v>
      </c>
      <c r="U1897" s="26" t="str">
        <f t="shared" ref="U1897" si="1031">IFERROR(LEFT(G1897,FIND("*",G1897)-1),"-")</f>
        <v>-</v>
      </c>
      <c r="V1897" s="26" t="str">
        <f t="shared" ref="V1897" si="1032">IFERROR(RIGHT(G1897,LEN(G1897)-FIND("*",G1897)),"-")</f>
        <v>-</v>
      </c>
      <c r="W1897" s="27" t="str">
        <f t="shared" si="1030"/>
        <v>-</v>
      </c>
      <c r="X1897" s="27" t="str">
        <f>IFERROR(W1897*H1897,"-")</f>
        <v>-</v>
      </c>
      <c r="Z1897" s="94" t="s">
        <v>82</v>
      </c>
    </row>
    <row r="1898" spans="1:26" s="25" customFormat="1" ht="6.95" customHeight="1" x14ac:dyDescent="0.3">
      <c r="A1898" s="10"/>
      <c r="B1898" s="168"/>
      <c r="C1898" s="169"/>
      <c r="D1898" s="160"/>
      <c r="E1898" s="161"/>
      <c r="F1898" s="162"/>
      <c r="G1898" s="163"/>
      <c r="H1898" s="164"/>
      <c r="I1898" s="163"/>
      <c r="J1898" s="164"/>
      <c r="K1898" s="163"/>
      <c r="L1898" s="164"/>
      <c r="M1898" s="11"/>
      <c r="N1898" s="39"/>
      <c r="Q1898" s="15" t="str">
        <f>+CONCATENATE(E1897,I1897)</f>
        <v/>
      </c>
      <c r="R1898" s="15">
        <f>+J1897</f>
        <v>0</v>
      </c>
      <c r="S1898" s="16"/>
      <c r="T1898" s="15">
        <f>+E1897</f>
        <v>0</v>
      </c>
      <c r="U1898" s="26" t="str">
        <f>IFERROR(LEFT(I1897,FIND("*",I1897)-1),"-")</f>
        <v>-</v>
      </c>
      <c r="V1898" s="26" t="str">
        <f>IFERROR(RIGHT(I1897,LEN(I1897)-FIND("*",I1897)),"-")</f>
        <v>-</v>
      </c>
      <c r="W1898" s="27" t="str">
        <f t="shared" si="1030"/>
        <v>-</v>
      </c>
      <c r="X1898" s="27" t="str">
        <f>IFERROR(W1898*J1897,"-")</f>
        <v>-</v>
      </c>
      <c r="Z1898" s="94" t="s">
        <v>82</v>
      </c>
    </row>
    <row r="1899" spans="1:26" s="25" customFormat="1" ht="6.95" customHeight="1" x14ac:dyDescent="0.3">
      <c r="A1899" s="10"/>
      <c r="B1899" s="168"/>
      <c r="C1899" s="169"/>
      <c r="D1899" s="160"/>
      <c r="E1899" s="161"/>
      <c r="F1899" s="162"/>
      <c r="G1899" s="163"/>
      <c r="H1899" s="164"/>
      <c r="I1899" s="163"/>
      <c r="J1899" s="164"/>
      <c r="K1899" s="163"/>
      <c r="L1899" s="164"/>
      <c r="M1899" s="11"/>
      <c r="N1899" s="39"/>
      <c r="Q1899" s="15" t="str">
        <f>+CONCATENATE(E1897,K1897)</f>
        <v/>
      </c>
      <c r="R1899" s="15">
        <f>+L1897</f>
        <v>0</v>
      </c>
      <c r="S1899" s="16"/>
      <c r="T1899" s="15">
        <f>+E1897</f>
        <v>0</v>
      </c>
      <c r="U1899" s="26" t="str">
        <f>IFERROR(LEFT(K1897,FIND("*",K1897)-1),"-")</f>
        <v>-</v>
      </c>
      <c r="V1899" s="26" t="str">
        <f>IFERROR(RIGHT(K1897,LEN(K1897)-FIND("*",K1897)),"-")</f>
        <v>-</v>
      </c>
      <c r="W1899" s="27" t="str">
        <f t="shared" si="1030"/>
        <v>-</v>
      </c>
      <c r="X1899" s="27" t="str">
        <f>IFERROR(W1899*L1897,"-")</f>
        <v>-</v>
      </c>
      <c r="Z1899" s="94" t="s">
        <v>82</v>
      </c>
    </row>
    <row r="1900" spans="1:26" s="25" customFormat="1" ht="6.95" customHeight="1" x14ac:dyDescent="0.3">
      <c r="A1900" s="13"/>
      <c r="B1900" s="168"/>
      <c r="C1900" s="169"/>
      <c r="D1900" s="160" t="s">
        <v>39</v>
      </c>
      <c r="E1900" s="161"/>
      <c r="F1900" s="162" t="s">
        <v>40</v>
      </c>
      <c r="G1900" s="163"/>
      <c r="H1900" s="164"/>
      <c r="I1900" s="163"/>
      <c r="J1900" s="164"/>
      <c r="K1900" s="163"/>
      <c r="L1900" s="164"/>
      <c r="M1900" s="11"/>
      <c r="N1900" s="39"/>
      <c r="Q1900" s="15" t="str">
        <f>+CONCATENATE(E1900,G1900)</f>
        <v/>
      </c>
      <c r="R1900" s="15">
        <f>+H1900</f>
        <v>0</v>
      </c>
      <c r="S1900" s="16"/>
      <c r="T1900" s="15">
        <f>+E1900</f>
        <v>0</v>
      </c>
      <c r="U1900" s="26" t="str">
        <f t="shared" ref="U1900" si="1033">IFERROR(LEFT(G1900,FIND("*",G1900)-1),"-")</f>
        <v>-</v>
      </c>
      <c r="V1900" s="26" t="str">
        <f t="shared" ref="V1900" si="1034">IFERROR(RIGHT(G1900,LEN(G1900)-FIND("*",G1900)),"-")</f>
        <v>-</v>
      </c>
      <c r="W1900" s="27" t="str">
        <f t="shared" si="1030"/>
        <v>-</v>
      </c>
      <c r="X1900" s="27" t="str">
        <f>IFERROR(W1900*H1900,"-")</f>
        <v>-</v>
      </c>
      <c r="Z1900" s="94" t="s">
        <v>82</v>
      </c>
    </row>
    <row r="1901" spans="1:26" s="25" customFormat="1" ht="6.95" customHeight="1" x14ac:dyDescent="0.3">
      <c r="A1901" s="10"/>
      <c r="B1901" s="168"/>
      <c r="C1901" s="169"/>
      <c r="D1901" s="160"/>
      <c r="E1901" s="161"/>
      <c r="F1901" s="162"/>
      <c r="G1901" s="163"/>
      <c r="H1901" s="164"/>
      <c r="I1901" s="163"/>
      <c r="J1901" s="164"/>
      <c r="K1901" s="163"/>
      <c r="L1901" s="164"/>
      <c r="M1901" s="11"/>
      <c r="N1901" s="39"/>
      <c r="Q1901" s="15" t="str">
        <f>+CONCATENATE(E1900,I1900)</f>
        <v/>
      </c>
      <c r="R1901" s="15">
        <f>+J1900</f>
        <v>0</v>
      </c>
      <c r="S1901" s="16"/>
      <c r="T1901" s="15">
        <f>+E1900</f>
        <v>0</v>
      </c>
      <c r="U1901" s="26" t="str">
        <f>IFERROR(LEFT(I1900,FIND("*",I1900)-1),"-")</f>
        <v>-</v>
      </c>
      <c r="V1901" s="26" t="str">
        <f>IFERROR(RIGHT(I1900,LEN(I1900)-FIND("*",I1900)),"-")</f>
        <v>-</v>
      </c>
      <c r="W1901" s="27" t="str">
        <f t="shared" si="1030"/>
        <v>-</v>
      </c>
      <c r="X1901" s="27" t="str">
        <f t="shared" ref="X1901" si="1035">IFERROR(W1901*J1900,"-")</f>
        <v>-</v>
      </c>
      <c r="Z1901" s="94" t="s">
        <v>82</v>
      </c>
    </row>
    <row r="1902" spans="1:26" s="25" customFormat="1" ht="6.95" customHeight="1" x14ac:dyDescent="0.3">
      <c r="A1902" s="10"/>
      <c r="B1902" s="168"/>
      <c r="C1902" s="169"/>
      <c r="D1902" s="160"/>
      <c r="E1902" s="161"/>
      <c r="F1902" s="162"/>
      <c r="G1902" s="163"/>
      <c r="H1902" s="164"/>
      <c r="I1902" s="163"/>
      <c r="J1902" s="164"/>
      <c r="K1902" s="163"/>
      <c r="L1902" s="164"/>
      <c r="M1902" s="11"/>
      <c r="N1902" s="39"/>
      <c r="Q1902" s="15" t="str">
        <f>+CONCATENATE(E1900,K1900)</f>
        <v/>
      </c>
      <c r="R1902" s="15">
        <f>+L1900</f>
        <v>0</v>
      </c>
      <c r="S1902" s="16"/>
      <c r="T1902" s="15">
        <f>+E1900</f>
        <v>0</v>
      </c>
      <c r="U1902" s="26" t="str">
        <f>IFERROR(LEFT(K1900,FIND("*",K1900)-1),"-")</f>
        <v>-</v>
      </c>
      <c r="V1902" s="26" t="str">
        <f>IFERROR(RIGHT(K1900,LEN(K1900)-FIND("*",K1900)),"-")</f>
        <v>-</v>
      </c>
      <c r="W1902" s="27" t="str">
        <f t="shared" si="1030"/>
        <v>-</v>
      </c>
      <c r="X1902" s="27" t="str">
        <f>IFERROR(W1902*L1900,"-")</f>
        <v>-</v>
      </c>
      <c r="Z1902" s="94" t="s">
        <v>82</v>
      </c>
    </row>
    <row r="1903" spans="1:26" s="25" customFormat="1" ht="21" customHeight="1" thickBot="1" x14ac:dyDescent="0.35">
      <c r="A1903" s="10"/>
      <c r="B1903" s="170"/>
      <c r="C1903" s="171"/>
      <c r="D1903" s="172" t="s">
        <v>43</v>
      </c>
      <c r="E1903" s="173"/>
      <c r="F1903" s="173"/>
      <c r="G1903" s="174"/>
      <c r="H1903" s="174"/>
      <c r="I1903" s="174"/>
      <c r="J1903" s="174"/>
      <c r="K1903" s="174"/>
      <c r="L1903" s="174"/>
      <c r="M1903" s="12"/>
      <c r="N1903" s="39"/>
      <c r="U1903" s="23"/>
      <c r="V1903" s="23"/>
      <c r="Z1903" s="95" t="s">
        <v>81</v>
      </c>
    </row>
    <row r="1904" spans="1:26" s="25" customFormat="1" ht="9.9499999999999993" customHeight="1" thickBot="1" x14ac:dyDescent="0.35">
      <c r="A1904" s="6"/>
      <c r="B1904" s="14"/>
      <c r="C1904" s="119"/>
      <c r="D1904" s="58"/>
      <c r="E1904" s="17"/>
      <c r="F1904" s="58"/>
      <c r="G1904" s="19"/>
      <c r="H1904" s="19"/>
      <c r="I1904" s="19"/>
      <c r="J1904" s="19"/>
      <c r="K1904" s="19"/>
      <c r="L1904" s="19"/>
      <c r="M1904" s="14"/>
      <c r="N1904" s="39"/>
      <c r="Q1904" s="1"/>
      <c r="R1904" s="1"/>
      <c r="S1904" s="1"/>
      <c r="T1904" s="1"/>
      <c r="U1904" s="24"/>
      <c r="V1904" s="24"/>
      <c r="W1904" s="1"/>
      <c r="X1904" s="1"/>
      <c r="Z1904" s="94" t="s">
        <v>82</v>
      </c>
    </row>
    <row r="1905" spans="1:26" s="25" customFormat="1" ht="6.95" customHeight="1" x14ac:dyDescent="0.3">
      <c r="A1905" s="165">
        <f>+A1894+1</f>
        <v>174</v>
      </c>
      <c r="B1905" s="166"/>
      <c r="C1905" s="167"/>
      <c r="D1905" s="160" t="s">
        <v>39</v>
      </c>
      <c r="E1905" s="161"/>
      <c r="F1905" s="162" t="s">
        <v>40</v>
      </c>
      <c r="G1905" s="163"/>
      <c r="H1905" s="164"/>
      <c r="I1905" s="163"/>
      <c r="J1905" s="164"/>
      <c r="K1905" s="163"/>
      <c r="L1905" s="164"/>
      <c r="M1905" s="11"/>
      <c r="N1905" s="39"/>
      <c r="Q1905" s="15" t="str">
        <f>+CONCATENATE(E1905,G1905)</f>
        <v/>
      </c>
      <c r="R1905" s="15">
        <f>+H1905</f>
        <v>0</v>
      </c>
      <c r="S1905" s="16"/>
      <c r="T1905" s="15">
        <f>+E1905</f>
        <v>0</v>
      </c>
      <c r="U1905" s="26" t="str">
        <f>IFERROR(LEFT(G1905,FIND("*",G1905)-1),"-")</f>
        <v>-</v>
      </c>
      <c r="V1905" s="26" t="str">
        <f>IFERROR(RIGHT(G1905,LEN(G1905)-FIND("*",G1905)),"-")</f>
        <v>-</v>
      </c>
      <c r="W1905" s="27" t="str">
        <f>IFERROR((U1905+V1905)*2/1000,"-")</f>
        <v>-</v>
      </c>
      <c r="X1905" s="27" t="str">
        <f>IFERROR(W1905*H1905,"-")</f>
        <v>-</v>
      </c>
      <c r="Z1905" s="94" t="s">
        <v>82</v>
      </c>
    </row>
    <row r="1906" spans="1:26" s="25" customFormat="1" ht="6.95" customHeight="1" x14ac:dyDescent="0.3">
      <c r="A1906" s="165"/>
      <c r="B1906" s="168"/>
      <c r="C1906" s="169"/>
      <c r="D1906" s="160"/>
      <c r="E1906" s="161"/>
      <c r="F1906" s="162"/>
      <c r="G1906" s="163"/>
      <c r="H1906" s="164"/>
      <c r="I1906" s="163"/>
      <c r="J1906" s="164"/>
      <c r="K1906" s="163"/>
      <c r="L1906" s="164"/>
      <c r="M1906" s="11"/>
      <c r="N1906" s="39"/>
      <c r="Q1906" s="15" t="str">
        <f>+CONCATENATE(E1905,I1905)</f>
        <v/>
      </c>
      <c r="R1906" s="15">
        <f>+J1905</f>
        <v>0</v>
      </c>
      <c r="S1906" s="16"/>
      <c r="T1906" s="15">
        <f>+E1905</f>
        <v>0</v>
      </c>
      <c r="U1906" s="26" t="str">
        <f>IFERROR(LEFT(I1905,FIND("*",I1905)-1),"-")</f>
        <v>-</v>
      </c>
      <c r="V1906" s="26" t="str">
        <f>IFERROR(RIGHT(I1905,LEN(I1905)-FIND("*",I1905)),"-")</f>
        <v>-</v>
      </c>
      <c r="W1906" s="27" t="str">
        <f t="shared" ref="W1906:W1913" si="1036">IFERROR((U1906+V1906)*2/1000,"-")</f>
        <v>-</v>
      </c>
      <c r="X1906" s="27" t="str">
        <f>IFERROR(W1906*J1905,"-")</f>
        <v>-</v>
      </c>
      <c r="Z1906" s="94" t="s">
        <v>82</v>
      </c>
    </row>
    <row r="1907" spans="1:26" s="25" customFormat="1" ht="6.95" customHeight="1" x14ac:dyDescent="0.3">
      <c r="A1907" s="165"/>
      <c r="B1907" s="168"/>
      <c r="C1907" s="169"/>
      <c r="D1907" s="160"/>
      <c r="E1907" s="161"/>
      <c r="F1907" s="162"/>
      <c r="G1907" s="163"/>
      <c r="H1907" s="164"/>
      <c r="I1907" s="163"/>
      <c r="J1907" s="164"/>
      <c r="K1907" s="163"/>
      <c r="L1907" s="164"/>
      <c r="M1907" s="11"/>
      <c r="N1907" s="39"/>
      <c r="Q1907" s="15" t="str">
        <f>+CONCATENATE(E1905,K1905)</f>
        <v/>
      </c>
      <c r="R1907" s="15">
        <f>+L1905</f>
        <v>0</v>
      </c>
      <c r="S1907" s="16"/>
      <c r="T1907" s="15">
        <f>+E1905</f>
        <v>0</v>
      </c>
      <c r="U1907" s="26" t="str">
        <f>IFERROR(LEFT(K1905,FIND("*",K1905)-1),"-")</f>
        <v>-</v>
      </c>
      <c r="V1907" s="26" t="str">
        <f>IFERROR(RIGHT(K1905,LEN(K1905)-FIND("*",K1905)),"-")</f>
        <v>-</v>
      </c>
      <c r="W1907" s="27" t="str">
        <f t="shared" si="1036"/>
        <v>-</v>
      </c>
      <c r="X1907" s="27" t="str">
        <f>IFERROR(W1907*L1905,"-")</f>
        <v>-</v>
      </c>
      <c r="Z1907" s="94" t="s">
        <v>82</v>
      </c>
    </row>
    <row r="1908" spans="1:26" s="25" customFormat="1" ht="6.95" customHeight="1" x14ac:dyDescent="0.3">
      <c r="A1908" s="13"/>
      <c r="B1908" s="168"/>
      <c r="C1908" s="169"/>
      <c r="D1908" s="160" t="s">
        <v>39</v>
      </c>
      <c r="E1908" s="161"/>
      <c r="F1908" s="162" t="s">
        <v>40</v>
      </c>
      <c r="G1908" s="163"/>
      <c r="H1908" s="164"/>
      <c r="I1908" s="163"/>
      <c r="J1908" s="164"/>
      <c r="K1908" s="163"/>
      <c r="L1908" s="164"/>
      <c r="M1908" s="11"/>
      <c r="N1908" s="39"/>
      <c r="Q1908" s="15" t="str">
        <f>+CONCATENATE(E1908,G1908)</f>
        <v/>
      </c>
      <c r="R1908" s="15">
        <f>+H1908</f>
        <v>0</v>
      </c>
      <c r="S1908" s="16"/>
      <c r="T1908" s="15">
        <f>+E1908</f>
        <v>0</v>
      </c>
      <c r="U1908" s="26" t="str">
        <f t="shared" ref="U1908" si="1037">IFERROR(LEFT(G1908,FIND("*",G1908)-1),"-")</f>
        <v>-</v>
      </c>
      <c r="V1908" s="26" t="str">
        <f t="shared" ref="V1908" si="1038">IFERROR(RIGHT(G1908,LEN(G1908)-FIND("*",G1908)),"-")</f>
        <v>-</v>
      </c>
      <c r="W1908" s="27" t="str">
        <f t="shared" si="1036"/>
        <v>-</v>
      </c>
      <c r="X1908" s="27" t="str">
        <f>IFERROR(W1908*H1908,"-")</f>
        <v>-</v>
      </c>
      <c r="Z1908" s="94" t="s">
        <v>82</v>
      </c>
    </row>
    <row r="1909" spans="1:26" s="25" customFormat="1" ht="6.95" customHeight="1" x14ac:dyDescent="0.3">
      <c r="A1909" s="10"/>
      <c r="B1909" s="168"/>
      <c r="C1909" s="169"/>
      <c r="D1909" s="160"/>
      <c r="E1909" s="161"/>
      <c r="F1909" s="162"/>
      <c r="G1909" s="163"/>
      <c r="H1909" s="164"/>
      <c r="I1909" s="163"/>
      <c r="J1909" s="164"/>
      <c r="K1909" s="163"/>
      <c r="L1909" s="164"/>
      <c r="M1909" s="11"/>
      <c r="N1909" s="39"/>
      <c r="Q1909" s="15" t="str">
        <f>+CONCATENATE(E1908,I1908)</f>
        <v/>
      </c>
      <c r="R1909" s="15">
        <f>+J1908</f>
        <v>0</v>
      </c>
      <c r="S1909" s="16"/>
      <c r="T1909" s="15">
        <f>+E1908</f>
        <v>0</v>
      </c>
      <c r="U1909" s="26" t="str">
        <f>IFERROR(LEFT(I1908,FIND("*",I1908)-1),"-")</f>
        <v>-</v>
      </c>
      <c r="V1909" s="26" t="str">
        <f>IFERROR(RIGHT(I1908,LEN(I1908)-FIND("*",I1908)),"-")</f>
        <v>-</v>
      </c>
      <c r="W1909" s="27" t="str">
        <f t="shared" si="1036"/>
        <v>-</v>
      </c>
      <c r="X1909" s="27" t="str">
        <f>IFERROR(W1909*J1908,"-")</f>
        <v>-</v>
      </c>
      <c r="Z1909" s="94" t="s">
        <v>82</v>
      </c>
    </row>
    <row r="1910" spans="1:26" s="25" customFormat="1" ht="6.95" customHeight="1" x14ac:dyDescent="0.3">
      <c r="A1910" s="10"/>
      <c r="B1910" s="168"/>
      <c r="C1910" s="169"/>
      <c r="D1910" s="160"/>
      <c r="E1910" s="161"/>
      <c r="F1910" s="162"/>
      <c r="G1910" s="163"/>
      <c r="H1910" s="164"/>
      <c r="I1910" s="163"/>
      <c r="J1910" s="164"/>
      <c r="K1910" s="163"/>
      <c r="L1910" s="164"/>
      <c r="M1910" s="11"/>
      <c r="N1910" s="39"/>
      <c r="Q1910" s="15" t="str">
        <f>+CONCATENATE(E1908,K1908)</f>
        <v/>
      </c>
      <c r="R1910" s="15">
        <f>+L1908</f>
        <v>0</v>
      </c>
      <c r="S1910" s="16"/>
      <c r="T1910" s="15">
        <f>+E1908</f>
        <v>0</v>
      </c>
      <c r="U1910" s="26" t="str">
        <f>IFERROR(LEFT(K1908,FIND("*",K1908)-1),"-")</f>
        <v>-</v>
      </c>
      <c r="V1910" s="26" t="str">
        <f>IFERROR(RIGHT(K1908,LEN(K1908)-FIND("*",K1908)),"-")</f>
        <v>-</v>
      </c>
      <c r="W1910" s="27" t="str">
        <f t="shared" si="1036"/>
        <v>-</v>
      </c>
      <c r="X1910" s="27" t="str">
        <f>IFERROR(W1910*L1908,"-")</f>
        <v>-</v>
      </c>
      <c r="Z1910" s="94" t="s">
        <v>82</v>
      </c>
    </row>
    <row r="1911" spans="1:26" s="25" customFormat="1" ht="6.95" customHeight="1" x14ac:dyDescent="0.3">
      <c r="A1911" s="13"/>
      <c r="B1911" s="168"/>
      <c r="C1911" s="169"/>
      <c r="D1911" s="160" t="s">
        <v>39</v>
      </c>
      <c r="E1911" s="161"/>
      <c r="F1911" s="162" t="s">
        <v>40</v>
      </c>
      <c r="G1911" s="163"/>
      <c r="H1911" s="164"/>
      <c r="I1911" s="163"/>
      <c r="J1911" s="164"/>
      <c r="K1911" s="163"/>
      <c r="L1911" s="164"/>
      <c r="M1911" s="11"/>
      <c r="N1911" s="39"/>
      <c r="Q1911" s="15" t="str">
        <f>+CONCATENATE(E1911,G1911)</f>
        <v/>
      </c>
      <c r="R1911" s="15">
        <f>+H1911</f>
        <v>0</v>
      </c>
      <c r="S1911" s="16"/>
      <c r="T1911" s="15">
        <f>+E1911</f>
        <v>0</v>
      </c>
      <c r="U1911" s="26" t="str">
        <f t="shared" ref="U1911" si="1039">IFERROR(LEFT(G1911,FIND("*",G1911)-1),"-")</f>
        <v>-</v>
      </c>
      <c r="V1911" s="26" t="str">
        <f t="shared" ref="V1911" si="1040">IFERROR(RIGHT(G1911,LEN(G1911)-FIND("*",G1911)),"-")</f>
        <v>-</v>
      </c>
      <c r="W1911" s="27" t="str">
        <f t="shared" si="1036"/>
        <v>-</v>
      </c>
      <c r="X1911" s="27" t="str">
        <f>IFERROR(W1911*H1911,"-")</f>
        <v>-</v>
      </c>
      <c r="Z1911" s="94" t="s">
        <v>82</v>
      </c>
    </row>
    <row r="1912" spans="1:26" s="25" customFormat="1" ht="6.95" customHeight="1" x14ac:dyDescent="0.3">
      <c r="A1912" s="10"/>
      <c r="B1912" s="168"/>
      <c r="C1912" s="169"/>
      <c r="D1912" s="160"/>
      <c r="E1912" s="161"/>
      <c r="F1912" s="162"/>
      <c r="G1912" s="163"/>
      <c r="H1912" s="164"/>
      <c r="I1912" s="163"/>
      <c r="J1912" s="164"/>
      <c r="K1912" s="163"/>
      <c r="L1912" s="164"/>
      <c r="M1912" s="11"/>
      <c r="N1912" s="39"/>
      <c r="Q1912" s="15" t="str">
        <f>+CONCATENATE(E1911,I1911)</f>
        <v/>
      </c>
      <c r="R1912" s="15">
        <f>+J1911</f>
        <v>0</v>
      </c>
      <c r="S1912" s="16"/>
      <c r="T1912" s="15">
        <f>+E1911</f>
        <v>0</v>
      </c>
      <c r="U1912" s="26" t="str">
        <f>IFERROR(LEFT(I1911,FIND("*",I1911)-1),"-")</f>
        <v>-</v>
      </c>
      <c r="V1912" s="26" t="str">
        <f>IFERROR(RIGHT(I1911,LEN(I1911)-FIND("*",I1911)),"-")</f>
        <v>-</v>
      </c>
      <c r="W1912" s="27" t="str">
        <f t="shared" si="1036"/>
        <v>-</v>
      </c>
      <c r="X1912" s="27" t="str">
        <f t="shared" ref="X1912" si="1041">IFERROR(W1912*J1911,"-")</f>
        <v>-</v>
      </c>
      <c r="Z1912" s="94" t="s">
        <v>82</v>
      </c>
    </row>
    <row r="1913" spans="1:26" s="25" customFormat="1" ht="6.95" customHeight="1" x14ac:dyDescent="0.3">
      <c r="A1913" s="10"/>
      <c r="B1913" s="168"/>
      <c r="C1913" s="169"/>
      <c r="D1913" s="160"/>
      <c r="E1913" s="161"/>
      <c r="F1913" s="162"/>
      <c r="G1913" s="163"/>
      <c r="H1913" s="164"/>
      <c r="I1913" s="163"/>
      <c r="J1913" s="164"/>
      <c r="K1913" s="163"/>
      <c r="L1913" s="164"/>
      <c r="M1913" s="11"/>
      <c r="N1913" s="39"/>
      <c r="Q1913" s="15" t="str">
        <f>+CONCATENATE(E1911,K1911)</f>
        <v/>
      </c>
      <c r="R1913" s="15">
        <f>+L1911</f>
        <v>0</v>
      </c>
      <c r="S1913" s="16"/>
      <c r="T1913" s="15">
        <f>+E1911</f>
        <v>0</v>
      </c>
      <c r="U1913" s="26" t="str">
        <f>IFERROR(LEFT(K1911,FIND("*",K1911)-1),"-")</f>
        <v>-</v>
      </c>
      <c r="V1913" s="26" t="str">
        <f>IFERROR(RIGHT(K1911,LEN(K1911)-FIND("*",K1911)),"-")</f>
        <v>-</v>
      </c>
      <c r="W1913" s="27" t="str">
        <f t="shared" si="1036"/>
        <v>-</v>
      </c>
      <c r="X1913" s="27" t="str">
        <f>IFERROR(W1913*L1911,"-")</f>
        <v>-</v>
      </c>
      <c r="Z1913" s="94" t="s">
        <v>82</v>
      </c>
    </row>
    <row r="1914" spans="1:26" s="25" customFormat="1" ht="21" customHeight="1" thickBot="1" x14ac:dyDescent="0.35">
      <c r="A1914" s="10"/>
      <c r="B1914" s="170"/>
      <c r="C1914" s="171"/>
      <c r="D1914" s="172" t="s">
        <v>43</v>
      </c>
      <c r="E1914" s="173"/>
      <c r="F1914" s="173"/>
      <c r="G1914" s="174"/>
      <c r="H1914" s="174"/>
      <c r="I1914" s="174"/>
      <c r="J1914" s="174"/>
      <c r="K1914" s="174"/>
      <c r="L1914" s="174"/>
      <c r="M1914" s="12"/>
      <c r="N1914" s="39"/>
      <c r="U1914" s="23"/>
      <c r="V1914" s="23"/>
      <c r="Z1914" s="95" t="s">
        <v>81</v>
      </c>
    </row>
    <row r="1915" spans="1:26" s="25" customFormat="1" ht="9.9499999999999993" customHeight="1" thickBot="1" x14ac:dyDescent="0.35">
      <c r="A1915" s="6"/>
      <c r="B1915" s="14"/>
      <c r="C1915" s="119"/>
      <c r="D1915" s="58"/>
      <c r="E1915" s="17"/>
      <c r="F1915" s="58"/>
      <c r="G1915" s="19"/>
      <c r="H1915" s="19"/>
      <c r="I1915" s="19"/>
      <c r="J1915" s="19"/>
      <c r="K1915" s="19"/>
      <c r="L1915" s="19"/>
      <c r="M1915" s="14"/>
      <c r="N1915" s="39"/>
      <c r="Q1915" s="1"/>
      <c r="R1915" s="1"/>
      <c r="S1915" s="1"/>
      <c r="T1915" s="1"/>
      <c r="U1915" s="24"/>
      <c r="V1915" s="24"/>
      <c r="W1915" s="1"/>
      <c r="X1915" s="1"/>
      <c r="Z1915" s="94" t="s">
        <v>82</v>
      </c>
    </row>
    <row r="1916" spans="1:26" s="25" customFormat="1" ht="6.95" customHeight="1" x14ac:dyDescent="0.3">
      <c r="A1916" s="165">
        <f>+A1905+1</f>
        <v>175</v>
      </c>
      <c r="B1916" s="166"/>
      <c r="C1916" s="167"/>
      <c r="D1916" s="160" t="s">
        <v>39</v>
      </c>
      <c r="E1916" s="161"/>
      <c r="F1916" s="162" t="s">
        <v>40</v>
      </c>
      <c r="G1916" s="163"/>
      <c r="H1916" s="164"/>
      <c r="I1916" s="163"/>
      <c r="J1916" s="164"/>
      <c r="K1916" s="163"/>
      <c r="L1916" s="164"/>
      <c r="M1916" s="11"/>
      <c r="N1916" s="39"/>
      <c r="Q1916" s="15" t="str">
        <f>+CONCATENATE(E1916,G1916)</f>
        <v/>
      </c>
      <c r="R1916" s="15">
        <f>+H1916</f>
        <v>0</v>
      </c>
      <c r="S1916" s="16"/>
      <c r="T1916" s="15">
        <f>+E1916</f>
        <v>0</v>
      </c>
      <c r="U1916" s="26" t="str">
        <f>IFERROR(LEFT(G1916,FIND("*",G1916)-1),"-")</f>
        <v>-</v>
      </c>
      <c r="V1916" s="26" t="str">
        <f>IFERROR(RIGHT(G1916,LEN(G1916)-FIND("*",G1916)),"-")</f>
        <v>-</v>
      </c>
      <c r="W1916" s="27" t="str">
        <f>IFERROR((U1916+V1916)*2/1000,"-")</f>
        <v>-</v>
      </c>
      <c r="X1916" s="27" t="str">
        <f>IFERROR(W1916*H1916,"-")</f>
        <v>-</v>
      </c>
      <c r="Z1916" s="94" t="s">
        <v>82</v>
      </c>
    </row>
    <row r="1917" spans="1:26" s="25" customFormat="1" ht="6.95" customHeight="1" x14ac:dyDescent="0.3">
      <c r="A1917" s="165"/>
      <c r="B1917" s="168"/>
      <c r="C1917" s="169"/>
      <c r="D1917" s="160"/>
      <c r="E1917" s="161"/>
      <c r="F1917" s="162"/>
      <c r="G1917" s="163"/>
      <c r="H1917" s="164"/>
      <c r="I1917" s="163"/>
      <c r="J1917" s="164"/>
      <c r="K1917" s="163"/>
      <c r="L1917" s="164"/>
      <c r="M1917" s="11"/>
      <c r="N1917" s="39"/>
      <c r="Q1917" s="15" t="str">
        <f>+CONCATENATE(E1916,I1916)</f>
        <v/>
      </c>
      <c r="R1917" s="15">
        <f>+J1916</f>
        <v>0</v>
      </c>
      <c r="S1917" s="16"/>
      <c r="T1917" s="15">
        <f>+E1916</f>
        <v>0</v>
      </c>
      <c r="U1917" s="26" t="str">
        <f>IFERROR(LEFT(I1916,FIND("*",I1916)-1),"-")</f>
        <v>-</v>
      </c>
      <c r="V1917" s="26" t="str">
        <f>IFERROR(RIGHT(I1916,LEN(I1916)-FIND("*",I1916)),"-")</f>
        <v>-</v>
      </c>
      <c r="W1917" s="27" t="str">
        <f t="shared" ref="W1917:W1924" si="1042">IFERROR((U1917+V1917)*2/1000,"-")</f>
        <v>-</v>
      </c>
      <c r="X1917" s="27" t="str">
        <f>IFERROR(W1917*J1916,"-")</f>
        <v>-</v>
      </c>
      <c r="Z1917" s="94" t="s">
        <v>82</v>
      </c>
    </row>
    <row r="1918" spans="1:26" s="25" customFormat="1" ht="6.95" customHeight="1" x14ac:dyDescent="0.3">
      <c r="A1918" s="165"/>
      <c r="B1918" s="168"/>
      <c r="C1918" s="169"/>
      <c r="D1918" s="160"/>
      <c r="E1918" s="161"/>
      <c r="F1918" s="162"/>
      <c r="G1918" s="163"/>
      <c r="H1918" s="164"/>
      <c r="I1918" s="163"/>
      <c r="J1918" s="164"/>
      <c r="K1918" s="163"/>
      <c r="L1918" s="164"/>
      <c r="M1918" s="11"/>
      <c r="N1918" s="39"/>
      <c r="Q1918" s="15" t="str">
        <f>+CONCATENATE(E1916,K1916)</f>
        <v/>
      </c>
      <c r="R1918" s="15">
        <f>+L1916</f>
        <v>0</v>
      </c>
      <c r="S1918" s="16"/>
      <c r="T1918" s="15">
        <f>+E1916</f>
        <v>0</v>
      </c>
      <c r="U1918" s="26" t="str">
        <f>IFERROR(LEFT(K1916,FIND("*",K1916)-1),"-")</f>
        <v>-</v>
      </c>
      <c r="V1918" s="26" t="str">
        <f>IFERROR(RIGHT(K1916,LEN(K1916)-FIND("*",K1916)),"-")</f>
        <v>-</v>
      </c>
      <c r="W1918" s="27" t="str">
        <f t="shared" si="1042"/>
        <v>-</v>
      </c>
      <c r="X1918" s="27" t="str">
        <f>IFERROR(W1918*L1916,"-")</f>
        <v>-</v>
      </c>
      <c r="Z1918" s="94" t="s">
        <v>82</v>
      </c>
    </row>
    <row r="1919" spans="1:26" s="25" customFormat="1" ht="6.95" customHeight="1" x14ac:dyDescent="0.3">
      <c r="A1919" s="13"/>
      <c r="B1919" s="168"/>
      <c r="C1919" s="169"/>
      <c r="D1919" s="160" t="s">
        <v>39</v>
      </c>
      <c r="E1919" s="161"/>
      <c r="F1919" s="162" t="s">
        <v>40</v>
      </c>
      <c r="G1919" s="163"/>
      <c r="H1919" s="164"/>
      <c r="I1919" s="163"/>
      <c r="J1919" s="164"/>
      <c r="K1919" s="163"/>
      <c r="L1919" s="164"/>
      <c r="M1919" s="11"/>
      <c r="N1919" s="39"/>
      <c r="Q1919" s="15" t="str">
        <f>+CONCATENATE(E1919,G1919)</f>
        <v/>
      </c>
      <c r="R1919" s="15">
        <f>+H1919</f>
        <v>0</v>
      </c>
      <c r="S1919" s="16"/>
      <c r="T1919" s="15">
        <f>+E1919</f>
        <v>0</v>
      </c>
      <c r="U1919" s="26" t="str">
        <f t="shared" ref="U1919" si="1043">IFERROR(LEFT(G1919,FIND("*",G1919)-1),"-")</f>
        <v>-</v>
      </c>
      <c r="V1919" s="26" t="str">
        <f t="shared" ref="V1919" si="1044">IFERROR(RIGHT(G1919,LEN(G1919)-FIND("*",G1919)),"-")</f>
        <v>-</v>
      </c>
      <c r="W1919" s="27" t="str">
        <f t="shared" si="1042"/>
        <v>-</v>
      </c>
      <c r="X1919" s="27" t="str">
        <f>IFERROR(W1919*H1919,"-")</f>
        <v>-</v>
      </c>
      <c r="Z1919" s="94" t="s">
        <v>82</v>
      </c>
    </row>
    <row r="1920" spans="1:26" s="25" customFormat="1" ht="6.95" customHeight="1" x14ac:dyDescent="0.3">
      <c r="A1920" s="10"/>
      <c r="B1920" s="168"/>
      <c r="C1920" s="169"/>
      <c r="D1920" s="160"/>
      <c r="E1920" s="161"/>
      <c r="F1920" s="162"/>
      <c r="G1920" s="163"/>
      <c r="H1920" s="164"/>
      <c r="I1920" s="163"/>
      <c r="J1920" s="164"/>
      <c r="K1920" s="163"/>
      <c r="L1920" s="164"/>
      <c r="M1920" s="11"/>
      <c r="N1920" s="39"/>
      <c r="Q1920" s="15" t="str">
        <f>+CONCATENATE(E1919,I1919)</f>
        <v/>
      </c>
      <c r="R1920" s="15">
        <f>+J1919</f>
        <v>0</v>
      </c>
      <c r="S1920" s="16"/>
      <c r="T1920" s="15">
        <f>+E1919</f>
        <v>0</v>
      </c>
      <c r="U1920" s="26" t="str">
        <f>IFERROR(LEFT(I1919,FIND("*",I1919)-1),"-")</f>
        <v>-</v>
      </c>
      <c r="V1920" s="26" t="str">
        <f>IFERROR(RIGHT(I1919,LEN(I1919)-FIND("*",I1919)),"-")</f>
        <v>-</v>
      </c>
      <c r="W1920" s="27" t="str">
        <f t="shared" si="1042"/>
        <v>-</v>
      </c>
      <c r="X1920" s="27" t="str">
        <f>IFERROR(W1920*J1919,"-")</f>
        <v>-</v>
      </c>
      <c r="Z1920" s="94" t="s">
        <v>82</v>
      </c>
    </row>
    <row r="1921" spans="1:26" s="25" customFormat="1" ht="6.95" customHeight="1" x14ac:dyDescent="0.3">
      <c r="A1921" s="10"/>
      <c r="B1921" s="168"/>
      <c r="C1921" s="169"/>
      <c r="D1921" s="160"/>
      <c r="E1921" s="161"/>
      <c r="F1921" s="162"/>
      <c r="G1921" s="163"/>
      <c r="H1921" s="164"/>
      <c r="I1921" s="163"/>
      <c r="J1921" s="164"/>
      <c r="K1921" s="163"/>
      <c r="L1921" s="164"/>
      <c r="M1921" s="11"/>
      <c r="N1921" s="39"/>
      <c r="Q1921" s="15" t="str">
        <f>+CONCATENATE(E1919,K1919)</f>
        <v/>
      </c>
      <c r="R1921" s="15">
        <f>+L1919</f>
        <v>0</v>
      </c>
      <c r="S1921" s="16"/>
      <c r="T1921" s="15">
        <f>+E1919</f>
        <v>0</v>
      </c>
      <c r="U1921" s="26" t="str">
        <f>IFERROR(LEFT(K1919,FIND("*",K1919)-1),"-")</f>
        <v>-</v>
      </c>
      <c r="V1921" s="26" t="str">
        <f>IFERROR(RIGHT(K1919,LEN(K1919)-FIND("*",K1919)),"-")</f>
        <v>-</v>
      </c>
      <c r="W1921" s="27" t="str">
        <f t="shared" si="1042"/>
        <v>-</v>
      </c>
      <c r="X1921" s="27" t="str">
        <f>IFERROR(W1921*L1919,"-")</f>
        <v>-</v>
      </c>
      <c r="Z1921" s="94" t="s">
        <v>82</v>
      </c>
    </row>
    <row r="1922" spans="1:26" s="25" customFormat="1" ht="6.95" customHeight="1" x14ac:dyDescent="0.3">
      <c r="A1922" s="13"/>
      <c r="B1922" s="168"/>
      <c r="C1922" s="169"/>
      <c r="D1922" s="160" t="s">
        <v>39</v>
      </c>
      <c r="E1922" s="161"/>
      <c r="F1922" s="162" t="s">
        <v>40</v>
      </c>
      <c r="G1922" s="163"/>
      <c r="H1922" s="164"/>
      <c r="I1922" s="163"/>
      <c r="J1922" s="164"/>
      <c r="K1922" s="163"/>
      <c r="L1922" s="164"/>
      <c r="M1922" s="11"/>
      <c r="N1922" s="39"/>
      <c r="Q1922" s="15" t="str">
        <f>+CONCATENATE(E1922,G1922)</f>
        <v/>
      </c>
      <c r="R1922" s="15">
        <f>+H1922</f>
        <v>0</v>
      </c>
      <c r="S1922" s="16"/>
      <c r="T1922" s="15">
        <f>+E1922</f>
        <v>0</v>
      </c>
      <c r="U1922" s="26" t="str">
        <f t="shared" ref="U1922" si="1045">IFERROR(LEFT(G1922,FIND("*",G1922)-1),"-")</f>
        <v>-</v>
      </c>
      <c r="V1922" s="26" t="str">
        <f t="shared" ref="V1922" si="1046">IFERROR(RIGHT(G1922,LEN(G1922)-FIND("*",G1922)),"-")</f>
        <v>-</v>
      </c>
      <c r="W1922" s="27" t="str">
        <f t="shared" si="1042"/>
        <v>-</v>
      </c>
      <c r="X1922" s="27" t="str">
        <f>IFERROR(W1922*H1922,"-")</f>
        <v>-</v>
      </c>
      <c r="Z1922" s="94" t="s">
        <v>82</v>
      </c>
    </row>
    <row r="1923" spans="1:26" s="25" customFormat="1" ht="6.95" customHeight="1" x14ac:dyDescent="0.3">
      <c r="A1923" s="10"/>
      <c r="B1923" s="168"/>
      <c r="C1923" s="169"/>
      <c r="D1923" s="160"/>
      <c r="E1923" s="161"/>
      <c r="F1923" s="162"/>
      <c r="G1923" s="163"/>
      <c r="H1923" s="164"/>
      <c r="I1923" s="163"/>
      <c r="J1923" s="164"/>
      <c r="K1923" s="163"/>
      <c r="L1923" s="164"/>
      <c r="M1923" s="11"/>
      <c r="N1923" s="39"/>
      <c r="Q1923" s="15" t="str">
        <f>+CONCATENATE(E1922,I1922)</f>
        <v/>
      </c>
      <c r="R1923" s="15">
        <f>+J1922</f>
        <v>0</v>
      </c>
      <c r="S1923" s="16"/>
      <c r="T1923" s="15">
        <f>+E1922</f>
        <v>0</v>
      </c>
      <c r="U1923" s="26" t="str">
        <f>IFERROR(LEFT(I1922,FIND("*",I1922)-1),"-")</f>
        <v>-</v>
      </c>
      <c r="V1923" s="26" t="str">
        <f>IFERROR(RIGHT(I1922,LEN(I1922)-FIND("*",I1922)),"-")</f>
        <v>-</v>
      </c>
      <c r="W1923" s="27" t="str">
        <f t="shared" si="1042"/>
        <v>-</v>
      </c>
      <c r="X1923" s="27" t="str">
        <f t="shared" ref="X1923" si="1047">IFERROR(W1923*J1922,"-")</f>
        <v>-</v>
      </c>
      <c r="Z1923" s="94" t="s">
        <v>82</v>
      </c>
    </row>
    <row r="1924" spans="1:26" s="25" customFormat="1" ht="6.95" customHeight="1" x14ac:dyDescent="0.3">
      <c r="A1924" s="10"/>
      <c r="B1924" s="168"/>
      <c r="C1924" s="169"/>
      <c r="D1924" s="160"/>
      <c r="E1924" s="161"/>
      <c r="F1924" s="162"/>
      <c r="G1924" s="163"/>
      <c r="H1924" s="164"/>
      <c r="I1924" s="163"/>
      <c r="J1924" s="164"/>
      <c r="K1924" s="163"/>
      <c r="L1924" s="164"/>
      <c r="M1924" s="11"/>
      <c r="N1924" s="39"/>
      <c r="Q1924" s="15" t="str">
        <f>+CONCATENATE(E1922,K1922)</f>
        <v/>
      </c>
      <c r="R1924" s="15">
        <f>+L1922</f>
        <v>0</v>
      </c>
      <c r="S1924" s="16"/>
      <c r="T1924" s="15">
        <f>+E1922</f>
        <v>0</v>
      </c>
      <c r="U1924" s="26" t="str">
        <f>IFERROR(LEFT(K1922,FIND("*",K1922)-1),"-")</f>
        <v>-</v>
      </c>
      <c r="V1924" s="26" t="str">
        <f>IFERROR(RIGHT(K1922,LEN(K1922)-FIND("*",K1922)),"-")</f>
        <v>-</v>
      </c>
      <c r="W1924" s="27" t="str">
        <f t="shared" si="1042"/>
        <v>-</v>
      </c>
      <c r="X1924" s="27" t="str">
        <f>IFERROR(W1924*L1922,"-")</f>
        <v>-</v>
      </c>
      <c r="Z1924" s="94" t="s">
        <v>82</v>
      </c>
    </row>
    <row r="1925" spans="1:26" s="25" customFormat="1" ht="21" customHeight="1" thickBot="1" x14ac:dyDescent="0.35">
      <c r="A1925" s="10"/>
      <c r="B1925" s="170"/>
      <c r="C1925" s="171"/>
      <c r="D1925" s="172" t="s">
        <v>43</v>
      </c>
      <c r="E1925" s="173"/>
      <c r="F1925" s="173"/>
      <c r="G1925" s="174"/>
      <c r="H1925" s="174"/>
      <c r="I1925" s="174"/>
      <c r="J1925" s="174"/>
      <c r="K1925" s="174"/>
      <c r="L1925" s="174"/>
      <c r="M1925" s="12"/>
      <c r="N1925" s="39"/>
      <c r="U1925" s="23"/>
      <c r="V1925" s="23"/>
      <c r="Z1925" s="95" t="s">
        <v>81</v>
      </c>
    </row>
    <row r="1926" spans="1:26" s="25" customFormat="1" ht="9.9499999999999993" customHeight="1" thickBot="1" x14ac:dyDescent="0.35">
      <c r="A1926" s="6"/>
      <c r="B1926" s="14"/>
      <c r="C1926" s="119"/>
      <c r="D1926" s="58"/>
      <c r="E1926" s="17"/>
      <c r="F1926" s="58"/>
      <c r="G1926" s="19"/>
      <c r="H1926" s="19"/>
      <c r="I1926" s="19"/>
      <c r="J1926" s="19"/>
      <c r="K1926" s="19"/>
      <c r="L1926" s="19"/>
      <c r="M1926" s="14"/>
      <c r="N1926" s="39"/>
      <c r="Q1926" s="1"/>
      <c r="R1926" s="1"/>
      <c r="S1926" s="1"/>
      <c r="T1926" s="1"/>
      <c r="U1926" s="24"/>
      <c r="V1926" s="24"/>
      <c r="W1926" s="1"/>
      <c r="X1926" s="1"/>
      <c r="Z1926" s="94" t="s">
        <v>82</v>
      </c>
    </row>
    <row r="1927" spans="1:26" s="25" customFormat="1" ht="6.95" customHeight="1" x14ac:dyDescent="0.3">
      <c r="A1927" s="165">
        <f>+A1916+1</f>
        <v>176</v>
      </c>
      <c r="B1927" s="166"/>
      <c r="C1927" s="167"/>
      <c r="D1927" s="160" t="s">
        <v>39</v>
      </c>
      <c r="E1927" s="161"/>
      <c r="F1927" s="162" t="s">
        <v>40</v>
      </c>
      <c r="G1927" s="163"/>
      <c r="H1927" s="164"/>
      <c r="I1927" s="163"/>
      <c r="J1927" s="164"/>
      <c r="K1927" s="163"/>
      <c r="L1927" s="164"/>
      <c r="M1927" s="11"/>
      <c r="N1927" s="39"/>
      <c r="Q1927" s="15" t="str">
        <f>+CONCATENATE(E1927,G1927)</f>
        <v/>
      </c>
      <c r="R1927" s="15">
        <f>+H1927</f>
        <v>0</v>
      </c>
      <c r="S1927" s="16"/>
      <c r="T1927" s="15">
        <f>+E1927</f>
        <v>0</v>
      </c>
      <c r="U1927" s="26" t="str">
        <f>IFERROR(LEFT(G1927,FIND("*",G1927)-1),"-")</f>
        <v>-</v>
      </c>
      <c r="V1927" s="26" t="str">
        <f>IFERROR(RIGHT(G1927,LEN(G1927)-FIND("*",G1927)),"-")</f>
        <v>-</v>
      </c>
      <c r="W1927" s="27" t="str">
        <f>IFERROR((U1927+V1927)*2/1000,"-")</f>
        <v>-</v>
      </c>
      <c r="X1927" s="27" t="str">
        <f>IFERROR(W1927*H1927,"-")</f>
        <v>-</v>
      </c>
      <c r="Z1927" s="94" t="s">
        <v>82</v>
      </c>
    </row>
    <row r="1928" spans="1:26" s="25" customFormat="1" ht="6.95" customHeight="1" x14ac:dyDescent="0.3">
      <c r="A1928" s="165"/>
      <c r="B1928" s="168"/>
      <c r="C1928" s="169"/>
      <c r="D1928" s="160"/>
      <c r="E1928" s="161"/>
      <c r="F1928" s="162"/>
      <c r="G1928" s="163"/>
      <c r="H1928" s="164"/>
      <c r="I1928" s="163"/>
      <c r="J1928" s="164"/>
      <c r="K1928" s="163"/>
      <c r="L1928" s="164"/>
      <c r="M1928" s="11"/>
      <c r="N1928" s="39"/>
      <c r="Q1928" s="15" t="str">
        <f>+CONCATENATE(E1927,I1927)</f>
        <v/>
      </c>
      <c r="R1928" s="15">
        <f>+J1927</f>
        <v>0</v>
      </c>
      <c r="S1928" s="16"/>
      <c r="T1928" s="15">
        <f>+E1927</f>
        <v>0</v>
      </c>
      <c r="U1928" s="26" t="str">
        <f>IFERROR(LEFT(I1927,FIND("*",I1927)-1),"-")</f>
        <v>-</v>
      </c>
      <c r="V1928" s="26" t="str">
        <f>IFERROR(RIGHT(I1927,LEN(I1927)-FIND("*",I1927)),"-")</f>
        <v>-</v>
      </c>
      <c r="W1928" s="27" t="str">
        <f t="shared" ref="W1928:W1935" si="1048">IFERROR((U1928+V1928)*2/1000,"-")</f>
        <v>-</v>
      </c>
      <c r="X1928" s="27" t="str">
        <f>IFERROR(W1928*J1927,"-")</f>
        <v>-</v>
      </c>
      <c r="Z1928" s="94" t="s">
        <v>82</v>
      </c>
    </row>
    <row r="1929" spans="1:26" s="25" customFormat="1" ht="6.95" customHeight="1" x14ac:dyDescent="0.3">
      <c r="A1929" s="165"/>
      <c r="B1929" s="168"/>
      <c r="C1929" s="169"/>
      <c r="D1929" s="160"/>
      <c r="E1929" s="161"/>
      <c r="F1929" s="162"/>
      <c r="G1929" s="163"/>
      <c r="H1929" s="164"/>
      <c r="I1929" s="163"/>
      <c r="J1929" s="164"/>
      <c r="K1929" s="163"/>
      <c r="L1929" s="164"/>
      <c r="M1929" s="11"/>
      <c r="N1929" s="39"/>
      <c r="Q1929" s="15" t="str">
        <f>+CONCATENATE(E1927,K1927)</f>
        <v/>
      </c>
      <c r="R1929" s="15">
        <f>+L1927</f>
        <v>0</v>
      </c>
      <c r="S1929" s="16"/>
      <c r="T1929" s="15">
        <f>+E1927</f>
        <v>0</v>
      </c>
      <c r="U1929" s="26" t="str">
        <f>IFERROR(LEFT(K1927,FIND("*",K1927)-1),"-")</f>
        <v>-</v>
      </c>
      <c r="V1929" s="26" t="str">
        <f>IFERROR(RIGHT(K1927,LEN(K1927)-FIND("*",K1927)),"-")</f>
        <v>-</v>
      </c>
      <c r="W1929" s="27" t="str">
        <f t="shared" si="1048"/>
        <v>-</v>
      </c>
      <c r="X1929" s="27" t="str">
        <f>IFERROR(W1929*L1927,"-")</f>
        <v>-</v>
      </c>
      <c r="Z1929" s="94" t="s">
        <v>82</v>
      </c>
    </row>
    <row r="1930" spans="1:26" s="25" customFormat="1" ht="6.95" customHeight="1" x14ac:dyDescent="0.3">
      <c r="A1930" s="13"/>
      <c r="B1930" s="168"/>
      <c r="C1930" s="169"/>
      <c r="D1930" s="160" t="s">
        <v>39</v>
      </c>
      <c r="E1930" s="161"/>
      <c r="F1930" s="162" t="s">
        <v>40</v>
      </c>
      <c r="G1930" s="163"/>
      <c r="H1930" s="164"/>
      <c r="I1930" s="163"/>
      <c r="J1930" s="164"/>
      <c r="K1930" s="163"/>
      <c r="L1930" s="164"/>
      <c r="M1930" s="11"/>
      <c r="N1930" s="39"/>
      <c r="Q1930" s="15" t="str">
        <f>+CONCATENATE(E1930,G1930)</f>
        <v/>
      </c>
      <c r="R1930" s="15">
        <f>+H1930</f>
        <v>0</v>
      </c>
      <c r="S1930" s="16"/>
      <c r="T1930" s="15">
        <f>+E1930</f>
        <v>0</v>
      </c>
      <c r="U1930" s="26" t="str">
        <f t="shared" ref="U1930" si="1049">IFERROR(LEFT(G1930,FIND("*",G1930)-1),"-")</f>
        <v>-</v>
      </c>
      <c r="V1930" s="26" t="str">
        <f t="shared" ref="V1930" si="1050">IFERROR(RIGHT(G1930,LEN(G1930)-FIND("*",G1930)),"-")</f>
        <v>-</v>
      </c>
      <c r="W1930" s="27" t="str">
        <f t="shared" si="1048"/>
        <v>-</v>
      </c>
      <c r="X1930" s="27" t="str">
        <f>IFERROR(W1930*H1930,"-")</f>
        <v>-</v>
      </c>
      <c r="Z1930" s="94" t="s">
        <v>82</v>
      </c>
    </row>
    <row r="1931" spans="1:26" s="25" customFormat="1" ht="6.95" customHeight="1" x14ac:dyDescent="0.3">
      <c r="A1931" s="10"/>
      <c r="B1931" s="168"/>
      <c r="C1931" s="169"/>
      <c r="D1931" s="160"/>
      <c r="E1931" s="161"/>
      <c r="F1931" s="162"/>
      <c r="G1931" s="163"/>
      <c r="H1931" s="164"/>
      <c r="I1931" s="163"/>
      <c r="J1931" s="164"/>
      <c r="K1931" s="163"/>
      <c r="L1931" s="164"/>
      <c r="M1931" s="11"/>
      <c r="N1931" s="39"/>
      <c r="Q1931" s="15" t="str">
        <f>+CONCATENATE(E1930,I1930)</f>
        <v/>
      </c>
      <c r="R1931" s="15">
        <f>+J1930</f>
        <v>0</v>
      </c>
      <c r="S1931" s="16"/>
      <c r="T1931" s="15">
        <f>+E1930</f>
        <v>0</v>
      </c>
      <c r="U1931" s="26" t="str">
        <f>IFERROR(LEFT(I1930,FIND("*",I1930)-1),"-")</f>
        <v>-</v>
      </c>
      <c r="V1931" s="26" t="str">
        <f>IFERROR(RIGHT(I1930,LEN(I1930)-FIND("*",I1930)),"-")</f>
        <v>-</v>
      </c>
      <c r="W1931" s="27" t="str">
        <f t="shared" si="1048"/>
        <v>-</v>
      </c>
      <c r="X1931" s="27" t="str">
        <f>IFERROR(W1931*J1930,"-")</f>
        <v>-</v>
      </c>
      <c r="Z1931" s="94" t="s">
        <v>82</v>
      </c>
    </row>
    <row r="1932" spans="1:26" s="25" customFormat="1" ht="6.95" customHeight="1" x14ac:dyDescent="0.3">
      <c r="A1932" s="10"/>
      <c r="B1932" s="168"/>
      <c r="C1932" s="169"/>
      <c r="D1932" s="160"/>
      <c r="E1932" s="161"/>
      <c r="F1932" s="162"/>
      <c r="G1932" s="163"/>
      <c r="H1932" s="164"/>
      <c r="I1932" s="163"/>
      <c r="J1932" s="164"/>
      <c r="K1932" s="163"/>
      <c r="L1932" s="164"/>
      <c r="M1932" s="11"/>
      <c r="N1932" s="39"/>
      <c r="Q1932" s="15" t="str">
        <f>+CONCATENATE(E1930,K1930)</f>
        <v/>
      </c>
      <c r="R1932" s="15">
        <f>+L1930</f>
        <v>0</v>
      </c>
      <c r="S1932" s="16"/>
      <c r="T1932" s="15">
        <f>+E1930</f>
        <v>0</v>
      </c>
      <c r="U1932" s="26" t="str">
        <f>IFERROR(LEFT(K1930,FIND("*",K1930)-1),"-")</f>
        <v>-</v>
      </c>
      <c r="V1932" s="26" t="str">
        <f>IFERROR(RIGHT(K1930,LEN(K1930)-FIND("*",K1930)),"-")</f>
        <v>-</v>
      </c>
      <c r="W1932" s="27" t="str">
        <f t="shared" si="1048"/>
        <v>-</v>
      </c>
      <c r="X1932" s="27" t="str">
        <f>IFERROR(W1932*L1930,"-")</f>
        <v>-</v>
      </c>
      <c r="Z1932" s="94" t="s">
        <v>82</v>
      </c>
    </row>
    <row r="1933" spans="1:26" s="25" customFormat="1" ht="6.95" customHeight="1" x14ac:dyDescent="0.3">
      <c r="A1933" s="13"/>
      <c r="B1933" s="168"/>
      <c r="C1933" s="169"/>
      <c r="D1933" s="160" t="s">
        <v>39</v>
      </c>
      <c r="E1933" s="161"/>
      <c r="F1933" s="162" t="s">
        <v>40</v>
      </c>
      <c r="G1933" s="163"/>
      <c r="H1933" s="164"/>
      <c r="I1933" s="163"/>
      <c r="J1933" s="164"/>
      <c r="K1933" s="163"/>
      <c r="L1933" s="164"/>
      <c r="M1933" s="11"/>
      <c r="N1933" s="39"/>
      <c r="Q1933" s="15" t="str">
        <f>+CONCATENATE(E1933,G1933)</f>
        <v/>
      </c>
      <c r="R1933" s="15">
        <f>+H1933</f>
        <v>0</v>
      </c>
      <c r="S1933" s="16"/>
      <c r="T1933" s="15">
        <f>+E1933</f>
        <v>0</v>
      </c>
      <c r="U1933" s="26" t="str">
        <f t="shared" ref="U1933" si="1051">IFERROR(LEFT(G1933,FIND("*",G1933)-1),"-")</f>
        <v>-</v>
      </c>
      <c r="V1933" s="26" t="str">
        <f t="shared" ref="V1933" si="1052">IFERROR(RIGHT(G1933,LEN(G1933)-FIND("*",G1933)),"-")</f>
        <v>-</v>
      </c>
      <c r="W1933" s="27" t="str">
        <f t="shared" si="1048"/>
        <v>-</v>
      </c>
      <c r="X1933" s="27" t="str">
        <f>IFERROR(W1933*H1933,"-")</f>
        <v>-</v>
      </c>
      <c r="Z1933" s="94" t="s">
        <v>82</v>
      </c>
    </row>
    <row r="1934" spans="1:26" s="25" customFormat="1" ht="6.95" customHeight="1" x14ac:dyDescent="0.3">
      <c r="A1934" s="10"/>
      <c r="B1934" s="168"/>
      <c r="C1934" s="169"/>
      <c r="D1934" s="160"/>
      <c r="E1934" s="161"/>
      <c r="F1934" s="162"/>
      <c r="G1934" s="163"/>
      <c r="H1934" s="164"/>
      <c r="I1934" s="163"/>
      <c r="J1934" s="164"/>
      <c r="K1934" s="163"/>
      <c r="L1934" s="164"/>
      <c r="M1934" s="11"/>
      <c r="N1934" s="39"/>
      <c r="Q1934" s="15" t="str">
        <f>+CONCATENATE(E1933,I1933)</f>
        <v/>
      </c>
      <c r="R1934" s="15">
        <f>+J1933</f>
        <v>0</v>
      </c>
      <c r="S1934" s="16"/>
      <c r="T1934" s="15">
        <f>+E1933</f>
        <v>0</v>
      </c>
      <c r="U1934" s="26" t="str">
        <f>IFERROR(LEFT(I1933,FIND("*",I1933)-1),"-")</f>
        <v>-</v>
      </c>
      <c r="V1934" s="26" t="str">
        <f>IFERROR(RIGHT(I1933,LEN(I1933)-FIND("*",I1933)),"-")</f>
        <v>-</v>
      </c>
      <c r="W1934" s="27" t="str">
        <f t="shared" si="1048"/>
        <v>-</v>
      </c>
      <c r="X1934" s="27" t="str">
        <f t="shared" ref="X1934" si="1053">IFERROR(W1934*J1933,"-")</f>
        <v>-</v>
      </c>
      <c r="Z1934" s="94" t="s">
        <v>82</v>
      </c>
    </row>
    <row r="1935" spans="1:26" s="25" customFormat="1" ht="6.95" customHeight="1" x14ac:dyDescent="0.3">
      <c r="A1935" s="10"/>
      <c r="B1935" s="168"/>
      <c r="C1935" s="169"/>
      <c r="D1935" s="160"/>
      <c r="E1935" s="161"/>
      <c r="F1935" s="162"/>
      <c r="G1935" s="163"/>
      <c r="H1935" s="164"/>
      <c r="I1935" s="163"/>
      <c r="J1935" s="164"/>
      <c r="K1935" s="163"/>
      <c r="L1935" s="164"/>
      <c r="M1935" s="11"/>
      <c r="N1935" s="39"/>
      <c r="Q1935" s="15" t="str">
        <f>+CONCATENATE(E1933,K1933)</f>
        <v/>
      </c>
      <c r="R1935" s="15">
        <f>+L1933</f>
        <v>0</v>
      </c>
      <c r="S1935" s="16"/>
      <c r="T1935" s="15">
        <f>+E1933</f>
        <v>0</v>
      </c>
      <c r="U1935" s="26" t="str">
        <f>IFERROR(LEFT(K1933,FIND("*",K1933)-1),"-")</f>
        <v>-</v>
      </c>
      <c r="V1935" s="26" t="str">
        <f>IFERROR(RIGHT(K1933,LEN(K1933)-FIND("*",K1933)),"-")</f>
        <v>-</v>
      </c>
      <c r="W1935" s="27" t="str">
        <f t="shared" si="1048"/>
        <v>-</v>
      </c>
      <c r="X1935" s="27" t="str">
        <f>IFERROR(W1935*L1933,"-")</f>
        <v>-</v>
      </c>
      <c r="Z1935" s="94" t="s">
        <v>82</v>
      </c>
    </row>
    <row r="1936" spans="1:26" s="25" customFormat="1" ht="21" customHeight="1" thickBot="1" x14ac:dyDescent="0.35">
      <c r="A1936" s="10"/>
      <c r="B1936" s="170"/>
      <c r="C1936" s="171"/>
      <c r="D1936" s="172" t="s">
        <v>43</v>
      </c>
      <c r="E1936" s="173"/>
      <c r="F1936" s="173"/>
      <c r="G1936" s="174"/>
      <c r="H1936" s="174"/>
      <c r="I1936" s="174"/>
      <c r="J1936" s="174"/>
      <c r="K1936" s="174"/>
      <c r="L1936" s="174"/>
      <c r="M1936" s="12"/>
      <c r="N1936" s="39"/>
      <c r="U1936" s="23"/>
      <c r="V1936" s="23"/>
      <c r="Z1936" s="95" t="s">
        <v>81</v>
      </c>
    </row>
    <row r="1937" spans="1:26" s="25" customFormat="1" ht="9.9499999999999993" customHeight="1" thickBot="1" x14ac:dyDescent="0.35">
      <c r="A1937" s="6"/>
      <c r="B1937" s="14"/>
      <c r="C1937" s="119"/>
      <c r="D1937" s="58"/>
      <c r="E1937" s="17"/>
      <c r="F1937" s="58"/>
      <c r="G1937" s="19"/>
      <c r="H1937" s="19"/>
      <c r="I1937" s="19"/>
      <c r="J1937" s="19"/>
      <c r="K1937" s="19"/>
      <c r="L1937" s="19"/>
      <c r="M1937" s="14"/>
      <c r="N1937" s="39"/>
      <c r="Q1937" s="1"/>
      <c r="R1937" s="1"/>
      <c r="S1937" s="1"/>
      <c r="T1937" s="1"/>
      <c r="U1937" s="24"/>
      <c r="V1937" s="24"/>
      <c r="W1937" s="1"/>
      <c r="X1937" s="1"/>
      <c r="Z1937" s="94" t="s">
        <v>82</v>
      </c>
    </row>
    <row r="1938" spans="1:26" s="25" customFormat="1" ht="6.95" customHeight="1" x14ac:dyDescent="0.3">
      <c r="A1938" s="165">
        <f>+A1927+1</f>
        <v>177</v>
      </c>
      <c r="B1938" s="166"/>
      <c r="C1938" s="167"/>
      <c r="D1938" s="160" t="s">
        <v>39</v>
      </c>
      <c r="E1938" s="161"/>
      <c r="F1938" s="162" t="s">
        <v>40</v>
      </c>
      <c r="G1938" s="163"/>
      <c r="H1938" s="164"/>
      <c r="I1938" s="163"/>
      <c r="J1938" s="164"/>
      <c r="K1938" s="163"/>
      <c r="L1938" s="164"/>
      <c r="M1938" s="11"/>
      <c r="N1938" s="39"/>
      <c r="Q1938" s="15" t="str">
        <f>+CONCATENATE(E1938,G1938)</f>
        <v/>
      </c>
      <c r="R1938" s="15">
        <f>+H1938</f>
        <v>0</v>
      </c>
      <c r="S1938" s="16"/>
      <c r="T1938" s="15">
        <f>+E1938</f>
        <v>0</v>
      </c>
      <c r="U1938" s="26" t="str">
        <f>IFERROR(LEFT(G1938,FIND("*",G1938)-1),"-")</f>
        <v>-</v>
      </c>
      <c r="V1938" s="26" t="str">
        <f>IFERROR(RIGHT(G1938,LEN(G1938)-FIND("*",G1938)),"-")</f>
        <v>-</v>
      </c>
      <c r="W1938" s="27" t="str">
        <f>IFERROR((U1938+V1938)*2/1000,"-")</f>
        <v>-</v>
      </c>
      <c r="X1938" s="27" t="str">
        <f>IFERROR(W1938*H1938,"-")</f>
        <v>-</v>
      </c>
      <c r="Z1938" s="94" t="s">
        <v>82</v>
      </c>
    </row>
    <row r="1939" spans="1:26" s="25" customFormat="1" ht="6.95" customHeight="1" x14ac:dyDescent="0.3">
      <c r="A1939" s="165"/>
      <c r="B1939" s="168"/>
      <c r="C1939" s="169"/>
      <c r="D1939" s="160"/>
      <c r="E1939" s="161"/>
      <c r="F1939" s="162"/>
      <c r="G1939" s="163"/>
      <c r="H1939" s="164"/>
      <c r="I1939" s="163"/>
      <c r="J1939" s="164"/>
      <c r="K1939" s="163"/>
      <c r="L1939" s="164"/>
      <c r="M1939" s="11"/>
      <c r="N1939" s="39"/>
      <c r="Q1939" s="15" t="str">
        <f>+CONCATENATE(E1938,I1938)</f>
        <v/>
      </c>
      <c r="R1939" s="15">
        <f>+J1938</f>
        <v>0</v>
      </c>
      <c r="S1939" s="16"/>
      <c r="T1939" s="15">
        <f>+E1938</f>
        <v>0</v>
      </c>
      <c r="U1939" s="26" t="str">
        <f>IFERROR(LEFT(I1938,FIND("*",I1938)-1),"-")</f>
        <v>-</v>
      </c>
      <c r="V1939" s="26" t="str">
        <f>IFERROR(RIGHT(I1938,LEN(I1938)-FIND("*",I1938)),"-")</f>
        <v>-</v>
      </c>
      <c r="W1939" s="27" t="str">
        <f t="shared" ref="W1939:W1946" si="1054">IFERROR((U1939+V1939)*2/1000,"-")</f>
        <v>-</v>
      </c>
      <c r="X1939" s="27" t="str">
        <f>IFERROR(W1939*J1938,"-")</f>
        <v>-</v>
      </c>
      <c r="Z1939" s="94" t="s">
        <v>82</v>
      </c>
    </row>
    <row r="1940" spans="1:26" s="25" customFormat="1" ht="6.95" customHeight="1" x14ac:dyDescent="0.3">
      <c r="A1940" s="165"/>
      <c r="B1940" s="168"/>
      <c r="C1940" s="169"/>
      <c r="D1940" s="160"/>
      <c r="E1940" s="161"/>
      <c r="F1940" s="162"/>
      <c r="G1940" s="163"/>
      <c r="H1940" s="164"/>
      <c r="I1940" s="163"/>
      <c r="J1940" s="164"/>
      <c r="K1940" s="163"/>
      <c r="L1940" s="164"/>
      <c r="M1940" s="11"/>
      <c r="N1940" s="39"/>
      <c r="Q1940" s="15" t="str">
        <f>+CONCATENATE(E1938,K1938)</f>
        <v/>
      </c>
      <c r="R1940" s="15">
        <f>+L1938</f>
        <v>0</v>
      </c>
      <c r="S1940" s="16"/>
      <c r="T1940" s="15">
        <f>+E1938</f>
        <v>0</v>
      </c>
      <c r="U1940" s="26" t="str">
        <f>IFERROR(LEFT(K1938,FIND("*",K1938)-1),"-")</f>
        <v>-</v>
      </c>
      <c r="V1940" s="26" t="str">
        <f>IFERROR(RIGHT(K1938,LEN(K1938)-FIND("*",K1938)),"-")</f>
        <v>-</v>
      </c>
      <c r="W1940" s="27" t="str">
        <f t="shared" si="1054"/>
        <v>-</v>
      </c>
      <c r="X1940" s="27" t="str">
        <f>IFERROR(W1940*L1938,"-")</f>
        <v>-</v>
      </c>
      <c r="Z1940" s="94" t="s">
        <v>82</v>
      </c>
    </row>
    <row r="1941" spans="1:26" s="25" customFormat="1" ht="6.95" customHeight="1" x14ac:dyDescent="0.3">
      <c r="A1941" s="13"/>
      <c r="B1941" s="168"/>
      <c r="C1941" s="169"/>
      <c r="D1941" s="160" t="s">
        <v>39</v>
      </c>
      <c r="E1941" s="161"/>
      <c r="F1941" s="162" t="s">
        <v>40</v>
      </c>
      <c r="G1941" s="163"/>
      <c r="H1941" s="164"/>
      <c r="I1941" s="163"/>
      <c r="J1941" s="164"/>
      <c r="K1941" s="163"/>
      <c r="L1941" s="164"/>
      <c r="M1941" s="11"/>
      <c r="N1941" s="39"/>
      <c r="Q1941" s="15" t="str">
        <f>+CONCATENATE(E1941,G1941)</f>
        <v/>
      </c>
      <c r="R1941" s="15">
        <f>+H1941</f>
        <v>0</v>
      </c>
      <c r="S1941" s="16"/>
      <c r="T1941" s="15">
        <f>+E1941</f>
        <v>0</v>
      </c>
      <c r="U1941" s="26" t="str">
        <f t="shared" ref="U1941" si="1055">IFERROR(LEFT(G1941,FIND("*",G1941)-1),"-")</f>
        <v>-</v>
      </c>
      <c r="V1941" s="26" t="str">
        <f t="shared" ref="V1941" si="1056">IFERROR(RIGHT(G1941,LEN(G1941)-FIND("*",G1941)),"-")</f>
        <v>-</v>
      </c>
      <c r="W1941" s="27" t="str">
        <f t="shared" si="1054"/>
        <v>-</v>
      </c>
      <c r="X1941" s="27" t="str">
        <f>IFERROR(W1941*H1941,"-")</f>
        <v>-</v>
      </c>
      <c r="Z1941" s="94" t="s">
        <v>82</v>
      </c>
    </row>
    <row r="1942" spans="1:26" s="25" customFormat="1" ht="6.95" customHeight="1" x14ac:dyDescent="0.3">
      <c r="A1942" s="10"/>
      <c r="B1942" s="168"/>
      <c r="C1942" s="169"/>
      <c r="D1942" s="160"/>
      <c r="E1942" s="161"/>
      <c r="F1942" s="162"/>
      <c r="G1942" s="163"/>
      <c r="H1942" s="164"/>
      <c r="I1942" s="163"/>
      <c r="J1942" s="164"/>
      <c r="K1942" s="163"/>
      <c r="L1942" s="164"/>
      <c r="M1942" s="11"/>
      <c r="N1942" s="39"/>
      <c r="Q1942" s="15" t="str">
        <f>+CONCATENATE(E1941,I1941)</f>
        <v/>
      </c>
      <c r="R1942" s="15">
        <f>+J1941</f>
        <v>0</v>
      </c>
      <c r="S1942" s="16"/>
      <c r="T1942" s="15">
        <f>+E1941</f>
        <v>0</v>
      </c>
      <c r="U1942" s="26" t="str">
        <f>IFERROR(LEFT(I1941,FIND("*",I1941)-1),"-")</f>
        <v>-</v>
      </c>
      <c r="V1942" s="26" t="str">
        <f>IFERROR(RIGHT(I1941,LEN(I1941)-FIND("*",I1941)),"-")</f>
        <v>-</v>
      </c>
      <c r="W1942" s="27" t="str">
        <f t="shared" si="1054"/>
        <v>-</v>
      </c>
      <c r="X1942" s="27" t="str">
        <f>IFERROR(W1942*J1941,"-")</f>
        <v>-</v>
      </c>
      <c r="Z1942" s="94" t="s">
        <v>82</v>
      </c>
    </row>
    <row r="1943" spans="1:26" s="25" customFormat="1" ht="6.95" customHeight="1" x14ac:dyDescent="0.3">
      <c r="A1943" s="10"/>
      <c r="B1943" s="168"/>
      <c r="C1943" s="169"/>
      <c r="D1943" s="160"/>
      <c r="E1943" s="161"/>
      <c r="F1943" s="162"/>
      <c r="G1943" s="163"/>
      <c r="H1943" s="164"/>
      <c r="I1943" s="163"/>
      <c r="J1943" s="164"/>
      <c r="K1943" s="163"/>
      <c r="L1943" s="164"/>
      <c r="M1943" s="11"/>
      <c r="N1943" s="39"/>
      <c r="Q1943" s="15" t="str">
        <f>+CONCATENATE(E1941,K1941)</f>
        <v/>
      </c>
      <c r="R1943" s="15">
        <f>+L1941</f>
        <v>0</v>
      </c>
      <c r="S1943" s="16"/>
      <c r="T1943" s="15">
        <f>+E1941</f>
        <v>0</v>
      </c>
      <c r="U1943" s="26" t="str">
        <f>IFERROR(LEFT(K1941,FIND("*",K1941)-1),"-")</f>
        <v>-</v>
      </c>
      <c r="V1943" s="26" t="str">
        <f>IFERROR(RIGHT(K1941,LEN(K1941)-FIND("*",K1941)),"-")</f>
        <v>-</v>
      </c>
      <c r="W1943" s="27" t="str">
        <f t="shared" si="1054"/>
        <v>-</v>
      </c>
      <c r="X1943" s="27" t="str">
        <f>IFERROR(W1943*L1941,"-")</f>
        <v>-</v>
      </c>
      <c r="Z1943" s="94" t="s">
        <v>82</v>
      </c>
    </row>
    <row r="1944" spans="1:26" s="25" customFormat="1" ht="6.95" customHeight="1" x14ac:dyDescent="0.3">
      <c r="A1944" s="13"/>
      <c r="B1944" s="168"/>
      <c r="C1944" s="169"/>
      <c r="D1944" s="160" t="s">
        <v>39</v>
      </c>
      <c r="E1944" s="161"/>
      <c r="F1944" s="162" t="s">
        <v>40</v>
      </c>
      <c r="G1944" s="163"/>
      <c r="H1944" s="164"/>
      <c r="I1944" s="163"/>
      <c r="J1944" s="164"/>
      <c r="K1944" s="163"/>
      <c r="L1944" s="164"/>
      <c r="M1944" s="11"/>
      <c r="N1944" s="39"/>
      <c r="Q1944" s="15" t="str">
        <f>+CONCATENATE(E1944,G1944)</f>
        <v/>
      </c>
      <c r="R1944" s="15">
        <f>+H1944</f>
        <v>0</v>
      </c>
      <c r="S1944" s="16"/>
      <c r="T1944" s="15">
        <f>+E1944</f>
        <v>0</v>
      </c>
      <c r="U1944" s="26" t="str">
        <f t="shared" ref="U1944" si="1057">IFERROR(LEFT(G1944,FIND("*",G1944)-1),"-")</f>
        <v>-</v>
      </c>
      <c r="V1944" s="26" t="str">
        <f t="shared" ref="V1944" si="1058">IFERROR(RIGHT(G1944,LEN(G1944)-FIND("*",G1944)),"-")</f>
        <v>-</v>
      </c>
      <c r="W1944" s="27" t="str">
        <f t="shared" si="1054"/>
        <v>-</v>
      </c>
      <c r="X1944" s="27" t="str">
        <f>IFERROR(W1944*H1944,"-")</f>
        <v>-</v>
      </c>
      <c r="Z1944" s="94" t="s">
        <v>82</v>
      </c>
    </row>
    <row r="1945" spans="1:26" s="25" customFormat="1" ht="6.95" customHeight="1" x14ac:dyDescent="0.3">
      <c r="A1945" s="10"/>
      <c r="B1945" s="168"/>
      <c r="C1945" s="169"/>
      <c r="D1945" s="160"/>
      <c r="E1945" s="161"/>
      <c r="F1945" s="162"/>
      <c r="G1945" s="163"/>
      <c r="H1945" s="164"/>
      <c r="I1945" s="163"/>
      <c r="J1945" s="164"/>
      <c r="K1945" s="163"/>
      <c r="L1945" s="164"/>
      <c r="M1945" s="11"/>
      <c r="N1945" s="39"/>
      <c r="Q1945" s="15" t="str">
        <f>+CONCATENATE(E1944,I1944)</f>
        <v/>
      </c>
      <c r="R1945" s="15">
        <f>+J1944</f>
        <v>0</v>
      </c>
      <c r="S1945" s="16"/>
      <c r="T1945" s="15">
        <f>+E1944</f>
        <v>0</v>
      </c>
      <c r="U1945" s="26" t="str">
        <f>IFERROR(LEFT(I1944,FIND("*",I1944)-1),"-")</f>
        <v>-</v>
      </c>
      <c r="V1945" s="26" t="str">
        <f>IFERROR(RIGHT(I1944,LEN(I1944)-FIND("*",I1944)),"-")</f>
        <v>-</v>
      </c>
      <c r="W1945" s="27" t="str">
        <f t="shared" si="1054"/>
        <v>-</v>
      </c>
      <c r="X1945" s="27" t="str">
        <f t="shared" ref="X1945" si="1059">IFERROR(W1945*J1944,"-")</f>
        <v>-</v>
      </c>
      <c r="Z1945" s="94" t="s">
        <v>82</v>
      </c>
    </row>
    <row r="1946" spans="1:26" s="25" customFormat="1" ht="6.95" customHeight="1" x14ac:dyDescent="0.3">
      <c r="A1946" s="10"/>
      <c r="B1946" s="168"/>
      <c r="C1946" s="169"/>
      <c r="D1946" s="160"/>
      <c r="E1946" s="161"/>
      <c r="F1946" s="162"/>
      <c r="G1946" s="163"/>
      <c r="H1946" s="164"/>
      <c r="I1946" s="163"/>
      <c r="J1946" s="164"/>
      <c r="K1946" s="163"/>
      <c r="L1946" s="164"/>
      <c r="M1946" s="11"/>
      <c r="N1946" s="39"/>
      <c r="Q1946" s="15" t="str">
        <f>+CONCATENATE(E1944,K1944)</f>
        <v/>
      </c>
      <c r="R1946" s="15">
        <f>+L1944</f>
        <v>0</v>
      </c>
      <c r="S1946" s="16"/>
      <c r="T1946" s="15">
        <f>+E1944</f>
        <v>0</v>
      </c>
      <c r="U1946" s="26" t="str">
        <f>IFERROR(LEFT(K1944,FIND("*",K1944)-1),"-")</f>
        <v>-</v>
      </c>
      <c r="V1946" s="26" t="str">
        <f>IFERROR(RIGHT(K1944,LEN(K1944)-FIND("*",K1944)),"-")</f>
        <v>-</v>
      </c>
      <c r="W1946" s="27" t="str">
        <f t="shared" si="1054"/>
        <v>-</v>
      </c>
      <c r="X1946" s="27" t="str">
        <f>IFERROR(W1946*L1944,"-")</f>
        <v>-</v>
      </c>
      <c r="Z1946" s="94" t="s">
        <v>82</v>
      </c>
    </row>
    <row r="1947" spans="1:26" s="25" customFormat="1" ht="21" customHeight="1" thickBot="1" x14ac:dyDescent="0.35">
      <c r="A1947" s="10"/>
      <c r="B1947" s="170"/>
      <c r="C1947" s="171"/>
      <c r="D1947" s="172" t="s">
        <v>43</v>
      </c>
      <c r="E1947" s="173"/>
      <c r="F1947" s="173"/>
      <c r="G1947" s="174"/>
      <c r="H1947" s="174"/>
      <c r="I1947" s="174"/>
      <c r="J1947" s="174"/>
      <c r="K1947" s="174"/>
      <c r="L1947" s="174"/>
      <c r="M1947" s="12"/>
      <c r="N1947" s="39"/>
      <c r="U1947" s="23"/>
      <c r="V1947" s="23"/>
      <c r="Z1947" s="95" t="s">
        <v>81</v>
      </c>
    </row>
    <row r="1948" spans="1:26" s="25" customFormat="1" ht="9.9499999999999993" customHeight="1" thickBot="1" x14ac:dyDescent="0.35">
      <c r="A1948" s="6"/>
      <c r="B1948" s="14"/>
      <c r="C1948" s="119"/>
      <c r="D1948" s="58"/>
      <c r="E1948" s="17"/>
      <c r="F1948" s="58"/>
      <c r="G1948" s="19"/>
      <c r="H1948" s="19"/>
      <c r="I1948" s="19"/>
      <c r="J1948" s="19"/>
      <c r="K1948" s="19"/>
      <c r="L1948" s="19"/>
      <c r="M1948" s="14"/>
      <c r="N1948" s="39"/>
      <c r="Q1948" s="1"/>
      <c r="R1948" s="1"/>
      <c r="S1948" s="1"/>
      <c r="T1948" s="1"/>
      <c r="U1948" s="24"/>
      <c r="V1948" s="24"/>
      <c r="W1948" s="1"/>
      <c r="X1948" s="1"/>
      <c r="Z1948" s="94" t="s">
        <v>82</v>
      </c>
    </row>
    <row r="1949" spans="1:26" s="25" customFormat="1" ht="6.95" customHeight="1" x14ac:dyDescent="0.3">
      <c r="A1949" s="165">
        <f>+A1938+1</f>
        <v>178</v>
      </c>
      <c r="B1949" s="166"/>
      <c r="C1949" s="167"/>
      <c r="D1949" s="160" t="s">
        <v>39</v>
      </c>
      <c r="E1949" s="161"/>
      <c r="F1949" s="162" t="s">
        <v>40</v>
      </c>
      <c r="G1949" s="163"/>
      <c r="H1949" s="164"/>
      <c r="I1949" s="163"/>
      <c r="J1949" s="164"/>
      <c r="K1949" s="163"/>
      <c r="L1949" s="164"/>
      <c r="M1949" s="11"/>
      <c r="N1949" s="39"/>
      <c r="Q1949" s="15" t="str">
        <f>+CONCATENATE(E1949,G1949)</f>
        <v/>
      </c>
      <c r="R1949" s="15">
        <f>+H1949</f>
        <v>0</v>
      </c>
      <c r="S1949" s="16"/>
      <c r="T1949" s="15">
        <f>+E1949</f>
        <v>0</v>
      </c>
      <c r="U1949" s="26" t="str">
        <f>IFERROR(LEFT(G1949,FIND("*",G1949)-1),"-")</f>
        <v>-</v>
      </c>
      <c r="V1949" s="26" t="str">
        <f>IFERROR(RIGHT(G1949,LEN(G1949)-FIND("*",G1949)),"-")</f>
        <v>-</v>
      </c>
      <c r="W1949" s="27" t="str">
        <f>IFERROR((U1949+V1949)*2/1000,"-")</f>
        <v>-</v>
      </c>
      <c r="X1949" s="27" t="str">
        <f>IFERROR(W1949*H1949,"-")</f>
        <v>-</v>
      </c>
      <c r="Z1949" s="94" t="s">
        <v>82</v>
      </c>
    </row>
    <row r="1950" spans="1:26" s="25" customFormat="1" ht="6.95" customHeight="1" x14ac:dyDescent="0.3">
      <c r="A1950" s="165"/>
      <c r="B1950" s="168"/>
      <c r="C1950" s="169"/>
      <c r="D1950" s="160"/>
      <c r="E1950" s="161"/>
      <c r="F1950" s="162"/>
      <c r="G1950" s="163"/>
      <c r="H1950" s="164"/>
      <c r="I1950" s="163"/>
      <c r="J1950" s="164"/>
      <c r="K1950" s="163"/>
      <c r="L1950" s="164"/>
      <c r="M1950" s="11"/>
      <c r="N1950" s="39"/>
      <c r="Q1950" s="15" t="str">
        <f>+CONCATENATE(E1949,I1949)</f>
        <v/>
      </c>
      <c r="R1950" s="15">
        <f>+J1949</f>
        <v>0</v>
      </c>
      <c r="S1950" s="16"/>
      <c r="T1950" s="15">
        <f>+E1949</f>
        <v>0</v>
      </c>
      <c r="U1950" s="26" t="str">
        <f>IFERROR(LEFT(I1949,FIND("*",I1949)-1),"-")</f>
        <v>-</v>
      </c>
      <c r="V1950" s="26" t="str">
        <f>IFERROR(RIGHT(I1949,LEN(I1949)-FIND("*",I1949)),"-")</f>
        <v>-</v>
      </c>
      <c r="W1950" s="27" t="str">
        <f t="shared" ref="W1950:W1957" si="1060">IFERROR((U1950+V1950)*2/1000,"-")</f>
        <v>-</v>
      </c>
      <c r="X1950" s="27" t="str">
        <f>IFERROR(W1950*J1949,"-")</f>
        <v>-</v>
      </c>
      <c r="Z1950" s="94" t="s">
        <v>82</v>
      </c>
    </row>
    <row r="1951" spans="1:26" s="25" customFormat="1" ht="6.95" customHeight="1" x14ac:dyDescent="0.3">
      <c r="A1951" s="165"/>
      <c r="B1951" s="168"/>
      <c r="C1951" s="169"/>
      <c r="D1951" s="160"/>
      <c r="E1951" s="161"/>
      <c r="F1951" s="162"/>
      <c r="G1951" s="163"/>
      <c r="H1951" s="164"/>
      <c r="I1951" s="163"/>
      <c r="J1951" s="164"/>
      <c r="K1951" s="163"/>
      <c r="L1951" s="164"/>
      <c r="M1951" s="11"/>
      <c r="N1951" s="39"/>
      <c r="Q1951" s="15" t="str">
        <f>+CONCATENATE(E1949,K1949)</f>
        <v/>
      </c>
      <c r="R1951" s="15">
        <f>+L1949</f>
        <v>0</v>
      </c>
      <c r="S1951" s="16"/>
      <c r="T1951" s="15">
        <f>+E1949</f>
        <v>0</v>
      </c>
      <c r="U1951" s="26" t="str">
        <f>IFERROR(LEFT(K1949,FIND("*",K1949)-1),"-")</f>
        <v>-</v>
      </c>
      <c r="V1951" s="26" t="str">
        <f>IFERROR(RIGHT(K1949,LEN(K1949)-FIND("*",K1949)),"-")</f>
        <v>-</v>
      </c>
      <c r="W1951" s="27" t="str">
        <f t="shared" si="1060"/>
        <v>-</v>
      </c>
      <c r="X1951" s="27" t="str">
        <f>IFERROR(W1951*L1949,"-")</f>
        <v>-</v>
      </c>
      <c r="Z1951" s="94" t="s">
        <v>82</v>
      </c>
    </row>
    <row r="1952" spans="1:26" s="25" customFormat="1" ht="6.95" customHeight="1" x14ac:dyDescent="0.3">
      <c r="A1952" s="13"/>
      <c r="B1952" s="168"/>
      <c r="C1952" s="169"/>
      <c r="D1952" s="160" t="s">
        <v>39</v>
      </c>
      <c r="E1952" s="161"/>
      <c r="F1952" s="162" t="s">
        <v>40</v>
      </c>
      <c r="G1952" s="163"/>
      <c r="H1952" s="164"/>
      <c r="I1952" s="163"/>
      <c r="J1952" s="164"/>
      <c r="K1952" s="163"/>
      <c r="L1952" s="164"/>
      <c r="M1952" s="11"/>
      <c r="N1952" s="39"/>
      <c r="Q1952" s="15" t="str">
        <f>+CONCATENATE(E1952,G1952)</f>
        <v/>
      </c>
      <c r="R1952" s="15">
        <f>+H1952</f>
        <v>0</v>
      </c>
      <c r="S1952" s="16"/>
      <c r="T1952" s="15">
        <f>+E1952</f>
        <v>0</v>
      </c>
      <c r="U1952" s="26" t="str">
        <f t="shared" ref="U1952" si="1061">IFERROR(LEFT(G1952,FIND("*",G1952)-1),"-")</f>
        <v>-</v>
      </c>
      <c r="V1952" s="26" t="str">
        <f t="shared" ref="V1952" si="1062">IFERROR(RIGHT(G1952,LEN(G1952)-FIND("*",G1952)),"-")</f>
        <v>-</v>
      </c>
      <c r="W1952" s="27" t="str">
        <f t="shared" si="1060"/>
        <v>-</v>
      </c>
      <c r="X1952" s="27" t="str">
        <f>IFERROR(W1952*H1952,"-")</f>
        <v>-</v>
      </c>
      <c r="Z1952" s="94" t="s">
        <v>82</v>
      </c>
    </row>
    <row r="1953" spans="1:26" s="25" customFormat="1" ht="6.95" customHeight="1" x14ac:dyDescent="0.3">
      <c r="A1953" s="10"/>
      <c r="B1953" s="168"/>
      <c r="C1953" s="169"/>
      <c r="D1953" s="160"/>
      <c r="E1953" s="161"/>
      <c r="F1953" s="162"/>
      <c r="G1953" s="163"/>
      <c r="H1953" s="164"/>
      <c r="I1953" s="163"/>
      <c r="J1953" s="164"/>
      <c r="K1953" s="163"/>
      <c r="L1953" s="164"/>
      <c r="M1953" s="11"/>
      <c r="N1953" s="39"/>
      <c r="Q1953" s="15" t="str">
        <f>+CONCATENATE(E1952,I1952)</f>
        <v/>
      </c>
      <c r="R1953" s="15">
        <f>+J1952</f>
        <v>0</v>
      </c>
      <c r="S1953" s="16"/>
      <c r="T1953" s="15">
        <f>+E1952</f>
        <v>0</v>
      </c>
      <c r="U1953" s="26" t="str">
        <f>IFERROR(LEFT(I1952,FIND("*",I1952)-1),"-")</f>
        <v>-</v>
      </c>
      <c r="V1953" s="26" t="str">
        <f>IFERROR(RIGHT(I1952,LEN(I1952)-FIND("*",I1952)),"-")</f>
        <v>-</v>
      </c>
      <c r="W1953" s="27" t="str">
        <f t="shared" si="1060"/>
        <v>-</v>
      </c>
      <c r="X1953" s="27" t="str">
        <f>IFERROR(W1953*J1952,"-")</f>
        <v>-</v>
      </c>
      <c r="Z1953" s="94" t="s">
        <v>82</v>
      </c>
    </row>
    <row r="1954" spans="1:26" s="25" customFormat="1" ht="6.95" customHeight="1" x14ac:dyDescent="0.3">
      <c r="A1954" s="10"/>
      <c r="B1954" s="168"/>
      <c r="C1954" s="169"/>
      <c r="D1954" s="160"/>
      <c r="E1954" s="161"/>
      <c r="F1954" s="162"/>
      <c r="G1954" s="163"/>
      <c r="H1954" s="164"/>
      <c r="I1954" s="163"/>
      <c r="J1954" s="164"/>
      <c r="K1954" s="163"/>
      <c r="L1954" s="164"/>
      <c r="M1954" s="11"/>
      <c r="N1954" s="39"/>
      <c r="Q1954" s="15" t="str">
        <f>+CONCATENATE(E1952,K1952)</f>
        <v/>
      </c>
      <c r="R1954" s="15">
        <f>+L1952</f>
        <v>0</v>
      </c>
      <c r="S1954" s="16"/>
      <c r="T1954" s="15">
        <f>+E1952</f>
        <v>0</v>
      </c>
      <c r="U1954" s="26" t="str">
        <f>IFERROR(LEFT(K1952,FIND("*",K1952)-1),"-")</f>
        <v>-</v>
      </c>
      <c r="V1954" s="26" t="str">
        <f>IFERROR(RIGHT(K1952,LEN(K1952)-FIND("*",K1952)),"-")</f>
        <v>-</v>
      </c>
      <c r="W1954" s="27" t="str">
        <f t="shared" si="1060"/>
        <v>-</v>
      </c>
      <c r="X1954" s="27" t="str">
        <f>IFERROR(W1954*L1952,"-")</f>
        <v>-</v>
      </c>
      <c r="Z1954" s="94" t="s">
        <v>82</v>
      </c>
    </row>
    <row r="1955" spans="1:26" s="25" customFormat="1" ht="6.95" customHeight="1" x14ac:dyDescent="0.3">
      <c r="A1955" s="13"/>
      <c r="B1955" s="168"/>
      <c r="C1955" s="169"/>
      <c r="D1955" s="160" t="s">
        <v>39</v>
      </c>
      <c r="E1955" s="161"/>
      <c r="F1955" s="162" t="s">
        <v>40</v>
      </c>
      <c r="G1955" s="163"/>
      <c r="H1955" s="164"/>
      <c r="I1955" s="163"/>
      <c r="J1955" s="164"/>
      <c r="K1955" s="163"/>
      <c r="L1955" s="164"/>
      <c r="M1955" s="11"/>
      <c r="N1955" s="39"/>
      <c r="Q1955" s="15" t="str">
        <f>+CONCATENATE(E1955,G1955)</f>
        <v/>
      </c>
      <c r="R1955" s="15">
        <f>+H1955</f>
        <v>0</v>
      </c>
      <c r="S1955" s="16"/>
      <c r="T1955" s="15">
        <f>+E1955</f>
        <v>0</v>
      </c>
      <c r="U1955" s="26" t="str">
        <f t="shared" ref="U1955" si="1063">IFERROR(LEFT(G1955,FIND("*",G1955)-1),"-")</f>
        <v>-</v>
      </c>
      <c r="V1955" s="26" t="str">
        <f t="shared" ref="V1955" si="1064">IFERROR(RIGHT(G1955,LEN(G1955)-FIND("*",G1955)),"-")</f>
        <v>-</v>
      </c>
      <c r="W1955" s="27" t="str">
        <f t="shared" si="1060"/>
        <v>-</v>
      </c>
      <c r="X1955" s="27" t="str">
        <f>IFERROR(W1955*H1955,"-")</f>
        <v>-</v>
      </c>
      <c r="Z1955" s="94" t="s">
        <v>82</v>
      </c>
    </row>
    <row r="1956" spans="1:26" s="25" customFormat="1" ht="6.95" customHeight="1" x14ac:dyDescent="0.3">
      <c r="A1956" s="10"/>
      <c r="B1956" s="168"/>
      <c r="C1956" s="169"/>
      <c r="D1956" s="160"/>
      <c r="E1956" s="161"/>
      <c r="F1956" s="162"/>
      <c r="G1956" s="163"/>
      <c r="H1956" s="164"/>
      <c r="I1956" s="163"/>
      <c r="J1956" s="164"/>
      <c r="K1956" s="163"/>
      <c r="L1956" s="164"/>
      <c r="M1956" s="11"/>
      <c r="N1956" s="39"/>
      <c r="Q1956" s="15" t="str">
        <f>+CONCATENATE(E1955,I1955)</f>
        <v/>
      </c>
      <c r="R1956" s="15">
        <f>+J1955</f>
        <v>0</v>
      </c>
      <c r="S1956" s="16"/>
      <c r="T1956" s="15">
        <f>+E1955</f>
        <v>0</v>
      </c>
      <c r="U1956" s="26" t="str">
        <f>IFERROR(LEFT(I1955,FIND("*",I1955)-1),"-")</f>
        <v>-</v>
      </c>
      <c r="V1956" s="26" t="str">
        <f>IFERROR(RIGHT(I1955,LEN(I1955)-FIND("*",I1955)),"-")</f>
        <v>-</v>
      </c>
      <c r="W1956" s="27" t="str">
        <f t="shared" si="1060"/>
        <v>-</v>
      </c>
      <c r="X1956" s="27" t="str">
        <f t="shared" ref="X1956" si="1065">IFERROR(W1956*J1955,"-")</f>
        <v>-</v>
      </c>
      <c r="Z1956" s="94" t="s">
        <v>82</v>
      </c>
    </row>
    <row r="1957" spans="1:26" s="25" customFormat="1" ht="6.95" customHeight="1" x14ac:dyDescent="0.3">
      <c r="A1957" s="10"/>
      <c r="B1957" s="168"/>
      <c r="C1957" s="169"/>
      <c r="D1957" s="160"/>
      <c r="E1957" s="161"/>
      <c r="F1957" s="162"/>
      <c r="G1957" s="163"/>
      <c r="H1957" s="164"/>
      <c r="I1957" s="163"/>
      <c r="J1957" s="164"/>
      <c r="K1957" s="163"/>
      <c r="L1957" s="164"/>
      <c r="M1957" s="11"/>
      <c r="N1957" s="39"/>
      <c r="Q1957" s="15" t="str">
        <f>+CONCATENATE(E1955,K1955)</f>
        <v/>
      </c>
      <c r="R1957" s="15">
        <f>+L1955</f>
        <v>0</v>
      </c>
      <c r="S1957" s="16"/>
      <c r="T1957" s="15">
        <f>+E1955</f>
        <v>0</v>
      </c>
      <c r="U1957" s="26" t="str">
        <f>IFERROR(LEFT(K1955,FIND("*",K1955)-1),"-")</f>
        <v>-</v>
      </c>
      <c r="V1957" s="26" t="str">
        <f>IFERROR(RIGHT(K1955,LEN(K1955)-FIND("*",K1955)),"-")</f>
        <v>-</v>
      </c>
      <c r="W1957" s="27" t="str">
        <f t="shared" si="1060"/>
        <v>-</v>
      </c>
      <c r="X1957" s="27" t="str">
        <f>IFERROR(W1957*L1955,"-")</f>
        <v>-</v>
      </c>
      <c r="Z1957" s="94" t="s">
        <v>82</v>
      </c>
    </row>
    <row r="1958" spans="1:26" s="25" customFormat="1" ht="21" customHeight="1" thickBot="1" x14ac:dyDescent="0.35">
      <c r="A1958" s="10"/>
      <c r="B1958" s="170"/>
      <c r="C1958" s="171"/>
      <c r="D1958" s="172" t="s">
        <v>43</v>
      </c>
      <c r="E1958" s="173"/>
      <c r="F1958" s="173"/>
      <c r="G1958" s="174"/>
      <c r="H1958" s="174"/>
      <c r="I1958" s="174"/>
      <c r="J1958" s="174"/>
      <c r="K1958" s="174"/>
      <c r="L1958" s="174"/>
      <c r="M1958" s="12"/>
      <c r="N1958" s="39"/>
      <c r="U1958" s="23"/>
      <c r="V1958" s="23"/>
      <c r="Z1958" s="95" t="s">
        <v>81</v>
      </c>
    </row>
    <row r="1959" spans="1:26" s="25" customFormat="1" ht="9.9499999999999993" customHeight="1" thickBot="1" x14ac:dyDescent="0.35">
      <c r="A1959" s="6"/>
      <c r="B1959" s="14"/>
      <c r="C1959" s="119"/>
      <c r="D1959" s="58"/>
      <c r="E1959" s="17"/>
      <c r="F1959" s="58"/>
      <c r="G1959" s="19"/>
      <c r="H1959" s="19"/>
      <c r="I1959" s="19"/>
      <c r="J1959" s="19"/>
      <c r="K1959" s="19"/>
      <c r="L1959" s="19"/>
      <c r="M1959" s="14"/>
      <c r="N1959" s="39"/>
      <c r="Q1959" s="1"/>
      <c r="R1959" s="1"/>
      <c r="S1959" s="1"/>
      <c r="T1959" s="1"/>
      <c r="U1959" s="24"/>
      <c r="V1959" s="24"/>
      <c r="W1959" s="1"/>
      <c r="X1959" s="1"/>
      <c r="Z1959" s="94" t="s">
        <v>82</v>
      </c>
    </row>
    <row r="1960" spans="1:26" s="25" customFormat="1" ht="6.95" customHeight="1" x14ac:dyDescent="0.3">
      <c r="A1960" s="165">
        <f>+A1949+1</f>
        <v>179</v>
      </c>
      <c r="B1960" s="166"/>
      <c r="C1960" s="167"/>
      <c r="D1960" s="160" t="s">
        <v>39</v>
      </c>
      <c r="E1960" s="161"/>
      <c r="F1960" s="162" t="s">
        <v>40</v>
      </c>
      <c r="G1960" s="163"/>
      <c r="H1960" s="164"/>
      <c r="I1960" s="163"/>
      <c r="J1960" s="164"/>
      <c r="K1960" s="163"/>
      <c r="L1960" s="164"/>
      <c r="M1960" s="11"/>
      <c r="N1960" s="39"/>
      <c r="Q1960" s="15" t="str">
        <f>+CONCATENATE(E1960,G1960)</f>
        <v/>
      </c>
      <c r="R1960" s="15">
        <f>+H1960</f>
        <v>0</v>
      </c>
      <c r="S1960" s="16"/>
      <c r="T1960" s="15">
        <f>+E1960</f>
        <v>0</v>
      </c>
      <c r="U1960" s="26" t="str">
        <f>IFERROR(LEFT(G1960,FIND("*",G1960)-1),"-")</f>
        <v>-</v>
      </c>
      <c r="V1960" s="26" t="str">
        <f>IFERROR(RIGHT(G1960,LEN(G1960)-FIND("*",G1960)),"-")</f>
        <v>-</v>
      </c>
      <c r="W1960" s="27" t="str">
        <f>IFERROR((U1960+V1960)*2/1000,"-")</f>
        <v>-</v>
      </c>
      <c r="X1960" s="27" t="str">
        <f>IFERROR(W1960*H1960,"-")</f>
        <v>-</v>
      </c>
      <c r="Z1960" s="94" t="s">
        <v>82</v>
      </c>
    </row>
    <row r="1961" spans="1:26" s="25" customFormat="1" ht="6.95" customHeight="1" x14ac:dyDescent="0.3">
      <c r="A1961" s="165"/>
      <c r="B1961" s="168"/>
      <c r="C1961" s="169"/>
      <c r="D1961" s="160"/>
      <c r="E1961" s="161"/>
      <c r="F1961" s="162"/>
      <c r="G1961" s="163"/>
      <c r="H1961" s="164"/>
      <c r="I1961" s="163"/>
      <c r="J1961" s="164"/>
      <c r="K1961" s="163"/>
      <c r="L1961" s="164"/>
      <c r="M1961" s="11"/>
      <c r="N1961" s="39"/>
      <c r="Q1961" s="15" t="str">
        <f>+CONCATENATE(E1960,I1960)</f>
        <v/>
      </c>
      <c r="R1961" s="15">
        <f>+J1960</f>
        <v>0</v>
      </c>
      <c r="S1961" s="16"/>
      <c r="T1961" s="15">
        <f>+E1960</f>
        <v>0</v>
      </c>
      <c r="U1961" s="26" t="str">
        <f>IFERROR(LEFT(I1960,FIND("*",I1960)-1),"-")</f>
        <v>-</v>
      </c>
      <c r="V1961" s="26" t="str">
        <f>IFERROR(RIGHT(I1960,LEN(I1960)-FIND("*",I1960)),"-")</f>
        <v>-</v>
      </c>
      <c r="W1961" s="27" t="str">
        <f t="shared" ref="W1961:W1968" si="1066">IFERROR((U1961+V1961)*2/1000,"-")</f>
        <v>-</v>
      </c>
      <c r="X1961" s="27" t="str">
        <f>IFERROR(W1961*J1960,"-")</f>
        <v>-</v>
      </c>
      <c r="Z1961" s="94" t="s">
        <v>82</v>
      </c>
    </row>
    <row r="1962" spans="1:26" s="25" customFormat="1" ht="6.95" customHeight="1" x14ac:dyDescent="0.3">
      <c r="A1962" s="165"/>
      <c r="B1962" s="168"/>
      <c r="C1962" s="169"/>
      <c r="D1962" s="160"/>
      <c r="E1962" s="161"/>
      <c r="F1962" s="162"/>
      <c r="G1962" s="163"/>
      <c r="H1962" s="164"/>
      <c r="I1962" s="163"/>
      <c r="J1962" s="164"/>
      <c r="K1962" s="163"/>
      <c r="L1962" s="164"/>
      <c r="M1962" s="11"/>
      <c r="N1962" s="39"/>
      <c r="Q1962" s="15" t="str">
        <f>+CONCATENATE(E1960,K1960)</f>
        <v/>
      </c>
      <c r="R1962" s="15">
        <f>+L1960</f>
        <v>0</v>
      </c>
      <c r="S1962" s="16"/>
      <c r="T1962" s="15">
        <f>+E1960</f>
        <v>0</v>
      </c>
      <c r="U1962" s="26" t="str">
        <f>IFERROR(LEFT(K1960,FIND("*",K1960)-1),"-")</f>
        <v>-</v>
      </c>
      <c r="V1962" s="26" t="str">
        <f>IFERROR(RIGHT(K1960,LEN(K1960)-FIND("*",K1960)),"-")</f>
        <v>-</v>
      </c>
      <c r="W1962" s="27" t="str">
        <f t="shared" si="1066"/>
        <v>-</v>
      </c>
      <c r="X1962" s="27" t="str">
        <f>IFERROR(W1962*L1960,"-")</f>
        <v>-</v>
      </c>
      <c r="Z1962" s="94" t="s">
        <v>82</v>
      </c>
    </row>
    <row r="1963" spans="1:26" s="25" customFormat="1" ht="6.95" customHeight="1" x14ac:dyDescent="0.3">
      <c r="A1963" s="13"/>
      <c r="B1963" s="168"/>
      <c r="C1963" s="169"/>
      <c r="D1963" s="160" t="s">
        <v>39</v>
      </c>
      <c r="E1963" s="161"/>
      <c r="F1963" s="162" t="s">
        <v>40</v>
      </c>
      <c r="G1963" s="163"/>
      <c r="H1963" s="164"/>
      <c r="I1963" s="163"/>
      <c r="J1963" s="164"/>
      <c r="K1963" s="163"/>
      <c r="L1963" s="164"/>
      <c r="M1963" s="11"/>
      <c r="N1963" s="39"/>
      <c r="Q1963" s="15" t="str">
        <f>+CONCATENATE(E1963,G1963)</f>
        <v/>
      </c>
      <c r="R1963" s="15">
        <f>+H1963</f>
        <v>0</v>
      </c>
      <c r="S1963" s="16"/>
      <c r="T1963" s="15">
        <f>+E1963</f>
        <v>0</v>
      </c>
      <c r="U1963" s="26" t="str">
        <f t="shared" ref="U1963" si="1067">IFERROR(LEFT(G1963,FIND("*",G1963)-1),"-")</f>
        <v>-</v>
      </c>
      <c r="V1963" s="26" t="str">
        <f t="shared" ref="V1963" si="1068">IFERROR(RIGHT(G1963,LEN(G1963)-FIND("*",G1963)),"-")</f>
        <v>-</v>
      </c>
      <c r="W1963" s="27" t="str">
        <f t="shared" si="1066"/>
        <v>-</v>
      </c>
      <c r="X1963" s="27" t="str">
        <f>IFERROR(W1963*H1963,"-")</f>
        <v>-</v>
      </c>
      <c r="Z1963" s="94" t="s">
        <v>82</v>
      </c>
    </row>
    <row r="1964" spans="1:26" s="25" customFormat="1" ht="6.95" customHeight="1" x14ac:dyDescent="0.3">
      <c r="A1964" s="10"/>
      <c r="B1964" s="168"/>
      <c r="C1964" s="169"/>
      <c r="D1964" s="160"/>
      <c r="E1964" s="161"/>
      <c r="F1964" s="162"/>
      <c r="G1964" s="163"/>
      <c r="H1964" s="164"/>
      <c r="I1964" s="163"/>
      <c r="J1964" s="164"/>
      <c r="K1964" s="163"/>
      <c r="L1964" s="164"/>
      <c r="M1964" s="11"/>
      <c r="N1964" s="39"/>
      <c r="Q1964" s="15" t="str">
        <f>+CONCATENATE(E1963,I1963)</f>
        <v/>
      </c>
      <c r="R1964" s="15">
        <f>+J1963</f>
        <v>0</v>
      </c>
      <c r="S1964" s="16"/>
      <c r="T1964" s="15">
        <f>+E1963</f>
        <v>0</v>
      </c>
      <c r="U1964" s="26" t="str">
        <f>IFERROR(LEFT(I1963,FIND("*",I1963)-1),"-")</f>
        <v>-</v>
      </c>
      <c r="V1964" s="26" t="str">
        <f>IFERROR(RIGHT(I1963,LEN(I1963)-FIND("*",I1963)),"-")</f>
        <v>-</v>
      </c>
      <c r="W1964" s="27" t="str">
        <f t="shared" si="1066"/>
        <v>-</v>
      </c>
      <c r="X1964" s="27" t="str">
        <f>IFERROR(W1964*J1963,"-")</f>
        <v>-</v>
      </c>
      <c r="Z1964" s="94" t="s">
        <v>82</v>
      </c>
    </row>
    <row r="1965" spans="1:26" s="25" customFormat="1" ht="6.95" customHeight="1" x14ac:dyDescent="0.3">
      <c r="A1965" s="10"/>
      <c r="B1965" s="168"/>
      <c r="C1965" s="169"/>
      <c r="D1965" s="160"/>
      <c r="E1965" s="161"/>
      <c r="F1965" s="162"/>
      <c r="G1965" s="163"/>
      <c r="H1965" s="164"/>
      <c r="I1965" s="163"/>
      <c r="J1965" s="164"/>
      <c r="K1965" s="163"/>
      <c r="L1965" s="164"/>
      <c r="M1965" s="11"/>
      <c r="N1965" s="39"/>
      <c r="Q1965" s="15" t="str">
        <f>+CONCATENATE(E1963,K1963)</f>
        <v/>
      </c>
      <c r="R1965" s="15">
        <f>+L1963</f>
        <v>0</v>
      </c>
      <c r="S1965" s="16"/>
      <c r="T1965" s="15">
        <f>+E1963</f>
        <v>0</v>
      </c>
      <c r="U1965" s="26" t="str">
        <f>IFERROR(LEFT(K1963,FIND("*",K1963)-1),"-")</f>
        <v>-</v>
      </c>
      <c r="V1965" s="26" t="str">
        <f>IFERROR(RIGHT(K1963,LEN(K1963)-FIND("*",K1963)),"-")</f>
        <v>-</v>
      </c>
      <c r="W1965" s="27" t="str">
        <f t="shared" si="1066"/>
        <v>-</v>
      </c>
      <c r="X1965" s="27" t="str">
        <f>IFERROR(W1965*L1963,"-")</f>
        <v>-</v>
      </c>
      <c r="Z1965" s="94" t="s">
        <v>82</v>
      </c>
    </row>
    <row r="1966" spans="1:26" s="25" customFormat="1" ht="6.95" customHeight="1" x14ac:dyDescent="0.3">
      <c r="A1966" s="13"/>
      <c r="B1966" s="168"/>
      <c r="C1966" s="169"/>
      <c r="D1966" s="160" t="s">
        <v>39</v>
      </c>
      <c r="E1966" s="161"/>
      <c r="F1966" s="162" t="s">
        <v>40</v>
      </c>
      <c r="G1966" s="163"/>
      <c r="H1966" s="164"/>
      <c r="I1966" s="163"/>
      <c r="J1966" s="164"/>
      <c r="K1966" s="163"/>
      <c r="L1966" s="164"/>
      <c r="M1966" s="11"/>
      <c r="N1966" s="39"/>
      <c r="Q1966" s="15" t="str">
        <f>+CONCATENATE(E1966,G1966)</f>
        <v/>
      </c>
      <c r="R1966" s="15">
        <f>+H1966</f>
        <v>0</v>
      </c>
      <c r="S1966" s="16"/>
      <c r="T1966" s="15">
        <f>+E1966</f>
        <v>0</v>
      </c>
      <c r="U1966" s="26" t="str">
        <f t="shared" ref="U1966" si="1069">IFERROR(LEFT(G1966,FIND("*",G1966)-1),"-")</f>
        <v>-</v>
      </c>
      <c r="V1966" s="26" t="str">
        <f t="shared" ref="V1966" si="1070">IFERROR(RIGHT(G1966,LEN(G1966)-FIND("*",G1966)),"-")</f>
        <v>-</v>
      </c>
      <c r="W1966" s="27" t="str">
        <f t="shared" si="1066"/>
        <v>-</v>
      </c>
      <c r="X1966" s="27" t="str">
        <f>IFERROR(W1966*H1966,"-")</f>
        <v>-</v>
      </c>
      <c r="Z1966" s="94" t="s">
        <v>82</v>
      </c>
    </row>
    <row r="1967" spans="1:26" s="25" customFormat="1" ht="6.95" customHeight="1" x14ac:dyDescent="0.3">
      <c r="A1967" s="10"/>
      <c r="B1967" s="168"/>
      <c r="C1967" s="169"/>
      <c r="D1967" s="160"/>
      <c r="E1967" s="161"/>
      <c r="F1967" s="162"/>
      <c r="G1967" s="163"/>
      <c r="H1967" s="164"/>
      <c r="I1967" s="163"/>
      <c r="J1967" s="164"/>
      <c r="K1967" s="163"/>
      <c r="L1967" s="164"/>
      <c r="M1967" s="11"/>
      <c r="N1967" s="39"/>
      <c r="Q1967" s="15" t="str">
        <f>+CONCATENATE(E1966,I1966)</f>
        <v/>
      </c>
      <c r="R1967" s="15">
        <f>+J1966</f>
        <v>0</v>
      </c>
      <c r="S1967" s="16"/>
      <c r="T1967" s="15">
        <f>+E1966</f>
        <v>0</v>
      </c>
      <c r="U1967" s="26" t="str">
        <f>IFERROR(LEFT(I1966,FIND("*",I1966)-1),"-")</f>
        <v>-</v>
      </c>
      <c r="V1967" s="26" t="str">
        <f>IFERROR(RIGHT(I1966,LEN(I1966)-FIND("*",I1966)),"-")</f>
        <v>-</v>
      </c>
      <c r="W1967" s="27" t="str">
        <f t="shared" si="1066"/>
        <v>-</v>
      </c>
      <c r="X1967" s="27" t="str">
        <f t="shared" ref="X1967" si="1071">IFERROR(W1967*J1966,"-")</f>
        <v>-</v>
      </c>
      <c r="Z1967" s="94" t="s">
        <v>82</v>
      </c>
    </row>
    <row r="1968" spans="1:26" s="25" customFormat="1" ht="6.95" customHeight="1" x14ac:dyDescent="0.3">
      <c r="A1968" s="10"/>
      <c r="B1968" s="168"/>
      <c r="C1968" s="169"/>
      <c r="D1968" s="160"/>
      <c r="E1968" s="161"/>
      <c r="F1968" s="162"/>
      <c r="G1968" s="163"/>
      <c r="H1968" s="164"/>
      <c r="I1968" s="163"/>
      <c r="J1968" s="164"/>
      <c r="K1968" s="163"/>
      <c r="L1968" s="164"/>
      <c r="M1968" s="11"/>
      <c r="N1968" s="39"/>
      <c r="Q1968" s="15" t="str">
        <f>+CONCATENATE(E1966,K1966)</f>
        <v/>
      </c>
      <c r="R1968" s="15">
        <f>+L1966</f>
        <v>0</v>
      </c>
      <c r="S1968" s="16"/>
      <c r="T1968" s="15">
        <f>+E1966</f>
        <v>0</v>
      </c>
      <c r="U1968" s="26" t="str">
        <f>IFERROR(LEFT(K1966,FIND("*",K1966)-1),"-")</f>
        <v>-</v>
      </c>
      <c r="V1968" s="26" t="str">
        <f>IFERROR(RIGHT(K1966,LEN(K1966)-FIND("*",K1966)),"-")</f>
        <v>-</v>
      </c>
      <c r="W1968" s="27" t="str">
        <f t="shared" si="1066"/>
        <v>-</v>
      </c>
      <c r="X1968" s="27" t="str">
        <f>IFERROR(W1968*L1966,"-")</f>
        <v>-</v>
      </c>
      <c r="Z1968" s="94" t="s">
        <v>82</v>
      </c>
    </row>
    <row r="1969" spans="1:26" s="25" customFormat="1" ht="21" customHeight="1" thickBot="1" x14ac:dyDescent="0.35">
      <c r="A1969" s="10"/>
      <c r="B1969" s="170"/>
      <c r="C1969" s="171"/>
      <c r="D1969" s="172" t="s">
        <v>43</v>
      </c>
      <c r="E1969" s="173"/>
      <c r="F1969" s="173"/>
      <c r="G1969" s="174"/>
      <c r="H1969" s="174"/>
      <c r="I1969" s="174"/>
      <c r="J1969" s="174"/>
      <c r="K1969" s="174"/>
      <c r="L1969" s="174"/>
      <c r="M1969" s="12"/>
      <c r="N1969" s="39"/>
      <c r="U1969" s="23"/>
      <c r="V1969" s="23"/>
      <c r="Z1969" s="95" t="s">
        <v>81</v>
      </c>
    </row>
    <row r="1970" spans="1:26" s="25" customFormat="1" ht="9.9499999999999993" customHeight="1" thickBot="1" x14ac:dyDescent="0.35">
      <c r="A1970" s="6"/>
      <c r="B1970" s="14"/>
      <c r="C1970" s="119"/>
      <c r="D1970" s="58"/>
      <c r="E1970" s="17"/>
      <c r="F1970" s="58"/>
      <c r="G1970" s="19"/>
      <c r="H1970" s="19"/>
      <c r="I1970" s="19"/>
      <c r="J1970" s="19"/>
      <c r="K1970" s="19"/>
      <c r="L1970" s="19"/>
      <c r="M1970" s="14"/>
      <c r="N1970" s="39"/>
      <c r="Q1970" s="1"/>
      <c r="R1970" s="1"/>
      <c r="S1970" s="1"/>
      <c r="T1970" s="1"/>
      <c r="U1970" s="24"/>
      <c r="V1970" s="24"/>
      <c r="W1970" s="1"/>
      <c r="X1970" s="1"/>
      <c r="Z1970" s="94" t="s">
        <v>82</v>
      </c>
    </row>
    <row r="1971" spans="1:26" s="25" customFormat="1" ht="6.95" customHeight="1" x14ac:dyDescent="0.3">
      <c r="A1971" s="165">
        <f>+A1960+1</f>
        <v>180</v>
      </c>
      <c r="B1971" s="166"/>
      <c r="C1971" s="167"/>
      <c r="D1971" s="160" t="s">
        <v>39</v>
      </c>
      <c r="E1971" s="161"/>
      <c r="F1971" s="162" t="s">
        <v>40</v>
      </c>
      <c r="G1971" s="163"/>
      <c r="H1971" s="164"/>
      <c r="I1971" s="163"/>
      <c r="J1971" s="164"/>
      <c r="K1971" s="163"/>
      <c r="L1971" s="164"/>
      <c r="M1971" s="11"/>
      <c r="N1971" s="39"/>
      <c r="Q1971" s="15" t="str">
        <f>+CONCATENATE(E1971,G1971)</f>
        <v/>
      </c>
      <c r="R1971" s="15">
        <f>+H1971</f>
        <v>0</v>
      </c>
      <c r="S1971" s="16"/>
      <c r="T1971" s="15">
        <f>+E1971</f>
        <v>0</v>
      </c>
      <c r="U1971" s="26" t="str">
        <f>IFERROR(LEFT(G1971,FIND("*",G1971)-1),"-")</f>
        <v>-</v>
      </c>
      <c r="V1971" s="26" t="str">
        <f>IFERROR(RIGHT(G1971,LEN(G1971)-FIND("*",G1971)),"-")</f>
        <v>-</v>
      </c>
      <c r="W1971" s="27" t="str">
        <f>IFERROR((U1971+V1971)*2/1000,"-")</f>
        <v>-</v>
      </c>
      <c r="X1971" s="27" t="str">
        <f>IFERROR(W1971*H1971,"-")</f>
        <v>-</v>
      </c>
      <c r="Z1971" s="94" t="s">
        <v>82</v>
      </c>
    </row>
    <row r="1972" spans="1:26" s="25" customFormat="1" ht="6.95" customHeight="1" x14ac:dyDescent="0.3">
      <c r="A1972" s="165"/>
      <c r="B1972" s="168"/>
      <c r="C1972" s="169"/>
      <c r="D1972" s="160"/>
      <c r="E1972" s="161"/>
      <c r="F1972" s="162"/>
      <c r="G1972" s="163"/>
      <c r="H1972" s="164"/>
      <c r="I1972" s="163"/>
      <c r="J1972" s="164"/>
      <c r="K1972" s="163"/>
      <c r="L1972" s="164"/>
      <c r="M1972" s="11"/>
      <c r="N1972" s="39"/>
      <c r="Q1972" s="15" t="str">
        <f>+CONCATENATE(E1971,I1971)</f>
        <v/>
      </c>
      <c r="R1972" s="15">
        <f>+J1971</f>
        <v>0</v>
      </c>
      <c r="S1972" s="16"/>
      <c r="T1972" s="15">
        <f>+E1971</f>
        <v>0</v>
      </c>
      <c r="U1972" s="26" t="str">
        <f>IFERROR(LEFT(I1971,FIND("*",I1971)-1),"-")</f>
        <v>-</v>
      </c>
      <c r="V1972" s="26" t="str">
        <f>IFERROR(RIGHT(I1971,LEN(I1971)-FIND("*",I1971)),"-")</f>
        <v>-</v>
      </c>
      <c r="W1972" s="27" t="str">
        <f t="shared" ref="W1972:W1979" si="1072">IFERROR((U1972+V1972)*2/1000,"-")</f>
        <v>-</v>
      </c>
      <c r="X1972" s="27" t="str">
        <f>IFERROR(W1972*J1971,"-")</f>
        <v>-</v>
      </c>
      <c r="Z1972" s="94" t="s">
        <v>82</v>
      </c>
    </row>
    <row r="1973" spans="1:26" s="25" customFormat="1" ht="6.95" customHeight="1" x14ac:dyDescent="0.3">
      <c r="A1973" s="165"/>
      <c r="B1973" s="168"/>
      <c r="C1973" s="169"/>
      <c r="D1973" s="160"/>
      <c r="E1973" s="161"/>
      <c r="F1973" s="162"/>
      <c r="G1973" s="163"/>
      <c r="H1973" s="164"/>
      <c r="I1973" s="163"/>
      <c r="J1973" s="164"/>
      <c r="K1973" s="163"/>
      <c r="L1973" s="164"/>
      <c r="M1973" s="11"/>
      <c r="N1973" s="39"/>
      <c r="Q1973" s="15" t="str">
        <f>+CONCATENATE(E1971,K1971)</f>
        <v/>
      </c>
      <c r="R1973" s="15">
        <f>+L1971</f>
        <v>0</v>
      </c>
      <c r="S1973" s="16"/>
      <c r="T1973" s="15">
        <f>+E1971</f>
        <v>0</v>
      </c>
      <c r="U1973" s="26" t="str">
        <f>IFERROR(LEFT(K1971,FIND("*",K1971)-1),"-")</f>
        <v>-</v>
      </c>
      <c r="V1973" s="26" t="str">
        <f>IFERROR(RIGHT(K1971,LEN(K1971)-FIND("*",K1971)),"-")</f>
        <v>-</v>
      </c>
      <c r="W1973" s="27" t="str">
        <f t="shared" si="1072"/>
        <v>-</v>
      </c>
      <c r="X1973" s="27" t="str">
        <f>IFERROR(W1973*L1971,"-")</f>
        <v>-</v>
      </c>
      <c r="Z1973" s="94" t="s">
        <v>82</v>
      </c>
    </row>
    <row r="1974" spans="1:26" s="25" customFormat="1" ht="6.95" customHeight="1" x14ac:dyDescent="0.3">
      <c r="A1974" s="13"/>
      <c r="B1974" s="168"/>
      <c r="C1974" s="169"/>
      <c r="D1974" s="160" t="s">
        <v>39</v>
      </c>
      <c r="E1974" s="161"/>
      <c r="F1974" s="162" t="s">
        <v>40</v>
      </c>
      <c r="G1974" s="163"/>
      <c r="H1974" s="164"/>
      <c r="I1974" s="163"/>
      <c r="J1974" s="164"/>
      <c r="K1974" s="163"/>
      <c r="L1974" s="164"/>
      <c r="M1974" s="11"/>
      <c r="N1974" s="39"/>
      <c r="Q1974" s="15" t="str">
        <f>+CONCATENATE(E1974,G1974)</f>
        <v/>
      </c>
      <c r="R1974" s="15">
        <f>+H1974</f>
        <v>0</v>
      </c>
      <c r="S1974" s="16"/>
      <c r="T1974" s="15">
        <f>+E1974</f>
        <v>0</v>
      </c>
      <c r="U1974" s="26" t="str">
        <f t="shared" ref="U1974" si="1073">IFERROR(LEFT(G1974,FIND("*",G1974)-1),"-")</f>
        <v>-</v>
      </c>
      <c r="V1974" s="26" t="str">
        <f t="shared" ref="V1974" si="1074">IFERROR(RIGHT(G1974,LEN(G1974)-FIND("*",G1974)),"-")</f>
        <v>-</v>
      </c>
      <c r="W1974" s="27" t="str">
        <f t="shared" si="1072"/>
        <v>-</v>
      </c>
      <c r="X1974" s="27" t="str">
        <f>IFERROR(W1974*H1974,"-")</f>
        <v>-</v>
      </c>
      <c r="Z1974" s="94" t="s">
        <v>82</v>
      </c>
    </row>
    <row r="1975" spans="1:26" s="25" customFormat="1" ht="6.95" customHeight="1" x14ac:dyDescent="0.3">
      <c r="A1975" s="10"/>
      <c r="B1975" s="168"/>
      <c r="C1975" s="169"/>
      <c r="D1975" s="160"/>
      <c r="E1975" s="161"/>
      <c r="F1975" s="162"/>
      <c r="G1975" s="163"/>
      <c r="H1975" s="164"/>
      <c r="I1975" s="163"/>
      <c r="J1975" s="164"/>
      <c r="K1975" s="163"/>
      <c r="L1975" s="164"/>
      <c r="M1975" s="11"/>
      <c r="N1975" s="39"/>
      <c r="Q1975" s="15" t="str">
        <f>+CONCATENATE(E1974,I1974)</f>
        <v/>
      </c>
      <c r="R1975" s="15">
        <f>+J1974</f>
        <v>0</v>
      </c>
      <c r="S1975" s="16"/>
      <c r="T1975" s="15">
        <f>+E1974</f>
        <v>0</v>
      </c>
      <c r="U1975" s="26" t="str">
        <f>IFERROR(LEFT(I1974,FIND("*",I1974)-1),"-")</f>
        <v>-</v>
      </c>
      <c r="V1975" s="26" t="str">
        <f>IFERROR(RIGHT(I1974,LEN(I1974)-FIND("*",I1974)),"-")</f>
        <v>-</v>
      </c>
      <c r="W1975" s="27" t="str">
        <f t="shared" si="1072"/>
        <v>-</v>
      </c>
      <c r="X1975" s="27" t="str">
        <f>IFERROR(W1975*J1974,"-")</f>
        <v>-</v>
      </c>
      <c r="Z1975" s="94" t="s">
        <v>82</v>
      </c>
    </row>
    <row r="1976" spans="1:26" s="25" customFormat="1" ht="6.95" customHeight="1" x14ac:dyDescent="0.3">
      <c r="A1976" s="10"/>
      <c r="B1976" s="168"/>
      <c r="C1976" s="169"/>
      <c r="D1976" s="160"/>
      <c r="E1976" s="161"/>
      <c r="F1976" s="162"/>
      <c r="G1976" s="163"/>
      <c r="H1976" s="164"/>
      <c r="I1976" s="163"/>
      <c r="J1976" s="164"/>
      <c r="K1976" s="163"/>
      <c r="L1976" s="164"/>
      <c r="M1976" s="11"/>
      <c r="N1976" s="39"/>
      <c r="Q1976" s="15" t="str">
        <f>+CONCATENATE(E1974,K1974)</f>
        <v/>
      </c>
      <c r="R1976" s="15">
        <f>+L1974</f>
        <v>0</v>
      </c>
      <c r="S1976" s="16"/>
      <c r="T1976" s="15">
        <f>+E1974</f>
        <v>0</v>
      </c>
      <c r="U1976" s="26" t="str">
        <f>IFERROR(LEFT(K1974,FIND("*",K1974)-1),"-")</f>
        <v>-</v>
      </c>
      <c r="V1976" s="26" t="str">
        <f>IFERROR(RIGHT(K1974,LEN(K1974)-FIND("*",K1974)),"-")</f>
        <v>-</v>
      </c>
      <c r="W1976" s="27" t="str">
        <f t="shared" si="1072"/>
        <v>-</v>
      </c>
      <c r="X1976" s="27" t="str">
        <f>IFERROR(W1976*L1974,"-")</f>
        <v>-</v>
      </c>
      <c r="Z1976" s="94" t="s">
        <v>82</v>
      </c>
    </row>
    <row r="1977" spans="1:26" s="25" customFormat="1" ht="6.95" customHeight="1" x14ac:dyDescent="0.3">
      <c r="A1977" s="13"/>
      <c r="B1977" s="168"/>
      <c r="C1977" s="169"/>
      <c r="D1977" s="160" t="s">
        <v>39</v>
      </c>
      <c r="E1977" s="161"/>
      <c r="F1977" s="162" t="s">
        <v>40</v>
      </c>
      <c r="G1977" s="163"/>
      <c r="H1977" s="164"/>
      <c r="I1977" s="163"/>
      <c r="J1977" s="164"/>
      <c r="K1977" s="163"/>
      <c r="L1977" s="164"/>
      <c r="M1977" s="11"/>
      <c r="N1977" s="39"/>
      <c r="Q1977" s="15" t="str">
        <f>+CONCATENATE(E1977,G1977)</f>
        <v/>
      </c>
      <c r="R1977" s="15">
        <f>+H1977</f>
        <v>0</v>
      </c>
      <c r="S1977" s="16"/>
      <c r="T1977" s="15">
        <f>+E1977</f>
        <v>0</v>
      </c>
      <c r="U1977" s="26" t="str">
        <f t="shared" ref="U1977" si="1075">IFERROR(LEFT(G1977,FIND("*",G1977)-1),"-")</f>
        <v>-</v>
      </c>
      <c r="V1977" s="26" t="str">
        <f t="shared" ref="V1977" si="1076">IFERROR(RIGHT(G1977,LEN(G1977)-FIND("*",G1977)),"-")</f>
        <v>-</v>
      </c>
      <c r="W1977" s="27" t="str">
        <f t="shared" si="1072"/>
        <v>-</v>
      </c>
      <c r="X1977" s="27" t="str">
        <f>IFERROR(W1977*H1977,"-")</f>
        <v>-</v>
      </c>
      <c r="Z1977" s="94" t="s">
        <v>82</v>
      </c>
    </row>
    <row r="1978" spans="1:26" s="25" customFormat="1" ht="6.95" customHeight="1" x14ac:dyDescent="0.3">
      <c r="A1978" s="10"/>
      <c r="B1978" s="168"/>
      <c r="C1978" s="169"/>
      <c r="D1978" s="160"/>
      <c r="E1978" s="161"/>
      <c r="F1978" s="162"/>
      <c r="G1978" s="163"/>
      <c r="H1978" s="164"/>
      <c r="I1978" s="163"/>
      <c r="J1978" s="164"/>
      <c r="K1978" s="163"/>
      <c r="L1978" s="164"/>
      <c r="M1978" s="11"/>
      <c r="N1978" s="39"/>
      <c r="Q1978" s="15" t="str">
        <f>+CONCATENATE(E1977,I1977)</f>
        <v/>
      </c>
      <c r="R1978" s="15">
        <f>+J1977</f>
        <v>0</v>
      </c>
      <c r="S1978" s="16"/>
      <c r="T1978" s="15">
        <f>+E1977</f>
        <v>0</v>
      </c>
      <c r="U1978" s="26" t="str">
        <f>IFERROR(LEFT(I1977,FIND("*",I1977)-1),"-")</f>
        <v>-</v>
      </c>
      <c r="V1978" s="26" t="str">
        <f>IFERROR(RIGHT(I1977,LEN(I1977)-FIND("*",I1977)),"-")</f>
        <v>-</v>
      </c>
      <c r="W1978" s="27" t="str">
        <f t="shared" si="1072"/>
        <v>-</v>
      </c>
      <c r="X1978" s="27" t="str">
        <f t="shared" ref="X1978" si="1077">IFERROR(W1978*J1977,"-")</f>
        <v>-</v>
      </c>
      <c r="Z1978" s="94" t="s">
        <v>82</v>
      </c>
    </row>
    <row r="1979" spans="1:26" s="25" customFormat="1" ht="6.95" customHeight="1" x14ac:dyDescent="0.3">
      <c r="A1979" s="10"/>
      <c r="B1979" s="168"/>
      <c r="C1979" s="169"/>
      <c r="D1979" s="160"/>
      <c r="E1979" s="161"/>
      <c r="F1979" s="162"/>
      <c r="G1979" s="163"/>
      <c r="H1979" s="164"/>
      <c r="I1979" s="163"/>
      <c r="J1979" s="164"/>
      <c r="K1979" s="163"/>
      <c r="L1979" s="164"/>
      <c r="M1979" s="11"/>
      <c r="N1979" s="39"/>
      <c r="Q1979" s="15" t="str">
        <f>+CONCATENATE(E1977,K1977)</f>
        <v/>
      </c>
      <c r="R1979" s="15">
        <f>+L1977</f>
        <v>0</v>
      </c>
      <c r="S1979" s="16"/>
      <c r="T1979" s="15">
        <f>+E1977</f>
        <v>0</v>
      </c>
      <c r="U1979" s="26" t="str">
        <f>IFERROR(LEFT(K1977,FIND("*",K1977)-1),"-")</f>
        <v>-</v>
      </c>
      <c r="V1979" s="26" t="str">
        <f>IFERROR(RIGHT(K1977,LEN(K1977)-FIND("*",K1977)),"-")</f>
        <v>-</v>
      </c>
      <c r="W1979" s="27" t="str">
        <f t="shared" si="1072"/>
        <v>-</v>
      </c>
      <c r="X1979" s="27" t="str">
        <f>IFERROR(W1979*L1977,"-")</f>
        <v>-</v>
      </c>
      <c r="Z1979" s="94" t="s">
        <v>82</v>
      </c>
    </row>
    <row r="1980" spans="1:26" s="25" customFormat="1" ht="21" customHeight="1" thickBot="1" x14ac:dyDescent="0.35">
      <c r="A1980" s="10"/>
      <c r="B1980" s="170"/>
      <c r="C1980" s="171"/>
      <c r="D1980" s="172" t="s">
        <v>43</v>
      </c>
      <c r="E1980" s="173"/>
      <c r="F1980" s="173"/>
      <c r="G1980" s="174"/>
      <c r="H1980" s="174"/>
      <c r="I1980" s="174"/>
      <c r="J1980" s="174"/>
      <c r="K1980" s="174"/>
      <c r="L1980" s="174"/>
      <c r="M1980" s="12"/>
      <c r="N1980" s="39"/>
      <c r="U1980" s="23"/>
      <c r="V1980" s="23"/>
      <c r="Z1980" s="95" t="s">
        <v>81</v>
      </c>
    </row>
    <row r="1981" spans="1:26" s="25" customFormat="1" ht="9.9499999999999993" customHeight="1" thickBot="1" x14ac:dyDescent="0.35">
      <c r="A1981" s="6"/>
      <c r="B1981" s="14"/>
      <c r="C1981" s="119"/>
      <c r="D1981" s="58"/>
      <c r="E1981" s="17"/>
      <c r="F1981" s="58"/>
      <c r="G1981" s="19"/>
      <c r="H1981" s="19"/>
      <c r="I1981" s="19"/>
      <c r="J1981" s="19"/>
      <c r="K1981" s="19"/>
      <c r="L1981" s="19"/>
      <c r="M1981" s="14"/>
      <c r="N1981" s="39"/>
      <c r="Q1981" s="1"/>
      <c r="R1981" s="1"/>
      <c r="S1981" s="1"/>
      <c r="T1981" s="1"/>
      <c r="U1981" s="24"/>
      <c r="V1981" s="24"/>
      <c r="W1981" s="1"/>
      <c r="X1981" s="1"/>
      <c r="Z1981" s="94" t="s">
        <v>82</v>
      </c>
    </row>
    <row r="1982" spans="1:26" s="25" customFormat="1" ht="6.95" customHeight="1" x14ac:dyDescent="0.3">
      <c r="A1982" s="165">
        <f>+A1971+1</f>
        <v>181</v>
      </c>
      <c r="B1982" s="166"/>
      <c r="C1982" s="167"/>
      <c r="D1982" s="160" t="s">
        <v>39</v>
      </c>
      <c r="E1982" s="161"/>
      <c r="F1982" s="162" t="s">
        <v>40</v>
      </c>
      <c r="G1982" s="163"/>
      <c r="H1982" s="164"/>
      <c r="I1982" s="163"/>
      <c r="J1982" s="164"/>
      <c r="K1982" s="163"/>
      <c r="L1982" s="164"/>
      <c r="M1982" s="11"/>
      <c r="N1982" s="39"/>
      <c r="Q1982" s="15" t="str">
        <f>+CONCATENATE(E1982,G1982)</f>
        <v/>
      </c>
      <c r="R1982" s="15">
        <f>+H1982</f>
        <v>0</v>
      </c>
      <c r="S1982" s="16"/>
      <c r="T1982" s="15">
        <f>+E1982</f>
        <v>0</v>
      </c>
      <c r="U1982" s="26" t="str">
        <f>IFERROR(LEFT(G1982,FIND("*",G1982)-1),"-")</f>
        <v>-</v>
      </c>
      <c r="V1982" s="26" t="str">
        <f>IFERROR(RIGHT(G1982,LEN(G1982)-FIND("*",G1982)),"-")</f>
        <v>-</v>
      </c>
      <c r="W1982" s="27" t="str">
        <f>IFERROR((U1982+V1982)*2/1000,"-")</f>
        <v>-</v>
      </c>
      <c r="X1982" s="27" t="str">
        <f>IFERROR(W1982*H1982,"-")</f>
        <v>-</v>
      </c>
      <c r="Z1982" s="94" t="s">
        <v>82</v>
      </c>
    </row>
    <row r="1983" spans="1:26" s="25" customFormat="1" ht="6.95" customHeight="1" x14ac:dyDescent="0.3">
      <c r="A1983" s="165"/>
      <c r="B1983" s="168"/>
      <c r="C1983" s="169"/>
      <c r="D1983" s="160"/>
      <c r="E1983" s="161"/>
      <c r="F1983" s="162"/>
      <c r="G1983" s="163"/>
      <c r="H1983" s="164"/>
      <c r="I1983" s="163"/>
      <c r="J1983" s="164"/>
      <c r="K1983" s="163"/>
      <c r="L1983" s="164"/>
      <c r="M1983" s="11"/>
      <c r="N1983" s="39"/>
      <c r="Q1983" s="15" t="str">
        <f>+CONCATENATE(E1982,I1982)</f>
        <v/>
      </c>
      <c r="R1983" s="15">
        <f>+J1982</f>
        <v>0</v>
      </c>
      <c r="S1983" s="16"/>
      <c r="T1983" s="15">
        <f>+E1982</f>
        <v>0</v>
      </c>
      <c r="U1983" s="26" t="str">
        <f>IFERROR(LEFT(I1982,FIND("*",I1982)-1),"-")</f>
        <v>-</v>
      </c>
      <c r="V1983" s="26" t="str">
        <f>IFERROR(RIGHT(I1982,LEN(I1982)-FIND("*",I1982)),"-")</f>
        <v>-</v>
      </c>
      <c r="W1983" s="27" t="str">
        <f t="shared" ref="W1983:W1990" si="1078">IFERROR((U1983+V1983)*2/1000,"-")</f>
        <v>-</v>
      </c>
      <c r="X1983" s="27" t="str">
        <f>IFERROR(W1983*J1982,"-")</f>
        <v>-</v>
      </c>
      <c r="Z1983" s="94" t="s">
        <v>82</v>
      </c>
    </row>
    <row r="1984" spans="1:26" s="25" customFormat="1" ht="6.95" customHeight="1" x14ac:dyDescent="0.3">
      <c r="A1984" s="165"/>
      <c r="B1984" s="168"/>
      <c r="C1984" s="169"/>
      <c r="D1984" s="160"/>
      <c r="E1984" s="161"/>
      <c r="F1984" s="162"/>
      <c r="G1984" s="163"/>
      <c r="H1984" s="164"/>
      <c r="I1984" s="163"/>
      <c r="J1984" s="164"/>
      <c r="K1984" s="163"/>
      <c r="L1984" s="164"/>
      <c r="M1984" s="11"/>
      <c r="N1984" s="39"/>
      <c r="Q1984" s="15" t="str">
        <f>+CONCATENATE(E1982,K1982)</f>
        <v/>
      </c>
      <c r="R1984" s="15">
        <f>+L1982</f>
        <v>0</v>
      </c>
      <c r="S1984" s="16"/>
      <c r="T1984" s="15">
        <f>+E1982</f>
        <v>0</v>
      </c>
      <c r="U1984" s="26" t="str">
        <f>IFERROR(LEFT(K1982,FIND("*",K1982)-1),"-")</f>
        <v>-</v>
      </c>
      <c r="V1984" s="26" t="str">
        <f>IFERROR(RIGHT(K1982,LEN(K1982)-FIND("*",K1982)),"-")</f>
        <v>-</v>
      </c>
      <c r="W1984" s="27" t="str">
        <f t="shared" si="1078"/>
        <v>-</v>
      </c>
      <c r="X1984" s="27" t="str">
        <f>IFERROR(W1984*L1982,"-")</f>
        <v>-</v>
      </c>
      <c r="Z1984" s="94" t="s">
        <v>82</v>
      </c>
    </row>
    <row r="1985" spans="1:26" s="25" customFormat="1" ht="6.95" customHeight="1" x14ac:dyDescent="0.3">
      <c r="A1985" s="13"/>
      <c r="B1985" s="168"/>
      <c r="C1985" s="169"/>
      <c r="D1985" s="160" t="s">
        <v>39</v>
      </c>
      <c r="E1985" s="161"/>
      <c r="F1985" s="162" t="s">
        <v>40</v>
      </c>
      <c r="G1985" s="163"/>
      <c r="H1985" s="164"/>
      <c r="I1985" s="163"/>
      <c r="J1985" s="164"/>
      <c r="K1985" s="163"/>
      <c r="L1985" s="164"/>
      <c r="M1985" s="11"/>
      <c r="N1985" s="39"/>
      <c r="Q1985" s="15" t="str">
        <f>+CONCATENATE(E1985,G1985)</f>
        <v/>
      </c>
      <c r="R1985" s="15">
        <f>+H1985</f>
        <v>0</v>
      </c>
      <c r="S1985" s="16"/>
      <c r="T1985" s="15">
        <f>+E1985</f>
        <v>0</v>
      </c>
      <c r="U1985" s="26" t="str">
        <f t="shared" ref="U1985" si="1079">IFERROR(LEFT(G1985,FIND("*",G1985)-1),"-")</f>
        <v>-</v>
      </c>
      <c r="V1985" s="26" t="str">
        <f t="shared" ref="V1985" si="1080">IFERROR(RIGHT(G1985,LEN(G1985)-FIND("*",G1985)),"-")</f>
        <v>-</v>
      </c>
      <c r="W1985" s="27" t="str">
        <f t="shared" si="1078"/>
        <v>-</v>
      </c>
      <c r="X1985" s="27" t="str">
        <f>IFERROR(W1985*H1985,"-")</f>
        <v>-</v>
      </c>
      <c r="Z1985" s="94" t="s">
        <v>82</v>
      </c>
    </row>
    <row r="1986" spans="1:26" s="25" customFormat="1" ht="6.95" customHeight="1" x14ac:dyDescent="0.3">
      <c r="A1986" s="10"/>
      <c r="B1986" s="168"/>
      <c r="C1986" s="169"/>
      <c r="D1986" s="160"/>
      <c r="E1986" s="161"/>
      <c r="F1986" s="162"/>
      <c r="G1986" s="163"/>
      <c r="H1986" s="164"/>
      <c r="I1986" s="163"/>
      <c r="J1986" s="164"/>
      <c r="K1986" s="163"/>
      <c r="L1986" s="164"/>
      <c r="M1986" s="11"/>
      <c r="N1986" s="39"/>
      <c r="Q1986" s="15" t="str">
        <f>+CONCATENATE(E1985,I1985)</f>
        <v/>
      </c>
      <c r="R1986" s="15">
        <f>+J1985</f>
        <v>0</v>
      </c>
      <c r="S1986" s="16"/>
      <c r="T1986" s="15">
        <f>+E1985</f>
        <v>0</v>
      </c>
      <c r="U1986" s="26" t="str">
        <f>IFERROR(LEFT(I1985,FIND("*",I1985)-1),"-")</f>
        <v>-</v>
      </c>
      <c r="V1986" s="26" t="str">
        <f>IFERROR(RIGHT(I1985,LEN(I1985)-FIND("*",I1985)),"-")</f>
        <v>-</v>
      </c>
      <c r="W1986" s="27" t="str">
        <f t="shared" si="1078"/>
        <v>-</v>
      </c>
      <c r="X1986" s="27" t="str">
        <f>IFERROR(W1986*J1985,"-")</f>
        <v>-</v>
      </c>
      <c r="Z1986" s="94" t="s">
        <v>82</v>
      </c>
    </row>
    <row r="1987" spans="1:26" s="25" customFormat="1" ht="6.95" customHeight="1" x14ac:dyDescent="0.3">
      <c r="A1987" s="10"/>
      <c r="B1987" s="168"/>
      <c r="C1987" s="169"/>
      <c r="D1987" s="160"/>
      <c r="E1987" s="161"/>
      <c r="F1987" s="162"/>
      <c r="G1987" s="163"/>
      <c r="H1987" s="164"/>
      <c r="I1987" s="163"/>
      <c r="J1987" s="164"/>
      <c r="K1987" s="163"/>
      <c r="L1987" s="164"/>
      <c r="M1987" s="11"/>
      <c r="N1987" s="39"/>
      <c r="Q1987" s="15" t="str">
        <f>+CONCATENATE(E1985,K1985)</f>
        <v/>
      </c>
      <c r="R1987" s="15">
        <f>+L1985</f>
        <v>0</v>
      </c>
      <c r="S1987" s="16"/>
      <c r="T1987" s="15">
        <f>+E1985</f>
        <v>0</v>
      </c>
      <c r="U1987" s="26" t="str">
        <f>IFERROR(LEFT(K1985,FIND("*",K1985)-1),"-")</f>
        <v>-</v>
      </c>
      <c r="V1987" s="26" t="str">
        <f>IFERROR(RIGHT(K1985,LEN(K1985)-FIND("*",K1985)),"-")</f>
        <v>-</v>
      </c>
      <c r="W1987" s="27" t="str">
        <f t="shared" si="1078"/>
        <v>-</v>
      </c>
      <c r="X1987" s="27" t="str">
        <f>IFERROR(W1987*L1985,"-")</f>
        <v>-</v>
      </c>
      <c r="Z1987" s="94" t="s">
        <v>82</v>
      </c>
    </row>
    <row r="1988" spans="1:26" s="25" customFormat="1" ht="6.95" customHeight="1" x14ac:dyDescent="0.3">
      <c r="A1988" s="13"/>
      <c r="B1988" s="168"/>
      <c r="C1988" s="169"/>
      <c r="D1988" s="160" t="s">
        <v>39</v>
      </c>
      <c r="E1988" s="161"/>
      <c r="F1988" s="162" t="s">
        <v>40</v>
      </c>
      <c r="G1988" s="163"/>
      <c r="H1988" s="164"/>
      <c r="I1988" s="163"/>
      <c r="J1988" s="164"/>
      <c r="K1988" s="163"/>
      <c r="L1988" s="164"/>
      <c r="M1988" s="11"/>
      <c r="N1988" s="39"/>
      <c r="Q1988" s="15" t="str">
        <f>+CONCATENATE(E1988,G1988)</f>
        <v/>
      </c>
      <c r="R1988" s="15">
        <f>+H1988</f>
        <v>0</v>
      </c>
      <c r="S1988" s="16"/>
      <c r="T1988" s="15">
        <f>+E1988</f>
        <v>0</v>
      </c>
      <c r="U1988" s="26" t="str">
        <f t="shared" ref="U1988" si="1081">IFERROR(LEFT(G1988,FIND("*",G1988)-1),"-")</f>
        <v>-</v>
      </c>
      <c r="V1988" s="26" t="str">
        <f t="shared" ref="V1988" si="1082">IFERROR(RIGHT(G1988,LEN(G1988)-FIND("*",G1988)),"-")</f>
        <v>-</v>
      </c>
      <c r="W1988" s="27" t="str">
        <f t="shared" si="1078"/>
        <v>-</v>
      </c>
      <c r="X1988" s="27" t="str">
        <f>IFERROR(W1988*H1988,"-")</f>
        <v>-</v>
      </c>
      <c r="Z1988" s="94" t="s">
        <v>82</v>
      </c>
    </row>
    <row r="1989" spans="1:26" s="25" customFormat="1" ht="6.95" customHeight="1" x14ac:dyDescent="0.3">
      <c r="A1989" s="10"/>
      <c r="B1989" s="168"/>
      <c r="C1989" s="169"/>
      <c r="D1989" s="160"/>
      <c r="E1989" s="161"/>
      <c r="F1989" s="162"/>
      <c r="G1989" s="163"/>
      <c r="H1989" s="164"/>
      <c r="I1989" s="163"/>
      <c r="J1989" s="164"/>
      <c r="K1989" s="163"/>
      <c r="L1989" s="164"/>
      <c r="M1989" s="11"/>
      <c r="N1989" s="39"/>
      <c r="Q1989" s="15" t="str">
        <f>+CONCATENATE(E1988,I1988)</f>
        <v/>
      </c>
      <c r="R1989" s="15">
        <f>+J1988</f>
        <v>0</v>
      </c>
      <c r="S1989" s="16"/>
      <c r="T1989" s="15">
        <f>+E1988</f>
        <v>0</v>
      </c>
      <c r="U1989" s="26" t="str">
        <f>IFERROR(LEFT(I1988,FIND("*",I1988)-1),"-")</f>
        <v>-</v>
      </c>
      <c r="V1989" s="26" t="str">
        <f>IFERROR(RIGHT(I1988,LEN(I1988)-FIND("*",I1988)),"-")</f>
        <v>-</v>
      </c>
      <c r="W1989" s="27" t="str">
        <f t="shared" si="1078"/>
        <v>-</v>
      </c>
      <c r="X1989" s="27" t="str">
        <f t="shared" ref="X1989" si="1083">IFERROR(W1989*J1988,"-")</f>
        <v>-</v>
      </c>
      <c r="Z1989" s="94" t="s">
        <v>82</v>
      </c>
    </row>
    <row r="1990" spans="1:26" s="25" customFormat="1" ht="6.95" customHeight="1" x14ac:dyDescent="0.3">
      <c r="A1990" s="10"/>
      <c r="B1990" s="168"/>
      <c r="C1990" s="169"/>
      <c r="D1990" s="160"/>
      <c r="E1990" s="161"/>
      <c r="F1990" s="162"/>
      <c r="G1990" s="163"/>
      <c r="H1990" s="164"/>
      <c r="I1990" s="163"/>
      <c r="J1990" s="164"/>
      <c r="K1990" s="163"/>
      <c r="L1990" s="164"/>
      <c r="M1990" s="11"/>
      <c r="N1990" s="39"/>
      <c r="Q1990" s="15" t="str">
        <f>+CONCATENATE(E1988,K1988)</f>
        <v/>
      </c>
      <c r="R1990" s="15">
        <f>+L1988</f>
        <v>0</v>
      </c>
      <c r="S1990" s="16"/>
      <c r="T1990" s="15">
        <f>+E1988</f>
        <v>0</v>
      </c>
      <c r="U1990" s="26" t="str">
        <f>IFERROR(LEFT(K1988,FIND("*",K1988)-1),"-")</f>
        <v>-</v>
      </c>
      <c r="V1990" s="26" t="str">
        <f>IFERROR(RIGHT(K1988,LEN(K1988)-FIND("*",K1988)),"-")</f>
        <v>-</v>
      </c>
      <c r="W1990" s="27" t="str">
        <f t="shared" si="1078"/>
        <v>-</v>
      </c>
      <c r="X1990" s="27" t="str">
        <f>IFERROR(W1990*L1988,"-")</f>
        <v>-</v>
      </c>
      <c r="Z1990" s="94" t="s">
        <v>82</v>
      </c>
    </row>
    <row r="1991" spans="1:26" s="25" customFormat="1" ht="21" customHeight="1" thickBot="1" x14ac:dyDescent="0.35">
      <c r="A1991" s="10"/>
      <c r="B1991" s="170"/>
      <c r="C1991" s="171"/>
      <c r="D1991" s="172" t="s">
        <v>43</v>
      </c>
      <c r="E1991" s="173"/>
      <c r="F1991" s="173"/>
      <c r="G1991" s="174"/>
      <c r="H1991" s="174"/>
      <c r="I1991" s="174"/>
      <c r="J1991" s="174"/>
      <c r="K1991" s="174"/>
      <c r="L1991" s="174"/>
      <c r="M1991" s="12"/>
      <c r="N1991" s="39"/>
      <c r="U1991" s="23"/>
      <c r="V1991" s="23"/>
      <c r="Z1991" s="95" t="s">
        <v>81</v>
      </c>
    </row>
    <row r="1992" spans="1:26" s="25" customFormat="1" ht="9.9499999999999993" customHeight="1" thickBot="1" x14ac:dyDescent="0.35">
      <c r="A1992" s="6"/>
      <c r="B1992" s="14"/>
      <c r="C1992" s="119"/>
      <c r="D1992" s="58"/>
      <c r="E1992" s="17"/>
      <c r="F1992" s="58"/>
      <c r="G1992" s="19"/>
      <c r="H1992" s="19"/>
      <c r="I1992" s="19"/>
      <c r="J1992" s="19"/>
      <c r="K1992" s="19"/>
      <c r="L1992" s="19"/>
      <c r="M1992" s="14"/>
      <c r="N1992" s="39"/>
      <c r="Q1992" s="1"/>
      <c r="R1992" s="1"/>
      <c r="S1992" s="1"/>
      <c r="T1992" s="1"/>
      <c r="U1992" s="24"/>
      <c r="V1992" s="24"/>
      <c r="W1992" s="1"/>
      <c r="X1992" s="1"/>
      <c r="Z1992" s="94" t="s">
        <v>82</v>
      </c>
    </row>
    <row r="1993" spans="1:26" s="25" customFormat="1" ht="6.95" customHeight="1" x14ac:dyDescent="0.3">
      <c r="A1993" s="165">
        <f>+A1982+1</f>
        <v>182</v>
      </c>
      <c r="B1993" s="166"/>
      <c r="C1993" s="167"/>
      <c r="D1993" s="160" t="s">
        <v>39</v>
      </c>
      <c r="E1993" s="161"/>
      <c r="F1993" s="162" t="s">
        <v>40</v>
      </c>
      <c r="G1993" s="163"/>
      <c r="H1993" s="164"/>
      <c r="I1993" s="163"/>
      <c r="J1993" s="164"/>
      <c r="K1993" s="163"/>
      <c r="L1993" s="164"/>
      <c r="M1993" s="11"/>
      <c r="N1993" s="39"/>
      <c r="Q1993" s="15" t="str">
        <f>+CONCATENATE(E1993,G1993)</f>
        <v/>
      </c>
      <c r="R1993" s="15">
        <f>+H1993</f>
        <v>0</v>
      </c>
      <c r="S1993" s="16"/>
      <c r="T1993" s="15">
        <f>+E1993</f>
        <v>0</v>
      </c>
      <c r="U1993" s="26" t="str">
        <f>IFERROR(LEFT(G1993,FIND("*",G1993)-1),"-")</f>
        <v>-</v>
      </c>
      <c r="V1993" s="26" t="str">
        <f>IFERROR(RIGHT(G1993,LEN(G1993)-FIND("*",G1993)),"-")</f>
        <v>-</v>
      </c>
      <c r="W1993" s="27" t="str">
        <f>IFERROR((U1993+V1993)*2/1000,"-")</f>
        <v>-</v>
      </c>
      <c r="X1993" s="27" t="str">
        <f>IFERROR(W1993*H1993,"-")</f>
        <v>-</v>
      </c>
      <c r="Z1993" s="94" t="s">
        <v>82</v>
      </c>
    </row>
    <row r="1994" spans="1:26" s="25" customFormat="1" ht="6.95" customHeight="1" x14ac:dyDescent="0.3">
      <c r="A1994" s="165"/>
      <c r="B1994" s="168"/>
      <c r="C1994" s="169"/>
      <c r="D1994" s="160"/>
      <c r="E1994" s="161"/>
      <c r="F1994" s="162"/>
      <c r="G1994" s="163"/>
      <c r="H1994" s="164"/>
      <c r="I1994" s="163"/>
      <c r="J1994" s="164"/>
      <c r="K1994" s="163"/>
      <c r="L1994" s="164"/>
      <c r="M1994" s="11"/>
      <c r="N1994" s="39"/>
      <c r="Q1994" s="15" t="str">
        <f>+CONCATENATE(E1993,I1993)</f>
        <v/>
      </c>
      <c r="R1994" s="15">
        <f>+J1993</f>
        <v>0</v>
      </c>
      <c r="S1994" s="16"/>
      <c r="T1994" s="15">
        <f>+E1993</f>
        <v>0</v>
      </c>
      <c r="U1994" s="26" t="str">
        <f>IFERROR(LEFT(I1993,FIND("*",I1993)-1),"-")</f>
        <v>-</v>
      </c>
      <c r="V1994" s="26" t="str">
        <f>IFERROR(RIGHT(I1993,LEN(I1993)-FIND("*",I1993)),"-")</f>
        <v>-</v>
      </c>
      <c r="W1994" s="27" t="str">
        <f t="shared" ref="W1994:W2001" si="1084">IFERROR((U1994+V1994)*2/1000,"-")</f>
        <v>-</v>
      </c>
      <c r="X1994" s="27" t="str">
        <f>IFERROR(W1994*J1993,"-")</f>
        <v>-</v>
      </c>
      <c r="Z1994" s="94" t="s">
        <v>82</v>
      </c>
    </row>
    <row r="1995" spans="1:26" s="25" customFormat="1" ht="6.95" customHeight="1" x14ac:dyDescent="0.3">
      <c r="A1995" s="165"/>
      <c r="B1995" s="168"/>
      <c r="C1995" s="169"/>
      <c r="D1995" s="160"/>
      <c r="E1995" s="161"/>
      <c r="F1995" s="162"/>
      <c r="G1995" s="163"/>
      <c r="H1995" s="164"/>
      <c r="I1995" s="163"/>
      <c r="J1995" s="164"/>
      <c r="K1995" s="163"/>
      <c r="L1995" s="164"/>
      <c r="M1995" s="11"/>
      <c r="N1995" s="39"/>
      <c r="Q1995" s="15" t="str">
        <f>+CONCATENATE(E1993,K1993)</f>
        <v/>
      </c>
      <c r="R1995" s="15">
        <f>+L1993</f>
        <v>0</v>
      </c>
      <c r="S1995" s="16"/>
      <c r="T1995" s="15">
        <f>+E1993</f>
        <v>0</v>
      </c>
      <c r="U1995" s="26" t="str">
        <f>IFERROR(LEFT(K1993,FIND("*",K1993)-1),"-")</f>
        <v>-</v>
      </c>
      <c r="V1995" s="26" t="str">
        <f>IFERROR(RIGHT(K1993,LEN(K1993)-FIND("*",K1993)),"-")</f>
        <v>-</v>
      </c>
      <c r="W1995" s="27" t="str">
        <f t="shared" si="1084"/>
        <v>-</v>
      </c>
      <c r="X1995" s="27" t="str">
        <f>IFERROR(W1995*L1993,"-")</f>
        <v>-</v>
      </c>
      <c r="Z1995" s="94" t="s">
        <v>82</v>
      </c>
    </row>
    <row r="1996" spans="1:26" s="25" customFormat="1" ht="6.95" customHeight="1" x14ac:dyDescent="0.3">
      <c r="A1996" s="13"/>
      <c r="B1996" s="168"/>
      <c r="C1996" s="169"/>
      <c r="D1996" s="160" t="s">
        <v>39</v>
      </c>
      <c r="E1996" s="161"/>
      <c r="F1996" s="162" t="s">
        <v>40</v>
      </c>
      <c r="G1996" s="163"/>
      <c r="H1996" s="164"/>
      <c r="I1996" s="163"/>
      <c r="J1996" s="164"/>
      <c r="K1996" s="163"/>
      <c r="L1996" s="164"/>
      <c r="M1996" s="11"/>
      <c r="N1996" s="39"/>
      <c r="Q1996" s="15" t="str">
        <f>+CONCATENATE(E1996,G1996)</f>
        <v/>
      </c>
      <c r="R1996" s="15">
        <f>+H1996</f>
        <v>0</v>
      </c>
      <c r="S1996" s="16"/>
      <c r="T1996" s="15">
        <f>+E1996</f>
        <v>0</v>
      </c>
      <c r="U1996" s="26" t="str">
        <f t="shared" ref="U1996" si="1085">IFERROR(LEFT(G1996,FIND("*",G1996)-1),"-")</f>
        <v>-</v>
      </c>
      <c r="V1996" s="26" t="str">
        <f t="shared" ref="V1996" si="1086">IFERROR(RIGHT(G1996,LEN(G1996)-FIND("*",G1996)),"-")</f>
        <v>-</v>
      </c>
      <c r="W1996" s="27" t="str">
        <f t="shared" si="1084"/>
        <v>-</v>
      </c>
      <c r="X1996" s="27" t="str">
        <f>IFERROR(W1996*H1996,"-")</f>
        <v>-</v>
      </c>
      <c r="Z1996" s="94" t="s">
        <v>82</v>
      </c>
    </row>
    <row r="1997" spans="1:26" s="25" customFormat="1" ht="6.95" customHeight="1" x14ac:dyDescent="0.3">
      <c r="A1997" s="10"/>
      <c r="B1997" s="168"/>
      <c r="C1997" s="169"/>
      <c r="D1997" s="160"/>
      <c r="E1997" s="161"/>
      <c r="F1997" s="162"/>
      <c r="G1997" s="163"/>
      <c r="H1997" s="164"/>
      <c r="I1997" s="163"/>
      <c r="J1997" s="164"/>
      <c r="K1997" s="163"/>
      <c r="L1997" s="164"/>
      <c r="M1997" s="11"/>
      <c r="N1997" s="39"/>
      <c r="Q1997" s="15" t="str">
        <f>+CONCATENATE(E1996,I1996)</f>
        <v/>
      </c>
      <c r="R1997" s="15">
        <f>+J1996</f>
        <v>0</v>
      </c>
      <c r="S1997" s="16"/>
      <c r="T1997" s="15">
        <f>+E1996</f>
        <v>0</v>
      </c>
      <c r="U1997" s="26" t="str">
        <f>IFERROR(LEFT(I1996,FIND("*",I1996)-1),"-")</f>
        <v>-</v>
      </c>
      <c r="V1997" s="26" t="str">
        <f>IFERROR(RIGHT(I1996,LEN(I1996)-FIND("*",I1996)),"-")</f>
        <v>-</v>
      </c>
      <c r="W1997" s="27" t="str">
        <f t="shared" si="1084"/>
        <v>-</v>
      </c>
      <c r="X1997" s="27" t="str">
        <f>IFERROR(W1997*J1996,"-")</f>
        <v>-</v>
      </c>
      <c r="Z1997" s="94" t="s">
        <v>82</v>
      </c>
    </row>
    <row r="1998" spans="1:26" s="25" customFormat="1" ht="6.95" customHeight="1" x14ac:dyDescent="0.3">
      <c r="A1998" s="10"/>
      <c r="B1998" s="168"/>
      <c r="C1998" s="169"/>
      <c r="D1998" s="160"/>
      <c r="E1998" s="161"/>
      <c r="F1998" s="162"/>
      <c r="G1998" s="163"/>
      <c r="H1998" s="164"/>
      <c r="I1998" s="163"/>
      <c r="J1998" s="164"/>
      <c r="K1998" s="163"/>
      <c r="L1998" s="164"/>
      <c r="M1998" s="11"/>
      <c r="N1998" s="39"/>
      <c r="Q1998" s="15" t="str">
        <f>+CONCATENATE(E1996,K1996)</f>
        <v/>
      </c>
      <c r="R1998" s="15">
        <f>+L1996</f>
        <v>0</v>
      </c>
      <c r="S1998" s="16"/>
      <c r="T1998" s="15">
        <f>+E1996</f>
        <v>0</v>
      </c>
      <c r="U1998" s="26" t="str">
        <f>IFERROR(LEFT(K1996,FIND("*",K1996)-1),"-")</f>
        <v>-</v>
      </c>
      <c r="V1998" s="26" t="str">
        <f>IFERROR(RIGHT(K1996,LEN(K1996)-FIND("*",K1996)),"-")</f>
        <v>-</v>
      </c>
      <c r="W1998" s="27" t="str">
        <f t="shared" si="1084"/>
        <v>-</v>
      </c>
      <c r="X1998" s="27" t="str">
        <f>IFERROR(W1998*L1996,"-")</f>
        <v>-</v>
      </c>
      <c r="Z1998" s="94" t="s">
        <v>82</v>
      </c>
    </row>
    <row r="1999" spans="1:26" s="25" customFormat="1" ht="6.95" customHeight="1" x14ac:dyDescent="0.3">
      <c r="A1999" s="13"/>
      <c r="B1999" s="168"/>
      <c r="C1999" s="169"/>
      <c r="D1999" s="160" t="s">
        <v>39</v>
      </c>
      <c r="E1999" s="161"/>
      <c r="F1999" s="162" t="s">
        <v>40</v>
      </c>
      <c r="G1999" s="163"/>
      <c r="H1999" s="164"/>
      <c r="I1999" s="163"/>
      <c r="J1999" s="164"/>
      <c r="K1999" s="163"/>
      <c r="L1999" s="164"/>
      <c r="M1999" s="11"/>
      <c r="N1999" s="39"/>
      <c r="Q1999" s="15" t="str">
        <f>+CONCATENATE(E1999,G1999)</f>
        <v/>
      </c>
      <c r="R1999" s="15">
        <f>+H1999</f>
        <v>0</v>
      </c>
      <c r="S1999" s="16"/>
      <c r="T1999" s="15">
        <f>+E1999</f>
        <v>0</v>
      </c>
      <c r="U1999" s="26" t="str">
        <f t="shared" ref="U1999" si="1087">IFERROR(LEFT(G1999,FIND("*",G1999)-1),"-")</f>
        <v>-</v>
      </c>
      <c r="V1999" s="26" t="str">
        <f t="shared" ref="V1999" si="1088">IFERROR(RIGHT(G1999,LEN(G1999)-FIND("*",G1999)),"-")</f>
        <v>-</v>
      </c>
      <c r="W1999" s="27" t="str">
        <f t="shared" si="1084"/>
        <v>-</v>
      </c>
      <c r="X1999" s="27" t="str">
        <f>IFERROR(W1999*H1999,"-")</f>
        <v>-</v>
      </c>
      <c r="Z1999" s="94" t="s">
        <v>82</v>
      </c>
    </row>
    <row r="2000" spans="1:26" s="25" customFormat="1" ht="6.95" customHeight="1" x14ac:dyDescent="0.3">
      <c r="A2000" s="10"/>
      <c r="B2000" s="168"/>
      <c r="C2000" s="169"/>
      <c r="D2000" s="160"/>
      <c r="E2000" s="161"/>
      <c r="F2000" s="162"/>
      <c r="G2000" s="163"/>
      <c r="H2000" s="164"/>
      <c r="I2000" s="163"/>
      <c r="J2000" s="164"/>
      <c r="K2000" s="163"/>
      <c r="L2000" s="164"/>
      <c r="M2000" s="11"/>
      <c r="N2000" s="39"/>
      <c r="Q2000" s="15" t="str">
        <f>+CONCATENATE(E1999,I1999)</f>
        <v/>
      </c>
      <c r="R2000" s="15">
        <f>+J1999</f>
        <v>0</v>
      </c>
      <c r="S2000" s="16"/>
      <c r="T2000" s="15">
        <f>+E1999</f>
        <v>0</v>
      </c>
      <c r="U2000" s="26" t="str">
        <f>IFERROR(LEFT(I1999,FIND("*",I1999)-1),"-")</f>
        <v>-</v>
      </c>
      <c r="V2000" s="26" t="str">
        <f>IFERROR(RIGHT(I1999,LEN(I1999)-FIND("*",I1999)),"-")</f>
        <v>-</v>
      </c>
      <c r="W2000" s="27" t="str">
        <f t="shared" si="1084"/>
        <v>-</v>
      </c>
      <c r="X2000" s="27" t="str">
        <f t="shared" ref="X2000" si="1089">IFERROR(W2000*J1999,"-")</f>
        <v>-</v>
      </c>
      <c r="Z2000" s="94" t="s">
        <v>82</v>
      </c>
    </row>
    <row r="2001" spans="1:26" s="25" customFormat="1" ht="6.95" customHeight="1" x14ac:dyDescent="0.3">
      <c r="A2001" s="10"/>
      <c r="B2001" s="168"/>
      <c r="C2001" s="169"/>
      <c r="D2001" s="160"/>
      <c r="E2001" s="161"/>
      <c r="F2001" s="162"/>
      <c r="G2001" s="163"/>
      <c r="H2001" s="164"/>
      <c r="I2001" s="163"/>
      <c r="J2001" s="164"/>
      <c r="K2001" s="163"/>
      <c r="L2001" s="164"/>
      <c r="M2001" s="11"/>
      <c r="N2001" s="39"/>
      <c r="Q2001" s="15" t="str">
        <f>+CONCATENATE(E1999,K1999)</f>
        <v/>
      </c>
      <c r="R2001" s="15">
        <f>+L1999</f>
        <v>0</v>
      </c>
      <c r="S2001" s="16"/>
      <c r="T2001" s="15">
        <f>+E1999</f>
        <v>0</v>
      </c>
      <c r="U2001" s="26" t="str">
        <f>IFERROR(LEFT(K1999,FIND("*",K1999)-1),"-")</f>
        <v>-</v>
      </c>
      <c r="V2001" s="26" t="str">
        <f>IFERROR(RIGHT(K1999,LEN(K1999)-FIND("*",K1999)),"-")</f>
        <v>-</v>
      </c>
      <c r="W2001" s="27" t="str">
        <f t="shared" si="1084"/>
        <v>-</v>
      </c>
      <c r="X2001" s="27" t="str">
        <f>IFERROR(W2001*L1999,"-")</f>
        <v>-</v>
      </c>
      <c r="Z2001" s="94" t="s">
        <v>82</v>
      </c>
    </row>
    <row r="2002" spans="1:26" s="25" customFormat="1" ht="21" customHeight="1" thickBot="1" x14ac:dyDescent="0.35">
      <c r="A2002" s="10"/>
      <c r="B2002" s="170"/>
      <c r="C2002" s="171"/>
      <c r="D2002" s="172" t="s">
        <v>43</v>
      </c>
      <c r="E2002" s="173"/>
      <c r="F2002" s="173"/>
      <c r="G2002" s="174"/>
      <c r="H2002" s="174"/>
      <c r="I2002" s="174"/>
      <c r="J2002" s="174"/>
      <c r="K2002" s="174"/>
      <c r="L2002" s="174"/>
      <c r="M2002" s="12"/>
      <c r="N2002" s="39"/>
      <c r="U2002" s="23"/>
      <c r="V2002" s="23"/>
      <c r="Z2002" s="95" t="s">
        <v>81</v>
      </c>
    </row>
    <row r="2003" spans="1:26" s="25" customFormat="1" ht="9.9499999999999993" customHeight="1" thickBot="1" x14ac:dyDescent="0.35">
      <c r="A2003" s="6"/>
      <c r="B2003" s="14"/>
      <c r="C2003" s="119"/>
      <c r="D2003" s="58"/>
      <c r="E2003" s="17"/>
      <c r="F2003" s="58"/>
      <c r="G2003" s="19"/>
      <c r="H2003" s="19"/>
      <c r="I2003" s="19"/>
      <c r="J2003" s="19"/>
      <c r="K2003" s="19"/>
      <c r="L2003" s="19"/>
      <c r="M2003" s="14"/>
      <c r="N2003" s="39"/>
      <c r="Q2003" s="1"/>
      <c r="R2003" s="1"/>
      <c r="S2003" s="1"/>
      <c r="T2003" s="1"/>
      <c r="U2003" s="24"/>
      <c r="V2003" s="24"/>
      <c r="W2003" s="1"/>
      <c r="X2003" s="1"/>
      <c r="Z2003" s="94" t="s">
        <v>82</v>
      </c>
    </row>
    <row r="2004" spans="1:26" s="25" customFormat="1" ht="6.95" customHeight="1" x14ac:dyDescent="0.3">
      <c r="A2004" s="165">
        <f>+A1993+1</f>
        <v>183</v>
      </c>
      <c r="B2004" s="166"/>
      <c r="C2004" s="167"/>
      <c r="D2004" s="160" t="s">
        <v>39</v>
      </c>
      <c r="E2004" s="161"/>
      <c r="F2004" s="162" t="s">
        <v>40</v>
      </c>
      <c r="G2004" s="163"/>
      <c r="H2004" s="164"/>
      <c r="I2004" s="163"/>
      <c r="J2004" s="164"/>
      <c r="K2004" s="163"/>
      <c r="L2004" s="164"/>
      <c r="M2004" s="11"/>
      <c r="N2004" s="39"/>
      <c r="Q2004" s="15" t="str">
        <f>+CONCATENATE(E2004,G2004)</f>
        <v/>
      </c>
      <c r="R2004" s="15">
        <f>+H2004</f>
        <v>0</v>
      </c>
      <c r="S2004" s="16"/>
      <c r="T2004" s="15">
        <f>+E2004</f>
        <v>0</v>
      </c>
      <c r="U2004" s="26" t="str">
        <f>IFERROR(LEFT(G2004,FIND("*",G2004)-1),"-")</f>
        <v>-</v>
      </c>
      <c r="V2004" s="26" t="str">
        <f>IFERROR(RIGHT(G2004,LEN(G2004)-FIND("*",G2004)),"-")</f>
        <v>-</v>
      </c>
      <c r="W2004" s="27" t="str">
        <f>IFERROR((U2004+V2004)*2/1000,"-")</f>
        <v>-</v>
      </c>
      <c r="X2004" s="27" t="str">
        <f>IFERROR(W2004*H2004,"-")</f>
        <v>-</v>
      </c>
      <c r="Z2004" s="94" t="s">
        <v>82</v>
      </c>
    </row>
    <row r="2005" spans="1:26" s="25" customFormat="1" ht="6.95" customHeight="1" x14ac:dyDescent="0.3">
      <c r="A2005" s="165"/>
      <c r="B2005" s="168"/>
      <c r="C2005" s="169"/>
      <c r="D2005" s="160"/>
      <c r="E2005" s="161"/>
      <c r="F2005" s="162"/>
      <c r="G2005" s="163"/>
      <c r="H2005" s="164"/>
      <c r="I2005" s="163"/>
      <c r="J2005" s="164"/>
      <c r="K2005" s="163"/>
      <c r="L2005" s="164"/>
      <c r="M2005" s="11"/>
      <c r="N2005" s="39"/>
      <c r="Q2005" s="15" t="str">
        <f>+CONCATENATE(E2004,I2004)</f>
        <v/>
      </c>
      <c r="R2005" s="15">
        <f>+J2004</f>
        <v>0</v>
      </c>
      <c r="S2005" s="16"/>
      <c r="T2005" s="15">
        <f>+E2004</f>
        <v>0</v>
      </c>
      <c r="U2005" s="26" t="str">
        <f>IFERROR(LEFT(I2004,FIND("*",I2004)-1),"-")</f>
        <v>-</v>
      </c>
      <c r="V2005" s="26" t="str">
        <f>IFERROR(RIGHT(I2004,LEN(I2004)-FIND("*",I2004)),"-")</f>
        <v>-</v>
      </c>
      <c r="W2005" s="27" t="str">
        <f t="shared" ref="W2005:W2012" si="1090">IFERROR((U2005+V2005)*2/1000,"-")</f>
        <v>-</v>
      </c>
      <c r="X2005" s="27" t="str">
        <f>IFERROR(W2005*J2004,"-")</f>
        <v>-</v>
      </c>
      <c r="Z2005" s="94" t="s">
        <v>82</v>
      </c>
    </row>
    <row r="2006" spans="1:26" s="25" customFormat="1" ht="6.95" customHeight="1" x14ac:dyDescent="0.3">
      <c r="A2006" s="165"/>
      <c r="B2006" s="168"/>
      <c r="C2006" s="169"/>
      <c r="D2006" s="160"/>
      <c r="E2006" s="161"/>
      <c r="F2006" s="162"/>
      <c r="G2006" s="163"/>
      <c r="H2006" s="164"/>
      <c r="I2006" s="163"/>
      <c r="J2006" s="164"/>
      <c r="K2006" s="163"/>
      <c r="L2006" s="164"/>
      <c r="M2006" s="11"/>
      <c r="N2006" s="39"/>
      <c r="Q2006" s="15" t="str">
        <f>+CONCATENATE(E2004,K2004)</f>
        <v/>
      </c>
      <c r="R2006" s="15">
        <f>+L2004</f>
        <v>0</v>
      </c>
      <c r="S2006" s="16"/>
      <c r="T2006" s="15">
        <f>+E2004</f>
        <v>0</v>
      </c>
      <c r="U2006" s="26" t="str">
        <f>IFERROR(LEFT(K2004,FIND("*",K2004)-1),"-")</f>
        <v>-</v>
      </c>
      <c r="V2006" s="26" t="str">
        <f>IFERROR(RIGHT(K2004,LEN(K2004)-FIND("*",K2004)),"-")</f>
        <v>-</v>
      </c>
      <c r="W2006" s="27" t="str">
        <f t="shared" si="1090"/>
        <v>-</v>
      </c>
      <c r="X2006" s="27" t="str">
        <f>IFERROR(W2006*L2004,"-")</f>
        <v>-</v>
      </c>
      <c r="Z2006" s="94" t="s">
        <v>82</v>
      </c>
    </row>
    <row r="2007" spans="1:26" s="25" customFormat="1" ht="6.95" customHeight="1" x14ac:dyDescent="0.3">
      <c r="A2007" s="13"/>
      <c r="B2007" s="168"/>
      <c r="C2007" s="169"/>
      <c r="D2007" s="160" t="s">
        <v>39</v>
      </c>
      <c r="E2007" s="161"/>
      <c r="F2007" s="162" t="s">
        <v>40</v>
      </c>
      <c r="G2007" s="163"/>
      <c r="H2007" s="164"/>
      <c r="I2007" s="163"/>
      <c r="J2007" s="164"/>
      <c r="K2007" s="163"/>
      <c r="L2007" s="164"/>
      <c r="M2007" s="11"/>
      <c r="N2007" s="39"/>
      <c r="Q2007" s="15" t="str">
        <f>+CONCATENATE(E2007,G2007)</f>
        <v/>
      </c>
      <c r="R2007" s="15">
        <f>+H2007</f>
        <v>0</v>
      </c>
      <c r="S2007" s="16"/>
      <c r="T2007" s="15">
        <f>+E2007</f>
        <v>0</v>
      </c>
      <c r="U2007" s="26" t="str">
        <f t="shared" ref="U2007" si="1091">IFERROR(LEFT(G2007,FIND("*",G2007)-1),"-")</f>
        <v>-</v>
      </c>
      <c r="V2007" s="26" t="str">
        <f t="shared" ref="V2007" si="1092">IFERROR(RIGHT(G2007,LEN(G2007)-FIND("*",G2007)),"-")</f>
        <v>-</v>
      </c>
      <c r="W2007" s="27" t="str">
        <f t="shared" si="1090"/>
        <v>-</v>
      </c>
      <c r="X2007" s="27" t="str">
        <f>IFERROR(W2007*H2007,"-")</f>
        <v>-</v>
      </c>
      <c r="Z2007" s="94" t="s">
        <v>82</v>
      </c>
    </row>
    <row r="2008" spans="1:26" s="25" customFormat="1" ht="6.95" customHeight="1" x14ac:dyDescent="0.3">
      <c r="A2008" s="10"/>
      <c r="B2008" s="168"/>
      <c r="C2008" s="169"/>
      <c r="D2008" s="160"/>
      <c r="E2008" s="161"/>
      <c r="F2008" s="162"/>
      <c r="G2008" s="163"/>
      <c r="H2008" s="164"/>
      <c r="I2008" s="163"/>
      <c r="J2008" s="164"/>
      <c r="K2008" s="163"/>
      <c r="L2008" s="164"/>
      <c r="M2008" s="11"/>
      <c r="N2008" s="39"/>
      <c r="Q2008" s="15" t="str">
        <f>+CONCATENATE(E2007,I2007)</f>
        <v/>
      </c>
      <c r="R2008" s="15">
        <f>+J2007</f>
        <v>0</v>
      </c>
      <c r="S2008" s="16"/>
      <c r="T2008" s="15">
        <f>+E2007</f>
        <v>0</v>
      </c>
      <c r="U2008" s="26" t="str">
        <f>IFERROR(LEFT(I2007,FIND("*",I2007)-1),"-")</f>
        <v>-</v>
      </c>
      <c r="V2008" s="26" t="str">
        <f>IFERROR(RIGHT(I2007,LEN(I2007)-FIND("*",I2007)),"-")</f>
        <v>-</v>
      </c>
      <c r="W2008" s="27" t="str">
        <f t="shared" si="1090"/>
        <v>-</v>
      </c>
      <c r="X2008" s="27" t="str">
        <f>IFERROR(W2008*J2007,"-")</f>
        <v>-</v>
      </c>
      <c r="Z2008" s="94" t="s">
        <v>82</v>
      </c>
    </row>
    <row r="2009" spans="1:26" s="25" customFormat="1" ht="6.95" customHeight="1" x14ac:dyDescent="0.3">
      <c r="A2009" s="10"/>
      <c r="B2009" s="168"/>
      <c r="C2009" s="169"/>
      <c r="D2009" s="160"/>
      <c r="E2009" s="161"/>
      <c r="F2009" s="162"/>
      <c r="G2009" s="163"/>
      <c r="H2009" s="164"/>
      <c r="I2009" s="163"/>
      <c r="J2009" s="164"/>
      <c r="K2009" s="163"/>
      <c r="L2009" s="164"/>
      <c r="M2009" s="11"/>
      <c r="N2009" s="39"/>
      <c r="Q2009" s="15" t="str">
        <f>+CONCATENATE(E2007,K2007)</f>
        <v/>
      </c>
      <c r="R2009" s="15">
        <f>+L2007</f>
        <v>0</v>
      </c>
      <c r="S2009" s="16"/>
      <c r="T2009" s="15">
        <f>+E2007</f>
        <v>0</v>
      </c>
      <c r="U2009" s="26" t="str">
        <f>IFERROR(LEFT(K2007,FIND("*",K2007)-1),"-")</f>
        <v>-</v>
      </c>
      <c r="V2009" s="26" t="str">
        <f>IFERROR(RIGHT(K2007,LEN(K2007)-FIND("*",K2007)),"-")</f>
        <v>-</v>
      </c>
      <c r="W2009" s="27" t="str">
        <f t="shared" si="1090"/>
        <v>-</v>
      </c>
      <c r="X2009" s="27" t="str">
        <f>IFERROR(W2009*L2007,"-")</f>
        <v>-</v>
      </c>
      <c r="Z2009" s="94" t="s">
        <v>82</v>
      </c>
    </row>
    <row r="2010" spans="1:26" s="25" customFormat="1" ht="6.95" customHeight="1" x14ac:dyDescent="0.3">
      <c r="A2010" s="13"/>
      <c r="B2010" s="168"/>
      <c r="C2010" s="169"/>
      <c r="D2010" s="160" t="s">
        <v>39</v>
      </c>
      <c r="E2010" s="161"/>
      <c r="F2010" s="162" t="s">
        <v>40</v>
      </c>
      <c r="G2010" s="163"/>
      <c r="H2010" s="164"/>
      <c r="I2010" s="163"/>
      <c r="J2010" s="164"/>
      <c r="K2010" s="163"/>
      <c r="L2010" s="164"/>
      <c r="M2010" s="11"/>
      <c r="N2010" s="39"/>
      <c r="Q2010" s="15" t="str">
        <f>+CONCATENATE(E2010,G2010)</f>
        <v/>
      </c>
      <c r="R2010" s="15">
        <f>+H2010</f>
        <v>0</v>
      </c>
      <c r="S2010" s="16"/>
      <c r="T2010" s="15">
        <f>+E2010</f>
        <v>0</v>
      </c>
      <c r="U2010" s="26" t="str">
        <f t="shared" ref="U2010" si="1093">IFERROR(LEFT(G2010,FIND("*",G2010)-1),"-")</f>
        <v>-</v>
      </c>
      <c r="V2010" s="26" t="str">
        <f t="shared" ref="V2010" si="1094">IFERROR(RIGHT(G2010,LEN(G2010)-FIND("*",G2010)),"-")</f>
        <v>-</v>
      </c>
      <c r="W2010" s="27" t="str">
        <f t="shared" si="1090"/>
        <v>-</v>
      </c>
      <c r="X2010" s="27" t="str">
        <f>IFERROR(W2010*H2010,"-")</f>
        <v>-</v>
      </c>
      <c r="Z2010" s="94" t="s">
        <v>82</v>
      </c>
    </row>
    <row r="2011" spans="1:26" s="25" customFormat="1" ht="6.95" customHeight="1" x14ac:dyDescent="0.3">
      <c r="A2011" s="10"/>
      <c r="B2011" s="168"/>
      <c r="C2011" s="169"/>
      <c r="D2011" s="160"/>
      <c r="E2011" s="161"/>
      <c r="F2011" s="162"/>
      <c r="G2011" s="163"/>
      <c r="H2011" s="164"/>
      <c r="I2011" s="163"/>
      <c r="J2011" s="164"/>
      <c r="K2011" s="163"/>
      <c r="L2011" s="164"/>
      <c r="M2011" s="11"/>
      <c r="N2011" s="39"/>
      <c r="Q2011" s="15" t="str">
        <f>+CONCATENATE(E2010,I2010)</f>
        <v/>
      </c>
      <c r="R2011" s="15">
        <f>+J2010</f>
        <v>0</v>
      </c>
      <c r="S2011" s="16"/>
      <c r="T2011" s="15">
        <f>+E2010</f>
        <v>0</v>
      </c>
      <c r="U2011" s="26" t="str">
        <f>IFERROR(LEFT(I2010,FIND("*",I2010)-1),"-")</f>
        <v>-</v>
      </c>
      <c r="V2011" s="26" t="str">
        <f>IFERROR(RIGHT(I2010,LEN(I2010)-FIND("*",I2010)),"-")</f>
        <v>-</v>
      </c>
      <c r="W2011" s="27" t="str">
        <f t="shared" si="1090"/>
        <v>-</v>
      </c>
      <c r="X2011" s="27" t="str">
        <f t="shared" ref="X2011" si="1095">IFERROR(W2011*J2010,"-")</f>
        <v>-</v>
      </c>
      <c r="Z2011" s="94" t="s">
        <v>82</v>
      </c>
    </row>
    <row r="2012" spans="1:26" s="25" customFormat="1" ht="6.95" customHeight="1" x14ac:dyDescent="0.3">
      <c r="A2012" s="10"/>
      <c r="B2012" s="168"/>
      <c r="C2012" s="169"/>
      <c r="D2012" s="160"/>
      <c r="E2012" s="161"/>
      <c r="F2012" s="162"/>
      <c r="G2012" s="163"/>
      <c r="H2012" s="164"/>
      <c r="I2012" s="163"/>
      <c r="J2012" s="164"/>
      <c r="K2012" s="163"/>
      <c r="L2012" s="164"/>
      <c r="M2012" s="11"/>
      <c r="N2012" s="39"/>
      <c r="Q2012" s="15" t="str">
        <f>+CONCATENATE(E2010,K2010)</f>
        <v/>
      </c>
      <c r="R2012" s="15">
        <f>+L2010</f>
        <v>0</v>
      </c>
      <c r="S2012" s="16"/>
      <c r="T2012" s="15">
        <f>+E2010</f>
        <v>0</v>
      </c>
      <c r="U2012" s="26" t="str">
        <f>IFERROR(LEFT(K2010,FIND("*",K2010)-1),"-")</f>
        <v>-</v>
      </c>
      <c r="V2012" s="26" t="str">
        <f>IFERROR(RIGHT(K2010,LEN(K2010)-FIND("*",K2010)),"-")</f>
        <v>-</v>
      </c>
      <c r="W2012" s="27" t="str">
        <f t="shared" si="1090"/>
        <v>-</v>
      </c>
      <c r="X2012" s="27" t="str">
        <f>IFERROR(W2012*L2010,"-")</f>
        <v>-</v>
      </c>
      <c r="Z2012" s="94" t="s">
        <v>82</v>
      </c>
    </row>
    <row r="2013" spans="1:26" s="25" customFormat="1" ht="21" customHeight="1" thickBot="1" x14ac:dyDescent="0.35">
      <c r="A2013" s="10"/>
      <c r="B2013" s="170"/>
      <c r="C2013" s="171"/>
      <c r="D2013" s="172" t="s">
        <v>43</v>
      </c>
      <c r="E2013" s="173"/>
      <c r="F2013" s="173"/>
      <c r="G2013" s="174"/>
      <c r="H2013" s="174"/>
      <c r="I2013" s="174"/>
      <c r="J2013" s="174"/>
      <c r="K2013" s="174"/>
      <c r="L2013" s="174"/>
      <c r="M2013" s="12"/>
      <c r="N2013" s="39"/>
      <c r="U2013" s="23"/>
      <c r="V2013" s="23"/>
      <c r="Z2013" s="95" t="s">
        <v>81</v>
      </c>
    </row>
    <row r="2014" spans="1:26" s="25" customFormat="1" ht="9.9499999999999993" customHeight="1" thickBot="1" x14ac:dyDescent="0.35">
      <c r="A2014" s="6"/>
      <c r="B2014" s="14"/>
      <c r="C2014" s="119"/>
      <c r="D2014" s="58"/>
      <c r="E2014" s="17"/>
      <c r="F2014" s="58"/>
      <c r="G2014" s="19"/>
      <c r="H2014" s="19"/>
      <c r="I2014" s="19"/>
      <c r="J2014" s="19"/>
      <c r="K2014" s="19"/>
      <c r="L2014" s="19"/>
      <c r="M2014" s="14"/>
      <c r="N2014" s="39"/>
      <c r="Q2014" s="1"/>
      <c r="R2014" s="1"/>
      <c r="S2014" s="1"/>
      <c r="T2014" s="1"/>
      <c r="U2014" s="24"/>
      <c r="V2014" s="24"/>
      <c r="W2014" s="1"/>
      <c r="X2014" s="1"/>
      <c r="Z2014" s="94" t="s">
        <v>82</v>
      </c>
    </row>
    <row r="2015" spans="1:26" s="25" customFormat="1" ht="6.95" customHeight="1" x14ac:dyDescent="0.3">
      <c r="A2015" s="165">
        <f>+A2004+1</f>
        <v>184</v>
      </c>
      <c r="B2015" s="166"/>
      <c r="C2015" s="167"/>
      <c r="D2015" s="160" t="s">
        <v>39</v>
      </c>
      <c r="E2015" s="161"/>
      <c r="F2015" s="162" t="s">
        <v>40</v>
      </c>
      <c r="G2015" s="163"/>
      <c r="H2015" s="164"/>
      <c r="I2015" s="163"/>
      <c r="J2015" s="164"/>
      <c r="K2015" s="163"/>
      <c r="L2015" s="164"/>
      <c r="M2015" s="11"/>
      <c r="N2015" s="39"/>
      <c r="Q2015" s="15" t="str">
        <f>+CONCATENATE(E2015,G2015)</f>
        <v/>
      </c>
      <c r="R2015" s="15">
        <f>+H2015</f>
        <v>0</v>
      </c>
      <c r="S2015" s="16"/>
      <c r="T2015" s="15">
        <f>+E2015</f>
        <v>0</v>
      </c>
      <c r="U2015" s="26" t="str">
        <f>IFERROR(LEFT(G2015,FIND("*",G2015)-1),"-")</f>
        <v>-</v>
      </c>
      <c r="V2015" s="26" t="str">
        <f>IFERROR(RIGHT(G2015,LEN(G2015)-FIND("*",G2015)),"-")</f>
        <v>-</v>
      </c>
      <c r="W2015" s="27" t="str">
        <f>IFERROR((U2015+V2015)*2/1000,"-")</f>
        <v>-</v>
      </c>
      <c r="X2015" s="27" t="str">
        <f>IFERROR(W2015*H2015,"-")</f>
        <v>-</v>
      </c>
      <c r="Z2015" s="94" t="s">
        <v>82</v>
      </c>
    </row>
    <row r="2016" spans="1:26" s="25" customFormat="1" ht="6.95" customHeight="1" x14ac:dyDescent="0.3">
      <c r="A2016" s="165"/>
      <c r="B2016" s="168"/>
      <c r="C2016" s="169"/>
      <c r="D2016" s="160"/>
      <c r="E2016" s="161"/>
      <c r="F2016" s="162"/>
      <c r="G2016" s="163"/>
      <c r="H2016" s="164"/>
      <c r="I2016" s="163"/>
      <c r="J2016" s="164"/>
      <c r="K2016" s="163"/>
      <c r="L2016" s="164"/>
      <c r="M2016" s="11"/>
      <c r="N2016" s="39"/>
      <c r="Q2016" s="15" t="str">
        <f>+CONCATENATE(E2015,I2015)</f>
        <v/>
      </c>
      <c r="R2016" s="15">
        <f>+J2015</f>
        <v>0</v>
      </c>
      <c r="S2016" s="16"/>
      <c r="T2016" s="15">
        <f>+E2015</f>
        <v>0</v>
      </c>
      <c r="U2016" s="26" t="str">
        <f>IFERROR(LEFT(I2015,FIND("*",I2015)-1),"-")</f>
        <v>-</v>
      </c>
      <c r="V2016" s="26" t="str">
        <f>IFERROR(RIGHT(I2015,LEN(I2015)-FIND("*",I2015)),"-")</f>
        <v>-</v>
      </c>
      <c r="W2016" s="27" t="str">
        <f t="shared" ref="W2016:W2023" si="1096">IFERROR((U2016+V2016)*2/1000,"-")</f>
        <v>-</v>
      </c>
      <c r="X2016" s="27" t="str">
        <f>IFERROR(W2016*J2015,"-")</f>
        <v>-</v>
      </c>
      <c r="Z2016" s="94" t="s">
        <v>82</v>
      </c>
    </row>
    <row r="2017" spans="1:26" s="25" customFormat="1" ht="6.95" customHeight="1" x14ac:dyDescent="0.3">
      <c r="A2017" s="165"/>
      <c r="B2017" s="168"/>
      <c r="C2017" s="169"/>
      <c r="D2017" s="160"/>
      <c r="E2017" s="161"/>
      <c r="F2017" s="162"/>
      <c r="G2017" s="163"/>
      <c r="H2017" s="164"/>
      <c r="I2017" s="163"/>
      <c r="J2017" s="164"/>
      <c r="K2017" s="163"/>
      <c r="L2017" s="164"/>
      <c r="M2017" s="11"/>
      <c r="N2017" s="39"/>
      <c r="Q2017" s="15" t="str">
        <f>+CONCATENATE(E2015,K2015)</f>
        <v/>
      </c>
      <c r="R2017" s="15">
        <f>+L2015</f>
        <v>0</v>
      </c>
      <c r="S2017" s="16"/>
      <c r="T2017" s="15">
        <f>+E2015</f>
        <v>0</v>
      </c>
      <c r="U2017" s="26" t="str">
        <f>IFERROR(LEFT(K2015,FIND("*",K2015)-1),"-")</f>
        <v>-</v>
      </c>
      <c r="V2017" s="26" t="str">
        <f>IFERROR(RIGHT(K2015,LEN(K2015)-FIND("*",K2015)),"-")</f>
        <v>-</v>
      </c>
      <c r="W2017" s="27" t="str">
        <f t="shared" si="1096"/>
        <v>-</v>
      </c>
      <c r="X2017" s="27" t="str">
        <f>IFERROR(W2017*L2015,"-")</f>
        <v>-</v>
      </c>
      <c r="Z2017" s="94" t="s">
        <v>82</v>
      </c>
    </row>
    <row r="2018" spans="1:26" s="25" customFormat="1" ht="6.95" customHeight="1" x14ac:dyDescent="0.3">
      <c r="A2018" s="13"/>
      <c r="B2018" s="168"/>
      <c r="C2018" s="169"/>
      <c r="D2018" s="160" t="s">
        <v>39</v>
      </c>
      <c r="E2018" s="161"/>
      <c r="F2018" s="162" t="s">
        <v>40</v>
      </c>
      <c r="G2018" s="163"/>
      <c r="H2018" s="164"/>
      <c r="I2018" s="163"/>
      <c r="J2018" s="164"/>
      <c r="K2018" s="163"/>
      <c r="L2018" s="164"/>
      <c r="M2018" s="11"/>
      <c r="N2018" s="39"/>
      <c r="Q2018" s="15" t="str">
        <f>+CONCATENATE(E2018,G2018)</f>
        <v/>
      </c>
      <c r="R2018" s="15">
        <f>+H2018</f>
        <v>0</v>
      </c>
      <c r="S2018" s="16"/>
      <c r="T2018" s="15">
        <f>+E2018</f>
        <v>0</v>
      </c>
      <c r="U2018" s="26" t="str">
        <f t="shared" ref="U2018" si="1097">IFERROR(LEFT(G2018,FIND("*",G2018)-1),"-")</f>
        <v>-</v>
      </c>
      <c r="V2018" s="26" t="str">
        <f t="shared" ref="V2018" si="1098">IFERROR(RIGHT(G2018,LEN(G2018)-FIND("*",G2018)),"-")</f>
        <v>-</v>
      </c>
      <c r="W2018" s="27" t="str">
        <f t="shared" si="1096"/>
        <v>-</v>
      </c>
      <c r="X2018" s="27" t="str">
        <f>IFERROR(W2018*H2018,"-")</f>
        <v>-</v>
      </c>
      <c r="Z2018" s="94" t="s">
        <v>82</v>
      </c>
    </row>
    <row r="2019" spans="1:26" s="25" customFormat="1" ht="6.95" customHeight="1" x14ac:dyDescent="0.3">
      <c r="A2019" s="10"/>
      <c r="B2019" s="168"/>
      <c r="C2019" s="169"/>
      <c r="D2019" s="160"/>
      <c r="E2019" s="161"/>
      <c r="F2019" s="162"/>
      <c r="G2019" s="163"/>
      <c r="H2019" s="164"/>
      <c r="I2019" s="163"/>
      <c r="J2019" s="164"/>
      <c r="K2019" s="163"/>
      <c r="L2019" s="164"/>
      <c r="M2019" s="11"/>
      <c r="N2019" s="39"/>
      <c r="Q2019" s="15" t="str">
        <f>+CONCATENATE(E2018,I2018)</f>
        <v/>
      </c>
      <c r="R2019" s="15">
        <f>+J2018</f>
        <v>0</v>
      </c>
      <c r="S2019" s="16"/>
      <c r="T2019" s="15">
        <f>+E2018</f>
        <v>0</v>
      </c>
      <c r="U2019" s="26" t="str">
        <f>IFERROR(LEFT(I2018,FIND("*",I2018)-1),"-")</f>
        <v>-</v>
      </c>
      <c r="V2019" s="26" t="str">
        <f>IFERROR(RIGHT(I2018,LEN(I2018)-FIND("*",I2018)),"-")</f>
        <v>-</v>
      </c>
      <c r="W2019" s="27" t="str">
        <f t="shared" si="1096"/>
        <v>-</v>
      </c>
      <c r="X2019" s="27" t="str">
        <f>IFERROR(W2019*J2018,"-")</f>
        <v>-</v>
      </c>
      <c r="Z2019" s="94" t="s">
        <v>82</v>
      </c>
    </row>
    <row r="2020" spans="1:26" s="25" customFormat="1" ht="6.95" customHeight="1" x14ac:dyDescent="0.3">
      <c r="A2020" s="10"/>
      <c r="B2020" s="168"/>
      <c r="C2020" s="169"/>
      <c r="D2020" s="160"/>
      <c r="E2020" s="161"/>
      <c r="F2020" s="162"/>
      <c r="G2020" s="163"/>
      <c r="H2020" s="164"/>
      <c r="I2020" s="163"/>
      <c r="J2020" s="164"/>
      <c r="K2020" s="163"/>
      <c r="L2020" s="164"/>
      <c r="M2020" s="11"/>
      <c r="N2020" s="39"/>
      <c r="Q2020" s="15" t="str">
        <f>+CONCATENATE(E2018,K2018)</f>
        <v/>
      </c>
      <c r="R2020" s="15">
        <f>+L2018</f>
        <v>0</v>
      </c>
      <c r="S2020" s="16"/>
      <c r="T2020" s="15">
        <f>+E2018</f>
        <v>0</v>
      </c>
      <c r="U2020" s="26" t="str">
        <f>IFERROR(LEFT(K2018,FIND("*",K2018)-1),"-")</f>
        <v>-</v>
      </c>
      <c r="V2020" s="26" t="str">
        <f>IFERROR(RIGHT(K2018,LEN(K2018)-FIND("*",K2018)),"-")</f>
        <v>-</v>
      </c>
      <c r="W2020" s="27" t="str">
        <f t="shared" si="1096"/>
        <v>-</v>
      </c>
      <c r="X2020" s="27" t="str">
        <f>IFERROR(W2020*L2018,"-")</f>
        <v>-</v>
      </c>
      <c r="Z2020" s="94" t="s">
        <v>82</v>
      </c>
    </row>
    <row r="2021" spans="1:26" s="25" customFormat="1" ht="6.95" customHeight="1" x14ac:dyDescent="0.3">
      <c r="A2021" s="13"/>
      <c r="B2021" s="168"/>
      <c r="C2021" s="169"/>
      <c r="D2021" s="160" t="s">
        <v>39</v>
      </c>
      <c r="E2021" s="161"/>
      <c r="F2021" s="162" t="s">
        <v>40</v>
      </c>
      <c r="G2021" s="163"/>
      <c r="H2021" s="164"/>
      <c r="I2021" s="163"/>
      <c r="J2021" s="164"/>
      <c r="K2021" s="163"/>
      <c r="L2021" s="164"/>
      <c r="M2021" s="11"/>
      <c r="N2021" s="39"/>
      <c r="Q2021" s="15" t="str">
        <f>+CONCATENATE(E2021,G2021)</f>
        <v/>
      </c>
      <c r="R2021" s="15">
        <f>+H2021</f>
        <v>0</v>
      </c>
      <c r="S2021" s="16"/>
      <c r="T2021" s="15">
        <f>+E2021</f>
        <v>0</v>
      </c>
      <c r="U2021" s="26" t="str">
        <f t="shared" ref="U2021" si="1099">IFERROR(LEFT(G2021,FIND("*",G2021)-1),"-")</f>
        <v>-</v>
      </c>
      <c r="V2021" s="26" t="str">
        <f t="shared" ref="V2021" si="1100">IFERROR(RIGHT(G2021,LEN(G2021)-FIND("*",G2021)),"-")</f>
        <v>-</v>
      </c>
      <c r="W2021" s="27" t="str">
        <f t="shared" si="1096"/>
        <v>-</v>
      </c>
      <c r="X2021" s="27" t="str">
        <f>IFERROR(W2021*H2021,"-")</f>
        <v>-</v>
      </c>
      <c r="Z2021" s="94" t="s">
        <v>82</v>
      </c>
    </row>
    <row r="2022" spans="1:26" s="25" customFormat="1" ht="6.95" customHeight="1" x14ac:dyDescent="0.3">
      <c r="A2022" s="10"/>
      <c r="B2022" s="168"/>
      <c r="C2022" s="169"/>
      <c r="D2022" s="160"/>
      <c r="E2022" s="161"/>
      <c r="F2022" s="162"/>
      <c r="G2022" s="163"/>
      <c r="H2022" s="164"/>
      <c r="I2022" s="163"/>
      <c r="J2022" s="164"/>
      <c r="K2022" s="163"/>
      <c r="L2022" s="164"/>
      <c r="M2022" s="11"/>
      <c r="N2022" s="39"/>
      <c r="Q2022" s="15" t="str">
        <f>+CONCATENATE(E2021,I2021)</f>
        <v/>
      </c>
      <c r="R2022" s="15">
        <f>+J2021</f>
        <v>0</v>
      </c>
      <c r="S2022" s="16"/>
      <c r="T2022" s="15">
        <f>+E2021</f>
        <v>0</v>
      </c>
      <c r="U2022" s="26" t="str">
        <f>IFERROR(LEFT(I2021,FIND("*",I2021)-1),"-")</f>
        <v>-</v>
      </c>
      <c r="V2022" s="26" t="str">
        <f>IFERROR(RIGHT(I2021,LEN(I2021)-FIND("*",I2021)),"-")</f>
        <v>-</v>
      </c>
      <c r="W2022" s="27" t="str">
        <f t="shared" si="1096"/>
        <v>-</v>
      </c>
      <c r="X2022" s="27" t="str">
        <f t="shared" ref="X2022" si="1101">IFERROR(W2022*J2021,"-")</f>
        <v>-</v>
      </c>
      <c r="Z2022" s="94" t="s">
        <v>82</v>
      </c>
    </row>
    <row r="2023" spans="1:26" s="25" customFormat="1" ht="6.95" customHeight="1" x14ac:dyDescent="0.3">
      <c r="A2023" s="10"/>
      <c r="B2023" s="168"/>
      <c r="C2023" s="169"/>
      <c r="D2023" s="160"/>
      <c r="E2023" s="161"/>
      <c r="F2023" s="162"/>
      <c r="G2023" s="163"/>
      <c r="H2023" s="164"/>
      <c r="I2023" s="163"/>
      <c r="J2023" s="164"/>
      <c r="K2023" s="163"/>
      <c r="L2023" s="164"/>
      <c r="M2023" s="11"/>
      <c r="N2023" s="39"/>
      <c r="Q2023" s="15" t="str">
        <f>+CONCATENATE(E2021,K2021)</f>
        <v/>
      </c>
      <c r="R2023" s="15">
        <f>+L2021</f>
        <v>0</v>
      </c>
      <c r="S2023" s="16"/>
      <c r="T2023" s="15">
        <f>+E2021</f>
        <v>0</v>
      </c>
      <c r="U2023" s="26" t="str">
        <f>IFERROR(LEFT(K2021,FIND("*",K2021)-1),"-")</f>
        <v>-</v>
      </c>
      <c r="V2023" s="26" t="str">
        <f>IFERROR(RIGHT(K2021,LEN(K2021)-FIND("*",K2021)),"-")</f>
        <v>-</v>
      </c>
      <c r="W2023" s="27" t="str">
        <f t="shared" si="1096"/>
        <v>-</v>
      </c>
      <c r="X2023" s="27" t="str">
        <f>IFERROR(W2023*L2021,"-")</f>
        <v>-</v>
      </c>
      <c r="Z2023" s="94" t="s">
        <v>82</v>
      </c>
    </row>
    <row r="2024" spans="1:26" s="25" customFormat="1" ht="21" customHeight="1" thickBot="1" x14ac:dyDescent="0.35">
      <c r="A2024" s="10"/>
      <c r="B2024" s="170"/>
      <c r="C2024" s="171"/>
      <c r="D2024" s="172" t="s">
        <v>43</v>
      </c>
      <c r="E2024" s="173"/>
      <c r="F2024" s="173"/>
      <c r="G2024" s="174"/>
      <c r="H2024" s="174"/>
      <c r="I2024" s="174"/>
      <c r="J2024" s="174"/>
      <c r="K2024" s="174"/>
      <c r="L2024" s="174"/>
      <c r="M2024" s="12"/>
      <c r="N2024" s="39"/>
      <c r="U2024" s="23"/>
      <c r="V2024" s="23"/>
      <c r="Z2024" s="95" t="s">
        <v>81</v>
      </c>
    </row>
    <row r="2025" spans="1:26" s="25" customFormat="1" ht="9.9499999999999993" customHeight="1" thickBot="1" x14ac:dyDescent="0.35">
      <c r="A2025" s="6"/>
      <c r="B2025" s="14"/>
      <c r="C2025" s="119"/>
      <c r="D2025" s="58"/>
      <c r="E2025" s="17"/>
      <c r="F2025" s="58"/>
      <c r="G2025" s="19"/>
      <c r="H2025" s="19"/>
      <c r="I2025" s="19"/>
      <c r="J2025" s="19"/>
      <c r="K2025" s="19"/>
      <c r="L2025" s="19"/>
      <c r="M2025" s="14"/>
      <c r="N2025" s="39"/>
      <c r="Q2025" s="1"/>
      <c r="R2025" s="1"/>
      <c r="S2025" s="1"/>
      <c r="T2025" s="1"/>
      <c r="U2025" s="24"/>
      <c r="V2025" s="24"/>
      <c r="W2025" s="1"/>
      <c r="X2025" s="1"/>
      <c r="Z2025" s="94" t="s">
        <v>82</v>
      </c>
    </row>
    <row r="2026" spans="1:26" s="25" customFormat="1" ht="6.95" customHeight="1" x14ac:dyDescent="0.3">
      <c r="A2026" s="165">
        <f>+A2015+1</f>
        <v>185</v>
      </c>
      <c r="B2026" s="166"/>
      <c r="C2026" s="167"/>
      <c r="D2026" s="160" t="s">
        <v>39</v>
      </c>
      <c r="E2026" s="161"/>
      <c r="F2026" s="162" t="s">
        <v>40</v>
      </c>
      <c r="G2026" s="163"/>
      <c r="H2026" s="164"/>
      <c r="I2026" s="163"/>
      <c r="J2026" s="164"/>
      <c r="K2026" s="163"/>
      <c r="L2026" s="164"/>
      <c r="M2026" s="11"/>
      <c r="N2026" s="39"/>
      <c r="Q2026" s="15" t="str">
        <f>+CONCATENATE(E2026,G2026)</f>
        <v/>
      </c>
      <c r="R2026" s="15">
        <f>+H2026</f>
        <v>0</v>
      </c>
      <c r="S2026" s="16"/>
      <c r="T2026" s="15">
        <f>+E2026</f>
        <v>0</v>
      </c>
      <c r="U2026" s="26" t="str">
        <f>IFERROR(LEFT(G2026,FIND("*",G2026)-1),"-")</f>
        <v>-</v>
      </c>
      <c r="V2026" s="26" t="str">
        <f>IFERROR(RIGHT(G2026,LEN(G2026)-FIND("*",G2026)),"-")</f>
        <v>-</v>
      </c>
      <c r="W2026" s="27" t="str">
        <f>IFERROR((U2026+V2026)*2/1000,"-")</f>
        <v>-</v>
      </c>
      <c r="X2026" s="27" t="str">
        <f>IFERROR(W2026*H2026,"-")</f>
        <v>-</v>
      </c>
      <c r="Z2026" s="94" t="s">
        <v>82</v>
      </c>
    </row>
    <row r="2027" spans="1:26" s="25" customFormat="1" ht="6.95" customHeight="1" x14ac:dyDescent="0.3">
      <c r="A2027" s="165"/>
      <c r="B2027" s="168"/>
      <c r="C2027" s="169"/>
      <c r="D2027" s="160"/>
      <c r="E2027" s="161"/>
      <c r="F2027" s="162"/>
      <c r="G2027" s="163"/>
      <c r="H2027" s="164"/>
      <c r="I2027" s="163"/>
      <c r="J2027" s="164"/>
      <c r="K2027" s="163"/>
      <c r="L2027" s="164"/>
      <c r="M2027" s="11"/>
      <c r="N2027" s="39"/>
      <c r="Q2027" s="15" t="str">
        <f>+CONCATENATE(E2026,I2026)</f>
        <v/>
      </c>
      <c r="R2027" s="15">
        <f>+J2026</f>
        <v>0</v>
      </c>
      <c r="S2027" s="16"/>
      <c r="T2027" s="15">
        <f>+E2026</f>
        <v>0</v>
      </c>
      <c r="U2027" s="26" t="str">
        <f>IFERROR(LEFT(I2026,FIND("*",I2026)-1),"-")</f>
        <v>-</v>
      </c>
      <c r="V2027" s="26" t="str">
        <f>IFERROR(RIGHT(I2026,LEN(I2026)-FIND("*",I2026)),"-")</f>
        <v>-</v>
      </c>
      <c r="W2027" s="27" t="str">
        <f t="shared" ref="W2027:W2034" si="1102">IFERROR((U2027+V2027)*2/1000,"-")</f>
        <v>-</v>
      </c>
      <c r="X2027" s="27" t="str">
        <f>IFERROR(W2027*J2026,"-")</f>
        <v>-</v>
      </c>
      <c r="Z2027" s="94" t="s">
        <v>82</v>
      </c>
    </row>
    <row r="2028" spans="1:26" s="25" customFormat="1" ht="6.95" customHeight="1" x14ac:dyDescent="0.3">
      <c r="A2028" s="165"/>
      <c r="B2028" s="168"/>
      <c r="C2028" s="169"/>
      <c r="D2028" s="160"/>
      <c r="E2028" s="161"/>
      <c r="F2028" s="162"/>
      <c r="G2028" s="163"/>
      <c r="H2028" s="164"/>
      <c r="I2028" s="163"/>
      <c r="J2028" s="164"/>
      <c r="K2028" s="163"/>
      <c r="L2028" s="164"/>
      <c r="M2028" s="11"/>
      <c r="N2028" s="39"/>
      <c r="Q2028" s="15" t="str">
        <f>+CONCATENATE(E2026,K2026)</f>
        <v/>
      </c>
      <c r="R2028" s="15">
        <f>+L2026</f>
        <v>0</v>
      </c>
      <c r="S2028" s="16"/>
      <c r="T2028" s="15">
        <f>+E2026</f>
        <v>0</v>
      </c>
      <c r="U2028" s="26" t="str">
        <f>IFERROR(LEFT(K2026,FIND("*",K2026)-1),"-")</f>
        <v>-</v>
      </c>
      <c r="V2028" s="26" t="str">
        <f>IFERROR(RIGHT(K2026,LEN(K2026)-FIND("*",K2026)),"-")</f>
        <v>-</v>
      </c>
      <c r="W2028" s="27" t="str">
        <f t="shared" si="1102"/>
        <v>-</v>
      </c>
      <c r="X2028" s="27" t="str">
        <f>IFERROR(W2028*L2026,"-")</f>
        <v>-</v>
      </c>
      <c r="Z2028" s="94" t="s">
        <v>82</v>
      </c>
    </row>
    <row r="2029" spans="1:26" s="25" customFormat="1" ht="6.95" customHeight="1" x14ac:dyDescent="0.3">
      <c r="A2029" s="13"/>
      <c r="B2029" s="168"/>
      <c r="C2029" s="169"/>
      <c r="D2029" s="160" t="s">
        <v>39</v>
      </c>
      <c r="E2029" s="161"/>
      <c r="F2029" s="162" t="s">
        <v>40</v>
      </c>
      <c r="G2029" s="163"/>
      <c r="H2029" s="164"/>
      <c r="I2029" s="163"/>
      <c r="J2029" s="164"/>
      <c r="K2029" s="163"/>
      <c r="L2029" s="164"/>
      <c r="M2029" s="11"/>
      <c r="N2029" s="39"/>
      <c r="Q2029" s="15" t="str">
        <f>+CONCATENATE(E2029,G2029)</f>
        <v/>
      </c>
      <c r="R2029" s="15">
        <f>+H2029</f>
        <v>0</v>
      </c>
      <c r="S2029" s="16"/>
      <c r="T2029" s="15">
        <f>+E2029</f>
        <v>0</v>
      </c>
      <c r="U2029" s="26" t="str">
        <f t="shared" ref="U2029" si="1103">IFERROR(LEFT(G2029,FIND("*",G2029)-1),"-")</f>
        <v>-</v>
      </c>
      <c r="V2029" s="26" t="str">
        <f t="shared" ref="V2029" si="1104">IFERROR(RIGHT(G2029,LEN(G2029)-FIND("*",G2029)),"-")</f>
        <v>-</v>
      </c>
      <c r="W2029" s="27" t="str">
        <f t="shared" si="1102"/>
        <v>-</v>
      </c>
      <c r="X2029" s="27" t="str">
        <f>IFERROR(W2029*H2029,"-")</f>
        <v>-</v>
      </c>
      <c r="Z2029" s="94" t="s">
        <v>82</v>
      </c>
    </row>
    <row r="2030" spans="1:26" s="25" customFormat="1" ht="6.95" customHeight="1" x14ac:dyDescent="0.3">
      <c r="A2030" s="10"/>
      <c r="B2030" s="168"/>
      <c r="C2030" s="169"/>
      <c r="D2030" s="160"/>
      <c r="E2030" s="161"/>
      <c r="F2030" s="162"/>
      <c r="G2030" s="163"/>
      <c r="H2030" s="164"/>
      <c r="I2030" s="163"/>
      <c r="J2030" s="164"/>
      <c r="K2030" s="163"/>
      <c r="L2030" s="164"/>
      <c r="M2030" s="11"/>
      <c r="N2030" s="39"/>
      <c r="Q2030" s="15" t="str">
        <f>+CONCATENATE(E2029,I2029)</f>
        <v/>
      </c>
      <c r="R2030" s="15">
        <f>+J2029</f>
        <v>0</v>
      </c>
      <c r="S2030" s="16"/>
      <c r="T2030" s="15">
        <f>+E2029</f>
        <v>0</v>
      </c>
      <c r="U2030" s="26" t="str">
        <f>IFERROR(LEFT(I2029,FIND("*",I2029)-1),"-")</f>
        <v>-</v>
      </c>
      <c r="V2030" s="26" t="str">
        <f>IFERROR(RIGHT(I2029,LEN(I2029)-FIND("*",I2029)),"-")</f>
        <v>-</v>
      </c>
      <c r="W2030" s="27" t="str">
        <f t="shared" si="1102"/>
        <v>-</v>
      </c>
      <c r="X2030" s="27" t="str">
        <f>IFERROR(W2030*J2029,"-")</f>
        <v>-</v>
      </c>
      <c r="Z2030" s="94" t="s">
        <v>82</v>
      </c>
    </row>
    <row r="2031" spans="1:26" s="25" customFormat="1" ht="6.95" customHeight="1" x14ac:dyDescent="0.3">
      <c r="A2031" s="10"/>
      <c r="B2031" s="168"/>
      <c r="C2031" s="169"/>
      <c r="D2031" s="160"/>
      <c r="E2031" s="161"/>
      <c r="F2031" s="162"/>
      <c r="G2031" s="163"/>
      <c r="H2031" s="164"/>
      <c r="I2031" s="163"/>
      <c r="J2031" s="164"/>
      <c r="K2031" s="163"/>
      <c r="L2031" s="164"/>
      <c r="M2031" s="11"/>
      <c r="N2031" s="39"/>
      <c r="Q2031" s="15" t="str">
        <f>+CONCATENATE(E2029,K2029)</f>
        <v/>
      </c>
      <c r="R2031" s="15">
        <f>+L2029</f>
        <v>0</v>
      </c>
      <c r="S2031" s="16"/>
      <c r="T2031" s="15">
        <f>+E2029</f>
        <v>0</v>
      </c>
      <c r="U2031" s="26" t="str">
        <f>IFERROR(LEFT(K2029,FIND("*",K2029)-1),"-")</f>
        <v>-</v>
      </c>
      <c r="V2031" s="26" t="str">
        <f>IFERROR(RIGHT(K2029,LEN(K2029)-FIND("*",K2029)),"-")</f>
        <v>-</v>
      </c>
      <c r="W2031" s="27" t="str">
        <f t="shared" si="1102"/>
        <v>-</v>
      </c>
      <c r="X2031" s="27" t="str">
        <f>IFERROR(W2031*L2029,"-")</f>
        <v>-</v>
      </c>
      <c r="Z2031" s="94" t="s">
        <v>82</v>
      </c>
    </row>
    <row r="2032" spans="1:26" s="25" customFormat="1" ht="6.95" customHeight="1" x14ac:dyDescent="0.3">
      <c r="A2032" s="13"/>
      <c r="B2032" s="168"/>
      <c r="C2032" s="169"/>
      <c r="D2032" s="160" t="s">
        <v>39</v>
      </c>
      <c r="E2032" s="161"/>
      <c r="F2032" s="162" t="s">
        <v>40</v>
      </c>
      <c r="G2032" s="163"/>
      <c r="H2032" s="164"/>
      <c r="I2032" s="163"/>
      <c r="J2032" s="164"/>
      <c r="K2032" s="163"/>
      <c r="L2032" s="164"/>
      <c r="M2032" s="11"/>
      <c r="N2032" s="39"/>
      <c r="Q2032" s="15" t="str">
        <f>+CONCATENATE(E2032,G2032)</f>
        <v/>
      </c>
      <c r="R2032" s="15">
        <f>+H2032</f>
        <v>0</v>
      </c>
      <c r="S2032" s="16"/>
      <c r="T2032" s="15">
        <f>+E2032</f>
        <v>0</v>
      </c>
      <c r="U2032" s="26" t="str">
        <f t="shared" ref="U2032" si="1105">IFERROR(LEFT(G2032,FIND("*",G2032)-1),"-")</f>
        <v>-</v>
      </c>
      <c r="V2032" s="26" t="str">
        <f t="shared" ref="V2032" si="1106">IFERROR(RIGHT(G2032,LEN(G2032)-FIND("*",G2032)),"-")</f>
        <v>-</v>
      </c>
      <c r="W2032" s="27" t="str">
        <f t="shared" si="1102"/>
        <v>-</v>
      </c>
      <c r="X2032" s="27" t="str">
        <f>IFERROR(W2032*H2032,"-")</f>
        <v>-</v>
      </c>
      <c r="Z2032" s="94" t="s">
        <v>82</v>
      </c>
    </row>
    <row r="2033" spans="1:26" s="25" customFormat="1" ht="6.95" customHeight="1" x14ac:dyDescent="0.3">
      <c r="A2033" s="10"/>
      <c r="B2033" s="168"/>
      <c r="C2033" s="169"/>
      <c r="D2033" s="160"/>
      <c r="E2033" s="161"/>
      <c r="F2033" s="162"/>
      <c r="G2033" s="163"/>
      <c r="H2033" s="164"/>
      <c r="I2033" s="163"/>
      <c r="J2033" s="164"/>
      <c r="K2033" s="163"/>
      <c r="L2033" s="164"/>
      <c r="M2033" s="11"/>
      <c r="N2033" s="39"/>
      <c r="Q2033" s="15" t="str">
        <f>+CONCATENATE(E2032,I2032)</f>
        <v/>
      </c>
      <c r="R2033" s="15">
        <f>+J2032</f>
        <v>0</v>
      </c>
      <c r="S2033" s="16"/>
      <c r="T2033" s="15">
        <f>+E2032</f>
        <v>0</v>
      </c>
      <c r="U2033" s="26" t="str">
        <f>IFERROR(LEFT(I2032,FIND("*",I2032)-1),"-")</f>
        <v>-</v>
      </c>
      <c r="V2033" s="26" t="str">
        <f>IFERROR(RIGHT(I2032,LEN(I2032)-FIND("*",I2032)),"-")</f>
        <v>-</v>
      </c>
      <c r="W2033" s="27" t="str">
        <f t="shared" si="1102"/>
        <v>-</v>
      </c>
      <c r="X2033" s="27" t="str">
        <f t="shared" ref="X2033" si="1107">IFERROR(W2033*J2032,"-")</f>
        <v>-</v>
      </c>
      <c r="Z2033" s="94" t="s">
        <v>82</v>
      </c>
    </row>
    <row r="2034" spans="1:26" s="25" customFormat="1" ht="6.95" customHeight="1" x14ac:dyDescent="0.3">
      <c r="A2034" s="10"/>
      <c r="B2034" s="168"/>
      <c r="C2034" s="169"/>
      <c r="D2034" s="160"/>
      <c r="E2034" s="161"/>
      <c r="F2034" s="162"/>
      <c r="G2034" s="163"/>
      <c r="H2034" s="164"/>
      <c r="I2034" s="163"/>
      <c r="J2034" s="164"/>
      <c r="K2034" s="163"/>
      <c r="L2034" s="164"/>
      <c r="M2034" s="11"/>
      <c r="N2034" s="39"/>
      <c r="Q2034" s="15" t="str">
        <f>+CONCATENATE(E2032,K2032)</f>
        <v/>
      </c>
      <c r="R2034" s="15">
        <f>+L2032</f>
        <v>0</v>
      </c>
      <c r="S2034" s="16"/>
      <c r="T2034" s="15">
        <f>+E2032</f>
        <v>0</v>
      </c>
      <c r="U2034" s="26" t="str">
        <f>IFERROR(LEFT(K2032,FIND("*",K2032)-1),"-")</f>
        <v>-</v>
      </c>
      <c r="V2034" s="26" t="str">
        <f>IFERROR(RIGHT(K2032,LEN(K2032)-FIND("*",K2032)),"-")</f>
        <v>-</v>
      </c>
      <c r="W2034" s="27" t="str">
        <f t="shared" si="1102"/>
        <v>-</v>
      </c>
      <c r="X2034" s="27" t="str">
        <f>IFERROR(W2034*L2032,"-")</f>
        <v>-</v>
      </c>
      <c r="Z2034" s="94" t="s">
        <v>82</v>
      </c>
    </row>
    <row r="2035" spans="1:26" s="25" customFormat="1" ht="21" customHeight="1" thickBot="1" x14ac:dyDescent="0.35">
      <c r="A2035" s="10"/>
      <c r="B2035" s="170"/>
      <c r="C2035" s="171"/>
      <c r="D2035" s="172" t="s">
        <v>43</v>
      </c>
      <c r="E2035" s="173"/>
      <c r="F2035" s="173"/>
      <c r="G2035" s="174"/>
      <c r="H2035" s="174"/>
      <c r="I2035" s="174"/>
      <c r="J2035" s="174"/>
      <c r="K2035" s="174"/>
      <c r="L2035" s="174"/>
      <c r="M2035" s="12"/>
      <c r="N2035" s="39"/>
      <c r="U2035" s="23"/>
      <c r="V2035" s="23"/>
      <c r="Z2035" s="95" t="s">
        <v>81</v>
      </c>
    </row>
    <row r="2036" spans="1:26" s="25" customFormat="1" ht="9.9499999999999993" customHeight="1" thickBot="1" x14ac:dyDescent="0.35">
      <c r="A2036" s="6"/>
      <c r="B2036" s="14"/>
      <c r="C2036" s="119"/>
      <c r="D2036" s="58"/>
      <c r="E2036" s="17"/>
      <c r="F2036" s="58"/>
      <c r="G2036" s="19"/>
      <c r="H2036" s="19"/>
      <c r="I2036" s="19"/>
      <c r="J2036" s="19"/>
      <c r="K2036" s="19"/>
      <c r="L2036" s="19"/>
      <c r="M2036" s="14"/>
      <c r="N2036" s="39"/>
      <c r="Q2036" s="1"/>
      <c r="R2036" s="1"/>
      <c r="S2036" s="1"/>
      <c r="T2036" s="1"/>
      <c r="U2036" s="24"/>
      <c r="V2036" s="24"/>
      <c r="W2036" s="1"/>
      <c r="X2036" s="1"/>
      <c r="Z2036" s="94" t="s">
        <v>82</v>
      </c>
    </row>
    <row r="2037" spans="1:26" s="25" customFormat="1" ht="6.95" customHeight="1" x14ac:dyDescent="0.3">
      <c r="A2037" s="165">
        <f>+A2026+1</f>
        <v>186</v>
      </c>
      <c r="B2037" s="166"/>
      <c r="C2037" s="167"/>
      <c r="D2037" s="160" t="s">
        <v>39</v>
      </c>
      <c r="E2037" s="161"/>
      <c r="F2037" s="162" t="s">
        <v>40</v>
      </c>
      <c r="G2037" s="163"/>
      <c r="H2037" s="164"/>
      <c r="I2037" s="163"/>
      <c r="J2037" s="164"/>
      <c r="K2037" s="163"/>
      <c r="L2037" s="164"/>
      <c r="M2037" s="11"/>
      <c r="N2037" s="39"/>
      <c r="Q2037" s="15" t="str">
        <f>+CONCATENATE(E2037,G2037)</f>
        <v/>
      </c>
      <c r="R2037" s="15">
        <f>+H2037</f>
        <v>0</v>
      </c>
      <c r="S2037" s="16"/>
      <c r="T2037" s="15">
        <f>+E2037</f>
        <v>0</v>
      </c>
      <c r="U2037" s="26" t="str">
        <f>IFERROR(LEFT(G2037,FIND("*",G2037)-1),"-")</f>
        <v>-</v>
      </c>
      <c r="V2037" s="26" t="str">
        <f>IFERROR(RIGHT(G2037,LEN(G2037)-FIND("*",G2037)),"-")</f>
        <v>-</v>
      </c>
      <c r="W2037" s="27" t="str">
        <f>IFERROR((U2037+V2037)*2/1000,"-")</f>
        <v>-</v>
      </c>
      <c r="X2037" s="27" t="str">
        <f>IFERROR(W2037*H2037,"-")</f>
        <v>-</v>
      </c>
      <c r="Z2037" s="94" t="s">
        <v>82</v>
      </c>
    </row>
    <row r="2038" spans="1:26" s="25" customFormat="1" ht="6.95" customHeight="1" x14ac:dyDescent="0.3">
      <c r="A2038" s="165"/>
      <c r="B2038" s="168"/>
      <c r="C2038" s="169"/>
      <c r="D2038" s="160"/>
      <c r="E2038" s="161"/>
      <c r="F2038" s="162"/>
      <c r="G2038" s="163"/>
      <c r="H2038" s="164"/>
      <c r="I2038" s="163"/>
      <c r="J2038" s="164"/>
      <c r="K2038" s="163"/>
      <c r="L2038" s="164"/>
      <c r="M2038" s="11"/>
      <c r="N2038" s="39"/>
      <c r="Q2038" s="15" t="str">
        <f>+CONCATENATE(E2037,I2037)</f>
        <v/>
      </c>
      <c r="R2038" s="15">
        <f>+J2037</f>
        <v>0</v>
      </c>
      <c r="S2038" s="16"/>
      <c r="T2038" s="15">
        <f>+E2037</f>
        <v>0</v>
      </c>
      <c r="U2038" s="26" t="str">
        <f>IFERROR(LEFT(I2037,FIND("*",I2037)-1),"-")</f>
        <v>-</v>
      </c>
      <c r="V2038" s="26" t="str">
        <f>IFERROR(RIGHT(I2037,LEN(I2037)-FIND("*",I2037)),"-")</f>
        <v>-</v>
      </c>
      <c r="W2038" s="27" t="str">
        <f t="shared" ref="W2038:W2045" si="1108">IFERROR((U2038+V2038)*2/1000,"-")</f>
        <v>-</v>
      </c>
      <c r="X2038" s="27" t="str">
        <f>IFERROR(W2038*J2037,"-")</f>
        <v>-</v>
      </c>
      <c r="Z2038" s="94" t="s">
        <v>82</v>
      </c>
    </row>
    <row r="2039" spans="1:26" s="25" customFormat="1" ht="6.95" customHeight="1" x14ac:dyDescent="0.3">
      <c r="A2039" s="165"/>
      <c r="B2039" s="168"/>
      <c r="C2039" s="169"/>
      <c r="D2039" s="160"/>
      <c r="E2039" s="161"/>
      <c r="F2039" s="162"/>
      <c r="G2039" s="163"/>
      <c r="H2039" s="164"/>
      <c r="I2039" s="163"/>
      <c r="J2039" s="164"/>
      <c r="K2039" s="163"/>
      <c r="L2039" s="164"/>
      <c r="M2039" s="11"/>
      <c r="N2039" s="39"/>
      <c r="Q2039" s="15" t="str">
        <f>+CONCATENATE(E2037,K2037)</f>
        <v/>
      </c>
      <c r="R2039" s="15">
        <f>+L2037</f>
        <v>0</v>
      </c>
      <c r="S2039" s="16"/>
      <c r="T2039" s="15">
        <f>+E2037</f>
        <v>0</v>
      </c>
      <c r="U2039" s="26" t="str">
        <f>IFERROR(LEFT(K2037,FIND("*",K2037)-1),"-")</f>
        <v>-</v>
      </c>
      <c r="V2039" s="26" t="str">
        <f>IFERROR(RIGHT(K2037,LEN(K2037)-FIND("*",K2037)),"-")</f>
        <v>-</v>
      </c>
      <c r="W2039" s="27" t="str">
        <f t="shared" si="1108"/>
        <v>-</v>
      </c>
      <c r="X2039" s="27" t="str">
        <f>IFERROR(W2039*L2037,"-")</f>
        <v>-</v>
      </c>
      <c r="Z2039" s="94" t="s">
        <v>82</v>
      </c>
    </row>
    <row r="2040" spans="1:26" s="25" customFormat="1" ht="6.95" customHeight="1" x14ac:dyDescent="0.3">
      <c r="A2040" s="13"/>
      <c r="B2040" s="168"/>
      <c r="C2040" s="169"/>
      <c r="D2040" s="160" t="s">
        <v>39</v>
      </c>
      <c r="E2040" s="161"/>
      <c r="F2040" s="162" t="s">
        <v>40</v>
      </c>
      <c r="G2040" s="163"/>
      <c r="H2040" s="164"/>
      <c r="I2040" s="163"/>
      <c r="J2040" s="164"/>
      <c r="K2040" s="163"/>
      <c r="L2040" s="164"/>
      <c r="M2040" s="11"/>
      <c r="N2040" s="39"/>
      <c r="Q2040" s="15" t="str">
        <f>+CONCATENATE(E2040,G2040)</f>
        <v/>
      </c>
      <c r="R2040" s="15">
        <f>+H2040</f>
        <v>0</v>
      </c>
      <c r="S2040" s="16"/>
      <c r="T2040" s="15">
        <f>+E2040</f>
        <v>0</v>
      </c>
      <c r="U2040" s="26" t="str">
        <f t="shared" ref="U2040" si="1109">IFERROR(LEFT(G2040,FIND("*",G2040)-1),"-")</f>
        <v>-</v>
      </c>
      <c r="V2040" s="26" t="str">
        <f t="shared" ref="V2040" si="1110">IFERROR(RIGHT(G2040,LEN(G2040)-FIND("*",G2040)),"-")</f>
        <v>-</v>
      </c>
      <c r="W2040" s="27" t="str">
        <f t="shared" si="1108"/>
        <v>-</v>
      </c>
      <c r="X2040" s="27" t="str">
        <f>IFERROR(W2040*H2040,"-")</f>
        <v>-</v>
      </c>
      <c r="Z2040" s="94" t="s">
        <v>82</v>
      </c>
    </row>
    <row r="2041" spans="1:26" s="25" customFormat="1" ht="6.95" customHeight="1" x14ac:dyDescent="0.3">
      <c r="A2041" s="10"/>
      <c r="B2041" s="168"/>
      <c r="C2041" s="169"/>
      <c r="D2041" s="160"/>
      <c r="E2041" s="161"/>
      <c r="F2041" s="162"/>
      <c r="G2041" s="163"/>
      <c r="H2041" s="164"/>
      <c r="I2041" s="163"/>
      <c r="J2041" s="164"/>
      <c r="K2041" s="163"/>
      <c r="L2041" s="164"/>
      <c r="M2041" s="11"/>
      <c r="N2041" s="39"/>
      <c r="Q2041" s="15" t="str">
        <f>+CONCATENATE(E2040,I2040)</f>
        <v/>
      </c>
      <c r="R2041" s="15">
        <f>+J2040</f>
        <v>0</v>
      </c>
      <c r="S2041" s="16"/>
      <c r="T2041" s="15">
        <f>+E2040</f>
        <v>0</v>
      </c>
      <c r="U2041" s="26" t="str">
        <f>IFERROR(LEFT(I2040,FIND("*",I2040)-1),"-")</f>
        <v>-</v>
      </c>
      <c r="V2041" s="26" t="str">
        <f>IFERROR(RIGHT(I2040,LEN(I2040)-FIND("*",I2040)),"-")</f>
        <v>-</v>
      </c>
      <c r="W2041" s="27" t="str">
        <f t="shared" si="1108"/>
        <v>-</v>
      </c>
      <c r="X2041" s="27" t="str">
        <f>IFERROR(W2041*J2040,"-")</f>
        <v>-</v>
      </c>
      <c r="Z2041" s="94" t="s">
        <v>82</v>
      </c>
    </row>
    <row r="2042" spans="1:26" s="25" customFormat="1" ht="6.95" customHeight="1" x14ac:dyDescent="0.3">
      <c r="A2042" s="10"/>
      <c r="B2042" s="168"/>
      <c r="C2042" s="169"/>
      <c r="D2042" s="160"/>
      <c r="E2042" s="161"/>
      <c r="F2042" s="162"/>
      <c r="G2042" s="163"/>
      <c r="H2042" s="164"/>
      <c r="I2042" s="163"/>
      <c r="J2042" s="164"/>
      <c r="K2042" s="163"/>
      <c r="L2042" s="164"/>
      <c r="M2042" s="11"/>
      <c r="N2042" s="39"/>
      <c r="Q2042" s="15" t="str">
        <f>+CONCATENATE(E2040,K2040)</f>
        <v/>
      </c>
      <c r="R2042" s="15">
        <f>+L2040</f>
        <v>0</v>
      </c>
      <c r="S2042" s="16"/>
      <c r="T2042" s="15">
        <f>+E2040</f>
        <v>0</v>
      </c>
      <c r="U2042" s="26" t="str">
        <f>IFERROR(LEFT(K2040,FIND("*",K2040)-1),"-")</f>
        <v>-</v>
      </c>
      <c r="V2042" s="26" t="str">
        <f>IFERROR(RIGHT(K2040,LEN(K2040)-FIND("*",K2040)),"-")</f>
        <v>-</v>
      </c>
      <c r="W2042" s="27" t="str">
        <f t="shared" si="1108"/>
        <v>-</v>
      </c>
      <c r="X2042" s="27" t="str">
        <f>IFERROR(W2042*L2040,"-")</f>
        <v>-</v>
      </c>
      <c r="Z2042" s="94" t="s">
        <v>82</v>
      </c>
    </row>
    <row r="2043" spans="1:26" s="25" customFormat="1" ht="6.95" customHeight="1" x14ac:dyDescent="0.3">
      <c r="A2043" s="13"/>
      <c r="B2043" s="168"/>
      <c r="C2043" s="169"/>
      <c r="D2043" s="160" t="s">
        <v>39</v>
      </c>
      <c r="E2043" s="161"/>
      <c r="F2043" s="162" t="s">
        <v>40</v>
      </c>
      <c r="G2043" s="163"/>
      <c r="H2043" s="164"/>
      <c r="I2043" s="163"/>
      <c r="J2043" s="164"/>
      <c r="K2043" s="163"/>
      <c r="L2043" s="164"/>
      <c r="M2043" s="11"/>
      <c r="N2043" s="39"/>
      <c r="Q2043" s="15" t="str">
        <f>+CONCATENATE(E2043,G2043)</f>
        <v/>
      </c>
      <c r="R2043" s="15">
        <f>+H2043</f>
        <v>0</v>
      </c>
      <c r="S2043" s="16"/>
      <c r="T2043" s="15">
        <f>+E2043</f>
        <v>0</v>
      </c>
      <c r="U2043" s="26" t="str">
        <f t="shared" ref="U2043" si="1111">IFERROR(LEFT(G2043,FIND("*",G2043)-1),"-")</f>
        <v>-</v>
      </c>
      <c r="V2043" s="26" t="str">
        <f t="shared" ref="V2043" si="1112">IFERROR(RIGHT(G2043,LEN(G2043)-FIND("*",G2043)),"-")</f>
        <v>-</v>
      </c>
      <c r="W2043" s="27" t="str">
        <f t="shared" si="1108"/>
        <v>-</v>
      </c>
      <c r="X2043" s="27" t="str">
        <f>IFERROR(W2043*H2043,"-")</f>
        <v>-</v>
      </c>
      <c r="Z2043" s="94" t="s">
        <v>82</v>
      </c>
    </row>
    <row r="2044" spans="1:26" s="25" customFormat="1" ht="6.95" customHeight="1" x14ac:dyDescent="0.3">
      <c r="A2044" s="10"/>
      <c r="B2044" s="168"/>
      <c r="C2044" s="169"/>
      <c r="D2044" s="160"/>
      <c r="E2044" s="161"/>
      <c r="F2044" s="162"/>
      <c r="G2044" s="163"/>
      <c r="H2044" s="164"/>
      <c r="I2044" s="163"/>
      <c r="J2044" s="164"/>
      <c r="K2044" s="163"/>
      <c r="L2044" s="164"/>
      <c r="M2044" s="11"/>
      <c r="N2044" s="39"/>
      <c r="Q2044" s="15" t="str">
        <f>+CONCATENATE(E2043,I2043)</f>
        <v/>
      </c>
      <c r="R2044" s="15">
        <f>+J2043</f>
        <v>0</v>
      </c>
      <c r="S2044" s="16"/>
      <c r="T2044" s="15">
        <f>+E2043</f>
        <v>0</v>
      </c>
      <c r="U2044" s="26" t="str">
        <f>IFERROR(LEFT(I2043,FIND("*",I2043)-1),"-")</f>
        <v>-</v>
      </c>
      <c r="V2044" s="26" t="str">
        <f>IFERROR(RIGHT(I2043,LEN(I2043)-FIND("*",I2043)),"-")</f>
        <v>-</v>
      </c>
      <c r="W2044" s="27" t="str">
        <f t="shared" si="1108"/>
        <v>-</v>
      </c>
      <c r="X2044" s="27" t="str">
        <f t="shared" ref="X2044" si="1113">IFERROR(W2044*J2043,"-")</f>
        <v>-</v>
      </c>
      <c r="Z2044" s="94" t="s">
        <v>82</v>
      </c>
    </row>
    <row r="2045" spans="1:26" s="25" customFormat="1" ht="6.95" customHeight="1" x14ac:dyDescent="0.3">
      <c r="A2045" s="10"/>
      <c r="B2045" s="168"/>
      <c r="C2045" s="169"/>
      <c r="D2045" s="160"/>
      <c r="E2045" s="161"/>
      <c r="F2045" s="162"/>
      <c r="G2045" s="163"/>
      <c r="H2045" s="164"/>
      <c r="I2045" s="163"/>
      <c r="J2045" s="164"/>
      <c r="K2045" s="163"/>
      <c r="L2045" s="164"/>
      <c r="M2045" s="11"/>
      <c r="N2045" s="39"/>
      <c r="Q2045" s="15" t="str">
        <f>+CONCATENATE(E2043,K2043)</f>
        <v/>
      </c>
      <c r="R2045" s="15">
        <f>+L2043</f>
        <v>0</v>
      </c>
      <c r="S2045" s="16"/>
      <c r="T2045" s="15">
        <f>+E2043</f>
        <v>0</v>
      </c>
      <c r="U2045" s="26" t="str">
        <f>IFERROR(LEFT(K2043,FIND("*",K2043)-1),"-")</f>
        <v>-</v>
      </c>
      <c r="V2045" s="26" t="str">
        <f>IFERROR(RIGHT(K2043,LEN(K2043)-FIND("*",K2043)),"-")</f>
        <v>-</v>
      </c>
      <c r="W2045" s="27" t="str">
        <f t="shared" si="1108"/>
        <v>-</v>
      </c>
      <c r="X2045" s="27" t="str">
        <f>IFERROR(W2045*L2043,"-")</f>
        <v>-</v>
      </c>
      <c r="Z2045" s="94" t="s">
        <v>82</v>
      </c>
    </row>
    <row r="2046" spans="1:26" s="25" customFormat="1" ht="21" customHeight="1" thickBot="1" x14ac:dyDescent="0.35">
      <c r="A2046" s="10"/>
      <c r="B2046" s="170"/>
      <c r="C2046" s="171"/>
      <c r="D2046" s="172" t="s">
        <v>43</v>
      </c>
      <c r="E2046" s="173"/>
      <c r="F2046" s="173"/>
      <c r="G2046" s="174"/>
      <c r="H2046" s="174"/>
      <c r="I2046" s="174"/>
      <c r="J2046" s="174"/>
      <c r="K2046" s="174"/>
      <c r="L2046" s="174"/>
      <c r="M2046" s="12"/>
      <c r="N2046" s="39"/>
      <c r="U2046" s="23"/>
      <c r="V2046" s="23"/>
      <c r="Z2046" s="95" t="s">
        <v>81</v>
      </c>
    </row>
    <row r="2047" spans="1:26" s="25" customFormat="1" ht="9.9499999999999993" customHeight="1" thickBot="1" x14ac:dyDescent="0.35">
      <c r="A2047" s="6"/>
      <c r="B2047" s="14"/>
      <c r="C2047" s="119"/>
      <c r="D2047" s="58"/>
      <c r="E2047" s="17"/>
      <c r="F2047" s="58"/>
      <c r="G2047" s="19"/>
      <c r="H2047" s="19"/>
      <c r="I2047" s="19"/>
      <c r="J2047" s="19"/>
      <c r="K2047" s="19"/>
      <c r="L2047" s="19"/>
      <c r="M2047" s="14"/>
      <c r="N2047" s="39"/>
      <c r="Q2047" s="1"/>
      <c r="R2047" s="1"/>
      <c r="S2047" s="1"/>
      <c r="T2047" s="1"/>
      <c r="U2047" s="24"/>
      <c r="V2047" s="24"/>
      <c r="W2047" s="1"/>
      <c r="X2047" s="1"/>
      <c r="Z2047" s="94" t="s">
        <v>82</v>
      </c>
    </row>
    <row r="2048" spans="1:26" s="25" customFormat="1" ht="6.95" customHeight="1" x14ac:dyDescent="0.3">
      <c r="A2048" s="165">
        <f>+A2037+1</f>
        <v>187</v>
      </c>
      <c r="B2048" s="166"/>
      <c r="C2048" s="167"/>
      <c r="D2048" s="160" t="s">
        <v>39</v>
      </c>
      <c r="E2048" s="161"/>
      <c r="F2048" s="162" t="s">
        <v>40</v>
      </c>
      <c r="G2048" s="163"/>
      <c r="H2048" s="164"/>
      <c r="I2048" s="163"/>
      <c r="J2048" s="164"/>
      <c r="K2048" s="163"/>
      <c r="L2048" s="164"/>
      <c r="M2048" s="11"/>
      <c r="N2048" s="39"/>
      <c r="Q2048" s="15" t="str">
        <f>+CONCATENATE(E2048,G2048)</f>
        <v/>
      </c>
      <c r="R2048" s="15">
        <f>+H2048</f>
        <v>0</v>
      </c>
      <c r="S2048" s="16"/>
      <c r="T2048" s="15">
        <f>+E2048</f>
        <v>0</v>
      </c>
      <c r="U2048" s="26" t="str">
        <f>IFERROR(LEFT(G2048,FIND("*",G2048)-1),"-")</f>
        <v>-</v>
      </c>
      <c r="V2048" s="26" t="str">
        <f>IFERROR(RIGHT(G2048,LEN(G2048)-FIND("*",G2048)),"-")</f>
        <v>-</v>
      </c>
      <c r="W2048" s="27" t="str">
        <f>IFERROR((U2048+V2048)*2/1000,"-")</f>
        <v>-</v>
      </c>
      <c r="X2048" s="27" t="str">
        <f>IFERROR(W2048*H2048,"-")</f>
        <v>-</v>
      </c>
      <c r="Z2048" s="94" t="s">
        <v>82</v>
      </c>
    </row>
    <row r="2049" spans="1:26" s="25" customFormat="1" ht="6.95" customHeight="1" x14ac:dyDescent="0.3">
      <c r="A2049" s="165"/>
      <c r="B2049" s="168"/>
      <c r="C2049" s="169"/>
      <c r="D2049" s="160"/>
      <c r="E2049" s="161"/>
      <c r="F2049" s="162"/>
      <c r="G2049" s="163"/>
      <c r="H2049" s="164"/>
      <c r="I2049" s="163"/>
      <c r="J2049" s="164"/>
      <c r="K2049" s="163"/>
      <c r="L2049" s="164"/>
      <c r="M2049" s="11"/>
      <c r="N2049" s="39"/>
      <c r="Q2049" s="15" t="str">
        <f>+CONCATENATE(E2048,I2048)</f>
        <v/>
      </c>
      <c r="R2049" s="15">
        <f>+J2048</f>
        <v>0</v>
      </c>
      <c r="S2049" s="16"/>
      <c r="T2049" s="15">
        <f>+E2048</f>
        <v>0</v>
      </c>
      <c r="U2049" s="26" t="str">
        <f>IFERROR(LEFT(I2048,FIND("*",I2048)-1),"-")</f>
        <v>-</v>
      </c>
      <c r="V2049" s="26" t="str">
        <f>IFERROR(RIGHT(I2048,LEN(I2048)-FIND("*",I2048)),"-")</f>
        <v>-</v>
      </c>
      <c r="W2049" s="27" t="str">
        <f t="shared" ref="W2049:W2056" si="1114">IFERROR((U2049+V2049)*2/1000,"-")</f>
        <v>-</v>
      </c>
      <c r="X2049" s="27" t="str">
        <f>IFERROR(W2049*J2048,"-")</f>
        <v>-</v>
      </c>
      <c r="Z2049" s="94" t="s">
        <v>82</v>
      </c>
    </row>
    <row r="2050" spans="1:26" s="25" customFormat="1" ht="6.95" customHeight="1" x14ac:dyDescent="0.3">
      <c r="A2050" s="165"/>
      <c r="B2050" s="168"/>
      <c r="C2050" s="169"/>
      <c r="D2050" s="160"/>
      <c r="E2050" s="161"/>
      <c r="F2050" s="162"/>
      <c r="G2050" s="163"/>
      <c r="H2050" s="164"/>
      <c r="I2050" s="163"/>
      <c r="J2050" s="164"/>
      <c r="K2050" s="163"/>
      <c r="L2050" s="164"/>
      <c r="M2050" s="11"/>
      <c r="N2050" s="39"/>
      <c r="Q2050" s="15" t="str">
        <f>+CONCATENATE(E2048,K2048)</f>
        <v/>
      </c>
      <c r="R2050" s="15">
        <f>+L2048</f>
        <v>0</v>
      </c>
      <c r="S2050" s="16"/>
      <c r="T2050" s="15">
        <f>+E2048</f>
        <v>0</v>
      </c>
      <c r="U2050" s="26" t="str">
        <f>IFERROR(LEFT(K2048,FIND("*",K2048)-1),"-")</f>
        <v>-</v>
      </c>
      <c r="V2050" s="26" t="str">
        <f>IFERROR(RIGHT(K2048,LEN(K2048)-FIND("*",K2048)),"-")</f>
        <v>-</v>
      </c>
      <c r="W2050" s="27" t="str">
        <f t="shared" si="1114"/>
        <v>-</v>
      </c>
      <c r="X2050" s="27" t="str">
        <f>IFERROR(W2050*L2048,"-")</f>
        <v>-</v>
      </c>
      <c r="Z2050" s="94" t="s">
        <v>82</v>
      </c>
    </row>
    <row r="2051" spans="1:26" s="25" customFormat="1" ht="6.95" customHeight="1" x14ac:dyDescent="0.3">
      <c r="A2051" s="13"/>
      <c r="B2051" s="168"/>
      <c r="C2051" s="169"/>
      <c r="D2051" s="160" t="s">
        <v>39</v>
      </c>
      <c r="E2051" s="161"/>
      <c r="F2051" s="162" t="s">
        <v>40</v>
      </c>
      <c r="G2051" s="163"/>
      <c r="H2051" s="164"/>
      <c r="I2051" s="163"/>
      <c r="J2051" s="164"/>
      <c r="K2051" s="163"/>
      <c r="L2051" s="164"/>
      <c r="M2051" s="11"/>
      <c r="N2051" s="39"/>
      <c r="Q2051" s="15" t="str">
        <f>+CONCATENATE(E2051,G2051)</f>
        <v/>
      </c>
      <c r="R2051" s="15">
        <f>+H2051</f>
        <v>0</v>
      </c>
      <c r="S2051" s="16"/>
      <c r="T2051" s="15">
        <f>+E2051</f>
        <v>0</v>
      </c>
      <c r="U2051" s="26" t="str">
        <f t="shared" ref="U2051" si="1115">IFERROR(LEFT(G2051,FIND("*",G2051)-1),"-")</f>
        <v>-</v>
      </c>
      <c r="V2051" s="26" t="str">
        <f t="shared" ref="V2051" si="1116">IFERROR(RIGHT(G2051,LEN(G2051)-FIND("*",G2051)),"-")</f>
        <v>-</v>
      </c>
      <c r="W2051" s="27" t="str">
        <f t="shared" si="1114"/>
        <v>-</v>
      </c>
      <c r="X2051" s="27" t="str">
        <f>IFERROR(W2051*H2051,"-")</f>
        <v>-</v>
      </c>
      <c r="Z2051" s="94" t="s">
        <v>82</v>
      </c>
    </row>
    <row r="2052" spans="1:26" s="25" customFormat="1" ht="6.95" customHeight="1" x14ac:dyDescent="0.3">
      <c r="A2052" s="10"/>
      <c r="B2052" s="168"/>
      <c r="C2052" s="169"/>
      <c r="D2052" s="160"/>
      <c r="E2052" s="161"/>
      <c r="F2052" s="162"/>
      <c r="G2052" s="163"/>
      <c r="H2052" s="164"/>
      <c r="I2052" s="163"/>
      <c r="J2052" s="164"/>
      <c r="K2052" s="163"/>
      <c r="L2052" s="164"/>
      <c r="M2052" s="11"/>
      <c r="N2052" s="39"/>
      <c r="Q2052" s="15" t="str">
        <f>+CONCATENATE(E2051,I2051)</f>
        <v/>
      </c>
      <c r="R2052" s="15">
        <f>+J2051</f>
        <v>0</v>
      </c>
      <c r="S2052" s="16"/>
      <c r="T2052" s="15">
        <f>+E2051</f>
        <v>0</v>
      </c>
      <c r="U2052" s="26" t="str">
        <f>IFERROR(LEFT(I2051,FIND("*",I2051)-1),"-")</f>
        <v>-</v>
      </c>
      <c r="V2052" s="26" t="str">
        <f>IFERROR(RIGHT(I2051,LEN(I2051)-FIND("*",I2051)),"-")</f>
        <v>-</v>
      </c>
      <c r="W2052" s="27" t="str">
        <f t="shared" si="1114"/>
        <v>-</v>
      </c>
      <c r="X2052" s="27" t="str">
        <f>IFERROR(W2052*J2051,"-")</f>
        <v>-</v>
      </c>
      <c r="Z2052" s="94" t="s">
        <v>82</v>
      </c>
    </row>
    <row r="2053" spans="1:26" s="25" customFormat="1" ht="6.95" customHeight="1" x14ac:dyDescent="0.3">
      <c r="A2053" s="10"/>
      <c r="B2053" s="168"/>
      <c r="C2053" s="169"/>
      <c r="D2053" s="160"/>
      <c r="E2053" s="161"/>
      <c r="F2053" s="162"/>
      <c r="G2053" s="163"/>
      <c r="H2053" s="164"/>
      <c r="I2053" s="163"/>
      <c r="J2053" s="164"/>
      <c r="K2053" s="163"/>
      <c r="L2053" s="164"/>
      <c r="M2053" s="11"/>
      <c r="N2053" s="39"/>
      <c r="Q2053" s="15" t="str">
        <f>+CONCATENATE(E2051,K2051)</f>
        <v/>
      </c>
      <c r="R2053" s="15">
        <f>+L2051</f>
        <v>0</v>
      </c>
      <c r="S2053" s="16"/>
      <c r="T2053" s="15">
        <f>+E2051</f>
        <v>0</v>
      </c>
      <c r="U2053" s="26" t="str">
        <f>IFERROR(LEFT(K2051,FIND("*",K2051)-1),"-")</f>
        <v>-</v>
      </c>
      <c r="V2053" s="26" t="str">
        <f>IFERROR(RIGHT(K2051,LEN(K2051)-FIND("*",K2051)),"-")</f>
        <v>-</v>
      </c>
      <c r="W2053" s="27" t="str">
        <f t="shared" si="1114"/>
        <v>-</v>
      </c>
      <c r="X2053" s="27" t="str">
        <f>IFERROR(W2053*L2051,"-")</f>
        <v>-</v>
      </c>
      <c r="Z2053" s="94" t="s">
        <v>82</v>
      </c>
    </row>
    <row r="2054" spans="1:26" s="25" customFormat="1" ht="6.95" customHeight="1" x14ac:dyDescent="0.3">
      <c r="A2054" s="13"/>
      <c r="B2054" s="168"/>
      <c r="C2054" s="169"/>
      <c r="D2054" s="160" t="s">
        <v>39</v>
      </c>
      <c r="E2054" s="161"/>
      <c r="F2054" s="162" t="s">
        <v>40</v>
      </c>
      <c r="G2054" s="163"/>
      <c r="H2054" s="164"/>
      <c r="I2054" s="163"/>
      <c r="J2054" s="164"/>
      <c r="K2054" s="163"/>
      <c r="L2054" s="164"/>
      <c r="M2054" s="11"/>
      <c r="N2054" s="39"/>
      <c r="Q2054" s="15" t="str">
        <f>+CONCATENATE(E2054,G2054)</f>
        <v/>
      </c>
      <c r="R2054" s="15">
        <f>+H2054</f>
        <v>0</v>
      </c>
      <c r="S2054" s="16"/>
      <c r="T2054" s="15">
        <f>+E2054</f>
        <v>0</v>
      </c>
      <c r="U2054" s="26" t="str">
        <f t="shared" ref="U2054" si="1117">IFERROR(LEFT(G2054,FIND("*",G2054)-1),"-")</f>
        <v>-</v>
      </c>
      <c r="V2054" s="26" t="str">
        <f t="shared" ref="V2054" si="1118">IFERROR(RIGHT(G2054,LEN(G2054)-FIND("*",G2054)),"-")</f>
        <v>-</v>
      </c>
      <c r="W2054" s="27" t="str">
        <f t="shared" si="1114"/>
        <v>-</v>
      </c>
      <c r="X2054" s="27" t="str">
        <f>IFERROR(W2054*H2054,"-")</f>
        <v>-</v>
      </c>
      <c r="Z2054" s="94" t="s">
        <v>82</v>
      </c>
    </row>
    <row r="2055" spans="1:26" s="25" customFormat="1" ht="6.95" customHeight="1" x14ac:dyDescent="0.3">
      <c r="A2055" s="10"/>
      <c r="B2055" s="168"/>
      <c r="C2055" s="169"/>
      <c r="D2055" s="160"/>
      <c r="E2055" s="161"/>
      <c r="F2055" s="162"/>
      <c r="G2055" s="163"/>
      <c r="H2055" s="164"/>
      <c r="I2055" s="163"/>
      <c r="J2055" s="164"/>
      <c r="K2055" s="163"/>
      <c r="L2055" s="164"/>
      <c r="M2055" s="11"/>
      <c r="N2055" s="39"/>
      <c r="Q2055" s="15" t="str">
        <f>+CONCATENATE(E2054,I2054)</f>
        <v/>
      </c>
      <c r="R2055" s="15">
        <f>+J2054</f>
        <v>0</v>
      </c>
      <c r="S2055" s="16"/>
      <c r="T2055" s="15">
        <f>+E2054</f>
        <v>0</v>
      </c>
      <c r="U2055" s="26" t="str">
        <f>IFERROR(LEFT(I2054,FIND("*",I2054)-1),"-")</f>
        <v>-</v>
      </c>
      <c r="V2055" s="26" t="str">
        <f>IFERROR(RIGHT(I2054,LEN(I2054)-FIND("*",I2054)),"-")</f>
        <v>-</v>
      </c>
      <c r="W2055" s="27" t="str">
        <f t="shared" si="1114"/>
        <v>-</v>
      </c>
      <c r="X2055" s="27" t="str">
        <f t="shared" ref="X2055" si="1119">IFERROR(W2055*J2054,"-")</f>
        <v>-</v>
      </c>
      <c r="Z2055" s="94" t="s">
        <v>82</v>
      </c>
    </row>
    <row r="2056" spans="1:26" s="25" customFormat="1" ht="6.95" customHeight="1" x14ac:dyDescent="0.3">
      <c r="A2056" s="10"/>
      <c r="B2056" s="168"/>
      <c r="C2056" s="169"/>
      <c r="D2056" s="160"/>
      <c r="E2056" s="161"/>
      <c r="F2056" s="162"/>
      <c r="G2056" s="163"/>
      <c r="H2056" s="164"/>
      <c r="I2056" s="163"/>
      <c r="J2056" s="164"/>
      <c r="K2056" s="163"/>
      <c r="L2056" s="164"/>
      <c r="M2056" s="11"/>
      <c r="N2056" s="39"/>
      <c r="Q2056" s="15" t="str">
        <f>+CONCATENATE(E2054,K2054)</f>
        <v/>
      </c>
      <c r="R2056" s="15">
        <f>+L2054</f>
        <v>0</v>
      </c>
      <c r="S2056" s="16"/>
      <c r="T2056" s="15">
        <f>+E2054</f>
        <v>0</v>
      </c>
      <c r="U2056" s="26" t="str">
        <f>IFERROR(LEFT(K2054,FIND("*",K2054)-1),"-")</f>
        <v>-</v>
      </c>
      <c r="V2056" s="26" t="str">
        <f>IFERROR(RIGHT(K2054,LEN(K2054)-FIND("*",K2054)),"-")</f>
        <v>-</v>
      </c>
      <c r="W2056" s="27" t="str">
        <f t="shared" si="1114"/>
        <v>-</v>
      </c>
      <c r="X2056" s="27" t="str">
        <f>IFERROR(W2056*L2054,"-")</f>
        <v>-</v>
      </c>
      <c r="Z2056" s="94" t="s">
        <v>82</v>
      </c>
    </row>
    <row r="2057" spans="1:26" s="25" customFormat="1" ht="21" customHeight="1" thickBot="1" x14ac:dyDescent="0.35">
      <c r="A2057" s="10"/>
      <c r="B2057" s="170"/>
      <c r="C2057" s="171"/>
      <c r="D2057" s="172" t="s">
        <v>43</v>
      </c>
      <c r="E2057" s="173"/>
      <c r="F2057" s="173"/>
      <c r="G2057" s="174"/>
      <c r="H2057" s="174"/>
      <c r="I2057" s="174"/>
      <c r="J2057" s="174"/>
      <c r="K2057" s="174"/>
      <c r="L2057" s="174"/>
      <c r="M2057" s="12"/>
      <c r="N2057" s="39"/>
      <c r="U2057" s="23"/>
      <c r="V2057" s="23"/>
      <c r="Z2057" s="95" t="s">
        <v>81</v>
      </c>
    </row>
    <row r="2058" spans="1:26" s="25" customFormat="1" ht="9.9499999999999993" customHeight="1" thickBot="1" x14ac:dyDescent="0.35">
      <c r="A2058" s="6"/>
      <c r="B2058" s="14"/>
      <c r="C2058" s="119"/>
      <c r="D2058" s="58"/>
      <c r="E2058" s="17"/>
      <c r="F2058" s="58"/>
      <c r="G2058" s="19"/>
      <c r="H2058" s="19"/>
      <c r="I2058" s="19"/>
      <c r="J2058" s="19"/>
      <c r="K2058" s="19"/>
      <c r="L2058" s="19"/>
      <c r="M2058" s="14"/>
      <c r="N2058" s="39"/>
      <c r="Q2058" s="1"/>
      <c r="R2058" s="1"/>
      <c r="S2058" s="1"/>
      <c r="T2058" s="1"/>
      <c r="U2058" s="24"/>
      <c r="V2058" s="24"/>
      <c r="W2058" s="1"/>
      <c r="X2058" s="1"/>
      <c r="Z2058" s="94" t="s">
        <v>82</v>
      </c>
    </row>
    <row r="2059" spans="1:26" s="25" customFormat="1" ht="6.95" customHeight="1" x14ac:dyDescent="0.3">
      <c r="A2059" s="165">
        <f>+A2048+1</f>
        <v>188</v>
      </c>
      <c r="B2059" s="166"/>
      <c r="C2059" s="167"/>
      <c r="D2059" s="160" t="s">
        <v>39</v>
      </c>
      <c r="E2059" s="161"/>
      <c r="F2059" s="162" t="s">
        <v>40</v>
      </c>
      <c r="G2059" s="163"/>
      <c r="H2059" s="164"/>
      <c r="I2059" s="163"/>
      <c r="J2059" s="164"/>
      <c r="K2059" s="163"/>
      <c r="L2059" s="164"/>
      <c r="M2059" s="11"/>
      <c r="N2059" s="39"/>
      <c r="Q2059" s="15" t="str">
        <f>+CONCATENATE(E2059,G2059)</f>
        <v/>
      </c>
      <c r="R2059" s="15">
        <f>+H2059</f>
        <v>0</v>
      </c>
      <c r="S2059" s="16"/>
      <c r="T2059" s="15">
        <f>+E2059</f>
        <v>0</v>
      </c>
      <c r="U2059" s="26" t="str">
        <f>IFERROR(LEFT(G2059,FIND("*",G2059)-1),"-")</f>
        <v>-</v>
      </c>
      <c r="V2059" s="26" t="str">
        <f>IFERROR(RIGHT(G2059,LEN(G2059)-FIND("*",G2059)),"-")</f>
        <v>-</v>
      </c>
      <c r="W2059" s="27" t="str">
        <f>IFERROR((U2059+V2059)*2/1000,"-")</f>
        <v>-</v>
      </c>
      <c r="X2059" s="27" t="str">
        <f>IFERROR(W2059*H2059,"-")</f>
        <v>-</v>
      </c>
      <c r="Z2059" s="94" t="s">
        <v>82</v>
      </c>
    </row>
    <row r="2060" spans="1:26" s="25" customFormat="1" ht="6.95" customHeight="1" x14ac:dyDescent="0.3">
      <c r="A2060" s="165"/>
      <c r="B2060" s="168"/>
      <c r="C2060" s="169"/>
      <c r="D2060" s="160"/>
      <c r="E2060" s="161"/>
      <c r="F2060" s="162"/>
      <c r="G2060" s="163"/>
      <c r="H2060" s="164"/>
      <c r="I2060" s="163"/>
      <c r="J2060" s="164"/>
      <c r="K2060" s="163"/>
      <c r="L2060" s="164"/>
      <c r="M2060" s="11"/>
      <c r="N2060" s="39"/>
      <c r="Q2060" s="15" t="str">
        <f>+CONCATENATE(E2059,I2059)</f>
        <v/>
      </c>
      <c r="R2060" s="15">
        <f>+J2059</f>
        <v>0</v>
      </c>
      <c r="S2060" s="16"/>
      <c r="T2060" s="15">
        <f>+E2059</f>
        <v>0</v>
      </c>
      <c r="U2060" s="26" t="str">
        <f>IFERROR(LEFT(I2059,FIND("*",I2059)-1),"-")</f>
        <v>-</v>
      </c>
      <c r="V2060" s="26" t="str">
        <f>IFERROR(RIGHT(I2059,LEN(I2059)-FIND("*",I2059)),"-")</f>
        <v>-</v>
      </c>
      <c r="W2060" s="27" t="str">
        <f t="shared" ref="W2060:W2067" si="1120">IFERROR((U2060+V2060)*2/1000,"-")</f>
        <v>-</v>
      </c>
      <c r="X2060" s="27" t="str">
        <f>IFERROR(W2060*J2059,"-")</f>
        <v>-</v>
      </c>
      <c r="Z2060" s="94" t="s">
        <v>82</v>
      </c>
    </row>
    <row r="2061" spans="1:26" s="25" customFormat="1" ht="6.95" customHeight="1" x14ac:dyDescent="0.3">
      <c r="A2061" s="165"/>
      <c r="B2061" s="168"/>
      <c r="C2061" s="169"/>
      <c r="D2061" s="160"/>
      <c r="E2061" s="161"/>
      <c r="F2061" s="162"/>
      <c r="G2061" s="163"/>
      <c r="H2061" s="164"/>
      <c r="I2061" s="163"/>
      <c r="J2061" s="164"/>
      <c r="K2061" s="163"/>
      <c r="L2061" s="164"/>
      <c r="M2061" s="11"/>
      <c r="N2061" s="39"/>
      <c r="Q2061" s="15" t="str">
        <f>+CONCATENATE(E2059,K2059)</f>
        <v/>
      </c>
      <c r="R2061" s="15">
        <f>+L2059</f>
        <v>0</v>
      </c>
      <c r="S2061" s="16"/>
      <c r="T2061" s="15">
        <f>+E2059</f>
        <v>0</v>
      </c>
      <c r="U2061" s="26" t="str">
        <f>IFERROR(LEFT(K2059,FIND("*",K2059)-1),"-")</f>
        <v>-</v>
      </c>
      <c r="V2061" s="26" t="str">
        <f>IFERROR(RIGHT(K2059,LEN(K2059)-FIND("*",K2059)),"-")</f>
        <v>-</v>
      </c>
      <c r="W2061" s="27" t="str">
        <f t="shared" si="1120"/>
        <v>-</v>
      </c>
      <c r="X2061" s="27" t="str">
        <f>IFERROR(W2061*L2059,"-")</f>
        <v>-</v>
      </c>
      <c r="Z2061" s="94" t="s">
        <v>82</v>
      </c>
    </row>
    <row r="2062" spans="1:26" s="25" customFormat="1" ht="6.95" customHeight="1" x14ac:dyDescent="0.3">
      <c r="A2062" s="13"/>
      <c r="B2062" s="168"/>
      <c r="C2062" s="169"/>
      <c r="D2062" s="160" t="s">
        <v>39</v>
      </c>
      <c r="E2062" s="161"/>
      <c r="F2062" s="162" t="s">
        <v>40</v>
      </c>
      <c r="G2062" s="163"/>
      <c r="H2062" s="164"/>
      <c r="I2062" s="163"/>
      <c r="J2062" s="164"/>
      <c r="K2062" s="163"/>
      <c r="L2062" s="164"/>
      <c r="M2062" s="11"/>
      <c r="N2062" s="39"/>
      <c r="Q2062" s="15" t="str">
        <f>+CONCATENATE(E2062,G2062)</f>
        <v/>
      </c>
      <c r="R2062" s="15">
        <f>+H2062</f>
        <v>0</v>
      </c>
      <c r="S2062" s="16"/>
      <c r="T2062" s="15">
        <f>+E2062</f>
        <v>0</v>
      </c>
      <c r="U2062" s="26" t="str">
        <f t="shared" ref="U2062" si="1121">IFERROR(LEFT(G2062,FIND("*",G2062)-1),"-")</f>
        <v>-</v>
      </c>
      <c r="V2062" s="26" t="str">
        <f t="shared" ref="V2062" si="1122">IFERROR(RIGHT(G2062,LEN(G2062)-FIND("*",G2062)),"-")</f>
        <v>-</v>
      </c>
      <c r="W2062" s="27" t="str">
        <f t="shared" si="1120"/>
        <v>-</v>
      </c>
      <c r="X2062" s="27" t="str">
        <f>IFERROR(W2062*H2062,"-")</f>
        <v>-</v>
      </c>
      <c r="Z2062" s="94" t="s">
        <v>82</v>
      </c>
    </row>
    <row r="2063" spans="1:26" s="25" customFormat="1" ht="6.95" customHeight="1" x14ac:dyDescent="0.3">
      <c r="A2063" s="10"/>
      <c r="B2063" s="168"/>
      <c r="C2063" s="169"/>
      <c r="D2063" s="160"/>
      <c r="E2063" s="161"/>
      <c r="F2063" s="162"/>
      <c r="G2063" s="163"/>
      <c r="H2063" s="164"/>
      <c r="I2063" s="163"/>
      <c r="J2063" s="164"/>
      <c r="K2063" s="163"/>
      <c r="L2063" s="164"/>
      <c r="M2063" s="11"/>
      <c r="N2063" s="39"/>
      <c r="Q2063" s="15" t="str">
        <f>+CONCATENATE(E2062,I2062)</f>
        <v/>
      </c>
      <c r="R2063" s="15">
        <f>+J2062</f>
        <v>0</v>
      </c>
      <c r="S2063" s="16"/>
      <c r="T2063" s="15">
        <f>+E2062</f>
        <v>0</v>
      </c>
      <c r="U2063" s="26" t="str">
        <f>IFERROR(LEFT(I2062,FIND("*",I2062)-1),"-")</f>
        <v>-</v>
      </c>
      <c r="V2063" s="26" t="str">
        <f>IFERROR(RIGHT(I2062,LEN(I2062)-FIND("*",I2062)),"-")</f>
        <v>-</v>
      </c>
      <c r="W2063" s="27" t="str">
        <f t="shared" si="1120"/>
        <v>-</v>
      </c>
      <c r="X2063" s="27" t="str">
        <f>IFERROR(W2063*J2062,"-")</f>
        <v>-</v>
      </c>
      <c r="Z2063" s="94" t="s">
        <v>82</v>
      </c>
    </row>
    <row r="2064" spans="1:26" s="25" customFormat="1" ht="6.95" customHeight="1" x14ac:dyDescent="0.3">
      <c r="A2064" s="10"/>
      <c r="B2064" s="168"/>
      <c r="C2064" s="169"/>
      <c r="D2064" s="160"/>
      <c r="E2064" s="161"/>
      <c r="F2064" s="162"/>
      <c r="G2064" s="163"/>
      <c r="H2064" s="164"/>
      <c r="I2064" s="163"/>
      <c r="J2064" s="164"/>
      <c r="K2064" s="163"/>
      <c r="L2064" s="164"/>
      <c r="M2064" s="11"/>
      <c r="N2064" s="39"/>
      <c r="Q2064" s="15" t="str">
        <f>+CONCATENATE(E2062,K2062)</f>
        <v/>
      </c>
      <c r="R2064" s="15">
        <f>+L2062</f>
        <v>0</v>
      </c>
      <c r="S2064" s="16"/>
      <c r="T2064" s="15">
        <f>+E2062</f>
        <v>0</v>
      </c>
      <c r="U2064" s="26" t="str">
        <f>IFERROR(LEFT(K2062,FIND("*",K2062)-1),"-")</f>
        <v>-</v>
      </c>
      <c r="V2064" s="26" t="str">
        <f>IFERROR(RIGHT(K2062,LEN(K2062)-FIND("*",K2062)),"-")</f>
        <v>-</v>
      </c>
      <c r="W2064" s="27" t="str">
        <f t="shared" si="1120"/>
        <v>-</v>
      </c>
      <c r="X2064" s="27" t="str">
        <f>IFERROR(W2064*L2062,"-")</f>
        <v>-</v>
      </c>
      <c r="Z2064" s="94" t="s">
        <v>82</v>
      </c>
    </row>
    <row r="2065" spans="1:26" s="25" customFormat="1" ht="6.95" customHeight="1" x14ac:dyDescent="0.3">
      <c r="A2065" s="13"/>
      <c r="B2065" s="168"/>
      <c r="C2065" s="169"/>
      <c r="D2065" s="160" t="s">
        <v>39</v>
      </c>
      <c r="E2065" s="161"/>
      <c r="F2065" s="162" t="s">
        <v>40</v>
      </c>
      <c r="G2065" s="163"/>
      <c r="H2065" s="164"/>
      <c r="I2065" s="163"/>
      <c r="J2065" s="164"/>
      <c r="K2065" s="163"/>
      <c r="L2065" s="164"/>
      <c r="M2065" s="11"/>
      <c r="N2065" s="39"/>
      <c r="Q2065" s="15" t="str">
        <f>+CONCATENATE(E2065,G2065)</f>
        <v/>
      </c>
      <c r="R2065" s="15">
        <f>+H2065</f>
        <v>0</v>
      </c>
      <c r="S2065" s="16"/>
      <c r="T2065" s="15">
        <f>+E2065</f>
        <v>0</v>
      </c>
      <c r="U2065" s="26" t="str">
        <f t="shared" ref="U2065" si="1123">IFERROR(LEFT(G2065,FIND("*",G2065)-1),"-")</f>
        <v>-</v>
      </c>
      <c r="V2065" s="26" t="str">
        <f t="shared" ref="V2065" si="1124">IFERROR(RIGHT(G2065,LEN(G2065)-FIND("*",G2065)),"-")</f>
        <v>-</v>
      </c>
      <c r="W2065" s="27" t="str">
        <f t="shared" si="1120"/>
        <v>-</v>
      </c>
      <c r="X2065" s="27" t="str">
        <f>IFERROR(W2065*H2065,"-")</f>
        <v>-</v>
      </c>
      <c r="Z2065" s="94" t="s">
        <v>82</v>
      </c>
    </row>
    <row r="2066" spans="1:26" s="25" customFormat="1" ht="6.95" customHeight="1" x14ac:dyDescent="0.3">
      <c r="A2066" s="10"/>
      <c r="B2066" s="168"/>
      <c r="C2066" s="169"/>
      <c r="D2066" s="160"/>
      <c r="E2066" s="161"/>
      <c r="F2066" s="162"/>
      <c r="G2066" s="163"/>
      <c r="H2066" s="164"/>
      <c r="I2066" s="163"/>
      <c r="J2066" s="164"/>
      <c r="K2066" s="163"/>
      <c r="L2066" s="164"/>
      <c r="M2066" s="11"/>
      <c r="N2066" s="39"/>
      <c r="Q2066" s="15" t="str">
        <f>+CONCATENATE(E2065,I2065)</f>
        <v/>
      </c>
      <c r="R2066" s="15">
        <f>+J2065</f>
        <v>0</v>
      </c>
      <c r="S2066" s="16"/>
      <c r="T2066" s="15">
        <f>+E2065</f>
        <v>0</v>
      </c>
      <c r="U2066" s="26" t="str">
        <f>IFERROR(LEFT(I2065,FIND("*",I2065)-1),"-")</f>
        <v>-</v>
      </c>
      <c r="V2066" s="26" t="str">
        <f>IFERROR(RIGHT(I2065,LEN(I2065)-FIND("*",I2065)),"-")</f>
        <v>-</v>
      </c>
      <c r="W2066" s="27" t="str">
        <f t="shared" si="1120"/>
        <v>-</v>
      </c>
      <c r="X2066" s="27" t="str">
        <f t="shared" ref="X2066" si="1125">IFERROR(W2066*J2065,"-")</f>
        <v>-</v>
      </c>
      <c r="Z2066" s="94" t="s">
        <v>82</v>
      </c>
    </row>
    <row r="2067" spans="1:26" s="25" customFormat="1" ht="6.95" customHeight="1" x14ac:dyDescent="0.3">
      <c r="A2067" s="10"/>
      <c r="B2067" s="168"/>
      <c r="C2067" s="169"/>
      <c r="D2067" s="160"/>
      <c r="E2067" s="161"/>
      <c r="F2067" s="162"/>
      <c r="G2067" s="163"/>
      <c r="H2067" s="164"/>
      <c r="I2067" s="163"/>
      <c r="J2067" s="164"/>
      <c r="K2067" s="163"/>
      <c r="L2067" s="164"/>
      <c r="M2067" s="11"/>
      <c r="N2067" s="39"/>
      <c r="Q2067" s="15" t="str">
        <f>+CONCATENATE(E2065,K2065)</f>
        <v/>
      </c>
      <c r="R2067" s="15">
        <f>+L2065</f>
        <v>0</v>
      </c>
      <c r="S2067" s="16"/>
      <c r="T2067" s="15">
        <f>+E2065</f>
        <v>0</v>
      </c>
      <c r="U2067" s="26" t="str">
        <f>IFERROR(LEFT(K2065,FIND("*",K2065)-1),"-")</f>
        <v>-</v>
      </c>
      <c r="V2067" s="26" t="str">
        <f>IFERROR(RIGHT(K2065,LEN(K2065)-FIND("*",K2065)),"-")</f>
        <v>-</v>
      </c>
      <c r="W2067" s="27" t="str">
        <f t="shared" si="1120"/>
        <v>-</v>
      </c>
      <c r="X2067" s="27" t="str">
        <f>IFERROR(W2067*L2065,"-")</f>
        <v>-</v>
      </c>
      <c r="Z2067" s="94" t="s">
        <v>82</v>
      </c>
    </row>
    <row r="2068" spans="1:26" s="25" customFormat="1" ht="21" customHeight="1" thickBot="1" x14ac:dyDescent="0.35">
      <c r="A2068" s="10"/>
      <c r="B2068" s="170"/>
      <c r="C2068" s="171"/>
      <c r="D2068" s="172" t="s">
        <v>43</v>
      </c>
      <c r="E2068" s="173"/>
      <c r="F2068" s="173"/>
      <c r="G2068" s="174"/>
      <c r="H2068" s="174"/>
      <c r="I2068" s="174"/>
      <c r="J2068" s="174"/>
      <c r="K2068" s="174"/>
      <c r="L2068" s="174"/>
      <c r="M2068" s="12"/>
      <c r="N2068" s="39"/>
      <c r="U2068" s="23"/>
      <c r="V2068" s="23"/>
      <c r="Z2068" s="95" t="s">
        <v>81</v>
      </c>
    </row>
    <row r="2069" spans="1:26" s="25" customFormat="1" ht="9.9499999999999993" customHeight="1" thickBot="1" x14ac:dyDescent="0.35">
      <c r="A2069" s="6"/>
      <c r="B2069" s="14"/>
      <c r="C2069" s="119"/>
      <c r="D2069" s="58"/>
      <c r="E2069" s="17"/>
      <c r="F2069" s="58"/>
      <c r="G2069" s="19"/>
      <c r="H2069" s="19"/>
      <c r="I2069" s="19"/>
      <c r="J2069" s="19"/>
      <c r="K2069" s="19"/>
      <c r="L2069" s="19"/>
      <c r="M2069" s="14"/>
      <c r="N2069" s="39"/>
      <c r="Q2069" s="1"/>
      <c r="R2069" s="1"/>
      <c r="S2069" s="1"/>
      <c r="T2069" s="1"/>
      <c r="U2069" s="24"/>
      <c r="V2069" s="24"/>
      <c r="W2069" s="1"/>
      <c r="X2069" s="1"/>
      <c r="Z2069" s="94" t="s">
        <v>82</v>
      </c>
    </row>
    <row r="2070" spans="1:26" s="25" customFormat="1" ht="6.95" customHeight="1" x14ac:dyDescent="0.3">
      <c r="A2070" s="165">
        <f>+A2059+1</f>
        <v>189</v>
      </c>
      <c r="B2070" s="166"/>
      <c r="C2070" s="167"/>
      <c r="D2070" s="160" t="s">
        <v>39</v>
      </c>
      <c r="E2070" s="161"/>
      <c r="F2070" s="162" t="s">
        <v>40</v>
      </c>
      <c r="G2070" s="163"/>
      <c r="H2070" s="164"/>
      <c r="I2070" s="163"/>
      <c r="J2070" s="164"/>
      <c r="K2070" s="163"/>
      <c r="L2070" s="164"/>
      <c r="M2070" s="11"/>
      <c r="N2070" s="39"/>
      <c r="Q2070" s="15" t="str">
        <f>+CONCATENATE(E2070,G2070)</f>
        <v/>
      </c>
      <c r="R2070" s="15">
        <f>+H2070</f>
        <v>0</v>
      </c>
      <c r="S2070" s="16"/>
      <c r="T2070" s="15">
        <f>+E2070</f>
        <v>0</v>
      </c>
      <c r="U2070" s="26" t="str">
        <f>IFERROR(LEFT(G2070,FIND("*",G2070)-1),"-")</f>
        <v>-</v>
      </c>
      <c r="V2070" s="26" t="str">
        <f>IFERROR(RIGHT(G2070,LEN(G2070)-FIND("*",G2070)),"-")</f>
        <v>-</v>
      </c>
      <c r="W2070" s="27" t="str">
        <f>IFERROR((U2070+V2070)*2/1000,"-")</f>
        <v>-</v>
      </c>
      <c r="X2070" s="27" t="str">
        <f>IFERROR(W2070*H2070,"-")</f>
        <v>-</v>
      </c>
      <c r="Z2070" s="94" t="s">
        <v>82</v>
      </c>
    </row>
    <row r="2071" spans="1:26" s="25" customFormat="1" ht="6.95" customHeight="1" x14ac:dyDescent="0.3">
      <c r="A2071" s="165"/>
      <c r="B2071" s="168"/>
      <c r="C2071" s="169"/>
      <c r="D2071" s="160"/>
      <c r="E2071" s="161"/>
      <c r="F2071" s="162"/>
      <c r="G2071" s="163"/>
      <c r="H2071" s="164"/>
      <c r="I2071" s="163"/>
      <c r="J2071" s="164"/>
      <c r="K2071" s="163"/>
      <c r="L2071" s="164"/>
      <c r="M2071" s="11"/>
      <c r="N2071" s="39"/>
      <c r="Q2071" s="15" t="str">
        <f>+CONCATENATE(E2070,I2070)</f>
        <v/>
      </c>
      <c r="R2071" s="15">
        <f>+J2070</f>
        <v>0</v>
      </c>
      <c r="S2071" s="16"/>
      <c r="T2071" s="15">
        <f>+E2070</f>
        <v>0</v>
      </c>
      <c r="U2071" s="26" t="str">
        <f>IFERROR(LEFT(I2070,FIND("*",I2070)-1),"-")</f>
        <v>-</v>
      </c>
      <c r="V2071" s="26" t="str">
        <f>IFERROR(RIGHT(I2070,LEN(I2070)-FIND("*",I2070)),"-")</f>
        <v>-</v>
      </c>
      <c r="W2071" s="27" t="str">
        <f t="shared" ref="W2071:W2078" si="1126">IFERROR((U2071+V2071)*2/1000,"-")</f>
        <v>-</v>
      </c>
      <c r="X2071" s="27" t="str">
        <f>IFERROR(W2071*J2070,"-")</f>
        <v>-</v>
      </c>
      <c r="Z2071" s="94" t="s">
        <v>82</v>
      </c>
    </row>
    <row r="2072" spans="1:26" s="25" customFormat="1" ht="6.95" customHeight="1" x14ac:dyDescent="0.3">
      <c r="A2072" s="165"/>
      <c r="B2072" s="168"/>
      <c r="C2072" s="169"/>
      <c r="D2072" s="160"/>
      <c r="E2072" s="161"/>
      <c r="F2072" s="162"/>
      <c r="G2072" s="163"/>
      <c r="H2072" s="164"/>
      <c r="I2072" s="163"/>
      <c r="J2072" s="164"/>
      <c r="K2072" s="163"/>
      <c r="L2072" s="164"/>
      <c r="M2072" s="11"/>
      <c r="N2072" s="39"/>
      <c r="Q2072" s="15" t="str">
        <f>+CONCATENATE(E2070,K2070)</f>
        <v/>
      </c>
      <c r="R2072" s="15">
        <f>+L2070</f>
        <v>0</v>
      </c>
      <c r="S2072" s="16"/>
      <c r="T2072" s="15">
        <f>+E2070</f>
        <v>0</v>
      </c>
      <c r="U2072" s="26" t="str">
        <f>IFERROR(LEFT(K2070,FIND("*",K2070)-1),"-")</f>
        <v>-</v>
      </c>
      <c r="V2072" s="26" t="str">
        <f>IFERROR(RIGHT(K2070,LEN(K2070)-FIND("*",K2070)),"-")</f>
        <v>-</v>
      </c>
      <c r="W2072" s="27" t="str">
        <f t="shared" si="1126"/>
        <v>-</v>
      </c>
      <c r="X2072" s="27" t="str">
        <f>IFERROR(W2072*L2070,"-")</f>
        <v>-</v>
      </c>
      <c r="Z2072" s="94" t="s">
        <v>82</v>
      </c>
    </row>
    <row r="2073" spans="1:26" s="25" customFormat="1" ht="6.95" customHeight="1" x14ac:dyDescent="0.3">
      <c r="A2073" s="13"/>
      <c r="B2073" s="168"/>
      <c r="C2073" s="169"/>
      <c r="D2073" s="160" t="s">
        <v>39</v>
      </c>
      <c r="E2073" s="161"/>
      <c r="F2073" s="162" t="s">
        <v>40</v>
      </c>
      <c r="G2073" s="163"/>
      <c r="H2073" s="164"/>
      <c r="I2073" s="163"/>
      <c r="J2073" s="164"/>
      <c r="K2073" s="163"/>
      <c r="L2073" s="164"/>
      <c r="M2073" s="11"/>
      <c r="N2073" s="39"/>
      <c r="Q2073" s="15" t="str">
        <f>+CONCATENATE(E2073,G2073)</f>
        <v/>
      </c>
      <c r="R2073" s="15">
        <f>+H2073</f>
        <v>0</v>
      </c>
      <c r="S2073" s="16"/>
      <c r="T2073" s="15">
        <f>+E2073</f>
        <v>0</v>
      </c>
      <c r="U2073" s="26" t="str">
        <f t="shared" ref="U2073" si="1127">IFERROR(LEFT(G2073,FIND("*",G2073)-1),"-")</f>
        <v>-</v>
      </c>
      <c r="V2073" s="26" t="str">
        <f t="shared" ref="V2073" si="1128">IFERROR(RIGHT(G2073,LEN(G2073)-FIND("*",G2073)),"-")</f>
        <v>-</v>
      </c>
      <c r="W2073" s="27" t="str">
        <f t="shared" si="1126"/>
        <v>-</v>
      </c>
      <c r="X2073" s="27" t="str">
        <f>IFERROR(W2073*H2073,"-")</f>
        <v>-</v>
      </c>
      <c r="Z2073" s="94" t="s">
        <v>82</v>
      </c>
    </row>
    <row r="2074" spans="1:26" s="25" customFormat="1" ht="6.95" customHeight="1" x14ac:dyDescent="0.3">
      <c r="A2074" s="10"/>
      <c r="B2074" s="168"/>
      <c r="C2074" s="169"/>
      <c r="D2074" s="160"/>
      <c r="E2074" s="161"/>
      <c r="F2074" s="162"/>
      <c r="G2074" s="163"/>
      <c r="H2074" s="164"/>
      <c r="I2074" s="163"/>
      <c r="J2074" s="164"/>
      <c r="K2074" s="163"/>
      <c r="L2074" s="164"/>
      <c r="M2074" s="11"/>
      <c r="N2074" s="39"/>
      <c r="Q2074" s="15" t="str">
        <f>+CONCATENATE(E2073,I2073)</f>
        <v/>
      </c>
      <c r="R2074" s="15">
        <f>+J2073</f>
        <v>0</v>
      </c>
      <c r="S2074" s="16"/>
      <c r="T2074" s="15">
        <f>+E2073</f>
        <v>0</v>
      </c>
      <c r="U2074" s="26" t="str">
        <f>IFERROR(LEFT(I2073,FIND("*",I2073)-1),"-")</f>
        <v>-</v>
      </c>
      <c r="V2074" s="26" t="str">
        <f>IFERROR(RIGHT(I2073,LEN(I2073)-FIND("*",I2073)),"-")</f>
        <v>-</v>
      </c>
      <c r="W2074" s="27" t="str">
        <f t="shared" si="1126"/>
        <v>-</v>
      </c>
      <c r="X2074" s="27" t="str">
        <f>IFERROR(W2074*J2073,"-")</f>
        <v>-</v>
      </c>
      <c r="Z2074" s="94" t="s">
        <v>82</v>
      </c>
    </row>
    <row r="2075" spans="1:26" s="25" customFormat="1" ht="6.95" customHeight="1" x14ac:dyDescent="0.3">
      <c r="A2075" s="10"/>
      <c r="B2075" s="168"/>
      <c r="C2075" s="169"/>
      <c r="D2075" s="160"/>
      <c r="E2075" s="161"/>
      <c r="F2075" s="162"/>
      <c r="G2075" s="163"/>
      <c r="H2075" s="164"/>
      <c r="I2075" s="163"/>
      <c r="J2075" s="164"/>
      <c r="K2075" s="163"/>
      <c r="L2075" s="164"/>
      <c r="M2075" s="11"/>
      <c r="N2075" s="39"/>
      <c r="Q2075" s="15" t="str">
        <f>+CONCATENATE(E2073,K2073)</f>
        <v/>
      </c>
      <c r="R2075" s="15">
        <f>+L2073</f>
        <v>0</v>
      </c>
      <c r="S2075" s="16"/>
      <c r="T2075" s="15">
        <f>+E2073</f>
        <v>0</v>
      </c>
      <c r="U2075" s="26" t="str">
        <f>IFERROR(LEFT(K2073,FIND("*",K2073)-1),"-")</f>
        <v>-</v>
      </c>
      <c r="V2075" s="26" t="str">
        <f>IFERROR(RIGHT(K2073,LEN(K2073)-FIND("*",K2073)),"-")</f>
        <v>-</v>
      </c>
      <c r="W2075" s="27" t="str">
        <f t="shared" si="1126"/>
        <v>-</v>
      </c>
      <c r="X2075" s="27" t="str">
        <f>IFERROR(W2075*L2073,"-")</f>
        <v>-</v>
      </c>
      <c r="Z2075" s="94" t="s">
        <v>82</v>
      </c>
    </row>
    <row r="2076" spans="1:26" s="25" customFormat="1" ht="6.95" customHeight="1" x14ac:dyDescent="0.3">
      <c r="A2076" s="13"/>
      <c r="B2076" s="168"/>
      <c r="C2076" s="169"/>
      <c r="D2076" s="160" t="s">
        <v>39</v>
      </c>
      <c r="E2076" s="161"/>
      <c r="F2076" s="162" t="s">
        <v>40</v>
      </c>
      <c r="G2076" s="163"/>
      <c r="H2076" s="164"/>
      <c r="I2076" s="163"/>
      <c r="J2076" s="164"/>
      <c r="K2076" s="163"/>
      <c r="L2076" s="164"/>
      <c r="M2076" s="11"/>
      <c r="N2076" s="39"/>
      <c r="Q2076" s="15" t="str">
        <f>+CONCATENATE(E2076,G2076)</f>
        <v/>
      </c>
      <c r="R2076" s="15">
        <f>+H2076</f>
        <v>0</v>
      </c>
      <c r="S2076" s="16"/>
      <c r="T2076" s="15">
        <f>+E2076</f>
        <v>0</v>
      </c>
      <c r="U2076" s="26" t="str">
        <f t="shared" ref="U2076" si="1129">IFERROR(LEFT(G2076,FIND("*",G2076)-1),"-")</f>
        <v>-</v>
      </c>
      <c r="V2076" s="26" t="str">
        <f t="shared" ref="V2076" si="1130">IFERROR(RIGHT(G2076,LEN(G2076)-FIND("*",G2076)),"-")</f>
        <v>-</v>
      </c>
      <c r="W2076" s="27" t="str">
        <f t="shared" si="1126"/>
        <v>-</v>
      </c>
      <c r="X2076" s="27" t="str">
        <f>IFERROR(W2076*H2076,"-")</f>
        <v>-</v>
      </c>
      <c r="Z2076" s="94" t="s">
        <v>82</v>
      </c>
    </row>
    <row r="2077" spans="1:26" s="25" customFormat="1" ht="6.95" customHeight="1" x14ac:dyDescent="0.3">
      <c r="A2077" s="10"/>
      <c r="B2077" s="168"/>
      <c r="C2077" s="169"/>
      <c r="D2077" s="160"/>
      <c r="E2077" s="161"/>
      <c r="F2077" s="162"/>
      <c r="G2077" s="163"/>
      <c r="H2077" s="164"/>
      <c r="I2077" s="163"/>
      <c r="J2077" s="164"/>
      <c r="K2077" s="163"/>
      <c r="L2077" s="164"/>
      <c r="M2077" s="11"/>
      <c r="N2077" s="39"/>
      <c r="Q2077" s="15" t="str">
        <f>+CONCATENATE(E2076,I2076)</f>
        <v/>
      </c>
      <c r="R2077" s="15">
        <f>+J2076</f>
        <v>0</v>
      </c>
      <c r="S2077" s="16"/>
      <c r="T2077" s="15">
        <f>+E2076</f>
        <v>0</v>
      </c>
      <c r="U2077" s="26" t="str">
        <f>IFERROR(LEFT(I2076,FIND("*",I2076)-1),"-")</f>
        <v>-</v>
      </c>
      <c r="V2077" s="26" t="str">
        <f>IFERROR(RIGHT(I2076,LEN(I2076)-FIND("*",I2076)),"-")</f>
        <v>-</v>
      </c>
      <c r="W2077" s="27" t="str">
        <f t="shared" si="1126"/>
        <v>-</v>
      </c>
      <c r="X2077" s="27" t="str">
        <f t="shared" ref="X2077" si="1131">IFERROR(W2077*J2076,"-")</f>
        <v>-</v>
      </c>
      <c r="Z2077" s="94" t="s">
        <v>82</v>
      </c>
    </row>
    <row r="2078" spans="1:26" s="25" customFormat="1" ht="6.95" customHeight="1" x14ac:dyDescent="0.3">
      <c r="A2078" s="10"/>
      <c r="B2078" s="168"/>
      <c r="C2078" s="169"/>
      <c r="D2078" s="160"/>
      <c r="E2078" s="161"/>
      <c r="F2078" s="162"/>
      <c r="G2078" s="163"/>
      <c r="H2078" s="164"/>
      <c r="I2078" s="163"/>
      <c r="J2078" s="164"/>
      <c r="K2078" s="163"/>
      <c r="L2078" s="164"/>
      <c r="M2078" s="11"/>
      <c r="N2078" s="39"/>
      <c r="Q2078" s="15" t="str">
        <f>+CONCATENATE(E2076,K2076)</f>
        <v/>
      </c>
      <c r="R2078" s="15">
        <f>+L2076</f>
        <v>0</v>
      </c>
      <c r="S2078" s="16"/>
      <c r="T2078" s="15">
        <f>+E2076</f>
        <v>0</v>
      </c>
      <c r="U2078" s="26" t="str">
        <f>IFERROR(LEFT(K2076,FIND("*",K2076)-1),"-")</f>
        <v>-</v>
      </c>
      <c r="V2078" s="26" t="str">
        <f>IFERROR(RIGHT(K2076,LEN(K2076)-FIND("*",K2076)),"-")</f>
        <v>-</v>
      </c>
      <c r="W2078" s="27" t="str">
        <f t="shared" si="1126"/>
        <v>-</v>
      </c>
      <c r="X2078" s="27" t="str">
        <f>IFERROR(W2078*L2076,"-")</f>
        <v>-</v>
      </c>
      <c r="Z2078" s="94" t="s">
        <v>82</v>
      </c>
    </row>
    <row r="2079" spans="1:26" s="25" customFormat="1" ht="21" customHeight="1" thickBot="1" x14ac:dyDescent="0.35">
      <c r="A2079" s="10"/>
      <c r="B2079" s="170"/>
      <c r="C2079" s="171"/>
      <c r="D2079" s="172" t="s">
        <v>43</v>
      </c>
      <c r="E2079" s="173"/>
      <c r="F2079" s="173"/>
      <c r="G2079" s="174"/>
      <c r="H2079" s="174"/>
      <c r="I2079" s="174"/>
      <c r="J2079" s="174"/>
      <c r="K2079" s="174"/>
      <c r="L2079" s="174"/>
      <c r="M2079" s="12"/>
      <c r="N2079" s="39"/>
      <c r="U2079" s="23"/>
      <c r="V2079" s="23"/>
      <c r="Z2079" s="95" t="s">
        <v>81</v>
      </c>
    </row>
    <row r="2080" spans="1:26" s="25" customFormat="1" ht="9.9499999999999993" customHeight="1" thickBot="1" x14ac:dyDescent="0.35">
      <c r="A2080" s="6"/>
      <c r="B2080" s="14"/>
      <c r="C2080" s="119"/>
      <c r="D2080" s="58"/>
      <c r="E2080" s="17"/>
      <c r="F2080" s="58"/>
      <c r="G2080" s="19"/>
      <c r="H2080" s="19"/>
      <c r="I2080" s="19"/>
      <c r="J2080" s="19"/>
      <c r="K2080" s="19"/>
      <c r="L2080" s="19"/>
      <c r="M2080" s="14"/>
      <c r="N2080" s="39"/>
      <c r="Q2080" s="1"/>
      <c r="R2080" s="1"/>
      <c r="S2080" s="1"/>
      <c r="T2080" s="1"/>
      <c r="U2080" s="24"/>
      <c r="V2080" s="24"/>
      <c r="W2080" s="1"/>
      <c r="X2080" s="1"/>
      <c r="Z2080" s="94" t="s">
        <v>82</v>
      </c>
    </row>
    <row r="2081" spans="1:26" s="25" customFormat="1" ht="6.95" customHeight="1" x14ac:dyDescent="0.3">
      <c r="A2081" s="165">
        <f>+A2070+1</f>
        <v>190</v>
      </c>
      <c r="B2081" s="166"/>
      <c r="C2081" s="167"/>
      <c r="D2081" s="160" t="s">
        <v>39</v>
      </c>
      <c r="E2081" s="161"/>
      <c r="F2081" s="162" t="s">
        <v>40</v>
      </c>
      <c r="G2081" s="163"/>
      <c r="H2081" s="164"/>
      <c r="I2081" s="163"/>
      <c r="J2081" s="164"/>
      <c r="K2081" s="163"/>
      <c r="L2081" s="164"/>
      <c r="M2081" s="11"/>
      <c r="N2081" s="39"/>
      <c r="Q2081" s="15" t="str">
        <f>+CONCATENATE(E2081,G2081)</f>
        <v/>
      </c>
      <c r="R2081" s="15">
        <f>+H2081</f>
        <v>0</v>
      </c>
      <c r="S2081" s="16"/>
      <c r="T2081" s="15">
        <f>+E2081</f>
        <v>0</v>
      </c>
      <c r="U2081" s="26" t="str">
        <f>IFERROR(LEFT(G2081,FIND("*",G2081)-1),"-")</f>
        <v>-</v>
      </c>
      <c r="V2081" s="26" t="str">
        <f>IFERROR(RIGHT(G2081,LEN(G2081)-FIND("*",G2081)),"-")</f>
        <v>-</v>
      </c>
      <c r="W2081" s="27" t="str">
        <f>IFERROR((U2081+V2081)*2/1000,"-")</f>
        <v>-</v>
      </c>
      <c r="X2081" s="27" t="str">
        <f>IFERROR(W2081*H2081,"-")</f>
        <v>-</v>
      </c>
      <c r="Z2081" s="94" t="s">
        <v>82</v>
      </c>
    </row>
    <row r="2082" spans="1:26" s="25" customFormat="1" ht="6.95" customHeight="1" x14ac:dyDescent="0.3">
      <c r="A2082" s="165"/>
      <c r="B2082" s="168"/>
      <c r="C2082" s="169"/>
      <c r="D2082" s="160"/>
      <c r="E2082" s="161"/>
      <c r="F2082" s="162"/>
      <c r="G2082" s="163"/>
      <c r="H2082" s="164"/>
      <c r="I2082" s="163"/>
      <c r="J2082" s="164"/>
      <c r="K2082" s="163"/>
      <c r="L2082" s="164"/>
      <c r="M2082" s="11"/>
      <c r="N2082" s="39"/>
      <c r="Q2082" s="15" t="str">
        <f>+CONCATENATE(E2081,I2081)</f>
        <v/>
      </c>
      <c r="R2082" s="15">
        <f>+J2081</f>
        <v>0</v>
      </c>
      <c r="S2082" s="16"/>
      <c r="T2082" s="15">
        <f>+E2081</f>
        <v>0</v>
      </c>
      <c r="U2082" s="26" t="str">
        <f>IFERROR(LEFT(I2081,FIND("*",I2081)-1),"-")</f>
        <v>-</v>
      </c>
      <c r="V2082" s="26" t="str">
        <f>IFERROR(RIGHT(I2081,LEN(I2081)-FIND("*",I2081)),"-")</f>
        <v>-</v>
      </c>
      <c r="W2082" s="27" t="str">
        <f t="shared" ref="W2082:W2089" si="1132">IFERROR((U2082+V2082)*2/1000,"-")</f>
        <v>-</v>
      </c>
      <c r="X2082" s="27" t="str">
        <f>IFERROR(W2082*J2081,"-")</f>
        <v>-</v>
      </c>
      <c r="Z2082" s="94" t="s">
        <v>82</v>
      </c>
    </row>
    <row r="2083" spans="1:26" s="25" customFormat="1" ht="6.95" customHeight="1" x14ac:dyDescent="0.3">
      <c r="A2083" s="165"/>
      <c r="B2083" s="168"/>
      <c r="C2083" s="169"/>
      <c r="D2083" s="160"/>
      <c r="E2083" s="161"/>
      <c r="F2083" s="162"/>
      <c r="G2083" s="163"/>
      <c r="H2083" s="164"/>
      <c r="I2083" s="163"/>
      <c r="J2083" s="164"/>
      <c r="K2083" s="163"/>
      <c r="L2083" s="164"/>
      <c r="M2083" s="11"/>
      <c r="N2083" s="39"/>
      <c r="Q2083" s="15" t="str">
        <f>+CONCATENATE(E2081,K2081)</f>
        <v/>
      </c>
      <c r="R2083" s="15">
        <f>+L2081</f>
        <v>0</v>
      </c>
      <c r="S2083" s="16"/>
      <c r="T2083" s="15">
        <f>+E2081</f>
        <v>0</v>
      </c>
      <c r="U2083" s="26" t="str">
        <f>IFERROR(LEFT(K2081,FIND("*",K2081)-1),"-")</f>
        <v>-</v>
      </c>
      <c r="V2083" s="26" t="str">
        <f>IFERROR(RIGHT(K2081,LEN(K2081)-FIND("*",K2081)),"-")</f>
        <v>-</v>
      </c>
      <c r="W2083" s="27" t="str">
        <f t="shared" si="1132"/>
        <v>-</v>
      </c>
      <c r="X2083" s="27" t="str">
        <f>IFERROR(W2083*L2081,"-")</f>
        <v>-</v>
      </c>
      <c r="Z2083" s="94" t="s">
        <v>82</v>
      </c>
    </row>
    <row r="2084" spans="1:26" s="25" customFormat="1" ht="6.95" customHeight="1" x14ac:dyDescent="0.3">
      <c r="A2084" s="13"/>
      <c r="B2084" s="168"/>
      <c r="C2084" s="169"/>
      <c r="D2084" s="160" t="s">
        <v>39</v>
      </c>
      <c r="E2084" s="161"/>
      <c r="F2084" s="162" t="s">
        <v>40</v>
      </c>
      <c r="G2084" s="163"/>
      <c r="H2084" s="164"/>
      <c r="I2084" s="163"/>
      <c r="J2084" s="164"/>
      <c r="K2084" s="163"/>
      <c r="L2084" s="164"/>
      <c r="M2084" s="11"/>
      <c r="N2084" s="39"/>
      <c r="Q2084" s="15" t="str">
        <f>+CONCATENATE(E2084,G2084)</f>
        <v/>
      </c>
      <c r="R2084" s="15">
        <f>+H2084</f>
        <v>0</v>
      </c>
      <c r="S2084" s="16"/>
      <c r="T2084" s="15">
        <f>+E2084</f>
        <v>0</v>
      </c>
      <c r="U2084" s="26" t="str">
        <f t="shared" ref="U2084" si="1133">IFERROR(LEFT(G2084,FIND("*",G2084)-1),"-")</f>
        <v>-</v>
      </c>
      <c r="V2084" s="26" t="str">
        <f t="shared" ref="V2084" si="1134">IFERROR(RIGHT(G2084,LEN(G2084)-FIND("*",G2084)),"-")</f>
        <v>-</v>
      </c>
      <c r="W2084" s="27" t="str">
        <f t="shared" si="1132"/>
        <v>-</v>
      </c>
      <c r="X2084" s="27" t="str">
        <f>IFERROR(W2084*H2084,"-")</f>
        <v>-</v>
      </c>
      <c r="Z2084" s="94" t="s">
        <v>82</v>
      </c>
    </row>
    <row r="2085" spans="1:26" s="25" customFormat="1" ht="6.95" customHeight="1" x14ac:dyDescent="0.3">
      <c r="A2085" s="10"/>
      <c r="B2085" s="168"/>
      <c r="C2085" s="169"/>
      <c r="D2085" s="160"/>
      <c r="E2085" s="161"/>
      <c r="F2085" s="162"/>
      <c r="G2085" s="163"/>
      <c r="H2085" s="164"/>
      <c r="I2085" s="163"/>
      <c r="J2085" s="164"/>
      <c r="K2085" s="163"/>
      <c r="L2085" s="164"/>
      <c r="M2085" s="11"/>
      <c r="N2085" s="39"/>
      <c r="Q2085" s="15" t="str">
        <f>+CONCATENATE(E2084,I2084)</f>
        <v/>
      </c>
      <c r="R2085" s="15">
        <f>+J2084</f>
        <v>0</v>
      </c>
      <c r="S2085" s="16"/>
      <c r="T2085" s="15">
        <f>+E2084</f>
        <v>0</v>
      </c>
      <c r="U2085" s="26" t="str">
        <f>IFERROR(LEFT(I2084,FIND("*",I2084)-1),"-")</f>
        <v>-</v>
      </c>
      <c r="V2085" s="26" t="str">
        <f>IFERROR(RIGHT(I2084,LEN(I2084)-FIND("*",I2084)),"-")</f>
        <v>-</v>
      </c>
      <c r="W2085" s="27" t="str">
        <f t="shared" si="1132"/>
        <v>-</v>
      </c>
      <c r="X2085" s="27" t="str">
        <f>IFERROR(W2085*J2084,"-")</f>
        <v>-</v>
      </c>
      <c r="Z2085" s="94" t="s">
        <v>82</v>
      </c>
    </row>
    <row r="2086" spans="1:26" s="25" customFormat="1" ht="6.95" customHeight="1" x14ac:dyDescent="0.3">
      <c r="A2086" s="10"/>
      <c r="B2086" s="168"/>
      <c r="C2086" s="169"/>
      <c r="D2086" s="160"/>
      <c r="E2086" s="161"/>
      <c r="F2086" s="162"/>
      <c r="G2086" s="163"/>
      <c r="H2086" s="164"/>
      <c r="I2086" s="163"/>
      <c r="J2086" s="164"/>
      <c r="K2086" s="163"/>
      <c r="L2086" s="164"/>
      <c r="M2086" s="11"/>
      <c r="N2086" s="39"/>
      <c r="Q2086" s="15" t="str">
        <f>+CONCATENATE(E2084,K2084)</f>
        <v/>
      </c>
      <c r="R2086" s="15">
        <f>+L2084</f>
        <v>0</v>
      </c>
      <c r="S2086" s="16"/>
      <c r="T2086" s="15">
        <f>+E2084</f>
        <v>0</v>
      </c>
      <c r="U2086" s="26" t="str">
        <f>IFERROR(LEFT(K2084,FIND("*",K2084)-1),"-")</f>
        <v>-</v>
      </c>
      <c r="V2086" s="26" t="str">
        <f>IFERROR(RIGHT(K2084,LEN(K2084)-FIND("*",K2084)),"-")</f>
        <v>-</v>
      </c>
      <c r="W2086" s="27" t="str">
        <f t="shared" si="1132"/>
        <v>-</v>
      </c>
      <c r="X2086" s="27" t="str">
        <f>IFERROR(W2086*L2084,"-")</f>
        <v>-</v>
      </c>
      <c r="Z2086" s="94" t="s">
        <v>82</v>
      </c>
    </row>
    <row r="2087" spans="1:26" s="25" customFormat="1" ht="6.95" customHeight="1" x14ac:dyDescent="0.3">
      <c r="A2087" s="13"/>
      <c r="B2087" s="168"/>
      <c r="C2087" s="169"/>
      <c r="D2087" s="160" t="s">
        <v>39</v>
      </c>
      <c r="E2087" s="161"/>
      <c r="F2087" s="162" t="s">
        <v>40</v>
      </c>
      <c r="G2087" s="163"/>
      <c r="H2087" s="164"/>
      <c r="I2087" s="163"/>
      <c r="J2087" s="164"/>
      <c r="K2087" s="163"/>
      <c r="L2087" s="164"/>
      <c r="M2087" s="11"/>
      <c r="N2087" s="39"/>
      <c r="Q2087" s="15" t="str">
        <f>+CONCATENATE(E2087,G2087)</f>
        <v/>
      </c>
      <c r="R2087" s="15">
        <f>+H2087</f>
        <v>0</v>
      </c>
      <c r="S2087" s="16"/>
      <c r="T2087" s="15">
        <f>+E2087</f>
        <v>0</v>
      </c>
      <c r="U2087" s="26" t="str">
        <f t="shared" ref="U2087" si="1135">IFERROR(LEFT(G2087,FIND("*",G2087)-1),"-")</f>
        <v>-</v>
      </c>
      <c r="V2087" s="26" t="str">
        <f t="shared" ref="V2087" si="1136">IFERROR(RIGHT(G2087,LEN(G2087)-FIND("*",G2087)),"-")</f>
        <v>-</v>
      </c>
      <c r="W2087" s="27" t="str">
        <f t="shared" si="1132"/>
        <v>-</v>
      </c>
      <c r="X2087" s="27" t="str">
        <f>IFERROR(W2087*H2087,"-")</f>
        <v>-</v>
      </c>
      <c r="Z2087" s="94" t="s">
        <v>82</v>
      </c>
    </row>
    <row r="2088" spans="1:26" s="25" customFormat="1" ht="6.95" customHeight="1" x14ac:dyDescent="0.3">
      <c r="A2088" s="10"/>
      <c r="B2088" s="168"/>
      <c r="C2088" s="169"/>
      <c r="D2088" s="160"/>
      <c r="E2088" s="161"/>
      <c r="F2088" s="162"/>
      <c r="G2088" s="163"/>
      <c r="H2088" s="164"/>
      <c r="I2088" s="163"/>
      <c r="J2088" s="164"/>
      <c r="K2088" s="163"/>
      <c r="L2088" s="164"/>
      <c r="M2088" s="11"/>
      <c r="N2088" s="39"/>
      <c r="Q2088" s="15" t="str">
        <f>+CONCATENATE(E2087,I2087)</f>
        <v/>
      </c>
      <c r="R2088" s="15">
        <f>+J2087</f>
        <v>0</v>
      </c>
      <c r="S2088" s="16"/>
      <c r="T2088" s="15">
        <f>+E2087</f>
        <v>0</v>
      </c>
      <c r="U2088" s="26" t="str">
        <f>IFERROR(LEFT(I2087,FIND("*",I2087)-1),"-")</f>
        <v>-</v>
      </c>
      <c r="V2088" s="26" t="str">
        <f>IFERROR(RIGHT(I2087,LEN(I2087)-FIND("*",I2087)),"-")</f>
        <v>-</v>
      </c>
      <c r="W2088" s="27" t="str">
        <f t="shared" si="1132"/>
        <v>-</v>
      </c>
      <c r="X2088" s="27" t="str">
        <f t="shared" ref="X2088" si="1137">IFERROR(W2088*J2087,"-")</f>
        <v>-</v>
      </c>
      <c r="Z2088" s="94" t="s">
        <v>82</v>
      </c>
    </row>
    <row r="2089" spans="1:26" s="25" customFormat="1" ht="6.95" customHeight="1" x14ac:dyDescent="0.3">
      <c r="A2089" s="10"/>
      <c r="B2089" s="168"/>
      <c r="C2089" s="169"/>
      <c r="D2089" s="160"/>
      <c r="E2089" s="161"/>
      <c r="F2089" s="162"/>
      <c r="G2089" s="163"/>
      <c r="H2089" s="164"/>
      <c r="I2089" s="163"/>
      <c r="J2089" s="164"/>
      <c r="K2089" s="163"/>
      <c r="L2089" s="164"/>
      <c r="M2089" s="11"/>
      <c r="N2089" s="39"/>
      <c r="Q2089" s="15" t="str">
        <f>+CONCATENATE(E2087,K2087)</f>
        <v/>
      </c>
      <c r="R2089" s="15">
        <f>+L2087</f>
        <v>0</v>
      </c>
      <c r="S2089" s="16"/>
      <c r="T2089" s="15">
        <f>+E2087</f>
        <v>0</v>
      </c>
      <c r="U2089" s="26" t="str">
        <f>IFERROR(LEFT(K2087,FIND("*",K2087)-1),"-")</f>
        <v>-</v>
      </c>
      <c r="V2089" s="26" t="str">
        <f>IFERROR(RIGHT(K2087,LEN(K2087)-FIND("*",K2087)),"-")</f>
        <v>-</v>
      </c>
      <c r="W2089" s="27" t="str">
        <f t="shared" si="1132"/>
        <v>-</v>
      </c>
      <c r="X2089" s="27" t="str">
        <f>IFERROR(W2089*L2087,"-")</f>
        <v>-</v>
      </c>
      <c r="Z2089" s="94" t="s">
        <v>82</v>
      </c>
    </row>
    <row r="2090" spans="1:26" s="25" customFormat="1" ht="21" customHeight="1" thickBot="1" x14ac:dyDescent="0.35">
      <c r="A2090" s="10"/>
      <c r="B2090" s="170"/>
      <c r="C2090" s="171"/>
      <c r="D2090" s="172" t="s">
        <v>43</v>
      </c>
      <c r="E2090" s="173"/>
      <c r="F2090" s="173"/>
      <c r="G2090" s="174"/>
      <c r="H2090" s="174"/>
      <c r="I2090" s="174"/>
      <c r="J2090" s="174"/>
      <c r="K2090" s="174"/>
      <c r="L2090" s="174"/>
      <c r="M2090" s="12"/>
      <c r="N2090" s="39"/>
      <c r="U2090" s="23"/>
      <c r="V2090" s="23"/>
      <c r="Z2090" s="95" t="s">
        <v>81</v>
      </c>
    </row>
    <row r="2091" spans="1:26" s="25" customFormat="1" ht="9.9499999999999993" customHeight="1" thickBot="1" x14ac:dyDescent="0.35">
      <c r="A2091" s="6"/>
      <c r="B2091" s="14"/>
      <c r="C2091" s="119"/>
      <c r="D2091" s="58"/>
      <c r="E2091" s="17"/>
      <c r="F2091" s="58"/>
      <c r="G2091" s="19"/>
      <c r="H2091" s="19"/>
      <c r="I2091" s="19"/>
      <c r="J2091" s="19"/>
      <c r="K2091" s="19"/>
      <c r="L2091" s="19"/>
      <c r="M2091" s="14"/>
      <c r="N2091" s="39"/>
      <c r="Q2091" s="1"/>
      <c r="R2091" s="1"/>
      <c r="S2091" s="1"/>
      <c r="T2091" s="1"/>
      <c r="U2091" s="24"/>
      <c r="V2091" s="24"/>
      <c r="W2091" s="1"/>
      <c r="X2091" s="1"/>
      <c r="Z2091" s="94" t="s">
        <v>82</v>
      </c>
    </row>
    <row r="2092" spans="1:26" s="25" customFormat="1" ht="6.95" customHeight="1" x14ac:dyDescent="0.3">
      <c r="A2092" s="165">
        <f>+A2081+1</f>
        <v>191</v>
      </c>
      <c r="B2092" s="166"/>
      <c r="C2092" s="167"/>
      <c r="D2092" s="160" t="s">
        <v>39</v>
      </c>
      <c r="E2092" s="161"/>
      <c r="F2092" s="162" t="s">
        <v>40</v>
      </c>
      <c r="G2092" s="163"/>
      <c r="H2092" s="164"/>
      <c r="I2092" s="163"/>
      <c r="J2092" s="164"/>
      <c r="K2092" s="163"/>
      <c r="L2092" s="164"/>
      <c r="M2092" s="11"/>
      <c r="N2092" s="39"/>
      <c r="Q2092" s="15" t="str">
        <f>+CONCATENATE(E2092,G2092)</f>
        <v/>
      </c>
      <c r="R2092" s="15">
        <f>+H2092</f>
        <v>0</v>
      </c>
      <c r="S2092" s="16"/>
      <c r="T2092" s="15">
        <f>+E2092</f>
        <v>0</v>
      </c>
      <c r="U2092" s="26" t="str">
        <f>IFERROR(LEFT(G2092,FIND("*",G2092)-1),"-")</f>
        <v>-</v>
      </c>
      <c r="V2092" s="26" t="str">
        <f>IFERROR(RIGHT(G2092,LEN(G2092)-FIND("*",G2092)),"-")</f>
        <v>-</v>
      </c>
      <c r="W2092" s="27" t="str">
        <f>IFERROR((U2092+V2092)*2/1000,"-")</f>
        <v>-</v>
      </c>
      <c r="X2092" s="27" t="str">
        <f>IFERROR(W2092*H2092,"-")</f>
        <v>-</v>
      </c>
      <c r="Z2092" s="94" t="s">
        <v>82</v>
      </c>
    </row>
    <row r="2093" spans="1:26" s="25" customFormat="1" ht="6.95" customHeight="1" x14ac:dyDescent="0.3">
      <c r="A2093" s="165"/>
      <c r="B2093" s="168"/>
      <c r="C2093" s="169"/>
      <c r="D2093" s="160"/>
      <c r="E2093" s="161"/>
      <c r="F2093" s="162"/>
      <c r="G2093" s="163"/>
      <c r="H2093" s="164"/>
      <c r="I2093" s="163"/>
      <c r="J2093" s="164"/>
      <c r="K2093" s="163"/>
      <c r="L2093" s="164"/>
      <c r="M2093" s="11"/>
      <c r="N2093" s="39"/>
      <c r="Q2093" s="15" t="str">
        <f>+CONCATENATE(E2092,I2092)</f>
        <v/>
      </c>
      <c r="R2093" s="15">
        <f>+J2092</f>
        <v>0</v>
      </c>
      <c r="S2093" s="16"/>
      <c r="T2093" s="15">
        <f>+E2092</f>
        <v>0</v>
      </c>
      <c r="U2093" s="26" t="str">
        <f>IFERROR(LEFT(I2092,FIND("*",I2092)-1),"-")</f>
        <v>-</v>
      </c>
      <c r="V2093" s="26" t="str">
        <f>IFERROR(RIGHT(I2092,LEN(I2092)-FIND("*",I2092)),"-")</f>
        <v>-</v>
      </c>
      <c r="W2093" s="27" t="str">
        <f t="shared" ref="W2093:W2100" si="1138">IFERROR((U2093+V2093)*2/1000,"-")</f>
        <v>-</v>
      </c>
      <c r="X2093" s="27" t="str">
        <f>IFERROR(W2093*J2092,"-")</f>
        <v>-</v>
      </c>
      <c r="Z2093" s="94" t="s">
        <v>82</v>
      </c>
    </row>
    <row r="2094" spans="1:26" s="25" customFormat="1" ht="6.95" customHeight="1" x14ac:dyDescent="0.3">
      <c r="A2094" s="165"/>
      <c r="B2094" s="168"/>
      <c r="C2094" s="169"/>
      <c r="D2094" s="160"/>
      <c r="E2094" s="161"/>
      <c r="F2094" s="162"/>
      <c r="G2094" s="163"/>
      <c r="H2094" s="164"/>
      <c r="I2094" s="163"/>
      <c r="J2094" s="164"/>
      <c r="K2094" s="163"/>
      <c r="L2094" s="164"/>
      <c r="M2094" s="11"/>
      <c r="N2094" s="39"/>
      <c r="Q2094" s="15" t="str">
        <f>+CONCATENATE(E2092,K2092)</f>
        <v/>
      </c>
      <c r="R2094" s="15">
        <f>+L2092</f>
        <v>0</v>
      </c>
      <c r="S2094" s="16"/>
      <c r="T2094" s="15">
        <f>+E2092</f>
        <v>0</v>
      </c>
      <c r="U2094" s="26" t="str">
        <f>IFERROR(LEFT(K2092,FIND("*",K2092)-1),"-")</f>
        <v>-</v>
      </c>
      <c r="V2094" s="26" t="str">
        <f>IFERROR(RIGHT(K2092,LEN(K2092)-FIND("*",K2092)),"-")</f>
        <v>-</v>
      </c>
      <c r="W2094" s="27" t="str">
        <f t="shared" si="1138"/>
        <v>-</v>
      </c>
      <c r="X2094" s="27" t="str">
        <f>IFERROR(W2094*L2092,"-")</f>
        <v>-</v>
      </c>
      <c r="Z2094" s="94" t="s">
        <v>82</v>
      </c>
    </row>
    <row r="2095" spans="1:26" s="25" customFormat="1" ht="6.95" customHeight="1" x14ac:dyDescent="0.3">
      <c r="A2095" s="13"/>
      <c r="B2095" s="168"/>
      <c r="C2095" s="169"/>
      <c r="D2095" s="160" t="s">
        <v>39</v>
      </c>
      <c r="E2095" s="161"/>
      <c r="F2095" s="162" t="s">
        <v>40</v>
      </c>
      <c r="G2095" s="163"/>
      <c r="H2095" s="164"/>
      <c r="I2095" s="163"/>
      <c r="J2095" s="164"/>
      <c r="K2095" s="163"/>
      <c r="L2095" s="164"/>
      <c r="M2095" s="11"/>
      <c r="N2095" s="39"/>
      <c r="Q2095" s="15" t="str">
        <f>+CONCATENATE(E2095,G2095)</f>
        <v/>
      </c>
      <c r="R2095" s="15">
        <f>+H2095</f>
        <v>0</v>
      </c>
      <c r="S2095" s="16"/>
      <c r="T2095" s="15">
        <f>+E2095</f>
        <v>0</v>
      </c>
      <c r="U2095" s="26" t="str">
        <f t="shared" ref="U2095" si="1139">IFERROR(LEFT(G2095,FIND("*",G2095)-1),"-")</f>
        <v>-</v>
      </c>
      <c r="V2095" s="26" t="str">
        <f t="shared" ref="V2095" si="1140">IFERROR(RIGHT(G2095,LEN(G2095)-FIND("*",G2095)),"-")</f>
        <v>-</v>
      </c>
      <c r="W2095" s="27" t="str">
        <f t="shared" si="1138"/>
        <v>-</v>
      </c>
      <c r="X2095" s="27" t="str">
        <f>IFERROR(W2095*H2095,"-")</f>
        <v>-</v>
      </c>
      <c r="Z2095" s="94" t="s">
        <v>82</v>
      </c>
    </row>
    <row r="2096" spans="1:26" s="25" customFormat="1" ht="6.95" customHeight="1" x14ac:dyDescent="0.3">
      <c r="A2096" s="10"/>
      <c r="B2096" s="168"/>
      <c r="C2096" s="169"/>
      <c r="D2096" s="160"/>
      <c r="E2096" s="161"/>
      <c r="F2096" s="162"/>
      <c r="G2096" s="163"/>
      <c r="H2096" s="164"/>
      <c r="I2096" s="163"/>
      <c r="J2096" s="164"/>
      <c r="K2096" s="163"/>
      <c r="L2096" s="164"/>
      <c r="M2096" s="11"/>
      <c r="N2096" s="39"/>
      <c r="Q2096" s="15" t="str">
        <f>+CONCATENATE(E2095,I2095)</f>
        <v/>
      </c>
      <c r="R2096" s="15">
        <f>+J2095</f>
        <v>0</v>
      </c>
      <c r="S2096" s="16"/>
      <c r="T2096" s="15">
        <f>+E2095</f>
        <v>0</v>
      </c>
      <c r="U2096" s="26" t="str">
        <f>IFERROR(LEFT(I2095,FIND("*",I2095)-1),"-")</f>
        <v>-</v>
      </c>
      <c r="V2096" s="26" t="str">
        <f>IFERROR(RIGHT(I2095,LEN(I2095)-FIND("*",I2095)),"-")</f>
        <v>-</v>
      </c>
      <c r="W2096" s="27" t="str">
        <f t="shared" si="1138"/>
        <v>-</v>
      </c>
      <c r="X2096" s="27" t="str">
        <f>IFERROR(W2096*J2095,"-")</f>
        <v>-</v>
      </c>
      <c r="Z2096" s="94" t="s">
        <v>82</v>
      </c>
    </row>
    <row r="2097" spans="1:26" s="25" customFormat="1" ht="6.95" customHeight="1" x14ac:dyDescent="0.3">
      <c r="A2097" s="10"/>
      <c r="B2097" s="168"/>
      <c r="C2097" s="169"/>
      <c r="D2097" s="160"/>
      <c r="E2097" s="161"/>
      <c r="F2097" s="162"/>
      <c r="G2097" s="163"/>
      <c r="H2097" s="164"/>
      <c r="I2097" s="163"/>
      <c r="J2097" s="164"/>
      <c r="K2097" s="163"/>
      <c r="L2097" s="164"/>
      <c r="M2097" s="11"/>
      <c r="N2097" s="39"/>
      <c r="Q2097" s="15" t="str">
        <f>+CONCATENATE(E2095,K2095)</f>
        <v/>
      </c>
      <c r="R2097" s="15">
        <f>+L2095</f>
        <v>0</v>
      </c>
      <c r="S2097" s="16"/>
      <c r="T2097" s="15">
        <f>+E2095</f>
        <v>0</v>
      </c>
      <c r="U2097" s="26" t="str">
        <f>IFERROR(LEFT(K2095,FIND("*",K2095)-1),"-")</f>
        <v>-</v>
      </c>
      <c r="V2097" s="26" t="str">
        <f>IFERROR(RIGHT(K2095,LEN(K2095)-FIND("*",K2095)),"-")</f>
        <v>-</v>
      </c>
      <c r="W2097" s="27" t="str">
        <f t="shared" si="1138"/>
        <v>-</v>
      </c>
      <c r="X2097" s="27" t="str">
        <f>IFERROR(W2097*L2095,"-")</f>
        <v>-</v>
      </c>
      <c r="Z2097" s="94" t="s">
        <v>82</v>
      </c>
    </row>
    <row r="2098" spans="1:26" s="25" customFormat="1" ht="6.95" customHeight="1" x14ac:dyDescent="0.3">
      <c r="A2098" s="13"/>
      <c r="B2098" s="168"/>
      <c r="C2098" s="169"/>
      <c r="D2098" s="160" t="s">
        <v>39</v>
      </c>
      <c r="E2098" s="161"/>
      <c r="F2098" s="162" t="s">
        <v>40</v>
      </c>
      <c r="G2098" s="163"/>
      <c r="H2098" s="164"/>
      <c r="I2098" s="163"/>
      <c r="J2098" s="164"/>
      <c r="K2098" s="163"/>
      <c r="L2098" s="164"/>
      <c r="M2098" s="11"/>
      <c r="N2098" s="39"/>
      <c r="Q2098" s="15" t="str">
        <f>+CONCATENATE(E2098,G2098)</f>
        <v/>
      </c>
      <c r="R2098" s="15">
        <f>+H2098</f>
        <v>0</v>
      </c>
      <c r="S2098" s="16"/>
      <c r="T2098" s="15">
        <f>+E2098</f>
        <v>0</v>
      </c>
      <c r="U2098" s="26" t="str">
        <f t="shared" ref="U2098" si="1141">IFERROR(LEFT(G2098,FIND("*",G2098)-1),"-")</f>
        <v>-</v>
      </c>
      <c r="V2098" s="26" t="str">
        <f t="shared" ref="V2098" si="1142">IFERROR(RIGHT(G2098,LEN(G2098)-FIND("*",G2098)),"-")</f>
        <v>-</v>
      </c>
      <c r="W2098" s="27" t="str">
        <f t="shared" si="1138"/>
        <v>-</v>
      </c>
      <c r="X2098" s="27" t="str">
        <f>IFERROR(W2098*H2098,"-")</f>
        <v>-</v>
      </c>
      <c r="Z2098" s="94" t="s">
        <v>82</v>
      </c>
    </row>
    <row r="2099" spans="1:26" s="25" customFormat="1" ht="6.95" customHeight="1" x14ac:dyDescent="0.3">
      <c r="A2099" s="10"/>
      <c r="B2099" s="168"/>
      <c r="C2099" s="169"/>
      <c r="D2099" s="160"/>
      <c r="E2099" s="161"/>
      <c r="F2099" s="162"/>
      <c r="G2099" s="163"/>
      <c r="H2099" s="164"/>
      <c r="I2099" s="163"/>
      <c r="J2099" s="164"/>
      <c r="K2099" s="163"/>
      <c r="L2099" s="164"/>
      <c r="M2099" s="11"/>
      <c r="N2099" s="39"/>
      <c r="Q2099" s="15" t="str">
        <f>+CONCATENATE(E2098,I2098)</f>
        <v/>
      </c>
      <c r="R2099" s="15">
        <f>+J2098</f>
        <v>0</v>
      </c>
      <c r="S2099" s="16"/>
      <c r="T2099" s="15">
        <f>+E2098</f>
        <v>0</v>
      </c>
      <c r="U2099" s="26" t="str">
        <f>IFERROR(LEFT(I2098,FIND("*",I2098)-1),"-")</f>
        <v>-</v>
      </c>
      <c r="V2099" s="26" t="str">
        <f>IFERROR(RIGHT(I2098,LEN(I2098)-FIND("*",I2098)),"-")</f>
        <v>-</v>
      </c>
      <c r="W2099" s="27" t="str">
        <f t="shared" si="1138"/>
        <v>-</v>
      </c>
      <c r="X2099" s="27" t="str">
        <f t="shared" ref="X2099" si="1143">IFERROR(W2099*J2098,"-")</f>
        <v>-</v>
      </c>
      <c r="Z2099" s="94" t="s">
        <v>82</v>
      </c>
    </row>
    <row r="2100" spans="1:26" s="25" customFormat="1" ht="6.95" customHeight="1" x14ac:dyDescent="0.3">
      <c r="A2100" s="10"/>
      <c r="B2100" s="168"/>
      <c r="C2100" s="169"/>
      <c r="D2100" s="160"/>
      <c r="E2100" s="161"/>
      <c r="F2100" s="162"/>
      <c r="G2100" s="163"/>
      <c r="H2100" s="164"/>
      <c r="I2100" s="163"/>
      <c r="J2100" s="164"/>
      <c r="K2100" s="163"/>
      <c r="L2100" s="164"/>
      <c r="M2100" s="11"/>
      <c r="N2100" s="39"/>
      <c r="Q2100" s="15" t="str">
        <f>+CONCATENATE(E2098,K2098)</f>
        <v/>
      </c>
      <c r="R2100" s="15">
        <f>+L2098</f>
        <v>0</v>
      </c>
      <c r="S2100" s="16"/>
      <c r="T2100" s="15">
        <f>+E2098</f>
        <v>0</v>
      </c>
      <c r="U2100" s="26" t="str">
        <f>IFERROR(LEFT(K2098,FIND("*",K2098)-1),"-")</f>
        <v>-</v>
      </c>
      <c r="V2100" s="26" t="str">
        <f>IFERROR(RIGHT(K2098,LEN(K2098)-FIND("*",K2098)),"-")</f>
        <v>-</v>
      </c>
      <c r="W2100" s="27" t="str">
        <f t="shared" si="1138"/>
        <v>-</v>
      </c>
      <c r="X2100" s="27" t="str">
        <f>IFERROR(W2100*L2098,"-")</f>
        <v>-</v>
      </c>
      <c r="Z2100" s="94" t="s">
        <v>82</v>
      </c>
    </row>
    <row r="2101" spans="1:26" s="25" customFormat="1" ht="21" customHeight="1" thickBot="1" x14ac:dyDescent="0.35">
      <c r="A2101" s="10"/>
      <c r="B2101" s="170"/>
      <c r="C2101" s="171"/>
      <c r="D2101" s="172" t="s">
        <v>43</v>
      </c>
      <c r="E2101" s="173"/>
      <c r="F2101" s="173"/>
      <c r="G2101" s="174"/>
      <c r="H2101" s="174"/>
      <c r="I2101" s="174"/>
      <c r="J2101" s="174"/>
      <c r="K2101" s="174"/>
      <c r="L2101" s="174"/>
      <c r="M2101" s="12"/>
      <c r="N2101" s="39"/>
      <c r="U2101" s="23"/>
      <c r="V2101" s="23"/>
      <c r="Z2101" s="95" t="s">
        <v>81</v>
      </c>
    </row>
    <row r="2102" spans="1:26" s="25" customFormat="1" ht="9.9499999999999993" customHeight="1" thickBot="1" x14ac:dyDescent="0.35">
      <c r="A2102" s="6"/>
      <c r="B2102" s="14"/>
      <c r="C2102" s="119"/>
      <c r="D2102" s="58"/>
      <c r="E2102" s="17"/>
      <c r="F2102" s="58"/>
      <c r="G2102" s="19"/>
      <c r="H2102" s="19"/>
      <c r="I2102" s="19"/>
      <c r="J2102" s="19"/>
      <c r="K2102" s="19"/>
      <c r="L2102" s="19"/>
      <c r="M2102" s="14"/>
      <c r="N2102" s="39"/>
      <c r="Q2102" s="1"/>
      <c r="R2102" s="1"/>
      <c r="S2102" s="1"/>
      <c r="T2102" s="1"/>
      <c r="U2102" s="24"/>
      <c r="V2102" s="24"/>
      <c r="W2102" s="1"/>
      <c r="X2102" s="1"/>
      <c r="Z2102" s="94" t="s">
        <v>82</v>
      </c>
    </row>
    <row r="2103" spans="1:26" s="25" customFormat="1" ht="6.95" customHeight="1" x14ac:dyDescent="0.3">
      <c r="A2103" s="165">
        <f>+A2092+1</f>
        <v>192</v>
      </c>
      <c r="B2103" s="166"/>
      <c r="C2103" s="167"/>
      <c r="D2103" s="160" t="s">
        <v>39</v>
      </c>
      <c r="E2103" s="161"/>
      <c r="F2103" s="162" t="s">
        <v>40</v>
      </c>
      <c r="G2103" s="163"/>
      <c r="H2103" s="164"/>
      <c r="I2103" s="163"/>
      <c r="J2103" s="164"/>
      <c r="K2103" s="163"/>
      <c r="L2103" s="164"/>
      <c r="M2103" s="11"/>
      <c r="N2103" s="39"/>
      <c r="Q2103" s="15" t="str">
        <f>+CONCATENATE(E2103,G2103)</f>
        <v/>
      </c>
      <c r="R2103" s="15">
        <f>+H2103</f>
        <v>0</v>
      </c>
      <c r="S2103" s="16"/>
      <c r="T2103" s="15">
        <f>+E2103</f>
        <v>0</v>
      </c>
      <c r="U2103" s="26" t="str">
        <f>IFERROR(LEFT(G2103,FIND("*",G2103)-1),"-")</f>
        <v>-</v>
      </c>
      <c r="V2103" s="26" t="str">
        <f>IFERROR(RIGHT(G2103,LEN(G2103)-FIND("*",G2103)),"-")</f>
        <v>-</v>
      </c>
      <c r="W2103" s="27" t="str">
        <f>IFERROR((U2103+V2103)*2/1000,"-")</f>
        <v>-</v>
      </c>
      <c r="X2103" s="27" t="str">
        <f>IFERROR(W2103*H2103,"-")</f>
        <v>-</v>
      </c>
      <c r="Z2103" s="94" t="s">
        <v>82</v>
      </c>
    </row>
    <row r="2104" spans="1:26" s="25" customFormat="1" ht="6.95" customHeight="1" x14ac:dyDescent="0.3">
      <c r="A2104" s="165"/>
      <c r="B2104" s="168"/>
      <c r="C2104" s="169"/>
      <c r="D2104" s="160"/>
      <c r="E2104" s="161"/>
      <c r="F2104" s="162"/>
      <c r="G2104" s="163"/>
      <c r="H2104" s="164"/>
      <c r="I2104" s="163"/>
      <c r="J2104" s="164"/>
      <c r="K2104" s="163"/>
      <c r="L2104" s="164"/>
      <c r="M2104" s="11"/>
      <c r="N2104" s="39"/>
      <c r="Q2104" s="15" t="str">
        <f>+CONCATENATE(E2103,I2103)</f>
        <v/>
      </c>
      <c r="R2104" s="15">
        <f>+J2103</f>
        <v>0</v>
      </c>
      <c r="S2104" s="16"/>
      <c r="T2104" s="15">
        <f>+E2103</f>
        <v>0</v>
      </c>
      <c r="U2104" s="26" t="str">
        <f>IFERROR(LEFT(I2103,FIND("*",I2103)-1),"-")</f>
        <v>-</v>
      </c>
      <c r="V2104" s="26" t="str">
        <f>IFERROR(RIGHT(I2103,LEN(I2103)-FIND("*",I2103)),"-")</f>
        <v>-</v>
      </c>
      <c r="W2104" s="27" t="str">
        <f t="shared" ref="W2104:W2111" si="1144">IFERROR((U2104+V2104)*2/1000,"-")</f>
        <v>-</v>
      </c>
      <c r="X2104" s="27" t="str">
        <f>IFERROR(W2104*J2103,"-")</f>
        <v>-</v>
      </c>
      <c r="Z2104" s="94" t="s">
        <v>82</v>
      </c>
    </row>
    <row r="2105" spans="1:26" s="25" customFormat="1" ht="6.95" customHeight="1" x14ac:dyDescent="0.3">
      <c r="A2105" s="165"/>
      <c r="B2105" s="168"/>
      <c r="C2105" s="169"/>
      <c r="D2105" s="160"/>
      <c r="E2105" s="161"/>
      <c r="F2105" s="162"/>
      <c r="G2105" s="163"/>
      <c r="H2105" s="164"/>
      <c r="I2105" s="163"/>
      <c r="J2105" s="164"/>
      <c r="K2105" s="163"/>
      <c r="L2105" s="164"/>
      <c r="M2105" s="11"/>
      <c r="N2105" s="39"/>
      <c r="Q2105" s="15" t="str">
        <f>+CONCATENATE(E2103,K2103)</f>
        <v/>
      </c>
      <c r="R2105" s="15">
        <f>+L2103</f>
        <v>0</v>
      </c>
      <c r="S2105" s="16"/>
      <c r="T2105" s="15">
        <f>+E2103</f>
        <v>0</v>
      </c>
      <c r="U2105" s="26" t="str">
        <f>IFERROR(LEFT(K2103,FIND("*",K2103)-1),"-")</f>
        <v>-</v>
      </c>
      <c r="V2105" s="26" t="str">
        <f>IFERROR(RIGHT(K2103,LEN(K2103)-FIND("*",K2103)),"-")</f>
        <v>-</v>
      </c>
      <c r="W2105" s="27" t="str">
        <f t="shared" si="1144"/>
        <v>-</v>
      </c>
      <c r="X2105" s="27" t="str">
        <f>IFERROR(W2105*L2103,"-")</f>
        <v>-</v>
      </c>
      <c r="Z2105" s="94" t="s">
        <v>82</v>
      </c>
    </row>
    <row r="2106" spans="1:26" s="25" customFormat="1" ht="6.95" customHeight="1" x14ac:dyDescent="0.3">
      <c r="A2106" s="13"/>
      <c r="B2106" s="168"/>
      <c r="C2106" s="169"/>
      <c r="D2106" s="160" t="s">
        <v>39</v>
      </c>
      <c r="E2106" s="161"/>
      <c r="F2106" s="162" t="s">
        <v>40</v>
      </c>
      <c r="G2106" s="163"/>
      <c r="H2106" s="164"/>
      <c r="I2106" s="163"/>
      <c r="J2106" s="164"/>
      <c r="K2106" s="163"/>
      <c r="L2106" s="164"/>
      <c r="M2106" s="11"/>
      <c r="N2106" s="39"/>
      <c r="Q2106" s="15" t="str">
        <f>+CONCATENATE(E2106,G2106)</f>
        <v/>
      </c>
      <c r="R2106" s="15">
        <f>+H2106</f>
        <v>0</v>
      </c>
      <c r="S2106" s="16"/>
      <c r="T2106" s="15">
        <f>+E2106</f>
        <v>0</v>
      </c>
      <c r="U2106" s="26" t="str">
        <f t="shared" ref="U2106" si="1145">IFERROR(LEFT(G2106,FIND("*",G2106)-1),"-")</f>
        <v>-</v>
      </c>
      <c r="V2106" s="26" t="str">
        <f t="shared" ref="V2106" si="1146">IFERROR(RIGHT(G2106,LEN(G2106)-FIND("*",G2106)),"-")</f>
        <v>-</v>
      </c>
      <c r="W2106" s="27" t="str">
        <f t="shared" si="1144"/>
        <v>-</v>
      </c>
      <c r="X2106" s="27" t="str">
        <f>IFERROR(W2106*H2106,"-")</f>
        <v>-</v>
      </c>
      <c r="Z2106" s="94" t="s">
        <v>82</v>
      </c>
    </row>
    <row r="2107" spans="1:26" s="25" customFormat="1" ht="6.95" customHeight="1" x14ac:dyDescent="0.3">
      <c r="A2107" s="10"/>
      <c r="B2107" s="168"/>
      <c r="C2107" s="169"/>
      <c r="D2107" s="160"/>
      <c r="E2107" s="161"/>
      <c r="F2107" s="162"/>
      <c r="G2107" s="163"/>
      <c r="H2107" s="164"/>
      <c r="I2107" s="163"/>
      <c r="J2107" s="164"/>
      <c r="K2107" s="163"/>
      <c r="L2107" s="164"/>
      <c r="M2107" s="11"/>
      <c r="N2107" s="39"/>
      <c r="Q2107" s="15" t="str">
        <f>+CONCATENATE(E2106,I2106)</f>
        <v/>
      </c>
      <c r="R2107" s="15">
        <f>+J2106</f>
        <v>0</v>
      </c>
      <c r="S2107" s="16"/>
      <c r="T2107" s="15">
        <f>+E2106</f>
        <v>0</v>
      </c>
      <c r="U2107" s="26" t="str">
        <f>IFERROR(LEFT(I2106,FIND("*",I2106)-1),"-")</f>
        <v>-</v>
      </c>
      <c r="V2107" s="26" t="str">
        <f>IFERROR(RIGHT(I2106,LEN(I2106)-FIND("*",I2106)),"-")</f>
        <v>-</v>
      </c>
      <c r="W2107" s="27" t="str">
        <f t="shared" si="1144"/>
        <v>-</v>
      </c>
      <c r="X2107" s="27" t="str">
        <f>IFERROR(W2107*J2106,"-")</f>
        <v>-</v>
      </c>
      <c r="Z2107" s="94" t="s">
        <v>82</v>
      </c>
    </row>
    <row r="2108" spans="1:26" s="25" customFormat="1" ht="6.95" customHeight="1" x14ac:dyDescent="0.3">
      <c r="A2108" s="10"/>
      <c r="B2108" s="168"/>
      <c r="C2108" s="169"/>
      <c r="D2108" s="160"/>
      <c r="E2108" s="161"/>
      <c r="F2108" s="162"/>
      <c r="G2108" s="163"/>
      <c r="H2108" s="164"/>
      <c r="I2108" s="163"/>
      <c r="J2108" s="164"/>
      <c r="K2108" s="163"/>
      <c r="L2108" s="164"/>
      <c r="M2108" s="11"/>
      <c r="N2108" s="39"/>
      <c r="Q2108" s="15" t="str">
        <f>+CONCATENATE(E2106,K2106)</f>
        <v/>
      </c>
      <c r="R2108" s="15">
        <f>+L2106</f>
        <v>0</v>
      </c>
      <c r="S2108" s="16"/>
      <c r="T2108" s="15">
        <f>+E2106</f>
        <v>0</v>
      </c>
      <c r="U2108" s="26" t="str">
        <f>IFERROR(LEFT(K2106,FIND("*",K2106)-1),"-")</f>
        <v>-</v>
      </c>
      <c r="V2108" s="26" t="str">
        <f>IFERROR(RIGHT(K2106,LEN(K2106)-FIND("*",K2106)),"-")</f>
        <v>-</v>
      </c>
      <c r="W2108" s="27" t="str">
        <f t="shared" si="1144"/>
        <v>-</v>
      </c>
      <c r="X2108" s="27" t="str">
        <f>IFERROR(W2108*L2106,"-")</f>
        <v>-</v>
      </c>
      <c r="Z2108" s="94" t="s">
        <v>82</v>
      </c>
    </row>
    <row r="2109" spans="1:26" s="25" customFormat="1" ht="6.95" customHeight="1" x14ac:dyDescent="0.3">
      <c r="A2109" s="13"/>
      <c r="B2109" s="168"/>
      <c r="C2109" s="169"/>
      <c r="D2109" s="160" t="s">
        <v>39</v>
      </c>
      <c r="E2109" s="161"/>
      <c r="F2109" s="162" t="s">
        <v>40</v>
      </c>
      <c r="G2109" s="163"/>
      <c r="H2109" s="164"/>
      <c r="I2109" s="163"/>
      <c r="J2109" s="164"/>
      <c r="K2109" s="163"/>
      <c r="L2109" s="164"/>
      <c r="M2109" s="11"/>
      <c r="N2109" s="39"/>
      <c r="Q2109" s="15" t="str">
        <f>+CONCATENATE(E2109,G2109)</f>
        <v/>
      </c>
      <c r="R2109" s="15">
        <f>+H2109</f>
        <v>0</v>
      </c>
      <c r="S2109" s="16"/>
      <c r="T2109" s="15">
        <f>+E2109</f>
        <v>0</v>
      </c>
      <c r="U2109" s="26" t="str">
        <f t="shared" ref="U2109" si="1147">IFERROR(LEFT(G2109,FIND("*",G2109)-1),"-")</f>
        <v>-</v>
      </c>
      <c r="V2109" s="26" t="str">
        <f t="shared" ref="V2109" si="1148">IFERROR(RIGHT(G2109,LEN(G2109)-FIND("*",G2109)),"-")</f>
        <v>-</v>
      </c>
      <c r="W2109" s="27" t="str">
        <f t="shared" si="1144"/>
        <v>-</v>
      </c>
      <c r="X2109" s="27" t="str">
        <f>IFERROR(W2109*H2109,"-")</f>
        <v>-</v>
      </c>
      <c r="Z2109" s="94" t="s">
        <v>82</v>
      </c>
    </row>
    <row r="2110" spans="1:26" s="25" customFormat="1" ht="6.95" customHeight="1" x14ac:dyDescent="0.3">
      <c r="A2110" s="10"/>
      <c r="B2110" s="168"/>
      <c r="C2110" s="169"/>
      <c r="D2110" s="160"/>
      <c r="E2110" s="161"/>
      <c r="F2110" s="162"/>
      <c r="G2110" s="163"/>
      <c r="H2110" s="164"/>
      <c r="I2110" s="163"/>
      <c r="J2110" s="164"/>
      <c r="K2110" s="163"/>
      <c r="L2110" s="164"/>
      <c r="M2110" s="11"/>
      <c r="N2110" s="39"/>
      <c r="Q2110" s="15" t="str">
        <f>+CONCATENATE(E2109,I2109)</f>
        <v/>
      </c>
      <c r="R2110" s="15">
        <f>+J2109</f>
        <v>0</v>
      </c>
      <c r="S2110" s="16"/>
      <c r="T2110" s="15">
        <f>+E2109</f>
        <v>0</v>
      </c>
      <c r="U2110" s="26" t="str">
        <f>IFERROR(LEFT(I2109,FIND("*",I2109)-1),"-")</f>
        <v>-</v>
      </c>
      <c r="V2110" s="26" t="str">
        <f>IFERROR(RIGHT(I2109,LEN(I2109)-FIND("*",I2109)),"-")</f>
        <v>-</v>
      </c>
      <c r="W2110" s="27" t="str">
        <f t="shared" si="1144"/>
        <v>-</v>
      </c>
      <c r="X2110" s="27" t="str">
        <f t="shared" ref="X2110" si="1149">IFERROR(W2110*J2109,"-")</f>
        <v>-</v>
      </c>
      <c r="Z2110" s="94" t="s">
        <v>82</v>
      </c>
    </row>
    <row r="2111" spans="1:26" s="25" customFormat="1" ht="6.95" customHeight="1" x14ac:dyDescent="0.3">
      <c r="A2111" s="10"/>
      <c r="B2111" s="168"/>
      <c r="C2111" s="169"/>
      <c r="D2111" s="160"/>
      <c r="E2111" s="161"/>
      <c r="F2111" s="162"/>
      <c r="G2111" s="163"/>
      <c r="H2111" s="164"/>
      <c r="I2111" s="163"/>
      <c r="J2111" s="164"/>
      <c r="K2111" s="163"/>
      <c r="L2111" s="164"/>
      <c r="M2111" s="11"/>
      <c r="N2111" s="39"/>
      <c r="Q2111" s="15" t="str">
        <f>+CONCATENATE(E2109,K2109)</f>
        <v/>
      </c>
      <c r="R2111" s="15">
        <f>+L2109</f>
        <v>0</v>
      </c>
      <c r="S2111" s="16"/>
      <c r="T2111" s="15">
        <f>+E2109</f>
        <v>0</v>
      </c>
      <c r="U2111" s="26" t="str">
        <f>IFERROR(LEFT(K2109,FIND("*",K2109)-1),"-")</f>
        <v>-</v>
      </c>
      <c r="V2111" s="26" t="str">
        <f>IFERROR(RIGHT(K2109,LEN(K2109)-FIND("*",K2109)),"-")</f>
        <v>-</v>
      </c>
      <c r="W2111" s="27" t="str">
        <f t="shared" si="1144"/>
        <v>-</v>
      </c>
      <c r="X2111" s="27" t="str">
        <f>IFERROR(W2111*L2109,"-")</f>
        <v>-</v>
      </c>
      <c r="Z2111" s="94" t="s">
        <v>82</v>
      </c>
    </row>
    <row r="2112" spans="1:26" s="25" customFormat="1" ht="21" customHeight="1" thickBot="1" x14ac:dyDescent="0.35">
      <c r="A2112" s="10"/>
      <c r="B2112" s="170"/>
      <c r="C2112" s="171"/>
      <c r="D2112" s="172" t="s">
        <v>43</v>
      </c>
      <c r="E2112" s="173"/>
      <c r="F2112" s="173"/>
      <c r="G2112" s="174"/>
      <c r="H2112" s="174"/>
      <c r="I2112" s="174"/>
      <c r="J2112" s="174"/>
      <c r="K2112" s="174"/>
      <c r="L2112" s="174"/>
      <c r="M2112" s="12"/>
      <c r="N2112" s="39"/>
      <c r="U2112" s="23"/>
      <c r="V2112" s="23"/>
      <c r="Z2112" s="95" t="s">
        <v>81</v>
      </c>
    </row>
    <row r="2113" spans="1:26" s="25" customFormat="1" ht="9.9499999999999993" customHeight="1" thickBot="1" x14ac:dyDescent="0.35">
      <c r="A2113" s="6"/>
      <c r="B2113" s="14"/>
      <c r="C2113" s="119"/>
      <c r="D2113" s="58"/>
      <c r="E2113" s="17"/>
      <c r="F2113" s="58"/>
      <c r="G2113" s="19"/>
      <c r="H2113" s="19"/>
      <c r="I2113" s="19"/>
      <c r="J2113" s="19"/>
      <c r="K2113" s="19"/>
      <c r="L2113" s="19"/>
      <c r="M2113" s="14"/>
      <c r="N2113" s="39"/>
      <c r="Q2113" s="1"/>
      <c r="R2113" s="1"/>
      <c r="S2113" s="1"/>
      <c r="T2113" s="1"/>
      <c r="U2113" s="24"/>
      <c r="V2113" s="24"/>
      <c r="W2113" s="1"/>
      <c r="X2113" s="1"/>
      <c r="Z2113" s="94" t="s">
        <v>82</v>
      </c>
    </row>
    <row r="2114" spans="1:26" s="25" customFormat="1" ht="6.95" customHeight="1" x14ac:dyDescent="0.3">
      <c r="A2114" s="165">
        <f>+A2103+1</f>
        <v>193</v>
      </c>
      <c r="B2114" s="166"/>
      <c r="C2114" s="167"/>
      <c r="D2114" s="160" t="s">
        <v>39</v>
      </c>
      <c r="E2114" s="161"/>
      <c r="F2114" s="162" t="s">
        <v>40</v>
      </c>
      <c r="G2114" s="163"/>
      <c r="H2114" s="164"/>
      <c r="I2114" s="163"/>
      <c r="J2114" s="164"/>
      <c r="K2114" s="163"/>
      <c r="L2114" s="164"/>
      <c r="M2114" s="11"/>
      <c r="N2114" s="39"/>
      <c r="Q2114" s="15" t="str">
        <f>+CONCATENATE(E2114,G2114)</f>
        <v/>
      </c>
      <c r="R2114" s="15">
        <f>+H2114</f>
        <v>0</v>
      </c>
      <c r="S2114" s="16"/>
      <c r="T2114" s="15">
        <f>+E2114</f>
        <v>0</v>
      </c>
      <c r="U2114" s="26" t="str">
        <f>IFERROR(LEFT(G2114,FIND("*",G2114)-1),"-")</f>
        <v>-</v>
      </c>
      <c r="V2114" s="26" t="str">
        <f>IFERROR(RIGHT(G2114,LEN(G2114)-FIND("*",G2114)),"-")</f>
        <v>-</v>
      </c>
      <c r="W2114" s="27" t="str">
        <f>IFERROR((U2114+V2114)*2/1000,"-")</f>
        <v>-</v>
      </c>
      <c r="X2114" s="27" t="str">
        <f>IFERROR(W2114*H2114,"-")</f>
        <v>-</v>
      </c>
      <c r="Z2114" s="94" t="s">
        <v>82</v>
      </c>
    </row>
    <row r="2115" spans="1:26" s="25" customFormat="1" ht="6.95" customHeight="1" x14ac:dyDescent="0.3">
      <c r="A2115" s="165"/>
      <c r="B2115" s="168"/>
      <c r="C2115" s="169"/>
      <c r="D2115" s="160"/>
      <c r="E2115" s="161"/>
      <c r="F2115" s="162"/>
      <c r="G2115" s="163"/>
      <c r="H2115" s="164"/>
      <c r="I2115" s="163"/>
      <c r="J2115" s="164"/>
      <c r="K2115" s="163"/>
      <c r="L2115" s="164"/>
      <c r="M2115" s="11"/>
      <c r="N2115" s="39"/>
      <c r="Q2115" s="15" t="str">
        <f>+CONCATENATE(E2114,I2114)</f>
        <v/>
      </c>
      <c r="R2115" s="15">
        <f>+J2114</f>
        <v>0</v>
      </c>
      <c r="S2115" s="16"/>
      <c r="T2115" s="15">
        <f>+E2114</f>
        <v>0</v>
      </c>
      <c r="U2115" s="26" t="str">
        <f>IFERROR(LEFT(I2114,FIND("*",I2114)-1),"-")</f>
        <v>-</v>
      </c>
      <c r="V2115" s="26" t="str">
        <f>IFERROR(RIGHT(I2114,LEN(I2114)-FIND("*",I2114)),"-")</f>
        <v>-</v>
      </c>
      <c r="W2115" s="27" t="str">
        <f t="shared" ref="W2115:W2122" si="1150">IFERROR((U2115+V2115)*2/1000,"-")</f>
        <v>-</v>
      </c>
      <c r="X2115" s="27" t="str">
        <f>IFERROR(W2115*J2114,"-")</f>
        <v>-</v>
      </c>
      <c r="Z2115" s="94" t="s">
        <v>82</v>
      </c>
    </row>
    <row r="2116" spans="1:26" s="25" customFormat="1" ht="6.95" customHeight="1" x14ac:dyDescent="0.3">
      <c r="A2116" s="165"/>
      <c r="B2116" s="168"/>
      <c r="C2116" s="169"/>
      <c r="D2116" s="160"/>
      <c r="E2116" s="161"/>
      <c r="F2116" s="162"/>
      <c r="G2116" s="163"/>
      <c r="H2116" s="164"/>
      <c r="I2116" s="163"/>
      <c r="J2116" s="164"/>
      <c r="K2116" s="163"/>
      <c r="L2116" s="164"/>
      <c r="M2116" s="11"/>
      <c r="N2116" s="39"/>
      <c r="Q2116" s="15" t="str">
        <f>+CONCATENATE(E2114,K2114)</f>
        <v/>
      </c>
      <c r="R2116" s="15">
        <f>+L2114</f>
        <v>0</v>
      </c>
      <c r="S2116" s="16"/>
      <c r="T2116" s="15">
        <f>+E2114</f>
        <v>0</v>
      </c>
      <c r="U2116" s="26" t="str">
        <f>IFERROR(LEFT(K2114,FIND("*",K2114)-1),"-")</f>
        <v>-</v>
      </c>
      <c r="V2116" s="26" t="str">
        <f>IFERROR(RIGHT(K2114,LEN(K2114)-FIND("*",K2114)),"-")</f>
        <v>-</v>
      </c>
      <c r="W2116" s="27" t="str">
        <f t="shared" si="1150"/>
        <v>-</v>
      </c>
      <c r="X2116" s="27" t="str">
        <f>IFERROR(W2116*L2114,"-")</f>
        <v>-</v>
      </c>
      <c r="Z2116" s="94" t="s">
        <v>82</v>
      </c>
    </row>
    <row r="2117" spans="1:26" s="25" customFormat="1" ht="6.95" customHeight="1" x14ac:dyDescent="0.3">
      <c r="A2117" s="13"/>
      <c r="B2117" s="168"/>
      <c r="C2117" s="169"/>
      <c r="D2117" s="160" t="s">
        <v>39</v>
      </c>
      <c r="E2117" s="161"/>
      <c r="F2117" s="162" t="s">
        <v>40</v>
      </c>
      <c r="G2117" s="163"/>
      <c r="H2117" s="164"/>
      <c r="I2117" s="163"/>
      <c r="J2117" s="164"/>
      <c r="K2117" s="163"/>
      <c r="L2117" s="164"/>
      <c r="M2117" s="11"/>
      <c r="N2117" s="39"/>
      <c r="Q2117" s="15" t="str">
        <f>+CONCATENATE(E2117,G2117)</f>
        <v/>
      </c>
      <c r="R2117" s="15">
        <f>+H2117</f>
        <v>0</v>
      </c>
      <c r="S2117" s="16"/>
      <c r="T2117" s="15">
        <f>+E2117</f>
        <v>0</v>
      </c>
      <c r="U2117" s="26" t="str">
        <f t="shared" ref="U2117" si="1151">IFERROR(LEFT(G2117,FIND("*",G2117)-1),"-")</f>
        <v>-</v>
      </c>
      <c r="V2117" s="26" t="str">
        <f t="shared" ref="V2117" si="1152">IFERROR(RIGHT(G2117,LEN(G2117)-FIND("*",G2117)),"-")</f>
        <v>-</v>
      </c>
      <c r="W2117" s="27" t="str">
        <f t="shared" si="1150"/>
        <v>-</v>
      </c>
      <c r="X2117" s="27" t="str">
        <f>IFERROR(W2117*H2117,"-")</f>
        <v>-</v>
      </c>
      <c r="Z2117" s="94" t="s">
        <v>82</v>
      </c>
    </row>
    <row r="2118" spans="1:26" s="25" customFormat="1" ht="6.95" customHeight="1" x14ac:dyDescent="0.3">
      <c r="A2118" s="10"/>
      <c r="B2118" s="168"/>
      <c r="C2118" s="169"/>
      <c r="D2118" s="160"/>
      <c r="E2118" s="161"/>
      <c r="F2118" s="162"/>
      <c r="G2118" s="163"/>
      <c r="H2118" s="164"/>
      <c r="I2118" s="163"/>
      <c r="J2118" s="164"/>
      <c r="K2118" s="163"/>
      <c r="L2118" s="164"/>
      <c r="M2118" s="11"/>
      <c r="N2118" s="39"/>
      <c r="Q2118" s="15" t="str">
        <f>+CONCATENATE(E2117,I2117)</f>
        <v/>
      </c>
      <c r="R2118" s="15">
        <f>+J2117</f>
        <v>0</v>
      </c>
      <c r="S2118" s="16"/>
      <c r="T2118" s="15">
        <f>+E2117</f>
        <v>0</v>
      </c>
      <c r="U2118" s="26" t="str">
        <f>IFERROR(LEFT(I2117,FIND("*",I2117)-1),"-")</f>
        <v>-</v>
      </c>
      <c r="V2118" s="26" t="str">
        <f>IFERROR(RIGHT(I2117,LEN(I2117)-FIND("*",I2117)),"-")</f>
        <v>-</v>
      </c>
      <c r="W2118" s="27" t="str">
        <f t="shared" si="1150"/>
        <v>-</v>
      </c>
      <c r="X2118" s="27" t="str">
        <f>IFERROR(W2118*J2117,"-")</f>
        <v>-</v>
      </c>
      <c r="Z2118" s="94" t="s">
        <v>82</v>
      </c>
    </row>
    <row r="2119" spans="1:26" s="25" customFormat="1" ht="6.95" customHeight="1" x14ac:dyDescent="0.3">
      <c r="A2119" s="10"/>
      <c r="B2119" s="168"/>
      <c r="C2119" s="169"/>
      <c r="D2119" s="160"/>
      <c r="E2119" s="161"/>
      <c r="F2119" s="162"/>
      <c r="G2119" s="163"/>
      <c r="H2119" s="164"/>
      <c r="I2119" s="163"/>
      <c r="J2119" s="164"/>
      <c r="K2119" s="163"/>
      <c r="L2119" s="164"/>
      <c r="M2119" s="11"/>
      <c r="N2119" s="39"/>
      <c r="Q2119" s="15" t="str">
        <f>+CONCATENATE(E2117,K2117)</f>
        <v/>
      </c>
      <c r="R2119" s="15">
        <f>+L2117</f>
        <v>0</v>
      </c>
      <c r="S2119" s="16"/>
      <c r="T2119" s="15">
        <f>+E2117</f>
        <v>0</v>
      </c>
      <c r="U2119" s="26" t="str">
        <f>IFERROR(LEFT(K2117,FIND("*",K2117)-1),"-")</f>
        <v>-</v>
      </c>
      <c r="V2119" s="26" t="str">
        <f>IFERROR(RIGHT(K2117,LEN(K2117)-FIND("*",K2117)),"-")</f>
        <v>-</v>
      </c>
      <c r="W2119" s="27" t="str">
        <f t="shared" si="1150"/>
        <v>-</v>
      </c>
      <c r="X2119" s="27" t="str">
        <f>IFERROR(W2119*L2117,"-")</f>
        <v>-</v>
      </c>
      <c r="Z2119" s="94" t="s">
        <v>82</v>
      </c>
    </row>
    <row r="2120" spans="1:26" s="25" customFormat="1" ht="6.95" customHeight="1" x14ac:dyDescent="0.3">
      <c r="A2120" s="13"/>
      <c r="B2120" s="168"/>
      <c r="C2120" s="169"/>
      <c r="D2120" s="160" t="s">
        <v>39</v>
      </c>
      <c r="E2120" s="161"/>
      <c r="F2120" s="162" t="s">
        <v>40</v>
      </c>
      <c r="G2120" s="163"/>
      <c r="H2120" s="164"/>
      <c r="I2120" s="163"/>
      <c r="J2120" s="164"/>
      <c r="K2120" s="163"/>
      <c r="L2120" s="164"/>
      <c r="M2120" s="11"/>
      <c r="N2120" s="39"/>
      <c r="Q2120" s="15" t="str">
        <f>+CONCATENATE(E2120,G2120)</f>
        <v/>
      </c>
      <c r="R2120" s="15">
        <f>+H2120</f>
        <v>0</v>
      </c>
      <c r="S2120" s="16"/>
      <c r="T2120" s="15">
        <f>+E2120</f>
        <v>0</v>
      </c>
      <c r="U2120" s="26" t="str">
        <f t="shared" ref="U2120" si="1153">IFERROR(LEFT(G2120,FIND("*",G2120)-1),"-")</f>
        <v>-</v>
      </c>
      <c r="V2120" s="26" t="str">
        <f t="shared" ref="V2120" si="1154">IFERROR(RIGHT(G2120,LEN(G2120)-FIND("*",G2120)),"-")</f>
        <v>-</v>
      </c>
      <c r="W2120" s="27" t="str">
        <f t="shared" si="1150"/>
        <v>-</v>
      </c>
      <c r="X2120" s="27" t="str">
        <f>IFERROR(W2120*H2120,"-")</f>
        <v>-</v>
      </c>
      <c r="Z2120" s="94" t="s">
        <v>82</v>
      </c>
    </row>
    <row r="2121" spans="1:26" s="25" customFormat="1" ht="6.95" customHeight="1" x14ac:dyDescent="0.3">
      <c r="A2121" s="10"/>
      <c r="B2121" s="168"/>
      <c r="C2121" s="169"/>
      <c r="D2121" s="160"/>
      <c r="E2121" s="161"/>
      <c r="F2121" s="162"/>
      <c r="G2121" s="163"/>
      <c r="H2121" s="164"/>
      <c r="I2121" s="163"/>
      <c r="J2121" s="164"/>
      <c r="K2121" s="163"/>
      <c r="L2121" s="164"/>
      <c r="M2121" s="11"/>
      <c r="N2121" s="39"/>
      <c r="Q2121" s="15" t="str">
        <f>+CONCATENATE(E2120,I2120)</f>
        <v/>
      </c>
      <c r="R2121" s="15">
        <f>+J2120</f>
        <v>0</v>
      </c>
      <c r="S2121" s="16"/>
      <c r="T2121" s="15">
        <f>+E2120</f>
        <v>0</v>
      </c>
      <c r="U2121" s="26" t="str">
        <f>IFERROR(LEFT(I2120,FIND("*",I2120)-1),"-")</f>
        <v>-</v>
      </c>
      <c r="V2121" s="26" t="str">
        <f>IFERROR(RIGHT(I2120,LEN(I2120)-FIND("*",I2120)),"-")</f>
        <v>-</v>
      </c>
      <c r="W2121" s="27" t="str">
        <f t="shared" si="1150"/>
        <v>-</v>
      </c>
      <c r="X2121" s="27" t="str">
        <f t="shared" ref="X2121" si="1155">IFERROR(W2121*J2120,"-")</f>
        <v>-</v>
      </c>
      <c r="Z2121" s="94" t="s">
        <v>82</v>
      </c>
    </row>
    <row r="2122" spans="1:26" s="25" customFormat="1" ht="6.95" customHeight="1" x14ac:dyDescent="0.3">
      <c r="A2122" s="10"/>
      <c r="B2122" s="168"/>
      <c r="C2122" s="169"/>
      <c r="D2122" s="160"/>
      <c r="E2122" s="161"/>
      <c r="F2122" s="162"/>
      <c r="G2122" s="163"/>
      <c r="H2122" s="164"/>
      <c r="I2122" s="163"/>
      <c r="J2122" s="164"/>
      <c r="K2122" s="163"/>
      <c r="L2122" s="164"/>
      <c r="M2122" s="11"/>
      <c r="N2122" s="39"/>
      <c r="Q2122" s="15" t="str">
        <f>+CONCATENATE(E2120,K2120)</f>
        <v/>
      </c>
      <c r="R2122" s="15">
        <f>+L2120</f>
        <v>0</v>
      </c>
      <c r="S2122" s="16"/>
      <c r="T2122" s="15">
        <f>+E2120</f>
        <v>0</v>
      </c>
      <c r="U2122" s="26" t="str">
        <f>IFERROR(LEFT(K2120,FIND("*",K2120)-1),"-")</f>
        <v>-</v>
      </c>
      <c r="V2122" s="26" t="str">
        <f>IFERROR(RIGHT(K2120,LEN(K2120)-FIND("*",K2120)),"-")</f>
        <v>-</v>
      </c>
      <c r="W2122" s="27" t="str">
        <f t="shared" si="1150"/>
        <v>-</v>
      </c>
      <c r="X2122" s="27" t="str">
        <f>IFERROR(W2122*L2120,"-")</f>
        <v>-</v>
      </c>
      <c r="Z2122" s="94" t="s">
        <v>82</v>
      </c>
    </row>
    <row r="2123" spans="1:26" s="25" customFormat="1" ht="21" customHeight="1" thickBot="1" x14ac:dyDescent="0.35">
      <c r="A2123" s="10"/>
      <c r="B2123" s="170"/>
      <c r="C2123" s="171"/>
      <c r="D2123" s="172" t="s">
        <v>43</v>
      </c>
      <c r="E2123" s="173"/>
      <c r="F2123" s="173"/>
      <c r="G2123" s="174"/>
      <c r="H2123" s="174"/>
      <c r="I2123" s="174"/>
      <c r="J2123" s="174"/>
      <c r="K2123" s="174"/>
      <c r="L2123" s="174"/>
      <c r="M2123" s="12"/>
      <c r="N2123" s="39"/>
      <c r="U2123" s="23"/>
      <c r="V2123" s="23"/>
      <c r="Z2123" s="95" t="s">
        <v>81</v>
      </c>
    </row>
    <row r="2124" spans="1:26" s="25" customFormat="1" ht="9.9499999999999993" customHeight="1" thickBot="1" x14ac:dyDescent="0.35">
      <c r="A2124" s="6"/>
      <c r="B2124" s="14"/>
      <c r="C2124" s="119"/>
      <c r="D2124" s="58"/>
      <c r="E2124" s="17"/>
      <c r="F2124" s="58"/>
      <c r="G2124" s="19"/>
      <c r="H2124" s="19"/>
      <c r="I2124" s="19"/>
      <c r="J2124" s="19"/>
      <c r="K2124" s="19"/>
      <c r="L2124" s="19"/>
      <c r="M2124" s="14"/>
      <c r="N2124" s="39"/>
      <c r="Q2124" s="1"/>
      <c r="R2124" s="1"/>
      <c r="S2124" s="1"/>
      <c r="T2124" s="1"/>
      <c r="U2124" s="24"/>
      <c r="V2124" s="24"/>
      <c r="W2124" s="1"/>
      <c r="X2124" s="1"/>
      <c r="Z2124" s="94" t="s">
        <v>82</v>
      </c>
    </row>
    <row r="2125" spans="1:26" s="25" customFormat="1" ht="6.95" customHeight="1" x14ac:dyDescent="0.3">
      <c r="A2125" s="165">
        <f>+A2114+1</f>
        <v>194</v>
      </c>
      <c r="B2125" s="166"/>
      <c r="C2125" s="167"/>
      <c r="D2125" s="160" t="s">
        <v>39</v>
      </c>
      <c r="E2125" s="161"/>
      <c r="F2125" s="162" t="s">
        <v>40</v>
      </c>
      <c r="G2125" s="163"/>
      <c r="H2125" s="164"/>
      <c r="I2125" s="163"/>
      <c r="J2125" s="164"/>
      <c r="K2125" s="163"/>
      <c r="L2125" s="164"/>
      <c r="M2125" s="11"/>
      <c r="N2125" s="39"/>
      <c r="Q2125" s="15" t="str">
        <f>+CONCATENATE(E2125,G2125)</f>
        <v/>
      </c>
      <c r="R2125" s="15">
        <f>+H2125</f>
        <v>0</v>
      </c>
      <c r="S2125" s="16"/>
      <c r="T2125" s="15">
        <f>+E2125</f>
        <v>0</v>
      </c>
      <c r="U2125" s="26" t="str">
        <f>IFERROR(LEFT(G2125,FIND("*",G2125)-1),"-")</f>
        <v>-</v>
      </c>
      <c r="V2125" s="26" t="str">
        <f>IFERROR(RIGHT(G2125,LEN(G2125)-FIND("*",G2125)),"-")</f>
        <v>-</v>
      </c>
      <c r="W2125" s="27" t="str">
        <f>IFERROR((U2125+V2125)*2/1000,"-")</f>
        <v>-</v>
      </c>
      <c r="X2125" s="27" t="str">
        <f>IFERROR(W2125*H2125,"-")</f>
        <v>-</v>
      </c>
      <c r="Z2125" s="94" t="s">
        <v>82</v>
      </c>
    </row>
    <row r="2126" spans="1:26" s="25" customFormat="1" ht="6.95" customHeight="1" x14ac:dyDescent="0.3">
      <c r="A2126" s="165"/>
      <c r="B2126" s="168"/>
      <c r="C2126" s="169"/>
      <c r="D2126" s="160"/>
      <c r="E2126" s="161"/>
      <c r="F2126" s="162"/>
      <c r="G2126" s="163"/>
      <c r="H2126" s="164"/>
      <c r="I2126" s="163"/>
      <c r="J2126" s="164"/>
      <c r="K2126" s="163"/>
      <c r="L2126" s="164"/>
      <c r="M2126" s="11"/>
      <c r="N2126" s="39"/>
      <c r="Q2126" s="15" t="str">
        <f>+CONCATENATE(E2125,I2125)</f>
        <v/>
      </c>
      <c r="R2126" s="15">
        <f>+J2125</f>
        <v>0</v>
      </c>
      <c r="S2126" s="16"/>
      <c r="T2126" s="15">
        <f>+E2125</f>
        <v>0</v>
      </c>
      <c r="U2126" s="26" t="str">
        <f>IFERROR(LEFT(I2125,FIND("*",I2125)-1),"-")</f>
        <v>-</v>
      </c>
      <c r="V2126" s="26" t="str">
        <f>IFERROR(RIGHT(I2125,LEN(I2125)-FIND("*",I2125)),"-")</f>
        <v>-</v>
      </c>
      <c r="W2126" s="27" t="str">
        <f t="shared" ref="W2126:W2133" si="1156">IFERROR((U2126+V2126)*2/1000,"-")</f>
        <v>-</v>
      </c>
      <c r="X2126" s="27" t="str">
        <f>IFERROR(W2126*J2125,"-")</f>
        <v>-</v>
      </c>
      <c r="Z2126" s="94" t="s">
        <v>82</v>
      </c>
    </row>
    <row r="2127" spans="1:26" s="25" customFormat="1" ht="6.95" customHeight="1" x14ac:dyDescent="0.3">
      <c r="A2127" s="165"/>
      <c r="B2127" s="168"/>
      <c r="C2127" s="169"/>
      <c r="D2127" s="160"/>
      <c r="E2127" s="161"/>
      <c r="F2127" s="162"/>
      <c r="G2127" s="163"/>
      <c r="H2127" s="164"/>
      <c r="I2127" s="163"/>
      <c r="J2127" s="164"/>
      <c r="K2127" s="163"/>
      <c r="L2127" s="164"/>
      <c r="M2127" s="11"/>
      <c r="N2127" s="39"/>
      <c r="Q2127" s="15" t="str">
        <f>+CONCATENATE(E2125,K2125)</f>
        <v/>
      </c>
      <c r="R2127" s="15">
        <f>+L2125</f>
        <v>0</v>
      </c>
      <c r="S2127" s="16"/>
      <c r="T2127" s="15">
        <f>+E2125</f>
        <v>0</v>
      </c>
      <c r="U2127" s="26" t="str">
        <f>IFERROR(LEFT(K2125,FIND("*",K2125)-1),"-")</f>
        <v>-</v>
      </c>
      <c r="V2127" s="26" t="str">
        <f>IFERROR(RIGHT(K2125,LEN(K2125)-FIND("*",K2125)),"-")</f>
        <v>-</v>
      </c>
      <c r="W2127" s="27" t="str">
        <f t="shared" si="1156"/>
        <v>-</v>
      </c>
      <c r="X2127" s="27" t="str">
        <f>IFERROR(W2127*L2125,"-")</f>
        <v>-</v>
      </c>
      <c r="Z2127" s="94" t="s">
        <v>82</v>
      </c>
    </row>
    <row r="2128" spans="1:26" s="25" customFormat="1" ht="6.95" customHeight="1" x14ac:dyDescent="0.3">
      <c r="A2128" s="13"/>
      <c r="B2128" s="168"/>
      <c r="C2128" s="169"/>
      <c r="D2128" s="160" t="s">
        <v>39</v>
      </c>
      <c r="E2128" s="161"/>
      <c r="F2128" s="162" t="s">
        <v>40</v>
      </c>
      <c r="G2128" s="163"/>
      <c r="H2128" s="164"/>
      <c r="I2128" s="163"/>
      <c r="J2128" s="164"/>
      <c r="K2128" s="163"/>
      <c r="L2128" s="164"/>
      <c r="M2128" s="11"/>
      <c r="N2128" s="39"/>
      <c r="Q2128" s="15" t="str">
        <f>+CONCATENATE(E2128,G2128)</f>
        <v/>
      </c>
      <c r="R2128" s="15">
        <f>+H2128</f>
        <v>0</v>
      </c>
      <c r="S2128" s="16"/>
      <c r="T2128" s="15">
        <f>+E2128</f>
        <v>0</v>
      </c>
      <c r="U2128" s="26" t="str">
        <f t="shared" ref="U2128" si="1157">IFERROR(LEFT(G2128,FIND("*",G2128)-1),"-")</f>
        <v>-</v>
      </c>
      <c r="V2128" s="26" t="str">
        <f t="shared" ref="V2128" si="1158">IFERROR(RIGHT(G2128,LEN(G2128)-FIND("*",G2128)),"-")</f>
        <v>-</v>
      </c>
      <c r="W2128" s="27" t="str">
        <f t="shared" si="1156"/>
        <v>-</v>
      </c>
      <c r="X2128" s="27" t="str">
        <f>IFERROR(W2128*H2128,"-")</f>
        <v>-</v>
      </c>
      <c r="Z2128" s="94" t="s">
        <v>82</v>
      </c>
    </row>
    <row r="2129" spans="1:26" s="25" customFormat="1" ht="6.95" customHeight="1" x14ac:dyDescent="0.3">
      <c r="A2129" s="10"/>
      <c r="B2129" s="168"/>
      <c r="C2129" s="169"/>
      <c r="D2129" s="160"/>
      <c r="E2129" s="161"/>
      <c r="F2129" s="162"/>
      <c r="G2129" s="163"/>
      <c r="H2129" s="164"/>
      <c r="I2129" s="163"/>
      <c r="J2129" s="164"/>
      <c r="K2129" s="163"/>
      <c r="L2129" s="164"/>
      <c r="M2129" s="11"/>
      <c r="N2129" s="39"/>
      <c r="Q2129" s="15" t="str">
        <f>+CONCATENATE(E2128,I2128)</f>
        <v/>
      </c>
      <c r="R2129" s="15">
        <f>+J2128</f>
        <v>0</v>
      </c>
      <c r="S2129" s="16"/>
      <c r="T2129" s="15">
        <f>+E2128</f>
        <v>0</v>
      </c>
      <c r="U2129" s="26" t="str">
        <f>IFERROR(LEFT(I2128,FIND("*",I2128)-1),"-")</f>
        <v>-</v>
      </c>
      <c r="V2129" s="26" t="str">
        <f>IFERROR(RIGHT(I2128,LEN(I2128)-FIND("*",I2128)),"-")</f>
        <v>-</v>
      </c>
      <c r="W2129" s="27" t="str">
        <f t="shared" si="1156"/>
        <v>-</v>
      </c>
      <c r="X2129" s="27" t="str">
        <f>IFERROR(W2129*J2128,"-")</f>
        <v>-</v>
      </c>
      <c r="Z2129" s="94" t="s">
        <v>82</v>
      </c>
    </row>
    <row r="2130" spans="1:26" s="25" customFormat="1" ht="6.95" customHeight="1" x14ac:dyDescent="0.3">
      <c r="A2130" s="10"/>
      <c r="B2130" s="168"/>
      <c r="C2130" s="169"/>
      <c r="D2130" s="160"/>
      <c r="E2130" s="161"/>
      <c r="F2130" s="162"/>
      <c r="G2130" s="163"/>
      <c r="H2130" s="164"/>
      <c r="I2130" s="163"/>
      <c r="J2130" s="164"/>
      <c r="K2130" s="163"/>
      <c r="L2130" s="164"/>
      <c r="M2130" s="11"/>
      <c r="N2130" s="39"/>
      <c r="Q2130" s="15" t="str">
        <f>+CONCATENATE(E2128,K2128)</f>
        <v/>
      </c>
      <c r="R2130" s="15">
        <f>+L2128</f>
        <v>0</v>
      </c>
      <c r="S2130" s="16"/>
      <c r="T2130" s="15">
        <f>+E2128</f>
        <v>0</v>
      </c>
      <c r="U2130" s="26" t="str">
        <f>IFERROR(LEFT(K2128,FIND("*",K2128)-1),"-")</f>
        <v>-</v>
      </c>
      <c r="V2130" s="26" t="str">
        <f>IFERROR(RIGHT(K2128,LEN(K2128)-FIND("*",K2128)),"-")</f>
        <v>-</v>
      </c>
      <c r="W2130" s="27" t="str">
        <f t="shared" si="1156"/>
        <v>-</v>
      </c>
      <c r="X2130" s="27" t="str">
        <f>IFERROR(W2130*L2128,"-")</f>
        <v>-</v>
      </c>
      <c r="Z2130" s="94" t="s">
        <v>82</v>
      </c>
    </row>
    <row r="2131" spans="1:26" s="25" customFormat="1" ht="6.95" customHeight="1" x14ac:dyDescent="0.3">
      <c r="A2131" s="13"/>
      <c r="B2131" s="168"/>
      <c r="C2131" s="169"/>
      <c r="D2131" s="160" t="s">
        <v>39</v>
      </c>
      <c r="E2131" s="161"/>
      <c r="F2131" s="162" t="s">
        <v>40</v>
      </c>
      <c r="G2131" s="163"/>
      <c r="H2131" s="164"/>
      <c r="I2131" s="163"/>
      <c r="J2131" s="164"/>
      <c r="K2131" s="163"/>
      <c r="L2131" s="164"/>
      <c r="M2131" s="11"/>
      <c r="N2131" s="39"/>
      <c r="Q2131" s="15" t="str">
        <f>+CONCATENATE(E2131,G2131)</f>
        <v/>
      </c>
      <c r="R2131" s="15">
        <f>+H2131</f>
        <v>0</v>
      </c>
      <c r="S2131" s="16"/>
      <c r="T2131" s="15">
        <f>+E2131</f>
        <v>0</v>
      </c>
      <c r="U2131" s="26" t="str">
        <f t="shared" ref="U2131" si="1159">IFERROR(LEFT(G2131,FIND("*",G2131)-1),"-")</f>
        <v>-</v>
      </c>
      <c r="V2131" s="26" t="str">
        <f t="shared" ref="V2131" si="1160">IFERROR(RIGHT(G2131,LEN(G2131)-FIND("*",G2131)),"-")</f>
        <v>-</v>
      </c>
      <c r="W2131" s="27" t="str">
        <f t="shared" si="1156"/>
        <v>-</v>
      </c>
      <c r="X2131" s="27" t="str">
        <f>IFERROR(W2131*H2131,"-")</f>
        <v>-</v>
      </c>
      <c r="Z2131" s="94" t="s">
        <v>82</v>
      </c>
    </row>
    <row r="2132" spans="1:26" s="25" customFormat="1" ht="6.95" customHeight="1" x14ac:dyDescent="0.3">
      <c r="A2132" s="10"/>
      <c r="B2132" s="168"/>
      <c r="C2132" s="169"/>
      <c r="D2132" s="160"/>
      <c r="E2132" s="161"/>
      <c r="F2132" s="162"/>
      <c r="G2132" s="163"/>
      <c r="H2132" s="164"/>
      <c r="I2132" s="163"/>
      <c r="J2132" s="164"/>
      <c r="K2132" s="163"/>
      <c r="L2132" s="164"/>
      <c r="M2132" s="11"/>
      <c r="N2132" s="39"/>
      <c r="Q2132" s="15" t="str">
        <f>+CONCATENATE(E2131,I2131)</f>
        <v/>
      </c>
      <c r="R2132" s="15">
        <f>+J2131</f>
        <v>0</v>
      </c>
      <c r="S2132" s="16"/>
      <c r="T2132" s="15">
        <f>+E2131</f>
        <v>0</v>
      </c>
      <c r="U2132" s="26" t="str">
        <f>IFERROR(LEFT(I2131,FIND("*",I2131)-1),"-")</f>
        <v>-</v>
      </c>
      <c r="V2132" s="26" t="str">
        <f>IFERROR(RIGHT(I2131,LEN(I2131)-FIND("*",I2131)),"-")</f>
        <v>-</v>
      </c>
      <c r="W2132" s="27" t="str">
        <f t="shared" si="1156"/>
        <v>-</v>
      </c>
      <c r="X2132" s="27" t="str">
        <f t="shared" ref="X2132" si="1161">IFERROR(W2132*J2131,"-")</f>
        <v>-</v>
      </c>
      <c r="Z2132" s="94" t="s">
        <v>82</v>
      </c>
    </row>
    <row r="2133" spans="1:26" s="25" customFormat="1" ht="6.95" customHeight="1" x14ac:dyDescent="0.3">
      <c r="A2133" s="10"/>
      <c r="B2133" s="168"/>
      <c r="C2133" s="169"/>
      <c r="D2133" s="160"/>
      <c r="E2133" s="161"/>
      <c r="F2133" s="162"/>
      <c r="G2133" s="163"/>
      <c r="H2133" s="164"/>
      <c r="I2133" s="163"/>
      <c r="J2133" s="164"/>
      <c r="K2133" s="163"/>
      <c r="L2133" s="164"/>
      <c r="M2133" s="11"/>
      <c r="N2133" s="39"/>
      <c r="Q2133" s="15" t="str">
        <f>+CONCATENATE(E2131,K2131)</f>
        <v/>
      </c>
      <c r="R2133" s="15">
        <f>+L2131</f>
        <v>0</v>
      </c>
      <c r="S2133" s="16"/>
      <c r="T2133" s="15">
        <f>+E2131</f>
        <v>0</v>
      </c>
      <c r="U2133" s="26" t="str">
        <f>IFERROR(LEFT(K2131,FIND("*",K2131)-1),"-")</f>
        <v>-</v>
      </c>
      <c r="V2133" s="26" t="str">
        <f>IFERROR(RIGHT(K2131,LEN(K2131)-FIND("*",K2131)),"-")</f>
        <v>-</v>
      </c>
      <c r="W2133" s="27" t="str">
        <f t="shared" si="1156"/>
        <v>-</v>
      </c>
      <c r="X2133" s="27" t="str">
        <f>IFERROR(W2133*L2131,"-")</f>
        <v>-</v>
      </c>
      <c r="Z2133" s="94" t="s">
        <v>82</v>
      </c>
    </row>
    <row r="2134" spans="1:26" s="25" customFormat="1" ht="21" customHeight="1" thickBot="1" x14ac:dyDescent="0.35">
      <c r="A2134" s="10"/>
      <c r="B2134" s="170"/>
      <c r="C2134" s="171"/>
      <c r="D2134" s="172" t="s">
        <v>43</v>
      </c>
      <c r="E2134" s="173"/>
      <c r="F2134" s="173"/>
      <c r="G2134" s="174"/>
      <c r="H2134" s="174"/>
      <c r="I2134" s="174"/>
      <c r="J2134" s="174"/>
      <c r="K2134" s="174"/>
      <c r="L2134" s="174"/>
      <c r="M2134" s="12"/>
      <c r="N2134" s="39"/>
      <c r="U2134" s="23"/>
      <c r="V2134" s="23"/>
      <c r="Z2134" s="95" t="s">
        <v>81</v>
      </c>
    </row>
    <row r="2135" spans="1:26" s="25" customFormat="1" ht="9.9499999999999993" customHeight="1" thickBot="1" x14ac:dyDescent="0.35">
      <c r="A2135" s="6"/>
      <c r="B2135" s="14"/>
      <c r="C2135" s="119"/>
      <c r="D2135" s="58"/>
      <c r="E2135" s="17"/>
      <c r="F2135" s="58"/>
      <c r="G2135" s="19"/>
      <c r="H2135" s="19"/>
      <c r="I2135" s="19"/>
      <c r="J2135" s="19"/>
      <c r="K2135" s="19"/>
      <c r="L2135" s="19"/>
      <c r="M2135" s="14"/>
      <c r="N2135" s="39"/>
      <c r="Q2135" s="1"/>
      <c r="R2135" s="1"/>
      <c r="S2135" s="1"/>
      <c r="T2135" s="1"/>
      <c r="U2135" s="24"/>
      <c r="V2135" s="24"/>
      <c r="W2135" s="1"/>
      <c r="X2135" s="1"/>
      <c r="Z2135" s="94" t="s">
        <v>82</v>
      </c>
    </row>
    <row r="2136" spans="1:26" s="25" customFormat="1" ht="6.95" customHeight="1" x14ac:dyDescent="0.3">
      <c r="A2136" s="165">
        <f>+A2125+1</f>
        <v>195</v>
      </c>
      <c r="B2136" s="166"/>
      <c r="C2136" s="167"/>
      <c r="D2136" s="160" t="s">
        <v>39</v>
      </c>
      <c r="E2136" s="161"/>
      <c r="F2136" s="162" t="s">
        <v>40</v>
      </c>
      <c r="G2136" s="163"/>
      <c r="H2136" s="164"/>
      <c r="I2136" s="163"/>
      <c r="J2136" s="164"/>
      <c r="K2136" s="163"/>
      <c r="L2136" s="164"/>
      <c r="M2136" s="11"/>
      <c r="N2136" s="39"/>
      <c r="Q2136" s="15" t="str">
        <f>+CONCATENATE(E2136,G2136)</f>
        <v/>
      </c>
      <c r="R2136" s="15">
        <f>+H2136</f>
        <v>0</v>
      </c>
      <c r="S2136" s="16"/>
      <c r="T2136" s="15">
        <f>+E2136</f>
        <v>0</v>
      </c>
      <c r="U2136" s="26" t="str">
        <f>IFERROR(LEFT(G2136,FIND("*",G2136)-1),"-")</f>
        <v>-</v>
      </c>
      <c r="V2136" s="26" t="str">
        <f>IFERROR(RIGHT(G2136,LEN(G2136)-FIND("*",G2136)),"-")</f>
        <v>-</v>
      </c>
      <c r="W2136" s="27" t="str">
        <f>IFERROR((U2136+V2136)*2/1000,"-")</f>
        <v>-</v>
      </c>
      <c r="X2136" s="27" t="str">
        <f>IFERROR(W2136*H2136,"-")</f>
        <v>-</v>
      </c>
      <c r="Z2136" s="94" t="s">
        <v>82</v>
      </c>
    </row>
    <row r="2137" spans="1:26" s="25" customFormat="1" ht="6.95" customHeight="1" x14ac:dyDescent="0.3">
      <c r="A2137" s="165"/>
      <c r="B2137" s="168"/>
      <c r="C2137" s="169"/>
      <c r="D2137" s="160"/>
      <c r="E2137" s="161"/>
      <c r="F2137" s="162"/>
      <c r="G2137" s="163"/>
      <c r="H2137" s="164"/>
      <c r="I2137" s="163"/>
      <c r="J2137" s="164"/>
      <c r="K2137" s="163"/>
      <c r="L2137" s="164"/>
      <c r="M2137" s="11"/>
      <c r="N2137" s="39"/>
      <c r="Q2137" s="15" t="str">
        <f>+CONCATENATE(E2136,I2136)</f>
        <v/>
      </c>
      <c r="R2137" s="15">
        <f>+J2136</f>
        <v>0</v>
      </c>
      <c r="S2137" s="16"/>
      <c r="T2137" s="15">
        <f>+E2136</f>
        <v>0</v>
      </c>
      <c r="U2137" s="26" t="str">
        <f>IFERROR(LEFT(I2136,FIND("*",I2136)-1),"-")</f>
        <v>-</v>
      </c>
      <c r="V2137" s="26" t="str">
        <f>IFERROR(RIGHT(I2136,LEN(I2136)-FIND("*",I2136)),"-")</f>
        <v>-</v>
      </c>
      <c r="W2137" s="27" t="str">
        <f t="shared" ref="W2137:W2144" si="1162">IFERROR((U2137+V2137)*2/1000,"-")</f>
        <v>-</v>
      </c>
      <c r="X2137" s="27" t="str">
        <f>IFERROR(W2137*J2136,"-")</f>
        <v>-</v>
      </c>
      <c r="Z2137" s="94" t="s">
        <v>82</v>
      </c>
    </row>
    <row r="2138" spans="1:26" s="25" customFormat="1" ht="6.95" customHeight="1" x14ac:dyDescent="0.3">
      <c r="A2138" s="165"/>
      <c r="B2138" s="168"/>
      <c r="C2138" s="169"/>
      <c r="D2138" s="160"/>
      <c r="E2138" s="161"/>
      <c r="F2138" s="162"/>
      <c r="G2138" s="163"/>
      <c r="H2138" s="164"/>
      <c r="I2138" s="163"/>
      <c r="J2138" s="164"/>
      <c r="K2138" s="163"/>
      <c r="L2138" s="164"/>
      <c r="M2138" s="11"/>
      <c r="N2138" s="39"/>
      <c r="Q2138" s="15" t="str">
        <f>+CONCATENATE(E2136,K2136)</f>
        <v/>
      </c>
      <c r="R2138" s="15">
        <f>+L2136</f>
        <v>0</v>
      </c>
      <c r="S2138" s="16"/>
      <c r="T2138" s="15">
        <f>+E2136</f>
        <v>0</v>
      </c>
      <c r="U2138" s="26" t="str">
        <f>IFERROR(LEFT(K2136,FIND("*",K2136)-1),"-")</f>
        <v>-</v>
      </c>
      <c r="V2138" s="26" t="str">
        <f>IFERROR(RIGHT(K2136,LEN(K2136)-FIND("*",K2136)),"-")</f>
        <v>-</v>
      </c>
      <c r="W2138" s="27" t="str">
        <f t="shared" si="1162"/>
        <v>-</v>
      </c>
      <c r="X2138" s="27" t="str">
        <f>IFERROR(W2138*L2136,"-")</f>
        <v>-</v>
      </c>
      <c r="Z2138" s="94" t="s">
        <v>82</v>
      </c>
    </row>
    <row r="2139" spans="1:26" s="25" customFormat="1" ht="6.95" customHeight="1" x14ac:dyDescent="0.3">
      <c r="A2139" s="13"/>
      <c r="B2139" s="168"/>
      <c r="C2139" s="169"/>
      <c r="D2139" s="160" t="s">
        <v>39</v>
      </c>
      <c r="E2139" s="161"/>
      <c r="F2139" s="162" t="s">
        <v>40</v>
      </c>
      <c r="G2139" s="163"/>
      <c r="H2139" s="164"/>
      <c r="I2139" s="163"/>
      <c r="J2139" s="164"/>
      <c r="K2139" s="163"/>
      <c r="L2139" s="164"/>
      <c r="M2139" s="11"/>
      <c r="N2139" s="39"/>
      <c r="Q2139" s="15" t="str">
        <f>+CONCATENATE(E2139,G2139)</f>
        <v/>
      </c>
      <c r="R2139" s="15">
        <f>+H2139</f>
        <v>0</v>
      </c>
      <c r="S2139" s="16"/>
      <c r="T2139" s="15">
        <f>+E2139</f>
        <v>0</v>
      </c>
      <c r="U2139" s="26" t="str">
        <f t="shared" ref="U2139" si="1163">IFERROR(LEFT(G2139,FIND("*",G2139)-1),"-")</f>
        <v>-</v>
      </c>
      <c r="V2139" s="26" t="str">
        <f t="shared" ref="V2139" si="1164">IFERROR(RIGHT(G2139,LEN(G2139)-FIND("*",G2139)),"-")</f>
        <v>-</v>
      </c>
      <c r="W2139" s="27" t="str">
        <f t="shared" si="1162"/>
        <v>-</v>
      </c>
      <c r="X2139" s="27" t="str">
        <f>IFERROR(W2139*H2139,"-")</f>
        <v>-</v>
      </c>
      <c r="Z2139" s="94" t="s">
        <v>82</v>
      </c>
    </row>
    <row r="2140" spans="1:26" s="25" customFormat="1" ht="6.95" customHeight="1" x14ac:dyDescent="0.3">
      <c r="A2140" s="10"/>
      <c r="B2140" s="168"/>
      <c r="C2140" s="169"/>
      <c r="D2140" s="160"/>
      <c r="E2140" s="161"/>
      <c r="F2140" s="162"/>
      <c r="G2140" s="163"/>
      <c r="H2140" s="164"/>
      <c r="I2140" s="163"/>
      <c r="J2140" s="164"/>
      <c r="K2140" s="163"/>
      <c r="L2140" s="164"/>
      <c r="M2140" s="11"/>
      <c r="N2140" s="39"/>
      <c r="Q2140" s="15" t="str">
        <f>+CONCATENATE(E2139,I2139)</f>
        <v/>
      </c>
      <c r="R2140" s="15">
        <f>+J2139</f>
        <v>0</v>
      </c>
      <c r="S2140" s="16"/>
      <c r="T2140" s="15">
        <f>+E2139</f>
        <v>0</v>
      </c>
      <c r="U2140" s="26" t="str">
        <f>IFERROR(LEFT(I2139,FIND("*",I2139)-1),"-")</f>
        <v>-</v>
      </c>
      <c r="V2140" s="26" t="str">
        <f>IFERROR(RIGHT(I2139,LEN(I2139)-FIND("*",I2139)),"-")</f>
        <v>-</v>
      </c>
      <c r="W2140" s="27" t="str">
        <f t="shared" si="1162"/>
        <v>-</v>
      </c>
      <c r="X2140" s="27" t="str">
        <f>IFERROR(W2140*J2139,"-")</f>
        <v>-</v>
      </c>
      <c r="Z2140" s="94" t="s">
        <v>82</v>
      </c>
    </row>
    <row r="2141" spans="1:26" s="25" customFormat="1" ht="6.95" customHeight="1" x14ac:dyDescent="0.3">
      <c r="A2141" s="10"/>
      <c r="B2141" s="168"/>
      <c r="C2141" s="169"/>
      <c r="D2141" s="160"/>
      <c r="E2141" s="161"/>
      <c r="F2141" s="162"/>
      <c r="G2141" s="163"/>
      <c r="H2141" s="164"/>
      <c r="I2141" s="163"/>
      <c r="J2141" s="164"/>
      <c r="K2141" s="163"/>
      <c r="L2141" s="164"/>
      <c r="M2141" s="11"/>
      <c r="N2141" s="39"/>
      <c r="Q2141" s="15" t="str">
        <f>+CONCATENATE(E2139,K2139)</f>
        <v/>
      </c>
      <c r="R2141" s="15">
        <f>+L2139</f>
        <v>0</v>
      </c>
      <c r="S2141" s="16"/>
      <c r="T2141" s="15">
        <f>+E2139</f>
        <v>0</v>
      </c>
      <c r="U2141" s="26" t="str">
        <f>IFERROR(LEFT(K2139,FIND("*",K2139)-1),"-")</f>
        <v>-</v>
      </c>
      <c r="V2141" s="26" t="str">
        <f>IFERROR(RIGHT(K2139,LEN(K2139)-FIND("*",K2139)),"-")</f>
        <v>-</v>
      </c>
      <c r="W2141" s="27" t="str">
        <f t="shared" si="1162"/>
        <v>-</v>
      </c>
      <c r="X2141" s="27" t="str">
        <f>IFERROR(W2141*L2139,"-")</f>
        <v>-</v>
      </c>
      <c r="Z2141" s="94" t="s">
        <v>82</v>
      </c>
    </row>
    <row r="2142" spans="1:26" s="25" customFormat="1" ht="6.95" customHeight="1" x14ac:dyDescent="0.3">
      <c r="A2142" s="13"/>
      <c r="B2142" s="168"/>
      <c r="C2142" s="169"/>
      <c r="D2142" s="160" t="s">
        <v>39</v>
      </c>
      <c r="E2142" s="161"/>
      <c r="F2142" s="162" t="s">
        <v>40</v>
      </c>
      <c r="G2142" s="163"/>
      <c r="H2142" s="164"/>
      <c r="I2142" s="163"/>
      <c r="J2142" s="164"/>
      <c r="K2142" s="163"/>
      <c r="L2142" s="164"/>
      <c r="M2142" s="11"/>
      <c r="N2142" s="39"/>
      <c r="Q2142" s="15" t="str">
        <f>+CONCATENATE(E2142,G2142)</f>
        <v/>
      </c>
      <c r="R2142" s="15">
        <f>+H2142</f>
        <v>0</v>
      </c>
      <c r="S2142" s="16"/>
      <c r="T2142" s="15">
        <f>+E2142</f>
        <v>0</v>
      </c>
      <c r="U2142" s="26" t="str">
        <f t="shared" ref="U2142" si="1165">IFERROR(LEFT(G2142,FIND("*",G2142)-1),"-")</f>
        <v>-</v>
      </c>
      <c r="V2142" s="26" t="str">
        <f t="shared" ref="V2142" si="1166">IFERROR(RIGHT(G2142,LEN(G2142)-FIND("*",G2142)),"-")</f>
        <v>-</v>
      </c>
      <c r="W2142" s="27" t="str">
        <f t="shared" si="1162"/>
        <v>-</v>
      </c>
      <c r="X2142" s="27" t="str">
        <f>IFERROR(W2142*H2142,"-")</f>
        <v>-</v>
      </c>
      <c r="Z2142" s="94" t="s">
        <v>82</v>
      </c>
    </row>
    <row r="2143" spans="1:26" s="25" customFormat="1" ht="6.95" customHeight="1" x14ac:dyDescent="0.3">
      <c r="A2143" s="10"/>
      <c r="B2143" s="168"/>
      <c r="C2143" s="169"/>
      <c r="D2143" s="160"/>
      <c r="E2143" s="161"/>
      <c r="F2143" s="162"/>
      <c r="G2143" s="163"/>
      <c r="H2143" s="164"/>
      <c r="I2143" s="163"/>
      <c r="J2143" s="164"/>
      <c r="K2143" s="163"/>
      <c r="L2143" s="164"/>
      <c r="M2143" s="11"/>
      <c r="N2143" s="39"/>
      <c r="Q2143" s="15" t="str">
        <f>+CONCATENATE(E2142,I2142)</f>
        <v/>
      </c>
      <c r="R2143" s="15">
        <f>+J2142</f>
        <v>0</v>
      </c>
      <c r="S2143" s="16"/>
      <c r="T2143" s="15">
        <f>+E2142</f>
        <v>0</v>
      </c>
      <c r="U2143" s="26" t="str">
        <f>IFERROR(LEFT(I2142,FIND("*",I2142)-1),"-")</f>
        <v>-</v>
      </c>
      <c r="V2143" s="26" t="str">
        <f>IFERROR(RIGHT(I2142,LEN(I2142)-FIND("*",I2142)),"-")</f>
        <v>-</v>
      </c>
      <c r="W2143" s="27" t="str">
        <f t="shared" si="1162"/>
        <v>-</v>
      </c>
      <c r="X2143" s="27" t="str">
        <f t="shared" ref="X2143" si="1167">IFERROR(W2143*J2142,"-")</f>
        <v>-</v>
      </c>
      <c r="Z2143" s="94" t="s">
        <v>82</v>
      </c>
    </row>
    <row r="2144" spans="1:26" s="25" customFormat="1" ht="6.95" customHeight="1" x14ac:dyDescent="0.3">
      <c r="A2144" s="10"/>
      <c r="B2144" s="168"/>
      <c r="C2144" s="169"/>
      <c r="D2144" s="160"/>
      <c r="E2144" s="161"/>
      <c r="F2144" s="162"/>
      <c r="G2144" s="163"/>
      <c r="H2144" s="164"/>
      <c r="I2144" s="163"/>
      <c r="J2144" s="164"/>
      <c r="K2144" s="163"/>
      <c r="L2144" s="164"/>
      <c r="M2144" s="11"/>
      <c r="N2144" s="39"/>
      <c r="Q2144" s="15" t="str">
        <f>+CONCATENATE(E2142,K2142)</f>
        <v/>
      </c>
      <c r="R2144" s="15">
        <f>+L2142</f>
        <v>0</v>
      </c>
      <c r="S2144" s="16"/>
      <c r="T2144" s="15">
        <f>+E2142</f>
        <v>0</v>
      </c>
      <c r="U2144" s="26" t="str">
        <f>IFERROR(LEFT(K2142,FIND("*",K2142)-1),"-")</f>
        <v>-</v>
      </c>
      <c r="V2144" s="26" t="str">
        <f>IFERROR(RIGHT(K2142,LEN(K2142)-FIND("*",K2142)),"-")</f>
        <v>-</v>
      </c>
      <c r="W2144" s="27" t="str">
        <f t="shared" si="1162"/>
        <v>-</v>
      </c>
      <c r="X2144" s="27" t="str">
        <f>IFERROR(W2144*L2142,"-")</f>
        <v>-</v>
      </c>
      <c r="Z2144" s="94" t="s">
        <v>82</v>
      </c>
    </row>
    <row r="2145" spans="1:26" s="25" customFormat="1" ht="21" customHeight="1" thickBot="1" x14ac:dyDescent="0.35">
      <c r="A2145" s="10"/>
      <c r="B2145" s="170"/>
      <c r="C2145" s="171"/>
      <c r="D2145" s="172" t="s">
        <v>43</v>
      </c>
      <c r="E2145" s="173"/>
      <c r="F2145" s="173"/>
      <c r="G2145" s="174"/>
      <c r="H2145" s="174"/>
      <c r="I2145" s="174"/>
      <c r="J2145" s="174"/>
      <c r="K2145" s="174"/>
      <c r="L2145" s="174"/>
      <c r="M2145" s="12"/>
      <c r="N2145" s="39"/>
      <c r="U2145" s="23"/>
      <c r="V2145" s="23"/>
      <c r="Z2145" s="95" t="s">
        <v>81</v>
      </c>
    </row>
    <row r="2146" spans="1:26" s="25" customFormat="1" ht="9.9499999999999993" customHeight="1" thickBot="1" x14ac:dyDescent="0.35">
      <c r="A2146" s="6"/>
      <c r="B2146" s="14"/>
      <c r="C2146" s="119"/>
      <c r="D2146" s="58"/>
      <c r="E2146" s="17"/>
      <c r="F2146" s="58"/>
      <c r="G2146" s="19"/>
      <c r="H2146" s="19"/>
      <c r="I2146" s="19"/>
      <c r="J2146" s="19"/>
      <c r="K2146" s="19"/>
      <c r="L2146" s="19"/>
      <c r="M2146" s="14"/>
      <c r="N2146" s="39"/>
      <c r="Q2146" s="1"/>
      <c r="R2146" s="1"/>
      <c r="S2146" s="1"/>
      <c r="T2146" s="1"/>
      <c r="U2146" s="24"/>
      <c r="V2146" s="24"/>
      <c r="W2146" s="1"/>
      <c r="X2146" s="1"/>
      <c r="Z2146" s="94" t="s">
        <v>82</v>
      </c>
    </row>
    <row r="2147" spans="1:26" s="25" customFormat="1" ht="6.95" customHeight="1" x14ac:dyDescent="0.3">
      <c r="A2147" s="165">
        <f>+A2136+1</f>
        <v>196</v>
      </c>
      <c r="B2147" s="166"/>
      <c r="C2147" s="167"/>
      <c r="D2147" s="160" t="s">
        <v>39</v>
      </c>
      <c r="E2147" s="161"/>
      <c r="F2147" s="162" t="s">
        <v>40</v>
      </c>
      <c r="G2147" s="163"/>
      <c r="H2147" s="164"/>
      <c r="I2147" s="163"/>
      <c r="J2147" s="164"/>
      <c r="K2147" s="163"/>
      <c r="L2147" s="164"/>
      <c r="M2147" s="11"/>
      <c r="N2147" s="39"/>
      <c r="Q2147" s="15" t="str">
        <f>+CONCATENATE(E2147,G2147)</f>
        <v/>
      </c>
      <c r="R2147" s="15">
        <f>+H2147</f>
        <v>0</v>
      </c>
      <c r="S2147" s="16"/>
      <c r="T2147" s="15">
        <f>+E2147</f>
        <v>0</v>
      </c>
      <c r="U2147" s="26" t="str">
        <f>IFERROR(LEFT(G2147,FIND("*",G2147)-1),"-")</f>
        <v>-</v>
      </c>
      <c r="V2147" s="26" t="str">
        <f>IFERROR(RIGHT(G2147,LEN(G2147)-FIND("*",G2147)),"-")</f>
        <v>-</v>
      </c>
      <c r="W2147" s="27" t="str">
        <f>IFERROR((U2147+V2147)*2/1000,"-")</f>
        <v>-</v>
      </c>
      <c r="X2147" s="27" t="str">
        <f>IFERROR(W2147*H2147,"-")</f>
        <v>-</v>
      </c>
      <c r="Z2147" s="94" t="s">
        <v>82</v>
      </c>
    </row>
    <row r="2148" spans="1:26" s="25" customFormat="1" ht="6.95" customHeight="1" x14ac:dyDescent="0.3">
      <c r="A2148" s="165"/>
      <c r="B2148" s="168"/>
      <c r="C2148" s="169"/>
      <c r="D2148" s="160"/>
      <c r="E2148" s="161"/>
      <c r="F2148" s="162"/>
      <c r="G2148" s="163"/>
      <c r="H2148" s="164"/>
      <c r="I2148" s="163"/>
      <c r="J2148" s="164"/>
      <c r="K2148" s="163"/>
      <c r="L2148" s="164"/>
      <c r="M2148" s="11"/>
      <c r="N2148" s="39"/>
      <c r="Q2148" s="15" t="str">
        <f>+CONCATENATE(E2147,I2147)</f>
        <v/>
      </c>
      <c r="R2148" s="15">
        <f>+J2147</f>
        <v>0</v>
      </c>
      <c r="S2148" s="16"/>
      <c r="T2148" s="15">
        <f>+E2147</f>
        <v>0</v>
      </c>
      <c r="U2148" s="26" t="str">
        <f>IFERROR(LEFT(I2147,FIND("*",I2147)-1),"-")</f>
        <v>-</v>
      </c>
      <c r="V2148" s="26" t="str">
        <f>IFERROR(RIGHT(I2147,LEN(I2147)-FIND("*",I2147)),"-")</f>
        <v>-</v>
      </c>
      <c r="W2148" s="27" t="str">
        <f t="shared" ref="W2148:W2155" si="1168">IFERROR((U2148+V2148)*2/1000,"-")</f>
        <v>-</v>
      </c>
      <c r="X2148" s="27" t="str">
        <f>IFERROR(W2148*J2147,"-")</f>
        <v>-</v>
      </c>
      <c r="Z2148" s="94" t="s">
        <v>82</v>
      </c>
    </row>
    <row r="2149" spans="1:26" s="25" customFormat="1" ht="6.95" customHeight="1" x14ac:dyDescent="0.3">
      <c r="A2149" s="165"/>
      <c r="B2149" s="168"/>
      <c r="C2149" s="169"/>
      <c r="D2149" s="160"/>
      <c r="E2149" s="161"/>
      <c r="F2149" s="162"/>
      <c r="G2149" s="163"/>
      <c r="H2149" s="164"/>
      <c r="I2149" s="163"/>
      <c r="J2149" s="164"/>
      <c r="K2149" s="163"/>
      <c r="L2149" s="164"/>
      <c r="M2149" s="11"/>
      <c r="N2149" s="39"/>
      <c r="Q2149" s="15" t="str">
        <f>+CONCATENATE(E2147,K2147)</f>
        <v/>
      </c>
      <c r="R2149" s="15">
        <f>+L2147</f>
        <v>0</v>
      </c>
      <c r="S2149" s="16"/>
      <c r="T2149" s="15">
        <f>+E2147</f>
        <v>0</v>
      </c>
      <c r="U2149" s="26" t="str">
        <f>IFERROR(LEFT(K2147,FIND("*",K2147)-1),"-")</f>
        <v>-</v>
      </c>
      <c r="V2149" s="26" t="str">
        <f>IFERROR(RIGHT(K2147,LEN(K2147)-FIND("*",K2147)),"-")</f>
        <v>-</v>
      </c>
      <c r="W2149" s="27" t="str">
        <f t="shared" si="1168"/>
        <v>-</v>
      </c>
      <c r="X2149" s="27" t="str">
        <f>IFERROR(W2149*L2147,"-")</f>
        <v>-</v>
      </c>
      <c r="Z2149" s="94" t="s">
        <v>82</v>
      </c>
    </row>
    <row r="2150" spans="1:26" s="25" customFormat="1" ht="6.95" customHeight="1" x14ac:dyDescent="0.3">
      <c r="A2150" s="13"/>
      <c r="B2150" s="168"/>
      <c r="C2150" s="169"/>
      <c r="D2150" s="160" t="s">
        <v>39</v>
      </c>
      <c r="E2150" s="161"/>
      <c r="F2150" s="162" t="s">
        <v>40</v>
      </c>
      <c r="G2150" s="163"/>
      <c r="H2150" s="164"/>
      <c r="I2150" s="163"/>
      <c r="J2150" s="164"/>
      <c r="K2150" s="163"/>
      <c r="L2150" s="164"/>
      <c r="M2150" s="11"/>
      <c r="N2150" s="39"/>
      <c r="Q2150" s="15" t="str">
        <f>+CONCATENATE(E2150,G2150)</f>
        <v/>
      </c>
      <c r="R2150" s="15">
        <f>+H2150</f>
        <v>0</v>
      </c>
      <c r="S2150" s="16"/>
      <c r="T2150" s="15">
        <f>+E2150</f>
        <v>0</v>
      </c>
      <c r="U2150" s="26" t="str">
        <f t="shared" ref="U2150" si="1169">IFERROR(LEFT(G2150,FIND("*",G2150)-1),"-")</f>
        <v>-</v>
      </c>
      <c r="V2150" s="26" t="str">
        <f t="shared" ref="V2150" si="1170">IFERROR(RIGHT(G2150,LEN(G2150)-FIND("*",G2150)),"-")</f>
        <v>-</v>
      </c>
      <c r="W2150" s="27" t="str">
        <f t="shared" si="1168"/>
        <v>-</v>
      </c>
      <c r="X2150" s="27" t="str">
        <f>IFERROR(W2150*H2150,"-")</f>
        <v>-</v>
      </c>
      <c r="Z2150" s="94" t="s">
        <v>82</v>
      </c>
    </row>
    <row r="2151" spans="1:26" s="25" customFormat="1" ht="6.95" customHeight="1" x14ac:dyDescent="0.3">
      <c r="A2151" s="10"/>
      <c r="B2151" s="168"/>
      <c r="C2151" s="169"/>
      <c r="D2151" s="160"/>
      <c r="E2151" s="161"/>
      <c r="F2151" s="162"/>
      <c r="G2151" s="163"/>
      <c r="H2151" s="164"/>
      <c r="I2151" s="163"/>
      <c r="J2151" s="164"/>
      <c r="K2151" s="163"/>
      <c r="L2151" s="164"/>
      <c r="M2151" s="11"/>
      <c r="N2151" s="39"/>
      <c r="Q2151" s="15" t="str">
        <f>+CONCATENATE(E2150,I2150)</f>
        <v/>
      </c>
      <c r="R2151" s="15">
        <f>+J2150</f>
        <v>0</v>
      </c>
      <c r="S2151" s="16"/>
      <c r="T2151" s="15">
        <f>+E2150</f>
        <v>0</v>
      </c>
      <c r="U2151" s="26" t="str">
        <f>IFERROR(LEFT(I2150,FIND("*",I2150)-1),"-")</f>
        <v>-</v>
      </c>
      <c r="V2151" s="26" t="str">
        <f>IFERROR(RIGHT(I2150,LEN(I2150)-FIND("*",I2150)),"-")</f>
        <v>-</v>
      </c>
      <c r="W2151" s="27" t="str">
        <f t="shared" si="1168"/>
        <v>-</v>
      </c>
      <c r="X2151" s="27" t="str">
        <f>IFERROR(W2151*J2150,"-")</f>
        <v>-</v>
      </c>
      <c r="Z2151" s="94" t="s">
        <v>82</v>
      </c>
    </row>
    <row r="2152" spans="1:26" s="25" customFormat="1" ht="6.95" customHeight="1" x14ac:dyDescent="0.3">
      <c r="A2152" s="10"/>
      <c r="B2152" s="168"/>
      <c r="C2152" s="169"/>
      <c r="D2152" s="160"/>
      <c r="E2152" s="161"/>
      <c r="F2152" s="162"/>
      <c r="G2152" s="163"/>
      <c r="H2152" s="164"/>
      <c r="I2152" s="163"/>
      <c r="J2152" s="164"/>
      <c r="K2152" s="163"/>
      <c r="L2152" s="164"/>
      <c r="M2152" s="11"/>
      <c r="N2152" s="39"/>
      <c r="Q2152" s="15" t="str">
        <f>+CONCATENATE(E2150,K2150)</f>
        <v/>
      </c>
      <c r="R2152" s="15">
        <f>+L2150</f>
        <v>0</v>
      </c>
      <c r="S2152" s="16"/>
      <c r="T2152" s="15">
        <f>+E2150</f>
        <v>0</v>
      </c>
      <c r="U2152" s="26" t="str">
        <f>IFERROR(LEFT(K2150,FIND("*",K2150)-1),"-")</f>
        <v>-</v>
      </c>
      <c r="V2152" s="26" t="str">
        <f>IFERROR(RIGHT(K2150,LEN(K2150)-FIND("*",K2150)),"-")</f>
        <v>-</v>
      </c>
      <c r="W2152" s="27" t="str">
        <f t="shared" si="1168"/>
        <v>-</v>
      </c>
      <c r="X2152" s="27" t="str">
        <f>IFERROR(W2152*L2150,"-")</f>
        <v>-</v>
      </c>
      <c r="Z2152" s="94" t="s">
        <v>82</v>
      </c>
    </row>
    <row r="2153" spans="1:26" s="25" customFormat="1" ht="6.95" customHeight="1" x14ac:dyDescent="0.3">
      <c r="A2153" s="13"/>
      <c r="B2153" s="168"/>
      <c r="C2153" s="169"/>
      <c r="D2153" s="160" t="s">
        <v>39</v>
      </c>
      <c r="E2153" s="161"/>
      <c r="F2153" s="162" t="s">
        <v>40</v>
      </c>
      <c r="G2153" s="163"/>
      <c r="H2153" s="164"/>
      <c r="I2153" s="163"/>
      <c r="J2153" s="164"/>
      <c r="K2153" s="163"/>
      <c r="L2153" s="164"/>
      <c r="M2153" s="11"/>
      <c r="N2153" s="39"/>
      <c r="Q2153" s="15" t="str">
        <f>+CONCATENATE(E2153,G2153)</f>
        <v/>
      </c>
      <c r="R2153" s="15">
        <f>+H2153</f>
        <v>0</v>
      </c>
      <c r="S2153" s="16"/>
      <c r="T2153" s="15">
        <f>+E2153</f>
        <v>0</v>
      </c>
      <c r="U2153" s="26" t="str">
        <f t="shared" ref="U2153" si="1171">IFERROR(LEFT(G2153,FIND("*",G2153)-1),"-")</f>
        <v>-</v>
      </c>
      <c r="V2153" s="26" t="str">
        <f t="shared" ref="V2153" si="1172">IFERROR(RIGHT(G2153,LEN(G2153)-FIND("*",G2153)),"-")</f>
        <v>-</v>
      </c>
      <c r="W2153" s="27" t="str">
        <f t="shared" si="1168"/>
        <v>-</v>
      </c>
      <c r="X2153" s="27" t="str">
        <f>IFERROR(W2153*H2153,"-")</f>
        <v>-</v>
      </c>
      <c r="Z2153" s="94" t="s">
        <v>82</v>
      </c>
    </row>
    <row r="2154" spans="1:26" s="25" customFormat="1" ht="6.95" customHeight="1" x14ac:dyDescent="0.3">
      <c r="A2154" s="10"/>
      <c r="B2154" s="168"/>
      <c r="C2154" s="169"/>
      <c r="D2154" s="160"/>
      <c r="E2154" s="161"/>
      <c r="F2154" s="162"/>
      <c r="G2154" s="163"/>
      <c r="H2154" s="164"/>
      <c r="I2154" s="163"/>
      <c r="J2154" s="164"/>
      <c r="K2154" s="163"/>
      <c r="L2154" s="164"/>
      <c r="M2154" s="11"/>
      <c r="N2154" s="39"/>
      <c r="Q2154" s="15" t="str">
        <f>+CONCATENATE(E2153,I2153)</f>
        <v/>
      </c>
      <c r="R2154" s="15">
        <f>+J2153</f>
        <v>0</v>
      </c>
      <c r="S2154" s="16"/>
      <c r="T2154" s="15">
        <f>+E2153</f>
        <v>0</v>
      </c>
      <c r="U2154" s="26" t="str">
        <f>IFERROR(LEFT(I2153,FIND("*",I2153)-1),"-")</f>
        <v>-</v>
      </c>
      <c r="V2154" s="26" t="str">
        <f>IFERROR(RIGHT(I2153,LEN(I2153)-FIND("*",I2153)),"-")</f>
        <v>-</v>
      </c>
      <c r="W2154" s="27" t="str">
        <f t="shared" si="1168"/>
        <v>-</v>
      </c>
      <c r="X2154" s="27" t="str">
        <f t="shared" ref="X2154" si="1173">IFERROR(W2154*J2153,"-")</f>
        <v>-</v>
      </c>
      <c r="Z2154" s="94" t="s">
        <v>82</v>
      </c>
    </row>
    <row r="2155" spans="1:26" s="25" customFormat="1" ht="6.95" customHeight="1" x14ac:dyDescent="0.3">
      <c r="A2155" s="10"/>
      <c r="B2155" s="168"/>
      <c r="C2155" s="169"/>
      <c r="D2155" s="160"/>
      <c r="E2155" s="161"/>
      <c r="F2155" s="162"/>
      <c r="G2155" s="163"/>
      <c r="H2155" s="164"/>
      <c r="I2155" s="163"/>
      <c r="J2155" s="164"/>
      <c r="K2155" s="163"/>
      <c r="L2155" s="164"/>
      <c r="M2155" s="11"/>
      <c r="N2155" s="39"/>
      <c r="Q2155" s="15" t="str">
        <f>+CONCATENATE(E2153,K2153)</f>
        <v/>
      </c>
      <c r="R2155" s="15">
        <f>+L2153</f>
        <v>0</v>
      </c>
      <c r="S2155" s="16"/>
      <c r="T2155" s="15">
        <f>+E2153</f>
        <v>0</v>
      </c>
      <c r="U2155" s="26" t="str">
        <f>IFERROR(LEFT(K2153,FIND("*",K2153)-1),"-")</f>
        <v>-</v>
      </c>
      <c r="V2155" s="26" t="str">
        <f>IFERROR(RIGHT(K2153,LEN(K2153)-FIND("*",K2153)),"-")</f>
        <v>-</v>
      </c>
      <c r="W2155" s="27" t="str">
        <f t="shared" si="1168"/>
        <v>-</v>
      </c>
      <c r="X2155" s="27" t="str">
        <f>IFERROR(W2155*L2153,"-")</f>
        <v>-</v>
      </c>
      <c r="Z2155" s="94" t="s">
        <v>82</v>
      </c>
    </row>
    <row r="2156" spans="1:26" s="25" customFormat="1" ht="21" customHeight="1" thickBot="1" x14ac:dyDescent="0.35">
      <c r="A2156" s="10"/>
      <c r="B2156" s="170"/>
      <c r="C2156" s="171"/>
      <c r="D2156" s="172" t="s">
        <v>43</v>
      </c>
      <c r="E2156" s="173"/>
      <c r="F2156" s="173"/>
      <c r="G2156" s="174"/>
      <c r="H2156" s="174"/>
      <c r="I2156" s="174"/>
      <c r="J2156" s="174"/>
      <c r="K2156" s="174"/>
      <c r="L2156" s="174"/>
      <c r="M2156" s="12"/>
      <c r="N2156" s="39"/>
      <c r="U2156" s="23"/>
      <c r="V2156" s="23"/>
      <c r="Z2156" s="95" t="s">
        <v>81</v>
      </c>
    </row>
    <row r="2157" spans="1:26" s="25" customFormat="1" ht="9.9499999999999993" customHeight="1" thickBot="1" x14ac:dyDescent="0.35">
      <c r="A2157" s="6"/>
      <c r="B2157" s="14"/>
      <c r="C2157" s="119"/>
      <c r="D2157" s="58"/>
      <c r="E2157" s="17"/>
      <c r="F2157" s="58"/>
      <c r="G2157" s="19"/>
      <c r="H2157" s="19"/>
      <c r="I2157" s="19"/>
      <c r="J2157" s="19"/>
      <c r="K2157" s="19"/>
      <c r="L2157" s="19"/>
      <c r="M2157" s="14"/>
      <c r="N2157" s="39"/>
      <c r="Q2157" s="1"/>
      <c r="R2157" s="1"/>
      <c r="S2157" s="1"/>
      <c r="T2157" s="1"/>
      <c r="U2157" s="24"/>
      <c r="V2157" s="24"/>
      <c r="W2157" s="1"/>
      <c r="X2157" s="1"/>
      <c r="Z2157" s="94" t="s">
        <v>82</v>
      </c>
    </row>
    <row r="2158" spans="1:26" s="25" customFormat="1" ht="6.95" customHeight="1" x14ac:dyDescent="0.3">
      <c r="A2158" s="165">
        <f>+A2147+1</f>
        <v>197</v>
      </c>
      <c r="B2158" s="166"/>
      <c r="C2158" s="167"/>
      <c r="D2158" s="160" t="s">
        <v>39</v>
      </c>
      <c r="E2158" s="161"/>
      <c r="F2158" s="162" t="s">
        <v>40</v>
      </c>
      <c r="G2158" s="163"/>
      <c r="H2158" s="164"/>
      <c r="I2158" s="163"/>
      <c r="J2158" s="164"/>
      <c r="K2158" s="163"/>
      <c r="L2158" s="164"/>
      <c r="M2158" s="11"/>
      <c r="N2158" s="39"/>
      <c r="Q2158" s="15" t="str">
        <f>+CONCATENATE(E2158,G2158)</f>
        <v/>
      </c>
      <c r="R2158" s="15">
        <f>+H2158</f>
        <v>0</v>
      </c>
      <c r="S2158" s="16"/>
      <c r="T2158" s="15">
        <f>+E2158</f>
        <v>0</v>
      </c>
      <c r="U2158" s="26" t="str">
        <f>IFERROR(LEFT(G2158,FIND("*",G2158)-1),"-")</f>
        <v>-</v>
      </c>
      <c r="V2158" s="26" t="str">
        <f>IFERROR(RIGHT(G2158,LEN(G2158)-FIND("*",G2158)),"-")</f>
        <v>-</v>
      </c>
      <c r="W2158" s="27" t="str">
        <f>IFERROR((U2158+V2158)*2/1000,"-")</f>
        <v>-</v>
      </c>
      <c r="X2158" s="27" t="str">
        <f>IFERROR(W2158*H2158,"-")</f>
        <v>-</v>
      </c>
      <c r="Z2158" s="94" t="s">
        <v>82</v>
      </c>
    </row>
    <row r="2159" spans="1:26" s="25" customFormat="1" ht="6.95" customHeight="1" x14ac:dyDescent="0.3">
      <c r="A2159" s="165"/>
      <c r="B2159" s="168"/>
      <c r="C2159" s="169"/>
      <c r="D2159" s="160"/>
      <c r="E2159" s="161"/>
      <c r="F2159" s="162"/>
      <c r="G2159" s="163"/>
      <c r="H2159" s="164"/>
      <c r="I2159" s="163"/>
      <c r="J2159" s="164"/>
      <c r="K2159" s="163"/>
      <c r="L2159" s="164"/>
      <c r="M2159" s="11"/>
      <c r="N2159" s="39"/>
      <c r="Q2159" s="15" t="str">
        <f>+CONCATENATE(E2158,I2158)</f>
        <v/>
      </c>
      <c r="R2159" s="15">
        <f>+J2158</f>
        <v>0</v>
      </c>
      <c r="S2159" s="16"/>
      <c r="T2159" s="15">
        <f>+E2158</f>
        <v>0</v>
      </c>
      <c r="U2159" s="26" t="str">
        <f>IFERROR(LEFT(I2158,FIND("*",I2158)-1),"-")</f>
        <v>-</v>
      </c>
      <c r="V2159" s="26" t="str">
        <f>IFERROR(RIGHT(I2158,LEN(I2158)-FIND("*",I2158)),"-")</f>
        <v>-</v>
      </c>
      <c r="W2159" s="27" t="str">
        <f t="shared" ref="W2159:W2166" si="1174">IFERROR((U2159+V2159)*2/1000,"-")</f>
        <v>-</v>
      </c>
      <c r="X2159" s="27" t="str">
        <f>IFERROR(W2159*J2158,"-")</f>
        <v>-</v>
      </c>
      <c r="Z2159" s="94" t="s">
        <v>82</v>
      </c>
    </row>
    <row r="2160" spans="1:26" s="25" customFormat="1" ht="6.95" customHeight="1" x14ac:dyDescent="0.3">
      <c r="A2160" s="165"/>
      <c r="B2160" s="168"/>
      <c r="C2160" s="169"/>
      <c r="D2160" s="160"/>
      <c r="E2160" s="161"/>
      <c r="F2160" s="162"/>
      <c r="G2160" s="163"/>
      <c r="H2160" s="164"/>
      <c r="I2160" s="163"/>
      <c r="J2160" s="164"/>
      <c r="K2160" s="163"/>
      <c r="L2160" s="164"/>
      <c r="M2160" s="11"/>
      <c r="N2160" s="39"/>
      <c r="Q2160" s="15" t="str">
        <f>+CONCATENATE(E2158,K2158)</f>
        <v/>
      </c>
      <c r="R2160" s="15">
        <f>+L2158</f>
        <v>0</v>
      </c>
      <c r="S2160" s="16"/>
      <c r="T2160" s="15">
        <f>+E2158</f>
        <v>0</v>
      </c>
      <c r="U2160" s="26" t="str">
        <f>IFERROR(LEFT(K2158,FIND("*",K2158)-1),"-")</f>
        <v>-</v>
      </c>
      <c r="V2160" s="26" t="str">
        <f>IFERROR(RIGHT(K2158,LEN(K2158)-FIND("*",K2158)),"-")</f>
        <v>-</v>
      </c>
      <c r="W2160" s="27" t="str">
        <f t="shared" si="1174"/>
        <v>-</v>
      </c>
      <c r="X2160" s="27" t="str">
        <f>IFERROR(W2160*L2158,"-")</f>
        <v>-</v>
      </c>
      <c r="Z2160" s="94" t="s">
        <v>82</v>
      </c>
    </row>
    <row r="2161" spans="1:26" s="25" customFormat="1" ht="6.95" customHeight="1" x14ac:dyDescent="0.3">
      <c r="A2161" s="13"/>
      <c r="B2161" s="168"/>
      <c r="C2161" s="169"/>
      <c r="D2161" s="160" t="s">
        <v>39</v>
      </c>
      <c r="E2161" s="161"/>
      <c r="F2161" s="162" t="s">
        <v>40</v>
      </c>
      <c r="G2161" s="163"/>
      <c r="H2161" s="164"/>
      <c r="I2161" s="163"/>
      <c r="J2161" s="164"/>
      <c r="K2161" s="163"/>
      <c r="L2161" s="164"/>
      <c r="M2161" s="11"/>
      <c r="N2161" s="39"/>
      <c r="Q2161" s="15" t="str">
        <f>+CONCATENATE(E2161,G2161)</f>
        <v/>
      </c>
      <c r="R2161" s="15">
        <f>+H2161</f>
        <v>0</v>
      </c>
      <c r="S2161" s="16"/>
      <c r="T2161" s="15">
        <f>+E2161</f>
        <v>0</v>
      </c>
      <c r="U2161" s="26" t="str">
        <f t="shared" ref="U2161" si="1175">IFERROR(LEFT(G2161,FIND("*",G2161)-1),"-")</f>
        <v>-</v>
      </c>
      <c r="V2161" s="26" t="str">
        <f t="shared" ref="V2161" si="1176">IFERROR(RIGHT(G2161,LEN(G2161)-FIND("*",G2161)),"-")</f>
        <v>-</v>
      </c>
      <c r="W2161" s="27" t="str">
        <f t="shared" si="1174"/>
        <v>-</v>
      </c>
      <c r="X2161" s="27" t="str">
        <f>IFERROR(W2161*H2161,"-")</f>
        <v>-</v>
      </c>
      <c r="Z2161" s="94" t="s">
        <v>82</v>
      </c>
    </row>
    <row r="2162" spans="1:26" s="25" customFormat="1" ht="6.95" customHeight="1" x14ac:dyDescent="0.3">
      <c r="A2162" s="10"/>
      <c r="B2162" s="168"/>
      <c r="C2162" s="169"/>
      <c r="D2162" s="160"/>
      <c r="E2162" s="161"/>
      <c r="F2162" s="162"/>
      <c r="G2162" s="163"/>
      <c r="H2162" s="164"/>
      <c r="I2162" s="163"/>
      <c r="J2162" s="164"/>
      <c r="K2162" s="163"/>
      <c r="L2162" s="164"/>
      <c r="M2162" s="11"/>
      <c r="N2162" s="39"/>
      <c r="Q2162" s="15" t="str">
        <f>+CONCATENATE(E2161,I2161)</f>
        <v/>
      </c>
      <c r="R2162" s="15">
        <f>+J2161</f>
        <v>0</v>
      </c>
      <c r="S2162" s="16"/>
      <c r="T2162" s="15">
        <f>+E2161</f>
        <v>0</v>
      </c>
      <c r="U2162" s="26" t="str">
        <f>IFERROR(LEFT(I2161,FIND("*",I2161)-1),"-")</f>
        <v>-</v>
      </c>
      <c r="V2162" s="26" t="str">
        <f>IFERROR(RIGHT(I2161,LEN(I2161)-FIND("*",I2161)),"-")</f>
        <v>-</v>
      </c>
      <c r="W2162" s="27" t="str">
        <f t="shared" si="1174"/>
        <v>-</v>
      </c>
      <c r="X2162" s="27" t="str">
        <f>IFERROR(W2162*J2161,"-")</f>
        <v>-</v>
      </c>
      <c r="Z2162" s="94" t="s">
        <v>82</v>
      </c>
    </row>
    <row r="2163" spans="1:26" s="25" customFormat="1" ht="6.95" customHeight="1" x14ac:dyDescent="0.3">
      <c r="A2163" s="10"/>
      <c r="B2163" s="168"/>
      <c r="C2163" s="169"/>
      <c r="D2163" s="160"/>
      <c r="E2163" s="161"/>
      <c r="F2163" s="162"/>
      <c r="G2163" s="163"/>
      <c r="H2163" s="164"/>
      <c r="I2163" s="163"/>
      <c r="J2163" s="164"/>
      <c r="K2163" s="163"/>
      <c r="L2163" s="164"/>
      <c r="M2163" s="11"/>
      <c r="N2163" s="39"/>
      <c r="Q2163" s="15" t="str">
        <f>+CONCATENATE(E2161,K2161)</f>
        <v/>
      </c>
      <c r="R2163" s="15">
        <f>+L2161</f>
        <v>0</v>
      </c>
      <c r="S2163" s="16"/>
      <c r="T2163" s="15">
        <f>+E2161</f>
        <v>0</v>
      </c>
      <c r="U2163" s="26" t="str">
        <f>IFERROR(LEFT(K2161,FIND("*",K2161)-1),"-")</f>
        <v>-</v>
      </c>
      <c r="V2163" s="26" t="str">
        <f>IFERROR(RIGHT(K2161,LEN(K2161)-FIND("*",K2161)),"-")</f>
        <v>-</v>
      </c>
      <c r="W2163" s="27" t="str">
        <f t="shared" si="1174"/>
        <v>-</v>
      </c>
      <c r="X2163" s="27" t="str">
        <f>IFERROR(W2163*L2161,"-")</f>
        <v>-</v>
      </c>
      <c r="Z2163" s="94" t="s">
        <v>82</v>
      </c>
    </row>
    <row r="2164" spans="1:26" s="25" customFormat="1" ht="6.95" customHeight="1" x14ac:dyDescent="0.3">
      <c r="A2164" s="13"/>
      <c r="B2164" s="168"/>
      <c r="C2164" s="169"/>
      <c r="D2164" s="160" t="s">
        <v>39</v>
      </c>
      <c r="E2164" s="161"/>
      <c r="F2164" s="162" t="s">
        <v>40</v>
      </c>
      <c r="G2164" s="163"/>
      <c r="H2164" s="164"/>
      <c r="I2164" s="163"/>
      <c r="J2164" s="164"/>
      <c r="K2164" s="163"/>
      <c r="L2164" s="164"/>
      <c r="M2164" s="11"/>
      <c r="N2164" s="39"/>
      <c r="Q2164" s="15" t="str">
        <f>+CONCATENATE(E2164,G2164)</f>
        <v/>
      </c>
      <c r="R2164" s="15">
        <f>+H2164</f>
        <v>0</v>
      </c>
      <c r="S2164" s="16"/>
      <c r="T2164" s="15">
        <f>+E2164</f>
        <v>0</v>
      </c>
      <c r="U2164" s="26" t="str">
        <f t="shared" ref="U2164" si="1177">IFERROR(LEFT(G2164,FIND("*",G2164)-1),"-")</f>
        <v>-</v>
      </c>
      <c r="V2164" s="26" t="str">
        <f t="shared" ref="V2164" si="1178">IFERROR(RIGHT(G2164,LEN(G2164)-FIND("*",G2164)),"-")</f>
        <v>-</v>
      </c>
      <c r="W2164" s="27" t="str">
        <f t="shared" si="1174"/>
        <v>-</v>
      </c>
      <c r="X2164" s="27" t="str">
        <f>IFERROR(W2164*H2164,"-")</f>
        <v>-</v>
      </c>
      <c r="Z2164" s="94" t="s">
        <v>82</v>
      </c>
    </row>
    <row r="2165" spans="1:26" s="25" customFormat="1" ht="6.95" customHeight="1" x14ac:dyDescent="0.3">
      <c r="A2165" s="10"/>
      <c r="B2165" s="168"/>
      <c r="C2165" s="169"/>
      <c r="D2165" s="160"/>
      <c r="E2165" s="161"/>
      <c r="F2165" s="162"/>
      <c r="G2165" s="163"/>
      <c r="H2165" s="164"/>
      <c r="I2165" s="163"/>
      <c r="J2165" s="164"/>
      <c r="K2165" s="163"/>
      <c r="L2165" s="164"/>
      <c r="M2165" s="11"/>
      <c r="N2165" s="39"/>
      <c r="Q2165" s="15" t="str">
        <f>+CONCATENATE(E2164,I2164)</f>
        <v/>
      </c>
      <c r="R2165" s="15">
        <f>+J2164</f>
        <v>0</v>
      </c>
      <c r="S2165" s="16"/>
      <c r="T2165" s="15">
        <f>+E2164</f>
        <v>0</v>
      </c>
      <c r="U2165" s="26" t="str">
        <f>IFERROR(LEFT(I2164,FIND("*",I2164)-1),"-")</f>
        <v>-</v>
      </c>
      <c r="V2165" s="26" t="str">
        <f>IFERROR(RIGHT(I2164,LEN(I2164)-FIND("*",I2164)),"-")</f>
        <v>-</v>
      </c>
      <c r="W2165" s="27" t="str">
        <f t="shared" si="1174"/>
        <v>-</v>
      </c>
      <c r="X2165" s="27" t="str">
        <f t="shared" ref="X2165" si="1179">IFERROR(W2165*J2164,"-")</f>
        <v>-</v>
      </c>
      <c r="Z2165" s="94" t="s">
        <v>82</v>
      </c>
    </row>
    <row r="2166" spans="1:26" s="25" customFormat="1" ht="6.95" customHeight="1" x14ac:dyDescent="0.3">
      <c r="A2166" s="10"/>
      <c r="B2166" s="168"/>
      <c r="C2166" s="169"/>
      <c r="D2166" s="160"/>
      <c r="E2166" s="161"/>
      <c r="F2166" s="162"/>
      <c r="G2166" s="163"/>
      <c r="H2166" s="164"/>
      <c r="I2166" s="163"/>
      <c r="J2166" s="164"/>
      <c r="K2166" s="163"/>
      <c r="L2166" s="164"/>
      <c r="M2166" s="11"/>
      <c r="N2166" s="39"/>
      <c r="Q2166" s="15" t="str">
        <f>+CONCATENATE(E2164,K2164)</f>
        <v/>
      </c>
      <c r="R2166" s="15">
        <f>+L2164</f>
        <v>0</v>
      </c>
      <c r="S2166" s="16"/>
      <c r="T2166" s="15">
        <f>+E2164</f>
        <v>0</v>
      </c>
      <c r="U2166" s="26" t="str">
        <f>IFERROR(LEFT(K2164,FIND("*",K2164)-1),"-")</f>
        <v>-</v>
      </c>
      <c r="V2166" s="26" t="str">
        <f>IFERROR(RIGHT(K2164,LEN(K2164)-FIND("*",K2164)),"-")</f>
        <v>-</v>
      </c>
      <c r="W2166" s="27" t="str">
        <f t="shared" si="1174"/>
        <v>-</v>
      </c>
      <c r="X2166" s="27" t="str">
        <f>IFERROR(W2166*L2164,"-")</f>
        <v>-</v>
      </c>
      <c r="Z2166" s="94" t="s">
        <v>82</v>
      </c>
    </row>
    <row r="2167" spans="1:26" s="25" customFormat="1" ht="21" customHeight="1" thickBot="1" x14ac:dyDescent="0.35">
      <c r="A2167" s="10"/>
      <c r="B2167" s="170"/>
      <c r="C2167" s="171"/>
      <c r="D2167" s="172" t="s">
        <v>43</v>
      </c>
      <c r="E2167" s="173"/>
      <c r="F2167" s="173"/>
      <c r="G2167" s="174"/>
      <c r="H2167" s="174"/>
      <c r="I2167" s="174"/>
      <c r="J2167" s="174"/>
      <c r="K2167" s="174"/>
      <c r="L2167" s="174"/>
      <c r="M2167" s="12"/>
      <c r="N2167" s="39"/>
      <c r="U2167" s="23"/>
      <c r="V2167" s="23"/>
      <c r="Z2167" s="95" t="s">
        <v>81</v>
      </c>
    </row>
    <row r="2168" spans="1:26" s="25" customFormat="1" ht="9.9499999999999993" customHeight="1" thickBot="1" x14ac:dyDescent="0.35">
      <c r="A2168" s="6"/>
      <c r="B2168" s="14"/>
      <c r="C2168" s="119"/>
      <c r="D2168" s="58"/>
      <c r="E2168" s="17"/>
      <c r="F2168" s="58"/>
      <c r="G2168" s="19"/>
      <c r="H2168" s="19"/>
      <c r="I2168" s="19"/>
      <c r="J2168" s="19"/>
      <c r="K2168" s="19"/>
      <c r="L2168" s="19"/>
      <c r="M2168" s="14"/>
      <c r="N2168" s="39"/>
      <c r="Q2168" s="1"/>
      <c r="R2168" s="1"/>
      <c r="S2168" s="1"/>
      <c r="T2168" s="1"/>
      <c r="U2168" s="24"/>
      <c r="V2168" s="24"/>
      <c r="W2168" s="1"/>
      <c r="X2168" s="1"/>
      <c r="Z2168" s="94" t="s">
        <v>82</v>
      </c>
    </row>
    <row r="2169" spans="1:26" s="25" customFormat="1" ht="6.95" customHeight="1" x14ac:dyDescent="0.3">
      <c r="A2169" s="165">
        <f>+A2158+1</f>
        <v>198</v>
      </c>
      <c r="B2169" s="166"/>
      <c r="C2169" s="167"/>
      <c r="D2169" s="160" t="s">
        <v>39</v>
      </c>
      <c r="E2169" s="161"/>
      <c r="F2169" s="162" t="s">
        <v>40</v>
      </c>
      <c r="G2169" s="163"/>
      <c r="H2169" s="164"/>
      <c r="I2169" s="163"/>
      <c r="J2169" s="164"/>
      <c r="K2169" s="163"/>
      <c r="L2169" s="164"/>
      <c r="M2169" s="11"/>
      <c r="N2169" s="39"/>
      <c r="Q2169" s="15" t="str">
        <f>+CONCATENATE(E2169,G2169)</f>
        <v/>
      </c>
      <c r="R2169" s="15">
        <f>+H2169</f>
        <v>0</v>
      </c>
      <c r="S2169" s="16"/>
      <c r="T2169" s="15">
        <f>+E2169</f>
        <v>0</v>
      </c>
      <c r="U2169" s="26" t="str">
        <f>IFERROR(LEFT(G2169,FIND("*",G2169)-1),"-")</f>
        <v>-</v>
      </c>
      <c r="V2169" s="26" t="str">
        <f>IFERROR(RIGHT(G2169,LEN(G2169)-FIND("*",G2169)),"-")</f>
        <v>-</v>
      </c>
      <c r="W2169" s="27" t="str">
        <f>IFERROR((U2169+V2169)*2/1000,"-")</f>
        <v>-</v>
      </c>
      <c r="X2169" s="27" t="str">
        <f>IFERROR(W2169*H2169,"-")</f>
        <v>-</v>
      </c>
      <c r="Z2169" s="94" t="s">
        <v>82</v>
      </c>
    </row>
    <row r="2170" spans="1:26" s="25" customFormat="1" ht="6.95" customHeight="1" x14ac:dyDescent="0.3">
      <c r="A2170" s="165"/>
      <c r="B2170" s="168"/>
      <c r="C2170" s="169"/>
      <c r="D2170" s="160"/>
      <c r="E2170" s="161"/>
      <c r="F2170" s="162"/>
      <c r="G2170" s="163"/>
      <c r="H2170" s="164"/>
      <c r="I2170" s="163"/>
      <c r="J2170" s="164"/>
      <c r="K2170" s="163"/>
      <c r="L2170" s="164"/>
      <c r="M2170" s="11"/>
      <c r="N2170" s="39"/>
      <c r="Q2170" s="15" t="str">
        <f>+CONCATENATE(E2169,I2169)</f>
        <v/>
      </c>
      <c r="R2170" s="15">
        <f>+J2169</f>
        <v>0</v>
      </c>
      <c r="S2170" s="16"/>
      <c r="T2170" s="15">
        <f>+E2169</f>
        <v>0</v>
      </c>
      <c r="U2170" s="26" t="str">
        <f>IFERROR(LEFT(I2169,FIND("*",I2169)-1),"-")</f>
        <v>-</v>
      </c>
      <c r="V2170" s="26" t="str">
        <f>IFERROR(RIGHT(I2169,LEN(I2169)-FIND("*",I2169)),"-")</f>
        <v>-</v>
      </c>
      <c r="W2170" s="27" t="str">
        <f t="shared" ref="W2170:W2177" si="1180">IFERROR((U2170+V2170)*2/1000,"-")</f>
        <v>-</v>
      </c>
      <c r="X2170" s="27" t="str">
        <f>IFERROR(W2170*J2169,"-")</f>
        <v>-</v>
      </c>
      <c r="Z2170" s="94" t="s">
        <v>82</v>
      </c>
    </row>
    <row r="2171" spans="1:26" s="25" customFormat="1" ht="6.95" customHeight="1" x14ac:dyDescent="0.3">
      <c r="A2171" s="165"/>
      <c r="B2171" s="168"/>
      <c r="C2171" s="169"/>
      <c r="D2171" s="160"/>
      <c r="E2171" s="161"/>
      <c r="F2171" s="162"/>
      <c r="G2171" s="163"/>
      <c r="H2171" s="164"/>
      <c r="I2171" s="163"/>
      <c r="J2171" s="164"/>
      <c r="K2171" s="163"/>
      <c r="L2171" s="164"/>
      <c r="M2171" s="11"/>
      <c r="N2171" s="39"/>
      <c r="Q2171" s="15" t="str">
        <f>+CONCATENATE(E2169,K2169)</f>
        <v/>
      </c>
      <c r="R2171" s="15">
        <f>+L2169</f>
        <v>0</v>
      </c>
      <c r="S2171" s="16"/>
      <c r="T2171" s="15">
        <f>+E2169</f>
        <v>0</v>
      </c>
      <c r="U2171" s="26" t="str">
        <f>IFERROR(LEFT(K2169,FIND("*",K2169)-1),"-")</f>
        <v>-</v>
      </c>
      <c r="V2171" s="26" t="str">
        <f>IFERROR(RIGHT(K2169,LEN(K2169)-FIND("*",K2169)),"-")</f>
        <v>-</v>
      </c>
      <c r="W2171" s="27" t="str">
        <f t="shared" si="1180"/>
        <v>-</v>
      </c>
      <c r="X2171" s="27" t="str">
        <f>IFERROR(W2171*L2169,"-")</f>
        <v>-</v>
      </c>
      <c r="Z2171" s="94" t="s">
        <v>82</v>
      </c>
    </row>
    <row r="2172" spans="1:26" s="25" customFormat="1" ht="6.95" customHeight="1" x14ac:dyDescent="0.3">
      <c r="A2172" s="13"/>
      <c r="B2172" s="168"/>
      <c r="C2172" s="169"/>
      <c r="D2172" s="160" t="s">
        <v>39</v>
      </c>
      <c r="E2172" s="161"/>
      <c r="F2172" s="162" t="s">
        <v>40</v>
      </c>
      <c r="G2172" s="163"/>
      <c r="H2172" s="164"/>
      <c r="I2172" s="163"/>
      <c r="J2172" s="164"/>
      <c r="K2172" s="163"/>
      <c r="L2172" s="164"/>
      <c r="M2172" s="11"/>
      <c r="N2172" s="39"/>
      <c r="Q2172" s="15" t="str">
        <f>+CONCATENATE(E2172,G2172)</f>
        <v/>
      </c>
      <c r="R2172" s="15">
        <f>+H2172</f>
        <v>0</v>
      </c>
      <c r="S2172" s="16"/>
      <c r="T2172" s="15">
        <f>+E2172</f>
        <v>0</v>
      </c>
      <c r="U2172" s="26" t="str">
        <f t="shared" ref="U2172" si="1181">IFERROR(LEFT(G2172,FIND("*",G2172)-1),"-")</f>
        <v>-</v>
      </c>
      <c r="V2172" s="26" t="str">
        <f t="shared" ref="V2172" si="1182">IFERROR(RIGHT(G2172,LEN(G2172)-FIND("*",G2172)),"-")</f>
        <v>-</v>
      </c>
      <c r="W2172" s="27" t="str">
        <f t="shared" si="1180"/>
        <v>-</v>
      </c>
      <c r="X2172" s="27" t="str">
        <f>IFERROR(W2172*H2172,"-")</f>
        <v>-</v>
      </c>
      <c r="Z2172" s="94" t="s">
        <v>82</v>
      </c>
    </row>
    <row r="2173" spans="1:26" s="25" customFormat="1" ht="6.95" customHeight="1" x14ac:dyDescent="0.3">
      <c r="A2173" s="10"/>
      <c r="B2173" s="168"/>
      <c r="C2173" s="169"/>
      <c r="D2173" s="160"/>
      <c r="E2173" s="161"/>
      <c r="F2173" s="162"/>
      <c r="G2173" s="163"/>
      <c r="H2173" s="164"/>
      <c r="I2173" s="163"/>
      <c r="J2173" s="164"/>
      <c r="K2173" s="163"/>
      <c r="L2173" s="164"/>
      <c r="M2173" s="11"/>
      <c r="N2173" s="39"/>
      <c r="Q2173" s="15" t="str">
        <f>+CONCATENATE(E2172,I2172)</f>
        <v/>
      </c>
      <c r="R2173" s="15">
        <f>+J2172</f>
        <v>0</v>
      </c>
      <c r="S2173" s="16"/>
      <c r="T2173" s="15">
        <f>+E2172</f>
        <v>0</v>
      </c>
      <c r="U2173" s="26" t="str">
        <f>IFERROR(LEFT(I2172,FIND("*",I2172)-1),"-")</f>
        <v>-</v>
      </c>
      <c r="V2173" s="26" t="str">
        <f>IFERROR(RIGHT(I2172,LEN(I2172)-FIND("*",I2172)),"-")</f>
        <v>-</v>
      </c>
      <c r="W2173" s="27" t="str">
        <f t="shared" si="1180"/>
        <v>-</v>
      </c>
      <c r="X2173" s="27" t="str">
        <f>IFERROR(W2173*J2172,"-")</f>
        <v>-</v>
      </c>
      <c r="Z2173" s="94" t="s">
        <v>82</v>
      </c>
    </row>
    <row r="2174" spans="1:26" s="25" customFormat="1" ht="6.95" customHeight="1" x14ac:dyDescent="0.3">
      <c r="A2174" s="10"/>
      <c r="B2174" s="168"/>
      <c r="C2174" s="169"/>
      <c r="D2174" s="160"/>
      <c r="E2174" s="161"/>
      <c r="F2174" s="162"/>
      <c r="G2174" s="163"/>
      <c r="H2174" s="164"/>
      <c r="I2174" s="163"/>
      <c r="J2174" s="164"/>
      <c r="K2174" s="163"/>
      <c r="L2174" s="164"/>
      <c r="M2174" s="11"/>
      <c r="N2174" s="39"/>
      <c r="Q2174" s="15" t="str">
        <f>+CONCATENATE(E2172,K2172)</f>
        <v/>
      </c>
      <c r="R2174" s="15">
        <f>+L2172</f>
        <v>0</v>
      </c>
      <c r="S2174" s="16"/>
      <c r="T2174" s="15">
        <f>+E2172</f>
        <v>0</v>
      </c>
      <c r="U2174" s="26" t="str">
        <f>IFERROR(LEFT(K2172,FIND("*",K2172)-1),"-")</f>
        <v>-</v>
      </c>
      <c r="V2174" s="26" t="str">
        <f>IFERROR(RIGHT(K2172,LEN(K2172)-FIND("*",K2172)),"-")</f>
        <v>-</v>
      </c>
      <c r="W2174" s="27" t="str">
        <f t="shared" si="1180"/>
        <v>-</v>
      </c>
      <c r="X2174" s="27" t="str">
        <f>IFERROR(W2174*L2172,"-")</f>
        <v>-</v>
      </c>
      <c r="Z2174" s="94" t="s">
        <v>82</v>
      </c>
    </row>
    <row r="2175" spans="1:26" s="25" customFormat="1" ht="6.95" customHeight="1" x14ac:dyDescent="0.3">
      <c r="A2175" s="13"/>
      <c r="B2175" s="168"/>
      <c r="C2175" s="169"/>
      <c r="D2175" s="160" t="s">
        <v>39</v>
      </c>
      <c r="E2175" s="161"/>
      <c r="F2175" s="162" t="s">
        <v>40</v>
      </c>
      <c r="G2175" s="163"/>
      <c r="H2175" s="164"/>
      <c r="I2175" s="163"/>
      <c r="J2175" s="164"/>
      <c r="K2175" s="163"/>
      <c r="L2175" s="164"/>
      <c r="M2175" s="11"/>
      <c r="N2175" s="39"/>
      <c r="Q2175" s="15" t="str">
        <f>+CONCATENATE(E2175,G2175)</f>
        <v/>
      </c>
      <c r="R2175" s="15">
        <f>+H2175</f>
        <v>0</v>
      </c>
      <c r="S2175" s="16"/>
      <c r="T2175" s="15">
        <f>+E2175</f>
        <v>0</v>
      </c>
      <c r="U2175" s="26" t="str">
        <f t="shared" ref="U2175" si="1183">IFERROR(LEFT(G2175,FIND("*",G2175)-1),"-")</f>
        <v>-</v>
      </c>
      <c r="V2175" s="26" t="str">
        <f t="shared" ref="V2175" si="1184">IFERROR(RIGHT(G2175,LEN(G2175)-FIND("*",G2175)),"-")</f>
        <v>-</v>
      </c>
      <c r="W2175" s="27" t="str">
        <f t="shared" si="1180"/>
        <v>-</v>
      </c>
      <c r="X2175" s="27" t="str">
        <f>IFERROR(W2175*H2175,"-")</f>
        <v>-</v>
      </c>
      <c r="Z2175" s="94" t="s">
        <v>82</v>
      </c>
    </row>
    <row r="2176" spans="1:26" s="25" customFormat="1" ht="6.95" customHeight="1" x14ac:dyDescent="0.3">
      <c r="A2176" s="10"/>
      <c r="B2176" s="168"/>
      <c r="C2176" s="169"/>
      <c r="D2176" s="160"/>
      <c r="E2176" s="161"/>
      <c r="F2176" s="162"/>
      <c r="G2176" s="163"/>
      <c r="H2176" s="164"/>
      <c r="I2176" s="163"/>
      <c r="J2176" s="164"/>
      <c r="K2176" s="163"/>
      <c r="L2176" s="164"/>
      <c r="M2176" s="11"/>
      <c r="N2176" s="39"/>
      <c r="Q2176" s="15" t="str">
        <f>+CONCATENATE(E2175,I2175)</f>
        <v/>
      </c>
      <c r="R2176" s="15">
        <f>+J2175</f>
        <v>0</v>
      </c>
      <c r="S2176" s="16"/>
      <c r="T2176" s="15">
        <f>+E2175</f>
        <v>0</v>
      </c>
      <c r="U2176" s="26" t="str">
        <f>IFERROR(LEFT(I2175,FIND("*",I2175)-1),"-")</f>
        <v>-</v>
      </c>
      <c r="V2176" s="26" t="str">
        <f>IFERROR(RIGHT(I2175,LEN(I2175)-FIND("*",I2175)),"-")</f>
        <v>-</v>
      </c>
      <c r="W2176" s="27" t="str">
        <f t="shared" si="1180"/>
        <v>-</v>
      </c>
      <c r="X2176" s="27" t="str">
        <f t="shared" ref="X2176" si="1185">IFERROR(W2176*J2175,"-")</f>
        <v>-</v>
      </c>
      <c r="Z2176" s="94" t="s">
        <v>82</v>
      </c>
    </row>
    <row r="2177" spans="1:26" s="25" customFormat="1" ht="6.95" customHeight="1" x14ac:dyDescent="0.3">
      <c r="A2177" s="10"/>
      <c r="B2177" s="168"/>
      <c r="C2177" s="169"/>
      <c r="D2177" s="160"/>
      <c r="E2177" s="161"/>
      <c r="F2177" s="162"/>
      <c r="G2177" s="163"/>
      <c r="H2177" s="164"/>
      <c r="I2177" s="163"/>
      <c r="J2177" s="164"/>
      <c r="K2177" s="163"/>
      <c r="L2177" s="164"/>
      <c r="M2177" s="11"/>
      <c r="N2177" s="39"/>
      <c r="Q2177" s="15" t="str">
        <f>+CONCATENATE(E2175,K2175)</f>
        <v/>
      </c>
      <c r="R2177" s="15">
        <f>+L2175</f>
        <v>0</v>
      </c>
      <c r="S2177" s="16"/>
      <c r="T2177" s="15">
        <f>+E2175</f>
        <v>0</v>
      </c>
      <c r="U2177" s="26" t="str">
        <f>IFERROR(LEFT(K2175,FIND("*",K2175)-1),"-")</f>
        <v>-</v>
      </c>
      <c r="V2177" s="26" t="str">
        <f>IFERROR(RIGHT(K2175,LEN(K2175)-FIND("*",K2175)),"-")</f>
        <v>-</v>
      </c>
      <c r="W2177" s="27" t="str">
        <f t="shared" si="1180"/>
        <v>-</v>
      </c>
      <c r="X2177" s="27" t="str">
        <f>IFERROR(W2177*L2175,"-")</f>
        <v>-</v>
      </c>
      <c r="Z2177" s="94" t="s">
        <v>82</v>
      </c>
    </row>
    <row r="2178" spans="1:26" s="25" customFormat="1" ht="21" customHeight="1" thickBot="1" x14ac:dyDescent="0.35">
      <c r="A2178" s="10"/>
      <c r="B2178" s="170"/>
      <c r="C2178" s="171"/>
      <c r="D2178" s="172" t="s">
        <v>43</v>
      </c>
      <c r="E2178" s="173"/>
      <c r="F2178" s="173"/>
      <c r="G2178" s="174"/>
      <c r="H2178" s="174"/>
      <c r="I2178" s="174"/>
      <c r="J2178" s="174"/>
      <c r="K2178" s="174"/>
      <c r="L2178" s="174"/>
      <c r="M2178" s="12"/>
      <c r="N2178" s="39"/>
      <c r="U2178" s="23"/>
      <c r="V2178" s="23"/>
      <c r="Z2178" s="95" t="s">
        <v>81</v>
      </c>
    </row>
    <row r="2179" spans="1:26" s="25" customFormat="1" ht="9.9499999999999993" customHeight="1" thickBot="1" x14ac:dyDescent="0.35">
      <c r="A2179" s="6"/>
      <c r="B2179" s="14"/>
      <c r="C2179" s="119"/>
      <c r="D2179" s="58"/>
      <c r="E2179" s="17"/>
      <c r="F2179" s="58"/>
      <c r="G2179" s="19"/>
      <c r="H2179" s="19"/>
      <c r="I2179" s="19"/>
      <c r="J2179" s="19"/>
      <c r="K2179" s="19"/>
      <c r="L2179" s="19"/>
      <c r="M2179" s="14"/>
      <c r="N2179" s="39"/>
      <c r="Q2179" s="1"/>
      <c r="R2179" s="1"/>
      <c r="S2179" s="1"/>
      <c r="T2179" s="1"/>
      <c r="U2179" s="24"/>
      <c r="V2179" s="24"/>
      <c r="W2179" s="1"/>
      <c r="X2179" s="1"/>
      <c r="Z2179" s="94" t="s">
        <v>82</v>
      </c>
    </row>
    <row r="2180" spans="1:26" s="25" customFormat="1" ht="6.95" customHeight="1" x14ac:dyDescent="0.3">
      <c r="A2180" s="165">
        <f>+A2169+1</f>
        <v>199</v>
      </c>
      <c r="B2180" s="166"/>
      <c r="C2180" s="167"/>
      <c r="D2180" s="160" t="s">
        <v>39</v>
      </c>
      <c r="E2180" s="161"/>
      <c r="F2180" s="162" t="s">
        <v>40</v>
      </c>
      <c r="G2180" s="163"/>
      <c r="H2180" s="164"/>
      <c r="I2180" s="163"/>
      <c r="J2180" s="164"/>
      <c r="K2180" s="163"/>
      <c r="L2180" s="164"/>
      <c r="M2180" s="11"/>
      <c r="N2180" s="39"/>
      <c r="Q2180" s="15" t="str">
        <f>+CONCATENATE(E2180,G2180)</f>
        <v/>
      </c>
      <c r="R2180" s="15">
        <f>+H2180</f>
        <v>0</v>
      </c>
      <c r="S2180" s="16"/>
      <c r="T2180" s="15">
        <f>+E2180</f>
        <v>0</v>
      </c>
      <c r="U2180" s="26" t="str">
        <f>IFERROR(LEFT(G2180,FIND("*",G2180)-1),"-")</f>
        <v>-</v>
      </c>
      <c r="V2180" s="26" t="str">
        <f>IFERROR(RIGHT(G2180,LEN(G2180)-FIND("*",G2180)),"-")</f>
        <v>-</v>
      </c>
      <c r="W2180" s="27" t="str">
        <f>IFERROR((U2180+V2180)*2/1000,"-")</f>
        <v>-</v>
      </c>
      <c r="X2180" s="27" t="str">
        <f>IFERROR(W2180*H2180,"-")</f>
        <v>-</v>
      </c>
      <c r="Z2180" s="94" t="s">
        <v>82</v>
      </c>
    </row>
    <row r="2181" spans="1:26" s="25" customFormat="1" ht="6.95" customHeight="1" x14ac:dyDescent="0.3">
      <c r="A2181" s="165"/>
      <c r="B2181" s="168"/>
      <c r="C2181" s="169"/>
      <c r="D2181" s="160"/>
      <c r="E2181" s="161"/>
      <c r="F2181" s="162"/>
      <c r="G2181" s="163"/>
      <c r="H2181" s="164"/>
      <c r="I2181" s="163"/>
      <c r="J2181" s="164"/>
      <c r="K2181" s="163"/>
      <c r="L2181" s="164"/>
      <c r="M2181" s="11"/>
      <c r="N2181" s="39"/>
      <c r="Q2181" s="15" t="str">
        <f>+CONCATENATE(E2180,I2180)</f>
        <v/>
      </c>
      <c r="R2181" s="15">
        <f>+J2180</f>
        <v>0</v>
      </c>
      <c r="S2181" s="16"/>
      <c r="T2181" s="15">
        <f>+E2180</f>
        <v>0</v>
      </c>
      <c r="U2181" s="26" t="str">
        <f>IFERROR(LEFT(I2180,FIND("*",I2180)-1),"-")</f>
        <v>-</v>
      </c>
      <c r="V2181" s="26" t="str">
        <f>IFERROR(RIGHT(I2180,LEN(I2180)-FIND("*",I2180)),"-")</f>
        <v>-</v>
      </c>
      <c r="W2181" s="27" t="str">
        <f t="shared" ref="W2181:W2188" si="1186">IFERROR((U2181+V2181)*2/1000,"-")</f>
        <v>-</v>
      </c>
      <c r="X2181" s="27" t="str">
        <f>IFERROR(W2181*J2180,"-")</f>
        <v>-</v>
      </c>
      <c r="Z2181" s="94" t="s">
        <v>82</v>
      </c>
    </row>
    <row r="2182" spans="1:26" s="25" customFormat="1" ht="6.95" customHeight="1" x14ac:dyDescent="0.3">
      <c r="A2182" s="165"/>
      <c r="B2182" s="168"/>
      <c r="C2182" s="169"/>
      <c r="D2182" s="160"/>
      <c r="E2182" s="161"/>
      <c r="F2182" s="162"/>
      <c r="G2182" s="163"/>
      <c r="H2182" s="164"/>
      <c r="I2182" s="163"/>
      <c r="J2182" s="164"/>
      <c r="K2182" s="163"/>
      <c r="L2182" s="164"/>
      <c r="M2182" s="11"/>
      <c r="N2182" s="39"/>
      <c r="Q2182" s="15" t="str">
        <f>+CONCATENATE(E2180,K2180)</f>
        <v/>
      </c>
      <c r="R2182" s="15">
        <f>+L2180</f>
        <v>0</v>
      </c>
      <c r="S2182" s="16"/>
      <c r="T2182" s="15">
        <f>+E2180</f>
        <v>0</v>
      </c>
      <c r="U2182" s="26" t="str">
        <f>IFERROR(LEFT(K2180,FIND("*",K2180)-1),"-")</f>
        <v>-</v>
      </c>
      <c r="V2182" s="26" t="str">
        <f>IFERROR(RIGHT(K2180,LEN(K2180)-FIND("*",K2180)),"-")</f>
        <v>-</v>
      </c>
      <c r="W2182" s="27" t="str">
        <f t="shared" si="1186"/>
        <v>-</v>
      </c>
      <c r="X2182" s="27" t="str">
        <f>IFERROR(W2182*L2180,"-")</f>
        <v>-</v>
      </c>
      <c r="Z2182" s="94" t="s">
        <v>82</v>
      </c>
    </row>
    <row r="2183" spans="1:26" s="25" customFormat="1" ht="6.95" customHeight="1" x14ac:dyDescent="0.3">
      <c r="A2183" s="13"/>
      <c r="B2183" s="168"/>
      <c r="C2183" s="169"/>
      <c r="D2183" s="160" t="s">
        <v>39</v>
      </c>
      <c r="E2183" s="161"/>
      <c r="F2183" s="162" t="s">
        <v>40</v>
      </c>
      <c r="G2183" s="163"/>
      <c r="H2183" s="164"/>
      <c r="I2183" s="163"/>
      <c r="J2183" s="164"/>
      <c r="K2183" s="163"/>
      <c r="L2183" s="164"/>
      <c r="M2183" s="11"/>
      <c r="N2183" s="39"/>
      <c r="Q2183" s="15" t="str">
        <f>+CONCATENATE(E2183,G2183)</f>
        <v/>
      </c>
      <c r="R2183" s="15">
        <f>+H2183</f>
        <v>0</v>
      </c>
      <c r="S2183" s="16"/>
      <c r="T2183" s="15">
        <f>+E2183</f>
        <v>0</v>
      </c>
      <c r="U2183" s="26" t="str">
        <f t="shared" ref="U2183" si="1187">IFERROR(LEFT(G2183,FIND("*",G2183)-1),"-")</f>
        <v>-</v>
      </c>
      <c r="V2183" s="26" t="str">
        <f t="shared" ref="V2183" si="1188">IFERROR(RIGHT(G2183,LEN(G2183)-FIND("*",G2183)),"-")</f>
        <v>-</v>
      </c>
      <c r="W2183" s="27" t="str">
        <f t="shared" si="1186"/>
        <v>-</v>
      </c>
      <c r="X2183" s="27" t="str">
        <f>IFERROR(W2183*H2183,"-")</f>
        <v>-</v>
      </c>
      <c r="Z2183" s="94" t="s">
        <v>82</v>
      </c>
    </row>
    <row r="2184" spans="1:26" s="25" customFormat="1" ht="6.95" customHeight="1" x14ac:dyDescent="0.3">
      <c r="A2184" s="10"/>
      <c r="B2184" s="168"/>
      <c r="C2184" s="169"/>
      <c r="D2184" s="160"/>
      <c r="E2184" s="161"/>
      <c r="F2184" s="162"/>
      <c r="G2184" s="163"/>
      <c r="H2184" s="164"/>
      <c r="I2184" s="163"/>
      <c r="J2184" s="164"/>
      <c r="K2184" s="163"/>
      <c r="L2184" s="164"/>
      <c r="M2184" s="11"/>
      <c r="N2184" s="39"/>
      <c r="Q2184" s="15" t="str">
        <f>+CONCATENATE(E2183,I2183)</f>
        <v/>
      </c>
      <c r="R2184" s="15">
        <f>+J2183</f>
        <v>0</v>
      </c>
      <c r="S2184" s="16"/>
      <c r="T2184" s="15">
        <f>+E2183</f>
        <v>0</v>
      </c>
      <c r="U2184" s="26" t="str">
        <f>IFERROR(LEFT(I2183,FIND("*",I2183)-1),"-")</f>
        <v>-</v>
      </c>
      <c r="V2184" s="26" t="str">
        <f>IFERROR(RIGHT(I2183,LEN(I2183)-FIND("*",I2183)),"-")</f>
        <v>-</v>
      </c>
      <c r="W2184" s="27" t="str">
        <f t="shared" si="1186"/>
        <v>-</v>
      </c>
      <c r="X2184" s="27" t="str">
        <f>IFERROR(W2184*J2183,"-")</f>
        <v>-</v>
      </c>
      <c r="Z2184" s="94" t="s">
        <v>82</v>
      </c>
    </row>
    <row r="2185" spans="1:26" s="25" customFormat="1" ht="6.95" customHeight="1" x14ac:dyDescent="0.3">
      <c r="A2185" s="10"/>
      <c r="B2185" s="168"/>
      <c r="C2185" s="169"/>
      <c r="D2185" s="160"/>
      <c r="E2185" s="161"/>
      <c r="F2185" s="162"/>
      <c r="G2185" s="163"/>
      <c r="H2185" s="164"/>
      <c r="I2185" s="163"/>
      <c r="J2185" s="164"/>
      <c r="K2185" s="163"/>
      <c r="L2185" s="164"/>
      <c r="M2185" s="11"/>
      <c r="N2185" s="39"/>
      <c r="Q2185" s="15" t="str">
        <f>+CONCATENATE(E2183,K2183)</f>
        <v/>
      </c>
      <c r="R2185" s="15">
        <f>+L2183</f>
        <v>0</v>
      </c>
      <c r="S2185" s="16"/>
      <c r="T2185" s="15">
        <f>+E2183</f>
        <v>0</v>
      </c>
      <c r="U2185" s="26" t="str">
        <f>IFERROR(LEFT(K2183,FIND("*",K2183)-1),"-")</f>
        <v>-</v>
      </c>
      <c r="V2185" s="26" t="str">
        <f>IFERROR(RIGHT(K2183,LEN(K2183)-FIND("*",K2183)),"-")</f>
        <v>-</v>
      </c>
      <c r="W2185" s="27" t="str">
        <f t="shared" si="1186"/>
        <v>-</v>
      </c>
      <c r="X2185" s="27" t="str">
        <f>IFERROR(W2185*L2183,"-")</f>
        <v>-</v>
      </c>
      <c r="Z2185" s="94" t="s">
        <v>82</v>
      </c>
    </row>
    <row r="2186" spans="1:26" s="25" customFormat="1" ht="6.95" customHeight="1" x14ac:dyDescent="0.3">
      <c r="A2186" s="13"/>
      <c r="B2186" s="168"/>
      <c r="C2186" s="169"/>
      <c r="D2186" s="160" t="s">
        <v>39</v>
      </c>
      <c r="E2186" s="161"/>
      <c r="F2186" s="162" t="s">
        <v>40</v>
      </c>
      <c r="G2186" s="163"/>
      <c r="H2186" s="164"/>
      <c r="I2186" s="163"/>
      <c r="J2186" s="164"/>
      <c r="K2186" s="163"/>
      <c r="L2186" s="164"/>
      <c r="M2186" s="11"/>
      <c r="N2186" s="39"/>
      <c r="Q2186" s="15" t="str">
        <f>+CONCATENATE(E2186,G2186)</f>
        <v/>
      </c>
      <c r="R2186" s="15">
        <f>+H2186</f>
        <v>0</v>
      </c>
      <c r="S2186" s="16"/>
      <c r="T2186" s="15">
        <f>+E2186</f>
        <v>0</v>
      </c>
      <c r="U2186" s="26" t="str">
        <f t="shared" ref="U2186" si="1189">IFERROR(LEFT(G2186,FIND("*",G2186)-1),"-")</f>
        <v>-</v>
      </c>
      <c r="V2186" s="26" t="str">
        <f t="shared" ref="V2186" si="1190">IFERROR(RIGHT(G2186,LEN(G2186)-FIND("*",G2186)),"-")</f>
        <v>-</v>
      </c>
      <c r="W2186" s="27" t="str">
        <f t="shared" si="1186"/>
        <v>-</v>
      </c>
      <c r="X2186" s="27" t="str">
        <f>IFERROR(W2186*H2186,"-")</f>
        <v>-</v>
      </c>
      <c r="Z2186" s="94" t="s">
        <v>82</v>
      </c>
    </row>
    <row r="2187" spans="1:26" s="25" customFormat="1" ht="6.95" customHeight="1" x14ac:dyDescent="0.3">
      <c r="A2187" s="10"/>
      <c r="B2187" s="168"/>
      <c r="C2187" s="169"/>
      <c r="D2187" s="160"/>
      <c r="E2187" s="161"/>
      <c r="F2187" s="162"/>
      <c r="G2187" s="163"/>
      <c r="H2187" s="164"/>
      <c r="I2187" s="163"/>
      <c r="J2187" s="164"/>
      <c r="K2187" s="163"/>
      <c r="L2187" s="164"/>
      <c r="M2187" s="11"/>
      <c r="N2187" s="39"/>
      <c r="Q2187" s="15" t="str">
        <f>+CONCATENATE(E2186,I2186)</f>
        <v/>
      </c>
      <c r="R2187" s="15">
        <f>+J2186</f>
        <v>0</v>
      </c>
      <c r="S2187" s="16"/>
      <c r="T2187" s="15">
        <f>+E2186</f>
        <v>0</v>
      </c>
      <c r="U2187" s="26" t="str">
        <f>IFERROR(LEFT(I2186,FIND("*",I2186)-1),"-")</f>
        <v>-</v>
      </c>
      <c r="V2187" s="26" t="str">
        <f>IFERROR(RIGHT(I2186,LEN(I2186)-FIND("*",I2186)),"-")</f>
        <v>-</v>
      </c>
      <c r="W2187" s="27" t="str">
        <f t="shared" si="1186"/>
        <v>-</v>
      </c>
      <c r="X2187" s="27" t="str">
        <f t="shared" ref="X2187" si="1191">IFERROR(W2187*J2186,"-")</f>
        <v>-</v>
      </c>
      <c r="Z2187" s="94" t="s">
        <v>82</v>
      </c>
    </row>
    <row r="2188" spans="1:26" s="25" customFormat="1" ht="6.95" customHeight="1" x14ac:dyDescent="0.3">
      <c r="A2188" s="10"/>
      <c r="B2188" s="168"/>
      <c r="C2188" s="169"/>
      <c r="D2188" s="160"/>
      <c r="E2188" s="161"/>
      <c r="F2188" s="162"/>
      <c r="G2188" s="163"/>
      <c r="H2188" s="164"/>
      <c r="I2188" s="163"/>
      <c r="J2188" s="164"/>
      <c r="K2188" s="163"/>
      <c r="L2188" s="164"/>
      <c r="M2188" s="11"/>
      <c r="N2188" s="39"/>
      <c r="Q2188" s="15" t="str">
        <f>+CONCATENATE(E2186,K2186)</f>
        <v/>
      </c>
      <c r="R2188" s="15">
        <f>+L2186</f>
        <v>0</v>
      </c>
      <c r="S2188" s="16"/>
      <c r="T2188" s="15">
        <f>+E2186</f>
        <v>0</v>
      </c>
      <c r="U2188" s="26" t="str">
        <f>IFERROR(LEFT(K2186,FIND("*",K2186)-1),"-")</f>
        <v>-</v>
      </c>
      <c r="V2188" s="26" t="str">
        <f>IFERROR(RIGHT(K2186,LEN(K2186)-FIND("*",K2186)),"-")</f>
        <v>-</v>
      </c>
      <c r="W2188" s="27" t="str">
        <f t="shared" si="1186"/>
        <v>-</v>
      </c>
      <c r="X2188" s="27" t="str">
        <f>IFERROR(W2188*L2186,"-")</f>
        <v>-</v>
      </c>
      <c r="Z2188" s="94" t="s">
        <v>82</v>
      </c>
    </row>
    <row r="2189" spans="1:26" s="25" customFormat="1" ht="21" customHeight="1" thickBot="1" x14ac:dyDescent="0.35">
      <c r="A2189" s="10"/>
      <c r="B2189" s="170"/>
      <c r="C2189" s="171"/>
      <c r="D2189" s="172" t="s">
        <v>43</v>
      </c>
      <c r="E2189" s="173"/>
      <c r="F2189" s="173"/>
      <c r="G2189" s="174"/>
      <c r="H2189" s="174"/>
      <c r="I2189" s="174"/>
      <c r="J2189" s="174"/>
      <c r="K2189" s="174"/>
      <c r="L2189" s="174"/>
      <c r="M2189" s="12"/>
      <c r="N2189" s="39"/>
      <c r="U2189" s="23"/>
      <c r="V2189" s="23"/>
      <c r="Z2189" s="95" t="s">
        <v>81</v>
      </c>
    </row>
    <row r="2190" spans="1:26" s="25" customFormat="1" ht="9.9499999999999993" customHeight="1" thickBot="1" x14ac:dyDescent="0.35">
      <c r="A2190" s="6"/>
      <c r="B2190" s="14"/>
      <c r="C2190" s="119"/>
      <c r="D2190" s="58"/>
      <c r="E2190" s="17"/>
      <c r="F2190" s="58"/>
      <c r="G2190" s="19"/>
      <c r="H2190" s="19"/>
      <c r="I2190" s="19"/>
      <c r="J2190" s="19"/>
      <c r="K2190" s="19"/>
      <c r="L2190" s="19"/>
      <c r="M2190" s="14"/>
      <c r="N2190" s="39"/>
      <c r="Q2190" s="1"/>
      <c r="R2190" s="1"/>
      <c r="S2190" s="1"/>
      <c r="T2190" s="1"/>
      <c r="U2190" s="24"/>
      <c r="V2190" s="24"/>
      <c r="W2190" s="1"/>
      <c r="X2190" s="1"/>
      <c r="Z2190" s="94" t="s">
        <v>82</v>
      </c>
    </row>
    <row r="2191" spans="1:26" s="25" customFormat="1" ht="6.95" customHeight="1" x14ac:dyDescent="0.3">
      <c r="A2191" s="165">
        <f>+A2180+1</f>
        <v>200</v>
      </c>
      <c r="B2191" s="166"/>
      <c r="C2191" s="167"/>
      <c r="D2191" s="160" t="s">
        <v>39</v>
      </c>
      <c r="E2191" s="161"/>
      <c r="F2191" s="162" t="s">
        <v>40</v>
      </c>
      <c r="G2191" s="163"/>
      <c r="H2191" s="164"/>
      <c r="I2191" s="163"/>
      <c r="J2191" s="164"/>
      <c r="K2191" s="163"/>
      <c r="L2191" s="164"/>
      <c r="M2191" s="11"/>
      <c r="N2191" s="39"/>
      <c r="Q2191" s="15" t="str">
        <f>+CONCATENATE(E2191,G2191)</f>
        <v/>
      </c>
      <c r="R2191" s="15">
        <f>+H2191</f>
        <v>0</v>
      </c>
      <c r="S2191" s="16"/>
      <c r="T2191" s="15">
        <f>+E2191</f>
        <v>0</v>
      </c>
      <c r="U2191" s="26" t="str">
        <f>IFERROR(LEFT(G2191,FIND("*",G2191)-1),"-")</f>
        <v>-</v>
      </c>
      <c r="V2191" s="26" t="str">
        <f>IFERROR(RIGHT(G2191,LEN(G2191)-FIND("*",G2191)),"-")</f>
        <v>-</v>
      </c>
      <c r="W2191" s="27" t="str">
        <f>IFERROR((U2191+V2191)*2/1000,"-")</f>
        <v>-</v>
      </c>
      <c r="X2191" s="27" t="str">
        <f>IFERROR(W2191*H2191,"-")</f>
        <v>-</v>
      </c>
      <c r="Z2191" s="94" t="s">
        <v>82</v>
      </c>
    </row>
    <row r="2192" spans="1:26" s="25" customFormat="1" ht="6.95" customHeight="1" x14ac:dyDescent="0.3">
      <c r="A2192" s="165"/>
      <c r="B2192" s="168"/>
      <c r="C2192" s="169"/>
      <c r="D2192" s="160"/>
      <c r="E2192" s="161"/>
      <c r="F2192" s="162"/>
      <c r="G2192" s="163"/>
      <c r="H2192" s="164"/>
      <c r="I2192" s="163"/>
      <c r="J2192" s="164"/>
      <c r="K2192" s="163"/>
      <c r="L2192" s="164"/>
      <c r="M2192" s="11"/>
      <c r="N2192" s="39"/>
      <c r="Q2192" s="15" t="str">
        <f>+CONCATENATE(E2191,I2191)</f>
        <v/>
      </c>
      <c r="R2192" s="15">
        <f>+J2191</f>
        <v>0</v>
      </c>
      <c r="S2192" s="16"/>
      <c r="T2192" s="15">
        <f>+E2191</f>
        <v>0</v>
      </c>
      <c r="U2192" s="26" t="str">
        <f>IFERROR(LEFT(I2191,FIND("*",I2191)-1),"-")</f>
        <v>-</v>
      </c>
      <c r="V2192" s="26" t="str">
        <f>IFERROR(RIGHT(I2191,LEN(I2191)-FIND("*",I2191)),"-")</f>
        <v>-</v>
      </c>
      <c r="W2192" s="27" t="str">
        <f t="shared" ref="W2192:W2199" si="1192">IFERROR((U2192+V2192)*2/1000,"-")</f>
        <v>-</v>
      </c>
      <c r="X2192" s="27" t="str">
        <f>IFERROR(W2192*J2191,"-")</f>
        <v>-</v>
      </c>
      <c r="Z2192" s="94" t="s">
        <v>82</v>
      </c>
    </row>
    <row r="2193" spans="1:26" s="25" customFormat="1" ht="6.95" customHeight="1" x14ac:dyDescent="0.3">
      <c r="A2193" s="165"/>
      <c r="B2193" s="168"/>
      <c r="C2193" s="169"/>
      <c r="D2193" s="160"/>
      <c r="E2193" s="161"/>
      <c r="F2193" s="162"/>
      <c r="G2193" s="163"/>
      <c r="H2193" s="164"/>
      <c r="I2193" s="163"/>
      <c r="J2193" s="164"/>
      <c r="K2193" s="163"/>
      <c r="L2193" s="164"/>
      <c r="M2193" s="11"/>
      <c r="N2193" s="39"/>
      <c r="Q2193" s="15" t="str">
        <f>+CONCATENATE(E2191,K2191)</f>
        <v/>
      </c>
      <c r="R2193" s="15">
        <f>+L2191</f>
        <v>0</v>
      </c>
      <c r="S2193" s="16"/>
      <c r="T2193" s="15">
        <f>+E2191</f>
        <v>0</v>
      </c>
      <c r="U2193" s="26" t="str">
        <f>IFERROR(LEFT(K2191,FIND("*",K2191)-1),"-")</f>
        <v>-</v>
      </c>
      <c r="V2193" s="26" t="str">
        <f>IFERROR(RIGHT(K2191,LEN(K2191)-FIND("*",K2191)),"-")</f>
        <v>-</v>
      </c>
      <c r="W2193" s="27" t="str">
        <f t="shared" si="1192"/>
        <v>-</v>
      </c>
      <c r="X2193" s="27" t="str">
        <f>IFERROR(W2193*L2191,"-")</f>
        <v>-</v>
      </c>
      <c r="Z2193" s="94" t="s">
        <v>82</v>
      </c>
    </row>
    <row r="2194" spans="1:26" s="25" customFormat="1" ht="6.95" customHeight="1" x14ac:dyDescent="0.3">
      <c r="A2194" s="13"/>
      <c r="B2194" s="168"/>
      <c r="C2194" s="169"/>
      <c r="D2194" s="160" t="s">
        <v>39</v>
      </c>
      <c r="E2194" s="161"/>
      <c r="F2194" s="162" t="s">
        <v>40</v>
      </c>
      <c r="G2194" s="163"/>
      <c r="H2194" s="164"/>
      <c r="I2194" s="163"/>
      <c r="J2194" s="164"/>
      <c r="K2194" s="163"/>
      <c r="L2194" s="164"/>
      <c r="M2194" s="11"/>
      <c r="N2194" s="39"/>
      <c r="Q2194" s="15" t="str">
        <f>+CONCATENATE(E2194,G2194)</f>
        <v/>
      </c>
      <c r="R2194" s="15">
        <f>+H2194</f>
        <v>0</v>
      </c>
      <c r="S2194" s="16"/>
      <c r="T2194" s="15">
        <f>+E2194</f>
        <v>0</v>
      </c>
      <c r="U2194" s="26" t="str">
        <f t="shared" ref="U2194" si="1193">IFERROR(LEFT(G2194,FIND("*",G2194)-1),"-")</f>
        <v>-</v>
      </c>
      <c r="V2194" s="26" t="str">
        <f t="shared" ref="V2194" si="1194">IFERROR(RIGHT(G2194,LEN(G2194)-FIND("*",G2194)),"-")</f>
        <v>-</v>
      </c>
      <c r="W2194" s="27" t="str">
        <f t="shared" si="1192"/>
        <v>-</v>
      </c>
      <c r="X2194" s="27" t="str">
        <f>IFERROR(W2194*H2194,"-")</f>
        <v>-</v>
      </c>
      <c r="Z2194" s="94" t="s">
        <v>82</v>
      </c>
    </row>
    <row r="2195" spans="1:26" s="25" customFormat="1" ht="6.95" customHeight="1" x14ac:dyDescent="0.3">
      <c r="A2195" s="10"/>
      <c r="B2195" s="168"/>
      <c r="C2195" s="169"/>
      <c r="D2195" s="160"/>
      <c r="E2195" s="161"/>
      <c r="F2195" s="162"/>
      <c r="G2195" s="163"/>
      <c r="H2195" s="164"/>
      <c r="I2195" s="163"/>
      <c r="J2195" s="164"/>
      <c r="K2195" s="163"/>
      <c r="L2195" s="164"/>
      <c r="M2195" s="11"/>
      <c r="N2195" s="39"/>
      <c r="Q2195" s="15" t="str">
        <f>+CONCATENATE(E2194,I2194)</f>
        <v/>
      </c>
      <c r="R2195" s="15">
        <f>+J2194</f>
        <v>0</v>
      </c>
      <c r="S2195" s="16"/>
      <c r="T2195" s="15">
        <f>+E2194</f>
        <v>0</v>
      </c>
      <c r="U2195" s="26" t="str">
        <f>IFERROR(LEFT(I2194,FIND("*",I2194)-1),"-")</f>
        <v>-</v>
      </c>
      <c r="V2195" s="26" t="str">
        <f>IFERROR(RIGHT(I2194,LEN(I2194)-FIND("*",I2194)),"-")</f>
        <v>-</v>
      </c>
      <c r="W2195" s="27" t="str">
        <f t="shared" si="1192"/>
        <v>-</v>
      </c>
      <c r="X2195" s="27" t="str">
        <f>IFERROR(W2195*J2194,"-")</f>
        <v>-</v>
      </c>
      <c r="Z2195" s="94" t="s">
        <v>82</v>
      </c>
    </row>
    <row r="2196" spans="1:26" s="25" customFormat="1" ht="6.95" customHeight="1" x14ac:dyDescent="0.3">
      <c r="A2196" s="10"/>
      <c r="B2196" s="168"/>
      <c r="C2196" s="169"/>
      <c r="D2196" s="160"/>
      <c r="E2196" s="161"/>
      <c r="F2196" s="162"/>
      <c r="G2196" s="163"/>
      <c r="H2196" s="164"/>
      <c r="I2196" s="163"/>
      <c r="J2196" s="164"/>
      <c r="K2196" s="163"/>
      <c r="L2196" s="164"/>
      <c r="M2196" s="11"/>
      <c r="N2196" s="39"/>
      <c r="Q2196" s="15" t="str">
        <f>+CONCATENATE(E2194,K2194)</f>
        <v/>
      </c>
      <c r="R2196" s="15">
        <f>+L2194</f>
        <v>0</v>
      </c>
      <c r="S2196" s="16"/>
      <c r="T2196" s="15">
        <f>+E2194</f>
        <v>0</v>
      </c>
      <c r="U2196" s="26" t="str">
        <f>IFERROR(LEFT(K2194,FIND("*",K2194)-1),"-")</f>
        <v>-</v>
      </c>
      <c r="V2196" s="26" t="str">
        <f>IFERROR(RIGHT(K2194,LEN(K2194)-FIND("*",K2194)),"-")</f>
        <v>-</v>
      </c>
      <c r="W2196" s="27" t="str">
        <f t="shared" si="1192"/>
        <v>-</v>
      </c>
      <c r="X2196" s="27" t="str">
        <f>IFERROR(W2196*L2194,"-")</f>
        <v>-</v>
      </c>
      <c r="Z2196" s="94" t="s">
        <v>82</v>
      </c>
    </row>
    <row r="2197" spans="1:26" s="25" customFormat="1" ht="6.95" customHeight="1" x14ac:dyDescent="0.3">
      <c r="A2197" s="13"/>
      <c r="B2197" s="168"/>
      <c r="C2197" s="169"/>
      <c r="D2197" s="160" t="s">
        <v>39</v>
      </c>
      <c r="E2197" s="161"/>
      <c r="F2197" s="162" t="s">
        <v>40</v>
      </c>
      <c r="G2197" s="163"/>
      <c r="H2197" s="164"/>
      <c r="I2197" s="163"/>
      <c r="J2197" s="164"/>
      <c r="K2197" s="163"/>
      <c r="L2197" s="164"/>
      <c r="M2197" s="11"/>
      <c r="N2197" s="39"/>
      <c r="Q2197" s="15" t="str">
        <f>+CONCATENATE(E2197,G2197)</f>
        <v/>
      </c>
      <c r="R2197" s="15">
        <f>+H2197</f>
        <v>0</v>
      </c>
      <c r="S2197" s="16"/>
      <c r="T2197" s="15">
        <f>+E2197</f>
        <v>0</v>
      </c>
      <c r="U2197" s="26" t="str">
        <f t="shared" ref="U2197" si="1195">IFERROR(LEFT(G2197,FIND("*",G2197)-1),"-")</f>
        <v>-</v>
      </c>
      <c r="V2197" s="26" t="str">
        <f t="shared" ref="V2197" si="1196">IFERROR(RIGHT(G2197,LEN(G2197)-FIND("*",G2197)),"-")</f>
        <v>-</v>
      </c>
      <c r="W2197" s="27" t="str">
        <f t="shared" si="1192"/>
        <v>-</v>
      </c>
      <c r="X2197" s="27" t="str">
        <f>IFERROR(W2197*H2197,"-")</f>
        <v>-</v>
      </c>
      <c r="Z2197" s="94" t="s">
        <v>82</v>
      </c>
    </row>
    <row r="2198" spans="1:26" s="25" customFormat="1" ht="6.95" customHeight="1" x14ac:dyDescent="0.3">
      <c r="A2198" s="10"/>
      <c r="B2198" s="168"/>
      <c r="C2198" s="169"/>
      <c r="D2198" s="160"/>
      <c r="E2198" s="161"/>
      <c r="F2198" s="162"/>
      <c r="G2198" s="163"/>
      <c r="H2198" s="164"/>
      <c r="I2198" s="163"/>
      <c r="J2198" s="164"/>
      <c r="K2198" s="163"/>
      <c r="L2198" s="164"/>
      <c r="M2198" s="11"/>
      <c r="N2198" s="39"/>
      <c r="Q2198" s="15" t="str">
        <f>+CONCATENATE(E2197,I2197)</f>
        <v/>
      </c>
      <c r="R2198" s="15">
        <f>+J2197</f>
        <v>0</v>
      </c>
      <c r="S2198" s="16"/>
      <c r="T2198" s="15">
        <f>+E2197</f>
        <v>0</v>
      </c>
      <c r="U2198" s="26" t="str">
        <f>IFERROR(LEFT(I2197,FIND("*",I2197)-1),"-")</f>
        <v>-</v>
      </c>
      <c r="V2198" s="26" t="str">
        <f>IFERROR(RIGHT(I2197,LEN(I2197)-FIND("*",I2197)),"-")</f>
        <v>-</v>
      </c>
      <c r="W2198" s="27" t="str">
        <f t="shared" si="1192"/>
        <v>-</v>
      </c>
      <c r="X2198" s="27" t="str">
        <f t="shared" ref="X2198" si="1197">IFERROR(W2198*J2197,"-")</f>
        <v>-</v>
      </c>
      <c r="Z2198" s="94" t="s">
        <v>82</v>
      </c>
    </row>
    <row r="2199" spans="1:26" s="25" customFormat="1" ht="6.95" customHeight="1" x14ac:dyDescent="0.3">
      <c r="A2199" s="10"/>
      <c r="B2199" s="168"/>
      <c r="C2199" s="169"/>
      <c r="D2199" s="160"/>
      <c r="E2199" s="161"/>
      <c r="F2199" s="162"/>
      <c r="G2199" s="163"/>
      <c r="H2199" s="164"/>
      <c r="I2199" s="163"/>
      <c r="J2199" s="164"/>
      <c r="K2199" s="163"/>
      <c r="L2199" s="164"/>
      <c r="M2199" s="11"/>
      <c r="N2199" s="39"/>
      <c r="Q2199" s="15" t="str">
        <f>+CONCATENATE(E2197,K2197)</f>
        <v/>
      </c>
      <c r="R2199" s="15">
        <f>+L2197</f>
        <v>0</v>
      </c>
      <c r="S2199" s="16"/>
      <c r="T2199" s="15">
        <f>+E2197</f>
        <v>0</v>
      </c>
      <c r="U2199" s="26" t="str">
        <f>IFERROR(LEFT(K2197,FIND("*",K2197)-1),"-")</f>
        <v>-</v>
      </c>
      <c r="V2199" s="26" t="str">
        <f>IFERROR(RIGHT(K2197,LEN(K2197)-FIND("*",K2197)),"-")</f>
        <v>-</v>
      </c>
      <c r="W2199" s="27" t="str">
        <f t="shared" si="1192"/>
        <v>-</v>
      </c>
      <c r="X2199" s="27" t="str">
        <f>IFERROR(W2199*L2197,"-")</f>
        <v>-</v>
      </c>
      <c r="Z2199" s="94" t="s">
        <v>82</v>
      </c>
    </row>
    <row r="2200" spans="1:26" s="25" customFormat="1" ht="21" customHeight="1" thickBot="1" x14ac:dyDescent="0.35">
      <c r="A2200" s="10"/>
      <c r="B2200" s="170"/>
      <c r="C2200" s="171"/>
      <c r="D2200" s="172" t="s">
        <v>43</v>
      </c>
      <c r="E2200" s="173"/>
      <c r="F2200" s="173"/>
      <c r="G2200" s="174"/>
      <c r="H2200" s="174"/>
      <c r="I2200" s="174"/>
      <c r="J2200" s="174"/>
      <c r="K2200" s="174"/>
      <c r="L2200" s="174"/>
      <c r="M2200" s="12"/>
      <c r="N2200" s="39"/>
      <c r="U2200" s="23"/>
      <c r="V2200" s="23"/>
      <c r="Z2200" s="95" t="s">
        <v>81</v>
      </c>
    </row>
    <row r="2201" spans="1:26" s="25" customFormat="1" ht="9.9499999999999993" customHeight="1" thickBot="1" x14ac:dyDescent="0.35">
      <c r="A2201" s="6"/>
      <c r="B2201" s="14"/>
      <c r="C2201" s="119"/>
      <c r="D2201" s="58"/>
      <c r="E2201" s="17"/>
      <c r="F2201" s="58"/>
      <c r="G2201" s="19"/>
      <c r="H2201" s="19"/>
      <c r="I2201" s="19"/>
      <c r="J2201" s="19"/>
      <c r="K2201" s="19"/>
      <c r="L2201" s="19"/>
      <c r="M2201" s="14"/>
      <c r="N2201" s="39"/>
      <c r="Q2201" s="1"/>
      <c r="R2201" s="1"/>
      <c r="S2201" s="1"/>
      <c r="T2201" s="1"/>
      <c r="U2201" s="24"/>
      <c r="V2201" s="24"/>
      <c r="W2201" s="1"/>
      <c r="X2201" s="1"/>
      <c r="Z2201" s="94" t="s">
        <v>82</v>
      </c>
    </row>
    <row r="2202" spans="1:26" s="25" customFormat="1" ht="6.95" customHeight="1" x14ac:dyDescent="0.3">
      <c r="A2202" s="165">
        <f>+A2191+1</f>
        <v>201</v>
      </c>
      <c r="B2202" s="166"/>
      <c r="C2202" s="167"/>
      <c r="D2202" s="160" t="s">
        <v>39</v>
      </c>
      <c r="E2202" s="161"/>
      <c r="F2202" s="162" t="s">
        <v>40</v>
      </c>
      <c r="G2202" s="163"/>
      <c r="H2202" s="164"/>
      <c r="I2202" s="163"/>
      <c r="J2202" s="164"/>
      <c r="K2202" s="163"/>
      <c r="L2202" s="164"/>
      <c r="M2202" s="11"/>
      <c r="N2202" s="39"/>
      <c r="Q2202" s="15" t="str">
        <f>+CONCATENATE(E2202,G2202)</f>
        <v/>
      </c>
      <c r="R2202" s="15">
        <f>+H2202</f>
        <v>0</v>
      </c>
      <c r="S2202" s="16"/>
      <c r="T2202" s="15">
        <f>+E2202</f>
        <v>0</v>
      </c>
      <c r="U2202" s="26" t="str">
        <f>IFERROR(LEFT(G2202,FIND("*",G2202)-1),"-")</f>
        <v>-</v>
      </c>
      <c r="V2202" s="26" t="str">
        <f>IFERROR(RIGHT(G2202,LEN(G2202)-FIND("*",G2202)),"-")</f>
        <v>-</v>
      </c>
      <c r="W2202" s="27" t="str">
        <f>IFERROR((U2202+V2202)*2/1000,"-")</f>
        <v>-</v>
      </c>
      <c r="X2202" s="27" t="str">
        <f>IFERROR(W2202*H2202,"-")</f>
        <v>-</v>
      </c>
      <c r="Z2202" s="94" t="s">
        <v>82</v>
      </c>
    </row>
    <row r="2203" spans="1:26" s="25" customFormat="1" ht="6.95" customHeight="1" x14ac:dyDescent="0.3">
      <c r="A2203" s="165"/>
      <c r="B2203" s="168"/>
      <c r="C2203" s="169"/>
      <c r="D2203" s="160"/>
      <c r="E2203" s="161"/>
      <c r="F2203" s="162"/>
      <c r="G2203" s="163"/>
      <c r="H2203" s="164"/>
      <c r="I2203" s="163"/>
      <c r="J2203" s="164"/>
      <c r="K2203" s="163"/>
      <c r="L2203" s="164"/>
      <c r="M2203" s="11"/>
      <c r="N2203" s="39"/>
      <c r="Q2203" s="15" t="str">
        <f>+CONCATENATE(E2202,I2202)</f>
        <v/>
      </c>
      <c r="R2203" s="15">
        <f>+J2202</f>
        <v>0</v>
      </c>
      <c r="S2203" s="16"/>
      <c r="T2203" s="15">
        <f>+E2202</f>
        <v>0</v>
      </c>
      <c r="U2203" s="26" t="str">
        <f>IFERROR(LEFT(I2202,FIND("*",I2202)-1),"-")</f>
        <v>-</v>
      </c>
      <c r="V2203" s="26" t="str">
        <f>IFERROR(RIGHT(I2202,LEN(I2202)-FIND("*",I2202)),"-")</f>
        <v>-</v>
      </c>
      <c r="W2203" s="27" t="str">
        <f t="shared" ref="W2203:W2210" si="1198">IFERROR((U2203+V2203)*2/1000,"-")</f>
        <v>-</v>
      </c>
      <c r="X2203" s="27" t="str">
        <f>IFERROR(W2203*J2202,"-")</f>
        <v>-</v>
      </c>
      <c r="Z2203" s="94" t="s">
        <v>82</v>
      </c>
    </row>
    <row r="2204" spans="1:26" s="25" customFormat="1" ht="6.95" customHeight="1" x14ac:dyDescent="0.3">
      <c r="A2204" s="165"/>
      <c r="B2204" s="168"/>
      <c r="C2204" s="169"/>
      <c r="D2204" s="160"/>
      <c r="E2204" s="161"/>
      <c r="F2204" s="162"/>
      <c r="G2204" s="163"/>
      <c r="H2204" s="164"/>
      <c r="I2204" s="163"/>
      <c r="J2204" s="164"/>
      <c r="K2204" s="163"/>
      <c r="L2204" s="164"/>
      <c r="M2204" s="11"/>
      <c r="N2204" s="39"/>
      <c r="Q2204" s="15" t="str">
        <f>+CONCATENATE(E2202,K2202)</f>
        <v/>
      </c>
      <c r="R2204" s="15">
        <f>+L2202</f>
        <v>0</v>
      </c>
      <c r="S2204" s="16"/>
      <c r="T2204" s="15">
        <f>+E2202</f>
        <v>0</v>
      </c>
      <c r="U2204" s="26" t="str">
        <f>IFERROR(LEFT(K2202,FIND("*",K2202)-1),"-")</f>
        <v>-</v>
      </c>
      <c r="V2204" s="26" t="str">
        <f>IFERROR(RIGHT(K2202,LEN(K2202)-FIND("*",K2202)),"-")</f>
        <v>-</v>
      </c>
      <c r="W2204" s="27" t="str">
        <f t="shared" si="1198"/>
        <v>-</v>
      </c>
      <c r="X2204" s="27" t="str">
        <f>IFERROR(W2204*L2202,"-")</f>
        <v>-</v>
      </c>
      <c r="Z2204" s="94" t="s">
        <v>82</v>
      </c>
    </row>
    <row r="2205" spans="1:26" s="25" customFormat="1" ht="6.95" customHeight="1" x14ac:dyDescent="0.3">
      <c r="A2205" s="13"/>
      <c r="B2205" s="168"/>
      <c r="C2205" s="169"/>
      <c r="D2205" s="160" t="s">
        <v>39</v>
      </c>
      <c r="E2205" s="161"/>
      <c r="F2205" s="162" t="s">
        <v>40</v>
      </c>
      <c r="G2205" s="163"/>
      <c r="H2205" s="164"/>
      <c r="I2205" s="163"/>
      <c r="J2205" s="164"/>
      <c r="K2205" s="163"/>
      <c r="L2205" s="164"/>
      <c r="M2205" s="11"/>
      <c r="N2205" s="39"/>
      <c r="Q2205" s="15" t="str">
        <f>+CONCATENATE(E2205,G2205)</f>
        <v/>
      </c>
      <c r="R2205" s="15">
        <f>+H2205</f>
        <v>0</v>
      </c>
      <c r="S2205" s="16"/>
      <c r="T2205" s="15">
        <f>+E2205</f>
        <v>0</v>
      </c>
      <c r="U2205" s="26" t="str">
        <f t="shared" ref="U2205" si="1199">IFERROR(LEFT(G2205,FIND("*",G2205)-1),"-")</f>
        <v>-</v>
      </c>
      <c r="V2205" s="26" t="str">
        <f t="shared" ref="V2205" si="1200">IFERROR(RIGHT(G2205,LEN(G2205)-FIND("*",G2205)),"-")</f>
        <v>-</v>
      </c>
      <c r="W2205" s="27" t="str">
        <f t="shared" si="1198"/>
        <v>-</v>
      </c>
      <c r="X2205" s="27" t="str">
        <f>IFERROR(W2205*H2205,"-")</f>
        <v>-</v>
      </c>
      <c r="Z2205" s="94" t="s">
        <v>82</v>
      </c>
    </row>
    <row r="2206" spans="1:26" s="25" customFormat="1" ht="6.95" customHeight="1" x14ac:dyDescent="0.3">
      <c r="A2206" s="10"/>
      <c r="B2206" s="168"/>
      <c r="C2206" s="169"/>
      <c r="D2206" s="160"/>
      <c r="E2206" s="161"/>
      <c r="F2206" s="162"/>
      <c r="G2206" s="163"/>
      <c r="H2206" s="164"/>
      <c r="I2206" s="163"/>
      <c r="J2206" s="164"/>
      <c r="K2206" s="163"/>
      <c r="L2206" s="164"/>
      <c r="M2206" s="11"/>
      <c r="N2206" s="39"/>
      <c r="Q2206" s="15" t="str">
        <f>+CONCATENATE(E2205,I2205)</f>
        <v/>
      </c>
      <c r="R2206" s="15">
        <f>+J2205</f>
        <v>0</v>
      </c>
      <c r="S2206" s="16"/>
      <c r="T2206" s="15">
        <f>+E2205</f>
        <v>0</v>
      </c>
      <c r="U2206" s="26" t="str">
        <f>IFERROR(LEFT(I2205,FIND("*",I2205)-1),"-")</f>
        <v>-</v>
      </c>
      <c r="V2206" s="26" t="str">
        <f>IFERROR(RIGHT(I2205,LEN(I2205)-FIND("*",I2205)),"-")</f>
        <v>-</v>
      </c>
      <c r="W2206" s="27" t="str">
        <f t="shared" si="1198"/>
        <v>-</v>
      </c>
      <c r="X2206" s="27" t="str">
        <f>IFERROR(W2206*J2205,"-")</f>
        <v>-</v>
      </c>
      <c r="Z2206" s="94" t="s">
        <v>82</v>
      </c>
    </row>
    <row r="2207" spans="1:26" s="25" customFormat="1" ht="6.95" customHeight="1" x14ac:dyDescent="0.3">
      <c r="A2207" s="10"/>
      <c r="B2207" s="168"/>
      <c r="C2207" s="169"/>
      <c r="D2207" s="160"/>
      <c r="E2207" s="161"/>
      <c r="F2207" s="162"/>
      <c r="G2207" s="163"/>
      <c r="H2207" s="164"/>
      <c r="I2207" s="163"/>
      <c r="J2207" s="164"/>
      <c r="K2207" s="163"/>
      <c r="L2207" s="164"/>
      <c r="M2207" s="11"/>
      <c r="N2207" s="39"/>
      <c r="Q2207" s="15" t="str">
        <f>+CONCATENATE(E2205,K2205)</f>
        <v/>
      </c>
      <c r="R2207" s="15">
        <f>+L2205</f>
        <v>0</v>
      </c>
      <c r="S2207" s="16"/>
      <c r="T2207" s="15">
        <f>+E2205</f>
        <v>0</v>
      </c>
      <c r="U2207" s="26" t="str">
        <f>IFERROR(LEFT(K2205,FIND("*",K2205)-1),"-")</f>
        <v>-</v>
      </c>
      <c r="V2207" s="26" t="str">
        <f>IFERROR(RIGHT(K2205,LEN(K2205)-FIND("*",K2205)),"-")</f>
        <v>-</v>
      </c>
      <c r="W2207" s="27" t="str">
        <f t="shared" si="1198"/>
        <v>-</v>
      </c>
      <c r="X2207" s="27" t="str">
        <f>IFERROR(W2207*L2205,"-")</f>
        <v>-</v>
      </c>
      <c r="Z2207" s="94" t="s">
        <v>82</v>
      </c>
    </row>
    <row r="2208" spans="1:26" s="25" customFormat="1" ht="6.95" customHeight="1" x14ac:dyDescent="0.3">
      <c r="A2208" s="13"/>
      <c r="B2208" s="168"/>
      <c r="C2208" s="169"/>
      <c r="D2208" s="160" t="s">
        <v>39</v>
      </c>
      <c r="E2208" s="161"/>
      <c r="F2208" s="162" t="s">
        <v>40</v>
      </c>
      <c r="G2208" s="163"/>
      <c r="H2208" s="164"/>
      <c r="I2208" s="163"/>
      <c r="J2208" s="164"/>
      <c r="K2208" s="163"/>
      <c r="L2208" s="164"/>
      <c r="M2208" s="11"/>
      <c r="N2208" s="39"/>
      <c r="Q2208" s="15" t="str">
        <f>+CONCATENATE(E2208,G2208)</f>
        <v/>
      </c>
      <c r="R2208" s="15">
        <f>+H2208</f>
        <v>0</v>
      </c>
      <c r="S2208" s="16"/>
      <c r="T2208" s="15">
        <f>+E2208</f>
        <v>0</v>
      </c>
      <c r="U2208" s="26" t="str">
        <f t="shared" ref="U2208" si="1201">IFERROR(LEFT(G2208,FIND("*",G2208)-1),"-")</f>
        <v>-</v>
      </c>
      <c r="V2208" s="26" t="str">
        <f t="shared" ref="V2208" si="1202">IFERROR(RIGHT(G2208,LEN(G2208)-FIND("*",G2208)),"-")</f>
        <v>-</v>
      </c>
      <c r="W2208" s="27" t="str">
        <f t="shared" si="1198"/>
        <v>-</v>
      </c>
      <c r="X2208" s="27" t="str">
        <f>IFERROR(W2208*H2208,"-")</f>
        <v>-</v>
      </c>
      <c r="Z2208" s="94" t="s">
        <v>82</v>
      </c>
    </row>
    <row r="2209" spans="1:26" s="25" customFormat="1" ht="6.95" customHeight="1" x14ac:dyDescent="0.3">
      <c r="A2209" s="10"/>
      <c r="B2209" s="168"/>
      <c r="C2209" s="169"/>
      <c r="D2209" s="160"/>
      <c r="E2209" s="161"/>
      <c r="F2209" s="162"/>
      <c r="G2209" s="163"/>
      <c r="H2209" s="164"/>
      <c r="I2209" s="163"/>
      <c r="J2209" s="164"/>
      <c r="K2209" s="163"/>
      <c r="L2209" s="164"/>
      <c r="M2209" s="11"/>
      <c r="N2209" s="39"/>
      <c r="Q2209" s="15" t="str">
        <f>+CONCATENATE(E2208,I2208)</f>
        <v/>
      </c>
      <c r="R2209" s="15">
        <f>+J2208</f>
        <v>0</v>
      </c>
      <c r="S2209" s="16"/>
      <c r="T2209" s="15">
        <f>+E2208</f>
        <v>0</v>
      </c>
      <c r="U2209" s="26" t="str">
        <f>IFERROR(LEFT(I2208,FIND("*",I2208)-1),"-")</f>
        <v>-</v>
      </c>
      <c r="V2209" s="26" t="str">
        <f>IFERROR(RIGHT(I2208,LEN(I2208)-FIND("*",I2208)),"-")</f>
        <v>-</v>
      </c>
      <c r="W2209" s="27" t="str">
        <f t="shared" si="1198"/>
        <v>-</v>
      </c>
      <c r="X2209" s="27" t="str">
        <f t="shared" ref="X2209" si="1203">IFERROR(W2209*J2208,"-")</f>
        <v>-</v>
      </c>
      <c r="Z2209" s="94" t="s">
        <v>82</v>
      </c>
    </row>
    <row r="2210" spans="1:26" s="25" customFormat="1" ht="6.95" customHeight="1" x14ac:dyDescent="0.3">
      <c r="A2210" s="10"/>
      <c r="B2210" s="168"/>
      <c r="C2210" s="169"/>
      <c r="D2210" s="160"/>
      <c r="E2210" s="161"/>
      <c r="F2210" s="162"/>
      <c r="G2210" s="163"/>
      <c r="H2210" s="164"/>
      <c r="I2210" s="163"/>
      <c r="J2210" s="164"/>
      <c r="K2210" s="163"/>
      <c r="L2210" s="164"/>
      <c r="M2210" s="11"/>
      <c r="N2210" s="39"/>
      <c r="Q2210" s="15" t="str">
        <f>+CONCATENATE(E2208,K2208)</f>
        <v/>
      </c>
      <c r="R2210" s="15">
        <f>+L2208</f>
        <v>0</v>
      </c>
      <c r="S2210" s="16"/>
      <c r="T2210" s="15">
        <f>+E2208</f>
        <v>0</v>
      </c>
      <c r="U2210" s="26" t="str">
        <f>IFERROR(LEFT(K2208,FIND("*",K2208)-1),"-")</f>
        <v>-</v>
      </c>
      <c r="V2210" s="26" t="str">
        <f>IFERROR(RIGHT(K2208,LEN(K2208)-FIND("*",K2208)),"-")</f>
        <v>-</v>
      </c>
      <c r="W2210" s="27" t="str">
        <f t="shared" si="1198"/>
        <v>-</v>
      </c>
      <c r="X2210" s="27" t="str">
        <f>IFERROR(W2210*L2208,"-")</f>
        <v>-</v>
      </c>
      <c r="Z2210" s="94" t="s">
        <v>82</v>
      </c>
    </row>
    <row r="2211" spans="1:26" s="25" customFormat="1" ht="21" customHeight="1" thickBot="1" x14ac:dyDescent="0.35">
      <c r="A2211" s="10"/>
      <c r="B2211" s="170"/>
      <c r="C2211" s="171"/>
      <c r="D2211" s="172" t="s">
        <v>43</v>
      </c>
      <c r="E2211" s="173"/>
      <c r="F2211" s="173"/>
      <c r="G2211" s="174"/>
      <c r="H2211" s="174"/>
      <c r="I2211" s="174"/>
      <c r="J2211" s="174"/>
      <c r="K2211" s="174"/>
      <c r="L2211" s="174"/>
      <c r="M2211" s="12"/>
      <c r="N2211" s="39"/>
      <c r="U2211" s="23"/>
      <c r="V2211" s="23"/>
      <c r="Z2211" s="95" t="s">
        <v>81</v>
      </c>
    </row>
    <row r="2212" spans="1:26" s="25" customFormat="1" ht="9.9499999999999993" customHeight="1" thickBot="1" x14ac:dyDescent="0.35">
      <c r="A2212" s="6"/>
      <c r="B2212" s="14"/>
      <c r="C2212" s="119"/>
      <c r="D2212" s="58"/>
      <c r="E2212" s="17"/>
      <c r="F2212" s="58"/>
      <c r="G2212" s="19"/>
      <c r="H2212" s="19"/>
      <c r="I2212" s="19"/>
      <c r="J2212" s="19"/>
      <c r="K2212" s="19"/>
      <c r="L2212" s="19"/>
      <c r="M2212" s="14"/>
      <c r="N2212" s="39"/>
      <c r="Q2212" s="1"/>
      <c r="R2212" s="1"/>
      <c r="S2212" s="1"/>
      <c r="T2212" s="1"/>
      <c r="U2212" s="24"/>
      <c r="V2212" s="24"/>
      <c r="W2212" s="1"/>
      <c r="X2212" s="1"/>
      <c r="Z2212" s="94" t="s">
        <v>82</v>
      </c>
    </row>
    <row r="2213" spans="1:26" s="25" customFormat="1" ht="6.95" customHeight="1" x14ac:dyDescent="0.3">
      <c r="A2213" s="165">
        <f>+A2202+1</f>
        <v>202</v>
      </c>
      <c r="B2213" s="166"/>
      <c r="C2213" s="167"/>
      <c r="D2213" s="160" t="s">
        <v>39</v>
      </c>
      <c r="E2213" s="161"/>
      <c r="F2213" s="162" t="s">
        <v>40</v>
      </c>
      <c r="G2213" s="163"/>
      <c r="H2213" s="164"/>
      <c r="I2213" s="163"/>
      <c r="J2213" s="164"/>
      <c r="K2213" s="163"/>
      <c r="L2213" s="164"/>
      <c r="M2213" s="11"/>
      <c r="N2213" s="39"/>
      <c r="Q2213" s="15" t="str">
        <f>+CONCATENATE(E2213,G2213)</f>
        <v/>
      </c>
      <c r="R2213" s="15">
        <f>+H2213</f>
        <v>0</v>
      </c>
      <c r="S2213" s="16"/>
      <c r="T2213" s="15">
        <f>+E2213</f>
        <v>0</v>
      </c>
      <c r="U2213" s="26" t="str">
        <f>IFERROR(LEFT(G2213,FIND("*",G2213)-1),"-")</f>
        <v>-</v>
      </c>
      <c r="V2213" s="26" t="str">
        <f>IFERROR(RIGHT(G2213,LEN(G2213)-FIND("*",G2213)),"-")</f>
        <v>-</v>
      </c>
      <c r="W2213" s="27" t="str">
        <f>IFERROR((U2213+V2213)*2/1000,"-")</f>
        <v>-</v>
      </c>
      <c r="X2213" s="27" t="str">
        <f>IFERROR(W2213*H2213,"-")</f>
        <v>-</v>
      </c>
      <c r="Z2213" s="94" t="s">
        <v>82</v>
      </c>
    </row>
    <row r="2214" spans="1:26" s="25" customFormat="1" ht="6.95" customHeight="1" x14ac:dyDescent="0.3">
      <c r="A2214" s="165"/>
      <c r="B2214" s="168"/>
      <c r="C2214" s="169"/>
      <c r="D2214" s="160"/>
      <c r="E2214" s="161"/>
      <c r="F2214" s="162"/>
      <c r="G2214" s="163"/>
      <c r="H2214" s="164"/>
      <c r="I2214" s="163"/>
      <c r="J2214" s="164"/>
      <c r="K2214" s="163"/>
      <c r="L2214" s="164"/>
      <c r="M2214" s="11"/>
      <c r="N2214" s="39"/>
      <c r="Q2214" s="15" t="str">
        <f>+CONCATENATE(E2213,I2213)</f>
        <v/>
      </c>
      <c r="R2214" s="15">
        <f>+J2213</f>
        <v>0</v>
      </c>
      <c r="S2214" s="16"/>
      <c r="T2214" s="15">
        <f>+E2213</f>
        <v>0</v>
      </c>
      <c r="U2214" s="26" t="str">
        <f>IFERROR(LEFT(I2213,FIND("*",I2213)-1),"-")</f>
        <v>-</v>
      </c>
      <c r="V2214" s="26" t="str">
        <f>IFERROR(RIGHT(I2213,LEN(I2213)-FIND("*",I2213)),"-")</f>
        <v>-</v>
      </c>
      <c r="W2214" s="27" t="str">
        <f t="shared" ref="W2214:W2221" si="1204">IFERROR((U2214+V2214)*2/1000,"-")</f>
        <v>-</v>
      </c>
      <c r="X2214" s="27" t="str">
        <f>IFERROR(W2214*J2213,"-")</f>
        <v>-</v>
      </c>
      <c r="Z2214" s="94" t="s">
        <v>82</v>
      </c>
    </row>
    <row r="2215" spans="1:26" s="25" customFormat="1" ht="6.95" customHeight="1" x14ac:dyDescent="0.3">
      <c r="A2215" s="165"/>
      <c r="B2215" s="168"/>
      <c r="C2215" s="169"/>
      <c r="D2215" s="160"/>
      <c r="E2215" s="161"/>
      <c r="F2215" s="162"/>
      <c r="G2215" s="163"/>
      <c r="H2215" s="164"/>
      <c r="I2215" s="163"/>
      <c r="J2215" s="164"/>
      <c r="K2215" s="163"/>
      <c r="L2215" s="164"/>
      <c r="M2215" s="11"/>
      <c r="N2215" s="39"/>
      <c r="Q2215" s="15" t="str">
        <f>+CONCATENATE(E2213,K2213)</f>
        <v/>
      </c>
      <c r="R2215" s="15">
        <f>+L2213</f>
        <v>0</v>
      </c>
      <c r="S2215" s="16"/>
      <c r="T2215" s="15">
        <f>+E2213</f>
        <v>0</v>
      </c>
      <c r="U2215" s="26" t="str">
        <f>IFERROR(LEFT(K2213,FIND("*",K2213)-1),"-")</f>
        <v>-</v>
      </c>
      <c r="V2215" s="26" t="str">
        <f>IFERROR(RIGHT(K2213,LEN(K2213)-FIND("*",K2213)),"-")</f>
        <v>-</v>
      </c>
      <c r="W2215" s="27" t="str">
        <f t="shared" si="1204"/>
        <v>-</v>
      </c>
      <c r="X2215" s="27" t="str">
        <f>IFERROR(W2215*L2213,"-")</f>
        <v>-</v>
      </c>
      <c r="Z2215" s="94" t="s">
        <v>82</v>
      </c>
    </row>
    <row r="2216" spans="1:26" s="25" customFormat="1" ht="6.95" customHeight="1" x14ac:dyDescent="0.3">
      <c r="A2216" s="13"/>
      <c r="B2216" s="168"/>
      <c r="C2216" s="169"/>
      <c r="D2216" s="160" t="s">
        <v>39</v>
      </c>
      <c r="E2216" s="161"/>
      <c r="F2216" s="162" t="s">
        <v>40</v>
      </c>
      <c r="G2216" s="163"/>
      <c r="H2216" s="164"/>
      <c r="I2216" s="163"/>
      <c r="J2216" s="164"/>
      <c r="K2216" s="163"/>
      <c r="L2216" s="164"/>
      <c r="M2216" s="11"/>
      <c r="N2216" s="39"/>
      <c r="Q2216" s="15" t="str">
        <f>+CONCATENATE(E2216,G2216)</f>
        <v/>
      </c>
      <c r="R2216" s="15">
        <f>+H2216</f>
        <v>0</v>
      </c>
      <c r="S2216" s="16"/>
      <c r="T2216" s="15">
        <f>+E2216</f>
        <v>0</v>
      </c>
      <c r="U2216" s="26" t="str">
        <f t="shared" ref="U2216" si="1205">IFERROR(LEFT(G2216,FIND("*",G2216)-1),"-")</f>
        <v>-</v>
      </c>
      <c r="V2216" s="26" t="str">
        <f t="shared" ref="V2216" si="1206">IFERROR(RIGHT(G2216,LEN(G2216)-FIND("*",G2216)),"-")</f>
        <v>-</v>
      </c>
      <c r="W2216" s="27" t="str">
        <f t="shared" si="1204"/>
        <v>-</v>
      </c>
      <c r="X2216" s="27" t="str">
        <f>IFERROR(W2216*H2216,"-")</f>
        <v>-</v>
      </c>
      <c r="Z2216" s="94" t="s">
        <v>82</v>
      </c>
    </row>
    <row r="2217" spans="1:26" s="25" customFormat="1" ht="6.95" customHeight="1" x14ac:dyDescent="0.3">
      <c r="A2217" s="10"/>
      <c r="B2217" s="168"/>
      <c r="C2217" s="169"/>
      <c r="D2217" s="160"/>
      <c r="E2217" s="161"/>
      <c r="F2217" s="162"/>
      <c r="G2217" s="163"/>
      <c r="H2217" s="164"/>
      <c r="I2217" s="163"/>
      <c r="J2217" s="164"/>
      <c r="K2217" s="163"/>
      <c r="L2217" s="164"/>
      <c r="M2217" s="11"/>
      <c r="N2217" s="39"/>
      <c r="Q2217" s="15" t="str">
        <f>+CONCATENATE(E2216,I2216)</f>
        <v/>
      </c>
      <c r="R2217" s="15">
        <f>+J2216</f>
        <v>0</v>
      </c>
      <c r="S2217" s="16"/>
      <c r="T2217" s="15">
        <f>+E2216</f>
        <v>0</v>
      </c>
      <c r="U2217" s="26" t="str">
        <f>IFERROR(LEFT(I2216,FIND("*",I2216)-1),"-")</f>
        <v>-</v>
      </c>
      <c r="V2217" s="26" t="str">
        <f>IFERROR(RIGHT(I2216,LEN(I2216)-FIND("*",I2216)),"-")</f>
        <v>-</v>
      </c>
      <c r="W2217" s="27" t="str">
        <f t="shared" si="1204"/>
        <v>-</v>
      </c>
      <c r="X2217" s="27" t="str">
        <f>IFERROR(W2217*J2216,"-")</f>
        <v>-</v>
      </c>
      <c r="Z2217" s="94" t="s">
        <v>82</v>
      </c>
    </row>
    <row r="2218" spans="1:26" s="25" customFormat="1" ht="6.95" customHeight="1" x14ac:dyDescent="0.3">
      <c r="A2218" s="10"/>
      <c r="B2218" s="168"/>
      <c r="C2218" s="169"/>
      <c r="D2218" s="160"/>
      <c r="E2218" s="161"/>
      <c r="F2218" s="162"/>
      <c r="G2218" s="163"/>
      <c r="H2218" s="164"/>
      <c r="I2218" s="163"/>
      <c r="J2218" s="164"/>
      <c r="K2218" s="163"/>
      <c r="L2218" s="164"/>
      <c r="M2218" s="11"/>
      <c r="N2218" s="39"/>
      <c r="Q2218" s="15" t="str">
        <f>+CONCATENATE(E2216,K2216)</f>
        <v/>
      </c>
      <c r="R2218" s="15">
        <f>+L2216</f>
        <v>0</v>
      </c>
      <c r="S2218" s="16"/>
      <c r="T2218" s="15">
        <f>+E2216</f>
        <v>0</v>
      </c>
      <c r="U2218" s="26" t="str">
        <f>IFERROR(LEFT(K2216,FIND("*",K2216)-1),"-")</f>
        <v>-</v>
      </c>
      <c r="V2218" s="26" t="str">
        <f>IFERROR(RIGHT(K2216,LEN(K2216)-FIND("*",K2216)),"-")</f>
        <v>-</v>
      </c>
      <c r="W2218" s="27" t="str">
        <f t="shared" si="1204"/>
        <v>-</v>
      </c>
      <c r="X2218" s="27" t="str">
        <f>IFERROR(W2218*L2216,"-")</f>
        <v>-</v>
      </c>
      <c r="Z2218" s="94" t="s">
        <v>82</v>
      </c>
    </row>
    <row r="2219" spans="1:26" s="25" customFormat="1" ht="6.95" customHeight="1" x14ac:dyDescent="0.3">
      <c r="A2219" s="13"/>
      <c r="B2219" s="168"/>
      <c r="C2219" s="169"/>
      <c r="D2219" s="160" t="s">
        <v>39</v>
      </c>
      <c r="E2219" s="161"/>
      <c r="F2219" s="162" t="s">
        <v>40</v>
      </c>
      <c r="G2219" s="163"/>
      <c r="H2219" s="164"/>
      <c r="I2219" s="163"/>
      <c r="J2219" s="164"/>
      <c r="K2219" s="163"/>
      <c r="L2219" s="164"/>
      <c r="M2219" s="11"/>
      <c r="N2219" s="39"/>
      <c r="Q2219" s="15" t="str">
        <f>+CONCATENATE(E2219,G2219)</f>
        <v/>
      </c>
      <c r="R2219" s="15">
        <f>+H2219</f>
        <v>0</v>
      </c>
      <c r="S2219" s="16"/>
      <c r="T2219" s="15">
        <f>+E2219</f>
        <v>0</v>
      </c>
      <c r="U2219" s="26" t="str">
        <f t="shared" ref="U2219" si="1207">IFERROR(LEFT(G2219,FIND("*",G2219)-1),"-")</f>
        <v>-</v>
      </c>
      <c r="V2219" s="26" t="str">
        <f t="shared" ref="V2219" si="1208">IFERROR(RIGHT(G2219,LEN(G2219)-FIND("*",G2219)),"-")</f>
        <v>-</v>
      </c>
      <c r="W2219" s="27" t="str">
        <f t="shared" si="1204"/>
        <v>-</v>
      </c>
      <c r="X2219" s="27" t="str">
        <f>IFERROR(W2219*H2219,"-")</f>
        <v>-</v>
      </c>
      <c r="Z2219" s="94" t="s">
        <v>82</v>
      </c>
    </row>
    <row r="2220" spans="1:26" s="25" customFormat="1" ht="6.95" customHeight="1" x14ac:dyDescent="0.3">
      <c r="A2220" s="10"/>
      <c r="B2220" s="168"/>
      <c r="C2220" s="169"/>
      <c r="D2220" s="160"/>
      <c r="E2220" s="161"/>
      <c r="F2220" s="162"/>
      <c r="G2220" s="163"/>
      <c r="H2220" s="164"/>
      <c r="I2220" s="163"/>
      <c r="J2220" s="164"/>
      <c r="K2220" s="163"/>
      <c r="L2220" s="164"/>
      <c r="M2220" s="11"/>
      <c r="N2220" s="39"/>
      <c r="Q2220" s="15" t="str">
        <f>+CONCATENATE(E2219,I2219)</f>
        <v/>
      </c>
      <c r="R2220" s="15">
        <f>+J2219</f>
        <v>0</v>
      </c>
      <c r="S2220" s="16"/>
      <c r="T2220" s="15">
        <f>+E2219</f>
        <v>0</v>
      </c>
      <c r="U2220" s="26" t="str">
        <f>IFERROR(LEFT(I2219,FIND("*",I2219)-1),"-")</f>
        <v>-</v>
      </c>
      <c r="V2220" s="26" t="str">
        <f>IFERROR(RIGHT(I2219,LEN(I2219)-FIND("*",I2219)),"-")</f>
        <v>-</v>
      </c>
      <c r="W2220" s="27" t="str">
        <f t="shared" si="1204"/>
        <v>-</v>
      </c>
      <c r="X2220" s="27" t="str">
        <f t="shared" ref="X2220" si="1209">IFERROR(W2220*J2219,"-")</f>
        <v>-</v>
      </c>
      <c r="Z2220" s="94" t="s">
        <v>82</v>
      </c>
    </row>
    <row r="2221" spans="1:26" s="25" customFormat="1" ht="6.95" customHeight="1" x14ac:dyDescent="0.3">
      <c r="A2221" s="10"/>
      <c r="B2221" s="168"/>
      <c r="C2221" s="169"/>
      <c r="D2221" s="160"/>
      <c r="E2221" s="161"/>
      <c r="F2221" s="162"/>
      <c r="G2221" s="163"/>
      <c r="H2221" s="164"/>
      <c r="I2221" s="163"/>
      <c r="J2221" s="164"/>
      <c r="K2221" s="163"/>
      <c r="L2221" s="164"/>
      <c r="M2221" s="11"/>
      <c r="N2221" s="39"/>
      <c r="Q2221" s="15" t="str">
        <f>+CONCATENATE(E2219,K2219)</f>
        <v/>
      </c>
      <c r="R2221" s="15">
        <f>+L2219</f>
        <v>0</v>
      </c>
      <c r="S2221" s="16"/>
      <c r="T2221" s="15">
        <f>+E2219</f>
        <v>0</v>
      </c>
      <c r="U2221" s="26" t="str">
        <f>IFERROR(LEFT(K2219,FIND("*",K2219)-1),"-")</f>
        <v>-</v>
      </c>
      <c r="V2221" s="26" t="str">
        <f>IFERROR(RIGHT(K2219,LEN(K2219)-FIND("*",K2219)),"-")</f>
        <v>-</v>
      </c>
      <c r="W2221" s="27" t="str">
        <f t="shared" si="1204"/>
        <v>-</v>
      </c>
      <c r="X2221" s="27" t="str">
        <f>IFERROR(W2221*L2219,"-")</f>
        <v>-</v>
      </c>
      <c r="Z2221" s="94" t="s">
        <v>82</v>
      </c>
    </row>
    <row r="2222" spans="1:26" s="25" customFormat="1" ht="21" customHeight="1" thickBot="1" x14ac:dyDescent="0.35">
      <c r="A2222" s="10"/>
      <c r="B2222" s="170"/>
      <c r="C2222" s="171"/>
      <c r="D2222" s="172" t="s">
        <v>43</v>
      </c>
      <c r="E2222" s="173"/>
      <c r="F2222" s="173"/>
      <c r="G2222" s="174"/>
      <c r="H2222" s="174"/>
      <c r="I2222" s="174"/>
      <c r="J2222" s="174"/>
      <c r="K2222" s="174"/>
      <c r="L2222" s="174"/>
      <c r="M2222" s="12"/>
      <c r="N2222" s="39"/>
      <c r="U2222" s="23"/>
      <c r="V2222" s="23"/>
      <c r="Z2222" s="95" t="s">
        <v>81</v>
      </c>
    </row>
    <row r="2223" spans="1:26" s="25" customFormat="1" ht="9.9499999999999993" customHeight="1" thickBot="1" x14ac:dyDescent="0.35">
      <c r="A2223" s="6"/>
      <c r="B2223" s="14"/>
      <c r="C2223" s="119"/>
      <c r="D2223" s="58"/>
      <c r="E2223" s="17"/>
      <c r="F2223" s="58"/>
      <c r="G2223" s="19"/>
      <c r="H2223" s="19"/>
      <c r="I2223" s="19"/>
      <c r="J2223" s="19"/>
      <c r="K2223" s="19"/>
      <c r="L2223" s="19"/>
      <c r="M2223" s="14"/>
      <c r="N2223" s="39"/>
      <c r="Q2223" s="1"/>
      <c r="R2223" s="1"/>
      <c r="S2223" s="1"/>
      <c r="T2223" s="1"/>
      <c r="U2223" s="24"/>
      <c r="V2223" s="24"/>
      <c r="W2223" s="1"/>
      <c r="X2223" s="1"/>
      <c r="Z2223" s="94" t="s">
        <v>82</v>
      </c>
    </row>
    <row r="2224" spans="1:26" s="25" customFormat="1" ht="6.95" customHeight="1" x14ac:dyDescent="0.3">
      <c r="A2224" s="165">
        <f>+A2213+1</f>
        <v>203</v>
      </c>
      <c r="B2224" s="166"/>
      <c r="C2224" s="167"/>
      <c r="D2224" s="160" t="s">
        <v>39</v>
      </c>
      <c r="E2224" s="161"/>
      <c r="F2224" s="162" t="s">
        <v>40</v>
      </c>
      <c r="G2224" s="163"/>
      <c r="H2224" s="164"/>
      <c r="I2224" s="163"/>
      <c r="J2224" s="164"/>
      <c r="K2224" s="163"/>
      <c r="L2224" s="164"/>
      <c r="M2224" s="11"/>
      <c r="N2224" s="39"/>
      <c r="Q2224" s="15" t="str">
        <f>+CONCATENATE(E2224,G2224)</f>
        <v/>
      </c>
      <c r="R2224" s="15">
        <f>+H2224</f>
        <v>0</v>
      </c>
      <c r="S2224" s="16"/>
      <c r="T2224" s="15">
        <f>+E2224</f>
        <v>0</v>
      </c>
      <c r="U2224" s="26" t="str">
        <f>IFERROR(LEFT(G2224,FIND("*",G2224)-1),"-")</f>
        <v>-</v>
      </c>
      <c r="V2224" s="26" t="str">
        <f>IFERROR(RIGHT(G2224,LEN(G2224)-FIND("*",G2224)),"-")</f>
        <v>-</v>
      </c>
      <c r="W2224" s="27" t="str">
        <f>IFERROR((U2224+V2224)*2/1000,"-")</f>
        <v>-</v>
      </c>
      <c r="X2224" s="27" t="str">
        <f>IFERROR(W2224*H2224,"-")</f>
        <v>-</v>
      </c>
      <c r="Z2224" s="94" t="s">
        <v>82</v>
      </c>
    </row>
    <row r="2225" spans="1:26" s="25" customFormat="1" ht="6.95" customHeight="1" x14ac:dyDescent="0.3">
      <c r="A2225" s="165"/>
      <c r="B2225" s="168"/>
      <c r="C2225" s="169"/>
      <c r="D2225" s="160"/>
      <c r="E2225" s="161"/>
      <c r="F2225" s="162"/>
      <c r="G2225" s="163"/>
      <c r="H2225" s="164"/>
      <c r="I2225" s="163"/>
      <c r="J2225" s="164"/>
      <c r="K2225" s="163"/>
      <c r="L2225" s="164"/>
      <c r="M2225" s="11"/>
      <c r="N2225" s="39"/>
      <c r="Q2225" s="15" t="str">
        <f>+CONCATENATE(E2224,I2224)</f>
        <v/>
      </c>
      <c r="R2225" s="15">
        <f>+J2224</f>
        <v>0</v>
      </c>
      <c r="S2225" s="16"/>
      <c r="T2225" s="15">
        <f>+E2224</f>
        <v>0</v>
      </c>
      <c r="U2225" s="26" t="str">
        <f>IFERROR(LEFT(I2224,FIND("*",I2224)-1),"-")</f>
        <v>-</v>
      </c>
      <c r="V2225" s="26" t="str">
        <f>IFERROR(RIGHT(I2224,LEN(I2224)-FIND("*",I2224)),"-")</f>
        <v>-</v>
      </c>
      <c r="W2225" s="27" t="str">
        <f t="shared" ref="W2225:W2232" si="1210">IFERROR((U2225+V2225)*2/1000,"-")</f>
        <v>-</v>
      </c>
      <c r="X2225" s="27" t="str">
        <f>IFERROR(W2225*J2224,"-")</f>
        <v>-</v>
      </c>
      <c r="Z2225" s="94" t="s">
        <v>82</v>
      </c>
    </row>
    <row r="2226" spans="1:26" s="25" customFormat="1" ht="6.95" customHeight="1" x14ac:dyDescent="0.3">
      <c r="A2226" s="165"/>
      <c r="B2226" s="168"/>
      <c r="C2226" s="169"/>
      <c r="D2226" s="160"/>
      <c r="E2226" s="161"/>
      <c r="F2226" s="162"/>
      <c r="G2226" s="163"/>
      <c r="H2226" s="164"/>
      <c r="I2226" s="163"/>
      <c r="J2226" s="164"/>
      <c r="K2226" s="163"/>
      <c r="L2226" s="164"/>
      <c r="M2226" s="11"/>
      <c r="N2226" s="39"/>
      <c r="Q2226" s="15" t="str">
        <f>+CONCATENATE(E2224,K2224)</f>
        <v/>
      </c>
      <c r="R2226" s="15">
        <f>+L2224</f>
        <v>0</v>
      </c>
      <c r="S2226" s="16"/>
      <c r="T2226" s="15">
        <f>+E2224</f>
        <v>0</v>
      </c>
      <c r="U2226" s="26" t="str">
        <f>IFERROR(LEFT(K2224,FIND("*",K2224)-1),"-")</f>
        <v>-</v>
      </c>
      <c r="V2226" s="26" t="str">
        <f>IFERROR(RIGHT(K2224,LEN(K2224)-FIND("*",K2224)),"-")</f>
        <v>-</v>
      </c>
      <c r="W2226" s="27" t="str">
        <f t="shared" si="1210"/>
        <v>-</v>
      </c>
      <c r="X2226" s="27" t="str">
        <f>IFERROR(W2226*L2224,"-")</f>
        <v>-</v>
      </c>
      <c r="Z2226" s="94" t="s">
        <v>82</v>
      </c>
    </row>
    <row r="2227" spans="1:26" s="25" customFormat="1" ht="6.95" customHeight="1" x14ac:dyDescent="0.3">
      <c r="A2227" s="13"/>
      <c r="B2227" s="168"/>
      <c r="C2227" s="169"/>
      <c r="D2227" s="160" t="s">
        <v>39</v>
      </c>
      <c r="E2227" s="161"/>
      <c r="F2227" s="162" t="s">
        <v>40</v>
      </c>
      <c r="G2227" s="163"/>
      <c r="H2227" s="164"/>
      <c r="I2227" s="163"/>
      <c r="J2227" s="164"/>
      <c r="K2227" s="163"/>
      <c r="L2227" s="164"/>
      <c r="M2227" s="11"/>
      <c r="N2227" s="39"/>
      <c r="Q2227" s="15" t="str">
        <f>+CONCATENATE(E2227,G2227)</f>
        <v/>
      </c>
      <c r="R2227" s="15">
        <f>+H2227</f>
        <v>0</v>
      </c>
      <c r="S2227" s="16"/>
      <c r="T2227" s="15">
        <f>+E2227</f>
        <v>0</v>
      </c>
      <c r="U2227" s="26" t="str">
        <f t="shared" ref="U2227" si="1211">IFERROR(LEFT(G2227,FIND("*",G2227)-1),"-")</f>
        <v>-</v>
      </c>
      <c r="V2227" s="26" t="str">
        <f t="shared" ref="V2227" si="1212">IFERROR(RIGHT(G2227,LEN(G2227)-FIND("*",G2227)),"-")</f>
        <v>-</v>
      </c>
      <c r="W2227" s="27" t="str">
        <f t="shared" si="1210"/>
        <v>-</v>
      </c>
      <c r="X2227" s="27" t="str">
        <f>IFERROR(W2227*H2227,"-")</f>
        <v>-</v>
      </c>
      <c r="Z2227" s="94" t="s">
        <v>82</v>
      </c>
    </row>
    <row r="2228" spans="1:26" s="25" customFormat="1" ht="6.95" customHeight="1" x14ac:dyDescent="0.3">
      <c r="A2228" s="10"/>
      <c r="B2228" s="168"/>
      <c r="C2228" s="169"/>
      <c r="D2228" s="160"/>
      <c r="E2228" s="161"/>
      <c r="F2228" s="162"/>
      <c r="G2228" s="163"/>
      <c r="H2228" s="164"/>
      <c r="I2228" s="163"/>
      <c r="J2228" s="164"/>
      <c r="K2228" s="163"/>
      <c r="L2228" s="164"/>
      <c r="M2228" s="11"/>
      <c r="N2228" s="39"/>
      <c r="Q2228" s="15" t="str">
        <f>+CONCATENATE(E2227,I2227)</f>
        <v/>
      </c>
      <c r="R2228" s="15">
        <f>+J2227</f>
        <v>0</v>
      </c>
      <c r="S2228" s="16"/>
      <c r="T2228" s="15">
        <f>+E2227</f>
        <v>0</v>
      </c>
      <c r="U2228" s="26" t="str">
        <f>IFERROR(LEFT(I2227,FIND("*",I2227)-1),"-")</f>
        <v>-</v>
      </c>
      <c r="V2228" s="26" t="str">
        <f>IFERROR(RIGHT(I2227,LEN(I2227)-FIND("*",I2227)),"-")</f>
        <v>-</v>
      </c>
      <c r="W2228" s="27" t="str">
        <f t="shared" si="1210"/>
        <v>-</v>
      </c>
      <c r="X2228" s="27" t="str">
        <f>IFERROR(W2228*J2227,"-")</f>
        <v>-</v>
      </c>
      <c r="Z2228" s="94" t="s">
        <v>82</v>
      </c>
    </row>
    <row r="2229" spans="1:26" s="25" customFormat="1" ht="6.95" customHeight="1" x14ac:dyDescent="0.3">
      <c r="A2229" s="10"/>
      <c r="B2229" s="168"/>
      <c r="C2229" s="169"/>
      <c r="D2229" s="160"/>
      <c r="E2229" s="161"/>
      <c r="F2229" s="162"/>
      <c r="G2229" s="163"/>
      <c r="H2229" s="164"/>
      <c r="I2229" s="163"/>
      <c r="J2229" s="164"/>
      <c r="K2229" s="163"/>
      <c r="L2229" s="164"/>
      <c r="M2229" s="11"/>
      <c r="N2229" s="39"/>
      <c r="Q2229" s="15" t="str">
        <f>+CONCATENATE(E2227,K2227)</f>
        <v/>
      </c>
      <c r="R2229" s="15">
        <f>+L2227</f>
        <v>0</v>
      </c>
      <c r="S2229" s="16"/>
      <c r="T2229" s="15">
        <f>+E2227</f>
        <v>0</v>
      </c>
      <c r="U2229" s="26" t="str">
        <f>IFERROR(LEFT(K2227,FIND("*",K2227)-1),"-")</f>
        <v>-</v>
      </c>
      <c r="V2229" s="26" t="str">
        <f>IFERROR(RIGHT(K2227,LEN(K2227)-FIND("*",K2227)),"-")</f>
        <v>-</v>
      </c>
      <c r="W2229" s="27" t="str">
        <f t="shared" si="1210"/>
        <v>-</v>
      </c>
      <c r="X2229" s="27" t="str">
        <f>IFERROR(W2229*L2227,"-")</f>
        <v>-</v>
      </c>
      <c r="Z2229" s="94" t="s">
        <v>82</v>
      </c>
    </row>
    <row r="2230" spans="1:26" s="25" customFormat="1" ht="6.95" customHeight="1" x14ac:dyDescent="0.3">
      <c r="A2230" s="13"/>
      <c r="B2230" s="168"/>
      <c r="C2230" s="169"/>
      <c r="D2230" s="160" t="s">
        <v>39</v>
      </c>
      <c r="E2230" s="161"/>
      <c r="F2230" s="162" t="s">
        <v>40</v>
      </c>
      <c r="G2230" s="163"/>
      <c r="H2230" s="164"/>
      <c r="I2230" s="163"/>
      <c r="J2230" s="164"/>
      <c r="K2230" s="163"/>
      <c r="L2230" s="164"/>
      <c r="M2230" s="11"/>
      <c r="N2230" s="39"/>
      <c r="Q2230" s="15" t="str">
        <f>+CONCATENATE(E2230,G2230)</f>
        <v/>
      </c>
      <c r="R2230" s="15">
        <f>+H2230</f>
        <v>0</v>
      </c>
      <c r="S2230" s="16"/>
      <c r="T2230" s="15">
        <f>+E2230</f>
        <v>0</v>
      </c>
      <c r="U2230" s="26" t="str">
        <f t="shared" ref="U2230" si="1213">IFERROR(LEFT(G2230,FIND("*",G2230)-1),"-")</f>
        <v>-</v>
      </c>
      <c r="V2230" s="26" t="str">
        <f t="shared" ref="V2230" si="1214">IFERROR(RIGHT(G2230,LEN(G2230)-FIND("*",G2230)),"-")</f>
        <v>-</v>
      </c>
      <c r="W2230" s="27" t="str">
        <f t="shared" si="1210"/>
        <v>-</v>
      </c>
      <c r="X2230" s="27" t="str">
        <f>IFERROR(W2230*H2230,"-")</f>
        <v>-</v>
      </c>
      <c r="Z2230" s="94" t="s">
        <v>82</v>
      </c>
    </row>
    <row r="2231" spans="1:26" s="25" customFormat="1" ht="6.95" customHeight="1" x14ac:dyDescent="0.3">
      <c r="A2231" s="10"/>
      <c r="B2231" s="168"/>
      <c r="C2231" s="169"/>
      <c r="D2231" s="160"/>
      <c r="E2231" s="161"/>
      <c r="F2231" s="162"/>
      <c r="G2231" s="163"/>
      <c r="H2231" s="164"/>
      <c r="I2231" s="163"/>
      <c r="J2231" s="164"/>
      <c r="K2231" s="163"/>
      <c r="L2231" s="164"/>
      <c r="M2231" s="11"/>
      <c r="N2231" s="39"/>
      <c r="Q2231" s="15" t="str">
        <f>+CONCATENATE(E2230,I2230)</f>
        <v/>
      </c>
      <c r="R2231" s="15">
        <f>+J2230</f>
        <v>0</v>
      </c>
      <c r="S2231" s="16"/>
      <c r="T2231" s="15">
        <f>+E2230</f>
        <v>0</v>
      </c>
      <c r="U2231" s="26" t="str">
        <f>IFERROR(LEFT(I2230,FIND("*",I2230)-1),"-")</f>
        <v>-</v>
      </c>
      <c r="V2231" s="26" t="str">
        <f>IFERROR(RIGHT(I2230,LEN(I2230)-FIND("*",I2230)),"-")</f>
        <v>-</v>
      </c>
      <c r="W2231" s="27" t="str">
        <f t="shared" si="1210"/>
        <v>-</v>
      </c>
      <c r="X2231" s="27" t="str">
        <f t="shared" ref="X2231" si="1215">IFERROR(W2231*J2230,"-")</f>
        <v>-</v>
      </c>
      <c r="Z2231" s="94" t="s">
        <v>82</v>
      </c>
    </row>
    <row r="2232" spans="1:26" s="25" customFormat="1" ht="6.95" customHeight="1" x14ac:dyDescent="0.3">
      <c r="A2232" s="10"/>
      <c r="B2232" s="168"/>
      <c r="C2232" s="169"/>
      <c r="D2232" s="160"/>
      <c r="E2232" s="161"/>
      <c r="F2232" s="162"/>
      <c r="G2232" s="163"/>
      <c r="H2232" s="164"/>
      <c r="I2232" s="163"/>
      <c r="J2232" s="164"/>
      <c r="K2232" s="163"/>
      <c r="L2232" s="164"/>
      <c r="M2232" s="11"/>
      <c r="N2232" s="39"/>
      <c r="Q2232" s="15" t="str">
        <f>+CONCATENATE(E2230,K2230)</f>
        <v/>
      </c>
      <c r="R2232" s="15">
        <f>+L2230</f>
        <v>0</v>
      </c>
      <c r="S2232" s="16"/>
      <c r="T2232" s="15">
        <f>+E2230</f>
        <v>0</v>
      </c>
      <c r="U2232" s="26" t="str">
        <f>IFERROR(LEFT(K2230,FIND("*",K2230)-1),"-")</f>
        <v>-</v>
      </c>
      <c r="V2232" s="26" t="str">
        <f>IFERROR(RIGHT(K2230,LEN(K2230)-FIND("*",K2230)),"-")</f>
        <v>-</v>
      </c>
      <c r="W2232" s="27" t="str">
        <f t="shared" si="1210"/>
        <v>-</v>
      </c>
      <c r="X2232" s="27" t="str">
        <f>IFERROR(W2232*L2230,"-")</f>
        <v>-</v>
      </c>
      <c r="Z2232" s="94" t="s">
        <v>82</v>
      </c>
    </row>
    <row r="2233" spans="1:26" s="25" customFormat="1" ht="21" customHeight="1" thickBot="1" x14ac:dyDescent="0.35">
      <c r="A2233" s="10"/>
      <c r="B2233" s="170"/>
      <c r="C2233" s="171"/>
      <c r="D2233" s="172" t="s">
        <v>43</v>
      </c>
      <c r="E2233" s="173"/>
      <c r="F2233" s="173"/>
      <c r="G2233" s="174"/>
      <c r="H2233" s="174"/>
      <c r="I2233" s="174"/>
      <c r="J2233" s="174"/>
      <c r="K2233" s="174"/>
      <c r="L2233" s="174"/>
      <c r="M2233" s="12"/>
      <c r="N2233" s="39"/>
      <c r="U2233" s="23"/>
      <c r="V2233" s="23"/>
      <c r="Z2233" s="95" t="s">
        <v>81</v>
      </c>
    </row>
    <row r="2234" spans="1:26" s="25" customFormat="1" ht="9.9499999999999993" customHeight="1" thickBot="1" x14ac:dyDescent="0.35">
      <c r="A2234" s="6"/>
      <c r="B2234" s="14"/>
      <c r="C2234" s="119"/>
      <c r="D2234" s="58"/>
      <c r="E2234" s="17"/>
      <c r="F2234" s="58"/>
      <c r="G2234" s="19"/>
      <c r="H2234" s="19"/>
      <c r="I2234" s="19"/>
      <c r="J2234" s="19"/>
      <c r="K2234" s="19"/>
      <c r="L2234" s="19"/>
      <c r="M2234" s="14"/>
      <c r="N2234" s="39"/>
      <c r="Q2234" s="1"/>
      <c r="R2234" s="1"/>
      <c r="S2234" s="1"/>
      <c r="T2234" s="1"/>
      <c r="U2234" s="24"/>
      <c r="V2234" s="24"/>
      <c r="W2234" s="1"/>
      <c r="X2234" s="1"/>
      <c r="Z2234" s="94" t="s">
        <v>82</v>
      </c>
    </row>
    <row r="2235" spans="1:26" s="25" customFormat="1" ht="6.95" customHeight="1" x14ac:dyDescent="0.3">
      <c r="A2235" s="165">
        <f>+A2224+1</f>
        <v>204</v>
      </c>
      <c r="B2235" s="166"/>
      <c r="C2235" s="167"/>
      <c r="D2235" s="160" t="s">
        <v>39</v>
      </c>
      <c r="E2235" s="161"/>
      <c r="F2235" s="162" t="s">
        <v>40</v>
      </c>
      <c r="G2235" s="163"/>
      <c r="H2235" s="164"/>
      <c r="I2235" s="163"/>
      <c r="J2235" s="164"/>
      <c r="K2235" s="163"/>
      <c r="L2235" s="164"/>
      <c r="M2235" s="11"/>
      <c r="N2235" s="39"/>
      <c r="Q2235" s="15" t="str">
        <f>+CONCATENATE(E2235,G2235)</f>
        <v/>
      </c>
      <c r="R2235" s="15">
        <f>+H2235</f>
        <v>0</v>
      </c>
      <c r="S2235" s="16"/>
      <c r="T2235" s="15">
        <f>+E2235</f>
        <v>0</v>
      </c>
      <c r="U2235" s="26" t="str">
        <f>IFERROR(LEFT(G2235,FIND("*",G2235)-1),"-")</f>
        <v>-</v>
      </c>
      <c r="V2235" s="26" t="str">
        <f>IFERROR(RIGHT(G2235,LEN(G2235)-FIND("*",G2235)),"-")</f>
        <v>-</v>
      </c>
      <c r="W2235" s="27" t="str">
        <f>IFERROR((U2235+V2235)*2/1000,"-")</f>
        <v>-</v>
      </c>
      <c r="X2235" s="27" t="str">
        <f>IFERROR(W2235*H2235,"-")</f>
        <v>-</v>
      </c>
      <c r="Z2235" s="94" t="s">
        <v>82</v>
      </c>
    </row>
    <row r="2236" spans="1:26" s="25" customFormat="1" ht="6.95" customHeight="1" x14ac:dyDescent="0.3">
      <c r="A2236" s="165"/>
      <c r="B2236" s="168"/>
      <c r="C2236" s="169"/>
      <c r="D2236" s="160"/>
      <c r="E2236" s="161"/>
      <c r="F2236" s="162"/>
      <c r="G2236" s="163"/>
      <c r="H2236" s="164"/>
      <c r="I2236" s="163"/>
      <c r="J2236" s="164"/>
      <c r="K2236" s="163"/>
      <c r="L2236" s="164"/>
      <c r="M2236" s="11"/>
      <c r="N2236" s="39"/>
      <c r="Q2236" s="15" t="str">
        <f>+CONCATENATE(E2235,I2235)</f>
        <v/>
      </c>
      <c r="R2236" s="15">
        <f>+J2235</f>
        <v>0</v>
      </c>
      <c r="S2236" s="16"/>
      <c r="T2236" s="15">
        <f>+E2235</f>
        <v>0</v>
      </c>
      <c r="U2236" s="26" t="str">
        <f>IFERROR(LEFT(I2235,FIND("*",I2235)-1),"-")</f>
        <v>-</v>
      </c>
      <c r="V2236" s="26" t="str">
        <f>IFERROR(RIGHT(I2235,LEN(I2235)-FIND("*",I2235)),"-")</f>
        <v>-</v>
      </c>
      <c r="W2236" s="27" t="str">
        <f t="shared" ref="W2236:W2243" si="1216">IFERROR((U2236+V2236)*2/1000,"-")</f>
        <v>-</v>
      </c>
      <c r="X2236" s="27" t="str">
        <f>IFERROR(W2236*J2235,"-")</f>
        <v>-</v>
      </c>
      <c r="Z2236" s="94" t="s">
        <v>82</v>
      </c>
    </row>
    <row r="2237" spans="1:26" s="25" customFormat="1" ht="6.95" customHeight="1" x14ac:dyDescent="0.3">
      <c r="A2237" s="165"/>
      <c r="B2237" s="168"/>
      <c r="C2237" s="169"/>
      <c r="D2237" s="160"/>
      <c r="E2237" s="161"/>
      <c r="F2237" s="162"/>
      <c r="G2237" s="163"/>
      <c r="H2237" s="164"/>
      <c r="I2237" s="163"/>
      <c r="J2237" s="164"/>
      <c r="K2237" s="163"/>
      <c r="L2237" s="164"/>
      <c r="M2237" s="11"/>
      <c r="N2237" s="39"/>
      <c r="Q2237" s="15" t="str">
        <f>+CONCATENATE(E2235,K2235)</f>
        <v/>
      </c>
      <c r="R2237" s="15">
        <f>+L2235</f>
        <v>0</v>
      </c>
      <c r="S2237" s="16"/>
      <c r="T2237" s="15">
        <f>+E2235</f>
        <v>0</v>
      </c>
      <c r="U2237" s="26" t="str">
        <f>IFERROR(LEFT(K2235,FIND("*",K2235)-1),"-")</f>
        <v>-</v>
      </c>
      <c r="V2237" s="26" t="str">
        <f>IFERROR(RIGHT(K2235,LEN(K2235)-FIND("*",K2235)),"-")</f>
        <v>-</v>
      </c>
      <c r="W2237" s="27" t="str">
        <f t="shared" si="1216"/>
        <v>-</v>
      </c>
      <c r="X2237" s="27" t="str">
        <f>IFERROR(W2237*L2235,"-")</f>
        <v>-</v>
      </c>
      <c r="Z2237" s="94" t="s">
        <v>82</v>
      </c>
    </row>
    <row r="2238" spans="1:26" s="25" customFormat="1" ht="6.95" customHeight="1" x14ac:dyDescent="0.3">
      <c r="A2238" s="13"/>
      <c r="B2238" s="168"/>
      <c r="C2238" s="169"/>
      <c r="D2238" s="160" t="s">
        <v>39</v>
      </c>
      <c r="E2238" s="161"/>
      <c r="F2238" s="162" t="s">
        <v>40</v>
      </c>
      <c r="G2238" s="163"/>
      <c r="H2238" s="164"/>
      <c r="I2238" s="163"/>
      <c r="J2238" s="164"/>
      <c r="K2238" s="163"/>
      <c r="L2238" s="164"/>
      <c r="M2238" s="11"/>
      <c r="N2238" s="39"/>
      <c r="Q2238" s="15" t="str">
        <f>+CONCATENATE(E2238,G2238)</f>
        <v/>
      </c>
      <c r="R2238" s="15">
        <f>+H2238</f>
        <v>0</v>
      </c>
      <c r="S2238" s="16"/>
      <c r="T2238" s="15">
        <f>+E2238</f>
        <v>0</v>
      </c>
      <c r="U2238" s="26" t="str">
        <f t="shared" ref="U2238" si="1217">IFERROR(LEFT(G2238,FIND("*",G2238)-1),"-")</f>
        <v>-</v>
      </c>
      <c r="V2238" s="26" t="str">
        <f t="shared" ref="V2238" si="1218">IFERROR(RIGHT(G2238,LEN(G2238)-FIND("*",G2238)),"-")</f>
        <v>-</v>
      </c>
      <c r="W2238" s="27" t="str">
        <f t="shared" si="1216"/>
        <v>-</v>
      </c>
      <c r="X2238" s="27" t="str">
        <f>IFERROR(W2238*H2238,"-")</f>
        <v>-</v>
      </c>
      <c r="Z2238" s="94" t="s">
        <v>82</v>
      </c>
    </row>
    <row r="2239" spans="1:26" s="25" customFormat="1" ht="6.95" customHeight="1" x14ac:dyDescent="0.3">
      <c r="A2239" s="10"/>
      <c r="B2239" s="168"/>
      <c r="C2239" s="169"/>
      <c r="D2239" s="160"/>
      <c r="E2239" s="161"/>
      <c r="F2239" s="162"/>
      <c r="G2239" s="163"/>
      <c r="H2239" s="164"/>
      <c r="I2239" s="163"/>
      <c r="J2239" s="164"/>
      <c r="K2239" s="163"/>
      <c r="L2239" s="164"/>
      <c r="M2239" s="11"/>
      <c r="N2239" s="39"/>
      <c r="Q2239" s="15" t="str">
        <f>+CONCATENATE(E2238,I2238)</f>
        <v/>
      </c>
      <c r="R2239" s="15">
        <f>+J2238</f>
        <v>0</v>
      </c>
      <c r="S2239" s="16"/>
      <c r="T2239" s="15">
        <f>+E2238</f>
        <v>0</v>
      </c>
      <c r="U2239" s="26" t="str">
        <f>IFERROR(LEFT(I2238,FIND("*",I2238)-1),"-")</f>
        <v>-</v>
      </c>
      <c r="V2239" s="26" t="str">
        <f>IFERROR(RIGHT(I2238,LEN(I2238)-FIND("*",I2238)),"-")</f>
        <v>-</v>
      </c>
      <c r="W2239" s="27" t="str">
        <f t="shared" si="1216"/>
        <v>-</v>
      </c>
      <c r="X2239" s="27" t="str">
        <f>IFERROR(W2239*J2238,"-")</f>
        <v>-</v>
      </c>
      <c r="Z2239" s="94" t="s">
        <v>82</v>
      </c>
    </row>
    <row r="2240" spans="1:26" s="25" customFormat="1" ht="6.95" customHeight="1" x14ac:dyDescent="0.3">
      <c r="A2240" s="10"/>
      <c r="B2240" s="168"/>
      <c r="C2240" s="169"/>
      <c r="D2240" s="160"/>
      <c r="E2240" s="161"/>
      <c r="F2240" s="162"/>
      <c r="G2240" s="163"/>
      <c r="H2240" s="164"/>
      <c r="I2240" s="163"/>
      <c r="J2240" s="164"/>
      <c r="K2240" s="163"/>
      <c r="L2240" s="164"/>
      <c r="M2240" s="11"/>
      <c r="N2240" s="39"/>
      <c r="Q2240" s="15" t="str">
        <f>+CONCATENATE(E2238,K2238)</f>
        <v/>
      </c>
      <c r="R2240" s="15">
        <f>+L2238</f>
        <v>0</v>
      </c>
      <c r="S2240" s="16"/>
      <c r="T2240" s="15">
        <f>+E2238</f>
        <v>0</v>
      </c>
      <c r="U2240" s="26" t="str">
        <f>IFERROR(LEFT(K2238,FIND("*",K2238)-1),"-")</f>
        <v>-</v>
      </c>
      <c r="V2240" s="26" t="str">
        <f>IFERROR(RIGHT(K2238,LEN(K2238)-FIND("*",K2238)),"-")</f>
        <v>-</v>
      </c>
      <c r="W2240" s="27" t="str">
        <f t="shared" si="1216"/>
        <v>-</v>
      </c>
      <c r="X2240" s="27" t="str">
        <f>IFERROR(W2240*L2238,"-")</f>
        <v>-</v>
      </c>
      <c r="Z2240" s="94" t="s">
        <v>82</v>
      </c>
    </row>
    <row r="2241" spans="1:26" s="25" customFormat="1" ht="6.95" customHeight="1" x14ac:dyDescent="0.3">
      <c r="A2241" s="13"/>
      <c r="B2241" s="168"/>
      <c r="C2241" s="169"/>
      <c r="D2241" s="160" t="s">
        <v>39</v>
      </c>
      <c r="E2241" s="161"/>
      <c r="F2241" s="162" t="s">
        <v>40</v>
      </c>
      <c r="G2241" s="163"/>
      <c r="H2241" s="164"/>
      <c r="I2241" s="163"/>
      <c r="J2241" s="164"/>
      <c r="K2241" s="163"/>
      <c r="L2241" s="164"/>
      <c r="M2241" s="11"/>
      <c r="N2241" s="39"/>
      <c r="Q2241" s="15" t="str">
        <f>+CONCATENATE(E2241,G2241)</f>
        <v/>
      </c>
      <c r="R2241" s="15">
        <f>+H2241</f>
        <v>0</v>
      </c>
      <c r="S2241" s="16"/>
      <c r="T2241" s="15">
        <f>+E2241</f>
        <v>0</v>
      </c>
      <c r="U2241" s="26" t="str">
        <f t="shared" ref="U2241" si="1219">IFERROR(LEFT(G2241,FIND("*",G2241)-1),"-")</f>
        <v>-</v>
      </c>
      <c r="V2241" s="26" t="str">
        <f t="shared" ref="V2241" si="1220">IFERROR(RIGHT(G2241,LEN(G2241)-FIND("*",G2241)),"-")</f>
        <v>-</v>
      </c>
      <c r="W2241" s="27" t="str">
        <f t="shared" si="1216"/>
        <v>-</v>
      </c>
      <c r="X2241" s="27" t="str">
        <f>IFERROR(W2241*H2241,"-")</f>
        <v>-</v>
      </c>
      <c r="Z2241" s="94" t="s">
        <v>82</v>
      </c>
    </row>
    <row r="2242" spans="1:26" s="25" customFormat="1" ht="6.95" customHeight="1" x14ac:dyDescent="0.3">
      <c r="A2242" s="10"/>
      <c r="B2242" s="168"/>
      <c r="C2242" s="169"/>
      <c r="D2242" s="160"/>
      <c r="E2242" s="161"/>
      <c r="F2242" s="162"/>
      <c r="G2242" s="163"/>
      <c r="H2242" s="164"/>
      <c r="I2242" s="163"/>
      <c r="J2242" s="164"/>
      <c r="K2242" s="163"/>
      <c r="L2242" s="164"/>
      <c r="M2242" s="11"/>
      <c r="N2242" s="39"/>
      <c r="Q2242" s="15" t="str">
        <f>+CONCATENATE(E2241,I2241)</f>
        <v/>
      </c>
      <c r="R2242" s="15">
        <f>+J2241</f>
        <v>0</v>
      </c>
      <c r="S2242" s="16"/>
      <c r="T2242" s="15">
        <f>+E2241</f>
        <v>0</v>
      </c>
      <c r="U2242" s="26" t="str">
        <f>IFERROR(LEFT(I2241,FIND("*",I2241)-1),"-")</f>
        <v>-</v>
      </c>
      <c r="V2242" s="26" t="str">
        <f>IFERROR(RIGHT(I2241,LEN(I2241)-FIND("*",I2241)),"-")</f>
        <v>-</v>
      </c>
      <c r="W2242" s="27" t="str">
        <f t="shared" si="1216"/>
        <v>-</v>
      </c>
      <c r="X2242" s="27" t="str">
        <f t="shared" ref="X2242" si="1221">IFERROR(W2242*J2241,"-")</f>
        <v>-</v>
      </c>
      <c r="Z2242" s="94" t="s">
        <v>82</v>
      </c>
    </row>
    <row r="2243" spans="1:26" s="25" customFormat="1" ht="6.95" customHeight="1" x14ac:dyDescent="0.3">
      <c r="A2243" s="10"/>
      <c r="B2243" s="168"/>
      <c r="C2243" s="169"/>
      <c r="D2243" s="160"/>
      <c r="E2243" s="161"/>
      <c r="F2243" s="162"/>
      <c r="G2243" s="163"/>
      <c r="H2243" s="164"/>
      <c r="I2243" s="163"/>
      <c r="J2243" s="164"/>
      <c r="K2243" s="163"/>
      <c r="L2243" s="164"/>
      <c r="M2243" s="11"/>
      <c r="N2243" s="39"/>
      <c r="Q2243" s="15" t="str">
        <f>+CONCATENATE(E2241,K2241)</f>
        <v/>
      </c>
      <c r="R2243" s="15">
        <f>+L2241</f>
        <v>0</v>
      </c>
      <c r="S2243" s="16"/>
      <c r="T2243" s="15">
        <f>+E2241</f>
        <v>0</v>
      </c>
      <c r="U2243" s="26" t="str">
        <f>IFERROR(LEFT(K2241,FIND("*",K2241)-1),"-")</f>
        <v>-</v>
      </c>
      <c r="V2243" s="26" t="str">
        <f>IFERROR(RIGHT(K2241,LEN(K2241)-FIND("*",K2241)),"-")</f>
        <v>-</v>
      </c>
      <c r="W2243" s="27" t="str">
        <f t="shared" si="1216"/>
        <v>-</v>
      </c>
      <c r="X2243" s="27" t="str">
        <f>IFERROR(W2243*L2241,"-")</f>
        <v>-</v>
      </c>
      <c r="Z2243" s="94" t="s">
        <v>82</v>
      </c>
    </row>
    <row r="2244" spans="1:26" s="25" customFormat="1" ht="21" customHeight="1" thickBot="1" x14ac:dyDescent="0.35">
      <c r="A2244" s="10"/>
      <c r="B2244" s="170"/>
      <c r="C2244" s="171"/>
      <c r="D2244" s="172" t="s">
        <v>43</v>
      </c>
      <c r="E2244" s="173"/>
      <c r="F2244" s="173"/>
      <c r="G2244" s="174"/>
      <c r="H2244" s="174"/>
      <c r="I2244" s="174"/>
      <c r="J2244" s="174"/>
      <c r="K2244" s="174"/>
      <c r="L2244" s="174"/>
      <c r="M2244" s="12"/>
      <c r="N2244" s="39"/>
      <c r="U2244" s="23"/>
      <c r="V2244" s="23"/>
      <c r="Z2244" s="95" t="s">
        <v>81</v>
      </c>
    </row>
    <row r="2245" spans="1:26" s="25" customFormat="1" ht="9.9499999999999993" customHeight="1" thickBot="1" x14ac:dyDescent="0.35">
      <c r="A2245" s="6"/>
      <c r="B2245" s="14"/>
      <c r="C2245" s="119"/>
      <c r="D2245" s="58"/>
      <c r="E2245" s="17"/>
      <c r="F2245" s="58"/>
      <c r="G2245" s="19"/>
      <c r="H2245" s="19"/>
      <c r="I2245" s="19"/>
      <c r="J2245" s="19"/>
      <c r="K2245" s="19"/>
      <c r="L2245" s="19"/>
      <c r="M2245" s="14"/>
      <c r="N2245" s="39"/>
      <c r="Q2245" s="1"/>
      <c r="R2245" s="1"/>
      <c r="S2245" s="1"/>
      <c r="T2245" s="1"/>
      <c r="U2245" s="24"/>
      <c r="V2245" s="24"/>
      <c r="W2245" s="1"/>
      <c r="X2245" s="1"/>
      <c r="Z2245" s="94" t="s">
        <v>82</v>
      </c>
    </row>
    <row r="2246" spans="1:26" s="25" customFormat="1" ht="6.95" customHeight="1" x14ac:dyDescent="0.3">
      <c r="A2246" s="165">
        <f>+A2235+1</f>
        <v>205</v>
      </c>
      <c r="B2246" s="166"/>
      <c r="C2246" s="167"/>
      <c r="D2246" s="160" t="s">
        <v>39</v>
      </c>
      <c r="E2246" s="161"/>
      <c r="F2246" s="162" t="s">
        <v>40</v>
      </c>
      <c r="G2246" s="163"/>
      <c r="H2246" s="164"/>
      <c r="I2246" s="163"/>
      <c r="J2246" s="164"/>
      <c r="K2246" s="163"/>
      <c r="L2246" s="164"/>
      <c r="M2246" s="11"/>
      <c r="N2246" s="39"/>
      <c r="Q2246" s="15" t="str">
        <f>+CONCATENATE(E2246,G2246)</f>
        <v/>
      </c>
      <c r="R2246" s="15">
        <f>+H2246</f>
        <v>0</v>
      </c>
      <c r="S2246" s="16"/>
      <c r="T2246" s="15">
        <f>+E2246</f>
        <v>0</v>
      </c>
      <c r="U2246" s="26" t="str">
        <f>IFERROR(LEFT(G2246,FIND("*",G2246)-1),"-")</f>
        <v>-</v>
      </c>
      <c r="V2246" s="26" t="str">
        <f>IFERROR(RIGHT(G2246,LEN(G2246)-FIND("*",G2246)),"-")</f>
        <v>-</v>
      </c>
      <c r="W2246" s="27" t="str">
        <f>IFERROR((U2246+V2246)*2/1000,"-")</f>
        <v>-</v>
      </c>
      <c r="X2246" s="27" t="str">
        <f>IFERROR(W2246*H2246,"-")</f>
        <v>-</v>
      </c>
      <c r="Z2246" s="94" t="s">
        <v>82</v>
      </c>
    </row>
    <row r="2247" spans="1:26" s="25" customFormat="1" ht="6.95" customHeight="1" x14ac:dyDescent="0.3">
      <c r="A2247" s="165"/>
      <c r="B2247" s="168"/>
      <c r="C2247" s="169"/>
      <c r="D2247" s="160"/>
      <c r="E2247" s="161"/>
      <c r="F2247" s="162"/>
      <c r="G2247" s="163"/>
      <c r="H2247" s="164"/>
      <c r="I2247" s="163"/>
      <c r="J2247" s="164"/>
      <c r="K2247" s="163"/>
      <c r="L2247" s="164"/>
      <c r="M2247" s="11"/>
      <c r="N2247" s="39"/>
      <c r="Q2247" s="15" t="str">
        <f>+CONCATENATE(E2246,I2246)</f>
        <v/>
      </c>
      <c r="R2247" s="15">
        <f>+J2246</f>
        <v>0</v>
      </c>
      <c r="S2247" s="16"/>
      <c r="T2247" s="15">
        <f>+E2246</f>
        <v>0</v>
      </c>
      <c r="U2247" s="26" t="str">
        <f>IFERROR(LEFT(I2246,FIND("*",I2246)-1),"-")</f>
        <v>-</v>
      </c>
      <c r="V2247" s="26" t="str">
        <f>IFERROR(RIGHT(I2246,LEN(I2246)-FIND("*",I2246)),"-")</f>
        <v>-</v>
      </c>
      <c r="W2247" s="27" t="str">
        <f t="shared" ref="W2247:W2254" si="1222">IFERROR((U2247+V2247)*2/1000,"-")</f>
        <v>-</v>
      </c>
      <c r="X2247" s="27" t="str">
        <f>IFERROR(W2247*J2246,"-")</f>
        <v>-</v>
      </c>
      <c r="Z2247" s="94" t="s">
        <v>82</v>
      </c>
    </row>
    <row r="2248" spans="1:26" s="25" customFormat="1" ht="6.95" customHeight="1" x14ac:dyDescent="0.3">
      <c r="A2248" s="165"/>
      <c r="B2248" s="168"/>
      <c r="C2248" s="169"/>
      <c r="D2248" s="160"/>
      <c r="E2248" s="161"/>
      <c r="F2248" s="162"/>
      <c r="G2248" s="163"/>
      <c r="H2248" s="164"/>
      <c r="I2248" s="163"/>
      <c r="J2248" s="164"/>
      <c r="K2248" s="163"/>
      <c r="L2248" s="164"/>
      <c r="M2248" s="11"/>
      <c r="N2248" s="39"/>
      <c r="Q2248" s="15" t="str">
        <f>+CONCATENATE(E2246,K2246)</f>
        <v/>
      </c>
      <c r="R2248" s="15">
        <f>+L2246</f>
        <v>0</v>
      </c>
      <c r="S2248" s="16"/>
      <c r="T2248" s="15">
        <f>+E2246</f>
        <v>0</v>
      </c>
      <c r="U2248" s="26" t="str">
        <f>IFERROR(LEFT(K2246,FIND("*",K2246)-1),"-")</f>
        <v>-</v>
      </c>
      <c r="V2248" s="26" t="str">
        <f>IFERROR(RIGHT(K2246,LEN(K2246)-FIND("*",K2246)),"-")</f>
        <v>-</v>
      </c>
      <c r="W2248" s="27" t="str">
        <f t="shared" si="1222"/>
        <v>-</v>
      </c>
      <c r="X2248" s="27" t="str">
        <f>IFERROR(W2248*L2246,"-")</f>
        <v>-</v>
      </c>
      <c r="Z2248" s="94" t="s">
        <v>82</v>
      </c>
    </row>
    <row r="2249" spans="1:26" s="25" customFormat="1" ht="6.95" customHeight="1" x14ac:dyDescent="0.3">
      <c r="A2249" s="13"/>
      <c r="B2249" s="168"/>
      <c r="C2249" s="169"/>
      <c r="D2249" s="160" t="s">
        <v>39</v>
      </c>
      <c r="E2249" s="161"/>
      <c r="F2249" s="162" t="s">
        <v>40</v>
      </c>
      <c r="G2249" s="163"/>
      <c r="H2249" s="164"/>
      <c r="I2249" s="163"/>
      <c r="J2249" s="164"/>
      <c r="K2249" s="163"/>
      <c r="L2249" s="164"/>
      <c r="M2249" s="11"/>
      <c r="N2249" s="39"/>
      <c r="Q2249" s="15" t="str">
        <f>+CONCATENATE(E2249,G2249)</f>
        <v/>
      </c>
      <c r="R2249" s="15">
        <f>+H2249</f>
        <v>0</v>
      </c>
      <c r="S2249" s="16"/>
      <c r="T2249" s="15">
        <f>+E2249</f>
        <v>0</v>
      </c>
      <c r="U2249" s="26" t="str">
        <f t="shared" ref="U2249" si="1223">IFERROR(LEFT(G2249,FIND("*",G2249)-1),"-")</f>
        <v>-</v>
      </c>
      <c r="V2249" s="26" t="str">
        <f t="shared" ref="V2249" si="1224">IFERROR(RIGHT(G2249,LEN(G2249)-FIND("*",G2249)),"-")</f>
        <v>-</v>
      </c>
      <c r="W2249" s="27" t="str">
        <f t="shared" si="1222"/>
        <v>-</v>
      </c>
      <c r="X2249" s="27" t="str">
        <f>IFERROR(W2249*H2249,"-")</f>
        <v>-</v>
      </c>
      <c r="Z2249" s="94" t="s">
        <v>82</v>
      </c>
    </row>
    <row r="2250" spans="1:26" s="25" customFormat="1" ht="6.95" customHeight="1" x14ac:dyDescent="0.3">
      <c r="A2250" s="10"/>
      <c r="B2250" s="168"/>
      <c r="C2250" s="169"/>
      <c r="D2250" s="160"/>
      <c r="E2250" s="161"/>
      <c r="F2250" s="162"/>
      <c r="G2250" s="163"/>
      <c r="H2250" s="164"/>
      <c r="I2250" s="163"/>
      <c r="J2250" s="164"/>
      <c r="K2250" s="163"/>
      <c r="L2250" s="164"/>
      <c r="M2250" s="11"/>
      <c r="N2250" s="39"/>
      <c r="Q2250" s="15" t="str">
        <f>+CONCATENATE(E2249,I2249)</f>
        <v/>
      </c>
      <c r="R2250" s="15">
        <f>+J2249</f>
        <v>0</v>
      </c>
      <c r="S2250" s="16"/>
      <c r="T2250" s="15">
        <f>+E2249</f>
        <v>0</v>
      </c>
      <c r="U2250" s="26" t="str">
        <f>IFERROR(LEFT(I2249,FIND("*",I2249)-1),"-")</f>
        <v>-</v>
      </c>
      <c r="V2250" s="26" t="str">
        <f>IFERROR(RIGHT(I2249,LEN(I2249)-FIND("*",I2249)),"-")</f>
        <v>-</v>
      </c>
      <c r="W2250" s="27" t="str">
        <f t="shared" si="1222"/>
        <v>-</v>
      </c>
      <c r="X2250" s="27" t="str">
        <f>IFERROR(W2250*J2249,"-")</f>
        <v>-</v>
      </c>
      <c r="Z2250" s="94" t="s">
        <v>82</v>
      </c>
    </row>
    <row r="2251" spans="1:26" s="25" customFormat="1" ht="6.95" customHeight="1" x14ac:dyDescent="0.3">
      <c r="A2251" s="10"/>
      <c r="B2251" s="168"/>
      <c r="C2251" s="169"/>
      <c r="D2251" s="160"/>
      <c r="E2251" s="161"/>
      <c r="F2251" s="162"/>
      <c r="G2251" s="163"/>
      <c r="H2251" s="164"/>
      <c r="I2251" s="163"/>
      <c r="J2251" s="164"/>
      <c r="K2251" s="163"/>
      <c r="L2251" s="164"/>
      <c r="M2251" s="11"/>
      <c r="N2251" s="39"/>
      <c r="Q2251" s="15" t="str">
        <f>+CONCATENATE(E2249,K2249)</f>
        <v/>
      </c>
      <c r="R2251" s="15">
        <f>+L2249</f>
        <v>0</v>
      </c>
      <c r="S2251" s="16"/>
      <c r="T2251" s="15">
        <f>+E2249</f>
        <v>0</v>
      </c>
      <c r="U2251" s="26" t="str">
        <f>IFERROR(LEFT(K2249,FIND("*",K2249)-1),"-")</f>
        <v>-</v>
      </c>
      <c r="V2251" s="26" t="str">
        <f>IFERROR(RIGHT(K2249,LEN(K2249)-FIND("*",K2249)),"-")</f>
        <v>-</v>
      </c>
      <c r="W2251" s="27" t="str">
        <f t="shared" si="1222"/>
        <v>-</v>
      </c>
      <c r="X2251" s="27" t="str">
        <f>IFERROR(W2251*L2249,"-")</f>
        <v>-</v>
      </c>
      <c r="Z2251" s="94" t="s">
        <v>82</v>
      </c>
    </row>
    <row r="2252" spans="1:26" s="25" customFormat="1" ht="6.95" customHeight="1" x14ac:dyDescent="0.3">
      <c r="A2252" s="13"/>
      <c r="B2252" s="168"/>
      <c r="C2252" s="169"/>
      <c r="D2252" s="160" t="s">
        <v>39</v>
      </c>
      <c r="E2252" s="161"/>
      <c r="F2252" s="162" t="s">
        <v>40</v>
      </c>
      <c r="G2252" s="163"/>
      <c r="H2252" s="164"/>
      <c r="I2252" s="163"/>
      <c r="J2252" s="164"/>
      <c r="K2252" s="163"/>
      <c r="L2252" s="164"/>
      <c r="M2252" s="11"/>
      <c r="N2252" s="39"/>
      <c r="Q2252" s="15" t="str">
        <f>+CONCATENATE(E2252,G2252)</f>
        <v/>
      </c>
      <c r="R2252" s="15">
        <f>+H2252</f>
        <v>0</v>
      </c>
      <c r="S2252" s="16"/>
      <c r="T2252" s="15">
        <f>+E2252</f>
        <v>0</v>
      </c>
      <c r="U2252" s="26" t="str">
        <f t="shared" ref="U2252" si="1225">IFERROR(LEFT(G2252,FIND("*",G2252)-1),"-")</f>
        <v>-</v>
      </c>
      <c r="V2252" s="26" t="str">
        <f t="shared" ref="V2252" si="1226">IFERROR(RIGHT(G2252,LEN(G2252)-FIND("*",G2252)),"-")</f>
        <v>-</v>
      </c>
      <c r="W2252" s="27" t="str">
        <f t="shared" si="1222"/>
        <v>-</v>
      </c>
      <c r="X2252" s="27" t="str">
        <f>IFERROR(W2252*H2252,"-")</f>
        <v>-</v>
      </c>
      <c r="Z2252" s="94" t="s">
        <v>82</v>
      </c>
    </row>
    <row r="2253" spans="1:26" s="25" customFormat="1" ht="6.95" customHeight="1" x14ac:dyDescent="0.3">
      <c r="A2253" s="10"/>
      <c r="B2253" s="168"/>
      <c r="C2253" s="169"/>
      <c r="D2253" s="160"/>
      <c r="E2253" s="161"/>
      <c r="F2253" s="162"/>
      <c r="G2253" s="163"/>
      <c r="H2253" s="164"/>
      <c r="I2253" s="163"/>
      <c r="J2253" s="164"/>
      <c r="K2253" s="163"/>
      <c r="L2253" s="164"/>
      <c r="M2253" s="11"/>
      <c r="N2253" s="39"/>
      <c r="Q2253" s="15" t="str">
        <f>+CONCATENATE(E2252,I2252)</f>
        <v/>
      </c>
      <c r="R2253" s="15">
        <f>+J2252</f>
        <v>0</v>
      </c>
      <c r="S2253" s="16"/>
      <c r="T2253" s="15">
        <f>+E2252</f>
        <v>0</v>
      </c>
      <c r="U2253" s="26" t="str">
        <f>IFERROR(LEFT(I2252,FIND("*",I2252)-1),"-")</f>
        <v>-</v>
      </c>
      <c r="V2253" s="26" t="str">
        <f>IFERROR(RIGHT(I2252,LEN(I2252)-FIND("*",I2252)),"-")</f>
        <v>-</v>
      </c>
      <c r="W2253" s="27" t="str">
        <f t="shared" si="1222"/>
        <v>-</v>
      </c>
      <c r="X2253" s="27" t="str">
        <f t="shared" ref="X2253" si="1227">IFERROR(W2253*J2252,"-")</f>
        <v>-</v>
      </c>
      <c r="Z2253" s="94" t="s">
        <v>82</v>
      </c>
    </row>
    <row r="2254" spans="1:26" s="25" customFormat="1" ht="6.95" customHeight="1" x14ac:dyDescent="0.3">
      <c r="A2254" s="10"/>
      <c r="B2254" s="168"/>
      <c r="C2254" s="169"/>
      <c r="D2254" s="160"/>
      <c r="E2254" s="161"/>
      <c r="F2254" s="162"/>
      <c r="G2254" s="163"/>
      <c r="H2254" s="164"/>
      <c r="I2254" s="163"/>
      <c r="J2254" s="164"/>
      <c r="K2254" s="163"/>
      <c r="L2254" s="164"/>
      <c r="M2254" s="11"/>
      <c r="N2254" s="39"/>
      <c r="Q2254" s="15" t="str">
        <f>+CONCATENATE(E2252,K2252)</f>
        <v/>
      </c>
      <c r="R2254" s="15">
        <f>+L2252</f>
        <v>0</v>
      </c>
      <c r="S2254" s="16"/>
      <c r="T2254" s="15">
        <f>+E2252</f>
        <v>0</v>
      </c>
      <c r="U2254" s="26" t="str">
        <f>IFERROR(LEFT(K2252,FIND("*",K2252)-1),"-")</f>
        <v>-</v>
      </c>
      <c r="V2254" s="26" t="str">
        <f>IFERROR(RIGHT(K2252,LEN(K2252)-FIND("*",K2252)),"-")</f>
        <v>-</v>
      </c>
      <c r="W2254" s="27" t="str">
        <f t="shared" si="1222"/>
        <v>-</v>
      </c>
      <c r="X2254" s="27" t="str">
        <f>IFERROR(W2254*L2252,"-")</f>
        <v>-</v>
      </c>
      <c r="Z2254" s="94" t="s">
        <v>82</v>
      </c>
    </row>
    <row r="2255" spans="1:26" s="25" customFormat="1" ht="21" customHeight="1" thickBot="1" x14ac:dyDescent="0.35">
      <c r="A2255" s="10"/>
      <c r="B2255" s="170"/>
      <c r="C2255" s="171"/>
      <c r="D2255" s="172" t="s">
        <v>43</v>
      </c>
      <c r="E2255" s="173"/>
      <c r="F2255" s="173"/>
      <c r="G2255" s="174"/>
      <c r="H2255" s="174"/>
      <c r="I2255" s="174"/>
      <c r="J2255" s="174"/>
      <c r="K2255" s="174"/>
      <c r="L2255" s="174"/>
      <c r="M2255" s="12"/>
      <c r="N2255" s="39"/>
      <c r="U2255" s="23"/>
      <c r="V2255" s="23"/>
      <c r="Z2255" s="95" t="s">
        <v>81</v>
      </c>
    </row>
    <row r="2256" spans="1:26" s="25" customFormat="1" ht="9.9499999999999993" customHeight="1" thickBot="1" x14ac:dyDescent="0.35">
      <c r="A2256" s="6"/>
      <c r="B2256" s="14"/>
      <c r="C2256" s="119"/>
      <c r="D2256" s="58"/>
      <c r="E2256" s="17"/>
      <c r="F2256" s="58"/>
      <c r="G2256" s="19"/>
      <c r="H2256" s="19"/>
      <c r="I2256" s="19"/>
      <c r="J2256" s="19"/>
      <c r="K2256" s="19"/>
      <c r="L2256" s="19"/>
      <c r="M2256" s="14"/>
      <c r="N2256" s="39"/>
      <c r="Q2256" s="1"/>
      <c r="R2256" s="1"/>
      <c r="S2256" s="1"/>
      <c r="T2256" s="1"/>
      <c r="U2256" s="24"/>
      <c r="V2256" s="24"/>
      <c r="W2256" s="1"/>
      <c r="X2256" s="1"/>
      <c r="Z2256" s="94" t="s">
        <v>82</v>
      </c>
    </row>
    <row r="2257" spans="1:26" s="25" customFormat="1" ht="6.95" customHeight="1" x14ac:dyDescent="0.3">
      <c r="A2257" s="165">
        <f>+A2246+1</f>
        <v>206</v>
      </c>
      <c r="B2257" s="166"/>
      <c r="C2257" s="167"/>
      <c r="D2257" s="160" t="s">
        <v>39</v>
      </c>
      <c r="E2257" s="161"/>
      <c r="F2257" s="162" t="s">
        <v>40</v>
      </c>
      <c r="G2257" s="163"/>
      <c r="H2257" s="164"/>
      <c r="I2257" s="163"/>
      <c r="J2257" s="164"/>
      <c r="K2257" s="163"/>
      <c r="L2257" s="164"/>
      <c r="M2257" s="11"/>
      <c r="N2257" s="39"/>
      <c r="Q2257" s="15" t="str">
        <f>+CONCATENATE(E2257,G2257)</f>
        <v/>
      </c>
      <c r="R2257" s="15">
        <f>+H2257</f>
        <v>0</v>
      </c>
      <c r="S2257" s="16"/>
      <c r="T2257" s="15">
        <f>+E2257</f>
        <v>0</v>
      </c>
      <c r="U2257" s="26" t="str">
        <f>IFERROR(LEFT(G2257,FIND("*",G2257)-1),"-")</f>
        <v>-</v>
      </c>
      <c r="V2257" s="26" t="str">
        <f>IFERROR(RIGHT(G2257,LEN(G2257)-FIND("*",G2257)),"-")</f>
        <v>-</v>
      </c>
      <c r="W2257" s="27" t="str">
        <f>IFERROR((U2257+V2257)*2/1000,"-")</f>
        <v>-</v>
      </c>
      <c r="X2257" s="27" t="str">
        <f>IFERROR(W2257*H2257,"-")</f>
        <v>-</v>
      </c>
      <c r="Z2257" s="94" t="s">
        <v>82</v>
      </c>
    </row>
    <row r="2258" spans="1:26" s="25" customFormat="1" ht="6.95" customHeight="1" x14ac:dyDescent="0.3">
      <c r="A2258" s="165"/>
      <c r="B2258" s="168"/>
      <c r="C2258" s="169"/>
      <c r="D2258" s="160"/>
      <c r="E2258" s="161"/>
      <c r="F2258" s="162"/>
      <c r="G2258" s="163"/>
      <c r="H2258" s="164"/>
      <c r="I2258" s="163"/>
      <c r="J2258" s="164"/>
      <c r="K2258" s="163"/>
      <c r="L2258" s="164"/>
      <c r="M2258" s="11"/>
      <c r="N2258" s="39"/>
      <c r="Q2258" s="15" t="str">
        <f>+CONCATENATE(E2257,I2257)</f>
        <v/>
      </c>
      <c r="R2258" s="15">
        <f>+J2257</f>
        <v>0</v>
      </c>
      <c r="S2258" s="16"/>
      <c r="T2258" s="15">
        <f>+E2257</f>
        <v>0</v>
      </c>
      <c r="U2258" s="26" t="str">
        <f>IFERROR(LEFT(I2257,FIND("*",I2257)-1),"-")</f>
        <v>-</v>
      </c>
      <c r="V2258" s="26" t="str">
        <f>IFERROR(RIGHT(I2257,LEN(I2257)-FIND("*",I2257)),"-")</f>
        <v>-</v>
      </c>
      <c r="W2258" s="27" t="str">
        <f t="shared" ref="W2258:W2265" si="1228">IFERROR((U2258+V2258)*2/1000,"-")</f>
        <v>-</v>
      </c>
      <c r="X2258" s="27" t="str">
        <f>IFERROR(W2258*J2257,"-")</f>
        <v>-</v>
      </c>
      <c r="Z2258" s="94" t="s">
        <v>82</v>
      </c>
    </row>
    <row r="2259" spans="1:26" s="25" customFormat="1" ht="6.95" customHeight="1" x14ac:dyDescent="0.3">
      <c r="A2259" s="165"/>
      <c r="B2259" s="168"/>
      <c r="C2259" s="169"/>
      <c r="D2259" s="160"/>
      <c r="E2259" s="161"/>
      <c r="F2259" s="162"/>
      <c r="G2259" s="163"/>
      <c r="H2259" s="164"/>
      <c r="I2259" s="163"/>
      <c r="J2259" s="164"/>
      <c r="K2259" s="163"/>
      <c r="L2259" s="164"/>
      <c r="M2259" s="11"/>
      <c r="N2259" s="39"/>
      <c r="Q2259" s="15" t="str">
        <f>+CONCATENATE(E2257,K2257)</f>
        <v/>
      </c>
      <c r="R2259" s="15">
        <f>+L2257</f>
        <v>0</v>
      </c>
      <c r="S2259" s="16"/>
      <c r="T2259" s="15">
        <f>+E2257</f>
        <v>0</v>
      </c>
      <c r="U2259" s="26" t="str">
        <f>IFERROR(LEFT(K2257,FIND("*",K2257)-1),"-")</f>
        <v>-</v>
      </c>
      <c r="V2259" s="26" t="str">
        <f>IFERROR(RIGHT(K2257,LEN(K2257)-FIND("*",K2257)),"-")</f>
        <v>-</v>
      </c>
      <c r="W2259" s="27" t="str">
        <f t="shared" si="1228"/>
        <v>-</v>
      </c>
      <c r="X2259" s="27" t="str">
        <f>IFERROR(W2259*L2257,"-")</f>
        <v>-</v>
      </c>
      <c r="Z2259" s="94" t="s">
        <v>82</v>
      </c>
    </row>
    <row r="2260" spans="1:26" s="25" customFormat="1" ht="6.95" customHeight="1" x14ac:dyDescent="0.3">
      <c r="A2260" s="13"/>
      <c r="B2260" s="168"/>
      <c r="C2260" s="169"/>
      <c r="D2260" s="160" t="s">
        <v>39</v>
      </c>
      <c r="E2260" s="161"/>
      <c r="F2260" s="162" t="s">
        <v>40</v>
      </c>
      <c r="G2260" s="163"/>
      <c r="H2260" s="164"/>
      <c r="I2260" s="163"/>
      <c r="J2260" s="164"/>
      <c r="K2260" s="163"/>
      <c r="L2260" s="164"/>
      <c r="M2260" s="11"/>
      <c r="N2260" s="39"/>
      <c r="Q2260" s="15" t="str">
        <f>+CONCATENATE(E2260,G2260)</f>
        <v/>
      </c>
      <c r="R2260" s="15">
        <f>+H2260</f>
        <v>0</v>
      </c>
      <c r="S2260" s="16"/>
      <c r="T2260" s="15">
        <f>+E2260</f>
        <v>0</v>
      </c>
      <c r="U2260" s="26" t="str">
        <f t="shared" ref="U2260" si="1229">IFERROR(LEFT(G2260,FIND("*",G2260)-1),"-")</f>
        <v>-</v>
      </c>
      <c r="V2260" s="26" t="str">
        <f t="shared" ref="V2260" si="1230">IFERROR(RIGHT(G2260,LEN(G2260)-FIND("*",G2260)),"-")</f>
        <v>-</v>
      </c>
      <c r="W2260" s="27" t="str">
        <f t="shared" si="1228"/>
        <v>-</v>
      </c>
      <c r="X2260" s="27" t="str">
        <f>IFERROR(W2260*H2260,"-")</f>
        <v>-</v>
      </c>
      <c r="Z2260" s="94" t="s">
        <v>82</v>
      </c>
    </row>
    <row r="2261" spans="1:26" s="25" customFormat="1" ht="6.95" customHeight="1" x14ac:dyDescent="0.3">
      <c r="A2261" s="10"/>
      <c r="B2261" s="168"/>
      <c r="C2261" s="169"/>
      <c r="D2261" s="160"/>
      <c r="E2261" s="161"/>
      <c r="F2261" s="162"/>
      <c r="G2261" s="163"/>
      <c r="H2261" s="164"/>
      <c r="I2261" s="163"/>
      <c r="J2261" s="164"/>
      <c r="K2261" s="163"/>
      <c r="L2261" s="164"/>
      <c r="M2261" s="11"/>
      <c r="N2261" s="39"/>
      <c r="Q2261" s="15" t="str">
        <f>+CONCATENATE(E2260,I2260)</f>
        <v/>
      </c>
      <c r="R2261" s="15">
        <f>+J2260</f>
        <v>0</v>
      </c>
      <c r="S2261" s="16"/>
      <c r="T2261" s="15">
        <f>+E2260</f>
        <v>0</v>
      </c>
      <c r="U2261" s="26" t="str">
        <f>IFERROR(LEFT(I2260,FIND("*",I2260)-1),"-")</f>
        <v>-</v>
      </c>
      <c r="V2261" s="26" t="str">
        <f>IFERROR(RIGHT(I2260,LEN(I2260)-FIND("*",I2260)),"-")</f>
        <v>-</v>
      </c>
      <c r="W2261" s="27" t="str">
        <f t="shared" si="1228"/>
        <v>-</v>
      </c>
      <c r="X2261" s="27" t="str">
        <f>IFERROR(W2261*J2260,"-")</f>
        <v>-</v>
      </c>
      <c r="Z2261" s="94" t="s">
        <v>82</v>
      </c>
    </row>
    <row r="2262" spans="1:26" s="25" customFormat="1" ht="6.95" customHeight="1" x14ac:dyDescent="0.3">
      <c r="A2262" s="10"/>
      <c r="B2262" s="168"/>
      <c r="C2262" s="169"/>
      <c r="D2262" s="160"/>
      <c r="E2262" s="161"/>
      <c r="F2262" s="162"/>
      <c r="G2262" s="163"/>
      <c r="H2262" s="164"/>
      <c r="I2262" s="163"/>
      <c r="J2262" s="164"/>
      <c r="K2262" s="163"/>
      <c r="L2262" s="164"/>
      <c r="M2262" s="11"/>
      <c r="N2262" s="39"/>
      <c r="Q2262" s="15" t="str">
        <f>+CONCATENATE(E2260,K2260)</f>
        <v/>
      </c>
      <c r="R2262" s="15">
        <f>+L2260</f>
        <v>0</v>
      </c>
      <c r="S2262" s="16"/>
      <c r="T2262" s="15">
        <f>+E2260</f>
        <v>0</v>
      </c>
      <c r="U2262" s="26" t="str">
        <f>IFERROR(LEFT(K2260,FIND("*",K2260)-1),"-")</f>
        <v>-</v>
      </c>
      <c r="V2262" s="26" t="str">
        <f>IFERROR(RIGHT(K2260,LEN(K2260)-FIND("*",K2260)),"-")</f>
        <v>-</v>
      </c>
      <c r="W2262" s="27" t="str">
        <f t="shared" si="1228"/>
        <v>-</v>
      </c>
      <c r="X2262" s="27" t="str">
        <f>IFERROR(W2262*L2260,"-")</f>
        <v>-</v>
      </c>
      <c r="Z2262" s="94" t="s">
        <v>82</v>
      </c>
    </row>
    <row r="2263" spans="1:26" s="25" customFormat="1" ht="6.95" customHeight="1" x14ac:dyDescent="0.3">
      <c r="A2263" s="13"/>
      <c r="B2263" s="168"/>
      <c r="C2263" s="169"/>
      <c r="D2263" s="160" t="s">
        <v>39</v>
      </c>
      <c r="E2263" s="161"/>
      <c r="F2263" s="162" t="s">
        <v>40</v>
      </c>
      <c r="G2263" s="163"/>
      <c r="H2263" s="164"/>
      <c r="I2263" s="163"/>
      <c r="J2263" s="164"/>
      <c r="K2263" s="163"/>
      <c r="L2263" s="164"/>
      <c r="M2263" s="11"/>
      <c r="N2263" s="39"/>
      <c r="Q2263" s="15" t="str">
        <f>+CONCATENATE(E2263,G2263)</f>
        <v/>
      </c>
      <c r="R2263" s="15">
        <f>+H2263</f>
        <v>0</v>
      </c>
      <c r="S2263" s="16"/>
      <c r="T2263" s="15">
        <f>+E2263</f>
        <v>0</v>
      </c>
      <c r="U2263" s="26" t="str">
        <f t="shared" ref="U2263" si="1231">IFERROR(LEFT(G2263,FIND("*",G2263)-1),"-")</f>
        <v>-</v>
      </c>
      <c r="V2263" s="26" t="str">
        <f t="shared" ref="V2263" si="1232">IFERROR(RIGHT(G2263,LEN(G2263)-FIND("*",G2263)),"-")</f>
        <v>-</v>
      </c>
      <c r="W2263" s="27" t="str">
        <f t="shared" si="1228"/>
        <v>-</v>
      </c>
      <c r="X2263" s="27" t="str">
        <f>IFERROR(W2263*H2263,"-")</f>
        <v>-</v>
      </c>
      <c r="Z2263" s="94" t="s">
        <v>82</v>
      </c>
    </row>
    <row r="2264" spans="1:26" s="25" customFormat="1" ht="6.95" customHeight="1" x14ac:dyDescent="0.3">
      <c r="A2264" s="10"/>
      <c r="B2264" s="168"/>
      <c r="C2264" s="169"/>
      <c r="D2264" s="160"/>
      <c r="E2264" s="161"/>
      <c r="F2264" s="162"/>
      <c r="G2264" s="163"/>
      <c r="H2264" s="164"/>
      <c r="I2264" s="163"/>
      <c r="J2264" s="164"/>
      <c r="K2264" s="163"/>
      <c r="L2264" s="164"/>
      <c r="M2264" s="11"/>
      <c r="N2264" s="39"/>
      <c r="Q2264" s="15" t="str">
        <f>+CONCATENATE(E2263,I2263)</f>
        <v/>
      </c>
      <c r="R2264" s="15">
        <f>+J2263</f>
        <v>0</v>
      </c>
      <c r="S2264" s="16"/>
      <c r="T2264" s="15">
        <f>+E2263</f>
        <v>0</v>
      </c>
      <c r="U2264" s="26" t="str">
        <f>IFERROR(LEFT(I2263,FIND("*",I2263)-1),"-")</f>
        <v>-</v>
      </c>
      <c r="V2264" s="26" t="str">
        <f>IFERROR(RIGHT(I2263,LEN(I2263)-FIND("*",I2263)),"-")</f>
        <v>-</v>
      </c>
      <c r="W2264" s="27" t="str">
        <f t="shared" si="1228"/>
        <v>-</v>
      </c>
      <c r="X2264" s="27" t="str">
        <f t="shared" ref="X2264" si="1233">IFERROR(W2264*J2263,"-")</f>
        <v>-</v>
      </c>
      <c r="Z2264" s="94" t="s">
        <v>82</v>
      </c>
    </row>
    <row r="2265" spans="1:26" s="25" customFormat="1" ht="6.95" customHeight="1" x14ac:dyDescent="0.3">
      <c r="A2265" s="10"/>
      <c r="B2265" s="168"/>
      <c r="C2265" s="169"/>
      <c r="D2265" s="160"/>
      <c r="E2265" s="161"/>
      <c r="F2265" s="162"/>
      <c r="G2265" s="163"/>
      <c r="H2265" s="164"/>
      <c r="I2265" s="163"/>
      <c r="J2265" s="164"/>
      <c r="K2265" s="163"/>
      <c r="L2265" s="164"/>
      <c r="M2265" s="11"/>
      <c r="N2265" s="39"/>
      <c r="Q2265" s="15" t="str">
        <f>+CONCATENATE(E2263,K2263)</f>
        <v/>
      </c>
      <c r="R2265" s="15">
        <f>+L2263</f>
        <v>0</v>
      </c>
      <c r="S2265" s="16"/>
      <c r="T2265" s="15">
        <f>+E2263</f>
        <v>0</v>
      </c>
      <c r="U2265" s="26" t="str">
        <f>IFERROR(LEFT(K2263,FIND("*",K2263)-1),"-")</f>
        <v>-</v>
      </c>
      <c r="V2265" s="26" t="str">
        <f>IFERROR(RIGHT(K2263,LEN(K2263)-FIND("*",K2263)),"-")</f>
        <v>-</v>
      </c>
      <c r="W2265" s="27" t="str">
        <f t="shared" si="1228"/>
        <v>-</v>
      </c>
      <c r="X2265" s="27" t="str">
        <f>IFERROR(W2265*L2263,"-")</f>
        <v>-</v>
      </c>
      <c r="Z2265" s="94" t="s">
        <v>82</v>
      </c>
    </row>
    <row r="2266" spans="1:26" s="25" customFormat="1" ht="21" customHeight="1" thickBot="1" x14ac:dyDescent="0.35">
      <c r="A2266" s="10"/>
      <c r="B2266" s="170"/>
      <c r="C2266" s="171"/>
      <c r="D2266" s="172" t="s">
        <v>43</v>
      </c>
      <c r="E2266" s="173"/>
      <c r="F2266" s="173"/>
      <c r="G2266" s="174"/>
      <c r="H2266" s="174"/>
      <c r="I2266" s="174"/>
      <c r="J2266" s="174"/>
      <c r="K2266" s="174"/>
      <c r="L2266" s="174"/>
      <c r="M2266" s="12"/>
      <c r="N2266" s="39"/>
      <c r="U2266" s="23"/>
      <c r="V2266" s="23"/>
      <c r="Z2266" s="95" t="s">
        <v>81</v>
      </c>
    </row>
    <row r="2267" spans="1:26" s="25" customFormat="1" ht="9.9499999999999993" customHeight="1" thickBot="1" x14ac:dyDescent="0.35">
      <c r="A2267" s="6"/>
      <c r="B2267" s="14"/>
      <c r="C2267" s="119"/>
      <c r="D2267" s="58"/>
      <c r="E2267" s="17"/>
      <c r="F2267" s="58"/>
      <c r="G2267" s="19"/>
      <c r="H2267" s="19"/>
      <c r="I2267" s="19"/>
      <c r="J2267" s="19"/>
      <c r="K2267" s="19"/>
      <c r="L2267" s="19"/>
      <c r="M2267" s="14"/>
      <c r="N2267" s="39"/>
      <c r="Q2267" s="1"/>
      <c r="R2267" s="1"/>
      <c r="S2267" s="1"/>
      <c r="T2267" s="1"/>
      <c r="U2267" s="24"/>
      <c r="V2267" s="24"/>
      <c r="W2267" s="1"/>
      <c r="X2267" s="1"/>
      <c r="Z2267" s="94" t="s">
        <v>82</v>
      </c>
    </row>
    <row r="2268" spans="1:26" s="25" customFormat="1" ht="6.95" customHeight="1" x14ac:dyDescent="0.3">
      <c r="A2268" s="165">
        <f>+A2257+1</f>
        <v>207</v>
      </c>
      <c r="B2268" s="166"/>
      <c r="C2268" s="167"/>
      <c r="D2268" s="160" t="s">
        <v>39</v>
      </c>
      <c r="E2268" s="161"/>
      <c r="F2268" s="162" t="s">
        <v>40</v>
      </c>
      <c r="G2268" s="163"/>
      <c r="H2268" s="164"/>
      <c r="I2268" s="163"/>
      <c r="J2268" s="164"/>
      <c r="K2268" s="163"/>
      <c r="L2268" s="164"/>
      <c r="M2268" s="11"/>
      <c r="N2268" s="39"/>
      <c r="Q2268" s="15" t="str">
        <f>+CONCATENATE(E2268,G2268)</f>
        <v/>
      </c>
      <c r="R2268" s="15">
        <f>+H2268</f>
        <v>0</v>
      </c>
      <c r="S2268" s="16"/>
      <c r="T2268" s="15">
        <f>+E2268</f>
        <v>0</v>
      </c>
      <c r="U2268" s="26" t="str">
        <f>IFERROR(LEFT(G2268,FIND("*",G2268)-1),"-")</f>
        <v>-</v>
      </c>
      <c r="V2268" s="26" t="str">
        <f>IFERROR(RIGHT(G2268,LEN(G2268)-FIND("*",G2268)),"-")</f>
        <v>-</v>
      </c>
      <c r="W2268" s="27" t="str">
        <f>IFERROR((U2268+V2268)*2/1000,"-")</f>
        <v>-</v>
      </c>
      <c r="X2268" s="27" t="str">
        <f>IFERROR(W2268*H2268,"-")</f>
        <v>-</v>
      </c>
      <c r="Z2268" s="94" t="s">
        <v>82</v>
      </c>
    </row>
    <row r="2269" spans="1:26" s="25" customFormat="1" ht="6.95" customHeight="1" x14ac:dyDescent="0.3">
      <c r="A2269" s="165"/>
      <c r="B2269" s="168"/>
      <c r="C2269" s="169"/>
      <c r="D2269" s="160"/>
      <c r="E2269" s="161"/>
      <c r="F2269" s="162"/>
      <c r="G2269" s="163"/>
      <c r="H2269" s="164"/>
      <c r="I2269" s="163"/>
      <c r="J2269" s="164"/>
      <c r="K2269" s="163"/>
      <c r="L2269" s="164"/>
      <c r="M2269" s="11"/>
      <c r="N2269" s="39"/>
      <c r="Q2269" s="15" t="str">
        <f>+CONCATENATE(E2268,I2268)</f>
        <v/>
      </c>
      <c r="R2269" s="15">
        <f>+J2268</f>
        <v>0</v>
      </c>
      <c r="S2269" s="16"/>
      <c r="T2269" s="15">
        <f>+E2268</f>
        <v>0</v>
      </c>
      <c r="U2269" s="26" t="str">
        <f>IFERROR(LEFT(I2268,FIND("*",I2268)-1),"-")</f>
        <v>-</v>
      </c>
      <c r="V2269" s="26" t="str">
        <f>IFERROR(RIGHT(I2268,LEN(I2268)-FIND("*",I2268)),"-")</f>
        <v>-</v>
      </c>
      <c r="W2269" s="27" t="str">
        <f t="shared" ref="W2269:W2276" si="1234">IFERROR((U2269+V2269)*2/1000,"-")</f>
        <v>-</v>
      </c>
      <c r="X2269" s="27" t="str">
        <f>IFERROR(W2269*J2268,"-")</f>
        <v>-</v>
      </c>
      <c r="Z2269" s="94" t="s">
        <v>82</v>
      </c>
    </row>
    <row r="2270" spans="1:26" s="25" customFormat="1" ht="6.95" customHeight="1" x14ac:dyDescent="0.3">
      <c r="A2270" s="165"/>
      <c r="B2270" s="168"/>
      <c r="C2270" s="169"/>
      <c r="D2270" s="160"/>
      <c r="E2270" s="161"/>
      <c r="F2270" s="162"/>
      <c r="G2270" s="163"/>
      <c r="H2270" s="164"/>
      <c r="I2270" s="163"/>
      <c r="J2270" s="164"/>
      <c r="K2270" s="163"/>
      <c r="L2270" s="164"/>
      <c r="M2270" s="11"/>
      <c r="N2270" s="39"/>
      <c r="Q2270" s="15" t="str">
        <f>+CONCATENATE(E2268,K2268)</f>
        <v/>
      </c>
      <c r="R2270" s="15">
        <f>+L2268</f>
        <v>0</v>
      </c>
      <c r="S2270" s="16"/>
      <c r="T2270" s="15">
        <f>+E2268</f>
        <v>0</v>
      </c>
      <c r="U2270" s="26" t="str">
        <f>IFERROR(LEFT(K2268,FIND("*",K2268)-1),"-")</f>
        <v>-</v>
      </c>
      <c r="V2270" s="26" t="str">
        <f>IFERROR(RIGHT(K2268,LEN(K2268)-FIND("*",K2268)),"-")</f>
        <v>-</v>
      </c>
      <c r="W2270" s="27" t="str">
        <f t="shared" si="1234"/>
        <v>-</v>
      </c>
      <c r="X2270" s="27" t="str">
        <f>IFERROR(W2270*L2268,"-")</f>
        <v>-</v>
      </c>
      <c r="Z2270" s="94" t="s">
        <v>82</v>
      </c>
    </row>
    <row r="2271" spans="1:26" s="25" customFormat="1" ht="6.95" customHeight="1" x14ac:dyDescent="0.3">
      <c r="A2271" s="13"/>
      <c r="B2271" s="168"/>
      <c r="C2271" s="169"/>
      <c r="D2271" s="160" t="s">
        <v>39</v>
      </c>
      <c r="E2271" s="161"/>
      <c r="F2271" s="162" t="s">
        <v>40</v>
      </c>
      <c r="G2271" s="163"/>
      <c r="H2271" s="164"/>
      <c r="I2271" s="163"/>
      <c r="J2271" s="164"/>
      <c r="K2271" s="163"/>
      <c r="L2271" s="164"/>
      <c r="M2271" s="11"/>
      <c r="N2271" s="39"/>
      <c r="Q2271" s="15" t="str">
        <f>+CONCATENATE(E2271,G2271)</f>
        <v/>
      </c>
      <c r="R2271" s="15">
        <f>+H2271</f>
        <v>0</v>
      </c>
      <c r="S2271" s="16"/>
      <c r="T2271" s="15">
        <f>+E2271</f>
        <v>0</v>
      </c>
      <c r="U2271" s="26" t="str">
        <f t="shared" ref="U2271" si="1235">IFERROR(LEFT(G2271,FIND("*",G2271)-1),"-")</f>
        <v>-</v>
      </c>
      <c r="V2271" s="26" t="str">
        <f t="shared" ref="V2271" si="1236">IFERROR(RIGHT(G2271,LEN(G2271)-FIND("*",G2271)),"-")</f>
        <v>-</v>
      </c>
      <c r="W2271" s="27" t="str">
        <f t="shared" si="1234"/>
        <v>-</v>
      </c>
      <c r="X2271" s="27" t="str">
        <f>IFERROR(W2271*H2271,"-")</f>
        <v>-</v>
      </c>
      <c r="Z2271" s="94" t="s">
        <v>82</v>
      </c>
    </row>
    <row r="2272" spans="1:26" s="25" customFormat="1" ht="6.95" customHeight="1" x14ac:dyDescent="0.3">
      <c r="A2272" s="10"/>
      <c r="B2272" s="168"/>
      <c r="C2272" s="169"/>
      <c r="D2272" s="160"/>
      <c r="E2272" s="161"/>
      <c r="F2272" s="162"/>
      <c r="G2272" s="163"/>
      <c r="H2272" s="164"/>
      <c r="I2272" s="163"/>
      <c r="J2272" s="164"/>
      <c r="K2272" s="163"/>
      <c r="L2272" s="164"/>
      <c r="M2272" s="11"/>
      <c r="N2272" s="39"/>
      <c r="Q2272" s="15" t="str">
        <f>+CONCATENATE(E2271,I2271)</f>
        <v/>
      </c>
      <c r="R2272" s="15">
        <f>+J2271</f>
        <v>0</v>
      </c>
      <c r="S2272" s="16"/>
      <c r="T2272" s="15">
        <f>+E2271</f>
        <v>0</v>
      </c>
      <c r="U2272" s="26" t="str">
        <f>IFERROR(LEFT(I2271,FIND("*",I2271)-1),"-")</f>
        <v>-</v>
      </c>
      <c r="V2272" s="26" t="str">
        <f>IFERROR(RIGHT(I2271,LEN(I2271)-FIND("*",I2271)),"-")</f>
        <v>-</v>
      </c>
      <c r="W2272" s="27" t="str">
        <f t="shared" si="1234"/>
        <v>-</v>
      </c>
      <c r="X2272" s="27" t="str">
        <f>IFERROR(W2272*J2271,"-")</f>
        <v>-</v>
      </c>
      <c r="Z2272" s="94" t="s">
        <v>82</v>
      </c>
    </row>
    <row r="2273" spans="1:26" s="25" customFormat="1" ht="6.95" customHeight="1" x14ac:dyDescent="0.3">
      <c r="A2273" s="10"/>
      <c r="B2273" s="168"/>
      <c r="C2273" s="169"/>
      <c r="D2273" s="160"/>
      <c r="E2273" s="161"/>
      <c r="F2273" s="162"/>
      <c r="G2273" s="163"/>
      <c r="H2273" s="164"/>
      <c r="I2273" s="163"/>
      <c r="J2273" s="164"/>
      <c r="K2273" s="163"/>
      <c r="L2273" s="164"/>
      <c r="M2273" s="11"/>
      <c r="N2273" s="39"/>
      <c r="Q2273" s="15" t="str">
        <f>+CONCATENATE(E2271,K2271)</f>
        <v/>
      </c>
      <c r="R2273" s="15">
        <f>+L2271</f>
        <v>0</v>
      </c>
      <c r="S2273" s="16"/>
      <c r="T2273" s="15">
        <f>+E2271</f>
        <v>0</v>
      </c>
      <c r="U2273" s="26" t="str">
        <f>IFERROR(LEFT(K2271,FIND("*",K2271)-1),"-")</f>
        <v>-</v>
      </c>
      <c r="V2273" s="26" t="str">
        <f>IFERROR(RIGHT(K2271,LEN(K2271)-FIND("*",K2271)),"-")</f>
        <v>-</v>
      </c>
      <c r="W2273" s="27" t="str">
        <f t="shared" si="1234"/>
        <v>-</v>
      </c>
      <c r="X2273" s="27" t="str">
        <f>IFERROR(W2273*L2271,"-")</f>
        <v>-</v>
      </c>
      <c r="Z2273" s="94" t="s">
        <v>82</v>
      </c>
    </row>
    <row r="2274" spans="1:26" s="25" customFormat="1" ht="6.95" customHeight="1" x14ac:dyDescent="0.3">
      <c r="A2274" s="13"/>
      <c r="B2274" s="168"/>
      <c r="C2274" s="169"/>
      <c r="D2274" s="160" t="s">
        <v>39</v>
      </c>
      <c r="E2274" s="161"/>
      <c r="F2274" s="162" t="s">
        <v>40</v>
      </c>
      <c r="G2274" s="163"/>
      <c r="H2274" s="164"/>
      <c r="I2274" s="163"/>
      <c r="J2274" s="164"/>
      <c r="K2274" s="163"/>
      <c r="L2274" s="164"/>
      <c r="M2274" s="11"/>
      <c r="N2274" s="39"/>
      <c r="Q2274" s="15" t="str">
        <f>+CONCATENATE(E2274,G2274)</f>
        <v/>
      </c>
      <c r="R2274" s="15">
        <f>+H2274</f>
        <v>0</v>
      </c>
      <c r="S2274" s="16"/>
      <c r="T2274" s="15">
        <f>+E2274</f>
        <v>0</v>
      </c>
      <c r="U2274" s="26" t="str">
        <f t="shared" ref="U2274" si="1237">IFERROR(LEFT(G2274,FIND("*",G2274)-1),"-")</f>
        <v>-</v>
      </c>
      <c r="V2274" s="26" t="str">
        <f t="shared" ref="V2274" si="1238">IFERROR(RIGHT(G2274,LEN(G2274)-FIND("*",G2274)),"-")</f>
        <v>-</v>
      </c>
      <c r="W2274" s="27" t="str">
        <f t="shared" si="1234"/>
        <v>-</v>
      </c>
      <c r="X2274" s="27" t="str">
        <f>IFERROR(W2274*H2274,"-")</f>
        <v>-</v>
      </c>
      <c r="Z2274" s="94" t="s">
        <v>82</v>
      </c>
    </row>
    <row r="2275" spans="1:26" s="25" customFormat="1" ht="6.95" customHeight="1" x14ac:dyDescent="0.3">
      <c r="A2275" s="10"/>
      <c r="B2275" s="168"/>
      <c r="C2275" s="169"/>
      <c r="D2275" s="160"/>
      <c r="E2275" s="161"/>
      <c r="F2275" s="162"/>
      <c r="G2275" s="163"/>
      <c r="H2275" s="164"/>
      <c r="I2275" s="163"/>
      <c r="J2275" s="164"/>
      <c r="K2275" s="163"/>
      <c r="L2275" s="164"/>
      <c r="M2275" s="11"/>
      <c r="N2275" s="39"/>
      <c r="Q2275" s="15" t="str">
        <f>+CONCATENATE(E2274,I2274)</f>
        <v/>
      </c>
      <c r="R2275" s="15">
        <f>+J2274</f>
        <v>0</v>
      </c>
      <c r="S2275" s="16"/>
      <c r="T2275" s="15">
        <f>+E2274</f>
        <v>0</v>
      </c>
      <c r="U2275" s="26" t="str">
        <f>IFERROR(LEFT(I2274,FIND("*",I2274)-1),"-")</f>
        <v>-</v>
      </c>
      <c r="V2275" s="26" t="str">
        <f>IFERROR(RIGHT(I2274,LEN(I2274)-FIND("*",I2274)),"-")</f>
        <v>-</v>
      </c>
      <c r="W2275" s="27" t="str">
        <f t="shared" si="1234"/>
        <v>-</v>
      </c>
      <c r="X2275" s="27" t="str">
        <f t="shared" ref="X2275" si="1239">IFERROR(W2275*J2274,"-")</f>
        <v>-</v>
      </c>
      <c r="Z2275" s="94" t="s">
        <v>82</v>
      </c>
    </row>
    <row r="2276" spans="1:26" s="25" customFormat="1" ht="6.95" customHeight="1" x14ac:dyDescent="0.3">
      <c r="A2276" s="10"/>
      <c r="B2276" s="168"/>
      <c r="C2276" s="169"/>
      <c r="D2276" s="160"/>
      <c r="E2276" s="161"/>
      <c r="F2276" s="162"/>
      <c r="G2276" s="163"/>
      <c r="H2276" s="164"/>
      <c r="I2276" s="163"/>
      <c r="J2276" s="164"/>
      <c r="K2276" s="163"/>
      <c r="L2276" s="164"/>
      <c r="M2276" s="11"/>
      <c r="N2276" s="39"/>
      <c r="Q2276" s="15" t="str">
        <f>+CONCATENATE(E2274,K2274)</f>
        <v/>
      </c>
      <c r="R2276" s="15">
        <f>+L2274</f>
        <v>0</v>
      </c>
      <c r="S2276" s="16"/>
      <c r="T2276" s="15">
        <f>+E2274</f>
        <v>0</v>
      </c>
      <c r="U2276" s="26" t="str">
        <f>IFERROR(LEFT(K2274,FIND("*",K2274)-1),"-")</f>
        <v>-</v>
      </c>
      <c r="V2276" s="26" t="str">
        <f>IFERROR(RIGHT(K2274,LEN(K2274)-FIND("*",K2274)),"-")</f>
        <v>-</v>
      </c>
      <c r="W2276" s="27" t="str">
        <f t="shared" si="1234"/>
        <v>-</v>
      </c>
      <c r="X2276" s="27" t="str">
        <f>IFERROR(W2276*L2274,"-")</f>
        <v>-</v>
      </c>
      <c r="Z2276" s="94" t="s">
        <v>82</v>
      </c>
    </row>
    <row r="2277" spans="1:26" s="25" customFormat="1" ht="21" customHeight="1" thickBot="1" x14ac:dyDescent="0.35">
      <c r="A2277" s="10"/>
      <c r="B2277" s="170"/>
      <c r="C2277" s="171"/>
      <c r="D2277" s="172" t="s">
        <v>43</v>
      </c>
      <c r="E2277" s="173"/>
      <c r="F2277" s="173"/>
      <c r="G2277" s="174"/>
      <c r="H2277" s="174"/>
      <c r="I2277" s="174"/>
      <c r="J2277" s="174"/>
      <c r="K2277" s="174"/>
      <c r="L2277" s="174"/>
      <c r="M2277" s="12"/>
      <c r="N2277" s="39"/>
      <c r="U2277" s="23"/>
      <c r="V2277" s="23"/>
      <c r="Z2277" s="95" t="s">
        <v>81</v>
      </c>
    </row>
    <row r="2278" spans="1:26" s="25" customFormat="1" ht="9.9499999999999993" customHeight="1" thickBot="1" x14ac:dyDescent="0.35">
      <c r="A2278" s="6"/>
      <c r="B2278" s="14"/>
      <c r="C2278" s="119"/>
      <c r="D2278" s="58"/>
      <c r="E2278" s="17"/>
      <c r="F2278" s="58"/>
      <c r="G2278" s="19"/>
      <c r="H2278" s="19"/>
      <c r="I2278" s="19"/>
      <c r="J2278" s="19"/>
      <c r="K2278" s="19"/>
      <c r="L2278" s="19"/>
      <c r="M2278" s="14"/>
      <c r="N2278" s="39"/>
      <c r="Q2278" s="1"/>
      <c r="R2278" s="1"/>
      <c r="S2278" s="1"/>
      <c r="T2278" s="1"/>
      <c r="U2278" s="24"/>
      <c r="V2278" s="24"/>
      <c r="W2278" s="1"/>
      <c r="X2278" s="1"/>
      <c r="Z2278" s="94" t="s">
        <v>82</v>
      </c>
    </row>
    <row r="2279" spans="1:26" s="25" customFormat="1" ht="6.95" customHeight="1" x14ac:dyDescent="0.3">
      <c r="A2279" s="165">
        <f>+A2268+1</f>
        <v>208</v>
      </c>
      <c r="B2279" s="166"/>
      <c r="C2279" s="167"/>
      <c r="D2279" s="160" t="s">
        <v>39</v>
      </c>
      <c r="E2279" s="161"/>
      <c r="F2279" s="162" t="s">
        <v>40</v>
      </c>
      <c r="G2279" s="163"/>
      <c r="H2279" s="164"/>
      <c r="I2279" s="163"/>
      <c r="J2279" s="164"/>
      <c r="K2279" s="163"/>
      <c r="L2279" s="164"/>
      <c r="M2279" s="11"/>
      <c r="N2279" s="39"/>
      <c r="Q2279" s="15" t="str">
        <f>+CONCATENATE(E2279,G2279)</f>
        <v/>
      </c>
      <c r="R2279" s="15">
        <f>+H2279</f>
        <v>0</v>
      </c>
      <c r="S2279" s="16"/>
      <c r="T2279" s="15">
        <f>+E2279</f>
        <v>0</v>
      </c>
      <c r="U2279" s="26" t="str">
        <f>IFERROR(LEFT(G2279,FIND("*",G2279)-1),"-")</f>
        <v>-</v>
      </c>
      <c r="V2279" s="26" t="str">
        <f>IFERROR(RIGHT(G2279,LEN(G2279)-FIND("*",G2279)),"-")</f>
        <v>-</v>
      </c>
      <c r="W2279" s="27" t="str">
        <f>IFERROR((U2279+V2279)*2/1000,"-")</f>
        <v>-</v>
      </c>
      <c r="X2279" s="27" t="str">
        <f>IFERROR(W2279*H2279,"-")</f>
        <v>-</v>
      </c>
      <c r="Z2279" s="94" t="s">
        <v>82</v>
      </c>
    </row>
    <row r="2280" spans="1:26" s="25" customFormat="1" ht="6.95" customHeight="1" x14ac:dyDescent="0.3">
      <c r="A2280" s="165"/>
      <c r="B2280" s="168"/>
      <c r="C2280" s="169"/>
      <c r="D2280" s="160"/>
      <c r="E2280" s="161"/>
      <c r="F2280" s="162"/>
      <c r="G2280" s="163"/>
      <c r="H2280" s="164"/>
      <c r="I2280" s="163"/>
      <c r="J2280" s="164"/>
      <c r="K2280" s="163"/>
      <c r="L2280" s="164"/>
      <c r="M2280" s="11"/>
      <c r="N2280" s="39"/>
      <c r="Q2280" s="15" t="str">
        <f>+CONCATENATE(E2279,I2279)</f>
        <v/>
      </c>
      <c r="R2280" s="15">
        <f>+J2279</f>
        <v>0</v>
      </c>
      <c r="S2280" s="16"/>
      <c r="T2280" s="15">
        <f>+E2279</f>
        <v>0</v>
      </c>
      <c r="U2280" s="26" t="str">
        <f>IFERROR(LEFT(I2279,FIND("*",I2279)-1),"-")</f>
        <v>-</v>
      </c>
      <c r="V2280" s="26" t="str">
        <f>IFERROR(RIGHT(I2279,LEN(I2279)-FIND("*",I2279)),"-")</f>
        <v>-</v>
      </c>
      <c r="W2280" s="27" t="str">
        <f t="shared" ref="W2280:W2287" si="1240">IFERROR((U2280+V2280)*2/1000,"-")</f>
        <v>-</v>
      </c>
      <c r="X2280" s="27" t="str">
        <f>IFERROR(W2280*J2279,"-")</f>
        <v>-</v>
      </c>
      <c r="Z2280" s="94" t="s">
        <v>82</v>
      </c>
    </row>
    <row r="2281" spans="1:26" s="25" customFormat="1" ht="6.95" customHeight="1" x14ac:dyDescent="0.3">
      <c r="A2281" s="165"/>
      <c r="B2281" s="168"/>
      <c r="C2281" s="169"/>
      <c r="D2281" s="160"/>
      <c r="E2281" s="161"/>
      <c r="F2281" s="162"/>
      <c r="G2281" s="163"/>
      <c r="H2281" s="164"/>
      <c r="I2281" s="163"/>
      <c r="J2281" s="164"/>
      <c r="K2281" s="163"/>
      <c r="L2281" s="164"/>
      <c r="M2281" s="11"/>
      <c r="N2281" s="39"/>
      <c r="Q2281" s="15" t="str">
        <f>+CONCATENATE(E2279,K2279)</f>
        <v/>
      </c>
      <c r="R2281" s="15">
        <f>+L2279</f>
        <v>0</v>
      </c>
      <c r="S2281" s="16"/>
      <c r="T2281" s="15">
        <f>+E2279</f>
        <v>0</v>
      </c>
      <c r="U2281" s="26" t="str">
        <f>IFERROR(LEFT(K2279,FIND("*",K2279)-1),"-")</f>
        <v>-</v>
      </c>
      <c r="V2281" s="26" t="str">
        <f>IFERROR(RIGHT(K2279,LEN(K2279)-FIND("*",K2279)),"-")</f>
        <v>-</v>
      </c>
      <c r="W2281" s="27" t="str">
        <f t="shared" si="1240"/>
        <v>-</v>
      </c>
      <c r="X2281" s="27" t="str">
        <f>IFERROR(W2281*L2279,"-")</f>
        <v>-</v>
      </c>
      <c r="Z2281" s="94" t="s">
        <v>82</v>
      </c>
    </row>
    <row r="2282" spans="1:26" s="25" customFormat="1" ht="6.95" customHeight="1" x14ac:dyDescent="0.3">
      <c r="A2282" s="13"/>
      <c r="B2282" s="168"/>
      <c r="C2282" s="169"/>
      <c r="D2282" s="160" t="s">
        <v>39</v>
      </c>
      <c r="E2282" s="161"/>
      <c r="F2282" s="162" t="s">
        <v>40</v>
      </c>
      <c r="G2282" s="163"/>
      <c r="H2282" s="164"/>
      <c r="I2282" s="163"/>
      <c r="J2282" s="164"/>
      <c r="K2282" s="163"/>
      <c r="L2282" s="164"/>
      <c r="M2282" s="11"/>
      <c r="N2282" s="39"/>
      <c r="Q2282" s="15" t="str">
        <f>+CONCATENATE(E2282,G2282)</f>
        <v/>
      </c>
      <c r="R2282" s="15">
        <f>+H2282</f>
        <v>0</v>
      </c>
      <c r="S2282" s="16"/>
      <c r="T2282" s="15">
        <f>+E2282</f>
        <v>0</v>
      </c>
      <c r="U2282" s="26" t="str">
        <f t="shared" ref="U2282" si="1241">IFERROR(LEFT(G2282,FIND("*",G2282)-1),"-")</f>
        <v>-</v>
      </c>
      <c r="V2282" s="26" t="str">
        <f t="shared" ref="V2282" si="1242">IFERROR(RIGHT(G2282,LEN(G2282)-FIND("*",G2282)),"-")</f>
        <v>-</v>
      </c>
      <c r="W2282" s="27" t="str">
        <f t="shared" si="1240"/>
        <v>-</v>
      </c>
      <c r="X2282" s="27" t="str">
        <f>IFERROR(W2282*H2282,"-")</f>
        <v>-</v>
      </c>
      <c r="Z2282" s="94" t="s">
        <v>82</v>
      </c>
    </row>
    <row r="2283" spans="1:26" s="25" customFormat="1" ht="6.95" customHeight="1" x14ac:dyDescent="0.3">
      <c r="A2283" s="10"/>
      <c r="B2283" s="168"/>
      <c r="C2283" s="169"/>
      <c r="D2283" s="160"/>
      <c r="E2283" s="161"/>
      <c r="F2283" s="162"/>
      <c r="G2283" s="163"/>
      <c r="H2283" s="164"/>
      <c r="I2283" s="163"/>
      <c r="J2283" s="164"/>
      <c r="K2283" s="163"/>
      <c r="L2283" s="164"/>
      <c r="M2283" s="11"/>
      <c r="N2283" s="39"/>
      <c r="Q2283" s="15" t="str">
        <f>+CONCATENATE(E2282,I2282)</f>
        <v/>
      </c>
      <c r="R2283" s="15">
        <f>+J2282</f>
        <v>0</v>
      </c>
      <c r="S2283" s="16"/>
      <c r="T2283" s="15">
        <f>+E2282</f>
        <v>0</v>
      </c>
      <c r="U2283" s="26" t="str">
        <f>IFERROR(LEFT(I2282,FIND("*",I2282)-1),"-")</f>
        <v>-</v>
      </c>
      <c r="V2283" s="26" t="str">
        <f>IFERROR(RIGHT(I2282,LEN(I2282)-FIND("*",I2282)),"-")</f>
        <v>-</v>
      </c>
      <c r="W2283" s="27" t="str">
        <f t="shared" si="1240"/>
        <v>-</v>
      </c>
      <c r="X2283" s="27" t="str">
        <f>IFERROR(W2283*J2282,"-")</f>
        <v>-</v>
      </c>
      <c r="Z2283" s="94" t="s">
        <v>82</v>
      </c>
    </row>
    <row r="2284" spans="1:26" s="25" customFormat="1" ht="6.95" customHeight="1" x14ac:dyDescent="0.3">
      <c r="A2284" s="10"/>
      <c r="B2284" s="168"/>
      <c r="C2284" s="169"/>
      <c r="D2284" s="160"/>
      <c r="E2284" s="161"/>
      <c r="F2284" s="162"/>
      <c r="G2284" s="163"/>
      <c r="H2284" s="164"/>
      <c r="I2284" s="163"/>
      <c r="J2284" s="164"/>
      <c r="K2284" s="163"/>
      <c r="L2284" s="164"/>
      <c r="M2284" s="11"/>
      <c r="N2284" s="39"/>
      <c r="Q2284" s="15" t="str">
        <f>+CONCATENATE(E2282,K2282)</f>
        <v/>
      </c>
      <c r="R2284" s="15">
        <f>+L2282</f>
        <v>0</v>
      </c>
      <c r="S2284" s="16"/>
      <c r="T2284" s="15">
        <f>+E2282</f>
        <v>0</v>
      </c>
      <c r="U2284" s="26" t="str">
        <f>IFERROR(LEFT(K2282,FIND("*",K2282)-1),"-")</f>
        <v>-</v>
      </c>
      <c r="V2284" s="26" t="str">
        <f>IFERROR(RIGHT(K2282,LEN(K2282)-FIND("*",K2282)),"-")</f>
        <v>-</v>
      </c>
      <c r="W2284" s="27" t="str">
        <f t="shared" si="1240"/>
        <v>-</v>
      </c>
      <c r="X2284" s="27" t="str">
        <f>IFERROR(W2284*L2282,"-")</f>
        <v>-</v>
      </c>
      <c r="Z2284" s="94" t="s">
        <v>82</v>
      </c>
    </row>
    <row r="2285" spans="1:26" s="25" customFormat="1" ht="6.95" customHeight="1" x14ac:dyDescent="0.3">
      <c r="A2285" s="13"/>
      <c r="B2285" s="168"/>
      <c r="C2285" s="169"/>
      <c r="D2285" s="160" t="s">
        <v>39</v>
      </c>
      <c r="E2285" s="161"/>
      <c r="F2285" s="162" t="s">
        <v>40</v>
      </c>
      <c r="G2285" s="163"/>
      <c r="H2285" s="164"/>
      <c r="I2285" s="163"/>
      <c r="J2285" s="164"/>
      <c r="K2285" s="163"/>
      <c r="L2285" s="164"/>
      <c r="M2285" s="11"/>
      <c r="N2285" s="39"/>
      <c r="Q2285" s="15" t="str">
        <f>+CONCATENATE(E2285,G2285)</f>
        <v/>
      </c>
      <c r="R2285" s="15">
        <f>+H2285</f>
        <v>0</v>
      </c>
      <c r="S2285" s="16"/>
      <c r="T2285" s="15">
        <f>+E2285</f>
        <v>0</v>
      </c>
      <c r="U2285" s="26" t="str">
        <f t="shared" ref="U2285" si="1243">IFERROR(LEFT(G2285,FIND("*",G2285)-1),"-")</f>
        <v>-</v>
      </c>
      <c r="V2285" s="26" t="str">
        <f t="shared" ref="V2285" si="1244">IFERROR(RIGHT(G2285,LEN(G2285)-FIND("*",G2285)),"-")</f>
        <v>-</v>
      </c>
      <c r="W2285" s="27" t="str">
        <f t="shared" si="1240"/>
        <v>-</v>
      </c>
      <c r="X2285" s="27" t="str">
        <f>IFERROR(W2285*H2285,"-")</f>
        <v>-</v>
      </c>
      <c r="Z2285" s="94" t="s">
        <v>82</v>
      </c>
    </row>
    <row r="2286" spans="1:26" s="25" customFormat="1" ht="6.95" customHeight="1" x14ac:dyDescent="0.3">
      <c r="A2286" s="10"/>
      <c r="B2286" s="168"/>
      <c r="C2286" s="169"/>
      <c r="D2286" s="160"/>
      <c r="E2286" s="161"/>
      <c r="F2286" s="162"/>
      <c r="G2286" s="163"/>
      <c r="H2286" s="164"/>
      <c r="I2286" s="163"/>
      <c r="J2286" s="164"/>
      <c r="K2286" s="163"/>
      <c r="L2286" s="164"/>
      <c r="M2286" s="11"/>
      <c r="N2286" s="39"/>
      <c r="Q2286" s="15" t="str">
        <f>+CONCATENATE(E2285,I2285)</f>
        <v/>
      </c>
      <c r="R2286" s="15">
        <f>+J2285</f>
        <v>0</v>
      </c>
      <c r="S2286" s="16"/>
      <c r="T2286" s="15">
        <f>+E2285</f>
        <v>0</v>
      </c>
      <c r="U2286" s="26" t="str">
        <f>IFERROR(LEFT(I2285,FIND("*",I2285)-1),"-")</f>
        <v>-</v>
      </c>
      <c r="V2286" s="26" t="str">
        <f>IFERROR(RIGHT(I2285,LEN(I2285)-FIND("*",I2285)),"-")</f>
        <v>-</v>
      </c>
      <c r="W2286" s="27" t="str">
        <f t="shared" si="1240"/>
        <v>-</v>
      </c>
      <c r="X2286" s="27" t="str">
        <f t="shared" ref="X2286" si="1245">IFERROR(W2286*J2285,"-")</f>
        <v>-</v>
      </c>
      <c r="Z2286" s="94" t="s">
        <v>82</v>
      </c>
    </row>
    <row r="2287" spans="1:26" s="25" customFormat="1" ht="6.95" customHeight="1" x14ac:dyDescent="0.3">
      <c r="A2287" s="10"/>
      <c r="B2287" s="168"/>
      <c r="C2287" s="169"/>
      <c r="D2287" s="160"/>
      <c r="E2287" s="161"/>
      <c r="F2287" s="162"/>
      <c r="G2287" s="163"/>
      <c r="H2287" s="164"/>
      <c r="I2287" s="163"/>
      <c r="J2287" s="164"/>
      <c r="K2287" s="163"/>
      <c r="L2287" s="164"/>
      <c r="M2287" s="11"/>
      <c r="N2287" s="39"/>
      <c r="Q2287" s="15" t="str">
        <f>+CONCATENATE(E2285,K2285)</f>
        <v/>
      </c>
      <c r="R2287" s="15">
        <f>+L2285</f>
        <v>0</v>
      </c>
      <c r="S2287" s="16"/>
      <c r="T2287" s="15">
        <f>+E2285</f>
        <v>0</v>
      </c>
      <c r="U2287" s="26" t="str">
        <f>IFERROR(LEFT(K2285,FIND("*",K2285)-1),"-")</f>
        <v>-</v>
      </c>
      <c r="V2287" s="26" t="str">
        <f>IFERROR(RIGHT(K2285,LEN(K2285)-FIND("*",K2285)),"-")</f>
        <v>-</v>
      </c>
      <c r="W2287" s="27" t="str">
        <f t="shared" si="1240"/>
        <v>-</v>
      </c>
      <c r="X2287" s="27" t="str">
        <f>IFERROR(W2287*L2285,"-")</f>
        <v>-</v>
      </c>
      <c r="Z2287" s="94" t="s">
        <v>82</v>
      </c>
    </row>
    <row r="2288" spans="1:26" s="25" customFormat="1" ht="21" customHeight="1" thickBot="1" x14ac:dyDescent="0.35">
      <c r="A2288" s="10"/>
      <c r="B2288" s="170"/>
      <c r="C2288" s="171"/>
      <c r="D2288" s="172" t="s">
        <v>43</v>
      </c>
      <c r="E2288" s="173"/>
      <c r="F2288" s="173"/>
      <c r="G2288" s="174"/>
      <c r="H2288" s="174"/>
      <c r="I2288" s="174"/>
      <c r="J2288" s="174"/>
      <c r="K2288" s="174"/>
      <c r="L2288" s="174"/>
      <c r="M2288" s="12"/>
      <c r="N2288" s="39"/>
      <c r="U2288" s="23"/>
      <c r="V2288" s="23"/>
      <c r="Z2288" s="95" t="s">
        <v>81</v>
      </c>
    </row>
    <row r="2289" spans="1:26" s="25" customFormat="1" ht="9.9499999999999993" customHeight="1" thickBot="1" x14ac:dyDescent="0.35">
      <c r="A2289" s="6"/>
      <c r="B2289" s="14"/>
      <c r="C2289" s="119"/>
      <c r="D2289" s="58"/>
      <c r="E2289" s="17"/>
      <c r="F2289" s="58"/>
      <c r="G2289" s="19"/>
      <c r="H2289" s="19"/>
      <c r="I2289" s="19"/>
      <c r="J2289" s="19"/>
      <c r="K2289" s="19"/>
      <c r="L2289" s="19"/>
      <c r="M2289" s="14"/>
      <c r="N2289" s="39"/>
      <c r="Q2289" s="1"/>
      <c r="R2289" s="1"/>
      <c r="S2289" s="1"/>
      <c r="T2289" s="1"/>
      <c r="U2289" s="24"/>
      <c r="V2289" s="24"/>
      <c r="W2289" s="1"/>
      <c r="X2289" s="1"/>
      <c r="Z2289" s="94" t="s">
        <v>82</v>
      </c>
    </row>
    <row r="2290" spans="1:26" s="25" customFormat="1" ht="6.95" customHeight="1" x14ac:dyDescent="0.3">
      <c r="A2290" s="165">
        <f>+A2279+1</f>
        <v>209</v>
      </c>
      <c r="B2290" s="166"/>
      <c r="C2290" s="167"/>
      <c r="D2290" s="160" t="s">
        <v>39</v>
      </c>
      <c r="E2290" s="161"/>
      <c r="F2290" s="162" t="s">
        <v>40</v>
      </c>
      <c r="G2290" s="163"/>
      <c r="H2290" s="164"/>
      <c r="I2290" s="163"/>
      <c r="J2290" s="164"/>
      <c r="K2290" s="163"/>
      <c r="L2290" s="164"/>
      <c r="M2290" s="11"/>
      <c r="N2290" s="39"/>
      <c r="Q2290" s="15" t="str">
        <f>+CONCATENATE(E2290,G2290)</f>
        <v/>
      </c>
      <c r="R2290" s="15">
        <f>+H2290</f>
        <v>0</v>
      </c>
      <c r="S2290" s="16"/>
      <c r="T2290" s="15">
        <f>+E2290</f>
        <v>0</v>
      </c>
      <c r="U2290" s="26" t="str">
        <f>IFERROR(LEFT(G2290,FIND("*",G2290)-1),"-")</f>
        <v>-</v>
      </c>
      <c r="V2290" s="26" t="str">
        <f>IFERROR(RIGHT(G2290,LEN(G2290)-FIND("*",G2290)),"-")</f>
        <v>-</v>
      </c>
      <c r="W2290" s="27" t="str">
        <f>IFERROR((U2290+V2290)*2/1000,"-")</f>
        <v>-</v>
      </c>
      <c r="X2290" s="27" t="str">
        <f>IFERROR(W2290*H2290,"-")</f>
        <v>-</v>
      </c>
      <c r="Z2290" s="94" t="s">
        <v>82</v>
      </c>
    </row>
    <row r="2291" spans="1:26" s="25" customFormat="1" ht="6.95" customHeight="1" x14ac:dyDescent="0.3">
      <c r="A2291" s="165"/>
      <c r="B2291" s="168"/>
      <c r="C2291" s="169"/>
      <c r="D2291" s="160"/>
      <c r="E2291" s="161"/>
      <c r="F2291" s="162"/>
      <c r="G2291" s="163"/>
      <c r="H2291" s="164"/>
      <c r="I2291" s="163"/>
      <c r="J2291" s="164"/>
      <c r="K2291" s="163"/>
      <c r="L2291" s="164"/>
      <c r="M2291" s="11"/>
      <c r="N2291" s="39"/>
      <c r="Q2291" s="15" t="str">
        <f>+CONCATENATE(E2290,I2290)</f>
        <v/>
      </c>
      <c r="R2291" s="15">
        <f>+J2290</f>
        <v>0</v>
      </c>
      <c r="S2291" s="16"/>
      <c r="T2291" s="15">
        <f>+E2290</f>
        <v>0</v>
      </c>
      <c r="U2291" s="26" t="str">
        <f>IFERROR(LEFT(I2290,FIND("*",I2290)-1),"-")</f>
        <v>-</v>
      </c>
      <c r="V2291" s="26" t="str">
        <f>IFERROR(RIGHT(I2290,LEN(I2290)-FIND("*",I2290)),"-")</f>
        <v>-</v>
      </c>
      <c r="W2291" s="27" t="str">
        <f t="shared" ref="W2291:W2298" si="1246">IFERROR((U2291+V2291)*2/1000,"-")</f>
        <v>-</v>
      </c>
      <c r="X2291" s="27" t="str">
        <f>IFERROR(W2291*J2290,"-")</f>
        <v>-</v>
      </c>
      <c r="Z2291" s="94" t="s">
        <v>82</v>
      </c>
    </row>
    <row r="2292" spans="1:26" s="25" customFormat="1" ht="6.95" customHeight="1" x14ac:dyDescent="0.3">
      <c r="A2292" s="165"/>
      <c r="B2292" s="168"/>
      <c r="C2292" s="169"/>
      <c r="D2292" s="160"/>
      <c r="E2292" s="161"/>
      <c r="F2292" s="162"/>
      <c r="G2292" s="163"/>
      <c r="H2292" s="164"/>
      <c r="I2292" s="163"/>
      <c r="J2292" s="164"/>
      <c r="K2292" s="163"/>
      <c r="L2292" s="164"/>
      <c r="M2292" s="11"/>
      <c r="N2292" s="39"/>
      <c r="Q2292" s="15" t="str">
        <f>+CONCATENATE(E2290,K2290)</f>
        <v/>
      </c>
      <c r="R2292" s="15">
        <f>+L2290</f>
        <v>0</v>
      </c>
      <c r="S2292" s="16"/>
      <c r="T2292" s="15">
        <f>+E2290</f>
        <v>0</v>
      </c>
      <c r="U2292" s="26" t="str">
        <f>IFERROR(LEFT(K2290,FIND("*",K2290)-1),"-")</f>
        <v>-</v>
      </c>
      <c r="V2292" s="26" t="str">
        <f>IFERROR(RIGHT(K2290,LEN(K2290)-FIND("*",K2290)),"-")</f>
        <v>-</v>
      </c>
      <c r="W2292" s="27" t="str">
        <f t="shared" si="1246"/>
        <v>-</v>
      </c>
      <c r="X2292" s="27" t="str">
        <f>IFERROR(W2292*L2290,"-")</f>
        <v>-</v>
      </c>
      <c r="Z2292" s="94" t="s">
        <v>82</v>
      </c>
    </row>
    <row r="2293" spans="1:26" s="25" customFormat="1" ht="6.95" customHeight="1" x14ac:dyDescent="0.3">
      <c r="A2293" s="13"/>
      <c r="B2293" s="168"/>
      <c r="C2293" s="169"/>
      <c r="D2293" s="160" t="s">
        <v>39</v>
      </c>
      <c r="E2293" s="161"/>
      <c r="F2293" s="162" t="s">
        <v>40</v>
      </c>
      <c r="G2293" s="163"/>
      <c r="H2293" s="164"/>
      <c r="I2293" s="163"/>
      <c r="J2293" s="164"/>
      <c r="K2293" s="163"/>
      <c r="L2293" s="164"/>
      <c r="M2293" s="11"/>
      <c r="N2293" s="39"/>
      <c r="Q2293" s="15" t="str">
        <f>+CONCATENATE(E2293,G2293)</f>
        <v/>
      </c>
      <c r="R2293" s="15">
        <f>+H2293</f>
        <v>0</v>
      </c>
      <c r="S2293" s="16"/>
      <c r="T2293" s="15">
        <f>+E2293</f>
        <v>0</v>
      </c>
      <c r="U2293" s="26" t="str">
        <f t="shared" ref="U2293" si="1247">IFERROR(LEFT(G2293,FIND("*",G2293)-1),"-")</f>
        <v>-</v>
      </c>
      <c r="V2293" s="26" t="str">
        <f t="shared" ref="V2293" si="1248">IFERROR(RIGHT(G2293,LEN(G2293)-FIND("*",G2293)),"-")</f>
        <v>-</v>
      </c>
      <c r="W2293" s="27" t="str">
        <f t="shared" si="1246"/>
        <v>-</v>
      </c>
      <c r="X2293" s="27" t="str">
        <f>IFERROR(W2293*H2293,"-")</f>
        <v>-</v>
      </c>
      <c r="Z2293" s="94" t="s">
        <v>82</v>
      </c>
    </row>
    <row r="2294" spans="1:26" s="25" customFormat="1" ht="6.95" customHeight="1" x14ac:dyDescent="0.3">
      <c r="A2294" s="10"/>
      <c r="B2294" s="168"/>
      <c r="C2294" s="169"/>
      <c r="D2294" s="160"/>
      <c r="E2294" s="161"/>
      <c r="F2294" s="162"/>
      <c r="G2294" s="163"/>
      <c r="H2294" s="164"/>
      <c r="I2294" s="163"/>
      <c r="J2294" s="164"/>
      <c r="K2294" s="163"/>
      <c r="L2294" s="164"/>
      <c r="M2294" s="11"/>
      <c r="N2294" s="39"/>
      <c r="Q2294" s="15" t="str">
        <f>+CONCATENATE(E2293,I2293)</f>
        <v/>
      </c>
      <c r="R2294" s="15">
        <f>+J2293</f>
        <v>0</v>
      </c>
      <c r="S2294" s="16"/>
      <c r="T2294" s="15">
        <f>+E2293</f>
        <v>0</v>
      </c>
      <c r="U2294" s="26" t="str">
        <f>IFERROR(LEFT(I2293,FIND("*",I2293)-1),"-")</f>
        <v>-</v>
      </c>
      <c r="V2294" s="26" t="str">
        <f>IFERROR(RIGHT(I2293,LEN(I2293)-FIND("*",I2293)),"-")</f>
        <v>-</v>
      </c>
      <c r="W2294" s="27" t="str">
        <f t="shared" si="1246"/>
        <v>-</v>
      </c>
      <c r="X2294" s="27" t="str">
        <f>IFERROR(W2294*J2293,"-")</f>
        <v>-</v>
      </c>
      <c r="Z2294" s="94" t="s">
        <v>82</v>
      </c>
    </row>
    <row r="2295" spans="1:26" s="25" customFormat="1" ht="6.95" customHeight="1" x14ac:dyDescent="0.3">
      <c r="A2295" s="10"/>
      <c r="B2295" s="168"/>
      <c r="C2295" s="169"/>
      <c r="D2295" s="160"/>
      <c r="E2295" s="161"/>
      <c r="F2295" s="162"/>
      <c r="G2295" s="163"/>
      <c r="H2295" s="164"/>
      <c r="I2295" s="163"/>
      <c r="J2295" s="164"/>
      <c r="K2295" s="163"/>
      <c r="L2295" s="164"/>
      <c r="M2295" s="11"/>
      <c r="N2295" s="39"/>
      <c r="Q2295" s="15" t="str">
        <f>+CONCATENATE(E2293,K2293)</f>
        <v/>
      </c>
      <c r="R2295" s="15">
        <f>+L2293</f>
        <v>0</v>
      </c>
      <c r="S2295" s="16"/>
      <c r="T2295" s="15">
        <f>+E2293</f>
        <v>0</v>
      </c>
      <c r="U2295" s="26" t="str">
        <f>IFERROR(LEFT(K2293,FIND("*",K2293)-1),"-")</f>
        <v>-</v>
      </c>
      <c r="V2295" s="26" t="str">
        <f>IFERROR(RIGHT(K2293,LEN(K2293)-FIND("*",K2293)),"-")</f>
        <v>-</v>
      </c>
      <c r="W2295" s="27" t="str">
        <f t="shared" si="1246"/>
        <v>-</v>
      </c>
      <c r="X2295" s="27" t="str">
        <f>IFERROR(W2295*L2293,"-")</f>
        <v>-</v>
      </c>
      <c r="Z2295" s="94" t="s">
        <v>82</v>
      </c>
    </row>
    <row r="2296" spans="1:26" s="25" customFormat="1" ht="6.95" customHeight="1" x14ac:dyDescent="0.3">
      <c r="A2296" s="13"/>
      <c r="B2296" s="168"/>
      <c r="C2296" s="169"/>
      <c r="D2296" s="160" t="s">
        <v>39</v>
      </c>
      <c r="E2296" s="161"/>
      <c r="F2296" s="162" t="s">
        <v>40</v>
      </c>
      <c r="G2296" s="163"/>
      <c r="H2296" s="164"/>
      <c r="I2296" s="163"/>
      <c r="J2296" s="164"/>
      <c r="K2296" s="163"/>
      <c r="L2296" s="164"/>
      <c r="M2296" s="11"/>
      <c r="N2296" s="39"/>
      <c r="Q2296" s="15" t="str">
        <f>+CONCATENATE(E2296,G2296)</f>
        <v/>
      </c>
      <c r="R2296" s="15">
        <f>+H2296</f>
        <v>0</v>
      </c>
      <c r="S2296" s="16"/>
      <c r="T2296" s="15">
        <f>+E2296</f>
        <v>0</v>
      </c>
      <c r="U2296" s="26" t="str">
        <f t="shared" ref="U2296" si="1249">IFERROR(LEFT(G2296,FIND("*",G2296)-1),"-")</f>
        <v>-</v>
      </c>
      <c r="V2296" s="26" t="str">
        <f t="shared" ref="V2296" si="1250">IFERROR(RIGHT(G2296,LEN(G2296)-FIND("*",G2296)),"-")</f>
        <v>-</v>
      </c>
      <c r="W2296" s="27" t="str">
        <f t="shared" si="1246"/>
        <v>-</v>
      </c>
      <c r="X2296" s="27" t="str">
        <f>IFERROR(W2296*H2296,"-")</f>
        <v>-</v>
      </c>
      <c r="Z2296" s="94" t="s">
        <v>82</v>
      </c>
    </row>
    <row r="2297" spans="1:26" s="25" customFormat="1" ht="6.95" customHeight="1" x14ac:dyDescent="0.3">
      <c r="A2297" s="10"/>
      <c r="B2297" s="168"/>
      <c r="C2297" s="169"/>
      <c r="D2297" s="160"/>
      <c r="E2297" s="161"/>
      <c r="F2297" s="162"/>
      <c r="G2297" s="163"/>
      <c r="H2297" s="164"/>
      <c r="I2297" s="163"/>
      <c r="J2297" s="164"/>
      <c r="K2297" s="163"/>
      <c r="L2297" s="164"/>
      <c r="M2297" s="11"/>
      <c r="N2297" s="39"/>
      <c r="Q2297" s="15" t="str">
        <f>+CONCATENATE(E2296,I2296)</f>
        <v/>
      </c>
      <c r="R2297" s="15">
        <f>+J2296</f>
        <v>0</v>
      </c>
      <c r="S2297" s="16"/>
      <c r="T2297" s="15">
        <f>+E2296</f>
        <v>0</v>
      </c>
      <c r="U2297" s="26" t="str">
        <f>IFERROR(LEFT(I2296,FIND("*",I2296)-1),"-")</f>
        <v>-</v>
      </c>
      <c r="V2297" s="26" t="str">
        <f>IFERROR(RIGHT(I2296,LEN(I2296)-FIND("*",I2296)),"-")</f>
        <v>-</v>
      </c>
      <c r="W2297" s="27" t="str">
        <f t="shared" si="1246"/>
        <v>-</v>
      </c>
      <c r="X2297" s="27" t="str">
        <f t="shared" ref="X2297" si="1251">IFERROR(W2297*J2296,"-")</f>
        <v>-</v>
      </c>
      <c r="Z2297" s="94" t="s">
        <v>82</v>
      </c>
    </row>
    <row r="2298" spans="1:26" s="25" customFormat="1" ht="6.95" customHeight="1" x14ac:dyDescent="0.3">
      <c r="A2298" s="10"/>
      <c r="B2298" s="168"/>
      <c r="C2298" s="169"/>
      <c r="D2298" s="160"/>
      <c r="E2298" s="161"/>
      <c r="F2298" s="162"/>
      <c r="G2298" s="163"/>
      <c r="H2298" s="164"/>
      <c r="I2298" s="163"/>
      <c r="J2298" s="164"/>
      <c r="K2298" s="163"/>
      <c r="L2298" s="164"/>
      <c r="M2298" s="11"/>
      <c r="N2298" s="39"/>
      <c r="Q2298" s="15" t="str">
        <f>+CONCATENATE(E2296,K2296)</f>
        <v/>
      </c>
      <c r="R2298" s="15">
        <f>+L2296</f>
        <v>0</v>
      </c>
      <c r="S2298" s="16"/>
      <c r="T2298" s="15">
        <f>+E2296</f>
        <v>0</v>
      </c>
      <c r="U2298" s="26" t="str">
        <f>IFERROR(LEFT(K2296,FIND("*",K2296)-1),"-")</f>
        <v>-</v>
      </c>
      <c r="V2298" s="26" t="str">
        <f>IFERROR(RIGHT(K2296,LEN(K2296)-FIND("*",K2296)),"-")</f>
        <v>-</v>
      </c>
      <c r="W2298" s="27" t="str">
        <f t="shared" si="1246"/>
        <v>-</v>
      </c>
      <c r="X2298" s="27" t="str">
        <f>IFERROR(W2298*L2296,"-")</f>
        <v>-</v>
      </c>
      <c r="Z2298" s="94" t="s">
        <v>82</v>
      </c>
    </row>
    <row r="2299" spans="1:26" s="25" customFormat="1" ht="21" customHeight="1" thickBot="1" x14ac:dyDescent="0.35">
      <c r="A2299" s="10"/>
      <c r="B2299" s="170"/>
      <c r="C2299" s="171"/>
      <c r="D2299" s="172" t="s">
        <v>43</v>
      </c>
      <c r="E2299" s="173"/>
      <c r="F2299" s="173"/>
      <c r="G2299" s="174"/>
      <c r="H2299" s="174"/>
      <c r="I2299" s="174"/>
      <c r="J2299" s="174"/>
      <c r="K2299" s="174"/>
      <c r="L2299" s="174"/>
      <c r="M2299" s="12"/>
      <c r="N2299" s="39"/>
      <c r="U2299" s="23"/>
      <c r="V2299" s="23"/>
      <c r="Z2299" s="95" t="s">
        <v>81</v>
      </c>
    </row>
    <row r="2300" spans="1:26" s="25" customFormat="1" ht="9.9499999999999993" customHeight="1" thickBot="1" x14ac:dyDescent="0.35">
      <c r="A2300" s="6"/>
      <c r="B2300" s="14"/>
      <c r="C2300" s="119"/>
      <c r="D2300" s="58"/>
      <c r="E2300" s="17"/>
      <c r="F2300" s="58"/>
      <c r="G2300" s="19"/>
      <c r="H2300" s="19"/>
      <c r="I2300" s="19"/>
      <c r="J2300" s="19"/>
      <c r="K2300" s="19"/>
      <c r="L2300" s="19"/>
      <c r="M2300" s="14"/>
      <c r="N2300" s="39"/>
      <c r="Q2300" s="1"/>
      <c r="R2300" s="1"/>
      <c r="S2300" s="1"/>
      <c r="T2300" s="1"/>
      <c r="U2300" s="24"/>
      <c r="V2300" s="24"/>
      <c r="W2300" s="1"/>
      <c r="X2300" s="1"/>
      <c r="Z2300" s="94" t="s">
        <v>82</v>
      </c>
    </row>
    <row r="2301" spans="1:26" s="25" customFormat="1" ht="6.95" customHeight="1" x14ac:dyDescent="0.3">
      <c r="A2301" s="165">
        <f>+A2290+1</f>
        <v>210</v>
      </c>
      <c r="B2301" s="166"/>
      <c r="C2301" s="167"/>
      <c r="D2301" s="160" t="s">
        <v>39</v>
      </c>
      <c r="E2301" s="161"/>
      <c r="F2301" s="162" t="s">
        <v>40</v>
      </c>
      <c r="G2301" s="163"/>
      <c r="H2301" s="164"/>
      <c r="I2301" s="163"/>
      <c r="J2301" s="164"/>
      <c r="K2301" s="163"/>
      <c r="L2301" s="164"/>
      <c r="M2301" s="11"/>
      <c r="N2301" s="39"/>
      <c r="Q2301" s="15" t="str">
        <f>+CONCATENATE(E2301,G2301)</f>
        <v/>
      </c>
      <c r="R2301" s="15">
        <f>+H2301</f>
        <v>0</v>
      </c>
      <c r="S2301" s="16"/>
      <c r="T2301" s="15">
        <f>+E2301</f>
        <v>0</v>
      </c>
      <c r="U2301" s="26" t="str">
        <f>IFERROR(LEFT(G2301,FIND("*",G2301)-1),"-")</f>
        <v>-</v>
      </c>
      <c r="V2301" s="26" t="str">
        <f>IFERROR(RIGHT(G2301,LEN(G2301)-FIND("*",G2301)),"-")</f>
        <v>-</v>
      </c>
      <c r="W2301" s="27" t="str">
        <f>IFERROR((U2301+V2301)*2/1000,"-")</f>
        <v>-</v>
      </c>
      <c r="X2301" s="27" t="str">
        <f>IFERROR(W2301*H2301,"-")</f>
        <v>-</v>
      </c>
      <c r="Z2301" s="94" t="s">
        <v>82</v>
      </c>
    </row>
    <row r="2302" spans="1:26" s="25" customFormat="1" ht="6.95" customHeight="1" x14ac:dyDescent="0.3">
      <c r="A2302" s="165"/>
      <c r="B2302" s="168"/>
      <c r="C2302" s="169"/>
      <c r="D2302" s="160"/>
      <c r="E2302" s="161"/>
      <c r="F2302" s="162"/>
      <c r="G2302" s="163"/>
      <c r="H2302" s="164"/>
      <c r="I2302" s="163"/>
      <c r="J2302" s="164"/>
      <c r="K2302" s="163"/>
      <c r="L2302" s="164"/>
      <c r="M2302" s="11"/>
      <c r="N2302" s="39"/>
      <c r="Q2302" s="15" t="str">
        <f>+CONCATENATE(E2301,I2301)</f>
        <v/>
      </c>
      <c r="R2302" s="15">
        <f>+J2301</f>
        <v>0</v>
      </c>
      <c r="S2302" s="16"/>
      <c r="T2302" s="15">
        <f>+E2301</f>
        <v>0</v>
      </c>
      <c r="U2302" s="26" t="str">
        <f>IFERROR(LEFT(I2301,FIND("*",I2301)-1),"-")</f>
        <v>-</v>
      </c>
      <c r="V2302" s="26" t="str">
        <f>IFERROR(RIGHT(I2301,LEN(I2301)-FIND("*",I2301)),"-")</f>
        <v>-</v>
      </c>
      <c r="W2302" s="27" t="str">
        <f t="shared" ref="W2302:W2309" si="1252">IFERROR((U2302+V2302)*2/1000,"-")</f>
        <v>-</v>
      </c>
      <c r="X2302" s="27" t="str">
        <f>IFERROR(W2302*J2301,"-")</f>
        <v>-</v>
      </c>
      <c r="Z2302" s="94" t="s">
        <v>82</v>
      </c>
    </row>
    <row r="2303" spans="1:26" s="25" customFormat="1" ht="6.95" customHeight="1" x14ac:dyDescent="0.3">
      <c r="A2303" s="165"/>
      <c r="B2303" s="168"/>
      <c r="C2303" s="169"/>
      <c r="D2303" s="160"/>
      <c r="E2303" s="161"/>
      <c r="F2303" s="162"/>
      <c r="G2303" s="163"/>
      <c r="H2303" s="164"/>
      <c r="I2303" s="163"/>
      <c r="J2303" s="164"/>
      <c r="K2303" s="163"/>
      <c r="L2303" s="164"/>
      <c r="M2303" s="11"/>
      <c r="N2303" s="39"/>
      <c r="Q2303" s="15" t="str">
        <f>+CONCATENATE(E2301,K2301)</f>
        <v/>
      </c>
      <c r="R2303" s="15">
        <f>+L2301</f>
        <v>0</v>
      </c>
      <c r="S2303" s="16"/>
      <c r="T2303" s="15">
        <f>+E2301</f>
        <v>0</v>
      </c>
      <c r="U2303" s="26" t="str">
        <f>IFERROR(LEFT(K2301,FIND("*",K2301)-1),"-")</f>
        <v>-</v>
      </c>
      <c r="V2303" s="26" t="str">
        <f>IFERROR(RIGHT(K2301,LEN(K2301)-FIND("*",K2301)),"-")</f>
        <v>-</v>
      </c>
      <c r="W2303" s="27" t="str">
        <f t="shared" si="1252"/>
        <v>-</v>
      </c>
      <c r="X2303" s="27" t="str">
        <f>IFERROR(W2303*L2301,"-")</f>
        <v>-</v>
      </c>
      <c r="Z2303" s="94" t="s">
        <v>82</v>
      </c>
    </row>
    <row r="2304" spans="1:26" s="25" customFormat="1" ht="6.95" customHeight="1" x14ac:dyDescent="0.3">
      <c r="A2304" s="13"/>
      <c r="B2304" s="168"/>
      <c r="C2304" s="169"/>
      <c r="D2304" s="160" t="s">
        <v>39</v>
      </c>
      <c r="E2304" s="161"/>
      <c r="F2304" s="162" t="s">
        <v>40</v>
      </c>
      <c r="G2304" s="163"/>
      <c r="H2304" s="164"/>
      <c r="I2304" s="163"/>
      <c r="J2304" s="164"/>
      <c r="K2304" s="163"/>
      <c r="L2304" s="164"/>
      <c r="M2304" s="11"/>
      <c r="N2304" s="39"/>
      <c r="Q2304" s="15" t="str">
        <f>+CONCATENATE(E2304,G2304)</f>
        <v/>
      </c>
      <c r="R2304" s="15">
        <f>+H2304</f>
        <v>0</v>
      </c>
      <c r="S2304" s="16"/>
      <c r="T2304" s="15">
        <f>+E2304</f>
        <v>0</v>
      </c>
      <c r="U2304" s="26" t="str">
        <f t="shared" ref="U2304" si="1253">IFERROR(LEFT(G2304,FIND("*",G2304)-1),"-")</f>
        <v>-</v>
      </c>
      <c r="V2304" s="26" t="str">
        <f t="shared" ref="V2304" si="1254">IFERROR(RIGHT(G2304,LEN(G2304)-FIND("*",G2304)),"-")</f>
        <v>-</v>
      </c>
      <c r="W2304" s="27" t="str">
        <f t="shared" si="1252"/>
        <v>-</v>
      </c>
      <c r="X2304" s="27" t="str">
        <f>IFERROR(W2304*H2304,"-")</f>
        <v>-</v>
      </c>
      <c r="Z2304" s="94" t="s">
        <v>82</v>
      </c>
    </row>
    <row r="2305" spans="1:26" s="25" customFormat="1" ht="6.95" customHeight="1" x14ac:dyDescent="0.3">
      <c r="A2305" s="10"/>
      <c r="B2305" s="168"/>
      <c r="C2305" s="169"/>
      <c r="D2305" s="160"/>
      <c r="E2305" s="161"/>
      <c r="F2305" s="162"/>
      <c r="G2305" s="163"/>
      <c r="H2305" s="164"/>
      <c r="I2305" s="163"/>
      <c r="J2305" s="164"/>
      <c r="K2305" s="163"/>
      <c r="L2305" s="164"/>
      <c r="M2305" s="11"/>
      <c r="N2305" s="39"/>
      <c r="Q2305" s="15" t="str">
        <f>+CONCATENATE(E2304,I2304)</f>
        <v/>
      </c>
      <c r="R2305" s="15">
        <f>+J2304</f>
        <v>0</v>
      </c>
      <c r="S2305" s="16"/>
      <c r="T2305" s="15">
        <f>+E2304</f>
        <v>0</v>
      </c>
      <c r="U2305" s="26" t="str">
        <f>IFERROR(LEFT(I2304,FIND("*",I2304)-1),"-")</f>
        <v>-</v>
      </c>
      <c r="V2305" s="26" t="str">
        <f>IFERROR(RIGHT(I2304,LEN(I2304)-FIND("*",I2304)),"-")</f>
        <v>-</v>
      </c>
      <c r="W2305" s="27" t="str">
        <f t="shared" si="1252"/>
        <v>-</v>
      </c>
      <c r="X2305" s="27" t="str">
        <f>IFERROR(W2305*J2304,"-")</f>
        <v>-</v>
      </c>
      <c r="Z2305" s="94" t="s">
        <v>82</v>
      </c>
    </row>
    <row r="2306" spans="1:26" s="25" customFormat="1" ht="6.95" customHeight="1" x14ac:dyDescent="0.3">
      <c r="A2306" s="10"/>
      <c r="B2306" s="168"/>
      <c r="C2306" s="169"/>
      <c r="D2306" s="160"/>
      <c r="E2306" s="161"/>
      <c r="F2306" s="162"/>
      <c r="G2306" s="163"/>
      <c r="H2306" s="164"/>
      <c r="I2306" s="163"/>
      <c r="J2306" s="164"/>
      <c r="K2306" s="163"/>
      <c r="L2306" s="164"/>
      <c r="M2306" s="11"/>
      <c r="N2306" s="39"/>
      <c r="Q2306" s="15" t="str">
        <f>+CONCATENATE(E2304,K2304)</f>
        <v/>
      </c>
      <c r="R2306" s="15">
        <f>+L2304</f>
        <v>0</v>
      </c>
      <c r="S2306" s="16"/>
      <c r="T2306" s="15">
        <f>+E2304</f>
        <v>0</v>
      </c>
      <c r="U2306" s="26" t="str">
        <f>IFERROR(LEFT(K2304,FIND("*",K2304)-1),"-")</f>
        <v>-</v>
      </c>
      <c r="V2306" s="26" t="str">
        <f>IFERROR(RIGHT(K2304,LEN(K2304)-FIND("*",K2304)),"-")</f>
        <v>-</v>
      </c>
      <c r="W2306" s="27" t="str">
        <f t="shared" si="1252"/>
        <v>-</v>
      </c>
      <c r="X2306" s="27" t="str">
        <f>IFERROR(W2306*L2304,"-")</f>
        <v>-</v>
      </c>
      <c r="Z2306" s="94" t="s">
        <v>82</v>
      </c>
    </row>
    <row r="2307" spans="1:26" s="25" customFormat="1" ht="6.95" customHeight="1" x14ac:dyDescent="0.3">
      <c r="A2307" s="13"/>
      <c r="B2307" s="168"/>
      <c r="C2307" s="169"/>
      <c r="D2307" s="160" t="s">
        <v>39</v>
      </c>
      <c r="E2307" s="161"/>
      <c r="F2307" s="162" t="s">
        <v>40</v>
      </c>
      <c r="G2307" s="163"/>
      <c r="H2307" s="164"/>
      <c r="I2307" s="163"/>
      <c r="J2307" s="164"/>
      <c r="K2307" s="163"/>
      <c r="L2307" s="164"/>
      <c r="M2307" s="11"/>
      <c r="N2307" s="39"/>
      <c r="Q2307" s="15" t="str">
        <f>+CONCATENATE(E2307,G2307)</f>
        <v/>
      </c>
      <c r="R2307" s="15">
        <f>+H2307</f>
        <v>0</v>
      </c>
      <c r="S2307" s="16"/>
      <c r="T2307" s="15">
        <f>+E2307</f>
        <v>0</v>
      </c>
      <c r="U2307" s="26" t="str">
        <f t="shared" ref="U2307" si="1255">IFERROR(LEFT(G2307,FIND("*",G2307)-1),"-")</f>
        <v>-</v>
      </c>
      <c r="V2307" s="26" t="str">
        <f t="shared" ref="V2307" si="1256">IFERROR(RIGHT(G2307,LEN(G2307)-FIND("*",G2307)),"-")</f>
        <v>-</v>
      </c>
      <c r="W2307" s="27" t="str">
        <f t="shared" si="1252"/>
        <v>-</v>
      </c>
      <c r="X2307" s="27" t="str">
        <f>IFERROR(W2307*H2307,"-")</f>
        <v>-</v>
      </c>
      <c r="Z2307" s="94" t="s">
        <v>82</v>
      </c>
    </row>
    <row r="2308" spans="1:26" s="25" customFormat="1" ht="6.95" customHeight="1" x14ac:dyDescent="0.3">
      <c r="A2308" s="10"/>
      <c r="B2308" s="168"/>
      <c r="C2308" s="169"/>
      <c r="D2308" s="160"/>
      <c r="E2308" s="161"/>
      <c r="F2308" s="162"/>
      <c r="G2308" s="163"/>
      <c r="H2308" s="164"/>
      <c r="I2308" s="163"/>
      <c r="J2308" s="164"/>
      <c r="K2308" s="163"/>
      <c r="L2308" s="164"/>
      <c r="M2308" s="11"/>
      <c r="N2308" s="39"/>
      <c r="Q2308" s="15" t="str">
        <f>+CONCATENATE(E2307,I2307)</f>
        <v/>
      </c>
      <c r="R2308" s="15">
        <f>+J2307</f>
        <v>0</v>
      </c>
      <c r="S2308" s="16"/>
      <c r="T2308" s="15">
        <f>+E2307</f>
        <v>0</v>
      </c>
      <c r="U2308" s="26" t="str">
        <f>IFERROR(LEFT(I2307,FIND("*",I2307)-1),"-")</f>
        <v>-</v>
      </c>
      <c r="V2308" s="26" t="str">
        <f>IFERROR(RIGHT(I2307,LEN(I2307)-FIND("*",I2307)),"-")</f>
        <v>-</v>
      </c>
      <c r="W2308" s="27" t="str">
        <f t="shared" si="1252"/>
        <v>-</v>
      </c>
      <c r="X2308" s="27" t="str">
        <f t="shared" ref="X2308" si="1257">IFERROR(W2308*J2307,"-")</f>
        <v>-</v>
      </c>
      <c r="Z2308" s="94" t="s">
        <v>82</v>
      </c>
    </row>
    <row r="2309" spans="1:26" s="25" customFormat="1" ht="6.95" customHeight="1" x14ac:dyDescent="0.3">
      <c r="A2309" s="10"/>
      <c r="B2309" s="168"/>
      <c r="C2309" s="169"/>
      <c r="D2309" s="160"/>
      <c r="E2309" s="161"/>
      <c r="F2309" s="162"/>
      <c r="G2309" s="163"/>
      <c r="H2309" s="164"/>
      <c r="I2309" s="163"/>
      <c r="J2309" s="164"/>
      <c r="K2309" s="163"/>
      <c r="L2309" s="164"/>
      <c r="M2309" s="11"/>
      <c r="N2309" s="39"/>
      <c r="Q2309" s="15" t="str">
        <f>+CONCATENATE(E2307,K2307)</f>
        <v/>
      </c>
      <c r="R2309" s="15">
        <f>+L2307</f>
        <v>0</v>
      </c>
      <c r="S2309" s="16"/>
      <c r="T2309" s="15">
        <f>+E2307</f>
        <v>0</v>
      </c>
      <c r="U2309" s="26" t="str">
        <f>IFERROR(LEFT(K2307,FIND("*",K2307)-1),"-")</f>
        <v>-</v>
      </c>
      <c r="V2309" s="26" t="str">
        <f>IFERROR(RIGHT(K2307,LEN(K2307)-FIND("*",K2307)),"-")</f>
        <v>-</v>
      </c>
      <c r="W2309" s="27" t="str">
        <f t="shared" si="1252"/>
        <v>-</v>
      </c>
      <c r="X2309" s="27" t="str">
        <f>IFERROR(W2309*L2307,"-")</f>
        <v>-</v>
      </c>
      <c r="Z2309" s="94" t="s">
        <v>82</v>
      </c>
    </row>
    <row r="2310" spans="1:26" s="25" customFormat="1" ht="21" customHeight="1" thickBot="1" x14ac:dyDescent="0.35">
      <c r="A2310" s="10"/>
      <c r="B2310" s="170"/>
      <c r="C2310" s="171"/>
      <c r="D2310" s="172" t="s">
        <v>43</v>
      </c>
      <c r="E2310" s="173"/>
      <c r="F2310" s="173"/>
      <c r="G2310" s="174"/>
      <c r="H2310" s="174"/>
      <c r="I2310" s="174"/>
      <c r="J2310" s="174"/>
      <c r="K2310" s="174"/>
      <c r="L2310" s="174"/>
      <c r="M2310" s="12"/>
      <c r="N2310" s="39"/>
      <c r="U2310" s="23"/>
      <c r="V2310" s="23"/>
      <c r="Z2310" s="95" t="s">
        <v>81</v>
      </c>
    </row>
    <row r="2311" spans="1:26" s="25" customFormat="1" ht="9.9499999999999993" customHeight="1" thickBot="1" x14ac:dyDescent="0.35">
      <c r="A2311" s="6"/>
      <c r="B2311" s="14"/>
      <c r="C2311" s="119"/>
      <c r="D2311" s="58"/>
      <c r="E2311" s="17"/>
      <c r="F2311" s="58"/>
      <c r="G2311" s="19"/>
      <c r="H2311" s="19"/>
      <c r="I2311" s="19"/>
      <c r="J2311" s="19"/>
      <c r="K2311" s="19"/>
      <c r="L2311" s="19"/>
      <c r="M2311" s="14"/>
      <c r="N2311" s="39"/>
      <c r="Q2311" s="1"/>
      <c r="R2311" s="1"/>
      <c r="S2311" s="1"/>
      <c r="T2311" s="1"/>
      <c r="U2311" s="24"/>
      <c r="V2311" s="24"/>
      <c r="W2311" s="1"/>
      <c r="X2311" s="1"/>
      <c r="Z2311" s="94" t="s">
        <v>82</v>
      </c>
    </row>
    <row r="2312" spans="1:26" s="25" customFormat="1" ht="6.95" customHeight="1" x14ac:dyDescent="0.3">
      <c r="A2312" s="165">
        <f>+A2301+1</f>
        <v>211</v>
      </c>
      <c r="B2312" s="166"/>
      <c r="C2312" s="167"/>
      <c r="D2312" s="160" t="s">
        <v>39</v>
      </c>
      <c r="E2312" s="161"/>
      <c r="F2312" s="162" t="s">
        <v>40</v>
      </c>
      <c r="G2312" s="163"/>
      <c r="H2312" s="164"/>
      <c r="I2312" s="163"/>
      <c r="J2312" s="164"/>
      <c r="K2312" s="163"/>
      <c r="L2312" s="164"/>
      <c r="M2312" s="11"/>
      <c r="N2312" s="39"/>
      <c r="Q2312" s="15" t="str">
        <f>+CONCATENATE(E2312,G2312)</f>
        <v/>
      </c>
      <c r="R2312" s="15">
        <f>+H2312</f>
        <v>0</v>
      </c>
      <c r="S2312" s="16"/>
      <c r="T2312" s="15">
        <f>+E2312</f>
        <v>0</v>
      </c>
      <c r="U2312" s="26" t="str">
        <f>IFERROR(LEFT(G2312,FIND("*",G2312)-1),"-")</f>
        <v>-</v>
      </c>
      <c r="V2312" s="26" t="str">
        <f>IFERROR(RIGHT(G2312,LEN(G2312)-FIND("*",G2312)),"-")</f>
        <v>-</v>
      </c>
      <c r="W2312" s="27" t="str">
        <f>IFERROR((U2312+V2312)*2/1000,"-")</f>
        <v>-</v>
      </c>
      <c r="X2312" s="27" t="str">
        <f>IFERROR(W2312*H2312,"-")</f>
        <v>-</v>
      </c>
      <c r="Z2312" s="94" t="s">
        <v>82</v>
      </c>
    </row>
    <row r="2313" spans="1:26" s="25" customFormat="1" ht="6.95" customHeight="1" x14ac:dyDescent="0.3">
      <c r="A2313" s="165"/>
      <c r="B2313" s="168"/>
      <c r="C2313" s="169"/>
      <c r="D2313" s="160"/>
      <c r="E2313" s="161"/>
      <c r="F2313" s="162"/>
      <c r="G2313" s="163"/>
      <c r="H2313" s="164"/>
      <c r="I2313" s="163"/>
      <c r="J2313" s="164"/>
      <c r="K2313" s="163"/>
      <c r="L2313" s="164"/>
      <c r="M2313" s="11"/>
      <c r="N2313" s="39"/>
      <c r="Q2313" s="15" t="str">
        <f>+CONCATENATE(E2312,I2312)</f>
        <v/>
      </c>
      <c r="R2313" s="15">
        <f>+J2312</f>
        <v>0</v>
      </c>
      <c r="S2313" s="16"/>
      <c r="T2313" s="15">
        <f>+E2312</f>
        <v>0</v>
      </c>
      <c r="U2313" s="26" t="str">
        <f>IFERROR(LEFT(I2312,FIND("*",I2312)-1),"-")</f>
        <v>-</v>
      </c>
      <c r="V2313" s="26" t="str">
        <f>IFERROR(RIGHT(I2312,LEN(I2312)-FIND("*",I2312)),"-")</f>
        <v>-</v>
      </c>
      <c r="W2313" s="27" t="str">
        <f t="shared" ref="W2313:W2320" si="1258">IFERROR((U2313+V2313)*2/1000,"-")</f>
        <v>-</v>
      </c>
      <c r="X2313" s="27" t="str">
        <f>IFERROR(W2313*J2312,"-")</f>
        <v>-</v>
      </c>
      <c r="Z2313" s="94" t="s">
        <v>82</v>
      </c>
    </row>
    <row r="2314" spans="1:26" s="25" customFormat="1" ht="6.95" customHeight="1" x14ac:dyDescent="0.3">
      <c r="A2314" s="165"/>
      <c r="B2314" s="168"/>
      <c r="C2314" s="169"/>
      <c r="D2314" s="160"/>
      <c r="E2314" s="161"/>
      <c r="F2314" s="162"/>
      <c r="G2314" s="163"/>
      <c r="H2314" s="164"/>
      <c r="I2314" s="163"/>
      <c r="J2314" s="164"/>
      <c r="K2314" s="163"/>
      <c r="L2314" s="164"/>
      <c r="M2314" s="11"/>
      <c r="N2314" s="39"/>
      <c r="Q2314" s="15" t="str">
        <f>+CONCATENATE(E2312,K2312)</f>
        <v/>
      </c>
      <c r="R2314" s="15">
        <f>+L2312</f>
        <v>0</v>
      </c>
      <c r="S2314" s="16"/>
      <c r="T2314" s="15">
        <f>+E2312</f>
        <v>0</v>
      </c>
      <c r="U2314" s="26" t="str">
        <f>IFERROR(LEFT(K2312,FIND("*",K2312)-1),"-")</f>
        <v>-</v>
      </c>
      <c r="V2314" s="26" t="str">
        <f>IFERROR(RIGHT(K2312,LEN(K2312)-FIND("*",K2312)),"-")</f>
        <v>-</v>
      </c>
      <c r="W2314" s="27" t="str">
        <f t="shared" si="1258"/>
        <v>-</v>
      </c>
      <c r="X2314" s="27" t="str">
        <f>IFERROR(W2314*L2312,"-")</f>
        <v>-</v>
      </c>
      <c r="Z2314" s="94" t="s">
        <v>82</v>
      </c>
    </row>
    <row r="2315" spans="1:26" s="25" customFormat="1" ht="6.95" customHeight="1" x14ac:dyDescent="0.3">
      <c r="A2315" s="13"/>
      <c r="B2315" s="168"/>
      <c r="C2315" s="169"/>
      <c r="D2315" s="160" t="s">
        <v>39</v>
      </c>
      <c r="E2315" s="161"/>
      <c r="F2315" s="162" t="s">
        <v>40</v>
      </c>
      <c r="G2315" s="163"/>
      <c r="H2315" s="164"/>
      <c r="I2315" s="163"/>
      <c r="J2315" s="164"/>
      <c r="K2315" s="163"/>
      <c r="L2315" s="164"/>
      <c r="M2315" s="11"/>
      <c r="N2315" s="39"/>
      <c r="Q2315" s="15" t="str">
        <f>+CONCATENATE(E2315,G2315)</f>
        <v/>
      </c>
      <c r="R2315" s="15">
        <f>+H2315</f>
        <v>0</v>
      </c>
      <c r="S2315" s="16"/>
      <c r="T2315" s="15">
        <f>+E2315</f>
        <v>0</v>
      </c>
      <c r="U2315" s="26" t="str">
        <f t="shared" ref="U2315" si="1259">IFERROR(LEFT(G2315,FIND("*",G2315)-1),"-")</f>
        <v>-</v>
      </c>
      <c r="V2315" s="26" t="str">
        <f t="shared" ref="V2315" si="1260">IFERROR(RIGHT(G2315,LEN(G2315)-FIND("*",G2315)),"-")</f>
        <v>-</v>
      </c>
      <c r="W2315" s="27" t="str">
        <f t="shared" si="1258"/>
        <v>-</v>
      </c>
      <c r="X2315" s="27" t="str">
        <f>IFERROR(W2315*H2315,"-")</f>
        <v>-</v>
      </c>
      <c r="Z2315" s="94" t="s">
        <v>82</v>
      </c>
    </row>
    <row r="2316" spans="1:26" s="25" customFormat="1" ht="6.95" customHeight="1" x14ac:dyDescent="0.3">
      <c r="A2316" s="10"/>
      <c r="B2316" s="168"/>
      <c r="C2316" s="169"/>
      <c r="D2316" s="160"/>
      <c r="E2316" s="161"/>
      <c r="F2316" s="162"/>
      <c r="G2316" s="163"/>
      <c r="H2316" s="164"/>
      <c r="I2316" s="163"/>
      <c r="J2316" s="164"/>
      <c r="K2316" s="163"/>
      <c r="L2316" s="164"/>
      <c r="M2316" s="11"/>
      <c r="N2316" s="39"/>
      <c r="Q2316" s="15" t="str">
        <f>+CONCATENATE(E2315,I2315)</f>
        <v/>
      </c>
      <c r="R2316" s="15">
        <f>+J2315</f>
        <v>0</v>
      </c>
      <c r="S2316" s="16"/>
      <c r="T2316" s="15">
        <f>+E2315</f>
        <v>0</v>
      </c>
      <c r="U2316" s="26" t="str">
        <f>IFERROR(LEFT(I2315,FIND("*",I2315)-1),"-")</f>
        <v>-</v>
      </c>
      <c r="V2316" s="26" t="str">
        <f>IFERROR(RIGHT(I2315,LEN(I2315)-FIND("*",I2315)),"-")</f>
        <v>-</v>
      </c>
      <c r="W2316" s="27" t="str">
        <f t="shared" si="1258"/>
        <v>-</v>
      </c>
      <c r="X2316" s="27" t="str">
        <f>IFERROR(W2316*J2315,"-")</f>
        <v>-</v>
      </c>
      <c r="Z2316" s="94" t="s">
        <v>82</v>
      </c>
    </row>
    <row r="2317" spans="1:26" s="25" customFormat="1" ht="6.95" customHeight="1" x14ac:dyDescent="0.3">
      <c r="A2317" s="10"/>
      <c r="B2317" s="168"/>
      <c r="C2317" s="169"/>
      <c r="D2317" s="160"/>
      <c r="E2317" s="161"/>
      <c r="F2317" s="162"/>
      <c r="G2317" s="163"/>
      <c r="H2317" s="164"/>
      <c r="I2317" s="163"/>
      <c r="J2317" s="164"/>
      <c r="K2317" s="163"/>
      <c r="L2317" s="164"/>
      <c r="M2317" s="11"/>
      <c r="N2317" s="39"/>
      <c r="Q2317" s="15" t="str">
        <f>+CONCATENATE(E2315,K2315)</f>
        <v/>
      </c>
      <c r="R2317" s="15">
        <f>+L2315</f>
        <v>0</v>
      </c>
      <c r="S2317" s="16"/>
      <c r="T2317" s="15">
        <f>+E2315</f>
        <v>0</v>
      </c>
      <c r="U2317" s="26" t="str">
        <f>IFERROR(LEFT(K2315,FIND("*",K2315)-1),"-")</f>
        <v>-</v>
      </c>
      <c r="V2317" s="26" t="str">
        <f>IFERROR(RIGHT(K2315,LEN(K2315)-FIND("*",K2315)),"-")</f>
        <v>-</v>
      </c>
      <c r="W2317" s="27" t="str">
        <f t="shared" si="1258"/>
        <v>-</v>
      </c>
      <c r="X2317" s="27" t="str">
        <f>IFERROR(W2317*L2315,"-")</f>
        <v>-</v>
      </c>
      <c r="Z2317" s="94" t="s">
        <v>82</v>
      </c>
    </row>
    <row r="2318" spans="1:26" s="25" customFormat="1" ht="6.95" customHeight="1" x14ac:dyDescent="0.3">
      <c r="A2318" s="13"/>
      <c r="B2318" s="168"/>
      <c r="C2318" s="169"/>
      <c r="D2318" s="160" t="s">
        <v>39</v>
      </c>
      <c r="E2318" s="161"/>
      <c r="F2318" s="162" t="s">
        <v>40</v>
      </c>
      <c r="G2318" s="163"/>
      <c r="H2318" s="164"/>
      <c r="I2318" s="163"/>
      <c r="J2318" s="164"/>
      <c r="K2318" s="163"/>
      <c r="L2318" s="164"/>
      <c r="M2318" s="11"/>
      <c r="N2318" s="39"/>
      <c r="Q2318" s="15" t="str">
        <f>+CONCATENATE(E2318,G2318)</f>
        <v/>
      </c>
      <c r="R2318" s="15">
        <f>+H2318</f>
        <v>0</v>
      </c>
      <c r="S2318" s="16"/>
      <c r="T2318" s="15">
        <f>+E2318</f>
        <v>0</v>
      </c>
      <c r="U2318" s="26" t="str">
        <f t="shared" ref="U2318" si="1261">IFERROR(LEFT(G2318,FIND("*",G2318)-1),"-")</f>
        <v>-</v>
      </c>
      <c r="V2318" s="26" t="str">
        <f t="shared" ref="V2318" si="1262">IFERROR(RIGHT(G2318,LEN(G2318)-FIND("*",G2318)),"-")</f>
        <v>-</v>
      </c>
      <c r="W2318" s="27" t="str">
        <f t="shared" si="1258"/>
        <v>-</v>
      </c>
      <c r="X2318" s="27" t="str">
        <f>IFERROR(W2318*H2318,"-")</f>
        <v>-</v>
      </c>
      <c r="Z2318" s="94" t="s">
        <v>82</v>
      </c>
    </row>
    <row r="2319" spans="1:26" s="25" customFormat="1" ht="6.95" customHeight="1" x14ac:dyDescent="0.3">
      <c r="A2319" s="10"/>
      <c r="B2319" s="168"/>
      <c r="C2319" s="169"/>
      <c r="D2319" s="160"/>
      <c r="E2319" s="161"/>
      <c r="F2319" s="162"/>
      <c r="G2319" s="163"/>
      <c r="H2319" s="164"/>
      <c r="I2319" s="163"/>
      <c r="J2319" s="164"/>
      <c r="K2319" s="163"/>
      <c r="L2319" s="164"/>
      <c r="M2319" s="11"/>
      <c r="N2319" s="39"/>
      <c r="Q2319" s="15" t="str">
        <f>+CONCATENATE(E2318,I2318)</f>
        <v/>
      </c>
      <c r="R2319" s="15">
        <f>+J2318</f>
        <v>0</v>
      </c>
      <c r="S2319" s="16"/>
      <c r="T2319" s="15">
        <f>+E2318</f>
        <v>0</v>
      </c>
      <c r="U2319" s="26" t="str">
        <f>IFERROR(LEFT(I2318,FIND("*",I2318)-1),"-")</f>
        <v>-</v>
      </c>
      <c r="V2319" s="26" t="str">
        <f>IFERROR(RIGHT(I2318,LEN(I2318)-FIND("*",I2318)),"-")</f>
        <v>-</v>
      </c>
      <c r="W2319" s="27" t="str">
        <f t="shared" si="1258"/>
        <v>-</v>
      </c>
      <c r="X2319" s="27" t="str">
        <f t="shared" ref="X2319" si="1263">IFERROR(W2319*J2318,"-")</f>
        <v>-</v>
      </c>
      <c r="Z2319" s="94" t="s">
        <v>82</v>
      </c>
    </row>
    <row r="2320" spans="1:26" s="25" customFormat="1" ht="6.95" customHeight="1" x14ac:dyDescent="0.3">
      <c r="A2320" s="10"/>
      <c r="B2320" s="168"/>
      <c r="C2320" s="169"/>
      <c r="D2320" s="160"/>
      <c r="E2320" s="161"/>
      <c r="F2320" s="162"/>
      <c r="G2320" s="163"/>
      <c r="H2320" s="164"/>
      <c r="I2320" s="163"/>
      <c r="J2320" s="164"/>
      <c r="K2320" s="163"/>
      <c r="L2320" s="164"/>
      <c r="M2320" s="11"/>
      <c r="N2320" s="39"/>
      <c r="Q2320" s="15" t="str">
        <f>+CONCATENATE(E2318,K2318)</f>
        <v/>
      </c>
      <c r="R2320" s="15">
        <f>+L2318</f>
        <v>0</v>
      </c>
      <c r="S2320" s="16"/>
      <c r="T2320" s="15">
        <f>+E2318</f>
        <v>0</v>
      </c>
      <c r="U2320" s="26" t="str">
        <f>IFERROR(LEFT(K2318,FIND("*",K2318)-1),"-")</f>
        <v>-</v>
      </c>
      <c r="V2320" s="26" t="str">
        <f>IFERROR(RIGHT(K2318,LEN(K2318)-FIND("*",K2318)),"-")</f>
        <v>-</v>
      </c>
      <c r="W2320" s="27" t="str">
        <f t="shared" si="1258"/>
        <v>-</v>
      </c>
      <c r="X2320" s="27" t="str">
        <f>IFERROR(W2320*L2318,"-")</f>
        <v>-</v>
      </c>
      <c r="Z2320" s="94" t="s">
        <v>82</v>
      </c>
    </row>
    <row r="2321" spans="1:26" s="25" customFormat="1" ht="21" customHeight="1" thickBot="1" x14ac:dyDescent="0.35">
      <c r="A2321" s="10"/>
      <c r="B2321" s="170"/>
      <c r="C2321" s="171"/>
      <c r="D2321" s="172" t="s">
        <v>43</v>
      </c>
      <c r="E2321" s="173"/>
      <c r="F2321" s="173"/>
      <c r="G2321" s="174"/>
      <c r="H2321" s="174"/>
      <c r="I2321" s="174"/>
      <c r="J2321" s="174"/>
      <c r="K2321" s="174"/>
      <c r="L2321" s="174"/>
      <c r="M2321" s="12"/>
      <c r="N2321" s="39"/>
      <c r="U2321" s="23"/>
      <c r="V2321" s="23"/>
      <c r="Z2321" s="95" t="s">
        <v>81</v>
      </c>
    </row>
    <row r="2322" spans="1:26" s="25" customFormat="1" ht="9.9499999999999993" customHeight="1" thickBot="1" x14ac:dyDescent="0.35">
      <c r="A2322" s="6"/>
      <c r="B2322" s="14"/>
      <c r="C2322" s="119"/>
      <c r="D2322" s="58"/>
      <c r="E2322" s="17"/>
      <c r="F2322" s="58"/>
      <c r="G2322" s="19"/>
      <c r="H2322" s="19"/>
      <c r="I2322" s="19"/>
      <c r="J2322" s="19"/>
      <c r="K2322" s="19"/>
      <c r="L2322" s="19"/>
      <c r="M2322" s="14"/>
      <c r="N2322" s="39"/>
      <c r="Q2322" s="1"/>
      <c r="R2322" s="1"/>
      <c r="S2322" s="1"/>
      <c r="T2322" s="1"/>
      <c r="U2322" s="24"/>
      <c r="V2322" s="24"/>
      <c r="W2322" s="1"/>
      <c r="X2322" s="1"/>
      <c r="Z2322" s="94" t="s">
        <v>82</v>
      </c>
    </row>
    <row r="2323" spans="1:26" s="25" customFormat="1" ht="6.95" customHeight="1" x14ac:dyDescent="0.3">
      <c r="A2323" s="165">
        <f>+A2312+1</f>
        <v>212</v>
      </c>
      <c r="B2323" s="166"/>
      <c r="C2323" s="167"/>
      <c r="D2323" s="160" t="s">
        <v>39</v>
      </c>
      <c r="E2323" s="161"/>
      <c r="F2323" s="162" t="s">
        <v>40</v>
      </c>
      <c r="G2323" s="163"/>
      <c r="H2323" s="164"/>
      <c r="I2323" s="163"/>
      <c r="J2323" s="164"/>
      <c r="K2323" s="163"/>
      <c r="L2323" s="164"/>
      <c r="M2323" s="11"/>
      <c r="N2323" s="39"/>
      <c r="Q2323" s="15" t="str">
        <f>+CONCATENATE(E2323,G2323)</f>
        <v/>
      </c>
      <c r="R2323" s="15">
        <f>+H2323</f>
        <v>0</v>
      </c>
      <c r="S2323" s="16"/>
      <c r="T2323" s="15">
        <f>+E2323</f>
        <v>0</v>
      </c>
      <c r="U2323" s="26" t="str">
        <f>IFERROR(LEFT(G2323,FIND("*",G2323)-1),"-")</f>
        <v>-</v>
      </c>
      <c r="V2323" s="26" t="str">
        <f>IFERROR(RIGHT(G2323,LEN(G2323)-FIND("*",G2323)),"-")</f>
        <v>-</v>
      </c>
      <c r="W2323" s="27" t="str">
        <f>IFERROR((U2323+V2323)*2/1000,"-")</f>
        <v>-</v>
      </c>
      <c r="X2323" s="27" t="str">
        <f>IFERROR(W2323*H2323,"-")</f>
        <v>-</v>
      </c>
      <c r="Z2323" s="94" t="s">
        <v>82</v>
      </c>
    </row>
    <row r="2324" spans="1:26" s="25" customFormat="1" ht="6.95" customHeight="1" x14ac:dyDescent="0.3">
      <c r="A2324" s="165"/>
      <c r="B2324" s="168"/>
      <c r="C2324" s="169"/>
      <c r="D2324" s="160"/>
      <c r="E2324" s="161"/>
      <c r="F2324" s="162"/>
      <c r="G2324" s="163"/>
      <c r="H2324" s="164"/>
      <c r="I2324" s="163"/>
      <c r="J2324" s="164"/>
      <c r="K2324" s="163"/>
      <c r="L2324" s="164"/>
      <c r="M2324" s="11"/>
      <c r="N2324" s="39"/>
      <c r="Q2324" s="15" t="str">
        <f>+CONCATENATE(E2323,I2323)</f>
        <v/>
      </c>
      <c r="R2324" s="15">
        <f>+J2323</f>
        <v>0</v>
      </c>
      <c r="S2324" s="16"/>
      <c r="T2324" s="15">
        <f>+E2323</f>
        <v>0</v>
      </c>
      <c r="U2324" s="26" t="str">
        <f>IFERROR(LEFT(I2323,FIND("*",I2323)-1),"-")</f>
        <v>-</v>
      </c>
      <c r="V2324" s="26" t="str">
        <f>IFERROR(RIGHT(I2323,LEN(I2323)-FIND("*",I2323)),"-")</f>
        <v>-</v>
      </c>
      <c r="W2324" s="27" t="str">
        <f t="shared" ref="W2324:W2331" si="1264">IFERROR((U2324+V2324)*2/1000,"-")</f>
        <v>-</v>
      </c>
      <c r="X2324" s="27" t="str">
        <f>IFERROR(W2324*J2323,"-")</f>
        <v>-</v>
      </c>
      <c r="Z2324" s="94" t="s">
        <v>82</v>
      </c>
    </row>
    <row r="2325" spans="1:26" s="25" customFormat="1" ht="6.95" customHeight="1" x14ac:dyDescent="0.3">
      <c r="A2325" s="165"/>
      <c r="B2325" s="168"/>
      <c r="C2325" s="169"/>
      <c r="D2325" s="160"/>
      <c r="E2325" s="161"/>
      <c r="F2325" s="162"/>
      <c r="G2325" s="163"/>
      <c r="H2325" s="164"/>
      <c r="I2325" s="163"/>
      <c r="J2325" s="164"/>
      <c r="K2325" s="163"/>
      <c r="L2325" s="164"/>
      <c r="M2325" s="11"/>
      <c r="N2325" s="39"/>
      <c r="Q2325" s="15" t="str">
        <f>+CONCATENATE(E2323,K2323)</f>
        <v/>
      </c>
      <c r="R2325" s="15">
        <f>+L2323</f>
        <v>0</v>
      </c>
      <c r="S2325" s="16"/>
      <c r="T2325" s="15">
        <f>+E2323</f>
        <v>0</v>
      </c>
      <c r="U2325" s="26" t="str">
        <f>IFERROR(LEFT(K2323,FIND("*",K2323)-1),"-")</f>
        <v>-</v>
      </c>
      <c r="V2325" s="26" t="str">
        <f>IFERROR(RIGHT(K2323,LEN(K2323)-FIND("*",K2323)),"-")</f>
        <v>-</v>
      </c>
      <c r="W2325" s="27" t="str">
        <f t="shared" si="1264"/>
        <v>-</v>
      </c>
      <c r="X2325" s="27" t="str">
        <f>IFERROR(W2325*L2323,"-")</f>
        <v>-</v>
      </c>
      <c r="Z2325" s="94" t="s">
        <v>82</v>
      </c>
    </row>
    <row r="2326" spans="1:26" s="25" customFormat="1" ht="6.95" customHeight="1" x14ac:dyDescent="0.3">
      <c r="A2326" s="13"/>
      <c r="B2326" s="168"/>
      <c r="C2326" s="169"/>
      <c r="D2326" s="160" t="s">
        <v>39</v>
      </c>
      <c r="E2326" s="161"/>
      <c r="F2326" s="162" t="s">
        <v>40</v>
      </c>
      <c r="G2326" s="163"/>
      <c r="H2326" s="164"/>
      <c r="I2326" s="163"/>
      <c r="J2326" s="164"/>
      <c r="K2326" s="163"/>
      <c r="L2326" s="164"/>
      <c r="M2326" s="11"/>
      <c r="N2326" s="39"/>
      <c r="Q2326" s="15" t="str">
        <f>+CONCATENATE(E2326,G2326)</f>
        <v/>
      </c>
      <c r="R2326" s="15">
        <f>+H2326</f>
        <v>0</v>
      </c>
      <c r="S2326" s="16"/>
      <c r="T2326" s="15">
        <f>+E2326</f>
        <v>0</v>
      </c>
      <c r="U2326" s="26" t="str">
        <f t="shared" ref="U2326" si="1265">IFERROR(LEFT(G2326,FIND("*",G2326)-1),"-")</f>
        <v>-</v>
      </c>
      <c r="V2326" s="26" t="str">
        <f t="shared" ref="V2326" si="1266">IFERROR(RIGHT(G2326,LEN(G2326)-FIND("*",G2326)),"-")</f>
        <v>-</v>
      </c>
      <c r="W2326" s="27" t="str">
        <f t="shared" si="1264"/>
        <v>-</v>
      </c>
      <c r="X2326" s="27" t="str">
        <f>IFERROR(W2326*H2326,"-")</f>
        <v>-</v>
      </c>
      <c r="Z2326" s="94" t="s">
        <v>82</v>
      </c>
    </row>
    <row r="2327" spans="1:26" s="25" customFormat="1" ht="6.95" customHeight="1" x14ac:dyDescent="0.3">
      <c r="A2327" s="10"/>
      <c r="B2327" s="168"/>
      <c r="C2327" s="169"/>
      <c r="D2327" s="160"/>
      <c r="E2327" s="161"/>
      <c r="F2327" s="162"/>
      <c r="G2327" s="163"/>
      <c r="H2327" s="164"/>
      <c r="I2327" s="163"/>
      <c r="J2327" s="164"/>
      <c r="K2327" s="163"/>
      <c r="L2327" s="164"/>
      <c r="M2327" s="11"/>
      <c r="N2327" s="39"/>
      <c r="Q2327" s="15" t="str">
        <f>+CONCATENATE(E2326,I2326)</f>
        <v/>
      </c>
      <c r="R2327" s="15">
        <f>+J2326</f>
        <v>0</v>
      </c>
      <c r="S2327" s="16"/>
      <c r="T2327" s="15">
        <f>+E2326</f>
        <v>0</v>
      </c>
      <c r="U2327" s="26" t="str">
        <f>IFERROR(LEFT(I2326,FIND("*",I2326)-1),"-")</f>
        <v>-</v>
      </c>
      <c r="V2327" s="26" t="str">
        <f>IFERROR(RIGHT(I2326,LEN(I2326)-FIND("*",I2326)),"-")</f>
        <v>-</v>
      </c>
      <c r="W2327" s="27" t="str">
        <f t="shared" si="1264"/>
        <v>-</v>
      </c>
      <c r="X2327" s="27" t="str">
        <f>IFERROR(W2327*J2326,"-")</f>
        <v>-</v>
      </c>
      <c r="Z2327" s="94" t="s">
        <v>82</v>
      </c>
    </row>
    <row r="2328" spans="1:26" s="25" customFormat="1" ht="6.95" customHeight="1" x14ac:dyDescent="0.3">
      <c r="A2328" s="10"/>
      <c r="B2328" s="168"/>
      <c r="C2328" s="169"/>
      <c r="D2328" s="160"/>
      <c r="E2328" s="161"/>
      <c r="F2328" s="162"/>
      <c r="G2328" s="163"/>
      <c r="H2328" s="164"/>
      <c r="I2328" s="163"/>
      <c r="J2328" s="164"/>
      <c r="K2328" s="163"/>
      <c r="L2328" s="164"/>
      <c r="M2328" s="11"/>
      <c r="N2328" s="39"/>
      <c r="Q2328" s="15" t="str">
        <f>+CONCATENATE(E2326,K2326)</f>
        <v/>
      </c>
      <c r="R2328" s="15">
        <f>+L2326</f>
        <v>0</v>
      </c>
      <c r="S2328" s="16"/>
      <c r="T2328" s="15">
        <f>+E2326</f>
        <v>0</v>
      </c>
      <c r="U2328" s="26" t="str">
        <f>IFERROR(LEFT(K2326,FIND("*",K2326)-1),"-")</f>
        <v>-</v>
      </c>
      <c r="V2328" s="26" t="str">
        <f>IFERROR(RIGHT(K2326,LEN(K2326)-FIND("*",K2326)),"-")</f>
        <v>-</v>
      </c>
      <c r="W2328" s="27" t="str">
        <f t="shared" si="1264"/>
        <v>-</v>
      </c>
      <c r="X2328" s="27" t="str">
        <f>IFERROR(W2328*L2326,"-")</f>
        <v>-</v>
      </c>
      <c r="Z2328" s="94" t="s">
        <v>82</v>
      </c>
    </row>
    <row r="2329" spans="1:26" s="25" customFormat="1" ht="6.95" customHeight="1" x14ac:dyDescent="0.3">
      <c r="A2329" s="13"/>
      <c r="B2329" s="168"/>
      <c r="C2329" s="169"/>
      <c r="D2329" s="160" t="s">
        <v>39</v>
      </c>
      <c r="E2329" s="161"/>
      <c r="F2329" s="162" t="s">
        <v>40</v>
      </c>
      <c r="G2329" s="163"/>
      <c r="H2329" s="164"/>
      <c r="I2329" s="163"/>
      <c r="J2329" s="164"/>
      <c r="K2329" s="163"/>
      <c r="L2329" s="164"/>
      <c r="M2329" s="11"/>
      <c r="N2329" s="39"/>
      <c r="Q2329" s="15" t="str">
        <f>+CONCATENATE(E2329,G2329)</f>
        <v/>
      </c>
      <c r="R2329" s="15">
        <f>+H2329</f>
        <v>0</v>
      </c>
      <c r="S2329" s="16"/>
      <c r="T2329" s="15">
        <f>+E2329</f>
        <v>0</v>
      </c>
      <c r="U2329" s="26" t="str">
        <f t="shared" ref="U2329" si="1267">IFERROR(LEFT(G2329,FIND("*",G2329)-1),"-")</f>
        <v>-</v>
      </c>
      <c r="V2329" s="26" t="str">
        <f t="shared" ref="V2329" si="1268">IFERROR(RIGHT(G2329,LEN(G2329)-FIND("*",G2329)),"-")</f>
        <v>-</v>
      </c>
      <c r="W2329" s="27" t="str">
        <f t="shared" si="1264"/>
        <v>-</v>
      </c>
      <c r="X2329" s="27" t="str">
        <f>IFERROR(W2329*H2329,"-")</f>
        <v>-</v>
      </c>
      <c r="Z2329" s="94" t="s">
        <v>82</v>
      </c>
    </row>
    <row r="2330" spans="1:26" s="25" customFormat="1" ht="6.95" customHeight="1" x14ac:dyDescent="0.3">
      <c r="A2330" s="10"/>
      <c r="B2330" s="168"/>
      <c r="C2330" s="169"/>
      <c r="D2330" s="160"/>
      <c r="E2330" s="161"/>
      <c r="F2330" s="162"/>
      <c r="G2330" s="163"/>
      <c r="H2330" s="164"/>
      <c r="I2330" s="163"/>
      <c r="J2330" s="164"/>
      <c r="K2330" s="163"/>
      <c r="L2330" s="164"/>
      <c r="M2330" s="11"/>
      <c r="N2330" s="39"/>
      <c r="Q2330" s="15" t="str">
        <f>+CONCATENATE(E2329,I2329)</f>
        <v/>
      </c>
      <c r="R2330" s="15">
        <f>+J2329</f>
        <v>0</v>
      </c>
      <c r="S2330" s="16"/>
      <c r="T2330" s="15">
        <f>+E2329</f>
        <v>0</v>
      </c>
      <c r="U2330" s="26" t="str">
        <f>IFERROR(LEFT(I2329,FIND("*",I2329)-1),"-")</f>
        <v>-</v>
      </c>
      <c r="V2330" s="26" t="str">
        <f>IFERROR(RIGHT(I2329,LEN(I2329)-FIND("*",I2329)),"-")</f>
        <v>-</v>
      </c>
      <c r="W2330" s="27" t="str">
        <f t="shared" si="1264"/>
        <v>-</v>
      </c>
      <c r="X2330" s="27" t="str">
        <f t="shared" ref="X2330" si="1269">IFERROR(W2330*J2329,"-")</f>
        <v>-</v>
      </c>
      <c r="Z2330" s="94" t="s">
        <v>82</v>
      </c>
    </row>
    <row r="2331" spans="1:26" s="25" customFormat="1" ht="6.95" customHeight="1" x14ac:dyDescent="0.3">
      <c r="A2331" s="10"/>
      <c r="B2331" s="168"/>
      <c r="C2331" s="169"/>
      <c r="D2331" s="160"/>
      <c r="E2331" s="161"/>
      <c r="F2331" s="162"/>
      <c r="G2331" s="163"/>
      <c r="H2331" s="164"/>
      <c r="I2331" s="163"/>
      <c r="J2331" s="164"/>
      <c r="K2331" s="163"/>
      <c r="L2331" s="164"/>
      <c r="M2331" s="11"/>
      <c r="N2331" s="39"/>
      <c r="Q2331" s="15" t="str">
        <f>+CONCATENATE(E2329,K2329)</f>
        <v/>
      </c>
      <c r="R2331" s="15">
        <f>+L2329</f>
        <v>0</v>
      </c>
      <c r="S2331" s="16"/>
      <c r="T2331" s="15">
        <f>+E2329</f>
        <v>0</v>
      </c>
      <c r="U2331" s="26" t="str">
        <f>IFERROR(LEFT(K2329,FIND("*",K2329)-1),"-")</f>
        <v>-</v>
      </c>
      <c r="V2331" s="26" t="str">
        <f>IFERROR(RIGHT(K2329,LEN(K2329)-FIND("*",K2329)),"-")</f>
        <v>-</v>
      </c>
      <c r="W2331" s="27" t="str">
        <f t="shared" si="1264"/>
        <v>-</v>
      </c>
      <c r="X2331" s="27" t="str">
        <f>IFERROR(W2331*L2329,"-")</f>
        <v>-</v>
      </c>
      <c r="Z2331" s="94" t="s">
        <v>82</v>
      </c>
    </row>
    <row r="2332" spans="1:26" s="25" customFormat="1" ht="21" customHeight="1" thickBot="1" x14ac:dyDescent="0.35">
      <c r="A2332" s="10"/>
      <c r="B2332" s="170"/>
      <c r="C2332" s="171"/>
      <c r="D2332" s="172" t="s">
        <v>43</v>
      </c>
      <c r="E2332" s="173"/>
      <c r="F2332" s="173"/>
      <c r="G2332" s="174"/>
      <c r="H2332" s="174"/>
      <c r="I2332" s="174"/>
      <c r="J2332" s="174"/>
      <c r="K2332" s="174"/>
      <c r="L2332" s="174"/>
      <c r="M2332" s="12"/>
      <c r="N2332" s="39"/>
      <c r="U2332" s="23"/>
      <c r="V2332" s="23"/>
      <c r="Z2332" s="95" t="s">
        <v>81</v>
      </c>
    </row>
    <row r="2333" spans="1:26" s="25" customFormat="1" ht="9.9499999999999993" customHeight="1" thickBot="1" x14ac:dyDescent="0.35">
      <c r="A2333" s="6"/>
      <c r="B2333" s="14"/>
      <c r="C2333" s="119"/>
      <c r="D2333" s="58"/>
      <c r="E2333" s="17"/>
      <c r="F2333" s="58"/>
      <c r="G2333" s="19"/>
      <c r="H2333" s="19"/>
      <c r="I2333" s="19"/>
      <c r="J2333" s="19"/>
      <c r="K2333" s="19"/>
      <c r="L2333" s="19"/>
      <c r="M2333" s="14"/>
      <c r="N2333" s="39"/>
      <c r="Q2333" s="1"/>
      <c r="R2333" s="1"/>
      <c r="S2333" s="1"/>
      <c r="T2333" s="1"/>
      <c r="U2333" s="24"/>
      <c r="V2333" s="24"/>
      <c r="W2333" s="1"/>
      <c r="X2333" s="1"/>
      <c r="Z2333" s="94" t="s">
        <v>82</v>
      </c>
    </row>
    <row r="2334" spans="1:26" s="25" customFormat="1" ht="6.95" customHeight="1" x14ac:dyDescent="0.3">
      <c r="A2334" s="165">
        <f>+A2323+1</f>
        <v>213</v>
      </c>
      <c r="B2334" s="166"/>
      <c r="C2334" s="167"/>
      <c r="D2334" s="160" t="s">
        <v>39</v>
      </c>
      <c r="E2334" s="161"/>
      <c r="F2334" s="162" t="s">
        <v>40</v>
      </c>
      <c r="G2334" s="163"/>
      <c r="H2334" s="164"/>
      <c r="I2334" s="163"/>
      <c r="J2334" s="164"/>
      <c r="K2334" s="163"/>
      <c r="L2334" s="164"/>
      <c r="M2334" s="11"/>
      <c r="N2334" s="39"/>
      <c r="Q2334" s="15" t="str">
        <f>+CONCATENATE(E2334,G2334)</f>
        <v/>
      </c>
      <c r="R2334" s="15">
        <f>+H2334</f>
        <v>0</v>
      </c>
      <c r="S2334" s="16"/>
      <c r="T2334" s="15">
        <f>+E2334</f>
        <v>0</v>
      </c>
      <c r="U2334" s="26" t="str">
        <f>IFERROR(LEFT(G2334,FIND("*",G2334)-1),"-")</f>
        <v>-</v>
      </c>
      <c r="V2334" s="26" t="str">
        <f>IFERROR(RIGHT(G2334,LEN(G2334)-FIND("*",G2334)),"-")</f>
        <v>-</v>
      </c>
      <c r="W2334" s="27" t="str">
        <f>IFERROR((U2334+V2334)*2/1000,"-")</f>
        <v>-</v>
      </c>
      <c r="X2334" s="27" t="str">
        <f>IFERROR(W2334*H2334,"-")</f>
        <v>-</v>
      </c>
      <c r="Z2334" s="94" t="s">
        <v>82</v>
      </c>
    </row>
    <row r="2335" spans="1:26" s="25" customFormat="1" ht="6.95" customHeight="1" x14ac:dyDescent="0.3">
      <c r="A2335" s="165"/>
      <c r="B2335" s="168"/>
      <c r="C2335" s="169"/>
      <c r="D2335" s="160"/>
      <c r="E2335" s="161"/>
      <c r="F2335" s="162"/>
      <c r="G2335" s="163"/>
      <c r="H2335" s="164"/>
      <c r="I2335" s="163"/>
      <c r="J2335" s="164"/>
      <c r="K2335" s="163"/>
      <c r="L2335" s="164"/>
      <c r="M2335" s="11"/>
      <c r="N2335" s="39"/>
      <c r="Q2335" s="15" t="str">
        <f>+CONCATENATE(E2334,I2334)</f>
        <v/>
      </c>
      <c r="R2335" s="15">
        <f>+J2334</f>
        <v>0</v>
      </c>
      <c r="S2335" s="16"/>
      <c r="T2335" s="15">
        <f>+E2334</f>
        <v>0</v>
      </c>
      <c r="U2335" s="26" t="str">
        <f>IFERROR(LEFT(I2334,FIND("*",I2334)-1),"-")</f>
        <v>-</v>
      </c>
      <c r="V2335" s="26" t="str">
        <f>IFERROR(RIGHT(I2334,LEN(I2334)-FIND("*",I2334)),"-")</f>
        <v>-</v>
      </c>
      <c r="W2335" s="27" t="str">
        <f t="shared" ref="W2335:W2342" si="1270">IFERROR((U2335+V2335)*2/1000,"-")</f>
        <v>-</v>
      </c>
      <c r="X2335" s="27" t="str">
        <f>IFERROR(W2335*J2334,"-")</f>
        <v>-</v>
      </c>
      <c r="Z2335" s="94" t="s">
        <v>82</v>
      </c>
    </row>
    <row r="2336" spans="1:26" s="25" customFormat="1" ht="6.95" customHeight="1" x14ac:dyDescent="0.3">
      <c r="A2336" s="165"/>
      <c r="B2336" s="168"/>
      <c r="C2336" s="169"/>
      <c r="D2336" s="160"/>
      <c r="E2336" s="161"/>
      <c r="F2336" s="162"/>
      <c r="G2336" s="163"/>
      <c r="H2336" s="164"/>
      <c r="I2336" s="163"/>
      <c r="J2336" s="164"/>
      <c r="K2336" s="163"/>
      <c r="L2336" s="164"/>
      <c r="M2336" s="11"/>
      <c r="N2336" s="39"/>
      <c r="Q2336" s="15" t="str">
        <f>+CONCATENATE(E2334,K2334)</f>
        <v/>
      </c>
      <c r="R2336" s="15">
        <f>+L2334</f>
        <v>0</v>
      </c>
      <c r="S2336" s="16"/>
      <c r="T2336" s="15">
        <f>+E2334</f>
        <v>0</v>
      </c>
      <c r="U2336" s="26" t="str">
        <f>IFERROR(LEFT(K2334,FIND("*",K2334)-1),"-")</f>
        <v>-</v>
      </c>
      <c r="V2336" s="26" t="str">
        <f>IFERROR(RIGHT(K2334,LEN(K2334)-FIND("*",K2334)),"-")</f>
        <v>-</v>
      </c>
      <c r="W2336" s="27" t="str">
        <f t="shared" si="1270"/>
        <v>-</v>
      </c>
      <c r="X2336" s="27" t="str">
        <f>IFERROR(W2336*L2334,"-")</f>
        <v>-</v>
      </c>
      <c r="Z2336" s="94" t="s">
        <v>82</v>
      </c>
    </row>
    <row r="2337" spans="1:26" s="25" customFormat="1" ht="6.95" customHeight="1" x14ac:dyDescent="0.3">
      <c r="A2337" s="13"/>
      <c r="B2337" s="168"/>
      <c r="C2337" s="169"/>
      <c r="D2337" s="160" t="s">
        <v>39</v>
      </c>
      <c r="E2337" s="161"/>
      <c r="F2337" s="162" t="s">
        <v>40</v>
      </c>
      <c r="G2337" s="163"/>
      <c r="H2337" s="164"/>
      <c r="I2337" s="163"/>
      <c r="J2337" s="164"/>
      <c r="K2337" s="163"/>
      <c r="L2337" s="164"/>
      <c r="M2337" s="11"/>
      <c r="N2337" s="39"/>
      <c r="Q2337" s="15" t="str">
        <f>+CONCATENATE(E2337,G2337)</f>
        <v/>
      </c>
      <c r="R2337" s="15">
        <f>+H2337</f>
        <v>0</v>
      </c>
      <c r="S2337" s="16"/>
      <c r="T2337" s="15">
        <f>+E2337</f>
        <v>0</v>
      </c>
      <c r="U2337" s="26" t="str">
        <f t="shared" ref="U2337" si="1271">IFERROR(LEFT(G2337,FIND("*",G2337)-1),"-")</f>
        <v>-</v>
      </c>
      <c r="V2337" s="26" t="str">
        <f t="shared" ref="V2337" si="1272">IFERROR(RIGHT(G2337,LEN(G2337)-FIND("*",G2337)),"-")</f>
        <v>-</v>
      </c>
      <c r="W2337" s="27" t="str">
        <f t="shared" si="1270"/>
        <v>-</v>
      </c>
      <c r="X2337" s="27" t="str">
        <f>IFERROR(W2337*H2337,"-")</f>
        <v>-</v>
      </c>
      <c r="Z2337" s="94" t="s">
        <v>82</v>
      </c>
    </row>
    <row r="2338" spans="1:26" s="25" customFormat="1" ht="6.95" customHeight="1" x14ac:dyDescent="0.3">
      <c r="A2338" s="10"/>
      <c r="B2338" s="168"/>
      <c r="C2338" s="169"/>
      <c r="D2338" s="160"/>
      <c r="E2338" s="161"/>
      <c r="F2338" s="162"/>
      <c r="G2338" s="163"/>
      <c r="H2338" s="164"/>
      <c r="I2338" s="163"/>
      <c r="J2338" s="164"/>
      <c r="K2338" s="163"/>
      <c r="L2338" s="164"/>
      <c r="M2338" s="11"/>
      <c r="N2338" s="39"/>
      <c r="Q2338" s="15" t="str">
        <f>+CONCATENATE(E2337,I2337)</f>
        <v/>
      </c>
      <c r="R2338" s="15">
        <f>+J2337</f>
        <v>0</v>
      </c>
      <c r="S2338" s="16"/>
      <c r="T2338" s="15">
        <f>+E2337</f>
        <v>0</v>
      </c>
      <c r="U2338" s="26" t="str">
        <f>IFERROR(LEFT(I2337,FIND("*",I2337)-1),"-")</f>
        <v>-</v>
      </c>
      <c r="V2338" s="26" t="str">
        <f>IFERROR(RIGHT(I2337,LEN(I2337)-FIND("*",I2337)),"-")</f>
        <v>-</v>
      </c>
      <c r="W2338" s="27" t="str">
        <f t="shared" si="1270"/>
        <v>-</v>
      </c>
      <c r="X2338" s="27" t="str">
        <f>IFERROR(W2338*J2337,"-")</f>
        <v>-</v>
      </c>
      <c r="Z2338" s="94" t="s">
        <v>82</v>
      </c>
    </row>
    <row r="2339" spans="1:26" s="25" customFormat="1" ht="6.95" customHeight="1" x14ac:dyDescent="0.3">
      <c r="A2339" s="10"/>
      <c r="B2339" s="168"/>
      <c r="C2339" s="169"/>
      <c r="D2339" s="160"/>
      <c r="E2339" s="161"/>
      <c r="F2339" s="162"/>
      <c r="G2339" s="163"/>
      <c r="H2339" s="164"/>
      <c r="I2339" s="163"/>
      <c r="J2339" s="164"/>
      <c r="K2339" s="163"/>
      <c r="L2339" s="164"/>
      <c r="M2339" s="11"/>
      <c r="N2339" s="39"/>
      <c r="Q2339" s="15" t="str">
        <f>+CONCATENATE(E2337,K2337)</f>
        <v/>
      </c>
      <c r="R2339" s="15">
        <f>+L2337</f>
        <v>0</v>
      </c>
      <c r="S2339" s="16"/>
      <c r="T2339" s="15">
        <f>+E2337</f>
        <v>0</v>
      </c>
      <c r="U2339" s="26" t="str">
        <f>IFERROR(LEFT(K2337,FIND("*",K2337)-1),"-")</f>
        <v>-</v>
      </c>
      <c r="V2339" s="26" t="str">
        <f>IFERROR(RIGHT(K2337,LEN(K2337)-FIND("*",K2337)),"-")</f>
        <v>-</v>
      </c>
      <c r="W2339" s="27" t="str">
        <f t="shared" si="1270"/>
        <v>-</v>
      </c>
      <c r="X2339" s="27" t="str">
        <f>IFERROR(W2339*L2337,"-")</f>
        <v>-</v>
      </c>
      <c r="Z2339" s="94" t="s">
        <v>82</v>
      </c>
    </row>
    <row r="2340" spans="1:26" s="25" customFormat="1" ht="6.95" customHeight="1" x14ac:dyDescent="0.3">
      <c r="A2340" s="13"/>
      <c r="B2340" s="168"/>
      <c r="C2340" s="169"/>
      <c r="D2340" s="160" t="s">
        <v>39</v>
      </c>
      <c r="E2340" s="161"/>
      <c r="F2340" s="162" t="s">
        <v>40</v>
      </c>
      <c r="G2340" s="163"/>
      <c r="H2340" s="164"/>
      <c r="I2340" s="163"/>
      <c r="J2340" s="164"/>
      <c r="K2340" s="163"/>
      <c r="L2340" s="164"/>
      <c r="M2340" s="11"/>
      <c r="N2340" s="39"/>
      <c r="Q2340" s="15" t="str">
        <f>+CONCATENATE(E2340,G2340)</f>
        <v/>
      </c>
      <c r="R2340" s="15">
        <f>+H2340</f>
        <v>0</v>
      </c>
      <c r="S2340" s="16"/>
      <c r="T2340" s="15">
        <f>+E2340</f>
        <v>0</v>
      </c>
      <c r="U2340" s="26" t="str">
        <f t="shared" ref="U2340" si="1273">IFERROR(LEFT(G2340,FIND("*",G2340)-1),"-")</f>
        <v>-</v>
      </c>
      <c r="V2340" s="26" t="str">
        <f t="shared" ref="V2340" si="1274">IFERROR(RIGHT(G2340,LEN(G2340)-FIND("*",G2340)),"-")</f>
        <v>-</v>
      </c>
      <c r="W2340" s="27" t="str">
        <f t="shared" si="1270"/>
        <v>-</v>
      </c>
      <c r="X2340" s="27" t="str">
        <f>IFERROR(W2340*H2340,"-")</f>
        <v>-</v>
      </c>
      <c r="Z2340" s="94" t="s">
        <v>82</v>
      </c>
    </row>
    <row r="2341" spans="1:26" s="25" customFormat="1" ht="6.95" customHeight="1" x14ac:dyDescent="0.3">
      <c r="A2341" s="10"/>
      <c r="B2341" s="168"/>
      <c r="C2341" s="169"/>
      <c r="D2341" s="160"/>
      <c r="E2341" s="161"/>
      <c r="F2341" s="162"/>
      <c r="G2341" s="163"/>
      <c r="H2341" s="164"/>
      <c r="I2341" s="163"/>
      <c r="J2341" s="164"/>
      <c r="K2341" s="163"/>
      <c r="L2341" s="164"/>
      <c r="M2341" s="11"/>
      <c r="N2341" s="39"/>
      <c r="Q2341" s="15" t="str">
        <f>+CONCATENATE(E2340,I2340)</f>
        <v/>
      </c>
      <c r="R2341" s="15">
        <f>+J2340</f>
        <v>0</v>
      </c>
      <c r="S2341" s="16"/>
      <c r="T2341" s="15">
        <f>+E2340</f>
        <v>0</v>
      </c>
      <c r="U2341" s="26" t="str">
        <f>IFERROR(LEFT(I2340,FIND("*",I2340)-1),"-")</f>
        <v>-</v>
      </c>
      <c r="V2341" s="26" t="str">
        <f>IFERROR(RIGHT(I2340,LEN(I2340)-FIND("*",I2340)),"-")</f>
        <v>-</v>
      </c>
      <c r="W2341" s="27" t="str">
        <f t="shared" si="1270"/>
        <v>-</v>
      </c>
      <c r="X2341" s="27" t="str">
        <f t="shared" ref="X2341" si="1275">IFERROR(W2341*J2340,"-")</f>
        <v>-</v>
      </c>
      <c r="Z2341" s="94" t="s">
        <v>82</v>
      </c>
    </row>
    <row r="2342" spans="1:26" s="25" customFormat="1" ht="6.95" customHeight="1" x14ac:dyDescent="0.3">
      <c r="A2342" s="10"/>
      <c r="B2342" s="168"/>
      <c r="C2342" s="169"/>
      <c r="D2342" s="160"/>
      <c r="E2342" s="161"/>
      <c r="F2342" s="162"/>
      <c r="G2342" s="163"/>
      <c r="H2342" s="164"/>
      <c r="I2342" s="163"/>
      <c r="J2342" s="164"/>
      <c r="K2342" s="163"/>
      <c r="L2342" s="164"/>
      <c r="M2342" s="11"/>
      <c r="N2342" s="39"/>
      <c r="Q2342" s="15" t="str">
        <f>+CONCATENATE(E2340,K2340)</f>
        <v/>
      </c>
      <c r="R2342" s="15">
        <f>+L2340</f>
        <v>0</v>
      </c>
      <c r="S2342" s="16"/>
      <c r="T2342" s="15">
        <f>+E2340</f>
        <v>0</v>
      </c>
      <c r="U2342" s="26" t="str">
        <f>IFERROR(LEFT(K2340,FIND("*",K2340)-1),"-")</f>
        <v>-</v>
      </c>
      <c r="V2342" s="26" t="str">
        <f>IFERROR(RIGHT(K2340,LEN(K2340)-FIND("*",K2340)),"-")</f>
        <v>-</v>
      </c>
      <c r="W2342" s="27" t="str">
        <f t="shared" si="1270"/>
        <v>-</v>
      </c>
      <c r="X2342" s="27" t="str">
        <f>IFERROR(W2342*L2340,"-")</f>
        <v>-</v>
      </c>
      <c r="Z2342" s="94" t="s">
        <v>82</v>
      </c>
    </row>
    <row r="2343" spans="1:26" s="25" customFormat="1" ht="21" customHeight="1" thickBot="1" x14ac:dyDescent="0.35">
      <c r="A2343" s="10"/>
      <c r="B2343" s="170"/>
      <c r="C2343" s="171"/>
      <c r="D2343" s="172" t="s">
        <v>43</v>
      </c>
      <c r="E2343" s="173"/>
      <c r="F2343" s="173"/>
      <c r="G2343" s="174"/>
      <c r="H2343" s="174"/>
      <c r="I2343" s="174"/>
      <c r="J2343" s="174"/>
      <c r="K2343" s="174"/>
      <c r="L2343" s="174"/>
      <c r="M2343" s="12"/>
      <c r="N2343" s="39"/>
      <c r="U2343" s="23"/>
      <c r="V2343" s="23"/>
      <c r="Z2343" s="95" t="s">
        <v>81</v>
      </c>
    </row>
    <row r="2344" spans="1:26" s="25" customFormat="1" ht="9.9499999999999993" customHeight="1" thickBot="1" x14ac:dyDescent="0.35">
      <c r="A2344" s="6"/>
      <c r="B2344" s="14"/>
      <c r="C2344" s="119"/>
      <c r="D2344" s="58"/>
      <c r="E2344" s="17"/>
      <c r="F2344" s="58"/>
      <c r="G2344" s="19"/>
      <c r="H2344" s="19"/>
      <c r="I2344" s="19"/>
      <c r="J2344" s="19"/>
      <c r="K2344" s="19"/>
      <c r="L2344" s="19"/>
      <c r="M2344" s="14"/>
      <c r="N2344" s="39"/>
      <c r="Q2344" s="1"/>
      <c r="R2344" s="1"/>
      <c r="S2344" s="1"/>
      <c r="T2344" s="1"/>
      <c r="U2344" s="24"/>
      <c r="V2344" s="24"/>
      <c r="W2344" s="1"/>
      <c r="X2344" s="1"/>
      <c r="Z2344" s="94" t="s">
        <v>82</v>
      </c>
    </row>
    <row r="2345" spans="1:26" s="25" customFormat="1" ht="6.95" customHeight="1" x14ac:dyDescent="0.3">
      <c r="A2345" s="165">
        <f>+A2334+1</f>
        <v>214</v>
      </c>
      <c r="B2345" s="166"/>
      <c r="C2345" s="167"/>
      <c r="D2345" s="160" t="s">
        <v>39</v>
      </c>
      <c r="E2345" s="161"/>
      <c r="F2345" s="162" t="s">
        <v>40</v>
      </c>
      <c r="G2345" s="163"/>
      <c r="H2345" s="164"/>
      <c r="I2345" s="163"/>
      <c r="J2345" s="164"/>
      <c r="K2345" s="163"/>
      <c r="L2345" s="164"/>
      <c r="M2345" s="11"/>
      <c r="N2345" s="39"/>
      <c r="Q2345" s="15" t="str">
        <f>+CONCATENATE(E2345,G2345)</f>
        <v/>
      </c>
      <c r="R2345" s="15">
        <f>+H2345</f>
        <v>0</v>
      </c>
      <c r="S2345" s="16"/>
      <c r="T2345" s="15">
        <f>+E2345</f>
        <v>0</v>
      </c>
      <c r="U2345" s="26" t="str">
        <f>IFERROR(LEFT(G2345,FIND("*",G2345)-1),"-")</f>
        <v>-</v>
      </c>
      <c r="V2345" s="26" t="str">
        <f>IFERROR(RIGHT(G2345,LEN(G2345)-FIND("*",G2345)),"-")</f>
        <v>-</v>
      </c>
      <c r="W2345" s="27" t="str">
        <f>IFERROR((U2345+V2345)*2/1000,"-")</f>
        <v>-</v>
      </c>
      <c r="X2345" s="27" t="str">
        <f>IFERROR(W2345*H2345,"-")</f>
        <v>-</v>
      </c>
      <c r="Z2345" s="94" t="s">
        <v>82</v>
      </c>
    </row>
    <row r="2346" spans="1:26" s="25" customFormat="1" ht="6.95" customHeight="1" x14ac:dyDescent="0.3">
      <c r="A2346" s="165"/>
      <c r="B2346" s="168"/>
      <c r="C2346" s="169"/>
      <c r="D2346" s="160"/>
      <c r="E2346" s="161"/>
      <c r="F2346" s="162"/>
      <c r="G2346" s="163"/>
      <c r="H2346" s="164"/>
      <c r="I2346" s="163"/>
      <c r="J2346" s="164"/>
      <c r="K2346" s="163"/>
      <c r="L2346" s="164"/>
      <c r="M2346" s="11"/>
      <c r="N2346" s="39"/>
      <c r="Q2346" s="15" t="str">
        <f>+CONCATENATE(E2345,I2345)</f>
        <v/>
      </c>
      <c r="R2346" s="15">
        <f>+J2345</f>
        <v>0</v>
      </c>
      <c r="S2346" s="16"/>
      <c r="T2346" s="15">
        <f>+E2345</f>
        <v>0</v>
      </c>
      <c r="U2346" s="26" t="str">
        <f>IFERROR(LEFT(I2345,FIND("*",I2345)-1),"-")</f>
        <v>-</v>
      </c>
      <c r="V2346" s="26" t="str">
        <f>IFERROR(RIGHT(I2345,LEN(I2345)-FIND("*",I2345)),"-")</f>
        <v>-</v>
      </c>
      <c r="W2346" s="27" t="str">
        <f t="shared" ref="W2346:W2353" si="1276">IFERROR((U2346+V2346)*2/1000,"-")</f>
        <v>-</v>
      </c>
      <c r="X2346" s="27" t="str">
        <f>IFERROR(W2346*J2345,"-")</f>
        <v>-</v>
      </c>
      <c r="Z2346" s="94" t="s">
        <v>82</v>
      </c>
    </row>
    <row r="2347" spans="1:26" s="25" customFormat="1" ht="6.95" customHeight="1" x14ac:dyDescent="0.3">
      <c r="A2347" s="165"/>
      <c r="B2347" s="168"/>
      <c r="C2347" s="169"/>
      <c r="D2347" s="160"/>
      <c r="E2347" s="161"/>
      <c r="F2347" s="162"/>
      <c r="G2347" s="163"/>
      <c r="H2347" s="164"/>
      <c r="I2347" s="163"/>
      <c r="J2347" s="164"/>
      <c r="K2347" s="163"/>
      <c r="L2347" s="164"/>
      <c r="M2347" s="11"/>
      <c r="N2347" s="39"/>
      <c r="Q2347" s="15" t="str">
        <f>+CONCATENATE(E2345,K2345)</f>
        <v/>
      </c>
      <c r="R2347" s="15">
        <f>+L2345</f>
        <v>0</v>
      </c>
      <c r="S2347" s="16"/>
      <c r="T2347" s="15">
        <f>+E2345</f>
        <v>0</v>
      </c>
      <c r="U2347" s="26" t="str">
        <f>IFERROR(LEFT(K2345,FIND("*",K2345)-1),"-")</f>
        <v>-</v>
      </c>
      <c r="V2347" s="26" t="str">
        <f>IFERROR(RIGHT(K2345,LEN(K2345)-FIND("*",K2345)),"-")</f>
        <v>-</v>
      </c>
      <c r="W2347" s="27" t="str">
        <f t="shared" si="1276"/>
        <v>-</v>
      </c>
      <c r="X2347" s="27" t="str">
        <f>IFERROR(W2347*L2345,"-")</f>
        <v>-</v>
      </c>
      <c r="Z2347" s="94" t="s">
        <v>82</v>
      </c>
    </row>
    <row r="2348" spans="1:26" s="25" customFormat="1" ht="6.95" customHeight="1" x14ac:dyDescent="0.3">
      <c r="A2348" s="13"/>
      <c r="B2348" s="168"/>
      <c r="C2348" s="169"/>
      <c r="D2348" s="160" t="s">
        <v>39</v>
      </c>
      <c r="E2348" s="161"/>
      <c r="F2348" s="162" t="s">
        <v>40</v>
      </c>
      <c r="G2348" s="163"/>
      <c r="H2348" s="164"/>
      <c r="I2348" s="163"/>
      <c r="J2348" s="164"/>
      <c r="K2348" s="163"/>
      <c r="L2348" s="164"/>
      <c r="M2348" s="11"/>
      <c r="N2348" s="39"/>
      <c r="Q2348" s="15" t="str">
        <f>+CONCATENATE(E2348,G2348)</f>
        <v/>
      </c>
      <c r="R2348" s="15">
        <f>+H2348</f>
        <v>0</v>
      </c>
      <c r="S2348" s="16"/>
      <c r="T2348" s="15">
        <f>+E2348</f>
        <v>0</v>
      </c>
      <c r="U2348" s="26" t="str">
        <f t="shared" ref="U2348" si="1277">IFERROR(LEFT(G2348,FIND("*",G2348)-1),"-")</f>
        <v>-</v>
      </c>
      <c r="V2348" s="26" t="str">
        <f t="shared" ref="V2348" si="1278">IFERROR(RIGHT(G2348,LEN(G2348)-FIND("*",G2348)),"-")</f>
        <v>-</v>
      </c>
      <c r="W2348" s="27" t="str">
        <f t="shared" si="1276"/>
        <v>-</v>
      </c>
      <c r="X2348" s="27" t="str">
        <f>IFERROR(W2348*H2348,"-")</f>
        <v>-</v>
      </c>
      <c r="Z2348" s="94" t="s">
        <v>82</v>
      </c>
    </row>
    <row r="2349" spans="1:26" s="25" customFormat="1" ht="6.95" customHeight="1" x14ac:dyDescent="0.3">
      <c r="A2349" s="10"/>
      <c r="B2349" s="168"/>
      <c r="C2349" s="169"/>
      <c r="D2349" s="160"/>
      <c r="E2349" s="161"/>
      <c r="F2349" s="162"/>
      <c r="G2349" s="163"/>
      <c r="H2349" s="164"/>
      <c r="I2349" s="163"/>
      <c r="J2349" s="164"/>
      <c r="K2349" s="163"/>
      <c r="L2349" s="164"/>
      <c r="M2349" s="11"/>
      <c r="N2349" s="39"/>
      <c r="Q2349" s="15" t="str">
        <f>+CONCATENATE(E2348,I2348)</f>
        <v/>
      </c>
      <c r="R2349" s="15">
        <f>+J2348</f>
        <v>0</v>
      </c>
      <c r="S2349" s="16"/>
      <c r="T2349" s="15">
        <f>+E2348</f>
        <v>0</v>
      </c>
      <c r="U2349" s="26" t="str">
        <f>IFERROR(LEFT(I2348,FIND("*",I2348)-1),"-")</f>
        <v>-</v>
      </c>
      <c r="V2349" s="26" t="str">
        <f>IFERROR(RIGHT(I2348,LEN(I2348)-FIND("*",I2348)),"-")</f>
        <v>-</v>
      </c>
      <c r="W2349" s="27" t="str">
        <f t="shared" si="1276"/>
        <v>-</v>
      </c>
      <c r="X2349" s="27" t="str">
        <f>IFERROR(W2349*J2348,"-")</f>
        <v>-</v>
      </c>
      <c r="Z2349" s="94" t="s">
        <v>82</v>
      </c>
    </row>
    <row r="2350" spans="1:26" s="25" customFormat="1" ht="6.95" customHeight="1" x14ac:dyDescent="0.3">
      <c r="A2350" s="10"/>
      <c r="B2350" s="168"/>
      <c r="C2350" s="169"/>
      <c r="D2350" s="160"/>
      <c r="E2350" s="161"/>
      <c r="F2350" s="162"/>
      <c r="G2350" s="163"/>
      <c r="H2350" s="164"/>
      <c r="I2350" s="163"/>
      <c r="J2350" s="164"/>
      <c r="K2350" s="163"/>
      <c r="L2350" s="164"/>
      <c r="M2350" s="11"/>
      <c r="N2350" s="39"/>
      <c r="Q2350" s="15" t="str">
        <f>+CONCATENATE(E2348,K2348)</f>
        <v/>
      </c>
      <c r="R2350" s="15">
        <f>+L2348</f>
        <v>0</v>
      </c>
      <c r="S2350" s="16"/>
      <c r="T2350" s="15">
        <f>+E2348</f>
        <v>0</v>
      </c>
      <c r="U2350" s="26" t="str">
        <f>IFERROR(LEFT(K2348,FIND("*",K2348)-1),"-")</f>
        <v>-</v>
      </c>
      <c r="V2350" s="26" t="str">
        <f>IFERROR(RIGHT(K2348,LEN(K2348)-FIND("*",K2348)),"-")</f>
        <v>-</v>
      </c>
      <c r="W2350" s="27" t="str">
        <f t="shared" si="1276"/>
        <v>-</v>
      </c>
      <c r="X2350" s="27" t="str">
        <f>IFERROR(W2350*L2348,"-")</f>
        <v>-</v>
      </c>
      <c r="Z2350" s="94" t="s">
        <v>82</v>
      </c>
    </row>
    <row r="2351" spans="1:26" s="25" customFormat="1" ht="6.95" customHeight="1" x14ac:dyDescent="0.3">
      <c r="A2351" s="13"/>
      <c r="B2351" s="168"/>
      <c r="C2351" s="169"/>
      <c r="D2351" s="160" t="s">
        <v>39</v>
      </c>
      <c r="E2351" s="161"/>
      <c r="F2351" s="162" t="s">
        <v>40</v>
      </c>
      <c r="G2351" s="163"/>
      <c r="H2351" s="164"/>
      <c r="I2351" s="163"/>
      <c r="J2351" s="164"/>
      <c r="K2351" s="163"/>
      <c r="L2351" s="164"/>
      <c r="M2351" s="11"/>
      <c r="N2351" s="39"/>
      <c r="Q2351" s="15" t="str">
        <f>+CONCATENATE(E2351,G2351)</f>
        <v/>
      </c>
      <c r="R2351" s="15">
        <f>+H2351</f>
        <v>0</v>
      </c>
      <c r="S2351" s="16"/>
      <c r="T2351" s="15">
        <f>+E2351</f>
        <v>0</v>
      </c>
      <c r="U2351" s="26" t="str">
        <f t="shared" ref="U2351" si="1279">IFERROR(LEFT(G2351,FIND("*",G2351)-1),"-")</f>
        <v>-</v>
      </c>
      <c r="V2351" s="26" t="str">
        <f t="shared" ref="V2351" si="1280">IFERROR(RIGHT(G2351,LEN(G2351)-FIND("*",G2351)),"-")</f>
        <v>-</v>
      </c>
      <c r="W2351" s="27" t="str">
        <f t="shared" si="1276"/>
        <v>-</v>
      </c>
      <c r="X2351" s="27" t="str">
        <f>IFERROR(W2351*H2351,"-")</f>
        <v>-</v>
      </c>
      <c r="Z2351" s="94" t="s">
        <v>82</v>
      </c>
    </row>
    <row r="2352" spans="1:26" s="25" customFormat="1" ht="6.95" customHeight="1" x14ac:dyDescent="0.3">
      <c r="A2352" s="10"/>
      <c r="B2352" s="168"/>
      <c r="C2352" s="169"/>
      <c r="D2352" s="160"/>
      <c r="E2352" s="161"/>
      <c r="F2352" s="162"/>
      <c r="G2352" s="163"/>
      <c r="H2352" s="164"/>
      <c r="I2352" s="163"/>
      <c r="J2352" s="164"/>
      <c r="K2352" s="163"/>
      <c r="L2352" s="164"/>
      <c r="M2352" s="11"/>
      <c r="N2352" s="39"/>
      <c r="Q2352" s="15" t="str">
        <f>+CONCATENATE(E2351,I2351)</f>
        <v/>
      </c>
      <c r="R2352" s="15">
        <f>+J2351</f>
        <v>0</v>
      </c>
      <c r="S2352" s="16"/>
      <c r="T2352" s="15">
        <f>+E2351</f>
        <v>0</v>
      </c>
      <c r="U2352" s="26" t="str">
        <f>IFERROR(LEFT(I2351,FIND("*",I2351)-1),"-")</f>
        <v>-</v>
      </c>
      <c r="V2352" s="26" t="str">
        <f>IFERROR(RIGHT(I2351,LEN(I2351)-FIND("*",I2351)),"-")</f>
        <v>-</v>
      </c>
      <c r="W2352" s="27" t="str">
        <f t="shared" si="1276"/>
        <v>-</v>
      </c>
      <c r="X2352" s="27" t="str">
        <f t="shared" ref="X2352" si="1281">IFERROR(W2352*J2351,"-")</f>
        <v>-</v>
      </c>
      <c r="Z2352" s="94" t="s">
        <v>82</v>
      </c>
    </row>
    <row r="2353" spans="1:26" s="25" customFormat="1" ht="6.95" customHeight="1" x14ac:dyDescent="0.3">
      <c r="A2353" s="10"/>
      <c r="B2353" s="168"/>
      <c r="C2353" s="169"/>
      <c r="D2353" s="160"/>
      <c r="E2353" s="161"/>
      <c r="F2353" s="162"/>
      <c r="G2353" s="163"/>
      <c r="H2353" s="164"/>
      <c r="I2353" s="163"/>
      <c r="J2353" s="164"/>
      <c r="K2353" s="163"/>
      <c r="L2353" s="164"/>
      <c r="M2353" s="11"/>
      <c r="N2353" s="39"/>
      <c r="Q2353" s="15" t="str">
        <f>+CONCATENATE(E2351,K2351)</f>
        <v/>
      </c>
      <c r="R2353" s="15">
        <f>+L2351</f>
        <v>0</v>
      </c>
      <c r="S2353" s="16"/>
      <c r="T2353" s="15">
        <f>+E2351</f>
        <v>0</v>
      </c>
      <c r="U2353" s="26" t="str">
        <f>IFERROR(LEFT(K2351,FIND("*",K2351)-1),"-")</f>
        <v>-</v>
      </c>
      <c r="V2353" s="26" t="str">
        <f>IFERROR(RIGHT(K2351,LEN(K2351)-FIND("*",K2351)),"-")</f>
        <v>-</v>
      </c>
      <c r="W2353" s="27" t="str">
        <f t="shared" si="1276"/>
        <v>-</v>
      </c>
      <c r="X2353" s="27" t="str">
        <f>IFERROR(W2353*L2351,"-")</f>
        <v>-</v>
      </c>
      <c r="Z2353" s="94" t="s">
        <v>82</v>
      </c>
    </row>
    <row r="2354" spans="1:26" s="25" customFormat="1" ht="21" customHeight="1" thickBot="1" x14ac:dyDescent="0.35">
      <c r="A2354" s="10"/>
      <c r="B2354" s="170"/>
      <c r="C2354" s="171"/>
      <c r="D2354" s="172" t="s">
        <v>43</v>
      </c>
      <c r="E2354" s="173"/>
      <c r="F2354" s="173"/>
      <c r="G2354" s="174"/>
      <c r="H2354" s="174"/>
      <c r="I2354" s="174"/>
      <c r="J2354" s="174"/>
      <c r="K2354" s="174"/>
      <c r="L2354" s="174"/>
      <c r="M2354" s="12"/>
      <c r="N2354" s="39"/>
      <c r="U2354" s="23"/>
      <c r="V2354" s="23"/>
      <c r="Z2354" s="95" t="s">
        <v>81</v>
      </c>
    </row>
    <row r="2355" spans="1:26" s="25" customFormat="1" ht="9.9499999999999993" customHeight="1" thickBot="1" x14ac:dyDescent="0.35">
      <c r="A2355" s="6"/>
      <c r="B2355" s="14"/>
      <c r="C2355" s="119"/>
      <c r="D2355" s="58"/>
      <c r="E2355" s="17"/>
      <c r="F2355" s="58"/>
      <c r="G2355" s="19"/>
      <c r="H2355" s="19"/>
      <c r="I2355" s="19"/>
      <c r="J2355" s="19"/>
      <c r="K2355" s="19"/>
      <c r="L2355" s="19"/>
      <c r="M2355" s="14"/>
      <c r="N2355" s="39"/>
      <c r="Q2355" s="1"/>
      <c r="R2355" s="1"/>
      <c r="S2355" s="1"/>
      <c r="T2355" s="1"/>
      <c r="U2355" s="24"/>
      <c r="V2355" s="24"/>
      <c r="W2355" s="1"/>
      <c r="X2355" s="1"/>
      <c r="Z2355" s="94" t="s">
        <v>82</v>
      </c>
    </row>
    <row r="2356" spans="1:26" s="25" customFormat="1" ht="6.95" customHeight="1" x14ac:dyDescent="0.3">
      <c r="A2356" s="165">
        <f>+A2345+1</f>
        <v>215</v>
      </c>
      <c r="B2356" s="166"/>
      <c r="C2356" s="167"/>
      <c r="D2356" s="160" t="s">
        <v>39</v>
      </c>
      <c r="E2356" s="161"/>
      <c r="F2356" s="162" t="s">
        <v>40</v>
      </c>
      <c r="G2356" s="163"/>
      <c r="H2356" s="164"/>
      <c r="I2356" s="163"/>
      <c r="J2356" s="164"/>
      <c r="K2356" s="163"/>
      <c r="L2356" s="164"/>
      <c r="M2356" s="11"/>
      <c r="N2356" s="39"/>
      <c r="Q2356" s="15" t="str">
        <f>+CONCATENATE(E2356,G2356)</f>
        <v/>
      </c>
      <c r="R2356" s="15">
        <f>+H2356</f>
        <v>0</v>
      </c>
      <c r="S2356" s="16"/>
      <c r="T2356" s="15">
        <f>+E2356</f>
        <v>0</v>
      </c>
      <c r="U2356" s="26" t="str">
        <f>IFERROR(LEFT(G2356,FIND("*",G2356)-1),"-")</f>
        <v>-</v>
      </c>
      <c r="V2356" s="26" t="str">
        <f>IFERROR(RIGHT(G2356,LEN(G2356)-FIND("*",G2356)),"-")</f>
        <v>-</v>
      </c>
      <c r="W2356" s="27" t="str">
        <f>IFERROR((U2356+V2356)*2/1000,"-")</f>
        <v>-</v>
      </c>
      <c r="X2356" s="27" t="str">
        <f>IFERROR(W2356*H2356,"-")</f>
        <v>-</v>
      </c>
      <c r="Z2356" s="94" t="s">
        <v>82</v>
      </c>
    </row>
    <row r="2357" spans="1:26" s="25" customFormat="1" ht="6.95" customHeight="1" x14ac:dyDescent="0.3">
      <c r="A2357" s="165"/>
      <c r="B2357" s="168"/>
      <c r="C2357" s="169"/>
      <c r="D2357" s="160"/>
      <c r="E2357" s="161"/>
      <c r="F2357" s="162"/>
      <c r="G2357" s="163"/>
      <c r="H2357" s="164"/>
      <c r="I2357" s="163"/>
      <c r="J2357" s="164"/>
      <c r="K2357" s="163"/>
      <c r="L2357" s="164"/>
      <c r="M2357" s="11"/>
      <c r="N2357" s="39"/>
      <c r="Q2357" s="15" t="str">
        <f>+CONCATENATE(E2356,I2356)</f>
        <v/>
      </c>
      <c r="R2357" s="15">
        <f>+J2356</f>
        <v>0</v>
      </c>
      <c r="S2357" s="16"/>
      <c r="T2357" s="15">
        <f>+E2356</f>
        <v>0</v>
      </c>
      <c r="U2357" s="26" t="str">
        <f>IFERROR(LEFT(I2356,FIND("*",I2356)-1),"-")</f>
        <v>-</v>
      </c>
      <c r="V2357" s="26" t="str">
        <f>IFERROR(RIGHT(I2356,LEN(I2356)-FIND("*",I2356)),"-")</f>
        <v>-</v>
      </c>
      <c r="W2357" s="27" t="str">
        <f t="shared" ref="W2357:W2364" si="1282">IFERROR((U2357+V2357)*2/1000,"-")</f>
        <v>-</v>
      </c>
      <c r="X2357" s="27" t="str">
        <f>IFERROR(W2357*J2356,"-")</f>
        <v>-</v>
      </c>
      <c r="Z2357" s="94" t="s">
        <v>82</v>
      </c>
    </row>
    <row r="2358" spans="1:26" s="25" customFormat="1" ht="6.95" customHeight="1" x14ac:dyDescent="0.3">
      <c r="A2358" s="165"/>
      <c r="B2358" s="168"/>
      <c r="C2358" s="169"/>
      <c r="D2358" s="160"/>
      <c r="E2358" s="161"/>
      <c r="F2358" s="162"/>
      <c r="G2358" s="163"/>
      <c r="H2358" s="164"/>
      <c r="I2358" s="163"/>
      <c r="J2358" s="164"/>
      <c r="K2358" s="163"/>
      <c r="L2358" s="164"/>
      <c r="M2358" s="11"/>
      <c r="N2358" s="39"/>
      <c r="Q2358" s="15" t="str">
        <f>+CONCATENATE(E2356,K2356)</f>
        <v/>
      </c>
      <c r="R2358" s="15">
        <f>+L2356</f>
        <v>0</v>
      </c>
      <c r="S2358" s="16"/>
      <c r="T2358" s="15">
        <f>+E2356</f>
        <v>0</v>
      </c>
      <c r="U2358" s="26" t="str">
        <f>IFERROR(LEFT(K2356,FIND("*",K2356)-1),"-")</f>
        <v>-</v>
      </c>
      <c r="V2358" s="26" t="str">
        <f>IFERROR(RIGHT(K2356,LEN(K2356)-FIND("*",K2356)),"-")</f>
        <v>-</v>
      </c>
      <c r="W2358" s="27" t="str">
        <f t="shared" si="1282"/>
        <v>-</v>
      </c>
      <c r="X2358" s="27" t="str">
        <f>IFERROR(W2358*L2356,"-")</f>
        <v>-</v>
      </c>
      <c r="Z2358" s="94" t="s">
        <v>82</v>
      </c>
    </row>
    <row r="2359" spans="1:26" s="25" customFormat="1" ht="6.95" customHeight="1" x14ac:dyDescent="0.3">
      <c r="A2359" s="13"/>
      <c r="B2359" s="168"/>
      <c r="C2359" s="169"/>
      <c r="D2359" s="160" t="s">
        <v>39</v>
      </c>
      <c r="E2359" s="161"/>
      <c r="F2359" s="162" t="s">
        <v>40</v>
      </c>
      <c r="G2359" s="163"/>
      <c r="H2359" s="164"/>
      <c r="I2359" s="163"/>
      <c r="J2359" s="164"/>
      <c r="K2359" s="163"/>
      <c r="L2359" s="164"/>
      <c r="M2359" s="11"/>
      <c r="N2359" s="39"/>
      <c r="Q2359" s="15" t="str">
        <f>+CONCATENATE(E2359,G2359)</f>
        <v/>
      </c>
      <c r="R2359" s="15">
        <f>+H2359</f>
        <v>0</v>
      </c>
      <c r="S2359" s="16"/>
      <c r="T2359" s="15">
        <f>+E2359</f>
        <v>0</v>
      </c>
      <c r="U2359" s="26" t="str">
        <f t="shared" ref="U2359" si="1283">IFERROR(LEFT(G2359,FIND("*",G2359)-1),"-")</f>
        <v>-</v>
      </c>
      <c r="V2359" s="26" t="str">
        <f t="shared" ref="V2359" si="1284">IFERROR(RIGHT(G2359,LEN(G2359)-FIND("*",G2359)),"-")</f>
        <v>-</v>
      </c>
      <c r="W2359" s="27" t="str">
        <f t="shared" si="1282"/>
        <v>-</v>
      </c>
      <c r="X2359" s="27" t="str">
        <f>IFERROR(W2359*H2359,"-")</f>
        <v>-</v>
      </c>
      <c r="Z2359" s="94" t="s">
        <v>82</v>
      </c>
    </row>
    <row r="2360" spans="1:26" s="25" customFormat="1" ht="6.95" customHeight="1" x14ac:dyDescent="0.3">
      <c r="A2360" s="10"/>
      <c r="B2360" s="168"/>
      <c r="C2360" s="169"/>
      <c r="D2360" s="160"/>
      <c r="E2360" s="161"/>
      <c r="F2360" s="162"/>
      <c r="G2360" s="163"/>
      <c r="H2360" s="164"/>
      <c r="I2360" s="163"/>
      <c r="J2360" s="164"/>
      <c r="K2360" s="163"/>
      <c r="L2360" s="164"/>
      <c r="M2360" s="11"/>
      <c r="N2360" s="39"/>
      <c r="Q2360" s="15" t="str">
        <f>+CONCATENATE(E2359,I2359)</f>
        <v/>
      </c>
      <c r="R2360" s="15">
        <f>+J2359</f>
        <v>0</v>
      </c>
      <c r="S2360" s="16"/>
      <c r="T2360" s="15">
        <f>+E2359</f>
        <v>0</v>
      </c>
      <c r="U2360" s="26" t="str">
        <f>IFERROR(LEFT(I2359,FIND("*",I2359)-1),"-")</f>
        <v>-</v>
      </c>
      <c r="V2360" s="26" t="str">
        <f>IFERROR(RIGHT(I2359,LEN(I2359)-FIND("*",I2359)),"-")</f>
        <v>-</v>
      </c>
      <c r="W2360" s="27" t="str">
        <f t="shared" si="1282"/>
        <v>-</v>
      </c>
      <c r="X2360" s="27" t="str">
        <f>IFERROR(W2360*J2359,"-")</f>
        <v>-</v>
      </c>
      <c r="Z2360" s="94" t="s">
        <v>82</v>
      </c>
    </row>
    <row r="2361" spans="1:26" s="25" customFormat="1" ht="6.95" customHeight="1" x14ac:dyDescent="0.3">
      <c r="A2361" s="10"/>
      <c r="B2361" s="168"/>
      <c r="C2361" s="169"/>
      <c r="D2361" s="160"/>
      <c r="E2361" s="161"/>
      <c r="F2361" s="162"/>
      <c r="G2361" s="163"/>
      <c r="H2361" s="164"/>
      <c r="I2361" s="163"/>
      <c r="J2361" s="164"/>
      <c r="K2361" s="163"/>
      <c r="L2361" s="164"/>
      <c r="M2361" s="11"/>
      <c r="N2361" s="39"/>
      <c r="Q2361" s="15" t="str">
        <f>+CONCATENATE(E2359,K2359)</f>
        <v/>
      </c>
      <c r="R2361" s="15">
        <f>+L2359</f>
        <v>0</v>
      </c>
      <c r="S2361" s="16"/>
      <c r="T2361" s="15">
        <f>+E2359</f>
        <v>0</v>
      </c>
      <c r="U2361" s="26" t="str">
        <f>IFERROR(LEFT(K2359,FIND("*",K2359)-1),"-")</f>
        <v>-</v>
      </c>
      <c r="V2361" s="26" t="str">
        <f>IFERROR(RIGHT(K2359,LEN(K2359)-FIND("*",K2359)),"-")</f>
        <v>-</v>
      </c>
      <c r="W2361" s="27" t="str">
        <f t="shared" si="1282"/>
        <v>-</v>
      </c>
      <c r="X2361" s="27" t="str">
        <f>IFERROR(W2361*L2359,"-")</f>
        <v>-</v>
      </c>
      <c r="Z2361" s="94" t="s">
        <v>82</v>
      </c>
    </row>
    <row r="2362" spans="1:26" s="25" customFormat="1" ht="6.95" customHeight="1" x14ac:dyDescent="0.3">
      <c r="A2362" s="13"/>
      <c r="B2362" s="168"/>
      <c r="C2362" s="169"/>
      <c r="D2362" s="160" t="s">
        <v>39</v>
      </c>
      <c r="E2362" s="161"/>
      <c r="F2362" s="162" t="s">
        <v>40</v>
      </c>
      <c r="G2362" s="163"/>
      <c r="H2362" s="164"/>
      <c r="I2362" s="163"/>
      <c r="J2362" s="164"/>
      <c r="K2362" s="163"/>
      <c r="L2362" s="164"/>
      <c r="M2362" s="11"/>
      <c r="N2362" s="39"/>
      <c r="Q2362" s="15" t="str">
        <f>+CONCATENATE(E2362,G2362)</f>
        <v/>
      </c>
      <c r="R2362" s="15">
        <f>+H2362</f>
        <v>0</v>
      </c>
      <c r="S2362" s="16"/>
      <c r="T2362" s="15">
        <f>+E2362</f>
        <v>0</v>
      </c>
      <c r="U2362" s="26" t="str">
        <f t="shared" ref="U2362" si="1285">IFERROR(LEFT(G2362,FIND("*",G2362)-1),"-")</f>
        <v>-</v>
      </c>
      <c r="V2362" s="26" t="str">
        <f t="shared" ref="V2362" si="1286">IFERROR(RIGHT(G2362,LEN(G2362)-FIND("*",G2362)),"-")</f>
        <v>-</v>
      </c>
      <c r="W2362" s="27" t="str">
        <f t="shared" si="1282"/>
        <v>-</v>
      </c>
      <c r="X2362" s="27" t="str">
        <f>IFERROR(W2362*H2362,"-")</f>
        <v>-</v>
      </c>
      <c r="Z2362" s="94" t="s">
        <v>82</v>
      </c>
    </row>
    <row r="2363" spans="1:26" s="25" customFormat="1" ht="6.95" customHeight="1" x14ac:dyDescent="0.3">
      <c r="A2363" s="10"/>
      <c r="B2363" s="168"/>
      <c r="C2363" s="169"/>
      <c r="D2363" s="160"/>
      <c r="E2363" s="161"/>
      <c r="F2363" s="162"/>
      <c r="G2363" s="163"/>
      <c r="H2363" s="164"/>
      <c r="I2363" s="163"/>
      <c r="J2363" s="164"/>
      <c r="K2363" s="163"/>
      <c r="L2363" s="164"/>
      <c r="M2363" s="11"/>
      <c r="N2363" s="39"/>
      <c r="Q2363" s="15" t="str">
        <f>+CONCATENATE(E2362,I2362)</f>
        <v/>
      </c>
      <c r="R2363" s="15">
        <f>+J2362</f>
        <v>0</v>
      </c>
      <c r="S2363" s="16"/>
      <c r="T2363" s="15">
        <f>+E2362</f>
        <v>0</v>
      </c>
      <c r="U2363" s="26" t="str">
        <f>IFERROR(LEFT(I2362,FIND("*",I2362)-1),"-")</f>
        <v>-</v>
      </c>
      <c r="V2363" s="26" t="str">
        <f>IFERROR(RIGHT(I2362,LEN(I2362)-FIND("*",I2362)),"-")</f>
        <v>-</v>
      </c>
      <c r="W2363" s="27" t="str">
        <f t="shared" si="1282"/>
        <v>-</v>
      </c>
      <c r="X2363" s="27" t="str">
        <f t="shared" ref="X2363" si="1287">IFERROR(W2363*J2362,"-")</f>
        <v>-</v>
      </c>
      <c r="Z2363" s="94" t="s">
        <v>82</v>
      </c>
    </row>
    <row r="2364" spans="1:26" s="25" customFormat="1" ht="6.95" customHeight="1" x14ac:dyDescent="0.3">
      <c r="A2364" s="10"/>
      <c r="B2364" s="168"/>
      <c r="C2364" s="169"/>
      <c r="D2364" s="160"/>
      <c r="E2364" s="161"/>
      <c r="F2364" s="162"/>
      <c r="G2364" s="163"/>
      <c r="H2364" s="164"/>
      <c r="I2364" s="163"/>
      <c r="J2364" s="164"/>
      <c r="K2364" s="163"/>
      <c r="L2364" s="164"/>
      <c r="M2364" s="11"/>
      <c r="N2364" s="39"/>
      <c r="Q2364" s="15" t="str">
        <f>+CONCATENATE(E2362,K2362)</f>
        <v/>
      </c>
      <c r="R2364" s="15">
        <f>+L2362</f>
        <v>0</v>
      </c>
      <c r="S2364" s="16"/>
      <c r="T2364" s="15">
        <f>+E2362</f>
        <v>0</v>
      </c>
      <c r="U2364" s="26" t="str">
        <f>IFERROR(LEFT(K2362,FIND("*",K2362)-1),"-")</f>
        <v>-</v>
      </c>
      <c r="V2364" s="26" t="str">
        <f>IFERROR(RIGHT(K2362,LEN(K2362)-FIND("*",K2362)),"-")</f>
        <v>-</v>
      </c>
      <c r="W2364" s="27" t="str">
        <f t="shared" si="1282"/>
        <v>-</v>
      </c>
      <c r="X2364" s="27" t="str">
        <f>IFERROR(W2364*L2362,"-")</f>
        <v>-</v>
      </c>
      <c r="Z2364" s="94" t="s">
        <v>82</v>
      </c>
    </row>
    <row r="2365" spans="1:26" s="25" customFormat="1" ht="21" customHeight="1" thickBot="1" x14ac:dyDescent="0.35">
      <c r="A2365" s="10"/>
      <c r="B2365" s="170"/>
      <c r="C2365" s="171"/>
      <c r="D2365" s="172" t="s">
        <v>43</v>
      </c>
      <c r="E2365" s="173"/>
      <c r="F2365" s="173"/>
      <c r="G2365" s="174"/>
      <c r="H2365" s="174"/>
      <c r="I2365" s="174"/>
      <c r="J2365" s="174"/>
      <c r="K2365" s="174"/>
      <c r="L2365" s="174"/>
      <c r="M2365" s="12"/>
      <c r="N2365" s="39"/>
      <c r="U2365" s="23"/>
      <c r="V2365" s="23"/>
      <c r="Z2365" s="95" t="s">
        <v>81</v>
      </c>
    </row>
    <row r="2366" spans="1:26" s="25" customFormat="1" ht="9.9499999999999993" customHeight="1" thickBot="1" x14ac:dyDescent="0.35">
      <c r="A2366" s="6"/>
      <c r="B2366" s="14"/>
      <c r="C2366" s="119"/>
      <c r="D2366" s="58"/>
      <c r="E2366" s="17"/>
      <c r="F2366" s="58"/>
      <c r="G2366" s="19"/>
      <c r="H2366" s="19"/>
      <c r="I2366" s="19"/>
      <c r="J2366" s="19"/>
      <c r="K2366" s="19"/>
      <c r="L2366" s="19"/>
      <c r="M2366" s="14"/>
      <c r="N2366" s="39"/>
      <c r="Q2366" s="1"/>
      <c r="R2366" s="1"/>
      <c r="S2366" s="1"/>
      <c r="T2366" s="1"/>
      <c r="U2366" s="24"/>
      <c r="V2366" s="24"/>
      <c r="W2366" s="1"/>
      <c r="X2366" s="1"/>
      <c r="Z2366" s="94" t="s">
        <v>82</v>
      </c>
    </row>
    <row r="2367" spans="1:26" s="25" customFormat="1" ht="6.95" customHeight="1" x14ac:dyDescent="0.3">
      <c r="A2367" s="165">
        <f>+A2356+1</f>
        <v>216</v>
      </c>
      <c r="B2367" s="166"/>
      <c r="C2367" s="167"/>
      <c r="D2367" s="160" t="s">
        <v>39</v>
      </c>
      <c r="E2367" s="161"/>
      <c r="F2367" s="162" t="s">
        <v>40</v>
      </c>
      <c r="G2367" s="163"/>
      <c r="H2367" s="164"/>
      <c r="I2367" s="163"/>
      <c r="J2367" s="164"/>
      <c r="K2367" s="163"/>
      <c r="L2367" s="164"/>
      <c r="M2367" s="11"/>
      <c r="N2367" s="39"/>
      <c r="Q2367" s="15" t="str">
        <f>+CONCATENATE(E2367,G2367)</f>
        <v/>
      </c>
      <c r="R2367" s="15">
        <f>+H2367</f>
        <v>0</v>
      </c>
      <c r="S2367" s="16"/>
      <c r="T2367" s="15">
        <f>+E2367</f>
        <v>0</v>
      </c>
      <c r="U2367" s="26" t="str">
        <f>IFERROR(LEFT(G2367,FIND("*",G2367)-1),"-")</f>
        <v>-</v>
      </c>
      <c r="V2367" s="26" t="str">
        <f>IFERROR(RIGHT(G2367,LEN(G2367)-FIND("*",G2367)),"-")</f>
        <v>-</v>
      </c>
      <c r="W2367" s="27" t="str">
        <f>IFERROR((U2367+V2367)*2/1000,"-")</f>
        <v>-</v>
      </c>
      <c r="X2367" s="27" t="str">
        <f>IFERROR(W2367*H2367,"-")</f>
        <v>-</v>
      </c>
      <c r="Z2367" s="94" t="s">
        <v>82</v>
      </c>
    </row>
    <row r="2368" spans="1:26" s="25" customFormat="1" ht="6.95" customHeight="1" x14ac:dyDescent="0.3">
      <c r="A2368" s="165"/>
      <c r="B2368" s="168"/>
      <c r="C2368" s="169"/>
      <c r="D2368" s="160"/>
      <c r="E2368" s="161"/>
      <c r="F2368" s="162"/>
      <c r="G2368" s="163"/>
      <c r="H2368" s="164"/>
      <c r="I2368" s="163"/>
      <c r="J2368" s="164"/>
      <c r="K2368" s="163"/>
      <c r="L2368" s="164"/>
      <c r="M2368" s="11"/>
      <c r="N2368" s="39"/>
      <c r="Q2368" s="15" t="str">
        <f>+CONCATENATE(E2367,I2367)</f>
        <v/>
      </c>
      <c r="R2368" s="15">
        <f>+J2367</f>
        <v>0</v>
      </c>
      <c r="S2368" s="16"/>
      <c r="T2368" s="15">
        <f>+E2367</f>
        <v>0</v>
      </c>
      <c r="U2368" s="26" t="str">
        <f>IFERROR(LEFT(I2367,FIND("*",I2367)-1),"-")</f>
        <v>-</v>
      </c>
      <c r="V2368" s="26" t="str">
        <f>IFERROR(RIGHT(I2367,LEN(I2367)-FIND("*",I2367)),"-")</f>
        <v>-</v>
      </c>
      <c r="W2368" s="27" t="str">
        <f t="shared" ref="W2368:W2375" si="1288">IFERROR((U2368+V2368)*2/1000,"-")</f>
        <v>-</v>
      </c>
      <c r="X2368" s="27" t="str">
        <f>IFERROR(W2368*J2367,"-")</f>
        <v>-</v>
      </c>
      <c r="Z2368" s="94" t="s">
        <v>82</v>
      </c>
    </row>
    <row r="2369" spans="1:26" s="25" customFormat="1" ht="6.95" customHeight="1" x14ac:dyDescent="0.3">
      <c r="A2369" s="165"/>
      <c r="B2369" s="168"/>
      <c r="C2369" s="169"/>
      <c r="D2369" s="160"/>
      <c r="E2369" s="161"/>
      <c r="F2369" s="162"/>
      <c r="G2369" s="163"/>
      <c r="H2369" s="164"/>
      <c r="I2369" s="163"/>
      <c r="J2369" s="164"/>
      <c r="K2369" s="163"/>
      <c r="L2369" s="164"/>
      <c r="M2369" s="11"/>
      <c r="N2369" s="39"/>
      <c r="Q2369" s="15" t="str">
        <f>+CONCATENATE(E2367,K2367)</f>
        <v/>
      </c>
      <c r="R2369" s="15">
        <f>+L2367</f>
        <v>0</v>
      </c>
      <c r="S2369" s="16"/>
      <c r="T2369" s="15">
        <f>+E2367</f>
        <v>0</v>
      </c>
      <c r="U2369" s="26" t="str">
        <f>IFERROR(LEFT(K2367,FIND("*",K2367)-1),"-")</f>
        <v>-</v>
      </c>
      <c r="V2369" s="26" t="str">
        <f>IFERROR(RIGHT(K2367,LEN(K2367)-FIND("*",K2367)),"-")</f>
        <v>-</v>
      </c>
      <c r="W2369" s="27" t="str">
        <f t="shared" si="1288"/>
        <v>-</v>
      </c>
      <c r="X2369" s="27" t="str">
        <f>IFERROR(W2369*L2367,"-")</f>
        <v>-</v>
      </c>
      <c r="Z2369" s="94" t="s">
        <v>82</v>
      </c>
    </row>
    <row r="2370" spans="1:26" s="25" customFormat="1" ht="6.95" customHeight="1" x14ac:dyDescent="0.3">
      <c r="A2370" s="13"/>
      <c r="B2370" s="168"/>
      <c r="C2370" s="169"/>
      <c r="D2370" s="160" t="s">
        <v>39</v>
      </c>
      <c r="E2370" s="161"/>
      <c r="F2370" s="162" t="s">
        <v>40</v>
      </c>
      <c r="G2370" s="163"/>
      <c r="H2370" s="164"/>
      <c r="I2370" s="163"/>
      <c r="J2370" s="164"/>
      <c r="K2370" s="163"/>
      <c r="L2370" s="164"/>
      <c r="M2370" s="11"/>
      <c r="N2370" s="39"/>
      <c r="Q2370" s="15" t="str">
        <f>+CONCATENATE(E2370,G2370)</f>
        <v/>
      </c>
      <c r="R2370" s="15">
        <f>+H2370</f>
        <v>0</v>
      </c>
      <c r="S2370" s="16"/>
      <c r="T2370" s="15">
        <f>+E2370</f>
        <v>0</v>
      </c>
      <c r="U2370" s="26" t="str">
        <f t="shared" ref="U2370" si="1289">IFERROR(LEFT(G2370,FIND("*",G2370)-1),"-")</f>
        <v>-</v>
      </c>
      <c r="V2370" s="26" t="str">
        <f t="shared" ref="V2370" si="1290">IFERROR(RIGHT(G2370,LEN(G2370)-FIND("*",G2370)),"-")</f>
        <v>-</v>
      </c>
      <c r="W2370" s="27" t="str">
        <f t="shared" si="1288"/>
        <v>-</v>
      </c>
      <c r="X2370" s="27" t="str">
        <f>IFERROR(W2370*H2370,"-")</f>
        <v>-</v>
      </c>
      <c r="Z2370" s="94" t="s">
        <v>82</v>
      </c>
    </row>
    <row r="2371" spans="1:26" s="25" customFormat="1" ht="6.95" customHeight="1" x14ac:dyDescent="0.3">
      <c r="A2371" s="10"/>
      <c r="B2371" s="168"/>
      <c r="C2371" s="169"/>
      <c r="D2371" s="160"/>
      <c r="E2371" s="161"/>
      <c r="F2371" s="162"/>
      <c r="G2371" s="163"/>
      <c r="H2371" s="164"/>
      <c r="I2371" s="163"/>
      <c r="J2371" s="164"/>
      <c r="K2371" s="163"/>
      <c r="L2371" s="164"/>
      <c r="M2371" s="11"/>
      <c r="N2371" s="39"/>
      <c r="Q2371" s="15" t="str">
        <f>+CONCATENATE(E2370,I2370)</f>
        <v/>
      </c>
      <c r="R2371" s="15">
        <f>+J2370</f>
        <v>0</v>
      </c>
      <c r="S2371" s="16"/>
      <c r="T2371" s="15">
        <f>+E2370</f>
        <v>0</v>
      </c>
      <c r="U2371" s="26" t="str">
        <f>IFERROR(LEFT(I2370,FIND("*",I2370)-1),"-")</f>
        <v>-</v>
      </c>
      <c r="V2371" s="26" t="str">
        <f>IFERROR(RIGHT(I2370,LEN(I2370)-FIND("*",I2370)),"-")</f>
        <v>-</v>
      </c>
      <c r="W2371" s="27" t="str">
        <f t="shared" si="1288"/>
        <v>-</v>
      </c>
      <c r="X2371" s="27" t="str">
        <f>IFERROR(W2371*J2370,"-")</f>
        <v>-</v>
      </c>
      <c r="Z2371" s="94" t="s">
        <v>82</v>
      </c>
    </row>
    <row r="2372" spans="1:26" s="25" customFormat="1" ht="6.95" customHeight="1" x14ac:dyDescent="0.3">
      <c r="A2372" s="10"/>
      <c r="B2372" s="168"/>
      <c r="C2372" s="169"/>
      <c r="D2372" s="160"/>
      <c r="E2372" s="161"/>
      <c r="F2372" s="162"/>
      <c r="G2372" s="163"/>
      <c r="H2372" s="164"/>
      <c r="I2372" s="163"/>
      <c r="J2372" s="164"/>
      <c r="K2372" s="163"/>
      <c r="L2372" s="164"/>
      <c r="M2372" s="11"/>
      <c r="N2372" s="39"/>
      <c r="Q2372" s="15" t="str">
        <f>+CONCATENATE(E2370,K2370)</f>
        <v/>
      </c>
      <c r="R2372" s="15">
        <f>+L2370</f>
        <v>0</v>
      </c>
      <c r="S2372" s="16"/>
      <c r="T2372" s="15">
        <f>+E2370</f>
        <v>0</v>
      </c>
      <c r="U2372" s="26" t="str">
        <f>IFERROR(LEFT(K2370,FIND("*",K2370)-1),"-")</f>
        <v>-</v>
      </c>
      <c r="V2372" s="26" t="str">
        <f>IFERROR(RIGHT(K2370,LEN(K2370)-FIND("*",K2370)),"-")</f>
        <v>-</v>
      </c>
      <c r="W2372" s="27" t="str">
        <f t="shared" si="1288"/>
        <v>-</v>
      </c>
      <c r="X2372" s="27" t="str">
        <f>IFERROR(W2372*L2370,"-")</f>
        <v>-</v>
      </c>
      <c r="Z2372" s="94" t="s">
        <v>82</v>
      </c>
    </row>
    <row r="2373" spans="1:26" s="25" customFormat="1" ht="6.95" customHeight="1" x14ac:dyDescent="0.3">
      <c r="A2373" s="13"/>
      <c r="B2373" s="168"/>
      <c r="C2373" s="169"/>
      <c r="D2373" s="160" t="s">
        <v>39</v>
      </c>
      <c r="E2373" s="161"/>
      <c r="F2373" s="162" t="s">
        <v>40</v>
      </c>
      <c r="G2373" s="163"/>
      <c r="H2373" s="164"/>
      <c r="I2373" s="163"/>
      <c r="J2373" s="164"/>
      <c r="K2373" s="163"/>
      <c r="L2373" s="164"/>
      <c r="M2373" s="11"/>
      <c r="N2373" s="39"/>
      <c r="Q2373" s="15" t="str">
        <f>+CONCATENATE(E2373,G2373)</f>
        <v/>
      </c>
      <c r="R2373" s="15">
        <f>+H2373</f>
        <v>0</v>
      </c>
      <c r="S2373" s="16"/>
      <c r="T2373" s="15">
        <f>+E2373</f>
        <v>0</v>
      </c>
      <c r="U2373" s="26" t="str">
        <f t="shared" ref="U2373" si="1291">IFERROR(LEFT(G2373,FIND("*",G2373)-1),"-")</f>
        <v>-</v>
      </c>
      <c r="V2373" s="26" t="str">
        <f t="shared" ref="V2373" si="1292">IFERROR(RIGHT(G2373,LEN(G2373)-FIND("*",G2373)),"-")</f>
        <v>-</v>
      </c>
      <c r="W2373" s="27" t="str">
        <f t="shared" si="1288"/>
        <v>-</v>
      </c>
      <c r="X2373" s="27" t="str">
        <f>IFERROR(W2373*H2373,"-")</f>
        <v>-</v>
      </c>
      <c r="Z2373" s="94" t="s">
        <v>82</v>
      </c>
    </row>
    <row r="2374" spans="1:26" s="25" customFormat="1" ht="6.95" customHeight="1" x14ac:dyDescent="0.3">
      <c r="A2374" s="10"/>
      <c r="B2374" s="168"/>
      <c r="C2374" s="169"/>
      <c r="D2374" s="160"/>
      <c r="E2374" s="161"/>
      <c r="F2374" s="162"/>
      <c r="G2374" s="163"/>
      <c r="H2374" s="164"/>
      <c r="I2374" s="163"/>
      <c r="J2374" s="164"/>
      <c r="K2374" s="163"/>
      <c r="L2374" s="164"/>
      <c r="M2374" s="11"/>
      <c r="N2374" s="39"/>
      <c r="Q2374" s="15" t="str">
        <f>+CONCATENATE(E2373,I2373)</f>
        <v/>
      </c>
      <c r="R2374" s="15">
        <f>+J2373</f>
        <v>0</v>
      </c>
      <c r="S2374" s="16"/>
      <c r="T2374" s="15">
        <f>+E2373</f>
        <v>0</v>
      </c>
      <c r="U2374" s="26" t="str">
        <f>IFERROR(LEFT(I2373,FIND("*",I2373)-1),"-")</f>
        <v>-</v>
      </c>
      <c r="V2374" s="26" t="str">
        <f>IFERROR(RIGHT(I2373,LEN(I2373)-FIND("*",I2373)),"-")</f>
        <v>-</v>
      </c>
      <c r="W2374" s="27" t="str">
        <f t="shared" si="1288"/>
        <v>-</v>
      </c>
      <c r="X2374" s="27" t="str">
        <f t="shared" ref="X2374" si="1293">IFERROR(W2374*J2373,"-")</f>
        <v>-</v>
      </c>
      <c r="Z2374" s="94" t="s">
        <v>82</v>
      </c>
    </row>
    <row r="2375" spans="1:26" s="25" customFormat="1" ht="6.95" customHeight="1" x14ac:dyDescent="0.3">
      <c r="A2375" s="10"/>
      <c r="B2375" s="168"/>
      <c r="C2375" s="169"/>
      <c r="D2375" s="160"/>
      <c r="E2375" s="161"/>
      <c r="F2375" s="162"/>
      <c r="G2375" s="163"/>
      <c r="H2375" s="164"/>
      <c r="I2375" s="163"/>
      <c r="J2375" s="164"/>
      <c r="K2375" s="163"/>
      <c r="L2375" s="164"/>
      <c r="M2375" s="11"/>
      <c r="N2375" s="39"/>
      <c r="Q2375" s="15" t="str">
        <f>+CONCATENATE(E2373,K2373)</f>
        <v/>
      </c>
      <c r="R2375" s="15">
        <f>+L2373</f>
        <v>0</v>
      </c>
      <c r="S2375" s="16"/>
      <c r="T2375" s="15">
        <f>+E2373</f>
        <v>0</v>
      </c>
      <c r="U2375" s="26" t="str">
        <f>IFERROR(LEFT(K2373,FIND("*",K2373)-1),"-")</f>
        <v>-</v>
      </c>
      <c r="V2375" s="26" t="str">
        <f>IFERROR(RIGHT(K2373,LEN(K2373)-FIND("*",K2373)),"-")</f>
        <v>-</v>
      </c>
      <c r="W2375" s="27" t="str">
        <f t="shared" si="1288"/>
        <v>-</v>
      </c>
      <c r="X2375" s="27" t="str">
        <f>IFERROR(W2375*L2373,"-")</f>
        <v>-</v>
      </c>
      <c r="Z2375" s="94" t="s">
        <v>82</v>
      </c>
    </row>
    <row r="2376" spans="1:26" s="25" customFormat="1" ht="21" customHeight="1" thickBot="1" x14ac:dyDescent="0.35">
      <c r="A2376" s="10"/>
      <c r="B2376" s="170"/>
      <c r="C2376" s="171"/>
      <c r="D2376" s="172" t="s">
        <v>43</v>
      </c>
      <c r="E2376" s="173"/>
      <c r="F2376" s="173"/>
      <c r="G2376" s="174"/>
      <c r="H2376" s="174"/>
      <c r="I2376" s="174"/>
      <c r="J2376" s="174"/>
      <c r="K2376" s="174"/>
      <c r="L2376" s="174"/>
      <c r="M2376" s="12"/>
      <c r="N2376" s="39"/>
      <c r="U2376" s="23"/>
      <c r="V2376" s="23"/>
      <c r="Z2376" s="95" t="s">
        <v>81</v>
      </c>
    </row>
    <row r="2377" spans="1:26" s="25" customFormat="1" ht="9.9499999999999993" customHeight="1" thickBot="1" x14ac:dyDescent="0.35">
      <c r="A2377" s="6"/>
      <c r="B2377" s="14"/>
      <c r="C2377" s="119"/>
      <c r="D2377" s="58"/>
      <c r="E2377" s="17"/>
      <c r="F2377" s="58"/>
      <c r="G2377" s="19"/>
      <c r="H2377" s="19"/>
      <c r="I2377" s="19"/>
      <c r="J2377" s="19"/>
      <c r="K2377" s="19"/>
      <c r="L2377" s="19"/>
      <c r="M2377" s="14"/>
      <c r="N2377" s="39"/>
      <c r="Q2377" s="1"/>
      <c r="R2377" s="1"/>
      <c r="S2377" s="1"/>
      <c r="T2377" s="1"/>
      <c r="U2377" s="24"/>
      <c r="V2377" s="24"/>
      <c r="W2377" s="1"/>
      <c r="X2377" s="1"/>
      <c r="Z2377" s="94" t="s">
        <v>82</v>
      </c>
    </row>
    <row r="2378" spans="1:26" s="25" customFormat="1" ht="6.95" customHeight="1" x14ac:dyDescent="0.3">
      <c r="A2378" s="165">
        <f>+A2367+1</f>
        <v>217</v>
      </c>
      <c r="B2378" s="166"/>
      <c r="C2378" s="167"/>
      <c r="D2378" s="160" t="s">
        <v>39</v>
      </c>
      <c r="E2378" s="161"/>
      <c r="F2378" s="162" t="s">
        <v>40</v>
      </c>
      <c r="G2378" s="163"/>
      <c r="H2378" s="164"/>
      <c r="I2378" s="163"/>
      <c r="J2378" s="164"/>
      <c r="K2378" s="163"/>
      <c r="L2378" s="164"/>
      <c r="M2378" s="11"/>
      <c r="N2378" s="39"/>
      <c r="Q2378" s="15" t="str">
        <f>+CONCATENATE(E2378,G2378)</f>
        <v/>
      </c>
      <c r="R2378" s="15">
        <f>+H2378</f>
        <v>0</v>
      </c>
      <c r="S2378" s="16"/>
      <c r="T2378" s="15">
        <f>+E2378</f>
        <v>0</v>
      </c>
      <c r="U2378" s="26" t="str">
        <f>IFERROR(LEFT(G2378,FIND("*",G2378)-1),"-")</f>
        <v>-</v>
      </c>
      <c r="V2378" s="26" t="str">
        <f>IFERROR(RIGHT(G2378,LEN(G2378)-FIND("*",G2378)),"-")</f>
        <v>-</v>
      </c>
      <c r="W2378" s="27" t="str">
        <f>IFERROR((U2378+V2378)*2/1000,"-")</f>
        <v>-</v>
      </c>
      <c r="X2378" s="27" t="str">
        <f>IFERROR(W2378*H2378,"-")</f>
        <v>-</v>
      </c>
      <c r="Z2378" s="94" t="s">
        <v>82</v>
      </c>
    </row>
    <row r="2379" spans="1:26" s="25" customFormat="1" ht="6.95" customHeight="1" x14ac:dyDescent="0.3">
      <c r="A2379" s="165"/>
      <c r="B2379" s="168"/>
      <c r="C2379" s="169"/>
      <c r="D2379" s="160"/>
      <c r="E2379" s="161"/>
      <c r="F2379" s="162"/>
      <c r="G2379" s="163"/>
      <c r="H2379" s="164"/>
      <c r="I2379" s="163"/>
      <c r="J2379" s="164"/>
      <c r="K2379" s="163"/>
      <c r="L2379" s="164"/>
      <c r="M2379" s="11"/>
      <c r="N2379" s="39"/>
      <c r="Q2379" s="15" t="str">
        <f>+CONCATENATE(E2378,I2378)</f>
        <v/>
      </c>
      <c r="R2379" s="15">
        <f>+J2378</f>
        <v>0</v>
      </c>
      <c r="S2379" s="16"/>
      <c r="T2379" s="15">
        <f>+E2378</f>
        <v>0</v>
      </c>
      <c r="U2379" s="26" t="str">
        <f>IFERROR(LEFT(I2378,FIND("*",I2378)-1),"-")</f>
        <v>-</v>
      </c>
      <c r="V2379" s="26" t="str">
        <f>IFERROR(RIGHT(I2378,LEN(I2378)-FIND("*",I2378)),"-")</f>
        <v>-</v>
      </c>
      <c r="W2379" s="27" t="str">
        <f t="shared" ref="W2379:W2386" si="1294">IFERROR((U2379+V2379)*2/1000,"-")</f>
        <v>-</v>
      </c>
      <c r="X2379" s="27" t="str">
        <f>IFERROR(W2379*J2378,"-")</f>
        <v>-</v>
      </c>
      <c r="Z2379" s="94" t="s">
        <v>82</v>
      </c>
    </row>
    <row r="2380" spans="1:26" s="25" customFormat="1" ht="6.95" customHeight="1" x14ac:dyDescent="0.3">
      <c r="A2380" s="165"/>
      <c r="B2380" s="168"/>
      <c r="C2380" s="169"/>
      <c r="D2380" s="160"/>
      <c r="E2380" s="161"/>
      <c r="F2380" s="162"/>
      <c r="G2380" s="163"/>
      <c r="H2380" s="164"/>
      <c r="I2380" s="163"/>
      <c r="J2380" s="164"/>
      <c r="K2380" s="163"/>
      <c r="L2380" s="164"/>
      <c r="M2380" s="11"/>
      <c r="N2380" s="39"/>
      <c r="Q2380" s="15" t="str">
        <f>+CONCATENATE(E2378,K2378)</f>
        <v/>
      </c>
      <c r="R2380" s="15">
        <f>+L2378</f>
        <v>0</v>
      </c>
      <c r="S2380" s="16"/>
      <c r="T2380" s="15">
        <f>+E2378</f>
        <v>0</v>
      </c>
      <c r="U2380" s="26" t="str">
        <f>IFERROR(LEFT(K2378,FIND("*",K2378)-1),"-")</f>
        <v>-</v>
      </c>
      <c r="V2380" s="26" t="str">
        <f>IFERROR(RIGHT(K2378,LEN(K2378)-FIND("*",K2378)),"-")</f>
        <v>-</v>
      </c>
      <c r="W2380" s="27" t="str">
        <f t="shared" si="1294"/>
        <v>-</v>
      </c>
      <c r="X2380" s="27" t="str">
        <f>IFERROR(W2380*L2378,"-")</f>
        <v>-</v>
      </c>
      <c r="Z2380" s="94" t="s">
        <v>82</v>
      </c>
    </row>
    <row r="2381" spans="1:26" s="25" customFormat="1" ht="6.95" customHeight="1" x14ac:dyDescent="0.3">
      <c r="A2381" s="13"/>
      <c r="B2381" s="168"/>
      <c r="C2381" s="169"/>
      <c r="D2381" s="160" t="s">
        <v>39</v>
      </c>
      <c r="E2381" s="161"/>
      <c r="F2381" s="162" t="s">
        <v>40</v>
      </c>
      <c r="G2381" s="163"/>
      <c r="H2381" s="164"/>
      <c r="I2381" s="163"/>
      <c r="J2381" s="164"/>
      <c r="K2381" s="163"/>
      <c r="L2381" s="164"/>
      <c r="M2381" s="11"/>
      <c r="N2381" s="39"/>
      <c r="Q2381" s="15" t="str">
        <f>+CONCATENATE(E2381,G2381)</f>
        <v/>
      </c>
      <c r="R2381" s="15">
        <f>+H2381</f>
        <v>0</v>
      </c>
      <c r="S2381" s="16"/>
      <c r="T2381" s="15">
        <f>+E2381</f>
        <v>0</v>
      </c>
      <c r="U2381" s="26" t="str">
        <f t="shared" ref="U2381" si="1295">IFERROR(LEFT(G2381,FIND("*",G2381)-1),"-")</f>
        <v>-</v>
      </c>
      <c r="V2381" s="26" t="str">
        <f t="shared" ref="V2381" si="1296">IFERROR(RIGHT(G2381,LEN(G2381)-FIND("*",G2381)),"-")</f>
        <v>-</v>
      </c>
      <c r="W2381" s="27" t="str">
        <f t="shared" si="1294"/>
        <v>-</v>
      </c>
      <c r="X2381" s="27" t="str">
        <f>IFERROR(W2381*H2381,"-")</f>
        <v>-</v>
      </c>
      <c r="Z2381" s="94" t="s">
        <v>82</v>
      </c>
    </row>
    <row r="2382" spans="1:26" s="25" customFormat="1" ht="6.95" customHeight="1" x14ac:dyDescent="0.3">
      <c r="A2382" s="10"/>
      <c r="B2382" s="168"/>
      <c r="C2382" s="169"/>
      <c r="D2382" s="160"/>
      <c r="E2382" s="161"/>
      <c r="F2382" s="162"/>
      <c r="G2382" s="163"/>
      <c r="H2382" s="164"/>
      <c r="I2382" s="163"/>
      <c r="J2382" s="164"/>
      <c r="K2382" s="163"/>
      <c r="L2382" s="164"/>
      <c r="M2382" s="11"/>
      <c r="N2382" s="39"/>
      <c r="Q2382" s="15" t="str">
        <f>+CONCATENATE(E2381,I2381)</f>
        <v/>
      </c>
      <c r="R2382" s="15">
        <f>+J2381</f>
        <v>0</v>
      </c>
      <c r="S2382" s="16"/>
      <c r="T2382" s="15">
        <f>+E2381</f>
        <v>0</v>
      </c>
      <c r="U2382" s="26" t="str">
        <f>IFERROR(LEFT(I2381,FIND("*",I2381)-1),"-")</f>
        <v>-</v>
      </c>
      <c r="V2382" s="26" t="str">
        <f>IFERROR(RIGHT(I2381,LEN(I2381)-FIND("*",I2381)),"-")</f>
        <v>-</v>
      </c>
      <c r="W2382" s="27" t="str">
        <f t="shared" si="1294"/>
        <v>-</v>
      </c>
      <c r="X2382" s="27" t="str">
        <f>IFERROR(W2382*J2381,"-")</f>
        <v>-</v>
      </c>
      <c r="Z2382" s="94" t="s">
        <v>82</v>
      </c>
    </row>
    <row r="2383" spans="1:26" s="25" customFormat="1" ht="6.95" customHeight="1" x14ac:dyDescent="0.3">
      <c r="A2383" s="10"/>
      <c r="B2383" s="168"/>
      <c r="C2383" s="169"/>
      <c r="D2383" s="160"/>
      <c r="E2383" s="161"/>
      <c r="F2383" s="162"/>
      <c r="G2383" s="163"/>
      <c r="H2383" s="164"/>
      <c r="I2383" s="163"/>
      <c r="J2383" s="164"/>
      <c r="K2383" s="163"/>
      <c r="L2383" s="164"/>
      <c r="M2383" s="11"/>
      <c r="N2383" s="39"/>
      <c r="Q2383" s="15" t="str">
        <f>+CONCATENATE(E2381,K2381)</f>
        <v/>
      </c>
      <c r="R2383" s="15">
        <f>+L2381</f>
        <v>0</v>
      </c>
      <c r="S2383" s="16"/>
      <c r="T2383" s="15">
        <f>+E2381</f>
        <v>0</v>
      </c>
      <c r="U2383" s="26" t="str">
        <f>IFERROR(LEFT(K2381,FIND("*",K2381)-1),"-")</f>
        <v>-</v>
      </c>
      <c r="V2383" s="26" t="str">
        <f>IFERROR(RIGHT(K2381,LEN(K2381)-FIND("*",K2381)),"-")</f>
        <v>-</v>
      </c>
      <c r="W2383" s="27" t="str">
        <f t="shared" si="1294"/>
        <v>-</v>
      </c>
      <c r="X2383" s="27" t="str">
        <f>IFERROR(W2383*L2381,"-")</f>
        <v>-</v>
      </c>
      <c r="Z2383" s="94" t="s">
        <v>82</v>
      </c>
    </row>
    <row r="2384" spans="1:26" s="25" customFormat="1" ht="6.95" customHeight="1" x14ac:dyDescent="0.3">
      <c r="A2384" s="13"/>
      <c r="B2384" s="168"/>
      <c r="C2384" s="169"/>
      <c r="D2384" s="160" t="s">
        <v>39</v>
      </c>
      <c r="E2384" s="161"/>
      <c r="F2384" s="162" t="s">
        <v>40</v>
      </c>
      <c r="G2384" s="163"/>
      <c r="H2384" s="164"/>
      <c r="I2384" s="163"/>
      <c r="J2384" s="164"/>
      <c r="K2384" s="163"/>
      <c r="L2384" s="164"/>
      <c r="M2384" s="11"/>
      <c r="N2384" s="39"/>
      <c r="Q2384" s="15" t="str">
        <f>+CONCATENATE(E2384,G2384)</f>
        <v/>
      </c>
      <c r="R2384" s="15">
        <f>+H2384</f>
        <v>0</v>
      </c>
      <c r="S2384" s="16"/>
      <c r="T2384" s="15">
        <f>+E2384</f>
        <v>0</v>
      </c>
      <c r="U2384" s="26" t="str">
        <f t="shared" ref="U2384" si="1297">IFERROR(LEFT(G2384,FIND("*",G2384)-1),"-")</f>
        <v>-</v>
      </c>
      <c r="V2384" s="26" t="str">
        <f t="shared" ref="V2384" si="1298">IFERROR(RIGHT(G2384,LEN(G2384)-FIND("*",G2384)),"-")</f>
        <v>-</v>
      </c>
      <c r="W2384" s="27" t="str">
        <f t="shared" si="1294"/>
        <v>-</v>
      </c>
      <c r="X2384" s="27" t="str">
        <f>IFERROR(W2384*H2384,"-")</f>
        <v>-</v>
      </c>
      <c r="Z2384" s="94" t="s">
        <v>82</v>
      </c>
    </row>
    <row r="2385" spans="1:26" s="25" customFormat="1" ht="6.95" customHeight="1" x14ac:dyDescent="0.3">
      <c r="A2385" s="10"/>
      <c r="B2385" s="168"/>
      <c r="C2385" s="169"/>
      <c r="D2385" s="160"/>
      <c r="E2385" s="161"/>
      <c r="F2385" s="162"/>
      <c r="G2385" s="163"/>
      <c r="H2385" s="164"/>
      <c r="I2385" s="163"/>
      <c r="J2385" s="164"/>
      <c r="K2385" s="163"/>
      <c r="L2385" s="164"/>
      <c r="M2385" s="11"/>
      <c r="N2385" s="39"/>
      <c r="Q2385" s="15" t="str">
        <f>+CONCATENATE(E2384,I2384)</f>
        <v/>
      </c>
      <c r="R2385" s="15">
        <f>+J2384</f>
        <v>0</v>
      </c>
      <c r="S2385" s="16"/>
      <c r="T2385" s="15">
        <f>+E2384</f>
        <v>0</v>
      </c>
      <c r="U2385" s="26" t="str">
        <f>IFERROR(LEFT(I2384,FIND("*",I2384)-1),"-")</f>
        <v>-</v>
      </c>
      <c r="V2385" s="26" t="str">
        <f>IFERROR(RIGHT(I2384,LEN(I2384)-FIND("*",I2384)),"-")</f>
        <v>-</v>
      </c>
      <c r="W2385" s="27" t="str">
        <f t="shared" si="1294"/>
        <v>-</v>
      </c>
      <c r="X2385" s="27" t="str">
        <f t="shared" ref="X2385" si="1299">IFERROR(W2385*J2384,"-")</f>
        <v>-</v>
      </c>
      <c r="Z2385" s="94" t="s">
        <v>82</v>
      </c>
    </row>
    <row r="2386" spans="1:26" s="25" customFormat="1" ht="6.95" customHeight="1" x14ac:dyDescent="0.3">
      <c r="A2386" s="10"/>
      <c r="B2386" s="168"/>
      <c r="C2386" s="169"/>
      <c r="D2386" s="160"/>
      <c r="E2386" s="161"/>
      <c r="F2386" s="162"/>
      <c r="G2386" s="163"/>
      <c r="H2386" s="164"/>
      <c r="I2386" s="163"/>
      <c r="J2386" s="164"/>
      <c r="K2386" s="163"/>
      <c r="L2386" s="164"/>
      <c r="M2386" s="11"/>
      <c r="N2386" s="39"/>
      <c r="Q2386" s="15" t="str">
        <f>+CONCATENATE(E2384,K2384)</f>
        <v/>
      </c>
      <c r="R2386" s="15">
        <f>+L2384</f>
        <v>0</v>
      </c>
      <c r="S2386" s="16"/>
      <c r="T2386" s="15">
        <f>+E2384</f>
        <v>0</v>
      </c>
      <c r="U2386" s="26" t="str">
        <f>IFERROR(LEFT(K2384,FIND("*",K2384)-1),"-")</f>
        <v>-</v>
      </c>
      <c r="V2386" s="26" t="str">
        <f>IFERROR(RIGHT(K2384,LEN(K2384)-FIND("*",K2384)),"-")</f>
        <v>-</v>
      </c>
      <c r="W2386" s="27" t="str">
        <f t="shared" si="1294"/>
        <v>-</v>
      </c>
      <c r="X2386" s="27" t="str">
        <f>IFERROR(W2386*L2384,"-")</f>
        <v>-</v>
      </c>
      <c r="Z2386" s="94" t="s">
        <v>82</v>
      </c>
    </row>
    <row r="2387" spans="1:26" s="25" customFormat="1" ht="21" customHeight="1" thickBot="1" x14ac:dyDescent="0.35">
      <c r="A2387" s="10"/>
      <c r="B2387" s="170"/>
      <c r="C2387" s="171"/>
      <c r="D2387" s="172" t="s">
        <v>43</v>
      </c>
      <c r="E2387" s="173"/>
      <c r="F2387" s="173"/>
      <c r="G2387" s="174"/>
      <c r="H2387" s="174"/>
      <c r="I2387" s="174"/>
      <c r="J2387" s="174"/>
      <c r="K2387" s="174"/>
      <c r="L2387" s="174"/>
      <c r="M2387" s="12"/>
      <c r="N2387" s="39"/>
      <c r="U2387" s="23"/>
      <c r="V2387" s="23"/>
      <c r="Z2387" s="95" t="s">
        <v>81</v>
      </c>
    </row>
    <row r="2388" spans="1:26" s="25" customFormat="1" ht="9.9499999999999993" customHeight="1" thickBot="1" x14ac:dyDescent="0.35">
      <c r="A2388" s="6"/>
      <c r="B2388" s="14"/>
      <c r="C2388" s="119"/>
      <c r="D2388" s="58"/>
      <c r="E2388" s="17"/>
      <c r="F2388" s="58"/>
      <c r="G2388" s="19"/>
      <c r="H2388" s="19"/>
      <c r="I2388" s="19"/>
      <c r="J2388" s="19"/>
      <c r="K2388" s="19"/>
      <c r="L2388" s="19"/>
      <c r="M2388" s="14"/>
      <c r="N2388" s="39"/>
      <c r="Q2388" s="1"/>
      <c r="R2388" s="1"/>
      <c r="S2388" s="1"/>
      <c r="T2388" s="1"/>
      <c r="U2388" s="24"/>
      <c r="V2388" s="24"/>
      <c r="W2388" s="1"/>
      <c r="X2388" s="1"/>
      <c r="Z2388" s="94" t="s">
        <v>82</v>
      </c>
    </row>
    <row r="2389" spans="1:26" s="25" customFormat="1" ht="6.95" customHeight="1" x14ac:dyDescent="0.3">
      <c r="A2389" s="165">
        <f>+A2378+1</f>
        <v>218</v>
      </c>
      <c r="B2389" s="166"/>
      <c r="C2389" s="167"/>
      <c r="D2389" s="160" t="s">
        <v>39</v>
      </c>
      <c r="E2389" s="161"/>
      <c r="F2389" s="162" t="s">
        <v>40</v>
      </c>
      <c r="G2389" s="163"/>
      <c r="H2389" s="164"/>
      <c r="I2389" s="163"/>
      <c r="J2389" s="164"/>
      <c r="K2389" s="163"/>
      <c r="L2389" s="164"/>
      <c r="M2389" s="11"/>
      <c r="N2389" s="39"/>
      <c r="Q2389" s="15" t="str">
        <f>+CONCATENATE(E2389,G2389)</f>
        <v/>
      </c>
      <c r="R2389" s="15">
        <f>+H2389</f>
        <v>0</v>
      </c>
      <c r="S2389" s="16"/>
      <c r="T2389" s="15">
        <f>+E2389</f>
        <v>0</v>
      </c>
      <c r="U2389" s="26" t="str">
        <f>IFERROR(LEFT(G2389,FIND("*",G2389)-1),"-")</f>
        <v>-</v>
      </c>
      <c r="V2389" s="26" t="str">
        <f>IFERROR(RIGHT(G2389,LEN(G2389)-FIND("*",G2389)),"-")</f>
        <v>-</v>
      </c>
      <c r="W2389" s="27" t="str">
        <f>IFERROR((U2389+V2389)*2/1000,"-")</f>
        <v>-</v>
      </c>
      <c r="X2389" s="27" t="str">
        <f>IFERROR(W2389*H2389,"-")</f>
        <v>-</v>
      </c>
      <c r="Z2389" s="94" t="s">
        <v>82</v>
      </c>
    </row>
    <row r="2390" spans="1:26" s="25" customFormat="1" ht="6.95" customHeight="1" x14ac:dyDescent="0.3">
      <c r="A2390" s="165"/>
      <c r="B2390" s="168"/>
      <c r="C2390" s="169"/>
      <c r="D2390" s="160"/>
      <c r="E2390" s="161"/>
      <c r="F2390" s="162"/>
      <c r="G2390" s="163"/>
      <c r="H2390" s="164"/>
      <c r="I2390" s="163"/>
      <c r="J2390" s="164"/>
      <c r="K2390" s="163"/>
      <c r="L2390" s="164"/>
      <c r="M2390" s="11"/>
      <c r="N2390" s="39"/>
      <c r="Q2390" s="15" t="str">
        <f>+CONCATENATE(E2389,I2389)</f>
        <v/>
      </c>
      <c r="R2390" s="15">
        <f>+J2389</f>
        <v>0</v>
      </c>
      <c r="S2390" s="16"/>
      <c r="T2390" s="15">
        <f>+E2389</f>
        <v>0</v>
      </c>
      <c r="U2390" s="26" t="str">
        <f>IFERROR(LEFT(I2389,FIND("*",I2389)-1),"-")</f>
        <v>-</v>
      </c>
      <c r="V2390" s="26" t="str">
        <f>IFERROR(RIGHT(I2389,LEN(I2389)-FIND("*",I2389)),"-")</f>
        <v>-</v>
      </c>
      <c r="W2390" s="27" t="str">
        <f t="shared" ref="W2390:W2397" si="1300">IFERROR((U2390+V2390)*2/1000,"-")</f>
        <v>-</v>
      </c>
      <c r="X2390" s="27" t="str">
        <f>IFERROR(W2390*J2389,"-")</f>
        <v>-</v>
      </c>
      <c r="Z2390" s="94" t="s">
        <v>82</v>
      </c>
    </row>
    <row r="2391" spans="1:26" s="25" customFormat="1" ht="6.95" customHeight="1" x14ac:dyDescent="0.3">
      <c r="A2391" s="165"/>
      <c r="B2391" s="168"/>
      <c r="C2391" s="169"/>
      <c r="D2391" s="160"/>
      <c r="E2391" s="161"/>
      <c r="F2391" s="162"/>
      <c r="G2391" s="163"/>
      <c r="H2391" s="164"/>
      <c r="I2391" s="163"/>
      <c r="J2391" s="164"/>
      <c r="K2391" s="163"/>
      <c r="L2391" s="164"/>
      <c r="M2391" s="11"/>
      <c r="N2391" s="39"/>
      <c r="Q2391" s="15" t="str">
        <f>+CONCATENATE(E2389,K2389)</f>
        <v/>
      </c>
      <c r="R2391" s="15">
        <f>+L2389</f>
        <v>0</v>
      </c>
      <c r="S2391" s="16"/>
      <c r="T2391" s="15">
        <f>+E2389</f>
        <v>0</v>
      </c>
      <c r="U2391" s="26" t="str">
        <f>IFERROR(LEFT(K2389,FIND("*",K2389)-1),"-")</f>
        <v>-</v>
      </c>
      <c r="V2391" s="26" t="str">
        <f>IFERROR(RIGHT(K2389,LEN(K2389)-FIND("*",K2389)),"-")</f>
        <v>-</v>
      </c>
      <c r="W2391" s="27" t="str">
        <f t="shared" si="1300"/>
        <v>-</v>
      </c>
      <c r="X2391" s="27" t="str">
        <f>IFERROR(W2391*L2389,"-")</f>
        <v>-</v>
      </c>
      <c r="Z2391" s="94" t="s">
        <v>82</v>
      </c>
    </row>
    <row r="2392" spans="1:26" s="25" customFormat="1" ht="6.95" customHeight="1" x14ac:dyDescent="0.3">
      <c r="A2392" s="13"/>
      <c r="B2392" s="168"/>
      <c r="C2392" s="169"/>
      <c r="D2392" s="160" t="s">
        <v>39</v>
      </c>
      <c r="E2392" s="161"/>
      <c r="F2392" s="162" t="s">
        <v>40</v>
      </c>
      <c r="G2392" s="163"/>
      <c r="H2392" s="164"/>
      <c r="I2392" s="163"/>
      <c r="J2392" s="164"/>
      <c r="K2392" s="163"/>
      <c r="L2392" s="164"/>
      <c r="M2392" s="11"/>
      <c r="N2392" s="39"/>
      <c r="Q2392" s="15" t="str">
        <f>+CONCATENATE(E2392,G2392)</f>
        <v/>
      </c>
      <c r="R2392" s="15">
        <f>+H2392</f>
        <v>0</v>
      </c>
      <c r="S2392" s="16"/>
      <c r="T2392" s="15">
        <f>+E2392</f>
        <v>0</v>
      </c>
      <c r="U2392" s="26" t="str">
        <f t="shared" ref="U2392" si="1301">IFERROR(LEFT(G2392,FIND("*",G2392)-1),"-")</f>
        <v>-</v>
      </c>
      <c r="V2392" s="26" t="str">
        <f t="shared" ref="V2392" si="1302">IFERROR(RIGHT(G2392,LEN(G2392)-FIND("*",G2392)),"-")</f>
        <v>-</v>
      </c>
      <c r="W2392" s="27" t="str">
        <f t="shared" si="1300"/>
        <v>-</v>
      </c>
      <c r="X2392" s="27" t="str">
        <f>IFERROR(W2392*H2392,"-")</f>
        <v>-</v>
      </c>
      <c r="Z2392" s="94" t="s">
        <v>82</v>
      </c>
    </row>
    <row r="2393" spans="1:26" s="25" customFormat="1" ht="6.95" customHeight="1" x14ac:dyDescent="0.3">
      <c r="A2393" s="10"/>
      <c r="B2393" s="168"/>
      <c r="C2393" s="169"/>
      <c r="D2393" s="160"/>
      <c r="E2393" s="161"/>
      <c r="F2393" s="162"/>
      <c r="G2393" s="163"/>
      <c r="H2393" s="164"/>
      <c r="I2393" s="163"/>
      <c r="J2393" s="164"/>
      <c r="K2393" s="163"/>
      <c r="L2393" s="164"/>
      <c r="M2393" s="11"/>
      <c r="N2393" s="39"/>
      <c r="Q2393" s="15" t="str">
        <f>+CONCATENATE(E2392,I2392)</f>
        <v/>
      </c>
      <c r="R2393" s="15">
        <f>+J2392</f>
        <v>0</v>
      </c>
      <c r="S2393" s="16"/>
      <c r="T2393" s="15">
        <f>+E2392</f>
        <v>0</v>
      </c>
      <c r="U2393" s="26" t="str">
        <f>IFERROR(LEFT(I2392,FIND("*",I2392)-1),"-")</f>
        <v>-</v>
      </c>
      <c r="V2393" s="26" t="str">
        <f>IFERROR(RIGHT(I2392,LEN(I2392)-FIND("*",I2392)),"-")</f>
        <v>-</v>
      </c>
      <c r="W2393" s="27" t="str">
        <f t="shared" si="1300"/>
        <v>-</v>
      </c>
      <c r="X2393" s="27" t="str">
        <f>IFERROR(W2393*J2392,"-")</f>
        <v>-</v>
      </c>
      <c r="Z2393" s="94" t="s">
        <v>82</v>
      </c>
    </row>
    <row r="2394" spans="1:26" s="25" customFormat="1" ht="6.95" customHeight="1" x14ac:dyDescent="0.3">
      <c r="A2394" s="10"/>
      <c r="B2394" s="168"/>
      <c r="C2394" s="169"/>
      <c r="D2394" s="160"/>
      <c r="E2394" s="161"/>
      <c r="F2394" s="162"/>
      <c r="G2394" s="163"/>
      <c r="H2394" s="164"/>
      <c r="I2394" s="163"/>
      <c r="J2394" s="164"/>
      <c r="K2394" s="163"/>
      <c r="L2394" s="164"/>
      <c r="M2394" s="11"/>
      <c r="N2394" s="39"/>
      <c r="Q2394" s="15" t="str">
        <f>+CONCATENATE(E2392,K2392)</f>
        <v/>
      </c>
      <c r="R2394" s="15">
        <f>+L2392</f>
        <v>0</v>
      </c>
      <c r="S2394" s="16"/>
      <c r="T2394" s="15">
        <f>+E2392</f>
        <v>0</v>
      </c>
      <c r="U2394" s="26" t="str">
        <f>IFERROR(LEFT(K2392,FIND("*",K2392)-1),"-")</f>
        <v>-</v>
      </c>
      <c r="V2394" s="26" t="str">
        <f>IFERROR(RIGHT(K2392,LEN(K2392)-FIND("*",K2392)),"-")</f>
        <v>-</v>
      </c>
      <c r="W2394" s="27" t="str">
        <f t="shared" si="1300"/>
        <v>-</v>
      </c>
      <c r="X2394" s="27" t="str">
        <f>IFERROR(W2394*L2392,"-")</f>
        <v>-</v>
      </c>
      <c r="Z2394" s="94" t="s">
        <v>82</v>
      </c>
    </row>
    <row r="2395" spans="1:26" s="25" customFormat="1" ht="6.95" customHeight="1" x14ac:dyDescent="0.3">
      <c r="A2395" s="13"/>
      <c r="B2395" s="168"/>
      <c r="C2395" s="169"/>
      <c r="D2395" s="160" t="s">
        <v>39</v>
      </c>
      <c r="E2395" s="161"/>
      <c r="F2395" s="162" t="s">
        <v>40</v>
      </c>
      <c r="G2395" s="163"/>
      <c r="H2395" s="164"/>
      <c r="I2395" s="163"/>
      <c r="J2395" s="164"/>
      <c r="K2395" s="163"/>
      <c r="L2395" s="164"/>
      <c r="M2395" s="11"/>
      <c r="N2395" s="39"/>
      <c r="Q2395" s="15" t="str">
        <f>+CONCATENATE(E2395,G2395)</f>
        <v/>
      </c>
      <c r="R2395" s="15">
        <f>+H2395</f>
        <v>0</v>
      </c>
      <c r="S2395" s="16"/>
      <c r="T2395" s="15">
        <f>+E2395</f>
        <v>0</v>
      </c>
      <c r="U2395" s="26" t="str">
        <f t="shared" ref="U2395" si="1303">IFERROR(LEFT(G2395,FIND("*",G2395)-1),"-")</f>
        <v>-</v>
      </c>
      <c r="V2395" s="26" t="str">
        <f t="shared" ref="V2395" si="1304">IFERROR(RIGHT(G2395,LEN(G2395)-FIND("*",G2395)),"-")</f>
        <v>-</v>
      </c>
      <c r="W2395" s="27" t="str">
        <f t="shared" si="1300"/>
        <v>-</v>
      </c>
      <c r="X2395" s="27" t="str">
        <f>IFERROR(W2395*H2395,"-")</f>
        <v>-</v>
      </c>
      <c r="Z2395" s="94" t="s">
        <v>82</v>
      </c>
    </row>
    <row r="2396" spans="1:26" s="25" customFormat="1" ht="6.95" customHeight="1" x14ac:dyDescent="0.3">
      <c r="A2396" s="10"/>
      <c r="B2396" s="168"/>
      <c r="C2396" s="169"/>
      <c r="D2396" s="160"/>
      <c r="E2396" s="161"/>
      <c r="F2396" s="162"/>
      <c r="G2396" s="163"/>
      <c r="H2396" s="164"/>
      <c r="I2396" s="163"/>
      <c r="J2396" s="164"/>
      <c r="K2396" s="163"/>
      <c r="L2396" s="164"/>
      <c r="M2396" s="11"/>
      <c r="N2396" s="39"/>
      <c r="Q2396" s="15" t="str">
        <f>+CONCATENATE(E2395,I2395)</f>
        <v/>
      </c>
      <c r="R2396" s="15">
        <f>+J2395</f>
        <v>0</v>
      </c>
      <c r="S2396" s="16"/>
      <c r="T2396" s="15">
        <f>+E2395</f>
        <v>0</v>
      </c>
      <c r="U2396" s="26" t="str">
        <f>IFERROR(LEFT(I2395,FIND("*",I2395)-1),"-")</f>
        <v>-</v>
      </c>
      <c r="V2396" s="26" t="str">
        <f>IFERROR(RIGHT(I2395,LEN(I2395)-FIND("*",I2395)),"-")</f>
        <v>-</v>
      </c>
      <c r="W2396" s="27" t="str">
        <f t="shared" si="1300"/>
        <v>-</v>
      </c>
      <c r="X2396" s="27" t="str">
        <f t="shared" ref="X2396" si="1305">IFERROR(W2396*J2395,"-")</f>
        <v>-</v>
      </c>
      <c r="Z2396" s="94" t="s">
        <v>82</v>
      </c>
    </row>
    <row r="2397" spans="1:26" s="25" customFormat="1" ht="6.95" customHeight="1" x14ac:dyDescent="0.3">
      <c r="A2397" s="10"/>
      <c r="B2397" s="168"/>
      <c r="C2397" s="169"/>
      <c r="D2397" s="160"/>
      <c r="E2397" s="161"/>
      <c r="F2397" s="162"/>
      <c r="G2397" s="163"/>
      <c r="H2397" s="164"/>
      <c r="I2397" s="163"/>
      <c r="J2397" s="164"/>
      <c r="K2397" s="163"/>
      <c r="L2397" s="164"/>
      <c r="M2397" s="11"/>
      <c r="N2397" s="39"/>
      <c r="Q2397" s="15" t="str">
        <f>+CONCATENATE(E2395,K2395)</f>
        <v/>
      </c>
      <c r="R2397" s="15">
        <f>+L2395</f>
        <v>0</v>
      </c>
      <c r="S2397" s="16"/>
      <c r="T2397" s="15">
        <f>+E2395</f>
        <v>0</v>
      </c>
      <c r="U2397" s="26" t="str">
        <f>IFERROR(LEFT(K2395,FIND("*",K2395)-1),"-")</f>
        <v>-</v>
      </c>
      <c r="V2397" s="26" t="str">
        <f>IFERROR(RIGHT(K2395,LEN(K2395)-FIND("*",K2395)),"-")</f>
        <v>-</v>
      </c>
      <c r="W2397" s="27" t="str">
        <f t="shared" si="1300"/>
        <v>-</v>
      </c>
      <c r="X2397" s="27" t="str">
        <f>IFERROR(W2397*L2395,"-")</f>
        <v>-</v>
      </c>
      <c r="Z2397" s="94" t="s">
        <v>82</v>
      </c>
    </row>
    <row r="2398" spans="1:26" s="25" customFormat="1" ht="21" customHeight="1" thickBot="1" x14ac:dyDescent="0.35">
      <c r="A2398" s="10"/>
      <c r="B2398" s="170"/>
      <c r="C2398" s="171"/>
      <c r="D2398" s="172" t="s">
        <v>43</v>
      </c>
      <c r="E2398" s="173"/>
      <c r="F2398" s="173"/>
      <c r="G2398" s="174"/>
      <c r="H2398" s="174"/>
      <c r="I2398" s="174"/>
      <c r="J2398" s="174"/>
      <c r="K2398" s="174"/>
      <c r="L2398" s="174"/>
      <c r="M2398" s="12"/>
      <c r="N2398" s="39"/>
      <c r="U2398" s="23"/>
      <c r="V2398" s="23"/>
      <c r="Z2398" s="95" t="s">
        <v>81</v>
      </c>
    </row>
    <row r="2399" spans="1:26" s="25" customFormat="1" ht="9.9499999999999993" customHeight="1" thickBot="1" x14ac:dyDescent="0.35">
      <c r="A2399" s="6"/>
      <c r="B2399" s="14"/>
      <c r="C2399" s="119"/>
      <c r="D2399" s="58"/>
      <c r="E2399" s="17"/>
      <c r="F2399" s="58"/>
      <c r="G2399" s="19"/>
      <c r="H2399" s="19"/>
      <c r="I2399" s="19"/>
      <c r="J2399" s="19"/>
      <c r="K2399" s="19"/>
      <c r="L2399" s="19"/>
      <c r="M2399" s="14"/>
      <c r="N2399" s="39"/>
      <c r="Q2399" s="1"/>
      <c r="R2399" s="1"/>
      <c r="S2399" s="1"/>
      <c r="T2399" s="1"/>
      <c r="U2399" s="24"/>
      <c r="V2399" s="24"/>
      <c r="W2399" s="1"/>
      <c r="X2399" s="1"/>
      <c r="Z2399" s="94" t="s">
        <v>82</v>
      </c>
    </row>
    <row r="2400" spans="1:26" s="25" customFormat="1" ht="6.95" customHeight="1" x14ac:dyDescent="0.3">
      <c r="A2400" s="165">
        <f>+A2389+1</f>
        <v>219</v>
      </c>
      <c r="B2400" s="166"/>
      <c r="C2400" s="167"/>
      <c r="D2400" s="160" t="s">
        <v>39</v>
      </c>
      <c r="E2400" s="161"/>
      <c r="F2400" s="162" t="s">
        <v>40</v>
      </c>
      <c r="G2400" s="163"/>
      <c r="H2400" s="164"/>
      <c r="I2400" s="163"/>
      <c r="J2400" s="164"/>
      <c r="K2400" s="163"/>
      <c r="L2400" s="164"/>
      <c r="M2400" s="11"/>
      <c r="N2400" s="39"/>
      <c r="Q2400" s="15" t="str">
        <f>+CONCATENATE(E2400,G2400)</f>
        <v/>
      </c>
      <c r="R2400" s="15">
        <f>+H2400</f>
        <v>0</v>
      </c>
      <c r="S2400" s="16"/>
      <c r="T2400" s="15">
        <f>+E2400</f>
        <v>0</v>
      </c>
      <c r="U2400" s="26" t="str">
        <f>IFERROR(LEFT(G2400,FIND("*",G2400)-1),"-")</f>
        <v>-</v>
      </c>
      <c r="V2400" s="26" t="str">
        <f>IFERROR(RIGHT(G2400,LEN(G2400)-FIND("*",G2400)),"-")</f>
        <v>-</v>
      </c>
      <c r="W2400" s="27" t="str">
        <f>IFERROR((U2400+V2400)*2/1000,"-")</f>
        <v>-</v>
      </c>
      <c r="X2400" s="27" t="str">
        <f>IFERROR(W2400*H2400,"-")</f>
        <v>-</v>
      </c>
      <c r="Z2400" s="94" t="s">
        <v>82</v>
      </c>
    </row>
    <row r="2401" spans="1:26" s="25" customFormat="1" ht="6.95" customHeight="1" x14ac:dyDescent="0.3">
      <c r="A2401" s="165"/>
      <c r="B2401" s="168"/>
      <c r="C2401" s="169"/>
      <c r="D2401" s="160"/>
      <c r="E2401" s="161"/>
      <c r="F2401" s="162"/>
      <c r="G2401" s="163"/>
      <c r="H2401" s="164"/>
      <c r="I2401" s="163"/>
      <c r="J2401" s="164"/>
      <c r="K2401" s="163"/>
      <c r="L2401" s="164"/>
      <c r="M2401" s="11"/>
      <c r="N2401" s="39"/>
      <c r="Q2401" s="15" t="str">
        <f>+CONCATENATE(E2400,I2400)</f>
        <v/>
      </c>
      <c r="R2401" s="15">
        <f>+J2400</f>
        <v>0</v>
      </c>
      <c r="S2401" s="16"/>
      <c r="T2401" s="15">
        <f>+E2400</f>
        <v>0</v>
      </c>
      <c r="U2401" s="26" t="str">
        <f>IFERROR(LEFT(I2400,FIND("*",I2400)-1),"-")</f>
        <v>-</v>
      </c>
      <c r="V2401" s="26" t="str">
        <f>IFERROR(RIGHT(I2400,LEN(I2400)-FIND("*",I2400)),"-")</f>
        <v>-</v>
      </c>
      <c r="W2401" s="27" t="str">
        <f t="shared" ref="W2401:W2408" si="1306">IFERROR((U2401+V2401)*2/1000,"-")</f>
        <v>-</v>
      </c>
      <c r="X2401" s="27" t="str">
        <f>IFERROR(W2401*J2400,"-")</f>
        <v>-</v>
      </c>
      <c r="Z2401" s="94" t="s">
        <v>82</v>
      </c>
    </row>
    <row r="2402" spans="1:26" s="25" customFormat="1" ht="6.95" customHeight="1" x14ac:dyDescent="0.3">
      <c r="A2402" s="165"/>
      <c r="B2402" s="168"/>
      <c r="C2402" s="169"/>
      <c r="D2402" s="160"/>
      <c r="E2402" s="161"/>
      <c r="F2402" s="162"/>
      <c r="G2402" s="163"/>
      <c r="H2402" s="164"/>
      <c r="I2402" s="163"/>
      <c r="J2402" s="164"/>
      <c r="K2402" s="163"/>
      <c r="L2402" s="164"/>
      <c r="M2402" s="11"/>
      <c r="N2402" s="39"/>
      <c r="Q2402" s="15" t="str">
        <f>+CONCATENATE(E2400,K2400)</f>
        <v/>
      </c>
      <c r="R2402" s="15">
        <f>+L2400</f>
        <v>0</v>
      </c>
      <c r="S2402" s="16"/>
      <c r="T2402" s="15">
        <f>+E2400</f>
        <v>0</v>
      </c>
      <c r="U2402" s="26" t="str">
        <f>IFERROR(LEFT(K2400,FIND("*",K2400)-1),"-")</f>
        <v>-</v>
      </c>
      <c r="V2402" s="26" t="str">
        <f>IFERROR(RIGHT(K2400,LEN(K2400)-FIND("*",K2400)),"-")</f>
        <v>-</v>
      </c>
      <c r="W2402" s="27" t="str">
        <f t="shared" si="1306"/>
        <v>-</v>
      </c>
      <c r="X2402" s="27" t="str">
        <f>IFERROR(W2402*L2400,"-")</f>
        <v>-</v>
      </c>
      <c r="Z2402" s="94" t="s">
        <v>82</v>
      </c>
    </row>
    <row r="2403" spans="1:26" s="25" customFormat="1" ht="6.95" customHeight="1" x14ac:dyDescent="0.3">
      <c r="A2403" s="13"/>
      <c r="B2403" s="168"/>
      <c r="C2403" s="169"/>
      <c r="D2403" s="160" t="s">
        <v>39</v>
      </c>
      <c r="E2403" s="161"/>
      <c r="F2403" s="162" t="s">
        <v>40</v>
      </c>
      <c r="G2403" s="163"/>
      <c r="H2403" s="164"/>
      <c r="I2403" s="163"/>
      <c r="J2403" s="164"/>
      <c r="K2403" s="163"/>
      <c r="L2403" s="164"/>
      <c r="M2403" s="11"/>
      <c r="N2403" s="39"/>
      <c r="Q2403" s="15" t="str">
        <f>+CONCATENATE(E2403,G2403)</f>
        <v/>
      </c>
      <c r="R2403" s="15">
        <f>+H2403</f>
        <v>0</v>
      </c>
      <c r="S2403" s="16"/>
      <c r="T2403" s="15">
        <f>+E2403</f>
        <v>0</v>
      </c>
      <c r="U2403" s="26" t="str">
        <f t="shared" ref="U2403" si="1307">IFERROR(LEFT(G2403,FIND("*",G2403)-1),"-")</f>
        <v>-</v>
      </c>
      <c r="V2403" s="26" t="str">
        <f t="shared" ref="V2403" si="1308">IFERROR(RIGHT(G2403,LEN(G2403)-FIND("*",G2403)),"-")</f>
        <v>-</v>
      </c>
      <c r="W2403" s="27" t="str">
        <f t="shared" si="1306"/>
        <v>-</v>
      </c>
      <c r="X2403" s="27" t="str">
        <f>IFERROR(W2403*H2403,"-")</f>
        <v>-</v>
      </c>
      <c r="Z2403" s="94" t="s">
        <v>82</v>
      </c>
    </row>
    <row r="2404" spans="1:26" s="25" customFormat="1" ht="6.95" customHeight="1" x14ac:dyDescent="0.3">
      <c r="A2404" s="10"/>
      <c r="B2404" s="168"/>
      <c r="C2404" s="169"/>
      <c r="D2404" s="160"/>
      <c r="E2404" s="161"/>
      <c r="F2404" s="162"/>
      <c r="G2404" s="163"/>
      <c r="H2404" s="164"/>
      <c r="I2404" s="163"/>
      <c r="J2404" s="164"/>
      <c r="K2404" s="163"/>
      <c r="L2404" s="164"/>
      <c r="M2404" s="11"/>
      <c r="N2404" s="39"/>
      <c r="Q2404" s="15" t="str">
        <f>+CONCATENATE(E2403,I2403)</f>
        <v/>
      </c>
      <c r="R2404" s="15">
        <f>+J2403</f>
        <v>0</v>
      </c>
      <c r="S2404" s="16"/>
      <c r="T2404" s="15">
        <f>+E2403</f>
        <v>0</v>
      </c>
      <c r="U2404" s="26" t="str">
        <f>IFERROR(LEFT(I2403,FIND("*",I2403)-1),"-")</f>
        <v>-</v>
      </c>
      <c r="V2404" s="26" t="str">
        <f>IFERROR(RIGHT(I2403,LEN(I2403)-FIND("*",I2403)),"-")</f>
        <v>-</v>
      </c>
      <c r="W2404" s="27" t="str">
        <f t="shared" si="1306"/>
        <v>-</v>
      </c>
      <c r="X2404" s="27" t="str">
        <f>IFERROR(W2404*J2403,"-")</f>
        <v>-</v>
      </c>
      <c r="Z2404" s="94" t="s">
        <v>82</v>
      </c>
    </row>
    <row r="2405" spans="1:26" s="25" customFormat="1" ht="6.95" customHeight="1" x14ac:dyDescent="0.3">
      <c r="A2405" s="10"/>
      <c r="B2405" s="168"/>
      <c r="C2405" s="169"/>
      <c r="D2405" s="160"/>
      <c r="E2405" s="161"/>
      <c r="F2405" s="162"/>
      <c r="G2405" s="163"/>
      <c r="H2405" s="164"/>
      <c r="I2405" s="163"/>
      <c r="J2405" s="164"/>
      <c r="K2405" s="163"/>
      <c r="L2405" s="164"/>
      <c r="M2405" s="11"/>
      <c r="N2405" s="39"/>
      <c r="Q2405" s="15" t="str">
        <f>+CONCATENATE(E2403,K2403)</f>
        <v/>
      </c>
      <c r="R2405" s="15">
        <f>+L2403</f>
        <v>0</v>
      </c>
      <c r="S2405" s="16"/>
      <c r="T2405" s="15">
        <f>+E2403</f>
        <v>0</v>
      </c>
      <c r="U2405" s="26" t="str">
        <f>IFERROR(LEFT(K2403,FIND("*",K2403)-1),"-")</f>
        <v>-</v>
      </c>
      <c r="V2405" s="26" t="str">
        <f>IFERROR(RIGHT(K2403,LEN(K2403)-FIND("*",K2403)),"-")</f>
        <v>-</v>
      </c>
      <c r="W2405" s="27" t="str">
        <f t="shared" si="1306"/>
        <v>-</v>
      </c>
      <c r="X2405" s="27" t="str">
        <f>IFERROR(W2405*L2403,"-")</f>
        <v>-</v>
      </c>
      <c r="Z2405" s="94" t="s">
        <v>82</v>
      </c>
    </row>
    <row r="2406" spans="1:26" s="25" customFormat="1" ht="6.95" customHeight="1" x14ac:dyDescent="0.3">
      <c r="A2406" s="13"/>
      <c r="B2406" s="168"/>
      <c r="C2406" s="169"/>
      <c r="D2406" s="160" t="s">
        <v>39</v>
      </c>
      <c r="E2406" s="161"/>
      <c r="F2406" s="162" t="s">
        <v>40</v>
      </c>
      <c r="G2406" s="163"/>
      <c r="H2406" s="164"/>
      <c r="I2406" s="163"/>
      <c r="J2406" s="164"/>
      <c r="K2406" s="163"/>
      <c r="L2406" s="164"/>
      <c r="M2406" s="11"/>
      <c r="N2406" s="39"/>
      <c r="Q2406" s="15" t="str">
        <f>+CONCATENATE(E2406,G2406)</f>
        <v/>
      </c>
      <c r="R2406" s="15">
        <f>+H2406</f>
        <v>0</v>
      </c>
      <c r="S2406" s="16"/>
      <c r="T2406" s="15">
        <f>+E2406</f>
        <v>0</v>
      </c>
      <c r="U2406" s="26" t="str">
        <f t="shared" ref="U2406" si="1309">IFERROR(LEFT(G2406,FIND("*",G2406)-1),"-")</f>
        <v>-</v>
      </c>
      <c r="V2406" s="26" t="str">
        <f t="shared" ref="V2406" si="1310">IFERROR(RIGHT(G2406,LEN(G2406)-FIND("*",G2406)),"-")</f>
        <v>-</v>
      </c>
      <c r="W2406" s="27" t="str">
        <f t="shared" si="1306"/>
        <v>-</v>
      </c>
      <c r="X2406" s="27" t="str">
        <f>IFERROR(W2406*H2406,"-")</f>
        <v>-</v>
      </c>
      <c r="Z2406" s="94" t="s">
        <v>82</v>
      </c>
    </row>
    <row r="2407" spans="1:26" s="25" customFormat="1" ht="6.95" customHeight="1" x14ac:dyDescent="0.3">
      <c r="A2407" s="10"/>
      <c r="B2407" s="168"/>
      <c r="C2407" s="169"/>
      <c r="D2407" s="160"/>
      <c r="E2407" s="161"/>
      <c r="F2407" s="162"/>
      <c r="G2407" s="163"/>
      <c r="H2407" s="164"/>
      <c r="I2407" s="163"/>
      <c r="J2407" s="164"/>
      <c r="K2407" s="163"/>
      <c r="L2407" s="164"/>
      <c r="M2407" s="11"/>
      <c r="N2407" s="39"/>
      <c r="Q2407" s="15" t="str">
        <f>+CONCATENATE(E2406,I2406)</f>
        <v/>
      </c>
      <c r="R2407" s="15">
        <f>+J2406</f>
        <v>0</v>
      </c>
      <c r="S2407" s="16"/>
      <c r="T2407" s="15">
        <f>+E2406</f>
        <v>0</v>
      </c>
      <c r="U2407" s="26" t="str">
        <f>IFERROR(LEFT(I2406,FIND("*",I2406)-1),"-")</f>
        <v>-</v>
      </c>
      <c r="V2407" s="26" t="str">
        <f>IFERROR(RIGHT(I2406,LEN(I2406)-FIND("*",I2406)),"-")</f>
        <v>-</v>
      </c>
      <c r="W2407" s="27" t="str">
        <f t="shared" si="1306"/>
        <v>-</v>
      </c>
      <c r="X2407" s="27" t="str">
        <f t="shared" ref="X2407" si="1311">IFERROR(W2407*J2406,"-")</f>
        <v>-</v>
      </c>
      <c r="Z2407" s="94" t="s">
        <v>82</v>
      </c>
    </row>
    <row r="2408" spans="1:26" s="25" customFormat="1" ht="6.95" customHeight="1" x14ac:dyDescent="0.3">
      <c r="A2408" s="10"/>
      <c r="B2408" s="168"/>
      <c r="C2408" s="169"/>
      <c r="D2408" s="160"/>
      <c r="E2408" s="161"/>
      <c r="F2408" s="162"/>
      <c r="G2408" s="163"/>
      <c r="H2408" s="164"/>
      <c r="I2408" s="163"/>
      <c r="J2408" s="164"/>
      <c r="K2408" s="163"/>
      <c r="L2408" s="164"/>
      <c r="M2408" s="11"/>
      <c r="N2408" s="39"/>
      <c r="Q2408" s="15" t="str">
        <f>+CONCATENATE(E2406,K2406)</f>
        <v/>
      </c>
      <c r="R2408" s="15">
        <f>+L2406</f>
        <v>0</v>
      </c>
      <c r="S2408" s="16"/>
      <c r="T2408" s="15">
        <f>+E2406</f>
        <v>0</v>
      </c>
      <c r="U2408" s="26" t="str">
        <f>IFERROR(LEFT(K2406,FIND("*",K2406)-1),"-")</f>
        <v>-</v>
      </c>
      <c r="V2408" s="26" t="str">
        <f>IFERROR(RIGHT(K2406,LEN(K2406)-FIND("*",K2406)),"-")</f>
        <v>-</v>
      </c>
      <c r="W2408" s="27" t="str">
        <f t="shared" si="1306"/>
        <v>-</v>
      </c>
      <c r="X2408" s="27" t="str">
        <f>IFERROR(W2408*L2406,"-")</f>
        <v>-</v>
      </c>
      <c r="Z2408" s="94" t="s">
        <v>82</v>
      </c>
    </row>
    <row r="2409" spans="1:26" s="25" customFormat="1" ht="21" customHeight="1" thickBot="1" x14ac:dyDescent="0.35">
      <c r="A2409" s="10"/>
      <c r="B2409" s="170"/>
      <c r="C2409" s="171"/>
      <c r="D2409" s="172" t="s">
        <v>43</v>
      </c>
      <c r="E2409" s="173"/>
      <c r="F2409" s="173"/>
      <c r="G2409" s="174"/>
      <c r="H2409" s="174"/>
      <c r="I2409" s="174"/>
      <c r="J2409" s="174"/>
      <c r="K2409" s="174"/>
      <c r="L2409" s="174"/>
      <c r="M2409" s="12"/>
      <c r="N2409" s="39"/>
      <c r="U2409" s="23"/>
      <c r="V2409" s="23"/>
      <c r="Z2409" s="95" t="s">
        <v>81</v>
      </c>
    </row>
    <row r="2410" spans="1:26" s="25" customFormat="1" ht="9.9499999999999993" customHeight="1" thickBot="1" x14ac:dyDescent="0.35">
      <c r="A2410" s="6"/>
      <c r="B2410" s="14"/>
      <c r="C2410" s="119"/>
      <c r="D2410" s="58"/>
      <c r="E2410" s="17"/>
      <c r="F2410" s="58"/>
      <c r="G2410" s="19"/>
      <c r="H2410" s="19"/>
      <c r="I2410" s="19"/>
      <c r="J2410" s="19"/>
      <c r="K2410" s="19"/>
      <c r="L2410" s="19"/>
      <c r="M2410" s="14"/>
      <c r="N2410" s="39"/>
      <c r="Q2410" s="1"/>
      <c r="R2410" s="1"/>
      <c r="S2410" s="1"/>
      <c r="T2410" s="1"/>
      <c r="U2410" s="24"/>
      <c r="V2410" s="24"/>
      <c r="W2410" s="1"/>
      <c r="X2410" s="1"/>
      <c r="Z2410" s="94" t="s">
        <v>82</v>
      </c>
    </row>
    <row r="2411" spans="1:26" s="25" customFormat="1" ht="6.95" customHeight="1" x14ac:dyDescent="0.3">
      <c r="A2411" s="165">
        <f>+A2400+1</f>
        <v>220</v>
      </c>
      <c r="B2411" s="166"/>
      <c r="C2411" s="167"/>
      <c r="D2411" s="160" t="s">
        <v>39</v>
      </c>
      <c r="E2411" s="161"/>
      <c r="F2411" s="162" t="s">
        <v>40</v>
      </c>
      <c r="G2411" s="163"/>
      <c r="H2411" s="164"/>
      <c r="I2411" s="163"/>
      <c r="J2411" s="164"/>
      <c r="K2411" s="163"/>
      <c r="L2411" s="164"/>
      <c r="M2411" s="11"/>
      <c r="N2411" s="39"/>
      <c r="Q2411" s="15" t="str">
        <f>+CONCATENATE(E2411,G2411)</f>
        <v/>
      </c>
      <c r="R2411" s="15">
        <f>+H2411</f>
        <v>0</v>
      </c>
      <c r="S2411" s="16"/>
      <c r="T2411" s="15">
        <f>+E2411</f>
        <v>0</v>
      </c>
      <c r="U2411" s="26" t="str">
        <f>IFERROR(LEFT(G2411,FIND("*",G2411)-1),"-")</f>
        <v>-</v>
      </c>
      <c r="V2411" s="26" t="str">
        <f>IFERROR(RIGHT(G2411,LEN(G2411)-FIND("*",G2411)),"-")</f>
        <v>-</v>
      </c>
      <c r="W2411" s="27" t="str">
        <f>IFERROR((U2411+V2411)*2/1000,"-")</f>
        <v>-</v>
      </c>
      <c r="X2411" s="27" t="str">
        <f>IFERROR(W2411*H2411,"-")</f>
        <v>-</v>
      </c>
      <c r="Z2411" s="94" t="s">
        <v>82</v>
      </c>
    </row>
    <row r="2412" spans="1:26" s="25" customFormat="1" ht="6.95" customHeight="1" x14ac:dyDescent="0.3">
      <c r="A2412" s="165"/>
      <c r="B2412" s="168"/>
      <c r="C2412" s="169"/>
      <c r="D2412" s="160"/>
      <c r="E2412" s="161"/>
      <c r="F2412" s="162"/>
      <c r="G2412" s="163"/>
      <c r="H2412" s="164"/>
      <c r="I2412" s="163"/>
      <c r="J2412" s="164"/>
      <c r="K2412" s="163"/>
      <c r="L2412" s="164"/>
      <c r="M2412" s="11"/>
      <c r="N2412" s="39"/>
      <c r="Q2412" s="15" t="str">
        <f>+CONCATENATE(E2411,I2411)</f>
        <v/>
      </c>
      <c r="R2412" s="15">
        <f>+J2411</f>
        <v>0</v>
      </c>
      <c r="S2412" s="16"/>
      <c r="T2412" s="15">
        <f>+E2411</f>
        <v>0</v>
      </c>
      <c r="U2412" s="26" t="str">
        <f>IFERROR(LEFT(I2411,FIND("*",I2411)-1),"-")</f>
        <v>-</v>
      </c>
      <c r="V2412" s="26" t="str">
        <f>IFERROR(RIGHT(I2411,LEN(I2411)-FIND("*",I2411)),"-")</f>
        <v>-</v>
      </c>
      <c r="W2412" s="27" t="str">
        <f t="shared" ref="W2412:W2419" si="1312">IFERROR((U2412+V2412)*2/1000,"-")</f>
        <v>-</v>
      </c>
      <c r="X2412" s="27" t="str">
        <f>IFERROR(W2412*J2411,"-")</f>
        <v>-</v>
      </c>
      <c r="Z2412" s="94" t="s">
        <v>82</v>
      </c>
    </row>
    <row r="2413" spans="1:26" s="25" customFormat="1" ht="6.95" customHeight="1" x14ac:dyDescent="0.3">
      <c r="A2413" s="165"/>
      <c r="B2413" s="168"/>
      <c r="C2413" s="169"/>
      <c r="D2413" s="160"/>
      <c r="E2413" s="161"/>
      <c r="F2413" s="162"/>
      <c r="G2413" s="163"/>
      <c r="H2413" s="164"/>
      <c r="I2413" s="163"/>
      <c r="J2413" s="164"/>
      <c r="K2413" s="163"/>
      <c r="L2413" s="164"/>
      <c r="M2413" s="11"/>
      <c r="N2413" s="39"/>
      <c r="Q2413" s="15" t="str">
        <f>+CONCATENATE(E2411,K2411)</f>
        <v/>
      </c>
      <c r="R2413" s="15">
        <f>+L2411</f>
        <v>0</v>
      </c>
      <c r="S2413" s="16"/>
      <c r="T2413" s="15">
        <f>+E2411</f>
        <v>0</v>
      </c>
      <c r="U2413" s="26" t="str">
        <f>IFERROR(LEFT(K2411,FIND("*",K2411)-1),"-")</f>
        <v>-</v>
      </c>
      <c r="V2413" s="26" t="str">
        <f>IFERROR(RIGHT(K2411,LEN(K2411)-FIND("*",K2411)),"-")</f>
        <v>-</v>
      </c>
      <c r="W2413" s="27" t="str">
        <f t="shared" si="1312"/>
        <v>-</v>
      </c>
      <c r="X2413" s="27" t="str">
        <f>IFERROR(W2413*L2411,"-")</f>
        <v>-</v>
      </c>
      <c r="Z2413" s="94" t="s">
        <v>82</v>
      </c>
    </row>
    <row r="2414" spans="1:26" s="25" customFormat="1" ht="6.95" customHeight="1" x14ac:dyDescent="0.3">
      <c r="A2414" s="13"/>
      <c r="B2414" s="168"/>
      <c r="C2414" s="169"/>
      <c r="D2414" s="160" t="s">
        <v>39</v>
      </c>
      <c r="E2414" s="161"/>
      <c r="F2414" s="162" t="s">
        <v>40</v>
      </c>
      <c r="G2414" s="163"/>
      <c r="H2414" s="164"/>
      <c r="I2414" s="163"/>
      <c r="J2414" s="164"/>
      <c r="K2414" s="163"/>
      <c r="L2414" s="164"/>
      <c r="M2414" s="11"/>
      <c r="N2414" s="39"/>
      <c r="Q2414" s="15" t="str">
        <f>+CONCATENATE(E2414,G2414)</f>
        <v/>
      </c>
      <c r="R2414" s="15">
        <f>+H2414</f>
        <v>0</v>
      </c>
      <c r="S2414" s="16"/>
      <c r="T2414" s="15">
        <f>+E2414</f>
        <v>0</v>
      </c>
      <c r="U2414" s="26" t="str">
        <f t="shared" ref="U2414" si="1313">IFERROR(LEFT(G2414,FIND("*",G2414)-1),"-")</f>
        <v>-</v>
      </c>
      <c r="V2414" s="26" t="str">
        <f t="shared" ref="V2414" si="1314">IFERROR(RIGHT(G2414,LEN(G2414)-FIND("*",G2414)),"-")</f>
        <v>-</v>
      </c>
      <c r="W2414" s="27" t="str">
        <f t="shared" si="1312"/>
        <v>-</v>
      </c>
      <c r="X2414" s="27" t="str">
        <f>IFERROR(W2414*H2414,"-")</f>
        <v>-</v>
      </c>
      <c r="Z2414" s="94" t="s">
        <v>82</v>
      </c>
    </row>
    <row r="2415" spans="1:26" s="25" customFormat="1" ht="6.95" customHeight="1" x14ac:dyDescent="0.3">
      <c r="A2415" s="10"/>
      <c r="B2415" s="168"/>
      <c r="C2415" s="169"/>
      <c r="D2415" s="160"/>
      <c r="E2415" s="161"/>
      <c r="F2415" s="162"/>
      <c r="G2415" s="163"/>
      <c r="H2415" s="164"/>
      <c r="I2415" s="163"/>
      <c r="J2415" s="164"/>
      <c r="K2415" s="163"/>
      <c r="L2415" s="164"/>
      <c r="M2415" s="11"/>
      <c r="N2415" s="39"/>
      <c r="Q2415" s="15" t="str">
        <f>+CONCATENATE(E2414,I2414)</f>
        <v/>
      </c>
      <c r="R2415" s="15">
        <f>+J2414</f>
        <v>0</v>
      </c>
      <c r="S2415" s="16"/>
      <c r="T2415" s="15">
        <f>+E2414</f>
        <v>0</v>
      </c>
      <c r="U2415" s="26" t="str">
        <f>IFERROR(LEFT(I2414,FIND("*",I2414)-1),"-")</f>
        <v>-</v>
      </c>
      <c r="V2415" s="26" t="str">
        <f>IFERROR(RIGHT(I2414,LEN(I2414)-FIND("*",I2414)),"-")</f>
        <v>-</v>
      </c>
      <c r="W2415" s="27" t="str">
        <f t="shared" si="1312"/>
        <v>-</v>
      </c>
      <c r="X2415" s="27" t="str">
        <f>IFERROR(W2415*J2414,"-")</f>
        <v>-</v>
      </c>
      <c r="Z2415" s="94" t="s">
        <v>82</v>
      </c>
    </row>
    <row r="2416" spans="1:26" s="25" customFormat="1" ht="6.95" customHeight="1" x14ac:dyDescent="0.3">
      <c r="A2416" s="10"/>
      <c r="B2416" s="168"/>
      <c r="C2416" s="169"/>
      <c r="D2416" s="160"/>
      <c r="E2416" s="161"/>
      <c r="F2416" s="162"/>
      <c r="G2416" s="163"/>
      <c r="H2416" s="164"/>
      <c r="I2416" s="163"/>
      <c r="J2416" s="164"/>
      <c r="K2416" s="163"/>
      <c r="L2416" s="164"/>
      <c r="M2416" s="11"/>
      <c r="N2416" s="39"/>
      <c r="Q2416" s="15" t="str">
        <f>+CONCATENATE(E2414,K2414)</f>
        <v/>
      </c>
      <c r="R2416" s="15">
        <f>+L2414</f>
        <v>0</v>
      </c>
      <c r="S2416" s="16"/>
      <c r="T2416" s="15">
        <f>+E2414</f>
        <v>0</v>
      </c>
      <c r="U2416" s="26" t="str">
        <f>IFERROR(LEFT(K2414,FIND("*",K2414)-1),"-")</f>
        <v>-</v>
      </c>
      <c r="V2416" s="26" t="str">
        <f>IFERROR(RIGHT(K2414,LEN(K2414)-FIND("*",K2414)),"-")</f>
        <v>-</v>
      </c>
      <c r="W2416" s="27" t="str">
        <f t="shared" si="1312"/>
        <v>-</v>
      </c>
      <c r="X2416" s="27" t="str">
        <f>IFERROR(W2416*L2414,"-")</f>
        <v>-</v>
      </c>
      <c r="Z2416" s="94" t="s">
        <v>82</v>
      </c>
    </row>
    <row r="2417" spans="1:26" s="25" customFormat="1" ht="6.95" customHeight="1" x14ac:dyDescent="0.3">
      <c r="A2417" s="13"/>
      <c r="B2417" s="168"/>
      <c r="C2417" s="169"/>
      <c r="D2417" s="160" t="s">
        <v>39</v>
      </c>
      <c r="E2417" s="161"/>
      <c r="F2417" s="162" t="s">
        <v>40</v>
      </c>
      <c r="G2417" s="163"/>
      <c r="H2417" s="164"/>
      <c r="I2417" s="163"/>
      <c r="J2417" s="164"/>
      <c r="K2417" s="163"/>
      <c r="L2417" s="164"/>
      <c r="M2417" s="11"/>
      <c r="N2417" s="39"/>
      <c r="Q2417" s="15" t="str">
        <f>+CONCATENATE(E2417,G2417)</f>
        <v/>
      </c>
      <c r="R2417" s="15">
        <f>+H2417</f>
        <v>0</v>
      </c>
      <c r="S2417" s="16"/>
      <c r="T2417" s="15">
        <f>+E2417</f>
        <v>0</v>
      </c>
      <c r="U2417" s="26" t="str">
        <f t="shared" ref="U2417" si="1315">IFERROR(LEFT(G2417,FIND("*",G2417)-1),"-")</f>
        <v>-</v>
      </c>
      <c r="V2417" s="26" t="str">
        <f t="shared" ref="V2417" si="1316">IFERROR(RIGHT(G2417,LEN(G2417)-FIND("*",G2417)),"-")</f>
        <v>-</v>
      </c>
      <c r="W2417" s="27" t="str">
        <f t="shared" si="1312"/>
        <v>-</v>
      </c>
      <c r="X2417" s="27" t="str">
        <f>IFERROR(W2417*H2417,"-")</f>
        <v>-</v>
      </c>
      <c r="Z2417" s="94" t="s">
        <v>82</v>
      </c>
    </row>
    <row r="2418" spans="1:26" s="25" customFormat="1" ht="6.95" customHeight="1" x14ac:dyDescent="0.3">
      <c r="A2418" s="10"/>
      <c r="B2418" s="168"/>
      <c r="C2418" s="169"/>
      <c r="D2418" s="160"/>
      <c r="E2418" s="161"/>
      <c r="F2418" s="162"/>
      <c r="G2418" s="163"/>
      <c r="H2418" s="164"/>
      <c r="I2418" s="163"/>
      <c r="J2418" s="164"/>
      <c r="K2418" s="163"/>
      <c r="L2418" s="164"/>
      <c r="M2418" s="11"/>
      <c r="N2418" s="39"/>
      <c r="Q2418" s="15" t="str">
        <f>+CONCATENATE(E2417,I2417)</f>
        <v/>
      </c>
      <c r="R2418" s="15">
        <f>+J2417</f>
        <v>0</v>
      </c>
      <c r="S2418" s="16"/>
      <c r="T2418" s="15">
        <f>+E2417</f>
        <v>0</v>
      </c>
      <c r="U2418" s="26" t="str">
        <f>IFERROR(LEFT(I2417,FIND("*",I2417)-1),"-")</f>
        <v>-</v>
      </c>
      <c r="V2418" s="26" t="str">
        <f>IFERROR(RIGHT(I2417,LEN(I2417)-FIND("*",I2417)),"-")</f>
        <v>-</v>
      </c>
      <c r="W2418" s="27" t="str">
        <f t="shared" si="1312"/>
        <v>-</v>
      </c>
      <c r="X2418" s="27" t="str">
        <f t="shared" ref="X2418" si="1317">IFERROR(W2418*J2417,"-")</f>
        <v>-</v>
      </c>
      <c r="Z2418" s="94" t="s">
        <v>82</v>
      </c>
    </row>
    <row r="2419" spans="1:26" s="25" customFormat="1" ht="6.95" customHeight="1" x14ac:dyDescent="0.3">
      <c r="A2419" s="10"/>
      <c r="B2419" s="168"/>
      <c r="C2419" s="169"/>
      <c r="D2419" s="160"/>
      <c r="E2419" s="161"/>
      <c r="F2419" s="162"/>
      <c r="G2419" s="163"/>
      <c r="H2419" s="164"/>
      <c r="I2419" s="163"/>
      <c r="J2419" s="164"/>
      <c r="K2419" s="163"/>
      <c r="L2419" s="164"/>
      <c r="M2419" s="11"/>
      <c r="N2419" s="39"/>
      <c r="Q2419" s="15" t="str">
        <f>+CONCATENATE(E2417,K2417)</f>
        <v/>
      </c>
      <c r="R2419" s="15">
        <f>+L2417</f>
        <v>0</v>
      </c>
      <c r="S2419" s="16"/>
      <c r="T2419" s="15">
        <f>+E2417</f>
        <v>0</v>
      </c>
      <c r="U2419" s="26" t="str">
        <f>IFERROR(LEFT(K2417,FIND("*",K2417)-1),"-")</f>
        <v>-</v>
      </c>
      <c r="V2419" s="26" t="str">
        <f>IFERROR(RIGHT(K2417,LEN(K2417)-FIND("*",K2417)),"-")</f>
        <v>-</v>
      </c>
      <c r="W2419" s="27" t="str">
        <f t="shared" si="1312"/>
        <v>-</v>
      </c>
      <c r="X2419" s="27" t="str">
        <f>IFERROR(W2419*L2417,"-")</f>
        <v>-</v>
      </c>
      <c r="Z2419" s="94" t="s">
        <v>82</v>
      </c>
    </row>
    <row r="2420" spans="1:26" s="25" customFormat="1" ht="21" customHeight="1" thickBot="1" x14ac:dyDescent="0.35">
      <c r="A2420" s="10"/>
      <c r="B2420" s="170"/>
      <c r="C2420" s="171"/>
      <c r="D2420" s="172" t="s">
        <v>43</v>
      </c>
      <c r="E2420" s="173"/>
      <c r="F2420" s="173"/>
      <c r="G2420" s="174"/>
      <c r="H2420" s="174"/>
      <c r="I2420" s="174"/>
      <c r="J2420" s="174"/>
      <c r="K2420" s="174"/>
      <c r="L2420" s="174"/>
      <c r="M2420" s="12"/>
      <c r="N2420" s="39"/>
      <c r="U2420" s="23"/>
      <c r="V2420" s="23"/>
      <c r="Z2420" s="95" t="s">
        <v>81</v>
      </c>
    </row>
    <row r="2421" spans="1:26" s="25" customFormat="1" ht="9.9499999999999993" customHeight="1" thickBot="1" x14ac:dyDescent="0.35">
      <c r="A2421" s="6"/>
      <c r="B2421" s="14"/>
      <c r="C2421" s="119"/>
      <c r="D2421" s="58"/>
      <c r="E2421" s="17"/>
      <c r="F2421" s="58"/>
      <c r="G2421" s="19"/>
      <c r="H2421" s="19"/>
      <c r="I2421" s="19"/>
      <c r="J2421" s="19"/>
      <c r="K2421" s="19"/>
      <c r="L2421" s="19"/>
      <c r="M2421" s="14"/>
      <c r="N2421" s="39"/>
      <c r="Q2421" s="1"/>
      <c r="R2421" s="1"/>
      <c r="S2421" s="1"/>
      <c r="T2421" s="1"/>
      <c r="U2421" s="24"/>
      <c r="V2421" s="24"/>
      <c r="W2421" s="1"/>
      <c r="X2421" s="1"/>
      <c r="Z2421" s="94" t="s">
        <v>82</v>
      </c>
    </row>
    <row r="2422" spans="1:26" s="25" customFormat="1" ht="6.95" customHeight="1" x14ac:dyDescent="0.3">
      <c r="A2422" s="165">
        <f>+A2411+1</f>
        <v>221</v>
      </c>
      <c r="B2422" s="166"/>
      <c r="C2422" s="167"/>
      <c r="D2422" s="160" t="s">
        <v>39</v>
      </c>
      <c r="E2422" s="161"/>
      <c r="F2422" s="162" t="s">
        <v>40</v>
      </c>
      <c r="G2422" s="163"/>
      <c r="H2422" s="164"/>
      <c r="I2422" s="163"/>
      <c r="J2422" s="164"/>
      <c r="K2422" s="163"/>
      <c r="L2422" s="164"/>
      <c r="M2422" s="11"/>
      <c r="N2422" s="39"/>
      <c r="Q2422" s="15" t="str">
        <f>+CONCATENATE(E2422,G2422)</f>
        <v/>
      </c>
      <c r="R2422" s="15">
        <f>+H2422</f>
        <v>0</v>
      </c>
      <c r="S2422" s="16"/>
      <c r="T2422" s="15">
        <f>+E2422</f>
        <v>0</v>
      </c>
      <c r="U2422" s="26" t="str">
        <f>IFERROR(LEFT(G2422,FIND("*",G2422)-1),"-")</f>
        <v>-</v>
      </c>
      <c r="V2422" s="26" t="str">
        <f>IFERROR(RIGHT(G2422,LEN(G2422)-FIND("*",G2422)),"-")</f>
        <v>-</v>
      </c>
      <c r="W2422" s="27" t="str">
        <f>IFERROR((U2422+V2422)*2/1000,"-")</f>
        <v>-</v>
      </c>
      <c r="X2422" s="27" t="str">
        <f>IFERROR(W2422*H2422,"-")</f>
        <v>-</v>
      </c>
      <c r="Z2422" s="94" t="s">
        <v>82</v>
      </c>
    </row>
    <row r="2423" spans="1:26" s="25" customFormat="1" ht="6.95" customHeight="1" x14ac:dyDescent="0.3">
      <c r="A2423" s="165"/>
      <c r="B2423" s="168"/>
      <c r="C2423" s="169"/>
      <c r="D2423" s="160"/>
      <c r="E2423" s="161"/>
      <c r="F2423" s="162"/>
      <c r="G2423" s="163"/>
      <c r="H2423" s="164"/>
      <c r="I2423" s="163"/>
      <c r="J2423" s="164"/>
      <c r="K2423" s="163"/>
      <c r="L2423" s="164"/>
      <c r="M2423" s="11"/>
      <c r="N2423" s="39"/>
      <c r="Q2423" s="15" t="str">
        <f>+CONCATENATE(E2422,I2422)</f>
        <v/>
      </c>
      <c r="R2423" s="15">
        <f>+J2422</f>
        <v>0</v>
      </c>
      <c r="S2423" s="16"/>
      <c r="T2423" s="15">
        <f>+E2422</f>
        <v>0</v>
      </c>
      <c r="U2423" s="26" t="str">
        <f>IFERROR(LEFT(I2422,FIND("*",I2422)-1),"-")</f>
        <v>-</v>
      </c>
      <c r="V2423" s="26" t="str">
        <f>IFERROR(RIGHT(I2422,LEN(I2422)-FIND("*",I2422)),"-")</f>
        <v>-</v>
      </c>
      <c r="W2423" s="27" t="str">
        <f t="shared" ref="W2423:W2430" si="1318">IFERROR((U2423+V2423)*2/1000,"-")</f>
        <v>-</v>
      </c>
      <c r="X2423" s="27" t="str">
        <f>IFERROR(W2423*J2422,"-")</f>
        <v>-</v>
      </c>
      <c r="Z2423" s="94" t="s">
        <v>82</v>
      </c>
    </row>
    <row r="2424" spans="1:26" s="25" customFormat="1" ht="6.95" customHeight="1" x14ac:dyDescent="0.3">
      <c r="A2424" s="165"/>
      <c r="B2424" s="168"/>
      <c r="C2424" s="169"/>
      <c r="D2424" s="160"/>
      <c r="E2424" s="161"/>
      <c r="F2424" s="162"/>
      <c r="G2424" s="163"/>
      <c r="H2424" s="164"/>
      <c r="I2424" s="163"/>
      <c r="J2424" s="164"/>
      <c r="K2424" s="163"/>
      <c r="L2424" s="164"/>
      <c r="M2424" s="11"/>
      <c r="N2424" s="39"/>
      <c r="Q2424" s="15" t="str">
        <f>+CONCATENATE(E2422,K2422)</f>
        <v/>
      </c>
      <c r="R2424" s="15">
        <f>+L2422</f>
        <v>0</v>
      </c>
      <c r="S2424" s="16"/>
      <c r="T2424" s="15">
        <f>+E2422</f>
        <v>0</v>
      </c>
      <c r="U2424" s="26" t="str">
        <f>IFERROR(LEFT(K2422,FIND("*",K2422)-1),"-")</f>
        <v>-</v>
      </c>
      <c r="V2424" s="26" t="str">
        <f>IFERROR(RIGHT(K2422,LEN(K2422)-FIND("*",K2422)),"-")</f>
        <v>-</v>
      </c>
      <c r="W2424" s="27" t="str">
        <f t="shared" si="1318"/>
        <v>-</v>
      </c>
      <c r="X2424" s="27" t="str">
        <f>IFERROR(W2424*L2422,"-")</f>
        <v>-</v>
      </c>
      <c r="Z2424" s="94" t="s">
        <v>82</v>
      </c>
    </row>
    <row r="2425" spans="1:26" s="25" customFormat="1" ht="6.95" customHeight="1" x14ac:dyDescent="0.3">
      <c r="A2425" s="13"/>
      <c r="B2425" s="168"/>
      <c r="C2425" s="169"/>
      <c r="D2425" s="160" t="s">
        <v>39</v>
      </c>
      <c r="E2425" s="161"/>
      <c r="F2425" s="162" t="s">
        <v>40</v>
      </c>
      <c r="G2425" s="163"/>
      <c r="H2425" s="164"/>
      <c r="I2425" s="163"/>
      <c r="J2425" s="164"/>
      <c r="K2425" s="163"/>
      <c r="L2425" s="164"/>
      <c r="M2425" s="11"/>
      <c r="N2425" s="39"/>
      <c r="Q2425" s="15" t="str">
        <f>+CONCATENATE(E2425,G2425)</f>
        <v/>
      </c>
      <c r="R2425" s="15">
        <f>+H2425</f>
        <v>0</v>
      </c>
      <c r="S2425" s="16"/>
      <c r="T2425" s="15">
        <f>+E2425</f>
        <v>0</v>
      </c>
      <c r="U2425" s="26" t="str">
        <f t="shared" ref="U2425" si="1319">IFERROR(LEFT(G2425,FIND("*",G2425)-1),"-")</f>
        <v>-</v>
      </c>
      <c r="V2425" s="26" t="str">
        <f t="shared" ref="V2425" si="1320">IFERROR(RIGHT(G2425,LEN(G2425)-FIND("*",G2425)),"-")</f>
        <v>-</v>
      </c>
      <c r="W2425" s="27" t="str">
        <f t="shared" si="1318"/>
        <v>-</v>
      </c>
      <c r="X2425" s="27" t="str">
        <f>IFERROR(W2425*H2425,"-")</f>
        <v>-</v>
      </c>
      <c r="Z2425" s="94" t="s">
        <v>82</v>
      </c>
    </row>
    <row r="2426" spans="1:26" s="25" customFormat="1" ht="6.95" customHeight="1" x14ac:dyDescent="0.3">
      <c r="A2426" s="10"/>
      <c r="B2426" s="168"/>
      <c r="C2426" s="169"/>
      <c r="D2426" s="160"/>
      <c r="E2426" s="161"/>
      <c r="F2426" s="162"/>
      <c r="G2426" s="163"/>
      <c r="H2426" s="164"/>
      <c r="I2426" s="163"/>
      <c r="J2426" s="164"/>
      <c r="K2426" s="163"/>
      <c r="L2426" s="164"/>
      <c r="M2426" s="11"/>
      <c r="N2426" s="39"/>
      <c r="Q2426" s="15" t="str">
        <f>+CONCATENATE(E2425,I2425)</f>
        <v/>
      </c>
      <c r="R2426" s="15">
        <f>+J2425</f>
        <v>0</v>
      </c>
      <c r="S2426" s="16"/>
      <c r="T2426" s="15">
        <f>+E2425</f>
        <v>0</v>
      </c>
      <c r="U2426" s="26" t="str">
        <f>IFERROR(LEFT(I2425,FIND("*",I2425)-1),"-")</f>
        <v>-</v>
      </c>
      <c r="V2426" s="26" t="str">
        <f>IFERROR(RIGHT(I2425,LEN(I2425)-FIND("*",I2425)),"-")</f>
        <v>-</v>
      </c>
      <c r="W2426" s="27" t="str">
        <f t="shared" si="1318"/>
        <v>-</v>
      </c>
      <c r="X2426" s="27" t="str">
        <f>IFERROR(W2426*J2425,"-")</f>
        <v>-</v>
      </c>
      <c r="Z2426" s="94" t="s">
        <v>82</v>
      </c>
    </row>
    <row r="2427" spans="1:26" s="25" customFormat="1" ht="6.95" customHeight="1" x14ac:dyDescent="0.3">
      <c r="A2427" s="10"/>
      <c r="B2427" s="168"/>
      <c r="C2427" s="169"/>
      <c r="D2427" s="160"/>
      <c r="E2427" s="161"/>
      <c r="F2427" s="162"/>
      <c r="G2427" s="163"/>
      <c r="H2427" s="164"/>
      <c r="I2427" s="163"/>
      <c r="J2427" s="164"/>
      <c r="K2427" s="163"/>
      <c r="L2427" s="164"/>
      <c r="M2427" s="11"/>
      <c r="N2427" s="39"/>
      <c r="Q2427" s="15" t="str">
        <f>+CONCATENATE(E2425,K2425)</f>
        <v/>
      </c>
      <c r="R2427" s="15">
        <f>+L2425</f>
        <v>0</v>
      </c>
      <c r="S2427" s="16"/>
      <c r="T2427" s="15">
        <f>+E2425</f>
        <v>0</v>
      </c>
      <c r="U2427" s="26" t="str">
        <f>IFERROR(LEFT(K2425,FIND("*",K2425)-1),"-")</f>
        <v>-</v>
      </c>
      <c r="V2427" s="26" t="str">
        <f>IFERROR(RIGHT(K2425,LEN(K2425)-FIND("*",K2425)),"-")</f>
        <v>-</v>
      </c>
      <c r="W2427" s="27" t="str">
        <f t="shared" si="1318"/>
        <v>-</v>
      </c>
      <c r="X2427" s="27" t="str">
        <f>IFERROR(W2427*L2425,"-")</f>
        <v>-</v>
      </c>
      <c r="Z2427" s="94" t="s">
        <v>82</v>
      </c>
    </row>
    <row r="2428" spans="1:26" s="25" customFormat="1" ht="6.95" customHeight="1" x14ac:dyDescent="0.3">
      <c r="A2428" s="13"/>
      <c r="B2428" s="168"/>
      <c r="C2428" s="169"/>
      <c r="D2428" s="160" t="s">
        <v>39</v>
      </c>
      <c r="E2428" s="161"/>
      <c r="F2428" s="162" t="s">
        <v>40</v>
      </c>
      <c r="G2428" s="163"/>
      <c r="H2428" s="164"/>
      <c r="I2428" s="163"/>
      <c r="J2428" s="164"/>
      <c r="K2428" s="163"/>
      <c r="L2428" s="164"/>
      <c r="M2428" s="11"/>
      <c r="N2428" s="39"/>
      <c r="Q2428" s="15" t="str">
        <f>+CONCATENATE(E2428,G2428)</f>
        <v/>
      </c>
      <c r="R2428" s="15">
        <f>+H2428</f>
        <v>0</v>
      </c>
      <c r="S2428" s="16"/>
      <c r="T2428" s="15">
        <f>+E2428</f>
        <v>0</v>
      </c>
      <c r="U2428" s="26" t="str">
        <f t="shared" ref="U2428" si="1321">IFERROR(LEFT(G2428,FIND("*",G2428)-1),"-")</f>
        <v>-</v>
      </c>
      <c r="V2428" s="26" t="str">
        <f t="shared" ref="V2428" si="1322">IFERROR(RIGHT(G2428,LEN(G2428)-FIND("*",G2428)),"-")</f>
        <v>-</v>
      </c>
      <c r="W2428" s="27" t="str">
        <f t="shared" si="1318"/>
        <v>-</v>
      </c>
      <c r="X2428" s="27" t="str">
        <f>IFERROR(W2428*H2428,"-")</f>
        <v>-</v>
      </c>
      <c r="Z2428" s="94" t="s">
        <v>82</v>
      </c>
    </row>
    <row r="2429" spans="1:26" s="25" customFormat="1" ht="6.95" customHeight="1" x14ac:dyDescent="0.3">
      <c r="A2429" s="10"/>
      <c r="B2429" s="168"/>
      <c r="C2429" s="169"/>
      <c r="D2429" s="160"/>
      <c r="E2429" s="161"/>
      <c r="F2429" s="162"/>
      <c r="G2429" s="163"/>
      <c r="H2429" s="164"/>
      <c r="I2429" s="163"/>
      <c r="J2429" s="164"/>
      <c r="K2429" s="163"/>
      <c r="L2429" s="164"/>
      <c r="M2429" s="11"/>
      <c r="N2429" s="39"/>
      <c r="Q2429" s="15" t="str">
        <f>+CONCATENATE(E2428,I2428)</f>
        <v/>
      </c>
      <c r="R2429" s="15">
        <f>+J2428</f>
        <v>0</v>
      </c>
      <c r="S2429" s="16"/>
      <c r="T2429" s="15">
        <f>+E2428</f>
        <v>0</v>
      </c>
      <c r="U2429" s="26" t="str">
        <f>IFERROR(LEFT(I2428,FIND("*",I2428)-1),"-")</f>
        <v>-</v>
      </c>
      <c r="V2429" s="26" t="str">
        <f>IFERROR(RIGHT(I2428,LEN(I2428)-FIND("*",I2428)),"-")</f>
        <v>-</v>
      </c>
      <c r="W2429" s="27" t="str">
        <f t="shared" si="1318"/>
        <v>-</v>
      </c>
      <c r="X2429" s="27" t="str">
        <f t="shared" ref="X2429" si="1323">IFERROR(W2429*J2428,"-")</f>
        <v>-</v>
      </c>
      <c r="Z2429" s="94" t="s">
        <v>82</v>
      </c>
    </row>
    <row r="2430" spans="1:26" s="25" customFormat="1" ht="6.95" customHeight="1" x14ac:dyDescent="0.3">
      <c r="A2430" s="10"/>
      <c r="B2430" s="168"/>
      <c r="C2430" s="169"/>
      <c r="D2430" s="160"/>
      <c r="E2430" s="161"/>
      <c r="F2430" s="162"/>
      <c r="G2430" s="163"/>
      <c r="H2430" s="164"/>
      <c r="I2430" s="163"/>
      <c r="J2430" s="164"/>
      <c r="K2430" s="163"/>
      <c r="L2430" s="164"/>
      <c r="M2430" s="11"/>
      <c r="N2430" s="39"/>
      <c r="Q2430" s="15" t="str">
        <f>+CONCATENATE(E2428,K2428)</f>
        <v/>
      </c>
      <c r="R2430" s="15">
        <f>+L2428</f>
        <v>0</v>
      </c>
      <c r="S2430" s="16"/>
      <c r="T2430" s="15">
        <f>+E2428</f>
        <v>0</v>
      </c>
      <c r="U2430" s="26" t="str">
        <f>IFERROR(LEFT(K2428,FIND("*",K2428)-1),"-")</f>
        <v>-</v>
      </c>
      <c r="V2430" s="26" t="str">
        <f>IFERROR(RIGHT(K2428,LEN(K2428)-FIND("*",K2428)),"-")</f>
        <v>-</v>
      </c>
      <c r="W2430" s="27" t="str">
        <f t="shared" si="1318"/>
        <v>-</v>
      </c>
      <c r="X2430" s="27" t="str">
        <f>IFERROR(W2430*L2428,"-")</f>
        <v>-</v>
      </c>
      <c r="Z2430" s="94" t="s">
        <v>82</v>
      </c>
    </row>
    <row r="2431" spans="1:26" s="25" customFormat="1" ht="21" customHeight="1" thickBot="1" x14ac:dyDescent="0.35">
      <c r="A2431" s="10"/>
      <c r="B2431" s="170"/>
      <c r="C2431" s="171"/>
      <c r="D2431" s="172" t="s">
        <v>43</v>
      </c>
      <c r="E2431" s="173"/>
      <c r="F2431" s="173"/>
      <c r="G2431" s="174"/>
      <c r="H2431" s="174"/>
      <c r="I2431" s="174"/>
      <c r="J2431" s="174"/>
      <c r="K2431" s="174"/>
      <c r="L2431" s="174"/>
      <c r="M2431" s="12"/>
      <c r="N2431" s="39"/>
      <c r="U2431" s="23"/>
      <c r="V2431" s="23"/>
      <c r="Z2431" s="95" t="s">
        <v>81</v>
      </c>
    </row>
    <row r="2432" spans="1:26" s="25" customFormat="1" ht="9.9499999999999993" customHeight="1" thickBot="1" x14ac:dyDescent="0.35">
      <c r="A2432" s="6"/>
      <c r="B2432" s="14"/>
      <c r="C2432" s="119"/>
      <c r="D2432" s="58"/>
      <c r="E2432" s="17"/>
      <c r="F2432" s="58"/>
      <c r="G2432" s="19"/>
      <c r="H2432" s="19"/>
      <c r="I2432" s="19"/>
      <c r="J2432" s="19"/>
      <c r="K2432" s="19"/>
      <c r="L2432" s="19"/>
      <c r="M2432" s="14"/>
      <c r="N2432" s="39"/>
      <c r="Q2432" s="1"/>
      <c r="R2432" s="1"/>
      <c r="S2432" s="1"/>
      <c r="T2432" s="1"/>
      <c r="U2432" s="24"/>
      <c r="V2432" s="24"/>
      <c r="W2432" s="1"/>
      <c r="X2432" s="1"/>
      <c r="Z2432" s="94" t="s">
        <v>82</v>
      </c>
    </row>
    <row r="2433" spans="1:26" s="25" customFormat="1" ht="6.95" customHeight="1" x14ac:dyDescent="0.3">
      <c r="A2433" s="165">
        <f>+A2422+1</f>
        <v>222</v>
      </c>
      <c r="B2433" s="166"/>
      <c r="C2433" s="167"/>
      <c r="D2433" s="160" t="s">
        <v>39</v>
      </c>
      <c r="E2433" s="161"/>
      <c r="F2433" s="162" t="s">
        <v>40</v>
      </c>
      <c r="G2433" s="163"/>
      <c r="H2433" s="164"/>
      <c r="I2433" s="163"/>
      <c r="J2433" s="164"/>
      <c r="K2433" s="163"/>
      <c r="L2433" s="164"/>
      <c r="M2433" s="11"/>
      <c r="N2433" s="39"/>
      <c r="Q2433" s="15" t="str">
        <f>+CONCATENATE(E2433,G2433)</f>
        <v/>
      </c>
      <c r="R2433" s="15">
        <f>+H2433</f>
        <v>0</v>
      </c>
      <c r="S2433" s="16"/>
      <c r="T2433" s="15">
        <f>+E2433</f>
        <v>0</v>
      </c>
      <c r="U2433" s="26" t="str">
        <f>IFERROR(LEFT(G2433,FIND("*",G2433)-1),"-")</f>
        <v>-</v>
      </c>
      <c r="V2433" s="26" t="str">
        <f>IFERROR(RIGHT(G2433,LEN(G2433)-FIND("*",G2433)),"-")</f>
        <v>-</v>
      </c>
      <c r="W2433" s="27" t="str">
        <f>IFERROR((U2433+V2433)*2/1000,"-")</f>
        <v>-</v>
      </c>
      <c r="X2433" s="27" t="str">
        <f>IFERROR(W2433*H2433,"-")</f>
        <v>-</v>
      </c>
      <c r="Z2433" s="94" t="s">
        <v>82</v>
      </c>
    </row>
    <row r="2434" spans="1:26" s="25" customFormat="1" ht="6.95" customHeight="1" x14ac:dyDescent="0.3">
      <c r="A2434" s="165"/>
      <c r="B2434" s="168"/>
      <c r="C2434" s="169"/>
      <c r="D2434" s="160"/>
      <c r="E2434" s="161"/>
      <c r="F2434" s="162"/>
      <c r="G2434" s="163"/>
      <c r="H2434" s="164"/>
      <c r="I2434" s="163"/>
      <c r="J2434" s="164"/>
      <c r="K2434" s="163"/>
      <c r="L2434" s="164"/>
      <c r="M2434" s="11"/>
      <c r="N2434" s="39"/>
      <c r="Q2434" s="15" t="str">
        <f>+CONCATENATE(E2433,I2433)</f>
        <v/>
      </c>
      <c r="R2434" s="15">
        <f>+J2433</f>
        <v>0</v>
      </c>
      <c r="S2434" s="16"/>
      <c r="T2434" s="15">
        <f>+E2433</f>
        <v>0</v>
      </c>
      <c r="U2434" s="26" t="str">
        <f>IFERROR(LEFT(I2433,FIND("*",I2433)-1),"-")</f>
        <v>-</v>
      </c>
      <c r="V2434" s="26" t="str">
        <f>IFERROR(RIGHT(I2433,LEN(I2433)-FIND("*",I2433)),"-")</f>
        <v>-</v>
      </c>
      <c r="W2434" s="27" t="str">
        <f t="shared" ref="W2434:W2441" si="1324">IFERROR((U2434+V2434)*2/1000,"-")</f>
        <v>-</v>
      </c>
      <c r="X2434" s="27" t="str">
        <f>IFERROR(W2434*J2433,"-")</f>
        <v>-</v>
      </c>
      <c r="Z2434" s="94" t="s">
        <v>82</v>
      </c>
    </row>
    <row r="2435" spans="1:26" s="25" customFormat="1" ht="6.95" customHeight="1" x14ac:dyDescent="0.3">
      <c r="A2435" s="165"/>
      <c r="B2435" s="168"/>
      <c r="C2435" s="169"/>
      <c r="D2435" s="160"/>
      <c r="E2435" s="161"/>
      <c r="F2435" s="162"/>
      <c r="G2435" s="163"/>
      <c r="H2435" s="164"/>
      <c r="I2435" s="163"/>
      <c r="J2435" s="164"/>
      <c r="K2435" s="163"/>
      <c r="L2435" s="164"/>
      <c r="M2435" s="11"/>
      <c r="N2435" s="39"/>
      <c r="Q2435" s="15" t="str">
        <f>+CONCATENATE(E2433,K2433)</f>
        <v/>
      </c>
      <c r="R2435" s="15">
        <f>+L2433</f>
        <v>0</v>
      </c>
      <c r="S2435" s="16"/>
      <c r="T2435" s="15">
        <f>+E2433</f>
        <v>0</v>
      </c>
      <c r="U2435" s="26" t="str">
        <f>IFERROR(LEFT(K2433,FIND("*",K2433)-1),"-")</f>
        <v>-</v>
      </c>
      <c r="V2435" s="26" t="str">
        <f>IFERROR(RIGHT(K2433,LEN(K2433)-FIND("*",K2433)),"-")</f>
        <v>-</v>
      </c>
      <c r="W2435" s="27" t="str">
        <f t="shared" si="1324"/>
        <v>-</v>
      </c>
      <c r="X2435" s="27" t="str">
        <f>IFERROR(W2435*L2433,"-")</f>
        <v>-</v>
      </c>
      <c r="Z2435" s="94" t="s">
        <v>82</v>
      </c>
    </row>
    <row r="2436" spans="1:26" s="25" customFormat="1" ht="6.95" customHeight="1" x14ac:dyDescent="0.3">
      <c r="A2436" s="13"/>
      <c r="B2436" s="168"/>
      <c r="C2436" s="169"/>
      <c r="D2436" s="160" t="s">
        <v>39</v>
      </c>
      <c r="E2436" s="161"/>
      <c r="F2436" s="162" t="s">
        <v>40</v>
      </c>
      <c r="G2436" s="163"/>
      <c r="H2436" s="164"/>
      <c r="I2436" s="163"/>
      <c r="J2436" s="164"/>
      <c r="K2436" s="163"/>
      <c r="L2436" s="164"/>
      <c r="M2436" s="11"/>
      <c r="N2436" s="39"/>
      <c r="Q2436" s="15" t="str">
        <f>+CONCATENATE(E2436,G2436)</f>
        <v/>
      </c>
      <c r="R2436" s="15">
        <f>+H2436</f>
        <v>0</v>
      </c>
      <c r="S2436" s="16"/>
      <c r="T2436" s="15">
        <f>+E2436</f>
        <v>0</v>
      </c>
      <c r="U2436" s="26" t="str">
        <f t="shared" ref="U2436" si="1325">IFERROR(LEFT(G2436,FIND("*",G2436)-1),"-")</f>
        <v>-</v>
      </c>
      <c r="V2436" s="26" t="str">
        <f t="shared" ref="V2436" si="1326">IFERROR(RIGHT(G2436,LEN(G2436)-FIND("*",G2436)),"-")</f>
        <v>-</v>
      </c>
      <c r="W2436" s="27" t="str">
        <f t="shared" si="1324"/>
        <v>-</v>
      </c>
      <c r="X2436" s="27" t="str">
        <f>IFERROR(W2436*H2436,"-")</f>
        <v>-</v>
      </c>
      <c r="Z2436" s="94" t="s">
        <v>82</v>
      </c>
    </row>
    <row r="2437" spans="1:26" s="25" customFormat="1" ht="6.95" customHeight="1" x14ac:dyDescent="0.3">
      <c r="A2437" s="10"/>
      <c r="B2437" s="168"/>
      <c r="C2437" s="169"/>
      <c r="D2437" s="160"/>
      <c r="E2437" s="161"/>
      <c r="F2437" s="162"/>
      <c r="G2437" s="163"/>
      <c r="H2437" s="164"/>
      <c r="I2437" s="163"/>
      <c r="J2437" s="164"/>
      <c r="K2437" s="163"/>
      <c r="L2437" s="164"/>
      <c r="M2437" s="11"/>
      <c r="N2437" s="39"/>
      <c r="Q2437" s="15" t="str">
        <f>+CONCATENATE(E2436,I2436)</f>
        <v/>
      </c>
      <c r="R2437" s="15">
        <f>+J2436</f>
        <v>0</v>
      </c>
      <c r="S2437" s="16"/>
      <c r="T2437" s="15">
        <f>+E2436</f>
        <v>0</v>
      </c>
      <c r="U2437" s="26" t="str">
        <f>IFERROR(LEFT(I2436,FIND("*",I2436)-1),"-")</f>
        <v>-</v>
      </c>
      <c r="V2437" s="26" t="str">
        <f>IFERROR(RIGHT(I2436,LEN(I2436)-FIND("*",I2436)),"-")</f>
        <v>-</v>
      </c>
      <c r="W2437" s="27" t="str">
        <f t="shared" si="1324"/>
        <v>-</v>
      </c>
      <c r="X2437" s="27" t="str">
        <f>IFERROR(W2437*J2436,"-")</f>
        <v>-</v>
      </c>
      <c r="Z2437" s="94" t="s">
        <v>82</v>
      </c>
    </row>
    <row r="2438" spans="1:26" s="25" customFormat="1" ht="6.95" customHeight="1" x14ac:dyDescent="0.3">
      <c r="A2438" s="10"/>
      <c r="B2438" s="168"/>
      <c r="C2438" s="169"/>
      <c r="D2438" s="160"/>
      <c r="E2438" s="161"/>
      <c r="F2438" s="162"/>
      <c r="G2438" s="163"/>
      <c r="H2438" s="164"/>
      <c r="I2438" s="163"/>
      <c r="J2438" s="164"/>
      <c r="K2438" s="163"/>
      <c r="L2438" s="164"/>
      <c r="M2438" s="11"/>
      <c r="N2438" s="39"/>
      <c r="Q2438" s="15" t="str">
        <f>+CONCATENATE(E2436,K2436)</f>
        <v/>
      </c>
      <c r="R2438" s="15">
        <f>+L2436</f>
        <v>0</v>
      </c>
      <c r="S2438" s="16"/>
      <c r="T2438" s="15">
        <f>+E2436</f>
        <v>0</v>
      </c>
      <c r="U2438" s="26" t="str">
        <f>IFERROR(LEFT(K2436,FIND("*",K2436)-1),"-")</f>
        <v>-</v>
      </c>
      <c r="V2438" s="26" t="str">
        <f>IFERROR(RIGHT(K2436,LEN(K2436)-FIND("*",K2436)),"-")</f>
        <v>-</v>
      </c>
      <c r="W2438" s="27" t="str">
        <f t="shared" si="1324"/>
        <v>-</v>
      </c>
      <c r="X2438" s="27" t="str">
        <f>IFERROR(W2438*L2436,"-")</f>
        <v>-</v>
      </c>
      <c r="Z2438" s="94" t="s">
        <v>82</v>
      </c>
    </row>
    <row r="2439" spans="1:26" s="25" customFormat="1" ht="6.95" customHeight="1" x14ac:dyDescent="0.3">
      <c r="A2439" s="13"/>
      <c r="B2439" s="168"/>
      <c r="C2439" s="169"/>
      <c r="D2439" s="160" t="s">
        <v>39</v>
      </c>
      <c r="E2439" s="161"/>
      <c r="F2439" s="162" t="s">
        <v>40</v>
      </c>
      <c r="G2439" s="163"/>
      <c r="H2439" s="164"/>
      <c r="I2439" s="163"/>
      <c r="J2439" s="164"/>
      <c r="K2439" s="163"/>
      <c r="L2439" s="164"/>
      <c r="M2439" s="11"/>
      <c r="N2439" s="39"/>
      <c r="Q2439" s="15" t="str">
        <f>+CONCATENATE(E2439,G2439)</f>
        <v/>
      </c>
      <c r="R2439" s="15">
        <f>+H2439</f>
        <v>0</v>
      </c>
      <c r="S2439" s="16"/>
      <c r="T2439" s="15">
        <f>+E2439</f>
        <v>0</v>
      </c>
      <c r="U2439" s="26" t="str">
        <f t="shared" ref="U2439" si="1327">IFERROR(LEFT(G2439,FIND("*",G2439)-1),"-")</f>
        <v>-</v>
      </c>
      <c r="V2439" s="26" t="str">
        <f t="shared" ref="V2439" si="1328">IFERROR(RIGHT(G2439,LEN(G2439)-FIND("*",G2439)),"-")</f>
        <v>-</v>
      </c>
      <c r="W2439" s="27" t="str">
        <f t="shared" si="1324"/>
        <v>-</v>
      </c>
      <c r="X2439" s="27" t="str">
        <f>IFERROR(W2439*H2439,"-")</f>
        <v>-</v>
      </c>
      <c r="Z2439" s="94" t="s">
        <v>82</v>
      </c>
    </row>
    <row r="2440" spans="1:26" s="25" customFormat="1" ht="6.95" customHeight="1" x14ac:dyDescent="0.3">
      <c r="A2440" s="10"/>
      <c r="B2440" s="168"/>
      <c r="C2440" s="169"/>
      <c r="D2440" s="160"/>
      <c r="E2440" s="161"/>
      <c r="F2440" s="162"/>
      <c r="G2440" s="163"/>
      <c r="H2440" s="164"/>
      <c r="I2440" s="163"/>
      <c r="J2440" s="164"/>
      <c r="K2440" s="163"/>
      <c r="L2440" s="164"/>
      <c r="M2440" s="11"/>
      <c r="N2440" s="39"/>
      <c r="Q2440" s="15" t="str">
        <f>+CONCATENATE(E2439,I2439)</f>
        <v/>
      </c>
      <c r="R2440" s="15">
        <f>+J2439</f>
        <v>0</v>
      </c>
      <c r="S2440" s="16"/>
      <c r="T2440" s="15">
        <f>+E2439</f>
        <v>0</v>
      </c>
      <c r="U2440" s="26" t="str">
        <f>IFERROR(LEFT(I2439,FIND("*",I2439)-1),"-")</f>
        <v>-</v>
      </c>
      <c r="V2440" s="26" t="str">
        <f>IFERROR(RIGHT(I2439,LEN(I2439)-FIND("*",I2439)),"-")</f>
        <v>-</v>
      </c>
      <c r="W2440" s="27" t="str">
        <f t="shared" si="1324"/>
        <v>-</v>
      </c>
      <c r="X2440" s="27" t="str">
        <f t="shared" ref="X2440" si="1329">IFERROR(W2440*J2439,"-")</f>
        <v>-</v>
      </c>
      <c r="Z2440" s="94" t="s">
        <v>82</v>
      </c>
    </row>
    <row r="2441" spans="1:26" s="25" customFormat="1" ht="6.95" customHeight="1" x14ac:dyDescent="0.3">
      <c r="A2441" s="10"/>
      <c r="B2441" s="168"/>
      <c r="C2441" s="169"/>
      <c r="D2441" s="160"/>
      <c r="E2441" s="161"/>
      <c r="F2441" s="162"/>
      <c r="G2441" s="163"/>
      <c r="H2441" s="164"/>
      <c r="I2441" s="163"/>
      <c r="J2441" s="164"/>
      <c r="K2441" s="163"/>
      <c r="L2441" s="164"/>
      <c r="M2441" s="11"/>
      <c r="N2441" s="39"/>
      <c r="Q2441" s="15" t="str">
        <f>+CONCATENATE(E2439,K2439)</f>
        <v/>
      </c>
      <c r="R2441" s="15">
        <f>+L2439</f>
        <v>0</v>
      </c>
      <c r="S2441" s="16"/>
      <c r="T2441" s="15">
        <f>+E2439</f>
        <v>0</v>
      </c>
      <c r="U2441" s="26" t="str">
        <f>IFERROR(LEFT(K2439,FIND("*",K2439)-1),"-")</f>
        <v>-</v>
      </c>
      <c r="V2441" s="26" t="str">
        <f>IFERROR(RIGHT(K2439,LEN(K2439)-FIND("*",K2439)),"-")</f>
        <v>-</v>
      </c>
      <c r="W2441" s="27" t="str">
        <f t="shared" si="1324"/>
        <v>-</v>
      </c>
      <c r="X2441" s="27" t="str">
        <f>IFERROR(W2441*L2439,"-")</f>
        <v>-</v>
      </c>
      <c r="Z2441" s="94" t="s">
        <v>82</v>
      </c>
    </row>
    <row r="2442" spans="1:26" s="25" customFormat="1" ht="21" customHeight="1" thickBot="1" x14ac:dyDescent="0.35">
      <c r="A2442" s="10"/>
      <c r="B2442" s="170"/>
      <c r="C2442" s="171"/>
      <c r="D2442" s="172" t="s">
        <v>43</v>
      </c>
      <c r="E2442" s="173"/>
      <c r="F2442" s="173"/>
      <c r="G2442" s="174"/>
      <c r="H2442" s="174"/>
      <c r="I2442" s="174"/>
      <c r="J2442" s="174"/>
      <c r="K2442" s="174"/>
      <c r="L2442" s="174"/>
      <c r="M2442" s="12"/>
      <c r="N2442" s="39"/>
      <c r="U2442" s="23"/>
      <c r="V2442" s="23"/>
      <c r="Z2442" s="95" t="s">
        <v>81</v>
      </c>
    </row>
    <row r="2443" spans="1:26" s="25" customFormat="1" ht="9.9499999999999993" customHeight="1" thickBot="1" x14ac:dyDescent="0.35">
      <c r="A2443" s="6"/>
      <c r="B2443" s="14"/>
      <c r="C2443" s="119"/>
      <c r="D2443" s="58"/>
      <c r="E2443" s="17"/>
      <c r="F2443" s="58"/>
      <c r="G2443" s="19"/>
      <c r="H2443" s="19"/>
      <c r="I2443" s="19"/>
      <c r="J2443" s="19"/>
      <c r="K2443" s="19"/>
      <c r="L2443" s="19"/>
      <c r="M2443" s="14"/>
      <c r="N2443" s="39"/>
      <c r="Q2443" s="1"/>
      <c r="R2443" s="1"/>
      <c r="S2443" s="1"/>
      <c r="T2443" s="1"/>
      <c r="U2443" s="24"/>
      <c r="V2443" s="24"/>
      <c r="W2443" s="1"/>
      <c r="X2443" s="1"/>
      <c r="Z2443" s="94" t="s">
        <v>82</v>
      </c>
    </row>
    <row r="2444" spans="1:26" s="25" customFormat="1" ht="6.95" customHeight="1" x14ac:dyDescent="0.3">
      <c r="A2444" s="165">
        <f>+A2433+1</f>
        <v>223</v>
      </c>
      <c r="B2444" s="166"/>
      <c r="C2444" s="167"/>
      <c r="D2444" s="160" t="s">
        <v>39</v>
      </c>
      <c r="E2444" s="161"/>
      <c r="F2444" s="162" t="s">
        <v>40</v>
      </c>
      <c r="G2444" s="163"/>
      <c r="H2444" s="164"/>
      <c r="I2444" s="163"/>
      <c r="J2444" s="164"/>
      <c r="K2444" s="163"/>
      <c r="L2444" s="164"/>
      <c r="M2444" s="11"/>
      <c r="N2444" s="39"/>
      <c r="Q2444" s="15" t="str">
        <f>+CONCATENATE(E2444,G2444)</f>
        <v/>
      </c>
      <c r="R2444" s="15">
        <f>+H2444</f>
        <v>0</v>
      </c>
      <c r="S2444" s="16"/>
      <c r="T2444" s="15">
        <f>+E2444</f>
        <v>0</v>
      </c>
      <c r="U2444" s="26" t="str">
        <f>IFERROR(LEFT(G2444,FIND("*",G2444)-1),"-")</f>
        <v>-</v>
      </c>
      <c r="V2444" s="26" t="str">
        <f>IFERROR(RIGHT(G2444,LEN(G2444)-FIND("*",G2444)),"-")</f>
        <v>-</v>
      </c>
      <c r="W2444" s="27" t="str">
        <f>IFERROR((U2444+V2444)*2/1000,"-")</f>
        <v>-</v>
      </c>
      <c r="X2444" s="27" t="str">
        <f>IFERROR(W2444*H2444,"-")</f>
        <v>-</v>
      </c>
      <c r="Z2444" s="94" t="s">
        <v>82</v>
      </c>
    </row>
    <row r="2445" spans="1:26" s="25" customFormat="1" ht="6.95" customHeight="1" x14ac:dyDescent="0.3">
      <c r="A2445" s="165"/>
      <c r="B2445" s="168"/>
      <c r="C2445" s="169"/>
      <c r="D2445" s="160"/>
      <c r="E2445" s="161"/>
      <c r="F2445" s="162"/>
      <c r="G2445" s="163"/>
      <c r="H2445" s="164"/>
      <c r="I2445" s="163"/>
      <c r="J2445" s="164"/>
      <c r="K2445" s="163"/>
      <c r="L2445" s="164"/>
      <c r="M2445" s="11"/>
      <c r="N2445" s="39"/>
      <c r="Q2445" s="15" t="str">
        <f>+CONCATENATE(E2444,I2444)</f>
        <v/>
      </c>
      <c r="R2445" s="15">
        <f>+J2444</f>
        <v>0</v>
      </c>
      <c r="S2445" s="16"/>
      <c r="T2445" s="15">
        <f>+E2444</f>
        <v>0</v>
      </c>
      <c r="U2445" s="26" t="str">
        <f>IFERROR(LEFT(I2444,FIND("*",I2444)-1),"-")</f>
        <v>-</v>
      </c>
      <c r="V2445" s="26" t="str">
        <f>IFERROR(RIGHT(I2444,LEN(I2444)-FIND("*",I2444)),"-")</f>
        <v>-</v>
      </c>
      <c r="W2445" s="27" t="str">
        <f t="shared" ref="W2445:W2452" si="1330">IFERROR((U2445+V2445)*2/1000,"-")</f>
        <v>-</v>
      </c>
      <c r="X2445" s="27" t="str">
        <f>IFERROR(W2445*J2444,"-")</f>
        <v>-</v>
      </c>
      <c r="Z2445" s="94" t="s">
        <v>82</v>
      </c>
    </row>
    <row r="2446" spans="1:26" s="25" customFormat="1" ht="6.95" customHeight="1" x14ac:dyDescent="0.3">
      <c r="A2446" s="165"/>
      <c r="B2446" s="168"/>
      <c r="C2446" s="169"/>
      <c r="D2446" s="160"/>
      <c r="E2446" s="161"/>
      <c r="F2446" s="162"/>
      <c r="G2446" s="163"/>
      <c r="H2446" s="164"/>
      <c r="I2446" s="163"/>
      <c r="J2446" s="164"/>
      <c r="K2446" s="163"/>
      <c r="L2446" s="164"/>
      <c r="M2446" s="11"/>
      <c r="N2446" s="39"/>
      <c r="Q2446" s="15" t="str">
        <f>+CONCATENATE(E2444,K2444)</f>
        <v/>
      </c>
      <c r="R2446" s="15">
        <f>+L2444</f>
        <v>0</v>
      </c>
      <c r="S2446" s="16"/>
      <c r="T2446" s="15">
        <f>+E2444</f>
        <v>0</v>
      </c>
      <c r="U2446" s="26" t="str">
        <f>IFERROR(LEFT(K2444,FIND("*",K2444)-1),"-")</f>
        <v>-</v>
      </c>
      <c r="V2446" s="26" t="str">
        <f>IFERROR(RIGHT(K2444,LEN(K2444)-FIND("*",K2444)),"-")</f>
        <v>-</v>
      </c>
      <c r="W2446" s="27" t="str">
        <f t="shared" si="1330"/>
        <v>-</v>
      </c>
      <c r="X2446" s="27" t="str">
        <f>IFERROR(W2446*L2444,"-")</f>
        <v>-</v>
      </c>
      <c r="Z2446" s="94" t="s">
        <v>82</v>
      </c>
    </row>
    <row r="2447" spans="1:26" s="25" customFormat="1" ht="6.95" customHeight="1" x14ac:dyDescent="0.3">
      <c r="A2447" s="13"/>
      <c r="B2447" s="168"/>
      <c r="C2447" s="169"/>
      <c r="D2447" s="160" t="s">
        <v>39</v>
      </c>
      <c r="E2447" s="161"/>
      <c r="F2447" s="162" t="s">
        <v>40</v>
      </c>
      <c r="G2447" s="163"/>
      <c r="H2447" s="164"/>
      <c r="I2447" s="163"/>
      <c r="J2447" s="164"/>
      <c r="K2447" s="163"/>
      <c r="L2447" s="164"/>
      <c r="M2447" s="11"/>
      <c r="N2447" s="39"/>
      <c r="Q2447" s="15" t="str">
        <f>+CONCATENATE(E2447,G2447)</f>
        <v/>
      </c>
      <c r="R2447" s="15">
        <f>+H2447</f>
        <v>0</v>
      </c>
      <c r="S2447" s="16"/>
      <c r="T2447" s="15">
        <f>+E2447</f>
        <v>0</v>
      </c>
      <c r="U2447" s="26" t="str">
        <f t="shared" ref="U2447" si="1331">IFERROR(LEFT(G2447,FIND("*",G2447)-1),"-")</f>
        <v>-</v>
      </c>
      <c r="V2447" s="26" t="str">
        <f t="shared" ref="V2447" si="1332">IFERROR(RIGHT(G2447,LEN(G2447)-FIND("*",G2447)),"-")</f>
        <v>-</v>
      </c>
      <c r="W2447" s="27" t="str">
        <f t="shared" si="1330"/>
        <v>-</v>
      </c>
      <c r="X2447" s="27" t="str">
        <f>IFERROR(W2447*H2447,"-")</f>
        <v>-</v>
      </c>
      <c r="Z2447" s="94" t="s">
        <v>82</v>
      </c>
    </row>
    <row r="2448" spans="1:26" s="25" customFormat="1" ht="6.95" customHeight="1" x14ac:dyDescent="0.3">
      <c r="A2448" s="10"/>
      <c r="B2448" s="168"/>
      <c r="C2448" s="169"/>
      <c r="D2448" s="160"/>
      <c r="E2448" s="161"/>
      <c r="F2448" s="162"/>
      <c r="G2448" s="163"/>
      <c r="H2448" s="164"/>
      <c r="I2448" s="163"/>
      <c r="J2448" s="164"/>
      <c r="K2448" s="163"/>
      <c r="L2448" s="164"/>
      <c r="M2448" s="11"/>
      <c r="N2448" s="39"/>
      <c r="Q2448" s="15" t="str">
        <f>+CONCATENATE(E2447,I2447)</f>
        <v/>
      </c>
      <c r="R2448" s="15">
        <f>+J2447</f>
        <v>0</v>
      </c>
      <c r="S2448" s="16"/>
      <c r="T2448" s="15">
        <f>+E2447</f>
        <v>0</v>
      </c>
      <c r="U2448" s="26" t="str">
        <f>IFERROR(LEFT(I2447,FIND("*",I2447)-1),"-")</f>
        <v>-</v>
      </c>
      <c r="V2448" s="26" t="str">
        <f>IFERROR(RIGHT(I2447,LEN(I2447)-FIND("*",I2447)),"-")</f>
        <v>-</v>
      </c>
      <c r="W2448" s="27" t="str">
        <f t="shared" si="1330"/>
        <v>-</v>
      </c>
      <c r="X2448" s="27" t="str">
        <f>IFERROR(W2448*J2447,"-")</f>
        <v>-</v>
      </c>
      <c r="Z2448" s="94" t="s">
        <v>82</v>
      </c>
    </row>
    <row r="2449" spans="1:26" s="25" customFormat="1" ht="6.95" customHeight="1" x14ac:dyDescent="0.3">
      <c r="A2449" s="10"/>
      <c r="B2449" s="168"/>
      <c r="C2449" s="169"/>
      <c r="D2449" s="160"/>
      <c r="E2449" s="161"/>
      <c r="F2449" s="162"/>
      <c r="G2449" s="163"/>
      <c r="H2449" s="164"/>
      <c r="I2449" s="163"/>
      <c r="J2449" s="164"/>
      <c r="K2449" s="163"/>
      <c r="L2449" s="164"/>
      <c r="M2449" s="11"/>
      <c r="N2449" s="39"/>
      <c r="Q2449" s="15" t="str">
        <f>+CONCATENATE(E2447,K2447)</f>
        <v/>
      </c>
      <c r="R2449" s="15">
        <f>+L2447</f>
        <v>0</v>
      </c>
      <c r="S2449" s="16"/>
      <c r="T2449" s="15">
        <f>+E2447</f>
        <v>0</v>
      </c>
      <c r="U2449" s="26" t="str">
        <f>IFERROR(LEFT(K2447,FIND("*",K2447)-1),"-")</f>
        <v>-</v>
      </c>
      <c r="V2449" s="26" t="str">
        <f>IFERROR(RIGHT(K2447,LEN(K2447)-FIND("*",K2447)),"-")</f>
        <v>-</v>
      </c>
      <c r="W2449" s="27" t="str">
        <f t="shared" si="1330"/>
        <v>-</v>
      </c>
      <c r="X2449" s="27" t="str">
        <f>IFERROR(W2449*L2447,"-")</f>
        <v>-</v>
      </c>
      <c r="Z2449" s="94" t="s">
        <v>82</v>
      </c>
    </row>
    <row r="2450" spans="1:26" s="25" customFormat="1" ht="6.95" customHeight="1" x14ac:dyDescent="0.3">
      <c r="A2450" s="13"/>
      <c r="B2450" s="168"/>
      <c r="C2450" s="169"/>
      <c r="D2450" s="160" t="s">
        <v>39</v>
      </c>
      <c r="E2450" s="161"/>
      <c r="F2450" s="162" t="s">
        <v>40</v>
      </c>
      <c r="G2450" s="163"/>
      <c r="H2450" s="164"/>
      <c r="I2450" s="163"/>
      <c r="J2450" s="164"/>
      <c r="K2450" s="163"/>
      <c r="L2450" s="164"/>
      <c r="M2450" s="11"/>
      <c r="N2450" s="39"/>
      <c r="Q2450" s="15" t="str">
        <f>+CONCATENATE(E2450,G2450)</f>
        <v/>
      </c>
      <c r="R2450" s="15">
        <f>+H2450</f>
        <v>0</v>
      </c>
      <c r="S2450" s="16"/>
      <c r="T2450" s="15">
        <f>+E2450</f>
        <v>0</v>
      </c>
      <c r="U2450" s="26" t="str">
        <f t="shared" ref="U2450" si="1333">IFERROR(LEFT(G2450,FIND("*",G2450)-1),"-")</f>
        <v>-</v>
      </c>
      <c r="V2450" s="26" t="str">
        <f t="shared" ref="V2450" si="1334">IFERROR(RIGHT(G2450,LEN(G2450)-FIND("*",G2450)),"-")</f>
        <v>-</v>
      </c>
      <c r="W2450" s="27" t="str">
        <f t="shared" si="1330"/>
        <v>-</v>
      </c>
      <c r="X2450" s="27" t="str">
        <f>IFERROR(W2450*H2450,"-")</f>
        <v>-</v>
      </c>
      <c r="Z2450" s="94" t="s">
        <v>82</v>
      </c>
    </row>
    <row r="2451" spans="1:26" s="25" customFormat="1" ht="6.95" customHeight="1" x14ac:dyDescent="0.3">
      <c r="A2451" s="10"/>
      <c r="B2451" s="168"/>
      <c r="C2451" s="169"/>
      <c r="D2451" s="160"/>
      <c r="E2451" s="161"/>
      <c r="F2451" s="162"/>
      <c r="G2451" s="163"/>
      <c r="H2451" s="164"/>
      <c r="I2451" s="163"/>
      <c r="J2451" s="164"/>
      <c r="K2451" s="163"/>
      <c r="L2451" s="164"/>
      <c r="M2451" s="11"/>
      <c r="N2451" s="39"/>
      <c r="Q2451" s="15" t="str">
        <f>+CONCATENATE(E2450,I2450)</f>
        <v/>
      </c>
      <c r="R2451" s="15">
        <f>+J2450</f>
        <v>0</v>
      </c>
      <c r="S2451" s="16"/>
      <c r="T2451" s="15">
        <f>+E2450</f>
        <v>0</v>
      </c>
      <c r="U2451" s="26" t="str">
        <f>IFERROR(LEFT(I2450,FIND("*",I2450)-1),"-")</f>
        <v>-</v>
      </c>
      <c r="V2451" s="26" t="str">
        <f>IFERROR(RIGHT(I2450,LEN(I2450)-FIND("*",I2450)),"-")</f>
        <v>-</v>
      </c>
      <c r="W2451" s="27" t="str">
        <f t="shared" si="1330"/>
        <v>-</v>
      </c>
      <c r="X2451" s="27" t="str">
        <f t="shared" ref="X2451" si="1335">IFERROR(W2451*J2450,"-")</f>
        <v>-</v>
      </c>
      <c r="Z2451" s="94" t="s">
        <v>82</v>
      </c>
    </row>
    <row r="2452" spans="1:26" s="25" customFormat="1" ht="6.95" customHeight="1" x14ac:dyDescent="0.3">
      <c r="A2452" s="10"/>
      <c r="B2452" s="168"/>
      <c r="C2452" s="169"/>
      <c r="D2452" s="160"/>
      <c r="E2452" s="161"/>
      <c r="F2452" s="162"/>
      <c r="G2452" s="163"/>
      <c r="H2452" s="164"/>
      <c r="I2452" s="163"/>
      <c r="J2452" s="164"/>
      <c r="K2452" s="163"/>
      <c r="L2452" s="164"/>
      <c r="M2452" s="11"/>
      <c r="N2452" s="39"/>
      <c r="Q2452" s="15" t="str">
        <f>+CONCATENATE(E2450,K2450)</f>
        <v/>
      </c>
      <c r="R2452" s="15">
        <f>+L2450</f>
        <v>0</v>
      </c>
      <c r="S2452" s="16"/>
      <c r="T2452" s="15">
        <f>+E2450</f>
        <v>0</v>
      </c>
      <c r="U2452" s="26" t="str">
        <f>IFERROR(LEFT(K2450,FIND("*",K2450)-1),"-")</f>
        <v>-</v>
      </c>
      <c r="V2452" s="26" t="str">
        <f>IFERROR(RIGHT(K2450,LEN(K2450)-FIND("*",K2450)),"-")</f>
        <v>-</v>
      </c>
      <c r="W2452" s="27" t="str">
        <f t="shared" si="1330"/>
        <v>-</v>
      </c>
      <c r="X2452" s="27" t="str">
        <f>IFERROR(W2452*L2450,"-")</f>
        <v>-</v>
      </c>
      <c r="Z2452" s="94" t="s">
        <v>82</v>
      </c>
    </row>
    <row r="2453" spans="1:26" s="25" customFormat="1" ht="21" customHeight="1" thickBot="1" x14ac:dyDescent="0.35">
      <c r="A2453" s="10"/>
      <c r="B2453" s="170"/>
      <c r="C2453" s="171"/>
      <c r="D2453" s="172" t="s">
        <v>43</v>
      </c>
      <c r="E2453" s="173"/>
      <c r="F2453" s="173"/>
      <c r="G2453" s="174"/>
      <c r="H2453" s="174"/>
      <c r="I2453" s="174"/>
      <c r="J2453" s="174"/>
      <c r="K2453" s="174"/>
      <c r="L2453" s="174"/>
      <c r="M2453" s="12"/>
      <c r="N2453" s="39"/>
      <c r="U2453" s="23"/>
      <c r="V2453" s="23"/>
      <c r="Z2453" s="95" t="s">
        <v>81</v>
      </c>
    </row>
    <row r="2454" spans="1:26" s="25" customFormat="1" ht="9.9499999999999993" customHeight="1" thickBot="1" x14ac:dyDescent="0.35">
      <c r="A2454" s="6"/>
      <c r="B2454" s="14"/>
      <c r="C2454" s="119"/>
      <c r="D2454" s="58"/>
      <c r="E2454" s="17"/>
      <c r="F2454" s="58"/>
      <c r="G2454" s="19"/>
      <c r="H2454" s="19"/>
      <c r="I2454" s="19"/>
      <c r="J2454" s="19"/>
      <c r="K2454" s="19"/>
      <c r="L2454" s="19"/>
      <c r="M2454" s="14"/>
      <c r="N2454" s="39"/>
      <c r="Q2454" s="1"/>
      <c r="R2454" s="1"/>
      <c r="S2454" s="1"/>
      <c r="T2454" s="1"/>
      <c r="U2454" s="24"/>
      <c r="V2454" s="24"/>
      <c r="W2454" s="1"/>
      <c r="X2454" s="1"/>
      <c r="Z2454" s="94" t="s">
        <v>82</v>
      </c>
    </row>
    <row r="2455" spans="1:26" s="25" customFormat="1" ht="6.95" customHeight="1" x14ac:dyDescent="0.3">
      <c r="A2455" s="165">
        <f>+A2444+1</f>
        <v>224</v>
      </c>
      <c r="B2455" s="166"/>
      <c r="C2455" s="167"/>
      <c r="D2455" s="160" t="s">
        <v>39</v>
      </c>
      <c r="E2455" s="161"/>
      <c r="F2455" s="162" t="s">
        <v>40</v>
      </c>
      <c r="G2455" s="163"/>
      <c r="H2455" s="164"/>
      <c r="I2455" s="163"/>
      <c r="J2455" s="164"/>
      <c r="K2455" s="163"/>
      <c r="L2455" s="164"/>
      <c r="M2455" s="11"/>
      <c r="N2455" s="39"/>
      <c r="Q2455" s="15" t="str">
        <f>+CONCATENATE(E2455,G2455)</f>
        <v/>
      </c>
      <c r="R2455" s="15">
        <f>+H2455</f>
        <v>0</v>
      </c>
      <c r="S2455" s="16"/>
      <c r="T2455" s="15">
        <f>+E2455</f>
        <v>0</v>
      </c>
      <c r="U2455" s="26" t="str">
        <f>IFERROR(LEFT(G2455,FIND("*",G2455)-1),"-")</f>
        <v>-</v>
      </c>
      <c r="V2455" s="26" t="str">
        <f>IFERROR(RIGHT(G2455,LEN(G2455)-FIND("*",G2455)),"-")</f>
        <v>-</v>
      </c>
      <c r="W2455" s="27" t="str">
        <f>IFERROR((U2455+V2455)*2/1000,"-")</f>
        <v>-</v>
      </c>
      <c r="X2455" s="27" t="str">
        <f>IFERROR(W2455*H2455,"-")</f>
        <v>-</v>
      </c>
      <c r="Z2455" s="94" t="s">
        <v>82</v>
      </c>
    </row>
    <row r="2456" spans="1:26" s="25" customFormat="1" ht="6.95" customHeight="1" x14ac:dyDescent="0.3">
      <c r="A2456" s="165"/>
      <c r="B2456" s="168"/>
      <c r="C2456" s="169"/>
      <c r="D2456" s="160"/>
      <c r="E2456" s="161"/>
      <c r="F2456" s="162"/>
      <c r="G2456" s="163"/>
      <c r="H2456" s="164"/>
      <c r="I2456" s="163"/>
      <c r="J2456" s="164"/>
      <c r="K2456" s="163"/>
      <c r="L2456" s="164"/>
      <c r="M2456" s="11"/>
      <c r="N2456" s="39"/>
      <c r="Q2456" s="15" t="str">
        <f>+CONCATENATE(E2455,I2455)</f>
        <v/>
      </c>
      <c r="R2456" s="15">
        <f>+J2455</f>
        <v>0</v>
      </c>
      <c r="S2456" s="16"/>
      <c r="T2456" s="15">
        <f>+E2455</f>
        <v>0</v>
      </c>
      <c r="U2456" s="26" t="str">
        <f>IFERROR(LEFT(I2455,FIND("*",I2455)-1),"-")</f>
        <v>-</v>
      </c>
      <c r="V2456" s="26" t="str">
        <f>IFERROR(RIGHT(I2455,LEN(I2455)-FIND("*",I2455)),"-")</f>
        <v>-</v>
      </c>
      <c r="W2456" s="27" t="str">
        <f t="shared" ref="W2456:W2463" si="1336">IFERROR((U2456+V2456)*2/1000,"-")</f>
        <v>-</v>
      </c>
      <c r="X2456" s="27" t="str">
        <f>IFERROR(W2456*J2455,"-")</f>
        <v>-</v>
      </c>
      <c r="Z2456" s="94" t="s">
        <v>82</v>
      </c>
    </row>
    <row r="2457" spans="1:26" s="25" customFormat="1" ht="6.95" customHeight="1" x14ac:dyDescent="0.3">
      <c r="A2457" s="165"/>
      <c r="B2457" s="168"/>
      <c r="C2457" s="169"/>
      <c r="D2457" s="160"/>
      <c r="E2457" s="161"/>
      <c r="F2457" s="162"/>
      <c r="G2457" s="163"/>
      <c r="H2457" s="164"/>
      <c r="I2457" s="163"/>
      <c r="J2457" s="164"/>
      <c r="K2457" s="163"/>
      <c r="L2457" s="164"/>
      <c r="M2457" s="11"/>
      <c r="N2457" s="39"/>
      <c r="Q2457" s="15" t="str">
        <f>+CONCATENATE(E2455,K2455)</f>
        <v/>
      </c>
      <c r="R2457" s="15">
        <f>+L2455</f>
        <v>0</v>
      </c>
      <c r="S2457" s="16"/>
      <c r="T2457" s="15">
        <f>+E2455</f>
        <v>0</v>
      </c>
      <c r="U2457" s="26" t="str">
        <f>IFERROR(LEFT(K2455,FIND("*",K2455)-1),"-")</f>
        <v>-</v>
      </c>
      <c r="V2457" s="26" t="str">
        <f>IFERROR(RIGHT(K2455,LEN(K2455)-FIND("*",K2455)),"-")</f>
        <v>-</v>
      </c>
      <c r="W2457" s="27" t="str">
        <f t="shared" si="1336"/>
        <v>-</v>
      </c>
      <c r="X2457" s="27" t="str">
        <f>IFERROR(W2457*L2455,"-")</f>
        <v>-</v>
      </c>
      <c r="Z2457" s="94" t="s">
        <v>82</v>
      </c>
    </row>
    <row r="2458" spans="1:26" s="25" customFormat="1" ht="6.95" customHeight="1" x14ac:dyDescent="0.3">
      <c r="A2458" s="13"/>
      <c r="B2458" s="168"/>
      <c r="C2458" s="169"/>
      <c r="D2458" s="160" t="s">
        <v>39</v>
      </c>
      <c r="E2458" s="161"/>
      <c r="F2458" s="162" t="s">
        <v>40</v>
      </c>
      <c r="G2458" s="163"/>
      <c r="H2458" s="164"/>
      <c r="I2458" s="163"/>
      <c r="J2458" s="164"/>
      <c r="K2458" s="163"/>
      <c r="L2458" s="164"/>
      <c r="M2458" s="11"/>
      <c r="N2458" s="39"/>
      <c r="Q2458" s="15" t="str">
        <f>+CONCATENATE(E2458,G2458)</f>
        <v/>
      </c>
      <c r="R2458" s="15">
        <f>+H2458</f>
        <v>0</v>
      </c>
      <c r="S2458" s="16"/>
      <c r="T2458" s="15">
        <f>+E2458</f>
        <v>0</v>
      </c>
      <c r="U2458" s="26" t="str">
        <f t="shared" ref="U2458" si="1337">IFERROR(LEFT(G2458,FIND("*",G2458)-1),"-")</f>
        <v>-</v>
      </c>
      <c r="V2458" s="26" t="str">
        <f t="shared" ref="V2458" si="1338">IFERROR(RIGHT(G2458,LEN(G2458)-FIND("*",G2458)),"-")</f>
        <v>-</v>
      </c>
      <c r="W2458" s="27" t="str">
        <f t="shared" si="1336"/>
        <v>-</v>
      </c>
      <c r="X2458" s="27" t="str">
        <f>IFERROR(W2458*H2458,"-")</f>
        <v>-</v>
      </c>
      <c r="Z2458" s="94" t="s">
        <v>82</v>
      </c>
    </row>
    <row r="2459" spans="1:26" s="25" customFormat="1" ht="6.95" customHeight="1" x14ac:dyDescent="0.3">
      <c r="A2459" s="10"/>
      <c r="B2459" s="168"/>
      <c r="C2459" s="169"/>
      <c r="D2459" s="160"/>
      <c r="E2459" s="161"/>
      <c r="F2459" s="162"/>
      <c r="G2459" s="163"/>
      <c r="H2459" s="164"/>
      <c r="I2459" s="163"/>
      <c r="J2459" s="164"/>
      <c r="K2459" s="163"/>
      <c r="L2459" s="164"/>
      <c r="M2459" s="11"/>
      <c r="N2459" s="39"/>
      <c r="Q2459" s="15" t="str">
        <f>+CONCATENATE(E2458,I2458)</f>
        <v/>
      </c>
      <c r="R2459" s="15">
        <f>+J2458</f>
        <v>0</v>
      </c>
      <c r="S2459" s="16"/>
      <c r="T2459" s="15">
        <f>+E2458</f>
        <v>0</v>
      </c>
      <c r="U2459" s="26" t="str">
        <f>IFERROR(LEFT(I2458,FIND("*",I2458)-1),"-")</f>
        <v>-</v>
      </c>
      <c r="V2459" s="26" t="str">
        <f>IFERROR(RIGHT(I2458,LEN(I2458)-FIND("*",I2458)),"-")</f>
        <v>-</v>
      </c>
      <c r="W2459" s="27" t="str">
        <f t="shared" si="1336"/>
        <v>-</v>
      </c>
      <c r="X2459" s="27" t="str">
        <f>IFERROR(W2459*J2458,"-")</f>
        <v>-</v>
      </c>
      <c r="Z2459" s="94" t="s">
        <v>82</v>
      </c>
    </row>
    <row r="2460" spans="1:26" s="25" customFormat="1" ht="6.95" customHeight="1" x14ac:dyDescent="0.3">
      <c r="A2460" s="10"/>
      <c r="B2460" s="168"/>
      <c r="C2460" s="169"/>
      <c r="D2460" s="160"/>
      <c r="E2460" s="161"/>
      <c r="F2460" s="162"/>
      <c r="G2460" s="163"/>
      <c r="H2460" s="164"/>
      <c r="I2460" s="163"/>
      <c r="J2460" s="164"/>
      <c r="K2460" s="163"/>
      <c r="L2460" s="164"/>
      <c r="M2460" s="11"/>
      <c r="N2460" s="39"/>
      <c r="Q2460" s="15" t="str">
        <f>+CONCATENATE(E2458,K2458)</f>
        <v/>
      </c>
      <c r="R2460" s="15">
        <f>+L2458</f>
        <v>0</v>
      </c>
      <c r="S2460" s="16"/>
      <c r="T2460" s="15">
        <f>+E2458</f>
        <v>0</v>
      </c>
      <c r="U2460" s="26" t="str">
        <f>IFERROR(LEFT(K2458,FIND("*",K2458)-1),"-")</f>
        <v>-</v>
      </c>
      <c r="V2460" s="26" t="str">
        <f>IFERROR(RIGHT(K2458,LEN(K2458)-FIND("*",K2458)),"-")</f>
        <v>-</v>
      </c>
      <c r="W2460" s="27" t="str">
        <f t="shared" si="1336"/>
        <v>-</v>
      </c>
      <c r="X2460" s="27" t="str">
        <f>IFERROR(W2460*L2458,"-")</f>
        <v>-</v>
      </c>
      <c r="Z2460" s="94" t="s">
        <v>82</v>
      </c>
    </row>
    <row r="2461" spans="1:26" s="25" customFormat="1" ht="6.95" customHeight="1" x14ac:dyDescent="0.3">
      <c r="A2461" s="13"/>
      <c r="B2461" s="168"/>
      <c r="C2461" s="169"/>
      <c r="D2461" s="160" t="s">
        <v>39</v>
      </c>
      <c r="E2461" s="161"/>
      <c r="F2461" s="162" t="s">
        <v>40</v>
      </c>
      <c r="G2461" s="163"/>
      <c r="H2461" s="164"/>
      <c r="I2461" s="163"/>
      <c r="J2461" s="164"/>
      <c r="K2461" s="163"/>
      <c r="L2461" s="164"/>
      <c r="M2461" s="11"/>
      <c r="N2461" s="39"/>
      <c r="Q2461" s="15" t="str">
        <f>+CONCATENATE(E2461,G2461)</f>
        <v/>
      </c>
      <c r="R2461" s="15">
        <f>+H2461</f>
        <v>0</v>
      </c>
      <c r="S2461" s="16"/>
      <c r="T2461" s="15">
        <f>+E2461</f>
        <v>0</v>
      </c>
      <c r="U2461" s="26" t="str">
        <f t="shared" ref="U2461" si="1339">IFERROR(LEFT(G2461,FIND("*",G2461)-1),"-")</f>
        <v>-</v>
      </c>
      <c r="V2461" s="26" t="str">
        <f t="shared" ref="V2461" si="1340">IFERROR(RIGHT(G2461,LEN(G2461)-FIND("*",G2461)),"-")</f>
        <v>-</v>
      </c>
      <c r="W2461" s="27" t="str">
        <f t="shared" si="1336"/>
        <v>-</v>
      </c>
      <c r="X2461" s="27" t="str">
        <f>IFERROR(W2461*H2461,"-")</f>
        <v>-</v>
      </c>
      <c r="Z2461" s="94" t="s">
        <v>82</v>
      </c>
    </row>
    <row r="2462" spans="1:26" s="25" customFormat="1" ht="6.95" customHeight="1" x14ac:dyDescent="0.3">
      <c r="A2462" s="10"/>
      <c r="B2462" s="168"/>
      <c r="C2462" s="169"/>
      <c r="D2462" s="160"/>
      <c r="E2462" s="161"/>
      <c r="F2462" s="162"/>
      <c r="G2462" s="163"/>
      <c r="H2462" s="164"/>
      <c r="I2462" s="163"/>
      <c r="J2462" s="164"/>
      <c r="K2462" s="163"/>
      <c r="L2462" s="164"/>
      <c r="M2462" s="11"/>
      <c r="N2462" s="39"/>
      <c r="Q2462" s="15" t="str">
        <f>+CONCATENATE(E2461,I2461)</f>
        <v/>
      </c>
      <c r="R2462" s="15">
        <f>+J2461</f>
        <v>0</v>
      </c>
      <c r="S2462" s="16"/>
      <c r="T2462" s="15">
        <f>+E2461</f>
        <v>0</v>
      </c>
      <c r="U2462" s="26" t="str">
        <f>IFERROR(LEFT(I2461,FIND("*",I2461)-1),"-")</f>
        <v>-</v>
      </c>
      <c r="V2462" s="26" t="str">
        <f>IFERROR(RIGHT(I2461,LEN(I2461)-FIND("*",I2461)),"-")</f>
        <v>-</v>
      </c>
      <c r="W2462" s="27" t="str">
        <f t="shared" si="1336"/>
        <v>-</v>
      </c>
      <c r="X2462" s="27" t="str">
        <f t="shared" ref="X2462" si="1341">IFERROR(W2462*J2461,"-")</f>
        <v>-</v>
      </c>
      <c r="Z2462" s="94" t="s">
        <v>82</v>
      </c>
    </row>
    <row r="2463" spans="1:26" s="25" customFormat="1" ht="6.95" customHeight="1" x14ac:dyDescent="0.3">
      <c r="A2463" s="10"/>
      <c r="B2463" s="168"/>
      <c r="C2463" s="169"/>
      <c r="D2463" s="160"/>
      <c r="E2463" s="161"/>
      <c r="F2463" s="162"/>
      <c r="G2463" s="163"/>
      <c r="H2463" s="164"/>
      <c r="I2463" s="163"/>
      <c r="J2463" s="164"/>
      <c r="K2463" s="163"/>
      <c r="L2463" s="164"/>
      <c r="M2463" s="11"/>
      <c r="N2463" s="39"/>
      <c r="Q2463" s="15" t="str">
        <f>+CONCATENATE(E2461,K2461)</f>
        <v/>
      </c>
      <c r="R2463" s="15">
        <f>+L2461</f>
        <v>0</v>
      </c>
      <c r="S2463" s="16"/>
      <c r="T2463" s="15">
        <f>+E2461</f>
        <v>0</v>
      </c>
      <c r="U2463" s="26" t="str">
        <f>IFERROR(LEFT(K2461,FIND("*",K2461)-1),"-")</f>
        <v>-</v>
      </c>
      <c r="V2463" s="26" t="str">
        <f>IFERROR(RIGHT(K2461,LEN(K2461)-FIND("*",K2461)),"-")</f>
        <v>-</v>
      </c>
      <c r="W2463" s="27" t="str">
        <f t="shared" si="1336"/>
        <v>-</v>
      </c>
      <c r="X2463" s="27" t="str">
        <f>IFERROR(W2463*L2461,"-")</f>
        <v>-</v>
      </c>
      <c r="Z2463" s="94" t="s">
        <v>82</v>
      </c>
    </row>
    <row r="2464" spans="1:26" s="25" customFormat="1" ht="21" customHeight="1" thickBot="1" x14ac:dyDescent="0.35">
      <c r="A2464" s="10"/>
      <c r="B2464" s="170"/>
      <c r="C2464" s="171"/>
      <c r="D2464" s="172" t="s">
        <v>43</v>
      </c>
      <c r="E2464" s="173"/>
      <c r="F2464" s="173"/>
      <c r="G2464" s="174"/>
      <c r="H2464" s="174"/>
      <c r="I2464" s="174"/>
      <c r="J2464" s="174"/>
      <c r="K2464" s="174"/>
      <c r="L2464" s="174"/>
      <c r="M2464" s="12"/>
      <c r="N2464" s="39"/>
      <c r="U2464" s="23"/>
      <c r="V2464" s="23"/>
      <c r="Z2464" s="95" t="s">
        <v>81</v>
      </c>
    </row>
    <row r="2465" spans="1:26" s="25" customFormat="1" ht="9.9499999999999993" customHeight="1" thickBot="1" x14ac:dyDescent="0.35">
      <c r="A2465" s="6"/>
      <c r="B2465" s="14"/>
      <c r="C2465" s="119"/>
      <c r="D2465" s="58"/>
      <c r="E2465" s="17"/>
      <c r="F2465" s="58"/>
      <c r="G2465" s="19"/>
      <c r="H2465" s="19"/>
      <c r="I2465" s="19"/>
      <c r="J2465" s="19"/>
      <c r="K2465" s="19"/>
      <c r="L2465" s="19"/>
      <c r="M2465" s="14"/>
      <c r="N2465" s="39"/>
      <c r="Q2465" s="1"/>
      <c r="R2465" s="1"/>
      <c r="S2465" s="1"/>
      <c r="T2465" s="1"/>
      <c r="U2465" s="24"/>
      <c r="V2465" s="24"/>
      <c r="W2465" s="1"/>
      <c r="X2465" s="1"/>
      <c r="Z2465" s="94" t="s">
        <v>82</v>
      </c>
    </row>
    <row r="2466" spans="1:26" s="25" customFormat="1" ht="6.95" customHeight="1" x14ac:dyDescent="0.3">
      <c r="A2466" s="165">
        <f>+A2455+1</f>
        <v>225</v>
      </c>
      <c r="B2466" s="166"/>
      <c r="C2466" s="167"/>
      <c r="D2466" s="160" t="s">
        <v>39</v>
      </c>
      <c r="E2466" s="161"/>
      <c r="F2466" s="162" t="s">
        <v>40</v>
      </c>
      <c r="G2466" s="163"/>
      <c r="H2466" s="164"/>
      <c r="I2466" s="163"/>
      <c r="J2466" s="164"/>
      <c r="K2466" s="163"/>
      <c r="L2466" s="164"/>
      <c r="M2466" s="11"/>
      <c r="N2466" s="39"/>
      <c r="Q2466" s="15" t="str">
        <f>+CONCATENATE(E2466,G2466)</f>
        <v/>
      </c>
      <c r="R2466" s="15">
        <f>+H2466</f>
        <v>0</v>
      </c>
      <c r="S2466" s="16"/>
      <c r="T2466" s="15">
        <f>+E2466</f>
        <v>0</v>
      </c>
      <c r="U2466" s="26" t="str">
        <f>IFERROR(LEFT(G2466,FIND("*",G2466)-1),"-")</f>
        <v>-</v>
      </c>
      <c r="V2466" s="26" t="str">
        <f>IFERROR(RIGHT(G2466,LEN(G2466)-FIND("*",G2466)),"-")</f>
        <v>-</v>
      </c>
      <c r="W2466" s="27" t="str">
        <f>IFERROR((U2466+V2466)*2/1000,"-")</f>
        <v>-</v>
      </c>
      <c r="X2466" s="27" t="str">
        <f>IFERROR(W2466*H2466,"-")</f>
        <v>-</v>
      </c>
      <c r="Z2466" s="94" t="s">
        <v>82</v>
      </c>
    </row>
    <row r="2467" spans="1:26" s="25" customFormat="1" ht="6.95" customHeight="1" x14ac:dyDescent="0.3">
      <c r="A2467" s="165"/>
      <c r="B2467" s="168"/>
      <c r="C2467" s="169"/>
      <c r="D2467" s="160"/>
      <c r="E2467" s="161"/>
      <c r="F2467" s="162"/>
      <c r="G2467" s="163"/>
      <c r="H2467" s="164"/>
      <c r="I2467" s="163"/>
      <c r="J2467" s="164"/>
      <c r="K2467" s="163"/>
      <c r="L2467" s="164"/>
      <c r="M2467" s="11"/>
      <c r="N2467" s="39"/>
      <c r="Q2467" s="15" t="str">
        <f>+CONCATENATE(E2466,I2466)</f>
        <v/>
      </c>
      <c r="R2467" s="15">
        <f>+J2466</f>
        <v>0</v>
      </c>
      <c r="S2467" s="16"/>
      <c r="T2467" s="15">
        <f>+E2466</f>
        <v>0</v>
      </c>
      <c r="U2467" s="26" t="str">
        <f>IFERROR(LEFT(I2466,FIND("*",I2466)-1),"-")</f>
        <v>-</v>
      </c>
      <c r="V2467" s="26" t="str">
        <f>IFERROR(RIGHT(I2466,LEN(I2466)-FIND("*",I2466)),"-")</f>
        <v>-</v>
      </c>
      <c r="W2467" s="27" t="str">
        <f t="shared" ref="W2467:W2474" si="1342">IFERROR((U2467+V2467)*2/1000,"-")</f>
        <v>-</v>
      </c>
      <c r="X2467" s="27" t="str">
        <f>IFERROR(W2467*J2466,"-")</f>
        <v>-</v>
      </c>
      <c r="Z2467" s="94" t="s">
        <v>82</v>
      </c>
    </row>
    <row r="2468" spans="1:26" s="25" customFormat="1" ht="6.95" customHeight="1" x14ac:dyDescent="0.3">
      <c r="A2468" s="165"/>
      <c r="B2468" s="168"/>
      <c r="C2468" s="169"/>
      <c r="D2468" s="160"/>
      <c r="E2468" s="161"/>
      <c r="F2468" s="162"/>
      <c r="G2468" s="163"/>
      <c r="H2468" s="164"/>
      <c r="I2468" s="163"/>
      <c r="J2468" s="164"/>
      <c r="K2468" s="163"/>
      <c r="L2468" s="164"/>
      <c r="M2468" s="11"/>
      <c r="N2468" s="39"/>
      <c r="Q2468" s="15" t="str">
        <f>+CONCATENATE(E2466,K2466)</f>
        <v/>
      </c>
      <c r="R2468" s="15">
        <f>+L2466</f>
        <v>0</v>
      </c>
      <c r="S2468" s="16"/>
      <c r="T2468" s="15">
        <f>+E2466</f>
        <v>0</v>
      </c>
      <c r="U2468" s="26" t="str">
        <f>IFERROR(LEFT(K2466,FIND("*",K2466)-1),"-")</f>
        <v>-</v>
      </c>
      <c r="V2468" s="26" t="str">
        <f>IFERROR(RIGHT(K2466,LEN(K2466)-FIND("*",K2466)),"-")</f>
        <v>-</v>
      </c>
      <c r="W2468" s="27" t="str">
        <f t="shared" si="1342"/>
        <v>-</v>
      </c>
      <c r="X2468" s="27" t="str">
        <f>IFERROR(W2468*L2466,"-")</f>
        <v>-</v>
      </c>
      <c r="Z2468" s="94" t="s">
        <v>82</v>
      </c>
    </row>
    <row r="2469" spans="1:26" s="25" customFormat="1" ht="6.95" customHeight="1" x14ac:dyDescent="0.3">
      <c r="A2469" s="13"/>
      <c r="B2469" s="168"/>
      <c r="C2469" s="169"/>
      <c r="D2469" s="160" t="s">
        <v>39</v>
      </c>
      <c r="E2469" s="161"/>
      <c r="F2469" s="162" t="s">
        <v>40</v>
      </c>
      <c r="G2469" s="163"/>
      <c r="H2469" s="164"/>
      <c r="I2469" s="163"/>
      <c r="J2469" s="164"/>
      <c r="K2469" s="163"/>
      <c r="L2469" s="164"/>
      <c r="M2469" s="11"/>
      <c r="N2469" s="39"/>
      <c r="Q2469" s="15" t="str">
        <f>+CONCATENATE(E2469,G2469)</f>
        <v/>
      </c>
      <c r="R2469" s="15">
        <f>+H2469</f>
        <v>0</v>
      </c>
      <c r="S2469" s="16"/>
      <c r="T2469" s="15">
        <f>+E2469</f>
        <v>0</v>
      </c>
      <c r="U2469" s="26" t="str">
        <f t="shared" ref="U2469" si="1343">IFERROR(LEFT(G2469,FIND("*",G2469)-1),"-")</f>
        <v>-</v>
      </c>
      <c r="V2469" s="26" t="str">
        <f t="shared" ref="V2469" si="1344">IFERROR(RIGHT(G2469,LEN(G2469)-FIND("*",G2469)),"-")</f>
        <v>-</v>
      </c>
      <c r="W2469" s="27" t="str">
        <f t="shared" si="1342"/>
        <v>-</v>
      </c>
      <c r="X2469" s="27" t="str">
        <f>IFERROR(W2469*H2469,"-")</f>
        <v>-</v>
      </c>
      <c r="Z2469" s="94" t="s">
        <v>82</v>
      </c>
    </row>
    <row r="2470" spans="1:26" s="25" customFormat="1" ht="6.95" customHeight="1" x14ac:dyDescent="0.3">
      <c r="A2470" s="10"/>
      <c r="B2470" s="168"/>
      <c r="C2470" s="169"/>
      <c r="D2470" s="160"/>
      <c r="E2470" s="161"/>
      <c r="F2470" s="162"/>
      <c r="G2470" s="163"/>
      <c r="H2470" s="164"/>
      <c r="I2470" s="163"/>
      <c r="J2470" s="164"/>
      <c r="K2470" s="163"/>
      <c r="L2470" s="164"/>
      <c r="M2470" s="11"/>
      <c r="N2470" s="39"/>
      <c r="Q2470" s="15" t="str">
        <f>+CONCATENATE(E2469,I2469)</f>
        <v/>
      </c>
      <c r="R2470" s="15">
        <f>+J2469</f>
        <v>0</v>
      </c>
      <c r="S2470" s="16"/>
      <c r="T2470" s="15">
        <f>+E2469</f>
        <v>0</v>
      </c>
      <c r="U2470" s="26" t="str">
        <f>IFERROR(LEFT(I2469,FIND("*",I2469)-1),"-")</f>
        <v>-</v>
      </c>
      <c r="V2470" s="26" t="str">
        <f>IFERROR(RIGHT(I2469,LEN(I2469)-FIND("*",I2469)),"-")</f>
        <v>-</v>
      </c>
      <c r="W2470" s="27" t="str">
        <f t="shared" si="1342"/>
        <v>-</v>
      </c>
      <c r="X2470" s="27" t="str">
        <f>IFERROR(W2470*J2469,"-")</f>
        <v>-</v>
      </c>
      <c r="Z2470" s="94" t="s">
        <v>82</v>
      </c>
    </row>
    <row r="2471" spans="1:26" s="25" customFormat="1" ht="6.95" customHeight="1" x14ac:dyDescent="0.3">
      <c r="A2471" s="10"/>
      <c r="B2471" s="168"/>
      <c r="C2471" s="169"/>
      <c r="D2471" s="160"/>
      <c r="E2471" s="161"/>
      <c r="F2471" s="162"/>
      <c r="G2471" s="163"/>
      <c r="H2471" s="164"/>
      <c r="I2471" s="163"/>
      <c r="J2471" s="164"/>
      <c r="K2471" s="163"/>
      <c r="L2471" s="164"/>
      <c r="M2471" s="11"/>
      <c r="N2471" s="39"/>
      <c r="Q2471" s="15" t="str">
        <f>+CONCATENATE(E2469,K2469)</f>
        <v/>
      </c>
      <c r="R2471" s="15">
        <f>+L2469</f>
        <v>0</v>
      </c>
      <c r="S2471" s="16"/>
      <c r="T2471" s="15">
        <f>+E2469</f>
        <v>0</v>
      </c>
      <c r="U2471" s="26" t="str">
        <f>IFERROR(LEFT(K2469,FIND("*",K2469)-1),"-")</f>
        <v>-</v>
      </c>
      <c r="V2471" s="26" t="str">
        <f>IFERROR(RIGHT(K2469,LEN(K2469)-FIND("*",K2469)),"-")</f>
        <v>-</v>
      </c>
      <c r="W2471" s="27" t="str">
        <f t="shared" si="1342"/>
        <v>-</v>
      </c>
      <c r="X2471" s="27" t="str">
        <f>IFERROR(W2471*L2469,"-")</f>
        <v>-</v>
      </c>
      <c r="Z2471" s="94" t="s">
        <v>82</v>
      </c>
    </row>
    <row r="2472" spans="1:26" s="25" customFormat="1" ht="6.95" customHeight="1" x14ac:dyDescent="0.3">
      <c r="A2472" s="13"/>
      <c r="B2472" s="168"/>
      <c r="C2472" s="169"/>
      <c r="D2472" s="160" t="s">
        <v>39</v>
      </c>
      <c r="E2472" s="161"/>
      <c r="F2472" s="162" t="s">
        <v>40</v>
      </c>
      <c r="G2472" s="163"/>
      <c r="H2472" s="164"/>
      <c r="I2472" s="163"/>
      <c r="J2472" s="164"/>
      <c r="K2472" s="163"/>
      <c r="L2472" s="164"/>
      <c r="M2472" s="11"/>
      <c r="N2472" s="39"/>
      <c r="Q2472" s="15" t="str">
        <f>+CONCATENATE(E2472,G2472)</f>
        <v/>
      </c>
      <c r="R2472" s="15">
        <f>+H2472</f>
        <v>0</v>
      </c>
      <c r="S2472" s="16"/>
      <c r="T2472" s="15">
        <f>+E2472</f>
        <v>0</v>
      </c>
      <c r="U2472" s="26" t="str">
        <f t="shared" ref="U2472" si="1345">IFERROR(LEFT(G2472,FIND("*",G2472)-1),"-")</f>
        <v>-</v>
      </c>
      <c r="V2472" s="26" t="str">
        <f t="shared" ref="V2472" si="1346">IFERROR(RIGHT(G2472,LEN(G2472)-FIND("*",G2472)),"-")</f>
        <v>-</v>
      </c>
      <c r="W2472" s="27" t="str">
        <f t="shared" si="1342"/>
        <v>-</v>
      </c>
      <c r="X2472" s="27" t="str">
        <f>IFERROR(W2472*H2472,"-")</f>
        <v>-</v>
      </c>
      <c r="Z2472" s="94" t="s">
        <v>82</v>
      </c>
    </row>
    <row r="2473" spans="1:26" s="25" customFormat="1" ht="6.95" customHeight="1" x14ac:dyDescent="0.3">
      <c r="A2473" s="10"/>
      <c r="B2473" s="168"/>
      <c r="C2473" s="169"/>
      <c r="D2473" s="160"/>
      <c r="E2473" s="161"/>
      <c r="F2473" s="162"/>
      <c r="G2473" s="163"/>
      <c r="H2473" s="164"/>
      <c r="I2473" s="163"/>
      <c r="J2473" s="164"/>
      <c r="K2473" s="163"/>
      <c r="L2473" s="164"/>
      <c r="M2473" s="11"/>
      <c r="N2473" s="39"/>
      <c r="Q2473" s="15" t="str">
        <f>+CONCATENATE(E2472,I2472)</f>
        <v/>
      </c>
      <c r="R2473" s="15">
        <f>+J2472</f>
        <v>0</v>
      </c>
      <c r="S2473" s="16"/>
      <c r="T2473" s="15">
        <f>+E2472</f>
        <v>0</v>
      </c>
      <c r="U2473" s="26" t="str">
        <f>IFERROR(LEFT(I2472,FIND("*",I2472)-1),"-")</f>
        <v>-</v>
      </c>
      <c r="V2473" s="26" t="str">
        <f>IFERROR(RIGHT(I2472,LEN(I2472)-FIND("*",I2472)),"-")</f>
        <v>-</v>
      </c>
      <c r="W2473" s="27" t="str">
        <f t="shared" si="1342"/>
        <v>-</v>
      </c>
      <c r="X2473" s="27" t="str">
        <f t="shared" ref="X2473" si="1347">IFERROR(W2473*J2472,"-")</f>
        <v>-</v>
      </c>
      <c r="Z2473" s="94" t="s">
        <v>82</v>
      </c>
    </row>
    <row r="2474" spans="1:26" s="25" customFormat="1" ht="6.95" customHeight="1" x14ac:dyDescent="0.3">
      <c r="A2474" s="10"/>
      <c r="B2474" s="168"/>
      <c r="C2474" s="169"/>
      <c r="D2474" s="160"/>
      <c r="E2474" s="161"/>
      <c r="F2474" s="162"/>
      <c r="G2474" s="163"/>
      <c r="H2474" s="164"/>
      <c r="I2474" s="163"/>
      <c r="J2474" s="164"/>
      <c r="K2474" s="163"/>
      <c r="L2474" s="164"/>
      <c r="M2474" s="11"/>
      <c r="N2474" s="39"/>
      <c r="Q2474" s="15" t="str">
        <f>+CONCATENATE(E2472,K2472)</f>
        <v/>
      </c>
      <c r="R2474" s="15">
        <f>+L2472</f>
        <v>0</v>
      </c>
      <c r="S2474" s="16"/>
      <c r="T2474" s="15">
        <f>+E2472</f>
        <v>0</v>
      </c>
      <c r="U2474" s="26" t="str">
        <f>IFERROR(LEFT(K2472,FIND("*",K2472)-1),"-")</f>
        <v>-</v>
      </c>
      <c r="V2474" s="26" t="str">
        <f>IFERROR(RIGHT(K2472,LEN(K2472)-FIND("*",K2472)),"-")</f>
        <v>-</v>
      </c>
      <c r="W2474" s="27" t="str">
        <f t="shared" si="1342"/>
        <v>-</v>
      </c>
      <c r="X2474" s="27" t="str">
        <f>IFERROR(W2474*L2472,"-")</f>
        <v>-</v>
      </c>
      <c r="Z2474" s="94" t="s">
        <v>82</v>
      </c>
    </row>
    <row r="2475" spans="1:26" s="25" customFormat="1" ht="21" customHeight="1" thickBot="1" x14ac:dyDescent="0.35">
      <c r="A2475" s="10"/>
      <c r="B2475" s="170"/>
      <c r="C2475" s="171"/>
      <c r="D2475" s="172" t="s">
        <v>43</v>
      </c>
      <c r="E2475" s="173"/>
      <c r="F2475" s="173"/>
      <c r="G2475" s="174"/>
      <c r="H2475" s="174"/>
      <c r="I2475" s="174"/>
      <c r="J2475" s="174"/>
      <c r="K2475" s="174"/>
      <c r="L2475" s="174"/>
      <c r="M2475" s="12"/>
      <c r="N2475" s="39"/>
      <c r="U2475" s="23"/>
      <c r="V2475" s="23"/>
      <c r="Z2475" s="95" t="s">
        <v>81</v>
      </c>
    </row>
    <row r="2476" spans="1:26" s="25" customFormat="1" ht="9.9499999999999993" customHeight="1" thickBot="1" x14ac:dyDescent="0.35">
      <c r="A2476" s="6"/>
      <c r="B2476" s="14"/>
      <c r="C2476" s="119"/>
      <c r="D2476" s="58"/>
      <c r="E2476" s="17"/>
      <c r="F2476" s="58"/>
      <c r="G2476" s="19"/>
      <c r="H2476" s="19"/>
      <c r="I2476" s="19"/>
      <c r="J2476" s="19"/>
      <c r="K2476" s="19"/>
      <c r="L2476" s="19"/>
      <c r="M2476" s="14"/>
      <c r="N2476" s="39"/>
      <c r="Q2476" s="1"/>
      <c r="R2476" s="1"/>
      <c r="S2476" s="1"/>
      <c r="T2476" s="1"/>
      <c r="U2476" s="24"/>
      <c r="V2476" s="24"/>
      <c r="W2476" s="1"/>
      <c r="X2476" s="1"/>
      <c r="Z2476" s="94" t="s">
        <v>82</v>
      </c>
    </row>
    <row r="2477" spans="1:26" s="25" customFormat="1" ht="6.95" customHeight="1" x14ac:dyDescent="0.3">
      <c r="A2477" s="165">
        <f>+A2466+1</f>
        <v>226</v>
      </c>
      <c r="B2477" s="166"/>
      <c r="C2477" s="167"/>
      <c r="D2477" s="160" t="s">
        <v>39</v>
      </c>
      <c r="E2477" s="161"/>
      <c r="F2477" s="162" t="s">
        <v>40</v>
      </c>
      <c r="G2477" s="163"/>
      <c r="H2477" s="164"/>
      <c r="I2477" s="163"/>
      <c r="J2477" s="164"/>
      <c r="K2477" s="163"/>
      <c r="L2477" s="164"/>
      <c r="M2477" s="11"/>
      <c r="N2477" s="39"/>
      <c r="Q2477" s="15" t="str">
        <f>+CONCATENATE(E2477,G2477)</f>
        <v/>
      </c>
      <c r="R2477" s="15">
        <f>+H2477</f>
        <v>0</v>
      </c>
      <c r="S2477" s="16"/>
      <c r="T2477" s="15">
        <f>+E2477</f>
        <v>0</v>
      </c>
      <c r="U2477" s="26" t="str">
        <f>IFERROR(LEFT(G2477,FIND("*",G2477)-1),"-")</f>
        <v>-</v>
      </c>
      <c r="V2477" s="26" t="str">
        <f>IFERROR(RIGHT(G2477,LEN(G2477)-FIND("*",G2477)),"-")</f>
        <v>-</v>
      </c>
      <c r="W2477" s="27" t="str">
        <f>IFERROR((U2477+V2477)*2/1000,"-")</f>
        <v>-</v>
      </c>
      <c r="X2477" s="27" t="str">
        <f>IFERROR(W2477*H2477,"-")</f>
        <v>-</v>
      </c>
      <c r="Z2477" s="94" t="s">
        <v>82</v>
      </c>
    </row>
    <row r="2478" spans="1:26" s="25" customFormat="1" ht="6.95" customHeight="1" x14ac:dyDescent="0.3">
      <c r="A2478" s="165"/>
      <c r="B2478" s="168"/>
      <c r="C2478" s="169"/>
      <c r="D2478" s="160"/>
      <c r="E2478" s="161"/>
      <c r="F2478" s="162"/>
      <c r="G2478" s="163"/>
      <c r="H2478" s="164"/>
      <c r="I2478" s="163"/>
      <c r="J2478" s="164"/>
      <c r="K2478" s="163"/>
      <c r="L2478" s="164"/>
      <c r="M2478" s="11"/>
      <c r="N2478" s="39"/>
      <c r="Q2478" s="15" t="str">
        <f>+CONCATENATE(E2477,I2477)</f>
        <v/>
      </c>
      <c r="R2478" s="15">
        <f>+J2477</f>
        <v>0</v>
      </c>
      <c r="S2478" s="16"/>
      <c r="T2478" s="15">
        <f>+E2477</f>
        <v>0</v>
      </c>
      <c r="U2478" s="26" t="str">
        <f>IFERROR(LEFT(I2477,FIND("*",I2477)-1),"-")</f>
        <v>-</v>
      </c>
      <c r="V2478" s="26" t="str">
        <f>IFERROR(RIGHT(I2477,LEN(I2477)-FIND("*",I2477)),"-")</f>
        <v>-</v>
      </c>
      <c r="W2478" s="27" t="str">
        <f t="shared" ref="W2478:W2485" si="1348">IFERROR((U2478+V2478)*2/1000,"-")</f>
        <v>-</v>
      </c>
      <c r="X2478" s="27" t="str">
        <f>IFERROR(W2478*J2477,"-")</f>
        <v>-</v>
      </c>
      <c r="Z2478" s="94" t="s">
        <v>82</v>
      </c>
    </row>
    <row r="2479" spans="1:26" s="25" customFormat="1" ht="6.95" customHeight="1" x14ac:dyDescent="0.3">
      <c r="A2479" s="165"/>
      <c r="B2479" s="168"/>
      <c r="C2479" s="169"/>
      <c r="D2479" s="160"/>
      <c r="E2479" s="161"/>
      <c r="F2479" s="162"/>
      <c r="G2479" s="163"/>
      <c r="H2479" s="164"/>
      <c r="I2479" s="163"/>
      <c r="J2479" s="164"/>
      <c r="K2479" s="163"/>
      <c r="L2479" s="164"/>
      <c r="M2479" s="11"/>
      <c r="N2479" s="39"/>
      <c r="Q2479" s="15" t="str">
        <f>+CONCATENATE(E2477,K2477)</f>
        <v/>
      </c>
      <c r="R2479" s="15">
        <f>+L2477</f>
        <v>0</v>
      </c>
      <c r="S2479" s="16"/>
      <c r="T2479" s="15">
        <f>+E2477</f>
        <v>0</v>
      </c>
      <c r="U2479" s="26" t="str">
        <f>IFERROR(LEFT(K2477,FIND("*",K2477)-1),"-")</f>
        <v>-</v>
      </c>
      <c r="V2479" s="26" t="str">
        <f>IFERROR(RIGHT(K2477,LEN(K2477)-FIND("*",K2477)),"-")</f>
        <v>-</v>
      </c>
      <c r="W2479" s="27" t="str">
        <f t="shared" si="1348"/>
        <v>-</v>
      </c>
      <c r="X2479" s="27" t="str">
        <f>IFERROR(W2479*L2477,"-")</f>
        <v>-</v>
      </c>
      <c r="Z2479" s="94" t="s">
        <v>82</v>
      </c>
    </row>
    <row r="2480" spans="1:26" s="25" customFormat="1" ht="6.95" customHeight="1" x14ac:dyDescent="0.3">
      <c r="A2480" s="13"/>
      <c r="B2480" s="168"/>
      <c r="C2480" s="169"/>
      <c r="D2480" s="160" t="s">
        <v>39</v>
      </c>
      <c r="E2480" s="161"/>
      <c r="F2480" s="162" t="s">
        <v>40</v>
      </c>
      <c r="G2480" s="163"/>
      <c r="H2480" s="164"/>
      <c r="I2480" s="163"/>
      <c r="J2480" s="164"/>
      <c r="K2480" s="163"/>
      <c r="L2480" s="164"/>
      <c r="M2480" s="11"/>
      <c r="N2480" s="39"/>
      <c r="Q2480" s="15" t="str">
        <f>+CONCATENATE(E2480,G2480)</f>
        <v/>
      </c>
      <c r="R2480" s="15">
        <f>+H2480</f>
        <v>0</v>
      </c>
      <c r="S2480" s="16"/>
      <c r="T2480" s="15">
        <f>+E2480</f>
        <v>0</v>
      </c>
      <c r="U2480" s="26" t="str">
        <f t="shared" ref="U2480" si="1349">IFERROR(LEFT(G2480,FIND("*",G2480)-1),"-")</f>
        <v>-</v>
      </c>
      <c r="V2480" s="26" t="str">
        <f t="shared" ref="V2480" si="1350">IFERROR(RIGHT(G2480,LEN(G2480)-FIND("*",G2480)),"-")</f>
        <v>-</v>
      </c>
      <c r="W2480" s="27" t="str">
        <f t="shared" si="1348"/>
        <v>-</v>
      </c>
      <c r="X2480" s="27" t="str">
        <f>IFERROR(W2480*H2480,"-")</f>
        <v>-</v>
      </c>
      <c r="Z2480" s="94" t="s">
        <v>82</v>
      </c>
    </row>
    <row r="2481" spans="1:26" s="25" customFormat="1" ht="6.95" customHeight="1" x14ac:dyDescent="0.3">
      <c r="A2481" s="10"/>
      <c r="B2481" s="168"/>
      <c r="C2481" s="169"/>
      <c r="D2481" s="160"/>
      <c r="E2481" s="161"/>
      <c r="F2481" s="162"/>
      <c r="G2481" s="163"/>
      <c r="H2481" s="164"/>
      <c r="I2481" s="163"/>
      <c r="J2481" s="164"/>
      <c r="K2481" s="163"/>
      <c r="L2481" s="164"/>
      <c r="M2481" s="11"/>
      <c r="N2481" s="39"/>
      <c r="Q2481" s="15" t="str">
        <f>+CONCATENATE(E2480,I2480)</f>
        <v/>
      </c>
      <c r="R2481" s="15">
        <f>+J2480</f>
        <v>0</v>
      </c>
      <c r="S2481" s="16"/>
      <c r="T2481" s="15">
        <f>+E2480</f>
        <v>0</v>
      </c>
      <c r="U2481" s="26" t="str">
        <f>IFERROR(LEFT(I2480,FIND("*",I2480)-1),"-")</f>
        <v>-</v>
      </c>
      <c r="V2481" s="26" t="str">
        <f>IFERROR(RIGHT(I2480,LEN(I2480)-FIND("*",I2480)),"-")</f>
        <v>-</v>
      </c>
      <c r="W2481" s="27" t="str">
        <f t="shared" si="1348"/>
        <v>-</v>
      </c>
      <c r="X2481" s="27" t="str">
        <f>IFERROR(W2481*J2480,"-")</f>
        <v>-</v>
      </c>
      <c r="Z2481" s="94" t="s">
        <v>82</v>
      </c>
    </row>
    <row r="2482" spans="1:26" s="25" customFormat="1" ht="6.95" customHeight="1" x14ac:dyDescent="0.3">
      <c r="A2482" s="10"/>
      <c r="B2482" s="168"/>
      <c r="C2482" s="169"/>
      <c r="D2482" s="160"/>
      <c r="E2482" s="161"/>
      <c r="F2482" s="162"/>
      <c r="G2482" s="163"/>
      <c r="H2482" s="164"/>
      <c r="I2482" s="163"/>
      <c r="J2482" s="164"/>
      <c r="K2482" s="163"/>
      <c r="L2482" s="164"/>
      <c r="M2482" s="11"/>
      <c r="N2482" s="39"/>
      <c r="Q2482" s="15" t="str">
        <f>+CONCATENATE(E2480,K2480)</f>
        <v/>
      </c>
      <c r="R2482" s="15">
        <f>+L2480</f>
        <v>0</v>
      </c>
      <c r="S2482" s="16"/>
      <c r="T2482" s="15">
        <f>+E2480</f>
        <v>0</v>
      </c>
      <c r="U2482" s="26" t="str">
        <f>IFERROR(LEFT(K2480,FIND("*",K2480)-1),"-")</f>
        <v>-</v>
      </c>
      <c r="V2482" s="26" t="str">
        <f>IFERROR(RIGHT(K2480,LEN(K2480)-FIND("*",K2480)),"-")</f>
        <v>-</v>
      </c>
      <c r="W2482" s="27" t="str">
        <f t="shared" si="1348"/>
        <v>-</v>
      </c>
      <c r="X2482" s="27" t="str">
        <f>IFERROR(W2482*L2480,"-")</f>
        <v>-</v>
      </c>
      <c r="Z2482" s="94" t="s">
        <v>82</v>
      </c>
    </row>
    <row r="2483" spans="1:26" s="25" customFormat="1" ht="6.95" customHeight="1" x14ac:dyDescent="0.3">
      <c r="A2483" s="13"/>
      <c r="B2483" s="168"/>
      <c r="C2483" s="169"/>
      <c r="D2483" s="160" t="s">
        <v>39</v>
      </c>
      <c r="E2483" s="161"/>
      <c r="F2483" s="162" t="s">
        <v>40</v>
      </c>
      <c r="G2483" s="163"/>
      <c r="H2483" s="164"/>
      <c r="I2483" s="163"/>
      <c r="J2483" s="164"/>
      <c r="K2483" s="163"/>
      <c r="L2483" s="164"/>
      <c r="M2483" s="11"/>
      <c r="N2483" s="39"/>
      <c r="Q2483" s="15" t="str">
        <f>+CONCATENATE(E2483,G2483)</f>
        <v/>
      </c>
      <c r="R2483" s="15">
        <f>+H2483</f>
        <v>0</v>
      </c>
      <c r="S2483" s="16"/>
      <c r="T2483" s="15">
        <f>+E2483</f>
        <v>0</v>
      </c>
      <c r="U2483" s="26" t="str">
        <f t="shared" ref="U2483" si="1351">IFERROR(LEFT(G2483,FIND("*",G2483)-1),"-")</f>
        <v>-</v>
      </c>
      <c r="V2483" s="26" t="str">
        <f t="shared" ref="V2483" si="1352">IFERROR(RIGHT(G2483,LEN(G2483)-FIND("*",G2483)),"-")</f>
        <v>-</v>
      </c>
      <c r="W2483" s="27" t="str">
        <f t="shared" si="1348"/>
        <v>-</v>
      </c>
      <c r="X2483" s="27" t="str">
        <f>IFERROR(W2483*H2483,"-")</f>
        <v>-</v>
      </c>
      <c r="Z2483" s="94" t="s">
        <v>82</v>
      </c>
    </row>
    <row r="2484" spans="1:26" s="25" customFormat="1" ht="6.95" customHeight="1" x14ac:dyDescent="0.3">
      <c r="A2484" s="10"/>
      <c r="B2484" s="168"/>
      <c r="C2484" s="169"/>
      <c r="D2484" s="160"/>
      <c r="E2484" s="161"/>
      <c r="F2484" s="162"/>
      <c r="G2484" s="163"/>
      <c r="H2484" s="164"/>
      <c r="I2484" s="163"/>
      <c r="J2484" s="164"/>
      <c r="K2484" s="163"/>
      <c r="L2484" s="164"/>
      <c r="M2484" s="11"/>
      <c r="N2484" s="39"/>
      <c r="Q2484" s="15" t="str">
        <f>+CONCATENATE(E2483,I2483)</f>
        <v/>
      </c>
      <c r="R2484" s="15">
        <f>+J2483</f>
        <v>0</v>
      </c>
      <c r="S2484" s="16"/>
      <c r="T2484" s="15">
        <f>+E2483</f>
        <v>0</v>
      </c>
      <c r="U2484" s="26" t="str">
        <f>IFERROR(LEFT(I2483,FIND("*",I2483)-1),"-")</f>
        <v>-</v>
      </c>
      <c r="V2484" s="26" t="str">
        <f>IFERROR(RIGHT(I2483,LEN(I2483)-FIND("*",I2483)),"-")</f>
        <v>-</v>
      </c>
      <c r="W2484" s="27" t="str">
        <f t="shared" si="1348"/>
        <v>-</v>
      </c>
      <c r="X2484" s="27" t="str">
        <f t="shared" ref="X2484" si="1353">IFERROR(W2484*J2483,"-")</f>
        <v>-</v>
      </c>
      <c r="Z2484" s="94" t="s">
        <v>82</v>
      </c>
    </row>
    <row r="2485" spans="1:26" s="25" customFormat="1" ht="6.95" customHeight="1" x14ac:dyDescent="0.3">
      <c r="A2485" s="10"/>
      <c r="B2485" s="168"/>
      <c r="C2485" s="169"/>
      <c r="D2485" s="160"/>
      <c r="E2485" s="161"/>
      <c r="F2485" s="162"/>
      <c r="G2485" s="163"/>
      <c r="H2485" s="164"/>
      <c r="I2485" s="163"/>
      <c r="J2485" s="164"/>
      <c r="K2485" s="163"/>
      <c r="L2485" s="164"/>
      <c r="M2485" s="11"/>
      <c r="N2485" s="39"/>
      <c r="Q2485" s="15" t="str">
        <f>+CONCATENATE(E2483,K2483)</f>
        <v/>
      </c>
      <c r="R2485" s="15">
        <f>+L2483</f>
        <v>0</v>
      </c>
      <c r="S2485" s="16"/>
      <c r="T2485" s="15">
        <f>+E2483</f>
        <v>0</v>
      </c>
      <c r="U2485" s="26" t="str">
        <f>IFERROR(LEFT(K2483,FIND("*",K2483)-1),"-")</f>
        <v>-</v>
      </c>
      <c r="V2485" s="26" t="str">
        <f>IFERROR(RIGHT(K2483,LEN(K2483)-FIND("*",K2483)),"-")</f>
        <v>-</v>
      </c>
      <c r="W2485" s="27" t="str">
        <f t="shared" si="1348"/>
        <v>-</v>
      </c>
      <c r="X2485" s="27" t="str">
        <f>IFERROR(W2485*L2483,"-")</f>
        <v>-</v>
      </c>
      <c r="Z2485" s="94" t="s">
        <v>82</v>
      </c>
    </row>
    <row r="2486" spans="1:26" s="25" customFormat="1" ht="21" customHeight="1" thickBot="1" x14ac:dyDescent="0.35">
      <c r="A2486" s="10"/>
      <c r="B2486" s="170"/>
      <c r="C2486" s="171"/>
      <c r="D2486" s="172" t="s">
        <v>43</v>
      </c>
      <c r="E2486" s="173"/>
      <c r="F2486" s="173"/>
      <c r="G2486" s="174"/>
      <c r="H2486" s="174"/>
      <c r="I2486" s="174"/>
      <c r="J2486" s="174"/>
      <c r="K2486" s="174"/>
      <c r="L2486" s="174"/>
      <c r="M2486" s="12"/>
      <c r="N2486" s="39"/>
      <c r="U2486" s="23"/>
      <c r="V2486" s="23"/>
      <c r="Z2486" s="95" t="s">
        <v>81</v>
      </c>
    </row>
    <row r="2487" spans="1:26" s="25" customFormat="1" ht="9.9499999999999993" customHeight="1" thickBot="1" x14ac:dyDescent="0.35">
      <c r="A2487" s="6"/>
      <c r="B2487" s="14"/>
      <c r="C2487" s="119"/>
      <c r="D2487" s="58"/>
      <c r="E2487" s="17"/>
      <c r="F2487" s="58"/>
      <c r="G2487" s="19"/>
      <c r="H2487" s="19"/>
      <c r="I2487" s="19"/>
      <c r="J2487" s="19"/>
      <c r="K2487" s="19"/>
      <c r="L2487" s="19"/>
      <c r="M2487" s="14"/>
      <c r="N2487" s="39"/>
      <c r="Q2487" s="1"/>
      <c r="R2487" s="1"/>
      <c r="S2487" s="1"/>
      <c r="T2487" s="1"/>
      <c r="U2487" s="24"/>
      <c r="V2487" s="24"/>
      <c r="W2487" s="1"/>
      <c r="X2487" s="1"/>
      <c r="Z2487" s="94" t="s">
        <v>82</v>
      </c>
    </row>
    <row r="2488" spans="1:26" s="25" customFormat="1" ht="6.95" customHeight="1" x14ac:dyDescent="0.3">
      <c r="A2488" s="165">
        <f>+A2477+1</f>
        <v>227</v>
      </c>
      <c r="B2488" s="166"/>
      <c r="C2488" s="167"/>
      <c r="D2488" s="160" t="s">
        <v>39</v>
      </c>
      <c r="E2488" s="161"/>
      <c r="F2488" s="162" t="s">
        <v>40</v>
      </c>
      <c r="G2488" s="163"/>
      <c r="H2488" s="164"/>
      <c r="I2488" s="163"/>
      <c r="J2488" s="164"/>
      <c r="K2488" s="163"/>
      <c r="L2488" s="164"/>
      <c r="M2488" s="11"/>
      <c r="N2488" s="39"/>
      <c r="Q2488" s="15" t="str">
        <f>+CONCATENATE(E2488,G2488)</f>
        <v/>
      </c>
      <c r="R2488" s="15">
        <f>+H2488</f>
        <v>0</v>
      </c>
      <c r="S2488" s="16"/>
      <c r="T2488" s="15">
        <f>+E2488</f>
        <v>0</v>
      </c>
      <c r="U2488" s="26" t="str">
        <f>IFERROR(LEFT(G2488,FIND("*",G2488)-1),"-")</f>
        <v>-</v>
      </c>
      <c r="V2488" s="26" t="str">
        <f>IFERROR(RIGHT(G2488,LEN(G2488)-FIND("*",G2488)),"-")</f>
        <v>-</v>
      </c>
      <c r="W2488" s="27" t="str">
        <f>IFERROR((U2488+V2488)*2/1000,"-")</f>
        <v>-</v>
      </c>
      <c r="X2488" s="27" t="str">
        <f>IFERROR(W2488*H2488,"-")</f>
        <v>-</v>
      </c>
      <c r="Z2488" s="94" t="s">
        <v>82</v>
      </c>
    </row>
    <row r="2489" spans="1:26" s="25" customFormat="1" ht="6.95" customHeight="1" x14ac:dyDescent="0.3">
      <c r="A2489" s="165"/>
      <c r="B2489" s="168"/>
      <c r="C2489" s="169"/>
      <c r="D2489" s="160"/>
      <c r="E2489" s="161"/>
      <c r="F2489" s="162"/>
      <c r="G2489" s="163"/>
      <c r="H2489" s="164"/>
      <c r="I2489" s="163"/>
      <c r="J2489" s="164"/>
      <c r="K2489" s="163"/>
      <c r="L2489" s="164"/>
      <c r="M2489" s="11"/>
      <c r="N2489" s="39"/>
      <c r="Q2489" s="15" t="str">
        <f>+CONCATENATE(E2488,I2488)</f>
        <v/>
      </c>
      <c r="R2489" s="15">
        <f>+J2488</f>
        <v>0</v>
      </c>
      <c r="S2489" s="16"/>
      <c r="T2489" s="15">
        <f>+E2488</f>
        <v>0</v>
      </c>
      <c r="U2489" s="26" t="str">
        <f>IFERROR(LEFT(I2488,FIND("*",I2488)-1),"-")</f>
        <v>-</v>
      </c>
      <c r="V2489" s="26" t="str">
        <f>IFERROR(RIGHT(I2488,LEN(I2488)-FIND("*",I2488)),"-")</f>
        <v>-</v>
      </c>
      <c r="W2489" s="27" t="str">
        <f t="shared" ref="W2489:W2496" si="1354">IFERROR((U2489+V2489)*2/1000,"-")</f>
        <v>-</v>
      </c>
      <c r="X2489" s="27" t="str">
        <f>IFERROR(W2489*J2488,"-")</f>
        <v>-</v>
      </c>
      <c r="Z2489" s="94" t="s">
        <v>82</v>
      </c>
    </row>
    <row r="2490" spans="1:26" s="25" customFormat="1" ht="6.95" customHeight="1" x14ac:dyDescent="0.3">
      <c r="A2490" s="165"/>
      <c r="B2490" s="168"/>
      <c r="C2490" s="169"/>
      <c r="D2490" s="160"/>
      <c r="E2490" s="161"/>
      <c r="F2490" s="162"/>
      <c r="G2490" s="163"/>
      <c r="H2490" s="164"/>
      <c r="I2490" s="163"/>
      <c r="J2490" s="164"/>
      <c r="K2490" s="163"/>
      <c r="L2490" s="164"/>
      <c r="M2490" s="11"/>
      <c r="N2490" s="39"/>
      <c r="Q2490" s="15" t="str">
        <f>+CONCATENATE(E2488,K2488)</f>
        <v/>
      </c>
      <c r="R2490" s="15">
        <f>+L2488</f>
        <v>0</v>
      </c>
      <c r="S2490" s="16"/>
      <c r="T2490" s="15">
        <f>+E2488</f>
        <v>0</v>
      </c>
      <c r="U2490" s="26" t="str">
        <f>IFERROR(LEFT(K2488,FIND("*",K2488)-1),"-")</f>
        <v>-</v>
      </c>
      <c r="V2490" s="26" t="str">
        <f>IFERROR(RIGHT(K2488,LEN(K2488)-FIND("*",K2488)),"-")</f>
        <v>-</v>
      </c>
      <c r="W2490" s="27" t="str">
        <f t="shared" si="1354"/>
        <v>-</v>
      </c>
      <c r="X2490" s="27" t="str">
        <f>IFERROR(W2490*L2488,"-")</f>
        <v>-</v>
      </c>
      <c r="Z2490" s="94" t="s">
        <v>82</v>
      </c>
    </row>
    <row r="2491" spans="1:26" s="25" customFormat="1" ht="6.95" customHeight="1" x14ac:dyDescent="0.3">
      <c r="A2491" s="13"/>
      <c r="B2491" s="168"/>
      <c r="C2491" s="169"/>
      <c r="D2491" s="160" t="s">
        <v>39</v>
      </c>
      <c r="E2491" s="161"/>
      <c r="F2491" s="162" t="s">
        <v>40</v>
      </c>
      <c r="G2491" s="163"/>
      <c r="H2491" s="164"/>
      <c r="I2491" s="163"/>
      <c r="J2491" s="164"/>
      <c r="K2491" s="163"/>
      <c r="L2491" s="164"/>
      <c r="M2491" s="11"/>
      <c r="N2491" s="39"/>
      <c r="Q2491" s="15" t="str">
        <f>+CONCATENATE(E2491,G2491)</f>
        <v/>
      </c>
      <c r="R2491" s="15">
        <f>+H2491</f>
        <v>0</v>
      </c>
      <c r="S2491" s="16"/>
      <c r="T2491" s="15">
        <f>+E2491</f>
        <v>0</v>
      </c>
      <c r="U2491" s="26" t="str">
        <f t="shared" ref="U2491" si="1355">IFERROR(LEFT(G2491,FIND("*",G2491)-1),"-")</f>
        <v>-</v>
      </c>
      <c r="V2491" s="26" t="str">
        <f t="shared" ref="V2491" si="1356">IFERROR(RIGHT(G2491,LEN(G2491)-FIND("*",G2491)),"-")</f>
        <v>-</v>
      </c>
      <c r="W2491" s="27" t="str">
        <f t="shared" si="1354"/>
        <v>-</v>
      </c>
      <c r="X2491" s="27" t="str">
        <f>IFERROR(W2491*H2491,"-")</f>
        <v>-</v>
      </c>
      <c r="Z2491" s="94" t="s">
        <v>82</v>
      </c>
    </row>
    <row r="2492" spans="1:26" s="25" customFormat="1" ht="6.95" customHeight="1" x14ac:dyDescent="0.3">
      <c r="A2492" s="10"/>
      <c r="B2492" s="168"/>
      <c r="C2492" s="169"/>
      <c r="D2492" s="160"/>
      <c r="E2492" s="161"/>
      <c r="F2492" s="162"/>
      <c r="G2492" s="163"/>
      <c r="H2492" s="164"/>
      <c r="I2492" s="163"/>
      <c r="J2492" s="164"/>
      <c r="K2492" s="163"/>
      <c r="L2492" s="164"/>
      <c r="M2492" s="11"/>
      <c r="N2492" s="39"/>
      <c r="Q2492" s="15" t="str">
        <f>+CONCATENATE(E2491,I2491)</f>
        <v/>
      </c>
      <c r="R2492" s="15">
        <f>+J2491</f>
        <v>0</v>
      </c>
      <c r="S2492" s="16"/>
      <c r="T2492" s="15">
        <f>+E2491</f>
        <v>0</v>
      </c>
      <c r="U2492" s="26" t="str">
        <f>IFERROR(LEFT(I2491,FIND("*",I2491)-1),"-")</f>
        <v>-</v>
      </c>
      <c r="V2492" s="26" t="str">
        <f>IFERROR(RIGHT(I2491,LEN(I2491)-FIND("*",I2491)),"-")</f>
        <v>-</v>
      </c>
      <c r="W2492" s="27" t="str">
        <f t="shared" si="1354"/>
        <v>-</v>
      </c>
      <c r="X2492" s="27" t="str">
        <f>IFERROR(W2492*J2491,"-")</f>
        <v>-</v>
      </c>
      <c r="Z2492" s="94" t="s">
        <v>82</v>
      </c>
    </row>
    <row r="2493" spans="1:26" s="25" customFormat="1" ht="6.95" customHeight="1" x14ac:dyDescent="0.3">
      <c r="A2493" s="10"/>
      <c r="B2493" s="168"/>
      <c r="C2493" s="169"/>
      <c r="D2493" s="160"/>
      <c r="E2493" s="161"/>
      <c r="F2493" s="162"/>
      <c r="G2493" s="163"/>
      <c r="H2493" s="164"/>
      <c r="I2493" s="163"/>
      <c r="J2493" s="164"/>
      <c r="K2493" s="163"/>
      <c r="L2493" s="164"/>
      <c r="M2493" s="11"/>
      <c r="N2493" s="39"/>
      <c r="Q2493" s="15" t="str">
        <f>+CONCATENATE(E2491,K2491)</f>
        <v/>
      </c>
      <c r="R2493" s="15">
        <f>+L2491</f>
        <v>0</v>
      </c>
      <c r="S2493" s="16"/>
      <c r="T2493" s="15">
        <f>+E2491</f>
        <v>0</v>
      </c>
      <c r="U2493" s="26" t="str">
        <f>IFERROR(LEFT(K2491,FIND("*",K2491)-1),"-")</f>
        <v>-</v>
      </c>
      <c r="V2493" s="26" t="str">
        <f>IFERROR(RIGHT(K2491,LEN(K2491)-FIND("*",K2491)),"-")</f>
        <v>-</v>
      </c>
      <c r="W2493" s="27" t="str">
        <f t="shared" si="1354"/>
        <v>-</v>
      </c>
      <c r="X2493" s="27" t="str">
        <f>IFERROR(W2493*L2491,"-")</f>
        <v>-</v>
      </c>
      <c r="Z2493" s="94" t="s">
        <v>82</v>
      </c>
    </row>
    <row r="2494" spans="1:26" s="25" customFormat="1" ht="6.95" customHeight="1" x14ac:dyDescent="0.3">
      <c r="A2494" s="13"/>
      <c r="B2494" s="168"/>
      <c r="C2494" s="169"/>
      <c r="D2494" s="160" t="s">
        <v>39</v>
      </c>
      <c r="E2494" s="161"/>
      <c r="F2494" s="162" t="s">
        <v>40</v>
      </c>
      <c r="G2494" s="163"/>
      <c r="H2494" s="164"/>
      <c r="I2494" s="163"/>
      <c r="J2494" s="164"/>
      <c r="K2494" s="163"/>
      <c r="L2494" s="164"/>
      <c r="M2494" s="11"/>
      <c r="N2494" s="39"/>
      <c r="Q2494" s="15" t="str">
        <f>+CONCATENATE(E2494,G2494)</f>
        <v/>
      </c>
      <c r="R2494" s="15">
        <f>+H2494</f>
        <v>0</v>
      </c>
      <c r="S2494" s="16"/>
      <c r="T2494" s="15">
        <f>+E2494</f>
        <v>0</v>
      </c>
      <c r="U2494" s="26" t="str">
        <f t="shared" ref="U2494" si="1357">IFERROR(LEFT(G2494,FIND("*",G2494)-1),"-")</f>
        <v>-</v>
      </c>
      <c r="V2494" s="26" t="str">
        <f t="shared" ref="V2494" si="1358">IFERROR(RIGHT(G2494,LEN(G2494)-FIND("*",G2494)),"-")</f>
        <v>-</v>
      </c>
      <c r="W2494" s="27" t="str">
        <f t="shared" si="1354"/>
        <v>-</v>
      </c>
      <c r="X2494" s="27" t="str">
        <f>IFERROR(W2494*H2494,"-")</f>
        <v>-</v>
      </c>
      <c r="Z2494" s="94" t="s">
        <v>82</v>
      </c>
    </row>
    <row r="2495" spans="1:26" s="25" customFormat="1" ht="6.95" customHeight="1" x14ac:dyDescent="0.3">
      <c r="A2495" s="10"/>
      <c r="B2495" s="168"/>
      <c r="C2495" s="169"/>
      <c r="D2495" s="160"/>
      <c r="E2495" s="161"/>
      <c r="F2495" s="162"/>
      <c r="G2495" s="163"/>
      <c r="H2495" s="164"/>
      <c r="I2495" s="163"/>
      <c r="J2495" s="164"/>
      <c r="K2495" s="163"/>
      <c r="L2495" s="164"/>
      <c r="M2495" s="11"/>
      <c r="N2495" s="39"/>
      <c r="Q2495" s="15" t="str">
        <f>+CONCATENATE(E2494,I2494)</f>
        <v/>
      </c>
      <c r="R2495" s="15">
        <f>+J2494</f>
        <v>0</v>
      </c>
      <c r="S2495" s="16"/>
      <c r="T2495" s="15">
        <f>+E2494</f>
        <v>0</v>
      </c>
      <c r="U2495" s="26" t="str">
        <f>IFERROR(LEFT(I2494,FIND("*",I2494)-1),"-")</f>
        <v>-</v>
      </c>
      <c r="V2495" s="26" t="str">
        <f>IFERROR(RIGHT(I2494,LEN(I2494)-FIND("*",I2494)),"-")</f>
        <v>-</v>
      </c>
      <c r="W2495" s="27" t="str">
        <f t="shared" si="1354"/>
        <v>-</v>
      </c>
      <c r="X2495" s="27" t="str">
        <f t="shared" ref="X2495" si="1359">IFERROR(W2495*J2494,"-")</f>
        <v>-</v>
      </c>
      <c r="Z2495" s="94" t="s">
        <v>82</v>
      </c>
    </row>
    <row r="2496" spans="1:26" s="25" customFormat="1" ht="6.95" customHeight="1" x14ac:dyDescent="0.3">
      <c r="A2496" s="10"/>
      <c r="B2496" s="168"/>
      <c r="C2496" s="169"/>
      <c r="D2496" s="160"/>
      <c r="E2496" s="161"/>
      <c r="F2496" s="162"/>
      <c r="G2496" s="163"/>
      <c r="H2496" s="164"/>
      <c r="I2496" s="163"/>
      <c r="J2496" s="164"/>
      <c r="K2496" s="163"/>
      <c r="L2496" s="164"/>
      <c r="M2496" s="11"/>
      <c r="N2496" s="39"/>
      <c r="Q2496" s="15" t="str">
        <f>+CONCATENATE(E2494,K2494)</f>
        <v/>
      </c>
      <c r="R2496" s="15">
        <f>+L2494</f>
        <v>0</v>
      </c>
      <c r="S2496" s="16"/>
      <c r="T2496" s="15">
        <f>+E2494</f>
        <v>0</v>
      </c>
      <c r="U2496" s="26" t="str">
        <f>IFERROR(LEFT(K2494,FIND("*",K2494)-1),"-")</f>
        <v>-</v>
      </c>
      <c r="V2496" s="26" t="str">
        <f>IFERROR(RIGHT(K2494,LEN(K2494)-FIND("*",K2494)),"-")</f>
        <v>-</v>
      </c>
      <c r="W2496" s="27" t="str">
        <f t="shared" si="1354"/>
        <v>-</v>
      </c>
      <c r="X2496" s="27" t="str">
        <f>IFERROR(W2496*L2494,"-")</f>
        <v>-</v>
      </c>
      <c r="Z2496" s="94" t="s">
        <v>82</v>
      </c>
    </row>
    <row r="2497" spans="1:26" s="25" customFormat="1" ht="21" customHeight="1" thickBot="1" x14ac:dyDescent="0.35">
      <c r="A2497" s="10"/>
      <c r="B2497" s="170"/>
      <c r="C2497" s="171"/>
      <c r="D2497" s="172" t="s">
        <v>43</v>
      </c>
      <c r="E2497" s="173"/>
      <c r="F2497" s="173"/>
      <c r="G2497" s="174"/>
      <c r="H2497" s="174"/>
      <c r="I2497" s="174"/>
      <c r="J2497" s="174"/>
      <c r="K2497" s="174"/>
      <c r="L2497" s="174"/>
      <c r="M2497" s="12"/>
      <c r="N2497" s="39"/>
      <c r="U2497" s="23"/>
      <c r="V2497" s="23"/>
      <c r="Z2497" s="95" t="s">
        <v>81</v>
      </c>
    </row>
    <row r="2498" spans="1:26" s="25" customFormat="1" ht="9.9499999999999993" customHeight="1" thickBot="1" x14ac:dyDescent="0.35">
      <c r="A2498" s="6"/>
      <c r="B2498" s="14"/>
      <c r="C2498" s="119"/>
      <c r="D2498" s="58"/>
      <c r="E2498" s="17"/>
      <c r="F2498" s="58"/>
      <c r="G2498" s="19"/>
      <c r="H2498" s="19"/>
      <c r="I2498" s="19"/>
      <c r="J2498" s="19"/>
      <c r="K2498" s="19"/>
      <c r="L2498" s="19"/>
      <c r="M2498" s="14"/>
      <c r="N2498" s="39"/>
      <c r="Q2498" s="1"/>
      <c r="R2498" s="1"/>
      <c r="S2498" s="1"/>
      <c r="T2498" s="1"/>
      <c r="U2498" s="24"/>
      <c r="V2498" s="24"/>
      <c r="W2498" s="1"/>
      <c r="X2498" s="1"/>
      <c r="Z2498" s="94" t="s">
        <v>82</v>
      </c>
    </row>
    <row r="2499" spans="1:26" s="25" customFormat="1" ht="6.95" customHeight="1" x14ac:dyDescent="0.3">
      <c r="A2499" s="165">
        <f>+A2488+1</f>
        <v>228</v>
      </c>
      <c r="B2499" s="166"/>
      <c r="C2499" s="167"/>
      <c r="D2499" s="160" t="s">
        <v>39</v>
      </c>
      <c r="E2499" s="161"/>
      <c r="F2499" s="162" t="s">
        <v>40</v>
      </c>
      <c r="G2499" s="163"/>
      <c r="H2499" s="164"/>
      <c r="I2499" s="163"/>
      <c r="J2499" s="164"/>
      <c r="K2499" s="163"/>
      <c r="L2499" s="164"/>
      <c r="M2499" s="11"/>
      <c r="N2499" s="39"/>
      <c r="Q2499" s="15" t="str">
        <f>+CONCATENATE(E2499,G2499)</f>
        <v/>
      </c>
      <c r="R2499" s="15">
        <f>+H2499</f>
        <v>0</v>
      </c>
      <c r="S2499" s="16"/>
      <c r="T2499" s="15">
        <f>+E2499</f>
        <v>0</v>
      </c>
      <c r="U2499" s="26" t="str">
        <f>IFERROR(LEFT(G2499,FIND("*",G2499)-1),"-")</f>
        <v>-</v>
      </c>
      <c r="V2499" s="26" t="str">
        <f>IFERROR(RIGHT(G2499,LEN(G2499)-FIND("*",G2499)),"-")</f>
        <v>-</v>
      </c>
      <c r="W2499" s="27" t="str">
        <f>IFERROR((U2499+V2499)*2/1000,"-")</f>
        <v>-</v>
      </c>
      <c r="X2499" s="27" t="str">
        <f>IFERROR(W2499*H2499,"-")</f>
        <v>-</v>
      </c>
      <c r="Z2499" s="94" t="s">
        <v>82</v>
      </c>
    </row>
    <row r="2500" spans="1:26" s="25" customFormat="1" ht="6.95" customHeight="1" x14ac:dyDescent="0.3">
      <c r="A2500" s="165"/>
      <c r="B2500" s="168"/>
      <c r="C2500" s="169"/>
      <c r="D2500" s="160"/>
      <c r="E2500" s="161"/>
      <c r="F2500" s="162"/>
      <c r="G2500" s="163"/>
      <c r="H2500" s="164"/>
      <c r="I2500" s="163"/>
      <c r="J2500" s="164"/>
      <c r="K2500" s="163"/>
      <c r="L2500" s="164"/>
      <c r="M2500" s="11"/>
      <c r="N2500" s="39"/>
      <c r="Q2500" s="15" t="str">
        <f>+CONCATENATE(E2499,I2499)</f>
        <v/>
      </c>
      <c r="R2500" s="15">
        <f>+J2499</f>
        <v>0</v>
      </c>
      <c r="S2500" s="16"/>
      <c r="T2500" s="15">
        <f>+E2499</f>
        <v>0</v>
      </c>
      <c r="U2500" s="26" t="str">
        <f>IFERROR(LEFT(I2499,FIND("*",I2499)-1),"-")</f>
        <v>-</v>
      </c>
      <c r="V2500" s="26" t="str">
        <f>IFERROR(RIGHT(I2499,LEN(I2499)-FIND("*",I2499)),"-")</f>
        <v>-</v>
      </c>
      <c r="W2500" s="27" t="str">
        <f t="shared" ref="W2500:W2507" si="1360">IFERROR((U2500+V2500)*2/1000,"-")</f>
        <v>-</v>
      </c>
      <c r="X2500" s="27" t="str">
        <f>IFERROR(W2500*J2499,"-")</f>
        <v>-</v>
      </c>
      <c r="Z2500" s="94" t="s">
        <v>82</v>
      </c>
    </row>
    <row r="2501" spans="1:26" s="25" customFormat="1" ht="6.95" customHeight="1" x14ac:dyDescent="0.3">
      <c r="A2501" s="165"/>
      <c r="B2501" s="168"/>
      <c r="C2501" s="169"/>
      <c r="D2501" s="160"/>
      <c r="E2501" s="161"/>
      <c r="F2501" s="162"/>
      <c r="G2501" s="163"/>
      <c r="H2501" s="164"/>
      <c r="I2501" s="163"/>
      <c r="J2501" s="164"/>
      <c r="K2501" s="163"/>
      <c r="L2501" s="164"/>
      <c r="M2501" s="11"/>
      <c r="N2501" s="39"/>
      <c r="Q2501" s="15" t="str">
        <f>+CONCATENATE(E2499,K2499)</f>
        <v/>
      </c>
      <c r="R2501" s="15">
        <f>+L2499</f>
        <v>0</v>
      </c>
      <c r="S2501" s="16"/>
      <c r="T2501" s="15">
        <f>+E2499</f>
        <v>0</v>
      </c>
      <c r="U2501" s="26" t="str">
        <f>IFERROR(LEFT(K2499,FIND("*",K2499)-1),"-")</f>
        <v>-</v>
      </c>
      <c r="V2501" s="26" t="str">
        <f>IFERROR(RIGHT(K2499,LEN(K2499)-FIND("*",K2499)),"-")</f>
        <v>-</v>
      </c>
      <c r="W2501" s="27" t="str">
        <f t="shared" si="1360"/>
        <v>-</v>
      </c>
      <c r="X2501" s="27" t="str">
        <f>IFERROR(W2501*L2499,"-")</f>
        <v>-</v>
      </c>
      <c r="Z2501" s="94" t="s">
        <v>82</v>
      </c>
    </row>
    <row r="2502" spans="1:26" s="25" customFormat="1" ht="6.95" customHeight="1" x14ac:dyDescent="0.3">
      <c r="A2502" s="13"/>
      <c r="B2502" s="168"/>
      <c r="C2502" s="169"/>
      <c r="D2502" s="160" t="s">
        <v>39</v>
      </c>
      <c r="E2502" s="161"/>
      <c r="F2502" s="162" t="s">
        <v>40</v>
      </c>
      <c r="G2502" s="163"/>
      <c r="H2502" s="164"/>
      <c r="I2502" s="163"/>
      <c r="J2502" s="164"/>
      <c r="K2502" s="163"/>
      <c r="L2502" s="164"/>
      <c r="M2502" s="11"/>
      <c r="N2502" s="39"/>
      <c r="Q2502" s="15" t="str">
        <f>+CONCATENATE(E2502,G2502)</f>
        <v/>
      </c>
      <c r="R2502" s="15">
        <f>+H2502</f>
        <v>0</v>
      </c>
      <c r="S2502" s="16"/>
      <c r="T2502" s="15">
        <f>+E2502</f>
        <v>0</v>
      </c>
      <c r="U2502" s="26" t="str">
        <f t="shared" ref="U2502" si="1361">IFERROR(LEFT(G2502,FIND("*",G2502)-1),"-")</f>
        <v>-</v>
      </c>
      <c r="V2502" s="26" t="str">
        <f t="shared" ref="V2502" si="1362">IFERROR(RIGHT(G2502,LEN(G2502)-FIND("*",G2502)),"-")</f>
        <v>-</v>
      </c>
      <c r="W2502" s="27" t="str">
        <f t="shared" si="1360"/>
        <v>-</v>
      </c>
      <c r="X2502" s="27" t="str">
        <f>IFERROR(W2502*H2502,"-")</f>
        <v>-</v>
      </c>
      <c r="Z2502" s="94" t="s">
        <v>82</v>
      </c>
    </row>
    <row r="2503" spans="1:26" s="25" customFormat="1" ht="6.95" customHeight="1" x14ac:dyDescent="0.3">
      <c r="A2503" s="10"/>
      <c r="B2503" s="168"/>
      <c r="C2503" s="169"/>
      <c r="D2503" s="160"/>
      <c r="E2503" s="161"/>
      <c r="F2503" s="162"/>
      <c r="G2503" s="163"/>
      <c r="H2503" s="164"/>
      <c r="I2503" s="163"/>
      <c r="J2503" s="164"/>
      <c r="K2503" s="163"/>
      <c r="L2503" s="164"/>
      <c r="M2503" s="11"/>
      <c r="N2503" s="39"/>
      <c r="Q2503" s="15" t="str">
        <f>+CONCATENATE(E2502,I2502)</f>
        <v/>
      </c>
      <c r="R2503" s="15">
        <f>+J2502</f>
        <v>0</v>
      </c>
      <c r="S2503" s="16"/>
      <c r="T2503" s="15">
        <f>+E2502</f>
        <v>0</v>
      </c>
      <c r="U2503" s="26" t="str">
        <f>IFERROR(LEFT(I2502,FIND("*",I2502)-1),"-")</f>
        <v>-</v>
      </c>
      <c r="V2503" s="26" t="str">
        <f>IFERROR(RIGHT(I2502,LEN(I2502)-FIND("*",I2502)),"-")</f>
        <v>-</v>
      </c>
      <c r="W2503" s="27" t="str">
        <f t="shared" si="1360"/>
        <v>-</v>
      </c>
      <c r="X2503" s="27" t="str">
        <f>IFERROR(W2503*J2502,"-")</f>
        <v>-</v>
      </c>
      <c r="Z2503" s="94" t="s">
        <v>82</v>
      </c>
    </row>
    <row r="2504" spans="1:26" s="25" customFormat="1" ht="6.95" customHeight="1" x14ac:dyDescent="0.3">
      <c r="A2504" s="10"/>
      <c r="B2504" s="168"/>
      <c r="C2504" s="169"/>
      <c r="D2504" s="160"/>
      <c r="E2504" s="161"/>
      <c r="F2504" s="162"/>
      <c r="G2504" s="163"/>
      <c r="H2504" s="164"/>
      <c r="I2504" s="163"/>
      <c r="J2504" s="164"/>
      <c r="K2504" s="163"/>
      <c r="L2504" s="164"/>
      <c r="M2504" s="11"/>
      <c r="N2504" s="39"/>
      <c r="Q2504" s="15" t="str">
        <f>+CONCATENATE(E2502,K2502)</f>
        <v/>
      </c>
      <c r="R2504" s="15">
        <f>+L2502</f>
        <v>0</v>
      </c>
      <c r="S2504" s="16"/>
      <c r="T2504" s="15">
        <f>+E2502</f>
        <v>0</v>
      </c>
      <c r="U2504" s="26" t="str">
        <f>IFERROR(LEFT(K2502,FIND("*",K2502)-1),"-")</f>
        <v>-</v>
      </c>
      <c r="V2504" s="26" t="str">
        <f>IFERROR(RIGHT(K2502,LEN(K2502)-FIND("*",K2502)),"-")</f>
        <v>-</v>
      </c>
      <c r="W2504" s="27" t="str">
        <f t="shared" si="1360"/>
        <v>-</v>
      </c>
      <c r="X2504" s="27" t="str">
        <f>IFERROR(W2504*L2502,"-")</f>
        <v>-</v>
      </c>
      <c r="Z2504" s="94" t="s">
        <v>82</v>
      </c>
    </row>
    <row r="2505" spans="1:26" s="25" customFormat="1" ht="6.95" customHeight="1" x14ac:dyDescent="0.3">
      <c r="A2505" s="13"/>
      <c r="B2505" s="168"/>
      <c r="C2505" s="169"/>
      <c r="D2505" s="160" t="s">
        <v>39</v>
      </c>
      <c r="E2505" s="161"/>
      <c r="F2505" s="162" t="s">
        <v>40</v>
      </c>
      <c r="G2505" s="163"/>
      <c r="H2505" s="164"/>
      <c r="I2505" s="163"/>
      <c r="J2505" s="164"/>
      <c r="K2505" s="163"/>
      <c r="L2505" s="164"/>
      <c r="M2505" s="11"/>
      <c r="N2505" s="39"/>
      <c r="Q2505" s="15" t="str">
        <f>+CONCATENATE(E2505,G2505)</f>
        <v/>
      </c>
      <c r="R2505" s="15">
        <f>+H2505</f>
        <v>0</v>
      </c>
      <c r="S2505" s="16"/>
      <c r="T2505" s="15">
        <f>+E2505</f>
        <v>0</v>
      </c>
      <c r="U2505" s="26" t="str">
        <f t="shared" ref="U2505" si="1363">IFERROR(LEFT(G2505,FIND("*",G2505)-1),"-")</f>
        <v>-</v>
      </c>
      <c r="V2505" s="26" t="str">
        <f t="shared" ref="V2505" si="1364">IFERROR(RIGHT(G2505,LEN(G2505)-FIND("*",G2505)),"-")</f>
        <v>-</v>
      </c>
      <c r="W2505" s="27" t="str">
        <f t="shared" si="1360"/>
        <v>-</v>
      </c>
      <c r="X2505" s="27" t="str">
        <f>IFERROR(W2505*H2505,"-")</f>
        <v>-</v>
      </c>
      <c r="Z2505" s="94" t="s">
        <v>82</v>
      </c>
    </row>
    <row r="2506" spans="1:26" s="25" customFormat="1" ht="6.95" customHeight="1" x14ac:dyDescent="0.3">
      <c r="A2506" s="10"/>
      <c r="B2506" s="168"/>
      <c r="C2506" s="169"/>
      <c r="D2506" s="160"/>
      <c r="E2506" s="161"/>
      <c r="F2506" s="162"/>
      <c r="G2506" s="163"/>
      <c r="H2506" s="164"/>
      <c r="I2506" s="163"/>
      <c r="J2506" s="164"/>
      <c r="K2506" s="163"/>
      <c r="L2506" s="164"/>
      <c r="M2506" s="11"/>
      <c r="N2506" s="39"/>
      <c r="Q2506" s="15" t="str">
        <f>+CONCATENATE(E2505,I2505)</f>
        <v/>
      </c>
      <c r="R2506" s="15">
        <f>+J2505</f>
        <v>0</v>
      </c>
      <c r="S2506" s="16"/>
      <c r="T2506" s="15">
        <f>+E2505</f>
        <v>0</v>
      </c>
      <c r="U2506" s="26" t="str">
        <f>IFERROR(LEFT(I2505,FIND("*",I2505)-1),"-")</f>
        <v>-</v>
      </c>
      <c r="V2506" s="26" t="str">
        <f>IFERROR(RIGHT(I2505,LEN(I2505)-FIND("*",I2505)),"-")</f>
        <v>-</v>
      </c>
      <c r="W2506" s="27" t="str">
        <f t="shared" si="1360"/>
        <v>-</v>
      </c>
      <c r="X2506" s="27" t="str">
        <f t="shared" ref="X2506" si="1365">IFERROR(W2506*J2505,"-")</f>
        <v>-</v>
      </c>
      <c r="Z2506" s="94" t="s">
        <v>82</v>
      </c>
    </row>
    <row r="2507" spans="1:26" s="25" customFormat="1" ht="6.95" customHeight="1" x14ac:dyDescent="0.3">
      <c r="A2507" s="10"/>
      <c r="B2507" s="168"/>
      <c r="C2507" s="169"/>
      <c r="D2507" s="160"/>
      <c r="E2507" s="161"/>
      <c r="F2507" s="162"/>
      <c r="G2507" s="163"/>
      <c r="H2507" s="164"/>
      <c r="I2507" s="163"/>
      <c r="J2507" s="164"/>
      <c r="K2507" s="163"/>
      <c r="L2507" s="164"/>
      <c r="M2507" s="11"/>
      <c r="N2507" s="39"/>
      <c r="Q2507" s="15" t="str">
        <f>+CONCATENATE(E2505,K2505)</f>
        <v/>
      </c>
      <c r="R2507" s="15">
        <f>+L2505</f>
        <v>0</v>
      </c>
      <c r="S2507" s="16"/>
      <c r="T2507" s="15">
        <f>+E2505</f>
        <v>0</v>
      </c>
      <c r="U2507" s="26" t="str">
        <f>IFERROR(LEFT(K2505,FIND("*",K2505)-1),"-")</f>
        <v>-</v>
      </c>
      <c r="V2507" s="26" t="str">
        <f>IFERROR(RIGHT(K2505,LEN(K2505)-FIND("*",K2505)),"-")</f>
        <v>-</v>
      </c>
      <c r="W2507" s="27" t="str">
        <f t="shared" si="1360"/>
        <v>-</v>
      </c>
      <c r="X2507" s="27" t="str">
        <f>IFERROR(W2507*L2505,"-")</f>
        <v>-</v>
      </c>
      <c r="Z2507" s="94" t="s">
        <v>82</v>
      </c>
    </row>
    <row r="2508" spans="1:26" s="25" customFormat="1" ht="21" customHeight="1" thickBot="1" x14ac:dyDescent="0.35">
      <c r="A2508" s="10"/>
      <c r="B2508" s="170"/>
      <c r="C2508" s="171"/>
      <c r="D2508" s="172" t="s">
        <v>43</v>
      </c>
      <c r="E2508" s="173"/>
      <c r="F2508" s="173"/>
      <c r="G2508" s="174"/>
      <c r="H2508" s="174"/>
      <c r="I2508" s="174"/>
      <c r="J2508" s="174"/>
      <c r="K2508" s="174"/>
      <c r="L2508" s="174"/>
      <c r="M2508" s="12"/>
      <c r="N2508" s="39"/>
      <c r="U2508" s="23"/>
      <c r="V2508" s="23"/>
      <c r="Z2508" s="95" t="s">
        <v>81</v>
      </c>
    </row>
    <row r="2509" spans="1:26" s="25" customFormat="1" ht="9.9499999999999993" customHeight="1" thickBot="1" x14ac:dyDescent="0.35">
      <c r="A2509" s="6"/>
      <c r="B2509" s="14"/>
      <c r="C2509" s="119"/>
      <c r="D2509" s="58"/>
      <c r="E2509" s="17"/>
      <c r="F2509" s="58"/>
      <c r="G2509" s="19"/>
      <c r="H2509" s="19"/>
      <c r="I2509" s="19"/>
      <c r="J2509" s="19"/>
      <c r="K2509" s="19"/>
      <c r="L2509" s="19"/>
      <c r="M2509" s="14"/>
      <c r="N2509" s="39"/>
      <c r="Q2509" s="1"/>
      <c r="R2509" s="1"/>
      <c r="S2509" s="1"/>
      <c r="T2509" s="1"/>
      <c r="U2509" s="24"/>
      <c r="V2509" s="24"/>
      <c r="W2509" s="1"/>
      <c r="X2509" s="1"/>
      <c r="Z2509" s="94" t="s">
        <v>82</v>
      </c>
    </row>
    <row r="2510" spans="1:26" s="25" customFormat="1" ht="6.95" customHeight="1" x14ac:dyDescent="0.3">
      <c r="A2510" s="165">
        <f>+A2499+1</f>
        <v>229</v>
      </c>
      <c r="B2510" s="166"/>
      <c r="C2510" s="167"/>
      <c r="D2510" s="160" t="s">
        <v>39</v>
      </c>
      <c r="E2510" s="161"/>
      <c r="F2510" s="162" t="s">
        <v>40</v>
      </c>
      <c r="G2510" s="163"/>
      <c r="H2510" s="164"/>
      <c r="I2510" s="163"/>
      <c r="J2510" s="164"/>
      <c r="K2510" s="163"/>
      <c r="L2510" s="164"/>
      <c r="M2510" s="11"/>
      <c r="N2510" s="39"/>
      <c r="Q2510" s="15" t="str">
        <f>+CONCATENATE(E2510,G2510)</f>
        <v/>
      </c>
      <c r="R2510" s="15">
        <f>+H2510</f>
        <v>0</v>
      </c>
      <c r="S2510" s="16"/>
      <c r="T2510" s="15">
        <f>+E2510</f>
        <v>0</v>
      </c>
      <c r="U2510" s="26" t="str">
        <f>IFERROR(LEFT(G2510,FIND("*",G2510)-1),"-")</f>
        <v>-</v>
      </c>
      <c r="V2510" s="26" t="str">
        <f>IFERROR(RIGHT(G2510,LEN(G2510)-FIND("*",G2510)),"-")</f>
        <v>-</v>
      </c>
      <c r="W2510" s="27" t="str">
        <f>IFERROR((U2510+V2510)*2/1000,"-")</f>
        <v>-</v>
      </c>
      <c r="X2510" s="27" t="str">
        <f>IFERROR(W2510*H2510,"-")</f>
        <v>-</v>
      </c>
      <c r="Z2510" s="94" t="s">
        <v>82</v>
      </c>
    </row>
    <row r="2511" spans="1:26" s="25" customFormat="1" ht="6.95" customHeight="1" x14ac:dyDescent="0.3">
      <c r="A2511" s="165"/>
      <c r="B2511" s="168"/>
      <c r="C2511" s="169"/>
      <c r="D2511" s="160"/>
      <c r="E2511" s="161"/>
      <c r="F2511" s="162"/>
      <c r="G2511" s="163"/>
      <c r="H2511" s="164"/>
      <c r="I2511" s="163"/>
      <c r="J2511" s="164"/>
      <c r="K2511" s="163"/>
      <c r="L2511" s="164"/>
      <c r="M2511" s="11"/>
      <c r="N2511" s="39"/>
      <c r="Q2511" s="15" t="str">
        <f>+CONCATENATE(E2510,I2510)</f>
        <v/>
      </c>
      <c r="R2511" s="15">
        <f>+J2510</f>
        <v>0</v>
      </c>
      <c r="S2511" s="16"/>
      <c r="T2511" s="15">
        <f>+E2510</f>
        <v>0</v>
      </c>
      <c r="U2511" s="26" t="str">
        <f>IFERROR(LEFT(I2510,FIND("*",I2510)-1),"-")</f>
        <v>-</v>
      </c>
      <c r="V2511" s="26" t="str">
        <f>IFERROR(RIGHT(I2510,LEN(I2510)-FIND("*",I2510)),"-")</f>
        <v>-</v>
      </c>
      <c r="W2511" s="27" t="str">
        <f t="shared" ref="W2511:W2518" si="1366">IFERROR((U2511+V2511)*2/1000,"-")</f>
        <v>-</v>
      </c>
      <c r="X2511" s="27" t="str">
        <f>IFERROR(W2511*J2510,"-")</f>
        <v>-</v>
      </c>
      <c r="Z2511" s="94" t="s">
        <v>82</v>
      </c>
    </row>
    <row r="2512" spans="1:26" s="25" customFormat="1" ht="6.95" customHeight="1" x14ac:dyDescent="0.3">
      <c r="A2512" s="165"/>
      <c r="B2512" s="168"/>
      <c r="C2512" s="169"/>
      <c r="D2512" s="160"/>
      <c r="E2512" s="161"/>
      <c r="F2512" s="162"/>
      <c r="G2512" s="163"/>
      <c r="H2512" s="164"/>
      <c r="I2512" s="163"/>
      <c r="J2512" s="164"/>
      <c r="K2512" s="163"/>
      <c r="L2512" s="164"/>
      <c r="M2512" s="11"/>
      <c r="N2512" s="39"/>
      <c r="Q2512" s="15" t="str">
        <f>+CONCATENATE(E2510,K2510)</f>
        <v/>
      </c>
      <c r="R2512" s="15">
        <f>+L2510</f>
        <v>0</v>
      </c>
      <c r="S2512" s="16"/>
      <c r="T2512" s="15">
        <f>+E2510</f>
        <v>0</v>
      </c>
      <c r="U2512" s="26" t="str">
        <f>IFERROR(LEFT(K2510,FIND("*",K2510)-1),"-")</f>
        <v>-</v>
      </c>
      <c r="V2512" s="26" t="str">
        <f>IFERROR(RIGHT(K2510,LEN(K2510)-FIND("*",K2510)),"-")</f>
        <v>-</v>
      </c>
      <c r="W2512" s="27" t="str">
        <f t="shared" si="1366"/>
        <v>-</v>
      </c>
      <c r="X2512" s="27" t="str">
        <f>IFERROR(W2512*L2510,"-")</f>
        <v>-</v>
      </c>
      <c r="Z2512" s="94" t="s">
        <v>82</v>
      </c>
    </row>
    <row r="2513" spans="1:26" s="25" customFormat="1" ht="6.95" customHeight="1" x14ac:dyDescent="0.3">
      <c r="A2513" s="13"/>
      <c r="B2513" s="168"/>
      <c r="C2513" s="169"/>
      <c r="D2513" s="160" t="s">
        <v>39</v>
      </c>
      <c r="E2513" s="161"/>
      <c r="F2513" s="162" t="s">
        <v>40</v>
      </c>
      <c r="G2513" s="163"/>
      <c r="H2513" s="164"/>
      <c r="I2513" s="163"/>
      <c r="J2513" s="164"/>
      <c r="K2513" s="163"/>
      <c r="L2513" s="164"/>
      <c r="M2513" s="11"/>
      <c r="N2513" s="39"/>
      <c r="Q2513" s="15" t="str">
        <f>+CONCATENATE(E2513,G2513)</f>
        <v/>
      </c>
      <c r="R2513" s="15">
        <f>+H2513</f>
        <v>0</v>
      </c>
      <c r="S2513" s="16"/>
      <c r="T2513" s="15">
        <f>+E2513</f>
        <v>0</v>
      </c>
      <c r="U2513" s="26" t="str">
        <f t="shared" ref="U2513" si="1367">IFERROR(LEFT(G2513,FIND("*",G2513)-1),"-")</f>
        <v>-</v>
      </c>
      <c r="V2513" s="26" t="str">
        <f t="shared" ref="V2513" si="1368">IFERROR(RIGHT(G2513,LEN(G2513)-FIND("*",G2513)),"-")</f>
        <v>-</v>
      </c>
      <c r="W2513" s="27" t="str">
        <f t="shared" si="1366"/>
        <v>-</v>
      </c>
      <c r="X2513" s="27" t="str">
        <f>IFERROR(W2513*H2513,"-")</f>
        <v>-</v>
      </c>
      <c r="Z2513" s="94" t="s">
        <v>82</v>
      </c>
    </row>
    <row r="2514" spans="1:26" s="25" customFormat="1" ht="6.95" customHeight="1" x14ac:dyDescent="0.3">
      <c r="A2514" s="10"/>
      <c r="B2514" s="168"/>
      <c r="C2514" s="169"/>
      <c r="D2514" s="160"/>
      <c r="E2514" s="161"/>
      <c r="F2514" s="162"/>
      <c r="G2514" s="163"/>
      <c r="H2514" s="164"/>
      <c r="I2514" s="163"/>
      <c r="J2514" s="164"/>
      <c r="K2514" s="163"/>
      <c r="L2514" s="164"/>
      <c r="M2514" s="11"/>
      <c r="N2514" s="39"/>
      <c r="Q2514" s="15" t="str">
        <f>+CONCATENATE(E2513,I2513)</f>
        <v/>
      </c>
      <c r="R2514" s="15">
        <f>+J2513</f>
        <v>0</v>
      </c>
      <c r="S2514" s="16"/>
      <c r="T2514" s="15">
        <f>+E2513</f>
        <v>0</v>
      </c>
      <c r="U2514" s="26" t="str">
        <f>IFERROR(LEFT(I2513,FIND("*",I2513)-1),"-")</f>
        <v>-</v>
      </c>
      <c r="V2514" s="26" t="str">
        <f>IFERROR(RIGHT(I2513,LEN(I2513)-FIND("*",I2513)),"-")</f>
        <v>-</v>
      </c>
      <c r="W2514" s="27" t="str">
        <f t="shared" si="1366"/>
        <v>-</v>
      </c>
      <c r="X2514" s="27" t="str">
        <f>IFERROR(W2514*J2513,"-")</f>
        <v>-</v>
      </c>
      <c r="Z2514" s="94" t="s">
        <v>82</v>
      </c>
    </row>
    <row r="2515" spans="1:26" s="25" customFormat="1" ht="6.95" customHeight="1" x14ac:dyDescent="0.3">
      <c r="A2515" s="10"/>
      <c r="B2515" s="168"/>
      <c r="C2515" s="169"/>
      <c r="D2515" s="160"/>
      <c r="E2515" s="161"/>
      <c r="F2515" s="162"/>
      <c r="G2515" s="163"/>
      <c r="H2515" s="164"/>
      <c r="I2515" s="163"/>
      <c r="J2515" s="164"/>
      <c r="K2515" s="163"/>
      <c r="L2515" s="164"/>
      <c r="M2515" s="11"/>
      <c r="N2515" s="39"/>
      <c r="Q2515" s="15" t="str">
        <f>+CONCATENATE(E2513,K2513)</f>
        <v/>
      </c>
      <c r="R2515" s="15">
        <f>+L2513</f>
        <v>0</v>
      </c>
      <c r="S2515" s="16"/>
      <c r="T2515" s="15">
        <f>+E2513</f>
        <v>0</v>
      </c>
      <c r="U2515" s="26" t="str">
        <f>IFERROR(LEFT(K2513,FIND("*",K2513)-1),"-")</f>
        <v>-</v>
      </c>
      <c r="V2515" s="26" t="str">
        <f>IFERROR(RIGHT(K2513,LEN(K2513)-FIND("*",K2513)),"-")</f>
        <v>-</v>
      </c>
      <c r="W2515" s="27" t="str">
        <f t="shared" si="1366"/>
        <v>-</v>
      </c>
      <c r="X2515" s="27" t="str">
        <f>IFERROR(W2515*L2513,"-")</f>
        <v>-</v>
      </c>
      <c r="Z2515" s="94" t="s">
        <v>82</v>
      </c>
    </row>
    <row r="2516" spans="1:26" s="25" customFormat="1" ht="6.95" customHeight="1" x14ac:dyDescent="0.3">
      <c r="A2516" s="13"/>
      <c r="B2516" s="168"/>
      <c r="C2516" s="169"/>
      <c r="D2516" s="160" t="s">
        <v>39</v>
      </c>
      <c r="E2516" s="161"/>
      <c r="F2516" s="162" t="s">
        <v>40</v>
      </c>
      <c r="G2516" s="163"/>
      <c r="H2516" s="164"/>
      <c r="I2516" s="163"/>
      <c r="J2516" s="164"/>
      <c r="K2516" s="163"/>
      <c r="L2516" s="164"/>
      <c r="M2516" s="11"/>
      <c r="N2516" s="39"/>
      <c r="Q2516" s="15" t="str">
        <f>+CONCATENATE(E2516,G2516)</f>
        <v/>
      </c>
      <c r="R2516" s="15">
        <f>+H2516</f>
        <v>0</v>
      </c>
      <c r="S2516" s="16"/>
      <c r="T2516" s="15">
        <f>+E2516</f>
        <v>0</v>
      </c>
      <c r="U2516" s="26" t="str">
        <f t="shared" ref="U2516" si="1369">IFERROR(LEFT(G2516,FIND("*",G2516)-1),"-")</f>
        <v>-</v>
      </c>
      <c r="V2516" s="26" t="str">
        <f t="shared" ref="V2516" si="1370">IFERROR(RIGHT(G2516,LEN(G2516)-FIND("*",G2516)),"-")</f>
        <v>-</v>
      </c>
      <c r="W2516" s="27" t="str">
        <f t="shared" si="1366"/>
        <v>-</v>
      </c>
      <c r="X2516" s="27" t="str">
        <f>IFERROR(W2516*H2516,"-")</f>
        <v>-</v>
      </c>
      <c r="Z2516" s="94" t="s">
        <v>82</v>
      </c>
    </row>
    <row r="2517" spans="1:26" s="25" customFormat="1" ht="6.95" customHeight="1" x14ac:dyDescent="0.3">
      <c r="A2517" s="10"/>
      <c r="B2517" s="168"/>
      <c r="C2517" s="169"/>
      <c r="D2517" s="160"/>
      <c r="E2517" s="161"/>
      <c r="F2517" s="162"/>
      <c r="G2517" s="163"/>
      <c r="H2517" s="164"/>
      <c r="I2517" s="163"/>
      <c r="J2517" s="164"/>
      <c r="K2517" s="163"/>
      <c r="L2517" s="164"/>
      <c r="M2517" s="11"/>
      <c r="N2517" s="39"/>
      <c r="Q2517" s="15" t="str">
        <f>+CONCATENATE(E2516,I2516)</f>
        <v/>
      </c>
      <c r="R2517" s="15">
        <f>+J2516</f>
        <v>0</v>
      </c>
      <c r="S2517" s="16"/>
      <c r="T2517" s="15">
        <f>+E2516</f>
        <v>0</v>
      </c>
      <c r="U2517" s="26" t="str">
        <f>IFERROR(LEFT(I2516,FIND("*",I2516)-1),"-")</f>
        <v>-</v>
      </c>
      <c r="V2517" s="26" t="str">
        <f>IFERROR(RIGHT(I2516,LEN(I2516)-FIND("*",I2516)),"-")</f>
        <v>-</v>
      </c>
      <c r="W2517" s="27" t="str">
        <f t="shared" si="1366"/>
        <v>-</v>
      </c>
      <c r="X2517" s="27" t="str">
        <f t="shared" ref="X2517" si="1371">IFERROR(W2517*J2516,"-")</f>
        <v>-</v>
      </c>
      <c r="Z2517" s="94" t="s">
        <v>82</v>
      </c>
    </row>
    <row r="2518" spans="1:26" s="25" customFormat="1" ht="6.95" customHeight="1" x14ac:dyDescent="0.3">
      <c r="A2518" s="10"/>
      <c r="B2518" s="168"/>
      <c r="C2518" s="169"/>
      <c r="D2518" s="160"/>
      <c r="E2518" s="161"/>
      <c r="F2518" s="162"/>
      <c r="G2518" s="163"/>
      <c r="H2518" s="164"/>
      <c r="I2518" s="163"/>
      <c r="J2518" s="164"/>
      <c r="K2518" s="163"/>
      <c r="L2518" s="164"/>
      <c r="M2518" s="11"/>
      <c r="N2518" s="39"/>
      <c r="Q2518" s="15" t="str">
        <f>+CONCATENATE(E2516,K2516)</f>
        <v/>
      </c>
      <c r="R2518" s="15">
        <f>+L2516</f>
        <v>0</v>
      </c>
      <c r="S2518" s="16"/>
      <c r="T2518" s="15">
        <f>+E2516</f>
        <v>0</v>
      </c>
      <c r="U2518" s="26" t="str">
        <f>IFERROR(LEFT(K2516,FIND("*",K2516)-1),"-")</f>
        <v>-</v>
      </c>
      <c r="V2518" s="26" t="str">
        <f>IFERROR(RIGHT(K2516,LEN(K2516)-FIND("*",K2516)),"-")</f>
        <v>-</v>
      </c>
      <c r="W2518" s="27" t="str">
        <f t="shared" si="1366"/>
        <v>-</v>
      </c>
      <c r="X2518" s="27" t="str">
        <f>IFERROR(W2518*L2516,"-")</f>
        <v>-</v>
      </c>
      <c r="Z2518" s="94" t="s">
        <v>82</v>
      </c>
    </row>
    <row r="2519" spans="1:26" s="25" customFormat="1" ht="21" customHeight="1" thickBot="1" x14ac:dyDescent="0.35">
      <c r="A2519" s="10"/>
      <c r="B2519" s="170"/>
      <c r="C2519" s="171"/>
      <c r="D2519" s="172" t="s">
        <v>43</v>
      </c>
      <c r="E2519" s="173"/>
      <c r="F2519" s="173"/>
      <c r="G2519" s="174"/>
      <c r="H2519" s="174"/>
      <c r="I2519" s="174"/>
      <c r="J2519" s="174"/>
      <c r="K2519" s="174"/>
      <c r="L2519" s="174"/>
      <c r="M2519" s="12"/>
      <c r="N2519" s="39"/>
      <c r="U2519" s="23"/>
      <c r="V2519" s="23"/>
      <c r="Z2519" s="95" t="s">
        <v>81</v>
      </c>
    </row>
    <row r="2520" spans="1:26" s="25" customFormat="1" ht="9.9499999999999993" customHeight="1" thickBot="1" x14ac:dyDescent="0.35">
      <c r="A2520" s="6"/>
      <c r="B2520" s="14"/>
      <c r="C2520" s="119"/>
      <c r="D2520" s="58"/>
      <c r="E2520" s="17"/>
      <c r="F2520" s="58"/>
      <c r="G2520" s="19"/>
      <c r="H2520" s="19"/>
      <c r="I2520" s="19"/>
      <c r="J2520" s="19"/>
      <c r="K2520" s="19"/>
      <c r="L2520" s="19"/>
      <c r="M2520" s="14"/>
      <c r="N2520" s="39"/>
      <c r="Q2520" s="1"/>
      <c r="R2520" s="1"/>
      <c r="S2520" s="1"/>
      <c r="T2520" s="1"/>
      <c r="U2520" s="24"/>
      <c r="V2520" s="24"/>
      <c r="W2520" s="1"/>
      <c r="X2520" s="1"/>
      <c r="Z2520" s="94" t="s">
        <v>82</v>
      </c>
    </row>
    <row r="2521" spans="1:26" s="25" customFormat="1" ht="6.95" customHeight="1" x14ac:dyDescent="0.3">
      <c r="A2521" s="165">
        <f>+A2510+1</f>
        <v>230</v>
      </c>
      <c r="B2521" s="166"/>
      <c r="C2521" s="167"/>
      <c r="D2521" s="160" t="s">
        <v>39</v>
      </c>
      <c r="E2521" s="161"/>
      <c r="F2521" s="162" t="s">
        <v>40</v>
      </c>
      <c r="G2521" s="163"/>
      <c r="H2521" s="164"/>
      <c r="I2521" s="163"/>
      <c r="J2521" s="164"/>
      <c r="K2521" s="163"/>
      <c r="L2521" s="164"/>
      <c r="M2521" s="11"/>
      <c r="N2521" s="39"/>
      <c r="Q2521" s="15" t="str">
        <f>+CONCATENATE(E2521,G2521)</f>
        <v/>
      </c>
      <c r="R2521" s="15">
        <f>+H2521</f>
        <v>0</v>
      </c>
      <c r="S2521" s="16"/>
      <c r="T2521" s="15">
        <f>+E2521</f>
        <v>0</v>
      </c>
      <c r="U2521" s="26" t="str">
        <f>IFERROR(LEFT(G2521,FIND("*",G2521)-1),"-")</f>
        <v>-</v>
      </c>
      <c r="V2521" s="26" t="str">
        <f>IFERROR(RIGHT(G2521,LEN(G2521)-FIND("*",G2521)),"-")</f>
        <v>-</v>
      </c>
      <c r="W2521" s="27" t="str">
        <f>IFERROR((U2521+V2521)*2/1000,"-")</f>
        <v>-</v>
      </c>
      <c r="X2521" s="27" t="str">
        <f>IFERROR(W2521*H2521,"-")</f>
        <v>-</v>
      </c>
      <c r="Z2521" s="94" t="s">
        <v>82</v>
      </c>
    </row>
    <row r="2522" spans="1:26" s="25" customFormat="1" ht="6.95" customHeight="1" x14ac:dyDescent="0.3">
      <c r="A2522" s="165"/>
      <c r="B2522" s="168"/>
      <c r="C2522" s="169"/>
      <c r="D2522" s="160"/>
      <c r="E2522" s="161"/>
      <c r="F2522" s="162"/>
      <c r="G2522" s="163"/>
      <c r="H2522" s="164"/>
      <c r="I2522" s="163"/>
      <c r="J2522" s="164"/>
      <c r="K2522" s="163"/>
      <c r="L2522" s="164"/>
      <c r="M2522" s="11"/>
      <c r="N2522" s="39"/>
      <c r="Q2522" s="15" t="str">
        <f>+CONCATENATE(E2521,I2521)</f>
        <v/>
      </c>
      <c r="R2522" s="15">
        <f>+J2521</f>
        <v>0</v>
      </c>
      <c r="S2522" s="16"/>
      <c r="T2522" s="15">
        <f>+E2521</f>
        <v>0</v>
      </c>
      <c r="U2522" s="26" t="str">
        <f>IFERROR(LEFT(I2521,FIND("*",I2521)-1),"-")</f>
        <v>-</v>
      </c>
      <c r="V2522" s="26" t="str">
        <f>IFERROR(RIGHT(I2521,LEN(I2521)-FIND("*",I2521)),"-")</f>
        <v>-</v>
      </c>
      <c r="W2522" s="27" t="str">
        <f t="shared" ref="W2522:W2529" si="1372">IFERROR((U2522+V2522)*2/1000,"-")</f>
        <v>-</v>
      </c>
      <c r="X2522" s="27" t="str">
        <f>IFERROR(W2522*J2521,"-")</f>
        <v>-</v>
      </c>
      <c r="Z2522" s="94" t="s">
        <v>82</v>
      </c>
    </row>
    <row r="2523" spans="1:26" s="25" customFormat="1" ht="6.95" customHeight="1" x14ac:dyDescent="0.3">
      <c r="A2523" s="165"/>
      <c r="B2523" s="168"/>
      <c r="C2523" s="169"/>
      <c r="D2523" s="160"/>
      <c r="E2523" s="161"/>
      <c r="F2523" s="162"/>
      <c r="G2523" s="163"/>
      <c r="H2523" s="164"/>
      <c r="I2523" s="163"/>
      <c r="J2523" s="164"/>
      <c r="K2523" s="163"/>
      <c r="L2523" s="164"/>
      <c r="M2523" s="11"/>
      <c r="N2523" s="39"/>
      <c r="Q2523" s="15" t="str">
        <f>+CONCATENATE(E2521,K2521)</f>
        <v/>
      </c>
      <c r="R2523" s="15">
        <f>+L2521</f>
        <v>0</v>
      </c>
      <c r="S2523" s="16"/>
      <c r="T2523" s="15">
        <f>+E2521</f>
        <v>0</v>
      </c>
      <c r="U2523" s="26" t="str">
        <f>IFERROR(LEFT(K2521,FIND("*",K2521)-1),"-")</f>
        <v>-</v>
      </c>
      <c r="V2523" s="26" t="str">
        <f>IFERROR(RIGHT(K2521,LEN(K2521)-FIND("*",K2521)),"-")</f>
        <v>-</v>
      </c>
      <c r="W2523" s="27" t="str">
        <f t="shared" si="1372"/>
        <v>-</v>
      </c>
      <c r="X2523" s="27" t="str">
        <f>IFERROR(W2523*L2521,"-")</f>
        <v>-</v>
      </c>
      <c r="Z2523" s="94" t="s">
        <v>82</v>
      </c>
    </row>
    <row r="2524" spans="1:26" s="25" customFormat="1" ht="6.95" customHeight="1" x14ac:dyDescent="0.3">
      <c r="A2524" s="13"/>
      <c r="B2524" s="168"/>
      <c r="C2524" s="169"/>
      <c r="D2524" s="160" t="s">
        <v>39</v>
      </c>
      <c r="E2524" s="161"/>
      <c r="F2524" s="162" t="s">
        <v>40</v>
      </c>
      <c r="G2524" s="163"/>
      <c r="H2524" s="164"/>
      <c r="I2524" s="163"/>
      <c r="J2524" s="164"/>
      <c r="K2524" s="163"/>
      <c r="L2524" s="164"/>
      <c r="M2524" s="11"/>
      <c r="N2524" s="39"/>
      <c r="Q2524" s="15" t="str">
        <f>+CONCATENATE(E2524,G2524)</f>
        <v/>
      </c>
      <c r="R2524" s="15">
        <f>+H2524</f>
        <v>0</v>
      </c>
      <c r="S2524" s="16"/>
      <c r="T2524" s="15">
        <f>+E2524</f>
        <v>0</v>
      </c>
      <c r="U2524" s="26" t="str">
        <f t="shared" ref="U2524" si="1373">IFERROR(LEFT(G2524,FIND("*",G2524)-1),"-")</f>
        <v>-</v>
      </c>
      <c r="V2524" s="26" t="str">
        <f t="shared" ref="V2524" si="1374">IFERROR(RIGHT(G2524,LEN(G2524)-FIND("*",G2524)),"-")</f>
        <v>-</v>
      </c>
      <c r="W2524" s="27" t="str">
        <f t="shared" si="1372"/>
        <v>-</v>
      </c>
      <c r="X2524" s="27" t="str">
        <f>IFERROR(W2524*H2524,"-")</f>
        <v>-</v>
      </c>
      <c r="Z2524" s="94" t="s">
        <v>82</v>
      </c>
    </row>
    <row r="2525" spans="1:26" s="25" customFormat="1" ht="6.95" customHeight="1" x14ac:dyDescent="0.3">
      <c r="A2525" s="10"/>
      <c r="B2525" s="168"/>
      <c r="C2525" s="169"/>
      <c r="D2525" s="160"/>
      <c r="E2525" s="161"/>
      <c r="F2525" s="162"/>
      <c r="G2525" s="163"/>
      <c r="H2525" s="164"/>
      <c r="I2525" s="163"/>
      <c r="J2525" s="164"/>
      <c r="K2525" s="163"/>
      <c r="L2525" s="164"/>
      <c r="M2525" s="11"/>
      <c r="N2525" s="39"/>
      <c r="Q2525" s="15" t="str">
        <f>+CONCATENATE(E2524,I2524)</f>
        <v/>
      </c>
      <c r="R2525" s="15">
        <f>+J2524</f>
        <v>0</v>
      </c>
      <c r="S2525" s="16"/>
      <c r="T2525" s="15">
        <f>+E2524</f>
        <v>0</v>
      </c>
      <c r="U2525" s="26" t="str">
        <f>IFERROR(LEFT(I2524,FIND("*",I2524)-1),"-")</f>
        <v>-</v>
      </c>
      <c r="V2525" s="26" t="str">
        <f>IFERROR(RIGHT(I2524,LEN(I2524)-FIND("*",I2524)),"-")</f>
        <v>-</v>
      </c>
      <c r="W2525" s="27" t="str">
        <f t="shared" si="1372"/>
        <v>-</v>
      </c>
      <c r="X2525" s="27" t="str">
        <f>IFERROR(W2525*J2524,"-")</f>
        <v>-</v>
      </c>
      <c r="Z2525" s="94" t="s">
        <v>82</v>
      </c>
    </row>
    <row r="2526" spans="1:26" s="25" customFormat="1" ht="6.95" customHeight="1" x14ac:dyDescent="0.3">
      <c r="A2526" s="10"/>
      <c r="B2526" s="168"/>
      <c r="C2526" s="169"/>
      <c r="D2526" s="160"/>
      <c r="E2526" s="161"/>
      <c r="F2526" s="162"/>
      <c r="G2526" s="163"/>
      <c r="H2526" s="164"/>
      <c r="I2526" s="163"/>
      <c r="J2526" s="164"/>
      <c r="K2526" s="163"/>
      <c r="L2526" s="164"/>
      <c r="M2526" s="11"/>
      <c r="N2526" s="39"/>
      <c r="Q2526" s="15" t="str">
        <f>+CONCATENATE(E2524,K2524)</f>
        <v/>
      </c>
      <c r="R2526" s="15">
        <f>+L2524</f>
        <v>0</v>
      </c>
      <c r="S2526" s="16"/>
      <c r="T2526" s="15">
        <f>+E2524</f>
        <v>0</v>
      </c>
      <c r="U2526" s="26" t="str">
        <f>IFERROR(LEFT(K2524,FIND("*",K2524)-1),"-")</f>
        <v>-</v>
      </c>
      <c r="V2526" s="26" t="str">
        <f>IFERROR(RIGHT(K2524,LEN(K2524)-FIND("*",K2524)),"-")</f>
        <v>-</v>
      </c>
      <c r="W2526" s="27" t="str">
        <f t="shared" si="1372"/>
        <v>-</v>
      </c>
      <c r="X2526" s="27" t="str">
        <f>IFERROR(W2526*L2524,"-")</f>
        <v>-</v>
      </c>
      <c r="Z2526" s="94" t="s">
        <v>82</v>
      </c>
    </row>
    <row r="2527" spans="1:26" s="25" customFormat="1" ht="6.95" customHeight="1" x14ac:dyDescent="0.3">
      <c r="A2527" s="13"/>
      <c r="B2527" s="168"/>
      <c r="C2527" s="169"/>
      <c r="D2527" s="160" t="s">
        <v>39</v>
      </c>
      <c r="E2527" s="161"/>
      <c r="F2527" s="162" t="s">
        <v>40</v>
      </c>
      <c r="G2527" s="163"/>
      <c r="H2527" s="164"/>
      <c r="I2527" s="163"/>
      <c r="J2527" s="164"/>
      <c r="K2527" s="163"/>
      <c r="L2527" s="164"/>
      <c r="M2527" s="11"/>
      <c r="N2527" s="39"/>
      <c r="Q2527" s="15" t="str">
        <f>+CONCATENATE(E2527,G2527)</f>
        <v/>
      </c>
      <c r="R2527" s="15">
        <f>+H2527</f>
        <v>0</v>
      </c>
      <c r="S2527" s="16"/>
      <c r="T2527" s="15">
        <f>+E2527</f>
        <v>0</v>
      </c>
      <c r="U2527" s="26" t="str">
        <f t="shared" ref="U2527" si="1375">IFERROR(LEFT(G2527,FIND("*",G2527)-1),"-")</f>
        <v>-</v>
      </c>
      <c r="V2527" s="26" t="str">
        <f t="shared" ref="V2527" si="1376">IFERROR(RIGHT(G2527,LEN(G2527)-FIND("*",G2527)),"-")</f>
        <v>-</v>
      </c>
      <c r="W2527" s="27" t="str">
        <f t="shared" si="1372"/>
        <v>-</v>
      </c>
      <c r="X2527" s="27" t="str">
        <f>IFERROR(W2527*H2527,"-")</f>
        <v>-</v>
      </c>
      <c r="Z2527" s="94" t="s">
        <v>82</v>
      </c>
    </row>
    <row r="2528" spans="1:26" s="25" customFormat="1" ht="6.95" customHeight="1" x14ac:dyDescent="0.3">
      <c r="A2528" s="10"/>
      <c r="B2528" s="168"/>
      <c r="C2528" s="169"/>
      <c r="D2528" s="160"/>
      <c r="E2528" s="161"/>
      <c r="F2528" s="162"/>
      <c r="G2528" s="163"/>
      <c r="H2528" s="164"/>
      <c r="I2528" s="163"/>
      <c r="J2528" s="164"/>
      <c r="K2528" s="163"/>
      <c r="L2528" s="164"/>
      <c r="M2528" s="11"/>
      <c r="N2528" s="39"/>
      <c r="Q2528" s="15" t="str">
        <f>+CONCATENATE(E2527,I2527)</f>
        <v/>
      </c>
      <c r="R2528" s="15">
        <f>+J2527</f>
        <v>0</v>
      </c>
      <c r="S2528" s="16"/>
      <c r="T2528" s="15">
        <f>+E2527</f>
        <v>0</v>
      </c>
      <c r="U2528" s="26" t="str">
        <f>IFERROR(LEFT(I2527,FIND("*",I2527)-1),"-")</f>
        <v>-</v>
      </c>
      <c r="V2528" s="26" t="str">
        <f>IFERROR(RIGHT(I2527,LEN(I2527)-FIND("*",I2527)),"-")</f>
        <v>-</v>
      </c>
      <c r="W2528" s="27" t="str">
        <f t="shared" si="1372"/>
        <v>-</v>
      </c>
      <c r="X2528" s="27" t="str">
        <f t="shared" ref="X2528" si="1377">IFERROR(W2528*J2527,"-")</f>
        <v>-</v>
      </c>
      <c r="Z2528" s="94" t="s">
        <v>82</v>
      </c>
    </row>
    <row r="2529" spans="1:26" s="25" customFormat="1" ht="6.95" customHeight="1" x14ac:dyDescent="0.3">
      <c r="A2529" s="10"/>
      <c r="B2529" s="168"/>
      <c r="C2529" s="169"/>
      <c r="D2529" s="160"/>
      <c r="E2529" s="161"/>
      <c r="F2529" s="162"/>
      <c r="G2529" s="163"/>
      <c r="H2529" s="164"/>
      <c r="I2529" s="163"/>
      <c r="J2529" s="164"/>
      <c r="K2529" s="163"/>
      <c r="L2529" s="164"/>
      <c r="M2529" s="11"/>
      <c r="N2529" s="39"/>
      <c r="Q2529" s="15" t="str">
        <f>+CONCATENATE(E2527,K2527)</f>
        <v/>
      </c>
      <c r="R2529" s="15">
        <f>+L2527</f>
        <v>0</v>
      </c>
      <c r="S2529" s="16"/>
      <c r="T2529" s="15">
        <f>+E2527</f>
        <v>0</v>
      </c>
      <c r="U2529" s="26" t="str">
        <f>IFERROR(LEFT(K2527,FIND("*",K2527)-1),"-")</f>
        <v>-</v>
      </c>
      <c r="V2529" s="26" t="str">
        <f>IFERROR(RIGHT(K2527,LEN(K2527)-FIND("*",K2527)),"-")</f>
        <v>-</v>
      </c>
      <c r="W2529" s="27" t="str">
        <f t="shared" si="1372"/>
        <v>-</v>
      </c>
      <c r="X2529" s="27" t="str">
        <f>IFERROR(W2529*L2527,"-")</f>
        <v>-</v>
      </c>
      <c r="Z2529" s="94" t="s">
        <v>82</v>
      </c>
    </row>
    <row r="2530" spans="1:26" s="25" customFormat="1" ht="21" customHeight="1" thickBot="1" x14ac:dyDescent="0.35">
      <c r="A2530" s="10"/>
      <c r="B2530" s="170"/>
      <c r="C2530" s="171"/>
      <c r="D2530" s="172" t="s">
        <v>43</v>
      </c>
      <c r="E2530" s="173"/>
      <c r="F2530" s="173"/>
      <c r="G2530" s="174"/>
      <c r="H2530" s="174"/>
      <c r="I2530" s="174"/>
      <c r="J2530" s="174"/>
      <c r="K2530" s="174"/>
      <c r="L2530" s="174"/>
      <c r="M2530" s="12"/>
      <c r="N2530" s="39"/>
      <c r="U2530" s="23"/>
      <c r="V2530" s="23"/>
      <c r="Z2530" s="95" t="s">
        <v>81</v>
      </c>
    </row>
    <row r="2531" spans="1:26" s="25" customFormat="1" ht="9.9499999999999993" customHeight="1" thickBot="1" x14ac:dyDescent="0.35">
      <c r="A2531" s="6"/>
      <c r="B2531" s="14"/>
      <c r="C2531" s="119"/>
      <c r="D2531" s="58"/>
      <c r="E2531" s="17"/>
      <c r="F2531" s="58"/>
      <c r="G2531" s="19"/>
      <c r="H2531" s="19"/>
      <c r="I2531" s="19"/>
      <c r="J2531" s="19"/>
      <c r="K2531" s="19"/>
      <c r="L2531" s="19"/>
      <c r="M2531" s="14"/>
      <c r="N2531" s="39"/>
      <c r="Q2531" s="1"/>
      <c r="R2531" s="1"/>
      <c r="S2531" s="1"/>
      <c r="T2531" s="1"/>
      <c r="U2531" s="24"/>
      <c r="V2531" s="24"/>
      <c r="W2531" s="1"/>
      <c r="X2531" s="1"/>
      <c r="Z2531" s="94" t="s">
        <v>82</v>
      </c>
    </row>
    <row r="2532" spans="1:26" s="25" customFormat="1" ht="6.95" customHeight="1" x14ac:dyDescent="0.3">
      <c r="A2532" s="165">
        <f>+A2521+1</f>
        <v>231</v>
      </c>
      <c r="B2532" s="166"/>
      <c r="C2532" s="167"/>
      <c r="D2532" s="160" t="s">
        <v>39</v>
      </c>
      <c r="E2532" s="161"/>
      <c r="F2532" s="162" t="s">
        <v>40</v>
      </c>
      <c r="G2532" s="163"/>
      <c r="H2532" s="164"/>
      <c r="I2532" s="163"/>
      <c r="J2532" s="164"/>
      <c r="K2532" s="163"/>
      <c r="L2532" s="164"/>
      <c r="M2532" s="11"/>
      <c r="N2532" s="39"/>
      <c r="Q2532" s="15" t="str">
        <f>+CONCATENATE(E2532,G2532)</f>
        <v/>
      </c>
      <c r="R2532" s="15">
        <f>+H2532</f>
        <v>0</v>
      </c>
      <c r="S2532" s="16"/>
      <c r="T2532" s="15">
        <f>+E2532</f>
        <v>0</v>
      </c>
      <c r="U2532" s="26" t="str">
        <f>IFERROR(LEFT(G2532,FIND("*",G2532)-1),"-")</f>
        <v>-</v>
      </c>
      <c r="V2532" s="26" t="str">
        <f>IFERROR(RIGHT(G2532,LEN(G2532)-FIND("*",G2532)),"-")</f>
        <v>-</v>
      </c>
      <c r="W2532" s="27" t="str">
        <f>IFERROR((U2532+V2532)*2/1000,"-")</f>
        <v>-</v>
      </c>
      <c r="X2532" s="27" t="str">
        <f>IFERROR(W2532*H2532,"-")</f>
        <v>-</v>
      </c>
      <c r="Z2532" s="94" t="s">
        <v>82</v>
      </c>
    </row>
    <row r="2533" spans="1:26" s="25" customFormat="1" ht="6.95" customHeight="1" x14ac:dyDescent="0.3">
      <c r="A2533" s="165"/>
      <c r="B2533" s="168"/>
      <c r="C2533" s="169"/>
      <c r="D2533" s="160"/>
      <c r="E2533" s="161"/>
      <c r="F2533" s="162"/>
      <c r="G2533" s="163"/>
      <c r="H2533" s="164"/>
      <c r="I2533" s="163"/>
      <c r="J2533" s="164"/>
      <c r="K2533" s="163"/>
      <c r="L2533" s="164"/>
      <c r="M2533" s="11"/>
      <c r="N2533" s="39"/>
      <c r="Q2533" s="15" t="str">
        <f>+CONCATENATE(E2532,I2532)</f>
        <v/>
      </c>
      <c r="R2533" s="15">
        <f>+J2532</f>
        <v>0</v>
      </c>
      <c r="S2533" s="16"/>
      <c r="T2533" s="15">
        <f>+E2532</f>
        <v>0</v>
      </c>
      <c r="U2533" s="26" t="str">
        <f>IFERROR(LEFT(I2532,FIND("*",I2532)-1),"-")</f>
        <v>-</v>
      </c>
      <c r="V2533" s="26" t="str">
        <f>IFERROR(RIGHT(I2532,LEN(I2532)-FIND("*",I2532)),"-")</f>
        <v>-</v>
      </c>
      <c r="W2533" s="27" t="str">
        <f t="shared" ref="W2533:W2540" si="1378">IFERROR((U2533+V2533)*2/1000,"-")</f>
        <v>-</v>
      </c>
      <c r="X2533" s="27" t="str">
        <f>IFERROR(W2533*J2532,"-")</f>
        <v>-</v>
      </c>
      <c r="Z2533" s="94" t="s">
        <v>82</v>
      </c>
    </row>
    <row r="2534" spans="1:26" s="25" customFormat="1" ht="6.95" customHeight="1" x14ac:dyDescent="0.3">
      <c r="A2534" s="165"/>
      <c r="B2534" s="168"/>
      <c r="C2534" s="169"/>
      <c r="D2534" s="160"/>
      <c r="E2534" s="161"/>
      <c r="F2534" s="162"/>
      <c r="G2534" s="163"/>
      <c r="H2534" s="164"/>
      <c r="I2534" s="163"/>
      <c r="J2534" s="164"/>
      <c r="K2534" s="163"/>
      <c r="L2534" s="164"/>
      <c r="M2534" s="11"/>
      <c r="N2534" s="39"/>
      <c r="Q2534" s="15" t="str">
        <f>+CONCATENATE(E2532,K2532)</f>
        <v/>
      </c>
      <c r="R2534" s="15">
        <f>+L2532</f>
        <v>0</v>
      </c>
      <c r="S2534" s="16"/>
      <c r="T2534" s="15">
        <f>+E2532</f>
        <v>0</v>
      </c>
      <c r="U2534" s="26" t="str">
        <f>IFERROR(LEFT(K2532,FIND("*",K2532)-1),"-")</f>
        <v>-</v>
      </c>
      <c r="V2534" s="26" t="str">
        <f>IFERROR(RIGHT(K2532,LEN(K2532)-FIND("*",K2532)),"-")</f>
        <v>-</v>
      </c>
      <c r="W2534" s="27" t="str">
        <f t="shared" si="1378"/>
        <v>-</v>
      </c>
      <c r="X2534" s="27" t="str">
        <f>IFERROR(W2534*L2532,"-")</f>
        <v>-</v>
      </c>
      <c r="Z2534" s="94" t="s">
        <v>82</v>
      </c>
    </row>
    <row r="2535" spans="1:26" s="25" customFormat="1" ht="6.95" customHeight="1" x14ac:dyDescent="0.3">
      <c r="A2535" s="13"/>
      <c r="B2535" s="168"/>
      <c r="C2535" s="169"/>
      <c r="D2535" s="160" t="s">
        <v>39</v>
      </c>
      <c r="E2535" s="161"/>
      <c r="F2535" s="162" t="s">
        <v>40</v>
      </c>
      <c r="G2535" s="163"/>
      <c r="H2535" s="164"/>
      <c r="I2535" s="163"/>
      <c r="J2535" s="164"/>
      <c r="K2535" s="163"/>
      <c r="L2535" s="164"/>
      <c r="M2535" s="11"/>
      <c r="N2535" s="39"/>
      <c r="Q2535" s="15" t="str">
        <f>+CONCATENATE(E2535,G2535)</f>
        <v/>
      </c>
      <c r="R2535" s="15">
        <f>+H2535</f>
        <v>0</v>
      </c>
      <c r="S2535" s="16"/>
      <c r="T2535" s="15">
        <f>+E2535</f>
        <v>0</v>
      </c>
      <c r="U2535" s="26" t="str">
        <f t="shared" ref="U2535" si="1379">IFERROR(LEFT(G2535,FIND("*",G2535)-1),"-")</f>
        <v>-</v>
      </c>
      <c r="V2535" s="26" t="str">
        <f t="shared" ref="V2535" si="1380">IFERROR(RIGHT(G2535,LEN(G2535)-FIND("*",G2535)),"-")</f>
        <v>-</v>
      </c>
      <c r="W2535" s="27" t="str">
        <f t="shared" si="1378"/>
        <v>-</v>
      </c>
      <c r="X2535" s="27" t="str">
        <f>IFERROR(W2535*H2535,"-")</f>
        <v>-</v>
      </c>
      <c r="Z2535" s="94" t="s">
        <v>82</v>
      </c>
    </row>
    <row r="2536" spans="1:26" s="25" customFormat="1" ht="6.95" customHeight="1" x14ac:dyDescent="0.3">
      <c r="A2536" s="10"/>
      <c r="B2536" s="168"/>
      <c r="C2536" s="169"/>
      <c r="D2536" s="160"/>
      <c r="E2536" s="161"/>
      <c r="F2536" s="162"/>
      <c r="G2536" s="163"/>
      <c r="H2536" s="164"/>
      <c r="I2536" s="163"/>
      <c r="J2536" s="164"/>
      <c r="K2536" s="163"/>
      <c r="L2536" s="164"/>
      <c r="M2536" s="11"/>
      <c r="N2536" s="39"/>
      <c r="Q2536" s="15" t="str">
        <f>+CONCATENATE(E2535,I2535)</f>
        <v/>
      </c>
      <c r="R2536" s="15">
        <f>+J2535</f>
        <v>0</v>
      </c>
      <c r="S2536" s="16"/>
      <c r="T2536" s="15">
        <f>+E2535</f>
        <v>0</v>
      </c>
      <c r="U2536" s="26" t="str">
        <f>IFERROR(LEFT(I2535,FIND("*",I2535)-1),"-")</f>
        <v>-</v>
      </c>
      <c r="V2536" s="26" t="str">
        <f>IFERROR(RIGHT(I2535,LEN(I2535)-FIND("*",I2535)),"-")</f>
        <v>-</v>
      </c>
      <c r="W2536" s="27" t="str">
        <f t="shared" si="1378"/>
        <v>-</v>
      </c>
      <c r="X2536" s="27" t="str">
        <f>IFERROR(W2536*J2535,"-")</f>
        <v>-</v>
      </c>
      <c r="Z2536" s="94" t="s">
        <v>82</v>
      </c>
    </row>
    <row r="2537" spans="1:26" s="25" customFormat="1" ht="6.95" customHeight="1" x14ac:dyDescent="0.3">
      <c r="A2537" s="10"/>
      <c r="B2537" s="168"/>
      <c r="C2537" s="169"/>
      <c r="D2537" s="160"/>
      <c r="E2537" s="161"/>
      <c r="F2537" s="162"/>
      <c r="G2537" s="163"/>
      <c r="H2537" s="164"/>
      <c r="I2537" s="163"/>
      <c r="J2537" s="164"/>
      <c r="K2537" s="163"/>
      <c r="L2537" s="164"/>
      <c r="M2537" s="11"/>
      <c r="N2537" s="39"/>
      <c r="Q2537" s="15" t="str">
        <f>+CONCATENATE(E2535,K2535)</f>
        <v/>
      </c>
      <c r="R2537" s="15">
        <f>+L2535</f>
        <v>0</v>
      </c>
      <c r="S2537" s="16"/>
      <c r="T2537" s="15">
        <f>+E2535</f>
        <v>0</v>
      </c>
      <c r="U2537" s="26" t="str">
        <f>IFERROR(LEFT(K2535,FIND("*",K2535)-1),"-")</f>
        <v>-</v>
      </c>
      <c r="V2537" s="26" t="str">
        <f>IFERROR(RIGHT(K2535,LEN(K2535)-FIND("*",K2535)),"-")</f>
        <v>-</v>
      </c>
      <c r="W2537" s="27" t="str">
        <f t="shared" si="1378"/>
        <v>-</v>
      </c>
      <c r="X2537" s="27" t="str">
        <f>IFERROR(W2537*L2535,"-")</f>
        <v>-</v>
      </c>
      <c r="Z2537" s="94" t="s">
        <v>82</v>
      </c>
    </row>
    <row r="2538" spans="1:26" s="25" customFormat="1" ht="6.95" customHeight="1" x14ac:dyDescent="0.3">
      <c r="A2538" s="13"/>
      <c r="B2538" s="168"/>
      <c r="C2538" s="169"/>
      <c r="D2538" s="160" t="s">
        <v>39</v>
      </c>
      <c r="E2538" s="161"/>
      <c r="F2538" s="162" t="s">
        <v>40</v>
      </c>
      <c r="G2538" s="163"/>
      <c r="H2538" s="164"/>
      <c r="I2538" s="163"/>
      <c r="J2538" s="164"/>
      <c r="K2538" s="163"/>
      <c r="L2538" s="164"/>
      <c r="M2538" s="11"/>
      <c r="N2538" s="39"/>
      <c r="Q2538" s="15" t="str">
        <f>+CONCATENATE(E2538,G2538)</f>
        <v/>
      </c>
      <c r="R2538" s="15">
        <f>+H2538</f>
        <v>0</v>
      </c>
      <c r="S2538" s="16"/>
      <c r="T2538" s="15">
        <f>+E2538</f>
        <v>0</v>
      </c>
      <c r="U2538" s="26" t="str">
        <f t="shared" ref="U2538" si="1381">IFERROR(LEFT(G2538,FIND("*",G2538)-1),"-")</f>
        <v>-</v>
      </c>
      <c r="V2538" s="26" t="str">
        <f t="shared" ref="V2538" si="1382">IFERROR(RIGHT(G2538,LEN(G2538)-FIND("*",G2538)),"-")</f>
        <v>-</v>
      </c>
      <c r="W2538" s="27" t="str">
        <f t="shared" si="1378"/>
        <v>-</v>
      </c>
      <c r="X2538" s="27" t="str">
        <f>IFERROR(W2538*H2538,"-")</f>
        <v>-</v>
      </c>
      <c r="Z2538" s="94" t="s">
        <v>82</v>
      </c>
    </row>
    <row r="2539" spans="1:26" s="25" customFormat="1" ht="6.95" customHeight="1" x14ac:dyDescent="0.3">
      <c r="A2539" s="10"/>
      <c r="B2539" s="168"/>
      <c r="C2539" s="169"/>
      <c r="D2539" s="160"/>
      <c r="E2539" s="161"/>
      <c r="F2539" s="162"/>
      <c r="G2539" s="163"/>
      <c r="H2539" s="164"/>
      <c r="I2539" s="163"/>
      <c r="J2539" s="164"/>
      <c r="K2539" s="163"/>
      <c r="L2539" s="164"/>
      <c r="M2539" s="11"/>
      <c r="N2539" s="39"/>
      <c r="Q2539" s="15" t="str">
        <f>+CONCATENATE(E2538,I2538)</f>
        <v/>
      </c>
      <c r="R2539" s="15">
        <f>+J2538</f>
        <v>0</v>
      </c>
      <c r="S2539" s="16"/>
      <c r="T2539" s="15">
        <f>+E2538</f>
        <v>0</v>
      </c>
      <c r="U2539" s="26" t="str">
        <f>IFERROR(LEFT(I2538,FIND("*",I2538)-1),"-")</f>
        <v>-</v>
      </c>
      <c r="V2539" s="26" t="str">
        <f>IFERROR(RIGHT(I2538,LEN(I2538)-FIND("*",I2538)),"-")</f>
        <v>-</v>
      </c>
      <c r="W2539" s="27" t="str">
        <f t="shared" si="1378"/>
        <v>-</v>
      </c>
      <c r="X2539" s="27" t="str">
        <f t="shared" ref="X2539" si="1383">IFERROR(W2539*J2538,"-")</f>
        <v>-</v>
      </c>
      <c r="Z2539" s="94" t="s">
        <v>82</v>
      </c>
    </row>
    <row r="2540" spans="1:26" s="25" customFormat="1" ht="6.95" customHeight="1" x14ac:dyDescent="0.3">
      <c r="A2540" s="10"/>
      <c r="B2540" s="168"/>
      <c r="C2540" s="169"/>
      <c r="D2540" s="160"/>
      <c r="E2540" s="161"/>
      <c r="F2540" s="162"/>
      <c r="G2540" s="163"/>
      <c r="H2540" s="164"/>
      <c r="I2540" s="163"/>
      <c r="J2540" s="164"/>
      <c r="K2540" s="163"/>
      <c r="L2540" s="164"/>
      <c r="M2540" s="11"/>
      <c r="N2540" s="39"/>
      <c r="Q2540" s="15" t="str">
        <f>+CONCATENATE(E2538,K2538)</f>
        <v/>
      </c>
      <c r="R2540" s="15">
        <f>+L2538</f>
        <v>0</v>
      </c>
      <c r="S2540" s="16"/>
      <c r="T2540" s="15">
        <f>+E2538</f>
        <v>0</v>
      </c>
      <c r="U2540" s="26" t="str">
        <f>IFERROR(LEFT(K2538,FIND("*",K2538)-1),"-")</f>
        <v>-</v>
      </c>
      <c r="V2540" s="26" t="str">
        <f>IFERROR(RIGHT(K2538,LEN(K2538)-FIND("*",K2538)),"-")</f>
        <v>-</v>
      </c>
      <c r="W2540" s="27" t="str">
        <f t="shared" si="1378"/>
        <v>-</v>
      </c>
      <c r="X2540" s="27" t="str">
        <f>IFERROR(W2540*L2538,"-")</f>
        <v>-</v>
      </c>
      <c r="Z2540" s="94" t="s">
        <v>82</v>
      </c>
    </row>
    <row r="2541" spans="1:26" s="25" customFormat="1" ht="21" customHeight="1" thickBot="1" x14ac:dyDescent="0.35">
      <c r="A2541" s="10"/>
      <c r="B2541" s="170"/>
      <c r="C2541" s="171"/>
      <c r="D2541" s="172" t="s">
        <v>43</v>
      </c>
      <c r="E2541" s="173"/>
      <c r="F2541" s="173"/>
      <c r="G2541" s="174"/>
      <c r="H2541" s="174"/>
      <c r="I2541" s="174"/>
      <c r="J2541" s="174"/>
      <c r="K2541" s="174"/>
      <c r="L2541" s="174"/>
      <c r="M2541" s="12"/>
      <c r="N2541" s="39"/>
      <c r="U2541" s="23"/>
      <c r="V2541" s="23"/>
      <c r="Z2541" s="95" t="s">
        <v>81</v>
      </c>
    </row>
    <row r="2542" spans="1:26" s="25" customFormat="1" ht="9.9499999999999993" customHeight="1" thickBot="1" x14ac:dyDescent="0.35">
      <c r="A2542" s="6"/>
      <c r="B2542" s="14"/>
      <c r="C2542" s="119"/>
      <c r="D2542" s="58"/>
      <c r="E2542" s="17"/>
      <c r="F2542" s="58"/>
      <c r="G2542" s="19"/>
      <c r="H2542" s="19"/>
      <c r="I2542" s="19"/>
      <c r="J2542" s="19"/>
      <c r="K2542" s="19"/>
      <c r="L2542" s="19"/>
      <c r="M2542" s="14"/>
      <c r="N2542" s="39"/>
      <c r="Q2542" s="1"/>
      <c r="R2542" s="1"/>
      <c r="S2542" s="1"/>
      <c r="T2542" s="1"/>
      <c r="U2542" s="24"/>
      <c r="V2542" s="24"/>
      <c r="W2542" s="1"/>
      <c r="X2542" s="1"/>
      <c r="Z2542" s="94" t="s">
        <v>82</v>
      </c>
    </row>
    <row r="2543" spans="1:26" s="25" customFormat="1" ht="6.95" customHeight="1" x14ac:dyDescent="0.3">
      <c r="A2543" s="165">
        <f>+A2532+1</f>
        <v>232</v>
      </c>
      <c r="B2543" s="166"/>
      <c r="C2543" s="167"/>
      <c r="D2543" s="160" t="s">
        <v>39</v>
      </c>
      <c r="E2543" s="161"/>
      <c r="F2543" s="162" t="s">
        <v>40</v>
      </c>
      <c r="G2543" s="163"/>
      <c r="H2543" s="164"/>
      <c r="I2543" s="163"/>
      <c r="J2543" s="164"/>
      <c r="K2543" s="163"/>
      <c r="L2543" s="164"/>
      <c r="M2543" s="11"/>
      <c r="N2543" s="39"/>
      <c r="Q2543" s="15" t="str">
        <f>+CONCATENATE(E2543,G2543)</f>
        <v/>
      </c>
      <c r="R2543" s="15">
        <f>+H2543</f>
        <v>0</v>
      </c>
      <c r="S2543" s="16"/>
      <c r="T2543" s="15">
        <f>+E2543</f>
        <v>0</v>
      </c>
      <c r="U2543" s="26" t="str">
        <f>IFERROR(LEFT(G2543,FIND("*",G2543)-1),"-")</f>
        <v>-</v>
      </c>
      <c r="V2543" s="26" t="str">
        <f>IFERROR(RIGHT(G2543,LEN(G2543)-FIND("*",G2543)),"-")</f>
        <v>-</v>
      </c>
      <c r="W2543" s="27" t="str">
        <f>IFERROR((U2543+V2543)*2/1000,"-")</f>
        <v>-</v>
      </c>
      <c r="X2543" s="27" t="str">
        <f>IFERROR(W2543*H2543,"-")</f>
        <v>-</v>
      </c>
      <c r="Z2543" s="94" t="s">
        <v>82</v>
      </c>
    </row>
    <row r="2544" spans="1:26" s="25" customFormat="1" ht="6.95" customHeight="1" x14ac:dyDescent="0.3">
      <c r="A2544" s="165"/>
      <c r="B2544" s="168"/>
      <c r="C2544" s="169"/>
      <c r="D2544" s="160"/>
      <c r="E2544" s="161"/>
      <c r="F2544" s="162"/>
      <c r="G2544" s="163"/>
      <c r="H2544" s="164"/>
      <c r="I2544" s="163"/>
      <c r="J2544" s="164"/>
      <c r="K2544" s="163"/>
      <c r="L2544" s="164"/>
      <c r="M2544" s="11"/>
      <c r="N2544" s="39"/>
      <c r="Q2544" s="15" t="str">
        <f>+CONCATENATE(E2543,I2543)</f>
        <v/>
      </c>
      <c r="R2544" s="15">
        <f>+J2543</f>
        <v>0</v>
      </c>
      <c r="S2544" s="16"/>
      <c r="T2544" s="15">
        <f>+E2543</f>
        <v>0</v>
      </c>
      <c r="U2544" s="26" t="str">
        <f>IFERROR(LEFT(I2543,FIND("*",I2543)-1),"-")</f>
        <v>-</v>
      </c>
      <c r="V2544" s="26" t="str">
        <f>IFERROR(RIGHT(I2543,LEN(I2543)-FIND("*",I2543)),"-")</f>
        <v>-</v>
      </c>
      <c r="W2544" s="27" t="str">
        <f t="shared" ref="W2544:W2551" si="1384">IFERROR((U2544+V2544)*2/1000,"-")</f>
        <v>-</v>
      </c>
      <c r="X2544" s="27" t="str">
        <f>IFERROR(W2544*J2543,"-")</f>
        <v>-</v>
      </c>
      <c r="Z2544" s="94" t="s">
        <v>82</v>
      </c>
    </row>
    <row r="2545" spans="1:26" s="25" customFormat="1" ht="6.95" customHeight="1" x14ac:dyDescent="0.3">
      <c r="A2545" s="165"/>
      <c r="B2545" s="168"/>
      <c r="C2545" s="169"/>
      <c r="D2545" s="160"/>
      <c r="E2545" s="161"/>
      <c r="F2545" s="162"/>
      <c r="G2545" s="163"/>
      <c r="H2545" s="164"/>
      <c r="I2545" s="163"/>
      <c r="J2545" s="164"/>
      <c r="K2545" s="163"/>
      <c r="L2545" s="164"/>
      <c r="M2545" s="11"/>
      <c r="N2545" s="39"/>
      <c r="Q2545" s="15" t="str">
        <f>+CONCATENATE(E2543,K2543)</f>
        <v/>
      </c>
      <c r="R2545" s="15">
        <f>+L2543</f>
        <v>0</v>
      </c>
      <c r="S2545" s="16"/>
      <c r="T2545" s="15">
        <f>+E2543</f>
        <v>0</v>
      </c>
      <c r="U2545" s="26" t="str">
        <f>IFERROR(LEFT(K2543,FIND("*",K2543)-1),"-")</f>
        <v>-</v>
      </c>
      <c r="V2545" s="26" t="str">
        <f>IFERROR(RIGHT(K2543,LEN(K2543)-FIND("*",K2543)),"-")</f>
        <v>-</v>
      </c>
      <c r="W2545" s="27" t="str">
        <f t="shared" si="1384"/>
        <v>-</v>
      </c>
      <c r="X2545" s="27" t="str">
        <f>IFERROR(W2545*L2543,"-")</f>
        <v>-</v>
      </c>
      <c r="Z2545" s="94" t="s">
        <v>82</v>
      </c>
    </row>
    <row r="2546" spans="1:26" s="25" customFormat="1" ht="6.95" customHeight="1" x14ac:dyDescent="0.3">
      <c r="A2546" s="13"/>
      <c r="B2546" s="168"/>
      <c r="C2546" s="169"/>
      <c r="D2546" s="160" t="s">
        <v>39</v>
      </c>
      <c r="E2546" s="161"/>
      <c r="F2546" s="162" t="s">
        <v>40</v>
      </c>
      <c r="G2546" s="163"/>
      <c r="H2546" s="164"/>
      <c r="I2546" s="163"/>
      <c r="J2546" s="164"/>
      <c r="K2546" s="163"/>
      <c r="L2546" s="164"/>
      <c r="M2546" s="11"/>
      <c r="N2546" s="39"/>
      <c r="Q2546" s="15" t="str">
        <f>+CONCATENATE(E2546,G2546)</f>
        <v/>
      </c>
      <c r="R2546" s="15">
        <f>+H2546</f>
        <v>0</v>
      </c>
      <c r="S2546" s="16"/>
      <c r="T2546" s="15">
        <f>+E2546</f>
        <v>0</v>
      </c>
      <c r="U2546" s="26" t="str">
        <f t="shared" ref="U2546" si="1385">IFERROR(LEFT(G2546,FIND("*",G2546)-1),"-")</f>
        <v>-</v>
      </c>
      <c r="V2546" s="26" t="str">
        <f t="shared" ref="V2546" si="1386">IFERROR(RIGHT(G2546,LEN(G2546)-FIND("*",G2546)),"-")</f>
        <v>-</v>
      </c>
      <c r="W2546" s="27" t="str">
        <f t="shared" si="1384"/>
        <v>-</v>
      </c>
      <c r="X2546" s="27" t="str">
        <f>IFERROR(W2546*H2546,"-")</f>
        <v>-</v>
      </c>
      <c r="Z2546" s="94" t="s">
        <v>82</v>
      </c>
    </row>
    <row r="2547" spans="1:26" s="25" customFormat="1" ht="6.95" customHeight="1" x14ac:dyDescent="0.3">
      <c r="A2547" s="10"/>
      <c r="B2547" s="168"/>
      <c r="C2547" s="169"/>
      <c r="D2547" s="160"/>
      <c r="E2547" s="161"/>
      <c r="F2547" s="162"/>
      <c r="G2547" s="163"/>
      <c r="H2547" s="164"/>
      <c r="I2547" s="163"/>
      <c r="J2547" s="164"/>
      <c r="K2547" s="163"/>
      <c r="L2547" s="164"/>
      <c r="M2547" s="11"/>
      <c r="N2547" s="39"/>
      <c r="Q2547" s="15" t="str">
        <f>+CONCATENATE(E2546,I2546)</f>
        <v/>
      </c>
      <c r="R2547" s="15">
        <f>+J2546</f>
        <v>0</v>
      </c>
      <c r="S2547" s="16"/>
      <c r="T2547" s="15">
        <f>+E2546</f>
        <v>0</v>
      </c>
      <c r="U2547" s="26" t="str">
        <f>IFERROR(LEFT(I2546,FIND("*",I2546)-1),"-")</f>
        <v>-</v>
      </c>
      <c r="V2547" s="26" t="str">
        <f>IFERROR(RIGHT(I2546,LEN(I2546)-FIND("*",I2546)),"-")</f>
        <v>-</v>
      </c>
      <c r="W2547" s="27" t="str">
        <f t="shared" si="1384"/>
        <v>-</v>
      </c>
      <c r="X2547" s="27" t="str">
        <f>IFERROR(W2547*J2546,"-")</f>
        <v>-</v>
      </c>
      <c r="Z2547" s="94" t="s">
        <v>82</v>
      </c>
    </row>
    <row r="2548" spans="1:26" s="25" customFormat="1" ht="6.95" customHeight="1" x14ac:dyDescent="0.3">
      <c r="A2548" s="10"/>
      <c r="B2548" s="168"/>
      <c r="C2548" s="169"/>
      <c r="D2548" s="160"/>
      <c r="E2548" s="161"/>
      <c r="F2548" s="162"/>
      <c r="G2548" s="163"/>
      <c r="H2548" s="164"/>
      <c r="I2548" s="163"/>
      <c r="J2548" s="164"/>
      <c r="K2548" s="163"/>
      <c r="L2548" s="164"/>
      <c r="M2548" s="11"/>
      <c r="N2548" s="39"/>
      <c r="Q2548" s="15" t="str">
        <f>+CONCATENATE(E2546,K2546)</f>
        <v/>
      </c>
      <c r="R2548" s="15">
        <f>+L2546</f>
        <v>0</v>
      </c>
      <c r="S2548" s="16"/>
      <c r="T2548" s="15">
        <f>+E2546</f>
        <v>0</v>
      </c>
      <c r="U2548" s="26" t="str">
        <f>IFERROR(LEFT(K2546,FIND("*",K2546)-1),"-")</f>
        <v>-</v>
      </c>
      <c r="V2548" s="26" t="str">
        <f>IFERROR(RIGHT(K2546,LEN(K2546)-FIND("*",K2546)),"-")</f>
        <v>-</v>
      </c>
      <c r="W2548" s="27" t="str">
        <f t="shared" si="1384"/>
        <v>-</v>
      </c>
      <c r="X2548" s="27" t="str">
        <f>IFERROR(W2548*L2546,"-")</f>
        <v>-</v>
      </c>
      <c r="Z2548" s="94" t="s">
        <v>82</v>
      </c>
    </row>
    <row r="2549" spans="1:26" s="25" customFormat="1" ht="6.95" customHeight="1" x14ac:dyDescent="0.3">
      <c r="A2549" s="13"/>
      <c r="B2549" s="168"/>
      <c r="C2549" s="169"/>
      <c r="D2549" s="160" t="s">
        <v>39</v>
      </c>
      <c r="E2549" s="161"/>
      <c r="F2549" s="162" t="s">
        <v>40</v>
      </c>
      <c r="G2549" s="163"/>
      <c r="H2549" s="164"/>
      <c r="I2549" s="163"/>
      <c r="J2549" s="164"/>
      <c r="K2549" s="163"/>
      <c r="L2549" s="164"/>
      <c r="M2549" s="11"/>
      <c r="N2549" s="39"/>
      <c r="Q2549" s="15" t="str">
        <f>+CONCATENATE(E2549,G2549)</f>
        <v/>
      </c>
      <c r="R2549" s="15">
        <f>+H2549</f>
        <v>0</v>
      </c>
      <c r="S2549" s="16"/>
      <c r="T2549" s="15">
        <f>+E2549</f>
        <v>0</v>
      </c>
      <c r="U2549" s="26" t="str">
        <f t="shared" ref="U2549" si="1387">IFERROR(LEFT(G2549,FIND("*",G2549)-1),"-")</f>
        <v>-</v>
      </c>
      <c r="V2549" s="26" t="str">
        <f t="shared" ref="V2549" si="1388">IFERROR(RIGHT(G2549,LEN(G2549)-FIND("*",G2549)),"-")</f>
        <v>-</v>
      </c>
      <c r="W2549" s="27" t="str">
        <f t="shared" si="1384"/>
        <v>-</v>
      </c>
      <c r="X2549" s="27" t="str">
        <f>IFERROR(W2549*H2549,"-")</f>
        <v>-</v>
      </c>
      <c r="Z2549" s="94" t="s">
        <v>82</v>
      </c>
    </row>
    <row r="2550" spans="1:26" s="25" customFormat="1" ht="6.95" customHeight="1" x14ac:dyDescent="0.3">
      <c r="A2550" s="10"/>
      <c r="B2550" s="168"/>
      <c r="C2550" s="169"/>
      <c r="D2550" s="160"/>
      <c r="E2550" s="161"/>
      <c r="F2550" s="162"/>
      <c r="G2550" s="163"/>
      <c r="H2550" s="164"/>
      <c r="I2550" s="163"/>
      <c r="J2550" s="164"/>
      <c r="K2550" s="163"/>
      <c r="L2550" s="164"/>
      <c r="M2550" s="11"/>
      <c r="N2550" s="39"/>
      <c r="Q2550" s="15" t="str">
        <f>+CONCATENATE(E2549,I2549)</f>
        <v/>
      </c>
      <c r="R2550" s="15">
        <f>+J2549</f>
        <v>0</v>
      </c>
      <c r="S2550" s="16"/>
      <c r="T2550" s="15">
        <f>+E2549</f>
        <v>0</v>
      </c>
      <c r="U2550" s="26" t="str">
        <f>IFERROR(LEFT(I2549,FIND("*",I2549)-1),"-")</f>
        <v>-</v>
      </c>
      <c r="V2550" s="26" t="str">
        <f>IFERROR(RIGHT(I2549,LEN(I2549)-FIND("*",I2549)),"-")</f>
        <v>-</v>
      </c>
      <c r="W2550" s="27" t="str">
        <f t="shared" si="1384"/>
        <v>-</v>
      </c>
      <c r="X2550" s="27" t="str">
        <f t="shared" ref="X2550" si="1389">IFERROR(W2550*J2549,"-")</f>
        <v>-</v>
      </c>
      <c r="Z2550" s="94" t="s">
        <v>82</v>
      </c>
    </row>
    <row r="2551" spans="1:26" s="25" customFormat="1" ht="6.95" customHeight="1" x14ac:dyDescent="0.3">
      <c r="A2551" s="10"/>
      <c r="B2551" s="168"/>
      <c r="C2551" s="169"/>
      <c r="D2551" s="160"/>
      <c r="E2551" s="161"/>
      <c r="F2551" s="162"/>
      <c r="G2551" s="163"/>
      <c r="H2551" s="164"/>
      <c r="I2551" s="163"/>
      <c r="J2551" s="164"/>
      <c r="K2551" s="163"/>
      <c r="L2551" s="164"/>
      <c r="M2551" s="11"/>
      <c r="N2551" s="39"/>
      <c r="Q2551" s="15" t="str">
        <f>+CONCATENATE(E2549,K2549)</f>
        <v/>
      </c>
      <c r="R2551" s="15">
        <f>+L2549</f>
        <v>0</v>
      </c>
      <c r="S2551" s="16"/>
      <c r="T2551" s="15">
        <f>+E2549</f>
        <v>0</v>
      </c>
      <c r="U2551" s="26" t="str">
        <f>IFERROR(LEFT(K2549,FIND("*",K2549)-1),"-")</f>
        <v>-</v>
      </c>
      <c r="V2551" s="26" t="str">
        <f>IFERROR(RIGHT(K2549,LEN(K2549)-FIND("*",K2549)),"-")</f>
        <v>-</v>
      </c>
      <c r="W2551" s="27" t="str">
        <f t="shared" si="1384"/>
        <v>-</v>
      </c>
      <c r="X2551" s="27" t="str">
        <f>IFERROR(W2551*L2549,"-")</f>
        <v>-</v>
      </c>
      <c r="Z2551" s="94" t="s">
        <v>82</v>
      </c>
    </row>
    <row r="2552" spans="1:26" s="25" customFormat="1" ht="21" customHeight="1" thickBot="1" x14ac:dyDescent="0.35">
      <c r="A2552" s="10"/>
      <c r="B2552" s="170"/>
      <c r="C2552" s="171"/>
      <c r="D2552" s="172" t="s">
        <v>43</v>
      </c>
      <c r="E2552" s="173"/>
      <c r="F2552" s="173"/>
      <c r="G2552" s="174"/>
      <c r="H2552" s="174"/>
      <c r="I2552" s="174"/>
      <c r="J2552" s="174"/>
      <c r="K2552" s="174"/>
      <c r="L2552" s="174"/>
      <c r="M2552" s="12"/>
      <c r="N2552" s="39"/>
      <c r="U2552" s="23"/>
      <c r="V2552" s="23"/>
      <c r="Z2552" s="95" t="s">
        <v>81</v>
      </c>
    </row>
    <row r="2553" spans="1:26" s="25" customFormat="1" ht="9.9499999999999993" customHeight="1" thickBot="1" x14ac:dyDescent="0.35">
      <c r="A2553" s="6"/>
      <c r="B2553" s="14"/>
      <c r="C2553" s="119"/>
      <c r="D2553" s="58"/>
      <c r="E2553" s="17"/>
      <c r="F2553" s="58"/>
      <c r="G2553" s="19"/>
      <c r="H2553" s="19"/>
      <c r="I2553" s="19"/>
      <c r="J2553" s="19"/>
      <c r="K2553" s="19"/>
      <c r="L2553" s="19"/>
      <c r="M2553" s="14"/>
      <c r="N2553" s="39"/>
      <c r="Q2553" s="1"/>
      <c r="R2553" s="1"/>
      <c r="S2553" s="1"/>
      <c r="T2553" s="1"/>
      <c r="U2553" s="24"/>
      <c r="V2553" s="24"/>
      <c r="W2553" s="1"/>
      <c r="X2553" s="1"/>
      <c r="Z2553" s="94" t="s">
        <v>82</v>
      </c>
    </row>
    <row r="2554" spans="1:26" s="25" customFormat="1" ht="6.95" customHeight="1" x14ac:dyDescent="0.3">
      <c r="A2554" s="165">
        <f>+A2543+1</f>
        <v>233</v>
      </c>
      <c r="B2554" s="166"/>
      <c r="C2554" s="167"/>
      <c r="D2554" s="160" t="s">
        <v>39</v>
      </c>
      <c r="E2554" s="161"/>
      <c r="F2554" s="162" t="s">
        <v>40</v>
      </c>
      <c r="G2554" s="163"/>
      <c r="H2554" s="164"/>
      <c r="I2554" s="163"/>
      <c r="J2554" s="164"/>
      <c r="K2554" s="163"/>
      <c r="L2554" s="164"/>
      <c r="M2554" s="11"/>
      <c r="N2554" s="39"/>
      <c r="Q2554" s="15" t="str">
        <f>+CONCATENATE(E2554,G2554)</f>
        <v/>
      </c>
      <c r="R2554" s="15">
        <f>+H2554</f>
        <v>0</v>
      </c>
      <c r="S2554" s="16"/>
      <c r="T2554" s="15">
        <f>+E2554</f>
        <v>0</v>
      </c>
      <c r="U2554" s="26" t="str">
        <f>IFERROR(LEFT(G2554,FIND("*",G2554)-1),"-")</f>
        <v>-</v>
      </c>
      <c r="V2554" s="26" t="str">
        <f>IFERROR(RIGHT(G2554,LEN(G2554)-FIND("*",G2554)),"-")</f>
        <v>-</v>
      </c>
      <c r="W2554" s="27" t="str">
        <f>IFERROR((U2554+V2554)*2/1000,"-")</f>
        <v>-</v>
      </c>
      <c r="X2554" s="27" t="str">
        <f>IFERROR(W2554*H2554,"-")</f>
        <v>-</v>
      </c>
      <c r="Z2554" s="94" t="s">
        <v>82</v>
      </c>
    </row>
    <row r="2555" spans="1:26" s="25" customFormat="1" ht="6.95" customHeight="1" x14ac:dyDescent="0.3">
      <c r="A2555" s="165"/>
      <c r="B2555" s="168"/>
      <c r="C2555" s="169"/>
      <c r="D2555" s="160"/>
      <c r="E2555" s="161"/>
      <c r="F2555" s="162"/>
      <c r="G2555" s="163"/>
      <c r="H2555" s="164"/>
      <c r="I2555" s="163"/>
      <c r="J2555" s="164"/>
      <c r="K2555" s="163"/>
      <c r="L2555" s="164"/>
      <c r="M2555" s="11"/>
      <c r="N2555" s="39"/>
      <c r="Q2555" s="15" t="str">
        <f>+CONCATENATE(E2554,I2554)</f>
        <v/>
      </c>
      <c r="R2555" s="15">
        <f>+J2554</f>
        <v>0</v>
      </c>
      <c r="S2555" s="16"/>
      <c r="T2555" s="15">
        <f>+E2554</f>
        <v>0</v>
      </c>
      <c r="U2555" s="26" t="str">
        <f>IFERROR(LEFT(I2554,FIND("*",I2554)-1),"-")</f>
        <v>-</v>
      </c>
      <c r="V2555" s="26" t="str">
        <f>IFERROR(RIGHT(I2554,LEN(I2554)-FIND("*",I2554)),"-")</f>
        <v>-</v>
      </c>
      <c r="W2555" s="27" t="str">
        <f t="shared" ref="W2555:W2562" si="1390">IFERROR((U2555+V2555)*2/1000,"-")</f>
        <v>-</v>
      </c>
      <c r="X2555" s="27" t="str">
        <f>IFERROR(W2555*J2554,"-")</f>
        <v>-</v>
      </c>
      <c r="Z2555" s="94" t="s">
        <v>82</v>
      </c>
    </row>
    <row r="2556" spans="1:26" s="25" customFormat="1" ht="6.95" customHeight="1" x14ac:dyDescent="0.3">
      <c r="A2556" s="165"/>
      <c r="B2556" s="168"/>
      <c r="C2556" s="169"/>
      <c r="D2556" s="160"/>
      <c r="E2556" s="161"/>
      <c r="F2556" s="162"/>
      <c r="G2556" s="163"/>
      <c r="H2556" s="164"/>
      <c r="I2556" s="163"/>
      <c r="J2556" s="164"/>
      <c r="K2556" s="163"/>
      <c r="L2556" s="164"/>
      <c r="M2556" s="11"/>
      <c r="N2556" s="39"/>
      <c r="Q2556" s="15" t="str">
        <f>+CONCATENATE(E2554,K2554)</f>
        <v/>
      </c>
      <c r="R2556" s="15">
        <f>+L2554</f>
        <v>0</v>
      </c>
      <c r="S2556" s="16"/>
      <c r="T2556" s="15">
        <f>+E2554</f>
        <v>0</v>
      </c>
      <c r="U2556" s="26" t="str">
        <f>IFERROR(LEFT(K2554,FIND("*",K2554)-1),"-")</f>
        <v>-</v>
      </c>
      <c r="V2556" s="26" t="str">
        <f>IFERROR(RIGHT(K2554,LEN(K2554)-FIND("*",K2554)),"-")</f>
        <v>-</v>
      </c>
      <c r="W2556" s="27" t="str">
        <f t="shared" si="1390"/>
        <v>-</v>
      </c>
      <c r="X2556" s="27" t="str">
        <f>IFERROR(W2556*L2554,"-")</f>
        <v>-</v>
      </c>
      <c r="Z2556" s="94" t="s">
        <v>82</v>
      </c>
    </row>
    <row r="2557" spans="1:26" s="25" customFormat="1" ht="6.95" customHeight="1" x14ac:dyDescent="0.3">
      <c r="A2557" s="13"/>
      <c r="B2557" s="168"/>
      <c r="C2557" s="169"/>
      <c r="D2557" s="160" t="s">
        <v>39</v>
      </c>
      <c r="E2557" s="161"/>
      <c r="F2557" s="162" t="s">
        <v>40</v>
      </c>
      <c r="G2557" s="163"/>
      <c r="H2557" s="164"/>
      <c r="I2557" s="163"/>
      <c r="J2557" s="164"/>
      <c r="K2557" s="163"/>
      <c r="L2557" s="164"/>
      <c r="M2557" s="11"/>
      <c r="N2557" s="39"/>
      <c r="Q2557" s="15" t="str">
        <f>+CONCATENATE(E2557,G2557)</f>
        <v/>
      </c>
      <c r="R2557" s="15">
        <f>+H2557</f>
        <v>0</v>
      </c>
      <c r="S2557" s="16"/>
      <c r="T2557" s="15">
        <f>+E2557</f>
        <v>0</v>
      </c>
      <c r="U2557" s="26" t="str">
        <f t="shared" ref="U2557" si="1391">IFERROR(LEFT(G2557,FIND("*",G2557)-1),"-")</f>
        <v>-</v>
      </c>
      <c r="V2557" s="26" t="str">
        <f t="shared" ref="V2557" si="1392">IFERROR(RIGHT(G2557,LEN(G2557)-FIND("*",G2557)),"-")</f>
        <v>-</v>
      </c>
      <c r="W2557" s="27" t="str">
        <f t="shared" si="1390"/>
        <v>-</v>
      </c>
      <c r="X2557" s="27" t="str">
        <f>IFERROR(W2557*H2557,"-")</f>
        <v>-</v>
      </c>
      <c r="Z2557" s="94" t="s">
        <v>82</v>
      </c>
    </row>
    <row r="2558" spans="1:26" s="25" customFormat="1" ht="6.95" customHeight="1" x14ac:dyDescent="0.3">
      <c r="A2558" s="10"/>
      <c r="B2558" s="168"/>
      <c r="C2558" s="169"/>
      <c r="D2558" s="160"/>
      <c r="E2558" s="161"/>
      <c r="F2558" s="162"/>
      <c r="G2558" s="163"/>
      <c r="H2558" s="164"/>
      <c r="I2558" s="163"/>
      <c r="J2558" s="164"/>
      <c r="K2558" s="163"/>
      <c r="L2558" s="164"/>
      <c r="M2558" s="11"/>
      <c r="N2558" s="39"/>
      <c r="Q2558" s="15" t="str">
        <f>+CONCATENATE(E2557,I2557)</f>
        <v/>
      </c>
      <c r="R2558" s="15">
        <f>+J2557</f>
        <v>0</v>
      </c>
      <c r="S2558" s="16"/>
      <c r="T2558" s="15">
        <f>+E2557</f>
        <v>0</v>
      </c>
      <c r="U2558" s="26" t="str">
        <f>IFERROR(LEFT(I2557,FIND("*",I2557)-1),"-")</f>
        <v>-</v>
      </c>
      <c r="V2558" s="26" t="str">
        <f>IFERROR(RIGHT(I2557,LEN(I2557)-FIND("*",I2557)),"-")</f>
        <v>-</v>
      </c>
      <c r="W2558" s="27" t="str">
        <f t="shared" si="1390"/>
        <v>-</v>
      </c>
      <c r="X2558" s="27" t="str">
        <f>IFERROR(W2558*J2557,"-")</f>
        <v>-</v>
      </c>
      <c r="Z2558" s="94" t="s">
        <v>82</v>
      </c>
    </row>
    <row r="2559" spans="1:26" s="25" customFormat="1" ht="6.95" customHeight="1" x14ac:dyDescent="0.3">
      <c r="A2559" s="10"/>
      <c r="B2559" s="168"/>
      <c r="C2559" s="169"/>
      <c r="D2559" s="160"/>
      <c r="E2559" s="161"/>
      <c r="F2559" s="162"/>
      <c r="G2559" s="163"/>
      <c r="H2559" s="164"/>
      <c r="I2559" s="163"/>
      <c r="J2559" s="164"/>
      <c r="K2559" s="163"/>
      <c r="L2559" s="164"/>
      <c r="M2559" s="11"/>
      <c r="N2559" s="39"/>
      <c r="Q2559" s="15" t="str">
        <f>+CONCATENATE(E2557,K2557)</f>
        <v/>
      </c>
      <c r="R2559" s="15">
        <f>+L2557</f>
        <v>0</v>
      </c>
      <c r="S2559" s="16"/>
      <c r="T2559" s="15">
        <f>+E2557</f>
        <v>0</v>
      </c>
      <c r="U2559" s="26" t="str">
        <f>IFERROR(LEFT(K2557,FIND("*",K2557)-1),"-")</f>
        <v>-</v>
      </c>
      <c r="V2559" s="26" t="str">
        <f>IFERROR(RIGHT(K2557,LEN(K2557)-FIND("*",K2557)),"-")</f>
        <v>-</v>
      </c>
      <c r="W2559" s="27" t="str">
        <f t="shared" si="1390"/>
        <v>-</v>
      </c>
      <c r="X2559" s="27" t="str">
        <f>IFERROR(W2559*L2557,"-")</f>
        <v>-</v>
      </c>
      <c r="Z2559" s="94" t="s">
        <v>82</v>
      </c>
    </row>
    <row r="2560" spans="1:26" s="25" customFormat="1" ht="6.95" customHeight="1" x14ac:dyDescent="0.3">
      <c r="A2560" s="13"/>
      <c r="B2560" s="168"/>
      <c r="C2560" s="169"/>
      <c r="D2560" s="160" t="s">
        <v>39</v>
      </c>
      <c r="E2560" s="161"/>
      <c r="F2560" s="162" t="s">
        <v>40</v>
      </c>
      <c r="G2560" s="163"/>
      <c r="H2560" s="164"/>
      <c r="I2560" s="163"/>
      <c r="J2560" s="164"/>
      <c r="K2560" s="163"/>
      <c r="L2560" s="164"/>
      <c r="M2560" s="11"/>
      <c r="N2560" s="39"/>
      <c r="Q2560" s="15" t="str">
        <f>+CONCATENATE(E2560,G2560)</f>
        <v/>
      </c>
      <c r="R2560" s="15">
        <f>+H2560</f>
        <v>0</v>
      </c>
      <c r="S2560" s="16"/>
      <c r="T2560" s="15">
        <f>+E2560</f>
        <v>0</v>
      </c>
      <c r="U2560" s="26" t="str">
        <f t="shared" ref="U2560" si="1393">IFERROR(LEFT(G2560,FIND("*",G2560)-1),"-")</f>
        <v>-</v>
      </c>
      <c r="V2560" s="26" t="str">
        <f t="shared" ref="V2560" si="1394">IFERROR(RIGHT(G2560,LEN(G2560)-FIND("*",G2560)),"-")</f>
        <v>-</v>
      </c>
      <c r="W2560" s="27" t="str">
        <f t="shared" si="1390"/>
        <v>-</v>
      </c>
      <c r="X2560" s="27" t="str">
        <f>IFERROR(W2560*H2560,"-")</f>
        <v>-</v>
      </c>
      <c r="Z2560" s="94" t="s">
        <v>82</v>
      </c>
    </row>
    <row r="2561" spans="1:26" s="25" customFormat="1" ht="6.95" customHeight="1" x14ac:dyDescent="0.3">
      <c r="A2561" s="10"/>
      <c r="B2561" s="168"/>
      <c r="C2561" s="169"/>
      <c r="D2561" s="160"/>
      <c r="E2561" s="161"/>
      <c r="F2561" s="162"/>
      <c r="G2561" s="163"/>
      <c r="H2561" s="164"/>
      <c r="I2561" s="163"/>
      <c r="J2561" s="164"/>
      <c r="K2561" s="163"/>
      <c r="L2561" s="164"/>
      <c r="M2561" s="11"/>
      <c r="N2561" s="39"/>
      <c r="Q2561" s="15" t="str">
        <f>+CONCATENATE(E2560,I2560)</f>
        <v/>
      </c>
      <c r="R2561" s="15">
        <f>+J2560</f>
        <v>0</v>
      </c>
      <c r="S2561" s="16"/>
      <c r="T2561" s="15">
        <f>+E2560</f>
        <v>0</v>
      </c>
      <c r="U2561" s="26" t="str">
        <f>IFERROR(LEFT(I2560,FIND("*",I2560)-1),"-")</f>
        <v>-</v>
      </c>
      <c r="V2561" s="26" t="str">
        <f>IFERROR(RIGHT(I2560,LEN(I2560)-FIND("*",I2560)),"-")</f>
        <v>-</v>
      </c>
      <c r="W2561" s="27" t="str">
        <f t="shared" si="1390"/>
        <v>-</v>
      </c>
      <c r="X2561" s="27" t="str">
        <f t="shared" ref="X2561" si="1395">IFERROR(W2561*J2560,"-")</f>
        <v>-</v>
      </c>
      <c r="Z2561" s="94" t="s">
        <v>82</v>
      </c>
    </row>
    <row r="2562" spans="1:26" s="25" customFormat="1" ht="6.95" customHeight="1" x14ac:dyDescent="0.3">
      <c r="A2562" s="10"/>
      <c r="B2562" s="168"/>
      <c r="C2562" s="169"/>
      <c r="D2562" s="160"/>
      <c r="E2562" s="161"/>
      <c r="F2562" s="162"/>
      <c r="G2562" s="163"/>
      <c r="H2562" s="164"/>
      <c r="I2562" s="163"/>
      <c r="J2562" s="164"/>
      <c r="K2562" s="163"/>
      <c r="L2562" s="164"/>
      <c r="M2562" s="11"/>
      <c r="N2562" s="39"/>
      <c r="Q2562" s="15" t="str">
        <f>+CONCATENATE(E2560,K2560)</f>
        <v/>
      </c>
      <c r="R2562" s="15">
        <f>+L2560</f>
        <v>0</v>
      </c>
      <c r="S2562" s="16"/>
      <c r="T2562" s="15">
        <f>+E2560</f>
        <v>0</v>
      </c>
      <c r="U2562" s="26" t="str">
        <f>IFERROR(LEFT(K2560,FIND("*",K2560)-1),"-")</f>
        <v>-</v>
      </c>
      <c r="V2562" s="26" t="str">
        <f>IFERROR(RIGHT(K2560,LEN(K2560)-FIND("*",K2560)),"-")</f>
        <v>-</v>
      </c>
      <c r="W2562" s="27" t="str">
        <f t="shared" si="1390"/>
        <v>-</v>
      </c>
      <c r="X2562" s="27" t="str">
        <f>IFERROR(W2562*L2560,"-")</f>
        <v>-</v>
      </c>
      <c r="Z2562" s="94" t="s">
        <v>82</v>
      </c>
    </row>
    <row r="2563" spans="1:26" s="25" customFormat="1" ht="21" customHeight="1" thickBot="1" x14ac:dyDescent="0.35">
      <c r="A2563" s="10"/>
      <c r="B2563" s="170"/>
      <c r="C2563" s="171"/>
      <c r="D2563" s="172" t="s">
        <v>43</v>
      </c>
      <c r="E2563" s="173"/>
      <c r="F2563" s="173"/>
      <c r="G2563" s="174"/>
      <c r="H2563" s="174"/>
      <c r="I2563" s="174"/>
      <c r="J2563" s="174"/>
      <c r="K2563" s="174"/>
      <c r="L2563" s="174"/>
      <c r="M2563" s="12"/>
      <c r="N2563" s="39"/>
      <c r="U2563" s="23"/>
      <c r="V2563" s="23"/>
      <c r="Z2563" s="95" t="s">
        <v>81</v>
      </c>
    </row>
    <row r="2564" spans="1:26" s="25" customFormat="1" ht="9.9499999999999993" customHeight="1" thickBot="1" x14ac:dyDescent="0.35">
      <c r="A2564" s="6"/>
      <c r="B2564" s="14"/>
      <c r="C2564" s="119"/>
      <c r="D2564" s="58"/>
      <c r="E2564" s="17"/>
      <c r="F2564" s="58"/>
      <c r="G2564" s="19"/>
      <c r="H2564" s="19"/>
      <c r="I2564" s="19"/>
      <c r="J2564" s="19"/>
      <c r="K2564" s="19"/>
      <c r="L2564" s="19"/>
      <c r="M2564" s="14"/>
      <c r="N2564" s="39"/>
      <c r="Q2564" s="1"/>
      <c r="R2564" s="1"/>
      <c r="S2564" s="1"/>
      <c r="T2564" s="1"/>
      <c r="U2564" s="24"/>
      <c r="V2564" s="24"/>
      <c r="W2564" s="1"/>
      <c r="X2564" s="1"/>
      <c r="Z2564" s="94" t="s">
        <v>82</v>
      </c>
    </row>
    <row r="2565" spans="1:26" s="25" customFormat="1" ht="6.95" customHeight="1" x14ac:dyDescent="0.3">
      <c r="A2565" s="165">
        <f>+A2554+1</f>
        <v>234</v>
      </c>
      <c r="B2565" s="166"/>
      <c r="C2565" s="167"/>
      <c r="D2565" s="160" t="s">
        <v>39</v>
      </c>
      <c r="E2565" s="161"/>
      <c r="F2565" s="162" t="s">
        <v>40</v>
      </c>
      <c r="G2565" s="163"/>
      <c r="H2565" s="164"/>
      <c r="I2565" s="163"/>
      <c r="J2565" s="164"/>
      <c r="K2565" s="163"/>
      <c r="L2565" s="164"/>
      <c r="M2565" s="11"/>
      <c r="N2565" s="39"/>
      <c r="Q2565" s="15" t="str">
        <f>+CONCATENATE(E2565,G2565)</f>
        <v/>
      </c>
      <c r="R2565" s="15">
        <f>+H2565</f>
        <v>0</v>
      </c>
      <c r="S2565" s="16"/>
      <c r="T2565" s="15">
        <f>+E2565</f>
        <v>0</v>
      </c>
      <c r="U2565" s="26" t="str">
        <f>IFERROR(LEFT(G2565,FIND("*",G2565)-1),"-")</f>
        <v>-</v>
      </c>
      <c r="V2565" s="26" t="str">
        <f>IFERROR(RIGHT(G2565,LEN(G2565)-FIND("*",G2565)),"-")</f>
        <v>-</v>
      </c>
      <c r="W2565" s="27" t="str">
        <f>IFERROR((U2565+V2565)*2/1000,"-")</f>
        <v>-</v>
      </c>
      <c r="X2565" s="27" t="str">
        <f>IFERROR(W2565*H2565,"-")</f>
        <v>-</v>
      </c>
      <c r="Z2565" s="94" t="s">
        <v>82</v>
      </c>
    </row>
    <row r="2566" spans="1:26" s="25" customFormat="1" ht="6.95" customHeight="1" x14ac:dyDescent="0.3">
      <c r="A2566" s="165"/>
      <c r="B2566" s="168"/>
      <c r="C2566" s="169"/>
      <c r="D2566" s="160"/>
      <c r="E2566" s="161"/>
      <c r="F2566" s="162"/>
      <c r="G2566" s="163"/>
      <c r="H2566" s="164"/>
      <c r="I2566" s="163"/>
      <c r="J2566" s="164"/>
      <c r="K2566" s="163"/>
      <c r="L2566" s="164"/>
      <c r="M2566" s="11"/>
      <c r="N2566" s="39"/>
      <c r="Q2566" s="15" t="str">
        <f>+CONCATENATE(E2565,I2565)</f>
        <v/>
      </c>
      <c r="R2566" s="15">
        <f>+J2565</f>
        <v>0</v>
      </c>
      <c r="S2566" s="16"/>
      <c r="T2566" s="15">
        <f>+E2565</f>
        <v>0</v>
      </c>
      <c r="U2566" s="26" t="str">
        <f>IFERROR(LEFT(I2565,FIND("*",I2565)-1),"-")</f>
        <v>-</v>
      </c>
      <c r="V2566" s="26" t="str">
        <f>IFERROR(RIGHT(I2565,LEN(I2565)-FIND("*",I2565)),"-")</f>
        <v>-</v>
      </c>
      <c r="W2566" s="27" t="str">
        <f t="shared" ref="W2566:W2573" si="1396">IFERROR((U2566+V2566)*2/1000,"-")</f>
        <v>-</v>
      </c>
      <c r="X2566" s="27" t="str">
        <f>IFERROR(W2566*J2565,"-")</f>
        <v>-</v>
      </c>
      <c r="Z2566" s="94" t="s">
        <v>82</v>
      </c>
    </row>
    <row r="2567" spans="1:26" s="25" customFormat="1" ht="6.95" customHeight="1" x14ac:dyDescent="0.3">
      <c r="A2567" s="165"/>
      <c r="B2567" s="168"/>
      <c r="C2567" s="169"/>
      <c r="D2567" s="160"/>
      <c r="E2567" s="161"/>
      <c r="F2567" s="162"/>
      <c r="G2567" s="163"/>
      <c r="H2567" s="164"/>
      <c r="I2567" s="163"/>
      <c r="J2567" s="164"/>
      <c r="K2567" s="163"/>
      <c r="L2567" s="164"/>
      <c r="M2567" s="11"/>
      <c r="N2567" s="39"/>
      <c r="Q2567" s="15" t="str">
        <f>+CONCATENATE(E2565,K2565)</f>
        <v/>
      </c>
      <c r="R2567" s="15">
        <f>+L2565</f>
        <v>0</v>
      </c>
      <c r="S2567" s="16"/>
      <c r="T2567" s="15">
        <f>+E2565</f>
        <v>0</v>
      </c>
      <c r="U2567" s="26" t="str">
        <f>IFERROR(LEFT(K2565,FIND("*",K2565)-1),"-")</f>
        <v>-</v>
      </c>
      <c r="V2567" s="26" t="str">
        <f>IFERROR(RIGHT(K2565,LEN(K2565)-FIND("*",K2565)),"-")</f>
        <v>-</v>
      </c>
      <c r="W2567" s="27" t="str">
        <f t="shared" si="1396"/>
        <v>-</v>
      </c>
      <c r="X2567" s="27" t="str">
        <f>IFERROR(W2567*L2565,"-")</f>
        <v>-</v>
      </c>
      <c r="Z2567" s="94" t="s">
        <v>82</v>
      </c>
    </row>
    <row r="2568" spans="1:26" s="25" customFormat="1" ht="6.95" customHeight="1" x14ac:dyDescent="0.3">
      <c r="A2568" s="13"/>
      <c r="B2568" s="168"/>
      <c r="C2568" s="169"/>
      <c r="D2568" s="160" t="s">
        <v>39</v>
      </c>
      <c r="E2568" s="161"/>
      <c r="F2568" s="162" t="s">
        <v>40</v>
      </c>
      <c r="G2568" s="163"/>
      <c r="H2568" s="164"/>
      <c r="I2568" s="163"/>
      <c r="J2568" s="164"/>
      <c r="K2568" s="163"/>
      <c r="L2568" s="164"/>
      <c r="M2568" s="11"/>
      <c r="N2568" s="39"/>
      <c r="Q2568" s="15" t="str">
        <f>+CONCATENATE(E2568,G2568)</f>
        <v/>
      </c>
      <c r="R2568" s="15">
        <f>+H2568</f>
        <v>0</v>
      </c>
      <c r="S2568" s="16"/>
      <c r="T2568" s="15">
        <f>+E2568</f>
        <v>0</v>
      </c>
      <c r="U2568" s="26" t="str">
        <f t="shared" ref="U2568" si="1397">IFERROR(LEFT(G2568,FIND("*",G2568)-1),"-")</f>
        <v>-</v>
      </c>
      <c r="V2568" s="26" t="str">
        <f t="shared" ref="V2568" si="1398">IFERROR(RIGHT(G2568,LEN(G2568)-FIND("*",G2568)),"-")</f>
        <v>-</v>
      </c>
      <c r="W2568" s="27" t="str">
        <f t="shared" si="1396"/>
        <v>-</v>
      </c>
      <c r="X2568" s="27" t="str">
        <f>IFERROR(W2568*H2568,"-")</f>
        <v>-</v>
      </c>
      <c r="Z2568" s="94" t="s">
        <v>82</v>
      </c>
    </row>
    <row r="2569" spans="1:26" s="25" customFormat="1" ht="6.95" customHeight="1" x14ac:dyDescent="0.3">
      <c r="A2569" s="10"/>
      <c r="B2569" s="168"/>
      <c r="C2569" s="169"/>
      <c r="D2569" s="160"/>
      <c r="E2569" s="161"/>
      <c r="F2569" s="162"/>
      <c r="G2569" s="163"/>
      <c r="H2569" s="164"/>
      <c r="I2569" s="163"/>
      <c r="J2569" s="164"/>
      <c r="K2569" s="163"/>
      <c r="L2569" s="164"/>
      <c r="M2569" s="11"/>
      <c r="N2569" s="39"/>
      <c r="Q2569" s="15" t="str">
        <f>+CONCATENATE(E2568,I2568)</f>
        <v/>
      </c>
      <c r="R2569" s="15">
        <f>+J2568</f>
        <v>0</v>
      </c>
      <c r="S2569" s="16"/>
      <c r="T2569" s="15">
        <f>+E2568</f>
        <v>0</v>
      </c>
      <c r="U2569" s="26" t="str">
        <f>IFERROR(LEFT(I2568,FIND("*",I2568)-1),"-")</f>
        <v>-</v>
      </c>
      <c r="V2569" s="26" t="str">
        <f>IFERROR(RIGHT(I2568,LEN(I2568)-FIND("*",I2568)),"-")</f>
        <v>-</v>
      </c>
      <c r="W2569" s="27" t="str">
        <f t="shared" si="1396"/>
        <v>-</v>
      </c>
      <c r="X2569" s="27" t="str">
        <f>IFERROR(W2569*J2568,"-")</f>
        <v>-</v>
      </c>
      <c r="Z2569" s="94" t="s">
        <v>82</v>
      </c>
    </row>
    <row r="2570" spans="1:26" s="25" customFormat="1" ht="6.95" customHeight="1" x14ac:dyDescent="0.3">
      <c r="A2570" s="10"/>
      <c r="B2570" s="168"/>
      <c r="C2570" s="169"/>
      <c r="D2570" s="160"/>
      <c r="E2570" s="161"/>
      <c r="F2570" s="162"/>
      <c r="G2570" s="163"/>
      <c r="H2570" s="164"/>
      <c r="I2570" s="163"/>
      <c r="J2570" s="164"/>
      <c r="K2570" s="163"/>
      <c r="L2570" s="164"/>
      <c r="M2570" s="11"/>
      <c r="N2570" s="39"/>
      <c r="Q2570" s="15" t="str">
        <f>+CONCATENATE(E2568,K2568)</f>
        <v/>
      </c>
      <c r="R2570" s="15">
        <f>+L2568</f>
        <v>0</v>
      </c>
      <c r="S2570" s="16"/>
      <c r="T2570" s="15">
        <f>+E2568</f>
        <v>0</v>
      </c>
      <c r="U2570" s="26" t="str">
        <f>IFERROR(LEFT(K2568,FIND("*",K2568)-1),"-")</f>
        <v>-</v>
      </c>
      <c r="V2570" s="26" t="str">
        <f>IFERROR(RIGHT(K2568,LEN(K2568)-FIND("*",K2568)),"-")</f>
        <v>-</v>
      </c>
      <c r="W2570" s="27" t="str">
        <f t="shared" si="1396"/>
        <v>-</v>
      </c>
      <c r="X2570" s="27" t="str">
        <f>IFERROR(W2570*L2568,"-")</f>
        <v>-</v>
      </c>
      <c r="Z2570" s="94" t="s">
        <v>82</v>
      </c>
    </row>
    <row r="2571" spans="1:26" s="25" customFormat="1" ht="6.95" customHeight="1" x14ac:dyDescent="0.3">
      <c r="A2571" s="13"/>
      <c r="B2571" s="168"/>
      <c r="C2571" s="169"/>
      <c r="D2571" s="160" t="s">
        <v>39</v>
      </c>
      <c r="E2571" s="161"/>
      <c r="F2571" s="162" t="s">
        <v>40</v>
      </c>
      <c r="G2571" s="163"/>
      <c r="H2571" s="164"/>
      <c r="I2571" s="163"/>
      <c r="J2571" s="164"/>
      <c r="K2571" s="163"/>
      <c r="L2571" s="164"/>
      <c r="M2571" s="11"/>
      <c r="N2571" s="39"/>
      <c r="Q2571" s="15" t="str">
        <f>+CONCATENATE(E2571,G2571)</f>
        <v/>
      </c>
      <c r="R2571" s="15">
        <f>+H2571</f>
        <v>0</v>
      </c>
      <c r="S2571" s="16"/>
      <c r="T2571" s="15">
        <f>+E2571</f>
        <v>0</v>
      </c>
      <c r="U2571" s="26" t="str">
        <f t="shared" ref="U2571" si="1399">IFERROR(LEFT(G2571,FIND("*",G2571)-1),"-")</f>
        <v>-</v>
      </c>
      <c r="V2571" s="26" t="str">
        <f t="shared" ref="V2571" si="1400">IFERROR(RIGHT(G2571,LEN(G2571)-FIND("*",G2571)),"-")</f>
        <v>-</v>
      </c>
      <c r="W2571" s="27" t="str">
        <f t="shared" si="1396"/>
        <v>-</v>
      </c>
      <c r="X2571" s="27" t="str">
        <f>IFERROR(W2571*H2571,"-")</f>
        <v>-</v>
      </c>
      <c r="Z2571" s="94" t="s">
        <v>82</v>
      </c>
    </row>
    <row r="2572" spans="1:26" s="25" customFormat="1" ht="6.95" customHeight="1" x14ac:dyDescent="0.3">
      <c r="A2572" s="10"/>
      <c r="B2572" s="168"/>
      <c r="C2572" s="169"/>
      <c r="D2572" s="160"/>
      <c r="E2572" s="161"/>
      <c r="F2572" s="162"/>
      <c r="G2572" s="163"/>
      <c r="H2572" s="164"/>
      <c r="I2572" s="163"/>
      <c r="J2572" s="164"/>
      <c r="K2572" s="163"/>
      <c r="L2572" s="164"/>
      <c r="M2572" s="11"/>
      <c r="N2572" s="39"/>
      <c r="Q2572" s="15" t="str">
        <f>+CONCATENATE(E2571,I2571)</f>
        <v/>
      </c>
      <c r="R2572" s="15">
        <f>+J2571</f>
        <v>0</v>
      </c>
      <c r="S2572" s="16"/>
      <c r="T2572" s="15">
        <f>+E2571</f>
        <v>0</v>
      </c>
      <c r="U2572" s="26" t="str">
        <f>IFERROR(LEFT(I2571,FIND("*",I2571)-1),"-")</f>
        <v>-</v>
      </c>
      <c r="V2572" s="26" t="str">
        <f>IFERROR(RIGHT(I2571,LEN(I2571)-FIND("*",I2571)),"-")</f>
        <v>-</v>
      </c>
      <c r="W2572" s="27" t="str">
        <f t="shared" si="1396"/>
        <v>-</v>
      </c>
      <c r="X2572" s="27" t="str">
        <f t="shared" ref="X2572" si="1401">IFERROR(W2572*J2571,"-")</f>
        <v>-</v>
      </c>
      <c r="Z2572" s="94" t="s">
        <v>82</v>
      </c>
    </row>
    <row r="2573" spans="1:26" s="25" customFormat="1" ht="6.95" customHeight="1" x14ac:dyDescent="0.3">
      <c r="A2573" s="10"/>
      <c r="B2573" s="168"/>
      <c r="C2573" s="169"/>
      <c r="D2573" s="160"/>
      <c r="E2573" s="161"/>
      <c r="F2573" s="162"/>
      <c r="G2573" s="163"/>
      <c r="H2573" s="164"/>
      <c r="I2573" s="163"/>
      <c r="J2573" s="164"/>
      <c r="K2573" s="163"/>
      <c r="L2573" s="164"/>
      <c r="M2573" s="11"/>
      <c r="N2573" s="39"/>
      <c r="Q2573" s="15" t="str">
        <f>+CONCATENATE(E2571,K2571)</f>
        <v/>
      </c>
      <c r="R2573" s="15">
        <f>+L2571</f>
        <v>0</v>
      </c>
      <c r="S2573" s="16"/>
      <c r="T2573" s="15">
        <f>+E2571</f>
        <v>0</v>
      </c>
      <c r="U2573" s="26" t="str">
        <f>IFERROR(LEFT(K2571,FIND("*",K2571)-1),"-")</f>
        <v>-</v>
      </c>
      <c r="V2573" s="26" t="str">
        <f>IFERROR(RIGHT(K2571,LEN(K2571)-FIND("*",K2571)),"-")</f>
        <v>-</v>
      </c>
      <c r="W2573" s="27" t="str">
        <f t="shared" si="1396"/>
        <v>-</v>
      </c>
      <c r="X2573" s="27" t="str">
        <f>IFERROR(W2573*L2571,"-")</f>
        <v>-</v>
      </c>
      <c r="Z2573" s="94" t="s">
        <v>82</v>
      </c>
    </row>
    <row r="2574" spans="1:26" s="25" customFormat="1" ht="21" customHeight="1" thickBot="1" x14ac:dyDescent="0.35">
      <c r="A2574" s="10"/>
      <c r="B2574" s="170"/>
      <c r="C2574" s="171"/>
      <c r="D2574" s="172" t="s">
        <v>43</v>
      </c>
      <c r="E2574" s="173"/>
      <c r="F2574" s="173"/>
      <c r="G2574" s="174"/>
      <c r="H2574" s="174"/>
      <c r="I2574" s="174"/>
      <c r="J2574" s="174"/>
      <c r="K2574" s="174"/>
      <c r="L2574" s="174"/>
      <c r="M2574" s="12"/>
      <c r="N2574" s="39"/>
      <c r="U2574" s="23"/>
      <c r="V2574" s="23"/>
      <c r="Z2574" s="95" t="s">
        <v>81</v>
      </c>
    </row>
    <row r="2575" spans="1:26" s="25" customFormat="1" ht="9.9499999999999993" customHeight="1" thickBot="1" x14ac:dyDescent="0.35">
      <c r="A2575" s="6"/>
      <c r="B2575" s="14"/>
      <c r="C2575" s="119"/>
      <c r="D2575" s="58"/>
      <c r="E2575" s="17"/>
      <c r="F2575" s="58"/>
      <c r="G2575" s="19"/>
      <c r="H2575" s="19"/>
      <c r="I2575" s="19"/>
      <c r="J2575" s="19"/>
      <c r="K2575" s="19"/>
      <c r="L2575" s="19"/>
      <c r="M2575" s="14"/>
      <c r="N2575" s="39"/>
      <c r="Q2575" s="1"/>
      <c r="R2575" s="1"/>
      <c r="S2575" s="1"/>
      <c r="T2575" s="1"/>
      <c r="U2575" s="24"/>
      <c r="V2575" s="24"/>
      <c r="W2575" s="1"/>
      <c r="X2575" s="1"/>
      <c r="Z2575" s="94" t="s">
        <v>82</v>
      </c>
    </row>
    <row r="2576" spans="1:26" s="25" customFormat="1" ht="6.95" customHeight="1" x14ac:dyDescent="0.3">
      <c r="A2576" s="165">
        <f>+A2565+1</f>
        <v>235</v>
      </c>
      <c r="B2576" s="166"/>
      <c r="C2576" s="167"/>
      <c r="D2576" s="160" t="s">
        <v>39</v>
      </c>
      <c r="E2576" s="161"/>
      <c r="F2576" s="162" t="s">
        <v>40</v>
      </c>
      <c r="G2576" s="163"/>
      <c r="H2576" s="164"/>
      <c r="I2576" s="163"/>
      <c r="J2576" s="164"/>
      <c r="K2576" s="163"/>
      <c r="L2576" s="164"/>
      <c r="M2576" s="11"/>
      <c r="N2576" s="39"/>
      <c r="Q2576" s="15" t="str">
        <f>+CONCATENATE(E2576,G2576)</f>
        <v/>
      </c>
      <c r="R2576" s="15">
        <f>+H2576</f>
        <v>0</v>
      </c>
      <c r="S2576" s="16"/>
      <c r="T2576" s="15">
        <f>+E2576</f>
        <v>0</v>
      </c>
      <c r="U2576" s="26" t="str">
        <f>IFERROR(LEFT(G2576,FIND("*",G2576)-1),"-")</f>
        <v>-</v>
      </c>
      <c r="V2576" s="26" t="str">
        <f>IFERROR(RIGHT(G2576,LEN(G2576)-FIND("*",G2576)),"-")</f>
        <v>-</v>
      </c>
      <c r="W2576" s="27" t="str">
        <f>IFERROR((U2576+V2576)*2/1000,"-")</f>
        <v>-</v>
      </c>
      <c r="X2576" s="27" t="str">
        <f>IFERROR(W2576*H2576,"-")</f>
        <v>-</v>
      </c>
      <c r="Z2576" s="94" t="s">
        <v>82</v>
      </c>
    </row>
    <row r="2577" spans="1:26" s="25" customFormat="1" ht="6.95" customHeight="1" x14ac:dyDescent="0.3">
      <c r="A2577" s="165"/>
      <c r="B2577" s="168"/>
      <c r="C2577" s="169"/>
      <c r="D2577" s="160"/>
      <c r="E2577" s="161"/>
      <c r="F2577" s="162"/>
      <c r="G2577" s="163"/>
      <c r="H2577" s="164"/>
      <c r="I2577" s="163"/>
      <c r="J2577" s="164"/>
      <c r="K2577" s="163"/>
      <c r="L2577" s="164"/>
      <c r="M2577" s="11"/>
      <c r="N2577" s="39"/>
      <c r="Q2577" s="15" t="str">
        <f>+CONCATENATE(E2576,I2576)</f>
        <v/>
      </c>
      <c r="R2577" s="15">
        <f>+J2576</f>
        <v>0</v>
      </c>
      <c r="S2577" s="16"/>
      <c r="T2577" s="15">
        <f>+E2576</f>
        <v>0</v>
      </c>
      <c r="U2577" s="26" t="str">
        <f>IFERROR(LEFT(I2576,FIND("*",I2576)-1),"-")</f>
        <v>-</v>
      </c>
      <c r="V2577" s="26" t="str">
        <f>IFERROR(RIGHT(I2576,LEN(I2576)-FIND("*",I2576)),"-")</f>
        <v>-</v>
      </c>
      <c r="W2577" s="27" t="str">
        <f t="shared" ref="W2577:W2584" si="1402">IFERROR((U2577+V2577)*2/1000,"-")</f>
        <v>-</v>
      </c>
      <c r="X2577" s="27" t="str">
        <f>IFERROR(W2577*J2576,"-")</f>
        <v>-</v>
      </c>
      <c r="Z2577" s="94" t="s">
        <v>82</v>
      </c>
    </row>
    <row r="2578" spans="1:26" s="25" customFormat="1" ht="6.95" customHeight="1" x14ac:dyDescent="0.3">
      <c r="A2578" s="165"/>
      <c r="B2578" s="168"/>
      <c r="C2578" s="169"/>
      <c r="D2578" s="160"/>
      <c r="E2578" s="161"/>
      <c r="F2578" s="162"/>
      <c r="G2578" s="163"/>
      <c r="H2578" s="164"/>
      <c r="I2578" s="163"/>
      <c r="J2578" s="164"/>
      <c r="K2578" s="163"/>
      <c r="L2578" s="164"/>
      <c r="M2578" s="11"/>
      <c r="N2578" s="39"/>
      <c r="Q2578" s="15" t="str">
        <f>+CONCATENATE(E2576,K2576)</f>
        <v/>
      </c>
      <c r="R2578" s="15">
        <f>+L2576</f>
        <v>0</v>
      </c>
      <c r="S2578" s="16"/>
      <c r="T2578" s="15">
        <f>+E2576</f>
        <v>0</v>
      </c>
      <c r="U2578" s="26" t="str">
        <f>IFERROR(LEFT(K2576,FIND("*",K2576)-1),"-")</f>
        <v>-</v>
      </c>
      <c r="V2578" s="26" t="str">
        <f>IFERROR(RIGHT(K2576,LEN(K2576)-FIND("*",K2576)),"-")</f>
        <v>-</v>
      </c>
      <c r="W2578" s="27" t="str">
        <f t="shared" si="1402"/>
        <v>-</v>
      </c>
      <c r="X2578" s="27" t="str">
        <f>IFERROR(W2578*L2576,"-")</f>
        <v>-</v>
      </c>
      <c r="Z2578" s="94" t="s">
        <v>82</v>
      </c>
    </row>
    <row r="2579" spans="1:26" s="25" customFormat="1" ht="6.95" customHeight="1" x14ac:dyDescent="0.3">
      <c r="A2579" s="13"/>
      <c r="B2579" s="168"/>
      <c r="C2579" s="169"/>
      <c r="D2579" s="160" t="s">
        <v>39</v>
      </c>
      <c r="E2579" s="161"/>
      <c r="F2579" s="162" t="s">
        <v>40</v>
      </c>
      <c r="G2579" s="163"/>
      <c r="H2579" s="164"/>
      <c r="I2579" s="163"/>
      <c r="J2579" s="164"/>
      <c r="K2579" s="163"/>
      <c r="L2579" s="164"/>
      <c r="M2579" s="11"/>
      <c r="N2579" s="39"/>
      <c r="Q2579" s="15" t="str">
        <f>+CONCATENATE(E2579,G2579)</f>
        <v/>
      </c>
      <c r="R2579" s="15">
        <f>+H2579</f>
        <v>0</v>
      </c>
      <c r="S2579" s="16"/>
      <c r="T2579" s="15">
        <f>+E2579</f>
        <v>0</v>
      </c>
      <c r="U2579" s="26" t="str">
        <f t="shared" ref="U2579" si="1403">IFERROR(LEFT(G2579,FIND("*",G2579)-1),"-")</f>
        <v>-</v>
      </c>
      <c r="V2579" s="26" t="str">
        <f t="shared" ref="V2579" si="1404">IFERROR(RIGHT(G2579,LEN(G2579)-FIND("*",G2579)),"-")</f>
        <v>-</v>
      </c>
      <c r="W2579" s="27" t="str">
        <f t="shared" si="1402"/>
        <v>-</v>
      </c>
      <c r="X2579" s="27" t="str">
        <f>IFERROR(W2579*H2579,"-")</f>
        <v>-</v>
      </c>
      <c r="Z2579" s="94" t="s">
        <v>82</v>
      </c>
    </row>
    <row r="2580" spans="1:26" s="25" customFormat="1" ht="6.95" customHeight="1" x14ac:dyDescent="0.3">
      <c r="A2580" s="10"/>
      <c r="B2580" s="168"/>
      <c r="C2580" s="169"/>
      <c r="D2580" s="160"/>
      <c r="E2580" s="161"/>
      <c r="F2580" s="162"/>
      <c r="G2580" s="163"/>
      <c r="H2580" s="164"/>
      <c r="I2580" s="163"/>
      <c r="J2580" s="164"/>
      <c r="K2580" s="163"/>
      <c r="L2580" s="164"/>
      <c r="M2580" s="11"/>
      <c r="N2580" s="39"/>
      <c r="Q2580" s="15" t="str">
        <f>+CONCATENATE(E2579,I2579)</f>
        <v/>
      </c>
      <c r="R2580" s="15">
        <f>+J2579</f>
        <v>0</v>
      </c>
      <c r="S2580" s="16"/>
      <c r="T2580" s="15">
        <f>+E2579</f>
        <v>0</v>
      </c>
      <c r="U2580" s="26" t="str">
        <f>IFERROR(LEFT(I2579,FIND("*",I2579)-1),"-")</f>
        <v>-</v>
      </c>
      <c r="V2580" s="26" t="str">
        <f>IFERROR(RIGHT(I2579,LEN(I2579)-FIND("*",I2579)),"-")</f>
        <v>-</v>
      </c>
      <c r="W2580" s="27" t="str">
        <f t="shared" si="1402"/>
        <v>-</v>
      </c>
      <c r="X2580" s="27" t="str">
        <f>IFERROR(W2580*J2579,"-")</f>
        <v>-</v>
      </c>
      <c r="Z2580" s="94" t="s">
        <v>82</v>
      </c>
    </row>
    <row r="2581" spans="1:26" s="25" customFormat="1" ht="6.95" customHeight="1" x14ac:dyDescent="0.3">
      <c r="A2581" s="10"/>
      <c r="B2581" s="168"/>
      <c r="C2581" s="169"/>
      <c r="D2581" s="160"/>
      <c r="E2581" s="161"/>
      <c r="F2581" s="162"/>
      <c r="G2581" s="163"/>
      <c r="H2581" s="164"/>
      <c r="I2581" s="163"/>
      <c r="J2581" s="164"/>
      <c r="K2581" s="163"/>
      <c r="L2581" s="164"/>
      <c r="M2581" s="11"/>
      <c r="N2581" s="39"/>
      <c r="Q2581" s="15" t="str">
        <f>+CONCATENATE(E2579,K2579)</f>
        <v/>
      </c>
      <c r="R2581" s="15">
        <f>+L2579</f>
        <v>0</v>
      </c>
      <c r="S2581" s="16"/>
      <c r="T2581" s="15">
        <f>+E2579</f>
        <v>0</v>
      </c>
      <c r="U2581" s="26" t="str">
        <f>IFERROR(LEFT(K2579,FIND("*",K2579)-1),"-")</f>
        <v>-</v>
      </c>
      <c r="V2581" s="26" t="str">
        <f>IFERROR(RIGHT(K2579,LEN(K2579)-FIND("*",K2579)),"-")</f>
        <v>-</v>
      </c>
      <c r="W2581" s="27" t="str">
        <f t="shared" si="1402"/>
        <v>-</v>
      </c>
      <c r="X2581" s="27" t="str">
        <f>IFERROR(W2581*L2579,"-")</f>
        <v>-</v>
      </c>
      <c r="Z2581" s="94" t="s">
        <v>82</v>
      </c>
    </row>
    <row r="2582" spans="1:26" s="25" customFormat="1" ht="6.95" customHeight="1" x14ac:dyDescent="0.3">
      <c r="A2582" s="13"/>
      <c r="B2582" s="168"/>
      <c r="C2582" s="169"/>
      <c r="D2582" s="160" t="s">
        <v>39</v>
      </c>
      <c r="E2582" s="161"/>
      <c r="F2582" s="162" t="s">
        <v>40</v>
      </c>
      <c r="G2582" s="163"/>
      <c r="H2582" s="164"/>
      <c r="I2582" s="163"/>
      <c r="J2582" s="164"/>
      <c r="K2582" s="163"/>
      <c r="L2582" s="164"/>
      <c r="M2582" s="11"/>
      <c r="N2582" s="39"/>
      <c r="Q2582" s="15" t="str">
        <f>+CONCATENATE(E2582,G2582)</f>
        <v/>
      </c>
      <c r="R2582" s="15">
        <f>+H2582</f>
        <v>0</v>
      </c>
      <c r="S2582" s="16"/>
      <c r="T2582" s="15">
        <f>+E2582</f>
        <v>0</v>
      </c>
      <c r="U2582" s="26" t="str">
        <f t="shared" ref="U2582" si="1405">IFERROR(LEFT(G2582,FIND("*",G2582)-1),"-")</f>
        <v>-</v>
      </c>
      <c r="V2582" s="26" t="str">
        <f t="shared" ref="V2582" si="1406">IFERROR(RIGHT(G2582,LEN(G2582)-FIND("*",G2582)),"-")</f>
        <v>-</v>
      </c>
      <c r="W2582" s="27" t="str">
        <f t="shared" si="1402"/>
        <v>-</v>
      </c>
      <c r="X2582" s="27" t="str">
        <f>IFERROR(W2582*H2582,"-")</f>
        <v>-</v>
      </c>
      <c r="Z2582" s="94" t="s">
        <v>82</v>
      </c>
    </row>
    <row r="2583" spans="1:26" s="25" customFormat="1" ht="6.95" customHeight="1" x14ac:dyDescent="0.3">
      <c r="A2583" s="10"/>
      <c r="B2583" s="168"/>
      <c r="C2583" s="169"/>
      <c r="D2583" s="160"/>
      <c r="E2583" s="161"/>
      <c r="F2583" s="162"/>
      <c r="G2583" s="163"/>
      <c r="H2583" s="164"/>
      <c r="I2583" s="163"/>
      <c r="J2583" s="164"/>
      <c r="K2583" s="163"/>
      <c r="L2583" s="164"/>
      <c r="M2583" s="11"/>
      <c r="N2583" s="39"/>
      <c r="Q2583" s="15" t="str">
        <f>+CONCATENATE(E2582,I2582)</f>
        <v/>
      </c>
      <c r="R2583" s="15">
        <f>+J2582</f>
        <v>0</v>
      </c>
      <c r="S2583" s="16"/>
      <c r="T2583" s="15">
        <f>+E2582</f>
        <v>0</v>
      </c>
      <c r="U2583" s="26" t="str">
        <f>IFERROR(LEFT(I2582,FIND("*",I2582)-1),"-")</f>
        <v>-</v>
      </c>
      <c r="V2583" s="26" t="str">
        <f>IFERROR(RIGHT(I2582,LEN(I2582)-FIND("*",I2582)),"-")</f>
        <v>-</v>
      </c>
      <c r="W2583" s="27" t="str">
        <f t="shared" si="1402"/>
        <v>-</v>
      </c>
      <c r="X2583" s="27" t="str">
        <f t="shared" ref="X2583" si="1407">IFERROR(W2583*J2582,"-")</f>
        <v>-</v>
      </c>
      <c r="Z2583" s="94" t="s">
        <v>82</v>
      </c>
    </row>
    <row r="2584" spans="1:26" s="25" customFormat="1" ht="6.95" customHeight="1" x14ac:dyDescent="0.3">
      <c r="A2584" s="10"/>
      <c r="B2584" s="168"/>
      <c r="C2584" s="169"/>
      <c r="D2584" s="160"/>
      <c r="E2584" s="161"/>
      <c r="F2584" s="162"/>
      <c r="G2584" s="163"/>
      <c r="H2584" s="164"/>
      <c r="I2584" s="163"/>
      <c r="J2584" s="164"/>
      <c r="K2584" s="163"/>
      <c r="L2584" s="164"/>
      <c r="M2584" s="11"/>
      <c r="N2584" s="39"/>
      <c r="Q2584" s="15" t="str">
        <f>+CONCATENATE(E2582,K2582)</f>
        <v/>
      </c>
      <c r="R2584" s="15">
        <f>+L2582</f>
        <v>0</v>
      </c>
      <c r="S2584" s="16"/>
      <c r="T2584" s="15">
        <f>+E2582</f>
        <v>0</v>
      </c>
      <c r="U2584" s="26" t="str">
        <f>IFERROR(LEFT(K2582,FIND("*",K2582)-1),"-")</f>
        <v>-</v>
      </c>
      <c r="V2584" s="26" t="str">
        <f>IFERROR(RIGHT(K2582,LEN(K2582)-FIND("*",K2582)),"-")</f>
        <v>-</v>
      </c>
      <c r="W2584" s="27" t="str">
        <f t="shared" si="1402"/>
        <v>-</v>
      </c>
      <c r="X2584" s="27" t="str">
        <f>IFERROR(W2584*L2582,"-")</f>
        <v>-</v>
      </c>
      <c r="Z2584" s="94" t="s">
        <v>82</v>
      </c>
    </row>
    <row r="2585" spans="1:26" s="25" customFormat="1" ht="21" customHeight="1" thickBot="1" x14ac:dyDescent="0.35">
      <c r="A2585" s="10"/>
      <c r="B2585" s="170"/>
      <c r="C2585" s="171"/>
      <c r="D2585" s="172" t="s">
        <v>43</v>
      </c>
      <c r="E2585" s="173"/>
      <c r="F2585" s="173"/>
      <c r="G2585" s="174"/>
      <c r="H2585" s="174"/>
      <c r="I2585" s="174"/>
      <c r="J2585" s="174"/>
      <c r="K2585" s="174"/>
      <c r="L2585" s="174"/>
      <c r="M2585" s="12"/>
      <c r="N2585" s="39"/>
      <c r="U2585" s="23"/>
      <c r="V2585" s="23"/>
      <c r="Z2585" s="95" t="s">
        <v>81</v>
      </c>
    </row>
    <row r="2586" spans="1:26" s="25" customFormat="1" ht="9.9499999999999993" customHeight="1" thickBot="1" x14ac:dyDescent="0.35">
      <c r="A2586" s="6"/>
      <c r="B2586" s="14"/>
      <c r="C2586" s="119"/>
      <c r="D2586" s="58"/>
      <c r="E2586" s="17"/>
      <c r="F2586" s="58"/>
      <c r="G2586" s="19"/>
      <c r="H2586" s="19"/>
      <c r="I2586" s="19"/>
      <c r="J2586" s="19"/>
      <c r="K2586" s="19"/>
      <c r="L2586" s="19"/>
      <c r="M2586" s="14"/>
      <c r="N2586" s="39"/>
      <c r="Q2586" s="1"/>
      <c r="R2586" s="1"/>
      <c r="S2586" s="1"/>
      <c r="T2586" s="1"/>
      <c r="U2586" s="24"/>
      <c r="V2586" s="24"/>
      <c r="W2586" s="1"/>
      <c r="X2586" s="1"/>
      <c r="Z2586" s="94" t="s">
        <v>82</v>
      </c>
    </row>
    <row r="2587" spans="1:26" s="25" customFormat="1" ht="6.95" customHeight="1" x14ac:dyDescent="0.3">
      <c r="A2587" s="165">
        <f>+A2576+1</f>
        <v>236</v>
      </c>
      <c r="B2587" s="166"/>
      <c r="C2587" s="167"/>
      <c r="D2587" s="160" t="s">
        <v>39</v>
      </c>
      <c r="E2587" s="161"/>
      <c r="F2587" s="162" t="s">
        <v>40</v>
      </c>
      <c r="G2587" s="163"/>
      <c r="H2587" s="164"/>
      <c r="I2587" s="163"/>
      <c r="J2587" s="164"/>
      <c r="K2587" s="163"/>
      <c r="L2587" s="164"/>
      <c r="M2587" s="11"/>
      <c r="N2587" s="39"/>
      <c r="Q2587" s="15" t="str">
        <f>+CONCATENATE(E2587,G2587)</f>
        <v/>
      </c>
      <c r="R2587" s="15">
        <f>+H2587</f>
        <v>0</v>
      </c>
      <c r="S2587" s="16"/>
      <c r="T2587" s="15">
        <f>+E2587</f>
        <v>0</v>
      </c>
      <c r="U2587" s="26" t="str">
        <f>IFERROR(LEFT(G2587,FIND("*",G2587)-1),"-")</f>
        <v>-</v>
      </c>
      <c r="V2587" s="26" t="str">
        <f>IFERROR(RIGHT(G2587,LEN(G2587)-FIND("*",G2587)),"-")</f>
        <v>-</v>
      </c>
      <c r="W2587" s="27" t="str">
        <f>IFERROR((U2587+V2587)*2/1000,"-")</f>
        <v>-</v>
      </c>
      <c r="X2587" s="27" t="str">
        <f>IFERROR(W2587*H2587,"-")</f>
        <v>-</v>
      </c>
      <c r="Z2587" s="94" t="s">
        <v>82</v>
      </c>
    </row>
    <row r="2588" spans="1:26" s="25" customFormat="1" ht="6.95" customHeight="1" x14ac:dyDescent="0.3">
      <c r="A2588" s="165"/>
      <c r="B2588" s="168"/>
      <c r="C2588" s="169"/>
      <c r="D2588" s="160"/>
      <c r="E2588" s="161"/>
      <c r="F2588" s="162"/>
      <c r="G2588" s="163"/>
      <c r="H2588" s="164"/>
      <c r="I2588" s="163"/>
      <c r="J2588" s="164"/>
      <c r="K2588" s="163"/>
      <c r="L2588" s="164"/>
      <c r="M2588" s="11"/>
      <c r="N2588" s="39"/>
      <c r="Q2588" s="15" t="str">
        <f>+CONCATENATE(E2587,I2587)</f>
        <v/>
      </c>
      <c r="R2588" s="15">
        <f>+J2587</f>
        <v>0</v>
      </c>
      <c r="S2588" s="16"/>
      <c r="T2588" s="15">
        <f>+E2587</f>
        <v>0</v>
      </c>
      <c r="U2588" s="26" t="str">
        <f>IFERROR(LEFT(I2587,FIND("*",I2587)-1),"-")</f>
        <v>-</v>
      </c>
      <c r="V2588" s="26" t="str">
        <f>IFERROR(RIGHT(I2587,LEN(I2587)-FIND("*",I2587)),"-")</f>
        <v>-</v>
      </c>
      <c r="W2588" s="27" t="str">
        <f t="shared" ref="W2588:W2595" si="1408">IFERROR((U2588+V2588)*2/1000,"-")</f>
        <v>-</v>
      </c>
      <c r="X2588" s="27" t="str">
        <f>IFERROR(W2588*J2587,"-")</f>
        <v>-</v>
      </c>
      <c r="Z2588" s="94" t="s">
        <v>82</v>
      </c>
    </row>
    <row r="2589" spans="1:26" s="25" customFormat="1" ht="6.95" customHeight="1" x14ac:dyDescent="0.3">
      <c r="A2589" s="165"/>
      <c r="B2589" s="168"/>
      <c r="C2589" s="169"/>
      <c r="D2589" s="160"/>
      <c r="E2589" s="161"/>
      <c r="F2589" s="162"/>
      <c r="G2589" s="163"/>
      <c r="H2589" s="164"/>
      <c r="I2589" s="163"/>
      <c r="J2589" s="164"/>
      <c r="K2589" s="163"/>
      <c r="L2589" s="164"/>
      <c r="M2589" s="11"/>
      <c r="N2589" s="39"/>
      <c r="Q2589" s="15" t="str">
        <f>+CONCATENATE(E2587,K2587)</f>
        <v/>
      </c>
      <c r="R2589" s="15">
        <f>+L2587</f>
        <v>0</v>
      </c>
      <c r="S2589" s="16"/>
      <c r="T2589" s="15">
        <f>+E2587</f>
        <v>0</v>
      </c>
      <c r="U2589" s="26" t="str">
        <f>IFERROR(LEFT(K2587,FIND("*",K2587)-1),"-")</f>
        <v>-</v>
      </c>
      <c r="V2589" s="26" t="str">
        <f>IFERROR(RIGHT(K2587,LEN(K2587)-FIND("*",K2587)),"-")</f>
        <v>-</v>
      </c>
      <c r="W2589" s="27" t="str">
        <f t="shared" si="1408"/>
        <v>-</v>
      </c>
      <c r="X2589" s="27" t="str">
        <f>IFERROR(W2589*L2587,"-")</f>
        <v>-</v>
      </c>
      <c r="Z2589" s="94" t="s">
        <v>82</v>
      </c>
    </row>
    <row r="2590" spans="1:26" s="25" customFormat="1" ht="6.95" customHeight="1" x14ac:dyDescent="0.3">
      <c r="A2590" s="13"/>
      <c r="B2590" s="168"/>
      <c r="C2590" s="169"/>
      <c r="D2590" s="160" t="s">
        <v>39</v>
      </c>
      <c r="E2590" s="161"/>
      <c r="F2590" s="162" t="s">
        <v>40</v>
      </c>
      <c r="G2590" s="163"/>
      <c r="H2590" s="164"/>
      <c r="I2590" s="163"/>
      <c r="J2590" s="164"/>
      <c r="K2590" s="163"/>
      <c r="L2590" s="164"/>
      <c r="M2590" s="11"/>
      <c r="N2590" s="39"/>
      <c r="Q2590" s="15" t="str">
        <f>+CONCATENATE(E2590,G2590)</f>
        <v/>
      </c>
      <c r="R2590" s="15">
        <f>+H2590</f>
        <v>0</v>
      </c>
      <c r="S2590" s="16"/>
      <c r="T2590" s="15">
        <f>+E2590</f>
        <v>0</v>
      </c>
      <c r="U2590" s="26" t="str">
        <f t="shared" ref="U2590" si="1409">IFERROR(LEFT(G2590,FIND("*",G2590)-1),"-")</f>
        <v>-</v>
      </c>
      <c r="V2590" s="26" t="str">
        <f t="shared" ref="V2590" si="1410">IFERROR(RIGHT(G2590,LEN(G2590)-FIND("*",G2590)),"-")</f>
        <v>-</v>
      </c>
      <c r="W2590" s="27" t="str">
        <f t="shared" si="1408"/>
        <v>-</v>
      </c>
      <c r="X2590" s="27" t="str">
        <f>IFERROR(W2590*H2590,"-")</f>
        <v>-</v>
      </c>
      <c r="Z2590" s="94" t="s">
        <v>82</v>
      </c>
    </row>
    <row r="2591" spans="1:26" s="25" customFormat="1" ht="6.95" customHeight="1" x14ac:dyDescent="0.3">
      <c r="A2591" s="10"/>
      <c r="B2591" s="168"/>
      <c r="C2591" s="169"/>
      <c r="D2591" s="160"/>
      <c r="E2591" s="161"/>
      <c r="F2591" s="162"/>
      <c r="G2591" s="163"/>
      <c r="H2591" s="164"/>
      <c r="I2591" s="163"/>
      <c r="J2591" s="164"/>
      <c r="K2591" s="163"/>
      <c r="L2591" s="164"/>
      <c r="M2591" s="11"/>
      <c r="N2591" s="39"/>
      <c r="Q2591" s="15" t="str">
        <f>+CONCATENATE(E2590,I2590)</f>
        <v/>
      </c>
      <c r="R2591" s="15">
        <f>+J2590</f>
        <v>0</v>
      </c>
      <c r="S2591" s="16"/>
      <c r="T2591" s="15">
        <f>+E2590</f>
        <v>0</v>
      </c>
      <c r="U2591" s="26" t="str">
        <f>IFERROR(LEFT(I2590,FIND("*",I2590)-1),"-")</f>
        <v>-</v>
      </c>
      <c r="V2591" s="26" t="str">
        <f>IFERROR(RIGHT(I2590,LEN(I2590)-FIND("*",I2590)),"-")</f>
        <v>-</v>
      </c>
      <c r="W2591" s="27" t="str">
        <f t="shared" si="1408"/>
        <v>-</v>
      </c>
      <c r="X2591" s="27" t="str">
        <f>IFERROR(W2591*J2590,"-")</f>
        <v>-</v>
      </c>
      <c r="Z2591" s="94" t="s">
        <v>82</v>
      </c>
    </row>
    <row r="2592" spans="1:26" s="25" customFormat="1" ht="6.95" customHeight="1" x14ac:dyDescent="0.3">
      <c r="A2592" s="10"/>
      <c r="B2592" s="168"/>
      <c r="C2592" s="169"/>
      <c r="D2592" s="160"/>
      <c r="E2592" s="161"/>
      <c r="F2592" s="162"/>
      <c r="G2592" s="163"/>
      <c r="H2592" s="164"/>
      <c r="I2592" s="163"/>
      <c r="J2592" s="164"/>
      <c r="K2592" s="163"/>
      <c r="L2592" s="164"/>
      <c r="M2592" s="11"/>
      <c r="N2592" s="39"/>
      <c r="Q2592" s="15" t="str">
        <f>+CONCATENATE(E2590,K2590)</f>
        <v/>
      </c>
      <c r="R2592" s="15">
        <f>+L2590</f>
        <v>0</v>
      </c>
      <c r="S2592" s="16"/>
      <c r="T2592" s="15">
        <f>+E2590</f>
        <v>0</v>
      </c>
      <c r="U2592" s="26" t="str">
        <f>IFERROR(LEFT(K2590,FIND("*",K2590)-1),"-")</f>
        <v>-</v>
      </c>
      <c r="V2592" s="26" t="str">
        <f>IFERROR(RIGHT(K2590,LEN(K2590)-FIND("*",K2590)),"-")</f>
        <v>-</v>
      </c>
      <c r="W2592" s="27" t="str">
        <f t="shared" si="1408"/>
        <v>-</v>
      </c>
      <c r="X2592" s="27" t="str">
        <f>IFERROR(W2592*L2590,"-")</f>
        <v>-</v>
      </c>
      <c r="Z2592" s="94" t="s">
        <v>82</v>
      </c>
    </row>
    <row r="2593" spans="1:26" s="25" customFormat="1" ht="6.95" customHeight="1" x14ac:dyDescent="0.3">
      <c r="A2593" s="13"/>
      <c r="B2593" s="168"/>
      <c r="C2593" s="169"/>
      <c r="D2593" s="160" t="s">
        <v>39</v>
      </c>
      <c r="E2593" s="161"/>
      <c r="F2593" s="162" t="s">
        <v>40</v>
      </c>
      <c r="G2593" s="163"/>
      <c r="H2593" s="164"/>
      <c r="I2593" s="163"/>
      <c r="J2593" s="164"/>
      <c r="K2593" s="163"/>
      <c r="L2593" s="164"/>
      <c r="M2593" s="11"/>
      <c r="N2593" s="39"/>
      <c r="Q2593" s="15" t="str">
        <f>+CONCATENATE(E2593,G2593)</f>
        <v/>
      </c>
      <c r="R2593" s="15">
        <f>+H2593</f>
        <v>0</v>
      </c>
      <c r="S2593" s="16"/>
      <c r="T2593" s="15">
        <f>+E2593</f>
        <v>0</v>
      </c>
      <c r="U2593" s="26" t="str">
        <f t="shared" ref="U2593" si="1411">IFERROR(LEFT(G2593,FIND("*",G2593)-1),"-")</f>
        <v>-</v>
      </c>
      <c r="V2593" s="26" t="str">
        <f t="shared" ref="V2593" si="1412">IFERROR(RIGHT(G2593,LEN(G2593)-FIND("*",G2593)),"-")</f>
        <v>-</v>
      </c>
      <c r="W2593" s="27" t="str">
        <f t="shared" si="1408"/>
        <v>-</v>
      </c>
      <c r="X2593" s="27" t="str">
        <f>IFERROR(W2593*H2593,"-")</f>
        <v>-</v>
      </c>
      <c r="Z2593" s="94" t="s">
        <v>82</v>
      </c>
    </row>
    <row r="2594" spans="1:26" s="25" customFormat="1" ht="6.95" customHeight="1" x14ac:dyDescent="0.3">
      <c r="A2594" s="10"/>
      <c r="B2594" s="168"/>
      <c r="C2594" s="169"/>
      <c r="D2594" s="160"/>
      <c r="E2594" s="161"/>
      <c r="F2594" s="162"/>
      <c r="G2594" s="163"/>
      <c r="H2594" s="164"/>
      <c r="I2594" s="163"/>
      <c r="J2594" s="164"/>
      <c r="K2594" s="163"/>
      <c r="L2594" s="164"/>
      <c r="M2594" s="11"/>
      <c r="N2594" s="39"/>
      <c r="Q2594" s="15" t="str">
        <f>+CONCATENATE(E2593,I2593)</f>
        <v/>
      </c>
      <c r="R2594" s="15">
        <f>+J2593</f>
        <v>0</v>
      </c>
      <c r="S2594" s="16"/>
      <c r="T2594" s="15">
        <f>+E2593</f>
        <v>0</v>
      </c>
      <c r="U2594" s="26" t="str">
        <f>IFERROR(LEFT(I2593,FIND("*",I2593)-1),"-")</f>
        <v>-</v>
      </c>
      <c r="V2594" s="26" t="str">
        <f>IFERROR(RIGHT(I2593,LEN(I2593)-FIND("*",I2593)),"-")</f>
        <v>-</v>
      </c>
      <c r="W2594" s="27" t="str">
        <f t="shared" si="1408"/>
        <v>-</v>
      </c>
      <c r="X2594" s="27" t="str">
        <f t="shared" ref="X2594" si="1413">IFERROR(W2594*J2593,"-")</f>
        <v>-</v>
      </c>
      <c r="Z2594" s="94" t="s">
        <v>82</v>
      </c>
    </row>
    <row r="2595" spans="1:26" s="25" customFormat="1" ht="6.95" customHeight="1" x14ac:dyDescent="0.3">
      <c r="A2595" s="10"/>
      <c r="B2595" s="168"/>
      <c r="C2595" s="169"/>
      <c r="D2595" s="160"/>
      <c r="E2595" s="161"/>
      <c r="F2595" s="162"/>
      <c r="G2595" s="163"/>
      <c r="H2595" s="164"/>
      <c r="I2595" s="163"/>
      <c r="J2595" s="164"/>
      <c r="K2595" s="163"/>
      <c r="L2595" s="164"/>
      <c r="M2595" s="11"/>
      <c r="N2595" s="39"/>
      <c r="Q2595" s="15" t="str">
        <f>+CONCATENATE(E2593,K2593)</f>
        <v/>
      </c>
      <c r="R2595" s="15">
        <f>+L2593</f>
        <v>0</v>
      </c>
      <c r="S2595" s="16"/>
      <c r="T2595" s="15">
        <f>+E2593</f>
        <v>0</v>
      </c>
      <c r="U2595" s="26" t="str">
        <f>IFERROR(LEFT(K2593,FIND("*",K2593)-1),"-")</f>
        <v>-</v>
      </c>
      <c r="V2595" s="26" t="str">
        <f>IFERROR(RIGHT(K2593,LEN(K2593)-FIND("*",K2593)),"-")</f>
        <v>-</v>
      </c>
      <c r="W2595" s="27" t="str">
        <f t="shared" si="1408"/>
        <v>-</v>
      </c>
      <c r="X2595" s="27" t="str">
        <f>IFERROR(W2595*L2593,"-")</f>
        <v>-</v>
      </c>
      <c r="Z2595" s="94" t="s">
        <v>82</v>
      </c>
    </row>
    <row r="2596" spans="1:26" s="25" customFormat="1" ht="21" customHeight="1" thickBot="1" x14ac:dyDescent="0.35">
      <c r="A2596" s="10"/>
      <c r="B2596" s="170"/>
      <c r="C2596" s="171"/>
      <c r="D2596" s="172" t="s">
        <v>43</v>
      </c>
      <c r="E2596" s="173"/>
      <c r="F2596" s="173"/>
      <c r="G2596" s="174"/>
      <c r="H2596" s="174"/>
      <c r="I2596" s="174"/>
      <c r="J2596" s="174"/>
      <c r="K2596" s="174"/>
      <c r="L2596" s="174"/>
      <c r="M2596" s="12"/>
      <c r="N2596" s="39"/>
      <c r="U2596" s="23"/>
      <c r="V2596" s="23"/>
      <c r="Z2596" s="95" t="s">
        <v>81</v>
      </c>
    </row>
    <row r="2597" spans="1:26" s="25" customFormat="1" ht="9.9499999999999993" customHeight="1" thickBot="1" x14ac:dyDescent="0.35">
      <c r="A2597" s="6"/>
      <c r="B2597" s="14"/>
      <c r="C2597" s="119"/>
      <c r="D2597" s="58"/>
      <c r="E2597" s="17"/>
      <c r="F2597" s="58"/>
      <c r="G2597" s="19"/>
      <c r="H2597" s="19"/>
      <c r="I2597" s="19"/>
      <c r="J2597" s="19"/>
      <c r="K2597" s="19"/>
      <c r="L2597" s="19"/>
      <c r="M2597" s="14"/>
      <c r="N2597" s="39"/>
      <c r="Q2597" s="1"/>
      <c r="R2597" s="1"/>
      <c r="S2597" s="1"/>
      <c r="T2597" s="1"/>
      <c r="U2597" s="24"/>
      <c r="V2597" s="24"/>
      <c r="W2597" s="1"/>
      <c r="X2597" s="1"/>
      <c r="Z2597" s="94" t="s">
        <v>82</v>
      </c>
    </row>
    <row r="2598" spans="1:26" s="25" customFormat="1" ht="6.95" customHeight="1" x14ac:dyDescent="0.3">
      <c r="A2598" s="165">
        <f>+A2587+1</f>
        <v>237</v>
      </c>
      <c r="B2598" s="166"/>
      <c r="C2598" s="167"/>
      <c r="D2598" s="160" t="s">
        <v>39</v>
      </c>
      <c r="E2598" s="161"/>
      <c r="F2598" s="162" t="s">
        <v>40</v>
      </c>
      <c r="G2598" s="163"/>
      <c r="H2598" s="164"/>
      <c r="I2598" s="163"/>
      <c r="J2598" s="164"/>
      <c r="K2598" s="163"/>
      <c r="L2598" s="164"/>
      <c r="M2598" s="11"/>
      <c r="N2598" s="39"/>
      <c r="Q2598" s="15" t="str">
        <f>+CONCATENATE(E2598,G2598)</f>
        <v/>
      </c>
      <c r="R2598" s="15">
        <f>+H2598</f>
        <v>0</v>
      </c>
      <c r="S2598" s="16"/>
      <c r="T2598" s="15">
        <f>+E2598</f>
        <v>0</v>
      </c>
      <c r="U2598" s="26" t="str">
        <f>IFERROR(LEFT(G2598,FIND("*",G2598)-1),"-")</f>
        <v>-</v>
      </c>
      <c r="V2598" s="26" t="str">
        <f>IFERROR(RIGHT(G2598,LEN(G2598)-FIND("*",G2598)),"-")</f>
        <v>-</v>
      </c>
      <c r="W2598" s="27" t="str">
        <f>IFERROR((U2598+V2598)*2/1000,"-")</f>
        <v>-</v>
      </c>
      <c r="X2598" s="27" t="str">
        <f>IFERROR(W2598*H2598,"-")</f>
        <v>-</v>
      </c>
      <c r="Z2598" s="94" t="s">
        <v>82</v>
      </c>
    </row>
    <row r="2599" spans="1:26" s="25" customFormat="1" ht="6.95" customHeight="1" x14ac:dyDescent="0.3">
      <c r="A2599" s="165"/>
      <c r="B2599" s="168"/>
      <c r="C2599" s="169"/>
      <c r="D2599" s="160"/>
      <c r="E2599" s="161"/>
      <c r="F2599" s="162"/>
      <c r="G2599" s="163"/>
      <c r="H2599" s="164"/>
      <c r="I2599" s="163"/>
      <c r="J2599" s="164"/>
      <c r="K2599" s="163"/>
      <c r="L2599" s="164"/>
      <c r="M2599" s="11"/>
      <c r="N2599" s="39"/>
      <c r="Q2599" s="15" t="str">
        <f>+CONCATENATE(E2598,I2598)</f>
        <v/>
      </c>
      <c r="R2599" s="15">
        <f>+J2598</f>
        <v>0</v>
      </c>
      <c r="S2599" s="16"/>
      <c r="T2599" s="15">
        <f>+E2598</f>
        <v>0</v>
      </c>
      <c r="U2599" s="26" t="str">
        <f>IFERROR(LEFT(I2598,FIND("*",I2598)-1),"-")</f>
        <v>-</v>
      </c>
      <c r="V2599" s="26" t="str">
        <f>IFERROR(RIGHT(I2598,LEN(I2598)-FIND("*",I2598)),"-")</f>
        <v>-</v>
      </c>
      <c r="W2599" s="27" t="str">
        <f t="shared" ref="W2599:W2606" si="1414">IFERROR((U2599+V2599)*2/1000,"-")</f>
        <v>-</v>
      </c>
      <c r="X2599" s="27" t="str">
        <f>IFERROR(W2599*J2598,"-")</f>
        <v>-</v>
      </c>
      <c r="Z2599" s="94" t="s">
        <v>82</v>
      </c>
    </row>
    <row r="2600" spans="1:26" s="25" customFormat="1" ht="6.95" customHeight="1" x14ac:dyDescent="0.3">
      <c r="A2600" s="165"/>
      <c r="B2600" s="168"/>
      <c r="C2600" s="169"/>
      <c r="D2600" s="160"/>
      <c r="E2600" s="161"/>
      <c r="F2600" s="162"/>
      <c r="G2600" s="163"/>
      <c r="H2600" s="164"/>
      <c r="I2600" s="163"/>
      <c r="J2600" s="164"/>
      <c r="K2600" s="163"/>
      <c r="L2600" s="164"/>
      <c r="M2600" s="11"/>
      <c r="N2600" s="39"/>
      <c r="Q2600" s="15" t="str">
        <f>+CONCATENATE(E2598,K2598)</f>
        <v/>
      </c>
      <c r="R2600" s="15">
        <f>+L2598</f>
        <v>0</v>
      </c>
      <c r="S2600" s="16"/>
      <c r="T2600" s="15">
        <f>+E2598</f>
        <v>0</v>
      </c>
      <c r="U2600" s="26" t="str">
        <f>IFERROR(LEFT(K2598,FIND("*",K2598)-1),"-")</f>
        <v>-</v>
      </c>
      <c r="V2600" s="26" t="str">
        <f>IFERROR(RIGHT(K2598,LEN(K2598)-FIND("*",K2598)),"-")</f>
        <v>-</v>
      </c>
      <c r="W2600" s="27" t="str">
        <f t="shared" si="1414"/>
        <v>-</v>
      </c>
      <c r="X2600" s="27" t="str">
        <f>IFERROR(W2600*L2598,"-")</f>
        <v>-</v>
      </c>
      <c r="Z2600" s="94" t="s">
        <v>82</v>
      </c>
    </row>
    <row r="2601" spans="1:26" s="25" customFormat="1" ht="6.95" customHeight="1" x14ac:dyDescent="0.3">
      <c r="A2601" s="13"/>
      <c r="B2601" s="168"/>
      <c r="C2601" s="169"/>
      <c r="D2601" s="160" t="s">
        <v>39</v>
      </c>
      <c r="E2601" s="161"/>
      <c r="F2601" s="162" t="s">
        <v>40</v>
      </c>
      <c r="G2601" s="163"/>
      <c r="H2601" s="164"/>
      <c r="I2601" s="163"/>
      <c r="J2601" s="164"/>
      <c r="K2601" s="163"/>
      <c r="L2601" s="164"/>
      <c r="M2601" s="11"/>
      <c r="N2601" s="39"/>
      <c r="Q2601" s="15" t="str">
        <f>+CONCATENATE(E2601,G2601)</f>
        <v/>
      </c>
      <c r="R2601" s="15">
        <f>+H2601</f>
        <v>0</v>
      </c>
      <c r="S2601" s="16"/>
      <c r="T2601" s="15">
        <f>+E2601</f>
        <v>0</v>
      </c>
      <c r="U2601" s="26" t="str">
        <f t="shared" ref="U2601" si="1415">IFERROR(LEFT(G2601,FIND("*",G2601)-1),"-")</f>
        <v>-</v>
      </c>
      <c r="V2601" s="26" t="str">
        <f t="shared" ref="V2601" si="1416">IFERROR(RIGHT(G2601,LEN(G2601)-FIND("*",G2601)),"-")</f>
        <v>-</v>
      </c>
      <c r="W2601" s="27" t="str">
        <f t="shared" si="1414"/>
        <v>-</v>
      </c>
      <c r="X2601" s="27" t="str">
        <f>IFERROR(W2601*H2601,"-")</f>
        <v>-</v>
      </c>
      <c r="Z2601" s="94" t="s">
        <v>82</v>
      </c>
    </row>
    <row r="2602" spans="1:26" s="25" customFormat="1" ht="6.95" customHeight="1" x14ac:dyDescent="0.3">
      <c r="A2602" s="10"/>
      <c r="B2602" s="168"/>
      <c r="C2602" s="169"/>
      <c r="D2602" s="160"/>
      <c r="E2602" s="161"/>
      <c r="F2602" s="162"/>
      <c r="G2602" s="163"/>
      <c r="H2602" s="164"/>
      <c r="I2602" s="163"/>
      <c r="J2602" s="164"/>
      <c r="K2602" s="163"/>
      <c r="L2602" s="164"/>
      <c r="M2602" s="11"/>
      <c r="N2602" s="39"/>
      <c r="Q2602" s="15" t="str">
        <f>+CONCATENATE(E2601,I2601)</f>
        <v/>
      </c>
      <c r="R2602" s="15">
        <f>+J2601</f>
        <v>0</v>
      </c>
      <c r="S2602" s="16"/>
      <c r="T2602" s="15">
        <f>+E2601</f>
        <v>0</v>
      </c>
      <c r="U2602" s="26" t="str">
        <f>IFERROR(LEFT(I2601,FIND("*",I2601)-1),"-")</f>
        <v>-</v>
      </c>
      <c r="V2602" s="26" t="str">
        <f>IFERROR(RIGHT(I2601,LEN(I2601)-FIND("*",I2601)),"-")</f>
        <v>-</v>
      </c>
      <c r="W2602" s="27" t="str">
        <f t="shared" si="1414"/>
        <v>-</v>
      </c>
      <c r="X2602" s="27" t="str">
        <f>IFERROR(W2602*J2601,"-")</f>
        <v>-</v>
      </c>
      <c r="Z2602" s="94" t="s">
        <v>82</v>
      </c>
    </row>
    <row r="2603" spans="1:26" s="25" customFormat="1" ht="6.95" customHeight="1" x14ac:dyDescent="0.3">
      <c r="A2603" s="10"/>
      <c r="B2603" s="168"/>
      <c r="C2603" s="169"/>
      <c r="D2603" s="160"/>
      <c r="E2603" s="161"/>
      <c r="F2603" s="162"/>
      <c r="G2603" s="163"/>
      <c r="H2603" s="164"/>
      <c r="I2603" s="163"/>
      <c r="J2603" s="164"/>
      <c r="K2603" s="163"/>
      <c r="L2603" s="164"/>
      <c r="M2603" s="11"/>
      <c r="N2603" s="39"/>
      <c r="Q2603" s="15" t="str">
        <f>+CONCATENATE(E2601,K2601)</f>
        <v/>
      </c>
      <c r="R2603" s="15">
        <f>+L2601</f>
        <v>0</v>
      </c>
      <c r="S2603" s="16"/>
      <c r="T2603" s="15">
        <f>+E2601</f>
        <v>0</v>
      </c>
      <c r="U2603" s="26" t="str">
        <f>IFERROR(LEFT(K2601,FIND("*",K2601)-1),"-")</f>
        <v>-</v>
      </c>
      <c r="V2603" s="26" t="str">
        <f>IFERROR(RIGHT(K2601,LEN(K2601)-FIND("*",K2601)),"-")</f>
        <v>-</v>
      </c>
      <c r="W2603" s="27" t="str">
        <f t="shared" si="1414"/>
        <v>-</v>
      </c>
      <c r="X2603" s="27" t="str">
        <f>IFERROR(W2603*L2601,"-")</f>
        <v>-</v>
      </c>
      <c r="Z2603" s="94" t="s">
        <v>82</v>
      </c>
    </row>
    <row r="2604" spans="1:26" s="25" customFormat="1" ht="6.95" customHeight="1" x14ac:dyDescent="0.3">
      <c r="A2604" s="13"/>
      <c r="B2604" s="168"/>
      <c r="C2604" s="169"/>
      <c r="D2604" s="160" t="s">
        <v>39</v>
      </c>
      <c r="E2604" s="161"/>
      <c r="F2604" s="162" t="s">
        <v>40</v>
      </c>
      <c r="G2604" s="163"/>
      <c r="H2604" s="164"/>
      <c r="I2604" s="163"/>
      <c r="J2604" s="164"/>
      <c r="K2604" s="163"/>
      <c r="L2604" s="164"/>
      <c r="M2604" s="11"/>
      <c r="N2604" s="39"/>
      <c r="Q2604" s="15" t="str">
        <f>+CONCATENATE(E2604,G2604)</f>
        <v/>
      </c>
      <c r="R2604" s="15">
        <f>+H2604</f>
        <v>0</v>
      </c>
      <c r="S2604" s="16"/>
      <c r="T2604" s="15">
        <f>+E2604</f>
        <v>0</v>
      </c>
      <c r="U2604" s="26" t="str">
        <f t="shared" ref="U2604" si="1417">IFERROR(LEFT(G2604,FIND("*",G2604)-1),"-")</f>
        <v>-</v>
      </c>
      <c r="V2604" s="26" t="str">
        <f t="shared" ref="V2604" si="1418">IFERROR(RIGHT(G2604,LEN(G2604)-FIND("*",G2604)),"-")</f>
        <v>-</v>
      </c>
      <c r="W2604" s="27" t="str">
        <f t="shared" si="1414"/>
        <v>-</v>
      </c>
      <c r="X2604" s="27" t="str">
        <f>IFERROR(W2604*H2604,"-")</f>
        <v>-</v>
      </c>
      <c r="Z2604" s="94" t="s">
        <v>82</v>
      </c>
    </row>
    <row r="2605" spans="1:26" s="25" customFormat="1" ht="6.95" customHeight="1" x14ac:dyDescent="0.3">
      <c r="A2605" s="10"/>
      <c r="B2605" s="168"/>
      <c r="C2605" s="169"/>
      <c r="D2605" s="160"/>
      <c r="E2605" s="161"/>
      <c r="F2605" s="162"/>
      <c r="G2605" s="163"/>
      <c r="H2605" s="164"/>
      <c r="I2605" s="163"/>
      <c r="J2605" s="164"/>
      <c r="K2605" s="163"/>
      <c r="L2605" s="164"/>
      <c r="M2605" s="11"/>
      <c r="N2605" s="39"/>
      <c r="Q2605" s="15" t="str">
        <f>+CONCATENATE(E2604,I2604)</f>
        <v/>
      </c>
      <c r="R2605" s="15">
        <f>+J2604</f>
        <v>0</v>
      </c>
      <c r="S2605" s="16"/>
      <c r="T2605" s="15">
        <f>+E2604</f>
        <v>0</v>
      </c>
      <c r="U2605" s="26" t="str">
        <f>IFERROR(LEFT(I2604,FIND("*",I2604)-1),"-")</f>
        <v>-</v>
      </c>
      <c r="V2605" s="26" t="str">
        <f>IFERROR(RIGHT(I2604,LEN(I2604)-FIND("*",I2604)),"-")</f>
        <v>-</v>
      </c>
      <c r="W2605" s="27" t="str">
        <f t="shared" si="1414"/>
        <v>-</v>
      </c>
      <c r="X2605" s="27" t="str">
        <f t="shared" ref="X2605" si="1419">IFERROR(W2605*J2604,"-")</f>
        <v>-</v>
      </c>
      <c r="Z2605" s="94" t="s">
        <v>82</v>
      </c>
    </row>
    <row r="2606" spans="1:26" s="25" customFormat="1" ht="6.95" customHeight="1" x14ac:dyDescent="0.3">
      <c r="A2606" s="10"/>
      <c r="B2606" s="168"/>
      <c r="C2606" s="169"/>
      <c r="D2606" s="160"/>
      <c r="E2606" s="161"/>
      <c r="F2606" s="162"/>
      <c r="G2606" s="163"/>
      <c r="H2606" s="164"/>
      <c r="I2606" s="163"/>
      <c r="J2606" s="164"/>
      <c r="K2606" s="163"/>
      <c r="L2606" s="164"/>
      <c r="M2606" s="11"/>
      <c r="N2606" s="39"/>
      <c r="Q2606" s="15" t="str">
        <f>+CONCATENATE(E2604,K2604)</f>
        <v/>
      </c>
      <c r="R2606" s="15">
        <f>+L2604</f>
        <v>0</v>
      </c>
      <c r="S2606" s="16"/>
      <c r="T2606" s="15">
        <f>+E2604</f>
        <v>0</v>
      </c>
      <c r="U2606" s="26" t="str">
        <f>IFERROR(LEFT(K2604,FIND("*",K2604)-1),"-")</f>
        <v>-</v>
      </c>
      <c r="V2606" s="26" t="str">
        <f>IFERROR(RIGHT(K2604,LEN(K2604)-FIND("*",K2604)),"-")</f>
        <v>-</v>
      </c>
      <c r="W2606" s="27" t="str">
        <f t="shared" si="1414"/>
        <v>-</v>
      </c>
      <c r="X2606" s="27" t="str">
        <f>IFERROR(W2606*L2604,"-")</f>
        <v>-</v>
      </c>
      <c r="Z2606" s="94" t="s">
        <v>82</v>
      </c>
    </row>
    <row r="2607" spans="1:26" s="25" customFormat="1" ht="21" customHeight="1" thickBot="1" x14ac:dyDescent="0.35">
      <c r="A2607" s="10"/>
      <c r="B2607" s="170"/>
      <c r="C2607" s="171"/>
      <c r="D2607" s="172" t="s">
        <v>43</v>
      </c>
      <c r="E2607" s="173"/>
      <c r="F2607" s="173"/>
      <c r="G2607" s="174"/>
      <c r="H2607" s="174"/>
      <c r="I2607" s="174"/>
      <c r="J2607" s="174"/>
      <c r="K2607" s="174"/>
      <c r="L2607" s="174"/>
      <c r="M2607" s="12"/>
      <c r="N2607" s="39"/>
      <c r="U2607" s="23"/>
      <c r="V2607" s="23"/>
      <c r="Z2607" s="95" t="s">
        <v>81</v>
      </c>
    </row>
    <row r="2608" spans="1:26" s="25" customFormat="1" ht="9.9499999999999993" customHeight="1" thickBot="1" x14ac:dyDescent="0.35">
      <c r="A2608" s="6"/>
      <c r="B2608" s="14"/>
      <c r="C2608" s="119"/>
      <c r="D2608" s="58"/>
      <c r="E2608" s="17"/>
      <c r="F2608" s="58"/>
      <c r="G2608" s="19"/>
      <c r="H2608" s="19"/>
      <c r="I2608" s="19"/>
      <c r="J2608" s="19"/>
      <c r="K2608" s="19"/>
      <c r="L2608" s="19"/>
      <c r="M2608" s="14"/>
      <c r="N2608" s="39"/>
      <c r="Q2608" s="1"/>
      <c r="R2608" s="1"/>
      <c r="S2608" s="1"/>
      <c r="T2608" s="1"/>
      <c r="U2608" s="24"/>
      <c r="V2608" s="24"/>
      <c r="W2608" s="1"/>
      <c r="X2608" s="1"/>
      <c r="Z2608" s="94" t="s">
        <v>82</v>
      </c>
    </row>
    <row r="2609" spans="1:26" s="25" customFormat="1" ht="6.95" customHeight="1" x14ac:dyDescent="0.3">
      <c r="A2609" s="165">
        <f>+A2598+1</f>
        <v>238</v>
      </c>
      <c r="B2609" s="166"/>
      <c r="C2609" s="167"/>
      <c r="D2609" s="160" t="s">
        <v>39</v>
      </c>
      <c r="E2609" s="161"/>
      <c r="F2609" s="162" t="s">
        <v>40</v>
      </c>
      <c r="G2609" s="163"/>
      <c r="H2609" s="164"/>
      <c r="I2609" s="163"/>
      <c r="J2609" s="164"/>
      <c r="K2609" s="163"/>
      <c r="L2609" s="164"/>
      <c r="M2609" s="11"/>
      <c r="N2609" s="39"/>
      <c r="Q2609" s="15" t="str">
        <f>+CONCATENATE(E2609,G2609)</f>
        <v/>
      </c>
      <c r="R2609" s="15">
        <f>+H2609</f>
        <v>0</v>
      </c>
      <c r="S2609" s="16"/>
      <c r="T2609" s="15">
        <f>+E2609</f>
        <v>0</v>
      </c>
      <c r="U2609" s="26" t="str">
        <f>IFERROR(LEFT(G2609,FIND("*",G2609)-1),"-")</f>
        <v>-</v>
      </c>
      <c r="V2609" s="26" t="str">
        <f>IFERROR(RIGHT(G2609,LEN(G2609)-FIND("*",G2609)),"-")</f>
        <v>-</v>
      </c>
      <c r="W2609" s="27" t="str">
        <f>IFERROR((U2609+V2609)*2/1000,"-")</f>
        <v>-</v>
      </c>
      <c r="X2609" s="27" t="str">
        <f>IFERROR(W2609*H2609,"-")</f>
        <v>-</v>
      </c>
      <c r="Z2609" s="94" t="s">
        <v>82</v>
      </c>
    </row>
    <row r="2610" spans="1:26" s="25" customFormat="1" ht="6.95" customHeight="1" x14ac:dyDescent="0.3">
      <c r="A2610" s="165"/>
      <c r="B2610" s="168"/>
      <c r="C2610" s="169"/>
      <c r="D2610" s="160"/>
      <c r="E2610" s="161"/>
      <c r="F2610" s="162"/>
      <c r="G2610" s="163"/>
      <c r="H2610" s="164"/>
      <c r="I2610" s="163"/>
      <c r="J2610" s="164"/>
      <c r="K2610" s="163"/>
      <c r="L2610" s="164"/>
      <c r="M2610" s="11"/>
      <c r="N2610" s="39"/>
      <c r="Q2610" s="15" t="str">
        <f>+CONCATENATE(E2609,I2609)</f>
        <v/>
      </c>
      <c r="R2610" s="15">
        <f>+J2609</f>
        <v>0</v>
      </c>
      <c r="S2610" s="16"/>
      <c r="T2610" s="15">
        <f>+E2609</f>
        <v>0</v>
      </c>
      <c r="U2610" s="26" t="str">
        <f>IFERROR(LEFT(I2609,FIND("*",I2609)-1),"-")</f>
        <v>-</v>
      </c>
      <c r="V2610" s="26" t="str">
        <f>IFERROR(RIGHT(I2609,LEN(I2609)-FIND("*",I2609)),"-")</f>
        <v>-</v>
      </c>
      <c r="W2610" s="27" t="str">
        <f t="shared" ref="W2610:W2617" si="1420">IFERROR((U2610+V2610)*2/1000,"-")</f>
        <v>-</v>
      </c>
      <c r="X2610" s="27" t="str">
        <f>IFERROR(W2610*J2609,"-")</f>
        <v>-</v>
      </c>
      <c r="Z2610" s="94" t="s">
        <v>82</v>
      </c>
    </row>
    <row r="2611" spans="1:26" s="25" customFormat="1" ht="6.95" customHeight="1" x14ac:dyDescent="0.3">
      <c r="A2611" s="165"/>
      <c r="B2611" s="168"/>
      <c r="C2611" s="169"/>
      <c r="D2611" s="160"/>
      <c r="E2611" s="161"/>
      <c r="F2611" s="162"/>
      <c r="G2611" s="163"/>
      <c r="H2611" s="164"/>
      <c r="I2611" s="163"/>
      <c r="J2611" s="164"/>
      <c r="K2611" s="163"/>
      <c r="L2611" s="164"/>
      <c r="M2611" s="11"/>
      <c r="N2611" s="39"/>
      <c r="Q2611" s="15" t="str">
        <f>+CONCATENATE(E2609,K2609)</f>
        <v/>
      </c>
      <c r="R2611" s="15">
        <f>+L2609</f>
        <v>0</v>
      </c>
      <c r="S2611" s="16"/>
      <c r="T2611" s="15">
        <f>+E2609</f>
        <v>0</v>
      </c>
      <c r="U2611" s="26" t="str">
        <f>IFERROR(LEFT(K2609,FIND("*",K2609)-1),"-")</f>
        <v>-</v>
      </c>
      <c r="V2611" s="26" t="str">
        <f>IFERROR(RIGHT(K2609,LEN(K2609)-FIND("*",K2609)),"-")</f>
        <v>-</v>
      </c>
      <c r="W2611" s="27" t="str">
        <f t="shared" si="1420"/>
        <v>-</v>
      </c>
      <c r="X2611" s="27" t="str">
        <f>IFERROR(W2611*L2609,"-")</f>
        <v>-</v>
      </c>
      <c r="Z2611" s="94" t="s">
        <v>82</v>
      </c>
    </row>
    <row r="2612" spans="1:26" s="25" customFormat="1" ht="6.95" customHeight="1" x14ac:dyDescent="0.3">
      <c r="A2612" s="13"/>
      <c r="B2612" s="168"/>
      <c r="C2612" s="169"/>
      <c r="D2612" s="160" t="s">
        <v>39</v>
      </c>
      <c r="E2612" s="161"/>
      <c r="F2612" s="162" t="s">
        <v>40</v>
      </c>
      <c r="G2612" s="163"/>
      <c r="H2612" s="164"/>
      <c r="I2612" s="163"/>
      <c r="J2612" s="164"/>
      <c r="K2612" s="163"/>
      <c r="L2612" s="164"/>
      <c r="M2612" s="11"/>
      <c r="N2612" s="39"/>
      <c r="Q2612" s="15" t="str">
        <f>+CONCATENATE(E2612,G2612)</f>
        <v/>
      </c>
      <c r="R2612" s="15">
        <f>+H2612</f>
        <v>0</v>
      </c>
      <c r="S2612" s="16"/>
      <c r="T2612" s="15">
        <f>+E2612</f>
        <v>0</v>
      </c>
      <c r="U2612" s="26" t="str">
        <f t="shared" ref="U2612" si="1421">IFERROR(LEFT(G2612,FIND("*",G2612)-1),"-")</f>
        <v>-</v>
      </c>
      <c r="V2612" s="26" t="str">
        <f t="shared" ref="V2612" si="1422">IFERROR(RIGHT(G2612,LEN(G2612)-FIND("*",G2612)),"-")</f>
        <v>-</v>
      </c>
      <c r="W2612" s="27" t="str">
        <f t="shared" si="1420"/>
        <v>-</v>
      </c>
      <c r="X2612" s="27" t="str">
        <f>IFERROR(W2612*H2612,"-")</f>
        <v>-</v>
      </c>
      <c r="Z2612" s="94" t="s">
        <v>82</v>
      </c>
    </row>
    <row r="2613" spans="1:26" s="25" customFormat="1" ht="6.95" customHeight="1" x14ac:dyDescent="0.3">
      <c r="A2613" s="10"/>
      <c r="B2613" s="168"/>
      <c r="C2613" s="169"/>
      <c r="D2613" s="160"/>
      <c r="E2613" s="161"/>
      <c r="F2613" s="162"/>
      <c r="G2613" s="163"/>
      <c r="H2613" s="164"/>
      <c r="I2613" s="163"/>
      <c r="J2613" s="164"/>
      <c r="K2613" s="163"/>
      <c r="L2613" s="164"/>
      <c r="M2613" s="11"/>
      <c r="N2613" s="39"/>
      <c r="Q2613" s="15" t="str">
        <f>+CONCATENATE(E2612,I2612)</f>
        <v/>
      </c>
      <c r="R2613" s="15">
        <f>+J2612</f>
        <v>0</v>
      </c>
      <c r="S2613" s="16"/>
      <c r="T2613" s="15">
        <f>+E2612</f>
        <v>0</v>
      </c>
      <c r="U2613" s="26" t="str">
        <f>IFERROR(LEFT(I2612,FIND("*",I2612)-1),"-")</f>
        <v>-</v>
      </c>
      <c r="V2613" s="26" t="str">
        <f>IFERROR(RIGHT(I2612,LEN(I2612)-FIND("*",I2612)),"-")</f>
        <v>-</v>
      </c>
      <c r="W2613" s="27" t="str">
        <f t="shared" si="1420"/>
        <v>-</v>
      </c>
      <c r="X2613" s="27" t="str">
        <f>IFERROR(W2613*J2612,"-")</f>
        <v>-</v>
      </c>
      <c r="Z2613" s="94" t="s">
        <v>82</v>
      </c>
    </row>
    <row r="2614" spans="1:26" s="25" customFormat="1" ht="6.95" customHeight="1" x14ac:dyDescent="0.3">
      <c r="A2614" s="10"/>
      <c r="B2614" s="168"/>
      <c r="C2614" s="169"/>
      <c r="D2614" s="160"/>
      <c r="E2614" s="161"/>
      <c r="F2614" s="162"/>
      <c r="G2614" s="163"/>
      <c r="H2614" s="164"/>
      <c r="I2614" s="163"/>
      <c r="J2614" s="164"/>
      <c r="K2614" s="163"/>
      <c r="L2614" s="164"/>
      <c r="M2614" s="11"/>
      <c r="N2614" s="39"/>
      <c r="Q2614" s="15" t="str">
        <f>+CONCATENATE(E2612,K2612)</f>
        <v/>
      </c>
      <c r="R2614" s="15">
        <f>+L2612</f>
        <v>0</v>
      </c>
      <c r="S2614" s="16"/>
      <c r="T2614" s="15">
        <f>+E2612</f>
        <v>0</v>
      </c>
      <c r="U2614" s="26" t="str">
        <f>IFERROR(LEFT(K2612,FIND("*",K2612)-1),"-")</f>
        <v>-</v>
      </c>
      <c r="V2614" s="26" t="str">
        <f>IFERROR(RIGHT(K2612,LEN(K2612)-FIND("*",K2612)),"-")</f>
        <v>-</v>
      </c>
      <c r="W2614" s="27" t="str">
        <f t="shared" si="1420"/>
        <v>-</v>
      </c>
      <c r="X2614" s="27" t="str">
        <f>IFERROR(W2614*L2612,"-")</f>
        <v>-</v>
      </c>
      <c r="Z2614" s="94" t="s">
        <v>82</v>
      </c>
    </row>
    <row r="2615" spans="1:26" s="25" customFormat="1" ht="6.95" customHeight="1" x14ac:dyDescent="0.3">
      <c r="A2615" s="13"/>
      <c r="B2615" s="168"/>
      <c r="C2615" s="169"/>
      <c r="D2615" s="160" t="s">
        <v>39</v>
      </c>
      <c r="E2615" s="161"/>
      <c r="F2615" s="162" t="s">
        <v>40</v>
      </c>
      <c r="G2615" s="163"/>
      <c r="H2615" s="164"/>
      <c r="I2615" s="163"/>
      <c r="J2615" s="164"/>
      <c r="K2615" s="163"/>
      <c r="L2615" s="164"/>
      <c r="M2615" s="11"/>
      <c r="N2615" s="39"/>
      <c r="Q2615" s="15" t="str">
        <f>+CONCATENATE(E2615,G2615)</f>
        <v/>
      </c>
      <c r="R2615" s="15">
        <f>+H2615</f>
        <v>0</v>
      </c>
      <c r="S2615" s="16"/>
      <c r="T2615" s="15">
        <f>+E2615</f>
        <v>0</v>
      </c>
      <c r="U2615" s="26" t="str">
        <f t="shared" ref="U2615" si="1423">IFERROR(LEFT(G2615,FIND("*",G2615)-1),"-")</f>
        <v>-</v>
      </c>
      <c r="V2615" s="26" t="str">
        <f t="shared" ref="V2615" si="1424">IFERROR(RIGHT(G2615,LEN(G2615)-FIND("*",G2615)),"-")</f>
        <v>-</v>
      </c>
      <c r="W2615" s="27" t="str">
        <f t="shared" si="1420"/>
        <v>-</v>
      </c>
      <c r="X2615" s="27" t="str">
        <f>IFERROR(W2615*H2615,"-")</f>
        <v>-</v>
      </c>
      <c r="Z2615" s="94" t="s">
        <v>82</v>
      </c>
    </row>
    <row r="2616" spans="1:26" s="25" customFormat="1" ht="6.95" customHeight="1" x14ac:dyDescent="0.3">
      <c r="A2616" s="10"/>
      <c r="B2616" s="168"/>
      <c r="C2616" s="169"/>
      <c r="D2616" s="160"/>
      <c r="E2616" s="161"/>
      <c r="F2616" s="162"/>
      <c r="G2616" s="163"/>
      <c r="H2616" s="164"/>
      <c r="I2616" s="163"/>
      <c r="J2616" s="164"/>
      <c r="K2616" s="163"/>
      <c r="L2616" s="164"/>
      <c r="M2616" s="11"/>
      <c r="N2616" s="39"/>
      <c r="Q2616" s="15" t="str">
        <f>+CONCATENATE(E2615,I2615)</f>
        <v/>
      </c>
      <c r="R2616" s="15">
        <f>+J2615</f>
        <v>0</v>
      </c>
      <c r="S2616" s="16"/>
      <c r="T2616" s="15">
        <f>+E2615</f>
        <v>0</v>
      </c>
      <c r="U2616" s="26" t="str">
        <f>IFERROR(LEFT(I2615,FIND("*",I2615)-1),"-")</f>
        <v>-</v>
      </c>
      <c r="V2616" s="26" t="str">
        <f>IFERROR(RIGHT(I2615,LEN(I2615)-FIND("*",I2615)),"-")</f>
        <v>-</v>
      </c>
      <c r="W2616" s="27" t="str">
        <f t="shared" si="1420"/>
        <v>-</v>
      </c>
      <c r="X2616" s="27" t="str">
        <f t="shared" ref="X2616" si="1425">IFERROR(W2616*J2615,"-")</f>
        <v>-</v>
      </c>
      <c r="Z2616" s="94" t="s">
        <v>82</v>
      </c>
    </row>
    <row r="2617" spans="1:26" s="25" customFormat="1" ht="6.95" customHeight="1" x14ac:dyDescent="0.3">
      <c r="A2617" s="10"/>
      <c r="B2617" s="168"/>
      <c r="C2617" s="169"/>
      <c r="D2617" s="160"/>
      <c r="E2617" s="161"/>
      <c r="F2617" s="162"/>
      <c r="G2617" s="163"/>
      <c r="H2617" s="164"/>
      <c r="I2617" s="163"/>
      <c r="J2617" s="164"/>
      <c r="K2617" s="163"/>
      <c r="L2617" s="164"/>
      <c r="M2617" s="11"/>
      <c r="N2617" s="39"/>
      <c r="Q2617" s="15" t="str">
        <f>+CONCATENATE(E2615,K2615)</f>
        <v/>
      </c>
      <c r="R2617" s="15">
        <f>+L2615</f>
        <v>0</v>
      </c>
      <c r="S2617" s="16"/>
      <c r="T2617" s="15">
        <f>+E2615</f>
        <v>0</v>
      </c>
      <c r="U2617" s="26" t="str">
        <f>IFERROR(LEFT(K2615,FIND("*",K2615)-1),"-")</f>
        <v>-</v>
      </c>
      <c r="V2617" s="26" t="str">
        <f>IFERROR(RIGHT(K2615,LEN(K2615)-FIND("*",K2615)),"-")</f>
        <v>-</v>
      </c>
      <c r="W2617" s="27" t="str">
        <f t="shared" si="1420"/>
        <v>-</v>
      </c>
      <c r="X2617" s="27" t="str">
        <f>IFERROR(W2617*L2615,"-")</f>
        <v>-</v>
      </c>
      <c r="Z2617" s="94" t="s">
        <v>82</v>
      </c>
    </row>
    <row r="2618" spans="1:26" s="25" customFormat="1" ht="21" customHeight="1" thickBot="1" x14ac:dyDescent="0.35">
      <c r="A2618" s="10"/>
      <c r="B2618" s="170"/>
      <c r="C2618" s="171"/>
      <c r="D2618" s="172" t="s">
        <v>43</v>
      </c>
      <c r="E2618" s="173"/>
      <c r="F2618" s="173"/>
      <c r="G2618" s="174"/>
      <c r="H2618" s="174"/>
      <c r="I2618" s="174"/>
      <c r="J2618" s="174"/>
      <c r="K2618" s="174"/>
      <c r="L2618" s="174"/>
      <c r="M2618" s="12"/>
      <c r="N2618" s="39"/>
      <c r="U2618" s="23"/>
      <c r="V2618" s="23"/>
      <c r="Z2618" s="95" t="s">
        <v>81</v>
      </c>
    </row>
    <row r="2619" spans="1:26" s="25" customFormat="1" ht="9.9499999999999993" customHeight="1" thickBot="1" x14ac:dyDescent="0.35">
      <c r="A2619" s="6"/>
      <c r="B2619" s="14"/>
      <c r="C2619" s="119"/>
      <c r="D2619" s="58"/>
      <c r="E2619" s="17"/>
      <c r="F2619" s="58"/>
      <c r="G2619" s="19"/>
      <c r="H2619" s="19"/>
      <c r="I2619" s="19"/>
      <c r="J2619" s="19"/>
      <c r="K2619" s="19"/>
      <c r="L2619" s="19"/>
      <c r="M2619" s="14"/>
      <c r="N2619" s="39"/>
      <c r="Q2619" s="1"/>
      <c r="R2619" s="1"/>
      <c r="S2619" s="1"/>
      <c r="T2619" s="1"/>
      <c r="U2619" s="24"/>
      <c r="V2619" s="24"/>
      <c r="W2619" s="1"/>
      <c r="X2619" s="1"/>
      <c r="Z2619" s="94" t="s">
        <v>82</v>
      </c>
    </row>
    <row r="2620" spans="1:26" s="25" customFormat="1" ht="6.95" customHeight="1" x14ac:dyDescent="0.3">
      <c r="A2620" s="165">
        <f>+A2609+1</f>
        <v>239</v>
      </c>
      <c r="B2620" s="166"/>
      <c r="C2620" s="167"/>
      <c r="D2620" s="160" t="s">
        <v>39</v>
      </c>
      <c r="E2620" s="161"/>
      <c r="F2620" s="162" t="s">
        <v>40</v>
      </c>
      <c r="G2620" s="163"/>
      <c r="H2620" s="164"/>
      <c r="I2620" s="163"/>
      <c r="J2620" s="164"/>
      <c r="K2620" s="163"/>
      <c r="L2620" s="164"/>
      <c r="M2620" s="11"/>
      <c r="N2620" s="39"/>
      <c r="Q2620" s="15" t="str">
        <f>+CONCATENATE(E2620,G2620)</f>
        <v/>
      </c>
      <c r="R2620" s="15">
        <f>+H2620</f>
        <v>0</v>
      </c>
      <c r="S2620" s="16"/>
      <c r="T2620" s="15">
        <f>+E2620</f>
        <v>0</v>
      </c>
      <c r="U2620" s="26" t="str">
        <f>IFERROR(LEFT(G2620,FIND("*",G2620)-1),"-")</f>
        <v>-</v>
      </c>
      <c r="V2620" s="26" t="str">
        <f>IFERROR(RIGHT(G2620,LEN(G2620)-FIND("*",G2620)),"-")</f>
        <v>-</v>
      </c>
      <c r="W2620" s="27" t="str">
        <f>IFERROR((U2620+V2620)*2/1000,"-")</f>
        <v>-</v>
      </c>
      <c r="X2620" s="27" t="str">
        <f>IFERROR(W2620*H2620,"-")</f>
        <v>-</v>
      </c>
      <c r="Z2620" s="94" t="s">
        <v>82</v>
      </c>
    </row>
    <row r="2621" spans="1:26" s="25" customFormat="1" ht="6.95" customHeight="1" x14ac:dyDescent="0.3">
      <c r="A2621" s="165"/>
      <c r="B2621" s="168"/>
      <c r="C2621" s="169"/>
      <c r="D2621" s="160"/>
      <c r="E2621" s="161"/>
      <c r="F2621" s="162"/>
      <c r="G2621" s="163"/>
      <c r="H2621" s="164"/>
      <c r="I2621" s="163"/>
      <c r="J2621" s="164"/>
      <c r="K2621" s="163"/>
      <c r="L2621" s="164"/>
      <c r="M2621" s="11"/>
      <c r="N2621" s="39"/>
      <c r="Q2621" s="15" t="str">
        <f>+CONCATENATE(E2620,I2620)</f>
        <v/>
      </c>
      <c r="R2621" s="15">
        <f>+J2620</f>
        <v>0</v>
      </c>
      <c r="S2621" s="16"/>
      <c r="T2621" s="15">
        <f>+E2620</f>
        <v>0</v>
      </c>
      <c r="U2621" s="26" t="str">
        <f>IFERROR(LEFT(I2620,FIND("*",I2620)-1),"-")</f>
        <v>-</v>
      </c>
      <c r="V2621" s="26" t="str">
        <f>IFERROR(RIGHT(I2620,LEN(I2620)-FIND("*",I2620)),"-")</f>
        <v>-</v>
      </c>
      <c r="W2621" s="27" t="str">
        <f t="shared" ref="W2621:W2628" si="1426">IFERROR((U2621+V2621)*2/1000,"-")</f>
        <v>-</v>
      </c>
      <c r="X2621" s="27" t="str">
        <f>IFERROR(W2621*J2620,"-")</f>
        <v>-</v>
      </c>
      <c r="Z2621" s="94" t="s">
        <v>82</v>
      </c>
    </row>
    <row r="2622" spans="1:26" s="25" customFormat="1" ht="6.95" customHeight="1" x14ac:dyDescent="0.3">
      <c r="A2622" s="165"/>
      <c r="B2622" s="168"/>
      <c r="C2622" s="169"/>
      <c r="D2622" s="160"/>
      <c r="E2622" s="161"/>
      <c r="F2622" s="162"/>
      <c r="G2622" s="163"/>
      <c r="H2622" s="164"/>
      <c r="I2622" s="163"/>
      <c r="J2622" s="164"/>
      <c r="K2622" s="163"/>
      <c r="L2622" s="164"/>
      <c r="M2622" s="11"/>
      <c r="N2622" s="39"/>
      <c r="Q2622" s="15" t="str">
        <f>+CONCATENATE(E2620,K2620)</f>
        <v/>
      </c>
      <c r="R2622" s="15">
        <f>+L2620</f>
        <v>0</v>
      </c>
      <c r="S2622" s="16"/>
      <c r="T2622" s="15">
        <f>+E2620</f>
        <v>0</v>
      </c>
      <c r="U2622" s="26" t="str">
        <f>IFERROR(LEFT(K2620,FIND("*",K2620)-1),"-")</f>
        <v>-</v>
      </c>
      <c r="V2622" s="26" t="str">
        <f>IFERROR(RIGHT(K2620,LEN(K2620)-FIND("*",K2620)),"-")</f>
        <v>-</v>
      </c>
      <c r="W2622" s="27" t="str">
        <f t="shared" si="1426"/>
        <v>-</v>
      </c>
      <c r="X2622" s="27" t="str">
        <f>IFERROR(W2622*L2620,"-")</f>
        <v>-</v>
      </c>
      <c r="Z2622" s="94" t="s">
        <v>82</v>
      </c>
    </row>
    <row r="2623" spans="1:26" s="25" customFormat="1" ht="6.95" customHeight="1" x14ac:dyDescent="0.3">
      <c r="A2623" s="13"/>
      <c r="B2623" s="168"/>
      <c r="C2623" s="169"/>
      <c r="D2623" s="160" t="s">
        <v>39</v>
      </c>
      <c r="E2623" s="161"/>
      <c r="F2623" s="162" t="s">
        <v>40</v>
      </c>
      <c r="G2623" s="163"/>
      <c r="H2623" s="164"/>
      <c r="I2623" s="163"/>
      <c r="J2623" s="164"/>
      <c r="K2623" s="163"/>
      <c r="L2623" s="164"/>
      <c r="M2623" s="11"/>
      <c r="N2623" s="39"/>
      <c r="Q2623" s="15" t="str">
        <f>+CONCATENATE(E2623,G2623)</f>
        <v/>
      </c>
      <c r="R2623" s="15">
        <f>+H2623</f>
        <v>0</v>
      </c>
      <c r="S2623" s="16"/>
      <c r="T2623" s="15">
        <f>+E2623</f>
        <v>0</v>
      </c>
      <c r="U2623" s="26" t="str">
        <f t="shared" ref="U2623" si="1427">IFERROR(LEFT(G2623,FIND("*",G2623)-1),"-")</f>
        <v>-</v>
      </c>
      <c r="V2623" s="26" t="str">
        <f t="shared" ref="V2623" si="1428">IFERROR(RIGHT(G2623,LEN(G2623)-FIND("*",G2623)),"-")</f>
        <v>-</v>
      </c>
      <c r="W2623" s="27" t="str">
        <f t="shared" si="1426"/>
        <v>-</v>
      </c>
      <c r="X2623" s="27" t="str">
        <f>IFERROR(W2623*H2623,"-")</f>
        <v>-</v>
      </c>
      <c r="Z2623" s="94" t="s">
        <v>82</v>
      </c>
    </row>
    <row r="2624" spans="1:26" s="25" customFormat="1" ht="6.95" customHeight="1" x14ac:dyDescent="0.3">
      <c r="A2624" s="10"/>
      <c r="B2624" s="168"/>
      <c r="C2624" s="169"/>
      <c r="D2624" s="160"/>
      <c r="E2624" s="161"/>
      <c r="F2624" s="162"/>
      <c r="G2624" s="163"/>
      <c r="H2624" s="164"/>
      <c r="I2624" s="163"/>
      <c r="J2624" s="164"/>
      <c r="K2624" s="163"/>
      <c r="L2624" s="164"/>
      <c r="M2624" s="11"/>
      <c r="N2624" s="39"/>
      <c r="Q2624" s="15" t="str">
        <f>+CONCATENATE(E2623,I2623)</f>
        <v/>
      </c>
      <c r="R2624" s="15">
        <f>+J2623</f>
        <v>0</v>
      </c>
      <c r="S2624" s="16"/>
      <c r="T2624" s="15">
        <f>+E2623</f>
        <v>0</v>
      </c>
      <c r="U2624" s="26" t="str">
        <f>IFERROR(LEFT(I2623,FIND("*",I2623)-1),"-")</f>
        <v>-</v>
      </c>
      <c r="V2624" s="26" t="str">
        <f>IFERROR(RIGHT(I2623,LEN(I2623)-FIND("*",I2623)),"-")</f>
        <v>-</v>
      </c>
      <c r="W2624" s="27" t="str">
        <f t="shared" si="1426"/>
        <v>-</v>
      </c>
      <c r="X2624" s="27" t="str">
        <f>IFERROR(W2624*J2623,"-")</f>
        <v>-</v>
      </c>
      <c r="Z2624" s="94" t="s">
        <v>82</v>
      </c>
    </row>
    <row r="2625" spans="1:26" s="25" customFormat="1" ht="6.95" customHeight="1" x14ac:dyDescent="0.3">
      <c r="A2625" s="10"/>
      <c r="B2625" s="168"/>
      <c r="C2625" s="169"/>
      <c r="D2625" s="160"/>
      <c r="E2625" s="161"/>
      <c r="F2625" s="162"/>
      <c r="G2625" s="163"/>
      <c r="H2625" s="164"/>
      <c r="I2625" s="163"/>
      <c r="J2625" s="164"/>
      <c r="K2625" s="163"/>
      <c r="L2625" s="164"/>
      <c r="M2625" s="11"/>
      <c r="N2625" s="39"/>
      <c r="Q2625" s="15" t="str">
        <f>+CONCATENATE(E2623,K2623)</f>
        <v/>
      </c>
      <c r="R2625" s="15">
        <f>+L2623</f>
        <v>0</v>
      </c>
      <c r="S2625" s="16"/>
      <c r="T2625" s="15">
        <f>+E2623</f>
        <v>0</v>
      </c>
      <c r="U2625" s="26" t="str">
        <f>IFERROR(LEFT(K2623,FIND("*",K2623)-1),"-")</f>
        <v>-</v>
      </c>
      <c r="V2625" s="26" t="str">
        <f>IFERROR(RIGHT(K2623,LEN(K2623)-FIND("*",K2623)),"-")</f>
        <v>-</v>
      </c>
      <c r="W2625" s="27" t="str">
        <f t="shared" si="1426"/>
        <v>-</v>
      </c>
      <c r="X2625" s="27" t="str">
        <f>IFERROR(W2625*L2623,"-")</f>
        <v>-</v>
      </c>
      <c r="Z2625" s="94" t="s">
        <v>82</v>
      </c>
    </row>
    <row r="2626" spans="1:26" s="25" customFormat="1" ht="6.95" customHeight="1" x14ac:dyDescent="0.3">
      <c r="A2626" s="13"/>
      <c r="B2626" s="168"/>
      <c r="C2626" s="169"/>
      <c r="D2626" s="160" t="s">
        <v>39</v>
      </c>
      <c r="E2626" s="161"/>
      <c r="F2626" s="162" t="s">
        <v>40</v>
      </c>
      <c r="G2626" s="163"/>
      <c r="H2626" s="164"/>
      <c r="I2626" s="163"/>
      <c r="J2626" s="164"/>
      <c r="K2626" s="163"/>
      <c r="L2626" s="164"/>
      <c r="M2626" s="11"/>
      <c r="N2626" s="39"/>
      <c r="Q2626" s="15" t="str">
        <f>+CONCATENATE(E2626,G2626)</f>
        <v/>
      </c>
      <c r="R2626" s="15">
        <f>+H2626</f>
        <v>0</v>
      </c>
      <c r="S2626" s="16"/>
      <c r="T2626" s="15">
        <f>+E2626</f>
        <v>0</v>
      </c>
      <c r="U2626" s="26" t="str">
        <f t="shared" ref="U2626" si="1429">IFERROR(LEFT(G2626,FIND("*",G2626)-1),"-")</f>
        <v>-</v>
      </c>
      <c r="V2626" s="26" t="str">
        <f t="shared" ref="V2626" si="1430">IFERROR(RIGHT(G2626,LEN(G2626)-FIND("*",G2626)),"-")</f>
        <v>-</v>
      </c>
      <c r="W2626" s="27" t="str">
        <f t="shared" si="1426"/>
        <v>-</v>
      </c>
      <c r="X2626" s="27" t="str">
        <f>IFERROR(W2626*H2626,"-")</f>
        <v>-</v>
      </c>
      <c r="Z2626" s="94" t="s">
        <v>82</v>
      </c>
    </row>
    <row r="2627" spans="1:26" s="25" customFormat="1" ht="6.95" customHeight="1" x14ac:dyDescent="0.3">
      <c r="A2627" s="10"/>
      <c r="B2627" s="168"/>
      <c r="C2627" s="169"/>
      <c r="D2627" s="160"/>
      <c r="E2627" s="161"/>
      <c r="F2627" s="162"/>
      <c r="G2627" s="163"/>
      <c r="H2627" s="164"/>
      <c r="I2627" s="163"/>
      <c r="J2627" s="164"/>
      <c r="K2627" s="163"/>
      <c r="L2627" s="164"/>
      <c r="M2627" s="11"/>
      <c r="N2627" s="39"/>
      <c r="Q2627" s="15" t="str">
        <f>+CONCATENATE(E2626,I2626)</f>
        <v/>
      </c>
      <c r="R2627" s="15">
        <f>+J2626</f>
        <v>0</v>
      </c>
      <c r="S2627" s="16"/>
      <c r="T2627" s="15">
        <f>+E2626</f>
        <v>0</v>
      </c>
      <c r="U2627" s="26" t="str">
        <f>IFERROR(LEFT(I2626,FIND("*",I2626)-1),"-")</f>
        <v>-</v>
      </c>
      <c r="V2627" s="26" t="str">
        <f>IFERROR(RIGHT(I2626,LEN(I2626)-FIND("*",I2626)),"-")</f>
        <v>-</v>
      </c>
      <c r="W2627" s="27" t="str">
        <f t="shared" si="1426"/>
        <v>-</v>
      </c>
      <c r="X2627" s="27" t="str">
        <f t="shared" ref="X2627" si="1431">IFERROR(W2627*J2626,"-")</f>
        <v>-</v>
      </c>
      <c r="Z2627" s="94" t="s">
        <v>82</v>
      </c>
    </row>
    <row r="2628" spans="1:26" s="25" customFormat="1" ht="6.95" customHeight="1" x14ac:dyDescent="0.3">
      <c r="A2628" s="10"/>
      <c r="B2628" s="168"/>
      <c r="C2628" s="169"/>
      <c r="D2628" s="160"/>
      <c r="E2628" s="161"/>
      <c r="F2628" s="162"/>
      <c r="G2628" s="163"/>
      <c r="H2628" s="164"/>
      <c r="I2628" s="163"/>
      <c r="J2628" s="164"/>
      <c r="K2628" s="163"/>
      <c r="L2628" s="164"/>
      <c r="M2628" s="11"/>
      <c r="N2628" s="39"/>
      <c r="Q2628" s="15" t="str">
        <f>+CONCATENATE(E2626,K2626)</f>
        <v/>
      </c>
      <c r="R2628" s="15">
        <f>+L2626</f>
        <v>0</v>
      </c>
      <c r="S2628" s="16"/>
      <c r="T2628" s="15">
        <f>+E2626</f>
        <v>0</v>
      </c>
      <c r="U2628" s="26" t="str">
        <f>IFERROR(LEFT(K2626,FIND("*",K2626)-1),"-")</f>
        <v>-</v>
      </c>
      <c r="V2628" s="26" t="str">
        <f>IFERROR(RIGHT(K2626,LEN(K2626)-FIND("*",K2626)),"-")</f>
        <v>-</v>
      </c>
      <c r="W2628" s="27" t="str">
        <f t="shared" si="1426"/>
        <v>-</v>
      </c>
      <c r="X2628" s="27" t="str">
        <f>IFERROR(W2628*L2626,"-")</f>
        <v>-</v>
      </c>
      <c r="Z2628" s="94" t="s">
        <v>82</v>
      </c>
    </row>
    <row r="2629" spans="1:26" s="25" customFormat="1" ht="21" customHeight="1" thickBot="1" x14ac:dyDescent="0.35">
      <c r="A2629" s="10"/>
      <c r="B2629" s="170"/>
      <c r="C2629" s="171"/>
      <c r="D2629" s="172" t="s">
        <v>43</v>
      </c>
      <c r="E2629" s="173"/>
      <c r="F2629" s="173"/>
      <c r="G2629" s="174"/>
      <c r="H2629" s="174"/>
      <c r="I2629" s="174"/>
      <c r="J2629" s="174"/>
      <c r="K2629" s="174"/>
      <c r="L2629" s="174"/>
      <c r="M2629" s="12"/>
      <c r="N2629" s="39"/>
      <c r="U2629" s="23"/>
      <c r="V2629" s="23"/>
      <c r="Z2629" s="95" t="s">
        <v>81</v>
      </c>
    </row>
    <row r="2630" spans="1:26" s="25" customFormat="1" ht="9.9499999999999993" customHeight="1" thickBot="1" x14ac:dyDescent="0.35">
      <c r="A2630" s="6"/>
      <c r="B2630" s="14"/>
      <c r="C2630" s="119"/>
      <c r="D2630" s="58"/>
      <c r="E2630" s="17"/>
      <c r="F2630" s="58"/>
      <c r="G2630" s="19"/>
      <c r="H2630" s="19"/>
      <c r="I2630" s="19"/>
      <c r="J2630" s="19"/>
      <c r="K2630" s="19"/>
      <c r="L2630" s="19"/>
      <c r="M2630" s="14"/>
      <c r="N2630" s="39"/>
      <c r="Q2630" s="1"/>
      <c r="R2630" s="1"/>
      <c r="S2630" s="1"/>
      <c r="T2630" s="1"/>
      <c r="U2630" s="24"/>
      <c r="V2630" s="24"/>
      <c r="W2630" s="1"/>
      <c r="X2630" s="1"/>
      <c r="Z2630" s="94" t="s">
        <v>82</v>
      </c>
    </row>
    <row r="2631" spans="1:26" s="25" customFormat="1" ht="6.95" customHeight="1" x14ac:dyDescent="0.3">
      <c r="A2631" s="165">
        <f>+A2620+1</f>
        <v>240</v>
      </c>
      <c r="B2631" s="166"/>
      <c r="C2631" s="167"/>
      <c r="D2631" s="160" t="s">
        <v>39</v>
      </c>
      <c r="E2631" s="161"/>
      <c r="F2631" s="162" t="s">
        <v>40</v>
      </c>
      <c r="G2631" s="163"/>
      <c r="H2631" s="164"/>
      <c r="I2631" s="163"/>
      <c r="J2631" s="164"/>
      <c r="K2631" s="163"/>
      <c r="L2631" s="164"/>
      <c r="M2631" s="11"/>
      <c r="N2631" s="39"/>
      <c r="Q2631" s="15" t="str">
        <f>+CONCATENATE(E2631,G2631)</f>
        <v/>
      </c>
      <c r="R2631" s="15">
        <f>+H2631</f>
        <v>0</v>
      </c>
      <c r="S2631" s="16"/>
      <c r="T2631" s="15">
        <f>+E2631</f>
        <v>0</v>
      </c>
      <c r="U2631" s="26" t="str">
        <f>IFERROR(LEFT(G2631,FIND("*",G2631)-1),"-")</f>
        <v>-</v>
      </c>
      <c r="V2631" s="26" t="str">
        <f>IFERROR(RIGHT(G2631,LEN(G2631)-FIND("*",G2631)),"-")</f>
        <v>-</v>
      </c>
      <c r="W2631" s="27" t="str">
        <f>IFERROR((U2631+V2631)*2/1000,"-")</f>
        <v>-</v>
      </c>
      <c r="X2631" s="27" t="str">
        <f>IFERROR(W2631*H2631,"-")</f>
        <v>-</v>
      </c>
      <c r="Z2631" s="94" t="s">
        <v>82</v>
      </c>
    </row>
    <row r="2632" spans="1:26" s="25" customFormat="1" ht="6.95" customHeight="1" x14ac:dyDescent="0.3">
      <c r="A2632" s="165"/>
      <c r="B2632" s="168"/>
      <c r="C2632" s="169"/>
      <c r="D2632" s="160"/>
      <c r="E2632" s="161"/>
      <c r="F2632" s="162"/>
      <c r="G2632" s="163"/>
      <c r="H2632" s="164"/>
      <c r="I2632" s="163"/>
      <c r="J2632" s="164"/>
      <c r="K2632" s="163"/>
      <c r="L2632" s="164"/>
      <c r="M2632" s="11"/>
      <c r="N2632" s="39"/>
      <c r="Q2632" s="15" t="str">
        <f>+CONCATENATE(E2631,I2631)</f>
        <v/>
      </c>
      <c r="R2632" s="15">
        <f>+J2631</f>
        <v>0</v>
      </c>
      <c r="S2632" s="16"/>
      <c r="T2632" s="15">
        <f>+E2631</f>
        <v>0</v>
      </c>
      <c r="U2632" s="26" t="str">
        <f>IFERROR(LEFT(I2631,FIND("*",I2631)-1),"-")</f>
        <v>-</v>
      </c>
      <c r="V2632" s="26" t="str">
        <f>IFERROR(RIGHT(I2631,LEN(I2631)-FIND("*",I2631)),"-")</f>
        <v>-</v>
      </c>
      <c r="W2632" s="27" t="str">
        <f t="shared" ref="W2632:W2639" si="1432">IFERROR((U2632+V2632)*2/1000,"-")</f>
        <v>-</v>
      </c>
      <c r="X2632" s="27" t="str">
        <f>IFERROR(W2632*J2631,"-")</f>
        <v>-</v>
      </c>
      <c r="Z2632" s="94" t="s">
        <v>82</v>
      </c>
    </row>
    <row r="2633" spans="1:26" s="25" customFormat="1" ht="6.95" customHeight="1" x14ac:dyDescent="0.3">
      <c r="A2633" s="165"/>
      <c r="B2633" s="168"/>
      <c r="C2633" s="169"/>
      <c r="D2633" s="160"/>
      <c r="E2633" s="161"/>
      <c r="F2633" s="162"/>
      <c r="G2633" s="163"/>
      <c r="H2633" s="164"/>
      <c r="I2633" s="163"/>
      <c r="J2633" s="164"/>
      <c r="K2633" s="163"/>
      <c r="L2633" s="164"/>
      <c r="M2633" s="11"/>
      <c r="N2633" s="39"/>
      <c r="Q2633" s="15" t="str">
        <f>+CONCATENATE(E2631,K2631)</f>
        <v/>
      </c>
      <c r="R2633" s="15">
        <f>+L2631</f>
        <v>0</v>
      </c>
      <c r="S2633" s="16"/>
      <c r="T2633" s="15">
        <f>+E2631</f>
        <v>0</v>
      </c>
      <c r="U2633" s="26" t="str">
        <f>IFERROR(LEFT(K2631,FIND("*",K2631)-1),"-")</f>
        <v>-</v>
      </c>
      <c r="V2633" s="26" t="str">
        <f>IFERROR(RIGHT(K2631,LEN(K2631)-FIND("*",K2631)),"-")</f>
        <v>-</v>
      </c>
      <c r="W2633" s="27" t="str">
        <f t="shared" si="1432"/>
        <v>-</v>
      </c>
      <c r="X2633" s="27" t="str">
        <f>IFERROR(W2633*L2631,"-")</f>
        <v>-</v>
      </c>
      <c r="Z2633" s="94" t="s">
        <v>82</v>
      </c>
    </row>
    <row r="2634" spans="1:26" s="25" customFormat="1" ht="6.95" customHeight="1" x14ac:dyDescent="0.3">
      <c r="A2634" s="13"/>
      <c r="B2634" s="168"/>
      <c r="C2634" s="169"/>
      <c r="D2634" s="160" t="s">
        <v>39</v>
      </c>
      <c r="E2634" s="161"/>
      <c r="F2634" s="162" t="s">
        <v>40</v>
      </c>
      <c r="G2634" s="163"/>
      <c r="H2634" s="164"/>
      <c r="I2634" s="163"/>
      <c r="J2634" s="164"/>
      <c r="K2634" s="163"/>
      <c r="L2634" s="164"/>
      <c r="M2634" s="11"/>
      <c r="N2634" s="39"/>
      <c r="Q2634" s="15" t="str">
        <f>+CONCATENATE(E2634,G2634)</f>
        <v/>
      </c>
      <c r="R2634" s="15">
        <f>+H2634</f>
        <v>0</v>
      </c>
      <c r="S2634" s="16"/>
      <c r="T2634" s="15">
        <f>+E2634</f>
        <v>0</v>
      </c>
      <c r="U2634" s="26" t="str">
        <f t="shared" ref="U2634" si="1433">IFERROR(LEFT(G2634,FIND("*",G2634)-1),"-")</f>
        <v>-</v>
      </c>
      <c r="V2634" s="26" t="str">
        <f t="shared" ref="V2634" si="1434">IFERROR(RIGHT(G2634,LEN(G2634)-FIND("*",G2634)),"-")</f>
        <v>-</v>
      </c>
      <c r="W2634" s="27" t="str">
        <f t="shared" si="1432"/>
        <v>-</v>
      </c>
      <c r="X2634" s="27" t="str">
        <f>IFERROR(W2634*H2634,"-")</f>
        <v>-</v>
      </c>
      <c r="Z2634" s="94" t="s">
        <v>82</v>
      </c>
    </row>
    <row r="2635" spans="1:26" s="25" customFormat="1" ht="6.95" customHeight="1" x14ac:dyDescent="0.3">
      <c r="A2635" s="10"/>
      <c r="B2635" s="168"/>
      <c r="C2635" s="169"/>
      <c r="D2635" s="160"/>
      <c r="E2635" s="161"/>
      <c r="F2635" s="162"/>
      <c r="G2635" s="163"/>
      <c r="H2635" s="164"/>
      <c r="I2635" s="163"/>
      <c r="J2635" s="164"/>
      <c r="K2635" s="163"/>
      <c r="L2635" s="164"/>
      <c r="M2635" s="11"/>
      <c r="N2635" s="39"/>
      <c r="Q2635" s="15" t="str">
        <f>+CONCATENATE(E2634,I2634)</f>
        <v/>
      </c>
      <c r="R2635" s="15">
        <f>+J2634</f>
        <v>0</v>
      </c>
      <c r="S2635" s="16"/>
      <c r="T2635" s="15">
        <f>+E2634</f>
        <v>0</v>
      </c>
      <c r="U2635" s="26" t="str">
        <f>IFERROR(LEFT(I2634,FIND("*",I2634)-1),"-")</f>
        <v>-</v>
      </c>
      <c r="V2635" s="26" t="str">
        <f>IFERROR(RIGHT(I2634,LEN(I2634)-FIND("*",I2634)),"-")</f>
        <v>-</v>
      </c>
      <c r="W2635" s="27" t="str">
        <f t="shared" si="1432"/>
        <v>-</v>
      </c>
      <c r="X2635" s="27" t="str">
        <f>IFERROR(W2635*J2634,"-")</f>
        <v>-</v>
      </c>
      <c r="Z2635" s="94" t="s">
        <v>82</v>
      </c>
    </row>
    <row r="2636" spans="1:26" s="25" customFormat="1" ht="6.95" customHeight="1" x14ac:dyDescent="0.3">
      <c r="A2636" s="10"/>
      <c r="B2636" s="168"/>
      <c r="C2636" s="169"/>
      <c r="D2636" s="160"/>
      <c r="E2636" s="161"/>
      <c r="F2636" s="162"/>
      <c r="G2636" s="163"/>
      <c r="H2636" s="164"/>
      <c r="I2636" s="163"/>
      <c r="J2636" s="164"/>
      <c r="K2636" s="163"/>
      <c r="L2636" s="164"/>
      <c r="M2636" s="11"/>
      <c r="N2636" s="39"/>
      <c r="Q2636" s="15" t="str">
        <f>+CONCATENATE(E2634,K2634)</f>
        <v/>
      </c>
      <c r="R2636" s="15">
        <f>+L2634</f>
        <v>0</v>
      </c>
      <c r="S2636" s="16"/>
      <c r="T2636" s="15">
        <f>+E2634</f>
        <v>0</v>
      </c>
      <c r="U2636" s="26" t="str">
        <f>IFERROR(LEFT(K2634,FIND("*",K2634)-1),"-")</f>
        <v>-</v>
      </c>
      <c r="V2636" s="26" t="str">
        <f>IFERROR(RIGHT(K2634,LEN(K2634)-FIND("*",K2634)),"-")</f>
        <v>-</v>
      </c>
      <c r="W2636" s="27" t="str">
        <f t="shared" si="1432"/>
        <v>-</v>
      </c>
      <c r="X2636" s="27" t="str">
        <f>IFERROR(W2636*L2634,"-")</f>
        <v>-</v>
      </c>
      <c r="Z2636" s="94" t="s">
        <v>82</v>
      </c>
    </row>
    <row r="2637" spans="1:26" s="25" customFormat="1" ht="6.95" customHeight="1" x14ac:dyDescent="0.3">
      <c r="A2637" s="13"/>
      <c r="B2637" s="168"/>
      <c r="C2637" s="169"/>
      <c r="D2637" s="160" t="s">
        <v>39</v>
      </c>
      <c r="E2637" s="161"/>
      <c r="F2637" s="162" t="s">
        <v>40</v>
      </c>
      <c r="G2637" s="163"/>
      <c r="H2637" s="164"/>
      <c r="I2637" s="163"/>
      <c r="J2637" s="164"/>
      <c r="K2637" s="163"/>
      <c r="L2637" s="164"/>
      <c r="M2637" s="11"/>
      <c r="N2637" s="39"/>
      <c r="Q2637" s="15" t="str">
        <f>+CONCATENATE(E2637,G2637)</f>
        <v/>
      </c>
      <c r="R2637" s="15">
        <f>+H2637</f>
        <v>0</v>
      </c>
      <c r="S2637" s="16"/>
      <c r="T2637" s="15">
        <f>+E2637</f>
        <v>0</v>
      </c>
      <c r="U2637" s="26" t="str">
        <f t="shared" ref="U2637" si="1435">IFERROR(LEFT(G2637,FIND("*",G2637)-1),"-")</f>
        <v>-</v>
      </c>
      <c r="V2637" s="26" t="str">
        <f t="shared" ref="V2637" si="1436">IFERROR(RIGHT(G2637,LEN(G2637)-FIND("*",G2637)),"-")</f>
        <v>-</v>
      </c>
      <c r="W2637" s="27" t="str">
        <f t="shared" si="1432"/>
        <v>-</v>
      </c>
      <c r="X2637" s="27" t="str">
        <f>IFERROR(W2637*H2637,"-")</f>
        <v>-</v>
      </c>
      <c r="Z2637" s="94" t="s">
        <v>82</v>
      </c>
    </row>
    <row r="2638" spans="1:26" s="25" customFormat="1" ht="6.95" customHeight="1" x14ac:dyDescent="0.3">
      <c r="A2638" s="10"/>
      <c r="B2638" s="168"/>
      <c r="C2638" s="169"/>
      <c r="D2638" s="160"/>
      <c r="E2638" s="161"/>
      <c r="F2638" s="162"/>
      <c r="G2638" s="163"/>
      <c r="H2638" s="164"/>
      <c r="I2638" s="163"/>
      <c r="J2638" s="164"/>
      <c r="K2638" s="163"/>
      <c r="L2638" s="164"/>
      <c r="M2638" s="11"/>
      <c r="N2638" s="39"/>
      <c r="Q2638" s="15" t="str">
        <f>+CONCATENATE(E2637,I2637)</f>
        <v/>
      </c>
      <c r="R2638" s="15">
        <f>+J2637</f>
        <v>0</v>
      </c>
      <c r="S2638" s="16"/>
      <c r="T2638" s="15">
        <f>+E2637</f>
        <v>0</v>
      </c>
      <c r="U2638" s="26" t="str">
        <f>IFERROR(LEFT(I2637,FIND("*",I2637)-1),"-")</f>
        <v>-</v>
      </c>
      <c r="V2638" s="26" t="str">
        <f>IFERROR(RIGHT(I2637,LEN(I2637)-FIND("*",I2637)),"-")</f>
        <v>-</v>
      </c>
      <c r="W2638" s="27" t="str">
        <f t="shared" si="1432"/>
        <v>-</v>
      </c>
      <c r="X2638" s="27" t="str">
        <f t="shared" ref="X2638" si="1437">IFERROR(W2638*J2637,"-")</f>
        <v>-</v>
      </c>
      <c r="Z2638" s="94" t="s">
        <v>82</v>
      </c>
    </row>
    <row r="2639" spans="1:26" s="25" customFormat="1" ht="6.95" customHeight="1" x14ac:dyDescent="0.3">
      <c r="A2639" s="10"/>
      <c r="B2639" s="168"/>
      <c r="C2639" s="169"/>
      <c r="D2639" s="160"/>
      <c r="E2639" s="161"/>
      <c r="F2639" s="162"/>
      <c r="G2639" s="163"/>
      <c r="H2639" s="164"/>
      <c r="I2639" s="163"/>
      <c r="J2639" s="164"/>
      <c r="K2639" s="163"/>
      <c r="L2639" s="164"/>
      <c r="M2639" s="11"/>
      <c r="N2639" s="39"/>
      <c r="Q2639" s="15" t="str">
        <f>+CONCATENATE(E2637,K2637)</f>
        <v/>
      </c>
      <c r="R2639" s="15">
        <f>+L2637</f>
        <v>0</v>
      </c>
      <c r="S2639" s="16"/>
      <c r="T2639" s="15">
        <f>+E2637</f>
        <v>0</v>
      </c>
      <c r="U2639" s="26" t="str">
        <f>IFERROR(LEFT(K2637,FIND("*",K2637)-1),"-")</f>
        <v>-</v>
      </c>
      <c r="V2639" s="26" t="str">
        <f>IFERROR(RIGHT(K2637,LEN(K2637)-FIND("*",K2637)),"-")</f>
        <v>-</v>
      </c>
      <c r="W2639" s="27" t="str">
        <f t="shared" si="1432"/>
        <v>-</v>
      </c>
      <c r="X2639" s="27" t="str">
        <f>IFERROR(W2639*L2637,"-")</f>
        <v>-</v>
      </c>
      <c r="Z2639" s="94" t="s">
        <v>82</v>
      </c>
    </row>
    <row r="2640" spans="1:26" s="25" customFormat="1" ht="21" customHeight="1" thickBot="1" x14ac:dyDescent="0.35">
      <c r="A2640" s="10"/>
      <c r="B2640" s="170"/>
      <c r="C2640" s="171"/>
      <c r="D2640" s="172" t="s">
        <v>43</v>
      </c>
      <c r="E2640" s="173"/>
      <c r="F2640" s="173"/>
      <c r="G2640" s="174"/>
      <c r="H2640" s="174"/>
      <c r="I2640" s="174"/>
      <c r="J2640" s="174"/>
      <c r="K2640" s="174"/>
      <c r="L2640" s="174"/>
      <c r="M2640" s="12"/>
      <c r="N2640" s="39"/>
      <c r="U2640" s="23"/>
      <c r="V2640" s="23"/>
      <c r="Z2640" s="95" t="s">
        <v>81</v>
      </c>
    </row>
    <row r="2641" spans="1:26" s="25" customFormat="1" ht="9.9499999999999993" customHeight="1" thickBot="1" x14ac:dyDescent="0.35">
      <c r="A2641" s="6"/>
      <c r="B2641" s="14"/>
      <c r="C2641" s="119"/>
      <c r="D2641" s="58"/>
      <c r="E2641" s="17"/>
      <c r="F2641" s="58"/>
      <c r="G2641" s="19"/>
      <c r="H2641" s="19"/>
      <c r="I2641" s="19"/>
      <c r="J2641" s="19"/>
      <c r="K2641" s="19"/>
      <c r="L2641" s="19"/>
      <c r="M2641" s="14"/>
      <c r="N2641" s="39"/>
      <c r="Q2641" s="1"/>
      <c r="R2641" s="1"/>
      <c r="S2641" s="1"/>
      <c r="T2641" s="1"/>
      <c r="U2641" s="24"/>
      <c r="V2641" s="24"/>
      <c r="W2641" s="1"/>
      <c r="X2641" s="1"/>
      <c r="Z2641" s="94" t="s">
        <v>82</v>
      </c>
    </row>
    <row r="2642" spans="1:26" s="25" customFormat="1" ht="6.95" customHeight="1" x14ac:dyDescent="0.3">
      <c r="A2642" s="165">
        <f>+A2631+1</f>
        <v>241</v>
      </c>
      <c r="B2642" s="166"/>
      <c r="C2642" s="167"/>
      <c r="D2642" s="160" t="s">
        <v>39</v>
      </c>
      <c r="E2642" s="161"/>
      <c r="F2642" s="162" t="s">
        <v>40</v>
      </c>
      <c r="G2642" s="163"/>
      <c r="H2642" s="164"/>
      <c r="I2642" s="163"/>
      <c r="J2642" s="164"/>
      <c r="K2642" s="163"/>
      <c r="L2642" s="164"/>
      <c r="M2642" s="11"/>
      <c r="N2642" s="39"/>
      <c r="Q2642" s="15" t="str">
        <f>+CONCATENATE(E2642,G2642)</f>
        <v/>
      </c>
      <c r="R2642" s="15">
        <f>+H2642</f>
        <v>0</v>
      </c>
      <c r="S2642" s="16"/>
      <c r="T2642" s="15">
        <f>+E2642</f>
        <v>0</v>
      </c>
      <c r="U2642" s="26" t="str">
        <f>IFERROR(LEFT(G2642,FIND("*",G2642)-1),"-")</f>
        <v>-</v>
      </c>
      <c r="V2642" s="26" t="str">
        <f>IFERROR(RIGHT(G2642,LEN(G2642)-FIND("*",G2642)),"-")</f>
        <v>-</v>
      </c>
      <c r="W2642" s="27" t="str">
        <f>IFERROR((U2642+V2642)*2/1000,"-")</f>
        <v>-</v>
      </c>
      <c r="X2642" s="27" t="str">
        <f>IFERROR(W2642*H2642,"-")</f>
        <v>-</v>
      </c>
      <c r="Z2642" s="94" t="s">
        <v>82</v>
      </c>
    </row>
    <row r="2643" spans="1:26" s="25" customFormat="1" ht="6.95" customHeight="1" x14ac:dyDescent="0.3">
      <c r="A2643" s="165"/>
      <c r="B2643" s="168"/>
      <c r="C2643" s="169"/>
      <c r="D2643" s="160"/>
      <c r="E2643" s="161"/>
      <c r="F2643" s="162"/>
      <c r="G2643" s="163"/>
      <c r="H2643" s="164"/>
      <c r="I2643" s="163"/>
      <c r="J2643" s="164"/>
      <c r="K2643" s="163"/>
      <c r="L2643" s="164"/>
      <c r="M2643" s="11"/>
      <c r="N2643" s="39"/>
      <c r="Q2643" s="15" t="str">
        <f>+CONCATENATE(E2642,I2642)</f>
        <v/>
      </c>
      <c r="R2643" s="15">
        <f>+J2642</f>
        <v>0</v>
      </c>
      <c r="S2643" s="16"/>
      <c r="T2643" s="15">
        <f>+E2642</f>
        <v>0</v>
      </c>
      <c r="U2643" s="26" t="str">
        <f>IFERROR(LEFT(I2642,FIND("*",I2642)-1),"-")</f>
        <v>-</v>
      </c>
      <c r="V2643" s="26" t="str">
        <f>IFERROR(RIGHT(I2642,LEN(I2642)-FIND("*",I2642)),"-")</f>
        <v>-</v>
      </c>
      <c r="W2643" s="27" t="str">
        <f t="shared" ref="W2643:W2650" si="1438">IFERROR((U2643+V2643)*2/1000,"-")</f>
        <v>-</v>
      </c>
      <c r="X2643" s="27" t="str">
        <f>IFERROR(W2643*J2642,"-")</f>
        <v>-</v>
      </c>
      <c r="Z2643" s="94" t="s">
        <v>82</v>
      </c>
    </row>
    <row r="2644" spans="1:26" s="25" customFormat="1" ht="6.95" customHeight="1" x14ac:dyDescent="0.3">
      <c r="A2644" s="165"/>
      <c r="B2644" s="168"/>
      <c r="C2644" s="169"/>
      <c r="D2644" s="160"/>
      <c r="E2644" s="161"/>
      <c r="F2644" s="162"/>
      <c r="G2644" s="163"/>
      <c r="H2644" s="164"/>
      <c r="I2644" s="163"/>
      <c r="J2644" s="164"/>
      <c r="K2644" s="163"/>
      <c r="L2644" s="164"/>
      <c r="M2644" s="11"/>
      <c r="N2644" s="39"/>
      <c r="Q2644" s="15" t="str">
        <f>+CONCATENATE(E2642,K2642)</f>
        <v/>
      </c>
      <c r="R2644" s="15">
        <f>+L2642</f>
        <v>0</v>
      </c>
      <c r="S2644" s="16"/>
      <c r="T2644" s="15">
        <f>+E2642</f>
        <v>0</v>
      </c>
      <c r="U2644" s="26" t="str">
        <f>IFERROR(LEFT(K2642,FIND("*",K2642)-1),"-")</f>
        <v>-</v>
      </c>
      <c r="V2644" s="26" t="str">
        <f>IFERROR(RIGHT(K2642,LEN(K2642)-FIND("*",K2642)),"-")</f>
        <v>-</v>
      </c>
      <c r="W2644" s="27" t="str">
        <f t="shared" si="1438"/>
        <v>-</v>
      </c>
      <c r="X2644" s="27" t="str">
        <f>IFERROR(W2644*L2642,"-")</f>
        <v>-</v>
      </c>
      <c r="Z2644" s="94" t="s">
        <v>82</v>
      </c>
    </row>
    <row r="2645" spans="1:26" s="25" customFormat="1" ht="6.95" customHeight="1" x14ac:dyDescent="0.3">
      <c r="A2645" s="13"/>
      <c r="B2645" s="168"/>
      <c r="C2645" s="169"/>
      <c r="D2645" s="160" t="s">
        <v>39</v>
      </c>
      <c r="E2645" s="161"/>
      <c r="F2645" s="162" t="s">
        <v>40</v>
      </c>
      <c r="G2645" s="163"/>
      <c r="H2645" s="164"/>
      <c r="I2645" s="163"/>
      <c r="J2645" s="164"/>
      <c r="K2645" s="163"/>
      <c r="L2645" s="164"/>
      <c r="M2645" s="11"/>
      <c r="N2645" s="39"/>
      <c r="Q2645" s="15" t="str">
        <f>+CONCATENATE(E2645,G2645)</f>
        <v/>
      </c>
      <c r="R2645" s="15">
        <f>+H2645</f>
        <v>0</v>
      </c>
      <c r="S2645" s="16"/>
      <c r="T2645" s="15">
        <f>+E2645</f>
        <v>0</v>
      </c>
      <c r="U2645" s="26" t="str">
        <f t="shared" ref="U2645" si="1439">IFERROR(LEFT(G2645,FIND("*",G2645)-1),"-")</f>
        <v>-</v>
      </c>
      <c r="V2645" s="26" t="str">
        <f t="shared" ref="V2645" si="1440">IFERROR(RIGHT(G2645,LEN(G2645)-FIND("*",G2645)),"-")</f>
        <v>-</v>
      </c>
      <c r="W2645" s="27" t="str">
        <f t="shared" si="1438"/>
        <v>-</v>
      </c>
      <c r="X2645" s="27" t="str">
        <f>IFERROR(W2645*H2645,"-")</f>
        <v>-</v>
      </c>
      <c r="Z2645" s="94" t="s">
        <v>82</v>
      </c>
    </row>
    <row r="2646" spans="1:26" s="25" customFormat="1" ht="6.95" customHeight="1" x14ac:dyDescent="0.3">
      <c r="A2646" s="10"/>
      <c r="B2646" s="168"/>
      <c r="C2646" s="169"/>
      <c r="D2646" s="160"/>
      <c r="E2646" s="161"/>
      <c r="F2646" s="162"/>
      <c r="G2646" s="163"/>
      <c r="H2646" s="164"/>
      <c r="I2646" s="163"/>
      <c r="J2646" s="164"/>
      <c r="K2646" s="163"/>
      <c r="L2646" s="164"/>
      <c r="M2646" s="11"/>
      <c r="N2646" s="39"/>
      <c r="Q2646" s="15" t="str">
        <f>+CONCATENATE(E2645,I2645)</f>
        <v/>
      </c>
      <c r="R2646" s="15">
        <f>+J2645</f>
        <v>0</v>
      </c>
      <c r="S2646" s="16"/>
      <c r="T2646" s="15">
        <f>+E2645</f>
        <v>0</v>
      </c>
      <c r="U2646" s="26" t="str">
        <f>IFERROR(LEFT(I2645,FIND("*",I2645)-1),"-")</f>
        <v>-</v>
      </c>
      <c r="V2646" s="26" t="str">
        <f>IFERROR(RIGHT(I2645,LEN(I2645)-FIND("*",I2645)),"-")</f>
        <v>-</v>
      </c>
      <c r="W2646" s="27" t="str">
        <f t="shared" si="1438"/>
        <v>-</v>
      </c>
      <c r="X2646" s="27" t="str">
        <f>IFERROR(W2646*J2645,"-")</f>
        <v>-</v>
      </c>
      <c r="Z2646" s="94" t="s">
        <v>82</v>
      </c>
    </row>
    <row r="2647" spans="1:26" s="25" customFormat="1" ht="6.95" customHeight="1" x14ac:dyDescent="0.3">
      <c r="A2647" s="10"/>
      <c r="B2647" s="168"/>
      <c r="C2647" s="169"/>
      <c r="D2647" s="160"/>
      <c r="E2647" s="161"/>
      <c r="F2647" s="162"/>
      <c r="G2647" s="163"/>
      <c r="H2647" s="164"/>
      <c r="I2647" s="163"/>
      <c r="J2647" s="164"/>
      <c r="K2647" s="163"/>
      <c r="L2647" s="164"/>
      <c r="M2647" s="11"/>
      <c r="N2647" s="39"/>
      <c r="Q2647" s="15" t="str">
        <f>+CONCATENATE(E2645,K2645)</f>
        <v/>
      </c>
      <c r="R2647" s="15">
        <f>+L2645</f>
        <v>0</v>
      </c>
      <c r="S2647" s="16"/>
      <c r="T2647" s="15">
        <f>+E2645</f>
        <v>0</v>
      </c>
      <c r="U2647" s="26" t="str">
        <f>IFERROR(LEFT(K2645,FIND("*",K2645)-1),"-")</f>
        <v>-</v>
      </c>
      <c r="V2647" s="26" t="str">
        <f>IFERROR(RIGHT(K2645,LEN(K2645)-FIND("*",K2645)),"-")</f>
        <v>-</v>
      </c>
      <c r="W2647" s="27" t="str">
        <f t="shared" si="1438"/>
        <v>-</v>
      </c>
      <c r="X2647" s="27" t="str">
        <f>IFERROR(W2647*L2645,"-")</f>
        <v>-</v>
      </c>
      <c r="Z2647" s="94" t="s">
        <v>82</v>
      </c>
    </row>
    <row r="2648" spans="1:26" s="25" customFormat="1" ht="6.95" customHeight="1" x14ac:dyDescent="0.3">
      <c r="A2648" s="13"/>
      <c r="B2648" s="168"/>
      <c r="C2648" s="169"/>
      <c r="D2648" s="160" t="s">
        <v>39</v>
      </c>
      <c r="E2648" s="161"/>
      <c r="F2648" s="162" t="s">
        <v>40</v>
      </c>
      <c r="G2648" s="163"/>
      <c r="H2648" s="164"/>
      <c r="I2648" s="163"/>
      <c r="J2648" s="164"/>
      <c r="K2648" s="163"/>
      <c r="L2648" s="164"/>
      <c r="M2648" s="11"/>
      <c r="N2648" s="39"/>
      <c r="Q2648" s="15" t="str">
        <f>+CONCATENATE(E2648,G2648)</f>
        <v/>
      </c>
      <c r="R2648" s="15">
        <f>+H2648</f>
        <v>0</v>
      </c>
      <c r="S2648" s="16"/>
      <c r="T2648" s="15">
        <f>+E2648</f>
        <v>0</v>
      </c>
      <c r="U2648" s="26" t="str">
        <f t="shared" ref="U2648" si="1441">IFERROR(LEFT(G2648,FIND("*",G2648)-1),"-")</f>
        <v>-</v>
      </c>
      <c r="V2648" s="26" t="str">
        <f t="shared" ref="V2648" si="1442">IFERROR(RIGHT(G2648,LEN(G2648)-FIND("*",G2648)),"-")</f>
        <v>-</v>
      </c>
      <c r="W2648" s="27" t="str">
        <f t="shared" si="1438"/>
        <v>-</v>
      </c>
      <c r="X2648" s="27" t="str">
        <f>IFERROR(W2648*H2648,"-")</f>
        <v>-</v>
      </c>
      <c r="Z2648" s="94" t="s">
        <v>82</v>
      </c>
    </row>
    <row r="2649" spans="1:26" s="25" customFormat="1" ht="6.95" customHeight="1" x14ac:dyDescent="0.3">
      <c r="A2649" s="10"/>
      <c r="B2649" s="168"/>
      <c r="C2649" s="169"/>
      <c r="D2649" s="160"/>
      <c r="E2649" s="161"/>
      <c r="F2649" s="162"/>
      <c r="G2649" s="163"/>
      <c r="H2649" s="164"/>
      <c r="I2649" s="163"/>
      <c r="J2649" s="164"/>
      <c r="K2649" s="163"/>
      <c r="L2649" s="164"/>
      <c r="M2649" s="11"/>
      <c r="N2649" s="39"/>
      <c r="Q2649" s="15" t="str">
        <f>+CONCATENATE(E2648,I2648)</f>
        <v/>
      </c>
      <c r="R2649" s="15">
        <f>+J2648</f>
        <v>0</v>
      </c>
      <c r="S2649" s="16"/>
      <c r="T2649" s="15">
        <f>+E2648</f>
        <v>0</v>
      </c>
      <c r="U2649" s="26" t="str">
        <f>IFERROR(LEFT(I2648,FIND("*",I2648)-1),"-")</f>
        <v>-</v>
      </c>
      <c r="V2649" s="26" t="str">
        <f>IFERROR(RIGHT(I2648,LEN(I2648)-FIND("*",I2648)),"-")</f>
        <v>-</v>
      </c>
      <c r="W2649" s="27" t="str">
        <f t="shared" si="1438"/>
        <v>-</v>
      </c>
      <c r="X2649" s="27" t="str">
        <f t="shared" ref="X2649" si="1443">IFERROR(W2649*J2648,"-")</f>
        <v>-</v>
      </c>
      <c r="Z2649" s="94" t="s">
        <v>82</v>
      </c>
    </row>
    <row r="2650" spans="1:26" s="25" customFormat="1" ht="6.95" customHeight="1" x14ac:dyDescent="0.3">
      <c r="A2650" s="10"/>
      <c r="B2650" s="168"/>
      <c r="C2650" s="169"/>
      <c r="D2650" s="160"/>
      <c r="E2650" s="161"/>
      <c r="F2650" s="162"/>
      <c r="G2650" s="163"/>
      <c r="H2650" s="164"/>
      <c r="I2650" s="163"/>
      <c r="J2650" s="164"/>
      <c r="K2650" s="163"/>
      <c r="L2650" s="164"/>
      <c r="M2650" s="11"/>
      <c r="N2650" s="39"/>
      <c r="Q2650" s="15" t="str">
        <f>+CONCATENATE(E2648,K2648)</f>
        <v/>
      </c>
      <c r="R2650" s="15">
        <f>+L2648</f>
        <v>0</v>
      </c>
      <c r="S2650" s="16"/>
      <c r="T2650" s="15">
        <f>+E2648</f>
        <v>0</v>
      </c>
      <c r="U2650" s="26" t="str">
        <f>IFERROR(LEFT(K2648,FIND("*",K2648)-1),"-")</f>
        <v>-</v>
      </c>
      <c r="V2650" s="26" t="str">
        <f>IFERROR(RIGHT(K2648,LEN(K2648)-FIND("*",K2648)),"-")</f>
        <v>-</v>
      </c>
      <c r="W2650" s="27" t="str">
        <f t="shared" si="1438"/>
        <v>-</v>
      </c>
      <c r="X2650" s="27" t="str">
        <f>IFERROR(W2650*L2648,"-")</f>
        <v>-</v>
      </c>
      <c r="Z2650" s="94" t="s">
        <v>82</v>
      </c>
    </row>
    <row r="2651" spans="1:26" s="25" customFormat="1" ht="21" customHeight="1" thickBot="1" x14ac:dyDescent="0.35">
      <c r="A2651" s="10"/>
      <c r="B2651" s="170"/>
      <c r="C2651" s="171"/>
      <c r="D2651" s="172" t="s">
        <v>43</v>
      </c>
      <c r="E2651" s="173"/>
      <c r="F2651" s="173"/>
      <c r="G2651" s="174"/>
      <c r="H2651" s="174"/>
      <c r="I2651" s="174"/>
      <c r="J2651" s="174"/>
      <c r="K2651" s="174"/>
      <c r="L2651" s="174"/>
      <c r="M2651" s="12"/>
      <c r="N2651" s="39"/>
      <c r="U2651" s="23"/>
      <c r="V2651" s="23"/>
      <c r="Z2651" s="95" t="s">
        <v>81</v>
      </c>
    </row>
    <row r="2652" spans="1:26" s="25" customFormat="1" ht="9.9499999999999993" customHeight="1" thickBot="1" x14ac:dyDescent="0.35">
      <c r="A2652" s="6"/>
      <c r="B2652" s="14"/>
      <c r="C2652" s="119"/>
      <c r="D2652" s="58"/>
      <c r="E2652" s="17"/>
      <c r="F2652" s="58"/>
      <c r="G2652" s="19"/>
      <c r="H2652" s="19"/>
      <c r="I2652" s="19"/>
      <c r="J2652" s="19"/>
      <c r="K2652" s="19"/>
      <c r="L2652" s="19"/>
      <c r="M2652" s="14"/>
      <c r="N2652" s="39"/>
      <c r="Q2652" s="1"/>
      <c r="R2652" s="1"/>
      <c r="S2652" s="1"/>
      <c r="T2652" s="1"/>
      <c r="U2652" s="24"/>
      <c r="V2652" s="24"/>
      <c r="W2652" s="1"/>
      <c r="X2652" s="1"/>
      <c r="Z2652" s="94" t="s">
        <v>82</v>
      </c>
    </row>
    <row r="2653" spans="1:26" s="25" customFormat="1" ht="6.95" customHeight="1" x14ac:dyDescent="0.3">
      <c r="A2653" s="165">
        <f>+A2642+1</f>
        <v>242</v>
      </c>
      <c r="B2653" s="166"/>
      <c r="C2653" s="167"/>
      <c r="D2653" s="160" t="s">
        <v>39</v>
      </c>
      <c r="E2653" s="161"/>
      <c r="F2653" s="162" t="s">
        <v>40</v>
      </c>
      <c r="G2653" s="163"/>
      <c r="H2653" s="164"/>
      <c r="I2653" s="163"/>
      <c r="J2653" s="164"/>
      <c r="K2653" s="163"/>
      <c r="L2653" s="164"/>
      <c r="M2653" s="11"/>
      <c r="N2653" s="39"/>
      <c r="Q2653" s="15" t="str">
        <f>+CONCATENATE(E2653,G2653)</f>
        <v/>
      </c>
      <c r="R2653" s="15">
        <f>+H2653</f>
        <v>0</v>
      </c>
      <c r="S2653" s="16"/>
      <c r="T2653" s="15">
        <f>+E2653</f>
        <v>0</v>
      </c>
      <c r="U2653" s="26" t="str">
        <f>IFERROR(LEFT(G2653,FIND("*",G2653)-1),"-")</f>
        <v>-</v>
      </c>
      <c r="V2653" s="26" t="str">
        <f>IFERROR(RIGHT(G2653,LEN(G2653)-FIND("*",G2653)),"-")</f>
        <v>-</v>
      </c>
      <c r="W2653" s="27" t="str">
        <f>IFERROR((U2653+V2653)*2/1000,"-")</f>
        <v>-</v>
      </c>
      <c r="X2653" s="27" t="str">
        <f>IFERROR(W2653*H2653,"-")</f>
        <v>-</v>
      </c>
      <c r="Z2653" s="94" t="s">
        <v>82</v>
      </c>
    </row>
    <row r="2654" spans="1:26" s="25" customFormat="1" ht="6.95" customHeight="1" x14ac:dyDescent="0.3">
      <c r="A2654" s="165"/>
      <c r="B2654" s="168"/>
      <c r="C2654" s="169"/>
      <c r="D2654" s="160"/>
      <c r="E2654" s="161"/>
      <c r="F2654" s="162"/>
      <c r="G2654" s="163"/>
      <c r="H2654" s="164"/>
      <c r="I2654" s="163"/>
      <c r="J2654" s="164"/>
      <c r="K2654" s="163"/>
      <c r="L2654" s="164"/>
      <c r="M2654" s="11"/>
      <c r="N2654" s="39"/>
      <c r="Q2654" s="15" t="str">
        <f>+CONCATENATE(E2653,I2653)</f>
        <v/>
      </c>
      <c r="R2654" s="15">
        <f>+J2653</f>
        <v>0</v>
      </c>
      <c r="S2654" s="16"/>
      <c r="T2654" s="15">
        <f>+E2653</f>
        <v>0</v>
      </c>
      <c r="U2654" s="26" t="str">
        <f>IFERROR(LEFT(I2653,FIND("*",I2653)-1),"-")</f>
        <v>-</v>
      </c>
      <c r="V2654" s="26" t="str">
        <f>IFERROR(RIGHT(I2653,LEN(I2653)-FIND("*",I2653)),"-")</f>
        <v>-</v>
      </c>
      <c r="W2654" s="27" t="str">
        <f t="shared" ref="W2654:W2661" si="1444">IFERROR((U2654+V2654)*2/1000,"-")</f>
        <v>-</v>
      </c>
      <c r="X2654" s="27" t="str">
        <f>IFERROR(W2654*J2653,"-")</f>
        <v>-</v>
      </c>
      <c r="Z2654" s="94" t="s">
        <v>82</v>
      </c>
    </row>
    <row r="2655" spans="1:26" s="25" customFormat="1" ht="6.95" customHeight="1" x14ac:dyDescent="0.3">
      <c r="A2655" s="165"/>
      <c r="B2655" s="168"/>
      <c r="C2655" s="169"/>
      <c r="D2655" s="160"/>
      <c r="E2655" s="161"/>
      <c r="F2655" s="162"/>
      <c r="G2655" s="163"/>
      <c r="H2655" s="164"/>
      <c r="I2655" s="163"/>
      <c r="J2655" s="164"/>
      <c r="K2655" s="163"/>
      <c r="L2655" s="164"/>
      <c r="M2655" s="11"/>
      <c r="N2655" s="39"/>
      <c r="Q2655" s="15" t="str">
        <f>+CONCATENATE(E2653,K2653)</f>
        <v/>
      </c>
      <c r="R2655" s="15">
        <f>+L2653</f>
        <v>0</v>
      </c>
      <c r="S2655" s="16"/>
      <c r="T2655" s="15">
        <f>+E2653</f>
        <v>0</v>
      </c>
      <c r="U2655" s="26" t="str">
        <f>IFERROR(LEFT(K2653,FIND("*",K2653)-1),"-")</f>
        <v>-</v>
      </c>
      <c r="V2655" s="26" t="str">
        <f>IFERROR(RIGHT(K2653,LEN(K2653)-FIND("*",K2653)),"-")</f>
        <v>-</v>
      </c>
      <c r="W2655" s="27" t="str">
        <f t="shared" si="1444"/>
        <v>-</v>
      </c>
      <c r="X2655" s="27" t="str">
        <f>IFERROR(W2655*L2653,"-")</f>
        <v>-</v>
      </c>
      <c r="Z2655" s="94" t="s">
        <v>82</v>
      </c>
    </row>
    <row r="2656" spans="1:26" s="25" customFormat="1" ht="6.95" customHeight="1" x14ac:dyDescent="0.3">
      <c r="A2656" s="13"/>
      <c r="B2656" s="168"/>
      <c r="C2656" s="169"/>
      <c r="D2656" s="160" t="s">
        <v>39</v>
      </c>
      <c r="E2656" s="161"/>
      <c r="F2656" s="162" t="s">
        <v>40</v>
      </c>
      <c r="G2656" s="163"/>
      <c r="H2656" s="164"/>
      <c r="I2656" s="163"/>
      <c r="J2656" s="164"/>
      <c r="K2656" s="163"/>
      <c r="L2656" s="164"/>
      <c r="M2656" s="11"/>
      <c r="N2656" s="39"/>
      <c r="Q2656" s="15" t="str">
        <f>+CONCATENATE(E2656,G2656)</f>
        <v/>
      </c>
      <c r="R2656" s="15">
        <f>+H2656</f>
        <v>0</v>
      </c>
      <c r="S2656" s="16"/>
      <c r="T2656" s="15">
        <f>+E2656</f>
        <v>0</v>
      </c>
      <c r="U2656" s="26" t="str">
        <f t="shared" ref="U2656" si="1445">IFERROR(LEFT(G2656,FIND("*",G2656)-1),"-")</f>
        <v>-</v>
      </c>
      <c r="V2656" s="26" t="str">
        <f t="shared" ref="V2656" si="1446">IFERROR(RIGHT(G2656,LEN(G2656)-FIND("*",G2656)),"-")</f>
        <v>-</v>
      </c>
      <c r="W2656" s="27" t="str">
        <f t="shared" si="1444"/>
        <v>-</v>
      </c>
      <c r="X2656" s="27" t="str">
        <f>IFERROR(W2656*H2656,"-")</f>
        <v>-</v>
      </c>
      <c r="Z2656" s="94" t="s">
        <v>82</v>
      </c>
    </row>
    <row r="2657" spans="1:26" s="25" customFormat="1" ht="6.95" customHeight="1" x14ac:dyDescent="0.3">
      <c r="A2657" s="10"/>
      <c r="B2657" s="168"/>
      <c r="C2657" s="169"/>
      <c r="D2657" s="160"/>
      <c r="E2657" s="161"/>
      <c r="F2657" s="162"/>
      <c r="G2657" s="163"/>
      <c r="H2657" s="164"/>
      <c r="I2657" s="163"/>
      <c r="J2657" s="164"/>
      <c r="K2657" s="163"/>
      <c r="L2657" s="164"/>
      <c r="M2657" s="11"/>
      <c r="N2657" s="39"/>
      <c r="Q2657" s="15" t="str">
        <f>+CONCATENATE(E2656,I2656)</f>
        <v/>
      </c>
      <c r="R2657" s="15">
        <f>+J2656</f>
        <v>0</v>
      </c>
      <c r="S2657" s="16"/>
      <c r="T2657" s="15">
        <f>+E2656</f>
        <v>0</v>
      </c>
      <c r="U2657" s="26" t="str">
        <f>IFERROR(LEFT(I2656,FIND("*",I2656)-1),"-")</f>
        <v>-</v>
      </c>
      <c r="V2657" s="26" t="str">
        <f>IFERROR(RIGHT(I2656,LEN(I2656)-FIND("*",I2656)),"-")</f>
        <v>-</v>
      </c>
      <c r="W2657" s="27" t="str">
        <f t="shared" si="1444"/>
        <v>-</v>
      </c>
      <c r="X2657" s="27" t="str">
        <f>IFERROR(W2657*J2656,"-")</f>
        <v>-</v>
      </c>
      <c r="Z2657" s="94" t="s">
        <v>82</v>
      </c>
    </row>
    <row r="2658" spans="1:26" s="25" customFormat="1" ht="6.95" customHeight="1" x14ac:dyDescent="0.3">
      <c r="A2658" s="10"/>
      <c r="B2658" s="168"/>
      <c r="C2658" s="169"/>
      <c r="D2658" s="160"/>
      <c r="E2658" s="161"/>
      <c r="F2658" s="162"/>
      <c r="G2658" s="163"/>
      <c r="H2658" s="164"/>
      <c r="I2658" s="163"/>
      <c r="J2658" s="164"/>
      <c r="K2658" s="163"/>
      <c r="L2658" s="164"/>
      <c r="M2658" s="11"/>
      <c r="N2658" s="39"/>
      <c r="Q2658" s="15" t="str">
        <f>+CONCATENATE(E2656,K2656)</f>
        <v/>
      </c>
      <c r="R2658" s="15">
        <f>+L2656</f>
        <v>0</v>
      </c>
      <c r="S2658" s="16"/>
      <c r="T2658" s="15">
        <f>+E2656</f>
        <v>0</v>
      </c>
      <c r="U2658" s="26" t="str">
        <f>IFERROR(LEFT(K2656,FIND("*",K2656)-1),"-")</f>
        <v>-</v>
      </c>
      <c r="V2658" s="26" t="str">
        <f>IFERROR(RIGHT(K2656,LEN(K2656)-FIND("*",K2656)),"-")</f>
        <v>-</v>
      </c>
      <c r="W2658" s="27" t="str">
        <f t="shared" si="1444"/>
        <v>-</v>
      </c>
      <c r="X2658" s="27" t="str">
        <f>IFERROR(W2658*L2656,"-")</f>
        <v>-</v>
      </c>
      <c r="Z2658" s="94" t="s">
        <v>82</v>
      </c>
    </row>
    <row r="2659" spans="1:26" s="25" customFormat="1" ht="6.95" customHeight="1" x14ac:dyDescent="0.3">
      <c r="A2659" s="13"/>
      <c r="B2659" s="168"/>
      <c r="C2659" s="169"/>
      <c r="D2659" s="160" t="s">
        <v>39</v>
      </c>
      <c r="E2659" s="161"/>
      <c r="F2659" s="162" t="s">
        <v>40</v>
      </c>
      <c r="G2659" s="163"/>
      <c r="H2659" s="164"/>
      <c r="I2659" s="163"/>
      <c r="J2659" s="164"/>
      <c r="K2659" s="163"/>
      <c r="L2659" s="164"/>
      <c r="M2659" s="11"/>
      <c r="N2659" s="39"/>
      <c r="Q2659" s="15" t="str">
        <f>+CONCATENATE(E2659,G2659)</f>
        <v/>
      </c>
      <c r="R2659" s="15">
        <f>+H2659</f>
        <v>0</v>
      </c>
      <c r="S2659" s="16"/>
      <c r="T2659" s="15">
        <f>+E2659</f>
        <v>0</v>
      </c>
      <c r="U2659" s="26" t="str">
        <f t="shared" ref="U2659" si="1447">IFERROR(LEFT(G2659,FIND("*",G2659)-1),"-")</f>
        <v>-</v>
      </c>
      <c r="V2659" s="26" t="str">
        <f t="shared" ref="V2659" si="1448">IFERROR(RIGHT(G2659,LEN(G2659)-FIND("*",G2659)),"-")</f>
        <v>-</v>
      </c>
      <c r="W2659" s="27" t="str">
        <f t="shared" si="1444"/>
        <v>-</v>
      </c>
      <c r="X2659" s="27" t="str">
        <f>IFERROR(W2659*H2659,"-")</f>
        <v>-</v>
      </c>
      <c r="Z2659" s="94" t="s">
        <v>82</v>
      </c>
    </row>
    <row r="2660" spans="1:26" s="25" customFormat="1" ht="6.95" customHeight="1" x14ac:dyDescent="0.3">
      <c r="A2660" s="10"/>
      <c r="B2660" s="168"/>
      <c r="C2660" s="169"/>
      <c r="D2660" s="160"/>
      <c r="E2660" s="161"/>
      <c r="F2660" s="162"/>
      <c r="G2660" s="163"/>
      <c r="H2660" s="164"/>
      <c r="I2660" s="163"/>
      <c r="J2660" s="164"/>
      <c r="K2660" s="163"/>
      <c r="L2660" s="164"/>
      <c r="M2660" s="11"/>
      <c r="N2660" s="39"/>
      <c r="Q2660" s="15" t="str">
        <f>+CONCATENATE(E2659,I2659)</f>
        <v/>
      </c>
      <c r="R2660" s="15">
        <f>+J2659</f>
        <v>0</v>
      </c>
      <c r="S2660" s="16"/>
      <c r="T2660" s="15">
        <f>+E2659</f>
        <v>0</v>
      </c>
      <c r="U2660" s="26" t="str">
        <f>IFERROR(LEFT(I2659,FIND("*",I2659)-1),"-")</f>
        <v>-</v>
      </c>
      <c r="V2660" s="26" t="str">
        <f>IFERROR(RIGHT(I2659,LEN(I2659)-FIND("*",I2659)),"-")</f>
        <v>-</v>
      </c>
      <c r="W2660" s="27" t="str">
        <f t="shared" si="1444"/>
        <v>-</v>
      </c>
      <c r="X2660" s="27" t="str">
        <f t="shared" ref="X2660" si="1449">IFERROR(W2660*J2659,"-")</f>
        <v>-</v>
      </c>
      <c r="Z2660" s="94" t="s">
        <v>82</v>
      </c>
    </row>
    <row r="2661" spans="1:26" s="25" customFormat="1" ht="6.95" customHeight="1" x14ac:dyDescent="0.3">
      <c r="A2661" s="10"/>
      <c r="B2661" s="168"/>
      <c r="C2661" s="169"/>
      <c r="D2661" s="160"/>
      <c r="E2661" s="161"/>
      <c r="F2661" s="162"/>
      <c r="G2661" s="163"/>
      <c r="H2661" s="164"/>
      <c r="I2661" s="163"/>
      <c r="J2661" s="164"/>
      <c r="K2661" s="163"/>
      <c r="L2661" s="164"/>
      <c r="M2661" s="11"/>
      <c r="N2661" s="39"/>
      <c r="Q2661" s="15" t="str">
        <f>+CONCATENATE(E2659,K2659)</f>
        <v/>
      </c>
      <c r="R2661" s="15">
        <f>+L2659</f>
        <v>0</v>
      </c>
      <c r="S2661" s="16"/>
      <c r="T2661" s="15">
        <f>+E2659</f>
        <v>0</v>
      </c>
      <c r="U2661" s="26" t="str">
        <f>IFERROR(LEFT(K2659,FIND("*",K2659)-1),"-")</f>
        <v>-</v>
      </c>
      <c r="V2661" s="26" t="str">
        <f>IFERROR(RIGHT(K2659,LEN(K2659)-FIND("*",K2659)),"-")</f>
        <v>-</v>
      </c>
      <c r="W2661" s="27" t="str">
        <f t="shared" si="1444"/>
        <v>-</v>
      </c>
      <c r="X2661" s="27" t="str">
        <f>IFERROR(W2661*L2659,"-")</f>
        <v>-</v>
      </c>
      <c r="Z2661" s="94" t="s">
        <v>82</v>
      </c>
    </row>
    <row r="2662" spans="1:26" s="25" customFormat="1" ht="21" customHeight="1" thickBot="1" x14ac:dyDescent="0.35">
      <c r="A2662" s="10"/>
      <c r="B2662" s="170"/>
      <c r="C2662" s="171"/>
      <c r="D2662" s="172" t="s">
        <v>43</v>
      </c>
      <c r="E2662" s="173"/>
      <c r="F2662" s="173"/>
      <c r="G2662" s="174"/>
      <c r="H2662" s="174"/>
      <c r="I2662" s="174"/>
      <c r="J2662" s="174"/>
      <c r="K2662" s="174"/>
      <c r="L2662" s="174"/>
      <c r="M2662" s="12"/>
      <c r="N2662" s="39"/>
      <c r="U2662" s="23"/>
      <c r="V2662" s="23"/>
      <c r="Z2662" s="95" t="s">
        <v>81</v>
      </c>
    </row>
    <row r="2663" spans="1:26" s="25" customFormat="1" ht="9.9499999999999993" customHeight="1" thickBot="1" x14ac:dyDescent="0.35">
      <c r="A2663" s="6"/>
      <c r="B2663" s="14"/>
      <c r="C2663" s="119"/>
      <c r="D2663" s="58"/>
      <c r="E2663" s="17"/>
      <c r="F2663" s="58"/>
      <c r="G2663" s="19"/>
      <c r="H2663" s="19"/>
      <c r="I2663" s="19"/>
      <c r="J2663" s="19"/>
      <c r="K2663" s="19"/>
      <c r="L2663" s="19"/>
      <c r="M2663" s="14"/>
      <c r="N2663" s="39"/>
      <c r="Q2663" s="1"/>
      <c r="R2663" s="1"/>
      <c r="S2663" s="1"/>
      <c r="T2663" s="1"/>
      <c r="U2663" s="24"/>
      <c r="V2663" s="24"/>
      <c r="W2663" s="1"/>
      <c r="X2663" s="1"/>
      <c r="Z2663" s="94" t="s">
        <v>82</v>
      </c>
    </row>
    <row r="2664" spans="1:26" s="25" customFormat="1" ht="6.95" customHeight="1" x14ac:dyDescent="0.3">
      <c r="A2664" s="165">
        <f>+A2653+1</f>
        <v>243</v>
      </c>
      <c r="B2664" s="166"/>
      <c r="C2664" s="167"/>
      <c r="D2664" s="160" t="s">
        <v>39</v>
      </c>
      <c r="E2664" s="161"/>
      <c r="F2664" s="162" t="s">
        <v>40</v>
      </c>
      <c r="G2664" s="163"/>
      <c r="H2664" s="164"/>
      <c r="I2664" s="163"/>
      <c r="J2664" s="164"/>
      <c r="K2664" s="163"/>
      <c r="L2664" s="164"/>
      <c r="M2664" s="11"/>
      <c r="N2664" s="39"/>
      <c r="Q2664" s="15" t="str">
        <f>+CONCATENATE(E2664,G2664)</f>
        <v/>
      </c>
      <c r="R2664" s="15">
        <f>+H2664</f>
        <v>0</v>
      </c>
      <c r="S2664" s="16"/>
      <c r="T2664" s="15">
        <f>+E2664</f>
        <v>0</v>
      </c>
      <c r="U2664" s="26" t="str">
        <f>IFERROR(LEFT(G2664,FIND("*",G2664)-1),"-")</f>
        <v>-</v>
      </c>
      <c r="V2664" s="26" t="str">
        <f>IFERROR(RIGHT(G2664,LEN(G2664)-FIND("*",G2664)),"-")</f>
        <v>-</v>
      </c>
      <c r="W2664" s="27" t="str">
        <f>IFERROR((U2664+V2664)*2/1000,"-")</f>
        <v>-</v>
      </c>
      <c r="X2664" s="27" t="str">
        <f>IFERROR(W2664*H2664,"-")</f>
        <v>-</v>
      </c>
      <c r="Z2664" s="94" t="s">
        <v>82</v>
      </c>
    </row>
    <row r="2665" spans="1:26" s="25" customFormat="1" ht="6.95" customHeight="1" x14ac:dyDescent="0.3">
      <c r="A2665" s="165"/>
      <c r="B2665" s="168"/>
      <c r="C2665" s="169"/>
      <c r="D2665" s="160"/>
      <c r="E2665" s="161"/>
      <c r="F2665" s="162"/>
      <c r="G2665" s="163"/>
      <c r="H2665" s="164"/>
      <c r="I2665" s="163"/>
      <c r="J2665" s="164"/>
      <c r="K2665" s="163"/>
      <c r="L2665" s="164"/>
      <c r="M2665" s="11"/>
      <c r="N2665" s="39"/>
      <c r="Q2665" s="15" t="str">
        <f>+CONCATENATE(E2664,I2664)</f>
        <v/>
      </c>
      <c r="R2665" s="15">
        <f>+J2664</f>
        <v>0</v>
      </c>
      <c r="S2665" s="16"/>
      <c r="T2665" s="15">
        <f>+E2664</f>
        <v>0</v>
      </c>
      <c r="U2665" s="26" t="str">
        <f>IFERROR(LEFT(I2664,FIND("*",I2664)-1),"-")</f>
        <v>-</v>
      </c>
      <c r="V2665" s="26" t="str">
        <f>IFERROR(RIGHT(I2664,LEN(I2664)-FIND("*",I2664)),"-")</f>
        <v>-</v>
      </c>
      <c r="W2665" s="27" t="str">
        <f t="shared" ref="W2665:W2672" si="1450">IFERROR((U2665+V2665)*2/1000,"-")</f>
        <v>-</v>
      </c>
      <c r="X2665" s="27" t="str">
        <f>IFERROR(W2665*J2664,"-")</f>
        <v>-</v>
      </c>
      <c r="Z2665" s="94" t="s">
        <v>82</v>
      </c>
    </row>
    <row r="2666" spans="1:26" s="25" customFormat="1" ht="6.95" customHeight="1" x14ac:dyDescent="0.3">
      <c r="A2666" s="165"/>
      <c r="B2666" s="168"/>
      <c r="C2666" s="169"/>
      <c r="D2666" s="160"/>
      <c r="E2666" s="161"/>
      <c r="F2666" s="162"/>
      <c r="G2666" s="163"/>
      <c r="H2666" s="164"/>
      <c r="I2666" s="163"/>
      <c r="J2666" s="164"/>
      <c r="K2666" s="163"/>
      <c r="L2666" s="164"/>
      <c r="M2666" s="11"/>
      <c r="N2666" s="39"/>
      <c r="Q2666" s="15" t="str">
        <f>+CONCATENATE(E2664,K2664)</f>
        <v/>
      </c>
      <c r="R2666" s="15">
        <f>+L2664</f>
        <v>0</v>
      </c>
      <c r="S2666" s="16"/>
      <c r="T2666" s="15">
        <f>+E2664</f>
        <v>0</v>
      </c>
      <c r="U2666" s="26" t="str">
        <f>IFERROR(LEFT(K2664,FIND("*",K2664)-1),"-")</f>
        <v>-</v>
      </c>
      <c r="V2666" s="26" t="str">
        <f>IFERROR(RIGHT(K2664,LEN(K2664)-FIND("*",K2664)),"-")</f>
        <v>-</v>
      </c>
      <c r="W2666" s="27" t="str">
        <f t="shared" si="1450"/>
        <v>-</v>
      </c>
      <c r="X2666" s="27" t="str">
        <f>IFERROR(W2666*L2664,"-")</f>
        <v>-</v>
      </c>
      <c r="Z2666" s="94" t="s">
        <v>82</v>
      </c>
    </row>
    <row r="2667" spans="1:26" s="25" customFormat="1" ht="6.95" customHeight="1" x14ac:dyDescent="0.3">
      <c r="A2667" s="13"/>
      <c r="B2667" s="168"/>
      <c r="C2667" s="169"/>
      <c r="D2667" s="160" t="s">
        <v>39</v>
      </c>
      <c r="E2667" s="161"/>
      <c r="F2667" s="162" t="s">
        <v>40</v>
      </c>
      <c r="G2667" s="163"/>
      <c r="H2667" s="164"/>
      <c r="I2667" s="163"/>
      <c r="J2667" s="164"/>
      <c r="K2667" s="163"/>
      <c r="L2667" s="164"/>
      <c r="M2667" s="11"/>
      <c r="N2667" s="39"/>
      <c r="Q2667" s="15" t="str">
        <f>+CONCATENATE(E2667,G2667)</f>
        <v/>
      </c>
      <c r="R2667" s="15">
        <f>+H2667</f>
        <v>0</v>
      </c>
      <c r="S2667" s="16"/>
      <c r="T2667" s="15">
        <f>+E2667</f>
        <v>0</v>
      </c>
      <c r="U2667" s="26" t="str">
        <f t="shared" ref="U2667" si="1451">IFERROR(LEFT(G2667,FIND("*",G2667)-1),"-")</f>
        <v>-</v>
      </c>
      <c r="V2667" s="26" t="str">
        <f t="shared" ref="V2667" si="1452">IFERROR(RIGHT(G2667,LEN(G2667)-FIND("*",G2667)),"-")</f>
        <v>-</v>
      </c>
      <c r="W2667" s="27" t="str">
        <f t="shared" si="1450"/>
        <v>-</v>
      </c>
      <c r="X2667" s="27" t="str">
        <f>IFERROR(W2667*H2667,"-")</f>
        <v>-</v>
      </c>
      <c r="Z2667" s="94" t="s">
        <v>82</v>
      </c>
    </row>
    <row r="2668" spans="1:26" s="25" customFormat="1" ht="6.95" customHeight="1" x14ac:dyDescent="0.3">
      <c r="A2668" s="10"/>
      <c r="B2668" s="168"/>
      <c r="C2668" s="169"/>
      <c r="D2668" s="160"/>
      <c r="E2668" s="161"/>
      <c r="F2668" s="162"/>
      <c r="G2668" s="163"/>
      <c r="H2668" s="164"/>
      <c r="I2668" s="163"/>
      <c r="J2668" s="164"/>
      <c r="K2668" s="163"/>
      <c r="L2668" s="164"/>
      <c r="M2668" s="11"/>
      <c r="N2668" s="39"/>
      <c r="Q2668" s="15" t="str">
        <f>+CONCATENATE(E2667,I2667)</f>
        <v/>
      </c>
      <c r="R2668" s="15">
        <f>+J2667</f>
        <v>0</v>
      </c>
      <c r="S2668" s="16"/>
      <c r="T2668" s="15">
        <f>+E2667</f>
        <v>0</v>
      </c>
      <c r="U2668" s="26" t="str">
        <f>IFERROR(LEFT(I2667,FIND("*",I2667)-1),"-")</f>
        <v>-</v>
      </c>
      <c r="V2668" s="26" t="str">
        <f>IFERROR(RIGHT(I2667,LEN(I2667)-FIND("*",I2667)),"-")</f>
        <v>-</v>
      </c>
      <c r="W2668" s="27" t="str">
        <f t="shared" si="1450"/>
        <v>-</v>
      </c>
      <c r="X2668" s="27" t="str">
        <f>IFERROR(W2668*J2667,"-")</f>
        <v>-</v>
      </c>
      <c r="Z2668" s="94" t="s">
        <v>82</v>
      </c>
    </row>
    <row r="2669" spans="1:26" s="25" customFormat="1" ht="6.95" customHeight="1" x14ac:dyDescent="0.3">
      <c r="A2669" s="10"/>
      <c r="B2669" s="168"/>
      <c r="C2669" s="169"/>
      <c r="D2669" s="160"/>
      <c r="E2669" s="161"/>
      <c r="F2669" s="162"/>
      <c r="G2669" s="163"/>
      <c r="H2669" s="164"/>
      <c r="I2669" s="163"/>
      <c r="J2669" s="164"/>
      <c r="K2669" s="163"/>
      <c r="L2669" s="164"/>
      <c r="M2669" s="11"/>
      <c r="N2669" s="39"/>
      <c r="Q2669" s="15" t="str">
        <f>+CONCATENATE(E2667,K2667)</f>
        <v/>
      </c>
      <c r="R2669" s="15">
        <f>+L2667</f>
        <v>0</v>
      </c>
      <c r="S2669" s="16"/>
      <c r="T2669" s="15">
        <f>+E2667</f>
        <v>0</v>
      </c>
      <c r="U2669" s="26" t="str">
        <f>IFERROR(LEFT(K2667,FIND("*",K2667)-1),"-")</f>
        <v>-</v>
      </c>
      <c r="V2669" s="26" t="str">
        <f>IFERROR(RIGHT(K2667,LEN(K2667)-FIND("*",K2667)),"-")</f>
        <v>-</v>
      </c>
      <c r="W2669" s="27" t="str">
        <f t="shared" si="1450"/>
        <v>-</v>
      </c>
      <c r="X2669" s="27" t="str">
        <f>IFERROR(W2669*L2667,"-")</f>
        <v>-</v>
      </c>
      <c r="Z2669" s="94" t="s">
        <v>82</v>
      </c>
    </row>
    <row r="2670" spans="1:26" s="25" customFormat="1" ht="6.95" customHeight="1" x14ac:dyDescent="0.3">
      <c r="A2670" s="13"/>
      <c r="B2670" s="168"/>
      <c r="C2670" s="169"/>
      <c r="D2670" s="160" t="s">
        <v>39</v>
      </c>
      <c r="E2670" s="161"/>
      <c r="F2670" s="162" t="s">
        <v>40</v>
      </c>
      <c r="G2670" s="163"/>
      <c r="H2670" s="164"/>
      <c r="I2670" s="163"/>
      <c r="J2670" s="164"/>
      <c r="K2670" s="163"/>
      <c r="L2670" s="164"/>
      <c r="M2670" s="11"/>
      <c r="N2670" s="39"/>
      <c r="Q2670" s="15" t="str">
        <f>+CONCATENATE(E2670,G2670)</f>
        <v/>
      </c>
      <c r="R2670" s="15">
        <f>+H2670</f>
        <v>0</v>
      </c>
      <c r="S2670" s="16"/>
      <c r="T2670" s="15">
        <f>+E2670</f>
        <v>0</v>
      </c>
      <c r="U2670" s="26" t="str">
        <f t="shared" ref="U2670" si="1453">IFERROR(LEFT(G2670,FIND("*",G2670)-1),"-")</f>
        <v>-</v>
      </c>
      <c r="V2670" s="26" t="str">
        <f t="shared" ref="V2670" si="1454">IFERROR(RIGHT(G2670,LEN(G2670)-FIND("*",G2670)),"-")</f>
        <v>-</v>
      </c>
      <c r="W2670" s="27" t="str">
        <f t="shared" si="1450"/>
        <v>-</v>
      </c>
      <c r="X2670" s="27" t="str">
        <f>IFERROR(W2670*H2670,"-")</f>
        <v>-</v>
      </c>
      <c r="Z2670" s="94" t="s">
        <v>82</v>
      </c>
    </row>
    <row r="2671" spans="1:26" s="25" customFormat="1" ht="6.95" customHeight="1" x14ac:dyDescent="0.3">
      <c r="A2671" s="10"/>
      <c r="B2671" s="168"/>
      <c r="C2671" s="169"/>
      <c r="D2671" s="160"/>
      <c r="E2671" s="161"/>
      <c r="F2671" s="162"/>
      <c r="G2671" s="163"/>
      <c r="H2671" s="164"/>
      <c r="I2671" s="163"/>
      <c r="J2671" s="164"/>
      <c r="K2671" s="163"/>
      <c r="L2671" s="164"/>
      <c r="M2671" s="11"/>
      <c r="N2671" s="39"/>
      <c r="Q2671" s="15" t="str">
        <f>+CONCATENATE(E2670,I2670)</f>
        <v/>
      </c>
      <c r="R2671" s="15">
        <f>+J2670</f>
        <v>0</v>
      </c>
      <c r="S2671" s="16"/>
      <c r="T2671" s="15">
        <f>+E2670</f>
        <v>0</v>
      </c>
      <c r="U2671" s="26" t="str">
        <f>IFERROR(LEFT(I2670,FIND("*",I2670)-1),"-")</f>
        <v>-</v>
      </c>
      <c r="V2671" s="26" t="str">
        <f>IFERROR(RIGHT(I2670,LEN(I2670)-FIND("*",I2670)),"-")</f>
        <v>-</v>
      </c>
      <c r="W2671" s="27" t="str">
        <f t="shared" si="1450"/>
        <v>-</v>
      </c>
      <c r="X2671" s="27" t="str">
        <f t="shared" ref="X2671" si="1455">IFERROR(W2671*J2670,"-")</f>
        <v>-</v>
      </c>
      <c r="Z2671" s="94" t="s">
        <v>82</v>
      </c>
    </row>
    <row r="2672" spans="1:26" s="25" customFormat="1" ht="6.95" customHeight="1" x14ac:dyDescent="0.3">
      <c r="A2672" s="10"/>
      <c r="B2672" s="168"/>
      <c r="C2672" s="169"/>
      <c r="D2672" s="160"/>
      <c r="E2672" s="161"/>
      <c r="F2672" s="162"/>
      <c r="G2672" s="163"/>
      <c r="H2672" s="164"/>
      <c r="I2672" s="163"/>
      <c r="J2672" s="164"/>
      <c r="K2672" s="163"/>
      <c r="L2672" s="164"/>
      <c r="M2672" s="11"/>
      <c r="N2672" s="39"/>
      <c r="Q2672" s="15" t="str">
        <f>+CONCATENATE(E2670,K2670)</f>
        <v/>
      </c>
      <c r="R2672" s="15">
        <f>+L2670</f>
        <v>0</v>
      </c>
      <c r="S2672" s="16"/>
      <c r="T2672" s="15">
        <f>+E2670</f>
        <v>0</v>
      </c>
      <c r="U2672" s="26" t="str">
        <f>IFERROR(LEFT(K2670,FIND("*",K2670)-1),"-")</f>
        <v>-</v>
      </c>
      <c r="V2672" s="26" t="str">
        <f>IFERROR(RIGHT(K2670,LEN(K2670)-FIND("*",K2670)),"-")</f>
        <v>-</v>
      </c>
      <c r="W2672" s="27" t="str">
        <f t="shared" si="1450"/>
        <v>-</v>
      </c>
      <c r="X2672" s="27" t="str">
        <f>IFERROR(W2672*L2670,"-")</f>
        <v>-</v>
      </c>
      <c r="Z2672" s="94" t="s">
        <v>82</v>
      </c>
    </row>
    <row r="2673" spans="1:26" s="25" customFormat="1" ht="21" customHeight="1" thickBot="1" x14ac:dyDescent="0.35">
      <c r="A2673" s="10"/>
      <c r="B2673" s="170"/>
      <c r="C2673" s="171"/>
      <c r="D2673" s="172" t="s">
        <v>43</v>
      </c>
      <c r="E2673" s="173"/>
      <c r="F2673" s="173"/>
      <c r="G2673" s="174"/>
      <c r="H2673" s="174"/>
      <c r="I2673" s="174"/>
      <c r="J2673" s="174"/>
      <c r="K2673" s="174"/>
      <c r="L2673" s="174"/>
      <c r="M2673" s="12"/>
      <c r="N2673" s="39"/>
      <c r="U2673" s="23"/>
      <c r="V2673" s="23"/>
      <c r="Z2673" s="95" t="s">
        <v>81</v>
      </c>
    </row>
    <row r="2674" spans="1:26" s="25" customFormat="1" ht="9.9499999999999993" customHeight="1" thickBot="1" x14ac:dyDescent="0.35">
      <c r="A2674" s="6"/>
      <c r="B2674" s="14"/>
      <c r="C2674" s="119"/>
      <c r="D2674" s="58"/>
      <c r="E2674" s="17"/>
      <c r="F2674" s="58"/>
      <c r="G2674" s="19"/>
      <c r="H2674" s="19"/>
      <c r="I2674" s="19"/>
      <c r="J2674" s="19"/>
      <c r="K2674" s="19"/>
      <c r="L2674" s="19"/>
      <c r="M2674" s="14"/>
      <c r="N2674" s="39"/>
      <c r="Q2674" s="1"/>
      <c r="R2674" s="1"/>
      <c r="S2674" s="1"/>
      <c r="T2674" s="1"/>
      <c r="U2674" s="24"/>
      <c r="V2674" s="24"/>
      <c r="W2674" s="1"/>
      <c r="X2674" s="1"/>
      <c r="Z2674" s="94" t="s">
        <v>82</v>
      </c>
    </row>
    <row r="2675" spans="1:26" s="25" customFormat="1" ht="6.95" customHeight="1" x14ac:dyDescent="0.3">
      <c r="A2675" s="165">
        <f>+A2664+1</f>
        <v>244</v>
      </c>
      <c r="B2675" s="166"/>
      <c r="C2675" s="167"/>
      <c r="D2675" s="160" t="s">
        <v>39</v>
      </c>
      <c r="E2675" s="161"/>
      <c r="F2675" s="162" t="s">
        <v>40</v>
      </c>
      <c r="G2675" s="163"/>
      <c r="H2675" s="164"/>
      <c r="I2675" s="163"/>
      <c r="J2675" s="164"/>
      <c r="K2675" s="163"/>
      <c r="L2675" s="164"/>
      <c r="M2675" s="11"/>
      <c r="N2675" s="39"/>
      <c r="Q2675" s="15" t="str">
        <f>+CONCATENATE(E2675,G2675)</f>
        <v/>
      </c>
      <c r="R2675" s="15">
        <f>+H2675</f>
        <v>0</v>
      </c>
      <c r="S2675" s="16"/>
      <c r="T2675" s="15">
        <f>+E2675</f>
        <v>0</v>
      </c>
      <c r="U2675" s="26" t="str">
        <f>IFERROR(LEFT(G2675,FIND("*",G2675)-1),"-")</f>
        <v>-</v>
      </c>
      <c r="V2675" s="26" t="str">
        <f>IFERROR(RIGHT(G2675,LEN(G2675)-FIND("*",G2675)),"-")</f>
        <v>-</v>
      </c>
      <c r="W2675" s="27" t="str">
        <f>IFERROR((U2675+V2675)*2/1000,"-")</f>
        <v>-</v>
      </c>
      <c r="X2675" s="27" t="str">
        <f>IFERROR(W2675*H2675,"-")</f>
        <v>-</v>
      </c>
      <c r="Z2675" s="94" t="s">
        <v>82</v>
      </c>
    </row>
    <row r="2676" spans="1:26" s="25" customFormat="1" ht="6.95" customHeight="1" x14ac:dyDescent="0.3">
      <c r="A2676" s="165"/>
      <c r="B2676" s="168"/>
      <c r="C2676" s="169"/>
      <c r="D2676" s="160"/>
      <c r="E2676" s="161"/>
      <c r="F2676" s="162"/>
      <c r="G2676" s="163"/>
      <c r="H2676" s="164"/>
      <c r="I2676" s="163"/>
      <c r="J2676" s="164"/>
      <c r="K2676" s="163"/>
      <c r="L2676" s="164"/>
      <c r="M2676" s="11"/>
      <c r="N2676" s="39"/>
      <c r="Q2676" s="15" t="str">
        <f>+CONCATENATE(E2675,I2675)</f>
        <v/>
      </c>
      <c r="R2676" s="15">
        <f>+J2675</f>
        <v>0</v>
      </c>
      <c r="S2676" s="16"/>
      <c r="T2676" s="15">
        <f>+E2675</f>
        <v>0</v>
      </c>
      <c r="U2676" s="26" t="str">
        <f>IFERROR(LEFT(I2675,FIND("*",I2675)-1),"-")</f>
        <v>-</v>
      </c>
      <c r="V2676" s="26" t="str">
        <f>IFERROR(RIGHT(I2675,LEN(I2675)-FIND("*",I2675)),"-")</f>
        <v>-</v>
      </c>
      <c r="W2676" s="27" t="str">
        <f t="shared" ref="W2676:W2683" si="1456">IFERROR((U2676+V2676)*2/1000,"-")</f>
        <v>-</v>
      </c>
      <c r="X2676" s="27" t="str">
        <f>IFERROR(W2676*J2675,"-")</f>
        <v>-</v>
      </c>
      <c r="Z2676" s="94" t="s">
        <v>82</v>
      </c>
    </row>
    <row r="2677" spans="1:26" s="25" customFormat="1" ht="6.95" customHeight="1" x14ac:dyDescent="0.3">
      <c r="A2677" s="165"/>
      <c r="B2677" s="168"/>
      <c r="C2677" s="169"/>
      <c r="D2677" s="160"/>
      <c r="E2677" s="161"/>
      <c r="F2677" s="162"/>
      <c r="G2677" s="163"/>
      <c r="H2677" s="164"/>
      <c r="I2677" s="163"/>
      <c r="J2677" s="164"/>
      <c r="K2677" s="163"/>
      <c r="L2677" s="164"/>
      <c r="M2677" s="11"/>
      <c r="N2677" s="39"/>
      <c r="Q2677" s="15" t="str">
        <f>+CONCATENATE(E2675,K2675)</f>
        <v/>
      </c>
      <c r="R2677" s="15">
        <f>+L2675</f>
        <v>0</v>
      </c>
      <c r="S2677" s="16"/>
      <c r="T2677" s="15">
        <f>+E2675</f>
        <v>0</v>
      </c>
      <c r="U2677" s="26" t="str">
        <f>IFERROR(LEFT(K2675,FIND("*",K2675)-1),"-")</f>
        <v>-</v>
      </c>
      <c r="V2677" s="26" t="str">
        <f>IFERROR(RIGHT(K2675,LEN(K2675)-FIND("*",K2675)),"-")</f>
        <v>-</v>
      </c>
      <c r="W2677" s="27" t="str">
        <f t="shared" si="1456"/>
        <v>-</v>
      </c>
      <c r="X2677" s="27" t="str">
        <f>IFERROR(W2677*L2675,"-")</f>
        <v>-</v>
      </c>
      <c r="Z2677" s="94" t="s">
        <v>82</v>
      </c>
    </row>
    <row r="2678" spans="1:26" s="25" customFormat="1" ht="6.95" customHeight="1" x14ac:dyDescent="0.3">
      <c r="A2678" s="13"/>
      <c r="B2678" s="168"/>
      <c r="C2678" s="169"/>
      <c r="D2678" s="160" t="s">
        <v>39</v>
      </c>
      <c r="E2678" s="161"/>
      <c r="F2678" s="162" t="s">
        <v>40</v>
      </c>
      <c r="G2678" s="163"/>
      <c r="H2678" s="164"/>
      <c r="I2678" s="163"/>
      <c r="J2678" s="164"/>
      <c r="K2678" s="163"/>
      <c r="L2678" s="164"/>
      <c r="M2678" s="11"/>
      <c r="N2678" s="39"/>
      <c r="Q2678" s="15" t="str">
        <f>+CONCATENATE(E2678,G2678)</f>
        <v/>
      </c>
      <c r="R2678" s="15">
        <f>+H2678</f>
        <v>0</v>
      </c>
      <c r="S2678" s="16"/>
      <c r="T2678" s="15">
        <f>+E2678</f>
        <v>0</v>
      </c>
      <c r="U2678" s="26" t="str">
        <f t="shared" ref="U2678" si="1457">IFERROR(LEFT(G2678,FIND("*",G2678)-1),"-")</f>
        <v>-</v>
      </c>
      <c r="V2678" s="26" t="str">
        <f t="shared" ref="V2678" si="1458">IFERROR(RIGHT(G2678,LEN(G2678)-FIND("*",G2678)),"-")</f>
        <v>-</v>
      </c>
      <c r="W2678" s="27" t="str">
        <f t="shared" si="1456"/>
        <v>-</v>
      </c>
      <c r="X2678" s="27" t="str">
        <f>IFERROR(W2678*H2678,"-")</f>
        <v>-</v>
      </c>
      <c r="Z2678" s="94" t="s">
        <v>82</v>
      </c>
    </row>
    <row r="2679" spans="1:26" s="25" customFormat="1" ht="6.95" customHeight="1" x14ac:dyDescent="0.3">
      <c r="A2679" s="10"/>
      <c r="B2679" s="168"/>
      <c r="C2679" s="169"/>
      <c r="D2679" s="160"/>
      <c r="E2679" s="161"/>
      <c r="F2679" s="162"/>
      <c r="G2679" s="163"/>
      <c r="H2679" s="164"/>
      <c r="I2679" s="163"/>
      <c r="J2679" s="164"/>
      <c r="K2679" s="163"/>
      <c r="L2679" s="164"/>
      <c r="M2679" s="11"/>
      <c r="N2679" s="39"/>
      <c r="Q2679" s="15" t="str">
        <f>+CONCATENATE(E2678,I2678)</f>
        <v/>
      </c>
      <c r="R2679" s="15">
        <f>+J2678</f>
        <v>0</v>
      </c>
      <c r="S2679" s="16"/>
      <c r="T2679" s="15">
        <f>+E2678</f>
        <v>0</v>
      </c>
      <c r="U2679" s="26" t="str">
        <f>IFERROR(LEFT(I2678,FIND("*",I2678)-1),"-")</f>
        <v>-</v>
      </c>
      <c r="V2679" s="26" t="str">
        <f>IFERROR(RIGHT(I2678,LEN(I2678)-FIND("*",I2678)),"-")</f>
        <v>-</v>
      </c>
      <c r="W2679" s="27" t="str">
        <f t="shared" si="1456"/>
        <v>-</v>
      </c>
      <c r="X2679" s="27" t="str">
        <f>IFERROR(W2679*J2678,"-")</f>
        <v>-</v>
      </c>
      <c r="Z2679" s="94" t="s">
        <v>82</v>
      </c>
    </row>
    <row r="2680" spans="1:26" s="25" customFormat="1" ht="6.95" customHeight="1" x14ac:dyDescent="0.3">
      <c r="A2680" s="10"/>
      <c r="B2680" s="168"/>
      <c r="C2680" s="169"/>
      <c r="D2680" s="160"/>
      <c r="E2680" s="161"/>
      <c r="F2680" s="162"/>
      <c r="G2680" s="163"/>
      <c r="H2680" s="164"/>
      <c r="I2680" s="163"/>
      <c r="J2680" s="164"/>
      <c r="K2680" s="163"/>
      <c r="L2680" s="164"/>
      <c r="M2680" s="11"/>
      <c r="N2680" s="39"/>
      <c r="Q2680" s="15" t="str">
        <f>+CONCATENATE(E2678,K2678)</f>
        <v/>
      </c>
      <c r="R2680" s="15">
        <f>+L2678</f>
        <v>0</v>
      </c>
      <c r="S2680" s="16"/>
      <c r="T2680" s="15">
        <f>+E2678</f>
        <v>0</v>
      </c>
      <c r="U2680" s="26" t="str">
        <f>IFERROR(LEFT(K2678,FIND("*",K2678)-1),"-")</f>
        <v>-</v>
      </c>
      <c r="V2680" s="26" t="str">
        <f>IFERROR(RIGHT(K2678,LEN(K2678)-FIND("*",K2678)),"-")</f>
        <v>-</v>
      </c>
      <c r="W2680" s="27" t="str">
        <f t="shared" si="1456"/>
        <v>-</v>
      </c>
      <c r="X2680" s="27" t="str">
        <f>IFERROR(W2680*L2678,"-")</f>
        <v>-</v>
      </c>
      <c r="Z2680" s="94" t="s">
        <v>82</v>
      </c>
    </row>
    <row r="2681" spans="1:26" s="25" customFormat="1" ht="6.95" customHeight="1" x14ac:dyDescent="0.3">
      <c r="A2681" s="13"/>
      <c r="B2681" s="168"/>
      <c r="C2681" s="169"/>
      <c r="D2681" s="160" t="s">
        <v>39</v>
      </c>
      <c r="E2681" s="161"/>
      <c r="F2681" s="162" t="s">
        <v>40</v>
      </c>
      <c r="G2681" s="163"/>
      <c r="H2681" s="164"/>
      <c r="I2681" s="163"/>
      <c r="J2681" s="164"/>
      <c r="K2681" s="163"/>
      <c r="L2681" s="164"/>
      <c r="M2681" s="11"/>
      <c r="N2681" s="39"/>
      <c r="Q2681" s="15" t="str">
        <f>+CONCATENATE(E2681,G2681)</f>
        <v/>
      </c>
      <c r="R2681" s="15">
        <f>+H2681</f>
        <v>0</v>
      </c>
      <c r="S2681" s="16"/>
      <c r="T2681" s="15">
        <f>+E2681</f>
        <v>0</v>
      </c>
      <c r="U2681" s="26" t="str">
        <f t="shared" ref="U2681" si="1459">IFERROR(LEFT(G2681,FIND("*",G2681)-1),"-")</f>
        <v>-</v>
      </c>
      <c r="V2681" s="26" t="str">
        <f t="shared" ref="V2681" si="1460">IFERROR(RIGHT(G2681,LEN(G2681)-FIND("*",G2681)),"-")</f>
        <v>-</v>
      </c>
      <c r="W2681" s="27" t="str">
        <f t="shared" si="1456"/>
        <v>-</v>
      </c>
      <c r="X2681" s="27" t="str">
        <f>IFERROR(W2681*H2681,"-")</f>
        <v>-</v>
      </c>
      <c r="Z2681" s="94" t="s">
        <v>82</v>
      </c>
    </row>
    <row r="2682" spans="1:26" s="25" customFormat="1" ht="6.95" customHeight="1" x14ac:dyDescent="0.3">
      <c r="A2682" s="10"/>
      <c r="B2682" s="168"/>
      <c r="C2682" s="169"/>
      <c r="D2682" s="160"/>
      <c r="E2682" s="161"/>
      <c r="F2682" s="162"/>
      <c r="G2682" s="163"/>
      <c r="H2682" s="164"/>
      <c r="I2682" s="163"/>
      <c r="J2682" s="164"/>
      <c r="K2682" s="163"/>
      <c r="L2682" s="164"/>
      <c r="M2682" s="11"/>
      <c r="N2682" s="39"/>
      <c r="Q2682" s="15" t="str">
        <f>+CONCATENATE(E2681,I2681)</f>
        <v/>
      </c>
      <c r="R2682" s="15">
        <f>+J2681</f>
        <v>0</v>
      </c>
      <c r="S2682" s="16"/>
      <c r="T2682" s="15">
        <f>+E2681</f>
        <v>0</v>
      </c>
      <c r="U2682" s="26" t="str">
        <f>IFERROR(LEFT(I2681,FIND("*",I2681)-1),"-")</f>
        <v>-</v>
      </c>
      <c r="V2682" s="26" t="str">
        <f>IFERROR(RIGHT(I2681,LEN(I2681)-FIND("*",I2681)),"-")</f>
        <v>-</v>
      </c>
      <c r="W2682" s="27" t="str">
        <f t="shared" si="1456"/>
        <v>-</v>
      </c>
      <c r="X2682" s="27" t="str">
        <f t="shared" ref="X2682" si="1461">IFERROR(W2682*J2681,"-")</f>
        <v>-</v>
      </c>
      <c r="Z2682" s="94" t="s">
        <v>82</v>
      </c>
    </row>
    <row r="2683" spans="1:26" s="25" customFormat="1" ht="6.95" customHeight="1" x14ac:dyDescent="0.3">
      <c r="A2683" s="10"/>
      <c r="B2683" s="168"/>
      <c r="C2683" s="169"/>
      <c r="D2683" s="160"/>
      <c r="E2683" s="161"/>
      <c r="F2683" s="162"/>
      <c r="G2683" s="163"/>
      <c r="H2683" s="164"/>
      <c r="I2683" s="163"/>
      <c r="J2683" s="164"/>
      <c r="K2683" s="163"/>
      <c r="L2683" s="164"/>
      <c r="M2683" s="11"/>
      <c r="N2683" s="39"/>
      <c r="Q2683" s="15" t="str">
        <f>+CONCATENATE(E2681,K2681)</f>
        <v/>
      </c>
      <c r="R2683" s="15">
        <f>+L2681</f>
        <v>0</v>
      </c>
      <c r="S2683" s="16"/>
      <c r="T2683" s="15">
        <f>+E2681</f>
        <v>0</v>
      </c>
      <c r="U2683" s="26" t="str">
        <f>IFERROR(LEFT(K2681,FIND("*",K2681)-1),"-")</f>
        <v>-</v>
      </c>
      <c r="V2683" s="26" t="str">
        <f>IFERROR(RIGHT(K2681,LEN(K2681)-FIND("*",K2681)),"-")</f>
        <v>-</v>
      </c>
      <c r="W2683" s="27" t="str">
        <f t="shared" si="1456"/>
        <v>-</v>
      </c>
      <c r="X2683" s="27" t="str">
        <f>IFERROR(W2683*L2681,"-")</f>
        <v>-</v>
      </c>
      <c r="Z2683" s="94" t="s">
        <v>82</v>
      </c>
    </row>
    <row r="2684" spans="1:26" s="25" customFormat="1" ht="21" customHeight="1" thickBot="1" x14ac:dyDescent="0.35">
      <c r="A2684" s="10"/>
      <c r="B2684" s="170"/>
      <c r="C2684" s="171"/>
      <c r="D2684" s="172" t="s">
        <v>43</v>
      </c>
      <c r="E2684" s="173"/>
      <c r="F2684" s="173"/>
      <c r="G2684" s="174"/>
      <c r="H2684" s="174"/>
      <c r="I2684" s="174"/>
      <c r="J2684" s="174"/>
      <c r="K2684" s="174"/>
      <c r="L2684" s="174"/>
      <c r="M2684" s="12"/>
      <c r="N2684" s="39"/>
      <c r="U2684" s="23"/>
      <c r="V2684" s="23"/>
      <c r="Z2684" s="95" t="s">
        <v>81</v>
      </c>
    </row>
    <row r="2685" spans="1:26" s="25" customFormat="1" ht="9.9499999999999993" customHeight="1" thickBot="1" x14ac:dyDescent="0.35">
      <c r="A2685" s="6"/>
      <c r="B2685" s="14"/>
      <c r="C2685" s="119"/>
      <c r="D2685" s="58"/>
      <c r="E2685" s="17"/>
      <c r="F2685" s="58"/>
      <c r="G2685" s="19"/>
      <c r="H2685" s="19"/>
      <c r="I2685" s="19"/>
      <c r="J2685" s="19"/>
      <c r="K2685" s="19"/>
      <c r="L2685" s="19"/>
      <c r="M2685" s="14"/>
      <c r="N2685" s="39"/>
      <c r="Q2685" s="1"/>
      <c r="R2685" s="1"/>
      <c r="S2685" s="1"/>
      <c r="T2685" s="1"/>
      <c r="U2685" s="24"/>
      <c r="V2685" s="24"/>
      <c r="W2685" s="1"/>
      <c r="X2685" s="1"/>
      <c r="Z2685" s="94" t="s">
        <v>82</v>
      </c>
    </row>
    <row r="2686" spans="1:26" s="25" customFormat="1" ht="6.95" customHeight="1" x14ac:dyDescent="0.3">
      <c r="A2686" s="165">
        <f>+A2675+1</f>
        <v>245</v>
      </c>
      <c r="B2686" s="166"/>
      <c r="C2686" s="167"/>
      <c r="D2686" s="160" t="s">
        <v>39</v>
      </c>
      <c r="E2686" s="161"/>
      <c r="F2686" s="162" t="s">
        <v>40</v>
      </c>
      <c r="G2686" s="163"/>
      <c r="H2686" s="164"/>
      <c r="I2686" s="163"/>
      <c r="J2686" s="164"/>
      <c r="K2686" s="163"/>
      <c r="L2686" s="164"/>
      <c r="M2686" s="11"/>
      <c r="N2686" s="39"/>
      <c r="Q2686" s="15" t="str">
        <f>+CONCATENATE(E2686,G2686)</f>
        <v/>
      </c>
      <c r="R2686" s="15">
        <f>+H2686</f>
        <v>0</v>
      </c>
      <c r="S2686" s="16"/>
      <c r="T2686" s="15">
        <f>+E2686</f>
        <v>0</v>
      </c>
      <c r="U2686" s="26" t="str">
        <f>IFERROR(LEFT(G2686,FIND("*",G2686)-1),"-")</f>
        <v>-</v>
      </c>
      <c r="V2686" s="26" t="str">
        <f>IFERROR(RIGHT(G2686,LEN(G2686)-FIND("*",G2686)),"-")</f>
        <v>-</v>
      </c>
      <c r="W2686" s="27" t="str">
        <f>IFERROR((U2686+V2686)*2/1000,"-")</f>
        <v>-</v>
      </c>
      <c r="X2686" s="27" t="str">
        <f>IFERROR(W2686*H2686,"-")</f>
        <v>-</v>
      </c>
      <c r="Z2686" s="94" t="s">
        <v>82</v>
      </c>
    </row>
    <row r="2687" spans="1:26" s="25" customFormat="1" ht="6.95" customHeight="1" x14ac:dyDescent="0.3">
      <c r="A2687" s="165"/>
      <c r="B2687" s="168"/>
      <c r="C2687" s="169"/>
      <c r="D2687" s="160"/>
      <c r="E2687" s="161"/>
      <c r="F2687" s="162"/>
      <c r="G2687" s="163"/>
      <c r="H2687" s="164"/>
      <c r="I2687" s="163"/>
      <c r="J2687" s="164"/>
      <c r="K2687" s="163"/>
      <c r="L2687" s="164"/>
      <c r="M2687" s="11"/>
      <c r="N2687" s="39"/>
      <c r="Q2687" s="15" t="str">
        <f>+CONCATENATE(E2686,I2686)</f>
        <v/>
      </c>
      <c r="R2687" s="15">
        <f>+J2686</f>
        <v>0</v>
      </c>
      <c r="S2687" s="16"/>
      <c r="T2687" s="15">
        <f>+E2686</f>
        <v>0</v>
      </c>
      <c r="U2687" s="26" t="str">
        <f>IFERROR(LEFT(I2686,FIND("*",I2686)-1),"-")</f>
        <v>-</v>
      </c>
      <c r="V2687" s="26" t="str">
        <f>IFERROR(RIGHT(I2686,LEN(I2686)-FIND("*",I2686)),"-")</f>
        <v>-</v>
      </c>
      <c r="W2687" s="27" t="str">
        <f t="shared" ref="W2687:W2694" si="1462">IFERROR((U2687+V2687)*2/1000,"-")</f>
        <v>-</v>
      </c>
      <c r="X2687" s="27" t="str">
        <f>IFERROR(W2687*J2686,"-")</f>
        <v>-</v>
      </c>
      <c r="Z2687" s="94" t="s">
        <v>82</v>
      </c>
    </row>
    <row r="2688" spans="1:26" s="25" customFormat="1" ht="6.95" customHeight="1" x14ac:dyDescent="0.3">
      <c r="A2688" s="165"/>
      <c r="B2688" s="168"/>
      <c r="C2688" s="169"/>
      <c r="D2688" s="160"/>
      <c r="E2688" s="161"/>
      <c r="F2688" s="162"/>
      <c r="G2688" s="163"/>
      <c r="H2688" s="164"/>
      <c r="I2688" s="163"/>
      <c r="J2688" s="164"/>
      <c r="K2688" s="163"/>
      <c r="L2688" s="164"/>
      <c r="M2688" s="11"/>
      <c r="N2688" s="39"/>
      <c r="Q2688" s="15" t="str">
        <f>+CONCATENATE(E2686,K2686)</f>
        <v/>
      </c>
      <c r="R2688" s="15">
        <f>+L2686</f>
        <v>0</v>
      </c>
      <c r="S2688" s="16"/>
      <c r="T2688" s="15">
        <f>+E2686</f>
        <v>0</v>
      </c>
      <c r="U2688" s="26" t="str">
        <f>IFERROR(LEFT(K2686,FIND("*",K2686)-1),"-")</f>
        <v>-</v>
      </c>
      <c r="V2688" s="26" t="str">
        <f>IFERROR(RIGHT(K2686,LEN(K2686)-FIND("*",K2686)),"-")</f>
        <v>-</v>
      </c>
      <c r="W2688" s="27" t="str">
        <f t="shared" si="1462"/>
        <v>-</v>
      </c>
      <c r="X2688" s="27" t="str">
        <f>IFERROR(W2688*L2686,"-")</f>
        <v>-</v>
      </c>
      <c r="Z2688" s="94" t="s">
        <v>82</v>
      </c>
    </row>
    <row r="2689" spans="1:26" s="25" customFormat="1" ht="6.95" customHeight="1" x14ac:dyDescent="0.3">
      <c r="A2689" s="13"/>
      <c r="B2689" s="168"/>
      <c r="C2689" s="169"/>
      <c r="D2689" s="160" t="s">
        <v>39</v>
      </c>
      <c r="E2689" s="161"/>
      <c r="F2689" s="162" t="s">
        <v>40</v>
      </c>
      <c r="G2689" s="163"/>
      <c r="H2689" s="164"/>
      <c r="I2689" s="163"/>
      <c r="J2689" s="164"/>
      <c r="K2689" s="163"/>
      <c r="L2689" s="164"/>
      <c r="M2689" s="11"/>
      <c r="N2689" s="39"/>
      <c r="Q2689" s="15" t="str">
        <f>+CONCATENATE(E2689,G2689)</f>
        <v/>
      </c>
      <c r="R2689" s="15">
        <f>+H2689</f>
        <v>0</v>
      </c>
      <c r="S2689" s="16"/>
      <c r="T2689" s="15">
        <f>+E2689</f>
        <v>0</v>
      </c>
      <c r="U2689" s="26" t="str">
        <f t="shared" ref="U2689" si="1463">IFERROR(LEFT(G2689,FIND("*",G2689)-1),"-")</f>
        <v>-</v>
      </c>
      <c r="V2689" s="26" t="str">
        <f t="shared" ref="V2689" si="1464">IFERROR(RIGHT(G2689,LEN(G2689)-FIND("*",G2689)),"-")</f>
        <v>-</v>
      </c>
      <c r="W2689" s="27" t="str">
        <f t="shared" si="1462"/>
        <v>-</v>
      </c>
      <c r="X2689" s="27" t="str">
        <f>IFERROR(W2689*H2689,"-")</f>
        <v>-</v>
      </c>
      <c r="Z2689" s="94" t="s">
        <v>82</v>
      </c>
    </row>
    <row r="2690" spans="1:26" s="25" customFormat="1" ht="6.95" customHeight="1" x14ac:dyDescent="0.3">
      <c r="A2690" s="10"/>
      <c r="B2690" s="168"/>
      <c r="C2690" s="169"/>
      <c r="D2690" s="160"/>
      <c r="E2690" s="161"/>
      <c r="F2690" s="162"/>
      <c r="G2690" s="163"/>
      <c r="H2690" s="164"/>
      <c r="I2690" s="163"/>
      <c r="J2690" s="164"/>
      <c r="K2690" s="163"/>
      <c r="L2690" s="164"/>
      <c r="M2690" s="11"/>
      <c r="N2690" s="39"/>
      <c r="Q2690" s="15" t="str">
        <f>+CONCATENATE(E2689,I2689)</f>
        <v/>
      </c>
      <c r="R2690" s="15">
        <f>+J2689</f>
        <v>0</v>
      </c>
      <c r="S2690" s="16"/>
      <c r="T2690" s="15">
        <f>+E2689</f>
        <v>0</v>
      </c>
      <c r="U2690" s="26" t="str">
        <f>IFERROR(LEFT(I2689,FIND("*",I2689)-1),"-")</f>
        <v>-</v>
      </c>
      <c r="V2690" s="26" t="str">
        <f>IFERROR(RIGHT(I2689,LEN(I2689)-FIND("*",I2689)),"-")</f>
        <v>-</v>
      </c>
      <c r="W2690" s="27" t="str">
        <f t="shared" si="1462"/>
        <v>-</v>
      </c>
      <c r="X2690" s="27" t="str">
        <f>IFERROR(W2690*J2689,"-")</f>
        <v>-</v>
      </c>
      <c r="Z2690" s="94" t="s">
        <v>82</v>
      </c>
    </row>
    <row r="2691" spans="1:26" s="25" customFormat="1" ht="6.95" customHeight="1" x14ac:dyDescent="0.3">
      <c r="A2691" s="10"/>
      <c r="B2691" s="168"/>
      <c r="C2691" s="169"/>
      <c r="D2691" s="160"/>
      <c r="E2691" s="161"/>
      <c r="F2691" s="162"/>
      <c r="G2691" s="163"/>
      <c r="H2691" s="164"/>
      <c r="I2691" s="163"/>
      <c r="J2691" s="164"/>
      <c r="K2691" s="163"/>
      <c r="L2691" s="164"/>
      <c r="M2691" s="11"/>
      <c r="N2691" s="39"/>
      <c r="Q2691" s="15" t="str">
        <f>+CONCATENATE(E2689,K2689)</f>
        <v/>
      </c>
      <c r="R2691" s="15">
        <f>+L2689</f>
        <v>0</v>
      </c>
      <c r="S2691" s="16"/>
      <c r="T2691" s="15">
        <f>+E2689</f>
        <v>0</v>
      </c>
      <c r="U2691" s="26" t="str">
        <f>IFERROR(LEFT(K2689,FIND("*",K2689)-1),"-")</f>
        <v>-</v>
      </c>
      <c r="V2691" s="26" t="str">
        <f>IFERROR(RIGHT(K2689,LEN(K2689)-FIND("*",K2689)),"-")</f>
        <v>-</v>
      </c>
      <c r="W2691" s="27" t="str">
        <f t="shared" si="1462"/>
        <v>-</v>
      </c>
      <c r="X2691" s="27" t="str">
        <f>IFERROR(W2691*L2689,"-")</f>
        <v>-</v>
      </c>
      <c r="Z2691" s="94" t="s">
        <v>82</v>
      </c>
    </row>
    <row r="2692" spans="1:26" s="25" customFormat="1" ht="6.95" customHeight="1" x14ac:dyDescent="0.3">
      <c r="A2692" s="13"/>
      <c r="B2692" s="168"/>
      <c r="C2692" s="169"/>
      <c r="D2692" s="160" t="s">
        <v>39</v>
      </c>
      <c r="E2692" s="161"/>
      <c r="F2692" s="162" t="s">
        <v>40</v>
      </c>
      <c r="G2692" s="163"/>
      <c r="H2692" s="164"/>
      <c r="I2692" s="163"/>
      <c r="J2692" s="164"/>
      <c r="K2692" s="163"/>
      <c r="L2692" s="164"/>
      <c r="M2692" s="11"/>
      <c r="N2692" s="39"/>
      <c r="Q2692" s="15" t="str">
        <f>+CONCATENATE(E2692,G2692)</f>
        <v/>
      </c>
      <c r="R2692" s="15">
        <f>+H2692</f>
        <v>0</v>
      </c>
      <c r="S2692" s="16"/>
      <c r="T2692" s="15">
        <f>+E2692</f>
        <v>0</v>
      </c>
      <c r="U2692" s="26" t="str">
        <f t="shared" ref="U2692" si="1465">IFERROR(LEFT(G2692,FIND("*",G2692)-1),"-")</f>
        <v>-</v>
      </c>
      <c r="V2692" s="26" t="str">
        <f t="shared" ref="V2692" si="1466">IFERROR(RIGHT(G2692,LEN(G2692)-FIND("*",G2692)),"-")</f>
        <v>-</v>
      </c>
      <c r="W2692" s="27" t="str">
        <f t="shared" si="1462"/>
        <v>-</v>
      </c>
      <c r="X2692" s="27" t="str">
        <f>IFERROR(W2692*H2692,"-")</f>
        <v>-</v>
      </c>
      <c r="Z2692" s="94" t="s">
        <v>82</v>
      </c>
    </row>
    <row r="2693" spans="1:26" s="25" customFormat="1" ht="6.95" customHeight="1" x14ac:dyDescent="0.3">
      <c r="A2693" s="10"/>
      <c r="B2693" s="168"/>
      <c r="C2693" s="169"/>
      <c r="D2693" s="160"/>
      <c r="E2693" s="161"/>
      <c r="F2693" s="162"/>
      <c r="G2693" s="163"/>
      <c r="H2693" s="164"/>
      <c r="I2693" s="163"/>
      <c r="J2693" s="164"/>
      <c r="K2693" s="163"/>
      <c r="L2693" s="164"/>
      <c r="M2693" s="11"/>
      <c r="N2693" s="39"/>
      <c r="Q2693" s="15" t="str">
        <f>+CONCATENATE(E2692,I2692)</f>
        <v/>
      </c>
      <c r="R2693" s="15">
        <f>+J2692</f>
        <v>0</v>
      </c>
      <c r="S2693" s="16"/>
      <c r="T2693" s="15">
        <f>+E2692</f>
        <v>0</v>
      </c>
      <c r="U2693" s="26" t="str">
        <f>IFERROR(LEFT(I2692,FIND("*",I2692)-1),"-")</f>
        <v>-</v>
      </c>
      <c r="V2693" s="26" t="str">
        <f>IFERROR(RIGHT(I2692,LEN(I2692)-FIND("*",I2692)),"-")</f>
        <v>-</v>
      </c>
      <c r="W2693" s="27" t="str">
        <f t="shared" si="1462"/>
        <v>-</v>
      </c>
      <c r="X2693" s="27" t="str">
        <f t="shared" ref="X2693" si="1467">IFERROR(W2693*J2692,"-")</f>
        <v>-</v>
      </c>
      <c r="Z2693" s="94" t="s">
        <v>82</v>
      </c>
    </row>
    <row r="2694" spans="1:26" s="25" customFormat="1" ht="6.95" customHeight="1" x14ac:dyDescent="0.3">
      <c r="A2694" s="10"/>
      <c r="B2694" s="168"/>
      <c r="C2694" s="169"/>
      <c r="D2694" s="160"/>
      <c r="E2694" s="161"/>
      <c r="F2694" s="162"/>
      <c r="G2694" s="163"/>
      <c r="H2694" s="164"/>
      <c r="I2694" s="163"/>
      <c r="J2694" s="164"/>
      <c r="K2694" s="163"/>
      <c r="L2694" s="164"/>
      <c r="M2694" s="11"/>
      <c r="N2694" s="39"/>
      <c r="Q2694" s="15" t="str">
        <f>+CONCATENATE(E2692,K2692)</f>
        <v/>
      </c>
      <c r="R2694" s="15">
        <f>+L2692</f>
        <v>0</v>
      </c>
      <c r="S2694" s="16"/>
      <c r="T2694" s="15">
        <f>+E2692</f>
        <v>0</v>
      </c>
      <c r="U2694" s="26" t="str">
        <f>IFERROR(LEFT(K2692,FIND("*",K2692)-1),"-")</f>
        <v>-</v>
      </c>
      <c r="V2694" s="26" t="str">
        <f>IFERROR(RIGHT(K2692,LEN(K2692)-FIND("*",K2692)),"-")</f>
        <v>-</v>
      </c>
      <c r="W2694" s="27" t="str">
        <f t="shared" si="1462"/>
        <v>-</v>
      </c>
      <c r="X2694" s="27" t="str">
        <f>IFERROR(W2694*L2692,"-")</f>
        <v>-</v>
      </c>
      <c r="Z2694" s="94" t="s">
        <v>82</v>
      </c>
    </row>
    <row r="2695" spans="1:26" s="25" customFormat="1" ht="21" customHeight="1" thickBot="1" x14ac:dyDescent="0.35">
      <c r="A2695" s="10"/>
      <c r="B2695" s="170"/>
      <c r="C2695" s="171"/>
      <c r="D2695" s="172" t="s">
        <v>43</v>
      </c>
      <c r="E2695" s="173"/>
      <c r="F2695" s="173"/>
      <c r="G2695" s="174"/>
      <c r="H2695" s="174"/>
      <c r="I2695" s="174"/>
      <c r="J2695" s="174"/>
      <c r="K2695" s="174"/>
      <c r="L2695" s="174"/>
      <c r="M2695" s="12"/>
      <c r="N2695" s="39"/>
      <c r="U2695" s="23"/>
      <c r="V2695" s="23"/>
      <c r="Z2695" s="95" t="s">
        <v>81</v>
      </c>
    </row>
    <row r="2696" spans="1:26" s="25" customFormat="1" ht="9.9499999999999993" customHeight="1" thickBot="1" x14ac:dyDescent="0.35">
      <c r="A2696" s="6"/>
      <c r="B2696" s="14"/>
      <c r="C2696" s="119"/>
      <c r="D2696" s="58"/>
      <c r="E2696" s="17"/>
      <c r="F2696" s="58"/>
      <c r="G2696" s="19"/>
      <c r="H2696" s="19"/>
      <c r="I2696" s="19"/>
      <c r="J2696" s="19"/>
      <c r="K2696" s="19"/>
      <c r="L2696" s="19"/>
      <c r="M2696" s="14"/>
      <c r="N2696" s="39"/>
      <c r="Q2696" s="1"/>
      <c r="R2696" s="1"/>
      <c r="S2696" s="1"/>
      <c r="T2696" s="1"/>
      <c r="U2696" s="24"/>
      <c r="V2696" s="24"/>
      <c r="W2696" s="1"/>
      <c r="X2696" s="1"/>
      <c r="Z2696" s="94" t="s">
        <v>82</v>
      </c>
    </row>
    <row r="2697" spans="1:26" s="25" customFormat="1" ht="6.95" customHeight="1" x14ac:dyDescent="0.3">
      <c r="A2697" s="165">
        <f>+A2686+1</f>
        <v>246</v>
      </c>
      <c r="B2697" s="166"/>
      <c r="C2697" s="167"/>
      <c r="D2697" s="160" t="s">
        <v>39</v>
      </c>
      <c r="E2697" s="161"/>
      <c r="F2697" s="162" t="s">
        <v>40</v>
      </c>
      <c r="G2697" s="163"/>
      <c r="H2697" s="164"/>
      <c r="I2697" s="163"/>
      <c r="J2697" s="164"/>
      <c r="K2697" s="163"/>
      <c r="L2697" s="164"/>
      <c r="M2697" s="11"/>
      <c r="N2697" s="39"/>
      <c r="Q2697" s="15" t="str">
        <f>+CONCATENATE(E2697,G2697)</f>
        <v/>
      </c>
      <c r="R2697" s="15">
        <f>+H2697</f>
        <v>0</v>
      </c>
      <c r="S2697" s="16"/>
      <c r="T2697" s="15">
        <f>+E2697</f>
        <v>0</v>
      </c>
      <c r="U2697" s="26" t="str">
        <f>IFERROR(LEFT(G2697,FIND("*",G2697)-1),"-")</f>
        <v>-</v>
      </c>
      <c r="V2697" s="26" t="str">
        <f>IFERROR(RIGHT(G2697,LEN(G2697)-FIND("*",G2697)),"-")</f>
        <v>-</v>
      </c>
      <c r="W2697" s="27" t="str">
        <f>IFERROR((U2697+V2697)*2/1000,"-")</f>
        <v>-</v>
      </c>
      <c r="X2697" s="27" t="str">
        <f>IFERROR(W2697*H2697,"-")</f>
        <v>-</v>
      </c>
      <c r="Z2697" s="94" t="s">
        <v>82</v>
      </c>
    </row>
    <row r="2698" spans="1:26" s="25" customFormat="1" ht="6.95" customHeight="1" x14ac:dyDescent="0.3">
      <c r="A2698" s="165"/>
      <c r="B2698" s="168"/>
      <c r="C2698" s="169"/>
      <c r="D2698" s="160"/>
      <c r="E2698" s="161"/>
      <c r="F2698" s="162"/>
      <c r="G2698" s="163"/>
      <c r="H2698" s="164"/>
      <c r="I2698" s="163"/>
      <c r="J2698" s="164"/>
      <c r="K2698" s="163"/>
      <c r="L2698" s="164"/>
      <c r="M2698" s="11"/>
      <c r="N2698" s="39"/>
      <c r="Q2698" s="15" t="str">
        <f>+CONCATENATE(E2697,I2697)</f>
        <v/>
      </c>
      <c r="R2698" s="15">
        <f>+J2697</f>
        <v>0</v>
      </c>
      <c r="S2698" s="16"/>
      <c r="T2698" s="15">
        <f>+E2697</f>
        <v>0</v>
      </c>
      <c r="U2698" s="26" t="str">
        <f>IFERROR(LEFT(I2697,FIND("*",I2697)-1),"-")</f>
        <v>-</v>
      </c>
      <c r="V2698" s="26" t="str">
        <f>IFERROR(RIGHT(I2697,LEN(I2697)-FIND("*",I2697)),"-")</f>
        <v>-</v>
      </c>
      <c r="W2698" s="27" t="str">
        <f t="shared" ref="W2698:W2705" si="1468">IFERROR((U2698+V2698)*2/1000,"-")</f>
        <v>-</v>
      </c>
      <c r="X2698" s="27" t="str">
        <f>IFERROR(W2698*J2697,"-")</f>
        <v>-</v>
      </c>
      <c r="Z2698" s="94" t="s">
        <v>82</v>
      </c>
    </row>
    <row r="2699" spans="1:26" s="25" customFormat="1" ht="6.95" customHeight="1" x14ac:dyDescent="0.3">
      <c r="A2699" s="165"/>
      <c r="B2699" s="168"/>
      <c r="C2699" s="169"/>
      <c r="D2699" s="160"/>
      <c r="E2699" s="161"/>
      <c r="F2699" s="162"/>
      <c r="G2699" s="163"/>
      <c r="H2699" s="164"/>
      <c r="I2699" s="163"/>
      <c r="J2699" s="164"/>
      <c r="K2699" s="163"/>
      <c r="L2699" s="164"/>
      <c r="M2699" s="11"/>
      <c r="N2699" s="39"/>
      <c r="Q2699" s="15" t="str">
        <f>+CONCATENATE(E2697,K2697)</f>
        <v/>
      </c>
      <c r="R2699" s="15">
        <f>+L2697</f>
        <v>0</v>
      </c>
      <c r="S2699" s="16"/>
      <c r="T2699" s="15">
        <f>+E2697</f>
        <v>0</v>
      </c>
      <c r="U2699" s="26" t="str">
        <f>IFERROR(LEFT(K2697,FIND("*",K2697)-1),"-")</f>
        <v>-</v>
      </c>
      <c r="V2699" s="26" t="str">
        <f>IFERROR(RIGHT(K2697,LEN(K2697)-FIND("*",K2697)),"-")</f>
        <v>-</v>
      </c>
      <c r="W2699" s="27" t="str">
        <f t="shared" si="1468"/>
        <v>-</v>
      </c>
      <c r="X2699" s="27" t="str">
        <f>IFERROR(W2699*L2697,"-")</f>
        <v>-</v>
      </c>
      <c r="Z2699" s="94" t="s">
        <v>82</v>
      </c>
    </row>
    <row r="2700" spans="1:26" s="25" customFormat="1" ht="6.95" customHeight="1" x14ac:dyDescent="0.3">
      <c r="A2700" s="13"/>
      <c r="B2700" s="168"/>
      <c r="C2700" s="169"/>
      <c r="D2700" s="160" t="s">
        <v>39</v>
      </c>
      <c r="E2700" s="161"/>
      <c r="F2700" s="162" t="s">
        <v>40</v>
      </c>
      <c r="G2700" s="163"/>
      <c r="H2700" s="164"/>
      <c r="I2700" s="163"/>
      <c r="J2700" s="164"/>
      <c r="K2700" s="163"/>
      <c r="L2700" s="164"/>
      <c r="M2700" s="11"/>
      <c r="N2700" s="39"/>
      <c r="Q2700" s="15" t="str">
        <f>+CONCATENATE(E2700,G2700)</f>
        <v/>
      </c>
      <c r="R2700" s="15">
        <f>+H2700</f>
        <v>0</v>
      </c>
      <c r="S2700" s="16"/>
      <c r="T2700" s="15">
        <f>+E2700</f>
        <v>0</v>
      </c>
      <c r="U2700" s="26" t="str">
        <f t="shared" ref="U2700" si="1469">IFERROR(LEFT(G2700,FIND("*",G2700)-1),"-")</f>
        <v>-</v>
      </c>
      <c r="V2700" s="26" t="str">
        <f t="shared" ref="V2700" si="1470">IFERROR(RIGHT(G2700,LEN(G2700)-FIND("*",G2700)),"-")</f>
        <v>-</v>
      </c>
      <c r="W2700" s="27" t="str">
        <f t="shared" si="1468"/>
        <v>-</v>
      </c>
      <c r="X2700" s="27" t="str">
        <f>IFERROR(W2700*H2700,"-")</f>
        <v>-</v>
      </c>
      <c r="Z2700" s="94" t="s">
        <v>82</v>
      </c>
    </row>
    <row r="2701" spans="1:26" s="25" customFormat="1" ht="6.95" customHeight="1" x14ac:dyDescent="0.3">
      <c r="A2701" s="10"/>
      <c r="B2701" s="168"/>
      <c r="C2701" s="169"/>
      <c r="D2701" s="160"/>
      <c r="E2701" s="161"/>
      <c r="F2701" s="162"/>
      <c r="G2701" s="163"/>
      <c r="H2701" s="164"/>
      <c r="I2701" s="163"/>
      <c r="J2701" s="164"/>
      <c r="K2701" s="163"/>
      <c r="L2701" s="164"/>
      <c r="M2701" s="11"/>
      <c r="N2701" s="39"/>
      <c r="Q2701" s="15" t="str">
        <f>+CONCATENATE(E2700,I2700)</f>
        <v/>
      </c>
      <c r="R2701" s="15">
        <f>+J2700</f>
        <v>0</v>
      </c>
      <c r="S2701" s="16"/>
      <c r="T2701" s="15">
        <f>+E2700</f>
        <v>0</v>
      </c>
      <c r="U2701" s="26" t="str">
        <f>IFERROR(LEFT(I2700,FIND("*",I2700)-1),"-")</f>
        <v>-</v>
      </c>
      <c r="V2701" s="26" t="str">
        <f>IFERROR(RIGHT(I2700,LEN(I2700)-FIND("*",I2700)),"-")</f>
        <v>-</v>
      </c>
      <c r="W2701" s="27" t="str">
        <f t="shared" si="1468"/>
        <v>-</v>
      </c>
      <c r="X2701" s="27" t="str">
        <f>IFERROR(W2701*J2700,"-")</f>
        <v>-</v>
      </c>
      <c r="Z2701" s="94" t="s">
        <v>82</v>
      </c>
    </row>
    <row r="2702" spans="1:26" s="25" customFormat="1" ht="6.95" customHeight="1" x14ac:dyDescent="0.3">
      <c r="A2702" s="10"/>
      <c r="B2702" s="168"/>
      <c r="C2702" s="169"/>
      <c r="D2702" s="160"/>
      <c r="E2702" s="161"/>
      <c r="F2702" s="162"/>
      <c r="G2702" s="163"/>
      <c r="H2702" s="164"/>
      <c r="I2702" s="163"/>
      <c r="J2702" s="164"/>
      <c r="K2702" s="163"/>
      <c r="L2702" s="164"/>
      <c r="M2702" s="11"/>
      <c r="N2702" s="39"/>
      <c r="Q2702" s="15" t="str">
        <f>+CONCATENATE(E2700,K2700)</f>
        <v/>
      </c>
      <c r="R2702" s="15">
        <f>+L2700</f>
        <v>0</v>
      </c>
      <c r="S2702" s="16"/>
      <c r="T2702" s="15">
        <f>+E2700</f>
        <v>0</v>
      </c>
      <c r="U2702" s="26" t="str">
        <f>IFERROR(LEFT(K2700,FIND("*",K2700)-1),"-")</f>
        <v>-</v>
      </c>
      <c r="V2702" s="26" t="str">
        <f>IFERROR(RIGHT(K2700,LEN(K2700)-FIND("*",K2700)),"-")</f>
        <v>-</v>
      </c>
      <c r="W2702" s="27" t="str">
        <f t="shared" si="1468"/>
        <v>-</v>
      </c>
      <c r="X2702" s="27" t="str">
        <f>IFERROR(W2702*L2700,"-")</f>
        <v>-</v>
      </c>
      <c r="Z2702" s="94" t="s">
        <v>82</v>
      </c>
    </row>
    <row r="2703" spans="1:26" s="25" customFormat="1" ht="6.95" customHeight="1" x14ac:dyDescent="0.3">
      <c r="A2703" s="13"/>
      <c r="B2703" s="168"/>
      <c r="C2703" s="169"/>
      <c r="D2703" s="160" t="s">
        <v>39</v>
      </c>
      <c r="E2703" s="161"/>
      <c r="F2703" s="162" t="s">
        <v>40</v>
      </c>
      <c r="G2703" s="163"/>
      <c r="H2703" s="164"/>
      <c r="I2703" s="163"/>
      <c r="J2703" s="164"/>
      <c r="K2703" s="163"/>
      <c r="L2703" s="164"/>
      <c r="M2703" s="11"/>
      <c r="N2703" s="39"/>
      <c r="Q2703" s="15" t="str">
        <f>+CONCATENATE(E2703,G2703)</f>
        <v/>
      </c>
      <c r="R2703" s="15">
        <f>+H2703</f>
        <v>0</v>
      </c>
      <c r="S2703" s="16"/>
      <c r="T2703" s="15">
        <f>+E2703</f>
        <v>0</v>
      </c>
      <c r="U2703" s="26" t="str">
        <f t="shared" ref="U2703" si="1471">IFERROR(LEFT(G2703,FIND("*",G2703)-1),"-")</f>
        <v>-</v>
      </c>
      <c r="V2703" s="26" t="str">
        <f t="shared" ref="V2703" si="1472">IFERROR(RIGHT(G2703,LEN(G2703)-FIND("*",G2703)),"-")</f>
        <v>-</v>
      </c>
      <c r="W2703" s="27" t="str">
        <f t="shared" si="1468"/>
        <v>-</v>
      </c>
      <c r="X2703" s="27" t="str">
        <f>IFERROR(W2703*H2703,"-")</f>
        <v>-</v>
      </c>
      <c r="Z2703" s="94" t="s">
        <v>82</v>
      </c>
    </row>
    <row r="2704" spans="1:26" s="25" customFormat="1" ht="6.95" customHeight="1" x14ac:dyDescent="0.3">
      <c r="A2704" s="10"/>
      <c r="B2704" s="168"/>
      <c r="C2704" s="169"/>
      <c r="D2704" s="160"/>
      <c r="E2704" s="161"/>
      <c r="F2704" s="162"/>
      <c r="G2704" s="163"/>
      <c r="H2704" s="164"/>
      <c r="I2704" s="163"/>
      <c r="J2704" s="164"/>
      <c r="K2704" s="163"/>
      <c r="L2704" s="164"/>
      <c r="M2704" s="11"/>
      <c r="N2704" s="39"/>
      <c r="Q2704" s="15" t="str">
        <f>+CONCATENATE(E2703,I2703)</f>
        <v/>
      </c>
      <c r="R2704" s="15">
        <f>+J2703</f>
        <v>0</v>
      </c>
      <c r="S2704" s="16"/>
      <c r="T2704" s="15">
        <f>+E2703</f>
        <v>0</v>
      </c>
      <c r="U2704" s="26" t="str">
        <f>IFERROR(LEFT(I2703,FIND("*",I2703)-1),"-")</f>
        <v>-</v>
      </c>
      <c r="V2704" s="26" t="str">
        <f>IFERROR(RIGHT(I2703,LEN(I2703)-FIND("*",I2703)),"-")</f>
        <v>-</v>
      </c>
      <c r="W2704" s="27" t="str">
        <f t="shared" si="1468"/>
        <v>-</v>
      </c>
      <c r="X2704" s="27" t="str">
        <f t="shared" ref="X2704" si="1473">IFERROR(W2704*J2703,"-")</f>
        <v>-</v>
      </c>
      <c r="Z2704" s="94" t="s">
        <v>82</v>
      </c>
    </row>
    <row r="2705" spans="1:26" s="25" customFormat="1" ht="6.95" customHeight="1" x14ac:dyDescent="0.3">
      <c r="A2705" s="10"/>
      <c r="B2705" s="168"/>
      <c r="C2705" s="169"/>
      <c r="D2705" s="160"/>
      <c r="E2705" s="161"/>
      <c r="F2705" s="162"/>
      <c r="G2705" s="163"/>
      <c r="H2705" s="164"/>
      <c r="I2705" s="163"/>
      <c r="J2705" s="164"/>
      <c r="K2705" s="163"/>
      <c r="L2705" s="164"/>
      <c r="M2705" s="11"/>
      <c r="N2705" s="39"/>
      <c r="Q2705" s="15" t="str">
        <f>+CONCATENATE(E2703,K2703)</f>
        <v/>
      </c>
      <c r="R2705" s="15">
        <f>+L2703</f>
        <v>0</v>
      </c>
      <c r="S2705" s="16"/>
      <c r="T2705" s="15">
        <f>+E2703</f>
        <v>0</v>
      </c>
      <c r="U2705" s="26" t="str">
        <f>IFERROR(LEFT(K2703,FIND("*",K2703)-1),"-")</f>
        <v>-</v>
      </c>
      <c r="V2705" s="26" t="str">
        <f>IFERROR(RIGHT(K2703,LEN(K2703)-FIND("*",K2703)),"-")</f>
        <v>-</v>
      </c>
      <c r="W2705" s="27" t="str">
        <f t="shared" si="1468"/>
        <v>-</v>
      </c>
      <c r="X2705" s="27" t="str">
        <f>IFERROR(W2705*L2703,"-")</f>
        <v>-</v>
      </c>
      <c r="Z2705" s="94" t="s">
        <v>82</v>
      </c>
    </row>
    <row r="2706" spans="1:26" s="25" customFormat="1" ht="21" customHeight="1" thickBot="1" x14ac:dyDescent="0.35">
      <c r="A2706" s="10"/>
      <c r="B2706" s="170"/>
      <c r="C2706" s="171"/>
      <c r="D2706" s="172" t="s">
        <v>43</v>
      </c>
      <c r="E2706" s="173"/>
      <c r="F2706" s="173"/>
      <c r="G2706" s="174"/>
      <c r="H2706" s="174"/>
      <c r="I2706" s="174"/>
      <c r="J2706" s="174"/>
      <c r="K2706" s="174"/>
      <c r="L2706" s="174"/>
      <c r="M2706" s="12"/>
      <c r="N2706" s="39"/>
      <c r="U2706" s="23"/>
      <c r="V2706" s="23"/>
      <c r="Z2706" s="95" t="s">
        <v>81</v>
      </c>
    </row>
    <row r="2707" spans="1:26" s="25" customFormat="1" ht="9.9499999999999993" customHeight="1" thickBot="1" x14ac:dyDescent="0.35">
      <c r="A2707" s="6"/>
      <c r="B2707" s="14"/>
      <c r="C2707" s="119"/>
      <c r="D2707" s="58"/>
      <c r="E2707" s="17"/>
      <c r="F2707" s="58"/>
      <c r="G2707" s="19"/>
      <c r="H2707" s="19"/>
      <c r="I2707" s="19"/>
      <c r="J2707" s="19"/>
      <c r="K2707" s="19"/>
      <c r="L2707" s="19"/>
      <c r="M2707" s="14"/>
      <c r="N2707" s="39"/>
      <c r="Q2707" s="1"/>
      <c r="R2707" s="1"/>
      <c r="S2707" s="1"/>
      <c r="T2707" s="1"/>
      <c r="U2707" s="24"/>
      <c r="V2707" s="24"/>
      <c r="W2707" s="1"/>
      <c r="X2707" s="1"/>
      <c r="Z2707" s="94" t="s">
        <v>82</v>
      </c>
    </row>
    <row r="2708" spans="1:26" s="25" customFormat="1" ht="6.95" customHeight="1" x14ac:dyDescent="0.3">
      <c r="A2708" s="165">
        <f>+A2697+1</f>
        <v>247</v>
      </c>
      <c r="B2708" s="166"/>
      <c r="C2708" s="167"/>
      <c r="D2708" s="160" t="s">
        <v>39</v>
      </c>
      <c r="E2708" s="161"/>
      <c r="F2708" s="162" t="s">
        <v>40</v>
      </c>
      <c r="G2708" s="163"/>
      <c r="H2708" s="164"/>
      <c r="I2708" s="163"/>
      <c r="J2708" s="164"/>
      <c r="K2708" s="163"/>
      <c r="L2708" s="164"/>
      <c r="M2708" s="11"/>
      <c r="N2708" s="39"/>
      <c r="Q2708" s="15" t="str">
        <f>+CONCATENATE(E2708,G2708)</f>
        <v/>
      </c>
      <c r="R2708" s="15">
        <f>+H2708</f>
        <v>0</v>
      </c>
      <c r="S2708" s="16"/>
      <c r="T2708" s="15">
        <f>+E2708</f>
        <v>0</v>
      </c>
      <c r="U2708" s="26" t="str">
        <f>IFERROR(LEFT(G2708,FIND("*",G2708)-1),"-")</f>
        <v>-</v>
      </c>
      <c r="V2708" s="26" t="str">
        <f>IFERROR(RIGHT(G2708,LEN(G2708)-FIND("*",G2708)),"-")</f>
        <v>-</v>
      </c>
      <c r="W2708" s="27" t="str">
        <f>IFERROR((U2708+V2708)*2/1000,"-")</f>
        <v>-</v>
      </c>
      <c r="X2708" s="27" t="str">
        <f>IFERROR(W2708*H2708,"-")</f>
        <v>-</v>
      </c>
      <c r="Z2708" s="94" t="s">
        <v>82</v>
      </c>
    </row>
    <row r="2709" spans="1:26" s="25" customFormat="1" ht="6.95" customHeight="1" x14ac:dyDescent="0.3">
      <c r="A2709" s="165"/>
      <c r="B2709" s="168"/>
      <c r="C2709" s="169"/>
      <c r="D2709" s="160"/>
      <c r="E2709" s="161"/>
      <c r="F2709" s="162"/>
      <c r="G2709" s="163"/>
      <c r="H2709" s="164"/>
      <c r="I2709" s="163"/>
      <c r="J2709" s="164"/>
      <c r="K2709" s="163"/>
      <c r="L2709" s="164"/>
      <c r="M2709" s="11"/>
      <c r="N2709" s="39"/>
      <c r="Q2709" s="15" t="str">
        <f>+CONCATENATE(E2708,I2708)</f>
        <v/>
      </c>
      <c r="R2709" s="15">
        <f>+J2708</f>
        <v>0</v>
      </c>
      <c r="S2709" s="16"/>
      <c r="T2709" s="15">
        <f>+E2708</f>
        <v>0</v>
      </c>
      <c r="U2709" s="26" t="str">
        <f>IFERROR(LEFT(I2708,FIND("*",I2708)-1),"-")</f>
        <v>-</v>
      </c>
      <c r="V2709" s="26" t="str">
        <f>IFERROR(RIGHT(I2708,LEN(I2708)-FIND("*",I2708)),"-")</f>
        <v>-</v>
      </c>
      <c r="W2709" s="27" t="str">
        <f t="shared" ref="W2709:W2716" si="1474">IFERROR((U2709+V2709)*2/1000,"-")</f>
        <v>-</v>
      </c>
      <c r="X2709" s="27" t="str">
        <f>IFERROR(W2709*J2708,"-")</f>
        <v>-</v>
      </c>
      <c r="Z2709" s="94" t="s">
        <v>82</v>
      </c>
    </row>
    <row r="2710" spans="1:26" s="25" customFormat="1" ht="6.95" customHeight="1" x14ac:dyDescent="0.3">
      <c r="A2710" s="165"/>
      <c r="B2710" s="168"/>
      <c r="C2710" s="169"/>
      <c r="D2710" s="160"/>
      <c r="E2710" s="161"/>
      <c r="F2710" s="162"/>
      <c r="G2710" s="163"/>
      <c r="H2710" s="164"/>
      <c r="I2710" s="163"/>
      <c r="J2710" s="164"/>
      <c r="K2710" s="163"/>
      <c r="L2710" s="164"/>
      <c r="M2710" s="11"/>
      <c r="N2710" s="39"/>
      <c r="Q2710" s="15" t="str">
        <f>+CONCATENATE(E2708,K2708)</f>
        <v/>
      </c>
      <c r="R2710" s="15">
        <f>+L2708</f>
        <v>0</v>
      </c>
      <c r="S2710" s="16"/>
      <c r="T2710" s="15">
        <f>+E2708</f>
        <v>0</v>
      </c>
      <c r="U2710" s="26" t="str">
        <f>IFERROR(LEFT(K2708,FIND("*",K2708)-1),"-")</f>
        <v>-</v>
      </c>
      <c r="V2710" s="26" t="str">
        <f>IFERROR(RIGHT(K2708,LEN(K2708)-FIND("*",K2708)),"-")</f>
        <v>-</v>
      </c>
      <c r="W2710" s="27" t="str">
        <f t="shared" si="1474"/>
        <v>-</v>
      </c>
      <c r="X2710" s="27" t="str">
        <f>IFERROR(W2710*L2708,"-")</f>
        <v>-</v>
      </c>
      <c r="Z2710" s="94" t="s">
        <v>82</v>
      </c>
    </row>
    <row r="2711" spans="1:26" s="25" customFormat="1" ht="6.95" customHeight="1" x14ac:dyDescent="0.3">
      <c r="A2711" s="13"/>
      <c r="B2711" s="168"/>
      <c r="C2711" s="169"/>
      <c r="D2711" s="160" t="s">
        <v>39</v>
      </c>
      <c r="E2711" s="161"/>
      <c r="F2711" s="162" t="s">
        <v>40</v>
      </c>
      <c r="G2711" s="163"/>
      <c r="H2711" s="164"/>
      <c r="I2711" s="163"/>
      <c r="J2711" s="164"/>
      <c r="K2711" s="163"/>
      <c r="L2711" s="164"/>
      <c r="M2711" s="11"/>
      <c r="N2711" s="39"/>
      <c r="Q2711" s="15" t="str">
        <f>+CONCATENATE(E2711,G2711)</f>
        <v/>
      </c>
      <c r="R2711" s="15">
        <f>+H2711</f>
        <v>0</v>
      </c>
      <c r="S2711" s="16"/>
      <c r="T2711" s="15">
        <f>+E2711</f>
        <v>0</v>
      </c>
      <c r="U2711" s="26" t="str">
        <f t="shared" ref="U2711" si="1475">IFERROR(LEFT(G2711,FIND("*",G2711)-1),"-")</f>
        <v>-</v>
      </c>
      <c r="V2711" s="26" t="str">
        <f t="shared" ref="V2711" si="1476">IFERROR(RIGHT(G2711,LEN(G2711)-FIND("*",G2711)),"-")</f>
        <v>-</v>
      </c>
      <c r="W2711" s="27" t="str">
        <f t="shared" si="1474"/>
        <v>-</v>
      </c>
      <c r="X2711" s="27" t="str">
        <f>IFERROR(W2711*H2711,"-")</f>
        <v>-</v>
      </c>
      <c r="Z2711" s="94" t="s">
        <v>82</v>
      </c>
    </row>
    <row r="2712" spans="1:26" s="25" customFormat="1" ht="6.95" customHeight="1" x14ac:dyDescent="0.3">
      <c r="A2712" s="10"/>
      <c r="B2712" s="168"/>
      <c r="C2712" s="169"/>
      <c r="D2712" s="160"/>
      <c r="E2712" s="161"/>
      <c r="F2712" s="162"/>
      <c r="G2712" s="163"/>
      <c r="H2712" s="164"/>
      <c r="I2712" s="163"/>
      <c r="J2712" s="164"/>
      <c r="K2712" s="163"/>
      <c r="L2712" s="164"/>
      <c r="M2712" s="11"/>
      <c r="N2712" s="39"/>
      <c r="Q2712" s="15" t="str">
        <f>+CONCATENATE(E2711,I2711)</f>
        <v/>
      </c>
      <c r="R2712" s="15">
        <f>+J2711</f>
        <v>0</v>
      </c>
      <c r="S2712" s="16"/>
      <c r="T2712" s="15">
        <f>+E2711</f>
        <v>0</v>
      </c>
      <c r="U2712" s="26" t="str">
        <f>IFERROR(LEFT(I2711,FIND("*",I2711)-1),"-")</f>
        <v>-</v>
      </c>
      <c r="V2712" s="26" t="str">
        <f>IFERROR(RIGHT(I2711,LEN(I2711)-FIND("*",I2711)),"-")</f>
        <v>-</v>
      </c>
      <c r="W2712" s="27" t="str">
        <f t="shared" si="1474"/>
        <v>-</v>
      </c>
      <c r="X2712" s="27" t="str">
        <f>IFERROR(W2712*J2711,"-")</f>
        <v>-</v>
      </c>
      <c r="Z2712" s="94" t="s">
        <v>82</v>
      </c>
    </row>
    <row r="2713" spans="1:26" s="25" customFormat="1" ht="6.95" customHeight="1" x14ac:dyDescent="0.3">
      <c r="A2713" s="10"/>
      <c r="B2713" s="168"/>
      <c r="C2713" s="169"/>
      <c r="D2713" s="160"/>
      <c r="E2713" s="161"/>
      <c r="F2713" s="162"/>
      <c r="G2713" s="163"/>
      <c r="H2713" s="164"/>
      <c r="I2713" s="163"/>
      <c r="J2713" s="164"/>
      <c r="K2713" s="163"/>
      <c r="L2713" s="164"/>
      <c r="M2713" s="11"/>
      <c r="N2713" s="39"/>
      <c r="Q2713" s="15" t="str">
        <f>+CONCATENATE(E2711,K2711)</f>
        <v/>
      </c>
      <c r="R2713" s="15">
        <f>+L2711</f>
        <v>0</v>
      </c>
      <c r="S2713" s="16"/>
      <c r="T2713" s="15">
        <f>+E2711</f>
        <v>0</v>
      </c>
      <c r="U2713" s="26" t="str">
        <f>IFERROR(LEFT(K2711,FIND("*",K2711)-1),"-")</f>
        <v>-</v>
      </c>
      <c r="V2713" s="26" t="str">
        <f>IFERROR(RIGHT(K2711,LEN(K2711)-FIND("*",K2711)),"-")</f>
        <v>-</v>
      </c>
      <c r="W2713" s="27" t="str">
        <f t="shared" si="1474"/>
        <v>-</v>
      </c>
      <c r="X2713" s="27" t="str">
        <f>IFERROR(W2713*L2711,"-")</f>
        <v>-</v>
      </c>
      <c r="Z2713" s="94" t="s">
        <v>82</v>
      </c>
    </row>
    <row r="2714" spans="1:26" s="25" customFormat="1" ht="6.95" customHeight="1" x14ac:dyDescent="0.3">
      <c r="A2714" s="13"/>
      <c r="B2714" s="168"/>
      <c r="C2714" s="169"/>
      <c r="D2714" s="160" t="s">
        <v>39</v>
      </c>
      <c r="E2714" s="161"/>
      <c r="F2714" s="162" t="s">
        <v>40</v>
      </c>
      <c r="G2714" s="163"/>
      <c r="H2714" s="164"/>
      <c r="I2714" s="163"/>
      <c r="J2714" s="164"/>
      <c r="K2714" s="163"/>
      <c r="L2714" s="164"/>
      <c r="M2714" s="11"/>
      <c r="N2714" s="39"/>
      <c r="Q2714" s="15" t="str">
        <f>+CONCATENATE(E2714,G2714)</f>
        <v/>
      </c>
      <c r="R2714" s="15">
        <f>+H2714</f>
        <v>0</v>
      </c>
      <c r="S2714" s="16"/>
      <c r="T2714" s="15">
        <f>+E2714</f>
        <v>0</v>
      </c>
      <c r="U2714" s="26" t="str">
        <f t="shared" ref="U2714" si="1477">IFERROR(LEFT(G2714,FIND("*",G2714)-1),"-")</f>
        <v>-</v>
      </c>
      <c r="V2714" s="26" t="str">
        <f t="shared" ref="V2714" si="1478">IFERROR(RIGHT(G2714,LEN(G2714)-FIND("*",G2714)),"-")</f>
        <v>-</v>
      </c>
      <c r="W2714" s="27" t="str">
        <f t="shared" si="1474"/>
        <v>-</v>
      </c>
      <c r="X2714" s="27" t="str">
        <f>IFERROR(W2714*H2714,"-")</f>
        <v>-</v>
      </c>
      <c r="Z2714" s="94" t="s">
        <v>82</v>
      </c>
    </row>
    <row r="2715" spans="1:26" s="25" customFormat="1" ht="6.95" customHeight="1" x14ac:dyDescent="0.3">
      <c r="A2715" s="10"/>
      <c r="B2715" s="168"/>
      <c r="C2715" s="169"/>
      <c r="D2715" s="160"/>
      <c r="E2715" s="161"/>
      <c r="F2715" s="162"/>
      <c r="G2715" s="163"/>
      <c r="H2715" s="164"/>
      <c r="I2715" s="163"/>
      <c r="J2715" s="164"/>
      <c r="K2715" s="163"/>
      <c r="L2715" s="164"/>
      <c r="M2715" s="11"/>
      <c r="N2715" s="39"/>
      <c r="Q2715" s="15" t="str">
        <f>+CONCATENATE(E2714,I2714)</f>
        <v/>
      </c>
      <c r="R2715" s="15">
        <f>+J2714</f>
        <v>0</v>
      </c>
      <c r="S2715" s="16"/>
      <c r="T2715" s="15">
        <f>+E2714</f>
        <v>0</v>
      </c>
      <c r="U2715" s="26" t="str">
        <f>IFERROR(LEFT(I2714,FIND("*",I2714)-1),"-")</f>
        <v>-</v>
      </c>
      <c r="V2715" s="26" t="str">
        <f>IFERROR(RIGHT(I2714,LEN(I2714)-FIND("*",I2714)),"-")</f>
        <v>-</v>
      </c>
      <c r="W2715" s="27" t="str">
        <f t="shared" si="1474"/>
        <v>-</v>
      </c>
      <c r="X2715" s="27" t="str">
        <f t="shared" ref="X2715" si="1479">IFERROR(W2715*J2714,"-")</f>
        <v>-</v>
      </c>
      <c r="Z2715" s="94" t="s">
        <v>82</v>
      </c>
    </row>
    <row r="2716" spans="1:26" s="25" customFormat="1" ht="6.95" customHeight="1" x14ac:dyDescent="0.3">
      <c r="A2716" s="10"/>
      <c r="B2716" s="168"/>
      <c r="C2716" s="169"/>
      <c r="D2716" s="160"/>
      <c r="E2716" s="161"/>
      <c r="F2716" s="162"/>
      <c r="G2716" s="163"/>
      <c r="H2716" s="164"/>
      <c r="I2716" s="163"/>
      <c r="J2716" s="164"/>
      <c r="K2716" s="163"/>
      <c r="L2716" s="164"/>
      <c r="M2716" s="11"/>
      <c r="N2716" s="39"/>
      <c r="Q2716" s="15" t="str">
        <f>+CONCATENATE(E2714,K2714)</f>
        <v/>
      </c>
      <c r="R2716" s="15">
        <f>+L2714</f>
        <v>0</v>
      </c>
      <c r="S2716" s="16"/>
      <c r="T2716" s="15">
        <f>+E2714</f>
        <v>0</v>
      </c>
      <c r="U2716" s="26" t="str">
        <f>IFERROR(LEFT(K2714,FIND("*",K2714)-1),"-")</f>
        <v>-</v>
      </c>
      <c r="V2716" s="26" t="str">
        <f>IFERROR(RIGHT(K2714,LEN(K2714)-FIND("*",K2714)),"-")</f>
        <v>-</v>
      </c>
      <c r="W2716" s="27" t="str">
        <f t="shared" si="1474"/>
        <v>-</v>
      </c>
      <c r="X2716" s="27" t="str">
        <f>IFERROR(W2716*L2714,"-")</f>
        <v>-</v>
      </c>
      <c r="Z2716" s="94" t="s">
        <v>82</v>
      </c>
    </row>
    <row r="2717" spans="1:26" s="25" customFormat="1" ht="21" customHeight="1" thickBot="1" x14ac:dyDescent="0.35">
      <c r="A2717" s="10"/>
      <c r="B2717" s="170"/>
      <c r="C2717" s="171"/>
      <c r="D2717" s="172" t="s">
        <v>43</v>
      </c>
      <c r="E2717" s="173"/>
      <c r="F2717" s="173"/>
      <c r="G2717" s="174"/>
      <c r="H2717" s="174"/>
      <c r="I2717" s="174"/>
      <c r="J2717" s="174"/>
      <c r="K2717" s="174"/>
      <c r="L2717" s="174"/>
      <c r="M2717" s="12"/>
      <c r="N2717" s="39"/>
      <c r="U2717" s="23"/>
      <c r="V2717" s="23"/>
      <c r="Z2717" s="95" t="s">
        <v>81</v>
      </c>
    </row>
    <row r="2718" spans="1:26" s="25" customFormat="1" ht="9.9499999999999993" customHeight="1" thickBot="1" x14ac:dyDescent="0.35">
      <c r="A2718" s="6"/>
      <c r="B2718" s="14"/>
      <c r="C2718" s="119"/>
      <c r="D2718" s="58"/>
      <c r="E2718" s="17"/>
      <c r="F2718" s="58"/>
      <c r="G2718" s="19"/>
      <c r="H2718" s="19"/>
      <c r="I2718" s="19"/>
      <c r="J2718" s="19"/>
      <c r="K2718" s="19"/>
      <c r="L2718" s="19"/>
      <c r="M2718" s="14"/>
      <c r="N2718" s="39"/>
      <c r="Q2718" s="1"/>
      <c r="R2718" s="1"/>
      <c r="S2718" s="1"/>
      <c r="T2718" s="1"/>
      <c r="U2718" s="24"/>
      <c r="V2718" s="24"/>
      <c r="W2718" s="1"/>
      <c r="X2718" s="1"/>
      <c r="Z2718" s="94" t="s">
        <v>82</v>
      </c>
    </row>
    <row r="2719" spans="1:26" s="25" customFormat="1" ht="6.95" customHeight="1" x14ac:dyDescent="0.3">
      <c r="A2719" s="165">
        <f>+A2708+1</f>
        <v>248</v>
      </c>
      <c r="B2719" s="166"/>
      <c r="C2719" s="167"/>
      <c r="D2719" s="160" t="s">
        <v>39</v>
      </c>
      <c r="E2719" s="161"/>
      <c r="F2719" s="162" t="s">
        <v>40</v>
      </c>
      <c r="G2719" s="163"/>
      <c r="H2719" s="164"/>
      <c r="I2719" s="163"/>
      <c r="J2719" s="164"/>
      <c r="K2719" s="163"/>
      <c r="L2719" s="164"/>
      <c r="M2719" s="11"/>
      <c r="N2719" s="39"/>
      <c r="Q2719" s="15" t="str">
        <f>+CONCATENATE(E2719,G2719)</f>
        <v/>
      </c>
      <c r="R2719" s="15">
        <f>+H2719</f>
        <v>0</v>
      </c>
      <c r="S2719" s="16"/>
      <c r="T2719" s="15">
        <f>+E2719</f>
        <v>0</v>
      </c>
      <c r="U2719" s="26" t="str">
        <f>IFERROR(LEFT(G2719,FIND("*",G2719)-1),"-")</f>
        <v>-</v>
      </c>
      <c r="V2719" s="26" t="str">
        <f>IFERROR(RIGHT(G2719,LEN(G2719)-FIND("*",G2719)),"-")</f>
        <v>-</v>
      </c>
      <c r="W2719" s="27" t="str">
        <f>IFERROR((U2719+V2719)*2/1000,"-")</f>
        <v>-</v>
      </c>
      <c r="X2719" s="27" t="str">
        <f>IFERROR(W2719*H2719,"-")</f>
        <v>-</v>
      </c>
      <c r="Z2719" s="94" t="s">
        <v>82</v>
      </c>
    </row>
    <row r="2720" spans="1:26" s="25" customFormat="1" ht="6.95" customHeight="1" x14ac:dyDescent="0.3">
      <c r="A2720" s="165"/>
      <c r="B2720" s="168"/>
      <c r="C2720" s="169"/>
      <c r="D2720" s="160"/>
      <c r="E2720" s="161"/>
      <c r="F2720" s="162"/>
      <c r="G2720" s="163"/>
      <c r="H2720" s="164"/>
      <c r="I2720" s="163"/>
      <c r="J2720" s="164"/>
      <c r="K2720" s="163"/>
      <c r="L2720" s="164"/>
      <c r="M2720" s="11"/>
      <c r="N2720" s="39"/>
      <c r="Q2720" s="15" t="str">
        <f>+CONCATENATE(E2719,I2719)</f>
        <v/>
      </c>
      <c r="R2720" s="15">
        <f>+J2719</f>
        <v>0</v>
      </c>
      <c r="S2720" s="16"/>
      <c r="T2720" s="15">
        <f>+E2719</f>
        <v>0</v>
      </c>
      <c r="U2720" s="26" t="str">
        <f>IFERROR(LEFT(I2719,FIND("*",I2719)-1),"-")</f>
        <v>-</v>
      </c>
      <c r="V2720" s="26" t="str">
        <f>IFERROR(RIGHT(I2719,LEN(I2719)-FIND("*",I2719)),"-")</f>
        <v>-</v>
      </c>
      <c r="W2720" s="27" t="str">
        <f t="shared" ref="W2720:W2727" si="1480">IFERROR((U2720+V2720)*2/1000,"-")</f>
        <v>-</v>
      </c>
      <c r="X2720" s="27" t="str">
        <f>IFERROR(W2720*J2719,"-")</f>
        <v>-</v>
      </c>
      <c r="Z2720" s="94" t="s">
        <v>82</v>
      </c>
    </row>
    <row r="2721" spans="1:26" s="25" customFormat="1" ht="6.95" customHeight="1" x14ac:dyDescent="0.3">
      <c r="A2721" s="165"/>
      <c r="B2721" s="168"/>
      <c r="C2721" s="169"/>
      <c r="D2721" s="160"/>
      <c r="E2721" s="161"/>
      <c r="F2721" s="162"/>
      <c r="G2721" s="163"/>
      <c r="H2721" s="164"/>
      <c r="I2721" s="163"/>
      <c r="J2721" s="164"/>
      <c r="K2721" s="163"/>
      <c r="L2721" s="164"/>
      <c r="M2721" s="11"/>
      <c r="N2721" s="39"/>
      <c r="Q2721" s="15" t="str">
        <f>+CONCATENATE(E2719,K2719)</f>
        <v/>
      </c>
      <c r="R2721" s="15">
        <f>+L2719</f>
        <v>0</v>
      </c>
      <c r="S2721" s="16"/>
      <c r="T2721" s="15">
        <f>+E2719</f>
        <v>0</v>
      </c>
      <c r="U2721" s="26" t="str">
        <f>IFERROR(LEFT(K2719,FIND("*",K2719)-1),"-")</f>
        <v>-</v>
      </c>
      <c r="V2721" s="26" t="str">
        <f>IFERROR(RIGHT(K2719,LEN(K2719)-FIND("*",K2719)),"-")</f>
        <v>-</v>
      </c>
      <c r="W2721" s="27" t="str">
        <f t="shared" si="1480"/>
        <v>-</v>
      </c>
      <c r="X2721" s="27" t="str">
        <f>IFERROR(W2721*L2719,"-")</f>
        <v>-</v>
      </c>
      <c r="Z2721" s="94" t="s">
        <v>82</v>
      </c>
    </row>
    <row r="2722" spans="1:26" s="25" customFormat="1" ht="6.95" customHeight="1" x14ac:dyDescent="0.3">
      <c r="A2722" s="13"/>
      <c r="B2722" s="168"/>
      <c r="C2722" s="169"/>
      <c r="D2722" s="160" t="s">
        <v>39</v>
      </c>
      <c r="E2722" s="161"/>
      <c r="F2722" s="162" t="s">
        <v>40</v>
      </c>
      <c r="G2722" s="163"/>
      <c r="H2722" s="164"/>
      <c r="I2722" s="163"/>
      <c r="J2722" s="164"/>
      <c r="K2722" s="163"/>
      <c r="L2722" s="164"/>
      <c r="M2722" s="11"/>
      <c r="N2722" s="39"/>
      <c r="Q2722" s="15" t="str">
        <f>+CONCATENATE(E2722,G2722)</f>
        <v/>
      </c>
      <c r="R2722" s="15">
        <f>+H2722</f>
        <v>0</v>
      </c>
      <c r="S2722" s="16"/>
      <c r="T2722" s="15">
        <f>+E2722</f>
        <v>0</v>
      </c>
      <c r="U2722" s="26" t="str">
        <f t="shared" ref="U2722" si="1481">IFERROR(LEFT(G2722,FIND("*",G2722)-1),"-")</f>
        <v>-</v>
      </c>
      <c r="V2722" s="26" t="str">
        <f t="shared" ref="V2722" si="1482">IFERROR(RIGHT(G2722,LEN(G2722)-FIND("*",G2722)),"-")</f>
        <v>-</v>
      </c>
      <c r="W2722" s="27" t="str">
        <f t="shared" si="1480"/>
        <v>-</v>
      </c>
      <c r="X2722" s="27" t="str">
        <f>IFERROR(W2722*H2722,"-")</f>
        <v>-</v>
      </c>
      <c r="Z2722" s="94" t="s">
        <v>82</v>
      </c>
    </row>
    <row r="2723" spans="1:26" s="25" customFormat="1" ht="6.95" customHeight="1" x14ac:dyDescent="0.3">
      <c r="A2723" s="10"/>
      <c r="B2723" s="168"/>
      <c r="C2723" s="169"/>
      <c r="D2723" s="160"/>
      <c r="E2723" s="161"/>
      <c r="F2723" s="162"/>
      <c r="G2723" s="163"/>
      <c r="H2723" s="164"/>
      <c r="I2723" s="163"/>
      <c r="J2723" s="164"/>
      <c r="K2723" s="163"/>
      <c r="L2723" s="164"/>
      <c r="M2723" s="11"/>
      <c r="N2723" s="39"/>
      <c r="Q2723" s="15" t="str">
        <f>+CONCATENATE(E2722,I2722)</f>
        <v/>
      </c>
      <c r="R2723" s="15">
        <f>+J2722</f>
        <v>0</v>
      </c>
      <c r="S2723" s="16"/>
      <c r="T2723" s="15">
        <f>+E2722</f>
        <v>0</v>
      </c>
      <c r="U2723" s="26" t="str">
        <f>IFERROR(LEFT(I2722,FIND("*",I2722)-1),"-")</f>
        <v>-</v>
      </c>
      <c r="V2723" s="26" t="str">
        <f>IFERROR(RIGHT(I2722,LEN(I2722)-FIND("*",I2722)),"-")</f>
        <v>-</v>
      </c>
      <c r="W2723" s="27" t="str">
        <f t="shared" si="1480"/>
        <v>-</v>
      </c>
      <c r="X2723" s="27" t="str">
        <f>IFERROR(W2723*J2722,"-")</f>
        <v>-</v>
      </c>
      <c r="Z2723" s="94" t="s">
        <v>82</v>
      </c>
    </row>
    <row r="2724" spans="1:26" s="25" customFormat="1" ht="6.95" customHeight="1" x14ac:dyDescent="0.3">
      <c r="A2724" s="10"/>
      <c r="B2724" s="168"/>
      <c r="C2724" s="169"/>
      <c r="D2724" s="160"/>
      <c r="E2724" s="161"/>
      <c r="F2724" s="162"/>
      <c r="G2724" s="163"/>
      <c r="H2724" s="164"/>
      <c r="I2724" s="163"/>
      <c r="J2724" s="164"/>
      <c r="K2724" s="163"/>
      <c r="L2724" s="164"/>
      <c r="M2724" s="11"/>
      <c r="N2724" s="39"/>
      <c r="Q2724" s="15" t="str">
        <f>+CONCATENATE(E2722,K2722)</f>
        <v/>
      </c>
      <c r="R2724" s="15">
        <f>+L2722</f>
        <v>0</v>
      </c>
      <c r="S2724" s="16"/>
      <c r="T2724" s="15">
        <f>+E2722</f>
        <v>0</v>
      </c>
      <c r="U2724" s="26" t="str">
        <f>IFERROR(LEFT(K2722,FIND("*",K2722)-1),"-")</f>
        <v>-</v>
      </c>
      <c r="V2724" s="26" t="str">
        <f>IFERROR(RIGHT(K2722,LEN(K2722)-FIND("*",K2722)),"-")</f>
        <v>-</v>
      </c>
      <c r="W2724" s="27" t="str">
        <f t="shared" si="1480"/>
        <v>-</v>
      </c>
      <c r="X2724" s="27" t="str">
        <f>IFERROR(W2724*L2722,"-")</f>
        <v>-</v>
      </c>
      <c r="Z2724" s="94" t="s">
        <v>82</v>
      </c>
    </row>
    <row r="2725" spans="1:26" s="25" customFormat="1" ht="6.95" customHeight="1" x14ac:dyDescent="0.3">
      <c r="A2725" s="13"/>
      <c r="B2725" s="168"/>
      <c r="C2725" s="169"/>
      <c r="D2725" s="160" t="s">
        <v>39</v>
      </c>
      <c r="E2725" s="161"/>
      <c r="F2725" s="162" t="s">
        <v>40</v>
      </c>
      <c r="G2725" s="163"/>
      <c r="H2725" s="164"/>
      <c r="I2725" s="163"/>
      <c r="J2725" s="164"/>
      <c r="K2725" s="163"/>
      <c r="L2725" s="164"/>
      <c r="M2725" s="11"/>
      <c r="N2725" s="39"/>
      <c r="Q2725" s="15" t="str">
        <f>+CONCATENATE(E2725,G2725)</f>
        <v/>
      </c>
      <c r="R2725" s="15">
        <f>+H2725</f>
        <v>0</v>
      </c>
      <c r="S2725" s="16"/>
      <c r="T2725" s="15">
        <f>+E2725</f>
        <v>0</v>
      </c>
      <c r="U2725" s="26" t="str">
        <f t="shared" ref="U2725" si="1483">IFERROR(LEFT(G2725,FIND("*",G2725)-1),"-")</f>
        <v>-</v>
      </c>
      <c r="V2725" s="26" t="str">
        <f t="shared" ref="V2725" si="1484">IFERROR(RIGHT(G2725,LEN(G2725)-FIND("*",G2725)),"-")</f>
        <v>-</v>
      </c>
      <c r="W2725" s="27" t="str">
        <f t="shared" si="1480"/>
        <v>-</v>
      </c>
      <c r="X2725" s="27" t="str">
        <f>IFERROR(W2725*H2725,"-")</f>
        <v>-</v>
      </c>
      <c r="Z2725" s="94" t="s">
        <v>82</v>
      </c>
    </row>
    <row r="2726" spans="1:26" s="25" customFormat="1" ht="6.95" customHeight="1" x14ac:dyDescent="0.3">
      <c r="A2726" s="10"/>
      <c r="B2726" s="168"/>
      <c r="C2726" s="169"/>
      <c r="D2726" s="160"/>
      <c r="E2726" s="161"/>
      <c r="F2726" s="162"/>
      <c r="G2726" s="163"/>
      <c r="H2726" s="164"/>
      <c r="I2726" s="163"/>
      <c r="J2726" s="164"/>
      <c r="K2726" s="163"/>
      <c r="L2726" s="164"/>
      <c r="M2726" s="11"/>
      <c r="N2726" s="39"/>
      <c r="Q2726" s="15" t="str">
        <f>+CONCATENATE(E2725,I2725)</f>
        <v/>
      </c>
      <c r="R2726" s="15">
        <f>+J2725</f>
        <v>0</v>
      </c>
      <c r="S2726" s="16"/>
      <c r="T2726" s="15">
        <f>+E2725</f>
        <v>0</v>
      </c>
      <c r="U2726" s="26" t="str">
        <f>IFERROR(LEFT(I2725,FIND("*",I2725)-1),"-")</f>
        <v>-</v>
      </c>
      <c r="V2726" s="26" t="str">
        <f>IFERROR(RIGHT(I2725,LEN(I2725)-FIND("*",I2725)),"-")</f>
        <v>-</v>
      </c>
      <c r="W2726" s="27" t="str">
        <f t="shared" si="1480"/>
        <v>-</v>
      </c>
      <c r="X2726" s="27" t="str">
        <f t="shared" ref="X2726" si="1485">IFERROR(W2726*J2725,"-")</f>
        <v>-</v>
      </c>
      <c r="Z2726" s="94" t="s">
        <v>82</v>
      </c>
    </row>
    <row r="2727" spans="1:26" s="25" customFormat="1" ht="6.95" customHeight="1" x14ac:dyDescent="0.3">
      <c r="A2727" s="10"/>
      <c r="B2727" s="168"/>
      <c r="C2727" s="169"/>
      <c r="D2727" s="160"/>
      <c r="E2727" s="161"/>
      <c r="F2727" s="162"/>
      <c r="G2727" s="163"/>
      <c r="H2727" s="164"/>
      <c r="I2727" s="163"/>
      <c r="J2727" s="164"/>
      <c r="K2727" s="163"/>
      <c r="L2727" s="164"/>
      <c r="M2727" s="11"/>
      <c r="N2727" s="39"/>
      <c r="Q2727" s="15" t="str">
        <f>+CONCATENATE(E2725,K2725)</f>
        <v/>
      </c>
      <c r="R2727" s="15">
        <f>+L2725</f>
        <v>0</v>
      </c>
      <c r="S2727" s="16"/>
      <c r="T2727" s="15">
        <f>+E2725</f>
        <v>0</v>
      </c>
      <c r="U2727" s="26" t="str">
        <f>IFERROR(LEFT(K2725,FIND("*",K2725)-1),"-")</f>
        <v>-</v>
      </c>
      <c r="V2727" s="26" t="str">
        <f>IFERROR(RIGHT(K2725,LEN(K2725)-FIND("*",K2725)),"-")</f>
        <v>-</v>
      </c>
      <c r="W2727" s="27" t="str">
        <f t="shared" si="1480"/>
        <v>-</v>
      </c>
      <c r="X2727" s="27" t="str">
        <f>IFERROR(W2727*L2725,"-")</f>
        <v>-</v>
      </c>
      <c r="Z2727" s="94" t="s">
        <v>82</v>
      </c>
    </row>
    <row r="2728" spans="1:26" s="25" customFormat="1" ht="21" customHeight="1" thickBot="1" x14ac:dyDescent="0.35">
      <c r="A2728" s="10"/>
      <c r="B2728" s="170"/>
      <c r="C2728" s="171"/>
      <c r="D2728" s="172" t="s">
        <v>43</v>
      </c>
      <c r="E2728" s="173"/>
      <c r="F2728" s="173"/>
      <c r="G2728" s="174"/>
      <c r="H2728" s="174"/>
      <c r="I2728" s="174"/>
      <c r="J2728" s="174"/>
      <c r="K2728" s="174"/>
      <c r="L2728" s="174"/>
      <c r="M2728" s="12"/>
      <c r="N2728" s="39"/>
      <c r="U2728" s="23"/>
      <c r="V2728" s="23"/>
      <c r="Z2728" s="95" t="s">
        <v>81</v>
      </c>
    </row>
    <row r="2729" spans="1:26" s="25" customFormat="1" ht="9.9499999999999993" customHeight="1" thickBot="1" x14ac:dyDescent="0.35">
      <c r="A2729" s="6"/>
      <c r="B2729" s="14"/>
      <c r="C2729" s="119"/>
      <c r="D2729" s="58"/>
      <c r="E2729" s="17"/>
      <c r="F2729" s="58"/>
      <c r="G2729" s="19"/>
      <c r="H2729" s="19"/>
      <c r="I2729" s="19"/>
      <c r="J2729" s="19"/>
      <c r="K2729" s="19"/>
      <c r="L2729" s="19"/>
      <c r="M2729" s="14"/>
      <c r="N2729" s="39"/>
      <c r="Q2729" s="1"/>
      <c r="R2729" s="1"/>
      <c r="S2729" s="1"/>
      <c r="T2729" s="1"/>
      <c r="U2729" s="24"/>
      <c r="V2729" s="24"/>
      <c r="W2729" s="1"/>
      <c r="X2729" s="1"/>
      <c r="Z2729" s="94" t="s">
        <v>82</v>
      </c>
    </row>
    <row r="2730" spans="1:26" s="25" customFormat="1" ht="6.95" customHeight="1" x14ac:dyDescent="0.3">
      <c r="A2730" s="165">
        <f>+A2719+1</f>
        <v>249</v>
      </c>
      <c r="B2730" s="166"/>
      <c r="C2730" s="167"/>
      <c r="D2730" s="160" t="s">
        <v>39</v>
      </c>
      <c r="E2730" s="161"/>
      <c r="F2730" s="162" t="s">
        <v>40</v>
      </c>
      <c r="G2730" s="163"/>
      <c r="H2730" s="164"/>
      <c r="I2730" s="163"/>
      <c r="J2730" s="164"/>
      <c r="K2730" s="163"/>
      <c r="L2730" s="164"/>
      <c r="M2730" s="11"/>
      <c r="N2730" s="39"/>
      <c r="Q2730" s="15" t="str">
        <f>+CONCATENATE(E2730,G2730)</f>
        <v/>
      </c>
      <c r="R2730" s="15">
        <f>+H2730</f>
        <v>0</v>
      </c>
      <c r="S2730" s="16"/>
      <c r="T2730" s="15">
        <f>+E2730</f>
        <v>0</v>
      </c>
      <c r="U2730" s="26" t="str">
        <f>IFERROR(LEFT(G2730,FIND("*",G2730)-1),"-")</f>
        <v>-</v>
      </c>
      <c r="V2730" s="26" t="str">
        <f>IFERROR(RIGHT(G2730,LEN(G2730)-FIND("*",G2730)),"-")</f>
        <v>-</v>
      </c>
      <c r="W2730" s="27" t="str">
        <f>IFERROR((U2730+V2730)*2/1000,"-")</f>
        <v>-</v>
      </c>
      <c r="X2730" s="27" t="str">
        <f>IFERROR(W2730*H2730,"-")</f>
        <v>-</v>
      </c>
      <c r="Z2730" s="94" t="s">
        <v>82</v>
      </c>
    </row>
    <row r="2731" spans="1:26" s="25" customFormat="1" ht="6.95" customHeight="1" x14ac:dyDescent="0.3">
      <c r="A2731" s="165"/>
      <c r="B2731" s="168"/>
      <c r="C2731" s="169"/>
      <c r="D2731" s="160"/>
      <c r="E2731" s="161"/>
      <c r="F2731" s="162"/>
      <c r="G2731" s="163"/>
      <c r="H2731" s="164"/>
      <c r="I2731" s="163"/>
      <c r="J2731" s="164"/>
      <c r="K2731" s="163"/>
      <c r="L2731" s="164"/>
      <c r="M2731" s="11"/>
      <c r="N2731" s="39"/>
      <c r="Q2731" s="15" t="str">
        <f>+CONCATENATE(E2730,I2730)</f>
        <v/>
      </c>
      <c r="R2731" s="15">
        <f>+J2730</f>
        <v>0</v>
      </c>
      <c r="S2731" s="16"/>
      <c r="T2731" s="15">
        <f>+E2730</f>
        <v>0</v>
      </c>
      <c r="U2731" s="26" t="str">
        <f>IFERROR(LEFT(I2730,FIND("*",I2730)-1),"-")</f>
        <v>-</v>
      </c>
      <c r="V2731" s="26" t="str">
        <f>IFERROR(RIGHT(I2730,LEN(I2730)-FIND("*",I2730)),"-")</f>
        <v>-</v>
      </c>
      <c r="W2731" s="27" t="str">
        <f t="shared" ref="W2731:W2738" si="1486">IFERROR((U2731+V2731)*2/1000,"-")</f>
        <v>-</v>
      </c>
      <c r="X2731" s="27" t="str">
        <f>IFERROR(W2731*J2730,"-")</f>
        <v>-</v>
      </c>
      <c r="Z2731" s="94" t="s">
        <v>82</v>
      </c>
    </row>
    <row r="2732" spans="1:26" s="25" customFormat="1" ht="6.95" customHeight="1" x14ac:dyDescent="0.3">
      <c r="A2732" s="165"/>
      <c r="B2732" s="168"/>
      <c r="C2732" s="169"/>
      <c r="D2732" s="160"/>
      <c r="E2732" s="161"/>
      <c r="F2732" s="162"/>
      <c r="G2732" s="163"/>
      <c r="H2732" s="164"/>
      <c r="I2732" s="163"/>
      <c r="J2732" s="164"/>
      <c r="K2732" s="163"/>
      <c r="L2732" s="164"/>
      <c r="M2732" s="11"/>
      <c r="N2732" s="39"/>
      <c r="Q2732" s="15" t="str">
        <f>+CONCATENATE(E2730,K2730)</f>
        <v/>
      </c>
      <c r="R2732" s="15">
        <f>+L2730</f>
        <v>0</v>
      </c>
      <c r="S2732" s="16"/>
      <c r="T2732" s="15">
        <f>+E2730</f>
        <v>0</v>
      </c>
      <c r="U2732" s="26" t="str">
        <f>IFERROR(LEFT(K2730,FIND("*",K2730)-1),"-")</f>
        <v>-</v>
      </c>
      <c r="V2732" s="26" t="str">
        <f>IFERROR(RIGHT(K2730,LEN(K2730)-FIND("*",K2730)),"-")</f>
        <v>-</v>
      </c>
      <c r="W2732" s="27" t="str">
        <f t="shared" si="1486"/>
        <v>-</v>
      </c>
      <c r="X2732" s="27" t="str">
        <f>IFERROR(W2732*L2730,"-")</f>
        <v>-</v>
      </c>
      <c r="Z2732" s="94" t="s">
        <v>82</v>
      </c>
    </row>
    <row r="2733" spans="1:26" s="25" customFormat="1" ht="6.95" customHeight="1" x14ac:dyDescent="0.3">
      <c r="A2733" s="13"/>
      <c r="B2733" s="168"/>
      <c r="C2733" s="169"/>
      <c r="D2733" s="160" t="s">
        <v>39</v>
      </c>
      <c r="E2733" s="161"/>
      <c r="F2733" s="162" t="s">
        <v>40</v>
      </c>
      <c r="G2733" s="163"/>
      <c r="H2733" s="164"/>
      <c r="I2733" s="163"/>
      <c r="J2733" s="164"/>
      <c r="K2733" s="163"/>
      <c r="L2733" s="164"/>
      <c r="M2733" s="11"/>
      <c r="N2733" s="39"/>
      <c r="Q2733" s="15" t="str">
        <f>+CONCATENATE(E2733,G2733)</f>
        <v/>
      </c>
      <c r="R2733" s="15">
        <f>+H2733</f>
        <v>0</v>
      </c>
      <c r="S2733" s="16"/>
      <c r="T2733" s="15">
        <f>+E2733</f>
        <v>0</v>
      </c>
      <c r="U2733" s="26" t="str">
        <f t="shared" ref="U2733" si="1487">IFERROR(LEFT(G2733,FIND("*",G2733)-1),"-")</f>
        <v>-</v>
      </c>
      <c r="V2733" s="26" t="str">
        <f t="shared" ref="V2733" si="1488">IFERROR(RIGHT(G2733,LEN(G2733)-FIND("*",G2733)),"-")</f>
        <v>-</v>
      </c>
      <c r="W2733" s="27" t="str">
        <f t="shared" si="1486"/>
        <v>-</v>
      </c>
      <c r="X2733" s="27" t="str">
        <f>IFERROR(W2733*H2733,"-")</f>
        <v>-</v>
      </c>
      <c r="Z2733" s="94" t="s">
        <v>82</v>
      </c>
    </row>
    <row r="2734" spans="1:26" s="25" customFormat="1" ht="6.95" customHeight="1" x14ac:dyDescent="0.3">
      <c r="A2734" s="10"/>
      <c r="B2734" s="168"/>
      <c r="C2734" s="169"/>
      <c r="D2734" s="160"/>
      <c r="E2734" s="161"/>
      <c r="F2734" s="162"/>
      <c r="G2734" s="163"/>
      <c r="H2734" s="164"/>
      <c r="I2734" s="163"/>
      <c r="J2734" s="164"/>
      <c r="K2734" s="163"/>
      <c r="L2734" s="164"/>
      <c r="M2734" s="11"/>
      <c r="N2734" s="39"/>
      <c r="Q2734" s="15" t="str">
        <f>+CONCATENATE(E2733,I2733)</f>
        <v/>
      </c>
      <c r="R2734" s="15">
        <f>+J2733</f>
        <v>0</v>
      </c>
      <c r="S2734" s="16"/>
      <c r="T2734" s="15">
        <f>+E2733</f>
        <v>0</v>
      </c>
      <c r="U2734" s="26" t="str">
        <f>IFERROR(LEFT(I2733,FIND("*",I2733)-1),"-")</f>
        <v>-</v>
      </c>
      <c r="V2734" s="26" t="str">
        <f>IFERROR(RIGHT(I2733,LEN(I2733)-FIND("*",I2733)),"-")</f>
        <v>-</v>
      </c>
      <c r="W2734" s="27" t="str">
        <f t="shared" si="1486"/>
        <v>-</v>
      </c>
      <c r="X2734" s="27" t="str">
        <f>IFERROR(W2734*J2733,"-")</f>
        <v>-</v>
      </c>
      <c r="Z2734" s="94" t="s">
        <v>82</v>
      </c>
    </row>
    <row r="2735" spans="1:26" s="25" customFormat="1" ht="6.95" customHeight="1" x14ac:dyDescent="0.3">
      <c r="A2735" s="10"/>
      <c r="B2735" s="168"/>
      <c r="C2735" s="169"/>
      <c r="D2735" s="160"/>
      <c r="E2735" s="161"/>
      <c r="F2735" s="162"/>
      <c r="G2735" s="163"/>
      <c r="H2735" s="164"/>
      <c r="I2735" s="163"/>
      <c r="J2735" s="164"/>
      <c r="K2735" s="163"/>
      <c r="L2735" s="164"/>
      <c r="M2735" s="11"/>
      <c r="N2735" s="39"/>
      <c r="Q2735" s="15" t="str">
        <f>+CONCATENATE(E2733,K2733)</f>
        <v/>
      </c>
      <c r="R2735" s="15">
        <f>+L2733</f>
        <v>0</v>
      </c>
      <c r="S2735" s="16"/>
      <c r="T2735" s="15">
        <f>+E2733</f>
        <v>0</v>
      </c>
      <c r="U2735" s="26" t="str">
        <f>IFERROR(LEFT(K2733,FIND("*",K2733)-1),"-")</f>
        <v>-</v>
      </c>
      <c r="V2735" s="26" t="str">
        <f>IFERROR(RIGHT(K2733,LEN(K2733)-FIND("*",K2733)),"-")</f>
        <v>-</v>
      </c>
      <c r="W2735" s="27" t="str">
        <f t="shared" si="1486"/>
        <v>-</v>
      </c>
      <c r="X2735" s="27" t="str">
        <f>IFERROR(W2735*L2733,"-")</f>
        <v>-</v>
      </c>
      <c r="Z2735" s="94" t="s">
        <v>82</v>
      </c>
    </row>
    <row r="2736" spans="1:26" s="25" customFormat="1" ht="6.95" customHeight="1" x14ac:dyDescent="0.3">
      <c r="A2736" s="13"/>
      <c r="B2736" s="168"/>
      <c r="C2736" s="169"/>
      <c r="D2736" s="160" t="s">
        <v>39</v>
      </c>
      <c r="E2736" s="161"/>
      <c r="F2736" s="162" t="s">
        <v>40</v>
      </c>
      <c r="G2736" s="163"/>
      <c r="H2736" s="164"/>
      <c r="I2736" s="163"/>
      <c r="J2736" s="164"/>
      <c r="K2736" s="163"/>
      <c r="L2736" s="164"/>
      <c r="M2736" s="11"/>
      <c r="N2736" s="39"/>
      <c r="Q2736" s="15" t="str">
        <f>+CONCATENATE(E2736,G2736)</f>
        <v/>
      </c>
      <c r="R2736" s="15">
        <f>+H2736</f>
        <v>0</v>
      </c>
      <c r="S2736" s="16"/>
      <c r="T2736" s="15">
        <f>+E2736</f>
        <v>0</v>
      </c>
      <c r="U2736" s="26" t="str">
        <f t="shared" ref="U2736" si="1489">IFERROR(LEFT(G2736,FIND("*",G2736)-1),"-")</f>
        <v>-</v>
      </c>
      <c r="V2736" s="26" t="str">
        <f t="shared" ref="V2736" si="1490">IFERROR(RIGHT(G2736,LEN(G2736)-FIND("*",G2736)),"-")</f>
        <v>-</v>
      </c>
      <c r="W2736" s="27" t="str">
        <f t="shared" si="1486"/>
        <v>-</v>
      </c>
      <c r="X2736" s="27" t="str">
        <f>IFERROR(W2736*H2736,"-")</f>
        <v>-</v>
      </c>
      <c r="Z2736" s="94" t="s">
        <v>82</v>
      </c>
    </row>
    <row r="2737" spans="1:26" s="25" customFormat="1" ht="6.95" customHeight="1" x14ac:dyDescent="0.3">
      <c r="A2737" s="10"/>
      <c r="B2737" s="168"/>
      <c r="C2737" s="169"/>
      <c r="D2737" s="160"/>
      <c r="E2737" s="161"/>
      <c r="F2737" s="162"/>
      <c r="G2737" s="163"/>
      <c r="H2737" s="164"/>
      <c r="I2737" s="163"/>
      <c r="J2737" s="164"/>
      <c r="K2737" s="163"/>
      <c r="L2737" s="164"/>
      <c r="M2737" s="11"/>
      <c r="N2737" s="39"/>
      <c r="Q2737" s="15" t="str">
        <f>+CONCATENATE(E2736,I2736)</f>
        <v/>
      </c>
      <c r="R2737" s="15">
        <f>+J2736</f>
        <v>0</v>
      </c>
      <c r="S2737" s="16"/>
      <c r="T2737" s="15">
        <f>+E2736</f>
        <v>0</v>
      </c>
      <c r="U2737" s="26" t="str">
        <f>IFERROR(LEFT(I2736,FIND("*",I2736)-1),"-")</f>
        <v>-</v>
      </c>
      <c r="V2737" s="26" t="str">
        <f>IFERROR(RIGHT(I2736,LEN(I2736)-FIND("*",I2736)),"-")</f>
        <v>-</v>
      </c>
      <c r="W2737" s="27" t="str">
        <f t="shared" si="1486"/>
        <v>-</v>
      </c>
      <c r="X2737" s="27" t="str">
        <f t="shared" ref="X2737" si="1491">IFERROR(W2737*J2736,"-")</f>
        <v>-</v>
      </c>
      <c r="Z2737" s="94" t="s">
        <v>82</v>
      </c>
    </row>
    <row r="2738" spans="1:26" s="25" customFormat="1" ht="6.95" customHeight="1" x14ac:dyDescent="0.3">
      <c r="A2738" s="10"/>
      <c r="B2738" s="168"/>
      <c r="C2738" s="169"/>
      <c r="D2738" s="160"/>
      <c r="E2738" s="161"/>
      <c r="F2738" s="162"/>
      <c r="G2738" s="163"/>
      <c r="H2738" s="164"/>
      <c r="I2738" s="163"/>
      <c r="J2738" s="164"/>
      <c r="K2738" s="163"/>
      <c r="L2738" s="164"/>
      <c r="M2738" s="11"/>
      <c r="N2738" s="39"/>
      <c r="Q2738" s="15" t="str">
        <f>+CONCATENATE(E2736,K2736)</f>
        <v/>
      </c>
      <c r="R2738" s="15">
        <f>+L2736</f>
        <v>0</v>
      </c>
      <c r="S2738" s="16"/>
      <c r="T2738" s="15">
        <f>+E2736</f>
        <v>0</v>
      </c>
      <c r="U2738" s="26" t="str">
        <f>IFERROR(LEFT(K2736,FIND("*",K2736)-1),"-")</f>
        <v>-</v>
      </c>
      <c r="V2738" s="26" t="str">
        <f>IFERROR(RIGHT(K2736,LEN(K2736)-FIND("*",K2736)),"-")</f>
        <v>-</v>
      </c>
      <c r="W2738" s="27" t="str">
        <f t="shared" si="1486"/>
        <v>-</v>
      </c>
      <c r="X2738" s="27" t="str">
        <f>IFERROR(W2738*L2736,"-")</f>
        <v>-</v>
      </c>
      <c r="Z2738" s="94" t="s">
        <v>82</v>
      </c>
    </row>
    <row r="2739" spans="1:26" s="25" customFormat="1" ht="21" customHeight="1" thickBot="1" x14ac:dyDescent="0.35">
      <c r="A2739" s="10"/>
      <c r="B2739" s="170"/>
      <c r="C2739" s="171"/>
      <c r="D2739" s="172" t="s">
        <v>43</v>
      </c>
      <c r="E2739" s="173"/>
      <c r="F2739" s="173"/>
      <c r="G2739" s="174"/>
      <c r="H2739" s="174"/>
      <c r="I2739" s="174"/>
      <c r="J2739" s="174"/>
      <c r="K2739" s="174"/>
      <c r="L2739" s="174"/>
      <c r="M2739" s="12"/>
      <c r="N2739" s="39"/>
      <c r="U2739" s="23"/>
      <c r="V2739" s="23"/>
      <c r="Z2739" s="95" t="s">
        <v>81</v>
      </c>
    </row>
    <row r="2740" spans="1:26" s="25" customFormat="1" ht="9.9499999999999993" customHeight="1" thickBot="1" x14ac:dyDescent="0.35">
      <c r="A2740" s="6"/>
      <c r="B2740" s="14"/>
      <c r="C2740" s="119"/>
      <c r="D2740" s="58"/>
      <c r="E2740" s="17"/>
      <c r="F2740" s="58"/>
      <c r="G2740" s="19"/>
      <c r="H2740" s="19"/>
      <c r="I2740" s="19"/>
      <c r="J2740" s="19"/>
      <c r="K2740" s="19"/>
      <c r="L2740" s="19"/>
      <c r="M2740" s="14"/>
      <c r="N2740" s="39"/>
      <c r="Q2740" s="1"/>
      <c r="R2740" s="1"/>
      <c r="S2740" s="1"/>
      <c r="T2740" s="1"/>
      <c r="U2740" s="24"/>
      <c r="V2740" s="24"/>
      <c r="W2740" s="1"/>
      <c r="X2740" s="1"/>
      <c r="Z2740" s="94" t="s">
        <v>82</v>
      </c>
    </row>
    <row r="2741" spans="1:26" s="25" customFormat="1" ht="6.95" customHeight="1" x14ac:dyDescent="0.3">
      <c r="A2741" s="165">
        <f>+A2730+1</f>
        <v>250</v>
      </c>
      <c r="B2741" s="166"/>
      <c r="C2741" s="167"/>
      <c r="D2741" s="160" t="s">
        <v>39</v>
      </c>
      <c r="E2741" s="161"/>
      <c r="F2741" s="162" t="s">
        <v>40</v>
      </c>
      <c r="G2741" s="163"/>
      <c r="H2741" s="164"/>
      <c r="I2741" s="163"/>
      <c r="J2741" s="164"/>
      <c r="K2741" s="163"/>
      <c r="L2741" s="164"/>
      <c r="M2741" s="11"/>
      <c r="N2741" s="39"/>
      <c r="Q2741" s="15" t="str">
        <f>+CONCATENATE(E2741,G2741)</f>
        <v/>
      </c>
      <c r="R2741" s="15">
        <f>+H2741</f>
        <v>0</v>
      </c>
      <c r="S2741" s="16"/>
      <c r="T2741" s="15">
        <f>+E2741</f>
        <v>0</v>
      </c>
      <c r="U2741" s="26" t="str">
        <f>IFERROR(LEFT(G2741,FIND("*",G2741)-1),"-")</f>
        <v>-</v>
      </c>
      <c r="V2741" s="26" t="str">
        <f>IFERROR(RIGHT(G2741,LEN(G2741)-FIND("*",G2741)),"-")</f>
        <v>-</v>
      </c>
      <c r="W2741" s="27" t="str">
        <f>IFERROR((U2741+V2741)*2/1000,"-")</f>
        <v>-</v>
      </c>
      <c r="X2741" s="27" t="str">
        <f>IFERROR(W2741*H2741,"-")</f>
        <v>-</v>
      </c>
      <c r="Z2741" s="94" t="s">
        <v>82</v>
      </c>
    </row>
    <row r="2742" spans="1:26" s="25" customFormat="1" ht="6.95" customHeight="1" x14ac:dyDescent="0.3">
      <c r="A2742" s="165"/>
      <c r="B2742" s="168"/>
      <c r="C2742" s="169"/>
      <c r="D2742" s="160"/>
      <c r="E2742" s="161"/>
      <c r="F2742" s="162"/>
      <c r="G2742" s="163"/>
      <c r="H2742" s="164"/>
      <c r="I2742" s="163"/>
      <c r="J2742" s="164"/>
      <c r="K2742" s="163"/>
      <c r="L2742" s="164"/>
      <c r="M2742" s="11"/>
      <c r="N2742" s="39"/>
      <c r="Q2742" s="15" t="str">
        <f>+CONCATENATE(E2741,I2741)</f>
        <v/>
      </c>
      <c r="R2742" s="15">
        <f>+J2741</f>
        <v>0</v>
      </c>
      <c r="S2742" s="16"/>
      <c r="T2742" s="15">
        <f>+E2741</f>
        <v>0</v>
      </c>
      <c r="U2742" s="26" t="str">
        <f>IFERROR(LEFT(I2741,FIND("*",I2741)-1),"-")</f>
        <v>-</v>
      </c>
      <c r="V2742" s="26" t="str">
        <f>IFERROR(RIGHT(I2741,LEN(I2741)-FIND("*",I2741)),"-")</f>
        <v>-</v>
      </c>
      <c r="W2742" s="27" t="str">
        <f t="shared" ref="W2742:W2749" si="1492">IFERROR((U2742+V2742)*2/1000,"-")</f>
        <v>-</v>
      </c>
      <c r="X2742" s="27" t="str">
        <f>IFERROR(W2742*J2741,"-")</f>
        <v>-</v>
      </c>
      <c r="Z2742" s="94" t="s">
        <v>82</v>
      </c>
    </row>
    <row r="2743" spans="1:26" s="25" customFormat="1" ht="6.95" customHeight="1" x14ac:dyDescent="0.3">
      <c r="A2743" s="165"/>
      <c r="B2743" s="168"/>
      <c r="C2743" s="169"/>
      <c r="D2743" s="160"/>
      <c r="E2743" s="161"/>
      <c r="F2743" s="162"/>
      <c r="G2743" s="163"/>
      <c r="H2743" s="164"/>
      <c r="I2743" s="163"/>
      <c r="J2743" s="164"/>
      <c r="K2743" s="163"/>
      <c r="L2743" s="164"/>
      <c r="M2743" s="11"/>
      <c r="N2743" s="39"/>
      <c r="Q2743" s="15" t="str">
        <f>+CONCATENATE(E2741,K2741)</f>
        <v/>
      </c>
      <c r="R2743" s="15">
        <f>+L2741</f>
        <v>0</v>
      </c>
      <c r="S2743" s="16"/>
      <c r="T2743" s="15">
        <f>+E2741</f>
        <v>0</v>
      </c>
      <c r="U2743" s="26" t="str">
        <f>IFERROR(LEFT(K2741,FIND("*",K2741)-1),"-")</f>
        <v>-</v>
      </c>
      <c r="V2743" s="26" t="str">
        <f>IFERROR(RIGHT(K2741,LEN(K2741)-FIND("*",K2741)),"-")</f>
        <v>-</v>
      </c>
      <c r="W2743" s="27" t="str">
        <f t="shared" si="1492"/>
        <v>-</v>
      </c>
      <c r="X2743" s="27" t="str">
        <f>IFERROR(W2743*L2741,"-")</f>
        <v>-</v>
      </c>
      <c r="Z2743" s="94" t="s">
        <v>82</v>
      </c>
    </row>
    <row r="2744" spans="1:26" s="25" customFormat="1" ht="6.95" customHeight="1" x14ac:dyDescent="0.3">
      <c r="A2744" s="13"/>
      <c r="B2744" s="168"/>
      <c r="C2744" s="169"/>
      <c r="D2744" s="160" t="s">
        <v>39</v>
      </c>
      <c r="E2744" s="161"/>
      <c r="F2744" s="162" t="s">
        <v>40</v>
      </c>
      <c r="G2744" s="163"/>
      <c r="H2744" s="164"/>
      <c r="I2744" s="163"/>
      <c r="J2744" s="164"/>
      <c r="K2744" s="163"/>
      <c r="L2744" s="164"/>
      <c r="M2744" s="11"/>
      <c r="N2744" s="39"/>
      <c r="Q2744" s="15" t="str">
        <f>+CONCATENATE(E2744,G2744)</f>
        <v/>
      </c>
      <c r="R2744" s="15">
        <f>+H2744</f>
        <v>0</v>
      </c>
      <c r="S2744" s="16"/>
      <c r="T2744" s="15">
        <f>+E2744</f>
        <v>0</v>
      </c>
      <c r="U2744" s="26" t="str">
        <f t="shared" ref="U2744" si="1493">IFERROR(LEFT(G2744,FIND("*",G2744)-1),"-")</f>
        <v>-</v>
      </c>
      <c r="V2744" s="26" t="str">
        <f t="shared" ref="V2744" si="1494">IFERROR(RIGHT(G2744,LEN(G2744)-FIND("*",G2744)),"-")</f>
        <v>-</v>
      </c>
      <c r="W2744" s="27" t="str">
        <f t="shared" si="1492"/>
        <v>-</v>
      </c>
      <c r="X2744" s="27" t="str">
        <f>IFERROR(W2744*H2744,"-")</f>
        <v>-</v>
      </c>
      <c r="Z2744" s="94" t="s">
        <v>82</v>
      </c>
    </row>
    <row r="2745" spans="1:26" s="25" customFormat="1" ht="6.95" customHeight="1" x14ac:dyDescent="0.3">
      <c r="A2745" s="10"/>
      <c r="B2745" s="168"/>
      <c r="C2745" s="169"/>
      <c r="D2745" s="160"/>
      <c r="E2745" s="161"/>
      <c r="F2745" s="162"/>
      <c r="G2745" s="163"/>
      <c r="H2745" s="164"/>
      <c r="I2745" s="163"/>
      <c r="J2745" s="164"/>
      <c r="K2745" s="163"/>
      <c r="L2745" s="164"/>
      <c r="M2745" s="11"/>
      <c r="N2745" s="39"/>
      <c r="Q2745" s="15" t="str">
        <f>+CONCATENATE(E2744,I2744)</f>
        <v/>
      </c>
      <c r="R2745" s="15">
        <f>+J2744</f>
        <v>0</v>
      </c>
      <c r="S2745" s="16"/>
      <c r="T2745" s="15">
        <f>+E2744</f>
        <v>0</v>
      </c>
      <c r="U2745" s="26" t="str">
        <f>IFERROR(LEFT(I2744,FIND("*",I2744)-1),"-")</f>
        <v>-</v>
      </c>
      <c r="V2745" s="26" t="str">
        <f>IFERROR(RIGHT(I2744,LEN(I2744)-FIND("*",I2744)),"-")</f>
        <v>-</v>
      </c>
      <c r="W2745" s="27" t="str">
        <f t="shared" si="1492"/>
        <v>-</v>
      </c>
      <c r="X2745" s="27" t="str">
        <f>IFERROR(W2745*J2744,"-")</f>
        <v>-</v>
      </c>
      <c r="Z2745" s="94" t="s">
        <v>82</v>
      </c>
    </row>
    <row r="2746" spans="1:26" s="25" customFormat="1" ht="6.95" customHeight="1" x14ac:dyDescent="0.3">
      <c r="A2746" s="10"/>
      <c r="B2746" s="168"/>
      <c r="C2746" s="169"/>
      <c r="D2746" s="160"/>
      <c r="E2746" s="161"/>
      <c r="F2746" s="162"/>
      <c r="G2746" s="163"/>
      <c r="H2746" s="164"/>
      <c r="I2746" s="163"/>
      <c r="J2746" s="164"/>
      <c r="K2746" s="163"/>
      <c r="L2746" s="164"/>
      <c r="M2746" s="11"/>
      <c r="N2746" s="39"/>
      <c r="Q2746" s="15" t="str">
        <f>+CONCATENATE(E2744,K2744)</f>
        <v/>
      </c>
      <c r="R2746" s="15">
        <f>+L2744</f>
        <v>0</v>
      </c>
      <c r="S2746" s="16"/>
      <c r="T2746" s="15">
        <f>+E2744</f>
        <v>0</v>
      </c>
      <c r="U2746" s="26" t="str">
        <f>IFERROR(LEFT(K2744,FIND("*",K2744)-1),"-")</f>
        <v>-</v>
      </c>
      <c r="V2746" s="26" t="str">
        <f>IFERROR(RIGHT(K2744,LEN(K2744)-FIND("*",K2744)),"-")</f>
        <v>-</v>
      </c>
      <c r="W2746" s="27" t="str">
        <f t="shared" si="1492"/>
        <v>-</v>
      </c>
      <c r="X2746" s="27" t="str">
        <f>IFERROR(W2746*L2744,"-")</f>
        <v>-</v>
      </c>
      <c r="Z2746" s="94" t="s">
        <v>82</v>
      </c>
    </row>
    <row r="2747" spans="1:26" s="25" customFormat="1" ht="6.95" customHeight="1" x14ac:dyDescent="0.3">
      <c r="A2747" s="13"/>
      <c r="B2747" s="168"/>
      <c r="C2747" s="169"/>
      <c r="D2747" s="160" t="s">
        <v>39</v>
      </c>
      <c r="E2747" s="161"/>
      <c r="F2747" s="162" t="s">
        <v>40</v>
      </c>
      <c r="G2747" s="163"/>
      <c r="H2747" s="164"/>
      <c r="I2747" s="163"/>
      <c r="J2747" s="164"/>
      <c r="K2747" s="163"/>
      <c r="L2747" s="164"/>
      <c r="M2747" s="11"/>
      <c r="N2747" s="39"/>
      <c r="Q2747" s="15" t="str">
        <f>+CONCATENATE(E2747,G2747)</f>
        <v/>
      </c>
      <c r="R2747" s="15">
        <f>+H2747</f>
        <v>0</v>
      </c>
      <c r="S2747" s="16"/>
      <c r="T2747" s="15">
        <f>+E2747</f>
        <v>0</v>
      </c>
      <c r="U2747" s="26" t="str">
        <f t="shared" ref="U2747" si="1495">IFERROR(LEFT(G2747,FIND("*",G2747)-1),"-")</f>
        <v>-</v>
      </c>
      <c r="V2747" s="26" t="str">
        <f t="shared" ref="V2747" si="1496">IFERROR(RIGHT(G2747,LEN(G2747)-FIND("*",G2747)),"-")</f>
        <v>-</v>
      </c>
      <c r="W2747" s="27" t="str">
        <f t="shared" si="1492"/>
        <v>-</v>
      </c>
      <c r="X2747" s="27" t="str">
        <f>IFERROR(W2747*H2747,"-")</f>
        <v>-</v>
      </c>
      <c r="Z2747" s="94" t="s">
        <v>82</v>
      </c>
    </row>
    <row r="2748" spans="1:26" s="25" customFormat="1" ht="6.95" customHeight="1" x14ac:dyDescent="0.3">
      <c r="A2748" s="10"/>
      <c r="B2748" s="168"/>
      <c r="C2748" s="169"/>
      <c r="D2748" s="160"/>
      <c r="E2748" s="161"/>
      <c r="F2748" s="162"/>
      <c r="G2748" s="163"/>
      <c r="H2748" s="164"/>
      <c r="I2748" s="163"/>
      <c r="J2748" s="164"/>
      <c r="K2748" s="163"/>
      <c r="L2748" s="164"/>
      <c r="M2748" s="11"/>
      <c r="N2748" s="39"/>
      <c r="Q2748" s="15" t="str">
        <f>+CONCATENATE(E2747,I2747)</f>
        <v/>
      </c>
      <c r="R2748" s="15">
        <f>+J2747</f>
        <v>0</v>
      </c>
      <c r="S2748" s="16"/>
      <c r="T2748" s="15">
        <f>+E2747</f>
        <v>0</v>
      </c>
      <c r="U2748" s="26" t="str">
        <f>IFERROR(LEFT(I2747,FIND("*",I2747)-1),"-")</f>
        <v>-</v>
      </c>
      <c r="V2748" s="26" t="str">
        <f>IFERROR(RIGHT(I2747,LEN(I2747)-FIND("*",I2747)),"-")</f>
        <v>-</v>
      </c>
      <c r="W2748" s="27" t="str">
        <f t="shared" si="1492"/>
        <v>-</v>
      </c>
      <c r="X2748" s="27" t="str">
        <f t="shared" ref="X2748" si="1497">IFERROR(W2748*J2747,"-")</f>
        <v>-</v>
      </c>
      <c r="Z2748" s="94" t="s">
        <v>82</v>
      </c>
    </row>
    <row r="2749" spans="1:26" s="25" customFormat="1" ht="6.95" customHeight="1" x14ac:dyDescent="0.3">
      <c r="A2749" s="10"/>
      <c r="B2749" s="168"/>
      <c r="C2749" s="169"/>
      <c r="D2749" s="160"/>
      <c r="E2749" s="161"/>
      <c r="F2749" s="162"/>
      <c r="G2749" s="163"/>
      <c r="H2749" s="164"/>
      <c r="I2749" s="163"/>
      <c r="J2749" s="164"/>
      <c r="K2749" s="163"/>
      <c r="L2749" s="164"/>
      <c r="M2749" s="11"/>
      <c r="N2749" s="39"/>
      <c r="Q2749" s="15" t="str">
        <f>+CONCATENATE(E2747,K2747)</f>
        <v/>
      </c>
      <c r="R2749" s="15">
        <f>+L2747</f>
        <v>0</v>
      </c>
      <c r="S2749" s="16"/>
      <c r="T2749" s="15">
        <f>+E2747</f>
        <v>0</v>
      </c>
      <c r="U2749" s="26" t="str">
        <f>IFERROR(LEFT(K2747,FIND("*",K2747)-1),"-")</f>
        <v>-</v>
      </c>
      <c r="V2749" s="26" t="str">
        <f>IFERROR(RIGHT(K2747,LEN(K2747)-FIND("*",K2747)),"-")</f>
        <v>-</v>
      </c>
      <c r="W2749" s="27" t="str">
        <f t="shared" si="1492"/>
        <v>-</v>
      </c>
      <c r="X2749" s="27" t="str">
        <f>IFERROR(W2749*L2747,"-")</f>
        <v>-</v>
      </c>
      <c r="Z2749" s="94" t="s">
        <v>82</v>
      </c>
    </row>
    <row r="2750" spans="1:26" s="25" customFormat="1" ht="21" customHeight="1" thickBot="1" x14ac:dyDescent="0.35">
      <c r="A2750" s="10"/>
      <c r="B2750" s="170"/>
      <c r="C2750" s="171"/>
      <c r="D2750" s="172" t="s">
        <v>43</v>
      </c>
      <c r="E2750" s="173"/>
      <c r="F2750" s="173"/>
      <c r="G2750" s="174"/>
      <c r="H2750" s="174"/>
      <c r="I2750" s="174"/>
      <c r="J2750" s="174"/>
      <c r="K2750" s="174"/>
      <c r="L2750" s="174"/>
      <c r="M2750" s="12"/>
      <c r="N2750" s="39"/>
      <c r="U2750" s="23"/>
      <c r="V2750" s="23"/>
      <c r="Z2750" s="95" t="s">
        <v>81</v>
      </c>
    </row>
    <row r="2751" spans="1:26" s="25" customFormat="1" ht="9.9499999999999993" customHeight="1" thickBot="1" x14ac:dyDescent="0.35">
      <c r="A2751" s="6"/>
      <c r="B2751" s="14"/>
      <c r="C2751" s="119"/>
      <c r="D2751" s="58"/>
      <c r="E2751" s="17"/>
      <c r="F2751" s="58"/>
      <c r="G2751" s="19"/>
      <c r="H2751" s="19"/>
      <c r="I2751" s="19"/>
      <c r="J2751" s="19"/>
      <c r="K2751" s="19"/>
      <c r="L2751" s="19"/>
      <c r="M2751" s="14"/>
      <c r="N2751" s="39"/>
      <c r="Q2751" s="1"/>
      <c r="R2751" s="1"/>
      <c r="S2751" s="1"/>
      <c r="T2751" s="1"/>
      <c r="U2751" s="24"/>
      <c r="V2751" s="24"/>
      <c r="W2751" s="1"/>
      <c r="X2751" s="1"/>
      <c r="Z2751" s="94" t="s">
        <v>82</v>
      </c>
    </row>
    <row r="2752" spans="1:26" s="25" customFormat="1" ht="6.95" customHeight="1" x14ac:dyDescent="0.3">
      <c r="A2752" s="165">
        <f>+A2741+1</f>
        <v>251</v>
      </c>
      <c r="B2752" s="166"/>
      <c r="C2752" s="167"/>
      <c r="D2752" s="160" t="s">
        <v>39</v>
      </c>
      <c r="E2752" s="161"/>
      <c r="F2752" s="162" t="s">
        <v>40</v>
      </c>
      <c r="G2752" s="163"/>
      <c r="H2752" s="164"/>
      <c r="I2752" s="163"/>
      <c r="J2752" s="164"/>
      <c r="K2752" s="163"/>
      <c r="L2752" s="164"/>
      <c r="M2752" s="11"/>
      <c r="N2752" s="39"/>
      <c r="Q2752" s="15" t="str">
        <f>+CONCATENATE(E2752,G2752)</f>
        <v/>
      </c>
      <c r="R2752" s="15">
        <f>+H2752</f>
        <v>0</v>
      </c>
      <c r="S2752" s="16"/>
      <c r="T2752" s="15">
        <f>+E2752</f>
        <v>0</v>
      </c>
      <c r="U2752" s="26" t="str">
        <f>IFERROR(LEFT(G2752,FIND("*",G2752)-1),"-")</f>
        <v>-</v>
      </c>
      <c r="V2752" s="26" t="str">
        <f>IFERROR(RIGHT(G2752,LEN(G2752)-FIND("*",G2752)),"-")</f>
        <v>-</v>
      </c>
      <c r="W2752" s="27" t="str">
        <f>IFERROR((U2752+V2752)*2/1000,"-")</f>
        <v>-</v>
      </c>
      <c r="X2752" s="27" t="str">
        <f>IFERROR(W2752*H2752,"-")</f>
        <v>-</v>
      </c>
      <c r="Z2752" s="94" t="s">
        <v>82</v>
      </c>
    </row>
    <row r="2753" spans="1:26" s="25" customFormat="1" ht="6.95" customHeight="1" x14ac:dyDescent="0.3">
      <c r="A2753" s="165"/>
      <c r="B2753" s="168"/>
      <c r="C2753" s="169"/>
      <c r="D2753" s="160"/>
      <c r="E2753" s="161"/>
      <c r="F2753" s="162"/>
      <c r="G2753" s="163"/>
      <c r="H2753" s="164"/>
      <c r="I2753" s="163"/>
      <c r="J2753" s="164"/>
      <c r="K2753" s="163"/>
      <c r="L2753" s="164"/>
      <c r="M2753" s="11"/>
      <c r="N2753" s="39"/>
      <c r="Q2753" s="15" t="str">
        <f>+CONCATENATE(E2752,I2752)</f>
        <v/>
      </c>
      <c r="R2753" s="15">
        <f>+J2752</f>
        <v>0</v>
      </c>
      <c r="S2753" s="16"/>
      <c r="T2753" s="15">
        <f>+E2752</f>
        <v>0</v>
      </c>
      <c r="U2753" s="26" t="str">
        <f>IFERROR(LEFT(I2752,FIND("*",I2752)-1),"-")</f>
        <v>-</v>
      </c>
      <c r="V2753" s="26" t="str">
        <f>IFERROR(RIGHT(I2752,LEN(I2752)-FIND("*",I2752)),"-")</f>
        <v>-</v>
      </c>
      <c r="W2753" s="27" t="str">
        <f t="shared" ref="W2753:W2760" si="1498">IFERROR((U2753+V2753)*2/1000,"-")</f>
        <v>-</v>
      </c>
      <c r="X2753" s="27" t="str">
        <f>IFERROR(W2753*J2752,"-")</f>
        <v>-</v>
      </c>
      <c r="Z2753" s="94" t="s">
        <v>82</v>
      </c>
    </row>
    <row r="2754" spans="1:26" s="25" customFormat="1" ht="6.95" customHeight="1" x14ac:dyDescent="0.3">
      <c r="A2754" s="165"/>
      <c r="B2754" s="168"/>
      <c r="C2754" s="169"/>
      <c r="D2754" s="160"/>
      <c r="E2754" s="161"/>
      <c r="F2754" s="162"/>
      <c r="G2754" s="163"/>
      <c r="H2754" s="164"/>
      <c r="I2754" s="163"/>
      <c r="J2754" s="164"/>
      <c r="K2754" s="163"/>
      <c r="L2754" s="164"/>
      <c r="M2754" s="11"/>
      <c r="N2754" s="39"/>
      <c r="Q2754" s="15" t="str">
        <f>+CONCATENATE(E2752,K2752)</f>
        <v/>
      </c>
      <c r="R2754" s="15">
        <f>+L2752</f>
        <v>0</v>
      </c>
      <c r="S2754" s="16"/>
      <c r="T2754" s="15">
        <f>+E2752</f>
        <v>0</v>
      </c>
      <c r="U2754" s="26" t="str">
        <f>IFERROR(LEFT(K2752,FIND("*",K2752)-1),"-")</f>
        <v>-</v>
      </c>
      <c r="V2754" s="26" t="str">
        <f>IFERROR(RIGHT(K2752,LEN(K2752)-FIND("*",K2752)),"-")</f>
        <v>-</v>
      </c>
      <c r="W2754" s="27" t="str">
        <f t="shared" si="1498"/>
        <v>-</v>
      </c>
      <c r="X2754" s="27" t="str">
        <f>IFERROR(W2754*L2752,"-")</f>
        <v>-</v>
      </c>
      <c r="Z2754" s="94" t="s">
        <v>82</v>
      </c>
    </row>
    <row r="2755" spans="1:26" s="25" customFormat="1" ht="6.95" customHeight="1" x14ac:dyDescent="0.3">
      <c r="A2755" s="13"/>
      <c r="B2755" s="168"/>
      <c r="C2755" s="169"/>
      <c r="D2755" s="160" t="s">
        <v>39</v>
      </c>
      <c r="E2755" s="161"/>
      <c r="F2755" s="162" t="s">
        <v>40</v>
      </c>
      <c r="G2755" s="163"/>
      <c r="H2755" s="164"/>
      <c r="I2755" s="163"/>
      <c r="J2755" s="164"/>
      <c r="K2755" s="163"/>
      <c r="L2755" s="164"/>
      <c r="M2755" s="11"/>
      <c r="N2755" s="39"/>
      <c r="Q2755" s="15" t="str">
        <f>+CONCATENATE(E2755,G2755)</f>
        <v/>
      </c>
      <c r="R2755" s="15">
        <f>+H2755</f>
        <v>0</v>
      </c>
      <c r="S2755" s="16"/>
      <c r="T2755" s="15">
        <f>+E2755</f>
        <v>0</v>
      </c>
      <c r="U2755" s="26" t="str">
        <f t="shared" ref="U2755" si="1499">IFERROR(LEFT(G2755,FIND("*",G2755)-1),"-")</f>
        <v>-</v>
      </c>
      <c r="V2755" s="26" t="str">
        <f t="shared" ref="V2755" si="1500">IFERROR(RIGHT(G2755,LEN(G2755)-FIND("*",G2755)),"-")</f>
        <v>-</v>
      </c>
      <c r="W2755" s="27" t="str">
        <f t="shared" si="1498"/>
        <v>-</v>
      </c>
      <c r="X2755" s="27" t="str">
        <f>IFERROR(W2755*H2755,"-")</f>
        <v>-</v>
      </c>
      <c r="Z2755" s="94" t="s">
        <v>82</v>
      </c>
    </row>
    <row r="2756" spans="1:26" s="25" customFormat="1" ht="6.95" customHeight="1" x14ac:dyDescent="0.3">
      <c r="A2756" s="10"/>
      <c r="B2756" s="168"/>
      <c r="C2756" s="169"/>
      <c r="D2756" s="160"/>
      <c r="E2756" s="161"/>
      <c r="F2756" s="162"/>
      <c r="G2756" s="163"/>
      <c r="H2756" s="164"/>
      <c r="I2756" s="163"/>
      <c r="J2756" s="164"/>
      <c r="K2756" s="163"/>
      <c r="L2756" s="164"/>
      <c r="M2756" s="11"/>
      <c r="N2756" s="39"/>
      <c r="Q2756" s="15" t="str">
        <f>+CONCATENATE(E2755,I2755)</f>
        <v/>
      </c>
      <c r="R2756" s="15">
        <f>+J2755</f>
        <v>0</v>
      </c>
      <c r="S2756" s="16"/>
      <c r="T2756" s="15">
        <f>+E2755</f>
        <v>0</v>
      </c>
      <c r="U2756" s="26" t="str">
        <f>IFERROR(LEFT(I2755,FIND("*",I2755)-1),"-")</f>
        <v>-</v>
      </c>
      <c r="V2756" s="26" t="str">
        <f>IFERROR(RIGHT(I2755,LEN(I2755)-FIND("*",I2755)),"-")</f>
        <v>-</v>
      </c>
      <c r="W2756" s="27" t="str">
        <f t="shared" si="1498"/>
        <v>-</v>
      </c>
      <c r="X2756" s="27" t="str">
        <f>IFERROR(W2756*J2755,"-")</f>
        <v>-</v>
      </c>
      <c r="Z2756" s="94" t="s">
        <v>82</v>
      </c>
    </row>
    <row r="2757" spans="1:26" s="25" customFormat="1" ht="6.95" customHeight="1" x14ac:dyDescent="0.3">
      <c r="A2757" s="10"/>
      <c r="B2757" s="168"/>
      <c r="C2757" s="169"/>
      <c r="D2757" s="160"/>
      <c r="E2757" s="161"/>
      <c r="F2757" s="162"/>
      <c r="G2757" s="163"/>
      <c r="H2757" s="164"/>
      <c r="I2757" s="163"/>
      <c r="J2757" s="164"/>
      <c r="K2757" s="163"/>
      <c r="L2757" s="164"/>
      <c r="M2757" s="11"/>
      <c r="N2757" s="39"/>
      <c r="Q2757" s="15" t="str">
        <f>+CONCATENATE(E2755,K2755)</f>
        <v/>
      </c>
      <c r="R2757" s="15">
        <f>+L2755</f>
        <v>0</v>
      </c>
      <c r="S2757" s="16"/>
      <c r="T2757" s="15">
        <f>+E2755</f>
        <v>0</v>
      </c>
      <c r="U2757" s="26" t="str">
        <f>IFERROR(LEFT(K2755,FIND("*",K2755)-1),"-")</f>
        <v>-</v>
      </c>
      <c r="V2757" s="26" t="str">
        <f>IFERROR(RIGHT(K2755,LEN(K2755)-FIND("*",K2755)),"-")</f>
        <v>-</v>
      </c>
      <c r="W2757" s="27" t="str">
        <f t="shared" si="1498"/>
        <v>-</v>
      </c>
      <c r="X2757" s="27" t="str">
        <f>IFERROR(W2757*L2755,"-")</f>
        <v>-</v>
      </c>
      <c r="Z2757" s="94" t="s">
        <v>82</v>
      </c>
    </row>
    <row r="2758" spans="1:26" s="25" customFormat="1" ht="6.95" customHeight="1" x14ac:dyDescent="0.3">
      <c r="A2758" s="13"/>
      <c r="B2758" s="168"/>
      <c r="C2758" s="169"/>
      <c r="D2758" s="160" t="s">
        <v>39</v>
      </c>
      <c r="E2758" s="161"/>
      <c r="F2758" s="162" t="s">
        <v>40</v>
      </c>
      <c r="G2758" s="163"/>
      <c r="H2758" s="164"/>
      <c r="I2758" s="163"/>
      <c r="J2758" s="164"/>
      <c r="K2758" s="163"/>
      <c r="L2758" s="164"/>
      <c r="M2758" s="11"/>
      <c r="N2758" s="39"/>
      <c r="Q2758" s="15" t="str">
        <f>+CONCATENATE(E2758,G2758)</f>
        <v/>
      </c>
      <c r="R2758" s="15">
        <f>+H2758</f>
        <v>0</v>
      </c>
      <c r="S2758" s="16"/>
      <c r="T2758" s="15">
        <f>+E2758</f>
        <v>0</v>
      </c>
      <c r="U2758" s="26" t="str">
        <f t="shared" ref="U2758" si="1501">IFERROR(LEFT(G2758,FIND("*",G2758)-1),"-")</f>
        <v>-</v>
      </c>
      <c r="V2758" s="26" t="str">
        <f t="shared" ref="V2758" si="1502">IFERROR(RIGHT(G2758,LEN(G2758)-FIND("*",G2758)),"-")</f>
        <v>-</v>
      </c>
      <c r="W2758" s="27" t="str">
        <f t="shared" si="1498"/>
        <v>-</v>
      </c>
      <c r="X2758" s="27" t="str">
        <f>IFERROR(W2758*H2758,"-")</f>
        <v>-</v>
      </c>
      <c r="Z2758" s="94" t="s">
        <v>82</v>
      </c>
    </row>
    <row r="2759" spans="1:26" s="25" customFormat="1" ht="6.95" customHeight="1" x14ac:dyDescent="0.3">
      <c r="A2759" s="10"/>
      <c r="B2759" s="168"/>
      <c r="C2759" s="169"/>
      <c r="D2759" s="160"/>
      <c r="E2759" s="161"/>
      <c r="F2759" s="162"/>
      <c r="G2759" s="163"/>
      <c r="H2759" s="164"/>
      <c r="I2759" s="163"/>
      <c r="J2759" s="164"/>
      <c r="K2759" s="163"/>
      <c r="L2759" s="164"/>
      <c r="M2759" s="11"/>
      <c r="N2759" s="39"/>
      <c r="Q2759" s="15" t="str">
        <f>+CONCATENATE(E2758,I2758)</f>
        <v/>
      </c>
      <c r="R2759" s="15">
        <f>+J2758</f>
        <v>0</v>
      </c>
      <c r="S2759" s="16"/>
      <c r="T2759" s="15">
        <f>+E2758</f>
        <v>0</v>
      </c>
      <c r="U2759" s="26" t="str">
        <f>IFERROR(LEFT(I2758,FIND("*",I2758)-1),"-")</f>
        <v>-</v>
      </c>
      <c r="V2759" s="26" t="str">
        <f>IFERROR(RIGHT(I2758,LEN(I2758)-FIND("*",I2758)),"-")</f>
        <v>-</v>
      </c>
      <c r="W2759" s="27" t="str">
        <f t="shared" si="1498"/>
        <v>-</v>
      </c>
      <c r="X2759" s="27" t="str">
        <f t="shared" ref="X2759" si="1503">IFERROR(W2759*J2758,"-")</f>
        <v>-</v>
      </c>
      <c r="Z2759" s="94" t="s">
        <v>82</v>
      </c>
    </row>
    <row r="2760" spans="1:26" s="25" customFormat="1" ht="6.95" customHeight="1" x14ac:dyDescent="0.3">
      <c r="A2760" s="10"/>
      <c r="B2760" s="168"/>
      <c r="C2760" s="169"/>
      <c r="D2760" s="160"/>
      <c r="E2760" s="161"/>
      <c r="F2760" s="162"/>
      <c r="G2760" s="163"/>
      <c r="H2760" s="164"/>
      <c r="I2760" s="163"/>
      <c r="J2760" s="164"/>
      <c r="K2760" s="163"/>
      <c r="L2760" s="164"/>
      <c r="M2760" s="11"/>
      <c r="N2760" s="39"/>
      <c r="Q2760" s="15" t="str">
        <f>+CONCATENATE(E2758,K2758)</f>
        <v/>
      </c>
      <c r="R2760" s="15">
        <f>+L2758</f>
        <v>0</v>
      </c>
      <c r="S2760" s="16"/>
      <c r="T2760" s="15">
        <f>+E2758</f>
        <v>0</v>
      </c>
      <c r="U2760" s="26" t="str">
        <f>IFERROR(LEFT(K2758,FIND("*",K2758)-1),"-")</f>
        <v>-</v>
      </c>
      <c r="V2760" s="26" t="str">
        <f>IFERROR(RIGHT(K2758,LEN(K2758)-FIND("*",K2758)),"-")</f>
        <v>-</v>
      </c>
      <c r="W2760" s="27" t="str">
        <f t="shared" si="1498"/>
        <v>-</v>
      </c>
      <c r="X2760" s="27" t="str">
        <f>IFERROR(W2760*L2758,"-")</f>
        <v>-</v>
      </c>
      <c r="Z2760" s="94" t="s">
        <v>82</v>
      </c>
    </row>
    <row r="2761" spans="1:26" s="25" customFormat="1" ht="21" customHeight="1" thickBot="1" x14ac:dyDescent="0.35">
      <c r="A2761" s="10"/>
      <c r="B2761" s="170"/>
      <c r="C2761" s="171"/>
      <c r="D2761" s="172" t="s">
        <v>43</v>
      </c>
      <c r="E2761" s="173"/>
      <c r="F2761" s="173"/>
      <c r="G2761" s="174"/>
      <c r="H2761" s="174"/>
      <c r="I2761" s="174"/>
      <c r="J2761" s="174"/>
      <c r="K2761" s="174"/>
      <c r="L2761" s="174"/>
      <c r="M2761" s="12"/>
      <c r="N2761" s="39"/>
      <c r="U2761" s="23"/>
      <c r="V2761" s="23"/>
      <c r="Z2761" s="95" t="s">
        <v>81</v>
      </c>
    </row>
    <row r="2762" spans="1:26" s="25" customFormat="1" ht="9.9499999999999993" customHeight="1" thickBot="1" x14ac:dyDescent="0.35">
      <c r="A2762" s="6"/>
      <c r="B2762" s="14"/>
      <c r="C2762" s="119"/>
      <c r="D2762" s="58"/>
      <c r="E2762" s="17"/>
      <c r="F2762" s="58"/>
      <c r="G2762" s="19"/>
      <c r="H2762" s="19"/>
      <c r="I2762" s="19"/>
      <c r="J2762" s="19"/>
      <c r="K2762" s="19"/>
      <c r="L2762" s="19"/>
      <c r="M2762" s="14"/>
      <c r="N2762" s="39"/>
      <c r="Q2762" s="1"/>
      <c r="R2762" s="1"/>
      <c r="S2762" s="1"/>
      <c r="T2762" s="1"/>
      <c r="U2762" s="24"/>
      <c r="V2762" s="24"/>
      <c r="W2762" s="1"/>
      <c r="X2762" s="1"/>
      <c r="Z2762" s="94" t="s">
        <v>82</v>
      </c>
    </row>
    <row r="2763" spans="1:26" s="25" customFormat="1" ht="6.95" customHeight="1" x14ac:dyDescent="0.3">
      <c r="A2763" s="165">
        <f>+A2752+1</f>
        <v>252</v>
      </c>
      <c r="B2763" s="166"/>
      <c r="C2763" s="167"/>
      <c r="D2763" s="160" t="s">
        <v>39</v>
      </c>
      <c r="E2763" s="161"/>
      <c r="F2763" s="162" t="s">
        <v>40</v>
      </c>
      <c r="G2763" s="163"/>
      <c r="H2763" s="164"/>
      <c r="I2763" s="163"/>
      <c r="J2763" s="164"/>
      <c r="K2763" s="163"/>
      <c r="L2763" s="164"/>
      <c r="M2763" s="11"/>
      <c r="N2763" s="39"/>
      <c r="Q2763" s="15" t="str">
        <f>+CONCATENATE(E2763,G2763)</f>
        <v/>
      </c>
      <c r="R2763" s="15">
        <f>+H2763</f>
        <v>0</v>
      </c>
      <c r="S2763" s="16"/>
      <c r="T2763" s="15">
        <f>+E2763</f>
        <v>0</v>
      </c>
      <c r="U2763" s="26" t="str">
        <f>IFERROR(LEFT(G2763,FIND("*",G2763)-1),"-")</f>
        <v>-</v>
      </c>
      <c r="V2763" s="26" t="str">
        <f>IFERROR(RIGHT(G2763,LEN(G2763)-FIND("*",G2763)),"-")</f>
        <v>-</v>
      </c>
      <c r="W2763" s="27" t="str">
        <f>IFERROR((U2763+V2763)*2/1000,"-")</f>
        <v>-</v>
      </c>
      <c r="X2763" s="27" t="str">
        <f>IFERROR(W2763*H2763,"-")</f>
        <v>-</v>
      </c>
      <c r="Z2763" s="94" t="s">
        <v>82</v>
      </c>
    </row>
    <row r="2764" spans="1:26" s="25" customFormat="1" ht="6.95" customHeight="1" x14ac:dyDescent="0.3">
      <c r="A2764" s="165"/>
      <c r="B2764" s="168"/>
      <c r="C2764" s="169"/>
      <c r="D2764" s="160"/>
      <c r="E2764" s="161"/>
      <c r="F2764" s="162"/>
      <c r="G2764" s="163"/>
      <c r="H2764" s="164"/>
      <c r="I2764" s="163"/>
      <c r="J2764" s="164"/>
      <c r="K2764" s="163"/>
      <c r="L2764" s="164"/>
      <c r="M2764" s="11"/>
      <c r="N2764" s="39"/>
      <c r="Q2764" s="15" t="str">
        <f>+CONCATENATE(E2763,I2763)</f>
        <v/>
      </c>
      <c r="R2764" s="15">
        <f>+J2763</f>
        <v>0</v>
      </c>
      <c r="S2764" s="16"/>
      <c r="T2764" s="15">
        <f>+E2763</f>
        <v>0</v>
      </c>
      <c r="U2764" s="26" t="str">
        <f>IFERROR(LEFT(I2763,FIND("*",I2763)-1),"-")</f>
        <v>-</v>
      </c>
      <c r="V2764" s="26" t="str">
        <f>IFERROR(RIGHT(I2763,LEN(I2763)-FIND("*",I2763)),"-")</f>
        <v>-</v>
      </c>
      <c r="W2764" s="27" t="str">
        <f t="shared" ref="W2764:W2771" si="1504">IFERROR((U2764+V2764)*2/1000,"-")</f>
        <v>-</v>
      </c>
      <c r="X2764" s="27" t="str">
        <f>IFERROR(W2764*J2763,"-")</f>
        <v>-</v>
      </c>
      <c r="Z2764" s="94" t="s">
        <v>82</v>
      </c>
    </row>
    <row r="2765" spans="1:26" s="25" customFormat="1" ht="6.95" customHeight="1" x14ac:dyDescent="0.3">
      <c r="A2765" s="165"/>
      <c r="B2765" s="168"/>
      <c r="C2765" s="169"/>
      <c r="D2765" s="160"/>
      <c r="E2765" s="161"/>
      <c r="F2765" s="162"/>
      <c r="G2765" s="163"/>
      <c r="H2765" s="164"/>
      <c r="I2765" s="163"/>
      <c r="J2765" s="164"/>
      <c r="K2765" s="163"/>
      <c r="L2765" s="164"/>
      <c r="M2765" s="11"/>
      <c r="N2765" s="39"/>
      <c r="Q2765" s="15" t="str">
        <f>+CONCATENATE(E2763,K2763)</f>
        <v/>
      </c>
      <c r="R2765" s="15">
        <f>+L2763</f>
        <v>0</v>
      </c>
      <c r="S2765" s="16"/>
      <c r="T2765" s="15">
        <f>+E2763</f>
        <v>0</v>
      </c>
      <c r="U2765" s="26" t="str">
        <f>IFERROR(LEFT(K2763,FIND("*",K2763)-1),"-")</f>
        <v>-</v>
      </c>
      <c r="V2765" s="26" t="str">
        <f>IFERROR(RIGHT(K2763,LEN(K2763)-FIND("*",K2763)),"-")</f>
        <v>-</v>
      </c>
      <c r="W2765" s="27" t="str">
        <f t="shared" si="1504"/>
        <v>-</v>
      </c>
      <c r="X2765" s="27" t="str">
        <f>IFERROR(W2765*L2763,"-")</f>
        <v>-</v>
      </c>
      <c r="Z2765" s="94" t="s">
        <v>82</v>
      </c>
    </row>
    <row r="2766" spans="1:26" s="25" customFormat="1" ht="6.95" customHeight="1" x14ac:dyDescent="0.3">
      <c r="A2766" s="13"/>
      <c r="B2766" s="168"/>
      <c r="C2766" s="169"/>
      <c r="D2766" s="160" t="s">
        <v>39</v>
      </c>
      <c r="E2766" s="161"/>
      <c r="F2766" s="162" t="s">
        <v>40</v>
      </c>
      <c r="G2766" s="163"/>
      <c r="H2766" s="164"/>
      <c r="I2766" s="163"/>
      <c r="J2766" s="164"/>
      <c r="K2766" s="163"/>
      <c r="L2766" s="164"/>
      <c r="M2766" s="11"/>
      <c r="N2766" s="39"/>
      <c r="Q2766" s="15" t="str">
        <f>+CONCATENATE(E2766,G2766)</f>
        <v/>
      </c>
      <c r="R2766" s="15">
        <f>+H2766</f>
        <v>0</v>
      </c>
      <c r="S2766" s="16"/>
      <c r="T2766" s="15">
        <f>+E2766</f>
        <v>0</v>
      </c>
      <c r="U2766" s="26" t="str">
        <f t="shared" ref="U2766" si="1505">IFERROR(LEFT(G2766,FIND("*",G2766)-1),"-")</f>
        <v>-</v>
      </c>
      <c r="V2766" s="26" t="str">
        <f t="shared" ref="V2766" si="1506">IFERROR(RIGHT(G2766,LEN(G2766)-FIND("*",G2766)),"-")</f>
        <v>-</v>
      </c>
      <c r="W2766" s="27" t="str">
        <f t="shared" si="1504"/>
        <v>-</v>
      </c>
      <c r="X2766" s="27" t="str">
        <f>IFERROR(W2766*H2766,"-")</f>
        <v>-</v>
      </c>
      <c r="Z2766" s="94" t="s">
        <v>82</v>
      </c>
    </row>
    <row r="2767" spans="1:26" s="25" customFormat="1" ht="6.95" customHeight="1" x14ac:dyDescent="0.3">
      <c r="A2767" s="10"/>
      <c r="B2767" s="168"/>
      <c r="C2767" s="169"/>
      <c r="D2767" s="160"/>
      <c r="E2767" s="161"/>
      <c r="F2767" s="162"/>
      <c r="G2767" s="163"/>
      <c r="H2767" s="164"/>
      <c r="I2767" s="163"/>
      <c r="J2767" s="164"/>
      <c r="K2767" s="163"/>
      <c r="L2767" s="164"/>
      <c r="M2767" s="11"/>
      <c r="N2767" s="39"/>
      <c r="Q2767" s="15" t="str">
        <f>+CONCATENATE(E2766,I2766)</f>
        <v/>
      </c>
      <c r="R2767" s="15">
        <f>+J2766</f>
        <v>0</v>
      </c>
      <c r="S2767" s="16"/>
      <c r="T2767" s="15">
        <f>+E2766</f>
        <v>0</v>
      </c>
      <c r="U2767" s="26" t="str">
        <f>IFERROR(LEFT(I2766,FIND("*",I2766)-1),"-")</f>
        <v>-</v>
      </c>
      <c r="V2767" s="26" t="str">
        <f>IFERROR(RIGHT(I2766,LEN(I2766)-FIND("*",I2766)),"-")</f>
        <v>-</v>
      </c>
      <c r="W2767" s="27" t="str">
        <f t="shared" si="1504"/>
        <v>-</v>
      </c>
      <c r="X2767" s="27" t="str">
        <f>IFERROR(W2767*J2766,"-")</f>
        <v>-</v>
      </c>
      <c r="Z2767" s="94" t="s">
        <v>82</v>
      </c>
    </row>
    <row r="2768" spans="1:26" s="25" customFormat="1" ht="6.95" customHeight="1" x14ac:dyDescent="0.3">
      <c r="A2768" s="10"/>
      <c r="B2768" s="168"/>
      <c r="C2768" s="169"/>
      <c r="D2768" s="160"/>
      <c r="E2768" s="161"/>
      <c r="F2768" s="162"/>
      <c r="G2768" s="163"/>
      <c r="H2768" s="164"/>
      <c r="I2768" s="163"/>
      <c r="J2768" s="164"/>
      <c r="K2768" s="163"/>
      <c r="L2768" s="164"/>
      <c r="M2768" s="11"/>
      <c r="N2768" s="39"/>
      <c r="Q2768" s="15" t="str">
        <f>+CONCATENATE(E2766,K2766)</f>
        <v/>
      </c>
      <c r="R2768" s="15">
        <f>+L2766</f>
        <v>0</v>
      </c>
      <c r="S2768" s="16"/>
      <c r="T2768" s="15">
        <f>+E2766</f>
        <v>0</v>
      </c>
      <c r="U2768" s="26" t="str">
        <f>IFERROR(LEFT(K2766,FIND("*",K2766)-1),"-")</f>
        <v>-</v>
      </c>
      <c r="V2768" s="26" t="str">
        <f>IFERROR(RIGHT(K2766,LEN(K2766)-FIND("*",K2766)),"-")</f>
        <v>-</v>
      </c>
      <c r="W2768" s="27" t="str">
        <f t="shared" si="1504"/>
        <v>-</v>
      </c>
      <c r="X2768" s="27" t="str">
        <f>IFERROR(W2768*L2766,"-")</f>
        <v>-</v>
      </c>
      <c r="Z2768" s="94" t="s">
        <v>82</v>
      </c>
    </row>
    <row r="2769" spans="1:26" s="25" customFormat="1" ht="6.95" customHeight="1" x14ac:dyDescent="0.3">
      <c r="A2769" s="13"/>
      <c r="B2769" s="168"/>
      <c r="C2769" s="169"/>
      <c r="D2769" s="160" t="s">
        <v>39</v>
      </c>
      <c r="E2769" s="161"/>
      <c r="F2769" s="162" t="s">
        <v>40</v>
      </c>
      <c r="G2769" s="163"/>
      <c r="H2769" s="164"/>
      <c r="I2769" s="163"/>
      <c r="J2769" s="164"/>
      <c r="K2769" s="163"/>
      <c r="L2769" s="164"/>
      <c r="M2769" s="11"/>
      <c r="N2769" s="39"/>
      <c r="Q2769" s="15" t="str">
        <f>+CONCATENATE(E2769,G2769)</f>
        <v/>
      </c>
      <c r="R2769" s="15">
        <f>+H2769</f>
        <v>0</v>
      </c>
      <c r="S2769" s="16"/>
      <c r="T2769" s="15">
        <f>+E2769</f>
        <v>0</v>
      </c>
      <c r="U2769" s="26" t="str">
        <f t="shared" ref="U2769" si="1507">IFERROR(LEFT(G2769,FIND("*",G2769)-1),"-")</f>
        <v>-</v>
      </c>
      <c r="V2769" s="26" t="str">
        <f t="shared" ref="V2769" si="1508">IFERROR(RIGHT(G2769,LEN(G2769)-FIND("*",G2769)),"-")</f>
        <v>-</v>
      </c>
      <c r="W2769" s="27" t="str">
        <f t="shared" si="1504"/>
        <v>-</v>
      </c>
      <c r="X2769" s="27" t="str">
        <f>IFERROR(W2769*H2769,"-")</f>
        <v>-</v>
      </c>
      <c r="Z2769" s="94" t="s">
        <v>82</v>
      </c>
    </row>
    <row r="2770" spans="1:26" s="25" customFormat="1" ht="6.95" customHeight="1" x14ac:dyDescent="0.3">
      <c r="A2770" s="10"/>
      <c r="B2770" s="168"/>
      <c r="C2770" s="169"/>
      <c r="D2770" s="160"/>
      <c r="E2770" s="161"/>
      <c r="F2770" s="162"/>
      <c r="G2770" s="163"/>
      <c r="H2770" s="164"/>
      <c r="I2770" s="163"/>
      <c r="J2770" s="164"/>
      <c r="K2770" s="163"/>
      <c r="L2770" s="164"/>
      <c r="M2770" s="11"/>
      <c r="N2770" s="39"/>
      <c r="Q2770" s="15" t="str">
        <f>+CONCATENATE(E2769,I2769)</f>
        <v/>
      </c>
      <c r="R2770" s="15">
        <f>+J2769</f>
        <v>0</v>
      </c>
      <c r="S2770" s="16"/>
      <c r="T2770" s="15">
        <f>+E2769</f>
        <v>0</v>
      </c>
      <c r="U2770" s="26" t="str">
        <f>IFERROR(LEFT(I2769,FIND("*",I2769)-1),"-")</f>
        <v>-</v>
      </c>
      <c r="V2770" s="26" t="str">
        <f>IFERROR(RIGHT(I2769,LEN(I2769)-FIND("*",I2769)),"-")</f>
        <v>-</v>
      </c>
      <c r="W2770" s="27" t="str">
        <f t="shared" si="1504"/>
        <v>-</v>
      </c>
      <c r="X2770" s="27" t="str">
        <f t="shared" ref="X2770" si="1509">IFERROR(W2770*J2769,"-")</f>
        <v>-</v>
      </c>
      <c r="Z2770" s="94" t="s">
        <v>82</v>
      </c>
    </row>
    <row r="2771" spans="1:26" s="25" customFormat="1" ht="6.95" customHeight="1" x14ac:dyDescent="0.3">
      <c r="A2771" s="10"/>
      <c r="B2771" s="168"/>
      <c r="C2771" s="169"/>
      <c r="D2771" s="160"/>
      <c r="E2771" s="161"/>
      <c r="F2771" s="162"/>
      <c r="G2771" s="163"/>
      <c r="H2771" s="164"/>
      <c r="I2771" s="163"/>
      <c r="J2771" s="164"/>
      <c r="K2771" s="163"/>
      <c r="L2771" s="164"/>
      <c r="M2771" s="11"/>
      <c r="N2771" s="39"/>
      <c r="Q2771" s="15" t="str">
        <f>+CONCATENATE(E2769,K2769)</f>
        <v/>
      </c>
      <c r="R2771" s="15">
        <f>+L2769</f>
        <v>0</v>
      </c>
      <c r="S2771" s="16"/>
      <c r="T2771" s="15">
        <f>+E2769</f>
        <v>0</v>
      </c>
      <c r="U2771" s="26" t="str">
        <f>IFERROR(LEFT(K2769,FIND("*",K2769)-1),"-")</f>
        <v>-</v>
      </c>
      <c r="V2771" s="26" t="str">
        <f>IFERROR(RIGHT(K2769,LEN(K2769)-FIND("*",K2769)),"-")</f>
        <v>-</v>
      </c>
      <c r="W2771" s="27" t="str">
        <f t="shared" si="1504"/>
        <v>-</v>
      </c>
      <c r="X2771" s="27" t="str">
        <f>IFERROR(W2771*L2769,"-")</f>
        <v>-</v>
      </c>
      <c r="Z2771" s="94" t="s">
        <v>82</v>
      </c>
    </row>
    <row r="2772" spans="1:26" s="25" customFormat="1" ht="21" customHeight="1" thickBot="1" x14ac:dyDescent="0.35">
      <c r="A2772" s="10"/>
      <c r="B2772" s="170"/>
      <c r="C2772" s="171"/>
      <c r="D2772" s="172" t="s">
        <v>43</v>
      </c>
      <c r="E2772" s="173"/>
      <c r="F2772" s="173"/>
      <c r="G2772" s="174"/>
      <c r="H2772" s="174"/>
      <c r="I2772" s="174"/>
      <c r="J2772" s="174"/>
      <c r="K2772" s="174"/>
      <c r="L2772" s="174"/>
      <c r="M2772" s="12"/>
      <c r="N2772" s="39"/>
      <c r="U2772" s="23"/>
      <c r="V2772" s="23"/>
      <c r="Z2772" s="95" t="s">
        <v>81</v>
      </c>
    </row>
    <row r="2773" spans="1:26" s="25" customFormat="1" ht="9.9499999999999993" customHeight="1" thickBot="1" x14ac:dyDescent="0.35">
      <c r="A2773" s="6"/>
      <c r="B2773" s="14"/>
      <c r="C2773" s="119"/>
      <c r="D2773" s="58"/>
      <c r="E2773" s="17"/>
      <c r="F2773" s="58"/>
      <c r="G2773" s="19"/>
      <c r="H2773" s="19"/>
      <c r="I2773" s="19"/>
      <c r="J2773" s="19"/>
      <c r="K2773" s="19"/>
      <c r="L2773" s="19"/>
      <c r="M2773" s="14"/>
      <c r="N2773" s="39"/>
      <c r="Q2773" s="1"/>
      <c r="R2773" s="1"/>
      <c r="S2773" s="1"/>
      <c r="T2773" s="1"/>
      <c r="U2773" s="24"/>
      <c r="V2773" s="24"/>
      <c r="W2773" s="1"/>
      <c r="X2773" s="1"/>
      <c r="Z2773" s="94" t="s">
        <v>82</v>
      </c>
    </row>
    <row r="2774" spans="1:26" s="25" customFormat="1" ht="6.95" customHeight="1" x14ac:dyDescent="0.3">
      <c r="A2774" s="165">
        <f>+A2763+1</f>
        <v>253</v>
      </c>
      <c r="B2774" s="166"/>
      <c r="C2774" s="167"/>
      <c r="D2774" s="160" t="s">
        <v>39</v>
      </c>
      <c r="E2774" s="161"/>
      <c r="F2774" s="162" t="s">
        <v>40</v>
      </c>
      <c r="G2774" s="163"/>
      <c r="H2774" s="164"/>
      <c r="I2774" s="163"/>
      <c r="J2774" s="164"/>
      <c r="K2774" s="163"/>
      <c r="L2774" s="164"/>
      <c r="M2774" s="11"/>
      <c r="N2774" s="39"/>
      <c r="Q2774" s="15" t="str">
        <f>+CONCATENATE(E2774,G2774)</f>
        <v/>
      </c>
      <c r="R2774" s="15">
        <f>+H2774</f>
        <v>0</v>
      </c>
      <c r="S2774" s="16"/>
      <c r="T2774" s="15">
        <f>+E2774</f>
        <v>0</v>
      </c>
      <c r="U2774" s="26" t="str">
        <f>IFERROR(LEFT(G2774,FIND("*",G2774)-1),"-")</f>
        <v>-</v>
      </c>
      <c r="V2774" s="26" t="str">
        <f>IFERROR(RIGHT(G2774,LEN(G2774)-FIND("*",G2774)),"-")</f>
        <v>-</v>
      </c>
      <c r="W2774" s="27" t="str">
        <f>IFERROR((U2774+V2774)*2/1000,"-")</f>
        <v>-</v>
      </c>
      <c r="X2774" s="27" t="str">
        <f>IFERROR(W2774*H2774,"-")</f>
        <v>-</v>
      </c>
      <c r="Z2774" s="94" t="s">
        <v>82</v>
      </c>
    </row>
    <row r="2775" spans="1:26" s="25" customFormat="1" ht="6.95" customHeight="1" x14ac:dyDescent="0.3">
      <c r="A2775" s="165"/>
      <c r="B2775" s="168"/>
      <c r="C2775" s="169"/>
      <c r="D2775" s="160"/>
      <c r="E2775" s="161"/>
      <c r="F2775" s="162"/>
      <c r="G2775" s="163"/>
      <c r="H2775" s="164"/>
      <c r="I2775" s="163"/>
      <c r="J2775" s="164"/>
      <c r="K2775" s="163"/>
      <c r="L2775" s="164"/>
      <c r="M2775" s="11"/>
      <c r="N2775" s="39"/>
      <c r="Q2775" s="15" t="str">
        <f>+CONCATENATE(E2774,I2774)</f>
        <v/>
      </c>
      <c r="R2775" s="15">
        <f>+J2774</f>
        <v>0</v>
      </c>
      <c r="S2775" s="16"/>
      <c r="T2775" s="15">
        <f>+E2774</f>
        <v>0</v>
      </c>
      <c r="U2775" s="26" t="str">
        <f>IFERROR(LEFT(I2774,FIND("*",I2774)-1),"-")</f>
        <v>-</v>
      </c>
      <c r="V2775" s="26" t="str">
        <f>IFERROR(RIGHT(I2774,LEN(I2774)-FIND("*",I2774)),"-")</f>
        <v>-</v>
      </c>
      <c r="W2775" s="27" t="str">
        <f t="shared" ref="W2775:W2782" si="1510">IFERROR((U2775+V2775)*2/1000,"-")</f>
        <v>-</v>
      </c>
      <c r="X2775" s="27" t="str">
        <f>IFERROR(W2775*J2774,"-")</f>
        <v>-</v>
      </c>
      <c r="Z2775" s="94" t="s">
        <v>82</v>
      </c>
    </row>
    <row r="2776" spans="1:26" s="25" customFormat="1" ht="6.95" customHeight="1" x14ac:dyDescent="0.3">
      <c r="A2776" s="165"/>
      <c r="B2776" s="168"/>
      <c r="C2776" s="169"/>
      <c r="D2776" s="160"/>
      <c r="E2776" s="161"/>
      <c r="F2776" s="162"/>
      <c r="G2776" s="163"/>
      <c r="H2776" s="164"/>
      <c r="I2776" s="163"/>
      <c r="J2776" s="164"/>
      <c r="K2776" s="163"/>
      <c r="L2776" s="164"/>
      <c r="M2776" s="11"/>
      <c r="N2776" s="39"/>
      <c r="Q2776" s="15" t="str">
        <f>+CONCATENATE(E2774,K2774)</f>
        <v/>
      </c>
      <c r="R2776" s="15">
        <f>+L2774</f>
        <v>0</v>
      </c>
      <c r="S2776" s="16"/>
      <c r="T2776" s="15">
        <f>+E2774</f>
        <v>0</v>
      </c>
      <c r="U2776" s="26" t="str">
        <f>IFERROR(LEFT(K2774,FIND("*",K2774)-1),"-")</f>
        <v>-</v>
      </c>
      <c r="V2776" s="26" t="str">
        <f>IFERROR(RIGHT(K2774,LEN(K2774)-FIND("*",K2774)),"-")</f>
        <v>-</v>
      </c>
      <c r="W2776" s="27" t="str">
        <f t="shared" si="1510"/>
        <v>-</v>
      </c>
      <c r="X2776" s="27" t="str">
        <f>IFERROR(W2776*L2774,"-")</f>
        <v>-</v>
      </c>
      <c r="Z2776" s="94" t="s">
        <v>82</v>
      </c>
    </row>
    <row r="2777" spans="1:26" s="25" customFormat="1" ht="6.95" customHeight="1" x14ac:dyDescent="0.3">
      <c r="A2777" s="13"/>
      <c r="B2777" s="168"/>
      <c r="C2777" s="169"/>
      <c r="D2777" s="160" t="s">
        <v>39</v>
      </c>
      <c r="E2777" s="161"/>
      <c r="F2777" s="162" t="s">
        <v>40</v>
      </c>
      <c r="G2777" s="163"/>
      <c r="H2777" s="164"/>
      <c r="I2777" s="163"/>
      <c r="J2777" s="164"/>
      <c r="K2777" s="163"/>
      <c r="L2777" s="164"/>
      <c r="M2777" s="11"/>
      <c r="N2777" s="39"/>
      <c r="Q2777" s="15" t="str">
        <f>+CONCATENATE(E2777,G2777)</f>
        <v/>
      </c>
      <c r="R2777" s="15">
        <f>+H2777</f>
        <v>0</v>
      </c>
      <c r="S2777" s="16"/>
      <c r="T2777" s="15">
        <f>+E2777</f>
        <v>0</v>
      </c>
      <c r="U2777" s="26" t="str">
        <f t="shared" ref="U2777" si="1511">IFERROR(LEFT(G2777,FIND("*",G2777)-1),"-")</f>
        <v>-</v>
      </c>
      <c r="V2777" s="26" t="str">
        <f t="shared" ref="V2777" si="1512">IFERROR(RIGHT(G2777,LEN(G2777)-FIND("*",G2777)),"-")</f>
        <v>-</v>
      </c>
      <c r="W2777" s="27" t="str">
        <f t="shared" si="1510"/>
        <v>-</v>
      </c>
      <c r="X2777" s="27" t="str">
        <f>IFERROR(W2777*H2777,"-")</f>
        <v>-</v>
      </c>
      <c r="Z2777" s="94" t="s">
        <v>82</v>
      </c>
    </row>
    <row r="2778" spans="1:26" s="25" customFormat="1" ht="6.95" customHeight="1" x14ac:dyDescent="0.3">
      <c r="A2778" s="10"/>
      <c r="B2778" s="168"/>
      <c r="C2778" s="169"/>
      <c r="D2778" s="160"/>
      <c r="E2778" s="161"/>
      <c r="F2778" s="162"/>
      <c r="G2778" s="163"/>
      <c r="H2778" s="164"/>
      <c r="I2778" s="163"/>
      <c r="J2778" s="164"/>
      <c r="K2778" s="163"/>
      <c r="L2778" s="164"/>
      <c r="M2778" s="11"/>
      <c r="N2778" s="39"/>
      <c r="Q2778" s="15" t="str">
        <f>+CONCATENATE(E2777,I2777)</f>
        <v/>
      </c>
      <c r="R2778" s="15">
        <f>+J2777</f>
        <v>0</v>
      </c>
      <c r="S2778" s="16"/>
      <c r="T2778" s="15">
        <f>+E2777</f>
        <v>0</v>
      </c>
      <c r="U2778" s="26" t="str">
        <f>IFERROR(LEFT(I2777,FIND("*",I2777)-1),"-")</f>
        <v>-</v>
      </c>
      <c r="V2778" s="26" t="str">
        <f>IFERROR(RIGHT(I2777,LEN(I2777)-FIND("*",I2777)),"-")</f>
        <v>-</v>
      </c>
      <c r="W2778" s="27" t="str">
        <f t="shared" si="1510"/>
        <v>-</v>
      </c>
      <c r="X2778" s="27" t="str">
        <f>IFERROR(W2778*J2777,"-")</f>
        <v>-</v>
      </c>
      <c r="Z2778" s="94" t="s">
        <v>82</v>
      </c>
    </row>
    <row r="2779" spans="1:26" s="25" customFormat="1" ht="6.95" customHeight="1" x14ac:dyDescent="0.3">
      <c r="A2779" s="10"/>
      <c r="B2779" s="168"/>
      <c r="C2779" s="169"/>
      <c r="D2779" s="160"/>
      <c r="E2779" s="161"/>
      <c r="F2779" s="162"/>
      <c r="G2779" s="163"/>
      <c r="H2779" s="164"/>
      <c r="I2779" s="163"/>
      <c r="J2779" s="164"/>
      <c r="K2779" s="163"/>
      <c r="L2779" s="164"/>
      <c r="M2779" s="11"/>
      <c r="N2779" s="39"/>
      <c r="Q2779" s="15" t="str">
        <f>+CONCATENATE(E2777,K2777)</f>
        <v/>
      </c>
      <c r="R2779" s="15">
        <f>+L2777</f>
        <v>0</v>
      </c>
      <c r="S2779" s="16"/>
      <c r="T2779" s="15">
        <f>+E2777</f>
        <v>0</v>
      </c>
      <c r="U2779" s="26" t="str">
        <f>IFERROR(LEFT(K2777,FIND("*",K2777)-1),"-")</f>
        <v>-</v>
      </c>
      <c r="V2779" s="26" t="str">
        <f>IFERROR(RIGHT(K2777,LEN(K2777)-FIND("*",K2777)),"-")</f>
        <v>-</v>
      </c>
      <c r="W2779" s="27" t="str">
        <f t="shared" si="1510"/>
        <v>-</v>
      </c>
      <c r="X2779" s="27" t="str">
        <f>IFERROR(W2779*L2777,"-")</f>
        <v>-</v>
      </c>
      <c r="Z2779" s="94" t="s">
        <v>82</v>
      </c>
    </row>
    <row r="2780" spans="1:26" s="25" customFormat="1" ht="6.95" customHeight="1" x14ac:dyDescent="0.3">
      <c r="A2780" s="13"/>
      <c r="B2780" s="168"/>
      <c r="C2780" s="169"/>
      <c r="D2780" s="160" t="s">
        <v>39</v>
      </c>
      <c r="E2780" s="161"/>
      <c r="F2780" s="162" t="s">
        <v>40</v>
      </c>
      <c r="G2780" s="163"/>
      <c r="H2780" s="164"/>
      <c r="I2780" s="163"/>
      <c r="J2780" s="164"/>
      <c r="K2780" s="163"/>
      <c r="L2780" s="164"/>
      <c r="M2780" s="11"/>
      <c r="N2780" s="39"/>
      <c r="Q2780" s="15" t="str">
        <f>+CONCATENATE(E2780,G2780)</f>
        <v/>
      </c>
      <c r="R2780" s="15">
        <f>+H2780</f>
        <v>0</v>
      </c>
      <c r="S2780" s="16"/>
      <c r="T2780" s="15">
        <f>+E2780</f>
        <v>0</v>
      </c>
      <c r="U2780" s="26" t="str">
        <f t="shared" ref="U2780" si="1513">IFERROR(LEFT(G2780,FIND("*",G2780)-1),"-")</f>
        <v>-</v>
      </c>
      <c r="V2780" s="26" t="str">
        <f t="shared" ref="V2780" si="1514">IFERROR(RIGHT(G2780,LEN(G2780)-FIND("*",G2780)),"-")</f>
        <v>-</v>
      </c>
      <c r="W2780" s="27" t="str">
        <f t="shared" si="1510"/>
        <v>-</v>
      </c>
      <c r="X2780" s="27" t="str">
        <f>IFERROR(W2780*H2780,"-")</f>
        <v>-</v>
      </c>
      <c r="Z2780" s="94" t="s">
        <v>82</v>
      </c>
    </row>
    <row r="2781" spans="1:26" s="25" customFormat="1" ht="6.95" customHeight="1" x14ac:dyDescent="0.3">
      <c r="A2781" s="10"/>
      <c r="B2781" s="168"/>
      <c r="C2781" s="169"/>
      <c r="D2781" s="160"/>
      <c r="E2781" s="161"/>
      <c r="F2781" s="162"/>
      <c r="G2781" s="163"/>
      <c r="H2781" s="164"/>
      <c r="I2781" s="163"/>
      <c r="J2781" s="164"/>
      <c r="K2781" s="163"/>
      <c r="L2781" s="164"/>
      <c r="M2781" s="11"/>
      <c r="N2781" s="39"/>
      <c r="Q2781" s="15" t="str">
        <f>+CONCATENATE(E2780,I2780)</f>
        <v/>
      </c>
      <c r="R2781" s="15">
        <f>+J2780</f>
        <v>0</v>
      </c>
      <c r="S2781" s="16"/>
      <c r="T2781" s="15">
        <f>+E2780</f>
        <v>0</v>
      </c>
      <c r="U2781" s="26" t="str">
        <f>IFERROR(LEFT(I2780,FIND("*",I2780)-1),"-")</f>
        <v>-</v>
      </c>
      <c r="V2781" s="26" t="str">
        <f>IFERROR(RIGHT(I2780,LEN(I2780)-FIND("*",I2780)),"-")</f>
        <v>-</v>
      </c>
      <c r="W2781" s="27" t="str">
        <f t="shared" si="1510"/>
        <v>-</v>
      </c>
      <c r="X2781" s="27" t="str">
        <f t="shared" ref="X2781" si="1515">IFERROR(W2781*J2780,"-")</f>
        <v>-</v>
      </c>
      <c r="Z2781" s="94" t="s">
        <v>82</v>
      </c>
    </row>
    <row r="2782" spans="1:26" s="25" customFormat="1" ht="6.95" customHeight="1" x14ac:dyDescent="0.3">
      <c r="A2782" s="10"/>
      <c r="B2782" s="168"/>
      <c r="C2782" s="169"/>
      <c r="D2782" s="160"/>
      <c r="E2782" s="161"/>
      <c r="F2782" s="162"/>
      <c r="G2782" s="163"/>
      <c r="H2782" s="164"/>
      <c r="I2782" s="163"/>
      <c r="J2782" s="164"/>
      <c r="K2782" s="163"/>
      <c r="L2782" s="164"/>
      <c r="M2782" s="11"/>
      <c r="N2782" s="39"/>
      <c r="Q2782" s="15" t="str">
        <f>+CONCATENATE(E2780,K2780)</f>
        <v/>
      </c>
      <c r="R2782" s="15">
        <f>+L2780</f>
        <v>0</v>
      </c>
      <c r="S2782" s="16"/>
      <c r="T2782" s="15">
        <f>+E2780</f>
        <v>0</v>
      </c>
      <c r="U2782" s="26" t="str">
        <f>IFERROR(LEFT(K2780,FIND("*",K2780)-1),"-")</f>
        <v>-</v>
      </c>
      <c r="V2782" s="26" t="str">
        <f>IFERROR(RIGHT(K2780,LEN(K2780)-FIND("*",K2780)),"-")</f>
        <v>-</v>
      </c>
      <c r="W2782" s="27" t="str">
        <f t="shared" si="1510"/>
        <v>-</v>
      </c>
      <c r="X2782" s="27" t="str">
        <f>IFERROR(W2782*L2780,"-")</f>
        <v>-</v>
      </c>
      <c r="Z2782" s="94" t="s">
        <v>82</v>
      </c>
    </row>
    <row r="2783" spans="1:26" s="25" customFormat="1" ht="21" customHeight="1" thickBot="1" x14ac:dyDescent="0.35">
      <c r="A2783" s="10"/>
      <c r="B2783" s="170"/>
      <c r="C2783" s="171"/>
      <c r="D2783" s="172" t="s">
        <v>43</v>
      </c>
      <c r="E2783" s="173"/>
      <c r="F2783" s="173"/>
      <c r="G2783" s="174"/>
      <c r="H2783" s="174"/>
      <c r="I2783" s="174"/>
      <c r="J2783" s="174"/>
      <c r="K2783" s="174"/>
      <c r="L2783" s="174"/>
      <c r="M2783" s="12"/>
      <c r="N2783" s="39"/>
      <c r="U2783" s="23"/>
      <c r="V2783" s="23"/>
      <c r="Z2783" s="95" t="s">
        <v>81</v>
      </c>
    </row>
    <row r="2784" spans="1:26" s="25" customFormat="1" ht="9.9499999999999993" customHeight="1" thickBot="1" x14ac:dyDescent="0.35">
      <c r="A2784" s="6"/>
      <c r="B2784" s="14"/>
      <c r="C2784" s="119"/>
      <c r="D2784" s="58"/>
      <c r="E2784" s="17"/>
      <c r="F2784" s="58"/>
      <c r="G2784" s="19"/>
      <c r="H2784" s="19"/>
      <c r="I2784" s="19"/>
      <c r="J2784" s="19"/>
      <c r="K2784" s="19"/>
      <c r="L2784" s="19"/>
      <c r="M2784" s="14"/>
      <c r="N2784" s="39"/>
      <c r="Q2784" s="1"/>
      <c r="R2784" s="1"/>
      <c r="S2784" s="1"/>
      <c r="T2784" s="1"/>
      <c r="U2784" s="24"/>
      <c r="V2784" s="24"/>
      <c r="W2784" s="1"/>
      <c r="X2784" s="1"/>
      <c r="Z2784" s="94" t="s">
        <v>82</v>
      </c>
    </row>
    <row r="2785" spans="1:26" s="25" customFormat="1" ht="6.95" customHeight="1" x14ac:dyDescent="0.3">
      <c r="A2785" s="165">
        <f>+A2774+1</f>
        <v>254</v>
      </c>
      <c r="B2785" s="166"/>
      <c r="C2785" s="167"/>
      <c r="D2785" s="160" t="s">
        <v>39</v>
      </c>
      <c r="E2785" s="161"/>
      <c r="F2785" s="162" t="s">
        <v>40</v>
      </c>
      <c r="G2785" s="163"/>
      <c r="H2785" s="164"/>
      <c r="I2785" s="163"/>
      <c r="J2785" s="164"/>
      <c r="K2785" s="163"/>
      <c r="L2785" s="164"/>
      <c r="M2785" s="11"/>
      <c r="N2785" s="39"/>
      <c r="Q2785" s="15" t="str">
        <f>+CONCATENATE(E2785,G2785)</f>
        <v/>
      </c>
      <c r="R2785" s="15">
        <f>+H2785</f>
        <v>0</v>
      </c>
      <c r="S2785" s="16"/>
      <c r="T2785" s="15">
        <f>+E2785</f>
        <v>0</v>
      </c>
      <c r="U2785" s="26" t="str">
        <f>IFERROR(LEFT(G2785,FIND("*",G2785)-1),"-")</f>
        <v>-</v>
      </c>
      <c r="V2785" s="26" t="str">
        <f>IFERROR(RIGHT(G2785,LEN(G2785)-FIND("*",G2785)),"-")</f>
        <v>-</v>
      </c>
      <c r="W2785" s="27" t="str">
        <f>IFERROR((U2785+V2785)*2/1000,"-")</f>
        <v>-</v>
      </c>
      <c r="X2785" s="27" t="str">
        <f>IFERROR(W2785*H2785,"-")</f>
        <v>-</v>
      </c>
      <c r="Z2785" s="94" t="s">
        <v>82</v>
      </c>
    </row>
    <row r="2786" spans="1:26" s="25" customFormat="1" ht="6.95" customHeight="1" x14ac:dyDescent="0.3">
      <c r="A2786" s="165"/>
      <c r="B2786" s="168"/>
      <c r="C2786" s="169"/>
      <c r="D2786" s="160"/>
      <c r="E2786" s="161"/>
      <c r="F2786" s="162"/>
      <c r="G2786" s="163"/>
      <c r="H2786" s="164"/>
      <c r="I2786" s="163"/>
      <c r="J2786" s="164"/>
      <c r="K2786" s="163"/>
      <c r="L2786" s="164"/>
      <c r="M2786" s="11"/>
      <c r="N2786" s="39"/>
      <c r="Q2786" s="15" t="str">
        <f>+CONCATENATE(E2785,I2785)</f>
        <v/>
      </c>
      <c r="R2786" s="15">
        <f>+J2785</f>
        <v>0</v>
      </c>
      <c r="S2786" s="16"/>
      <c r="T2786" s="15">
        <f>+E2785</f>
        <v>0</v>
      </c>
      <c r="U2786" s="26" t="str">
        <f>IFERROR(LEFT(I2785,FIND("*",I2785)-1),"-")</f>
        <v>-</v>
      </c>
      <c r="V2786" s="26" t="str">
        <f>IFERROR(RIGHT(I2785,LEN(I2785)-FIND("*",I2785)),"-")</f>
        <v>-</v>
      </c>
      <c r="W2786" s="27" t="str">
        <f t="shared" ref="W2786:W2793" si="1516">IFERROR((U2786+V2786)*2/1000,"-")</f>
        <v>-</v>
      </c>
      <c r="X2786" s="27" t="str">
        <f>IFERROR(W2786*J2785,"-")</f>
        <v>-</v>
      </c>
      <c r="Z2786" s="94" t="s">
        <v>82</v>
      </c>
    </row>
    <row r="2787" spans="1:26" s="25" customFormat="1" ht="6.95" customHeight="1" x14ac:dyDescent="0.3">
      <c r="A2787" s="165"/>
      <c r="B2787" s="168"/>
      <c r="C2787" s="169"/>
      <c r="D2787" s="160"/>
      <c r="E2787" s="161"/>
      <c r="F2787" s="162"/>
      <c r="G2787" s="163"/>
      <c r="H2787" s="164"/>
      <c r="I2787" s="163"/>
      <c r="J2787" s="164"/>
      <c r="K2787" s="163"/>
      <c r="L2787" s="164"/>
      <c r="M2787" s="11"/>
      <c r="N2787" s="39"/>
      <c r="Q2787" s="15" t="str">
        <f>+CONCATENATE(E2785,K2785)</f>
        <v/>
      </c>
      <c r="R2787" s="15">
        <f>+L2785</f>
        <v>0</v>
      </c>
      <c r="S2787" s="16"/>
      <c r="T2787" s="15">
        <f>+E2785</f>
        <v>0</v>
      </c>
      <c r="U2787" s="26" t="str">
        <f>IFERROR(LEFT(K2785,FIND("*",K2785)-1),"-")</f>
        <v>-</v>
      </c>
      <c r="V2787" s="26" t="str">
        <f>IFERROR(RIGHT(K2785,LEN(K2785)-FIND("*",K2785)),"-")</f>
        <v>-</v>
      </c>
      <c r="W2787" s="27" t="str">
        <f t="shared" si="1516"/>
        <v>-</v>
      </c>
      <c r="X2787" s="27" t="str">
        <f>IFERROR(W2787*L2785,"-")</f>
        <v>-</v>
      </c>
      <c r="Z2787" s="94" t="s">
        <v>82</v>
      </c>
    </row>
    <row r="2788" spans="1:26" s="25" customFormat="1" ht="6.95" customHeight="1" x14ac:dyDescent="0.3">
      <c r="A2788" s="13"/>
      <c r="B2788" s="168"/>
      <c r="C2788" s="169"/>
      <c r="D2788" s="160" t="s">
        <v>39</v>
      </c>
      <c r="E2788" s="161"/>
      <c r="F2788" s="162" t="s">
        <v>40</v>
      </c>
      <c r="G2788" s="163"/>
      <c r="H2788" s="164"/>
      <c r="I2788" s="163"/>
      <c r="J2788" s="164"/>
      <c r="K2788" s="163"/>
      <c r="L2788" s="164"/>
      <c r="M2788" s="11"/>
      <c r="N2788" s="39"/>
      <c r="Q2788" s="15" t="str">
        <f>+CONCATENATE(E2788,G2788)</f>
        <v/>
      </c>
      <c r="R2788" s="15">
        <f>+H2788</f>
        <v>0</v>
      </c>
      <c r="S2788" s="16"/>
      <c r="T2788" s="15">
        <f>+E2788</f>
        <v>0</v>
      </c>
      <c r="U2788" s="26" t="str">
        <f t="shared" ref="U2788" si="1517">IFERROR(LEFT(G2788,FIND("*",G2788)-1),"-")</f>
        <v>-</v>
      </c>
      <c r="V2788" s="26" t="str">
        <f t="shared" ref="V2788" si="1518">IFERROR(RIGHT(G2788,LEN(G2788)-FIND("*",G2788)),"-")</f>
        <v>-</v>
      </c>
      <c r="W2788" s="27" t="str">
        <f t="shared" si="1516"/>
        <v>-</v>
      </c>
      <c r="X2788" s="27" t="str">
        <f>IFERROR(W2788*H2788,"-")</f>
        <v>-</v>
      </c>
      <c r="Z2788" s="94" t="s">
        <v>82</v>
      </c>
    </row>
    <row r="2789" spans="1:26" s="25" customFormat="1" ht="6.95" customHeight="1" x14ac:dyDescent="0.3">
      <c r="A2789" s="10"/>
      <c r="B2789" s="168"/>
      <c r="C2789" s="169"/>
      <c r="D2789" s="160"/>
      <c r="E2789" s="161"/>
      <c r="F2789" s="162"/>
      <c r="G2789" s="163"/>
      <c r="H2789" s="164"/>
      <c r="I2789" s="163"/>
      <c r="J2789" s="164"/>
      <c r="K2789" s="163"/>
      <c r="L2789" s="164"/>
      <c r="M2789" s="11"/>
      <c r="N2789" s="39"/>
      <c r="Q2789" s="15" t="str">
        <f>+CONCATENATE(E2788,I2788)</f>
        <v/>
      </c>
      <c r="R2789" s="15">
        <f>+J2788</f>
        <v>0</v>
      </c>
      <c r="S2789" s="16"/>
      <c r="T2789" s="15">
        <f>+E2788</f>
        <v>0</v>
      </c>
      <c r="U2789" s="26" t="str">
        <f>IFERROR(LEFT(I2788,FIND("*",I2788)-1),"-")</f>
        <v>-</v>
      </c>
      <c r="V2789" s="26" t="str">
        <f>IFERROR(RIGHT(I2788,LEN(I2788)-FIND("*",I2788)),"-")</f>
        <v>-</v>
      </c>
      <c r="W2789" s="27" t="str">
        <f t="shared" si="1516"/>
        <v>-</v>
      </c>
      <c r="X2789" s="27" t="str">
        <f>IFERROR(W2789*J2788,"-")</f>
        <v>-</v>
      </c>
      <c r="Z2789" s="94" t="s">
        <v>82</v>
      </c>
    </row>
    <row r="2790" spans="1:26" s="25" customFormat="1" ht="6.95" customHeight="1" x14ac:dyDescent="0.3">
      <c r="A2790" s="10"/>
      <c r="B2790" s="168"/>
      <c r="C2790" s="169"/>
      <c r="D2790" s="160"/>
      <c r="E2790" s="161"/>
      <c r="F2790" s="162"/>
      <c r="G2790" s="163"/>
      <c r="H2790" s="164"/>
      <c r="I2790" s="163"/>
      <c r="J2790" s="164"/>
      <c r="K2790" s="163"/>
      <c r="L2790" s="164"/>
      <c r="M2790" s="11"/>
      <c r="N2790" s="39"/>
      <c r="Q2790" s="15" t="str">
        <f>+CONCATENATE(E2788,K2788)</f>
        <v/>
      </c>
      <c r="R2790" s="15">
        <f>+L2788</f>
        <v>0</v>
      </c>
      <c r="S2790" s="16"/>
      <c r="T2790" s="15">
        <f>+E2788</f>
        <v>0</v>
      </c>
      <c r="U2790" s="26" t="str">
        <f>IFERROR(LEFT(K2788,FIND("*",K2788)-1),"-")</f>
        <v>-</v>
      </c>
      <c r="V2790" s="26" t="str">
        <f>IFERROR(RIGHT(K2788,LEN(K2788)-FIND("*",K2788)),"-")</f>
        <v>-</v>
      </c>
      <c r="W2790" s="27" t="str">
        <f t="shared" si="1516"/>
        <v>-</v>
      </c>
      <c r="X2790" s="27" t="str">
        <f>IFERROR(W2790*L2788,"-")</f>
        <v>-</v>
      </c>
      <c r="Z2790" s="94" t="s">
        <v>82</v>
      </c>
    </row>
    <row r="2791" spans="1:26" s="25" customFormat="1" ht="6.95" customHeight="1" x14ac:dyDescent="0.3">
      <c r="A2791" s="13"/>
      <c r="B2791" s="168"/>
      <c r="C2791" s="169"/>
      <c r="D2791" s="160" t="s">
        <v>39</v>
      </c>
      <c r="E2791" s="161"/>
      <c r="F2791" s="162" t="s">
        <v>40</v>
      </c>
      <c r="G2791" s="163"/>
      <c r="H2791" s="164"/>
      <c r="I2791" s="163"/>
      <c r="J2791" s="164"/>
      <c r="K2791" s="163"/>
      <c r="L2791" s="164"/>
      <c r="M2791" s="11"/>
      <c r="N2791" s="39"/>
      <c r="Q2791" s="15" t="str">
        <f>+CONCATENATE(E2791,G2791)</f>
        <v/>
      </c>
      <c r="R2791" s="15">
        <f>+H2791</f>
        <v>0</v>
      </c>
      <c r="S2791" s="16"/>
      <c r="T2791" s="15">
        <f>+E2791</f>
        <v>0</v>
      </c>
      <c r="U2791" s="26" t="str">
        <f t="shared" ref="U2791" si="1519">IFERROR(LEFT(G2791,FIND("*",G2791)-1),"-")</f>
        <v>-</v>
      </c>
      <c r="V2791" s="26" t="str">
        <f t="shared" ref="V2791" si="1520">IFERROR(RIGHT(G2791,LEN(G2791)-FIND("*",G2791)),"-")</f>
        <v>-</v>
      </c>
      <c r="W2791" s="27" t="str">
        <f t="shared" si="1516"/>
        <v>-</v>
      </c>
      <c r="X2791" s="27" t="str">
        <f>IFERROR(W2791*H2791,"-")</f>
        <v>-</v>
      </c>
      <c r="Z2791" s="94" t="s">
        <v>82</v>
      </c>
    </row>
    <row r="2792" spans="1:26" s="25" customFormat="1" ht="6.95" customHeight="1" x14ac:dyDescent="0.3">
      <c r="A2792" s="10"/>
      <c r="B2792" s="168"/>
      <c r="C2792" s="169"/>
      <c r="D2792" s="160"/>
      <c r="E2792" s="161"/>
      <c r="F2792" s="162"/>
      <c r="G2792" s="163"/>
      <c r="H2792" s="164"/>
      <c r="I2792" s="163"/>
      <c r="J2792" s="164"/>
      <c r="K2792" s="163"/>
      <c r="L2792" s="164"/>
      <c r="M2792" s="11"/>
      <c r="N2792" s="39"/>
      <c r="Q2792" s="15" t="str">
        <f>+CONCATENATE(E2791,I2791)</f>
        <v/>
      </c>
      <c r="R2792" s="15">
        <f>+J2791</f>
        <v>0</v>
      </c>
      <c r="S2792" s="16"/>
      <c r="T2792" s="15">
        <f>+E2791</f>
        <v>0</v>
      </c>
      <c r="U2792" s="26" t="str">
        <f>IFERROR(LEFT(I2791,FIND("*",I2791)-1),"-")</f>
        <v>-</v>
      </c>
      <c r="V2792" s="26" t="str">
        <f>IFERROR(RIGHT(I2791,LEN(I2791)-FIND("*",I2791)),"-")</f>
        <v>-</v>
      </c>
      <c r="W2792" s="27" t="str">
        <f t="shared" si="1516"/>
        <v>-</v>
      </c>
      <c r="X2792" s="27" t="str">
        <f t="shared" ref="X2792" si="1521">IFERROR(W2792*J2791,"-")</f>
        <v>-</v>
      </c>
      <c r="Z2792" s="94" t="s">
        <v>82</v>
      </c>
    </row>
    <row r="2793" spans="1:26" s="25" customFormat="1" ht="6.95" customHeight="1" x14ac:dyDescent="0.3">
      <c r="A2793" s="10"/>
      <c r="B2793" s="168"/>
      <c r="C2793" s="169"/>
      <c r="D2793" s="160"/>
      <c r="E2793" s="161"/>
      <c r="F2793" s="162"/>
      <c r="G2793" s="163"/>
      <c r="H2793" s="164"/>
      <c r="I2793" s="163"/>
      <c r="J2793" s="164"/>
      <c r="K2793" s="163"/>
      <c r="L2793" s="164"/>
      <c r="M2793" s="11"/>
      <c r="N2793" s="39"/>
      <c r="Q2793" s="15" t="str">
        <f>+CONCATENATE(E2791,K2791)</f>
        <v/>
      </c>
      <c r="R2793" s="15">
        <f>+L2791</f>
        <v>0</v>
      </c>
      <c r="S2793" s="16"/>
      <c r="T2793" s="15">
        <f>+E2791</f>
        <v>0</v>
      </c>
      <c r="U2793" s="26" t="str">
        <f>IFERROR(LEFT(K2791,FIND("*",K2791)-1),"-")</f>
        <v>-</v>
      </c>
      <c r="V2793" s="26" t="str">
        <f>IFERROR(RIGHT(K2791,LEN(K2791)-FIND("*",K2791)),"-")</f>
        <v>-</v>
      </c>
      <c r="W2793" s="27" t="str">
        <f t="shared" si="1516"/>
        <v>-</v>
      </c>
      <c r="X2793" s="27" t="str">
        <f>IFERROR(W2793*L2791,"-")</f>
        <v>-</v>
      </c>
      <c r="Z2793" s="94" t="s">
        <v>82</v>
      </c>
    </row>
    <row r="2794" spans="1:26" s="25" customFormat="1" ht="21" customHeight="1" thickBot="1" x14ac:dyDescent="0.35">
      <c r="A2794" s="10"/>
      <c r="B2794" s="170"/>
      <c r="C2794" s="171"/>
      <c r="D2794" s="172" t="s">
        <v>43</v>
      </c>
      <c r="E2794" s="173"/>
      <c r="F2794" s="173"/>
      <c r="G2794" s="174"/>
      <c r="H2794" s="174"/>
      <c r="I2794" s="174"/>
      <c r="J2794" s="174"/>
      <c r="K2794" s="174"/>
      <c r="L2794" s="174"/>
      <c r="M2794" s="12"/>
      <c r="N2794" s="39"/>
      <c r="U2794" s="23"/>
      <c r="V2794" s="23"/>
      <c r="Z2794" s="95" t="s">
        <v>81</v>
      </c>
    </row>
    <row r="2795" spans="1:26" s="25" customFormat="1" ht="9.9499999999999993" customHeight="1" thickBot="1" x14ac:dyDescent="0.35">
      <c r="A2795" s="6"/>
      <c r="B2795" s="14"/>
      <c r="C2795" s="119"/>
      <c r="D2795" s="58"/>
      <c r="E2795" s="17"/>
      <c r="F2795" s="58"/>
      <c r="G2795" s="19"/>
      <c r="H2795" s="19"/>
      <c r="I2795" s="19"/>
      <c r="J2795" s="19"/>
      <c r="K2795" s="19"/>
      <c r="L2795" s="19"/>
      <c r="M2795" s="14"/>
      <c r="N2795" s="39"/>
      <c r="Q2795" s="1"/>
      <c r="R2795" s="1"/>
      <c r="S2795" s="1"/>
      <c r="T2795" s="1"/>
      <c r="U2795" s="24"/>
      <c r="V2795" s="24"/>
      <c r="W2795" s="1"/>
      <c r="X2795" s="1"/>
      <c r="Z2795" s="94" t="s">
        <v>82</v>
      </c>
    </row>
    <row r="2796" spans="1:26" s="25" customFormat="1" ht="6.95" customHeight="1" x14ac:dyDescent="0.3">
      <c r="A2796" s="165">
        <f>+A2785+1</f>
        <v>255</v>
      </c>
      <c r="B2796" s="166"/>
      <c r="C2796" s="167"/>
      <c r="D2796" s="160" t="s">
        <v>39</v>
      </c>
      <c r="E2796" s="161"/>
      <c r="F2796" s="162" t="s">
        <v>40</v>
      </c>
      <c r="G2796" s="163"/>
      <c r="H2796" s="164"/>
      <c r="I2796" s="163"/>
      <c r="J2796" s="164"/>
      <c r="K2796" s="163"/>
      <c r="L2796" s="164"/>
      <c r="M2796" s="11"/>
      <c r="N2796" s="39"/>
      <c r="Q2796" s="15" t="str">
        <f>+CONCATENATE(E2796,G2796)</f>
        <v/>
      </c>
      <c r="R2796" s="15">
        <f>+H2796</f>
        <v>0</v>
      </c>
      <c r="S2796" s="16"/>
      <c r="T2796" s="15">
        <f>+E2796</f>
        <v>0</v>
      </c>
      <c r="U2796" s="26" t="str">
        <f>IFERROR(LEFT(G2796,FIND("*",G2796)-1),"-")</f>
        <v>-</v>
      </c>
      <c r="V2796" s="26" t="str">
        <f>IFERROR(RIGHT(G2796,LEN(G2796)-FIND("*",G2796)),"-")</f>
        <v>-</v>
      </c>
      <c r="W2796" s="27" t="str">
        <f>IFERROR((U2796+V2796)*2/1000,"-")</f>
        <v>-</v>
      </c>
      <c r="X2796" s="27" t="str">
        <f>IFERROR(W2796*H2796,"-")</f>
        <v>-</v>
      </c>
      <c r="Z2796" s="94" t="s">
        <v>82</v>
      </c>
    </row>
    <row r="2797" spans="1:26" s="25" customFormat="1" ht="6.95" customHeight="1" x14ac:dyDescent="0.3">
      <c r="A2797" s="165"/>
      <c r="B2797" s="168"/>
      <c r="C2797" s="169"/>
      <c r="D2797" s="160"/>
      <c r="E2797" s="161"/>
      <c r="F2797" s="162"/>
      <c r="G2797" s="163"/>
      <c r="H2797" s="164"/>
      <c r="I2797" s="163"/>
      <c r="J2797" s="164"/>
      <c r="K2797" s="163"/>
      <c r="L2797" s="164"/>
      <c r="M2797" s="11"/>
      <c r="N2797" s="39"/>
      <c r="Q2797" s="15" t="str">
        <f>+CONCATENATE(E2796,I2796)</f>
        <v/>
      </c>
      <c r="R2797" s="15">
        <f>+J2796</f>
        <v>0</v>
      </c>
      <c r="S2797" s="16"/>
      <c r="T2797" s="15">
        <f>+E2796</f>
        <v>0</v>
      </c>
      <c r="U2797" s="26" t="str">
        <f>IFERROR(LEFT(I2796,FIND("*",I2796)-1),"-")</f>
        <v>-</v>
      </c>
      <c r="V2797" s="26" t="str">
        <f>IFERROR(RIGHT(I2796,LEN(I2796)-FIND("*",I2796)),"-")</f>
        <v>-</v>
      </c>
      <c r="W2797" s="27" t="str">
        <f t="shared" ref="W2797:W2804" si="1522">IFERROR((U2797+V2797)*2/1000,"-")</f>
        <v>-</v>
      </c>
      <c r="X2797" s="27" t="str">
        <f>IFERROR(W2797*J2796,"-")</f>
        <v>-</v>
      </c>
      <c r="Z2797" s="94" t="s">
        <v>82</v>
      </c>
    </row>
    <row r="2798" spans="1:26" s="25" customFormat="1" ht="6.95" customHeight="1" x14ac:dyDescent="0.3">
      <c r="A2798" s="165"/>
      <c r="B2798" s="168"/>
      <c r="C2798" s="169"/>
      <c r="D2798" s="160"/>
      <c r="E2798" s="161"/>
      <c r="F2798" s="162"/>
      <c r="G2798" s="163"/>
      <c r="H2798" s="164"/>
      <c r="I2798" s="163"/>
      <c r="J2798" s="164"/>
      <c r="K2798" s="163"/>
      <c r="L2798" s="164"/>
      <c r="M2798" s="11"/>
      <c r="N2798" s="39"/>
      <c r="Q2798" s="15" t="str">
        <f>+CONCATENATE(E2796,K2796)</f>
        <v/>
      </c>
      <c r="R2798" s="15">
        <f>+L2796</f>
        <v>0</v>
      </c>
      <c r="S2798" s="16"/>
      <c r="T2798" s="15">
        <f>+E2796</f>
        <v>0</v>
      </c>
      <c r="U2798" s="26" t="str">
        <f>IFERROR(LEFT(K2796,FIND("*",K2796)-1),"-")</f>
        <v>-</v>
      </c>
      <c r="V2798" s="26" t="str">
        <f>IFERROR(RIGHT(K2796,LEN(K2796)-FIND("*",K2796)),"-")</f>
        <v>-</v>
      </c>
      <c r="W2798" s="27" t="str">
        <f t="shared" si="1522"/>
        <v>-</v>
      </c>
      <c r="X2798" s="27" t="str">
        <f>IFERROR(W2798*L2796,"-")</f>
        <v>-</v>
      </c>
      <c r="Z2798" s="94" t="s">
        <v>82</v>
      </c>
    </row>
    <row r="2799" spans="1:26" s="25" customFormat="1" ht="6.95" customHeight="1" x14ac:dyDescent="0.3">
      <c r="A2799" s="13"/>
      <c r="B2799" s="168"/>
      <c r="C2799" s="169"/>
      <c r="D2799" s="160" t="s">
        <v>39</v>
      </c>
      <c r="E2799" s="161"/>
      <c r="F2799" s="162" t="s">
        <v>40</v>
      </c>
      <c r="G2799" s="163"/>
      <c r="H2799" s="164"/>
      <c r="I2799" s="163"/>
      <c r="J2799" s="164"/>
      <c r="K2799" s="163"/>
      <c r="L2799" s="164"/>
      <c r="M2799" s="11"/>
      <c r="N2799" s="39"/>
      <c r="Q2799" s="15" t="str">
        <f>+CONCATENATE(E2799,G2799)</f>
        <v/>
      </c>
      <c r="R2799" s="15">
        <f>+H2799</f>
        <v>0</v>
      </c>
      <c r="S2799" s="16"/>
      <c r="T2799" s="15">
        <f>+E2799</f>
        <v>0</v>
      </c>
      <c r="U2799" s="26" t="str">
        <f t="shared" ref="U2799" si="1523">IFERROR(LEFT(G2799,FIND("*",G2799)-1),"-")</f>
        <v>-</v>
      </c>
      <c r="V2799" s="26" t="str">
        <f t="shared" ref="V2799" si="1524">IFERROR(RIGHT(G2799,LEN(G2799)-FIND("*",G2799)),"-")</f>
        <v>-</v>
      </c>
      <c r="W2799" s="27" t="str">
        <f t="shared" si="1522"/>
        <v>-</v>
      </c>
      <c r="X2799" s="27" t="str">
        <f>IFERROR(W2799*H2799,"-")</f>
        <v>-</v>
      </c>
      <c r="Z2799" s="94" t="s">
        <v>82</v>
      </c>
    </row>
    <row r="2800" spans="1:26" s="25" customFormat="1" ht="6.95" customHeight="1" x14ac:dyDescent="0.3">
      <c r="A2800" s="10"/>
      <c r="B2800" s="168"/>
      <c r="C2800" s="169"/>
      <c r="D2800" s="160"/>
      <c r="E2800" s="161"/>
      <c r="F2800" s="162"/>
      <c r="G2800" s="163"/>
      <c r="H2800" s="164"/>
      <c r="I2800" s="163"/>
      <c r="J2800" s="164"/>
      <c r="K2800" s="163"/>
      <c r="L2800" s="164"/>
      <c r="M2800" s="11"/>
      <c r="N2800" s="39"/>
      <c r="Q2800" s="15" t="str">
        <f>+CONCATENATE(E2799,I2799)</f>
        <v/>
      </c>
      <c r="R2800" s="15">
        <f>+J2799</f>
        <v>0</v>
      </c>
      <c r="S2800" s="16"/>
      <c r="T2800" s="15">
        <f>+E2799</f>
        <v>0</v>
      </c>
      <c r="U2800" s="26" t="str">
        <f>IFERROR(LEFT(I2799,FIND("*",I2799)-1),"-")</f>
        <v>-</v>
      </c>
      <c r="V2800" s="26" t="str">
        <f>IFERROR(RIGHT(I2799,LEN(I2799)-FIND("*",I2799)),"-")</f>
        <v>-</v>
      </c>
      <c r="W2800" s="27" t="str">
        <f t="shared" si="1522"/>
        <v>-</v>
      </c>
      <c r="X2800" s="27" t="str">
        <f>IFERROR(W2800*J2799,"-")</f>
        <v>-</v>
      </c>
      <c r="Z2800" s="94" t="s">
        <v>82</v>
      </c>
    </row>
    <row r="2801" spans="1:26" s="25" customFormat="1" ht="6.95" customHeight="1" x14ac:dyDescent="0.3">
      <c r="A2801" s="10"/>
      <c r="B2801" s="168"/>
      <c r="C2801" s="169"/>
      <c r="D2801" s="160"/>
      <c r="E2801" s="161"/>
      <c r="F2801" s="162"/>
      <c r="G2801" s="163"/>
      <c r="H2801" s="164"/>
      <c r="I2801" s="163"/>
      <c r="J2801" s="164"/>
      <c r="K2801" s="163"/>
      <c r="L2801" s="164"/>
      <c r="M2801" s="11"/>
      <c r="N2801" s="39"/>
      <c r="Q2801" s="15" t="str">
        <f>+CONCATENATE(E2799,K2799)</f>
        <v/>
      </c>
      <c r="R2801" s="15">
        <f>+L2799</f>
        <v>0</v>
      </c>
      <c r="S2801" s="16"/>
      <c r="T2801" s="15">
        <f>+E2799</f>
        <v>0</v>
      </c>
      <c r="U2801" s="26" t="str">
        <f>IFERROR(LEFT(K2799,FIND("*",K2799)-1),"-")</f>
        <v>-</v>
      </c>
      <c r="V2801" s="26" t="str">
        <f>IFERROR(RIGHT(K2799,LEN(K2799)-FIND("*",K2799)),"-")</f>
        <v>-</v>
      </c>
      <c r="W2801" s="27" t="str">
        <f t="shared" si="1522"/>
        <v>-</v>
      </c>
      <c r="X2801" s="27" t="str">
        <f>IFERROR(W2801*L2799,"-")</f>
        <v>-</v>
      </c>
      <c r="Z2801" s="94" t="s">
        <v>82</v>
      </c>
    </row>
    <row r="2802" spans="1:26" s="25" customFormat="1" ht="6.95" customHeight="1" x14ac:dyDescent="0.3">
      <c r="A2802" s="13"/>
      <c r="B2802" s="168"/>
      <c r="C2802" s="169"/>
      <c r="D2802" s="160" t="s">
        <v>39</v>
      </c>
      <c r="E2802" s="161"/>
      <c r="F2802" s="162" t="s">
        <v>40</v>
      </c>
      <c r="G2802" s="163"/>
      <c r="H2802" s="164"/>
      <c r="I2802" s="163"/>
      <c r="J2802" s="164"/>
      <c r="K2802" s="163"/>
      <c r="L2802" s="164"/>
      <c r="M2802" s="11"/>
      <c r="N2802" s="39"/>
      <c r="Q2802" s="15" t="str">
        <f>+CONCATENATE(E2802,G2802)</f>
        <v/>
      </c>
      <c r="R2802" s="15">
        <f>+H2802</f>
        <v>0</v>
      </c>
      <c r="S2802" s="16"/>
      <c r="T2802" s="15">
        <f>+E2802</f>
        <v>0</v>
      </c>
      <c r="U2802" s="26" t="str">
        <f t="shared" ref="U2802" si="1525">IFERROR(LEFT(G2802,FIND("*",G2802)-1),"-")</f>
        <v>-</v>
      </c>
      <c r="V2802" s="26" t="str">
        <f t="shared" ref="V2802" si="1526">IFERROR(RIGHT(G2802,LEN(G2802)-FIND("*",G2802)),"-")</f>
        <v>-</v>
      </c>
      <c r="W2802" s="27" t="str">
        <f t="shared" si="1522"/>
        <v>-</v>
      </c>
      <c r="X2802" s="27" t="str">
        <f>IFERROR(W2802*H2802,"-")</f>
        <v>-</v>
      </c>
      <c r="Z2802" s="94" t="s">
        <v>82</v>
      </c>
    </row>
    <row r="2803" spans="1:26" s="25" customFormat="1" ht="6.95" customHeight="1" x14ac:dyDescent="0.3">
      <c r="A2803" s="10"/>
      <c r="B2803" s="168"/>
      <c r="C2803" s="169"/>
      <c r="D2803" s="160"/>
      <c r="E2803" s="161"/>
      <c r="F2803" s="162"/>
      <c r="G2803" s="163"/>
      <c r="H2803" s="164"/>
      <c r="I2803" s="163"/>
      <c r="J2803" s="164"/>
      <c r="K2803" s="163"/>
      <c r="L2803" s="164"/>
      <c r="M2803" s="11"/>
      <c r="N2803" s="39"/>
      <c r="Q2803" s="15" t="str">
        <f>+CONCATENATE(E2802,I2802)</f>
        <v/>
      </c>
      <c r="R2803" s="15">
        <f>+J2802</f>
        <v>0</v>
      </c>
      <c r="S2803" s="16"/>
      <c r="T2803" s="15">
        <f>+E2802</f>
        <v>0</v>
      </c>
      <c r="U2803" s="26" t="str">
        <f>IFERROR(LEFT(I2802,FIND("*",I2802)-1),"-")</f>
        <v>-</v>
      </c>
      <c r="V2803" s="26" t="str">
        <f>IFERROR(RIGHT(I2802,LEN(I2802)-FIND("*",I2802)),"-")</f>
        <v>-</v>
      </c>
      <c r="W2803" s="27" t="str">
        <f t="shared" si="1522"/>
        <v>-</v>
      </c>
      <c r="X2803" s="27" t="str">
        <f t="shared" ref="X2803" si="1527">IFERROR(W2803*J2802,"-")</f>
        <v>-</v>
      </c>
      <c r="Z2803" s="94" t="s">
        <v>82</v>
      </c>
    </row>
    <row r="2804" spans="1:26" s="25" customFormat="1" ht="6.95" customHeight="1" x14ac:dyDescent="0.3">
      <c r="A2804" s="10"/>
      <c r="B2804" s="168"/>
      <c r="C2804" s="169"/>
      <c r="D2804" s="160"/>
      <c r="E2804" s="161"/>
      <c r="F2804" s="162"/>
      <c r="G2804" s="163"/>
      <c r="H2804" s="164"/>
      <c r="I2804" s="163"/>
      <c r="J2804" s="164"/>
      <c r="K2804" s="163"/>
      <c r="L2804" s="164"/>
      <c r="M2804" s="11"/>
      <c r="N2804" s="39"/>
      <c r="Q2804" s="15" t="str">
        <f>+CONCATENATE(E2802,K2802)</f>
        <v/>
      </c>
      <c r="R2804" s="15">
        <f>+L2802</f>
        <v>0</v>
      </c>
      <c r="S2804" s="16"/>
      <c r="T2804" s="15">
        <f>+E2802</f>
        <v>0</v>
      </c>
      <c r="U2804" s="26" t="str">
        <f>IFERROR(LEFT(K2802,FIND("*",K2802)-1),"-")</f>
        <v>-</v>
      </c>
      <c r="V2804" s="26" t="str">
        <f>IFERROR(RIGHT(K2802,LEN(K2802)-FIND("*",K2802)),"-")</f>
        <v>-</v>
      </c>
      <c r="W2804" s="27" t="str">
        <f t="shared" si="1522"/>
        <v>-</v>
      </c>
      <c r="X2804" s="27" t="str">
        <f>IFERROR(W2804*L2802,"-")</f>
        <v>-</v>
      </c>
      <c r="Z2804" s="94" t="s">
        <v>82</v>
      </c>
    </row>
    <row r="2805" spans="1:26" s="25" customFormat="1" ht="21" customHeight="1" thickBot="1" x14ac:dyDescent="0.35">
      <c r="A2805" s="10"/>
      <c r="B2805" s="170"/>
      <c r="C2805" s="171"/>
      <c r="D2805" s="172" t="s">
        <v>43</v>
      </c>
      <c r="E2805" s="173"/>
      <c r="F2805" s="173"/>
      <c r="G2805" s="174"/>
      <c r="H2805" s="174"/>
      <c r="I2805" s="174"/>
      <c r="J2805" s="174"/>
      <c r="K2805" s="174"/>
      <c r="L2805" s="174"/>
      <c r="M2805" s="12"/>
      <c r="N2805" s="39"/>
      <c r="U2805" s="23"/>
      <c r="V2805" s="23"/>
      <c r="Z2805" s="95" t="s">
        <v>81</v>
      </c>
    </row>
    <row r="2806" spans="1:26" s="25" customFormat="1" ht="9.9499999999999993" customHeight="1" thickBot="1" x14ac:dyDescent="0.35">
      <c r="A2806" s="6"/>
      <c r="B2806" s="14"/>
      <c r="C2806" s="119"/>
      <c r="D2806" s="58"/>
      <c r="E2806" s="17"/>
      <c r="F2806" s="58"/>
      <c r="G2806" s="19"/>
      <c r="H2806" s="19"/>
      <c r="I2806" s="19"/>
      <c r="J2806" s="19"/>
      <c r="K2806" s="19"/>
      <c r="L2806" s="19"/>
      <c r="M2806" s="14"/>
      <c r="N2806" s="39"/>
      <c r="Q2806" s="1"/>
      <c r="R2806" s="1"/>
      <c r="S2806" s="1"/>
      <c r="T2806" s="1"/>
      <c r="U2806" s="24"/>
      <c r="V2806" s="24"/>
      <c r="W2806" s="1"/>
      <c r="X2806" s="1"/>
      <c r="Z2806" s="94" t="s">
        <v>82</v>
      </c>
    </row>
    <row r="2807" spans="1:26" s="25" customFormat="1" ht="6.95" customHeight="1" x14ac:dyDescent="0.3">
      <c r="A2807" s="165">
        <f>+A2796+1</f>
        <v>256</v>
      </c>
      <c r="B2807" s="166"/>
      <c r="C2807" s="167"/>
      <c r="D2807" s="160" t="s">
        <v>39</v>
      </c>
      <c r="E2807" s="161"/>
      <c r="F2807" s="162" t="s">
        <v>40</v>
      </c>
      <c r="G2807" s="163"/>
      <c r="H2807" s="164"/>
      <c r="I2807" s="163"/>
      <c r="J2807" s="164"/>
      <c r="K2807" s="163"/>
      <c r="L2807" s="164"/>
      <c r="M2807" s="11"/>
      <c r="N2807" s="39"/>
      <c r="Q2807" s="15" t="str">
        <f>+CONCATENATE(E2807,G2807)</f>
        <v/>
      </c>
      <c r="R2807" s="15">
        <f>+H2807</f>
        <v>0</v>
      </c>
      <c r="S2807" s="16"/>
      <c r="T2807" s="15">
        <f>+E2807</f>
        <v>0</v>
      </c>
      <c r="U2807" s="26" t="str">
        <f>IFERROR(LEFT(G2807,FIND("*",G2807)-1),"-")</f>
        <v>-</v>
      </c>
      <c r="V2807" s="26" t="str">
        <f>IFERROR(RIGHT(G2807,LEN(G2807)-FIND("*",G2807)),"-")</f>
        <v>-</v>
      </c>
      <c r="W2807" s="27" t="str">
        <f>IFERROR((U2807+V2807)*2/1000,"-")</f>
        <v>-</v>
      </c>
      <c r="X2807" s="27" t="str">
        <f>IFERROR(W2807*H2807,"-")</f>
        <v>-</v>
      </c>
      <c r="Z2807" s="94" t="s">
        <v>82</v>
      </c>
    </row>
    <row r="2808" spans="1:26" s="25" customFormat="1" ht="6.95" customHeight="1" x14ac:dyDescent="0.3">
      <c r="A2808" s="165"/>
      <c r="B2808" s="168"/>
      <c r="C2808" s="169"/>
      <c r="D2808" s="160"/>
      <c r="E2808" s="161"/>
      <c r="F2808" s="162"/>
      <c r="G2808" s="163"/>
      <c r="H2808" s="164"/>
      <c r="I2808" s="163"/>
      <c r="J2808" s="164"/>
      <c r="K2808" s="163"/>
      <c r="L2808" s="164"/>
      <c r="M2808" s="11"/>
      <c r="N2808" s="39"/>
      <c r="Q2808" s="15" t="str">
        <f>+CONCATENATE(E2807,I2807)</f>
        <v/>
      </c>
      <c r="R2808" s="15">
        <f>+J2807</f>
        <v>0</v>
      </c>
      <c r="S2808" s="16"/>
      <c r="T2808" s="15">
        <f>+E2807</f>
        <v>0</v>
      </c>
      <c r="U2808" s="26" t="str">
        <f>IFERROR(LEFT(I2807,FIND("*",I2807)-1),"-")</f>
        <v>-</v>
      </c>
      <c r="V2808" s="26" t="str">
        <f>IFERROR(RIGHT(I2807,LEN(I2807)-FIND("*",I2807)),"-")</f>
        <v>-</v>
      </c>
      <c r="W2808" s="27" t="str">
        <f t="shared" ref="W2808:W2815" si="1528">IFERROR((U2808+V2808)*2/1000,"-")</f>
        <v>-</v>
      </c>
      <c r="X2808" s="27" t="str">
        <f>IFERROR(W2808*J2807,"-")</f>
        <v>-</v>
      </c>
      <c r="Z2808" s="94" t="s">
        <v>82</v>
      </c>
    </row>
    <row r="2809" spans="1:26" s="25" customFormat="1" ht="6.95" customHeight="1" x14ac:dyDescent="0.3">
      <c r="A2809" s="165"/>
      <c r="B2809" s="168"/>
      <c r="C2809" s="169"/>
      <c r="D2809" s="160"/>
      <c r="E2809" s="161"/>
      <c r="F2809" s="162"/>
      <c r="G2809" s="163"/>
      <c r="H2809" s="164"/>
      <c r="I2809" s="163"/>
      <c r="J2809" s="164"/>
      <c r="K2809" s="163"/>
      <c r="L2809" s="164"/>
      <c r="M2809" s="11"/>
      <c r="N2809" s="39"/>
      <c r="Q2809" s="15" t="str">
        <f>+CONCATENATE(E2807,K2807)</f>
        <v/>
      </c>
      <c r="R2809" s="15">
        <f>+L2807</f>
        <v>0</v>
      </c>
      <c r="S2809" s="16"/>
      <c r="T2809" s="15">
        <f>+E2807</f>
        <v>0</v>
      </c>
      <c r="U2809" s="26" t="str">
        <f>IFERROR(LEFT(K2807,FIND("*",K2807)-1),"-")</f>
        <v>-</v>
      </c>
      <c r="V2809" s="26" t="str">
        <f>IFERROR(RIGHT(K2807,LEN(K2807)-FIND("*",K2807)),"-")</f>
        <v>-</v>
      </c>
      <c r="W2809" s="27" t="str">
        <f t="shared" si="1528"/>
        <v>-</v>
      </c>
      <c r="X2809" s="27" t="str">
        <f>IFERROR(W2809*L2807,"-")</f>
        <v>-</v>
      </c>
      <c r="Z2809" s="94" t="s">
        <v>82</v>
      </c>
    </row>
    <row r="2810" spans="1:26" s="25" customFormat="1" ht="6.95" customHeight="1" x14ac:dyDescent="0.3">
      <c r="A2810" s="13"/>
      <c r="B2810" s="168"/>
      <c r="C2810" s="169"/>
      <c r="D2810" s="160" t="s">
        <v>39</v>
      </c>
      <c r="E2810" s="161"/>
      <c r="F2810" s="162" t="s">
        <v>40</v>
      </c>
      <c r="G2810" s="163"/>
      <c r="H2810" s="164"/>
      <c r="I2810" s="163"/>
      <c r="J2810" s="164"/>
      <c r="K2810" s="163"/>
      <c r="L2810" s="164"/>
      <c r="M2810" s="11"/>
      <c r="N2810" s="39"/>
      <c r="Q2810" s="15" t="str">
        <f>+CONCATENATE(E2810,G2810)</f>
        <v/>
      </c>
      <c r="R2810" s="15">
        <f>+H2810</f>
        <v>0</v>
      </c>
      <c r="S2810" s="16"/>
      <c r="T2810" s="15">
        <f>+E2810</f>
        <v>0</v>
      </c>
      <c r="U2810" s="26" t="str">
        <f t="shared" ref="U2810" si="1529">IFERROR(LEFT(G2810,FIND("*",G2810)-1),"-")</f>
        <v>-</v>
      </c>
      <c r="V2810" s="26" t="str">
        <f t="shared" ref="V2810" si="1530">IFERROR(RIGHT(G2810,LEN(G2810)-FIND("*",G2810)),"-")</f>
        <v>-</v>
      </c>
      <c r="W2810" s="27" t="str">
        <f t="shared" si="1528"/>
        <v>-</v>
      </c>
      <c r="X2810" s="27" t="str">
        <f>IFERROR(W2810*H2810,"-")</f>
        <v>-</v>
      </c>
      <c r="Z2810" s="94" t="s">
        <v>82</v>
      </c>
    </row>
    <row r="2811" spans="1:26" s="25" customFormat="1" ht="6.95" customHeight="1" x14ac:dyDescent="0.3">
      <c r="A2811" s="10"/>
      <c r="B2811" s="168"/>
      <c r="C2811" s="169"/>
      <c r="D2811" s="160"/>
      <c r="E2811" s="161"/>
      <c r="F2811" s="162"/>
      <c r="G2811" s="163"/>
      <c r="H2811" s="164"/>
      <c r="I2811" s="163"/>
      <c r="J2811" s="164"/>
      <c r="K2811" s="163"/>
      <c r="L2811" s="164"/>
      <c r="M2811" s="11"/>
      <c r="N2811" s="39"/>
      <c r="Q2811" s="15" t="str">
        <f>+CONCATENATE(E2810,I2810)</f>
        <v/>
      </c>
      <c r="R2811" s="15">
        <f>+J2810</f>
        <v>0</v>
      </c>
      <c r="S2811" s="16"/>
      <c r="T2811" s="15">
        <f>+E2810</f>
        <v>0</v>
      </c>
      <c r="U2811" s="26" t="str">
        <f>IFERROR(LEFT(I2810,FIND("*",I2810)-1),"-")</f>
        <v>-</v>
      </c>
      <c r="V2811" s="26" t="str">
        <f>IFERROR(RIGHT(I2810,LEN(I2810)-FIND("*",I2810)),"-")</f>
        <v>-</v>
      </c>
      <c r="W2811" s="27" t="str">
        <f t="shared" si="1528"/>
        <v>-</v>
      </c>
      <c r="X2811" s="27" t="str">
        <f>IFERROR(W2811*J2810,"-")</f>
        <v>-</v>
      </c>
      <c r="Z2811" s="94" t="s">
        <v>82</v>
      </c>
    </row>
    <row r="2812" spans="1:26" s="25" customFormat="1" ht="6.95" customHeight="1" x14ac:dyDescent="0.3">
      <c r="A2812" s="10"/>
      <c r="B2812" s="168"/>
      <c r="C2812" s="169"/>
      <c r="D2812" s="160"/>
      <c r="E2812" s="161"/>
      <c r="F2812" s="162"/>
      <c r="G2812" s="163"/>
      <c r="H2812" s="164"/>
      <c r="I2812" s="163"/>
      <c r="J2812" s="164"/>
      <c r="K2812" s="163"/>
      <c r="L2812" s="164"/>
      <c r="M2812" s="11"/>
      <c r="N2812" s="39"/>
      <c r="Q2812" s="15" t="str">
        <f>+CONCATENATE(E2810,K2810)</f>
        <v/>
      </c>
      <c r="R2812" s="15">
        <f>+L2810</f>
        <v>0</v>
      </c>
      <c r="S2812" s="16"/>
      <c r="T2812" s="15">
        <f>+E2810</f>
        <v>0</v>
      </c>
      <c r="U2812" s="26" t="str">
        <f>IFERROR(LEFT(K2810,FIND("*",K2810)-1),"-")</f>
        <v>-</v>
      </c>
      <c r="V2812" s="26" t="str">
        <f>IFERROR(RIGHT(K2810,LEN(K2810)-FIND("*",K2810)),"-")</f>
        <v>-</v>
      </c>
      <c r="W2812" s="27" t="str">
        <f t="shared" si="1528"/>
        <v>-</v>
      </c>
      <c r="X2812" s="27" t="str">
        <f>IFERROR(W2812*L2810,"-")</f>
        <v>-</v>
      </c>
      <c r="Z2812" s="94" t="s">
        <v>82</v>
      </c>
    </row>
    <row r="2813" spans="1:26" s="25" customFormat="1" ht="6.95" customHeight="1" x14ac:dyDescent="0.3">
      <c r="A2813" s="13"/>
      <c r="B2813" s="168"/>
      <c r="C2813" s="169"/>
      <c r="D2813" s="160" t="s">
        <v>39</v>
      </c>
      <c r="E2813" s="161"/>
      <c r="F2813" s="162" t="s">
        <v>40</v>
      </c>
      <c r="G2813" s="163"/>
      <c r="H2813" s="164"/>
      <c r="I2813" s="163"/>
      <c r="J2813" s="164"/>
      <c r="K2813" s="163"/>
      <c r="L2813" s="164"/>
      <c r="M2813" s="11"/>
      <c r="N2813" s="39"/>
      <c r="Q2813" s="15" t="str">
        <f>+CONCATENATE(E2813,G2813)</f>
        <v/>
      </c>
      <c r="R2813" s="15">
        <f>+H2813</f>
        <v>0</v>
      </c>
      <c r="S2813" s="16"/>
      <c r="T2813" s="15">
        <f>+E2813</f>
        <v>0</v>
      </c>
      <c r="U2813" s="26" t="str">
        <f t="shared" ref="U2813" si="1531">IFERROR(LEFT(G2813,FIND("*",G2813)-1),"-")</f>
        <v>-</v>
      </c>
      <c r="V2813" s="26" t="str">
        <f t="shared" ref="V2813" si="1532">IFERROR(RIGHT(G2813,LEN(G2813)-FIND("*",G2813)),"-")</f>
        <v>-</v>
      </c>
      <c r="W2813" s="27" t="str">
        <f t="shared" si="1528"/>
        <v>-</v>
      </c>
      <c r="X2813" s="27" t="str">
        <f>IFERROR(W2813*H2813,"-")</f>
        <v>-</v>
      </c>
      <c r="Z2813" s="94" t="s">
        <v>82</v>
      </c>
    </row>
    <row r="2814" spans="1:26" s="25" customFormat="1" ht="6.95" customHeight="1" x14ac:dyDescent="0.3">
      <c r="A2814" s="10"/>
      <c r="B2814" s="168"/>
      <c r="C2814" s="169"/>
      <c r="D2814" s="160"/>
      <c r="E2814" s="161"/>
      <c r="F2814" s="162"/>
      <c r="G2814" s="163"/>
      <c r="H2814" s="164"/>
      <c r="I2814" s="163"/>
      <c r="J2814" s="164"/>
      <c r="K2814" s="163"/>
      <c r="L2814" s="164"/>
      <c r="M2814" s="11"/>
      <c r="N2814" s="39"/>
      <c r="Q2814" s="15" t="str">
        <f>+CONCATENATE(E2813,I2813)</f>
        <v/>
      </c>
      <c r="R2814" s="15">
        <f>+J2813</f>
        <v>0</v>
      </c>
      <c r="S2814" s="16"/>
      <c r="T2814" s="15">
        <f>+E2813</f>
        <v>0</v>
      </c>
      <c r="U2814" s="26" t="str">
        <f>IFERROR(LEFT(I2813,FIND("*",I2813)-1),"-")</f>
        <v>-</v>
      </c>
      <c r="V2814" s="26" t="str">
        <f>IFERROR(RIGHT(I2813,LEN(I2813)-FIND("*",I2813)),"-")</f>
        <v>-</v>
      </c>
      <c r="W2814" s="27" t="str">
        <f t="shared" si="1528"/>
        <v>-</v>
      </c>
      <c r="X2814" s="27" t="str">
        <f t="shared" ref="X2814" si="1533">IFERROR(W2814*J2813,"-")</f>
        <v>-</v>
      </c>
      <c r="Z2814" s="94" t="s">
        <v>82</v>
      </c>
    </row>
    <row r="2815" spans="1:26" s="25" customFormat="1" ht="6.95" customHeight="1" x14ac:dyDescent="0.3">
      <c r="A2815" s="10"/>
      <c r="B2815" s="168"/>
      <c r="C2815" s="169"/>
      <c r="D2815" s="160"/>
      <c r="E2815" s="161"/>
      <c r="F2815" s="162"/>
      <c r="G2815" s="163"/>
      <c r="H2815" s="164"/>
      <c r="I2815" s="163"/>
      <c r="J2815" s="164"/>
      <c r="K2815" s="163"/>
      <c r="L2815" s="164"/>
      <c r="M2815" s="11"/>
      <c r="N2815" s="39"/>
      <c r="Q2815" s="15" t="str">
        <f>+CONCATENATE(E2813,K2813)</f>
        <v/>
      </c>
      <c r="R2815" s="15">
        <f>+L2813</f>
        <v>0</v>
      </c>
      <c r="S2815" s="16"/>
      <c r="T2815" s="15">
        <f>+E2813</f>
        <v>0</v>
      </c>
      <c r="U2815" s="26" t="str">
        <f>IFERROR(LEFT(K2813,FIND("*",K2813)-1),"-")</f>
        <v>-</v>
      </c>
      <c r="V2815" s="26" t="str">
        <f>IFERROR(RIGHT(K2813,LEN(K2813)-FIND("*",K2813)),"-")</f>
        <v>-</v>
      </c>
      <c r="W2815" s="27" t="str">
        <f t="shared" si="1528"/>
        <v>-</v>
      </c>
      <c r="X2815" s="27" t="str">
        <f>IFERROR(W2815*L2813,"-")</f>
        <v>-</v>
      </c>
      <c r="Z2815" s="94" t="s">
        <v>82</v>
      </c>
    </row>
    <row r="2816" spans="1:26" s="25" customFormat="1" ht="21" customHeight="1" thickBot="1" x14ac:dyDescent="0.35">
      <c r="A2816" s="10"/>
      <c r="B2816" s="170"/>
      <c r="C2816" s="171"/>
      <c r="D2816" s="172" t="s">
        <v>43</v>
      </c>
      <c r="E2816" s="173"/>
      <c r="F2816" s="173"/>
      <c r="G2816" s="174"/>
      <c r="H2816" s="174"/>
      <c r="I2816" s="174"/>
      <c r="J2816" s="174"/>
      <c r="K2816" s="174"/>
      <c r="L2816" s="174"/>
      <c r="M2816" s="12"/>
      <c r="N2816" s="39"/>
      <c r="U2816" s="23"/>
      <c r="V2816" s="23"/>
      <c r="Z2816" s="95" t="s">
        <v>81</v>
      </c>
    </row>
    <row r="2817" spans="1:26" s="25" customFormat="1" ht="9.9499999999999993" customHeight="1" thickBot="1" x14ac:dyDescent="0.35">
      <c r="A2817" s="6"/>
      <c r="B2817" s="14"/>
      <c r="C2817" s="119"/>
      <c r="D2817" s="58"/>
      <c r="E2817" s="17"/>
      <c r="F2817" s="58"/>
      <c r="G2817" s="19"/>
      <c r="H2817" s="19"/>
      <c r="I2817" s="19"/>
      <c r="J2817" s="19"/>
      <c r="K2817" s="19"/>
      <c r="L2817" s="19"/>
      <c r="M2817" s="14"/>
      <c r="N2817" s="39"/>
      <c r="Q2817" s="1"/>
      <c r="R2817" s="1"/>
      <c r="S2817" s="1"/>
      <c r="T2817" s="1"/>
      <c r="U2817" s="24"/>
      <c r="V2817" s="24"/>
      <c r="W2817" s="1"/>
      <c r="X2817" s="1"/>
      <c r="Z2817" s="94" t="s">
        <v>82</v>
      </c>
    </row>
    <row r="2818" spans="1:26" s="25" customFormat="1" ht="6.95" customHeight="1" x14ac:dyDescent="0.3">
      <c r="A2818" s="165">
        <f>+A2807+1</f>
        <v>257</v>
      </c>
      <c r="B2818" s="166"/>
      <c r="C2818" s="167"/>
      <c r="D2818" s="160" t="s">
        <v>39</v>
      </c>
      <c r="E2818" s="161"/>
      <c r="F2818" s="162" t="s">
        <v>40</v>
      </c>
      <c r="G2818" s="163"/>
      <c r="H2818" s="164"/>
      <c r="I2818" s="163"/>
      <c r="J2818" s="164"/>
      <c r="K2818" s="163"/>
      <c r="L2818" s="164"/>
      <c r="M2818" s="11"/>
      <c r="N2818" s="39"/>
      <c r="Q2818" s="15" t="str">
        <f>+CONCATENATE(E2818,G2818)</f>
        <v/>
      </c>
      <c r="R2818" s="15">
        <f>+H2818</f>
        <v>0</v>
      </c>
      <c r="S2818" s="16"/>
      <c r="T2818" s="15">
        <f>+E2818</f>
        <v>0</v>
      </c>
      <c r="U2818" s="26" t="str">
        <f>IFERROR(LEFT(G2818,FIND("*",G2818)-1),"-")</f>
        <v>-</v>
      </c>
      <c r="V2818" s="26" t="str">
        <f>IFERROR(RIGHT(G2818,LEN(G2818)-FIND("*",G2818)),"-")</f>
        <v>-</v>
      </c>
      <c r="W2818" s="27" t="str">
        <f>IFERROR((U2818+V2818)*2/1000,"-")</f>
        <v>-</v>
      </c>
      <c r="X2818" s="27" t="str">
        <f>IFERROR(W2818*H2818,"-")</f>
        <v>-</v>
      </c>
      <c r="Z2818" s="94" t="s">
        <v>82</v>
      </c>
    </row>
    <row r="2819" spans="1:26" s="25" customFormat="1" ht="6.95" customHeight="1" x14ac:dyDescent="0.3">
      <c r="A2819" s="165"/>
      <c r="B2819" s="168"/>
      <c r="C2819" s="169"/>
      <c r="D2819" s="160"/>
      <c r="E2819" s="161"/>
      <c r="F2819" s="162"/>
      <c r="G2819" s="163"/>
      <c r="H2819" s="164"/>
      <c r="I2819" s="163"/>
      <c r="J2819" s="164"/>
      <c r="K2819" s="163"/>
      <c r="L2819" s="164"/>
      <c r="M2819" s="11"/>
      <c r="N2819" s="39"/>
      <c r="Q2819" s="15" t="str">
        <f>+CONCATENATE(E2818,I2818)</f>
        <v/>
      </c>
      <c r="R2819" s="15">
        <f>+J2818</f>
        <v>0</v>
      </c>
      <c r="S2819" s="16"/>
      <c r="T2819" s="15">
        <f>+E2818</f>
        <v>0</v>
      </c>
      <c r="U2819" s="26" t="str">
        <f>IFERROR(LEFT(I2818,FIND("*",I2818)-1),"-")</f>
        <v>-</v>
      </c>
      <c r="V2819" s="26" t="str">
        <f>IFERROR(RIGHT(I2818,LEN(I2818)-FIND("*",I2818)),"-")</f>
        <v>-</v>
      </c>
      <c r="W2819" s="27" t="str">
        <f t="shared" ref="W2819:W2826" si="1534">IFERROR((U2819+V2819)*2/1000,"-")</f>
        <v>-</v>
      </c>
      <c r="X2819" s="27" t="str">
        <f>IFERROR(W2819*J2818,"-")</f>
        <v>-</v>
      </c>
      <c r="Z2819" s="94" t="s">
        <v>82</v>
      </c>
    </row>
    <row r="2820" spans="1:26" s="25" customFormat="1" ht="6.95" customHeight="1" x14ac:dyDescent="0.3">
      <c r="A2820" s="165"/>
      <c r="B2820" s="168"/>
      <c r="C2820" s="169"/>
      <c r="D2820" s="160"/>
      <c r="E2820" s="161"/>
      <c r="F2820" s="162"/>
      <c r="G2820" s="163"/>
      <c r="H2820" s="164"/>
      <c r="I2820" s="163"/>
      <c r="J2820" s="164"/>
      <c r="K2820" s="163"/>
      <c r="L2820" s="164"/>
      <c r="M2820" s="11"/>
      <c r="N2820" s="39"/>
      <c r="Q2820" s="15" t="str">
        <f>+CONCATENATE(E2818,K2818)</f>
        <v/>
      </c>
      <c r="R2820" s="15">
        <f>+L2818</f>
        <v>0</v>
      </c>
      <c r="S2820" s="16"/>
      <c r="T2820" s="15">
        <f>+E2818</f>
        <v>0</v>
      </c>
      <c r="U2820" s="26" t="str">
        <f>IFERROR(LEFT(K2818,FIND("*",K2818)-1),"-")</f>
        <v>-</v>
      </c>
      <c r="V2820" s="26" t="str">
        <f>IFERROR(RIGHT(K2818,LEN(K2818)-FIND("*",K2818)),"-")</f>
        <v>-</v>
      </c>
      <c r="W2820" s="27" t="str">
        <f t="shared" si="1534"/>
        <v>-</v>
      </c>
      <c r="X2820" s="27" t="str">
        <f>IFERROR(W2820*L2818,"-")</f>
        <v>-</v>
      </c>
      <c r="Z2820" s="94" t="s">
        <v>82</v>
      </c>
    </row>
    <row r="2821" spans="1:26" s="25" customFormat="1" ht="6.95" customHeight="1" x14ac:dyDescent="0.3">
      <c r="A2821" s="13"/>
      <c r="B2821" s="168"/>
      <c r="C2821" s="169"/>
      <c r="D2821" s="160" t="s">
        <v>39</v>
      </c>
      <c r="E2821" s="161"/>
      <c r="F2821" s="162" t="s">
        <v>40</v>
      </c>
      <c r="G2821" s="163"/>
      <c r="H2821" s="164"/>
      <c r="I2821" s="163"/>
      <c r="J2821" s="164"/>
      <c r="K2821" s="163"/>
      <c r="L2821" s="164"/>
      <c r="M2821" s="11"/>
      <c r="N2821" s="39"/>
      <c r="Q2821" s="15" t="str">
        <f>+CONCATENATE(E2821,G2821)</f>
        <v/>
      </c>
      <c r="R2821" s="15">
        <f>+H2821</f>
        <v>0</v>
      </c>
      <c r="S2821" s="16"/>
      <c r="T2821" s="15">
        <f>+E2821</f>
        <v>0</v>
      </c>
      <c r="U2821" s="26" t="str">
        <f t="shared" ref="U2821" si="1535">IFERROR(LEFT(G2821,FIND("*",G2821)-1),"-")</f>
        <v>-</v>
      </c>
      <c r="V2821" s="26" t="str">
        <f t="shared" ref="V2821" si="1536">IFERROR(RIGHT(G2821,LEN(G2821)-FIND("*",G2821)),"-")</f>
        <v>-</v>
      </c>
      <c r="W2821" s="27" t="str">
        <f t="shared" si="1534"/>
        <v>-</v>
      </c>
      <c r="X2821" s="27" t="str">
        <f>IFERROR(W2821*H2821,"-")</f>
        <v>-</v>
      </c>
      <c r="Z2821" s="94" t="s">
        <v>82</v>
      </c>
    </row>
    <row r="2822" spans="1:26" s="25" customFormat="1" ht="6.95" customHeight="1" x14ac:dyDescent="0.3">
      <c r="A2822" s="10"/>
      <c r="B2822" s="168"/>
      <c r="C2822" s="169"/>
      <c r="D2822" s="160"/>
      <c r="E2822" s="161"/>
      <c r="F2822" s="162"/>
      <c r="G2822" s="163"/>
      <c r="H2822" s="164"/>
      <c r="I2822" s="163"/>
      <c r="J2822" s="164"/>
      <c r="K2822" s="163"/>
      <c r="L2822" s="164"/>
      <c r="M2822" s="11"/>
      <c r="N2822" s="39"/>
      <c r="Q2822" s="15" t="str">
        <f>+CONCATENATE(E2821,I2821)</f>
        <v/>
      </c>
      <c r="R2822" s="15">
        <f>+J2821</f>
        <v>0</v>
      </c>
      <c r="S2822" s="16"/>
      <c r="T2822" s="15">
        <f>+E2821</f>
        <v>0</v>
      </c>
      <c r="U2822" s="26" t="str">
        <f>IFERROR(LEFT(I2821,FIND("*",I2821)-1),"-")</f>
        <v>-</v>
      </c>
      <c r="V2822" s="26" t="str">
        <f>IFERROR(RIGHT(I2821,LEN(I2821)-FIND("*",I2821)),"-")</f>
        <v>-</v>
      </c>
      <c r="W2822" s="27" t="str">
        <f t="shared" si="1534"/>
        <v>-</v>
      </c>
      <c r="X2822" s="27" t="str">
        <f>IFERROR(W2822*J2821,"-")</f>
        <v>-</v>
      </c>
      <c r="Z2822" s="94" t="s">
        <v>82</v>
      </c>
    </row>
    <row r="2823" spans="1:26" s="25" customFormat="1" ht="6.95" customHeight="1" x14ac:dyDescent="0.3">
      <c r="A2823" s="10"/>
      <c r="B2823" s="168"/>
      <c r="C2823" s="169"/>
      <c r="D2823" s="160"/>
      <c r="E2823" s="161"/>
      <c r="F2823" s="162"/>
      <c r="G2823" s="163"/>
      <c r="H2823" s="164"/>
      <c r="I2823" s="163"/>
      <c r="J2823" s="164"/>
      <c r="K2823" s="163"/>
      <c r="L2823" s="164"/>
      <c r="M2823" s="11"/>
      <c r="N2823" s="39"/>
      <c r="Q2823" s="15" t="str">
        <f>+CONCATENATE(E2821,K2821)</f>
        <v/>
      </c>
      <c r="R2823" s="15">
        <f>+L2821</f>
        <v>0</v>
      </c>
      <c r="S2823" s="16"/>
      <c r="T2823" s="15">
        <f>+E2821</f>
        <v>0</v>
      </c>
      <c r="U2823" s="26" t="str">
        <f>IFERROR(LEFT(K2821,FIND("*",K2821)-1),"-")</f>
        <v>-</v>
      </c>
      <c r="V2823" s="26" t="str">
        <f>IFERROR(RIGHT(K2821,LEN(K2821)-FIND("*",K2821)),"-")</f>
        <v>-</v>
      </c>
      <c r="W2823" s="27" t="str">
        <f t="shared" si="1534"/>
        <v>-</v>
      </c>
      <c r="X2823" s="27" t="str">
        <f>IFERROR(W2823*L2821,"-")</f>
        <v>-</v>
      </c>
      <c r="Z2823" s="94" t="s">
        <v>82</v>
      </c>
    </row>
    <row r="2824" spans="1:26" s="25" customFormat="1" ht="6.95" customHeight="1" x14ac:dyDescent="0.3">
      <c r="A2824" s="13"/>
      <c r="B2824" s="168"/>
      <c r="C2824" s="169"/>
      <c r="D2824" s="160" t="s">
        <v>39</v>
      </c>
      <c r="E2824" s="161"/>
      <c r="F2824" s="162" t="s">
        <v>40</v>
      </c>
      <c r="G2824" s="163"/>
      <c r="H2824" s="164"/>
      <c r="I2824" s="163"/>
      <c r="J2824" s="164"/>
      <c r="K2824" s="163"/>
      <c r="L2824" s="164"/>
      <c r="M2824" s="11"/>
      <c r="N2824" s="39"/>
      <c r="Q2824" s="15" t="str">
        <f>+CONCATENATE(E2824,G2824)</f>
        <v/>
      </c>
      <c r="R2824" s="15">
        <f>+H2824</f>
        <v>0</v>
      </c>
      <c r="S2824" s="16"/>
      <c r="T2824" s="15">
        <f>+E2824</f>
        <v>0</v>
      </c>
      <c r="U2824" s="26" t="str">
        <f t="shared" ref="U2824" si="1537">IFERROR(LEFT(G2824,FIND("*",G2824)-1),"-")</f>
        <v>-</v>
      </c>
      <c r="V2824" s="26" t="str">
        <f t="shared" ref="V2824" si="1538">IFERROR(RIGHT(G2824,LEN(G2824)-FIND("*",G2824)),"-")</f>
        <v>-</v>
      </c>
      <c r="W2824" s="27" t="str">
        <f t="shared" si="1534"/>
        <v>-</v>
      </c>
      <c r="X2824" s="27" t="str">
        <f>IFERROR(W2824*H2824,"-")</f>
        <v>-</v>
      </c>
      <c r="Z2824" s="94" t="s">
        <v>82</v>
      </c>
    </row>
    <row r="2825" spans="1:26" s="25" customFormat="1" ht="6.95" customHeight="1" x14ac:dyDescent="0.3">
      <c r="A2825" s="10"/>
      <c r="B2825" s="168"/>
      <c r="C2825" s="169"/>
      <c r="D2825" s="160"/>
      <c r="E2825" s="161"/>
      <c r="F2825" s="162"/>
      <c r="G2825" s="163"/>
      <c r="H2825" s="164"/>
      <c r="I2825" s="163"/>
      <c r="J2825" s="164"/>
      <c r="K2825" s="163"/>
      <c r="L2825" s="164"/>
      <c r="M2825" s="11"/>
      <c r="N2825" s="39"/>
      <c r="Q2825" s="15" t="str">
        <f>+CONCATENATE(E2824,I2824)</f>
        <v/>
      </c>
      <c r="R2825" s="15">
        <f>+J2824</f>
        <v>0</v>
      </c>
      <c r="S2825" s="16"/>
      <c r="T2825" s="15">
        <f>+E2824</f>
        <v>0</v>
      </c>
      <c r="U2825" s="26" t="str">
        <f>IFERROR(LEFT(I2824,FIND("*",I2824)-1),"-")</f>
        <v>-</v>
      </c>
      <c r="V2825" s="26" t="str">
        <f>IFERROR(RIGHT(I2824,LEN(I2824)-FIND("*",I2824)),"-")</f>
        <v>-</v>
      </c>
      <c r="W2825" s="27" t="str">
        <f t="shared" si="1534"/>
        <v>-</v>
      </c>
      <c r="X2825" s="27" t="str">
        <f t="shared" ref="X2825" si="1539">IFERROR(W2825*J2824,"-")</f>
        <v>-</v>
      </c>
      <c r="Z2825" s="94" t="s">
        <v>82</v>
      </c>
    </row>
    <row r="2826" spans="1:26" s="25" customFormat="1" ht="6.95" customHeight="1" x14ac:dyDescent="0.3">
      <c r="A2826" s="10"/>
      <c r="B2826" s="168"/>
      <c r="C2826" s="169"/>
      <c r="D2826" s="160"/>
      <c r="E2826" s="161"/>
      <c r="F2826" s="162"/>
      <c r="G2826" s="163"/>
      <c r="H2826" s="164"/>
      <c r="I2826" s="163"/>
      <c r="J2826" s="164"/>
      <c r="K2826" s="163"/>
      <c r="L2826" s="164"/>
      <c r="M2826" s="11"/>
      <c r="N2826" s="39"/>
      <c r="Q2826" s="15" t="str">
        <f>+CONCATENATE(E2824,K2824)</f>
        <v/>
      </c>
      <c r="R2826" s="15">
        <f>+L2824</f>
        <v>0</v>
      </c>
      <c r="S2826" s="16"/>
      <c r="T2826" s="15">
        <f>+E2824</f>
        <v>0</v>
      </c>
      <c r="U2826" s="26" t="str">
        <f>IFERROR(LEFT(K2824,FIND("*",K2824)-1),"-")</f>
        <v>-</v>
      </c>
      <c r="V2826" s="26" t="str">
        <f>IFERROR(RIGHT(K2824,LEN(K2824)-FIND("*",K2824)),"-")</f>
        <v>-</v>
      </c>
      <c r="W2826" s="27" t="str">
        <f t="shared" si="1534"/>
        <v>-</v>
      </c>
      <c r="X2826" s="27" t="str">
        <f>IFERROR(W2826*L2824,"-")</f>
        <v>-</v>
      </c>
      <c r="Z2826" s="94" t="s">
        <v>82</v>
      </c>
    </row>
    <row r="2827" spans="1:26" s="25" customFormat="1" ht="21" customHeight="1" thickBot="1" x14ac:dyDescent="0.35">
      <c r="A2827" s="10"/>
      <c r="B2827" s="170"/>
      <c r="C2827" s="171"/>
      <c r="D2827" s="172" t="s">
        <v>43</v>
      </c>
      <c r="E2827" s="173"/>
      <c r="F2827" s="173"/>
      <c r="G2827" s="174"/>
      <c r="H2827" s="174"/>
      <c r="I2827" s="174"/>
      <c r="J2827" s="174"/>
      <c r="K2827" s="174"/>
      <c r="L2827" s="174"/>
      <c r="M2827" s="12"/>
      <c r="N2827" s="39"/>
      <c r="U2827" s="23"/>
      <c r="V2827" s="23"/>
      <c r="Z2827" s="95" t="s">
        <v>81</v>
      </c>
    </row>
    <row r="2828" spans="1:26" s="25" customFormat="1" ht="9.9499999999999993" customHeight="1" thickBot="1" x14ac:dyDescent="0.35">
      <c r="A2828" s="6"/>
      <c r="B2828" s="14"/>
      <c r="C2828" s="119"/>
      <c r="D2828" s="58"/>
      <c r="E2828" s="17"/>
      <c r="F2828" s="58"/>
      <c r="G2828" s="19"/>
      <c r="H2828" s="19"/>
      <c r="I2828" s="19"/>
      <c r="J2828" s="19"/>
      <c r="K2828" s="19"/>
      <c r="L2828" s="19"/>
      <c r="M2828" s="14"/>
      <c r="N2828" s="39"/>
      <c r="Q2828" s="1"/>
      <c r="R2828" s="1"/>
      <c r="S2828" s="1"/>
      <c r="T2828" s="1"/>
      <c r="U2828" s="24"/>
      <c r="V2828" s="24"/>
      <c r="W2828" s="1"/>
      <c r="X2828" s="1"/>
      <c r="Z2828" s="94" t="s">
        <v>82</v>
      </c>
    </row>
    <row r="2829" spans="1:26" s="25" customFormat="1" ht="6.95" customHeight="1" x14ac:dyDescent="0.3">
      <c r="A2829" s="165">
        <f>+A2818+1</f>
        <v>258</v>
      </c>
      <c r="B2829" s="166"/>
      <c r="C2829" s="167"/>
      <c r="D2829" s="160" t="s">
        <v>39</v>
      </c>
      <c r="E2829" s="161"/>
      <c r="F2829" s="162" t="s">
        <v>40</v>
      </c>
      <c r="G2829" s="163"/>
      <c r="H2829" s="164"/>
      <c r="I2829" s="163"/>
      <c r="J2829" s="164"/>
      <c r="K2829" s="163"/>
      <c r="L2829" s="164"/>
      <c r="M2829" s="11"/>
      <c r="N2829" s="39"/>
      <c r="Q2829" s="15" t="str">
        <f>+CONCATENATE(E2829,G2829)</f>
        <v/>
      </c>
      <c r="R2829" s="15">
        <f>+H2829</f>
        <v>0</v>
      </c>
      <c r="S2829" s="16"/>
      <c r="T2829" s="15">
        <f>+E2829</f>
        <v>0</v>
      </c>
      <c r="U2829" s="26" t="str">
        <f>IFERROR(LEFT(G2829,FIND("*",G2829)-1),"-")</f>
        <v>-</v>
      </c>
      <c r="V2829" s="26" t="str">
        <f>IFERROR(RIGHT(G2829,LEN(G2829)-FIND("*",G2829)),"-")</f>
        <v>-</v>
      </c>
      <c r="W2829" s="27" t="str">
        <f>IFERROR((U2829+V2829)*2/1000,"-")</f>
        <v>-</v>
      </c>
      <c r="X2829" s="27" t="str">
        <f>IFERROR(W2829*H2829,"-")</f>
        <v>-</v>
      </c>
      <c r="Z2829" s="94" t="s">
        <v>82</v>
      </c>
    </row>
    <row r="2830" spans="1:26" s="25" customFormat="1" ht="6.95" customHeight="1" x14ac:dyDescent="0.3">
      <c r="A2830" s="165"/>
      <c r="B2830" s="168"/>
      <c r="C2830" s="169"/>
      <c r="D2830" s="160"/>
      <c r="E2830" s="161"/>
      <c r="F2830" s="162"/>
      <c r="G2830" s="163"/>
      <c r="H2830" s="164"/>
      <c r="I2830" s="163"/>
      <c r="J2830" s="164"/>
      <c r="K2830" s="163"/>
      <c r="L2830" s="164"/>
      <c r="M2830" s="11"/>
      <c r="N2830" s="39"/>
      <c r="Q2830" s="15" t="str">
        <f>+CONCATENATE(E2829,I2829)</f>
        <v/>
      </c>
      <c r="R2830" s="15">
        <f>+J2829</f>
        <v>0</v>
      </c>
      <c r="S2830" s="16"/>
      <c r="T2830" s="15">
        <f>+E2829</f>
        <v>0</v>
      </c>
      <c r="U2830" s="26" t="str">
        <f>IFERROR(LEFT(I2829,FIND("*",I2829)-1),"-")</f>
        <v>-</v>
      </c>
      <c r="V2830" s="26" t="str">
        <f>IFERROR(RIGHT(I2829,LEN(I2829)-FIND("*",I2829)),"-")</f>
        <v>-</v>
      </c>
      <c r="W2830" s="27" t="str">
        <f t="shared" ref="W2830:W2837" si="1540">IFERROR((U2830+V2830)*2/1000,"-")</f>
        <v>-</v>
      </c>
      <c r="X2830" s="27" t="str">
        <f>IFERROR(W2830*J2829,"-")</f>
        <v>-</v>
      </c>
      <c r="Z2830" s="94" t="s">
        <v>82</v>
      </c>
    </row>
    <row r="2831" spans="1:26" s="25" customFormat="1" ht="6.95" customHeight="1" x14ac:dyDescent="0.3">
      <c r="A2831" s="165"/>
      <c r="B2831" s="168"/>
      <c r="C2831" s="169"/>
      <c r="D2831" s="160"/>
      <c r="E2831" s="161"/>
      <c r="F2831" s="162"/>
      <c r="G2831" s="163"/>
      <c r="H2831" s="164"/>
      <c r="I2831" s="163"/>
      <c r="J2831" s="164"/>
      <c r="K2831" s="163"/>
      <c r="L2831" s="164"/>
      <c r="M2831" s="11"/>
      <c r="N2831" s="39"/>
      <c r="Q2831" s="15" t="str">
        <f>+CONCATENATE(E2829,K2829)</f>
        <v/>
      </c>
      <c r="R2831" s="15">
        <f>+L2829</f>
        <v>0</v>
      </c>
      <c r="S2831" s="16"/>
      <c r="T2831" s="15">
        <f>+E2829</f>
        <v>0</v>
      </c>
      <c r="U2831" s="26" t="str">
        <f>IFERROR(LEFT(K2829,FIND("*",K2829)-1),"-")</f>
        <v>-</v>
      </c>
      <c r="V2831" s="26" t="str">
        <f>IFERROR(RIGHT(K2829,LEN(K2829)-FIND("*",K2829)),"-")</f>
        <v>-</v>
      </c>
      <c r="W2831" s="27" t="str">
        <f t="shared" si="1540"/>
        <v>-</v>
      </c>
      <c r="X2831" s="27" t="str">
        <f>IFERROR(W2831*L2829,"-")</f>
        <v>-</v>
      </c>
      <c r="Z2831" s="94" t="s">
        <v>82</v>
      </c>
    </row>
    <row r="2832" spans="1:26" s="25" customFormat="1" ht="6.95" customHeight="1" x14ac:dyDescent="0.3">
      <c r="A2832" s="13"/>
      <c r="B2832" s="168"/>
      <c r="C2832" s="169"/>
      <c r="D2832" s="160" t="s">
        <v>39</v>
      </c>
      <c r="E2832" s="161"/>
      <c r="F2832" s="162" t="s">
        <v>40</v>
      </c>
      <c r="G2832" s="163"/>
      <c r="H2832" s="164"/>
      <c r="I2832" s="163"/>
      <c r="J2832" s="164"/>
      <c r="K2832" s="163"/>
      <c r="L2832" s="164"/>
      <c r="M2832" s="11"/>
      <c r="N2832" s="39"/>
      <c r="Q2832" s="15" t="str">
        <f>+CONCATENATE(E2832,G2832)</f>
        <v/>
      </c>
      <c r="R2832" s="15">
        <f>+H2832</f>
        <v>0</v>
      </c>
      <c r="S2832" s="16"/>
      <c r="T2832" s="15">
        <f>+E2832</f>
        <v>0</v>
      </c>
      <c r="U2832" s="26" t="str">
        <f t="shared" ref="U2832" si="1541">IFERROR(LEFT(G2832,FIND("*",G2832)-1),"-")</f>
        <v>-</v>
      </c>
      <c r="V2832" s="26" t="str">
        <f t="shared" ref="V2832" si="1542">IFERROR(RIGHT(G2832,LEN(G2832)-FIND("*",G2832)),"-")</f>
        <v>-</v>
      </c>
      <c r="W2832" s="27" t="str">
        <f t="shared" si="1540"/>
        <v>-</v>
      </c>
      <c r="X2832" s="27" t="str">
        <f>IFERROR(W2832*H2832,"-")</f>
        <v>-</v>
      </c>
      <c r="Z2832" s="94" t="s">
        <v>82</v>
      </c>
    </row>
    <row r="2833" spans="1:26" s="25" customFormat="1" ht="6.95" customHeight="1" x14ac:dyDescent="0.3">
      <c r="A2833" s="10"/>
      <c r="B2833" s="168"/>
      <c r="C2833" s="169"/>
      <c r="D2833" s="160"/>
      <c r="E2833" s="161"/>
      <c r="F2833" s="162"/>
      <c r="G2833" s="163"/>
      <c r="H2833" s="164"/>
      <c r="I2833" s="163"/>
      <c r="J2833" s="164"/>
      <c r="K2833" s="163"/>
      <c r="L2833" s="164"/>
      <c r="M2833" s="11"/>
      <c r="N2833" s="39"/>
      <c r="Q2833" s="15" t="str">
        <f>+CONCATENATE(E2832,I2832)</f>
        <v/>
      </c>
      <c r="R2833" s="15">
        <f>+J2832</f>
        <v>0</v>
      </c>
      <c r="S2833" s="16"/>
      <c r="T2833" s="15">
        <f>+E2832</f>
        <v>0</v>
      </c>
      <c r="U2833" s="26" t="str">
        <f>IFERROR(LEFT(I2832,FIND("*",I2832)-1),"-")</f>
        <v>-</v>
      </c>
      <c r="V2833" s="26" t="str">
        <f>IFERROR(RIGHT(I2832,LEN(I2832)-FIND("*",I2832)),"-")</f>
        <v>-</v>
      </c>
      <c r="W2833" s="27" t="str">
        <f t="shared" si="1540"/>
        <v>-</v>
      </c>
      <c r="X2833" s="27" t="str">
        <f>IFERROR(W2833*J2832,"-")</f>
        <v>-</v>
      </c>
      <c r="Z2833" s="94" t="s">
        <v>82</v>
      </c>
    </row>
    <row r="2834" spans="1:26" s="25" customFormat="1" ht="6.95" customHeight="1" x14ac:dyDescent="0.3">
      <c r="A2834" s="10"/>
      <c r="B2834" s="168"/>
      <c r="C2834" s="169"/>
      <c r="D2834" s="160"/>
      <c r="E2834" s="161"/>
      <c r="F2834" s="162"/>
      <c r="G2834" s="163"/>
      <c r="H2834" s="164"/>
      <c r="I2834" s="163"/>
      <c r="J2834" s="164"/>
      <c r="K2834" s="163"/>
      <c r="L2834" s="164"/>
      <c r="M2834" s="11"/>
      <c r="N2834" s="39"/>
      <c r="Q2834" s="15" t="str">
        <f>+CONCATENATE(E2832,K2832)</f>
        <v/>
      </c>
      <c r="R2834" s="15">
        <f>+L2832</f>
        <v>0</v>
      </c>
      <c r="S2834" s="16"/>
      <c r="T2834" s="15">
        <f>+E2832</f>
        <v>0</v>
      </c>
      <c r="U2834" s="26" t="str">
        <f>IFERROR(LEFT(K2832,FIND("*",K2832)-1),"-")</f>
        <v>-</v>
      </c>
      <c r="V2834" s="26" t="str">
        <f>IFERROR(RIGHT(K2832,LEN(K2832)-FIND("*",K2832)),"-")</f>
        <v>-</v>
      </c>
      <c r="W2834" s="27" t="str">
        <f t="shared" si="1540"/>
        <v>-</v>
      </c>
      <c r="X2834" s="27" t="str">
        <f>IFERROR(W2834*L2832,"-")</f>
        <v>-</v>
      </c>
      <c r="Z2834" s="94" t="s">
        <v>82</v>
      </c>
    </row>
    <row r="2835" spans="1:26" s="25" customFormat="1" ht="6.95" customHeight="1" x14ac:dyDescent="0.3">
      <c r="A2835" s="13"/>
      <c r="B2835" s="168"/>
      <c r="C2835" s="169"/>
      <c r="D2835" s="160" t="s">
        <v>39</v>
      </c>
      <c r="E2835" s="161"/>
      <c r="F2835" s="162" t="s">
        <v>40</v>
      </c>
      <c r="G2835" s="163"/>
      <c r="H2835" s="164"/>
      <c r="I2835" s="163"/>
      <c r="J2835" s="164"/>
      <c r="K2835" s="163"/>
      <c r="L2835" s="164"/>
      <c r="M2835" s="11"/>
      <c r="N2835" s="39"/>
      <c r="Q2835" s="15" t="str">
        <f>+CONCATENATE(E2835,G2835)</f>
        <v/>
      </c>
      <c r="R2835" s="15">
        <f>+H2835</f>
        <v>0</v>
      </c>
      <c r="S2835" s="16"/>
      <c r="T2835" s="15">
        <f>+E2835</f>
        <v>0</v>
      </c>
      <c r="U2835" s="26" t="str">
        <f t="shared" ref="U2835" si="1543">IFERROR(LEFT(G2835,FIND("*",G2835)-1),"-")</f>
        <v>-</v>
      </c>
      <c r="V2835" s="26" t="str">
        <f t="shared" ref="V2835" si="1544">IFERROR(RIGHT(G2835,LEN(G2835)-FIND("*",G2835)),"-")</f>
        <v>-</v>
      </c>
      <c r="W2835" s="27" t="str">
        <f t="shared" si="1540"/>
        <v>-</v>
      </c>
      <c r="X2835" s="27" t="str">
        <f>IFERROR(W2835*H2835,"-")</f>
        <v>-</v>
      </c>
      <c r="Z2835" s="94" t="s">
        <v>82</v>
      </c>
    </row>
    <row r="2836" spans="1:26" s="25" customFormat="1" ht="6.95" customHeight="1" x14ac:dyDescent="0.3">
      <c r="A2836" s="10"/>
      <c r="B2836" s="168"/>
      <c r="C2836" s="169"/>
      <c r="D2836" s="160"/>
      <c r="E2836" s="161"/>
      <c r="F2836" s="162"/>
      <c r="G2836" s="163"/>
      <c r="H2836" s="164"/>
      <c r="I2836" s="163"/>
      <c r="J2836" s="164"/>
      <c r="K2836" s="163"/>
      <c r="L2836" s="164"/>
      <c r="M2836" s="11"/>
      <c r="N2836" s="39"/>
      <c r="Q2836" s="15" t="str">
        <f>+CONCATENATE(E2835,I2835)</f>
        <v/>
      </c>
      <c r="R2836" s="15">
        <f>+J2835</f>
        <v>0</v>
      </c>
      <c r="S2836" s="16"/>
      <c r="T2836" s="15">
        <f>+E2835</f>
        <v>0</v>
      </c>
      <c r="U2836" s="26" t="str">
        <f>IFERROR(LEFT(I2835,FIND("*",I2835)-1),"-")</f>
        <v>-</v>
      </c>
      <c r="V2836" s="26" t="str">
        <f>IFERROR(RIGHT(I2835,LEN(I2835)-FIND("*",I2835)),"-")</f>
        <v>-</v>
      </c>
      <c r="W2836" s="27" t="str">
        <f t="shared" si="1540"/>
        <v>-</v>
      </c>
      <c r="X2836" s="27" t="str">
        <f t="shared" ref="X2836" si="1545">IFERROR(W2836*J2835,"-")</f>
        <v>-</v>
      </c>
      <c r="Z2836" s="94" t="s">
        <v>82</v>
      </c>
    </row>
    <row r="2837" spans="1:26" s="25" customFormat="1" ht="6.95" customHeight="1" x14ac:dyDescent="0.3">
      <c r="A2837" s="10"/>
      <c r="B2837" s="168"/>
      <c r="C2837" s="169"/>
      <c r="D2837" s="160"/>
      <c r="E2837" s="161"/>
      <c r="F2837" s="162"/>
      <c r="G2837" s="163"/>
      <c r="H2837" s="164"/>
      <c r="I2837" s="163"/>
      <c r="J2837" s="164"/>
      <c r="K2837" s="163"/>
      <c r="L2837" s="164"/>
      <c r="M2837" s="11"/>
      <c r="N2837" s="39"/>
      <c r="Q2837" s="15" t="str">
        <f>+CONCATENATE(E2835,K2835)</f>
        <v/>
      </c>
      <c r="R2837" s="15">
        <f>+L2835</f>
        <v>0</v>
      </c>
      <c r="S2837" s="16"/>
      <c r="T2837" s="15">
        <f>+E2835</f>
        <v>0</v>
      </c>
      <c r="U2837" s="26" t="str">
        <f>IFERROR(LEFT(K2835,FIND("*",K2835)-1),"-")</f>
        <v>-</v>
      </c>
      <c r="V2837" s="26" t="str">
        <f>IFERROR(RIGHT(K2835,LEN(K2835)-FIND("*",K2835)),"-")</f>
        <v>-</v>
      </c>
      <c r="W2837" s="27" t="str">
        <f t="shared" si="1540"/>
        <v>-</v>
      </c>
      <c r="X2837" s="27" t="str">
        <f>IFERROR(W2837*L2835,"-")</f>
        <v>-</v>
      </c>
      <c r="Z2837" s="94" t="s">
        <v>82</v>
      </c>
    </row>
    <row r="2838" spans="1:26" s="25" customFormat="1" ht="21" customHeight="1" thickBot="1" x14ac:dyDescent="0.35">
      <c r="A2838" s="10"/>
      <c r="B2838" s="170"/>
      <c r="C2838" s="171"/>
      <c r="D2838" s="172" t="s">
        <v>43</v>
      </c>
      <c r="E2838" s="173"/>
      <c r="F2838" s="173"/>
      <c r="G2838" s="174"/>
      <c r="H2838" s="174"/>
      <c r="I2838" s="174"/>
      <c r="J2838" s="174"/>
      <c r="K2838" s="174"/>
      <c r="L2838" s="174"/>
      <c r="M2838" s="12"/>
      <c r="N2838" s="39"/>
      <c r="U2838" s="23"/>
      <c r="V2838" s="23"/>
      <c r="Z2838" s="95" t="s">
        <v>81</v>
      </c>
    </row>
    <row r="2839" spans="1:26" s="25" customFormat="1" ht="9.9499999999999993" customHeight="1" thickBot="1" x14ac:dyDescent="0.35">
      <c r="A2839" s="6"/>
      <c r="B2839" s="14"/>
      <c r="C2839" s="119"/>
      <c r="D2839" s="58"/>
      <c r="E2839" s="17"/>
      <c r="F2839" s="58"/>
      <c r="G2839" s="19"/>
      <c r="H2839" s="19"/>
      <c r="I2839" s="19"/>
      <c r="J2839" s="19"/>
      <c r="K2839" s="19"/>
      <c r="L2839" s="19"/>
      <c r="M2839" s="14"/>
      <c r="N2839" s="39"/>
      <c r="Q2839" s="1"/>
      <c r="R2839" s="1"/>
      <c r="S2839" s="1"/>
      <c r="T2839" s="1"/>
      <c r="U2839" s="24"/>
      <c r="V2839" s="24"/>
      <c r="W2839" s="1"/>
      <c r="X2839" s="1"/>
      <c r="Z2839" s="94" t="s">
        <v>82</v>
      </c>
    </row>
    <row r="2840" spans="1:26" s="25" customFormat="1" ht="6.95" customHeight="1" x14ac:dyDescent="0.3">
      <c r="A2840" s="165">
        <f>+A2829+1</f>
        <v>259</v>
      </c>
      <c r="B2840" s="166"/>
      <c r="C2840" s="167"/>
      <c r="D2840" s="160" t="s">
        <v>39</v>
      </c>
      <c r="E2840" s="161"/>
      <c r="F2840" s="162" t="s">
        <v>40</v>
      </c>
      <c r="G2840" s="163"/>
      <c r="H2840" s="164"/>
      <c r="I2840" s="163"/>
      <c r="J2840" s="164"/>
      <c r="K2840" s="163"/>
      <c r="L2840" s="164"/>
      <c r="M2840" s="11"/>
      <c r="N2840" s="39"/>
      <c r="Q2840" s="15" t="str">
        <f>+CONCATENATE(E2840,G2840)</f>
        <v/>
      </c>
      <c r="R2840" s="15">
        <f>+H2840</f>
        <v>0</v>
      </c>
      <c r="S2840" s="16"/>
      <c r="T2840" s="15">
        <f>+E2840</f>
        <v>0</v>
      </c>
      <c r="U2840" s="26" t="str">
        <f>IFERROR(LEFT(G2840,FIND("*",G2840)-1),"-")</f>
        <v>-</v>
      </c>
      <c r="V2840" s="26" t="str">
        <f>IFERROR(RIGHT(G2840,LEN(G2840)-FIND("*",G2840)),"-")</f>
        <v>-</v>
      </c>
      <c r="W2840" s="27" t="str">
        <f>IFERROR((U2840+V2840)*2/1000,"-")</f>
        <v>-</v>
      </c>
      <c r="X2840" s="27" t="str">
        <f>IFERROR(W2840*H2840,"-")</f>
        <v>-</v>
      </c>
      <c r="Z2840" s="94" t="s">
        <v>82</v>
      </c>
    </row>
    <row r="2841" spans="1:26" s="25" customFormat="1" ht="6.95" customHeight="1" x14ac:dyDescent="0.3">
      <c r="A2841" s="165"/>
      <c r="B2841" s="168"/>
      <c r="C2841" s="169"/>
      <c r="D2841" s="160"/>
      <c r="E2841" s="161"/>
      <c r="F2841" s="162"/>
      <c r="G2841" s="163"/>
      <c r="H2841" s="164"/>
      <c r="I2841" s="163"/>
      <c r="J2841" s="164"/>
      <c r="K2841" s="163"/>
      <c r="L2841" s="164"/>
      <c r="M2841" s="11"/>
      <c r="N2841" s="39"/>
      <c r="Q2841" s="15" t="str">
        <f>+CONCATENATE(E2840,I2840)</f>
        <v/>
      </c>
      <c r="R2841" s="15">
        <f>+J2840</f>
        <v>0</v>
      </c>
      <c r="S2841" s="16"/>
      <c r="T2841" s="15">
        <f>+E2840</f>
        <v>0</v>
      </c>
      <c r="U2841" s="26" t="str">
        <f>IFERROR(LEFT(I2840,FIND("*",I2840)-1),"-")</f>
        <v>-</v>
      </c>
      <c r="V2841" s="26" t="str">
        <f>IFERROR(RIGHT(I2840,LEN(I2840)-FIND("*",I2840)),"-")</f>
        <v>-</v>
      </c>
      <c r="W2841" s="27" t="str">
        <f t="shared" ref="W2841:W2848" si="1546">IFERROR((U2841+V2841)*2/1000,"-")</f>
        <v>-</v>
      </c>
      <c r="X2841" s="27" t="str">
        <f>IFERROR(W2841*J2840,"-")</f>
        <v>-</v>
      </c>
      <c r="Z2841" s="94" t="s">
        <v>82</v>
      </c>
    </row>
    <row r="2842" spans="1:26" s="25" customFormat="1" ht="6.95" customHeight="1" x14ac:dyDescent="0.3">
      <c r="A2842" s="165"/>
      <c r="B2842" s="168"/>
      <c r="C2842" s="169"/>
      <c r="D2842" s="160"/>
      <c r="E2842" s="161"/>
      <c r="F2842" s="162"/>
      <c r="G2842" s="163"/>
      <c r="H2842" s="164"/>
      <c r="I2842" s="163"/>
      <c r="J2842" s="164"/>
      <c r="K2842" s="163"/>
      <c r="L2842" s="164"/>
      <c r="M2842" s="11"/>
      <c r="N2842" s="39"/>
      <c r="Q2842" s="15" t="str">
        <f>+CONCATENATE(E2840,K2840)</f>
        <v/>
      </c>
      <c r="R2842" s="15">
        <f>+L2840</f>
        <v>0</v>
      </c>
      <c r="S2842" s="16"/>
      <c r="T2842" s="15">
        <f>+E2840</f>
        <v>0</v>
      </c>
      <c r="U2842" s="26" t="str">
        <f>IFERROR(LEFT(K2840,FIND("*",K2840)-1),"-")</f>
        <v>-</v>
      </c>
      <c r="V2842" s="26" t="str">
        <f>IFERROR(RIGHT(K2840,LEN(K2840)-FIND("*",K2840)),"-")</f>
        <v>-</v>
      </c>
      <c r="W2842" s="27" t="str">
        <f t="shared" si="1546"/>
        <v>-</v>
      </c>
      <c r="X2842" s="27" t="str">
        <f>IFERROR(W2842*L2840,"-")</f>
        <v>-</v>
      </c>
      <c r="Z2842" s="94" t="s">
        <v>82</v>
      </c>
    </row>
    <row r="2843" spans="1:26" s="25" customFormat="1" ht="6.95" customHeight="1" x14ac:dyDescent="0.3">
      <c r="A2843" s="13"/>
      <c r="B2843" s="168"/>
      <c r="C2843" s="169"/>
      <c r="D2843" s="160" t="s">
        <v>39</v>
      </c>
      <c r="E2843" s="161"/>
      <c r="F2843" s="162" t="s">
        <v>40</v>
      </c>
      <c r="G2843" s="163"/>
      <c r="H2843" s="164"/>
      <c r="I2843" s="163"/>
      <c r="J2843" s="164"/>
      <c r="K2843" s="163"/>
      <c r="L2843" s="164"/>
      <c r="M2843" s="11"/>
      <c r="N2843" s="39"/>
      <c r="Q2843" s="15" t="str">
        <f>+CONCATENATE(E2843,G2843)</f>
        <v/>
      </c>
      <c r="R2843" s="15">
        <f>+H2843</f>
        <v>0</v>
      </c>
      <c r="S2843" s="16"/>
      <c r="T2843" s="15">
        <f>+E2843</f>
        <v>0</v>
      </c>
      <c r="U2843" s="26" t="str">
        <f t="shared" ref="U2843" si="1547">IFERROR(LEFT(G2843,FIND("*",G2843)-1),"-")</f>
        <v>-</v>
      </c>
      <c r="V2843" s="26" t="str">
        <f t="shared" ref="V2843" si="1548">IFERROR(RIGHT(G2843,LEN(G2843)-FIND("*",G2843)),"-")</f>
        <v>-</v>
      </c>
      <c r="W2843" s="27" t="str">
        <f t="shared" si="1546"/>
        <v>-</v>
      </c>
      <c r="X2843" s="27" t="str">
        <f>IFERROR(W2843*H2843,"-")</f>
        <v>-</v>
      </c>
      <c r="Z2843" s="94" t="s">
        <v>82</v>
      </c>
    </row>
    <row r="2844" spans="1:26" s="25" customFormat="1" ht="6.95" customHeight="1" x14ac:dyDescent="0.3">
      <c r="A2844" s="10"/>
      <c r="B2844" s="168"/>
      <c r="C2844" s="169"/>
      <c r="D2844" s="160"/>
      <c r="E2844" s="161"/>
      <c r="F2844" s="162"/>
      <c r="G2844" s="163"/>
      <c r="H2844" s="164"/>
      <c r="I2844" s="163"/>
      <c r="J2844" s="164"/>
      <c r="K2844" s="163"/>
      <c r="L2844" s="164"/>
      <c r="M2844" s="11"/>
      <c r="N2844" s="39"/>
      <c r="Q2844" s="15" t="str">
        <f>+CONCATENATE(E2843,I2843)</f>
        <v/>
      </c>
      <c r="R2844" s="15">
        <f>+J2843</f>
        <v>0</v>
      </c>
      <c r="S2844" s="16"/>
      <c r="T2844" s="15">
        <f>+E2843</f>
        <v>0</v>
      </c>
      <c r="U2844" s="26" t="str">
        <f>IFERROR(LEFT(I2843,FIND("*",I2843)-1),"-")</f>
        <v>-</v>
      </c>
      <c r="V2844" s="26" t="str">
        <f>IFERROR(RIGHT(I2843,LEN(I2843)-FIND("*",I2843)),"-")</f>
        <v>-</v>
      </c>
      <c r="W2844" s="27" t="str">
        <f t="shared" si="1546"/>
        <v>-</v>
      </c>
      <c r="X2844" s="27" t="str">
        <f>IFERROR(W2844*J2843,"-")</f>
        <v>-</v>
      </c>
      <c r="Z2844" s="94" t="s">
        <v>82</v>
      </c>
    </row>
    <row r="2845" spans="1:26" s="25" customFormat="1" ht="6.95" customHeight="1" x14ac:dyDescent="0.3">
      <c r="A2845" s="10"/>
      <c r="B2845" s="168"/>
      <c r="C2845" s="169"/>
      <c r="D2845" s="160"/>
      <c r="E2845" s="161"/>
      <c r="F2845" s="162"/>
      <c r="G2845" s="163"/>
      <c r="H2845" s="164"/>
      <c r="I2845" s="163"/>
      <c r="J2845" s="164"/>
      <c r="K2845" s="163"/>
      <c r="L2845" s="164"/>
      <c r="M2845" s="11"/>
      <c r="N2845" s="39"/>
      <c r="Q2845" s="15" t="str">
        <f>+CONCATENATE(E2843,K2843)</f>
        <v/>
      </c>
      <c r="R2845" s="15">
        <f>+L2843</f>
        <v>0</v>
      </c>
      <c r="S2845" s="16"/>
      <c r="T2845" s="15">
        <f>+E2843</f>
        <v>0</v>
      </c>
      <c r="U2845" s="26" t="str">
        <f>IFERROR(LEFT(K2843,FIND("*",K2843)-1),"-")</f>
        <v>-</v>
      </c>
      <c r="V2845" s="26" t="str">
        <f>IFERROR(RIGHT(K2843,LEN(K2843)-FIND("*",K2843)),"-")</f>
        <v>-</v>
      </c>
      <c r="W2845" s="27" t="str">
        <f t="shared" si="1546"/>
        <v>-</v>
      </c>
      <c r="X2845" s="27" t="str">
        <f>IFERROR(W2845*L2843,"-")</f>
        <v>-</v>
      </c>
      <c r="Z2845" s="94" t="s">
        <v>82</v>
      </c>
    </row>
    <row r="2846" spans="1:26" s="25" customFormat="1" ht="6.95" customHeight="1" x14ac:dyDescent="0.3">
      <c r="A2846" s="13"/>
      <c r="B2846" s="168"/>
      <c r="C2846" s="169"/>
      <c r="D2846" s="160" t="s">
        <v>39</v>
      </c>
      <c r="E2846" s="161"/>
      <c r="F2846" s="162" t="s">
        <v>40</v>
      </c>
      <c r="G2846" s="163"/>
      <c r="H2846" s="164"/>
      <c r="I2846" s="163"/>
      <c r="J2846" s="164"/>
      <c r="K2846" s="163"/>
      <c r="L2846" s="164"/>
      <c r="M2846" s="11"/>
      <c r="N2846" s="39"/>
      <c r="Q2846" s="15" t="str">
        <f>+CONCATENATE(E2846,G2846)</f>
        <v/>
      </c>
      <c r="R2846" s="15">
        <f>+H2846</f>
        <v>0</v>
      </c>
      <c r="S2846" s="16"/>
      <c r="T2846" s="15">
        <f>+E2846</f>
        <v>0</v>
      </c>
      <c r="U2846" s="26" t="str">
        <f t="shared" ref="U2846" si="1549">IFERROR(LEFT(G2846,FIND("*",G2846)-1),"-")</f>
        <v>-</v>
      </c>
      <c r="V2846" s="26" t="str">
        <f t="shared" ref="V2846" si="1550">IFERROR(RIGHT(G2846,LEN(G2846)-FIND("*",G2846)),"-")</f>
        <v>-</v>
      </c>
      <c r="W2846" s="27" t="str">
        <f t="shared" si="1546"/>
        <v>-</v>
      </c>
      <c r="X2846" s="27" t="str">
        <f>IFERROR(W2846*H2846,"-")</f>
        <v>-</v>
      </c>
      <c r="Z2846" s="94" t="s">
        <v>82</v>
      </c>
    </row>
    <row r="2847" spans="1:26" s="25" customFormat="1" ht="6.95" customHeight="1" x14ac:dyDescent="0.3">
      <c r="A2847" s="10"/>
      <c r="B2847" s="168"/>
      <c r="C2847" s="169"/>
      <c r="D2847" s="160"/>
      <c r="E2847" s="161"/>
      <c r="F2847" s="162"/>
      <c r="G2847" s="163"/>
      <c r="H2847" s="164"/>
      <c r="I2847" s="163"/>
      <c r="J2847" s="164"/>
      <c r="K2847" s="163"/>
      <c r="L2847" s="164"/>
      <c r="M2847" s="11"/>
      <c r="N2847" s="39"/>
      <c r="Q2847" s="15" t="str">
        <f>+CONCATENATE(E2846,I2846)</f>
        <v/>
      </c>
      <c r="R2847" s="15">
        <f>+J2846</f>
        <v>0</v>
      </c>
      <c r="S2847" s="16"/>
      <c r="T2847" s="15">
        <f>+E2846</f>
        <v>0</v>
      </c>
      <c r="U2847" s="26" t="str">
        <f>IFERROR(LEFT(I2846,FIND("*",I2846)-1),"-")</f>
        <v>-</v>
      </c>
      <c r="V2847" s="26" t="str">
        <f>IFERROR(RIGHT(I2846,LEN(I2846)-FIND("*",I2846)),"-")</f>
        <v>-</v>
      </c>
      <c r="W2847" s="27" t="str">
        <f t="shared" si="1546"/>
        <v>-</v>
      </c>
      <c r="X2847" s="27" t="str">
        <f t="shared" ref="X2847" si="1551">IFERROR(W2847*J2846,"-")</f>
        <v>-</v>
      </c>
      <c r="Z2847" s="94" t="s">
        <v>82</v>
      </c>
    </row>
    <row r="2848" spans="1:26" s="25" customFormat="1" ht="6.95" customHeight="1" x14ac:dyDescent="0.3">
      <c r="A2848" s="10"/>
      <c r="B2848" s="168"/>
      <c r="C2848" s="169"/>
      <c r="D2848" s="160"/>
      <c r="E2848" s="161"/>
      <c r="F2848" s="162"/>
      <c r="G2848" s="163"/>
      <c r="H2848" s="164"/>
      <c r="I2848" s="163"/>
      <c r="J2848" s="164"/>
      <c r="K2848" s="163"/>
      <c r="L2848" s="164"/>
      <c r="M2848" s="11"/>
      <c r="N2848" s="39"/>
      <c r="Q2848" s="15" t="str">
        <f>+CONCATENATE(E2846,K2846)</f>
        <v/>
      </c>
      <c r="R2848" s="15">
        <f>+L2846</f>
        <v>0</v>
      </c>
      <c r="S2848" s="16"/>
      <c r="T2848" s="15">
        <f>+E2846</f>
        <v>0</v>
      </c>
      <c r="U2848" s="26" t="str">
        <f>IFERROR(LEFT(K2846,FIND("*",K2846)-1),"-")</f>
        <v>-</v>
      </c>
      <c r="V2848" s="26" t="str">
        <f>IFERROR(RIGHT(K2846,LEN(K2846)-FIND("*",K2846)),"-")</f>
        <v>-</v>
      </c>
      <c r="W2848" s="27" t="str">
        <f t="shared" si="1546"/>
        <v>-</v>
      </c>
      <c r="X2848" s="27" t="str">
        <f>IFERROR(W2848*L2846,"-")</f>
        <v>-</v>
      </c>
      <c r="Z2848" s="94" t="s">
        <v>82</v>
      </c>
    </row>
    <row r="2849" spans="1:26" s="25" customFormat="1" ht="21" customHeight="1" thickBot="1" x14ac:dyDescent="0.35">
      <c r="A2849" s="10"/>
      <c r="B2849" s="170"/>
      <c r="C2849" s="171"/>
      <c r="D2849" s="172" t="s">
        <v>43</v>
      </c>
      <c r="E2849" s="173"/>
      <c r="F2849" s="173"/>
      <c r="G2849" s="174"/>
      <c r="H2849" s="174"/>
      <c r="I2849" s="174"/>
      <c r="J2849" s="174"/>
      <c r="K2849" s="174"/>
      <c r="L2849" s="174"/>
      <c r="M2849" s="12"/>
      <c r="N2849" s="39"/>
      <c r="U2849" s="23"/>
      <c r="V2849" s="23"/>
      <c r="Z2849" s="95" t="s">
        <v>81</v>
      </c>
    </row>
    <row r="2850" spans="1:26" s="25" customFormat="1" ht="9.9499999999999993" customHeight="1" thickBot="1" x14ac:dyDescent="0.35">
      <c r="A2850" s="6"/>
      <c r="B2850" s="14"/>
      <c r="C2850" s="119"/>
      <c r="D2850" s="58"/>
      <c r="E2850" s="17"/>
      <c r="F2850" s="58"/>
      <c r="G2850" s="19"/>
      <c r="H2850" s="19"/>
      <c r="I2850" s="19"/>
      <c r="J2850" s="19"/>
      <c r="K2850" s="19"/>
      <c r="L2850" s="19"/>
      <c r="M2850" s="14"/>
      <c r="N2850" s="39"/>
      <c r="Q2850" s="1"/>
      <c r="R2850" s="1"/>
      <c r="S2850" s="1"/>
      <c r="T2850" s="1"/>
      <c r="U2850" s="24"/>
      <c r="V2850" s="24"/>
      <c r="W2850" s="1"/>
      <c r="X2850" s="1"/>
      <c r="Z2850" s="94" t="s">
        <v>82</v>
      </c>
    </row>
    <row r="2851" spans="1:26" s="25" customFormat="1" ht="6.95" customHeight="1" x14ac:dyDescent="0.3">
      <c r="A2851" s="165">
        <f>+A2840+1</f>
        <v>260</v>
      </c>
      <c r="B2851" s="166"/>
      <c r="C2851" s="167"/>
      <c r="D2851" s="160" t="s">
        <v>39</v>
      </c>
      <c r="E2851" s="161"/>
      <c r="F2851" s="162" t="s">
        <v>40</v>
      </c>
      <c r="G2851" s="163"/>
      <c r="H2851" s="164"/>
      <c r="I2851" s="163"/>
      <c r="J2851" s="164"/>
      <c r="K2851" s="163"/>
      <c r="L2851" s="164"/>
      <c r="M2851" s="11"/>
      <c r="N2851" s="39"/>
      <c r="Q2851" s="15" t="str">
        <f>+CONCATENATE(E2851,G2851)</f>
        <v/>
      </c>
      <c r="R2851" s="15">
        <f>+H2851</f>
        <v>0</v>
      </c>
      <c r="S2851" s="16"/>
      <c r="T2851" s="15">
        <f>+E2851</f>
        <v>0</v>
      </c>
      <c r="U2851" s="26" t="str">
        <f>IFERROR(LEFT(G2851,FIND("*",G2851)-1),"-")</f>
        <v>-</v>
      </c>
      <c r="V2851" s="26" t="str">
        <f>IFERROR(RIGHT(G2851,LEN(G2851)-FIND("*",G2851)),"-")</f>
        <v>-</v>
      </c>
      <c r="W2851" s="27" t="str">
        <f>IFERROR((U2851+V2851)*2/1000,"-")</f>
        <v>-</v>
      </c>
      <c r="X2851" s="27" t="str">
        <f>IFERROR(W2851*H2851,"-")</f>
        <v>-</v>
      </c>
      <c r="Z2851" s="94" t="s">
        <v>82</v>
      </c>
    </row>
    <row r="2852" spans="1:26" s="25" customFormat="1" ht="6.95" customHeight="1" x14ac:dyDescent="0.3">
      <c r="A2852" s="165"/>
      <c r="B2852" s="168"/>
      <c r="C2852" s="169"/>
      <c r="D2852" s="160"/>
      <c r="E2852" s="161"/>
      <c r="F2852" s="162"/>
      <c r="G2852" s="163"/>
      <c r="H2852" s="164"/>
      <c r="I2852" s="163"/>
      <c r="J2852" s="164"/>
      <c r="K2852" s="163"/>
      <c r="L2852" s="164"/>
      <c r="M2852" s="11"/>
      <c r="N2852" s="39"/>
      <c r="Q2852" s="15" t="str">
        <f>+CONCATENATE(E2851,I2851)</f>
        <v/>
      </c>
      <c r="R2852" s="15">
        <f>+J2851</f>
        <v>0</v>
      </c>
      <c r="S2852" s="16"/>
      <c r="T2852" s="15">
        <f>+E2851</f>
        <v>0</v>
      </c>
      <c r="U2852" s="26" t="str">
        <f>IFERROR(LEFT(I2851,FIND("*",I2851)-1),"-")</f>
        <v>-</v>
      </c>
      <c r="V2852" s="26" t="str">
        <f>IFERROR(RIGHT(I2851,LEN(I2851)-FIND("*",I2851)),"-")</f>
        <v>-</v>
      </c>
      <c r="W2852" s="27" t="str">
        <f t="shared" ref="W2852:W2859" si="1552">IFERROR((U2852+V2852)*2/1000,"-")</f>
        <v>-</v>
      </c>
      <c r="X2852" s="27" t="str">
        <f>IFERROR(W2852*J2851,"-")</f>
        <v>-</v>
      </c>
      <c r="Z2852" s="94" t="s">
        <v>82</v>
      </c>
    </row>
    <row r="2853" spans="1:26" s="25" customFormat="1" ht="6.95" customHeight="1" x14ac:dyDescent="0.3">
      <c r="A2853" s="165"/>
      <c r="B2853" s="168"/>
      <c r="C2853" s="169"/>
      <c r="D2853" s="160"/>
      <c r="E2853" s="161"/>
      <c r="F2853" s="162"/>
      <c r="G2853" s="163"/>
      <c r="H2853" s="164"/>
      <c r="I2853" s="163"/>
      <c r="J2853" s="164"/>
      <c r="K2853" s="163"/>
      <c r="L2853" s="164"/>
      <c r="M2853" s="11"/>
      <c r="N2853" s="39"/>
      <c r="Q2853" s="15" t="str">
        <f>+CONCATENATE(E2851,K2851)</f>
        <v/>
      </c>
      <c r="R2853" s="15">
        <f>+L2851</f>
        <v>0</v>
      </c>
      <c r="S2853" s="16"/>
      <c r="T2853" s="15">
        <f>+E2851</f>
        <v>0</v>
      </c>
      <c r="U2853" s="26" t="str">
        <f>IFERROR(LEFT(K2851,FIND("*",K2851)-1),"-")</f>
        <v>-</v>
      </c>
      <c r="V2853" s="26" t="str">
        <f>IFERROR(RIGHT(K2851,LEN(K2851)-FIND("*",K2851)),"-")</f>
        <v>-</v>
      </c>
      <c r="W2853" s="27" t="str">
        <f t="shared" si="1552"/>
        <v>-</v>
      </c>
      <c r="X2853" s="27" t="str">
        <f>IFERROR(W2853*L2851,"-")</f>
        <v>-</v>
      </c>
      <c r="Z2853" s="94" t="s">
        <v>82</v>
      </c>
    </row>
    <row r="2854" spans="1:26" s="25" customFormat="1" ht="6.95" customHeight="1" x14ac:dyDescent="0.3">
      <c r="A2854" s="13"/>
      <c r="B2854" s="168"/>
      <c r="C2854" s="169"/>
      <c r="D2854" s="160" t="s">
        <v>39</v>
      </c>
      <c r="E2854" s="161"/>
      <c r="F2854" s="162" t="s">
        <v>40</v>
      </c>
      <c r="G2854" s="163"/>
      <c r="H2854" s="164"/>
      <c r="I2854" s="163"/>
      <c r="J2854" s="164"/>
      <c r="K2854" s="163"/>
      <c r="L2854" s="164"/>
      <c r="M2854" s="11"/>
      <c r="N2854" s="39"/>
      <c r="Q2854" s="15" t="str">
        <f>+CONCATENATE(E2854,G2854)</f>
        <v/>
      </c>
      <c r="R2854" s="15">
        <f>+H2854</f>
        <v>0</v>
      </c>
      <c r="S2854" s="16"/>
      <c r="T2854" s="15">
        <f>+E2854</f>
        <v>0</v>
      </c>
      <c r="U2854" s="26" t="str">
        <f t="shared" ref="U2854" si="1553">IFERROR(LEFT(G2854,FIND("*",G2854)-1),"-")</f>
        <v>-</v>
      </c>
      <c r="V2854" s="26" t="str">
        <f t="shared" ref="V2854" si="1554">IFERROR(RIGHT(G2854,LEN(G2854)-FIND("*",G2854)),"-")</f>
        <v>-</v>
      </c>
      <c r="W2854" s="27" t="str">
        <f t="shared" si="1552"/>
        <v>-</v>
      </c>
      <c r="X2854" s="27" t="str">
        <f>IFERROR(W2854*H2854,"-")</f>
        <v>-</v>
      </c>
      <c r="Z2854" s="94" t="s">
        <v>82</v>
      </c>
    </row>
    <row r="2855" spans="1:26" s="25" customFormat="1" ht="6.95" customHeight="1" x14ac:dyDescent="0.3">
      <c r="A2855" s="10"/>
      <c r="B2855" s="168"/>
      <c r="C2855" s="169"/>
      <c r="D2855" s="160"/>
      <c r="E2855" s="161"/>
      <c r="F2855" s="162"/>
      <c r="G2855" s="163"/>
      <c r="H2855" s="164"/>
      <c r="I2855" s="163"/>
      <c r="J2855" s="164"/>
      <c r="K2855" s="163"/>
      <c r="L2855" s="164"/>
      <c r="M2855" s="11"/>
      <c r="N2855" s="39"/>
      <c r="Q2855" s="15" t="str">
        <f>+CONCATENATE(E2854,I2854)</f>
        <v/>
      </c>
      <c r="R2855" s="15">
        <f>+J2854</f>
        <v>0</v>
      </c>
      <c r="S2855" s="16"/>
      <c r="T2855" s="15">
        <f>+E2854</f>
        <v>0</v>
      </c>
      <c r="U2855" s="26" t="str">
        <f>IFERROR(LEFT(I2854,FIND("*",I2854)-1),"-")</f>
        <v>-</v>
      </c>
      <c r="V2855" s="26" t="str">
        <f>IFERROR(RIGHT(I2854,LEN(I2854)-FIND("*",I2854)),"-")</f>
        <v>-</v>
      </c>
      <c r="W2855" s="27" t="str">
        <f t="shared" si="1552"/>
        <v>-</v>
      </c>
      <c r="X2855" s="27" t="str">
        <f>IFERROR(W2855*J2854,"-")</f>
        <v>-</v>
      </c>
      <c r="Z2855" s="94" t="s">
        <v>82</v>
      </c>
    </row>
    <row r="2856" spans="1:26" s="25" customFormat="1" ht="6.95" customHeight="1" x14ac:dyDescent="0.3">
      <c r="A2856" s="10"/>
      <c r="B2856" s="168"/>
      <c r="C2856" s="169"/>
      <c r="D2856" s="160"/>
      <c r="E2856" s="161"/>
      <c r="F2856" s="162"/>
      <c r="G2856" s="163"/>
      <c r="H2856" s="164"/>
      <c r="I2856" s="163"/>
      <c r="J2856" s="164"/>
      <c r="K2856" s="163"/>
      <c r="L2856" s="164"/>
      <c r="M2856" s="11"/>
      <c r="N2856" s="39"/>
      <c r="Q2856" s="15" t="str">
        <f>+CONCATENATE(E2854,K2854)</f>
        <v/>
      </c>
      <c r="R2856" s="15">
        <f>+L2854</f>
        <v>0</v>
      </c>
      <c r="S2856" s="16"/>
      <c r="T2856" s="15">
        <f>+E2854</f>
        <v>0</v>
      </c>
      <c r="U2856" s="26" t="str">
        <f>IFERROR(LEFT(K2854,FIND("*",K2854)-1),"-")</f>
        <v>-</v>
      </c>
      <c r="V2856" s="26" t="str">
        <f>IFERROR(RIGHT(K2854,LEN(K2854)-FIND("*",K2854)),"-")</f>
        <v>-</v>
      </c>
      <c r="W2856" s="27" t="str">
        <f t="shared" si="1552"/>
        <v>-</v>
      </c>
      <c r="X2856" s="27" t="str">
        <f>IFERROR(W2856*L2854,"-")</f>
        <v>-</v>
      </c>
      <c r="Z2856" s="94" t="s">
        <v>82</v>
      </c>
    </row>
    <row r="2857" spans="1:26" s="25" customFormat="1" ht="6.95" customHeight="1" x14ac:dyDescent="0.3">
      <c r="A2857" s="13"/>
      <c r="B2857" s="168"/>
      <c r="C2857" s="169"/>
      <c r="D2857" s="160" t="s">
        <v>39</v>
      </c>
      <c r="E2857" s="161"/>
      <c r="F2857" s="162" t="s">
        <v>40</v>
      </c>
      <c r="G2857" s="163"/>
      <c r="H2857" s="164"/>
      <c r="I2857" s="163"/>
      <c r="J2857" s="164"/>
      <c r="K2857" s="163"/>
      <c r="L2857" s="164"/>
      <c r="M2857" s="11"/>
      <c r="N2857" s="39"/>
      <c r="Q2857" s="15" t="str">
        <f>+CONCATENATE(E2857,G2857)</f>
        <v/>
      </c>
      <c r="R2857" s="15">
        <f>+H2857</f>
        <v>0</v>
      </c>
      <c r="S2857" s="16"/>
      <c r="T2857" s="15">
        <f>+E2857</f>
        <v>0</v>
      </c>
      <c r="U2857" s="26" t="str">
        <f t="shared" ref="U2857" si="1555">IFERROR(LEFT(G2857,FIND("*",G2857)-1),"-")</f>
        <v>-</v>
      </c>
      <c r="V2857" s="26" t="str">
        <f t="shared" ref="V2857" si="1556">IFERROR(RIGHT(G2857,LEN(G2857)-FIND("*",G2857)),"-")</f>
        <v>-</v>
      </c>
      <c r="W2857" s="27" t="str">
        <f t="shared" si="1552"/>
        <v>-</v>
      </c>
      <c r="X2857" s="27" t="str">
        <f>IFERROR(W2857*H2857,"-")</f>
        <v>-</v>
      </c>
      <c r="Z2857" s="94" t="s">
        <v>82</v>
      </c>
    </row>
    <row r="2858" spans="1:26" s="25" customFormat="1" ht="6.95" customHeight="1" x14ac:dyDescent="0.3">
      <c r="A2858" s="10"/>
      <c r="B2858" s="168"/>
      <c r="C2858" s="169"/>
      <c r="D2858" s="160"/>
      <c r="E2858" s="161"/>
      <c r="F2858" s="162"/>
      <c r="G2858" s="163"/>
      <c r="H2858" s="164"/>
      <c r="I2858" s="163"/>
      <c r="J2858" s="164"/>
      <c r="K2858" s="163"/>
      <c r="L2858" s="164"/>
      <c r="M2858" s="11"/>
      <c r="N2858" s="39"/>
      <c r="Q2858" s="15" t="str">
        <f>+CONCATENATE(E2857,I2857)</f>
        <v/>
      </c>
      <c r="R2858" s="15">
        <f>+J2857</f>
        <v>0</v>
      </c>
      <c r="S2858" s="16"/>
      <c r="T2858" s="15">
        <f>+E2857</f>
        <v>0</v>
      </c>
      <c r="U2858" s="26" t="str">
        <f>IFERROR(LEFT(I2857,FIND("*",I2857)-1),"-")</f>
        <v>-</v>
      </c>
      <c r="V2858" s="26" t="str">
        <f>IFERROR(RIGHT(I2857,LEN(I2857)-FIND("*",I2857)),"-")</f>
        <v>-</v>
      </c>
      <c r="W2858" s="27" t="str">
        <f t="shared" si="1552"/>
        <v>-</v>
      </c>
      <c r="X2858" s="27" t="str">
        <f t="shared" ref="X2858" si="1557">IFERROR(W2858*J2857,"-")</f>
        <v>-</v>
      </c>
      <c r="Z2858" s="94" t="s">
        <v>82</v>
      </c>
    </row>
    <row r="2859" spans="1:26" s="25" customFormat="1" ht="6.95" customHeight="1" x14ac:dyDescent="0.3">
      <c r="A2859" s="10"/>
      <c r="B2859" s="168"/>
      <c r="C2859" s="169"/>
      <c r="D2859" s="160"/>
      <c r="E2859" s="161"/>
      <c r="F2859" s="162"/>
      <c r="G2859" s="163"/>
      <c r="H2859" s="164"/>
      <c r="I2859" s="163"/>
      <c r="J2859" s="164"/>
      <c r="K2859" s="163"/>
      <c r="L2859" s="164"/>
      <c r="M2859" s="11"/>
      <c r="N2859" s="39"/>
      <c r="Q2859" s="15" t="str">
        <f>+CONCATENATE(E2857,K2857)</f>
        <v/>
      </c>
      <c r="R2859" s="15">
        <f>+L2857</f>
        <v>0</v>
      </c>
      <c r="S2859" s="16"/>
      <c r="T2859" s="15">
        <f>+E2857</f>
        <v>0</v>
      </c>
      <c r="U2859" s="26" t="str">
        <f>IFERROR(LEFT(K2857,FIND("*",K2857)-1),"-")</f>
        <v>-</v>
      </c>
      <c r="V2859" s="26" t="str">
        <f>IFERROR(RIGHT(K2857,LEN(K2857)-FIND("*",K2857)),"-")</f>
        <v>-</v>
      </c>
      <c r="W2859" s="27" t="str">
        <f t="shared" si="1552"/>
        <v>-</v>
      </c>
      <c r="X2859" s="27" t="str">
        <f>IFERROR(W2859*L2857,"-")</f>
        <v>-</v>
      </c>
      <c r="Z2859" s="94" t="s">
        <v>82</v>
      </c>
    </row>
    <row r="2860" spans="1:26" s="25" customFormat="1" ht="21" customHeight="1" thickBot="1" x14ac:dyDescent="0.35">
      <c r="A2860" s="10"/>
      <c r="B2860" s="170"/>
      <c r="C2860" s="171"/>
      <c r="D2860" s="172" t="s">
        <v>43</v>
      </c>
      <c r="E2860" s="173"/>
      <c r="F2860" s="173"/>
      <c r="G2860" s="174"/>
      <c r="H2860" s="174"/>
      <c r="I2860" s="174"/>
      <c r="J2860" s="174"/>
      <c r="K2860" s="174"/>
      <c r="L2860" s="174"/>
      <c r="M2860" s="12"/>
      <c r="N2860" s="39"/>
      <c r="U2860" s="23"/>
      <c r="V2860" s="23"/>
      <c r="Z2860" s="95" t="s">
        <v>81</v>
      </c>
    </row>
    <row r="2861" spans="1:26" s="25" customFormat="1" ht="9.9499999999999993" customHeight="1" thickBot="1" x14ac:dyDescent="0.35">
      <c r="A2861" s="6"/>
      <c r="B2861" s="14"/>
      <c r="C2861" s="119"/>
      <c r="D2861" s="58"/>
      <c r="E2861" s="17"/>
      <c r="F2861" s="58"/>
      <c r="G2861" s="19"/>
      <c r="H2861" s="19"/>
      <c r="I2861" s="19"/>
      <c r="J2861" s="19"/>
      <c r="K2861" s="19"/>
      <c r="L2861" s="19"/>
      <c r="M2861" s="14"/>
      <c r="N2861" s="39"/>
      <c r="Q2861" s="1"/>
      <c r="R2861" s="1"/>
      <c r="S2861" s="1"/>
      <c r="T2861" s="1"/>
      <c r="U2861" s="24"/>
      <c r="V2861" s="24"/>
      <c r="W2861" s="1"/>
      <c r="X2861" s="1"/>
      <c r="Z2861" s="94" t="s">
        <v>82</v>
      </c>
    </row>
    <row r="2862" spans="1:26" s="25" customFormat="1" ht="6.95" customHeight="1" x14ac:dyDescent="0.3">
      <c r="A2862" s="165">
        <f>+A2851+1</f>
        <v>261</v>
      </c>
      <c r="B2862" s="166"/>
      <c r="C2862" s="167"/>
      <c r="D2862" s="160" t="s">
        <v>39</v>
      </c>
      <c r="E2862" s="161"/>
      <c r="F2862" s="162" t="s">
        <v>40</v>
      </c>
      <c r="G2862" s="163"/>
      <c r="H2862" s="164"/>
      <c r="I2862" s="163"/>
      <c r="J2862" s="164"/>
      <c r="K2862" s="163"/>
      <c r="L2862" s="164"/>
      <c r="M2862" s="11"/>
      <c r="N2862" s="39"/>
      <c r="Q2862" s="15" t="str">
        <f>+CONCATENATE(E2862,G2862)</f>
        <v/>
      </c>
      <c r="R2862" s="15">
        <f>+H2862</f>
        <v>0</v>
      </c>
      <c r="S2862" s="16"/>
      <c r="T2862" s="15">
        <f>+E2862</f>
        <v>0</v>
      </c>
      <c r="U2862" s="26" t="str">
        <f>IFERROR(LEFT(G2862,FIND("*",G2862)-1),"-")</f>
        <v>-</v>
      </c>
      <c r="V2862" s="26" t="str">
        <f>IFERROR(RIGHT(G2862,LEN(G2862)-FIND("*",G2862)),"-")</f>
        <v>-</v>
      </c>
      <c r="W2862" s="27" t="str">
        <f>IFERROR((U2862+V2862)*2/1000,"-")</f>
        <v>-</v>
      </c>
      <c r="X2862" s="27" t="str">
        <f>IFERROR(W2862*H2862,"-")</f>
        <v>-</v>
      </c>
      <c r="Z2862" s="94" t="s">
        <v>82</v>
      </c>
    </row>
    <row r="2863" spans="1:26" s="25" customFormat="1" ht="6.95" customHeight="1" x14ac:dyDescent="0.3">
      <c r="A2863" s="165"/>
      <c r="B2863" s="168"/>
      <c r="C2863" s="169"/>
      <c r="D2863" s="160"/>
      <c r="E2863" s="161"/>
      <c r="F2863" s="162"/>
      <c r="G2863" s="163"/>
      <c r="H2863" s="164"/>
      <c r="I2863" s="163"/>
      <c r="J2863" s="164"/>
      <c r="K2863" s="163"/>
      <c r="L2863" s="164"/>
      <c r="M2863" s="11"/>
      <c r="N2863" s="39"/>
      <c r="Q2863" s="15" t="str">
        <f>+CONCATENATE(E2862,I2862)</f>
        <v/>
      </c>
      <c r="R2863" s="15">
        <f>+J2862</f>
        <v>0</v>
      </c>
      <c r="S2863" s="16"/>
      <c r="T2863" s="15">
        <f>+E2862</f>
        <v>0</v>
      </c>
      <c r="U2863" s="26" t="str">
        <f>IFERROR(LEFT(I2862,FIND("*",I2862)-1),"-")</f>
        <v>-</v>
      </c>
      <c r="V2863" s="26" t="str">
        <f>IFERROR(RIGHT(I2862,LEN(I2862)-FIND("*",I2862)),"-")</f>
        <v>-</v>
      </c>
      <c r="W2863" s="27" t="str">
        <f t="shared" ref="W2863:W2870" si="1558">IFERROR((U2863+V2863)*2/1000,"-")</f>
        <v>-</v>
      </c>
      <c r="X2863" s="27" t="str">
        <f>IFERROR(W2863*J2862,"-")</f>
        <v>-</v>
      </c>
      <c r="Z2863" s="94" t="s">
        <v>82</v>
      </c>
    </row>
    <row r="2864" spans="1:26" s="25" customFormat="1" ht="6.95" customHeight="1" x14ac:dyDescent="0.3">
      <c r="A2864" s="165"/>
      <c r="B2864" s="168"/>
      <c r="C2864" s="169"/>
      <c r="D2864" s="160"/>
      <c r="E2864" s="161"/>
      <c r="F2864" s="162"/>
      <c r="G2864" s="163"/>
      <c r="H2864" s="164"/>
      <c r="I2864" s="163"/>
      <c r="J2864" s="164"/>
      <c r="K2864" s="163"/>
      <c r="L2864" s="164"/>
      <c r="M2864" s="11"/>
      <c r="N2864" s="39"/>
      <c r="Q2864" s="15" t="str">
        <f>+CONCATENATE(E2862,K2862)</f>
        <v/>
      </c>
      <c r="R2864" s="15">
        <f>+L2862</f>
        <v>0</v>
      </c>
      <c r="S2864" s="16"/>
      <c r="T2864" s="15">
        <f>+E2862</f>
        <v>0</v>
      </c>
      <c r="U2864" s="26" t="str">
        <f>IFERROR(LEFT(K2862,FIND("*",K2862)-1),"-")</f>
        <v>-</v>
      </c>
      <c r="V2864" s="26" t="str">
        <f>IFERROR(RIGHT(K2862,LEN(K2862)-FIND("*",K2862)),"-")</f>
        <v>-</v>
      </c>
      <c r="W2864" s="27" t="str">
        <f t="shared" si="1558"/>
        <v>-</v>
      </c>
      <c r="X2864" s="27" t="str">
        <f>IFERROR(W2864*L2862,"-")</f>
        <v>-</v>
      </c>
      <c r="Z2864" s="94" t="s">
        <v>82</v>
      </c>
    </row>
    <row r="2865" spans="1:26" s="25" customFormat="1" ht="6.95" customHeight="1" x14ac:dyDescent="0.3">
      <c r="A2865" s="13"/>
      <c r="B2865" s="168"/>
      <c r="C2865" s="169"/>
      <c r="D2865" s="160" t="s">
        <v>39</v>
      </c>
      <c r="E2865" s="161"/>
      <c r="F2865" s="162" t="s">
        <v>40</v>
      </c>
      <c r="G2865" s="163"/>
      <c r="H2865" s="164"/>
      <c r="I2865" s="163"/>
      <c r="J2865" s="164"/>
      <c r="K2865" s="163"/>
      <c r="L2865" s="164"/>
      <c r="M2865" s="11"/>
      <c r="N2865" s="39"/>
      <c r="Q2865" s="15" t="str">
        <f>+CONCATENATE(E2865,G2865)</f>
        <v/>
      </c>
      <c r="R2865" s="15">
        <f>+H2865</f>
        <v>0</v>
      </c>
      <c r="S2865" s="16"/>
      <c r="T2865" s="15">
        <f>+E2865</f>
        <v>0</v>
      </c>
      <c r="U2865" s="26" t="str">
        <f t="shared" ref="U2865" si="1559">IFERROR(LEFT(G2865,FIND("*",G2865)-1),"-")</f>
        <v>-</v>
      </c>
      <c r="V2865" s="26" t="str">
        <f t="shared" ref="V2865" si="1560">IFERROR(RIGHT(G2865,LEN(G2865)-FIND("*",G2865)),"-")</f>
        <v>-</v>
      </c>
      <c r="W2865" s="27" t="str">
        <f t="shared" si="1558"/>
        <v>-</v>
      </c>
      <c r="X2865" s="27" t="str">
        <f>IFERROR(W2865*H2865,"-")</f>
        <v>-</v>
      </c>
      <c r="Z2865" s="94" t="s">
        <v>82</v>
      </c>
    </row>
    <row r="2866" spans="1:26" s="25" customFormat="1" ht="6.95" customHeight="1" x14ac:dyDescent="0.3">
      <c r="A2866" s="10"/>
      <c r="B2866" s="168"/>
      <c r="C2866" s="169"/>
      <c r="D2866" s="160"/>
      <c r="E2866" s="161"/>
      <c r="F2866" s="162"/>
      <c r="G2866" s="163"/>
      <c r="H2866" s="164"/>
      <c r="I2866" s="163"/>
      <c r="J2866" s="164"/>
      <c r="K2866" s="163"/>
      <c r="L2866" s="164"/>
      <c r="M2866" s="11"/>
      <c r="N2866" s="39"/>
      <c r="Q2866" s="15" t="str">
        <f>+CONCATENATE(E2865,I2865)</f>
        <v/>
      </c>
      <c r="R2866" s="15">
        <f>+J2865</f>
        <v>0</v>
      </c>
      <c r="S2866" s="16"/>
      <c r="T2866" s="15">
        <f>+E2865</f>
        <v>0</v>
      </c>
      <c r="U2866" s="26" t="str">
        <f>IFERROR(LEFT(I2865,FIND("*",I2865)-1),"-")</f>
        <v>-</v>
      </c>
      <c r="V2866" s="26" t="str">
        <f>IFERROR(RIGHT(I2865,LEN(I2865)-FIND("*",I2865)),"-")</f>
        <v>-</v>
      </c>
      <c r="W2866" s="27" t="str">
        <f t="shared" si="1558"/>
        <v>-</v>
      </c>
      <c r="X2866" s="27" t="str">
        <f>IFERROR(W2866*J2865,"-")</f>
        <v>-</v>
      </c>
      <c r="Z2866" s="94" t="s">
        <v>82</v>
      </c>
    </row>
    <row r="2867" spans="1:26" s="25" customFormat="1" ht="6.95" customHeight="1" x14ac:dyDescent="0.3">
      <c r="A2867" s="10"/>
      <c r="B2867" s="168"/>
      <c r="C2867" s="169"/>
      <c r="D2867" s="160"/>
      <c r="E2867" s="161"/>
      <c r="F2867" s="162"/>
      <c r="G2867" s="163"/>
      <c r="H2867" s="164"/>
      <c r="I2867" s="163"/>
      <c r="J2867" s="164"/>
      <c r="K2867" s="163"/>
      <c r="L2867" s="164"/>
      <c r="M2867" s="11"/>
      <c r="N2867" s="39"/>
      <c r="Q2867" s="15" t="str">
        <f>+CONCATENATE(E2865,K2865)</f>
        <v/>
      </c>
      <c r="R2867" s="15">
        <f>+L2865</f>
        <v>0</v>
      </c>
      <c r="S2867" s="16"/>
      <c r="T2867" s="15">
        <f>+E2865</f>
        <v>0</v>
      </c>
      <c r="U2867" s="26" t="str">
        <f>IFERROR(LEFT(K2865,FIND("*",K2865)-1),"-")</f>
        <v>-</v>
      </c>
      <c r="V2867" s="26" t="str">
        <f>IFERROR(RIGHT(K2865,LEN(K2865)-FIND("*",K2865)),"-")</f>
        <v>-</v>
      </c>
      <c r="W2867" s="27" t="str">
        <f t="shared" si="1558"/>
        <v>-</v>
      </c>
      <c r="X2867" s="27" t="str">
        <f>IFERROR(W2867*L2865,"-")</f>
        <v>-</v>
      </c>
      <c r="Z2867" s="94" t="s">
        <v>82</v>
      </c>
    </row>
    <row r="2868" spans="1:26" s="25" customFormat="1" ht="6.95" customHeight="1" x14ac:dyDescent="0.3">
      <c r="A2868" s="13"/>
      <c r="B2868" s="168"/>
      <c r="C2868" s="169"/>
      <c r="D2868" s="160" t="s">
        <v>39</v>
      </c>
      <c r="E2868" s="161"/>
      <c r="F2868" s="162" t="s">
        <v>40</v>
      </c>
      <c r="G2868" s="163"/>
      <c r="H2868" s="164"/>
      <c r="I2868" s="163"/>
      <c r="J2868" s="164"/>
      <c r="K2868" s="163"/>
      <c r="L2868" s="164"/>
      <c r="M2868" s="11"/>
      <c r="N2868" s="39"/>
      <c r="Q2868" s="15" t="str">
        <f>+CONCATENATE(E2868,G2868)</f>
        <v/>
      </c>
      <c r="R2868" s="15">
        <f>+H2868</f>
        <v>0</v>
      </c>
      <c r="S2868" s="16"/>
      <c r="T2868" s="15">
        <f>+E2868</f>
        <v>0</v>
      </c>
      <c r="U2868" s="26" t="str">
        <f t="shared" ref="U2868" si="1561">IFERROR(LEFT(G2868,FIND("*",G2868)-1),"-")</f>
        <v>-</v>
      </c>
      <c r="V2868" s="26" t="str">
        <f t="shared" ref="V2868" si="1562">IFERROR(RIGHT(G2868,LEN(G2868)-FIND("*",G2868)),"-")</f>
        <v>-</v>
      </c>
      <c r="W2868" s="27" t="str">
        <f t="shared" si="1558"/>
        <v>-</v>
      </c>
      <c r="X2868" s="27" t="str">
        <f>IFERROR(W2868*H2868,"-")</f>
        <v>-</v>
      </c>
      <c r="Z2868" s="94" t="s">
        <v>82</v>
      </c>
    </row>
    <row r="2869" spans="1:26" s="25" customFormat="1" ht="6.95" customHeight="1" x14ac:dyDescent="0.3">
      <c r="A2869" s="10"/>
      <c r="B2869" s="168"/>
      <c r="C2869" s="169"/>
      <c r="D2869" s="160"/>
      <c r="E2869" s="161"/>
      <c r="F2869" s="162"/>
      <c r="G2869" s="163"/>
      <c r="H2869" s="164"/>
      <c r="I2869" s="163"/>
      <c r="J2869" s="164"/>
      <c r="K2869" s="163"/>
      <c r="L2869" s="164"/>
      <c r="M2869" s="11"/>
      <c r="N2869" s="39"/>
      <c r="Q2869" s="15" t="str">
        <f>+CONCATENATE(E2868,I2868)</f>
        <v/>
      </c>
      <c r="R2869" s="15">
        <f>+J2868</f>
        <v>0</v>
      </c>
      <c r="S2869" s="16"/>
      <c r="T2869" s="15">
        <f>+E2868</f>
        <v>0</v>
      </c>
      <c r="U2869" s="26" t="str">
        <f>IFERROR(LEFT(I2868,FIND("*",I2868)-1),"-")</f>
        <v>-</v>
      </c>
      <c r="V2869" s="26" t="str">
        <f>IFERROR(RIGHT(I2868,LEN(I2868)-FIND("*",I2868)),"-")</f>
        <v>-</v>
      </c>
      <c r="W2869" s="27" t="str">
        <f t="shared" si="1558"/>
        <v>-</v>
      </c>
      <c r="X2869" s="27" t="str">
        <f t="shared" ref="X2869" si="1563">IFERROR(W2869*J2868,"-")</f>
        <v>-</v>
      </c>
      <c r="Z2869" s="94" t="s">
        <v>82</v>
      </c>
    </row>
    <row r="2870" spans="1:26" s="25" customFormat="1" ht="6.95" customHeight="1" x14ac:dyDescent="0.3">
      <c r="A2870" s="10"/>
      <c r="B2870" s="168"/>
      <c r="C2870" s="169"/>
      <c r="D2870" s="160"/>
      <c r="E2870" s="161"/>
      <c r="F2870" s="162"/>
      <c r="G2870" s="163"/>
      <c r="H2870" s="164"/>
      <c r="I2870" s="163"/>
      <c r="J2870" s="164"/>
      <c r="K2870" s="163"/>
      <c r="L2870" s="164"/>
      <c r="M2870" s="11"/>
      <c r="N2870" s="39"/>
      <c r="Q2870" s="15" t="str">
        <f>+CONCATENATE(E2868,K2868)</f>
        <v/>
      </c>
      <c r="R2870" s="15">
        <f>+L2868</f>
        <v>0</v>
      </c>
      <c r="S2870" s="16"/>
      <c r="T2870" s="15">
        <f>+E2868</f>
        <v>0</v>
      </c>
      <c r="U2870" s="26" t="str">
        <f>IFERROR(LEFT(K2868,FIND("*",K2868)-1),"-")</f>
        <v>-</v>
      </c>
      <c r="V2870" s="26" t="str">
        <f>IFERROR(RIGHT(K2868,LEN(K2868)-FIND("*",K2868)),"-")</f>
        <v>-</v>
      </c>
      <c r="W2870" s="27" t="str">
        <f t="shared" si="1558"/>
        <v>-</v>
      </c>
      <c r="X2870" s="27" t="str">
        <f>IFERROR(W2870*L2868,"-")</f>
        <v>-</v>
      </c>
      <c r="Z2870" s="94" t="s">
        <v>82</v>
      </c>
    </row>
    <row r="2871" spans="1:26" s="25" customFormat="1" ht="21" customHeight="1" thickBot="1" x14ac:dyDescent="0.35">
      <c r="A2871" s="10"/>
      <c r="B2871" s="170"/>
      <c r="C2871" s="171"/>
      <c r="D2871" s="172" t="s">
        <v>43</v>
      </c>
      <c r="E2871" s="173"/>
      <c r="F2871" s="173"/>
      <c r="G2871" s="174"/>
      <c r="H2871" s="174"/>
      <c r="I2871" s="174"/>
      <c r="J2871" s="174"/>
      <c r="K2871" s="174"/>
      <c r="L2871" s="174"/>
      <c r="M2871" s="12"/>
      <c r="N2871" s="39"/>
      <c r="U2871" s="23"/>
      <c r="V2871" s="23"/>
      <c r="Z2871" s="95" t="s">
        <v>81</v>
      </c>
    </row>
    <row r="2872" spans="1:26" s="25" customFormat="1" ht="9.9499999999999993" customHeight="1" thickBot="1" x14ac:dyDescent="0.35">
      <c r="A2872" s="6"/>
      <c r="B2872" s="14"/>
      <c r="C2872" s="119"/>
      <c r="D2872" s="58"/>
      <c r="E2872" s="17"/>
      <c r="F2872" s="58"/>
      <c r="G2872" s="19"/>
      <c r="H2872" s="19"/>
      <c r="I2872" s="19"/>
      <c r="J2872" s="19"/>
      <c r="K2872" s="19"/>
      <c r="L2872" s="19"/>
      <c r="M2872" s="14"/>
      <c r="N2872" s="39"/>
      <c r="Q2872" s="1"/>
      <c r="R2872" s="1"/>
      <c r="S2872" s="1"/>
      <c r="T2872" s="1"/>
      <c r="U2872" s="24"/>
      <c r="V2872" s="24"/>
      <c r="W2872" s="1"/>
      <c r="X2872" s="1"/>
      <c r="Z2872" s="94" t="s">
        <v>82</v>
      </c>
    </row>
    <row r="2873" spans="1:26" s="25" customFormat="1" ht="6.95" customHeight="1" x14ac:dyDescent="0.3">
      <c r="A2873" s="165">
        <f>+A2862+1</f>
        <v>262</v>
      </c>
      <c r="B2873" s="166"/>
      <c r="C2873" s="167"/>
      <c r="D2873" s="160" t="s">
        <v>39</v>
      </c>
      <c r="E2873" s="161"/>
      <c r="F2873" s="162" t="s">
        <v>40</v>
      </c>
      <c r="G2873" s="163"/>
      <c r="H2873" s="164"/>
      <c r="I2873" s="163"/>
      <c r="J2873" s="164"/>
      <c r="K2873" s="163"/>
      <c r="L2873" s="164"/>
      <c r="M2873" s="11"/>
      <c r="N2873" s="39"/>
      <c r="Q2873" s="15" t="str">
        <f>+CONCATENATE(E2873,G2873)</f>
        <v/>
      </c>
      <c r="R2873" s="15">
        <f>+H2873</f>
        <v>0</v>
      </c>
      <c r="S2873" s="16"/>
      <c r="T2873" s="15">
        <f>+E2873</f>
        <v>0</v>
      </c>
      <c r="U2873" s="26" t="str">
        <f>IFERROR(LEFT(G2873,FIND("*",G2873)-1),"-")</f>
        <v>-</v>
      </c>
      <c r="V2873" s="26" t="str">
        <f>IFERROR(RIGHT(G2873,LEN(G2873)-FIND("*",G2873)),"-")</f>
        <v>-</v>
      </c>
      <c r="W2873" s="27" t="str">
        <f>IFERROR((U2873+V2873)*2/1000,"-")</f>
        <v>-</v>
      </c>
      <c r="X2873" s="27" t="str">
        <f>IFERROR(W2873*H2873,"-")</f>
        <v>-</v>
      </c>
      <c r="Z2873" s="94" t="s">
        <v>82</v>
      </c>
    </row>
    <row r="2874" spans="1:26" s="25" customFormat="1" ht="6.95" customHeight="1" x14ac:dyDescent="0.3">
      <c r="A2874" s="165"/>
      <c r="B2874" s="168"/>
      <c r="C2874" s="169"/>
      <c r="D2874" s="160"/>
      <c r="E2874" s="161"/>
      <c r="F2874" s="162"/>
      <c r="G2874" s="163"/>
      <c r="H2874" s="164"/>
      <c r="I2874" s="163"/>
      <c r="J2874" s="164"/>
      <c r="K2874" s="163"/>
      <c r="L2874" s="164"/>
      <c r="M2874" s="11"/>
      <c r="N2874" s="39"/>
      <c r="Q2874" s="15" t="str">
        <f>+CONCATENATE(E2873,I2873)</f>
        <v/>
      </c>
      <c r="R2874" s="15">
        <f>+J2873</f>
        <v>0</v>
      </c>
      <c r="S2874" s="16"/>
      <c r="T2874" s="15">
        <f>+E2873</f>
        <v>0</v>
      </c>
      <c r="U2874" s="26" t="str">
        <f>IFERROR(LEFT(I2873,FIND("*",I2873)-1),"-")</f>
        <v>-</v>
      </c>
      <c r="V2874" s="26" t="str">
        <f>IFERROR(RIGHT(I2873,LEN(I2873)-FIND("*",I2873)),"-")</f>
        <v>-</v>
      </c>
      <c r="W2874" s="27" t="str">
        <f t="shared" ref="W2874:W2881" si="1564">IFERROR((U2874+V2874)*2/1000,"-")</f>
        <v>-</v>
      </c>
      <c r="X2874" s="27" t="str">
        <f>IFERROR(W2874*J2873,"-")</f>
        <v>-</v>
      </c>
      <c r="Z2874" s="94" t="s">
        <v>82</v>
      </c>
    </row>
    <row r="2875" spans="1:26" s="25" customFormat="1" ht="6.95" customHeight="1" x14ac:dyDescent="0.3">
      <c r="A2875" s="165"/>
      <c r="B2875" s="168"/>
      <c r="C2875" s="169"/>
      <c r="D2875" s="160"/>
      <c r="E2875" s="161"/>
      <c r="F2875" s="162"/>
      <c r="G2875" s="163"/>
      <c r="H2875" s="164"/>
      <c r="I2875" s="163"/>
      <c r="J2875" s="164"/>
      <c r="K2875" s="163"/>
      <c r="L2875" s="164"/>
      <c r="M2875" s="11"/>
      <c r="N2875" s="39"/>
      <c r="Q2875" s="15" t="str">
        <f>+CONCATENATE(E2873,K2873)</f>
        <v/>
      </c>
      <c r="R2875" s="15">
        <f>+L2873</f>
        <v>0</v>
      </c>
      <c r="S2875" s="16"/>
      <c r="T2875" s="15">
        <f>+E2873</f>
        <v>0</v>
      </c>
      <c r="U2875" s="26" t="str">
        <f>IFERROR(LEFT(K2873,FIND("*",K2873)-1),"-")</f>
        <v>-</v>
      </c>
      <c r="V2875" s="26" t="str">
        <f>IFERROR(RIGHT(K2873,LEN(K2873)-FIND("*",K2873)),"-")</f>
        <v>-</v>
      </c>
      <c r="W2875" s="27" t="str">
        <f t="shared" si="1564"/>
        <v>-</v>
      </c>
      <c r="X2875" s="27" t="str">
        <f>IFERROR(W2875*L2873,"-")</f>
        <v>-</v>
      </c>
      <c r="Z2875" s="94" t="s">
        <v>82</v>
      </c>
    </row>
    <row r="2876" spans="1:26" s="25" customFormat="1" ht="6.95" customHeight="1" x14ac:dyDescent="0.3">
      <c r="A2876" s="13"/>
      <c r="B2876" s="168"/>
      <c r="C2876" s="169"/>
      <c r="D2876" s="160" t="s">
        <v>39</v>
      </c>
      <c r="E2876" s="161"/>
      <c r="F2876" s="162" t="s">
        <v>40</v>
      </c>
      <c r="G2876" s="163"/>
      <c r="H2876" s="164"/>
      <c r="I2876" s="163"/>
      <c r="J2876" s="164"/>
      <c r="K2876" s="163"/>
      <c r="L2876" s="164"/>
      <c r="M2876" s="11"/>
      <c r="N2876" s="39"/>
      <c r="Q2876" s="15" t="str">
        <f>+CONCATENATE(E2876,G2876)</f>
        <v/>
      </c>
      <c r="R2876" s="15">
        <f>+H2876</f>
        <v>0</v>
      </c>
      <c r="S2876" s="16"/>
      <c r="T2876" s="15">
        <f>+E2876</f>
        <v>0</v>
      </c>
      <c r="U2876" s="26" t="str">
        <f t="shared" ref="U2876" si="1565">IFERROR(LEFT(G2876,FIND("*",G2876)-1),"-")</f>
        <v>-</v>
      </c>
      <c r="V2876" s="26" t="str">
        <f t="shared" ref="V2876" si="1566">IFERROR(RIGHT(G2876,LEN(G2876)-FIND("*",G2876)),"-")</f>
        <v>-</v>
      </c>
      <c r="W2876" s="27" t="str">
        <f t="shared" si="1564"/>
        <v>-</v>
      </c>
      <c r="X2876" s="27" t="str">
        <f>IFERROR(W2876*H2876,"-")</f>
        <v>-</v>
      </c>
      <c r="Z2876" s="94" t="s">
        <v>82</v>
      </c>
    </row>
    <row r="2877" spans="1:26" s="25" customFormat="1" ht="6.95" customHeight="1" x14ac:dyDescent="0.3">
      <c r="A2877" s="10"/>
      <c r="B2877" s="168"/>
      <c r="C2877" s="169"/>
      <c r="D2877" s="160"/>
      <c r="E2877" s="161"/>
      <c r="F2877" s="162"/>
      <c r="G2877" s="163"/>
      <c r="H2877" s="164"/>
      <c r="I2877" s="163"/>
      <c r="J2877" s="164"/>
      <c r="K2877" s="163"/>
      <c r="L2877" s="164"/>
      <c r="M2877" s="11"/>
      <c r="N2877" s="39"/>
      <c r="Q2877" s="15" t="str">
        <f>+CONCATENATE(E2876,I2876)</f>
        <v/>
      </c>
      <c r="R2877" s="15">
        <f>+J2876</f>
        <v>0</v>
      </c>
      <c r="S2877" s="16"/>
      <c r="T2877" s="15">
        <f>+E2876</f>
        <v>0</v>
      </c>
      <c r="U2877" s="26" t="str">
        <f>IFERROR(LEFT(I2876,FIND("*",I2876)-1),"-")</f>
        <v>-</v>
      </c>
      <c r="V2877" s="26" t="str">
        <f>IFERROR(RIGHT(I2876,LEN(I2876)-FIND("*",I2876)),"-")</f>
        <v>-</v>
      </c>
      <c r="W2877" s="27" t="str">
        <f t="shared" si="1564"/>
        <v>-</v>
      </c>
      <c r="X2877" s="27" t="str">
        <f>IFERROR(W2877*J2876,"-")</f>
        <v>-</v>
      </c>
      <c r="Z2877" s="94" t="s">
        <v>82</v>
      </c>
    </row>
    <row r="2878" spans="1:26" s="25" customFormat="1" ht="6.95" customHeight="1" x14ac:dyDescent="0.3">
      <c r="A2878" s="10"/>
      <c r="B2878" s="168"/>
      <c r="C2878" s="169"/>
      <c r="D2878" s="160"/>
      <c r="E2878" s="161"/>
      <c r="F2878" s="162"/>
      <c r="G2878" s="163"/>
      <c r="H2878" s="164"/>
      <c r="I2878" s="163"/>
      <c r="J2878" s="164"/>
      <c r="K2878" s="163"/>
      <c r="L2878" s="164"/>
      <c r="M2878" s="11"/>
      <c r="N2878" s="39"/>
      <c r="Q2878" s="15" t="str">
        <f>+CONCATENATE(E2876,K2876)</f>
        <v/>
      </c>
      <c r="R2878" s="15">
        <f>+L2876</f>
        <v>0</v>
      </c>
      <c r="S2878" s="16"/>
      <c r="T2878" s="15">
        <f>+E2876</f>
        <v>0</v>
      </c>
      <c r="U2878" s="26" t="str">
        <f>IFERROR(LEFT(K2876,FIND("*",K2876)-1),"-")</f>
        <v>-</v>
      </c>
      <c r="V2878" s="26" t="str">
        <f>IFERROR(RIGHT(K2876,LEN(K2876)-FIND("*",K2876)),"-")</f>
        <v>-</v>
      </c>
      <c r="W2878" s="27" t="str">
        <f t="shared" si="1564"/>
        <v>-</v>
      </c>
      <c r="X2878" s="27" t="str">
        <f>IFERROR(W2878*L2876,"-")</f>
        <v>-</v>
      </c>
      <c r="Z2878" s="94" t="s">
        <v>82</v>
      </c>
    </row>
    <row r="2879" spans="1:26" s="25" customFormat="1" ht="6.95" customHeight="1" x14ac:dyDescent="0.3">
      <c r="A2879" s="13"/>
      <c r="B2879" s="168"/>
      <c r="C2879" s="169"/>
      <c r="D2879" s="160" t="s">
        <v>39</v>
      </c>
      <c r="E2879" s="161"/>
      <c r="F2879" s="162" t="s">
        <v>40</v>
      </c>
      <c r="G2879" s="163"/>
      <c r="H2879" s="164"/>
      <c r="I2879" s="163"/>
      <c r="J2879" s="164"/>
      <c r="K2879" s="163"/>
      <c r="L2879" s="164"/>
      <c r="M2879" s="11"/>
      <c r="N2879" s="39"/>
      <c r="Q2879" s="15" t="str">
        <f>+CONCATENATE(E2879,G2879)</f>
        <v/>
      </c>
      <c r="R2879" s="15">
        <f>+H2879</f>
        <v>0</v>
      </c>
      <c r="S2879" s="16"/>
      <c r="T2879" s="15">
        <f>+E2879</f>
        <v>0</v>
      </c>
      <c r="U2879" s="26" t="str">
        <f t="shared" ref="U2879" si="1567">IFERROR(LEFT(G2879,FIND("*",G2879)-1),"-")</f>
        <v>-</v>
      </c>
      <c r="V2879" s="26" t="str">
        <f t="shared" ref="V2879" si="1568">IFERROR(RIGHT(G2879,LEN(G2879)-FIND("*",G2879)),"-")</f>
        <v>-</v>
      </c>
      <c r="W2879" s="27" t="str">
        <f t="shared" si="1564"/>
        <v>-</v>
      </c>
      <c r="X2879" s="27" t="str">
        <f>IFERROR(W2879*H2879,"-")</f>
        <v>-</v>
      </c>
      <c r="Z2879" s="94" t="s">
        <v>82</v>
      </c>
    </row>
    <row r="2880" spans="1:26" s="25" customFormat="1" ht="6.95" customHeight="1" x14ac:dyDescent="0.3">
      <c r="A2880" s="10"/>
      <c r="B2880" s="168"/>
      <c r="C2880" s="169"/>
      <c r="D2880" s="160"/>
      <c r="E2880" s="161"/>
      <c r="F2880" s="162"/>
      <c r="G2880" s="163"/>
      <c r="H2880" s="164"/>
      <c r="I2880" s="163"/>
      <c r="J2880" s="164"/>
      <c r="K2880" s="163"/>
      <c r="L2880" s="164"/>
      <c r="M2880" s="11"/>
      <c r="N2880" s="39"/>
      <c r="Q2880" s="15" t="str">
        <f>+CONCATENATE(E2879,I2879)</f>
        <v/>
      </c>
      <c r="R2880" s="15">
        <f>+J2879</f>
        <v>0</v>
      </c>
      <c r="S2880" s="16"/>
      <c r="T2880" s="15">
        <f>+E2879</f>
        <v>0</v>
      </c>
      <c r="U2880" s="26" t="str">
        <f>IFERROR(LEFT(I2879,FIND("*",I2879)-1),"-")</f>
        <v>-</v>
      </c>
      <c r="V2880" s="26" t="str">
        <f>IFERROR(RIGHT(I2879,LEN(I2879)-FIND("*",I2879)),"-")</f>
        <v>-</v>
      </c>
      <c r="W2880" s="27" t="str">
        <f t="shared" si="1564"/>
        <v>-</v>
      </c>
      <c r="X2880" s="27" t="str">
        <f t="shared" ref="X2880" si="1569">IFERROR(W2880*J2879,"-")</f>
        <v>-</v>
      </c>
      <c r="Z2880" s="94" t="s">
        <v>82</v>
      </c>
    </row>
    <row r="2881" spans="1:26" s="25" customFormat="1" ht="6.95" customHeight="1" x14ac:dyDescent="0.3">
      <c r="A2881" s="10"/>
      <c r="B2881" s="168"/>
      <c r="C2881" s="169"/>
      <c r="D2881" s="160"/>
      <c r="E2881" s="161"/>
      <c r="F2881" s="162"/>
      <c r="G2881" s="163"/>
      <c r="H2881" s="164"/>
      <c r="I2881" s="163"/>
      <c r="J2881" s="164"/>
      <c r="K2881" s="163"/>
      <c r="L2881" s="164"/>
      <c r="M2881" s="11"/>
      <c r="N2881" s="39"/>
      <c r="Q2881" s="15" t="str">
        <f>+CONCATENATE(E2879,K2879)</f>
        <v/>
      </c>
      <c r="R2881" s="15">
        <f>+L2879</f>
        <v>0</v>
      </c>
      <c r="S2881" s="16"/>
      <c r="T2881" s="15">
        <f>+E2879</f>
        <v>0</v>
      </c>
      <c r="U2881" s="26" t="str">
        <f>IFERROR(LEFT(K2879,FIND("*",K2879)-1),"-")</f>
        <v>-</v>
      </c>
      <c r="V2881" s="26" t="str">
        <f>IFERROR(RIGHT(K2879,LEN(K2879)-FIND("*",K2879)),"-")</f>
        <v>-</v>
      </c>
      <c r="W2881" s="27" t="str">
        <f t="shared" si="1564"/>
        <v>-</v>
      </c>
      <c r="X2881" s="27" t="str">
        <f>IFERROR(W2881*L2879,"-")</f>
        <v>-</v>
      </c>
      <c r="Z2881" s="94" t="s">
        <v>82</v>
      </c>
    </row>
    <row r="2882" spans="1:26" s="25" customFormat="1" ht="21" customHeight="1" thickBot="1" x14ac:dyDescent="0.35">
      <c r="A2882" s="10"/>
      <c r="B2882" s="170"/>
      <c r="C2882" s="171"/>
      <c r="D2882" s="172" t="s">
        <v>43</v>
      </c>
      <c r="E2882" s="173"/>
      <c r="F2882" s="173"/>
      <c r="G2882" s="174"/>
      <c r="H2882" s="174"/>
      <c r="I2882" s="174"/>
      <c r="J2882" s="174"/>
      <c r="K2882" s="174"/>
      <c r="L2882" s="174"/>
      <c r="M2882" s="12"/>
      <c r="N2882" s="39"/>
      <c r="U2882" s="23"/>
      <c r="V2882" s="23"/>
      <c r="Z2882" s="95" t="s">
        <v>81</v>
      </c>
    </row>
    <row r="2883" spans="1:26" s="25" customFormat="1" ht="9.9499999999999993" customHeight="1" thickBot="1" x14ac:dyDescent="0.35">
      <c r="A2883" s="6"/>
      <c r="B2883" s="14"/>
      <c r="C2883" s="119"/>
      <c r="D2883" s="58"/>
      <c r="E2883" s="17"/>
      <c r="F2883" s="58"/>
      <c r="G2883" s="19"/>
      <c r="H2883" s="19"/>
      <c r="I2883" s="19"/>
      <c r="J2883" s="19"/>
      <c r="K2883" s="19"/>
      <c r="L2883" s="19"/>
      <c r="M2883" s="14"/>
      <c r="N2883" s="39"/>
      <c r="Q2883" s="1"/>
      <c r="R2883" s="1"/>
      <c r="S2883" s="1"/>
      <c r="T2883" s="1"/>
      <c r="U2883" s="24"/>
      <c r="V2883" s="24"/>
      <c r="W2883" s="1"/>
      <c r="X2883" s="1"/>
      <c r="Z2883" s="94" t="s">
        <v>82</v>
      </c>
    </row>
    <row r="2884" spans="1:26" s="25" customFormat="1" ht="6.95" customHeight="1" x14ac:dyDescent="0.3">
      <c r="A2884" s="165">
        <f>+A2873+1</f>
        <v>263</v>
      </c>
      <c r="B2884" s="166"/>
      <c r="C2884" s="167"/>
      <c r="D2884" s="160" t="s">
        <v>39</v>
      </c>
      <c r="E2884" s="161"/>
      <c r="F2884" s="162" t="s">
        <v>40</v>
      </c>
      <c r="G2884" s="163"/>
      <c r="H2884" s="164"/>
      <c r="I2884" s="163"/>
      <c r="J2884" s="164"/>
      <c r="K2884" s="163"/>
      <c r="L2884" s="164"/>
      <c r="M2884" s="11"/>
      <c r="N2884" s="39"/>
      <c r="Q2884" s="15" t="str">
        <f>+CONCATENATE(E2884,G2884)</f>
        <v/>
      </c>
      <c r="R2884" s="15">
        <f>+H2884</f>
        <v>0</v>
      </c>
      <c r="S2884" s="16"/>
      <c r="T2884" s="15">
        <f>+E2884</f>
        <v>0</v>
      </c>
      <c r="U2884" s="26" t="str">
        <f>IFERROR(LEFT(G2884,FIND("*",G2884)-1),"-")</f>
        <v>-</v>
      </c>
      <c r="V2884" s="26" t="str">
        <f>IFERROR(RIGHT(G2884,LEN(G2884)-FIND("*",G2884)),"-")</f>
        <v>-</v>
      </c>
      <c r="W2884" s="27" t="str">
        <f>IFERROR((U2884+V2884)*2/1000,"-")</f>
        <v>-</v>
      </c>
      <c r="X2884" s="27" t="str">
        <f>IFERROR(W2884*H2884,"-")</f>
        <v>-</v>
      </c>
      <c r="Z2884" s="94" t="s">
        <v>82</v>
      </c>
    </row>
    <row r="2885" spans="1:26" s="25" customFormat="1" ht="6.95" customHeight="1" x14ac:dyDescent="0.3">
      <c r="A2885" s="165"/>
      <c r="B2885" s="168"/>
      <c r="C2885" s="169"/>
      <c r="D2885" s="160"/>
      <c r="E2885" s="161"/>
      <c r="F2885" s="162"/>
      <c r="G2885" s="163"/>
      <c r="H2885" s="164"/>
      <c r="I2885" s="163"/>
      <c r="J2885" s="164"/>
      <c r="K2885" s="163"/>
      <c r="L2885" s="164"/>
      <c r="M2885" s="11"/>
      <c r="N2885" s="39"/>
      <c r="Q2885" s="15" t="str">
        <f>+CONCATENATE(E2884,I2884)</f>
        <v/>
      </c>
      <c r="R2885" s="15">
        <f>+J2884</f>
        <v>0</v>
      </c>
      <c r="S2885" s="16"/>
      <c r="T2885" s="15">
        <f>+E2884</f>
        <v>0</v>
      </c>
      <c r="U2885" s="26" t="str">
        <f>IFERROR(LEFT(I2884,FIND("*",I2884)-1),"-")</f>
        <v>-</v>
      </c>
      <c r="V2885" s="26" t="str">
        <f>IFERROR(RIGHT(I2884,LEN(I2884)-FIND("*",I2884)),"-")</f>
        <v>-</v>
      </c>
      <c r="W2885" s="27" t="str">
        <f t="shared" ref="W2885:W2892" si="1570">IFERROR((U2885+V2885)*2/1000,"-")</f>
        <v>-</v>
      </c>
      <c r="X2885" s="27" t="str">
        <f>IFERROR(W2885*J2884,"-")</f>
        <v>-</v>
      </c>
      <c r="Z2885" s="94" t="s">
        <v>82</v>
      </c>
    </row>
    <row r="2886" spans="1:26" s="25" customFormat="1" ht="6.95" customHeight="1" x14ac:dyDescent="0.3">
      <c r="A2886" s="165"/>
      <c r="B2886" s="168"/>
      <c r="C2886" s="169"/>
      <c r="D2886" s="160"/>
      <c r="E2886" s="161"/>
      <c r="F2886" s="162"/>
      <c r="G2886" s="163"/>
      <c r="H2886" s="164"/>
      <c r="I2886" s="163"/>
      <c r="J2886" s="164"/>
      <c r="K2886" s="163"/>
      <c r="L2886" s="164"/>
      <c r="M2886" s="11"/>
      <c r="N2886" s="39"/>
      <c r="Q2886" s="15" t="str">
        <f>+CONCATENATE(E2884,K2884)</f>
        <v/>
      </c>
      <c r="R2886" s="15">
        <f>+L2884</f>
        <v>0</v>
      </c>
      <c r="S2886" s="16"/>
      <c r="T2886" s="15">
        <f>+E2884</f>
        <v>0</v>
      </c>
      <c r="U2886" s="26" t="str">
        <f>IFERROR(LEFT(K2884,FIND("*",K2884)-1),"-")</f>
        <v>-</v>
      </c>
      <c r="V2886" s="26" t="str">
        <f>IFERROR(RIGHT(K2884,LEN(K2884)-FIND("*",K2884)),"-")</f>
        <v>-</v>
      </c>
      <c r="W2886" s="27" t="str">
        <f t="shared" si="1570"/>
        <v>-</v>
      </c>
      <c r="X2886" s="27" t="str">
        <f>IFERROR(W2886*L2884,"-")</f>
        <v>-</v>
      </c>
      <c r="Z2886" s="94" t="s">
        <v>82</v>
      </c>
    </row>
    <row r="2887" spans="1:26" s="25" customFormat="1" ht="6.95" customHeight="1" x14ac:dyDescent="0.3">
      <c r="A2887" s="13"/>
      <c r="B2887" s="168"/>
      <c r="C2887" s="169"/>
      <c r="D2887" s="160" t="s">
        <v>39</v>
      </c>
      <c r="E2887" s="161"/>
      <c r="F2887" s="162" t="s">
        <v>40</v>
      </c>
      <c r="G2887" s="163"/>
      <c r="H2887" s="164"/>
      <c r="I2887" s="163"/>
      <c r="J2887" s="164"/>
      <c r="K2887" s="163"/>
      <c r="L2887" s="164"/>
      <c r="M2887" s="11"/>
      <c r="N2887" s="39"/>
      <c r="Q2887" s="15" t="str">
        <f>+CONCATENATE(E2887,G2887)</f>
        <v/>
      </c>
      <c r="R2887" s="15">
        <f>+H2887</f>
        <v>0</v>
      </c>
      <c r="S2887" s="16"/>
      <c r="T2887" s="15">
        <f>+E2887</f>
        <v>0</v>
      </c>
      <c r="U2887" s="26" t="str">
        <f t="shared" ref="U2887" si="1571">IFERROR(LEFT(G2887,FIND("*",G2887)-1),"-")</f>
        <v>-</v>
      </c>
      <c r="V2887" s="26" t="str">
        <f t="shared" ref="V2887" si="1572">IFERROR(RIGHT(G2887,LEN(G2887)-FIND("*",G2887)),"-")</f>
        <v>-</v>
      </c>
      <c r="W2887" s="27" t="str">
        <f t="shared" si="1570"/>
        <v>-</v>
      </c>
      <c r="X2887" s="27" t="str">
        <f>IFERROR(W2887*H2887,"-")</f>
        <v>-</v>
      </c>
      <c r="Z2887" s="94" t="s">
        <v>82</v>
      </c>
    </row>
    <row r="2888" spans="1:26" s="25" customFormat="1" ht="6.95" customHeight="1" x14ac:dyDescent="0.3">
      <c r="A2888" s="10"/>
      <c r="B2888" s="168"/>
      <c r="C2888" s="169"/>
      <c r="D2888" s="160"/>
      <c r="E2888" s="161"/>
      <c r="F2888" s="162"/>
      <c r="G2888" s="163"/>
      <c r="H2888" s="164"/>
      <c r="I2888" s="163"/>
      <c r="J2888" s="164"/>
      <c r="K2888" s="163"/>
      <c r="L2888" s="164"/>
      <c r="M2888" s="11"/>
      <c r="N2888" s="39"/>
      <c r="Q2888" s="15" t="str">
        <f>+CONCATENATE(E2887,I2887)</f>
        <v/>
      </c>
      <c r="R2888" s="15">
        <f>+J2887</f>
        <v>0</v>
      </c>
      <c r="S2888" s="16"/>
      <c r="T2888" s="15">
        <f>+E2887</f>
        <v>0</v>
      </c>
      <c r="U2888" s="26" t="str">
        <f>IFERROR(LEFT(I2887,FIND("*",I2887)-1),"-")</f>
        <v>-</v>
      </c>
      <c r="V2888" s="26" t="str">
        <f>IFERROR(RIGHT(I2887,LEN(I2887)-FIND("*",I2887)),"-")</f>
        <v>-</v>
      </c>
      <c r="W2888" s="27" t="str">
        <f t="shared" si="1570"/>
        <v>-</v>
      </c>
      <c r="X2888" s="27" t="str">
        <f>IFERROR(W2888*J2887,"-")</f>
        <v>-</v>
      </c>
      <c r="Z2888" s="94" t="s">
        <v>82</v>
      </c>
    </row>
    <row r="2889" spans="1:26" s="25" customFormat="1" ht="6.95" customHeight="1" x14ac:dyDescent="0.3">
      <c r="A2889" s="10"/>
      <c r="B2889" s="168"/>
      <c r="C2889" s="169"/>
      <c r="D2889" s="160"/>
      <c r="E2889" s="161"/>
      <c r="F2889" s="162"/>
      <c r="G2889" s="163"/>
      <c r="H2889" s="164"/>
      <c r="I2889" s="163"/>
      <c r="J2889" s="164"/>
      <c r="K2889" s="163"/>
      <c r="L2889" s="164"/>
      <c r="M2889" s="11"/>
      <c r="N2889" s="39"/>
      <c r="Q2889" s="15" t="str">
        <f>+CONCATENATE(E2887,K2887)</f>
        <v/>
      </c>
      <c r="R2889" s="15">
        <f>+L2887</f>
        <v>0</v>
      </c>
      <c r="S2889" s="16"/>
      <c r="T2889" s="15">
        <f>+E2887</f>
        <v>0</v>
      </c>
      <c r="U2889" s="26" t="str">
        <f>IFERROR(LEFT(K2887,FIND("*",K2887)-1),"-")</f>
        <v>-</v>
      </c>
      <c r="V2889" s="26" t="str">
        <f>IFERROR(RIGHT(K2887,LEN(K2887)-FIND("*",K2887)),"-")</f>
        <v>-</v>
      </c>
      <c r="W2889" s="27" t="str">
        <f t="shared" si="1570"/>
        <v>-</v>
      </c>
      <c r="X2889" s="27" t="str">
        <f>IFERROR(W2889*L2887,"-")</f>
        <v>-</v>
      </c>
      <c r="Z2889" s="94" t="s">
        <v>82</v>
      </c>
    </row>
    <row r="2890" spans="1:26" s="25" customFormat="1" ht="6.95" customHeight="1" x14ac:dyDescent="0.3">
      <c r="A2890" s="13"/>
      <c r="B2890" s="168"/>
      <c r="C2890" s="169"/>
      <c r="D2890" s="160" t="s">
        <v>39</v>
      </c>
      <c r="E2890" s="161"/>
      <c r="F2890" s="162" t="s">
        <v>40</v>
      </c>
      <c r="G2890" s="163"/>
      <c r="H2890" s="164"/>
      <c r="I2890" s="163"/>
      <c r="J2890" s="164"/>
      <c r="K2890" s="163"/>
      <c r="L2890" s="164"/>
      <c r="M2890" s="11"/>
      <c r="N2890" s="39"/>
      <c r="Q2890" s="15" t="str">
        <f>+CONCATENATE(E2890,G2890)</f>
        <v/>
      </c>
      <c r="R2890" s="15">
        <f>+H2890</f>
        <v>0</v>
      </c>
      <c r="S2890" s="16"/>
      <c r="T2890" s="15">
        <f>+E2890</f>
        <v>0</v>
      </c>
      <c r="U2890" s="26" t="str">
        <f t="shared" ref="U2890" si="1573">IFERROR(LEFT(G2890,FIND("*",G2890)-1),"-")</f>
        <v>-</v>
      </c>
      <c r="V2890" s="26" t="str">
        <f t="shared" ref="V2890" si="1574">IFERROR(RIGHT(G2890,LEN(G2890)-FIND("*",G2890)),"-")</f>
        <v>-</v>
      </c>
      <c r="W2890" s="27" t="str">
        <f t="shared" si="1570"/>
        <v>-</v>
      </c>
      <c r="X2890" s="27" t="str">
        <f>IFERROR(W2890*H2890,"-")</f>
        <v>-</v>
      </c>
      <c r="Z2890" s="94" t="s">
        <v>82</v>
      </c>
    </row>
    <row r="2891" spans="1:26" s="25" customFormat="1" ht="6.95" customHeight="1" x14ac:dyDescent="0.3">
      <c r="A2891" s="10"/>
      <c r="B2891" s="168"/>
      <c r="C2891" s="169"/>
      <c r="D2891" s="160"/>
      <c r="E2891" s="161"/>
      <c r="F2891" s="162"/>
      <c r="G2891" s="163"/>
      <c r="H2891" s="164"/>
      <c r="I2891" s="163"/>
      <c r="J2891" s="164"/>
      <c r="K2891" s="163"/>
      <c r="L2891" s="164"/>
      <c r="M2891" s="11"/>
      <c r="N2891" s="39"/>
      <c r="Q2891" s="15" t="str">
        <f>+CONCATENATE(E2890,I2890)</f>
        <v/>
      </c>
      <c r="R2891" s="15">
        <f>+J2890</f>
        <v>0</v>
      </c>
      <c r="S2891" s="16"/>
      <c r="T2891" s="15">
        <f>+E2890</f>
        <v>0</v>
      </c>
      <c r="U2891" s="26" t="str">
        <f>IFERROR(LEFT(I2890,FIND("*",I2890)-1),"-")</f>
        <v>-</v>
      </c>
      <c r="V2891" s="26" t="str">
        <f>IFERROR(RIGHT(I2890,LEN(I2890)-FIND("*",I2890)),"-")</f>
        <v>-</v>
      </c>
      <c r="W2891" s="27" t="str">
        <f t="shared" si="1570"/>
        <v>-</v>
      </c>
      <c r="X2891" s="27" t="str">
        <f t="shared" ref="X2891" si="1575">IFERROR(W2891*J2890,"-")</f>
        <v>-</v>
      </c>
      <c r="Z2891" s="94" t="s">
        <v>82</v>
      </c>
    </row>
    <row r="2892" spans="1:26" s="25" customFormat="1" ht="6.95" customHeight="1" x14ac:dyDescent="0.3">
      <c r="A2892" s="10"/>
      <c r="B2892" s="168"/>
      <c r="C2892" s="169"/>
      <c r="D2892" s="160"/>
      <c r="E2892" s="161"/>
      <c r="F2892" s="162"/>
      <c r="G2892" s="163"/>
      <c r="H2892" s="164"/>
      <c r="I2892" s="163"/>
      <c r="J2892" s="164"/>
      <c r="K2892" s="163"/>
      <c r="L2892" s="164"/>
      <c r="M2892" s="11"/>
      <c r="N2892" s="39"/>
      <c r="Q2892" s="15" t="str">
        <f>+CONCATENATE(E2890,K2890)</f>
        <v/>
      </c>
      <c r="R2892" s="15">
        <f>+L2890</f>
        <v>0</v>
      </c>
      <c r="S2892" s="16"/>
      <c r="T2892" s="15">
        <f>+E2890</f>
        <v>0</v>
      </c>
      <c r="U2892" s="26" t="str">
        <f>IFERROR(LEFT(K2890,FIND("*",K2890)-1),"-")</f>
        <v>-</v>
      </c>
      <c r="V2892" s="26" t="str">
        <f>IFERROR(RIGHT(K2890,LEN(K2890)-FIND("*",K2890)),"-")</f>
        <v>-</v>
      </c>
      <c r="W2892" s="27" t="str">
        <f t="shared" si="1570"/>
        <v>-</v>
      </c>
      <c r="X2892" s="27" t="str">
        <f>IFERROR(W2892*L2890,"-")</f>
        <v>-</v>
      </c>
      <c r="Z2892" s="94" t="s">
        <v>82</v>
      </c>
    </row>
    <row r="2893" spans="1:26" s="25" customFormat="1" ht="21" customHeight="1" thickBot="1" x14ac:dyDescent="0.35">
      <c r="A2893" s="10"/>
      <c r="B2893" s="170"/>
      <c r="C2893" s="171"/>
      <c r="D2893" s="172" t="s">
        <v>43</v>
      </c>
      <c r="E2893" s="173"/>
      <c r="F2893" s="173"/>
      <c r="G2893" s="174"/>
      <c r="H2893" s="174"/>
      <c r="I2893" s="174"/>
      <c r="J2893" s="174"/>
      <c r="K2893" s="174"/>
      <c r="L2893" s="174"/>
      <c r="M2893" s="12"/>
      <c r="N2893" s="39"/>
      <c r="U2893" s="23"/>
      <c r="V2893" s="23"/>
      <c r="Z2893" s="95" t="s">
        <v>81</v>
      </c>
    </row>
    <row r="2894" spans="1:26" s="25" customFormat="1" ht="9.9499999999999993" customHeight="1" thickBot="1" x14ac:dyDescent="0.35">
      <c r="A2894" s="6"/>
      <c r="B2894" s="14"/>
      <c r="C2894" s="119"/>
      <c r="D2894" s="58"/>
      <c r="E2894" s="17"/>
      <c r="F2894" s="58"/>
      <c r="G2894" s="19"/>
      <c r="H2894" s="19"/>
      <c r="I2894" s="19"/>
      <c r="J2894" s="19"/>
      <c r="K2894" s="19"/>
      <c r="L2894" s="19"/>
      <c r="M2894" s="14"/>
      <c r="N2894" s="39"/>
      <c r="Q2894" s="1"/>
      <c r="R2894" s="1"/>
      <c r="S2894" s="1"/>
      <c r="T2894" s="1"/>
      <c r="U2894" s="24"/>
      <c r="V2894" s="24"/>
      <c r="W2894" s="1"/>
      <c r="X2894" s="1"/>
      <c r="Z2894" s="94" t="s">
        <v>82</v>
      </c>
    </row>
    <row r="2895" spans="1:26" s="25" customFormat="1" ht="6.95" customHeight="1" x14ac:dyDescent="0.3">
      <c r="A2895" s="165">
        <f>+A2884+1</f>
        <v>264</v>
      </c>
      <c r="B2895" s="166"/>
      <c r="C2895" s="167"/>
      <c r="D2895" s="160" t="s">
        <v>39</v>
      </c>
      <c r="E2895" s="161"/>
      <c r="F2895" s="162" t="s">
        <v>40</v>
      </c>
      <c r="G2895" s="163"/>
      <c r="H2895" s="164"/>
      <c r="I2895" s="163"/>
      <c r="J2895" s="164"/>
      <c r="K2895" s="163"/>
      <c r="L2895" s="164"/>
      <c r="M2895" s="11"/>
      <c r="N2895" s="39"/>
      <c r="Q2895" s="15" t="str">
        <f>+CONCATENATE(E2895,G2895)</f>
        <v/>
      </c>
      <c r="R2895" s="15">
        <f>+H2895</f>
        <v>0</v>
      </c>
      <c r="S2895" s="16"/>
      <c r="T2895" s="15">
        <f>+E2895</f>
        <v>0</v>
      </c>
      <c r="U2895" s="26" t="str">
        <f>IFERROR(LEFT(G2895,FIND("*",G2895)-1),"-")</f>
        <v>-</v>
      </c>
      <c r="V2895" s="26" t="str">
        <f>IFERROR(RIGHT(G2895,LEN(G2895)-FIND("*",G2895)),"-")</f>
        <v>-</v>
      </c>
      <c r="W2895" s="27" t="str">
        <f>IFERROR((U2895+V2895)*2/1000,"-")</f>
        <v>-</v>
      </c>
      <c r="X2895" s="27" t="str">
        <f>IFERROR(W2895*H2895,"-")</f>
        <v>-</v>
      </c>
      <c r="Z2895" s="94" t="s">
        <v>82</v>
      </c>
    </row>
    <row r="2896" spans="1:26" s="25" customFormat="1" ht="6.95" customHeight="1" x14ac:dyDescent="0.3">
      <c r="A2896" s="165"/>
      <c r="B2896" s="168"/>
      <c r="C2896" s="169"/>
      <c r="D2896" s="160"/>
      <c r="E2896" s="161"/>
      <c r="F2896" s="162"/>
      <c r="G2896" s="163"/>
      <c r="H2896" s="164"/>
      <c r="I2896" s="163"/>
      <c r="J2896" s="164"/>
      <c r="K2896" s="163"/>
      <c r="L2896" s="164"/>
      <c r="M2896" s="11"/>
      <c r="N2896" s="39"/>
      <c r="Q2896" s="15" t="str">
        <f>+CONCATENATE(E2895,I2895)</f>
        <v/>
      </c>
      <c r="R2896" s="15">
        <f>+J2895</f>
        <v>0</v>
      </c>
      <c r="S2896" s="16"/>
      <c r="T2896" s="15">
        <f>+E2895</f>
        <v>0</v>
      </c>
      <c r="U2896" s="26" t="str">
        <f>IFERROR(LEFT(I2895,FIND("*",I2895)-1),"-")</f>
        <v>-</v>
      </c>
      <c r="V2896" s="26" t="str">
        <f>IFERROR(RIGHT(I2895,LEN(I2895)-FIND("*",I2895)),"-")</f>
        <v>-</v>
      </c>
      <c r="W2896" s="27" t="str">
        <f t="shared" ref="W2896:W2903" si="1576">IFERROR((U2896+V2896)*2/1000,"-")</f>
        <v>-</v>
      </c>
      <c r="X2896" s="27" t="str">
        <f>IFERROR(W2896*J2895,"-")</f>
        <v>-</v>
      </c>
      <c r="Z2896" s="94" t="s">
        <v>82</v>
      </c>
    </row>
    <row r="2897" spans="1:26" s="25" customFormat="1" ht="6.95" customHeight="1" x14ac:dyDescent="0.3">
      <c r="A2897" s="165"/>
      <c r="B2897" s="168"/>
      <c r="C2897" s="169"/>
      <c r="D2897" s="160"/>
      <c r="E2897" s="161"/>
      <c r="F2897" s="162"/>
      <c r="G2897" s="163"/>
      <c r="H2897" s="164"/>
      <c r="I2897" s="163"/>
      <c r="J2897" s="164"/>
      <c r="K2897" s="163"/>
      <c r="L2897" s="164"/>
      <c r="M2897" s="11"/>
      <c r="N2897" s="39"/>
      <c r="Q2897" s="15" t="str">
        <f>+CONCATENATE(E2895,K2895)</f>
        <v/>
      </c>
      <c r="R2897" s="15">
        <f>+L2895</f>
        <v>0</v>
      </c>
      <c r="S2897" s="16"/>
      <c r="T2897" s="15">
        <f>+E2895</f>
        <v>0</v>
      </c>
      <c r="U2897" s="26" t="str">
        <f>IFERROR(LEFT(K2895,FIND("*",K2895)-1),"-")</f>
        <v>-</v>
      </c>
      <c r="V2897" s="26" t="str">
        <f>IFERROR(RIGHT(K2895,LEN(K2895)-FIND("*",K2895)),"-")</f>
        <v>-</v>
      </c>
      <c r="W2897" s="27" t="str">
        <f t="shared" si="1576"/>
        <v>-</v>
      </c>
      <c r="X2897" s="27" t="str">
        <f>IFERROR(W2897*L2895,"-")</f>
        <v>-</v>
      </c>
      <c r="Z2897" s="94" t="s">
        <v>82</v>
      </c>
    </row>
    <row r="2898" spans="1:26" s="25" customFormat="1" ht="6.95" customHeight="1" x14ac:dyDescent="0.3">
      <c r="A2898" s="13"/>
      <c r="B2898" s="168"/>
      <c r="C2898" s="169"/>
      <c r="D2898" s="160" t="s">
        <v>39</v>
      </c>
      <c r="E2898" s="161"/>
      <c r="F2898" s="162" t="s">
        <v>40</v>
      </c>
      <c r="G2898" s="163"/>
      <c r="H2898" s="164"/>
      <c r="I2898" s="163"/>
      <c r="J2898" s="164"/>
      <c r="K2898" s="163"/>
      <c r="L2898" s="164"/>
      <c r="M2898" s="11"/>
      <c r="N2898" s="39"/>
      <c r="Q2898" s="15" t="str">
        <f>+CONCATENATE(E2898,G2898)</f>
        <v/>
      </c>
      <c r="R2898" s="15">
        <f>+H2898</f>
        <v>0</v>
      </c>
      <c r="S2898" s="16"/>
      <c r="T2898" s="15">
        <f>+E2898</f>
        <v>0</v>
      </c>
      <c r="U2898" s="26" t="str">
        <f t="shared" ref="U2898" si="1577">IFERROR(LEFT(G2898,FIND("*",G2898)-1),"-")</f>
        <v>-</v>
      </c>
      <c r="V2898" s="26" t="str">
        <f t="shared" ref="V2898" si="1578">IFERROR(RIGHT(G2898,LEN(G2898)-FIND("*",G2898)),"-")</f>
        <v>-</v>
      </c>
      <c r="W2898" s="27" t="str">
        <f t="shared" si="1576"/>
        <v>-</v>
      </c>
      <c r="X2898" s="27" t="str">
        <f>IFERROR(W2898*H2898,"-")</f>
        <v>-</v>
      </c>
      <c r="Z2898" s="94" t="s">
        <v>82</v>
      </c>
    </row>
    <row r="2899" spans="1:26" s="25" customFormat="1" ht="6.95" customHeight="1" x14ac:dyDescent="0.3">
      <c r="A2899" s="10"/>
      <c r="B2899" s="168"/>
      <c r="C2899" s="169"/>
      <c r="D2899" s="160"/>
      <c r="E2899" s="161"/>
      <c r="F2899" s="162"/>
      <c r="G2899" s="163"/>
      <c r="H2899" s="164"/>
      <c r="I2899" s="163"/>
      <c r="J2899" s="164"/>
      <c r="K2899" s="163"/>
      <c r="L2899" s="164"/>
      <c r="M2899" s="11"/>
      <c r="N2899" s="39"/>
      <c r="Q2899" s="15" t="str">
        <f>+CONCATENATE(E2898,I2898)</f>
        <v/>
      </c>
      <c r="R2899" s="15">
        <f>+J2898</f>
        <v>0</v>
      </c>
      <c r="S2899" s="16"/>
      <c r="T2899" s="15">
        <f>+E2898</f>
        <v>0</v>
      </c>
      <c r="U2899" s="26" t="str">
        <f>IFERROR(LEFT(I2898,FIND("*",I2898)-1),"-")</f>
        <v>-</v>
      </c>
      <c r="V2899" s="26" t="str">
        <f>IFERROR(RIGHT(I2898,LEN(I2898)-FIND("*",I2898)),"-")</f>
        <v>-</v>
      </c>
      <c r="W2899" s="27" t="str">
        <f t="shared" si="1576"/>
        <v>-</v>
      </c>
      <c r="X2899" s="27" t="str">
        <f>IFERROR(W2899*J2898,"-")</f>
        <v>-</v>
      </c>
      <c r="Z2899" s="94" t="s">
        <v>82</v>
      </c>
    </row>
    <row r="2900" spans="1:26" s="25" customFormat="1" ht="6.95" customHeight="1" x14ac:dyDescent="0.3">
      <c r="A2900" s="10"/>
      <c r="B2900" s="168"/>
      <c r="C2900" s="169"/>
      <c r="D2900" s="160"/>
      <c r="E2900" s="161"/>
      <c r="F2900" s="162"/>
      <c r="G2900" s="163"/>
      <c r="H2900" s="164"/>
      <c r="I2900" s="163"/>
      <c r="J2900" s="164"/>
      <c r="K2900" s="163"/>
      <c r="L2900" s="164"/>
      <c r="M2900" s="11"/>
      <c r="N2900" s="39"/>
      <c r="Q2900" s="15" t="str">
        <f>+CONCATENATE(E2898,K2898)</f>
        <v/>
      </c>
      <c r="R2900" s="15">
        <f>+L2898</f>
        <v>0</v>
      </c>
      <c r="S2900" s="16"/>
      <c r="T2900" s="15">
        <f>+E2898</f>
        <v>0</v>
      </c>
      <c r="U2900" s="26" t="str">
        <f>IFERROR(LEFT(K2898,FIND("*",K2898)-1),"-")</f>
        <v>-</v>
      </c>
      <c r="V2900" s="26" t="str">
        <f>IFERROR(RIGHT(K2898,LEN(K2898)-FIND("*",K2898)),"-")</f>
        <v>-</v>
      </c>
      <c r="W2900" s="27" t="str">
        <f t="shared" si="1576"/>
        <v>-</v>
      </c>
      <c r="X2900" s="27" t="str">
        <f>IFERROR(W2900*L2898,"-")</f>
        <v>-</v>
      </c>
      <c r="Z2900" s="94" t="s">
        <v>82</v>
      </c>
    </row>
    <row r="2901" spans="1:26" s="25" customFormat="1" ht="6.95" customHeight="1" x14ac:dyDescent="0.3">
      <c r="A2901" s="13"/>
      <c r="B2901" s="168"/>
      <c r="C2901" s="169"/>
      <c r="D2901" s="160" t="s">
        <v>39</v>
      </c>
      <c r="E2901" s="161"/>
      <c r="F2901" s="162" t="s">
        <v>40</v>
      </c>
      <c r="G2901" s="163"/>
      <c r="H2901" s="164"/>
      <c r="I2901" s="163"/>
      <c r="J2901" s="164"/>
      <c r="K2901" s="163"/>
      <c r="L2901" s="164"/>
      <c r="M2901" s="11"/>
      <c r="N2901" s="39"/>
      <c r="Q2901" s="15" t="str">
        <f>+CONCATENATE(E2901,G2901)</f>
        <v/>
      </c>
      <c r="R2901" s="15">
        <f>+H2901</f>
        <v>0</v>
      </c>
      <c r="S2901" s="16"/>
      <c r="T2901" s="15">
        <f>+E2901</f>
        <v>0</v>
      </c>
      <c r="U2901" s="26" t="str">
        <f t="shared" ref="U2901" si="1579">IFERROR(LEFT(G2901,FIND("*",G2901)-1),"-")</f>
        <v>-</v>
      </c>
      <c r="V2901" s="26" t="str">
        <f t="shared" ref="V2901" si="1580">IFERROR(RIGHT(G2901,LEN(G2901)-FIND("*",G2901)),"-")</f>
        <v>-</v>
      </c>
      <c r="W2901" s="27" t="str">
        <f t="shared" si="1576"/>
        <v>-</v>
      </c>
      <c r="X2901" s="27" t="str">
        <f>IFERROR(W2901*H2901,"-")</f>
        <v>-</v>
      </c>
      <c r="Z2901" s="94" t="s">
        <v>82</v>
      </c>
    </row>
    <row r="2902" spans="1:26" s="25" customFormat="1" ht="6.95" customHeight="1" x14ac:dyDescent="0.3">
      <c r="A2902" s="10"/>
      <c r="B2902" s="168"/>
      <c r="C2902" s="169"/>
      <c r="D2902" s="160"/>
      <c r="E2902" s="161"/>
      <c r="F2902" s="162"/>
      <c r="G2902" s="163"/>
      <c r="H2902" s="164"/>
      <c r="I2902" s="163"/>
      <c r="J2902" s="164"/>
      <c r="K2902" s="163"/>
      <c r="L2902" s="164"/>
      <c r="M2902" s="11"/>
      <c r="N2902" s="39"/>
      <c r="Q2902" s="15" t="str">
        <f>+CONCATENATE(E2901,I2901)</f>
        <v/>
      </c>
      <c r="R2902" s="15">
        <f>+J2901</f>
        <v>0</v>
      </c>
      <c r="S2902" s="16"/>
      <c r="T2902" s="15">
        <f>+E2901</f>
        <v>0</v>
      </c>
      <c r="U2902" s="26" t="str">
        <f>IFERROR(LEFT(I2901,FIND("*",I2901)-1),"-")</f>
        <v>-</v>
      </c>
      <c r="V2902" s="26" t="str">
        <f>IFERROR(RIGHT(I2901,LEN(I2901)-FIND("*",I2901)),"-")</f>
        <v>-</v>
      </c>
      <c r="W2902" s="27" t="str">
        <f t="shared" si="1576"/>
        <v>-</v>
      </c>
      <c r="X2902" s="27" t="str">
        <f t="shared" ref="X2902" si="1581">IFERROR(W2902*J2901,"-")</f>
        <v>-</v>
      </c>
      <c r="Z2902" s="94" t="s">
        <v>82</v>
      </c>
    </row>
    <row r="2903" spans="1:26" s="25" customFormat="1" ht="6.95" customHeight="1" x14ac:dyDescent="0.3">
      <c r="A2903" s="10"/>
      <c r="B2903" s="168"/>
      <c r="C2903" s="169"/>
      <c r="D2903" s="160"/>
      <c r="E2903" s="161"/>
      <c r="F2903" s="162"/>
      <c r="G2903" s="163"/>
      <c r="H2903" s="164"/>
      <c r="I2903" s="163"/>
      <c r="J2903" s="164"/>
      <c r="K2903" s="163"/>
      <c r="L2903" s="164"/>
      <c r="M2903" s="11"/>
      <c r="N2903" s="39"/>
      <c r="Q2903" s="15" t="str">
        <f>+CONCATENATE(E2901,K2901)</f>
        <v/>
      </c>
      <c r="R2903" s="15">
        <f>+L2901</f>
        <v>0</v>
      </c>
      <c r="S2903" s="16"/>
      <c r="T2903" s="15">
        <f>+E2901</f>
        <v>0</v>
      </c>
      <c r="U2903" s="26" t="str">
        <f>IFERROR(LEFT(K2901,FIND("*",K2901)-1),"-")</f>
        <v>-</v>
      </c>
      <c r="V2903" s="26" t="str">
        <f>IFERROR(RIGHT(K2901,LEN(K2901)-FIND("*",K2901)),"-")</f>
        <v>-</v>
      </c>
      <c r="W2903" s="27" t="str">
        <f t="shared" si="1576"/>
        <v>-</v>
      </c>
      <c r="X2903" s="27" t="str">
        <f>IFERROR(W2903*L2901,"-")</f>
        <v>-</v>
      </c>
      <c r="Z2903" s="94" t="s">
        <v>82</v>
      </c>
    </row>
    <row r="2904" spans="1:26" s="25" customFormat="1" ht="21" customHeight="1" thickBot="1" x14ac:dyDescent="0.35">
      <c r="A2904" s="10"/>
      <c r="B2904" s="170"/>
      <c r="C2904" s="171"/>
      <c r="D2904" s="172" t="s">
        <v>43</v>
      </c>
      <c r="E2904" s="173"/>
      <c r="F2904" s="173"/>
      <c r="G2904" s="174"/>
      <c r="H2904" s="174"/>
      <c r="I2904" s="174"/>
      <c r="J2904" s="174"/>
      <c r="K2904" s="174"/>
      <c r="L2904" s="174"/>
      <c r="M2904" s="12"/>
      <c r="N2904" s="39"/>
      <c r="U2904" s="23"/>
      <c r="V2904" s="23"/>
      <c r="Z2904" s="95" t="s">
        <v>81</v>
      </c>
    </row>
    <row r="2905" spans="1:26" s="25" customFormat="1" ht="9.9499999999999993" customHeight="1" thickBot="1" x14ac:dyDescent="0.35">
      <c r="A2905" s="6"/>
      <c r="B2905" s="14"/>
      <c r="C2905" s="119"/>
      <c r="D2905" s="58"/>
      <c r="E2905" s="17"/>
      <c r="F2905" s="58"/>
      <c r="G2905" s="19"/>
      <c r="H2905" s="19"/>
      <c r="I2905" s="19"/>
      <c r="J2905" s="19"/>
      <c r="K2905" s="19"/>
      <c r="L2905" s="19"/>
      <c r="M2905" s="14"/>
      <c r="N2905" s="39"/>
      <c r="Q2905" s="1"/>
      <c r="R2905" s="1"/>
      <c r="S2905" s="1"/>
      <c r="T2905" s="1"/>
      <c r="U2905" s="24"/>
      <c r="V2905" s="24"/>
      <c r="W2905" s="1"/>
      <c r="X2905" s="1"/>
      <c r="Z2905" s="94" t="s">
        <v>82</v>
      </c>
    </row>
    <row r="2906" spans="1:26" s="25" customFormat="1" ht="6.95" customHeight="1" x14ac:dyDescent="0.3">
      <c r="A2906" s="165">
        <f>+A2895+1</f>
        <v>265</v>
      </c>
      <c r="B2906" s="166"/>
      <c r="C2906" s="167"/>
      <c r="D2906" s="160" t="s">
        <v>39</v>
      </c>
      <c r="E2906" s="161"/>
      <c r="F2906" s="162" t="s">
        <v>40</v>
      </c>
      <c r="G2906" s="163"/>
      <c r="H2906" s="164"/>
      <c r="I2906" s="163"/>
      <c r="J2906" s="164"/>
      <c r="K2906" s="163"/>
      <c r="L2906" s="164"/>
      <c r="M2906" s="11"/>
      <c r="N2906" s="39"/>
      <c r="Q2906" s="15" t="str">
        <f>+CONCATENATE(E2906,G2906)</f>
        <v/>
      </c>
      <c r="R2906" s="15">
        <f>+H2906</f>
        <v>0</v>
      </c>
      <c r="S2906" s="16"/>
      <c r="T2906" s="15">
        <f>+E2906</f>
        <v>0</v>
      </c>
      <c r="U2906" s="26" t="str">
        <f>IFERROR(LEFT(G2906,FIND("*",G2906)-1),"-")</f>
        <v>-</v>
      </c>
      <c r="V2906" s="26" t="str">
        <f>IFERROR(RIGHT(G2906,LEN(G2906)-FIND("*",G2906)),"-")</f>
        <v>-</v>
      </c>
      <c r="W2906" s="27" t="str">
        <f>IFERROR((U2906+V2906)*2/1000,"-")</f>
        <v>-</v>
      </c>
      <c r="X2906" s="27" t="str">
        <f>IFERROR(W2906*H2906,"-")</f>
        <v>-</v>
      </c>
      <c r="Z2906" s="94" t="s">
        <v>82</v>
      </c>
    </row>
    <row r="2907" spans="1:26" s="25" customFormat="1" ht="6.95" customHeight="1" x14ac:dyDescent="0.3">
      <c r="A2907" s="165"/>
      <c r="B2907" s="168"/>
      <c r="C2907" s="169"/>
      <c r="D2907" s="160"/>
      <c r="E2907" s="161"/>
      <c r="F2907" s="162"/>
      <c r="G2907" s="163"/>
      <c r="H2907" s="164"/>
      <c r="I2907" s="163"/>
      <c r="J2907" s="164"/>
      <c r="K2907" s="163"/>
      <c r="L2907" s="164"/>
      <c r="M2907" s="11"/>
      <c r="N2907" s="39"/>
      <c r="Q2907" s="15" t="str">
        <f>+CONCATENATE(E2906,I2906)</f>
        <v/>
      </c>
      <c r="R2907" s="15">
        <f>+J2906</f>
        <v>0</v>
      </c>
      <c r="S2907" s="16"/>
      <c r="T2907" s="15">
        <f>+E2906</f>
        <v>0</v>
      </c>
      <c r="U2907" s="26" t="str">
        <f>IFERROR(LEFT(I2906,FIND("*",I2906)-1),"-")</f>
        <v>-</v>
      </c>
      <c r="V2907" s="26" t="str">
        <f>IFERROR(RIGHT(I2906,LEN(I2906)-FIND("*",I2906)),"-")</f>
        <v>-</v>
      </c>
      <c r="W2907" s="27" t="str">
        <f t="shared" ref="W2907:W2914" si="1582">IFERROR((U2907+V2907)*2/1000,"-")</f>
        <v>-</v>
      </c>
      <c r="X2907" s="27" t="str">
        <f>IFERROR(W2907*J2906,"-")</f>
        <v>-</v>
      </c>
      <c r="Z2907" s="94" t="s">
        <v>82</v>
      </c>
    </row>
    <row r="2908" spans="1:26" s="25" customFormat="1" ht="6.95" customHeight="1" x14ac:dyDescent="0.3">
      <c r="A2908" s="165"/>
      <c r="B2908" s="168"/>
      <c r="C2908" s="169"/>
      <c r="D2908" s="160"/>
      <c r="E2908" s="161"/>
      <c r="F2908" s="162"/>
      <c r="G2908" s="163"/>
      <c r="H2908" s="164"/>
      <c r="I2908" s="163"/>
      <c r="J2908" s="164"/>
      <c r="K2908" s="163"/>
      <c r="L2908" s="164"/>
      <c r="M2908" s="11"/>
      <c r="N2908" s="39"/>
      <c r="Q2908" s="15" t="str">
        <f>+CONCATENATE(E2906,K2906)</f>
        <v/>
      </c>
      <c r="R2908" s="15">
        <f>+L2906</f>
        <v>0</v>
      </c>
      <c r="S2908" s="16"/>
      <c r="T2908" s="15">
        <f>+E2906</f>
        <v>0</v>
      </c>
      <c r="U2908" s="26" t="str">
        <f>IFERROR(LEFT(K2906,FIND("*",K2906)-1),"-")</f>
        <v>-</v>
      </c>
      <c r="V2908" s="26" t="str">
        <f>IFERROR(RIGHT(K2906,LEN(K2906)-FIND("*",K2906)),"-")</f>
        <v>-</v>
      </c>
      <c r="W2908" s="27" t="str">
        <f t="shared" si="1582"/>
        <v>-</v>
      </c>
      <c r="X2908" s="27" t="str">
        <f>IFERROR(W2908*L2906,"-")</f>
        <v>-</v>
      </c>
      <c r="Z2908" s="94" t="s">
        <v>82</v>
      </c>
    </row>
    <row r="2909" spans="1:26" s="25" customFormat="1" ht="6.95" customHeight="1" x14ac:dyDescent="0.3">
      <c r="A2909" s="13"/>
      <c r="B2909" s="168"/>
      <c r="C2909" s="169"/>
      <c r="D2909" s="160" t="s">
        <v>39</v>
      </c>
      <c r="E2909" s="161"/>
      <c r="F2909" s="162" t="s">
        <v>40</v>
      </c>
      <c r="G2909" s="163"/>
      <c r="H2909" s="164"/>
      <c r="I2909" s="163"/>
      <c r="J2909" s="164"/>
      <c r="K2909" s="163"/>
      <c r="L2909" s="164"/>
      <c r="M2909" s="11"/>
      <c r="N2909" s="39"/>
      <c r="Q2909" s="15" t="str">
        <f>+CONCATENATE(E2909,G2909)</f>
        <v/>
      </c>
      <c r="R2909" s="15">
        <f>+H2909</f>
        <v>0</v>
      </c>
      <c r="S2909" s="16"/>
      <c r="T2909" s="15">
        <f>+E2909</f>
        <v>0</v>
      </c>
      <c r="U2909" s="26" t="str">
        <f t="shared" ref="U2909" si="1583">IFERROR(LEFT(G2909,FIND("*",G2909)-1),"-")</f>
        <v>-</v>
      </c>
      <c r="V2909" s="26" t="str">
        <f t="shared" ref="V2909" si="1584">IFERROR(RIGHT(G2909,LEN(G2909)-FIND("*",G2909)),"-")</f>
        <v>-</v>
      </c>
      <c r="W2909" s="27" t="str">
        <f t="shared" si="1582"/>
        <v>-</v>
      </c>
      <c r="X2909" s="27" t="str">
        <f>IFERROR(W2909*H2909,"-")</f>
        <v>-</v>
      </c>
      <c r="Z2909" s="94" t="s">
        <v>82</v>
      </c>
    </row>
    <row r="2910" spans="1:26" s="25" customFormat="1" ht="6.95" customHeight="1" x14ac:dyDescent="0.3">
      <c r="A2910" s="10"/>
      <c r="B2910" s="168"/>
      <c r="C2910" s="169"/>
      <c r="D2910" s="160"/>
      <c r="E2910" s="161"/>
      <c r="F2910" s="162"/>
      <c r="G2910" s="163"/>
      <c r="H2910" s="164"/>
      <c r="I2910" s="163"/>
      <c r="J2910" s="164"/>
      <c r="K2910" s="163"/>
      <c r="L2910" s="164"/>
      <c r="M2910" s="11"/>
      <c r="N2910" s="39"/>
      <c r="Q2910" s="15" t="str">
        <f>+CONCATENATE(E2909,I2909)</f>
        <v/>
      </c>
      <c r="R2910" s="15">
        <f>+J2909</f>
        <v>0</v>
      </c>
      <c r="S2910" s="16"/>
      <c r="T2910" s="15">
        <f>+E2909</f>
        <v>0</v>
      </c>
      <c r="U2910" s="26" t="str">
        <f>IFERROR(LEFT(I2909,FIND("*",I2909)-1),"-")</f>
        <v>-</v>
      </c>
      <c r="V2910" s="26" t="str">
        <f>IFERROR(RIGHT(I2909,LEN(I2909)-FIND("*",I2909)),"-")</f>
        <v>-</v>
      </c>
      <c r="W2910" s="27" t="str">
        <f t="shared" si="1582"/>
        <v>-</v>
      </c>
      <c r="X2910" s="27" t="str">
        <f>IFERROR(W2910*J2909,"-")</f>
        <v>-</v>
      </c>
      <c r="Z2910" s="94" t="s">
        <v>82</v>
      </c>
    </row>
    <row r="2911" spans="1:26" s="25" customFormat="1" ht="6.95" customHeight="1" x14ac:dyDescent="0.3">
      <c r="A2911" s="10"/>
      <c r="B2911" s="168"/>
      <c r="C2911" s="169"/>
      <c r="D2911" s="160"/>
      <c r="E2911" s="161"/>
      <c r="F2911" s="162"/>
      <c r="G2911" s="163"/>
      <c r="H2911" s="164"/>
      <c r="I2911" s="163"/>
      <c r="J2911" s="164"/>
      <c r="K2911" s="163"/>
      <c r="L2911" s="164"/>
      <c r="M2911" s="11"/>
      <c r="N2911" s="39"/>
      <c r="Q2911" s="15" t="str">
        <f>+CONCATENATE(E2909,K2909)</f>
        <v/>
      </c>
      <c r="R2911" s="15">
        <f>+L2909</f>
        <v>0</v>
      </c>
      <c r="S2911" s="16"/>
      <c r="T2911" s="15">
        <f>+E2909</f>
        <v>0</v>
      </c>
      <c r="U2911" s="26" t="str">
        <f>IFERROR(LEFT(K2909,FIND("*",K2909)-1),"-")</f>
        <v>-</v>
      </c>
      <c r="V2911" s="26" t="str">
        <f>IFERROR(RIGHT(K2909,LEN(K2909)-FIND("*",K2909)),"-")</f>
        <v>-</v>
      </c>
      <c r="W2911" s="27" t="str">
        <f t="shared" si="1582"/>
        <v>-</v>
      </c>
      <c r="X2911" s="27" t="str">
        <f>IFERROR(W2911*L2909,"-")</f>
        <v>-</v>
      </c>
      <c r="Z2911" s="94" t="s">
        <v>82</v>
      </c>
    </row>
    <row r="2912" spans="1:26" s="25" customFormat="1" ht="6.95" customHeight="1" x14ac:dyDescent="0.3">
      <c r="A2912" s="13"/>
      <c r="B2912" s="168"/>
      <c r="C2912" s="169"/>
      <c r="D2912" s="160" t="s">
        <v>39</v>
      </c>
      <c r="E2912" s="161"/>
      <c r="F2912" s="162" t="s">
        <v>40</v>
      </c>
      <c r="G2912" s="163"/>
      <c r="H2912" s="164"/>
      <c r="I2912" s="163"/>
      <c r="J2912" s="164"/>
      <c r="K2912" s="163"/>
      <c r="L2912" s="164"/>
      <c r="M2912" s="11"/>
      <c r="N2912" s="39"/>
      <c r="Q2912" s="15" t="str">
        <f>+CONCATENATE(E2912,G2912)</f>
        <v/>
      </c>
      <c r="R2912" s="15">
        <f>+H2912</f>
        <v>0</v>
      </c>
      <c r="S2912" s="16"/>
      <c r="T2912" s="15">
        <f>+E2912</f>
        <v>0</v>
      </c>
      <c r="U2912" s="26" t="str">
        <f t="shared" ref="U2912" si="1585">IFERROR(LEFT(G2912,FIND("*",G2912)-1),"-")</f>
        <v>-</v>
      </c>
      <c r="V2912" s="26" t="str">
        <f t="shared" ref="V2912" si="1586">IFERROR(RIGHT(G2912,LEN(G2912)-FIND("*",G2912)),"-")</f>
        <v>-</v>
      </c>
      <c r="W2912" s="27" t="str">
        <f t="shared" si="1582"/>
        <v>-</v>
      </c>
      <c r="X2912" s="27" t="str">
        <f>IFERROR(W2912*H2912,"-")</f>
        <v>-</v>
      </c>
      <c r="Z2912" s="94" t="s">
        <v>82</v>
      </c>
    </row>
    <row r="2913" spans="1:26" s="25" customFormat="1" ht="6.95" customHeight="1" x14ac:dyDescent="0.3">
      <c r="A2913" s="10"/>
      <c r="B2913" s="168"/>
      <c r="C2913" s="169"/>
      <c r="D2913" s="160"/>
      <c r="E2913" s="161"/>
      <c r="F2913" s="162"/>
      <c r="G2913" s="163"/>
      <c r="H2913" s="164"/>
      <c r="I2913" s="163"/>
      <c r="J2913" s="164"/>
      <c r="K2913" s="163"/>
      <c r="L2913" s="164"/>
      <c r="M2913" s="11"/>
      <c r="N2913" s="39"/>
      <c r="Q2913" s="15" t="str">
        <f>+CONCATENATE(E2912,I2912)</f>
        <v/>
      </c>
      <c r="R2913" s="15">
        <f>+J2912</f>
        <v>0</v>
      </c>
      <c r="S2913" s="16"/>
      <c r="T2913" s="15">
        <f>+E2912</f>
        <v>0</v>
      </c>
      <c r="U2913" s="26" t="str">
        <f>IFERROR(LEFT(I2912,FIND("*",I2912)-1),"-")</f>
        <v>-</v>
      </c>
      <c r="V2913" s="26" t="str">
        <f>IFERROR(RIGHT(I2912,LEN(I2912)-FIND("*",I2912)),"-")</f>
        <v>-</v>
      </c>
      <c r="W2913" s="27" t="str">
        <f t="shared" si="1582"/>
        <v>-</v>
      </c>
      <c r="X2913" s="27" t="str">
        <f t="shared" ref="X2913" si="1587">IFERROR(W2913*J2912,"-")</f>
        <v>-</v>
      </c>
      <c r="Z2913" s="94" t="s">
        <v>82</v>
      </c>
    </row>
    <row r="2914" spans="1:26" s="25" customFormat="1" ht="6.95" customHeight="1" x14ac:dyDescent="0.3">
      <c r="A2914" s="10"/>
      <c r="B2914" s="168"/>
      <c r="C2914" s="169"/>
      <c r="D2914" s="160"/>
      <c r="E2914" s="161"/>
      <c r="F2914" s="162"/>
      <c r="G2914" s="163"/>
      <c r="H2914" s="164"/>
      <c r="I2914" s="163"/>
      <c r="J2914" s="164"/>
      <c r="K2914" s="163"/>
      <c r="L2914" s="164"/>
      <c r="M2914" s="11"/>
      <c r="N2914" s="39"/>
      <c r="Q2914" s="15" t="str">
        <f>+CONCATENATE(E2912,K2912)</f>
        <v/>
      </c>
      <c r="R2914" s="15">
        <f>+L2912</f>
        <v>0</v>
      </c>
      <c r="S2914" s="16"/>
      <c r="T2914" s="15">
        <f>+E2912</f>
        <v>0</v>
      </c>
      <c r="U2914" s="26" t="str">
        <f>IFERROR(LEFT(K2912,FIND("*",K2912)-1),"-")</f>
        <v>-</v>
      </c>
      <c r="V2914" s="26" t="str">
        <f>IFERROR(RIGHT(K2912,LEN(K2912)-FIND("*",K2912)),"-")</f>
        <v>-</v>
      </c>
      <c r="W2914" s="27" t="str">
        <f t="shared" si="1582"/>
        <v>-</v>
      </c>
      <c r="X2914" s="27" t="str">
        <f>IFERROR(W2914*L2912,"-")</f>
        <v>-</v>
      </c>
      <c r="Z2914" s="94" t="s">
        <v>82</v>
      </c>
    </row>
    <row r="2915" spans="1:26" s="25" customFormat="1" ht="21" customHeight="1" thickBot="1" x14ac:dyDescent="0.35">
      <c r="A2915" s="10"/>
      <c r="B2915" s="170"/>
      <c r="C2915" s="171"/>
      <c r="D2915" s="172" t="s">
        <v>43</v>
      </c>
      <c r="E2915" s="173"/>
      <c r="F2915" s="173"/>
      <c r="G2915" s="174"/>
      <c r="H2915" s="174"/>
      <c r="I2915" s="174"/>
      <c r="J2915" s="174"/>
      <c r="K2915" s="174"/>
      <c r="L2915" s="174"/>
      <c r="M2915" s="12"/>
      <c r="N2915" s="39"/>
      <c r="U2915" s="23"/>
      <c r="V2915" s="23"/>
      <c r="Z2915" s="95" t="s">
        <v>81</v>
      </c>
    </row>
    <row r="2916" spans="1:26" s="25" customFormat="1" ht="9.9499999999999993" customHeight="1" thickBot="1" x14ac:dyDescent="0.35">
      <c r="A2916" s="6"/>
      <c r="B2916" s="14"/>
      <c r="C2916" s="119"/>
      <c r="D2916" s="58"/>
      <c r="E2916" s="17"/>
      <c r="F2916" s="58"/>
      <c r="G2916" s="19"/>
      <c r="H2916" s="19"/>
      <c r="I2916" s="19"/>
      <c r="J2916" s="19"/>
      <c r="K2916" s="19"/>
      <c r="L2916" s="19"/>
      <c r="M2916" s="14"/>
      <c r="N2916" s="39"/>
      <c r="Q2916" s="1"/>
      <c r="R2916" s="1"/>
      <c r="S2916" s="1"/>
      <c r="T2916" s="1"/>
      <c r="U2916" s="24"/>
      <c r="V2916" s="24"/>
      <c r="W2916" s="1"/>
      <c r="X2916" s="1"/>
      <c r="Z2916" s="94" t="s">
        <v>82</v>
      </c>
    </row>
    <row r="2917" spans="1:26" s="25" customFormat="1" ht="6.95" customHeight="1" x14ac:dyDescent="0.3">
      <c r="A2917" s="165">
        <f>+A2906+1</f>
        <v>266</v>
      </c>
      <c r="B2917" s="166"/>
      <c r="C2917" s="167"/>
      <c r="D2917" s="160" t="s">
        <v>39</v>
      </c>
      <c r="E2917" s="161"/>
      <c r="F2917" s="162" t="s">
        <v>40</v>
      </c>
      <c r="G2917" s="163"/>
      <c r="H2917" s="164"/>
      <c r="I2917" s="163"/>
      <c r="J2917" s="164"/>
      <c r="K2917" s="163"/>
      <c r="L2917" s="164"/>
      <c r="M2917" s="11"/>
      <c r="N2917" s="39"/>
      <c r="Q2917" s="15" t="str">
        <f>+CONCATENATE(E2917,G2917)</f>
        <v/>
      </c>
      <c r="R2917" s="15">
        <f>+H2917</f>
        <v>0</v>
      </c>
      <c r="S2917" s="16"/>
      <c r="T2917" s="15">
        <f>+E2917</f>
        <v>0</v>
      </c>
      <c r="U2917" s="26" t="str">
        <f>IFERROR(LEFT(G2917,FIND("*",G2917)-1),"-")</f>
        <v>-</v>
      </c>
      <c r="V2917" s="26" t="str">
        <f>IFERROR(RIGHT(G2917,LEN(G2917)-FIND("*",G2917)),"-")</f>
        <v>-</v>
      </c>
      <c r="W2917" s="27" t="str">
        <f>IFERROR((U2917+V2917)*2/1000,"-")</f>
        <v>-</v>
      </c>
      <c r="X2917" s="27" t="str">
        <f>IFERROR(W2917*H2917,"-")</f>
        <v>-</v>
      </c>
      <c r="Z2917" s="94" t="s">
        <v>82</v>
      </c>
    </row>
    <row r="2918" spans="1:26" s="25" customFormat="1" ht="6.95" customHeight="1" x14ac:dyDescent="0.3">
      <c r="A2918" s="165"/>
      <c r="B2918" s="168"/>
      <c r="C2918" s="169"/>
      <c r="D2918" s="160"/>
      <c r="E2918" s="161"/>
      <c r="F2918" s="162"/>
      <c r="G2918" s="163"/>
      <c r="H2918" s="164"/>
      <c r="I2918" s="163"/>
      <c r="J2918" s="164"/>
      <c r="K2918" s="163"/>
      <c r="L2918" s="164"/>
      <c r="M2918" s="11"/>
      <c r="N2918" s="39"/>
      <c r="Q2918" s="15" t="str">
        <f>+CONCATENATE(E2917,I2917)</f>
        <v/>
      </c>
      <c r="R2918" s="15">
        <f>+J2917</f>
        <v>0</v>
      </c>
      <c r="S2918" s="16"/>
      <c r="T2918" s="15">
        <f>+E2917</f>
        <v>0</v>
      </c>
      <c r="U2918" s="26" t="str">
        <f>IFERROR(LEFT(I2917,FIND("*",I2917)-1),"-")</f>
        <v>-</v>
      </c>
      <c r="V2918" s="26" t="str">
        <f>IFERROR(RIGHT(I2917,LEN(I2917)-FIND("*",I2917)),"-")</f>
        <v>-</v>
      </c>
      <c r="W2918" s="27" t="str">
        <f t="shared" ref="W2918:W2925" si="1588">IFERROR((U2918+V2918)*2/1000,"-")</f>
        <v>-</v>
      </c>
      <c r="X2918" s="27" t="str">
        <f>IFERROR(W2918*J2917,"-")</f>
        <v>-</v>
      </c>
      <c r="Z2918" s="94" t="s">
        <v>82</v>
      </c>
    </row>
    <row r="2919" spans="1:26" s="25" customFormat="1" ht="6.95" customHeight="1" x14ac:dyDescent="0.3">
      <c r="A2919" s="165"/>
      <c r="B2919" s="168"/>
      <c r="C2919" s="169"/>
      <c r="D2919" s="160"/>
      <c r="E2919" s="161"/>
      <c r="F2919" s="162"/>
      <c r="G2919" s="163"/>
      <c r="H2919" s="164"/>
      <c r="I2919" s="163"/>
      <c r="J2919" s="164"/>
      <c r="K2919" s="163"/>
      <c r="L2919" s="164"/>
      <c r="M2919" s="11"/>
      <c r="N2919" s="39"/>
      <c r="Q2919" s="15" t="str">
        <f>+CONCATENATE(E2917,K2917)</f>
        <v/>
      </c>
      <c r="R2919" s="15">
        <f>+L2917</f>
        <v>0</v>
      </c>
      <c r="S2919" s="16"/>
      <c r="T2919" s="15">
        <f>+E2917</f>
        <v>0</v>
      </c>
      <c r="U2919" s="26" t="str">
        <f>IFERROR(LEFT(K2917,FIND("*",K2917)-1),"-")</f>
        <v>-</v>
      </c>
      <c r="V2919" s="26" t="str">
        <f>IFERROR(RIGHT(K2917,LEN(K2917)-FIND("*",K2917)),"-")</f>
        <v>-</v>
      </c>
      <c r="W2919" s="27" t="str">
        <f t="shared" si="1588"/>
        <v>-</v>
      </c>
      <c r="X2919" s="27" t="str">
        <f>IFERROR(W2919*L2917,"-")</f>
        <v>-</v>
      </c>
      <c r="Z2919" s="94" t="s">
        <v>82</v>
      </c>
    </row>
    <row r="2920" spans="1:26" s="25" customFormat="1" ht="6.95" customHeight="1" x14ac:dyDescent="0.3">
      <c r="A2920" s="13"/>
      <c r="B2920" s="168"/>
      <c r="C2920" s="169"/>
      <c r="D2920" s="160" t="s">
        <v>39</v>
      </c>
      <c r="E2920" s="161"/>
      <c r="F2920" s="162" t="s">
        <v>40</v>
      </c>
      <c r="G2920" s="163"/>
      <c r="H2920" s="164"/>
      <c r="I2920" s="163"/>
      <c r="J2920" s="164"/>
      <c r="K2920" s="163"/>
      <c r="L2920" s="164"/>
      <c r="M2920" s="11"/>
      <c r="N2920" s="39"/>
      <c r="Q2920" s="15" t="str">
        <f>+CONCATENATE(E2920,G2920)</f>
        <v/>
      </c>
      <c r="R2920" s="15">
        <f>+H2920</f>
        <v>0</v>
      </c>
      <c r="S2920" s="16"/>
      <c r="T2920" s="15">
        <f>+E2920</f>
        <v>0</v>
      </c>
      <c r="U2920" s="26" t="str">
        <f t="shared" ref="U2920" si="1589">IFERROR(LEFT(G2920,FIND("*",G2920)-1),"-")</f>
        <v>-</v>
      </c>
      <c r="V2920" s="26" t="str">
        <f t="shared" ref="V2920" si="1590">IFERROR(RIGHT(G2920,LEN(G2920)-FIND("*",G2920)),"-")</f>
        <v>-</v>
      </c>
      <c r="W2920" s="27" t="str">
        <f t="shared" si="1588"/>
        <v>-</v>
      </c>
      <c r="X2920" s="27" t="str">
        <f>IFERROR(W2920*H2920,"-")</f>
        <v>-</v>
      </c>
      <c r="Z2920" s="94" t="s">
        <v>82</v>
      </c>
    </row>
    <row r="2921" spans="1:26" s="25" customFormat="1" ht="6.95" customHeight="1" x14ac:dyDescent="0.3">
      <c r="A2921" s="10"/>
      <c r="B2921" s="168"/>
      <c r="C2921" s="169"/>
      <c r="D2921" s="160"/>
      <c r="E2921" s="161"/>
      <c r="F2921" s="162"/>
      <c r="G2921" s="163"/>
      <c r="H2921" s="164"/>
      <c r="I2921" s="163"/>
      <c r="J2921" s="164"/>
      <c r="K2921" s="163"/>
      <c r="L2921" s="164"/>
      <c r="M2921" s="11"/>
      <c r="N2921" s="39"/>
      <c r="Q2921" s="15" t="str">
        <f>+CONCATENATE(E2920,I2920)</f>
        <v/>
      </c>
      <c r="R2921" s="15">
        <f>+J2920</f>
        <v>0</v>
      </c>
      <c r="S2921" s="16"/>
      <c r="T2921" s="15">
        <f>+E2920</f>
        <v>0</v>
      </c>
      <c r="U2921" s="26" t="str">
        <f>IFERROR(LEFT(I2920,FIND("*",I2920)-1),"-")</f>
        <v>-</v>
      </c>
      <c r="V2921" s="26" t="str">
        <f>IFERROR(RIGHT(I2920,LEN(I2920)-FIND("*",I2920)),"-")</f>
        <v>-</v>
      </c>
      <c r="W2921" s="27" t="str">
        <f t="shared" si="1588"/>
        <v>-</v>
      </c>
      <c r="X2921" s="27" t="str">
        <f>IFERROR(W2921*J2920,"-")</f>
        <v>-</v>
      </c>
      <c r="Z2921" s="94" t="s">
        <v>82</v>
      </c>
    </row>
    <row r="2922" spans="1:26" s="25" customFormat="1" ht="6.95" customHeight="1" x14ac:dyDescent="0.3">
      <c r="A2922" s="10"/>
      <c r="B2922" s="168"/>
      <c r="C2922" s="169"/>
      <c r="D2922" s="160"/>
      <c r="E2922" s="161"/>
      <c r="F2922" s="162"/>
      <c r="G2922" s="163"/>
      <c r="H2922" s="164"/>
      <c r="I2922" s="163"/>
      <c r="J2922" s="164"/>
      <c r="K2922" s="163"/>
      <c r="L2922" s="164"/>
      <c r="M2922" s="11"/>
      <c r="N2922" s="39"/>
      <c r="Q2922" s="15" t="str">
        <f>+CONCATENATE(E2920,K2920)</f>
        <v/>
      </c>
      <c r="R2922" s="15">
        <f>+L2920</f>
        <v>0</v>
      </c>
      <c r="S2922" s="16"/>
      <c r="T2922" s="15">
        <f>+E2920</f>
        <v>0</v>
      </c>
      <c r="U2922" s="26" t="str">
        <f>IFERROR(LEFT(K2920,FIND("*",K2920)-1),"-")</f>
        <v>-</v>
      </c>
      <c r="V2922" s="26" t="str">
        <f>IFERROR(RIGHT(K2920,LEN(K2920)-FIND("*",K2920)),"-")</f>
        <v>-</v>
      </c>
      <c r="W2922" s="27" t="str">
        <f t="shared" si="1588"/>
        <v>-</v>
      </c>
      <c r="X2922" s="27" t="str">
        <f>IFERROR(W2922*L2920,"-")</f>
        <v>-</v>
      </c>
      <c r="Z2922" s="94" t="s">
        <v>82</v>
      </c>
    </row>
    <row r="2923" spans="1:26" s="25" customFormat="1" ht="6.95" customHeight="1" x14ac:dyDescent="0.3">
      <c r="A2923" s="13"/>
      <c r="B2923" s="168"/>
      <c r="C2923" s="169"/>
      <c r="D2923" s="160" t="s">
        <v>39</v>
      </c>
      <c r="E2923" s="161"/>
      <c r="F2923" s="162" t="s">
        <v>40</v>
      </c>
      <c r="G2923" s="163"/>
      <c r="H2923" s="164"/>
      <c r="I2923" s="163"/>
      <c r="J2923" s="164"/>
      <c r="K2923" s="163"/>
      <c r="L2923" s="164"/>
      <c r="M2923" s="11"/>
      <c r="N2923" s="39"/>
      <c r="Q2923" s="15" t="str">
        <f>+CONCATENATE(E2923,G2923)</f>
        <v/>
      </c>
      <c r="R2923" s="15">
        <f>+H2923</f>
        <v>0</v>
      </c>
      <c r="S2923" s="16"/>
      <c r="T2923" s="15">
        <f>+E2923</f>
        <v>0</v>
      </c>
      <c r="U2923" s="26" t="str">
        <f t="shared" ref="U2923" si="1591">IFERROR(LEFT(G2923,FIND("*",G2923)-1),"-")</f>
        <v>-</v>
      </c>
      <c r="V2923" s="26" t="str">
        <f t="shared" ref="V2923" si="1592">IFERROR(RIGHT(G2923,LEN(G2923)-FIND("*",G2923)),"-")</f>
        <v>-</v>
      </c>
      <c r="W2923" s="27" t="str">
        <f t="shared" si="1588"/>
        <v>-</v>
      </c>
      <c r="X2923" s="27" t="str">
        <f>IFERROR(W2923*H2923,"-")</f>
        <v>-</v>
      </c>
      <c r="Z2923" s="94" t="s">
        <v>82</v>
      </c>
    </row>
    <row r="2924" spans="1:26" s="25" customFormat="1" ht="6.95" customHeight="1" x14ac:dyDescent="0.3">
      <c r="A2924" s="10"/>
      <c r="B2924" s="168"/>
      <c r="C2924" s="169"/>
      <c r="D2924" s="160"/>
      <c r="E2924" s="161"/>
      <c r="F2924" s="162"/>
      <c r="G2924" s="163"/>
      <c r="H2924" s="164"/>
      <c r="I2924" s="163"/>
      <c r="J2924" s="164"/>
      <c r="K2924" s="163"/>
      <c r="L2924" s="164"/>
      <c r="M2924" s="11"/>
      <c r="N2924" s="39"/>
      <c r="Q2924" s="15" t="str">
        <f>+CONCATENATE(E2923,I2923)</f>
        <v/>
      </c>
      <c r="R2924" s="15">
        <f>+J2923</f>
        <v>0</v>
      </c>
      <c r="S2924" s="16"/>
      <c r="T2924" s="15">
        <f>+E2923</f>
        <v>0</v>
      </c>
      <c r="U2924" s="26" t="str">
        <f>IFERROR(LEFT(I2923,FIND("*",I2923)-1),"-")</f>
        <v>-</v>
      </c>
      <c r="V2924" s="26" t="str">
        <f>IFERROR(RIGHT(I2923,LEN(I2923)-FIND("*",I2923)),"-")</f>
        <v>-</v>
      </c>
      <c r="W2924" s="27" t="str">
        <f t="shared" si="1588"/>
        <v>-</v>
      </c>
      <c r="X2924" s="27" t="str">
        <f t="shared" ref="X2924" si="1593">IFERROR(W2924*J2923,"-")</f>
        <v>-</v>
      </c>
      <c r="Z2924" s="94" t="s">
        <v>82</v>
      </c>
    </row>
    <row r="2925" spans="1:26" s="25" customFormat="1" ht="6.95" customHeight="1" x14ac:dyDescent="0.3">
      <c r="A2925" s="10"/>
      <c r="B2925" s="168"/>
      <c r="C2925" s="169"/>
      <c r="D2925" s="160"/>
      <c r="E2925" s="161"/>
      <c r="F2925" s="162"/>
      <c r="G2925" s="163"/>
      <c r="H2925" s="164"/>
      <c r="I2925" s="163"/>
      <c r="J2925" s="164"/>
      <c r="K2925" s="163"/>
      <c r="L2925" s="164"/>
      <c r="M2925" s="11"/>
      <c r="N2925" s="39"/>
      <c r="Q2925" s="15" t="str">
        <f>+CONCATENATE(E2923,K2923)</f>
        <v/>
      </c>
      <c r="R2925" s="15">
        <f>+L2923</f>
        <v>0</v>
      </c>
      <c r="S2925" s="16"/>
      <c r="T2925" s="15">
        <f>+E2923</f>
        <v>0</v>
      </c>
      <c r="U2925" s="26" t="str">
        <f>IFERROR(LEFT(K2923,FIND("*",K2923)-1),"-")</f>
        <v>-</v>
      </c>
      <c r="V2925" s="26" t="str">
        <f>IFERROR(RIGHT(K2923,LEN(K2923)-FIND("*",K2923)),"-")</f>
        <v>-</v>
      </c>
      <c r="W2925" s="27" t="str">
        <f t="shared" si="1588"/>
        <v>-</v>
      </c>
      <c r="X2925" s="27" t="str">
        <f>IFERROR(W2925*L2923,"-")</f>
        <v>-</v>
      </c>
      <c r="Z2925" s="94" t="s">
        <v>82</v>
      </c>
    </row>
    <row r="2926" spans="1:26" s="25" customFormat="1" ht="21" customHeight="1" thickBot="1" x14ac:dyDescent="0.35">
      <c r="A2926" s="10"/>
      <c r="B2926" s="170"/>
      <c r="C2926" s="171"/>
      <c r="D2926" s="172" t="s">
        <v>43</v>
      </c>
      <c r="E2926" s="173"/>
      <c r="F2926" s="173"/>
      <c r="G2926" s="174"/>
      <c r="H2926" s="174"/>
      <c r="I2926" s="174"/>
      <c r="J2926" s="174"/>
      <c r="K2926" s="174"/>
      <c r="L2926" s="174"/>
      <c r="M2926" s="12"/>
      <c r="N2926" s="39"/>
      <c r="U2926" s="23"/>
      <c r="V2926" s="23"/>
      <c r="Z2926" s="95" t="s">
        <v>81</v>
      </c>
    </row>
    <row r="2927" spans="1:26" s="25" customFormat="1" ht="9.9499999999999993" customHeight="1" thickBot="1" x14ac:dyDescent="0.35">
      <c r="A2927" s="6"/>
      <c r="B2927" s="14"/>
      <c r="C2927" s="119"/>
      <c r="D2927" s="58"/>
      <c r="E2927" s="17"/>
      <c r="F2927" s="58"/>
      <c r="G2927" s="19"/>
      <c r="H2927" s="19"/>
      <c r="I2927" s="19"/>
      <c r="J2927" s="19"/>
      <c r="K2927" s="19"/>
      <c r="L2927" s="19"/>
      <c r="M2927" s="14"/>
      <c r="N2927" s="39"/>
      <c r="Q2927" s="1"/>
      <c r="R2927" s="1"/>
      <c r="S2927" s="1"/>
      <c r="T2927" s="1"/>
      <c r="U2927" s="24"/>
      <c r="V2927" s="24"/>
      <c r="W2927" s="1"/>
      <c r="X2927" s="1"/>
      <c r="Z2927" s="94" t="s">
        <v>82</v>
      </c>
    </row>
    <row r="2928" spans="1:26" s="25" customFormat="1" ht="6.95" customHeight="1" x14ac:dyDescent="0.3">
      <c r="A2928" s="165">
        <f>+A2917+1</f>
        <v>267</v>
      </c>
      <c r="B2928" s="166"/>
      <c r="C2928" s="167"/>
      <c r="D2928" s="160" t="s">
        <v>39</v>
      </c>
      <c r="E2928" s="161"/>
      <c r="F2928" s="162" t="s">
        <v>40</v>
      </c>
      <c r="G2928" s="163"/>
      <c r="H2928" s="164"/>
      <c r="I2928" s="163"/>
      <c r="J2928" s="164"/>
      <c r="K2928" s="163"/>
      <c r="L2928" s="164"/>
      <c r="M2928" s="11"/>
      <c r="N2928" s="39"/>
      <c r="Q2928" s="15" t="str">
        <f>+CONCATENATE(E2928,G2928)</f>
        <v/>
      </c>
      <c r="R2928" s="15">
        <f>+H2928</f>
        <v>0</v>
      </c>
      <c r="S2928" s="16"/>
      <c r="T2928" s="15">
        <f>+E2928</f>
        <v>0</v>
      </c>
      <c r="U2928" s="26" t="str">
        <f>IFERROR(LEFT(G2928,FIND("*",G2928)-1),"-")</f>
        <v>-</v>
      </c>
      <c r="V2928" s="26" t="str">
        <f>IFERROR(RIGHT(G2928,LEN(G2928)-FIND("*",G2928)),"-")</f>
        <v>-</v>
      </c>
      <c r="W2928" s="27" t="str">
        <f>IFERROR((U2928+V2928)*2/1000,"-")</f>
        <v>-</v>
      </c>
      <c r="X2928" s="27" t="str">
        <f>IFERROR(W2928*H2928,"-")</f>
        <v>-</v>
      </c>
      <c r="Z2928" s="94" t="s">
        <v>82</v>
      </c>
    </row>
    <row r="2929" spans="1:26" s="25" customFormat="1" ht="6.95" customHeight="1" x14ac:dyDescent="0.3">
      <c r="A2929" s="165"/>
      <c r="B2929" s="168"/>
      <c r="C2929" s="169"/>
      <c r="D2929" s="160"/>
      <c r="E2929" s="161"/>
      <c r="F2929" s="162"/>
      <c r="G2929" s="163"/>
      <c r="H2929" s="164"/>
      <c r="I2929" s="163"/>
      <c r="J2929" s="164"/>
      <c r="K2929" s="163"/>
      <c r="L2929" s="164"/>
      <c r="M2929" s="11"/>
      <c r="N2929" s="39"/>
      <c r="Q2929" s="15" t="str">
        <f>+CONCATENATE(E2928,I2928)</f>
        <v/>
      </c>
      <c r="R2929" s="15">
        <f>+J2928</f>
        <v>0</v>
      </c>
      <c r="S2929" s="16"/>
      <c r="T2929" s="15">
        <f>+E2928</f>
        <v>0</v>
      </c>
      <c r="U2929" s="26" t="str">
        <f>IFERROR(LEFT(I2928,FIND("*",I2928)-1),"-")</f>
        <v>-</v>
      </c>
      <c r="V2929" s="26" t="str">
        <f>IFERROR(RIGHT(I2928,LEN(I2928)-FIND("*",I2928)),"-")</f>
        <v>-</v>
      </c>
      <c r="W2929" s="27" t="str">
        <f t="shared" ref="W2929:W2936" si="1594">IFERROR((U2929+V2929)*2/1000,"-")</f>
        <v>-</v>
      </c>
      <c r="X2929" s="27" t="str">
        <f>IFERROR(W2929*J2928,"-")</f>
        <v>-</v>
      </c>
      <c r="Z2929" s="94" t="s">
        <v>82</v>
      </c>
    </row>
    <row r="2930" spans="1:26" s="25" customFormat="1" ht="6.95" customHeight="1" x14ac:dyDescent="0.3">
      <c r="A2930" s="165"/>
      <c r="B2930" s="168"/>
      <c r="C2930" s="169"/>
      <c r="D2930" s="160"/>
      <c r="E2930" s="161"/>
      <c r="F2930" s="162"/>
      <c r="G2930" s="163"/>
      <c r="H2930" s="164"/>
      <c r="I2930" s="163"/>
      <c r="J2930" s="164"/>
      <c r="K2930" s="163"/>
      <c r="L2930" s="164"/>
      <c r="M2930" s="11"/>
      <c r="N2930" s="39"/>
      <c r="Q2930" s="15" t="str">
        <f>+CONCATENATE(E2928,K2928)</f>
        <v/>
      </c>
      <c r="R2930" s="15">
        <f>+L2928</f>
        <v>0</v>
      </c>
      <c r="S2930" s="16"/>
      <c r="T2930" s="15">
        <f>+E2928</f>
        <v>0</v>
      </c>
      <c r="U2930" s="26" t="str">
        <f>IFERROR(LEFT(K2928,FIND("*",K2928)-1),"-")</f>
        <v>-</v>
      </c>
      <c r="V2930" s="26" t="str">
        <f>IFERROR(RIGHT(K2928,LEN(K2928)-FIND("*",K2928)),"-")</f>
        <v>-</v>
      </c>
      <c r="W2930" s="27" t="str">
        <f t="shared" si="1594"/>
        <v>-</v>
      </c>
      <c r="X2930" s="27" t="str">
        <f>IFERROR(W2930*L2928,"-")</f>
        <v>-</v>
      </c>
      <c r="Z2930" s="94" t="s">
        <v>82</v>
      </c>
    </row>
    <row r="2931" spans="1:26" s="25" customFormat="1" ht="6.95" customHeight="1" x14ac:dyDescent="0.3">
      <c r="A2931" s="13"/>
      <c r="B2931" s="168"/>
      <c r="C2931" s="169"/>
      <c r="D2931" s="160" t="s">
        <v>39</v>
      </c>
      <c r="E2931" s="161"/>
      <c r="F2931" s="162" t="s">
        <v>40</v>
      </c>
      <c r="G2931" s="163"/>
      <c r="H2931" s="164"/>
      <c r="I2931" s="163"/>
      <c r="J2931" s="164"/>
      <c r="K2931" s="163"/>
      <c r="L2931" s="164"/>
      <c r="M2931" s="11"/>
      <c r="N2931" s="39"/>
      <c r="Q2931" s="15" t="str">
        <f>+CONCATENATE(E2931,G2931)</f>
        <v/>
      </c>
      <c r="R2931" s="15">
        <f>+H2931</f>
        <v>0</v>
      </c>
      <c r="S2931" s="16"/>
      <c r="T2931" s="15">
        <f>+E2931</f>
        <v>0</v>
      </c>
      <c r="U2931" s="26" t="str">
        <f t="shared" ref="U2931" si="1595">IFERROR(LEFT(G2931,FIND("*",G2931)-1),"-")</f>
        <v>-</v>
      </c>
      <c r="V2931" s="26" t="str">
        <f t="shared" ref="V2931" si="1596">IFERROR(RIGHT(G2931,LEN(G2931)-FIND("*",G2931)),"-")</f>
        <v>-</v>
      </c>
      <c r="W2931" s="27" t="str">
        <f t="shared" si="1594"/>
        <v>-</v>
      </c>
      <c r="X2931" s="27" t="str">
        <f>IFERROR(W2931*H2931,"-")</f>
        <v>-</v>
      </c>
      <c r="Z2931" s="94" t="s">
        <v>82</v>
      </c>
    </row>
    <row r="2932" spans="1:26" s="25" customFormat="1" ht="6.95" customHeight="1" x14ac:dyDescent="0.3">
      <c r="A2932" s="10"/>
      <c r="B2932" s="168"/>
      <c r="C2932" s="169"/>
      <c r="D2932" s="160"/>
      <c r="E2932" s="161"/>
      <c r="F2932" s="162"/>
      <c r="G2932" s="163"/>
      <c r="H2932" s="164"/>
      <c r="I2932" s="163"/>
      <c r="J2932" s="164"/>
      <c r="K2932" s="163"/>
      <c r="L2932" s="164"/>
      <c r="M2932" s="11"/>
      <c r="N2932" s="39"/>
      <c r="Q2932" s="15" t="str">
        <f>+CONCATENATE(E2931,I2931)</f>
        <v/>
      </c>
      <c r="R2932" s="15">
        <f>+J2931</f>
        <v>0</v>
      </c>
      <c r="S2932" s="16"/>
      <c r="T2932" s="15">
        <f>+E2931</f>
        <v>0</v>
      </c>
      <c r="U2932" s="26" t="str">
        <f>IFERROR(LEFT(I2931,FIND("*",I2931)-1),"-")</f>
        <v>-</v>
      </c>
      <c r="V2932" s="26" t="str">
        <f>IFERROR(RIGHT(I2931,LEN(I2931)-FIND("*",I2931)),"-")</f>
        <v>-</v>
      </c>
      <c r="W2932" s="27" t="str">
        <f t="shared" si="1594"/>
        <v>-</v>
      </c>
      <c r="X2932" s="27" t="str">
        <f>IFERROR(W2932*J2931,"-")</f>
        <v>-</v>
      </c>
      <c r="Z2932" s="94" t="s">
        <v>82</v>
      </c>
    </row>
    <row r="2933" spans="1:26" s="25" customFormat="1" ht="6.95" customHeight="1" x14ac:dyDescent="0.3">
      <c r="A2933" s="10"/>
      <c r="B2933" s="168"/>
      <c r="C2933" s="169"/>
      <c r="D2933" s="160"/>
      <c r="E2933" s="161"/>
      <c r="F2933" s="162"/>
      <c r="G2933" s="163"/>
      <c r="H2933" s="164"/>
      <c r="I2933" s="163"/>
      <c r="J2933" s="164"/>
      <c r="K2933" s="163"/>
      <c r="L2933" s="164"/>
      <c r="M2933" s="11"/>
      <c r="N2933" s="39"/>
      <c r="Q2933" s="15" t="str">
        <f>+CONCATENATE(E2931,K2931)</f>
        <v/>
      </c>
      <c r="R2933" s="15">
        <f>+L2931</f>
        <v>0</v>
      </c>
      <c r="S2933" s="16"/>
      <c r="T2933" s="15">
        <f>+E2931</f>
        <v>0</v>
      </c>
      <c r="U2933" s="26" t="str">
        <f>IFERROR(LEFT(K2931,FIND("*",K2931)-1),"-")</f>
        <v>-</v>
      </c>
      <c r="V2933" s="26" t="str">
        <f>IFERROR(RIGHT(K2931,LEN(K2931)-FIND("*",K2931)),"-")</f>
        <v>-</v>
      </c>
      <c r="W2933" s="27" t="str">
        <f t="shared" si="1594"/>
        <v>-</v>
      </c>
      <c r="X2933" s="27" t="str">
        <f>IFERROR(W2933*L2931,"-")</f>
        <v>-</v>
      </c>
      <c r="Z2933" s="94" t="s">
        <v>82</v>
      </c>
    </row>
    <row r="2934" spans="1:26" s="25" customFormat="1" ht="6.95" customHeight="1" x14ac:dyDescent="0.3">
      <c r="A2934" s="13"/>
      <c r="B2934" s="168"/>
      <c r="C2934" s="169"/>
      <c r="D2934" s="160" t="s">
        <v>39</v>
      </c>
      <c r="E2934" s="161"/>
      <c r="F2934" s="162" t="s">
        <v>40</v>
      </c>
      <c r="G2934" s="163"/>
      <c r="H2934" s="164"/>
      <c r="I2934" s="163"/>
      <c r="J2934" s="164"/>
      <c r="K2934" s="163"/>
      <c r="L2934" s="164"/>
      <c r="M2934" s="11"/>
      <c r="N2934" s="39"/>
      <c r="Q2934" s="15" t="str">
        <f>+CONCATENATE(E2934,G2934)</f>
        <v/>
      </c>
      <c r="R2934" s="15">
        <f>+H2934</f>
        <v>0</v>
      </c>
      <c r="S2934" s="16"/>
      <c r="T2934" s="15">
        <f>+E2934</f>
        <v>0</v>
      </c>
      <c r="U2934" s="26" t="str">
        <f t="shared" ref="U2934" si="1597">IFERROR(LEFT(G2934,FIND("*",G2934)-1),"-")</f>
        <v>-</v>
      </c>
      <c r="V2934" s="26" t="str">
        <f t="shared" ref="V2934" si="1598">IFERROR(RIGHT(G2934,LEN(G2934)-FIND("*",G2934)),"-")</f>
        <v>-</v>
      </c>
      <c r="W2934" s="27" t="str">
        <f t="shared" si="1594"/>
        <v>-</v>
      </c>
      <c r="X2934" s="27" t="str">
        <f>IFERROR(W2934*H2934,"-")</f>
        <v>-</v>
      </c>
      <c r="Z2934" s="94" t="s">
        <v>82</v>
      </c>
    </row>
    <row r="2935" spans="1:26" s="25" customFormat="1" ht="6.95" customHeight="1" x14ac:dyDescent="0.3">
      <c r="A2935" s="10"/>
      <c r="B2935" s="168"/>
      <c r="C2935" s="169"/>
      <c r="D2935" s="160"/>
      <c r="E2935" s="161"/>
      <c r="F2935" s="162"/>
      <c r="G2935" s="163"/>
      <c r="H2935" s="164"/>
      <c r="I2935" s="163"/>
      <c r="J2935" s="164"/>
      <c r="K2935" s="163"/>
      <c r="L2935" s="164"/>
      <c r="M2935" s="11"/>
      <c r="N2935" s="39"/>
      <c r="Q2935" s="15" t="str">
        <f>+CONCATENATE(E2934,I2934)</f>
        <v/>
      </c>
      <c r="R2935" s="15">
        <f>+J2934</f>
        <v>0</v>
      </c>
      <c r="S2935" s="16"/>
      <c r="T2935" s="15">
        <f>+E2934</f>
        <v>0</v>
      </c>
      <c r="U2935" s="26" t="str">
        <f>IFERROR(LEFT(I2934,FIND("*",I2934)-1),"-")</f>
        <v>-</v>
      </c>
      <c r="V2935" s="26" t="str">
        <f>IFERROR(RIGHT(I2934,LEN(I2934)-FIND("*",I2934)),"-")</f>
        <v>-</v>
      </c>
      <c r="W2935" s="27" t="str">
        <f t="shared" si="1594"/>
        <v>-</v>
      </c>
      <c r="X2935" s="27" t="str">
        <f t="shared" ref="X2935" si="1599">IFERROR(W2935*J2934,"-")</f>
        <v>-</v>
      </c>
      <c r="Z2935" s="94" t="s">
        <v>82</v>
      </c>
    </row>
    <row r="2936" spans="1:26" s="25" customFormat="1" ht="6.95" customHeight="1" x14ac:dyDescent="0.3">
      <c r="A2936" s="10"/>
      <c r="B2936" s="168"/>
      <c r="C2936" s="169"/>
      <c r="D2936" s="160"/>
      <c r="E2936" s="161"/>
      <c r="F2936" s="162"/>
      <c r="G2936" s="163"/>
      <c r="H2936" s="164"/>
      <c r="I2936" s="163"/>
      <c r="J2936" s="164"/>
      <c r="K2936" s="163"/>
      <c r="L2936" s="164"/>
      <c r="M2936" s="11"/>
      <c r="N2936" s="39"/>
      <c r="Q2936" s="15" t="str">
        <f>+CONCATENATE(E2934,K2934)</f>
        <v/>
      </c>
      <c r="R2936" s="15">
        <f>+L2934</f>
        <v>0</v>
      </c>
      <c r="S2936" s="16"/>
      <c r="T2936" s="15">
        <f>+E2934</f>
        <v>0</v>
      </c>
      <c r="U2936" s="26" t="str">
        <f>IFERROR(LEFT(K2934,FIND("*",K2934)-1),"-")</f>
        <v>-</v>
      </c>
      <c r="V2936" s="26" t="str">
        <f>IFERROR(RIGHT(K2934,LEN(K2934)-FIND("*",K2934)),"-")</f>
        <v>-</v>
      </c>
      <c r="W2936" s="27" t="str">
        <f t="shared" si="1594"/>
        <v>-</v>
      </c>
      <c r="X2936" s="27" t="str">
        <f>IFERROR(W2936*L2934,"-")</f>
        <v>-</v>
      </c>
      <c r="Z2936" s="94" t="s">
        <v>82</v>
      </c>
    </row>
    <row r="2937" spans="1:26" s="25" customFormat="1" ht="21" customHeight="1" thickBot="1" x14ac:dyDescent="0.35">
      <c r="A2937" s="10"/>
      <c r="B2937" s="170"/>
      <c r="C2937" s="171"/>
      <c r="D2937" s="172" t="s">
        <v>43</v>
      </c>
      <c r="E2937" s="173"/>
      <c r="F2937" s="173"/>
      <c r="G2937" s="174"/>
      <c r="H2937" s="174"/>
      <c r="I2937" s="174"/>
      <c r="J2937" s="174"/>
      <c r="K2937" s="174"/>
      <c r="L2937" s="174"/>
      <c r="M2937" s="12"/>
      <c r="N2937" s="39"/>
      <c r="U2937" s="23"/>
      <c r="V2937" s="23"/>
      <c r="Z2937" s="95" t="s">
        <v>81</v>
      </c>
    </row>
    <row r="2938" spans="1:26" s="25" customFormat="1" ht="9.9499999999999993" customHeight="1" thickBot="1" x14ac:dyDescent="0.35">
      <c r="A2938" s="6"/>
      <c r="B2938" s="14"/>
      <c r="C2938" s="119"/>
      <c r="D2938" s="58"/>
      <c r="E2938" s="17"/>
      <c r="F2938" s="58"/>
      <c r="G2938" s="19"/>
      <c r="H2938" s="19"/>
      <c r="I2938" s="19"/>
      <c r="J2938" s="19"/>
      <c r="K2938" s="19"/>
      <c r="L2938" s="19"/>
      <c r="M2938" s="14"/>
      <c r="N2938" s="39"/>
      <c r="Q2938" s="1"/>
      <c r="R2938" s="1"/>
      <c r="S2938" s="1"/>
      <c r="T2938" s="1"/>
      <c r="U2938" s="24"/>
      <c r="V2938" s="24"/>
      <c r="W2938" s="1"/>
      <c r="X2938" s="1"/>
      <c r="Z2938" s="94" t="s">
        <v>82</v>
      </c>
    </row>
    <row r="2939" spans="1:26" s="25" customFormat="1" ht="6.95" customHeight="1" x14ac:dyDescent="0.3">
      <c r="A2939" s="165">
        <f>+A2928+1</f>
        <v>268</v>
      </c>
      <c r="B2939" s="166"/>
      <c r="C2939" s="167"/>
      <c r="D2939" s="160" t="s">
        <v>39</v>
      </c>
      <c r="E2939" s="161"/>
      <c r="F2939" s="162" t="s">
        <v>40</v>
      </c>
      <c r="G2939" s="163"/>
      <c r="H2939" s="164"/>
      <c r="I2939" s="163"/>
      <c r="J2939" s="164"/>
      <c r="K2939" s="163"/>
      <c r="L2939" s="164"/>
      <c r="M2939" s="11"/>
      <c r="N2939" s="39"/>
      <c r="Q2939" s="15" t="str">
        <f>+CONCATENATE(E2939,G2939)</f>
        <v/>
      </c>
      <c r="R2939" s="15">
        <f>+H2939</f>
        <v>0</v>
      </c>
      <c r="S2939" s="16"/>
      <c r="T2939" s="15">
        <f>+E2939</f>
        <v>0</v>
      </c>
      <c r="U2939" s="26" t="str">
        <f>IFERROR(LEFT(G2939,FIND("*",G2939)-1),"-")</f>
        <v>-</v>
      </c>
      <c r="V2939" s="26" t="str">
        <f>IFERROR(RIGHT(G2939,LEN(G2939)-FIND("*",G2939)),"-")</f>
        <v>-</v>
      </c>
      <c r="W2939" s="27" t="str">
        <f>IFERROR((U2939+V2939)*2/1000,"-")</f>
        <v>-</v>
      </c>
      <c r="X2939" s="27" t="str">
        <f>IFERROR(W2939*H2939,"-")</f>
        <v>-</v>
      </c>
      <c r="Z2939" s="94" t="s">
        <v>82</v>
      </c>
    </row>
    <row r="2940" spans="1:26" s="25" customFormat="1" ht="6.95" customHeight="1" x14ac:dyDescent="0.3">
      <c r="A2940" s="165"/>
      <c r="B2940" s="168"/>
      <c r="C2940" s="169"/>
      <c r="D2940" s="160"/>
      <c r="E2940" s="161"/>
      <c r="F2940" s="162"/>
      <c r="G2940" s="163"/>
      <c r="H2940" s="164"/>
      <c r="I2940" s="163"/>
      <c r="J2940" s="164"/>
      <c r="K2940" s="163"/>
      <c r="L2940" s="164"/>
      <c r="M2940" s="11"/>
      <c r="N2940" s="39"/>
      <c r="Q2940" s="15" t="str">
        <f>+CONCATENATE(E2939,I2939)</f>
        <v/>
      </c>
      <c r="R2940" s="15">
        <f>+J2939</f>
        <v>0</v>
      </c>
      <c r="S2940" s="16"/>
      <c r="T2940" s="15">
        <f>+E2939</f>
        <v>0</v>
      </c>
      <c r="U2940" s="26" t="str">
        <f>IFERROR(LEFT(I2939,FIND("*",I2939)-1),"-")</f>
        <v>-</v>
      </c>
      <c r="V2940" s="26" t="str">
        <f>IFERROR(RIGHT(I2939,LEN(I2939)-FIND("*",I2939)),"-")</f>
        <v>-</v>
      </c>
      <c r="W2940" s="27" t="str">
        <f t="shared" ref="W2940:W2947" si="1600">IFERROR((U2940+V2940)*2/1000,"-")</f>
        <v>-</v>
      </c>
      <c r="X2940" s="27" t="str">
        <f>IFERROR(W2940*J2939,"-")</f>
        <v>-</v>
      </c>
      <c r="Z2940" s="94" t="s">
        <v>82</v>
      </c>
    </row>
    <row r="2941" spans="1:26" s="25" customFormat="1" ht="6.95" customHeight="1" x14ac:dyDescent="0.3">
      <c r="A2941" s="165"/>
      <c r="B2941" s="168"/>
      <c r="C2941" s="169"/>
      <c r="D2941" s="160"/>
      <c r="E2941" s="161"/>
      <c r="F2941" s="162"/>
      <c r="G2941" s="163"/>
      <c r="H2941" s="164"/>
      <c r="I2941" s="163"/>
      <c r="J2941" s="164"/>
      <c r="K2941" s="163"/>
      <c r="L2941" s="164"/>
      <c r="M2941" s="11"/>
      <c r="N2941" s="39"/>
      <c r="Q2941" s="15" t="str">
        <f>+CONCATENATE(E2939,K2939)</f>
        <v/>
      </c>
      <c r="R2941" s="15">
        <f>+L2939</f>
        <v>0</v>
      </c>
      <c r="S2941" s="16"/>
      <c r="T2941" s="15">
        <f>+E2939</f>
        <v>0</v>
      </c>
      <c r="U2941" s="26" t="str">
        <f>IFERROR(LEFT(K2939,FIND("*",K2939)-1),"-")</f>
        <v>-</v>
      </c>
      <c r="V2941" s="26" t="str">
        <f>IFERROR(RIGHT(K2939,LEN(K2939)-FIND("*",K2939)),"-")</f>
        <v>-</v>
      </c>
      <c r="W2941" s="27" t="str">
        <f t="shared" si="1600"/>
        <v>-</v>
      </c>
      <c r="X2941" s="27" t="str">
        <f>IFERROR(W2941*L2939,"-")</f>
        <v>-</v>
      </c>
      <c r="Z2941" s="94" t="s">
        <v>82</v>
      </c>
    </row>
    <row r="2942" spans="1:26" s="25" customFormat="1" ht="6.95" customHeight="1" x14ac:dyDescent="0.3">
      <c r="A2942" s="13"/>
      <c r="B2942" s="168"/>
      <c r="C2942" s="169"/>
      <c r="D2942" s="160" t="s">
        <v>39</v>
      </c>
      <c r="E2942" s="161"/>
      <c r="F2942" s="162" t="s">
        <v>40</v>
      </c>
      <c r="G2942" s="163"/>
      <c r="H2942" s="164"/>
      <c r="I2942" s="163"/>
      <c r="J2942" s="164"/>
      <c r="K2942" s="163"/>
      <c r="L2942" s="164"/>
      <c r="M2942" s="11"/>
      <c r="N2942" s="39"/>
      <c r="Q2942" s="15" t="str">
        <f>+CONCATENATE(E2942,G2942)</f>
        <v/>
      </c>
      <c r="R2942" s="15">
        <f>+H2942</f>
        <v>0</v>
      </c>
      <c r="S2942" s="16"/>
      <c r="T2942" s="15">
        <f>+E2942</f>
        <v>0</v>
      </c>
      <c r="U2942" s="26" t="str">
        <f t="shared" ref="U2942" si="1601">IFERROR(LEFT(G2942,FIND("*",G2942)-1),"-")</f>
        <v>-</v>
      </c>
      <c r="V2942" s="26" t="str">
        <f t="shared" ref="V2942" si="1602">IFERROR(RIGHT(G2942,LEN(G2942)-FIND("*",G2942)),"-")</f>
        <v>-</v>
      </c>
      <c r="W2942" s="27" t="str">
        <f t="shared" si="1600"/>
        <v>-</v>
      </c>
      <c r="X2942" s="27" t="str">
        <f>IFERROR(W2942*H2942,"-")</f>
        <v>-</v>
      </c>
      <c r="Z2942" s="94" t="s">
        <v>82</v>
      </c>
    </row>
    <row r="2943" spans="1:26" s="25" customFormat="1" ht="6.95" customHeight="1" x14ac:dyDescent="0.3">
      <c r="A2943" s="10"/>
      <c r="B2943" s="168"/>
      <c r="C2943" s="169"/>
      <c r="D2943" s="160"/>
      <c r="E2943" s="161"/>
      <c r="F2943" s="162"/>
      <c r="G2943" s="163"/>
      <c r="H2943" s="164"/>
      <c r="I2943" s="163"/>
      <c r="J2943" s="164"/>
      <c r="K2943" s="163"/>
      <c r="L2943" s="164"/>
      <c r="M2943" s="11"/>
      <c r="N2943" s="39"/>
      <c r="Q2943" s="15" t="str">
        <f>+CONCATENATE(E2942,I2942)</f>
        <v/>
      </c>
      <c r="R2943" s="15">
        <f>+J2942</f>
        <v>0</v>
      </c>
      <c r="S2943" s="16"/>
      <c r="T2943" s="15">
        <f>+E2942</f>
        <v>0</v>
      </c>
      <c r="U2943" s="26" t="str">
        <f>IFERROR(LEFT(I2942,FIND("*",I2942)-1),"-")</f>
        <v>-</v>
      </c>
      <c r="V2943" s="26" t="str">
        <f>IFERROR(RIGHT(I2942,LEN(I2942)-FIND("*",I2942)),"-")</f>
        <v>-</v>
      </c>
      <c r="W2943" s="27" t="str">
        <f t="shared" si="1600"/>
        <v>-</v>
      </c>
      <c r="X2943" s="27" t="str">
        <f>IFERROR(W2943*J2942,"-")</f>
        <v>-</v>
      </c>
      <c r="Z2943" s="94" t="s">
        <v>82</v>
      </c>
    </row>
    <row r="2944" spans="1:26" s="25" customFormat="1" ht="6.95" customHeight="1" x14ac:dyDescent="0.3">
      <c r="A2944" s="10"/>
      <c r="B2944" s="168"/>
      <c r="C2944" s="169"/>
      <c r="D2944" s="160"/>
      <c r="E2944" s="161"/>
      <c r="F2944" s="162"/>
      <c r="G2944" s="163"/>
      <c r="H2944" s="164"/>
      <c r="I2944" s="163"/>
      <c r="J2944" s="164"/>
      <c r="K2944" s="163"/>
      <c r="L2944" s="164"/>
      <c r="M2944" s="11"/>
      <c r="N2944" s="39"/>
      <c r="Q2944" s="15" t="str">
        <f>+CONCATENATE(E2942,K2942)</f>
        <v/>
      </c>
      <c r="R2944" s="15">
        <f>+L2942</f>
        <v>0</v>
      </c>
      <c r="S2944" s="16"/>
      <c r="T2944" s="15">
        <f>+E2942</f>
        <v>0</v>
      </c>
      <c r="U2944" s="26" t="str">
        <f>IFERROR(LEFT(K2942,FIND("*",K2942)-1),"-")</f>
        <v>-</v>
      </c>
      <c r="V2944" s="26" t="str">
        <f>IFERROR(RIGHT(K2942,LEN(K2942)-FIND("*",K2942)),"-")</f>
        <v>-</v>
      </c>
      <c r="W2944" s="27" t="str">
        <f t="shared" si="1600"/>
        <v>-</v>
      </c>
      <c r="X2944" s="27" t="str">
        <f>IFERROR(W2944*L2942,"-")</f>
        <v>-</v>
      </c>
      <c r="Z2944" s="94" t="s">
        <v>82</v>
      </c>
    </row>
    <row r="2945" spans="1:26" s="25" customFormat="1" ht="6.95" customHeight="1" x14ac:dyDescent="0.3">
      <c r="A2945" s="13"/>
      <c r="B2945" s="168"/>
      <c r="C2945" s="169"/>
      <c r="D2945" s="160" t="s">
        <v>39</v>
      </c>
      <c r="E2945" s="161"/>
      <c r="F2945" s="162" t="s">
        <v>40</v>
      </c>
      <c r="G2945" s="163"/>
      <c r="H2945" s="164"/>
      <c r="I2945" s="163"/>
      <c r="J2945" s="164"/>
      <c r="K2945" s="163"/>
      <c r="L2945" s="164"/>
      <c r="M2945" s="11"/>
      <c r="N2945" s="39"/>
      <c r="Q2945" s="15" t="str">
        <f>+CONCATENATE(E2945,G2945)</f>
        <v/>
      </c>
      <c r="R2945" s="15">
        <f>+H2945</f>
        <v>0</v>
      </c>
      <c r="S2945" s="16"/>
      <c r="T2945" s="15">
        <f>+E2945</f>
        <v>0</v>
      </c>
      <c r="U2945" s="26" t="str">
        <f t="shared" ref="U2945" si="1603">IFERROR(LEFT(G2945,FIND("*",G2945)-1),"-")</f>
        <v>-</v>
      </c>
      <c r="V2945" s="26" t="str">
        <f t="shared" ref="V2945" si="1604">IFERROR(RIGHT(G2945,LEN(G2945)-FIND("*",G2945)),"-")</f>
        <v>-</v>
      </c>
      <c r="W2945" s="27" t="str">
        <f t="shared" si="1600"/>
        <v>-</v>
      </c>
      <c r="X2945" s="27" t="str">
        <f>IFERROR(W2945*H2945,"-")</f>
        <v>-</v>
      </c>
      <c r="Z2945" s="94" t="s">
        <v>82</v>
      </c>
    </row>
    <row r="2946" spans="1:26" s="25" customFormat="1" ht="6.95" customHeight="1" x14ac:dyDescent="0.3">
      <c r="A2946" s="10"/>
      <c r="B2946" s="168"/>
      <c r="C2946" s="169"/>
      <c r="D2946" s="160"/>
      <c r="E2946" s="161"/>
      <c r="F2946" s="162"/>
      <c r="G2946" s="163"/>
      <c r="H2946" s="164"/>
      <c r="I2946" s="163"/>
      <c r="J2946" s="164"/>
      <c r="K2946" s="163"/>
      <c r="L2946" s="164"/>
      <c r="M2946" s="11"/>
      <c r="N2946" s="39"/>
      <c r="Q2946" s="15" t="str">
        <f>+CONCATENATE(E2945,I2945)</f>
        <v/>
      </c>
      <c r="R2946" s="15">
        <f>+J2945</f>
        <v>0</v>
      </c>
      <c r="S2946" s="16"/>
      <c r="T2946" s="15">
        <f>+E2945</f>
        <v>0</v>
      </c>
      <c r="U2946" s="26" t="str">
        <f>IFERROR(LEFT(I2945,FIND("*",I2945)-1),"-")</f>
        <v>-</v>
      </c>
      <c r="V2946" s="26" t="str">
        <f>IFERROR(RIGHT(I2945,LEN(I2945)-FIND("*",I2945)),"-")</f>
        <v>-</v>
      </c>
      <c r="W2946" s="27" t="str">
        <f t="shared" si="1600"/>
        <v>-</v>
      </c>
      <c r="X2946" s="27" t="str">
        <f t="shared" ref="X2946" si="1605">IFERROR(W2946*J2945,"-")</f>
        <v>-</v>
      </c>
      <c r="Z2946" s="94" t="s">
        <v>82</v>
      </c>
    </row>
    <row r="2947" spans="1:26" s="25" customFormat="1" ht="6.95" customHeight="1" x14ac:dyDescent="0.3">
      <c r="A2947" s="10"/>
      <c r="B2947" s="168"/>
      <c r="C2947" s="169"/>
      <c r="D2947" s="160"/>
      <c r="E2947" s="161"/>
      <c r="F2947" s="162"/>
      <c r="G2947" s="163"/>
      <c r="H2947" s="164"/>
      <c r="I2947" s="163"/>
      <c r="J2947" s="164"/>
      <c r="K2947" s="163"/>
      <c r="L2947" s="164"/>
      <c r="M2947" s="11"/>
      <c r="N2947" s="39"/>
      <c r="Q2947" s="15" t="str">
        <f>+CONCATENATE(E2945,K2945)</f>
        <v/>
      </c>
      <c r="R2947" s="15">
        <f>+L2945</f>
        <v>0</v>
      </c>
      <c r="S2947" s="16"/>
      <c r="T2947" s="15">
        <f>+E2945</f>
        <v>0</v>
      </c>
      <c r="U2947" s="26" t="str">
        <f>IFERROR(LEFT(K2945,FIND("*",K2945)-1),"-")</f>
        <v>-</v>
      </c>
      <c r="V2947" s="26" t="str">
        <f>IFERROR(RIGHT(K2945,LEN(K2945)-FIND("*",K2945)),"-")</f>
        <v>-</v>
      </c>
      <c r="W2947" s="27" t="str">
        <f t="shared" si="1600"/>
        <v>-</v>
      </c>
      <c r="X2947" s="27" t="str">
        <f>IFERROR(W2947*L2945,"-")</f>
        <v>-</v>
      </c>
      <c r="Z2947" s="94" t="s">
        <v>82</v>
      </c>
    </row>
    <row r="2948" spans="1:26" s="25" customFormat="1" ht="21" customHeight="1" thickBot="1" x14ac:dyDescent="0.35">
      <c r="A2948" s="10"/>
      <c r="B2948" s="170"/>
      <c r="C2948" s="171"/>
      <c r="D2948" s="172" t="s">
        <v>43</v>
      </c>
      <c r="E2948" s="173"/>
      <c r="F2948" s="173"/>
      <c r="G2948" s="174"/>
      <c r="H2948" s="174"/>
      <c r="I2948" s="174"/>
      <c r="J2948" s="174"/>
      <c r="K2948" s="174"/>
      <c r="L2948" s="174"/>
      <c r="M2948" s="12"/>
      <c r="N2948" s="39"/>
      <c r="U2948" s="23"/>
      <c r="V2948" s="23"/>
      <c r="Z2948" s="95" t="s">
        <v>81</v>
      </c>
    </row>
    <row r="2949" spans="1:26" s="25" customFormat="1" ht="9.9499999999999993" customHeight="1" thickBot="1" x14ac:dyDescent="0.35">
      <c r="A2949" s="6"/>
      <c r="B2949" s="14"/>
      <c r="C2949" s="119"/>
      <c r="D2949" s="58"/>
      <c r="E2949" s="17"/>
      <c r="F2949" s="58"/>
      <c r="G2949" s="19"/>
      <c r="H2949" s="19"/>
      <c r="I2949" s="19"/>
      <c r="J2949" s="19"/>
      <c r="K2949" s="19"/>
      <c r="L2949" s="19"/>
      <c r="M2949" s="14"/>
      <c r="N2949" s="39"/>
      <c r="Q2949" s="1"/>
      <c r="R2949" s="1"/>
      <c r="S2949" s="1"/>
      <c r="T2949" s="1"/>
      <c r="U2949" s="24"/>
      <c r="V2949" s="24"/>
      <c r="W2949" s="1"/>
      <c r="X2949" s="1"/>
      <c r="Z2949" s="94" t="s">
        <v>82</v>
      </c>
    </row>
    <row r="2950" spans="1:26" s="25" customFormat="1" ht="6.95" customHeight="1" x14ac:dyDescent="0.3">
      <c r="A2950" s="165">
        <f>+A2939+1</f>
        <v>269</v>
      </c>
      <c r="B2950" s="166"/>
      <c r="C2950" s="167"/>
      <c r="D2950" s="160" t="s">
        <v>39</v>
      </c>
      <c r="E2950" s="161"/>
      <c r="F2950" s="162" t="s">
        <v>40</v>
      </c>
      <c r="G2950" s="163"/>
      <c r="H2950" s="164"/>
      <c r="I2950" s="163"/>
      <c r="J2950" s="164"/>
      <c r="K2950" s="163"/>
      <c r="L2950" s="164"/>
      <c r="M2950" s="11"/>
      <c r="N2950" s="39"/>
      <c r="Q2950" s="15" t="str">
        <f>+CONCATENATE(E2950,G2950)</f>
        <v/>
      </c>
      <c r="R2950" s="15">
        <f>+H2950</f>
        <v>0</v>
      </c>
      <c r="S2950" s="16"/>
      <c r="T2950" s="15">
        <f>+E2950</f>
        <v>0</v>
      </c>
      <c r="U2950" s="26" t="str">
        <f>IFERROR(LEFT(G2950,FIND("*",G2950)-1),"-")</f>
        <v>-</v>
      </c>
      <c r="V2950" s="26" t="str">
        <f>IFERROR(RIGHT(G2950,LEN(G2950)-FIND("*",G2950)),"-")</f>
        <v>-</v>
      </c>
      <c r="W2950" s="27" t="str">
        <f>IFERROR((U2950+V2950)*2/1000,"-")</f>
        <v>-</v>
      </c>
      <c r="X2950" s="27" t="str">
        <f>IFERROR(W2950*H2950,"-")</f>
        <v>-</v>
      </c>
      <c r="Z2950" s="94" t="s">
        <v>82</v>
      </c>
    </row>
    <row r="2951" spans="1:26" s="25" customFormat="1" ht="6.95" customHeight="1" x14ac:dyDescent="0.3">
      <c r="A2951" s="165"/>
      <c r="B2951" s="168"/>
      <c r="C2951" s="169"/>
      <c r="D2951" s="160"/>
      <c r="E2951" s="161"/>
      <c r="F2951" s="162"/>
      <c r="G2951" s="163"/>
      <c r="H2951" s="164"/>
      <c r="I2951" s="163"/>
      <c r="J2951" s="164"/>
      <c r="K2951" s="163"/>
      <c r="L2951" s="164"/>
      <c r="M2951" s="11"/>
      <c r="N2951" s="39"/>
      <c r="Q2951" s="15" t="str">
        <f>+CONCATENATE(E2950,I2950)</f>
        <v/>
      </c>
      <c r="R2951" s="15">
        <f>+J2950</f>
        <v>0</v>
      </c>
      <c r="S2951" s="16"/>
      <c r="T2951" s="15">
        <f>+E2950</f>
        <v>0</v>
      </c>
      <c r="U2951" s="26" t="str">
        <f>IFERROR(LEFT(I2950,FIND("*",I2950)-1),"-")</f>
        <v>-</v>
      </c>
      <c r="V2951" s="26" t="str">
        <f>IFERROR(RIGHT(I2950,LEN(I2950)-FIND("*",I2950)),"-")</f>
        <v>-</v>
      </c>
      <c r="W2951" s="27" t="str">
        <f t="shared" ref="W2951:W2958" si="1606">IFERROR((U2951+V2951)*2/1000,"-")</f>
        <v>-</v>
      </c>
      <c r="X2951" s="27" t="str">
        <f>IFERROR(W2951*J2950,"-")</f>
        <v>-</v>
      </c>
      <c r="Z2951" s="94" t="s">
        <v>82</v>
      </c>
    </row>
    <row r="2952" spans="1:26" s="25" customFormat="1" ht="6.95" customHeight="1" x14ac:dyDescent="0.3">
      <c r="A2952" s="165"/>
      <c r="B2952" s="168"/>
      <c r="C2952" s="169"/>
      <c r="D2952" s="160"/>
      <c r="E2952" s="161"/>
      <c r="F2952" s="162"/>
      <c r="G2952" s="163"/>
      <c r="H2952" s="164"/>
      <c r="I2952" s="163"/>
      <c r="J2952" s="164"/>
      <c r="K2952" s="163"/>
      <c r="L2952" s="164"/>
      <c r="M2952" s="11"/>
      <c r="N2952" s="39"/>
      <c r="Q2952" s="15" t="str">
        <f>+CONCATENATE(E2950,K2950)</f>
        <v/>
      </c>
      <c r="R2952" s="15">
        <f>+L2950</f>
        <v>0</v>
      </c>
      <c r="S2952" s="16"/>
      <c r="T2952" s="15">
        <f>+E2950</f>
        <v>0</v>
      </c>
      <c r="U2952" s="26" t="str">
        <f>IFERROR(LEFT(K2950,FIND("*",K2950)-1),"-")</f>
        <v>-</v>
      </c>
      <c r="V2952" s="26" t="str">
        <f>IFERROR(RIGHT(K2950,LEN(K2950)-FIND("*",K2950)),"-")</f>
        <v>-</v>
      </c>
      <c r="W2952" s="27" t="str">
        <f t="shared" si="1606"/>
        <v>-</v>
      </c>
      <c r="X2952" s="27" t="str">
        <f>IFERROR(W2952*L2950,"-")</f>
        <v>-</v>
      </c>
      <c r="Z2952" s="94" t="s">
        <v>82</v>
      </c>
    </row>
    <row r="2953" spans="1:26" s="25" customFormat="1" ht="6.95" customHeight="1" x14ac:dyDescent="0.3">
      <c r="A2953" s="13"/>
      <c r="B2953" s="168"/>
      <c r="C2953" s="169"/>
      <c r="D2953" s="160" t="s">
        <v>39</v>
      </c>
      <c r="E2953" s="161"/>
      <c r="F2953" s="162" t="s">
        <v>40</v>
      </c>
      <c r="G2953" s="163"/>
      <c r="H2953" s="164"/>
      <c r="I2953" s="163"/>
      <c r="J2953" s="164"/>
      <c r="K2953" s="163"/>
      <c r="L2953" s="164"/>
      <c r="M2953" s="11"/>
      <c r="N2953" s="39"/>
      <c r="Q2953" s="15" t="str">
        <f>+CONCATENATE(E2953,G2953)</f>
        <v/>
      </c>
      <c r="R2953" s="15">
        <f>+H2953</f>
        <v>0</v>
      </c>
      <c r="S2953" s="16"/>
      <c r="T2953" s="15">
        <f>+E2953</f>
        <v>0</v>
      </c>
      <c r="U2953" s="26" t="str">
        <f t="shared" ref="U2953" si="1607">IFERROR(LEFT(G2953,FIND("*",G2953)-1),"-")</f>
        <v>-</v>
      </c>
      <c r="V2953" s="26" t="str">
        <f t="shared" ref="V2953" si="1608">IFERROR(RIGHT(G2953,LEN(G2953)-FIND("*",G2953)),"-")</f>
        <v>-</v>
      </c>
      <c r="W2953" s="27" t="str">
        <f t="shared" si="1606"/>
        <v>-</v>
      </c>
      <c r="X2953" s="27" t="str">
        <f>IFERROR(W2953*H2953,"-")</f>
        <v>-</v>
      </c>
      <c r="Z2953" s="94" t="s">
        <v>82</v>
      </c>
    </row>
    <row r="2954" spans="1:26" s="25" customFormat="1" ht="6.95" customHeight="1" x14ac:dyDescent="0.3">
      <c r="A2954" s="10"/>
      <c r="B2954" s="168"/>
      <c r="C2954" s="169"/>
      <c r="D2954" s="160"/>
      <c r="E2954" s="161"/>
      <c r="F2954" s="162"/>
      <c r="G2954" s="163"/>
      <c r="H2954" s="164"/>
      <c r="I2954" s="163"/>
      <c r="J2954" s="164"/>
      <c r="K2954" s="163"/>
      <c r="L2954" s="164"/>
      <c r="M2954" s="11"/>
      <c r="N2954" s="39"/>
      <c r="Q2954" s="15" t="str">
        <f>+CONCATENATE(E2953,I2953)</f>
        <v/>
      </c>
      <c r="R2954" s="15">
        <f>+J2953</f>
        <v>0</v>
      </c>
      <c r="S2954" s="16"/>
      <c r="T2954" s="15">
        <f>+E2953</f>
        <v>0</v>
      </c>
      <c r="U2954" s="26" t="str">
        <f>IFERROR(LEFT(I2953,FIND("*",I2953)-1),"-")</f>
        <v>-</v>
      </c>
      <c r="V2954" s="26" t="str">
        <f>IFERROR(RIGHT(I2953,LEN(I2953)-FIND("*",I2953)),"-")</f>
        <v>-</v>
      </c>
      <c r="W2954" s="27" t="str">
        <f t="shared" si="1606"/>
        <v>-</v>
      </c>
      <c r="X2954" s="27" t="str">
        <f>IFERROR(W2954*J2953,"-")</f>
        <v>-</v>
      </c>
      <c r="Z2954" s="94" t="s">
        <v>82</v>
      </c>
    </row>
    <row r="2955" spans="1:26" s="25" customFormat="1" ht="6.95" customHeight="1" x14ac:dyDescent="0.3">
      <c r="A2955" s="10"/>
      <c r="B2955" s="168"/>
      <c r="C2955" s="169"/>
      <c r="D2955" s="160"/>
      <c r="E2955" s="161"/>
      <c r="F2955" s="162"/>
      <c r="G2955" s="163"/>
      <c r="H2955" s="164"/>
      <c r="I2955" s="163"/>
      <c r="J2955" s="164"/>
      <c r="K2955" s="163"/>
      <c r="L2955" s="164"/>
      <c r="M2955" s="11"/>
      <c r="N2955" s="39"/>
      <c r="Q2955" s="15" t="str">
        <f>+CONCATENATE(E2953,K2953)</f>
        <v/>
      </c>
      <c r="R2955" s="15">
        <f>+L2953</f>
        <v>0</v>
      </c>
      <c r="S2955" s="16"/>
      <c r="T2955" s="15">
        <f>+E2953</f>
        <v>0</v>
      </c>
      <c r="U2955" s="26" t="str">
        <f>IFERROR(LEFT(K2953,FIND("*",K2953)-1),"-")</f>
        <v>-</v>
      </c>
      <c r="V2955" s="26" t="str">
        <f>IFERROR(RIGHT(K2953,LEN(K2953)-FIND("*",K2953)),"-")</f>
        <v>-</v>
      </c>
      <c r="W2955" s="27" t="str">
        <f t="shared" si="1606"/>
        <v>-</v>
      </c>
      <c r="X2955" s="27" t="str">
        <f>IFERROR(W2955*L2953,"-")</f>
        <v>-</v>
      </c>
      <c r="Z2955" s="94" t="s">
        <v>82</v>
      </c>
    </row>
    <row r="2956" spans="1:26" s="25" customFormat="1" ht="6.95" customHeight="1" x14ac:dyDescent="0.3">
      <c r="A2956" s="13"/>
      <c r="B2956" s="168"/>
      <c r="C2956" s="169"/>
      <c r="D2956" s="160" t="s">
        <v>39</v>
      </c>
      <c r="E2956" s="161"/>
      <c r="F2956" s="162" t="s">
        <v>40</v>
      </c>
      <c r="G2956" s="163"/>
      <c r="H2956" s="164"/>
      <c r="I2956" s="163"/>
      <c r="J2956" s="164"/>
      <c r="K2956" s="163"/>
      <c r="L2956" s="164"/>
      <c r="M2956" s="11"/>
      <c r="N2956" s="39"/>
      <c r="Q2956" s="15" t="str">
        <f>+CONCATENATE(E2956,G2956)</f>
        <v/>
      </c>
      <c r="R2956" s="15">
        <f>+H2956</f>
        <v>0</v>
      </c>
      <c r="S2956" s="16"/>
      <c r="T2956" s="15">
        <f>+E2956</f>
        <v>0</v>
      </c>
      <c r="U2956" s="26" t="str">
        <f t="shared" ref="U2956" si="1609">IFERROR(LEFT(G2956,FIND("*",G2956)-1),"-")</f>
        <v>-</v>
      </c>
      <c r="V2956" s="26" t="str">
        <f t="shared" ref="V2956" si="1610">IFERROR(RIGHT(G2956,LEN(G2956)-FIND("*",G2956)),"-")</f>
        <v>-</v>
      </c>
      <c r="W2956" s="27" t="str">
        <f t="shared" si="1606"/>
        <v>-</v>
      </c>
      <c r="X2956" s="27" t="str">
        <f>IFERROR(W2956*H2956,"-")</f>
        <v>-</v>
      </c>
      <c r="Z2956" s="94" t="s">
        <v>82</v>
      </c>
    </row>
    <row r="2957" spans="1:26" s="25" customFormat="1" ht="6.95" customHeight="1" x14ac:dyDescent="0.3">
      <c r="A2957" s="10"/>
      <c r="B2957" s="168"/>
      <c r="C2957" s="169"/>
      <c r="D2957" s="160"/>
      <c r="E2957" s="161"/>
      <c r="F2957" s="162"/>
      <c r="G2957" s="163"/>
      <c r="H2957" s="164"/>
      <c r="I2957" s="163"/>
      <c r="J2957" s="164"/>
      <c r="K2957" s="163"/>
      <c r="L2957" s="164"/>
      <c r="M2957" s="11"/>
      <c r="N2957" s="39"/>
      <c r="Q2957" s="15" t="str">
        <f>+CONCATENATE(E2956,I2956)</f>
        <v/>
      </c>
      <c r="R2957" s="15">
        <f>+J2956</f>
        <v>0</v>
      </c>
      <c r="S2957" s="16"/>
      <c r="T2957" s="15">
        <f>+E2956</f>
        <v>0</v>
      </c>
      <c r="U2957" s="26" t="str">
        <f>IFERROR(LEFT(I2956,FIND("*",I2956)-1),"-")</f>
        <v>-</v>
      </c>
      <c r="V2957" s="26" t="str">
        <f>IFERROR(RIGHT(I2956,LEN(I2956)-FIND("*",I2956)),"-")</f>
        <v>-</v>
      </c>
      <c r="W2957" s="27" t="str">
        <f t="shared" si="1606"/>
        <v>-</v>
      </c>
      <c r="X2957" s="27" t="str">
        <f t="shared" ref="X2957" si="1611">IFERROR(W2957*J2956,"-")</f>
        <v>-</v>
      </c>
      <c r="Z2957" s="94" t="s">
        <v>82</v>
      </c>
    </row>
    <row r="2958" spans="1:26" s="25" customFormat="1" ht="6.95" customHeight="1" x14ac:dyDescent="0.3">
      <c r="A2958" s="10"/>
      <c r="B2958" s="168"/>
      <c r="C2958" s="169"/>
      <c r="D2958" s="160"/>
      <c r="E2958" s="161"/>
      <c r="F2958" s="162"/>
      <c r="G2958" s="163"/>
      <c r="H2958" s="164"/>
      <c r="I2958" s="163"/>
      <c r="J2958" s="164"/>
      <c r="K2958" s="163"/>
      <c r="L2958" s="164"/>
      <c r="M2958" s="11"/>
      <c r="N2958" s="39"/>
      <c r="Q2958" s="15" t="str">
        <f>+CONCATENATE(E2956,K2956)</f>
        <v/>
      </c>
      <c r="R2958" s="15">
        <f>+L2956</f>
        <v>0</v>
      </c>
      <c r="S2958" s="16"/>
      <c r="T2958" s="15">
        <f>+E2956</f>
        <v>0</v>
      </c>
      <c r="U2958" s="26" t="str">
        <f>IFERROR(LEFT(K2956,FIND("*",K2956)-1),"-")</f>
        <v>-</v>
      </c>
      <c r="V2958" s="26" t="str">
        <f>IFERROR(RIGHT(K2956,LEN(K2956)-FIND("*",K2956)),"-")</f>
        <v>-</v>
      </c>
      <c r="W2958" s="27" t="str">
        <f t="shared" si="1606"/>
        <v>-</v>
      </c>
      <c r="X2958" s="27" t="str">
        <f>IFERROR(W2958*L2956,"-")</f>
        <v>-</v>
      </c>
      <c r="Z2958" s="94" t="s">
        <v>82</v>
      </c>
    </row>
    <row r="2959" spans="1:26" s="25" customFormat="1" ht="21" customHeight="1" thickBot="1" x14ac:dyDescent="0.35">
      <c r="A2959" s="10"/>
      <c r="B2959" s="170"/>
      <c r="C2959" s="171"/>
      <c r="D2959" s="172" t="s">
        <v>43</v>
      </c>
      <c r="E2959" s="173"/>
      <c r="F2959" s="173"/>
      <c r="G2959" s="174"/>
      <c r="H2959" s="174"/>
      <c r="I2959" s="174"/>
      <c r="J2959" s="174"/>
      <c r="K2959" s="174"/>
      <c r="L2959" s="174"/>
      <c r="M2959" s="12"/>
      <c r="N2959" s="39"/>
      <c r="U2959" s="23"/>
      <c r="V2959" s="23"/>
      <c r="Z2959" s="95" t="s">
        <v>81</v>
      </c>
    </row>
    <row r="2960" spans="1:26" s="25" customFormat="1" ht="9.9499999999999993" customHeight="1" thickBot="1" x14ac:dyDescent="0.35">
      <c r="A2960" s="6"/>
      <c r="B2960" s="14"/>
      <c r="C2960" s="119"/>
      <c r="D2960" s="58"/>
      <c r="E2960" s="17"/>
      <c r="F2960" s="58"/>
      <c r="G2960" s="19"/>
      <c r="H2960" s="19"/>
      <c r="I2960" s="19"/>
      <c r="J2960" s="19"/>
      <c r="K2960" s="19"/>
      <c r="L2960" s="19"/>
      <c r="M2960" s="14"/>
      <c r="N2960" s="39"/>
      <c r="Q2960" s="1"/>
      <c r="R2960" s="1"/>
      <c r="S2960" s="1"/>
      <c r="T2960" s="1"/>
      <c r="U2960" s="24"/>
      <c r="V2960" s="24"/>
      <c r="W2960" s="1"/>
      <c r="X2960" s="1"/>
      <c r="Z2960" s="94" t="s">
        <v>82</v>
      </c>
    </row>
    <row r="2961" spans="1:26" s="25" customFormat="1" ht="6.95" customHeight="1" x14ac:dyDescent="0.3">
      <c r="A2961" s="165">
        <f>+A2950+1</f>
        <v>270</v>
      </c>
      <c r="B2961" s="166"/>
      <c r="C2961" s="167"/>
      <c r="D2961" s="160" t="s">
        <v>39</v>
      </c>
      <c r="E2961" s="161"/>
      <c r="F2961" s="162" t="s">
        <v>40</v>
      </c>
      <c r="G2961" s="163"/>
      <c r="H2961" s="164"/>
      <c r="I2961" s="163"/>
      <c r="J2961" s="164"/>
      <c r="K2961" s="163"/>
      <c r="L2961" s="164"/>
      <c r="M2961" s="11"/>
      <c r="N2961" s="39"/>
      <c r="Q2961" s="15" t="str">
        <f>+CONCATENATE(E2961,G2961)</f>
        <v/>
      </c>
      <c r="R2961" s="15">
        <f>+H2961</f>
        <v>0</v>
      </c>
      <c r="S2961" s="16"/>
      <c r="T2961" s="15">
        <f>+E2961</f>
        <v>0</v>
      </c>
      <c r="U2961" s="26" t="str">
        <f>IFERROR(LEFT(G2961,FIND("*",G2961)-1),"-")</f>
        <v>-</v>
      </c>
      <c r="V2961" s="26" t="str">
        <f>IFERROR(RIGHT(G2961,LEN(G2961)-FIND("*",G2961)),"-")</f>
        <v>-</v>
      </c>
      <c r="W2961" s="27" t="str">
        <f>IFERROR((U2961+V2961)*2/1000,"-")</f>
        <v>-</v>
      </c>
      <c r="X2961" s="27" t="str">
        <f>IFERROR(W2961*H2961,"-")</f>
        <v>-</v>
      </c>
      <c r="Z2961" s="94" t="s">
        <v>82</v>
      </c>
    </row>
    <row r="2962" spans="1:26" s="25" customFormat="1" ht="6.95" customHeight="1" x14ac:dyDescent="0.3">
      <c r="A2962" s="165"/>
      <c r="B2962" s="168"/>
      <c r="C2962" s="169"/>
      <c r="D2962" s="160"/>
      <c r="E2962" s="161"/>
      <c r="F2962" s="162"/>
      <c r="G2962" s="163"/>
      <c r="H2962" s="164"/>
      <c r="I2962" s="163"/>
      <c r="J2962" s="164"/>
      <c r="K2962" s="163"/>
      <c r="L2962" s="164"/>
      <c r="M2962" s="11"/>
      <c r="N2962" s="39"/>
      <c r="Q2962" s="15" t="str">
        <f>+CONCATENATE(E2961,I2961)</f>
        <v/>
      </c>
      <c r="R2962" s="15">
        <f>+J2961</f>
        <v>0</v>
      </c>
      <c r="S2962" s="16"/>
      <c r="T2962" s="15">
        <f>+E2961</f>
        <v>0</v>
      </c>
      <c r="U2962" s="26" t="str">
        <f>IFERROR(LEFT(I2961,FIND("*",I2961)-1),"-")</f>
        <v>-</v>
      </c>
      <c r="V2962" s="26" t="str">
        <f>IFERROR(RIGHT(I2961,LEN(I2961)-FIND("*",I2961)),"-")</f>
        <v>-</v>
      </c>
      <c r="W2962" s="27" t="str">
        <f t="shared" ref="W2962:W2969" si="1612">IFERROR((U2962+V2962)*2/1000,"-")</f>
        <v>-</v>
      </c>
      <c r="X2962" s="27" t="str">
        <f>IFERROR(W2962*J2961,"-")</f>
        <v>-</v>
      </c>
      <c r="Z2962" s="94" t="s">
        <v>82</v>
      </c>
    </row>
    <row r="2963" spans="1:26" s="25" customFormat="1" ht="6.95" customHeight="1" x14ac:dyDescent="0.3">
      <c r="A2963" s="165"/>
      <c r="B2963" s="168"/>
      <c r="C2963" s="169"/>
      <c r="D2963" s="160"/>
      <c r="E2963" s="161"/>
      <c r="F2963" s="162"/>
      <c r="G2963" s="163"/>
      <c r="H2963" s="164"/>
      <c r="I2963" s="163"/>
      <c r="J2963" s="164"/>
      <c r="K2963" s="163"/>
      <c r="L2963" s="164"/>
      <c r="M2963" s="11"/>
      <c r="N2963" s="39"/>
      <c r="Q2963" s="15" t="str">
        <f>+CONCATENATE(E2961,K2961)</f>
        <v/>
      </c>
      <c r="R2963" s="15">
        <f>+L2961</f>
        <v>0</v>
      </c>
      <c r="S2963" s="16"/>
      <c r="T2963" s="15">
        <f>+E2961</f>
        <v>0</v>
      </c>
      <c r="U2963" s="26" t="str">
        <f>IFERROR(LEFT(K2961,FIND("*",K2961)-1),"-")</f>
        <v>-</v>
      </c>
      <c r="V2963" s="26" t="str">
        <f>IFERROR(RIGHT(K2961,LEN(K2961)-FIND("*",K2961)),"-")</f>
        <v>-</v>
      </c>
      <c r="W2963" s="27" t="str">
        <f t="shared" si="1612"/>
        <v>-</v>
      </c>
      <c r="X2963" s="27" t="str">
        <f>IFERROR(W2963*L2961,"-")</f>
        <v>-</v>
      </c>
      <c r="Z2963" s="94" t="s">
        <v>82</v>
      </c>
    </row>
    <row r="2964" spans="1:26" s="25" customFormat="1" ht="6.95" customHeight="1" x14ac:dyDescent="0.3">
      <c r="A2964" s="13"/>
      <c r="B2964" s="168"/>
      <c r="C2964" s="169"/>
      <c r="D2964" s="160" t="s">
        <v>39</v>
      </c>
      <c r="E2964" s="161"/>
      <c r="F2964" s="162" t="s">
        <v>40</v>
      </c>
      <c r="G2964" s="163"/>
      <c r="H2964" s="164"/>
      <c r="I2964" s="163"/>
      <c r="J2964" s="164"/>
      <c r="K2964" s="163"/>
      <c r="L2964" s="164"/>
      <c r="M2964" s="11"/>
      <c r="N2964" s="39"/>
      <c r="Q2964" s="15" t="str">
        <f>+CONCATENATE(E2964,G2964)</f>
        <v/>
      </c>
      <c r="R2964" s="15">
        <f>+H2964</f>
        <v>0</v>
      </c>
      <c r="S2964" s="16"/>
      <c r="T2964" s="15">
        <f>+E2964</f>
        <v>0</v>
      </c>
      <c r="U2964" s="26" t="str">
        <f t="shared" ref="U2964" si="1613">IFERROR(LEFT(G2964,FIND("*",G2964)-1),"-")</f>
        <v>-</v>
      </c>
      <c r="V2964" s="26" t="str">
        <f t="shared" ref="V2964" si="1614">IFERROR(RIGHT(G2964,LEN(G2964)-FIND("*",G2964)),"-")</f>
        <v>-</v>
      </c>
      <c r="W2964" s="27" t="str">
        <f t="shared" si="1612"/>
        <v>-</v>
      </c>
      <c r="X2964" s="27" t="str">
        <f>IFERROR(W2964*H2964,"-")</f>
        <v>-</v>
      </c>
      <c r="Z2964" s="94" t="s">
        <v>82</v>
      </c>
    </row>
    <row r="2965" spans="1:26" s="25" customFormat="1" ht="6.95" customHeight="1" x14ac:dyDescent="0.3">
      <c r="A2965" s="10"/>
      <c r="B2965" s="168"/>
      <c r="C2965" s="169"/>
      <c r="D2965" s="160"/>
      <c r="E2965" s="161"/>
      <c r="F2965" s="162"/>
      <c r="G2965" s="163"/>
      <c r="H2965" s="164"/>
      <c r="I2965" s="163"/>
      <c r="J2965" s="164"/>
      <c r="K2965" s="163"/>
      <c r="L2965" s="164"/>
      <c r="M2965" s="11"/>
      <c r="N2965" s="39"/>
      <c r="Q2965" s="15" t="str">
        <f>+CONCATENATE(E2964,I2964)</f>
        <v/>
      </c>
      <c r="R2965" s="15">
        <f>+J2964</f>
        <v>0</v>
      </c>
      <c r="S2965" s="16"/>
      <c r="T2965" s="15">
        <f>+E2964</f>
        <v>0</v>
      </c>
      <c r="U2965" s="26" t="str">
        <f>IFERROR(LEFT(I2964,FIND("*",I2964)-1),"-")</f>
        <v>-</v>
      </c>
      <c r="V2965" s="26" t="str">
        <f>IFERROR(RIGHT(I2964,LEN(I2964)-FIND("*",I2964)),"-")</f>
        <v>-</v>
      </c>
      <c r="W2965" s="27" t="str">
        <f t="shared" si="1612"/>
        <v>-</v>
      </c>
      <c r="X2965" s="27" t="str">
        <f>IFERROR(W2965*J2964,"-")</f>
        <v>-</v>
      </c>
      <c r="Z2965" s="94" t="s">
        <v>82</v>
      </c>
    </row>
    <row r="2966" spans="1:26" s="25" customFormat="1" ht="6.95" customHeight="1" x14ac:dyDescent="0.3">
      <c r="A2966" s="10"/>
      <c r="B2966" s="168"/>
      <c r="C2966" s="169"/>
      <c r="D2966" s="160"/>
      <c r="E2966" s="161"/>
      <c r="F2966" s="162"/>
      <c r="G2966" s="163"/>
      <c r="H2966" s="164"/>
      <c r="I2966" s="163"/>
      <c r="J2966" s="164"/>
      <c r="K2966" s="163"/>
      <c r="L2966" s="164"/>
      <c r="M2966" s="11"/>
      <c r="N2966" s="39"/>
      <c r="Q2966" s="15" t="str">
        <f>+CONCATENATE(E2964,K2964)</f>
        <v/>
      </c>
      <c r="R2966" s="15">
        <f>+L2964</f>
        <v>0</v>
      </c>
      <c r="S2966" s="16"/>
      <c r="T2966" s="15">
        <f>+E2964</f>
        <v>0</v>
      </c>
      <c r="U2966" s="26" t="str">
        <f>IFERROR(LEFT(K2964,FIND("*",K2964)-1),"-")</f>
        <v>-</v>
      </c>
      <c r="V2966" s="26" t="str">
        <f>IFERROR(RIGHT(K2964,LEN(K2964)-FIND("*",K2964)),"-")</f>
        <v>-</v>
      </c>
      <c r="W2966" s="27" t="str">
        <f t="shared" si="1612"/>
        <v>-</v>
      </c>
      <c r="X2966" s="27" t="str">
        <f>IFERROR(W2966*L2964,"-")</f>
        <v>-</v>
      </c>
      <c r="Z2966" s="94" t="s">
        <v>82</v>
      </c>
    </row>
    <row r="2967" spans="1:26" s="25" customFormat="1" ht="6.95" customHeight="1" x14ac:dyDescent="0.3">
      <c r="A2967" s="13"/>
      <c r="B2967" s="168"/>
      <c r="C2967" s="169"/>
      <c r="D2967" s="160" t="s">
        <v>39</v>
      </c>
      <c r="E2967" s="161"/>
      <c r="F2967" s="162" t="s">
        <v>40</v>
      </c>
      <c r="G2967" s="163"/>
      <c r="H2967" s="164"/>
      <c r="I2967" s="163"/>
      <c r="J2967" s="164"/>
      <c r="K2967" s="163"/>
      <c r="L2967" s="164"/>
      <c r="M2967" s="11"/>
      <c r="N2967" s="39"/>
      <c r="Q2967" s="15" t="str">
        <f>+CONCATENATE(E2967,G2967)</f>
        <v/>
      </c>
      <c r="R2967" s="15">
        <f>+H2967</f>
        <v>0</v>
      </c>
      <c r="S2967" s="16"/>
      <c r="T2967" s="15">
        <f>+E2967</f>
        <v>0</v>
      </c>
      <c r="U2967" s="26" t="str">
        <f t="shared" ref="U2967" si="1615">IFERROR(LEFT(G2967,FIND("*",G2967)-1),"-")</f>
        <v>-</v>
      </c>
      <c r="V2967" s="26" t="str">
        <f t="shared" ref="V2967" si="1616">IFERROR(RIGHT(G2967,LEN(G2967)-FIND("*",G2967)),"-")</f>
        <v>-</v>
      </c>
      <c r="W2967" s="27" t="str">
        <f t="shared" si="1612"/>
        <v>-</v>
      </c>
      <c r="X2967" s="27" t="str">
        <f>IFERROR(W2967*H2967,"-")</f>
        <v>-</v>
      </c>
      <c r="Z2967" s="94" t="s">
        <v>82</v>
      </c>
    </row>
    <row r="2968" spans="1:26" s="25" customFormat="1" ht="6.95" customHeight="1" x14ac:dyDescent="0.3">
      <c r="A2968" s="10"/>
      <c r="B2968" s="168"/>
      <c r="C2968" s="169"/>
      <c r="D2968" s="160"/>
      <c r="E2968" s="161"/>
      <c r="F2968" s="162"/>
      <c r="G2968" s="163"/>
      <c r="H2968" s="164"/>
      <c r="I2968" s="163"/>
      <c r="J2968" s="164"/>
      <c r="K2968" s="163"/>
      <c r="L2968" s="164"/>
      <c r="M2968" s="11"/>
      <c r="N2968" s="39"/>
      <c r="Q2968" s="15" t="str">
        <f>+CONCATENATE(E2967,I2967)</f>
        <v/>
      </c>
      <c r="R2968" s="15">
        <f>+J2967</f>
        <v>0</v>
      </c>
      <c r="S2968" s="16"/>
      <c r="T2968" s="15">
        <f>+E2967</f>
        <v>0</v>
      </c>
      <c r="U2968" s="26" t="str">
        <f>IFERROR(LEFT(I2967,FIND("*",I2967)-1),"-")</f>
        <v>-</v>
      </c>
      <c r="V2968" s="26" t="str">
        <f>IFERROR(RIGHT(I2967,LEN(I2967)-FIND("*",I2967)),"-")</f>
        <v>-</v>
      </c>
      <c r="W2968" s="27" t="str">
        <f t="shared" si="1612"/>
        <v>-</v>
      </c>
      <c r="X2968" s="27" t="str">
        <f t="shared" ref="X2968" si="1617">IFERROR(W2968*J2967,"-")</f>
        <v>-</v>
      </c>
      <c r="Z2968" s="94" t="s">
        <v>82</v>
      </c>
    </row>
    <row r="2969" spans="1:26" s="25" customFormat="1" ht="6.95" customHeight="1" x14ac:dyDescent="0.3">
      <c r="A2969" s="10"/>
      <c r="B2969" s="168"/>
      <c r="C2969" s="169"/>
      <c r="D2969" s="160"/>
      <c r="E2969" s="161"/>
      <c r="F2969" s="162"/>
      <c r="G2969" s="163"/>
      <c r="H2969" s="164"/>
      <c r="I2969" s="163"/>
      <c r="J2969" s="164"/>
      <c r="K2969" s="163"/>
      <c r="L2969" s="164"/>
      <c r="M2969" s="11"/>
      <c r="N2969" s="39"/>
      <c r="Q2969" s="15" t="str">
        <f>+CONCATENATE(E2967,K2967)</f>
        <v/>
      </c>
      <c r="R2969" s="15">
        <f>+L2967</f>
        <v>0</v>
      </c>
      <c r="S2969" s="16"/>
      <c r="T2969" s="15">
        <f>+E2967</f>
        <v>0</v>
      </c>
      <c r="U2969" s="26" t="str">
        <f>IFERROR(LEFT(K2967,FIND("*",K2967)-1),"-")</f>
        <v>-</v>
      </c>
      <c r="V2969" s="26" t="str">
        <f>IFERROR(RIGHT(K2967,LEN(K2967)-FIND("*",K2967)),"-")</f>
        <v>-</v>
      </c>
      <c r="W2969" s="27" t="str">
        <f t="shared" si="1612"/>
        <v>-</v>
      </c>
      <c r="X2969" s="27" t="str">
        <f>IFERROR(W2969*L2967,"-")</f>
        <v>-</v>
      </c>
      <c r="Z2969" s="94" t="s">
        <v>82</v>
      </c>
    </row>
    <row r="2970" spans="1:26" s="25" customFormat="1" ht="21" customHeight="1" thickBot="1" x14ac:dyDescent="0.35">
      <c r="A2970" s="10"/>
      <c r="B2970" s="170"/>
      <c r="C2970" s="171"/>
      <c r="D2970" s="172" t="s">
        <v>43</v>
      </c>
      <c r="E2970" s="173"/>
      <c r="F2970" s="173"/>
      <c r="G2970" s="174"/>
      <c r="H2970" s="174"/>
      <c r="I2970" s="174"/>
      <c r="J2970" s="174"/>
      <c r="K2970" s="174"/>
      <c r="L2970" s="174"/>
      <c r="M2970" s="12"/>
      <c r="N2970" s="39"/>
      <c r="U2970" s="23"/>
      <c r="V2970" s="23"/>
      <c r="Z2970" s="95" t="s">
        <v>81</v>
      </c>
    </row>
    <row r="2971" spans="1:26" s="25" customFormat="1" ht="9.9499999999999993" customHeight="1" thickBot="1" x14ac:dyDescent="0.35">
      <c r="A2971" s="6"/>
      <c r="B2971" s="14"/>
      <c r="C2971" s="119"/>
      <c r="D2971" s="58"/>
      <c r="E2971" s="17"/>
      <c r="F2971" s="58"/>
      <c r="G2971" s="19"/>
      <c r="H2971" s="19"/>
      <c r="I2971" s="19"/>
      <c r="J2971" s="19"/>
      <c r="K2971" s="19"/>
      <c r="L2971" s="19"/>
      <c r="M2971" s="14"/>
      <c r="N2971" s="39"/>
      <c r="Q2971" s="1"/>
      <c r="R2971" s="1"/>
      <c r="S2971" s="1"/>
      <c r="T2971" s="1"/>
      <c r="U2971" s="24"/>
      <c r="V2971" s="24"/>
      <c r="W2971" s="1"/>
      <c r="X2971" s="1"/>
      <c r="Z2971" s="94" t="s">
        <v>82</v>
      </c>
    </row>
    <row r="2972" spans="1:26" s="25" customFormat="1" ht="6.95" customHeight="1" x14ac:dyDescent="0.3">
      <c r="A2972" s="165">
        <f>+A2961+1</f>
        <v>271</v>
      </c>
      <c r="B2972" s="166"/>
      <c r="C2972" s="167"/>
      <c r="D2972" s="160" t="s">
        <v>39</v>
      </c>
      <c r="E2972" s="161"/>
      <c r="F2972" s="162" t="s">
        <v>40</v>
      </c>
      <c r="G2972" s="163"/>
      <c r="H2972" s="164"/>
      <c r="I2972" s="163"/>
      <c r="J2972" s="164"/>
      <c r="K2972" s="163"/>
      <c r="L2972" s="164"/>
      <c r="M2972" s="11"/>
      <c r="N2972" s="39"/>
      <c r="Q2972" s="15" t="str">
        <f>+CONCATENATE(E2972,G2972)</f>
        <v/>
      </c>
      <c r="R2972" s="15">
        <f>+H2972</f>
        <v>0</v>
      </c>
      <c r="S2972" s="16"/>
      <c r="T2972" s="15">
        <f>+E2972</f>
        <v>0</v>
      </c>
      <c r="U2972" s="26" t="str">
        <f>IFERROR(LEFT(G2972,FIND("*",G2972)-1),"-")</f>
        <v>-</v>
      </c>
      <c r="V2972" s="26" t="str">
        <f>IFERROR(RIGHT(G2972,LEN(G2972)-FIND("*",G2972)),"-")</f>
        <v>-</v>
      </c>
      <c r="W2972" s="27" t="str">
        <f>IFERROR((U2972+V2972)*2/1000,"-")</f>
        <v>-</v>
      </c>
      <c r="X2972" s="27" t="str">
        <f>IFERROR(W2972*H2972,"-")</f>
        <v>-</v>
      </c>
      <c r="Z2972" s="94" t="s">
        <v>82</v>
      </c>
    </row>
    <row r="2973" spans="1:26" s="25" customFormat="1" ht="6.95" customHeight="1" x14ac:dyDescent="0.3">
      <c r="A2973" s="165"/>
      <c r="B2973" s="168"/>
      <c r="C2973" s="169"/>
      <c r="D2973" s="160"/>
      <c r="E2973" s="161"/>
      <c r="F2973" s="162"/>
      <c r="G2973" s="163"/>
      <c r="H2973" s="164"/>
      <c r="I2973" s="163"/>
      <c r="J2973" s="164"/>
      <c r="K2973" s="163"/>
      <c r="L2973" s="164"/>
      <c r="M2973" s="11"/>
      <c r="N2973" s="39"/>
      <c r="Q2973" s="15" t="str">
        <f>+CONCATENATE(E2972,I2972)</f>
        <v/>
      </c>
      <c r="R2973" s="15">
        <f>+J2972</f>
        <v>0</v>
      </c>
      <c r="S2973" s="16"/>
      <c r="T2973" s="15">
        <f>+E2972</f>
        <v>0</v>
      </c>
      <c r="U2973" s="26" t="str">
        <f>IFERROR(LEFT(I2972,FIND("*",I2972)-1),"-")</f>
        <v>-</v>
      </c>
      <c r="V2973" s="26" t="str">
        <f>IFERROR(RIGHT(I2972,LEN(I2972)-FIND("*",I2972)),"-")</f>
        <v>-</v>
      </c>
      <c r="W2973" s="27" t="str">
        <f t="shared" ref="W2973:W2980" si="1618">IFERROR((U2973+V2973)*2/1000,"-")</f>
        <v>-</v>
      </c>
      <c r="X2973" s="27" t="str">
        <f>IFERROR(W2973*J2972,"-")</f>
        <v>-</v>
      </c>
      <c r="Z2973" s="94" t="s">
        <v>82</v>
      </c>
    </row>
    <row r="2974" spans="1:26" s="25" customFormat="1" ht="6.95" customHeight="1" x14ac:dyDescent="0.3">
      <c r="A2974" s="165"/>
      <c r="B2974" s="168"/>
      <c r="C2974" s="169"/>
      <c r="D2974" s="160"/>
      <c r="E2974" s="161"/>
      <c r="F2974" s="162"/>
      <c r="G2974" s="163"/>
      <c r="H2974" s="164"/>
      <c r="I2974" s="163"/>
      <c r="J2974" s="164"/>
      <c r="K2974" s="163"/>
      <c r="L2974" s="164"/>
      <c r="M2974" s="11"/>
      <c r="N2974" s="39"/>
      <c r="Q2974" s="15" t="str">
        <f>+CONCATENATE(E2972,K2972)</f>
        <v/>
      </c>
      <c r="R2974" s="15">
        <f>+L2972</f>
        <v>0</v>
      </c>
      <c r="S2974" s="16"/>
      <c r="T2974" s="15">
        <f>+E2972</f>
        <v>0</v>
      </c>
      <c r="U2974" s="26" t="str">
        <f>IFERROR(LEFT(K2972,FIND("*",K2972)-1),"-")</f>
        <v>-</v>
      </c>
      <c r="V2974" s="26" t="str">
        <f>IFERROR(RIGHT(K2972,LEN(K2972)-FIND("*",K2972)),"-")</f>
        <v>-</v>
      </c>
      <c r="W2974" s="27" t="str">
        <f t="shared" si="1618"/>
        <v>-</v>
      </c>
      <c r="X2974" s="27" t="str">
        <f>IFERROR(W2974*L2972,"-")</f>
        <v>-</v>
      </c>
      <c r="Z2974" s="94" t="s">
        <v>82</v>
      </c>
    </row>
    <row r="2975" spans="1:26" s="25" customFormat="1" ht="6.95" customHeight="1" x14ac:dyDescent="0.3">
      <c r="A2975" s="13"/>
      <c r="B2975" s="168"/>
      <c r="C2975" s="169"/>
      <c r="D2975" s="160" t="s">
        <v>39</v>
      </c>
      <c r="E2975" s="161"/>
      <c r="F2975" s="162" t="s">
        <v>40</v>
      </c>
      <c r="G2975" s="163"/>
      <c r="H2975" s="164"/>
      <c r="I2975" s="163"/>
      <c r="J2975" s="164"/>
      <c r="K2975" s="163"/>
      <c r="L2975" s="164"/>
      <c r="M2975" s="11"/>
      <c r="N2975" s="39"/>
      <c r="Q2975" s="15" t="str">
        <f>+CONCATENATE(E2975,G2975)</f>
        <v/>
      </c>
      <c r="R2975" s="15">
        <f>+H2975</f>
        <v>0</v>
      </c>
      <c r="S2975" s="16"/>
      <c r="T2975" s="15">
        <f>+E2975</f>
        <v>0</v>
      </c>
      <c r="U2975" s="26" t="str">
        <f t="shared" ref="U2975" si="1619">IFERROR(LEFT(G2975,FIND("*",G2975)-1),"-")</f>
        <v>-</v>
      </c>
      <c r="V2975" s="26" t="str">
        <f t="shared" ref="V2975" si="1620">IFERROR(RIGHT(G2975,LEN(G2975)-FIND("*",G2975)),"-")</f>
        <v>-</v>
      </c>
      <c r="W2975" s="27" t="str">
        <f t="shared" si="1618"/>
        <v>-</v>
      </c>
      <c r="X2975" s="27" t="str">
        <f>IFERROR(W2975*H2975,"-")</f>
        <v>-</v>
      </c>
      <c r="Z2975" s="94" t="s">
        <v>82</v>
      </c>
    </row>
    <row r="2976" spans="1:26" s="25" customFormat="1" ht="6.95" customHeight="1" x14ac:dyDescent="0.3">
      <c r="A2976" s="10"/>
      <c r="B2976" s="168"/>
      <c r="C2976" s="169"/>
      <c r="D2976" s="160"/>
      <c r="E2976" s="161"/>
      <c r="F2976" s="162"/>
      <c r="G2976" s="163"/>
      <c r="H2976" s="164"/>
      <c r="I2976" s="163"/>
      <c r="J2976" s="164"/>
      <c r="K2976" s="163"/>
      <c r="L2976" s="164"/>
      <c r="M2976" s="11"/>
      <c r="N2976" s="39"/>
      <c r="Q2976" s="15" t="str">
        <f>+CONCATENATE(E2975,I2975)</f>
        <v/>
      </c>
      <c r="R2976" s="15">
        <f>+J2975</f>
        <v>0</v>
      </c>
      <c r="S2976" s="16"/>
      <c r="T2976" s="15">
        <f>+E2975</f>
        <v>0</v>
      </c>
      <c r="U2976" s="26" t="str">
        <f>IFERROR(LEFT(I2975,FIND("*",I2975)-1),"-")</f>
        <v>-</v>
      </c>
      <c r="V2976" s="26" t="str">
        <f>IFERROR(RIGHT(I2975,LEN(I2975)-FIND("*",I2975)),"-")</f>
        <v>-</v>
      </c>
      <c r="W2976" s="27" t="str">
        <f t="shared" si="1618"/>
        <v>-</v>
      </c>
      <c r="X2976" s="27" t="str">
        <f>IFERROR(W2976*J2975,"-")</f>
        <v>-</v>
      </c>
      <c r="Z2976" s="94" t="s">
        <v>82</v>
      </c>
    </row>
    <row r="2977" spans="1:26" s="25" customFormat="1" ht="6.95" customHeight="1" x14ac:dyDescent="0.3">
      <c r="A2977" s="10"/>
      <c r="B2977" s="168"/>
      <c r="C2977" s="169"/>
      <c r="D2977" s="160"/>
      <c r="E2977" s="161"/>
      <c r="F2977" s="162"/>
      <c r="G2977" s="163"/>
      <c r="H2977" s="164"/>
      <c r="I2977" s="163"/>
      <c r="J2977" s="164"/>
      <c r="K2977" s="163"/>
      <c r="L2977" s="164"/>
      <c r="M2977" s="11"/>
      <c r="N2977" s="39"/>
      <c r="Q2977" s="15" t="str">
        <f>+CONCATENATE(E2975,K2975)</f>
        <v/>
      </c>
      <c r="R2977" s="15">
        <f>+L2975</f>
        <v>0</v>
      </c>
      <c r="S2977" s="16"/>
      <c r="T2977" s="15">
        <f>+E2975</f>
        <v>0</v>
      </c>
      <c r="U2977" s="26" t="str">
        <f>IFERROR(LEFT(K2975,FIND("*",K2975)-1),"-")</f>
        <v>-</v>
      </c>
      <c r="V2977" s="26" t="str">
        <f>IFERROR(RIGHT(K2975,LEN(K2975)-FIND("*",K2975)),"-")</f>
        <v>-</v>
      </c>
      <c r="W2977" s="27" t="str">
        <f t="shared" si="1618"/>
        <v>-</v>
      </c>
      <c r="X2977" s="27" t="str">
        <f>IFERROR(W2977*L2975,"-")</f>
        <v>-</v>
      </c>
      <c r="Z2977" s="94" t="s">
        <v>82</v>
      </c>
    </row>
    <row r="2978" spans="1:26" s="25" customFormat="1" ht="6.95" customHeight="1" x14ac:dyDescent="0.3">
      <c r="A2978" s="13"/>
      <c r="B2978" s="168"/>
      <c r="C2978" s="169"/>
      <c r="D2978" s="160" t="s">
        <v>39</v>
      </c>
      <c r="E2978" s="161"/>
      <c r="F2978" s="162" t="s">
        <v>40</v>
      </c>
      <c r="G2978" s="163"/>
      <c r="H2978" s="164"/>
      <c r="I2978" s="163"/>
      <c r="J2978" s="164"/>
      <c r="K2978" s="163"/>
      <c r="L2978" s="164"/>
      <c r="M2978" s="11"/>
      <c r="N2978" s="39"/>
      <c r="Q2978" s="15" t="str">
        <f>+CONCATENATE(E2978,G2978)</f>
        <v/>
      </c>
      <c r="R2978" s="15">
        <f>+H2978</f>
        <v>0</v>
      </c>
      <c r="S2978" s="16"/>
      <c r="T2978" s="15">
        <f>+E2978</f>
        <v>0</v>
      </c>
      <c r="U2978" s="26" t="str">
        <f t="shared" ref="U2978" si="1621">IFERROR(LEFT(G2978,FIND("*",G2978)-1),"-")</f>
        <v>-</v>
      </c>
      <c r="V2978" s="26" t="str">
        <f t="shared" ref="V2978" si="1622">IFERROR(RIGHT(G2978,LEN(G2978)-FIND("*",G2978)),"-")</f>
        <v>-</v>
      </c>
      <c r="W2978" s="27" t="str">
        <f t="shared" si="1618"/>
        <v>-</v>
      </c>
      <c r="X2978" s="27" t="str">
        <f>IFERROR(W2978*H2978,"-")</f>
        <v>-</v>
      </c>
      <c r="Z2978" s="94" t="s">
        <v>82</v>
      </c>
    </row>
    <row r="2979" spans="1:26" s="25" customFormat="1" ht="6.95" customHeight="1" x14ac:dyDescent="0.3">
      <c r="A2979" s="10"/>
      <c r="B2979" s="168"/>
      <c r="C2979" s="169"/>
      <c r="D2979" s="160"/>
      <c r="E2979" s="161"/>
      <c r="F2979" s="162"/>
      <c r="G2979" s="163"/>
      <c r="H2979" s="164"/>
      <c r="I2979" s="163"/>
      <c r="J2979" s="164"/>
      <c r="K2979" s="163"/>
      <c r="L2979" s="164"/>
      <c r="M2979" s="11"/>
      <c r="N2979" s="39"/>
      <c r="Q2979" s="15" t="str">
        <f>+CONCATENATE(E2978,I2978)</f>
        <v/>
      </c>
      <c r="R2979" s="15">
        <f>+J2978</f>
        <v>0</v>
      </c>
      <c r="S2979" s="16"/>
      <c r="T2979" s="15">
        <f>+E2978</f>
        <v>0</v>
      </c>
      <c r="U2979" s="26" t="str">
        <f>IFERROR(LEFT(I2978,FIND("*",I2978)-1),"-")</f>
        <v>-</v>
      </c>
      <c r="V2979" s="26" t="str">
        <f>IFERROR(RIGHT(I2978,LEN(I2978)-FIND("*",I2978)),"-")</f>
        <v>-</v>
      </c>
      <c r="W2979" s="27" t="str">
        <f t="shared" si="1618"/>
        <v>-</v>
      </c>
      <c r="X2979" s="27" t="str">
        <f t="shared" ref="X2979" si="1623">IFERROR(W2979*J2978,"-")</f>
        <v>-</v>
      </c>
      <c r="Z2979" s="94" t="s">
        <v>82</v>
      </c>
    </row>
    <row r="2980" spans="1:26" s="25" customFormat="1" ht="6.95" customHeight="1" x14ac:dyDescent="0.3">
      <c r="A2980" s="10"/>
      <c r="B2980" s="168"/>
      <c r="C2980" s="169"/>
      <c r="D2980" s="160"/>
      <c r="E2980" s="161"/>
      <c r="F2980" s="162"/>
      <c r="G2980" s="163"/>
      <c r="H2980" s="164"/>
      <c r="I2980" s="163"/>
      <c r="J2980" s="164"/>
      <c r="K2980" s="163"/>
      <c r="L2980" s="164"/>
      <c r="M2980" s="11"/>
      <c r="N2980" s="39"/>
      <c r="Q2980" s="15" t="str">
        <f>+CONCATENATE(E2978,K2978)</f>
        <v/>
      </c>
      <c r="R2980" s="15">
        <f>+L2978</f>
        <v>0</v>
      </c>
      <c r="S2980" s="16"/>
      <c r="T2980" s="15">
        <f>+E2978</f>
        <v>0</v>
      </c>
      <c r="U2980" s="26" t="str">
        <f>IFERROR(LEFT(K2978,FIND("*",K2978)-1),"-")</f>
        <v>-</v>
      </c>
      <c r="V2980" s="26" t="str">
        <f>IFERROR(RIGHT(K2978,LEN(K2978)-FIND("*",K2978)),"-")</f>
        <v>-</v>
      </c>
      <c r="W2980" s="27" t="str">
        <f t="shared" si="1618"/>
        <v>-</v>
      </c>
      <c r="X2980" s="27" t="str">
        <f>IFERROR(W2980*L2978,"-")</f>
        <v>-</v>
      </c>
      <c r="Z2980" s="94" t="s">
        <v>82</v>
      </c>
    </row>
    <row r="2981" spans="1:26" s="25" customFormat="1" ht="21" customHeight="1" thickBot="1" x14ac:dyDescent="0.35">
      <c r="A2981" s="10"/>
      <c r="B2981" s="170"/>
      <c r="C2981" s="171"/>
      <c r="D2981" s="172" t="s">
        <v>43</v>
      </c>
      <c r="E2981" s="173"/>
      <c r="F2981" s="173"/>
      <c r="G2981" s="174"/>
      <c r="H2981" s="174"/>
      <c r="I2981" s="174"/>
      <c r="J2981" s="174"/>
      <c r="K2981" s="174"/>
      <c r="L2981" s="174"/>
      <c r="M2981" s="12"/>
      <c r="N2981" s="39"/>
      <c r="U2981" s="23"/>
      <c r="V2981" s="23"/>
      <c r="Z2981" s="95" t="s">
        <v>81</v>
      </c>
    </row>
    <row r="2982" spans="1:26" s="25" customFormat="1" ht="9.9499999999999993" customHeight="1" thickBot="1" x14ac:dyDescent="0.35">
      <c r="A2982" s="6"/>
      <c r="B2982" s="14"/>
      <c r="C2982" s="119"/>
      <c r="D2982" s="58"/>
      <c r="E2982" s="17"/>
      <c r="F2982" s="58"/>
      <c r="G2982" s="19"/>
      <c r="H2982" s="19"/>
      <c r="I2982" s="19"/>
      <c r="J2982" s="19"/>
      <c r="K2982" s="19"/>
      <c r="L2982" s="19"/>
      <c r="M2982" s="14"/>
      <c r="N2982" s="39"/>
      <c r="Q2982" s="1"/>
      <c r="R2982" s="1"/>
      <c r="S2982" s="1"/>
      <c r="T2982" s="1"/>
      <c r="U2982" s="24"/>
      <c r="V2982" s="24"/>
      <c r="W2982" s="1"/>
      <c r="X2982" s="1"/>
      <c r="Z2982" s="94" t="s">
        <v>82</v>
      </c>
    </row>
    <row r="2983" spans="1:26" s="25" customFormat="1" ht="6.95" customHeight="1" x14ac:dyDescent="0.3">
      <c r="A2983" s="165">
        <f>+A2972+1</f>
        <v>272</v>
      </c>
      <c r="B2983" s="166"/>
      <c r="C2983" s="167"/>
      <c r="D2983" s="160" t="s">
        <v>39</v>
      </c>
      <c r="E2983" s="161"/>
      <c r="F2983" s="162" t="s">
        <v>40</v>
      </c>
      <c r="G2983" s="163"/>
      <c r="H2983" s="164"/>
      <c r="I2983" s="163"/>
      <c r="J2983" s="164"/>
      <c r="K2983" s="163"/>
      <c r="L2983" s="164"/>
      <c r="M2983" s="11"/>
      <c r="N2983" s="39"/>
      <c r="Q2983" s="15" t="str">
        <f>+CONCATENATE(E2983,G2983)</f>
        <v/>
      </c>
      <c r="R2983" s="15">
        <f>+H2983</f>
        <v>0</v>
      </c>
      <c r="S2983" s="16"/>
      <c r="T2983" s="15">
        <f>+E2983</f>
        <v>0</v>
      </c>
      <c r="U2983" s="26" t="str">
        <f>IFERROR(LEFT(G2983,FIND("*",G2983)-1),"-")</f>
        <v>-</v>
      </c>
      <c r="V2983" s="26" t="str">
        <f>IFERROR(RIGHT(G2983,LEN(G2983)-FIND("*",G2983)),"-")</f>
        <v>-</v>
      </c>
      <c r="W2983" s="27" t="str">
        <f>IFERROR((U2983+V2983)*2/1000,"-")</f>
        <v>-</v>
      </c>
      <c r="X2983" s="27" t="str">
        <f>IFERROR(W2983*H2983,"-")</f>
        <v>-</v>
      </c>
      <c r="Z2983" s="94" t="s">
        <v>82</v>
      </c>
    </row>
    <row r="2984" spans="1:26" s="25" customFormat="1" ht="6.95" customHeight="1" x14ac:dyDescent="0.3">
      <c r="A2984" s="165"/>
      <c r="B2984" s="168"/>
      <c r="C2984" s="169"/>
      <c r="D2984" s="160"/>
      <c r="E2984" s="161"/>
      <c r="F2984" s="162"/>
      <c r="G2984" s="163"/>
      <c r="H2984" s="164"/>
      <c r="I2984" s="163"/>
      <c r="J2984" s="164"/>
      <c r="K2984" s="163"/>
      <c r="L2984" s="164"/>
      <c r="M2984" s="11"/>
      <c r="N2984" s="39"/>
      <c r="Q2984" s="15" t="str">
        <f>+CONCATENATE(E2983,I2983)</f>
        <v/>
      </c>
      <c r="R2984" s="15">
        <f>+J2983</f>
        <v>0</v>
      </c>
      <c r="S2984" s="16"/>
      <c r="T2984" s="15">
        <f>+E2983</f>
        <v>0</v>
      </c>
      <c r="U2984" s="26" t="str">
        <f>IFERROR(LEFT(I2983,FIND("*",I2983)-1),"-")</f>
        <v>-</v>
      </c>
      <c r="V2984" s="26" t="str">
        <f>IFERROR(RIGHT(I2983,LEN(I2983)-FIND("*",I2983)),"-")</f>
        <v>-</v>
      </c>
      <c r="W2984" s="27" t="str">
        <f t="shared" ref="W2984:W2991" si="1624">IFERROR((U2984+V2984)*2/1000,"-")</f>
        <v>-</v>
      </c>
      <c r="X2984" s="27" t="str">
        <f>IFERROR(W2984*J2983,"-")</f>
        <v>-</v>
      </c>
      <c r="Z2984" s="94" t="s">
        <v>82</v>
      </c>
    </row>
    <row r="2985" spans="1:26" s="25" customFormat="1" ht="6.95" customHeight="1" x14ac:dyDescent="0.3">
      <c r="A2985" s="165"/>
      <c r="B2985" s="168"/>
      <c r="C2985" s="169"/>
      <c r="D2985" s="160"/>
      <c r="E2985" s="161"/>
      <c r="F2985" s="162"/>
      <c r="G2985" s="163"/>
      <c r="H2985" s="164"/>
      <c r="I2985" s="163"/>
      <c r="J2985" s="164"/>
      <c r="K2985" s="163"/>
      <c r="L2985" s="164"/>
      <c r="M2985" s="11"/>
      <c r="N2985" s="39"/>
      <c r="Q2985" s="15" t="str">
        <f>+CONCATENATE(E2983,K2983)</f>
        <v/>
      </c>
      <c r="R2985" s="15">
        <f>+L2983</f>
        <v>0</v>
      </c>
      <c r="S2985" s="16"/>
      <c r="T2985" s="15">
        <f>+E2983</f>
        <v>0</v>
      </c>
      <c r="U2985" s="26" t="str">
        <f>IFERROR(LEFT(K2983,FIND("*",K2983)-1),"-")</f>
        <v>-</v>
      </c>
      <c r="V2985" s="26" t="str">
        <f>IFERROR(RIGHT(K2983,LEN(K2983)-FIND("*",K2983)),"-")</f>
        <v>-</v>
      </c>
      <c r="W2985" s="27" t="str">
        <f t="shared" si="1624"/>
        <v>-</v>
      </c>
      <c r="X2985" s="27" t="str">
        <f>IFERROR(W2985*L2983,"-")</f>
        <v>-</v>
      </c>
      <c r="Z2985" s="94" t="s">
        <v>82</v>
      </c>
    </row>
    <row r="2986" spans="1:26" s="25" customFormat="1" ht="6.95" customHeight="1" x14ac:dyDescent="0.3">
      <c r="A2986" s="13"/>
      <c r="B2986" s="168"/>
      <c r="C2986" s="169"/>
      <c r="D2986" s="160" t="s">
        <v>39</v>
      </c>
      <c r="E2986" s="161"/>
      <c r="F2986" s="162" t="s">
        <v>40</v>
      </c>
      <c r="G2986" s="163"/>
      <c r="H2986" s="164"/>
      <c r="I2986" s="163"/>
      <c r="J2986" s="164"/>
      <c r="K2986" s="163"/>
      <c r="L2986" s="164"/>
      <c r="M2986" s="11"/>
      <c r="N2986" s="39"/>
      <c r="Q2986" s="15" t="str">
        <f>+CONCATENATE(E2986,G2986)</f>
        <v/>
      </c>
      <c r="R2986" s="15">
        <f>+H2986</f>
        <v>0</v>
      </c>
      <c r="S2986" s="16"/>
      <c r="T2986" s="15">
        <f>+E2986</f>
        <v>0</v>
      </c>
      <c r="U2986" s="26" t="str">
        <f t="shared" ref="U2986" si="1625">IFERROR(LEFT(G2986,FIND("*",G2986)-1),"-")</f>
        <v>-</v>
      </c>
      <c r="V2986" s="26" t="str">
        <f t="shared" ref="V2986" si="1626">IFERROR(RIGHT(G2986,LEN(G2986)-FIND("*",G2986)),"-")</f>
        <v>-</v>
      </c>
      <c r="W2986" s="27" t="str">
        <f t="shared" si="1624"/>
        <v>-</v>
      </c>
      <c r="X2986" s="27" t="str">
        <f>IFERROR(W2986*H2986,"-")</f>
        <v>-</v>
      </c>
      <c r="Z2986" s="94" t="s">
        <v>82</v>
      </c>
    </row>
    <row r="2987" spans="1:26" s="25" customFormat="1" ht="6.95" customHeight="1" x14ac:dyDescent="0.3">
      <c r="A2987" s="10"/>
      <c r="B2987" s="168"/>
      <c r="C2987" s="169"/>
      <c r="D2987" s="160"/>
      <c r="E2987" s="161"/>
      <c r="F2987" s="162"/>
      <c r="G2987" s="163"/>
      <c r="H2987" s="164"/>
      <c r="I2987" s="163"/>
      <c r="J2987" s="164"/>
      <c r="K2987" s="163"/>
      <c r="L2987" s="164"/>
      <c r="M2987" s="11"/>
      <c r="N2987" s="39"/>
      <c r="Q2987" s="15" t="str">
        <f>+CONCATENATE(E2986,I2986)</f>
        <v/>
      </c>
      <c r="R2987" s="15">
        <f>+J2986</f>
        <v>0</v>
      </c>
      <c r="S2987" s="16"/>
      <c r="T2987" s="15">
        <f>+E2986</f>
        <v>0</v>
      </c>
      <c r="U2987" s="26" t="str">
        <f>IFERROR(LEFT(I2986,FIND("*",I2986)-1),"-")</f>
        <v>-</v>
      </c>
      <c r="V2987" s="26" t="str">
        <f>IFERROR(RIGHT(I2986,LEN(I2986)-FIND("*",I2986)),"-")</f>
        <v>-</v>
      </c>
      <c r="W2987" s="27" t="str">
        <f t="shared" si="1624"/>
        <v>-</v>
      </c>
      <c r="X2987" s="27" t="str">
        <f>IFERROR(W2987*J2986,"-")</f>
        <v>-</v>
      </c>
      <c r="Z2987" s="94" t="s">
        <v>82</v>
      </c>
    </row>
    <row r="2988" spans="1:26" s="25" customFormat="1" ht="6.95" customHeight="1" x14ac:dyDescent="0.3">
      <c r="A2988" s="10"/>
      <c r="B2988" s="168"/>
      <c r="C2988" s="169"/>
      <c r="D2988" s="160"/>
      <c r="E2988" s="161"/>
      <c r="F2988" s="162"/>
      <c r="G2988" s="163"/>
      <c r="H2988" s="164"/>
      <c r="I2988" s="163"/>
      <c r="J2988" s="164"/>
      <c r="K2988" s="163"/>
      <c r="L2988" s="164"/>
      <c r="M2988" s="11"/>
      <c r="N2988" s="39"/>
      <c r="Q2988" s="15" t="str">
        <f>+CONCATENATE(E2986,K2986)</f>
        <v/>
      </c>
      <c r="R2988" s="15">
        <f>+L2986</f>
        <v>0</v>
      </c>
      <c r="S2988" s="16"/>
      <c r="T2988" s="15">
        <f>+E2986</f>
        <v>0</v>
      </c>
      <c r="U2988" s="26" t="str">
        <f>IFERROR(LEFT(K2986,FIND("*",K2986)-1),"-")</f>
        <v>-</v>
      </c>
      <c r="V2988" s="26" t="str">
        <f>IFERROR(RIGHT(K2986,LEN(K2986)-FIND("*",K2986)),"-")</f>
        <v>-</v>
      </c>
      <c r="W2988" s="27" t="str">
        <f t="shared" si="1624"/>
        <v>-</v>
      </c>
      <c r="X2988" s="27" t="str">
        <f>IFERROR(W2988*L2986,"-")</f>
        <v>-</v>
      </c>
      <c r="Z2988" s="94" t="s">
        <v>82</v>
      </c>
    </row>
    <row r="2989" spans="1:26" s="25" customFormat="1" ht="6.95" customHeight="1" x14ac:dyDescent="0.3">
      <c r="A2989" s="13"/>
      <c r="B2989" s="168"/>
      <c r="C2989" s="169"/>
      <c r="D2989" s="160" t="s">
        <v>39</v>
      </c>
      <c r="E2989" s="161"/>
      <c r="F2989" s="162" t="s">
        <v>40</v>
      </c>
      <c r="G2989" s="163"/>
      <c r="H2989" s="164"/>
      <c r="I2989" s="163"/>
      <c r="J2989" s="164"/>
      <c r="K2989" s="163"/>
      <c r="L2989" s="164"/>
      <c r="M2989" s="11"/>
      <c r="N2989" s="39"/>
      <c r="Q2989" s="15" t="str">
        <f>+CONCATENATE(E2989,G2989)</f>
        <v/>
      </c>
      <c r="R2989" s="15">
        <f>+H2989</f>
        <v>0</v>
      </c>
      <c r="S2989" s="16"/>
      <c r="T2989" s="15">
        <f>+E2989</f>
        <v>0</v>
      </c>
      <c r="U2989" s="26" t="str">
        <f t="shared" ref="U2989" si="1627">IFERROR(LEFT(G2989,FIND("*",G2989)-1),"-")</f>
        <v>-</v>
      </c>
      <c r="V2989" s="26" t="str">
        <f t="shared" ref="V2989" si="1628">IFERROR(RIGHT(G2989,LEN(G2989)-FIND("*",G2989)),"-")</f>
        <v>-</v>
      </c>
      <c r="W2989" s="27" t="str">
        <f t="shared" si="1624"/>
        <v>-</v>
      </c>
      <c r="X2989" s="27" t="str">
        <f>IFERROR(W2989*H2989,"-")</f>
        <v>-</v>
      </c>
      <c r="Z2989" s="94" t="s">
        <v>82</v>
      </c>
    </row>
    <row r="2990" spans="1:26" s="25" customFormat="1" ht="6.95" customHeight="1" x14ac:dyDescent="0.3">
      <c r="A2990" s="10"/>
      <c r="B2990" s="168"/>
      <c r="C2990" s="169"/>
      <c r="D2990" s="160"/>
      <c r="E2990" s="161"/>
      <c r="F2990" s="162"/>
      <c r="G2990" s="163"/>
      <c r="H2990" s="164"/>
      <c r="I2990" s="163"/>
      <c r="J2990" s="164"/>
      <c r="K2990" s="163"/>
      <c r="L2990" s="164"/>
      <c r="M2990" s="11"/>
      <c r="N2990" s="39"/>
      <c r="Q2990" s="15" t="str">
        <f>+CONCATENATE(E2989,I2989)</f>
        <v/>
      </c>
      <c r="R2990" s="15">
        <f>+J2989</f>
        <v>0</v>
      </c>
      <c r="S2990" s="16"/>
      <c r="T2990" s="15">
        <f>+E2989</f>
        <v>0</v>
      </c>
      <c r="U2990" s="26" t="str">
        <f>IFERROR(LEFT(I2989,FIND("*",I2989)-1),"-")</f>
        <v>-</v>
      </c>
      <c r="V2990" s="26" t="str">
        <f>IFERROR(RIGHT(I2989,LEN(I2989)-FIND("*",I2989)),"-")</f>
        <v>-</v>
      </c>
      <c r="W2990" s="27" t="str">
        <f t="shared" si="1624"/>
        <v>-</v>
      </c>
      <c r="X2990" s="27" t="str">
        <f t="shared" ref="X2990" si="1629">IFERROR(W2990*J2989,"-")</f>
        <v>-</v>
      </c>
      <c r="Z2990" s="94" t="s">
        <v>82</v>
      </c>
    </row>
    <row r="2991" spans="1:26" s="25" customFormat="1" ht="6.95" customHeight="1" x14ac:dyDescent="0.3">
      <c r="A2991" s="10"/>
      <c r="B2991" s="168"/>
      <c r="C2991" s="169"/>
      <c r="D2991" s="160"/>
      <c r="E2991" s="161"/>
      <c r="F2991" s="162"/>
      <c r="G2991" s="163"/>
      <c r="H2991" s="164"/>
      <c r="I2991" s="163"/>
      <c r="J2991" s="164"/>
      <c r="K2991" s="163"/>
      <c r="L2991" s="164"/>
      <c r="M2991" s="11"/>
      <c r="N2991" s="39"/>
      <c r="Q2991" s="15" t="str">
        <f>+CONCATENATE(E2989,K2989)</f>
        <v/>
      </c>
      <c r="R2991" s="15">
        <f>+L2989</f>
        <v>0</v>
      </c>
      <c r="S2991" s="16"/>
      <c r="T2991" s="15">
        <f>+E2989</f>
        <v>0</v>
      </c>
      <c r="U2991" s="26" t="str">
        <f>IFERROR(LEFT(K2989,FIND("*",K2989)-1),"-")</f>
        <v>-</v>
      </c>
      <c r="V2991" s="26" t="str">
        <f>IFERROR(RIGHT(K2989,LEN(K2989)-FIND("*",K2989)),"-")</f>
        <v>-</v>
      </c>
      <c r="W2991" s="27" t="str">
        <f t="shared" si="1624"/>
        <v>-</v>
      </c>
      <c r="X2991" s="27" t="str">
        <f>IFERROR(W2991*L2989,"-")</f>
        <v>-</v>
      </c>
      <c r="Z2991" s="94" t="s">
        <v>82</v>
      </c>
    </row>
    <row r="2992" spans="1:26" s="25" customFormat="1" ht="21" customHeight="1" thickBot="1" x14ac:dyDescent="0.35">
      <c r="A2992" s="10"/>
      <c r="B2992" s="170"/>
      <c r="C2992" s="171"/>
      <c r="D2992" s="172" t="s">
        <v>43</v>
      </c>
      <c r="E2992" s="173"/>
      <c r="F2992" s="173"/>
      <c r="G2992" s="174"/>
      <c r="H2992" s="174"/>
      <c r="I2992" s="174"/>
      <c r="J2992" s="174"/>
      <c r="K2992" s="174"/>
      <c r="L2992" s="174"/>
      <c r="M2992" s="12"/>
      <c r="N2992" s="39"/>
      <c r="U2992" s="23"/>
      <c r="V2992" s="23"/>
      <c r="Z2992" s="95" t="s">
        <v>81</v>
      </c>
    </row>
    <row r="2993" spans="1:26" s="25" customFormat="1" ht="9.9499999999999993" customHeight="1" thickBot="1" x14ac:dyDescent="0.35">
      <c r="A2993" s="6"/>
      <c r="B2993" s="14"/>
      <c r="C2993" s="119"/>
      <c r="D2993" s="58"/>
      <c r="E2993" s="17"/>
      <c r="F2993" s="58"/>
      <c r="G2993" s="19"/>
      <c r="H2993" s="19"/>
      <c r="I2993" s="19"/>
      <c r="J2993" s="19"/>
      <c r="K2993" s="19"/>
      <c r="L2993" s="19"/>
      <c r="M2993" s="14"/>
      <c r="N2993" s="39"/>
      <c r="Q2993" s="1"/>
      <c r="R2993" s="1"/>
      <c r="S2993" s="1"/>
      <c r="T2993" s="1"/>
      <c r="U2993" s="24"/>
      <c r="V2993" s="24"/>
      <c r="W2993" s="1"/>
      <c r="X2993" s="1"/>
      <c r="Z2993" s="94" t="s">
        <v>82</v>
      </c>
    </row>
    <row r="2994" spans="1:26" s="25" customFormat="1" ht="6.95" customHeight="1" x14ac:dyDescent="0.3">
      <c r="A2994" s="165">
        <f>+A2983+1</f>
        <v>273</v>
      </c>
      <c r="B2994" s="166"/>
      <c r="C2994" s="167"/>
      <c r="D2994" s="160" t="s">
        <v>39</v>
      </c>
      <c r="E2994" s="161"/>
      <c r="F2994" s="162" t="s">
        <v>40</v>
      </c>
      <c r="G2994" s="163"/>
      <c r="H2994" s="164"/>
      <c r="I2994" s="163"/>
      <c r="J2994" s="164"/>
      <c r="K2994" s="163"/>
      <c r="L2994" s="164"/>
      <c r="M2994" s="11"/>
      <c r="N2994" s="39"/>
      <c r="Q2994" s="15" t="str">
        <f>+CONCATENATE(E2994,G2994)</f>
        <v/>
      </c>
      <c r="R2994" s="15">
        <f>+H2994</f>
        <v>0</v>
      </c>
      <c r="S2994" s="16"/>
      <c r="T2994" s="15">
        <f>+E2994</f>
        <v>0</v>
      </c>
      <c r="U2994" s="26" t="str">
        <f>IFERROR(LEFT(G2994,FIND("*",G2994)-1),"-")</f>
        <v>-</v>
      </c>
      <c r="V2994" s="26" t="str">
        <f>IFERROR(RIGHT(G2994,LEN(G2994)-FIND("*",G2994)),"-")</f>
        <v>-</v>
      </c>
      <c r="W2994" s="27" t="str">
        <f>IFERROR((U2994+V2994)*2/1000,"-")</f>
        <v>-</v>
      </c>
      <c r="X2994" s="27" t="str">
        <f>IFERROR(W2994*H2994,"-")</f>
        <v>-</v>
      </c>
      <c r="Z2994" s="94" t="s">
        <v>82</v>
      </c>
    </row>
    <row r="2995" spans="1:26" s="25" customFormat="1" ht="6.95" customHeight="1" x14ac:dyDescent="0.3">
      <c r="A2995" s="165"/>
      <c r="B2995" s="168"/>
      <c r="C2995" s="169"/>
      <c r="D2995" s="160"/>
      <c r="E2995" s="161"/>
      <c r="F2995" s="162"/>
      <c r="G2995" s="163"/>
      <c r="H2995" s="164"/>
      <c r="I2995" s="163"/>
      <c r="J2995" s="164"/>
      <c r="K2995" s="163"/>
      <c r="L2995" s="164"/>
      <c r="M2995" s="11"/>
      <c r="N2995" s="39"/>
      <c r="Q2995" s="15" t="str">
        <f>+CONCATENATE(E2994,I2994)</f>
        <v/>
      </c>
      <c r="R2995" s="15">
        <f>+J2994</f>
        <v>0</v>
      </c>
      <c r="S2995" s="16"/>
      <c r="T2995" s="15">
        <f>+E2994</f>
        <v>0</v>
      </c>
      <c r="U2995" s="26" t="str">
        <f>IFERROR(LEFT(I2994,FIND("*",I2994)-1),"-")</f>
        <v>-</v>
      </c>
      <c r="V2995" s="26" t="str">
        <f>IFERROR(RIGHT(I2994,LEN(I2994)-FIND("*",I2994)),"-")</f>
        <v>-</v>
      </c>
      <c r="W2995" s="27" t="str">
        <f t="shared" ref="W2995:W3002" si="1630">IFERROR((U2995+V2995)*2/1000,"-")</f>
        <v>-</v>
      </c>
      <c r="X2995" s="27" t="str">
        <f>IFERROR(W2995*J2994,"-")</f>
        <v>-</v>
      </c>
      <c r="Z2995" s="94" t="s">
        <v>82</v>
      </c>
    </row>
    <row r="2996" spans="1:26" s="25" customFormat="1" ht="6.95" customHeight="1" x14ac:dyDescent="0.3">
      <c r="A2996" s="165"/>
      <c r="B2996" s="168"/>
      <c r="C2996" s="169"/>
      <c r="D2996" s="160"/>
      <c r="E2996" s="161"/>
      <c r="F2996" s="162"/>
      <c r="G2996" s="163"/>
      <c r="H2996" s="164"/>
      <c r="I2996" s="163"/>
      <c r="J2996" s="164"/>
      <c r="K2996" s="163"/>
      <c r="L2996" s="164"/>
      <c r="M2996" s="11"/>
      <c r="N2996" s="39"/>
      <c r="Q2996" s="15" t="str">
        <f>+CONCATENATE(E2994,K2994)</f>
        <v/>
      </c>
      <c r="R2996" s="15">
        <f>+L2994</f>
        <v>0</v>
      </c>
      <c r="S2996" s="16"/>
      <c r="T2996" s="15">
        <f>+E2994</f>
        <v>0</v>
      </c>
      <c r="U2996" s="26" t="str">
        <f>IFERROR(LEFT(K2994,FIND("*",K2994)-1),"-")</f>
        <v>-</v>
      </c>
      <c r="V2996" s="26" t="str">
        <f>IFERROR(RIGHT(K2994,LEN(K2994)-FIND("*",K2994)),"-")</f>
        <v>-</v>
      </c>
      <c r="W2996" s="27" t="str">
        <f t="shared" si="1630"/>
        <v>-</v>
      </c>
      <c r="X2996" s="27" t="str">
        <f>IFERROR(W2996*L2994,"-")</f>
        <v>-</v>
      </c>
      <c r="Z2996" s="94" t="s">
        <v>82</v>
      </c>
    </row>
    <row r="2997" spans="1:26" s="25" customFormat="1" ht="6.95" customHeight="1" x14ac:dyDescent="0.3">
      <c r="A2997" s="13"/>
      <c r="B2997" s="168"/>
      <c r="C2997" s="169"/>
      <c r="D2997" s="160" t="s">
        <v>39</v>
      </c>
      <c r="E2997" s="161"/>
      <c r="F2997" s="162" t="s">
        <v>40</v>
      </c>
      <c r="G2997" s="163"/>
      <c r="H2997" s="164"/>
      <c r="I2997" s="163"/>
      <c r="J2997" s="164"/>
      <c r="K2997" s="163"/>
      <c r="L2997" s="164"/>
      <c r="M2997" s="11"/>
      <c r="N2997" s="39"/>
      <c r="Q2997" s="15" t="str">
        <f>+CONCATENATE(E2997,G2997)</f>
        <v/>
      </c>
      <c r="R2997" s="15">
        <f>+H2997</f>
        <v>0</v>
      </c>
      <c r="S2997" s="16"/>
      <c r="T2997" s="15">
        <f>+E2997</f>
        <v>0</v>
      </c>
      <c r="U2997" s="26" t="str">
        <f t="shared" ref="U2997" si="1631">IFERROR(LEFT(G2997,FIND("*",G2997)-1),"-")</f>
        <v>-</v>
      </c>
      <c r="V2997" s="26" t="str">
        <f t="shared" ref="V2997" si="1632">IFERROR(RIGHT(G2997,LEN(G2997)-FIND("*",G2997)),"-")</f>
        <v>-</v>
      </c>
      <c r="W2997" s="27" t="str">
        <f t="shared" si="1630"/>
        <v>-</v>
      </c>
      <c r="X2997" s="27" t="str">
        <f>IFERROR(W2997*H2997,"-")</f>
        <v>-</v>
      </c>
      <c r="Z2997" s="94" t="s">
        <v>82</v>
      </c>
    </row>
    <row r="2998" spans="1:26" s="25" customFormat="1" ht="6.95" customHeight="1" x14ac:dyDescent="0.3">
      <c r="A2998" s="10"/>
      <c r="B2998" s="168"/>
      <c r="C2998" s="169"/>
      <c r="D2998" s="160"/>
      <c r="E2998" s="161"/>
      <c r="F2998" s="162"/>
      <c r="G2998" s="163"/>
      <c r="H2998" s="164"/>
      <c r="I2998" s="163"/>
      <c r="J2998" s="164"/>
      <c r="K2998" s="163"/>
      <c r="L2998" s="164"/>
      <c r="M2998" s="11"/>
      <c r="N2998" s="39"/>
      <c r="Q2998" s="15" t="str">
        <f>+CONCATENATE(E2997,I2997)</f>
        <v/>
      </c>
      <c r="R2998" s="15">
        <f>+J2997</f>
        <v>0</v>
      </c>
      <c r="S2998" s="16"/>
      <c r="T2998" s="15">
        <f>+E2997</f>
        <v>0</v>
      </c>
      <c r="U2998" s="26" t="str">
        <f>IFERROR(LEFT(I2997,FIND("*",I2997)-1),"-")</f>
        <v>-</v>
      </c>
      <c r="V2998" s="26" t="str">
        <f>IFERROR(RIGHT(I2997,LEN(I2997)-FIND("*",I2997)),"-")</f>
        <v>-</v>
      </c>
      <c r="W2998" s="27" t="str">
        <f t="shared" si="1630"/>
        <v>-</v>
      </c>
      <c r="X2998" s="27" t="str">
        <f>IFERROR(W2998*J2997,"-")</f>
        <v>-</v>
      </c>
      <c r="Z2998" s="94" t="s">
        <v>82</v>
      </c>
    </row>
    <row r="2999" spans="1:26" s="25" customFormat="1" ht="6.95" customHeight="1" x14ac:dyDescent="0.3">
      <c r="A2999" s="10"/>
      <c r="B2999" s="168"/>
      <c r="C2999" s="169"/>
      <c r="D2999" s="160"/>
      <c r="E2999" s="161"/>
      <c r="F2999" s="162"/>
      <c r="G2999" s="163"/>
      <c r="H2999" s="164"/>
      <c r="I2999" s="163"/>
      <c r="J2999" s="164"/>
      <c r="K2999" s="163"/>
      <c r="L2999" s="164"/>
      <c r="M2999" s="11"/>
      <c r="N2999" s="39"/>
      <c r="Q2999" s="15" t="str">
        <f>+CONCATENATE(E2997,K2997)</f>
        <v/>
      </c>
      <c r="R2999" s="15">
        <f>+L2997</f>
        <v>0</v>
      </c>
      <c r="S2999" s="16"/>
      <c r="T2999" s="15">
        <f>+E2997</f>
        <v>0</v>
      </c>
      <c r="U2999" s="26" t="str">
        <f>IFERROR(LEFT(K2997,FIND("*",K2997)-1),"-")</f>
        <v>-</v>
      </c>
      <c r="V2999" s="26" t="str">
        <f>IFERROR(RIGHT(K2997,LEN(K2997)-FIND("*",K2997)),"-")</f>
        <v>-</v>
      </c>
      <c r="W2999" s="27" t="str">
        <f t="shared" si="1630"/>
        <v>-</v>
      </c>
      <c r="X2999" s="27" t="str">
        <f>IFERROR(W2999*L2997,"-")</f>
        <v>-</v>
      </c>
      <c r="Z2999" s="94" t="s">
        <v>82</v>
      </c>
    </row>
    <row r="3000" spans="1:26" s="25" customFormat="1" ht="6.95" customHeight="1" x14ac:dyDescent="0.3">
      <c r="A3000" s="13"/>
      <c r="B3000" s="168"/>
      <c r="C3000" s="169"/>
      <c r="D3000" s="160" t="s">
        <v>39</v>
      </c>
      <c r="E3000" s="161"/>
      <c r="F3000" s="162" t="s">
        <v>40</v>
      </c>
      <c r="G3000" s="163"/>
      <c r="H3000" s="164"/>
      <c r="I3000" s="163"/>
      <c r="J3000" s="164"/>
      <c r="K3000" s="163"/>
      <c r="L3000" s="164"/>
      <c r="M3000" s="11"/>
      <c r="N3000" s="39"/>
      <c r="Q3000" s="15" t="str">
        <f>+CONCATENATE(E3000,G3000)</f>
        <v/>
      </c>
      <c r="R3000" s="15">
        <f>+H3000</f>
        <v>0</v>
      </c>
      <c r="S3000" s="16"/>
      <c r="T3000" s="15">
        <f>+E3000</f>
        <v>0</v>
      </c>
      <c r="U3000" s="26" t="str">
        <f t="shared" ref="U3000" si="1633">IFERROR(LEFT(G3000,FIND("*",G3000)-1),"-")</f>
        <v>-</v>
      </c>
      <c r="V3000" s="26" t="str">
        <f t="shared" ref="V3000" si="1634">IFERROR(RIGHT(G3000,LEN(G3000)-FIND("*",G3000)),"-")</f>
        <v>-</v>
      </c>
      <c r="W3000" s="27" t="str">
        <f t="shared" si="1630"/>
        <v>-</v>
      </c>
      <c r="X3000" s="27" t="str">
        <f>IFERROR(W3000*H3000,"-")</f>
        <v>-</v>
      </c>
      <c r="Z3000" s="94" t="s">
        <v>82</v>
      </c>
    </row>
    <row r="3001" spans="1:26" s="25" customFormat="1" ht="6.95" customHeight="1" x14ac:dyDescent="0.3">
      <c r="A3001" s="10"/>
      <c r="B3001" s="168"/>
      <c r="C3001" s="169"/>
      <c r="D3001" s="160"/>
      <c r="E3001" s="161"/>
      <c r="F3001" s="162"/>
      <c r="G3001" s="163"/>
      <c r="H3001" s="164"/>
      <c r="I3001" s="163"/>
      <c r="J3001" s="164"/>
      <c r="K3001" s="163"/>
      <c r="L3001" s="164"/>
      <c r="M3001" s="11"/>
      <c r="N3001" s="39"/>
      <c r="Q3001" s="15" t="str">
        <f>+CONCATENATE(E3000,I3000)</f>
        <v/>
      </c>
      <c r="R3001" s="15">
        <f>+J3000</f>
        <v>0</v>
      </c>
      <c r="S3001" s="16"/>
      <c r="T3001" s="15">
        <f>+E3000</f>
        <v>0</v>
      </c>
      <c r="U3001" s="26" t="str">
        <f>IFERROR(LEFT(I3000,FIND("*",I3000)-1),"-")</f>
        <v>-</v>
      </c>
      <c r="V3001" s="26" t="str">
        <f>IFERROR(RIGHT(I3000,LEN(I3000)-FIND("*",I3000)),"-")</f>
        <v>-</v>
      </c>
      <c r="W3001" s="27" t="str">
        <f t="shared" si="1630"/>
        <v>-</v>
      </c>
      <c r="X3001" s="27" t="str">
        <f t="shared" ref="X3001" si="1635">IFERROR(W3001*J3000,"-")</f>
        <v>-</v>
      </c>
      <c r="Z3001" s="94" t="s">
        <v>82</v>
      </c>
    </row>
    <row r="3002" spans="1:26" s="25" customFormat="1" ht="6.95" customHeight="1" x14ac:dyDescent="0.3">
      <c r="A3002" s="10"/>
      <c r="B3002" s="168"/>
      <c r="C3002" s="169"/>
      <c r="D3002" s="160"/>
      <c r="E3002" s="161"/>
      <c r="F3002" s="162"/>
      <c r="G3002" s="163"/>
      <c r="H3002" s="164"/>
      <c r="I3002" s="163"/>
      <c r="J3002" s="164"/>
      <c r="K3002" s="163"/>
      <c r="L3002" s="164"/>
      <c r="M3002" s="11"/>
      <c r="N3002" s="39"/>
      <c r="Q3002" s="15" t="str">
        <f>+CONCATENATE(E3000,K3000)</f>
        <v/>
      </c>
      <c r="R3002" s="15">
        <f>+L3000</f>
        <v>0</v>
      </c>
      <c r="S3002" s="16"/>
      <c r="T3002" s="15">
        <f>+E3000</f>
        <v>0</v>
      </c>
      <c r="U3002" s="26" t="str">
        <f>IFERROR(LEFT(K3000,FIND("*",K3000)-1),"-")</f>
        <v>-</v>
      </c>
      <c r="V3002" s="26" t="str">
        <f>IFERROR(RIGHT(K3000,LEN(K3000)-FIND("*",K3000)),"-")</f>
        <v>-</v>
      </c>
      <c r="W3002" s="27" t="str">
        <f t="shared" si="1630"/>
        <v>-</v>
      </c>
      <c r="X3002" s="27" t="str">
        <f>IFERROR(W3002*L3000,"-")</f>
        <v>-</v>
      </c>
      <c r="Z3002" s="94" t="s">
        <v>82</v>
      </c>
    </row>
    <row r="3003" spans="1:26" s="25" customFormat="1" ht="21" customHeight="1" thickBot="1" x14ac:dyDescent="0.35">
      <c r="A3003" s="10"/>
      <c r="B3003" s="170"/>
      <c r="C3003" s="171"/>
      <c r="D3003" s="172" t="s">
        <v>43</v>
      </c>
      <c r="E3003" s="173"/>
      <c r="F3003" s="173"/>
      <c r="G3003" s="174"/>
      <c r="H3003" s="174"/>
      <c r="I3003" s="174"/>
      <c r="J3003" s="174"/>
      <c r="K3003" s="174"/>
      <c r="L3003" s="174"/>
      <c r="M3003" s="12"/>
      <c r="N3003" s="39"/>
      <c r="U3003" s="23"/>
      <c r="V3003" s="23"/>
      <c r="Z3003" s="95" t="s">
        <v>81</v>
      </c>
    </row>
    <row r="3004" spans="1:26" s="25" customFormat="1" ht="9.9499999999999993" customHeight="1" thickBot="1" x14ac:dyDescent="0.35">
      <c r="A3004" s="6"/>
      <c r="B3004" s="14"/>
      <c r="C3004" s="119"/>
      <c r="D3004" s="58"/>
      <c r="E3004" s="17"/>
      <c r="F3004" s="58"/>
      <c r="G3004" s="19"/>
      <c r="H3004" s="19"/>
      <c r="I3004" s="19"/>
      <c r="J3004" s="19"/>
      <c r="K3004" s="19"/>
      <c r="L3004" s="19"/>
      <c r="M3004" s="14"/>
      <c r="N3004" s="39"/>
      <c r="Q3004" s="1"/>
      <c r="R3004" s="1"/>
      <c r="S3004" s="1"/>
      <c r="T3004" s="1"/>
      <c r="U3004" s="24"/>
      <c r="V3004" s="24"/>
      <c r="W3004" s="1"/>
      <c r="X3004" s="1"/>
      <c r="Z3004" s="94" t="s">
        <v>82</v>
      </c>
    </row>
    <row r="3005" spans="1:26" s="25" customFormat="1" ht="6.95" customHeight="1" x14ac:dyDescent="0.3">
      <c r="A3005" s="165">
        <f>+A2994+1</f>
        <v>274</v>
      </c>
      <c r="B3005" s="166"/>
      <c r="C3005" s="167"/>
      <c r="D3005" s="160" t="s">
        <v>39</v>
      </c>
      <c r="E3005" s="161"/>
      <c r="F3005" s="162" t="s">
        <v>40</v>
      </c>
      <c r="G3005" s="163"/>
      <c r="H3005" s="164"/>
      <c r="I3005" s="163"/>
      <c r="J3005" s="164"/>
      <c r="K3005" s="163"/>
      <c r="L3005" s="164"/>
      <c r="M3005" s="11"/>
      <c r="N3005" s="39"/>
      <c r="Q3005" s="15" t="str">
        <f>+CONCATENATE(E3005,G3005)</f>
        <v/>
      </c>
      <c r="R3005" s="15">
        <f>+H3005</f>
        <v>0</v>
      </c>
      <c r="S3005" s="16"/>
      <c r="T3005" s="15">
        <f>+E3005</f>
        <v>0</v>
      </c>
      <c r="U3005" s="26" t="str">
        <f>IFERROR(LEFT(G3005,FIND("*",G3005)-1),"-")</f>
        <v>-</v>
      </c>
      <c r="V3005" s="26" t="str">
        <f>IFERROR(RIGHT(G3005,LEN(G3005)-FIND("*",G3005)),"-")</f>
        <v>-</v>
      </c>
      <c r="W3005" s="27" t="str">
        <f>IFERROR((U3005+V3005)*2/1000,"-")</f>
        <v>-</v>
      </c>
      <c r="X3005" s="27" t="str">
        <f>IFERROR(W3005*H3005,"-")</f>
        <v>-</v>
      </c>
      <c r="Z3005" s="94" t="s">
        <v>82</v>
      </c>
    </row>
    <row r="3006" spans="1:26" s="25" customFormat="1" ht="6.95" customHeight="1" x14ac:dyDescent="0.3">
      <c r="A3006" s="165"/>
      <c r="B3006" s="168"/>
      <c r="C3006" s="169"/>
      <c r="D3006" s="160"/>
      <c r="E3006" s="161"/>
      <c r="F3006" s="162"/>
      <c r="G3006" s="163"/>
      <c r="H3006" s="164"/>
      <c r="I3006" s="163"/>
      <c r="J3006" s="164"/>
      <c r="K3006" s="163"/>
      <c r="L3006" s="164"/>
      <c r="M3006" s="11"/>
      <c r="N3006" s="39"/>
      <c r="Q3006" s="15" t="str">
        <f>+CONCATENATE(E3005,I3005)</f>
        <v/>
      </c>
      <c r="R3006" s="15">
        <f>+J3005</f>
        <v>0</v>
      </c>
      <c r="S3006" s="16"/>
      <c r="T3006" s="15">
        <f>+E3005</f>
        <v>0</v>
      </c>
      <c r="U3006" s="26" t="str">
        <f>IFERROR(LEFT(I3005,FIND("*",I3005)-1),"-")</f>
        <v>-</v>
      </c>
      <c r="V3006" s="26" t="str">
        <f>IFERROR(RIGHT(I3005,LEN(I3005)-FIND("*",I3005)),"-")</f>
        <v>-</v>
      </c>
      <c r="W3006" s="27" t="str">
        <f t="shared" ref="W3006:W3013" si="1636">IFERROR((U3006+V3006)*2/1000,"-")</f>
        <v>-</v>
      </c>
      <c r="X3006" s="27" t="str">
        <f>IFERROR(W3006*J3005,"-")</f>
        <v>-</v>
      </c>
      <c r="Z3006" s="94" t="s">
        <v>82</v>
      </c>
    </row>
    <row r="3007" spans="1:26" s="25" customFormat="1" ht="6.95" customHeight="1" x14ac:dyDescent="0.3">
      <c r="A3007" s="165"/>
      <c r="B3007" s="168"/>
      <c r="C3007" s="169"/>
      <c r="D3007" s="160"/>
      <c r="E3007" s="161"/>
      <c r="F3007" s="162"/>
      <c r="G3007" s="163"/>
      <c r="H3007" s="164"/>
      <c r="I3007" s="163"/>
      <c r="J3007" s="164"/>
      <c r="K3007" s="163"/>
      <c r="L3007" s="164"/>
      <c r="M3007" s="11"/>
      <c r="N3007" s="39"/>
      <c r="Q3007" s="15" t="str">
        <f>+CONCATENATE(E3005,K3005)</f>
        <v/>
      </c>
      <c r="R3007" s="15">
        <f>+L3005</f>
        <v>0</v>
      </c>
      <c r="S3007" s="16"/>
      <c r="T3007" s="15">
        <f>+E3005</f>
        <v>0</v>
      </c>
      <c r="U3007" s="26" t="str">
        <f>IFERROR(LEFT(K3005,FIND("*",K3005)-1),"-")</f>
        <v>-</v>
      </c>
      <c r="V3007" s="26" t="str">
        <f>IFERROR(RIGHT(K3005,LEN(K3005)-FIND("*",K3005)),"-")</f>
        <v>-</v>
      </c>
      <c r="W3007" s="27" t="str">
        <f t="shared" si="1636"/>
        <v>-</v>
      </c>
      <c r="X3007" s="27" t="str">
        <f>IFERROR(W3007*L3005,"-")</f>
        <v>-</v>
      </c>
      <c r="Z3007" s="94" t="s">
        <v>82</v>
      </c>
    </row>
    <row r="3008" spans="1:26" s="25" customFormat="1" ht="6.95" customHeight="1" x14ac:dyDescent="0.3">
      <c r="A3008" s="13"/>
      <c r="B3008" s="168"/>
      <c r="C3008" s="169"/>
      <c r="D3008" s="160" t="s">
        <v>39</v>
      </c>
      <c r="E3008" s="161"/>
      <c r="F3008" s="162" t="s">
        <v>40</v>
      </c>
      <c r="G3008" s="163"/>
      <c r="H3008" s="164"/>
      <c r="I3008" s="163"/>
      <c r="J3008" s="164"/>
      <c r="K3008" s="163"/>
      <c r="L3008" s="164"/>
      <c r="M3008" s="11"/>
      <c r="N3008" s="39"/>
      <c r="Q3008" s="15" t="str">
        <f>+CONCATENATE(E3008,G3008)</f>
        <v/>
      </c>
      <c r="R3008" s="15">
        <f>+H3008</f>
        <v>0</v>
      </c>
      <c r="S3008" s="16"/>
      <c r="T3008" s="15">
        <f>+E3008</f>
        <v>0</v>
      </c>
      <c r="U3008" s="26" t="str">
        <f t="shared" ref="U3008" si="1637">IFERROR(LEFT(G3008,FIND("*",G3008)-1),"-")</f>
        <v>-</v>
      </c>
      <c r="V3008" s="26" t="str">
        <f t="shared" ref="V3008" si="1638">IFERROR(RIGHT(G3008,LEN(G3008)-FIND("*",G3008)),"-")</f>
        <v>-</v>
      </c>
      <c r="W3008" s="27" t="str">
        <f t="shared" si="1636"/>
        <v>-</v>
      </c>
      <c r="X3008" s="27" t="str">
        <f>IFERROR(W3008*H3008,"-")</f>
        <v>-</v>
      </c>
      <c r="Z3008" s="94" t="s">
        <v>82</v>
      </c>
    </row>
    <row r="3009" spans="1:26" s="25" customFormat="1" ht="6.95" customHeight="1" x14ac:dyDescent="0.3">
      <c r="A3009" s="10"/>
      <c r="B3009" s="168"/>
      <c r="C3009" s="169"/>
      <c r="D3009" s="160"/>
      <c r="E3009" s="161"/>
      <c r="F3009" s="162"/>
      <c r="G3009" s="163"/>
      <c r="H3009" s="164"/>
      <c r="I3009" s="163"/>
      <c r="J3009" s="164"/>
      <c r="K3009" s="163"/>
      <c r="L3009" s="164"/>
      <c r="M3009" s="11"/>
      <c r="N3009" s="39"/>
      <c r="Q3009" s="15" t="str">
        <f>+CONCATENATE(E3008,I3008)</f>
        <v/>
      </c>
      <c r="R3009" s="15">
        <f>+J3008</f>
        <v>0</v>
      </c>
      <c r="S3009" s="16"/>
      <c r="T3009" s="15">
        <f>+E3008</f>
        <v>0</v>
      </c>
      <c r="U3009" s="26" t="str">
        <f>IFERROR(LEFT(I3008,FIND("*",I3008)-1),"-")</f>
        <v>-</v>
      </c>
      <c r="V3009" s="26" t="str">
        <f>IFERROR(RIGHT(I3008,LEN(I3008)-FIND("*",I3008)),"-")</f>
        <v>-</v>
      </c>
      <c r="W3009" s="27" t="str">
        <f t="shared" si="1636"/>
        <v>-</v>
      </c>
      <c r="X3009" s="27" t="str">
        <f>IFERROR(W3009*J3008,"-")</f>
        <v>-</v>
      </c>
      <c r="Z3009" s="94" t="s">
        <v>82</v>
      </c>
    </row>
    <row r="3010" spans="1:26" s="25" customFormat="1" ht="6.95" customHeight="1" x14ac:dyDescent="0.3">
      <c r="A3010" s="10"/>
      <c r="B3010" s="168"/>
      <c r="C3010" s="169"/>
      <c r="D3010" s="160"/>
      <c r="E3010" s="161"/>
      <c r="F3010" s="162"/>
      <c r="G3010" s="163"/>
      <c r="H3010" s="164"/>
      <c r="I3010" s="163"/>
      <c r="J3010" s="164"/>
      <c r="K3010" s="163"/>
      <c r="L3010" s="164"/>
      <c r="M3010" s="11"/>
      <c r="N3010" s="39"/>
      <c r="Q3010" s="15" t="str">
        <f>+CONCATENATE(E3008,K3008)</f>
        <v/>
      </c>
      <c r="R3010" s="15">
        <f>+L3008</f>
        <v>0</v>
      </c>
      <c r="S3010" s="16"/>
      <c r="T3010" s="15">
        <f>+E3008</f>
        <v>0</v>
      </c>
      <c r="U3010" s="26" t="str">
        <f>IFERROR(LEFT(K3008,FIND("*",K3008)-1),"-")</f>
        <v>-</v>
      </c>
      <c r="V3010" s="26" t="str">
        <f>IFERROR(RIGHT(K3008,LEN(K3008)-FIND("*",K3008)),"-")</f>
        <v>-</v>
      </c>
      <c r="W3010" s="27" t="str">
        <f t="shared" si="1636"/>
        <v>-</v>
      </c>
      <c r="X3010" s="27" t="str">
        <f>IFERROR(W3010*L3008,"-")</f>
        <v>-</v>
      </c>
      <c r="Z3010" s="94" t="s">
        <v>82</v>
      </c>
    </row>
    <row r="3011" spans="1:26" s="25" customFormat="1" ht="6.95" customHeight="1" x14ac:dyDescent="0.3">
      <c r="A3011" s="13"/>
      <c r="B3011" s="168"/>
      <c r="C3011" s="169"/>
      <c r="D3011" s="160" t="s">
        <v>39</v>
      </c>
      <c r="E3011" s="161"/>
      <c r="F3011" s="162" t="s">
        <v>40</v>
      </c>
      <c r="G3011" s="163"/>
      <c r="H3011" s="164"/>
      <c r="I3011" s="163"/>
      <c r="J3011" s="164"/>
      <c r="K3011" s="163"/>
      <c r="L3011" s="164"/>
      <c r="M3011" s="11"/>
      <c r="N3011" s="39"/>
      <c r="Q3011" s="15" t="str">
        <f>+CONCATENATE(E3011,G3011)</f>
        <v/>
      </c>
      <c r="R3011" s="15">
        <f>+H3011</f>
        <v>0</v>
      </c>
      <c r="S3011" s="16"/>
      <c r="T3011" s="15">
        <f>+E3011</f>
        <v>0</v>
      </c>
      <c r="U3011" s="26" t="str">
        <f t="shared" ref="U3011" si="1639">IFERROR(LEFT(G3011,FIND("*",G3011)-1),"-")</f>
        <v>-</v>
      </c>
      <c r="V3011" s="26" t="str">
        <f t="shared" ref="V3011" si="1640">IFERROR(RIGHT(G3011,LEN(G3011)-FIND("*",G3011)),"-")</f>
        <v>-</v>
      </c>
      <c r="W3011" s="27" t="str">
        <f t="shared" si="1636"/>
        <v>-</v>
      </c>
      <c r="X3011" s="27" t="str">
        <f>IFERROR(W3011*H3011,"-")</f>
        <v>-</v>
      </c>
      <c r="Z3011" s="94" t="s">
        <v>82</v>
      </c>
    </row>
    <row r="3012" spans="1:26" s="25" customFormat="1" ht="6.95" customHeight="1" x14ac:dyDescent="0.3">
      <c r="A3012" s="10"/>
      <c r="B3012" s="168"/>
      <c r="C3012" s="169"/>
      <c r="D3012" s="160"/>
      <c r="E3012" s="161"/>
      <c r="F3012" s="162"/>
      <c r="G3012" s="163"/>
      <c r="H3012" s="164"/>
      <c r="I3012" s="163"/>
      <c r="J3012" s="164"/>
      <c r="K3012" s="163"/>
      <c r="L3012" s="164"/>
      <c r="M3012" s="11"/>
      <c r="N3012" s="39"/>
      <c r="Q3012" s="15" t="str">
        <f>+CONCATENATE(E3011,I3011)</f>
        <v/>
      </c>
      <c r="R3012" s="15">
        <f>+J3011</f>
        <v>0</v>
      </c>
      <c r="S3012" s="16"/>
      <c r="T3012" s="15">
        <f>+E3011</f>
        <v>0</v>
      </c>
      <c r="U3012" s="26" t="str">
        <f>IFERROR(LEFT(I3011,FIND("*",I3011)-1),"-")</f>
        <v>-</v>
      </c>
      <c r="V3012" s="26" t="str">
        <f>IFERROR(RIGHT(I3011,LEN(I3011)-FIND("*",I3011)),"-")</f>
        <v>-</v>
      </c>
      <c r="W3012" s="27" t="str">
        <f t="shared" si="1636"/>
        <v>-</v>
      </c>
      <c r="X3012" s="27" t="str">
        <f t="shared" ref="X3012" si="1641">IFERROR(W3012*J3011,"-")</f>
        <v>-</v>
      </c>
      <c r="Z3012" s="94" t="s">
        <v>82</v>
      </c>
    </row>
    <row r="3013" spans="1:26" s="25" customFormat="1" ht="6.95" customHeight="1" x14ac:dyDescent="0.3">
      <c r="A3013" s="10"/>
      <c r="B3013" s="168"/>
      <c r="C3013" s="169"/>
      <c r="D3013" s="160"/>
      <c r="E3013" s="161"/>
      <c r="F3013" s="162"/>
      <c r="G3013" s="163"/>
      <c r="H3013" s="164"/>
      <c r="I3013" s="163"/>
      <c r="J3013" s="164"/>
      <c r="K3013" s="163"/>
      <c r="L3013" s="164"/>
      <c r="M3013" s="11"/>
      <c r="N3013" s="39"/>
      <c r="Q3013" s="15" t="str">
        <f>+CONCATENATE(E3011,K3011)</f>
        <v/>
      </c>
      <c r="R3013" s="15">
        <f>+L3011</f>
        <v>0</v>
      </c>
      <c r="S3013" s="16"/>
      <c r="T3013" s="15">
        <f>+E3011</f>
        <v>0</v>
      </c>
      <c r="U3013" s="26" t="str">
        <f>IFERROR(LEFT(K3011,FIND("*",K3011)-1),"-")</f>
        <v>-</v>
      </c>
      <c r="V3013" s="26" t="str">
        <f>IFERROR(RIGHT(K3011,LEN(K3011)-FIND("*",K3011)),"-")</f>
        <v>-</v>
      </c>
      <c r="W3013" s="27" t="str">
        <f t="shared" si="1636"/>
        <v>-</v>
      </c>
      <c r="X3013" s="27" t="str">
        <f>IFERROR(W3013*L3011,"-")</f>
        <v>-</v>
      </c>
      <c r="Z3013" s="94" t="s">
        <v>82</v>
      </c>
    </row>
    <row r="3014" spans="1:26" s="25" customFormat="1" ht="21" customHeight="1" thickBot="1" x14ac:dyDescent="0.35">
      <c r="A3014" s="10"/>
      <c r="B3014" s="170"/>
      <c r="C3014" s="171"/>
      <c r="D3014" s="172" t="s">
        <v>43</v>
      </c>
      <c r="E3014" s="173"/>
      <c r="F3014" s="173"/>
      <c r="G3014" s="174"/>
      <c r="H3014" s="174"/>
      <c r="I3014" s="174"/>
      <c r="J3014" s="174"/>
      <c r="K3014" s="174"/>
      <c r="L3014" s="174"/>
      <c r="M3014" s="12"/>
      <c r="N3014" s="39"/>
      <c r="U3014" s="23"/>
      <c r="V3014" s="23"/>
      <c r="Z3014" s="95" t="s">
        <v>81</v>
      </c>
    </row>
    <row r="3015" spans="1:26" s="25" customFormat="1" ht="9.9499999999999993" customHeight="1" thickBot="1" x14ac:dyDescent="0.35">
      <c r="A3015" s="6"/>
      <c r="B3015" s="14"/>
      <c r="C3015" s="119"/>
      <c r="D3015" s="58"/>
      <c r="E3015" s="17"/>
      <c r="F3015" s="58"/>
      <c r="G3015" s="19"/>
      <c r="H3015" s="19"/>
      <c r="I3015" s="19"/>
      <c r="J3015" s="19"/>
      <c r="K3015" s="19"/>
      <c r="L3015" s="19"/>
      <c r="M3015" s="14"/>
      <c r="N3015" s="39"/>
      <c r="Q3015" s="1"/>
      <c r="R3015" s="1"/>
      <c r="S3015" s="1"/>
      <c r="T3015" s="1"/>
      <c r="U3015" s="24"/>
      <c r="V3015" s="24"/>
      <c r="W3015" s="1"/>
      <c r="X3015" s="1"/>
      <c r="Z3015" s="94" t="s">
        <v>82</v>
      </c>
    </row>
    <row r="3016" spans="1:26" s="25" customFormat="1" ht="6.95" customHeight="1" x14ac:dyDescent="0.3">
      <c r="A3016" s="165">
        <f>+A3005+1</f>
        <v>275</v>
      </c>
      <c r="B3016" s="166"/>
      <c r="C3016" s="167"/>
      <c r="D3016" s="160" t="s">
        <v>39</v>
      </c>
      <c r="E3016" s="161"/>
      <c r="F3016" s="162" t="s">
        <v>40</v>
      </c>
      <c r="G3016" s="163"/>
      <c r="H3016" s="164"/>
      <c r="I3016" s="163"/>
      <c r="J3016" s="164"/>
      <c r="K3016" s="163"/>
      <c r="L3016" s="164"/>
      <c r="M3016" s="11"/>
      <c r="N3016" s="39"/>
      <c r="Q3016" s="15" t="str">
        <f>+CONCATENATE(E3016,G3016)</f>
        <v/>
      </c>
      <c r="R3016" s="15">
        <f>+H3016</f>
        <v>0</v>
      </c>
      <c r="S3016" s="16"/>
      <c r="T3016" s="15">
        <f>+E3016</f>
        <v>0</v>
      </c>
      <c r="U3016" s="26" t="str">
        <f>IFERROR(LEFT(G3016,FIND("*",G3016)-1),"-")</f>
        <v>-</v>
      </c>
      <c r="V3016" s="26" t="str">
        <f>IFERROR(RIGHT(G3016,LEN(G3016)-FIND("*",G3016)),"-")</f>
        <v>-</v>
      </c>
      <c r="W3016" s="27" t="str">
        <f>IFERROR((U3016+V3016)*2/1000,"-")</f>
        <v>-</v>
      </c>
      <c r="X3016" s="27" t="str">
        <f>IFERROR(W3016*H3016,"-")</f>
        <v>-</v>
      </c>
      <c r="Z3016" s="94" t="s">
        <v>82</v>
      </c>
    </row>
    <row r="3017" spans="1:26" s="25" customFormat="1" ht="6.95" customHeight="1" x14ac:dyDescent="0.3">
      <c r="A3017" s="165"/>
      <c r="B3017" s="168"/>
      <c r="C3017" s="169"/>
      <c r="D3017" s="160"/>
      <c r="E3017" s="161"/>
      <c r="F3017" s="162"/>
      <c r="G3017" s="163"/>
      <c r="H3017" s="164"/>
      <c r="I3017" s="163"/>
      <c r="J3017" s="164"/>
      <c r="K3017" s="163"/>
      <c r="L3017" s="164"/>
      <c r="M3017" s="11"/>
      <c r="N3017" s="39"/>
      <c r="Q3017" s="15" t="str">
        <f>+CONCATENATE(E3016,I3016)</f>
        <v/>
      </c>
      <c r="R3017" s="15">
        <f>+J3016</f>
        <v>0</v>
      </c>
      <c r="S3017" s="16"/>
      <c r="T3017" s="15">
        <f>+E3016</f>
        <v>0</v>
      </c>
      <c r="U3017" s="26" t="str">
        <f>IFERROR(LEFT(I3016,FIND("*",I3016)-1),"-")</f>
        <v>-</v>
      </c>
      <c r="V3017" s="26" t="str">
        <f>IFERROR(RIGHT(I3016,LEN(I3016)-FIND("*",I3016)),"-")</f>
        <v>-</v>
      </c>
      <c r="W3017" s="27" t="str">
        <f t="shared" ref="W3017:W3024" si="1642">IFERROR((U3017+V3017)*2/1000,"-")</f>
        <v>-</v>
      </c>
      <c r="X3017" s="27" t="str">
        <f>IFERROR(W3017*J3016,"-")</f>
        <v>-</v>
      </c>
      <c r="Z3017" s="94" t="s">
        <v>82</v>
      </c>
    </row>
    <row r="3018" spans="1:26" s="25" customFormat="1" ht="6.95" customHeight="1" x14ac:dyDescent="0.3">
      <c r="A3018" s="165"/>
      <c r="B3018" s="168"/>
      <c r="C3018" s="169"/>
      <c r="D3018" s="160"/>
      <c r="E3018" s="161"/>
      <c r="F3018" s="162"/>
      <c r="G3018" s="163"/>
      <c r="H3018" s="164"/>
      <c r="I3018" s="163"/>
      <c r="J3018" s="164"/>
      <c r="K3018" s="163"/>
      <c r="L3018" s="164"/>
      <c r="M3018" s="11"/>
      <c r="N3018" s="39"/>
      <c r="Q3018" s="15" t="str">
        <f>+CONCATENATE(E3016,K3016)</f>
        <v/>
      </c>
      <c r="R3018" s="15">
        <f>+L3016</f>
        <v>0</v>
      </c>
      <c r="S3018" s="16"/>
      <c r="T3018" s="15">
        <f>+E3016</f>
        <v>0</v>
      </c>
      <c r="U3018" s="26" t="str">
        <f>IFERROR(LEFT(K3016,FIND("*",K3016)-1),"-")</f>
        <v>-</v>
      </c>
      <c r="V3018" s="26" t="str">
        <f>IFERROR(RIGHT(K3016,LEN(K3016)-FIND("*",K3016)),"-")</f>
        <v>-</v>
      </c>
      <c r="W3018" s="27" t="str">
        <f t="shared" si="1642"/>
        <v>-</v>
      </c>
      <c r="X3018" s="27" t="str">
        <f>IFERROR(W3018*L3016,"-")</f>
        <v>-</v>
      </c>
      <c r="Z3018" s="94" t="s">
        <v>82</v>
      </c>
    </row>
    <row r="3019" spans="1:26" s="25" customFormat="1" ht="6.95" customHeight="1" x14ac:dyDescent="0.3">
      <c r="A3019" s="13"/>
      <c r="B3019" s="168"/>
      <c r="C3019" s="169"/>
      <c r="D3019" s="160" t="s">
        <v>39</v>
      </c>
      <c r="E3019" s="161"/>
      <c r="F3019" s="162" t="s">
        <v>40</v>
      </c>
      <c r="G3019" s="163"/>
      <c r="H3019" s="164"/>
      <c r="I3019" s="163"/>
      <c r="J3019" s="164"/>
      <c r="K3019" s="163"/>
      <c r="L3019" s="164"/>
      <c r="M3019" s="11"/>
      <c r="N3019" s="39"/>
      <c r="Q3019" s="15" t="str">
        <f>+CONCATENATE(E3019,G3019)</f>
        <v/>
      </c>
      <c r="R3019" s="15">
        <f>+H3019</f>
        <v>0</v>
      </c>
      <c r="S3019" s="16"/>
      <c r="T3019" s="15">
        <f>+E3019</f>
        <v>0</v>
      </c>
      <c r="U3019" s="26" t="str">
        <f t="shared" ref="U3019" si="1643">IFERROR(LEFT(G3019,FIND("*",G3019)-1),"-")</f>
        <v>-</v>
      </c>
      <c r="V3019" s="26" t="str">
        <f t="shared" ref="V3019" si="1644">IFERROR(RIGHT(G3019,LEN(G3019)-FIND("*",G3019)),"-")</f>
        <v>-</v>
      </c>
      <c r="W3019" s="27" t="str">
        <f t="shared" si="1642"/>
        <v>-</v>
      </c>
      <c r="X3019" s="27" t="str">
        <f>IFERROR(W3019*H3019,"-")</f>
        <v>-</v>
      </c>
      <c r="Z3019" s="94" t="s">
        <v>82</v>
      </c>
    </row>
    <row r="3020" spans="1:26" s="25" customFormat="1" ht="6.95" customHeight="1" x14ac:dyDescent="0.3">
      <c r="A3020" s="10"/>
      <c r="B3020" s="168"/>
      <c r="C3020" s="169"/>
      <c r="D3020" s="160"/>
      <c r="E3020" s="161"/>
      <c r="F3020" s="162"/>
      <c r="G3020" s="163"/>
      <c r="H3020" s="164"/>
      <c r="I3020" s="163"/>
      <c r="J3020" s="164"/>
      <c r="K3020" s="163"/>
      <c r="L3020" s="164"/>
      <c r="M3020" s="11"/>
      <c r="N3020" s="39"/>
      <c r="Q3020" s="15" t="str">
        <f>+CONCATENATE(E3019,I3019)</f>
        <v/>
      </c>
      <c r="R3020" s="15">
        <f>+J3019</f>
        <v>0</v>
      </c>
      <c r="S3020" s="16"/>
      <c r="T3020" s="15">
        <f>+E3019</f>
        <v>0</v>
      </c>
      <c r="U3020" s="26" t="str">
        <f>IFERROR(LEFT(I3019,FIND("*",I3019)-1),"-")</f>
        <v>-</v>
      </c>
      <c r="V3020" s="26" t="str">
        <f>IFERROR(RIGHT(I3019,LEN(I3019)-FIND("*",I3019)),"-")</f>
        <v>-</v>
      </c>
      <c r="W3020" s="27" t="str">
        <f t="shared" si="1642"/>
        <v>-</v>
      </c>
      <c r="X3020" s="27" t="str">
        <f>IFERROR(W3020*J3019,"-")</f>
        <v>-</v>
      </c>
      <c r="Z3020" s="94" t="s">
        <v>82</v>
      </c>
    </row>
    <row r="3021" spans="1:26" s="25" customFormat="1" ht="6.95" customHeight="1" x14ac:dyDescent="0.3">
      <c r="A3021" s="10"/>
      <c r="B3021" s="168"/>
      <c r="C3021" s="169"/>
      <c r="D3021" s="160"/>
      <c r="E3021" s="161"/>
      <c r="F3021" s="162"/>
      <c r="G3021" s="163"/>
      <c r="H3021" s="164"/>
      <c r="I3021" s="163"/>
      <c r="J3021" s="164"/>
      <c r="K3021" s="163"/>
      <c r="L3021" s="164"/>
      <c r="M3021" s="11"/>
      <c r="N3021" s="39"/>
      <c r="Q3021" s="15" t="str">
        <f>+CONCATENATE(E3019,K3019)</f>
        <v/>
      </c>
      <c r="R3021" s="15">
        <f>+L3019</f>
        <v>0</v>
      </c>
      <c r="S3021" s="16"/>
      <c r="T3021" s="15">
        <f>+E3019</f>
        <v>0</v>
      </c>
      <c r="U3021" s="26" t="str">
        <f>IFERROR(LEFT(K3019,FIND("*",K3019)-1),"-")</f>
        <v>-</v>
      </c>
      <c r="V3021" s="26" t="str">
        <f>IFERROR(RIGHT(K3019,LEN(K3019)-FIND("*",K3019)),"-")</f>
        <v>-</v>
      </c>
      <c r="W3021" s="27" t="str">
        <f t="shared" si="1642"/>
        <v>-</v>
      </c>
      <c r="X3021" s="27" t="str">
        <f>IFERROR(W3021*L3019,"-")</f>
        <v>-</v>
      </c>
      <c r="Z3021" s="94" t="s">
        <v>82</v>
      </c>
    </row>
    <row r="3022" spans="1:26" s="25" customFormat="1" ht="6.95" customHeight="1" x14ac:dyDescent="0.3">
      <c r="A3022" s="13"/>
      <c r="B3022" s="168"/>
      <c r="C3022" s="169"/>
      <c r="D3022" s="160" t="s">
        <v>39</v>
      </c>
      <c r="E3022" s="161"/>
      <c r="F3022" s="162" t="s">
        <v>40</v>
      </c>
      <c r="G3022" s="163"/>
      <c r="H3022" s="164"/>
      <c r="I3022" s="163"/>
      <c r="J3022" s="164"/>
      <c r="K3022" s="163"/>
      <c r="L3022" s="164"/>
      <c r="M3022" s="11"/>
      <c r="N3022" s="39"/>
      <c r="Q3022" s="15" t="str">
        <f>+CONCATENATE(E3022,G3022)</f>
        <v/>
      </c>
      <c r="R3022" s="15">
        <f>+H3022</f>
        <v>0</v>
      </c>
      <c r="S3022" s="16"/>
      <c r="T3022" s="15">
        <f>+E3022</f>
        <v>0</v>
      </c>
      <c r="U3022" s="26" t="str">
        <f t="shared" ref="U3022" si="1645">IFERROR(LEFT(G3022,FIND("*",G3022)-1),"-")</f>
        <v>-</v>
      </c>
      <c r="V3022" s="26" t="str">
        <f t="shared" ref="V3022" si="1646">IFERROR(RIGHT(G3022,LEN(G3022)-FIND("*",G3022)),"-")</f>
        <v>-</v>
      </c>
      <c r="W3022" s="27" t="str">
        <f t="shared" si="1642"/>
        <v>-</v>
      </c>
      <c r="X3022" s="27" t="str">
        <f>IFERROR(W3022*H3022,"-")</f>
        <v>-</v>
      </c>
      <c r="Z3022" s="94" t="s">
        <v>82</v>
      </c>
    </row>
    <row r="3023" spans="1:26" s="25" customFormat="1" ht="6.95" customHeight="1" x14ac:dyDescent="0.3">
      <c r="A3023" s="10"/>
      <c r="B3023" s="168"/>
      <c r="C3023" s="169"/>
      <c r="D3023" s="160"/>
      <c r="E3023" s="161"/>
      <c r="F3023" s="162"/>
      <c r="G3023" s="163"/>
      <c r="H3023" s="164"/>
      <c r="I3023" s="163"/>
      <c r="J3023" s="164"/>
      <c r="K3023" s="163"/>
      <c r="L3023" s="164"/>
      <c r="M3023" s="11"/>
      <c r="N3023" s="39"/>
      <c r="Q3023" s="15" t="str">
        <f>+CONCATENATE(E3022,I3022)</f>
        <v/>
      </c>
      <c r="R3023" s="15">
        <f>+J3022</f>
        <v>0</v>
      </c>
      <c r="S3023" s="16"/>
      <c r="T3023" s="15">
        <f>+E3022</f>
        <v>0</v>
      </c>
      <c r="U3023" s="26" t="str">
        <f>IFERROR(LEFT(I3022,FIND("*",I3022)-1),"-")</f>
        <v>-</v>
      </c>
      <c r="V3023" s="26" t="str">
        <f>IFERROR(RIGHT(I3022,LEN(I3022)-FIND("*",I3022)),"-")</f>
        <v>-</v>
      </c>
      <c r="W3023" s="27" t="str">
        <f t="shared" si="1642"/>
        <v>-</v>
      </c>
      <c r="X3023" s="27" t="str">
        <f t="shared" ref="X3023" si="1647">IFERROR(W3023*J3022,"-")</f>
        <v>-</v>
      </c>
      <c r="Z3023" s="94" t="s">
        <v>82</v>
      </c>
    </row>
    <row r="3024" spans="1:26" s="25" customFormat="1" ht="6.95" customHeight="1" x14ac:dyDescent="0.3">
      <c r="A3024" s="10"/>
      <c r="B3024" s="168"/>
      <c r="C3024" s="169"/>
      <c r="D3024" s="160"/>
      <c r="E3024" s="161"/>
      <c r="F3024" s="162"/>
      <c r="G3024" s="163"/>
      <c r="H3024" s="164"/>
      <c r="I3024" s="163"/>
      <c r="J3024" s="164"/>
      <c r="K3024" s="163"/>
      <c r="L3024" s="164"/>
      <c r="M3024" s="11"/>
      <c r="N3024" s="39"/>
      <c r="Q3024" s="15" t="str">
        <f>+CONCATENATE(E3022,K3022)</f>
        <v/>
      </c>
      <c r="R3024" s="15">
        <f>+L3022</f>
        <v>0</v>
      </c>
      <c r="S3024" s="16"/>
      <c r="T3024" s="15">
        <f>+E3022</f>
        <v>0</v>
      </c>
      <c r="U3024" s="26" t="str">
        <f>IFERROR(LEFT(K3022,FIND("*",K3022)-1),"-")</f>
        <v>-</v>
      </c>
      <c r="V3024" s="26" t="str">
        <f>IFERROR(RIGHT(K3022,LEN(K3022)-FIND("*",K3022)),"-")</f>
        <v>-</v>
      </c>
      <c r="W3024" s="27" t="str">
        <f t="shared" si="1642"/>
        <v>-</v>
      </c>
      <c r="X3024" s="27" t="str">
        <f>IFERROR(W3024*L3022,"-")</f>
        <v>-</v>
      </c>
      <c r="Z3024" s="94" t="s">
        <v>82</v>
      </c>
    </row>
    <row r="3025" spans="1:26" s="25" customFormat="1" ht="21" customHeight="1" thickBot="1" x14ac:dyDescent="0.35">
      <c r="A3025" s="10"/>
      <c r="B3025" s="170"/>
      <c r="C3025" s="171"/>
      <c r="D3025" s="172" t="s">
        <v>43</v>
      </c>
      <c r="E3025" s="173"/>
      <c r="F3025" s="173"/>
      <c r="G3025" s="174"/>
      <c r="H3025" s="174"/>
      <c r="I3025" s="174"/>
      <c r="J3025" s="174"/>
      <c r="K3025" s="174"/>
      <c r="L3025" s="174"/>
      <c r="M3025" s="12"/>
      <c r="N3025" s="39"/>
      <c r="U3025" s="23"/>
      <c r="V3025" s="23"/>
      <c r="Z3025" s="95" t="s">
        <v>81</v>
      </c>
    </row>
    <row r="3026" spans="1:26" s="25" customFormat="1" ht="9.9499999999999993" customHeight="1" thickBot="1" x14ac:dyDescent="0.35">
      <c r="A3026" s="6"/>
      <c r="B3026" s="14"/>
      <c r="C3026" s="119"/>
      <c r="D3026" s="58"/>
      <c r="E3026" s="17"/>
      <c r="F3026" s="58"/>
      <c r="G3026" s="19"/>
      <c r="H3026" s="19"/>
      <c r="I3026" s="19"/>
      <c r="J3026" s="19"/>
      <c r="K3026" s="19"/>
      <c r="L3026" s="19"/>
      <c r="M3026" s="14"/>
      <c r="N3026" s="39"/>
      <c r="Q3026" s="1"/>
      <c r="R3026" s="1"/>
      <c r="S3026" s="1"/>
      <c r="T3026" s="1"/>
      <c r="U3026" s="24"/>
      <c r="V3026" s="24"/>
      <c r="W3026" s="1"/>
      <c r="X3026" s="1"/>
      <c r="Z3026" s="94" t="s">
        <v>82</v>
      </c>
    </row>
    <row r="3027" spans="1:26" s="25" customFormat="1" ht="6.95" customHeight="1" x14ac:dyDescent="0.3">
      <c r="A3027" s="165">
        <f>+A3016+1</f>
        <v>276</v>
      </c>
      <c r="B3027" s="166"/>
      <c r="C3027" s="167"/>
      <c r="D3027" s="160" t="s">
        <v>39</v>
      </c>
      <c r="E3027" s="161"/>
      <c r="F3027" s="162" t="s">
        <v>40</v>
      </c>
      <c r="G3027" s="163"/>
      <c r="H3027" s="164"/>
      <c r="I3027" s="163"/>
      <c r="J3027" s="164"/>
      <c r="K3027" s="163"/>
      <c r="L3027" s="164"/>
      <c r="M3027" s="11"/>
      <c r="N3027" s="39"/>
      <c r="Q3027" s="15" t="str">
        <f>+CONCATENATE(E3027,G3027)</f>
        <v/>
      </c>
      <c r="R3027" s="15">
        <f>+H3027</f>
        <v>0</v>
      </c>
      <c r="S3027" s="16"/>
      <c r="T3027" s="15">
        <f>+E3027</f>
        <v>0</v>
      </c>
      <c r="U3027" s="26" t="str">
        <f>IFERROR(LEFT(G3027,FIND("*",G3027)-1),"-")</f>
        <v>-</v>
      </c>
      <c r="V3027" s="26" t="str">
        <f>IFERROR(RIGHT(G3027,LEN(G3027)-FIND("*",G3027)),"-")</f>
        <v>-</v>
      </c>
      <c r="W3027" s="27" t="str">
        <f>IFERROR((U3027+V3027)*2/1000,"-")</f>
        <v>-</v>
      </c>
      <c r="X3027" s="27" t="str">
        <f>IFERROR(W3027*H3027,"-")</f>
        <v>-</v>
      </c>
      <c r="Z3027" s="94" t="s">
        <v>82</v>
      </c>
    </row>
    <row r="3028" spans="1:26" s="25" customFormat="1" ht="6.95" customHeight="1" x14ac:dyDescent="0.3">
      <c r="A3028" s="165"/>
      <c r="B3028" s="168"/>
      <c r="C3028" s="169"/>
      <c r="D3028" s="160"/>
      <c r="E3028" s="161"/>
      <c r="F3028" s="162"/>
      <c r="G3028" s="163"/>
      <c r="H3028" s="164"/>
      <c r="I3028" s="163"/>
      <c r="J3028" s="164"/>
      <c r="K3028" s="163"/>
      <c r="L3028" s="164"/>
      <c r="M3028" s="11"/>
      <c r="N3028" s="39"/>
      <c r="Q3028" s="15" t="str">
        <f>+CONCATENATE(E3027,I3027)</f>
        <v/>
      </c>
      <c r="R3028" s="15">
        <f>+J3027</f>
        <v>0</v>
      </c>
      <c r="S3028" s="16"/>
      <c r="T3028" s="15">
        <f>+E3027</f>
        <v>0</v>
      </c>
      <c r="U3028" s="26" t="str">
        <f>IFERROR(LEFT(I3027,FIND("*",I3027)-1),"-")</f>
        <v>-</v>
      </c>
      <c r="V3028" s="26" t="str">
        <f>IFERROR(RIGHT(I3027,LEN(I3027)-FIND("*",I3027)),"-")</f>
        <v>-</v>
      </c>
      <c r="W3028" s="27" t="str">
        <f t="shared" ref="W3028:W3035" si="1648">IFERROR((U3028+V3028)*2/1000,"-")</f>
        <v>-</v>
      </c>
      <c r="X3028" s="27" t="str">
        <f>IFERROR(W3028*J3027,"-")</f>
        <v>-</v>
      </c>
      <c r="Z3028" s="94" t="s">
        <v>82</v>
      </c>
    </row>
    <row r="3029" spans="1:26" s="25" customFormat="1" ht="6.95" customHeight="1" x14ac:dyDescent="0.3">
      <c r="A3029" s="165"/>
      <c r="B3029" s="168"/>
      <c r="C3029" s="169"/>
      <c r="D3029" s="160"/>
      <c r="E3029" s="161"/>
      <c r="F3029" s="162"/>
      <c r="G3029" s="163"/>
      <c r="H3029" s="164"/>
      <c r="I3029" s="163"/>
      <c r="J3029" s="164"/>
      <c r="K3029" s="163"/>
      <c r="L3029" s="164"/>
      <c r="M3029" s="11"/>
      <c r="N3029" s="39"/>
      <c r="Q3029" s="15" t="str">
        <f>+CONCATENATE(E3027,K3027)</f>
        <v/>
      </c>
      <c r="R3029" s="15">
        <f>+L3027</f>
        <v>0</v>
      </c>
      <c r="S3029" s="16"/>
      <c r="T3029" s="15">
        <f>+E3027</f>
        <v>0</v>
      </c>
      <c r="U3029" s="26" t="str">
        <f>IFERROR(LEFT(K3027,FIND("*",K3027)-1),"-")</f>
        <v>-</v>
      </c>
      <c r="V3029" s="26" t="str">
        <f>IFERROR(RIGHT(K3027,LEN(K3027)-FIND("*",K3027)),"-")</f>
        <v>-</v>
      </c>
      <c r="W3029" s="27" t="str">
        <f t="shared" si="1648"/>
        <v>-</v>
      </c>
      <c r="X3029" s="27" t="str">
        <f>IFERROR(W3029*L3027,"-")</f>
        <v>-</v>
      </c>
      <c r="Z3029" s="94" t="s">
        <v>82</v>
      </c>
    </row>
    <row r="3030" spans="1:26" s="25" customFormat="1" ht="6.95" customHeight="1" x14ac:dyDescent="0.3">
      <c r="A3030" s="13"/>
      <c r="B3030" s="168"/>
      <c r="C3030" s="169"/>
      <c r="D3030" s="160" t="s">
        <v>39</v>
      </c>
      <c r="E3030" s="161"/>
      <c r="F3030" s="162" t="s">
        <v>40</v>
      </c>
      <c r="G3030" s="163"/>
      <c r="H3030" s="164"/>
      <c r="I3030" s="163"/>
      <c r="J3030" s="164"/>
      <c r="K3030" s="163"/>
      <c r="L3030" s="164"/>
      <c r="M3030" s="11"/>
      <c r="N3030" s="39"/>
      <c r="Q3030" s="15" t="str">
        <f>+CONCATENATE(E3030,G3030)</f>
        <v/>
      </c>
      <c r="R3030" s="15">
        <f>+H3030</f>
        <v>0</v>
      </c>
      <c r="S3030" s="16"/>
      <c r="T3030" s="15">
        <f>+E3030</f>
        <v>0</v>
      </c>
      <c r="U3030" s="26" t="str">
        <f t="shared" ref="U3030" si="1649">IFERROR(LEFT(G3030,FIND("*",G3030)-1),"-")</f>
        <v>-</v>
      </c>
      <c r="V3030" s="26" t="str">
        <f t="shared" ref="V3030" si="1650">IFERROR(RIGHT(G3030,LEN(G3030)-FIND("*",G3030)),"-")</f>
        <v>-</v>
      </c>
      <c r="W3030" s="27" t="str">
        <f t="shared" si="1648"/>
        <v>-</v>
      </c>
      <c r="X3030" s="27" t="str">
        <f>IFERROR(W3030*H3030,"-")</f>
        <v>-</v>
      </c>
      <c r="Z3030" s="94" t="s">
        <v>82</v>
      </c>
    </row>
    <row r="3031" spans="1:26" s="25" customFormat="1" ht="6.95" customHeight="1" x14ac:dyDescent="0.3">
      <c r="A3031" s="10"/>
      <c r="B3031" s="168"/>
      <c r="C3031" s="169"/>
      <c r="D3031" s="160"/>
      <c r="E3031" s="161"/>
      <c r="F3031" s="162"/>
      <c r="G3031" s="163"/>
      <c r="H3031" s="164"/>
      <c r="I3031" s="163"/>
      <c r="J3031" s="164"/>
      <c r="K3031" s="163"/>
      <c r="L3031" s="164"/>
      <c r="M3031" s="11"/>
      <c r="N3031" s="39"/>
      <c r="Q3031" s="15" t="str">
        <f>+CONCATENATE(E3030,I3030)</f>
        <v/>
      </c>
      <c r="R3031" s="15">
        <f>+J3030</f>
        <v>0</v>
      </c>
      <c r="S3031" s="16"/>
      <c r="T3031" s="15">
        <f>+E3030</f>
        <v>0</v>
      </c>
      <c r="U3031" s="26" t="str">
        <f>IFERROR(LEFT(I3030,FIND("*",I3030)-1),"-")</f>
        <v>-</v>
      </c>
      <c r="V3031" s="26" t="str">
        <f>IFERROR(RIGHT(I3030,LEN(I3030)-FIND("*",I3030)),"-")</f>
        <v>-</v>
      </c>
      <c r="W3031" s="27" t="str">
        <f t="shared" si="1648"/>
        <v>-</v>
      </c>
      <c r="X3031" s="27" t="str">
        <f>IFERROR(W3031*J3030,"-")</f>
        <v>-</v>
      </c>
      <c r="Z3031" s="94" t="s">
        <v>82</v>
      </c>
    </row>
    <row r="3032" spans="1:26" s="25" customFormat="1" ht="6.95" customHeight="1" x14ac:dyDescent="0.3">
      <c r="A3032" s="10"/>
      <c r="B3032" s="168"/>
      <c r="C3032" s="169"/>
      <c r="D3032" s="160"/>
      <c r="E3032" s="161"/>
      <c r="F3032" s="162"/>
      <c r="G3032" s="163"/>
      <c r="H3032" s="164"/>
      <c r="I3032" s="163"/>
      <c r="J3032" s="164"/>
      <c r="K3032" s="163"/>
      <c r="L3032" s="164"/>
      <c r="M3032" s="11"/>
      <c r="N3032" s="39"/>
      <c r="Q3032" s="15" t="str">
        <f>+CONCATENATE(E3030,K3030)</f>
        <v/>
      </c>
      <c r="R3032" s="15">
        <f>+L3030</f>
        <v>0</v>
      </c>
      <c r="S3032" s="16"/>
      <c r="T3032" s="15">
        <f>+E3030</f>
        <v>0</v>
      </c>
      <c r="U3032" s="26" t="str">
        <f>IFERROR(LEFT(K3030,FIND("*",K3030)-1),"-")</f>
        <v>-</v>
      </c>
      <c r="V3032" s="26" t="str">
        <f>IFERROR(RIGHT(K3030,LEN(K3030)-FIND("*",K3030)),"-")</f>
        <v>-</v>
      </c>
      <c r="W3032" s="27" t="str">
        <f t="shared" si="1648"/>
        <v>-</v>
      </c>
      <c r="X3032" s="27" t="str">
        <f>IFERROR(W3032*L3030,"-")</f>
        <v>-</v>
      </c>
      <c r="Z3032" s="94" t="s">
        <v>82</v>
      </c>
    </row>
    <row r="3033" spans="1:26" s="25" customFormat="1" ht="6.95" customHeight="1" x14ac:dyDescent="0.3">
      <c r="A3033" s="13"/>
      <c r="B3033" s="168"/>
      <c r="C3033" s="169"/>
      <c r="D3033" s="160" t="s">
        <v>39</v>
      </c>
      <c r="E3033" s="161"/>
      <c r="F3033" s="162" t="s">
        <v>40</v>
      </c>
      <c r="G3033" s="163"/>
      <c r="H3033" s="164"/>
      <c r="I3033" s="163"/>
      <c r="J3033" s="164"/>
      <c r="K3033" s="163"/>
      <c r="L3033" s="164"/>
      <c r="M3033" s="11"/>
      <c r="N3033" s="39"/>
      <c r="Q3033" s="15" t="str">
        <f>+CONCATENATE(E3033,G3033)</f>
        <v/>
      </c>
      <c r="R3033" s="15">
        <f>+H3033</f>
        <v>0</v>
      </c>
      <c r="S3033" s="16"/>
      <c r="T3033" s="15">
        <f>+E3033</f>
        <v>0</v>
      </c>
      <c r="U3033" s="26" t="str">
        <f t="shared" ref="U3033" si="1651">IFERROR(LEFT(G3033,FIND("*",G3033)-1),"-")</f>
        <v>-</v>
      </c>
      <c r="V3033" s="26" t="str">
        <f t="shared" ref="V3033" si="1652">IFERROR(RIGHT(G3033,LEN(G3033)-FIND("*",G3033)),"-")</f>
        <v>-</v>
      </c>
      <c r="W3033" s="27" t="str">
        <f t="shared" si="1648"/>
        <v>-</v>
      </c>
      <c r="X3033" s="27" t="str">
        <f>IFERROR(W3033*H3033,"-")</f>
        <v>-</v>
      </c>
      <c r="Z3033" s="94" t="s">
        <v>82</v>
      </c>
    </row>
    <row r="3034" spans="1:26" s="25" customFormat="1" ht="6.95" customHeight="1" x14ac:dyDescent="0.3">
      <c r="A3034" s="10"/>
      <c r="B3034" s="168"/>
      <c r="C3034" s="169"/>
      <c r="D3034" s="160"/>
      <c r="E3034" s="161"/>
      <c r="F3034" s="162"/>
      <c r="G3034" s="163"/>
      <c r="H3034" s="164"/>
      <c r="I3034" s="163"/>
      <c r="J3034" s="164"/>
      <c r="K3034" s="163"/>
      <c r="L3034" s="164"/>
      <c r="M3034" s="11"/>
      <c r="N3034" s="39"/>
      <c r="Q3034" s="15" t="str">
        <f>+CONCATENATE(E3033,I3033)</f>
        <v/>
      </c>
      <c r="R3034" s="15">
        <f>+J3033</f>
        <v>0</v>
      </c>
      <c r="S3034" s="16"/>
      <c r="T3034" s="15">
        <f>+E3033</f>
        <v>0</v>
      </c>
      <c r="U3034" s="26" t="str">
        <f>IFERROR(LEFT(I3033,FIND("*",I3033)-1),"-")</f>
        <v>-</v>
      </c>
      <c r="V3034" s="26" t="str">
        <f>IFERROR(RIGHT(I3033,LEN(I3033)-FIND("*",I3033)),"-")</f>
        <v>-</v>
      </c>
      <c r="W3034" s="27" t="str">
        <f t="shared" si="1648"/>
        <v>-</v>
      </c>
      <c r="X3034" s="27" t="str">
        <f t="shared" ref="X3034" si="1653">IFERROR(W3034*J3033,"-")</f>
        <v>-</v>
      </c>
      <c r="Z3034" s="94" t="s">
        <v>82</v>
      </c>
    </row>
    <row r="3035" spans="1:26" s="25" customFormat="1" ht="6.95" customHeight="1" x14ac:dyDescent="0.3">
      <c r="A3035" s="10"/>
      <c r="B3035" s="168"/>
      <c r="C3035" s="169"/>
      <c r="D3035" s="160"/>
      <c r="E3035" s="161"/>
      <c r="F3035" s="162"/>
      <c r="G3035" s="163"/>
      <c r="H3035" s="164"/>
      <c r="I3035" s="163"/>
      <c r="J3035" s="164"/>
      <c r="K3035" s="163"/>
      <c r="L3035" s="164"/>
      <c r="M3035" s="11"/>
      <c r="N3035" s="39"/>
      <c r="Q3035" s="15" t="str">
        <f>+CONCATENATE(E3033,K3033)</f>
        <v/>
      </c>
      <c r="R3035" s="15">
        <f>+L3033</f>
        <v>0</v>
      </c>
      <c r="S3035" s="16"/>
      <c r="T3035" s="15">
        <f>+E3033</f>
        <v>0</v>
      </c>
      <c r="U3035" s="26" t="str">
        <f>IFERROR(LEFT(K3033,FIND("*",K3033)-1),"-")</f>
        <v>-</v>
      </c>
      <c r="V3035" s="26" t="str">
        <f>IFERROR(RIGHT(K3033,LEN(K3033)-FIND("*",K3033)),"-")</f>
        <v>-</v>
      </c>
      <c r="W3035" s="27" t="str">
        <f t="shared" si="1648"/>
        <v>-</v>
      </c>
      <c r="X3035" s="27" t="str">
        <f>IFERROR(W3035*L3033,"-")</f>
        <v>-</v>
      </c>
      <c r="Z3035" s="94" t="s">
        <v>82</v>
      </c>
    </row>
    <row r="3036" spans="1:26" s="25" customFormat="1" ht="21" customHeight="1" thickBot="1" x14ac:dyDescent="0.35">
      <c r="A3036" s="10"/>
      <c r="B3036" s="170"/>
      <c r="C3036" s="171"/>
      <c r="D3036" s="172" t="s">
        <v>43</v>
      </c>
      <c r="E3036" s="173"/>
      <c r="F3036" s="173"/>
      <c r="G3036" s="174"/>
      <c r="H3036" s="174"/>
      <c r="I3036" s="174"/>
      <c r="J3036" s="174"/>
      <c r="K3036" s="174"/>
      <c r="L3036" s="174"/>
      <c r="M3036" s="12"/>
      <c r="N3036" s="39"/>
      <c r="U3036" s="23"/>
      <c r="V3036" s="23"/>
      <c r="Z3036" s="95" t="s">
        <v>81</v>
      </c>
    </row>
    <row r="3037" spans="1:26" s="25" customFormat="1" ht="9.9499999999999993" customHeight="1" thickBot="1" x14ac:dyDescent="0.35">
      <c r="A3037" s="6"/>
      <c r="B3037" s="14"/>
      <c r="C3037" s="119"/>
      <c r="D3037" s="58"/>
      <c r="E3037" s="17"/>
      <c r="F3037" s="58"/>
      <c r="G3037" s="19"/>
      <c r="H3037" s="19"/>
      <c r="I3037" s="19"/>
      <c r="J3037" s="19"/>
      <c r="K3037" s="19"/>
      <c r="L3037" s="19"/>
      <c r="M3037" s="14"/>
      <c r="N3037" s="39"/>
      <c r="Q3037" s="1"/>
      <c r="R3037" s="1"/>
      <c r="S3037" s="1"/>
      <c r="T3037" s="1"/>
      <c r="U3037" s="24"/>
      <c r="V3037" s="24"/>
      <c r="W3037" s="1"/>
      <c r="X3037" s="1"/>
      <c r="Z3037" s="94" t="s">
        <v>82</v>
      </c>
    </row>
    <row r="3038" spans="1:26" s="25" customFormat="1" ht="6.95" customHeight="1" x14ac:dyDescent="0.3">
      <c r="A3038" s="165">
        <f>+A3027+1</f>
        <v>277</v>
      </c>
      <c r="B3038" s="166"/>
      <c r="C3038" s="167"/>
      <c r="D3038" s="160" t="s">
        <v>39</v>
      </c>
      <c r="E3038" s="161"/>
      <c r="F3038" s="162" t="s">
        <v>40</v>
      </c>
      <c r="G3038" s="163"/>
      <c r="H3038" s="164"/>
      <c r="I3038" s="163"/>
      <c r="J3038" s="164"/>
      <c r="K3038" s="163"/>
      <c r="L3038" s="164"/>
      <c r="M3038" s="11"/>
      <c r="N3038" s="39"/>
      <c r="Q3038" s="15" t="str">
        <f>+CONCATENATE(E3038,G3038)</f>
        <v/>
      </c>
      <c r="R3038" s="15">
        <f>+H3038</f>
        <v>0</v>
      </c>
      <c r="S3038" s="16"/>
      <c r="T3038" s="15">
        <f>+E3038</f>
        <v>0</v>
      </c>
      <c r="U3038" s="26" t="str">
        <f>IFERROR(LEFT(G3038,FIND("*",G3038)-1),"-")</f>
        <v>-</v>
      </c>
      <c r="V3038" s="26" t="str">
        <f>IFERROR(RIGHT(G3038,LEN(G3038)-FIND("*",G3038)),"-")</f>
        <v>-</v>
      </c>
      <c r="W3038" s="27" t="str">
        <f>IFERROR((U3038+V3038)*2/1000,"-")</f>
        <v>-</v>
      </c>
      <c r="X3038" s="27" t="str">
        <f>IFERROR(W3038*H3038,"-")</f>
        <v>-</v>
      </c>
      <c r="Z3038" s="94" t="s">
        <v>82</v>
      </c>
    </row>
    <row r="3039" spans="1:26" s="25" customFormat="1" ht="6.95" customHeight="1" x14ac:dyDescent="0.3">
      <c r="A3039" s="165"/>
      <c r="B3039" s="168"/>
      <c r="C3039" s="169"/>
      <c r="D3039" s="160"/>
      <c r="E3039" s="161"/>
      <c r="F3039" s="162"/>
      <c r="G3039" s="163"/>
      <c r="H3039" s="164"/>
      <c r="I3039" s="163"/>
      <c r="J3039" s="164"/>
      <c r="K3039" s="163"/>
      <c r="L3039" s="164"/>
      <c r="M3039" s="11"/>
      <c r="N3039" s="39"/>
      <c r="Q3039" s="15" t="str">
        <f>+CONCATENATE(E3038,I3038)</f>
        <v/>
      </c>
      <c r="R3039" s="15">
        <f>+J3038</f>
        <v>0</v>
      </c>
      <c r="S3039" s="16"/>
      <c r="T3039" s="15">
        <f>+E3038</f>
        <v>0</v>
      </c>
      <c r="U3039" s="26" t="str">
        <f>IFERROR(LEFT(I3038,FIND("*",I3038)-1),"-")</f>
        <v>-</v>
      </c>
      <c r="V3039" s="26" t="str">
        <f>IFERROR(RIGHT(I3038,LEN(I3038)-FIND("*",I3038)),"-")</f>
        <v>-</v>
      </c>
      <c r="W3039" s="27" t="str">
        <f t="shared" ref="W3039:W3046" si="1654">IFERROR((U3039+V3039)*2/1000,"-")</f>
        <v>-</v>
      </c>
      <c r="X3039" s="27" t="str">
        <f>IFERROR(W3039*J3038,"-")</f>
        <v>-</v>
      </c>
      <c r="Z3039" s="94" t="s">
        <v>82</v>
      </c>
    </row>
    <row r="3040" spans="1:26" s="25" customFormat="1" ht="6.95" customHeight="1" x14ac:dyDescent="0.3">
      <c r="A3040" s="165"/>
      <c r="B3040" s="168"/>
      <c r="C3040" s="169"/>
      <c r="D3040" s="160"/>
      <c r="E3040" s="161"/>
      <c r="F3040" s="162"/>
      <c r="G3040" s="163"/>
      <c r="H3040" s="164"/>
      <c r="I3040" s="163"/>
      <c r="J3040" s="164"/>
      <c r="K3040" s="163"/>
      <c r="L3040" s="164"/>
      <c r="M3040" s="11"/>
      <c r="N3040" s="39"/>
      <c r="Q3040" s="15" t="str">
        <f>+CONCATENATE(E3038,K3038)</f>
        <v/>
      </c>
      <c r="R3040" s="15">
        <f>+L3038</f>
        <v>0</v>
      </c>
      <c r="S3040" s="16"/>
      <c r="T3040" s="15">
        <f>+E3038</f>
        <v>0</v>
      </c>
      <c r="U3040" s="26" t="str">
        <f>IFERROR(LEFT(K3038,FIND("*",K3038)-1),"-")</f>
        <v>-</v>
      </c>
      <c r="V3040" s="26" t="str">
        <f>IFERROR(RIGHT(K3038,LEN(K3038)-FIND("*",K3038)),"-")</f>
        <v>-</v>
      </c>
      <c r="W3040" s="27" t="str">
        <f t="shared" si="1654"/>
        <v>-</v>
      </c>
      <c r="X3040" s="27" t="str">
        <f>IFERROR(W3040*L3038,"-")</f>
        <v>-</v>
      </c>
      <c r="Z3040" s="94" t="s">
        <v>82</v>
      </c>
    </row>
    <row r="3041" spans="1:26" s="25" customFormat="1" ht="6.95" customHeight="1" x14ac:dyDescent="0.3">
      <c r="A3041" s="13"/>
      <c r="B3041" s="168"/>
      <c r="C3041" s="169"/>
      <c r="D3041" s="160" t="s">
        <v>39</v>
      </c>
      <c r="E3041" s="161"/>
      <c r="F3041" s="162" t="s">
        <v>40</v>
      </c>
      <c r="G3041" s="163"/>
      <c r="H3041" s="164"/>
      <c r="I3041" s="163"/>
      <c r="J3041" s="164"/>
      <c r="K3041" s="163"/>
      <c r="L3041" s="164"/>
      <c r="M3041" s="11"/>
      <c r="N3041" s="39"/>
      <c r="Q3041" s="15" t="str">
        <f>+CONCATENATE(E3041,G3041)</f>
        <v/>
      </c>
      <c r="R3041" s="15">
        <f>+H3041</f>
        <v>0</v>
      </c>
      <c r="S3041" s="16"/>
      <c r="T3041" s="15">
        <f>+E3041</f>
        <v>0</v>
      </c>
      <c r="U3041" s="26" t="str">
        <f t="shared" ref="U3041" si="1655">IFERROR(LEFT(G3041,FIND("*",G3041)-1),"-")</f>
        <v>-</v>
      </c>
      <c r="V3041" s="26" t="str">
        <f t="shared" ref="V3041" si="1656">IFERROR(RIGHT(G3041,LEN(G3041)-FIND("*",G3041)),"-")</f>
        <v>-</v>
      </c>
      <c r="W3041" s="27" t="str">
        <f t="shared" si="1654"/>
        <v>-</v>
      </c>
      <c r="X3041" s="27" t="str">
        <f>IFERROR(W3041*H3041,"-")</f>
        <v>-</v>
      </c>
      <c r="Z3041" s="94" t="s">
        <v>82</v>
      </c>
    </row>
    <row r="3042" spans="1:26" s="25" customFormat="1" ht="6.95" customHeight="1" x14ac:dyDescent="0.3">
      <c r="A3042" s="10"/>
      <c r="B3042" s="168"/>
      <c r="C3042" s="169"/>
      <c r="D3042" s="160"/>
      <c r="E3042" s="161"/>
      <c r="F3042" s="162"/>
      <c r="G3042" s="163"/>
      <c r="H3042" s="164"/>
      <c r="I3042" s="163"/>
      <c r="J3042" s="164"/>
      <c r="K3042" s="163"/>
      <c r="L3042" s="164"/>
      <c r="M3042" s="11"/>
      <c r="N3042" s="39"/>
      <c r="Q3042" s="15" t="str">
        <f>+CONCATENATE(E3041,I3041)</f>
        <v/>
      </c>
      <c r="R3042" s="15">
        <f>+J3041</f>
        <v>0</v>
      </c>
      <c r="S3042" s="16"/>
      <c r="T3042" s="15">
        <f>+E3041</f>
        <v>0</v>
      </c>
      <c r="U3042" s="26" t="str">
        <f>IFERROR(LEFT(I3041,FIND("*",I3041)-1),"-")</f>
        <v>-</v>
      </c>
      <c r="V3042" s="26" t="str">
        <f>IFERROR(RIGHT(I3041,LEN(I3041)-FIND("*",I3041)),"-")</f>
        <v>-</v>
      </c>
      <c r="W3042" s="27" t="str">
        <f t="shared" si="1654"/>
        <v>-</v>
      </c>
      <c r="X3042" s="27" t="str">
        <f>IFERROR(W3042*J3041,"-")</f>
        <v>-</v>
      </c>
      <c r="Z3042" s="94" t="s">
        <v>82</v>
      </c>
    </row>
    <row r="3043" spans="1:26" s="25" customFormat="1" ht="6.95" customHeight="1" x14ac:dyDescent="0.3">
      <c r="A3043" s="10"/>
      <c r="B3043" s="168"/>
      <c r="C3043" s="169"/>
      <c r="D3043" s="160"/>
      <c r="E3043" s="161"/>
      <c r="F3043" s="162"/>
      <c r="G3043" s="163"/>
      <c r="H3043" s="164"/>
      <c r="I3043" s="163"/>
      <c r="J3043" s="164"/>
      <c r="K3043" s="163"/>
      <c r="L3043" s="164"/>
      <c r="M3043" s="11"/>
      <c r="N3043" s="39"/>
      <c r="Q3043" s="15" t="str">
        <f>+CONCATENATE(E3041,K3041)</f>
        <v/>
      </c>
      <c r="R3043" s="15">
        <f>+L3041</f>
        <v>0</v>
      </c>
      <c r="S3043" s="16"/>
      <c r="T3043" s="15">
        <f>+E3041</f>
        <v>0</v>
      </c>
      <c r="U3043" s="26" t="str">
        <f>IFERROR(LEFT(K3041,FIND("*",K3041)-1),"-")</f>
        <v>-</v>
      </c>
      <c r="V3043" s="26" t="str">
        <f>IFERROR(RIGHT(K3041,LEN(K3041)-FIND("*",K3041)),"-")</f>
        <v>-</v>
      </c>
      <c r="W3043" s="27" t="str">
        <f t="shared" si="1654"/>
        <v>-</v>
      </c>
      <c r="X3043" s="27" t="str">
        <f>IFERROR(W3043*L3041,"-")</f>
        <v>-</v>
      </c>
      <c r="Z3043" s="94" t="s">
        <v>82</v>
      </c>
    </row>
    <row r="3044" spans="1:26" s="25" customFormat="1" ht="6.95" customHeight="1" x14ac:dyDescent="0.3">
      <c r="A3044" s="13"/>
      <c r="B3044" s="168"/>
      <c r="C3044" s="169"/>
      <c r="D3044" s="160" t="s">
        <v>39</v>
      </c>
      <c r="E3044" s="161"/>
      <c r="F3044" s="162" t="s">
        <v>40</v>
      </c>
      <c r="G3044" s="163"/>
      <c r="H3044" s="164"/>
      <c r="I3044" s="163"/>
      <c r="J3044" s="164"/>
      <c r="K3044" s="163"/>
      <c r="L3044" s="164"/>
      <c r="M3044" s="11"/>
      <c r="N3044" s="39"/>
      <c r="Q3044" s="15" t="str">
        <f>+CONCATENATE(E3044,G3044)</f>
        <v/>
      </c>
      <c r="R3044" s="15">
        <f>+H3044</f>
        <v>0</v>
      </c>
      <c r="S3044" s="16"/>
      <c r="T3044" s="15">
        <f>+E3044</f>
        <v>0</v>
      </c>
      <c r="U3044" s="26" t="str">
        <f t="shared" ref="U3044" si="1657">IFERROR(LEFT(G3044,FIND("*",G3044)-1),"-")</f>
        <v>-</v>
      </c>
      <c r="V3044" s="26" t="str">
        <f t="shared" ref="V3044" si="1658">IFERROR(RIGHT(G3044,LEN(G3044)-FIND("*",G3044)),"-")</f>
        <v>-</v>
      </c>
      <c r="W3044" s="27" t="str">
        <f t="shared" si="1654"/>
        <v>-</v>
      </c>
      <c r="X3044" s="27" t="str">
        <f>IFERROR(W3044*H3044,"-")</f>
        <v>-</v>
      </c>
      <c r="Z3044" s="94" t="s">
        <v>82</v>
      </c>
    </row>
    <row r="3045" spans="1:26" s="25" customFormat="1" ht="6.95" customHeight="1" x14ac:dyDescent="0.3">
      <c r="A3045" s="10"/>
      <c r="B3045" s="168"/>
      <c r="C3045" s="169"/>
      <c r="D3045" s="160"/>
      <c r="E3045" s="161"/>
      <c r="F3045" s="162"/>
      <c r="G3045" s="163"/>
      <c r="H3045" s="164"/>
      <c r="I3045" s="163"/>
      <c r="J3045" s="164"/>
      <c r="K3045" s="163"/>
      <c r="L3045" s="164"/>
      <c r="M3045" s="11"/>
      <c r="N3045" s="39"/>
      <c r="Q3045" s="15" t="str">
        <f>+CONCATENATE(E3044,I3044)</f>
        <v/>
      </c>
      <c r="R3045" s="15">
        <f>+J3044</f>
        <v>0</v>
      </c>
      <c r="S3045" s="16"/>
      <c r="T3045" s="15">
        <f>+E3044</f>
        <v>0</v>
      </c>
      <c r="U3045" s="26" t="str">
        <f>IFERROR(LEFT(I3044,FIND("*",I3044)-1),"-")</f>
        <v>-</v>
      </c>
      <c r="V3045" s="26" t="str">
        <f>IFERROR(RIGHT(I3044,LEN(I3044)-FIND("*",I3044)),"-")</f>
        <v>-</v>
      </c>
      <c r="W3045" s="27" t="str">
        <f t="shared" si="1654"/>
        <v>-</v>
      </c>
      <c r="X3045" s="27" t="str">
        <f t="shared" ref="X3045" si="1659">IFERROR(W3045*J3044,"-")</f>
        <v>-</v>
      </c>
      <c r="Z3045" s="94" t="s">
        <v>82</v>
      </c>
    </row>
    <row r="3046" spans="1:26" s="25" customFormat="1" ht="6.95" customHeight="1" x14ac:dyDescent="0.3">
      <c r="A3046" s="10"/>
      <c r="B3046" s="168"/>
      <c r="C3046" s="169"/>
      <c r="D3046" s="160"/>
      <c r="E3046" s="161"/>
      <c r="F3046" s="162"/>
      <c r="G3046" s="163"/>
      <c r="H3046" s="164"/>
      <c r="I3046" s="163"/>
      <c r="J3046" s="164"/>
      <c r="K3046" s="163"/>
      <c r="L3046" s="164"/>
      <c r="M3046" s="11"/>
      <c r="N3046" s="39"/>
      <c r="Q3046" s="15" t="str">
        <f>+CONCATENATE(E3044,K3044)</f>
        <v/>
      </c>
      <c r="R3046" s="15">
        <f>+L3044</f>
        <v>0</v>
      </c>
      <c r="S3046" s="16"/>
      <c r="T3046" s="15">
        <f>+E3044</f>
        <v>0</v>
      </c>
      <c r="U3046" s="26" t="str">
        <f>IFERROR(LEFT(K3044,FIND("*",K3044)-1),"-")</f>
        <v>-</v>
      </c>
      <c r="V3046" s="26" t="str">
        <f>IFERROR(RIGHT(K3044,LEN(K3044)-FIND("*",K3044)),"-")</f>
        <v>-</v>
      </c>
      <c r="W3046" s="27" t="str">
        <f t="shared" si="1654"/>
        <v>-</v>
      </c>
      <c r="X3046" s="27" t="str">
        <f>IFERROR(W3046*L3044,"-")</f>
        <v>-</v>
      </c>
      <c r="Z3046" s="94" t="s">
        <v>82</v>
      </c>
    </row>
    <row r="3047" spans="1:26" s="25" customFormat="1" ht="21" customHeight="1" thickBot="1" x14ac:dyDescent="0.35">
      <c r="A3047" s="10"/>
      <c r="B3047" s="170"/>
      <c r="C3047" s="171"/>
      <c r="D3047" s="172" t="s">
        <v>43</v>
      </c>
      <c r="E3047" s="173"/>
      <c r="F3047" s="173"/>
      <c r="G3047" s="174"/>
      <c r="H3047" s="174"/>
      <c r="I3047" s="174"/>
      <c r="J3047" s="174"/>
      <c r="K3047" s="174"/>
      <c r="L3047" s="174"/>
      <c r="M3047" s="12"/>
      <c r="N3047" s="39"/>
      <c r="U3047" s="23"/>
      <c r="V3047" s="23"/>
      <c r="Z3047" s="95" t="s">
        <v>81</v>
      </c>
    </row>
    <row r="3048" spans="1:26" s="25" customFormat="1" ht="9.9499999999999993" customHeight="1" thickBot="1" x14ac:dyDescent="0.35">
      <c r="A3048" s="6"/>
      <c r="B3048" s="14"/>
      <c r="C3048" s="119"/>
      <c r="D3048" s="58"/>
      <c r="E3048" s="17"/>
      <c r="F3048" s="58"/>
      <c r="G3048" s="19"/>
      <c r="H3048" s="19"/>
      <c r="I3048" s="19"/>
      <c r="J3048" s="19"/>
      <c r="K3048" s="19"/>
      <c r="L3048" s="19"/>
      <c r="M3048" s="14"/>
      <c r="N3048" s="39"/>
      <c r="Q3048" s="1"/>
      <c r="R3048" s="1"/>
      <c r="S3048" s="1"/>
      <c r="T3048" s="1"/>
      <c r="U3048" s="24"/>
      <c r="V3048" s="24"/>
      <c r="W3048" s="1"/>
      <c r="X3048" s="1"/>
      <c r="Z3048" s="94" t="s">
        <v>82</v>
      </c>
    </row>
    <row r="3049" spans="1:26" s="25" customFormat="1" ht="6.95" customHeight="1" x14ac:dyDescent="0.3">
      <c r="A3049" s="165">
        <f>+A3038+1</f>
        <v>278</v>
      </c>
      <c r="B3049" s="166"/>
      <c r="C3049" s="167"/>
      <c r="D3049" s="160" t="s">
        <v>39</v>
      </c>
      <c r="E3049" s="161"/>
      <c r="F3049" s="162" t="s">
        <v>40</v>
      </c>
      <c r="G3049" s="163"/>
      <c r="H3049" s="164"/>
      <c r="I3049" s="163"/>
      <c r="J3049" s="164"/>
      <c r="K3049" s="163"/>
      <c r="L3049" s="164"/>
      <c r="M3049" s="11"/>
      <c r="N3049" s="39"/>
      <c r="Q3049" s="15" t="str">
        <f>+CONCATENATE(E3049,G3049)</f>
        <v/>
      </c>
      <c r="R3049" s="15">
        <f>+H3049</f>
        <v>0</v>
      </c>
      <c r="S3049" s="16"/>
      <c r="T3049" s="15">
        <f>+E3049</f>
        <v>0</v>
      </c>
      <c r="U3049" s="26" t="str">
        <f>IFERROR(LEFT(G3049,FIND("*",G3049)-1),"-")</f>
        <v>-</v>
      </c>
      <c r="V3049" s="26" t="str">
        <f>IFERROR(RIGHT(G3049,LEN(G3049)-FIND("*",G3049)),"-")</f>
        <v>-</v>
      </c>
      <c r="W3049" s="27" t="str">
        <f>IFERROR((U3049+V3049)*2/1000,"-")</f>
        <v>-</v>
      </c>
      <c r="X3049" s="27" t="str">
        <f>IFERROR(W3049*H3049,"-")</f>
        <v>-</v>
      </c>
      <c r="Z3049" s="94" t="s">
        <v>82</v>
      </c>
    </row>
    <row r="3050" spans="1:26" s="25" customFormat="1" ht="6.95" customHeight="1" x14ac:dyDescent="0.3">
      <c r="A3050" s="165"/>
      <c r="B3050" s="168"/>
      <c r="C3050" s="169"/>
      <c r="D3050" s="160"/>
      <c r="E3050" s="161"/>
      <c r="F3050" s="162"/>
      <c r="G3050" s="163"/>
      <c r="H3050" s="164"/>
      <c r="I3050" s="163"/>
      <c r="J3050" s="164"/>
      <c r="K3050" s="163"/>
      <c r="L3050" s="164"/>
      <c r="M3050" s="11"/>
      <c r="N3050" s="39"/>
      <c r="Q3050" s="15" t="str">
        <f>+CONCATENATE(E3049,I3049)</f>
        <v/>
      </c>
      <c r="R3050" s="15">
        <f>+J3049</f>
        <v>0</v>
      </c>
      <c r="S3050" s="16"/>
      <c r="T3050" s="15">
        <f>+E3049</f>
        <v>0</v>
      </c>
      <c r="U3050" s="26" t="str">
        <f>IFERROR(LEFT(I3049,FIND("*",I3049)-1),"-")</f>
        <v>-</v>
      </c>
      <c r="V3050" s="26" t="str">
        <f>IFERROR(RIGHT(I3049,LEN(I3049)-FIND("*",I3049)),"-")</f>
        <v>-</v>
      </c>
      <c r="W3050" s="27" t="str">
        <f t="shared" ref="W3050:W3057" si="1660">IFERROR((U3050+V3050)*2/1000,"-")</f>
        <v>-</v>
      </c>
      <c r="X3050" s="27" t="str">
        <f>IFERROR(W3050*J3049,"-")</f>
        <v>-</v>
      </c>
      <c r="Z3050" s="94" t="s">
        <v>82</v>
      </c>
    </row>
    <row r="3051" spans="1:26" s="25" customFormat="1" ht="6.95" customHeight="1" x14ac:dyDescent="0.3">
      <c r="A3051" s="165"/>
      <c r="B3051" s="168"/>
      <c r="C3051" s="169"/>
      <c r="D3051" s="160"/>
      <c r="E3051" s="161"/>
      <c r="F3051" s="162"/>
      <c r="G3051" s="163"/>
      <c r="H3051" s="164"/>
      <c r="I3051" s="163"/>
      <c r="J3051" s="164"/>
      <c r="K3051" s="163"/>
      <c r="L3051" s="164"/>
      <c r="M3051" s="11"/>
      <c r="N3051" s="39"/>
      <c r="Q3051" s="15" t="str">
        <f>+CONCATENATE(E3049,K3049)</f>
        <v/>
      </c>
      <c r="R3051" s="15">
        <f>+L3049</f>
        <v>0</v>
      </c>
      <c r="S3051" s="16"/>
      <c r="T3051" s="15">
        <f>+E3049</f>
        <v>0</v>
      </c>
      <c r="U3051" s="26" t="str">
        <f>IFERROR(LEFT(K3049,FIND("*",K3049)-1),"-")</f>
        <v>-</v>
      </c>
      <c r="V3051" s="26" t="str">
        <f>IFERROR(RIGHT(K3049,LEN(K3049)-FIND("*",K3049)),"-")</f>
        <v>-</v>
      </c>
      <c r="W3051" s="27" t="str">
        <f t="shared" si="1660"/>
        <v>-</v>
      </c>
      <c r="X3051" s="27" t="str">
        <f>IFERROR(W3051*L3049,"-")</f>
        <v>-</v>
      </c>
      <c r="Z3051" s="94" t="s">
        <v>82</v>
      </c>
    </row>
    <row r="3052" spans="1:26" s="25" customFormat="1" ht="6.95" customHeight="1" x14ac:dyDescent="0.3">
      <c r="A3052" s="13"/>
      <c r="B3052" s="168"/>
      <c r="C3052" s="169"/>
      <c r="D3052" s="160" t="s">
        <v>39</v>
      </c>
      <c r="E3052" s="161"/>
      <c r="F3052" s="162" t="s">
        <v>40</v>
      </c>
      <c r="G3052" s="163"/>
      <c r="H3052" s="164"/>
      <c r="I3052" s="163"/>
      <c r="J3052" s="164"/>
      <c r="K3052" s="163"/>
      <c r="L3052" s="164"/>
      <c r="M3052" s="11"/>
      <c r="N3052" s="39"/>
      <c r="Q3052" s="15" t="str">
        <f>+CONCATENATE(E3052,G3052)</f>
        <v/>
      </c>
      <c r="R3052" s="15">
        <f>+H3052</f>
        <v>0</v>
      </c>
      <c r="S3052" s="16"/>
      <c r="T3052" s="15">
        <f>+E3052</f>
        <v>0</v>
      </c>
      <c r="U3052" s="26" t="str">
        <f t="shared" ref="U3052" si="1661">IFERROR(LEFT(G3052,FIND("*",G3052)-1),"-")</f>
        <v>-</v>
      </c>
      <c r="V3052" s="26" t="str">
        <f t="shared" ref="V3052" si="1662">IFERROR(RIGHT(G3052,LEN(G3052)-FIND("*",G3052)),"-")</f>
        <v>-</v>
      </c>
      <c r="W3052" s="27" t="str">
        <f t="shared" si="1660"/>
        <v>-</v>
      </c>
      <c r="X3052" s="27" t="str">
        <f>IFERROR(W3052*H3052,"-")</f>
        <v>-</v>
      </c>
      <c r="Z3052" s="94" t="s">
        <v>82</v>
      </c>
    </row>
    <row r="3053" spans="1:26" s="25" customFormat="1" ht="6.95" customHeight="1" x14ac:dyDescent="0.3">
      <c r="A3053" s="10"/>
      <c r="B3053" s="168"/>
      <c r="C3053" s="169"/>
      <c r="D3053" s="160"/>
      <c r="E3053" s="161"/>
      <c r="F3053" s="162"/>
      <c r="G3053" s="163"/>
      <c r="H3053" s="164"/>
      <c r="I3053" s="163"/>
      <c r="J3053" s="164"/>
      <c r="K3053" s="163"/>
      <c r="L3053" s="164"/>
      <c r="M3053" s="11"/>
      <c r="N3053" s="39"/>
      <c r="Q3053" s="15" t="str">
        <f>+CONCATENATE(E3052,I3052)</f>
        <v/>
      </c>
      <c r="R3053" s="15">
        <f>+J3052</f>
        <v>0</v>
      </c>
      <c r="S3053" s="16"/>
      <c r="T3053" s="15">
        <f>+E3052</f>
        <v>0</v>
      </c>
      <c r="U3053" s="26" t="str">
        <f>IFERROR(LEFT(I3052,FIND("*",I3052)-1),"-")</f>
        <v>-</v>
      </c>
      <c r="V3053" s="26" t="str">
        <f>IFERROR(RIGHT(I3052,LEN(I3052)-FIND("*",I3052)),"-")</f>
        <v>-</v>
      </c>
      <c r="W3053" s="27" t="str">
        <f t="shared" si="1660"/>
        <v>-</v>
      </c>
      <c r="X3053" s="27" t="str">
        <f>IFERROR(W3053*J3052,"-")</f>
        <v>-</v>
      </c>
      <c r="Z3053" s="94" t="s">
        <v>82</v>
      </c>
    </row>
    <row r="3054" spans="1:26" s="25" customFormat="1" ht="6.95" customHeight="1" x14ac:dyDescent="0.3">
      <c r="A3054" s="10"/>
      <c r="B3054" s="168"/>
      <c r="C3054" s="169"/>
      <c r="D3054" s="160"/>
      <c r="E3054" s="161"/>
      <c r="F3054" s="162"/>
      <c r="G3054" s="163"/>
      <c r="H3054" s="164"/>
      <c r="I3054" s="163"/>
      <c r="J3054" s="164"/>
      <c r="K3054" s="163"/>
      <c r="L3054" s="164"/>
      <c r="M3054" s="11"/>
      <c r="N3054" s="39"/>
      <c r="Q3054" s="15" t="str">
        <f>+CONCATENATE(E3052,K3052)</f>
        <v/>
      </c>
      <c r="R3054" s="15">
        <f>+L3052</f>
        <v>0</v>
      </c>
      <c r="S3054" s="16"/>
      <c r="T3054" s="15">
        <f>+E3052</f>
        <v>0</v>
      </c>
      <c r="U3054" s="26" t="str">
        <f>IFERROR(LEFT(K3052,FIND("*",K3052)-1),"-")</f>
        <v>-</v>
      </c>
      <c r="V3054" s="26" t="str">
        <f>IFERROR(RIGHT(K3052,LEN(K3052)-FIND("*",K3052)),"-")</f>
        <v>-</v>
      </c>
      <c r="W3054" s="27" t="str">
        <f t="shared" si="1660"/>
        <v>-</v>
      </c>
      <c r="X3054" s="27" t="str">
        <f>IFERROR(W3054*L3052,"-")</f>
        <v>-</v>
      </c>
      <c r="Z3054" s="94" t="s">
        <v>82</v>
      </c>
    </row>
    <row r="3055" spans="1:26" s="25" customFormat="1" ht="6.95" customHeight="1" x14ac:dyDescent="0.3">
      <c r="A3055" s="13"/>
      <c r="B3055" s="168"/>
      <c r="C3055" s="169"/>
      <c r="D3055" s="160" t="s">
        <v>39</v>
      </c>
      <c r="E3055" s="161"/>
      <c r="F3055" s="162" t="s">
        <v>40</v>
      </c>
      <c r="G3055" s="163"/>
      <c r="H3055" s="164"/>
      <c r="I3055" s="163"/>
      <c r="J3055" s="164"/>
      <c r="K3055" s="163"/>
      <c r="L3055" s="164"/>
      <c r="M3055" s="11"/>
      <c r="N3055" s="39"/>
      <c r="Q3055" s="15" t="str">
        <f>+CONCATENATE(E3055,G3055)</f>
        <v/>
      </c>
      <c r="R3055" s="15">
        <f>+H3055</f>
        <v>0</v>
      </c>
      <c r="S3055" s="16"/>
      <c r="T3055" s="15">
        <f>+E3055</f>
        <v>0</v>
      </c>
      <c r="U3055" s="26" t="str">
        <f t="shared" ref="U3055" si="1663">IFERROR(LEFT(G3055,FIND("*",G3055)-1),"-")</f>
        <v>-</v>
      </c>
      <c r="V3055" s="26" t="str">
        <f t="shared" ref="V3055" si="1664">IFERROR(RIGHT(G3055,LEN(G3055)-FIND("*",G3055)),"-")</f>
        <v>-</v>
      </c>
      <c r="W3055" s="27" t="str">
        <f t="shared" si="1660"/>
        <v>-</v>
      </c>
      <c r="X3055" s="27" t="str">
        <f>IFERROR(W3055*H3055,"-")</f>
        <v>-</v>
      </c>
      <c r="Z3055" s="94" t="s">
        <v>82</v>
      </c>
    </row>
    <row r="3056" spans="1:26" s="25" customFormat="1" ht="6.95" customHeight="1" x14ac:dyDescent="0.3">
      <c r="A3056" s="10"/>
      <c r="B3056" s="168"/>
      <c r="C3056" s="169"/>
      <c r="D3056" s="160"/>
      <c r="E3056" s="161"/>
      <c r="F3056" s="162"/>
      <c r="G3056" s="163"/>
      <c r="H3056" s="164"/>
      <c r="I3056" s="163"/>
      <c r="J3056" s="164"/>
      <c r="K3056" s="163"/>
      <c r="L3056" s="164"/>
      <c r="M3056" s="11"/>
      <c r="N3056" s="39"/>
      <c r="Q3056" s="15" t="str">
        <f>+CONCATENATE(E3055,I3055)</f>
        <v/>
      </c>
      <c r="R3056" s="15">
        <f>+J3055</f>
        <v>0</v>
      </c>
      <c r="S3056" s="16"/>
      <c r="T3056" s="15">
        <f>+E3055</f>
        <v>0</v>
      </c>
      <c r="U3056" s="26" t="str">
        <f>IFERROR(LEFT(I3055,FIND("*",I3055)-1),"-")</f>
        <v>-</v>
      </c>
      <c r="V3056" s="26" t="str">
        <f>IFERROR(RIGHT(I3055,LEN(I3055)-FIND("*",I3055)),"-")</f>
        <v>-</v>
      </c>
      <c r="W3056" s="27" t="str">
        <f t="shared" si="1660"/>
        <v>-</v>
      </c>
      <c r="X3056" s="27" t="str">
        <f t="shared" ref="X3056" si="1665">IFERROR(W3056*J3055,"-")</f>
        <v>-</v>
      </c>
      <c r="Z3056" s="94" t="s">
        <v>82</v>
      </c>
    </row>
    <row r="3057" spans="1:26" s="25" customFormat="1" ht="6.95" customHeight="1" x14ac:dyDescent="0.3">
      <c r="A3057" s="10"/>
      <c r="B3057" s="168"/>
      <c r="C3057" s="169"/>
      <c r="D3057" s="160"/>
      <c r="E3057" s="161"/>
      <c r="F3057" s="162"/>
      <c r="G3057" s="163"/>
      <c r="H3057" s="164"/>
      <c r="I3057" s="163"/>
      <c r="J3057" s="164"/>
      <c r="K3057" s="163"/>
      <c r="L3057" s="164"/>
      <c r="M3057" s="11"/>
      <c r="N3057" s="39"/>
      <c r="Q3057" s="15" t="str">
        <f>+CONCATENATE(E3055,K3055)</f>
        <v/>
      </c>
      <c r="R3057" s="15">
        <f>+L3055</f>
        <v>0</v>
      </c>
      <c r="S3057" s="16"/>
      <c r="T3057" s="15">
        <f>+E3055</f>
        <v>0</v>
      </c>
      <c r="U3057" s="26" t="str">
        <f>IFERROR(LEFT(K3055,FIND("*",K3055)-1),"-")</f>
        <v>-</v>
      </c>
      <c r="V3057" s="26" t="str">
        <f>IFERROR(RIGHT(K3055,LEN(K3055)-FIND("*",K3055)),"-")</f>
        <v>-</v>
      </c>
      <c r="W3057" s="27" t="str">
        <f t="shared" si="1660"/>
        <v>-</v>
      </c>
      <c r="X3057" s="27" t="str">
        <f>IFERROR(W3057*L3055,"-")</f>
        <v>-</v>
      </c>
      <c r="Z3057" s="94" t="s">
        <v>82</v>
      </c>
    </row>
    <row r="3058" spans="1:26" s="25" customFormat="1" ht="21" customHeight="1" thickBot="1" x14ac:dyDescent="0.35">
      <c r="A3058" s="10"/>
      <c r="B3058" s="170"/>
      <c r="C3058" s="171"/>
      <c r="D3058" s="172" t="s">
        <v>43</v>
      </c>
      <c r="E3058" s="173"/>
      <c r="F3058" s="173"/>
      <c r="G3058" s="174"/>
      <c r="H3058" s="174"/>
      <c r="I3058" s="174"/>
      <c r="J3058" s="174"/>
      <c r="K3058" s="174"/>
      <c r="L3058" s="174"/>
      <c r="M3058" s="12"/>
      <c r="N3058" s="39"/>
      <c r="U3058" s="23"/>
      <c r="V3058" s="23"/>
      <c r="Z3058" s="95" t="s">
        <v>81</v>
      </c>
    </row>
    <row r="3059" spans="1:26" s="25" customFormat="1" ht="9.9499999999999993" customHeight="1" thickBot="1" x14ac:dyDescent="0.35">
      <c r="A3059" s="6"/>
      <c r="B3059" s="14"/>
      <c r="C3059" s="119"/>
      <c r="D3059" s="58"/>
      <c r="E3059" s="17"/>
      <c r="F3059" s="58"/>
      <c r="G3059" s="19"/>
      <c r="H3059" s="19"/>
      <c r="I3059" s="19"/>
      <c r="J3059" s="19"/>
      <c r="K3059" s="19"/>
      <c r="L3059" s="19"/>
      <c r="M3059" s="14"/>
      <c r="N3059" s="39"/>
      <c r="Q3059" s="1"/>
      <c r="R3059" s="1"/>
      <c r="S3059" s="1"/>
      <c r="T3059" s="1"/>
      <c r="U3059" s="24"/>
      <c r="V3059" s="24"/>
      <c r="W3059" s="1"/>
      <c r="X3059" s="1"/>
      <c r="Z3059" s="94" t="s">
        <v>82</v>
      </c>
    </row>
    <row r="3060" spans="1:26" s="25" customFormat="1" ht="6.95" customHeight="1" x14ac:dyDescent="0.3">
      <c r="A3060" s="165">
        <f>+A3049+1</f>
        <v>279</v>
      </c>
      <c r="B3060" s="166"/>
      <c r="C3060" s="167"/>
      <c r="D3060" s="160" t="s">
        <v>39</v>
      </c>
      <c r="E3060" s="161"/>
      <c r="F3060" s="162" t="s">
        <v>40</v>
      </c>
      <c r="G3060" s="163"/>
      <c r="H3060" s="164"/>
      <c r="I3060" s="163"/>
      <c r="J3060" s="164"/>
      <c r="K3060" s="163"/>
      <c r="L3060" s="164"/>
      <c r="M3060" s="11"/>
      <c r="N3060" s="39"/>
      <c r="Q3060" s="15" t="str">
        <f>+CONCATENATE(E3060,G3060)</f>
        <v/>
      </c>
      <c r="R3060" s="15">
        <f>+H3060</f>
        <v>0</v>
      </c>
      <c r="S3060" s="16"/>
      <c r="T3060" s="15">
        <f>+E3060</f>
        <v>0</v>
      </c>
      <c r="U3060" s="26" t="str">
        <f>IFERROR(LEFT(G3060,FIND("*",G3060)-1),"-")</f>
        <v>-</v>
      </c>
      <c r="V3060" s="26" t="str">
        <f>IFERROR(RIGHT(G3060,LEN(G3060)-FIND("*",G3060)),"-")</f>
        <v>-</v>
      </c>
      <c r="W3060" s="27" t="str">
        <f>IFERROR((U3060+V3060)*2/1000,"-")</f>
        <v>-</v>
      </c>
      <c r="X3060" s="27" t="str">
        <f>IFERROR(W3060*H3060,"-")</f>
        <v>-</v>
      </c>
      <c r="Z3060" s="94" t="s">
        <v>82</v>
      </c>
    </row>
    <row r="3061" spans="1:26" s="25" customFormat="1" ht="6.95" customHeight="1" x14ac:dyDescent="0.3">
      <c r="A3061" s="165"/>
      <c r="B3061" s="168"/>
      <c r="C3061" s="169"/>
      <c r="D3061" s="160"/>
      <c r="E3061" s="161"/>
      <c r="F3061" s="162"/>
      <c r="G3061" s="163"/>
      <c r="H3061" s="164"/>
      <c r="I3061" s="163"/>
      <c r="J3061" s="164"/>
      <c r="K3061" s="163"/>
      <c r="L3061" s="164"/>
      <c r="M3061" s="11"/>
      <c r="N3061" s="39"/>
      <c r="Q3061" s="15" t="str">
        <f>+CONCATENATE(E3060,I3060)</f>
        <v/>
      </c>
      <c r="R3061" s="15">
        <f>+J3060</f>
        <v>0</v>
      </c>
      <c r="S3061" s="16"/>
      <c r="T3061" s="15">
        <f>+E3060</f>
        <v>0</v>
      </c>
      <c r="U3061" s="26" t="str">
        <f>IFERROR(LEFT(I3060,FIND("*",I3060)-1),"-")</f>
        <v>-</v>
      </c>
      <c r="V3061" s="26" t="str">
        <f>IFERROR(RIGHT(I3060,LEN(I3060)-FIND("*",I3060)),"-")</f>
        <v>-</v>
      </c>
      <c r="W3061" s="27" t="str">
        <f t="shared" ref="W3061:W3068" si="1666">IFERROR((U3061+V3061)*2/1000,"-")</f>
        <v>-</v>
      </c>
      <c r="X3061" s="27" t="str">
        <f>IFERROR(W3061*J3060,"-")</f>
        <v>-</v>
      </c>
      <c r="Z3061" s="94" t="s">
        <v>82</v>
      </c>
    </row>
    <row r="3062" spans="1:26" s="25" customFormat="1" ht="6.95" customHeight="1" x14ac:dyDescent="0.3">
      <c r="A3062" s="165"/>
      <c r="B3062" s="168"/>
      <c r="C3062" s="169"/>
      <c r="D3062" s="160"/>
      <c r="E3062" s="161"/>
      <c r="F3062" s="162"/>
      <c r="G3062" s="163"/>
      <c r="H3062" s="164"/>
      <c r="I3062" s="163"/>
      <c r="J3062" s="164"/>
      <c r="K3062" s="163"/>
      <c r="L3062" s="164"/>
      <c r="M3062" s="11"/>
      <c r="N3062" s="39"/>
      <c r="Q3062" s="15" t="str">
        <f>+CONCATENATE(E3060,K3060)</f>
        <v/>
      </c>
      <c r="R3062" s="15">
        <f>+L3060</f>
        <v>0</v>
      </c>
      <c r="S3062" s="16"/>
      <c r="T3062" s="15">
        <f>+E3060</f>
        <v>0</v>
      </c>
      <c r="U3062" s="26" t="str">
        <f>IFERROR(LEFT(K3060,FIND("*",K3060)-1),"-")</f>
        <v>-</v>
      </c>
      <c r="V3062" s="26" t="str">
        <f>IFERROR(RIGHT(K3060,LEN(K3060)-FIND("*",K3060)),"-")</f>
        <v>-</v>
      </c>
      <c r="W3062" s="27" t="str">
        <f t="shared" si="1666"/>
        <v>-</v>
      </c>
      <c r="X3062" s="27" t="str">
        <f>IFERROR(W3062*L3060,"-")</f>
        <v>-</v>
      </c>
      <c r="Z3062" s="94" t="s">
        <v>82</v>
      </c>
    </row>
    <row r="3063" spans="1:26" s="25" customFormat="1" ht="6.95" customHeight="1" x14ac:dyDescent="0.3">
      <c r="A3063" s="13"/>
      <c r="B3063" s="168"/>
      <c r="C3063" s="169"/>
      <c r="D3063" s="160" t="s">
        <v>39</v>
      </c>
      <c r="E3063" s="161"/>
      <c r="F3063" s="162" t="s">
        <v>40</v>
      </c>
      <c r="G3063" s="163"/>
      <c r="H3063" s="164"/>
      <c r="I3063" s="163"/>
      <c r="J3063" s="164"/>
      <c r="K3063" s="163"/>
      <c r="L3063" s="164"/>
      <c r="M3063" s="11"/>
      <c r="N3063" s="39"/>
      <c r="Q3063" s="15" t="str">
        <f>+CONCATENATE(E3063,G3063)</f>
        <v/>
      </c>
      <c r="R3063" s="15">
        <f>+H3063</f>
        <v>0</v>
      </c>
      <c r="S3063" s="16"/>
      <c r="T3063" s="15">
        <f>+E3063</f>
        <v>0</v>
      </c>
      <c r="U3063" s="26" t="str">
        <f t="shared" ref="U3063" si="1667">IFERROR(LEFT(G3063,FIND("*",G3063)-1),"-")</f>
        <v>-</v>
      </c>
      <c r="V3063" s="26" t="str">
        <f t="shared" ref="V3063" si="1668">IFERROR(RIGHT(G3063,LEN(G3063)-FIND("*",G3063)),"-")</f>
        <v>-</v>
      </c>
      <c r="W3063" s="27" t="str">
        <f t="shared" si="1666"/>
        <v>-</v>
      </c>
      <c r="X3063" s="27" t="str">
        <f>IFERROR(W3063*H3063,"-")</f>
        <v>-</v>
      </c>
      <c r="Z3063" s="94" t="s">
        <v>82</v>
      </c>
    </row>
    <row r="3064" spans="1:26" s="25" customFormat="1" ht="6.95" customHeight="1" x14ac:dyDescent="0.3">
      <c r="A3064" s="10"/>
      <c r="B3064" s="168"/>
      <c r="C3064" s="169"/>
      <c r="D3064" s="160"/>
      <c r="E3064" s="161"/>
      <c r="F3064" s="162"/>
      <c r="G3064" s="163"/>
      <c r="H3064" s="164"/>
      <c r="I3064" s="163"/>
      <c r="J3064" s="164"/>
      <c r="K3064" s="163"/>
      <c r="L3064" s="164"/>
      <c r="M3064" s="11"/>
      <c r="N3064" s="39"/>
      <c r="Q3064" s="15" t="str">
        <f>+CONCATENATE(E3063,I3063)</f>
        <v/>
      </c>
      <c r="R3064" s="15">
        <f>+J3063</f>
        <v>0</v>
      </c>
      <c r="S3064" s="16"/>
      <c r="T3064" s="15">
        <f>+E3063</f>
        <v>0</v>
      </c>
      <c r="U3064" s="26" t="str">
        <f>IFERROR(LEFT(I3063,FIND("*",I3063)-1),"-")</f>
        <v>-</v>
      </c>
      <c r="V3064" s="26" t="str">
        <f>IFERROR(RIGHT(I3063,LEN(I3063)-FIND("*",I3063)),"-")</f>
        <v>-</v>
      </c>
      <c r="W3064" s="27" t="str">
        <f t="shared" si="1666"/>
        <v>-</v>
      </c>
      <c r="X3064" s="27" t="str">
        <f>IFERROR(W3064*J3063,"-")</f>
        <v>-</v>
      </c>
      <c r="Z3064" s="94" t="s">
        <v>82</v>
      </c>
    </row>
    <row r="3065" spans="1:26" s="25" customFormat="1" ht="6.95" customHeight="1" x14ac:dyDescent="0.3">
      <c r="A3065" s="10"/>
      <c r="B3065" s="168"/>
      <c r="C3065" s="169"/>
      <c r="D3065" s="160"/>
      <c r="E3065" s="161"/>
      <c r="F3065" s="162"/>
      <c r="G3065" s="163"/>
      <c r="H3065" s="164"/>
      <c r="I3065" s="163"/>
      <c r="J3065" s="164"/>
      <c r="K3065" s="163"/>
      <c r="L3065" s="164"/>
      <c r="M3065" s="11"/>
      <c r="N3065" s="39"/>
      <c r="Q3065" s="15" t="str">
        <f>+CONCATENATE(E3063,K3063)</f>
        <v/>
      </c>
      <c r="R3065" s="15">
        <f>+L3063</f>
        <v>0</v>
      </c>
      <c r="S3065" s="16"/>
      <c r="T3065" s="15">
        <f>+E3063</f>
        <v>0</v>
      </c>
      <c r="U3065" s="26" t="str">
        <f>IFERROR(LEFT(K3063,FIND("*",K3063)-1),"-")</f>
        <v>-</v>
      </c>
      <c r="V3065" s="26" t="str">
        <f>IFERROR(RIGHT(K3063,LEN(K3063)-FIND("*",K3063)),"-")</f>
        <v>-</v>
      </c>
      <c r="W3065" s="27" t="str">
        <f t="shared" si="1666"/>
        <v>-</v>
      </c>
      <c r="X3065" s="27" t="str">
        <f>IFERROR(W3065*L3063,"-")</f>
        <v>-</v>
      </c>
      <c r="Z3065" s="94" t="s">
        <v>82</v>
      </c>
    </row>
    <row r="3066" spans="1:26" s="25" customFormat="1" ht="6.95" customHeight="1" x14ac:dyDescent="0.3">
      <c r="A3066" s="13"/>
      <c r="B3066" s="168"/>
      <c r="C3066" s="169"/>
      <c r="D3066" s="160" t="s">
        <v>39</v>
      </c>
      <c r="E3066" s="161"/>
      <c r="F3066" s="162" t="s">
        <v>40</v>
      </c>
      <c r="G3066" s="163"/>
      <c r="H3066" s="164"/>
      <c r="I3066" s="163"/>
      <c r="J3066" s="164"/>
      <c r="K3066" s="163"/>
      <c r="L3066" s="164"/>
      <c r="M3066" s="11"/>
      <c r="N3066" s="39"/>
      <c r="Q3066" s="15" t="str">
        <f>+CONCATENATE(E3066,G3066)</f>
        <v/>
      </c>
      <c r="R3066" s="15">
        <f>+H3066</f>
        <v>0</v>
      </c>
      <c r="S3066" s="16"/>
      <c r="T3066" s="15">
        <f>+E3066</f>
        <v>0</v>
      </c>
      <c r="U3066" s="26" t="str">
        <f t="shared" ref="U3066" si="1669">IFERROR(LEFT(G3066,FIND("*",G3066)-1),"-")</f>
        <v>-</v>
      </c>
      <c r="V3066" s="26" t="str">
        <f t="shared" ref="V3066" si="1670">IFERROR(RIGHT(G3066,LEN(G3066)-FIND("*",G3066)),"-")</f>
        <v>-</v>
      </c>
      <c r="W3066" s="27" t="str">
        <f t="shared" si="1666"/>
        <v>-</v>
      </c>
      <c r="X3066" s="27" t="str">
        <f>IFERROR(W3066*H3066,"-")</f>
        <v>-</v>
      </c>
      <c r="Z3066" s="94" t="s">
        <v>82</v>
      </c>
    </row>
    <row r="3067" spans="1:26" s="25" customFormat="1" ht="6.95" customHeight="1" x14ac:dyDescent="0.3">
      <c r="A3067" s="10"/>
      <c r="B3067" s="168"/>
      <c r="C3067" s="169"/>
      <c r="D3067" s="160"/>
      <c r="E3067" s="161"/>
      <c r="F3067" s="162"/>
      <c r="G3067" s="163"/>
      <c r="H3067" s="164"/>
      <c r="I3067" s="163"/>
      <c r="J3067" s="164"/>
      <c r="K3067" s="163"/>
      <c r="L3067" s="164"/>
      <c r="M3067" s="11"/>
      <c r="N3067" s="39"/>
      <c r="Q3067" s="15" t="str">
        <f>+CONCATENATE(E3066,I3066)</f>
        <v/>
      </c>
      <c r="R3067" s="15">
        <f>+J3066</f>
        <v>0</v>
      </c>
      <c r="S3067" s="16"/>
      <c r="T3067" s="15">
        <f>+E3066</f>
        <v>0</v>
      </c>
      <c r="U3067" s="26" t="str">
        <f>IFERROR(LEFT(I3066,FIND("*",I3066)-1),"-")</f>
        <v>-</v>
      </c>
      <c r="V3067" s="26" t="str">
        <f>IFERROR(RIGHT(I3066,LEN(I3066)-FIND("*",I3066)),"-")</f>
        <v>-</v>
      </c>
      <c r="W3067" s="27" t="str">
        <f t="shared" si="1666"/>
        <v>-</v>
      </c>
      <c r="X3067" s="27" t="str">
        <f t="shared" ref="X3067" si="1671">IFERROR(W3067*J3066,"-")</f>
        <v>-</v>
      </c>
      <c r="Z3067" s="94" t="s">
        <v>82</v>
      </c>
    </row>
    <row r="3068" spans="1:26" s="25" customFormat="1" ht="6.95" customHeight="1" x14ac:dyDescent="0.3">
      <c r="A3068" s="10"/>
      <c r="B3068" s="168"/>
      <c r="C3068" s="169"/>
      <c r="D3068" s="160"/>
      <c r="E3068" s="161"/>
      <c r="F3068" s="162"/>
      <c r="G3068" s="163"/>
      <c r="H3068" s="164"/>
      <c r="I3068" s="163"/>
      <c r="J3068" s="164"/>
      <c r="K3068" s="163"/>
      <c r="L3068" s="164"/>
      <c r="M3068" s="11"/>
      <c r="N3068" s="39"/>
      <c r="Q3068" s="15" t="str">
        <f>+CONCATENATE(E3066,K3066)</f>
        <v/>
      </c>
      <c r="R3068" s="15">
        <f>+L3066</f>
        <v>0</v>
      </c>
      <c r="S3068" s="16"/>
      <c r="T3068" s="15">
        <f>+E3066</f>
        <v>0</v>
      </c>
      <c r="U3068" s="26" t="str">
        <f>IFERROR(LEFT(K3066,FIND("*",K3066)-1),"-")</f>
        <v>-</v>
      </c>
      <c r="V3068" s="26" t="str">
        <f>IFERROR(RIGHT(K3066,LEN(K3066)-FIND("*",K3066)),"-")</f>
        <v>-</v>
      </c>
      <c r="W3068" s="27" t="str">
        <f t="shared" si="1666"/>
        <v>-</v>
      </c>
      <c r="X3068" s="27" t="str">
        <f>IFERROR(W3068*L3066,"-")</f>
        <v>-</v>
      </c>
      <c r="Z3068" s="94" t="s">
        <v>82</v>
      </c>
    </row>
    <row r="3069" spans="1:26" s="25" customFormat="1" ht="21" customHeight="1" thickBot="1" x14ac:dyDescent="0.35">
      <c r="A3069" s="10"/>
      <c r="B3069" s="170"/>
      <c r="C3069" s="171"/>
      <c r="D3069" s="172" t="s">
        <v>43</v>
      </c>
      <c r="E3069" s="173"/>
      <c r="F3069" s="173"/>
      <c r="G3069" s="174"/>
      <c r="H3069" s="174"/>
      <c r="I3069" s="174"/>
      <c r="J3069" s="174"/>
      <c r="K3069" s="174"/>
      <c r="L3069" s="174"/>
      <c r="M3069" s="12"/>
      <c r="N3069" s="39"/>
      <c r="U3069" s="23"/>
      <c r="V3069" s="23"/>
      <c r="Z3069" s="95" t="s">
        <v>81</v>
      </c>
    </row>
    <row r="3070" spans="1:26" s="25" customFormat="1" ht="9.9499999999999993" customHeight="1" thickBot="1" x14ac:dyDescent="0.35">
      <c r="A3070" s="6"/>
      <c r="B3070" s="14"/>
      <c r="C3070" s="119"/>
      <c r="D3070" s="58"/>
      <c r="E3070" s="17"/>
      <c r="F3070" s="58"/>
      <c r="G3070" s="19"/>
      <c r="H3070" s="19"/>
      <c r="I3070" s="19"/>
      <c r="J3070" s="19"/>
      <c r="K3070" s="19"/>
      <c r="L3070" s="19"/>
      <c r="M3070" s="14"/>
      <c r="N3070" s="39"/>
      <c r="Q3070" s="1"/>
      <c r="R3070" s="1"/>
      <c r="S3070" s="1"/>
      <c r="T3070" s="1"/>
      <c r="U3070" s="24"/>
      <c r="V3070" s="24"/>
      <c r="W3070" s="1"/>
      <c r="X3070" s="1"/>
      <c r="Z3070" s="94" t="s">
        <v>82</v>
      </c>
    </row>
    <row r="3071" spans="1:26" s="25" customFormat="1" ht="6.95" customHeight="1" x14ac:dyDescent="0.3">
      <c r="A3071" s="165">
        <f>+A3060+1</f>
        <v>280</v>
      </c>
      <c r="B3071" s="166"/>
      <c r="C3071" s="167"/>
      <c r="D3071" s="160" t="s">
        <v>39</v>
      </c>
      <c r="E3071" s="161"/>
      <c r="F3071" s="162" t="s">
        <v>40</v>
      </c>
      <c r="G3071" s="163"/>
      <c r="H3071" s="164"/>
      <c r="I3071" s="163"/>
      <c r="J3071" s="164"/>
      <c r="K3071" s="163"/>
      <c r="L3071" s="164"/>
      <c r="M3071" s="11"/>
      <c r="N3071" s="39"/>
      <c r="Q3071" s="15" t="str">
        <f>+CONCATENATE(E3071,G3071)</f>
        <v/>
      </c>
      <c r="R3071" s="15">
        <f>+H3071</f>
        <v>0</v>
      </c>
      <c r="S3071" s="16"/>
      <c r="T3071" s="15">
        <f>+E3071</f>
        <v>0</v>
      </c>
      <c r="U3071" s="26" t="str">
        <f>IFERROR(LEFT(G3071,FIND("*",G3071)-1),"-")</f>
        <v>-</v>
      </c>
      <c r="V3071" s="26" t="str">
        <f>IFERROR(RIGHT(G3071,LEN(G3071)-FIND("*",G3071)),"-")</f>
        <v>-</v>
      </c>
      <c r="W3071" s="27" t="str">
        <f>IFERROR((U3071+V3071)*2/1000,"-")</f>
        <v>-</v>
      </c>
      <c r="X3071" s="27" t="str">
        <f>IFERROR(W3071*H3071,"-")</f>
        <v>-</v>
      </c>
      <c r="Z3071" s="94" t="s">
        <v>82</v>
      </c>
    </row>
    <row r="3072" spans="1:26" s="25" customFormat="1" ht="6.95" customHeight="1" x14ac:dyDescent="0.3">
      <c r="A3072" s="165"/>
      <c r="B3072" s="168"/>
      <c r="C3072" s="169"/>
      <c r="D3072" s="160"/>
      <c r="E3072" s="161"/>
      <c r="F3072" s="162"/>
      <c r="G3072" s="163"/>
      <c r="H3072" s="164"/>
      <c r="I3072" s="163"/>
      <c r="J3072" s="164"/>
      <c r="K3072" s="163"/>
      <c r="L3072" s="164"/>
      <c r="M3072" s="11"/>
      <c r="N3072" s="39"/>
      <c r="Q3072" s="15" t="str">
        <f>+CONCATENATE(E3071,I3071)</f>
        <v/>
      </c>
      <c r="R3072" s="15">
        <f>+J3071</f>
        <v>0</v>
      </c>
      <c r="S3072" s="16"/>
      <c r="T3072" s="15">
        <f>+E3071</f>
        <v>0</v>
      </c>
      <c r="U3072" s="26" t="str">
        <f>IFERROR(LEFT(I3071,FIND("*",I3071)-1),"-")</f>
        <v>-</v>
      </c>
      <c r="V3072" s="26" t="str">
        <f>IFERROR(RIGHT(I3071,LEN(I3071)-FIND("*",I3071)),"-")</f>
        <v>-</v>
      </c>
      <c r="W3072" s="27" t="str">
        <f t="shared" ref="W3072:W3079" si="1672">IFERROR((U3072+V3072)*2/1000,"-")</f>
        <v>-</v>
      </c>
      <c r="X3072" s="27" t="str">
        <f>IFERROR(W3072*J3071,"-")</f>
        <v>-</v>
      </c>
      <c r="Z3072" s="94" t="s">
        <v>82</v>
      </c>
    </row>
    <row r="3073" spans="1:26" s="25" customFormat="1" ht="6.95" customHeight="1" x14ac:dyDescent="0.3">
      <c r="A3073" s="165"/>
      <c r="B3073" s="168"/>
      <c r="C3073" s="169"/>
      <c r="D3073" s="160"/>
      <c r="E3073" s="161"/>
      <c r="F3073" s="162"/>
      <c r="G3073" s="163"/>
      <c r="H3073" s="164"/>
      <c r="I3073" s="163"/>
      <c r="J3073" s="164"/>
      <c r="K3073" s="163"/>
      <c r="L3073" s="164"/>
      <c r="M3073" s="11"/>
      <c r="N3073" s="39"/>
      <c r="Q3073" s="15" t="str">
        <f>+CONCATENATE(E3071,K3071)</f>
        <v/>
      </c>
      <c r="R3073" s="15">
        <f>+L3071</f>
        <v>0</v>
      </c>
      <c r="S3073" s="16"/>
      <c r="T3073" s="15">
        <f>+E3071</f>
        <v>0</v>
      </c>
      <c r="U3073" s="26" t="str">
        <f>IFERROR(LEFT(K3071,FIND("*",K3071)-1),"-")</f>
        <v>-</v>
      </c>
      <c r="V3073" s="26" t="str">
        <f>IFERROR(RIGHT(K3071,LEN(K3071)-FIND("*",K3071)),"-")</f>
        <v>-</v>
      </c>
      <c r="W3073" s="27" t="str">
        <f t="shared" si="1672"/>
        <v>-</v>
      </c>
      <c r="X3073" s="27" t="str">
        <f>IFERROR(W3073*L3071,"-")</f>
        <v>-</v>
      </c>
      <c r="Z3073" s="94" t="s">
        <v>82</v>
      </c>
    </row>
    <row r="3074" spans="1:26" s="25" customFormat="1" ht="6.95" customHeight="1" x14ac:dyDescent="0.3">
      <c r="A3074" s="13"/>
      <c r="B3074" s="168"/>
      <c r="C3074" s="169"/>
      <c r="D3074" s="160" t="s">
        <v>39</v>
      </c>
      <c r="E3074" s="161"/>
      <c r="F3074" s="162" t="s">
        <v>40</v>
      </c>
      <c r="G3074" s="163"/>
      <c r="H3074" s="164"/>
      <c r="I3074" s="163"/>
      <c r="J3074" s="164"/>
      <c r="K3074" s="163"/>
      <c r="L3074" s="164"/>
      <c r="M3074" s="11"/>
      <c r="N3074" s="39"/>
      <c r="Q3074" s="15" t="str">
        <f>+CONCATENATE(E3074,G3074)</f>
        <v/>
      </c>
      <c r="R3074" s="15">
        <f>+H3074</f>
        <v>0</v>
      </c>
      <c r="S3074" s="16"/>
      <c r="T3074" s="15">
        <f>+E3074</f>
        <v>0</v>
      </c>
      <c r="U3074" s="26" t="str">
        <f t="shared" ref="U3074" si="1673">IFERROR(LEFT(G3074,FIND("*",G3074)-1),"-")</f>
        <v>-</v>
      </c>
      <c r="V3074" s="26" t="str">
        <f t="shared" ref="V3074" si="1674">IFERROR(RIGHT(G3074,LEN(G3074)-FIND("*",G3074)),"-")</f>
        <v>-</v>
      </c>
      <c r="W3074" s="27" t="str">
        <f t="shared" si="1672"/>
        <v>-</v>
      </c>
      <c r="X3074" s="27" t="str">
        <f>IFERROR(W3074*H3074,"-")</f>
        <v>-</v>
      </c>
      <c r="Z3074" s="94" t="s">
        <v>82</v>
      </c>
    </row>
    <row r="3075" spans="1:26" s="25" customFormat="1" ht="6.95" customHeight="1" x14ac:dyDescent="0.3">
      <c r="A3075" s="10"/>
      <c r="B3075" s="168"/>
      <c r="C3075" s="169"/>
      <c r="D3075" s="160"/>
      <c r="E3075" s="161"/>
      <c r="F3075" s="162"/>
      <c r="G3075" s="163"/>
      <c r="H3075" s="164"/>
      <c r="I3075" s="163"/>
      <c r="J3075" s="164"/>
      <c r="K3075" s="163"/>
      <c r="L3075" s="164"/>
      <c r="M3075" s="11"/>
      <c r="N3075" s="39"/>
      <c r="Q3075" s="15" t="str">
        <f>+CONCATENATE(E3074,I3074)</f>
        <v/>
      </c>
      <c r="R3075" s="15">
        <f>+J3074</f>
        <v>0</v>
      </c>
      <c r="S3075" s="16"/>
      <c r="T3075" s="15">
        <f>+E3074</f>
        <v>0</v>
      </c>
      <c r="U3075" s="26" t="str">
        <f>IFERROR(LEFT(I3074,FIND("*",I3074)-1),"-")</f>
        <v>-</v>
      </c>
      <c r="V3075" s="26" t="str">
        <f>IFERROR(RIGHT(I3074,LEN(I3074)-FIND("*",I3074)),"-")</f>
        <v>-</v>
      </c>
      <c r="W3075" s="27" t="str">
        <f t="shared" si="1672"/>
        <v>-</v>
      </c>
      <c r="X3075" s="27" t="str">
        <f>IFERROR(W3075*J3074,"-")</f>
        <v>-</v>
      </c>
      <c r="Z3075" s="94" t="s">
        <v>82</v>
      </c>
    </row>
    <row r="3076" spans="1:26" s="25" customFormat="1" ht="6.95" customHeight="1" x14ac:dyDescent="0.3">
      <c r="A3076" s="10"/>
      <c r="B3076" s="168"/>
      <c r="C3076" s="169"/>
      <c r="D3076" s="160"/>
      <c r="E3076" s="161"/>
      <c r="F3076" s="162"/>
      <c r="G3076" s="163"/>
      <c r="H3076" s="164"/>
      <c r="I3076" s="163"/>
      <c r="J3076" s="164"/>
      <c r="K3076" s="163"/>
      <c r="L3076" s="164"/>
      <c r="M3076" s="11"/>
      <c r="N3076" s="39"/>
      <c r="Q3076" s="15" t="str">
        <f>+CONCATENATE(E3074,K3074)</f>
        <v/>
      </c>
      <c r="R3076" s="15">
        <f>+L3074</f>
        <v>0</v>
      </c>
      <c r="S3076" s="16"/>
      <c r="T3076" s="15">
        <f>+E3074</f>
        <v>0</v>
      </c>
      <c r="U3076" s="26" t="str">
        <f>IFERROR(LEFT(K3074,FIND("*",K3074)-1),"-")</f>
        <v>-</v>
      </c>
      <c r="V3076" s="26" t="str">
        <f>IFERROR(RIGHT(K3074,LEN(K3074)-FIND("*",K3074)),"-")</f>
        <v>-</v>
      </c>
      <c r="W3076" s="27" t="str">
        <f t="shared" si="1672"/>
        <v>-</v>
      </c>
      <c r="X3076" s="27" t="str">
        <f>IFERROR(W3076*L3074,"-")</f>
        <v>-</v>
      </c>
      <c r="Z3076" s="94" t="s">
        <v>82</v>
      </c>
    </row>
    <row r="3077" spans="1:26" s="25" customFormat="1" ht="6.95" customHeight="1" x14ac:dyDescent="0.3">
      <c r="A3077" s="13"/>
      <c r="B3077" s="168"/>
      <c r="C3077" s="169"/>
      <c r="D3077" s="160" t="s">
        <v>39</v>
      </c>
      <c r="E3077" s="161"/>
      <c r="F3077" s="162" t="s">
        <v>40</v>
      </c>
      <c r="G3077" s="163"/>
      <c r="H3077" s="164"/>
      <c r="I3077" s="163"/>
      <c r="J3077" s="164"/>
      <c r="K3077" s="163"/>
      <c r="L3077" s="164"/>
      <c r="M3077" s="11"/>
      <c r="N3077" s="39"/>
      <c r="Q3077" s="15" t="str">
        <f>+CONCATENATE(E3077,G3077)</f>
        <v/>
      </c>
      <c r="R3077" s="15">
        <f>+H3077</f>
        <v>0</v>
      </c>
      <c r="S3077" s="16"/>
      <c r="T3077" s="15">
        <f>+E3077</f>
        <v>0</v>
      </c>
      <c r="U3077" s="26" t="str">
        <f t="shared" ref="U3077" si="1675">IFERROR(LEFT(G3077,FIND("*",G3077)-1),"-")</f>
        <v>-</v>
      </c>
      <c r="V3077" s="26" t="str">
        <f t="shared" ref="V3077" si="1676">IFERROR(RIGHT(G3077,LEN(G3077)-FIND("*",G3077)),"-")</f>
        <v>-</v>
      </c>
      <c r="W3077" s="27" t="str">
        <f t="shared" si="1672"/>
        <v>-</v>
      </c>
      <c r="X3077" s="27" t="str">
        <f>IFERROR(W3077*H3077,"-")</f>
        <v>-</v>
      </c>
      <c r="Z3077" s="94" t="s">
        <v>82</v>
      </c>
    </row>
    <row r="3078" spans="1:26" s="25" customFormat="1" ht="6.95" customHeight="1" x14ac:dyDescent="0.3">
      <c r="A3078" s="10"/>
      <c r="B3078" s="168"/>
      <c r="C3078" s="169"/>
      <c r="D3078" s="160"/>
      <c r="E3078" s="161"/>
      <c r="F3078" s="162"/>
      <c r="G3078" s="163"/>
      <c r="H3078" s="164"/>
      <c r="I3078" s="163"/>
      <c r="J3078" s="164"/>
      <c r="K3078" s="163"/>
      <c r="L3078" s="164"/>
      <c r="M3078" s="11"/>
      <c r="N3078" s="39"/>
      <c r="Q3078" s="15" t="str">
        <f>+CONCATENATE(E3077,I3077)</f>
        <v/>
      </c>
      <c r="R3078" s="15">
        <f>+J3077</f>
        <v>0</v>
      </c>
      <c r="S3078" s="16"/>
      <c r="T3078" s="15">
        <f>+E3077</f>
        <v>0</v>
      </c>
      <c r="U3078" s="26" t="str">
        <f>IFERROR(LEFT(I3077,FIND("*",I3077)-1),"-")</f>
        <v>-</v>
      </c>
      <c r="V3078" s="26" t="str">
        <f>IFERROR(RIGHT(I3077,LEN(I3077)-FIND("*",I3077)),"-")</f>
        <v>-</v>
      </c>
      <c r="W3078" s="27" t="str">
        <f t="shared" si="1672"/>
        <v>-</v>
      </c>
      <c r="X3078" s="27" t="str">
        <f t="shared" ref="X3078" si="1677">IFERROR(W3078*J3077,"-")</f>
        <v>-</v>
      </c>
      <c r="Z3078" s="94" t="s">
        <v>82</v>
      </c>
    </row>
    <row r="3079" spans="1:26" s="25" customFormat="1" ht="6.95" customHeight="1" x14ac:dyDescent="0.3">
      <c r="A3079" s="10"/>
      <c r="B3079" s="168"/>
      <c r="C3079" s="169"/>
      <c r="D3079" s="160"/>
      <c r="E3079" s="161"/>
      <c r="F3079" s="162"/>
      <c r="G3079" s="163"/>
      <c r="H3079" s="164"/>
      <c r="I3079" s="163"/>
      <c r="J3079" s="164"/>
      <c r="K3079" s="163"/>
      <c r="L3079" s="164"/>
      <c r="M3079" s="11"/>
      <c r="N3079" s="39"/>
      <c r="Q3079" s="15" t="str">
        <f>+CONCATENATE(E3077,K3077)</f>
        <v/>
      </c>
      <c r="R3079" s="15">
        <f>+L3077</f>
        <v>0</v>
      </c>
      <c r="S3079" s="16"/>
      <c r="T3079" s="15">
        <f>+E3077</f>
        <v>0</v>
      </c>
      <c r="U3079" s="26" t="str">
        <f>IFERROR(LEFT(K3077,FIND("*",K3077)-1),"-")</f>
        <v>-</v>
      </c>
      <c r="V3079" s="26" t="str">
        <f>IFERROR(RIGHT(K3077,LEN(K3077)-FIND("*",K3077)),"-")</f>
        <v>-</v>
      </c>
      <c r="W3079" s="27" t="str">
        <f t="shared" si="1672"/>
        <v>-</v>
      </c>
      <c r="X3079" s="27" t="str">
        <f>IFERROR(W3079*L3077,"-")</f>
        <v>-</v>
      </c>
      <c r="Z3079" s="94" t="s">
        <v>82</v>
      </c>
    </row>
    <row r="3080" spans="1:26" s="25" customFormat="1" ht="21" customHeight="1" thickBot="1" x14ac:dyDescent="0.35">
      <c r="A3080" s="10"/>
      <c r="B3080" s="170"/>
      <c r="C3080" s="171"/>
      <c r="D3080" s="172" t="s">
        <v>43</v>
      </c>
      <c r="E3080" s="173"/>
      <c r="F3080" s="173"/>
      <c r="G3080" s="174"/>
      <c r="H3080" s="174"/>
      <c r="I3080" s="174"/>
      <c r="J3080" s="174"/>
      <c r="K3080" s="174"/>
      <c r="L3080" s="174"/>
      <c r="M3080" s="12"/>
      <c r="N3080" s="39"/>
      <c r="U3080" s="23"/>
      <c r="V3080" s="23"/>
      <c r="Z3080" s="95" t="s">
        <v>81</v>
      </c>
    </row>
    <row r="3081" spans="1:26" s="25" customFormat="1" ht="9.9499999999999993" customHeight="1" thickBot="1" x14ac:dyDescent="0.35">
      <c r="A3081" s="6"/>
      <c r="B3081" s="14"/>
      <c r="C3081" s="119"/>
      <c r="D3081" s="58"/>
      <c r="E3081" s="17"/>
      <c r="F3081" s="58"/>
      <c r="G3081" s="19"/>
      <c r="H3081" s="19"/>
      <c r="I3081" s="19"/>
      <c r="J3081" s="19"/>
      <c r="K3081" s="19"/>
      <c r="L3081" s="19"/>
      <c r="M3081" s="14"/>
      <c r="N3081" s="39"/>
      <c r="Q3081" s="1"/>
      <c r="R3081" s="1"/>
      <c r="S3081" s="1"/>
      <c r="T3081" s="1"/>
      <c r="U3081" s="24"/>
      <c r="V3081" s="24"/>
      <c r="W3081" s="1"/>
      <c r="X3081" s="1"/>
      <c r="Z3081" s="94" t="s">
        <v>82</v>
      </c>
    </row>
    <row r="3082" spans="1:26" s="25" customFormat="1" ht="6.95" customHeight="1" x14ac:dyDescent="0.3">
      <c r="A3082" s="165">
        <f>+A3071+1</f>
        <v>281</v>
      </c>
      <c r="B3082" s="166"/>
      <c r="C3082" s="167"/>
      <c r="D3082" s="160" t="s">
        <v>39</v>
      </c>
      <c r="E3082" s="161"/>
      <c r="F3082" s="162" t="s">
        <v>40</v>
      </c>
      <c r="G3082" s="163"/>
      <c r="H3082" s="164"/>
      <c r="I3082" s="163"/>
      <c r="J3082" s="164"/>
      <c r="K3082" s="163"/>
      <c r="L3082" s="164"/>
      <c r="M3082" s="11"/>
      <c r="N3082" s="39"/>
      <c r="Q3082" s="15" t="str">
        <f>+CONCATENATE(E3082,G3082)</f>
        <v/>
      </c>
      <c r="R3082" s="15">
        <f>+H3082</f>
        <v>0</v>
      </c>
      <c r="S3082" s="16"/>
      <c r="T3082" s="15">
        <f>+E3082</f>
        <v>0</v>
      </c>
      <c r="U3082" s="26" t="str">
        <f>IFERROR(LEFT(G3082,FIND("*",G3082)-1),"-")</f>
        <v>-</v>
      </c>
      <c r="V3082" s="26" t="str">
        <f>IFERROR(RIGHT(G3082,LEN(G3082)-FIND("*",G3082)),"-")</f>
        <v>-</v>
      </c>
      <c r="W3082" s="27" t="str">
        <f>IFERROR((U3082+V3082)*2/1000,"-")</f>
        <v>-</v>
      </c>
      <c r="X3082" s="27" t="str">
        <f>IFERROR(W3082*H3082,"-")</f>
        <v>-</v>
      </c>
      <c r="Z3082" s="94" t="s">
        <v>82</v>
      </c>
    </row>
    <row r="3083" spans="1:26" s="25" customFormat="1" ht="6.95" customHeight="1" x14ac:dyDescent="0.3">
      <c r="A3083" s="165"/>
      <c r="B3083" s="168"/>
      <c r="C3083" s="169"/>
      <c r="D3083" s="160"/>
      <c r="E3083" s="161"/>
      <c r="F3083" s="162"/>
      <c r="G3083" s="163"/>
      <c r="H3083" s="164"/>
      <c r="I3083" s="163"/>
      <c r="J3083" s="164"/>
      <c r="K3083" s="163"/>
      <c r="L3083" s="164"/>
      <c r="M3083" s="11"/>
      <c r="N3083" s="39"/>
      <c r="Q3083" s="15" t="str">
        <f>+CONCATENATE(E3082,I3082)</f>
        <v/>
      </c>
      <c r="R3083" s="15">
        <f>+J3082</f>
        <v>0</v>
      </c>
      <c r="S3083" s="16"/>
      <c r="T3083" s="15">
        <f>+E3082</f>
        <v>0</v>
      </c>
      <c r="U3083" s="26" t="str">
        <f>IFERROR(LEFT(I3082,FIND("*",I3082)-1),"-")</f>
        <v>-</v>
      </c>
      <c r="V3083" s="26" t="str">
        <f>IFERROR(RIGHT(I3082,LEN(I3082)-FIND("*",I3082)),"-")</f>
        <v>-</v>
      </c>
      <c r="W3083" s="27" t="str">
        <f t="shared" ref="W3083:W3090" si="1678">IFERROR((U3083+V3083)*2/1000,"-")</f>
        <v>-</v>
      </c>
      <c r="X3083" s="27" t="str">
        <f>IFERROR(W3083*J3082,"-")</f>
        <v>-</v>
      </c>
      <c r="Z3083" s="94" t="s">
        <v>82</v>
      </c>
    </row>
    <row r="3084" spans="1:26" s="25" customFormat="1" ht="6.95" customHeight="1" x14ac:dyDescent="0.3">
      <c r="A3084" s="165"/>
      <c r="B3084" s="168"/>
      <c r="C3084" s="169"/>
      <c r="D3084" s="160"/>
      <c r="E3084" s="161"/>
      <c r="F3084" s="162"/>
      <c r="G3084" s="163"/>
      <c r="H3084" s="164"/>
      <c r="I3084" s="163"/>
      <c r="J3084" s="164"/>
      <c r="K3084" s="163"/>
      <c r="L3084" s="164"/>
      <c r="M3084" s="11"/>
      <c r="N3084" s="39"/>
      <c r="Q3084" s="15" t="str">
        <f>+CONCATENATE(E3082,K3082)</f>
        <v/>
      </c>
      <c r="R3084" s="15">
        <f>+L3082</f>
        <v>0</v>
      </c>
      <c r="S3084" s="16"/>
      <c r="T3084" s="15">
        <f>+E3082</f>
        <v>0</v>
      </c>
      <c r="U3084" s="26" t="str">
        <f>IFERROR(LEFT(K3082,FIND("*",K3082)-1),"-")</f>
        <v>-</v>
      </c>
      <c r="V3084" s="26" t="str">
        <f>IFERROR(RIGHT(K3082,LEN(K3082)-FIND("*",K3082)),"-")</f>
        <v>-</v>
      </c>
      <c r="W3084" s="27" t="str">
        <f t="shared" si="1678"/>
        <v>-</v>
      </c>
      <c r="X3084" s="27" t="str">
        <f>IFERROR(W3084*L3082,"-")</f>
        <v>-</v>
      </c>
      <c r="Z3084" s="94" t="s">
        <v>82</v>
      </c>
    </row>
    <row r="3085" spans="1:26" s="25" customFormat="1" ht="6.95" customHeight="1" x14ac:dyDescent="0.3">
      <c r="A3085" s="13"/>
      <c r="B3085" s="168"/>
      <c r="C3085" s="169"/>
      <c r="D3085" s="160" t="s">
        <v>39</v>
      </c>
      <c r="E3085" s="161"/>
      <c r="F3085" s="162" t="s">
        <v>40</v>
      </c>
      <c r="G3085" s="163"/>
      <c r="H3085" s="164"/>
      <c r="I3085" s="163"/>
      <c r="J3085" s="164"/>
      <c r="K3085" s="163"/>
      <c r="L3085" s="164"/>
      <c r="M3085" s="11"/>
      <c r="N3085" s="39"/>
      <c r="Q3085" s="15" t="str">
        <f>+CONCATENATE(E3085,G3085)</f>
        <v/>
      </c>
      <c r="R3085" s="15">
        <f>+H3085</f>
        <v>0</v>
      </c>
      <c r="S3085" s="16"/>
      <c r="T3085" s="15">
        <f>+E3085</f>
        <v>0</v>
      </c>
      <c r="U3085" s="26" t="str">
        <f t="shared" ref="U3085" si="1679">IFERROR(LEFT(G3085,FIND("*",G3085)-1),"-")</f>
        <v>-</v>
      </c>
      <c r="V3085" s="26" t="str">
        <f t="shared" ref="V3085" si="1680">IFERROR(RIGHT(G3085,LEN(G3085)-FIND("*",G3085)),"-")</f>
        <v>-</v>
      </c>
      <c r="W3085" s="27" t="str">
        <f t="shared" si="1678"/>
        <v>-</v>
      </c>
      <c r="X3085" s="27" t="str">
        <f>IFERROR(W3085*H3085,"-")</f>
        <v>-</v>
      </c>
      <c r="Z3085" s="94" t="s">
        <v>82</v>
      </c>
    </row>
    <row r="3086" spans="1:26" s="25" customFormat="1" ht="6.95" customHeight="1" x14ac:dyDescent="0.3">
      <c r="A3086" s="10"/>
      <c r="B3086" s="168"/>
      <c r="C3086" s="169"/>
      <c r="D3086" s="160"/>
      <c r="E3086" s="161"/>
      <c r="F3086" s="162"/>
      <c r="G3086" s="163"/>
      <c r="H3086" s="164"/>
      <c r="I3086" s="163"/>
      <c r="J3086" s="164"/>
      <c r="K3086" s="163"/>
      <c r="L3086" s="164"/>
      <c r="M3086" s="11"/>
      <c r="N3086" s="39"/>
      <c r="Q3086" s="15" t="str">
        <f>+CONCATENATE(E3085,I3085)</f>
        <v/>
      </c>
      <c r="R3086" s="15">
        <f>+J3085</f>
        <v>0</v>
      </c>
      <c r="S3086" s="16"/>
      <c r="T3086" s="15">
        <f>+E3085</f>
        <v>0</v>
      </c>
      <c r="U3086" s="26" t="str">
        <f>IFERROR(LEFT(I3085,FIND("*",I3085)-1),"-")</f>
        <v>-</v>
      </c>
      <c r="V3086" s="26" t="str">
        <f>IFERROR(RIGHT(I3085,LEN(I3085)-FIND("*",I3085)),"-")</f>
        <v>-</v>
      </c>
      <c r="W3086" s="27" t="str">
        <f t="shared" si="1678"/>
        <v>-</v>
      </c>
      <c r="X3086" s="27" t="str">
        <f>IFERROR(W3086*J3085,"-")</f>
        <v>-</v>
      </c>
      <c r="Z3086" s="94" t="s">
        <v>82</v>
      </c>
    </row>
    <row r="3087" spans="1:26" s="25" customFormat="1" ht="6.95" customHeight="1" x14ac:dyDescent="0.3">
      <c r="A3087" s="10"/>
      <c r="B3087" s="168"/>
      <c r="C3087" s="169"/>
      <c r="D3087" s="160"/>
      <c r="E3087" s="161"/>
      <c r="F3087" s="162"/>
      <c r="G3087" s="163"/>
      <c r="H3087" s="164"/>
      <c r="I3087" s="163"/>
      <c r="J3087" s="164"/>
      <c r="K3087" s="163"/>
      <c r="L3087" s="164"/>
      <c r="M3087" s="11"/>
      <c r="N3087" s="39"/>
      <c r="Q3087" s="15" t="str">
        <f>+CONCATENATE(E3085,K3085)</f>
        <v/>
      </c>
      <c r="R3087" s="15">
        <f>+L3085</f>
        <v>0</v>
      </c>
      <c r="S3087" s="16"/>
      <c r="T3087" s="15">
        <f>+E3085</f>
        <v>0</v>
      </c>
      <c r="U3087" s="26" t="str">
        <f>IFERROR(LEFT(K3085,FIND("*",K3085)-1),"-")</f>
        <v>-</v>
      </c>
      <c r="V3087" s="26" t="str">
        <f>IFERROR(RIGHT(K3085,LEN(K3085)-FIND("*",K3085)),"-")</f>
        <v>-</v>
      </c>
      <c r="W3087" s="27" t="str">
        <f t="shared" si="1678"/>
        <v>-</v>
      </c>
      <c r="X3087" s="27" t="str">
        <f>IFERROR(W3087*L3085,"-")</f>
        <v>-</v>
      </c>
      <c r="Z3087" s="94" t="s">
        <v>82</v>
      </c>
    </row>
    <row r="3088" spans="1:26" s="25" customFormat="1" ht="6.95" customHeight="1" x14ac:dyDescent="0.3">
      <c r="A3088" s="13"/>
      <c r="B3088" s="168"/>
      <c r="C3088" s="169"/>
      <c r="D3088" s="160" t="s">
        <v>39</v>
      </c>
      <c r="E3088" s="161"/>
      <c r="F3088" s="162" t="s">
        <v>40</v>
      </c>
      <c r="G3088" s="163"/>
      <c r="H3088" s="164"/>
      <c r="I3088" s="163"/>
      <c r="J3088" s="164"/>
      <c r="K3088" s="163"/>
      <c r="L3088" s="164"/>
      <c r="M3088" s="11"/>
      <c r="N3088" s="39"/>
      <c r="Q3088" s="15" t="str">
        <f>+CONCATENATE(E3088,G3088)</f>
        <v/>
      </c>
      <c r="R3088" s="15">
        <f>+H3088</f>
        <v>0</v>
      </c>
      <c r="S3088" s="16"/>
      <c r="T3088" s="15">
        <f>+E3088</f>
        <v>0</v>
      </c>
      <c r="U3088" s="26" t="str">
        <f t="shared" ref="U3088" si="1681">IFERROR(LEFT(G3088,FIND("*",G3088)-1),"-")</f>
        <v>-</v>
      </c>
      <c r="V3088" s="26" t="str">
        <f t="shared" ref="V3088" si="1682">IFERROR(RIGHT(G3088,LEN(G3088)-FIND("*",G3088)),"-")</f>
        <v>-</v>
      </c>
      <c r="W3088" s="27" t="str">
        <f t="shared" si="1678"/>
        <v>-</v>
      </c>
      <c r="X3088" s="27" t="str">
        <f>IFERROR(W3088*H3088,"-")</f>
        <v>-</v>
      </c>
      <c r="Z3088" s="94" t="s">
        <v>82</v>
      </c>
    </row>
    <row r="3089" spans="1:26" s="25" customFormat="1" ht="6.95" customHeight="1" x14ac:dyDescent="0.3">
      <c r="A3089" s="10"/>
      <c r="B3089" s="168"/>
      <c r="C3089" s="169"/>
      <c r="D3089" s="160"/>
      <c r="E3089" s="161"/>
      <c r="F3089" s="162"/>
      <c r="G3089" s="163"/>
      <c r="H3089" s="164"/>
      <c r="I3089" s="163"/>
      <c r="J3089" s="164"/>
      <c r="K3089" s="163"/>
      <c r="L3089" s="164"/>
      <c r="M3089" s="11"/>
      <c r="N3089" s="39"/>
      <c r="Q3089" s="15" t="str">
        <f>+CONCATENATE(E3088,I3088)</f>
        <v/>
      </c>
      <c r="R3089" s="15">
        <f>+J3088</f>
        <v>0</v>
      </c>
      <c r="S3089" s="16"/>
      <c r="T3089" s="15">
        <f>+E3088</f>
        <v>0</v>
      </c>
      <c r="U3089" s="26" t="str">
        <f>IFERROR(LEFT(I3088,FIND("*",I3088)-1),"-")</f>
        <v>-</v>
      </c>
      <c r="V3089" s="26" t="str">
        <f>IFERROR(RIGHT(I3088,LEN(I3088)-FIND("*",I3088)),"-")</f>
        <v>-</v>
      </c>
      <c r="W3089" s="27" t="str">
        <f t="shared" si="1678"/>
        <v>-</v>
      </c>
      <c r="X3089" s="27" t="str">
        <f t="shared" ref="X3089" si="1683">IFERROR(W3089*J3088,"-")</f>
        <v>-</v>
      </c>
      <c r="Z3089" s="94" t="s">
        <v>82</v>
      </c>
    </row>
    <row r="3090" spans="1:26" s="25" customFormat="1" ht="6.95" customHeight="1" x14ac:dyDescent="0.3">
      <c r="A3090" s="10"/>
      <c r="B3090" s="168"/>
      <c r="C3090" s="169"/>
      <c r="D3090" s="160"/>
      <c r="E3090" s="161"/>
      <c r="F3090" s="162"/>
      <c r="G3090" s="163"/>
      <c r="H3090" s="164"/>
      <c r="I3090" s="163"/>
      <c r="J3090" s="164"/>
      <c r="K3090" s="163"/>
      <c r="L3090" s="164"/>
      <c r="M3090" s="11"/>
      <c r="N3090" s="39"/>
      <c r="Q3090" s="15" t="str">
        <f>+CONCATENATE(E3088,K3088)</f>
        <v/>
      </c>
      <c r="R3090" s="15">
        <f>+L3088</f>
        <v>0</v>
      </c>
      <c r="S3090" s="16"/>
      <c r="T3090" s="15">
        <f>+E3088</f>
        <v>0</v>
      </c>
      <c r="U3090" s="26" t="str">
        <f>IFERROR(LEFT(K3088,FIND("*",K3088)-1),"-")</f>
        <v>-</v>
      </c>
      <c r="V3090" s="26" t="str">
        <f>IFERROR(RIGHT(K3088,LEN(K3088)-FIND("*",K3088)),"-")</f>
        <v>-</v>
      </c>
      <c r="W3090" s="27" t="str">
        <f t="shared" si="1678"/>
        <v>-</v>
      </c>
      <c r="X3090" s="27" t="str">
        <f>IFERROR(W3090*L3088,"-")</f>
        <v>-</v>
      </c>
      <c r="Z3090" s="94" t="s">
        <v>82</v>
      </c>
    </row>
    <row r="3091" spans="1:26" s="25" customFormat="1" ht="21" customHeight="1" thickBot="1" x14ac:dyDescent="0.35">
      <c r="A3091" s="10"/>
      <c r="B3091" s="170"/>
      <c r="C3091" s="171"/>
      <c r="D3091" s="172" t="s">
        <v>43</v>
      </c>
      <c r="E3091" s="173"/>
      <c r="F3091" s="173"/>
      <c r="G3091" s="174"/>
      <c r="H3091" s="174"/>
      <c r="I3091" s="174"/>
      <c r="J3091" s="174"/>
      <c r="K3091" s="174"/>
      <c r="L3091" s="174"/>
      <c r="M3091" s="12"/>
      <c r="N3091" s="39"/>
      <c r="U3091" s="23"/>
      <c r="V3091" s="23"/>
      <c r="Z3091" s="95" t="s">
        <v>81</v>
      </c>
    </row>
    <row r="3092" spans="1:26" s="25" customFormat="1" ht="9.9499999999999993" customHeight="1" thickBot="1" x14ac:dyDescent="0.35">
      <c r="A3092" s="6"/>
      <c r="B3092" s="14"/>
      <c r="C3092" s="119"/>
      <c r="D3092" s="58"/>
      <c r="E3092" s="17"/>
      <c r="F3092" s="58"/>
      <c r="G3092" s="19"/>
      <c r="H3092" s="19"/>
      <c r="I3092" s="19"/>
      <c r="J3092" s="19"/>
      <c r="K3092" s="19"/>
      <c r="L3092" s="19"/>
      <c r="M3092" s="14"/>
      <c r="N3092" s="39"/>
      <c r="Q3092" s="1"/>
      <c r="R3092" s="1"/>
      <c r="S3092" s="1"/>
      <c r="T3092" s="1"/>
      <c r="U3092" s="24"/>
      <c r="V3092" s="24"/>
      <c r="W3092" s="1"/>
      <c r="X3092" s="1"/>
      <c r="Z3092" s="94" t="s">
        <v>82</v>
      </c>
    </row>
    <row r="3093" spans="1:26" s="25" customFormat="1" ht="6.95" customHeight="1" x14ac:dyDescent="0.3">
      <c r="A3093" s="165">
        <f>+A3082+1</f>
        <v>282</v>
      </c>
      <c r="B3093" s="166"/>
      <c r="C3093" s="167"/>
      <c r="D3093" s="160" t="s">
        <v>39</v>
      </c>
      <c r="E3093" s="161"/>
      <c r="F3093" s="162" t="s">
        <v>40</v>
      </c>
      <c r="G3093" s="163"/>
      <c r="H3093" s="164"/>
      <c r="I3093" s="163"/>
      <c r="J3093" s="164"/>
      <c r="K3093" s="163"/>
      <c r="L3093" s="164"/>
      <c r="M3093" s="11"/>
      <c r="N3093" s="39"/>
      <c r="Q3093" s="15" t="str">
        <f>+CONCATENATE(E3093,G3093)</f>
        <v/>
      </c>
      <c r="R3093" s="15">
        <f>+H3093</f>
        <v>0</v>
      </c>
      <c r="S3093" s="16"/>
      <c r="T3093" s="15">
        <f>+E3093</f>
        <v>0</v>
      </c>
      <c r="U3093" s="26" t="str">
        <f>IFERROR(LEFT(G3093,FIND("*",G3093)-1),"-")</f>
        <v>-</v>
      </c>
      <c r="V3093" s="26" t="str">
        <f>IFERROR(RIGHT(G3093,LEN(G3093)-FIND("*",G3093)),"-")</f>
        <v>-</v>
      </c>
      <c r="W3093" s="27" t="str">
        <f>IFERROR((U3093+V3093)*2/1000,"-")</f>
        <v>-</v>
      </c>
      <c r="X3093" s="27" t="str">
        <f>IFERROR(W3093*H3093,"-")</f>
        <v>-</v>
      </c>
      <c r="Z3093" s="94" t="s">
        <v>82</v>
      </c>
    </row>
    <row r="3094" spans="1:26" s="25" customFormat="1" ht="6.95" customHeight="1" x14ac:dyDescent="0.3">
      <c r="A3094" s="165"/>
      <c r="B3094" s="168"/>
      <c r="C3094" s="169"/>
      <c r="D3094" s="160"/>
      <c r="E3094" s="161"/>
      <c r="F3094" s="162"/>
      <c r="G3094" s="163"/>
      <c r="H3094" s="164"/>
      <c r="I3094" s="163"/>
      <c r="J3094" s="164"/>
      <c r="K3094" s="163"/>
      <c r="L3094" s="164"/>
      <c r="M3094" s="11"/>
      <c r="N3094" s="39"/>
      <c r="Q3094" s="15" t="str">
        <f>+CONCATENATE(E3093,I3093)</f>
        <v/>
      </c>
      <c r="R3094" s="15">
        <f>+J3093</f>
        <v>0</v>
      </c>
      <c r="S3094" s="16"/>
      <c r="T3094" s="15">
        <f>+E3093</f>
        <v>0</v>
      </c>
      <c r="U3094" s="26" t="str">
        <f>IFERROR(LEFT(I3093,FIND("*",I3093)-1),"-")</f>
        <v>-</v>
      </c>
      <c r="V3094" s="26" t="str">
        <f>IFERROR(RIGHT(I3093,LEN(I3093)-FIND("*",I3093)),"-")</f>
        <v>-</v>
      </c>
      <c r="W3094" s="27" t="str">
        <f t="shared" ref="W3094:W3101" si="1684">IFERROR((U3094+V3094)*2/1000,"-")</f>
        <v>-</v>
      </c>
      <c r="X3094" s="27" t="str">
        <f>IFERROR(W3094*J3093,"-")</f>
        <v>-</v>
      </c>
      <c r="Z3094" s="94" t="s">
        <v>82</v>
      </c>
    </row>
    <row r="3095" spans="1:26" s="25" customFormat="1" ht="6.95" customHeight="1" x14ac:dyDescent="0.3">
      <c r="A3095" s="165"/>
      <c r="B3095" s="168"/>
      <c r="C3095" s="169"/>
      <c r="D3095" s="160"/>
      <c r="E3095" s="161"/>
      <c r="F3095" s="162"/>
      <c r="G3095" s="163"/>
      <c r="H3095" s="164"/>
      <c r="I3095" s="163"/>
      <c r="J3095" s="164"/>
      <c r="K3095" s="163"/>
      <c r="L3095" s="164"/>
      <c r="M3095" s="11"/>
      <c r="N3095" s="39"/>
      <c r="Q3095" s="15" t="str">
        <f>+CONCATENATE(E3093,K3093)</f>
        <v/>
      </c>
      <c r="R3095" s="15">
        <f>+L3093</f>
        <v>0</v>
      </c>
      <c r="S3095" s="16"/>
      <c r="T3095" s="15">
        <f>+E3093</f>
        <v>0</v>
      </c>
      <c r="U3095" s="26" t="str">
        <f>IFERROR(LEFT(K3093,FIND("*",K3093)-1),"-")</f>
        <v>-</v>
      </c>
      <c r="V3095" s="26" t="str">
        <f>IFERROR(RIGHT(K3093,LEN(K3093)-FIND("*",K3093)),"-")</f>
        <v>-</v>
      </c>
      <c r="W3095" s="27" t="str">
        <f t="shared" si="1684"/>
        <v>-</v>
      </c>
      <c r="X3095" s="27" t="str">
        <f>IFERROR(W3095*L3093,"-")</f>
        <v>-</v>
      </c>
      <c r="Z3095" s="94" t="s">
        <v>82</v>
      </c>
    </row>
    <row r="3096" spans="1:26" s="25" customFormat="1" ht="6.95" customHeight="1" x14ac:dyDescent="0.3">
      <c r="A3096" s="13"/>
      <c r="B3096" s="168"/>
      <c r="C3096" s="169"/>
      <c r="D3096" s="160" t="s">
        <v>39</v>
      </c>
      <c r="E3096" s="161"/>
      <c r="F3096" s="162" t="s">
        <v>40</v>
      </c>
      <c r="G3096" s="163"/>
      <c r="H3096" s="164"/>
      <c r="I3096" s="163"/>
      <c r="J3096" s="164"/>
      <c r="K3096" s="163"/>
      <c r="L3096" s="164"/>
      <c r="M3096" s="11"/>
      <c r="N3096" s="39"/>
      <c r="Q3096" s="15" t="str">
        <f>+CONCATENATE(E3096,G3096)</f>
        <v/>
      </c>
      <c r="R3096" s="15">
        <f>+H3096</f>
        <v>0</v>
      </c>
      <c r="S3096" s="16"/>
      <c r="T3096" s="15">
        <f>+E3096</f>
        <v>0</v>
      </c>
      <c r="U3096" s="26" t="str">
        <f t="shared" ref="U3096" si="1685">IFERROR(LEFT(G3096,FIND("*",G3096)-1),"-")</f>
        <v>-</v>
      </c>
      <c r="V3096" s="26" t="str">
        <f t="shared" ref="V3096" si="1686">IFERROR(RIGHT(G3096,LEN(G3096)-FIND("*",G3096)),"-")</f>
        <v>-</v>
      </c>
      <c r="W3096" s="27" t="str">
        <f t="shared" si="1684"/>
        <v>-</v>
      </c>
      <c r="X3096" s="27" t="str">
        <f>IFERROR(W3096*H3096,"-")</f>
        <v>-</v>
      </c>
      <c r="Z3096" s="94" t="s">
        <v>82</v>
      </c>
    </row>
    <row r="3097" spans="1:26" s="25" customFormat="1" ht="6.95" customHeight="1" x14ac:dyDescent="0.3">
      <c r="A3097" s="10"/>
      <c r="B3097" s="168"/>
      <c r="C3097" s="169"/>
      <c r="D3097" s="160"/>
      <c r="E3097" s="161"/>
      <c r="F3097" s="162"/>
      <c r="G3097" s="163"/>
      <c r="H3097" s="164"/>
      <c r="I3097" s="163"/>
      <c r="J3097" s="164"/>
      <c r="K3097" s="163"/>
      <c r="L3097" s="164"/>
      <c r="M3097" s="11"/>
      <c r="N3097" s="39"/>
      <c r="Q3097" s="15" t="str">
        <f>+CONCATENATE(E3096,I3096)</f>
        <v/>
      </c>
      <c r="R3097" s="15">
        <f>+J3096</f>
        <v>0</v>
      </c>
      <c r="S3097" s="16"/>
      <c r="T3097" s="15">
        <f>+E3096</f>
        <v>0</v>
      </c>
      <c r="U3097" s="26" t="str">
        <f>IFERROR(LEFT(I3096,FIND("*",I3096)-1),"-")</f>
        <v>-</v>
      </c>
      <c r="V3097" s="26" t="str">
        <f>IFERROR(RIGHT(I3096,LEN(I3096)-FIND("*",I3096)),"-")</f>
        <v>-</v>
      </c>
      <c r="W3097" s="27" t="str">
        <f t="shared" si="1684"/>
        <v>-</v>
      </c>
      <c r="X3097" s="27" t="str">
        <f>IFERROR(W3097*J3096,"-")</f>
        <v>-</v>
      </c>
      <c r="Z3097" s="94" t="s">
        <v>82</v>
      </c>
    </row>
    <row r="3098" spans="1:26" s="25" customFormat="1" ht="6.95" customHeight="1" x14ac:dyDescent="0.3">
      <c r="A3098" s="10"/>
      <c r="B3098" s="168"/>
      <c r="C3098" s="169"/>
      <c r="D3098" s="160"/>
      <c r="E3098" s="161"/>
      <c r="F3098" s="162"/>
      <c r="G3098" s="163"/>
      <c r="H3098" s="164"/>
      <c r="I3098" s="163"/>
      <c r="J3098" s="164"/>
      <c r="K3098" s="163"/>
      <c r="L3098" s="164"/>
      <c r="M3098" s="11"/>
      <c r="N3098" s="39"/>
      <c r="Q3098" s="15" t="str">
        <f>+CONCATENATE(E3096,K3096)</f>
        <v/>
      </c>
      <c r="R3098" s="15">
        <f>+L3096</f>
        <v>0</v>
      </c>
      <c r="S3098" s="16"/>
      <c r="T3098" s="15">
        <f>+E3096</f>
        <v>0</v>
      </c>
      <c r="U3098" s="26" t="str">
        <f>IFERROR(LEFT(K3096,FIND("*",K3096)-1),"-")</f>
        <v>-</v>
      </c>
      <c r="V3098" s="26" t="str">
        <f>IFERROR(RIGHT(K3096,LEN(K3096)-FIND("*",K3096)),"-")</f>
        <v>-</v>
      </c>
      <c r="W3098" s="27" t="str">
        <f t="shared" si="1684"/>
        <v>-</v>
      </c>
      <c r="X3098" s="27" t="str">
        <f>IFERROR(W3098*L3096,"-")</f>
        <v>-</v>
      </c>
      <c r="Z3098" s="94" t="s">
        <v>82</v>
      </c>
    </row>
    <row r="3099" spans="1:26" s="25" customFormat="1" ht="6.95" customHeight="1" x14ac:dyDescent="0.3">
      <c r="A3099" s="13"/>
      <c r="B3099" s="168"/>
      <c r="C3099" s="169"/>
      <c r="D3099" s="160" t="s">
        <v>39</v>
      </c>
      <c r="E3099" s="161"/>
      <c r="F3099" s="162" t="s">
        <v>40</v>
      </c>
      <c r="G3099" s="163"/>
      <c r="H3099" s="164"/>
      <c r="I3099" s="163"/>
      <c r="J3099" s="164"/>
      <c r="K3099" s="163"/>
      <c r="L3099" s="164"/>
      <c r="M3099" s="11"/>
      <c r="N3099" s="39"/>
      <c r="Q3099" s="15" t="str">
        <f>+CONCATENATE(E3099,G3099)</f>
        <v/>
      </c>
      <c r="R3099" s="15">
        <f>+H3099</f>
        <v>0</v>
      </c>
      <c r="S3099" s="16"/>
      <c r="T3099" s="15">
        <f>+E3099</f>
        <v>0</v>
      </c>
      <c r="U3099" s="26" t="str">
        <f t="shared" ref="U3099" si="1687">IFERROR(LEFT(G3099,FIND("*",G3099)-1),"-")</f>
        <v>-</v>
      </c>
      <c r="V3099" s="26" t="str">
        <f t="shared" ref="V3099" si="1688">IFERROR(RIGHT(G3099,LEN(G3099)-FIND("*",G3099)),"-")</f>
        <v>-</v>
      </c>
      <c r="W3099" s="27" t="str">
        <f t="shared" si="1684"/>
        <v>-</v>
      </c>
      <c r="X3099" s="27" t="str">
        <f>IFERROR(W3099*H3099,"-")</f>
        <v>-</v>
      </c>
      <c r="Z3099" s="94" t="s">
        <v>82</v>
      </c>
    </row>
    <row r="3100" spans="1:26" s="25" customFormat="1" ht="6.95" customHeight="1" x14ac:dyDescent="0.3">
      <c r="A3100" s="10"/>
      <c r="B3100" s="168"/>
      <c r="C3100" s="169"/>
      <c r="D3100" s="160"/>
      <c r="E3100" s="161"/>
      <c r="F3100" s="162"/>
      <c r="G3100" s="163"/>
      <c r="H3100" s="164"/>
      <c r="I3100" s="163"/>
      <c r="J3100" s="164"/>
      <c r="K3100" s="163"/>
      <c r="L3100" s="164"/>
      <c r="M3100" s="11"/>
      <c r="N3100" s="39"/>
      <c r="Q3100" s="15" t="str">
        <f>+CONCATENATE(E3099,I3099)</f>
        <v/>
      </c>
      <c r="R3100" s="15">
        <f>+J3099</f>
        <v>0</v>
      </c>
      <c r="S3100" s="16"/>
      <c r="T3100" s="15">
        <f>+E3099</f>
        <v>0</v>
      </c>
      <c r="U3100" s="26" t="str">
        <f>IFERROR(LEFT(I3099,FIND("*",I3099)-1),"-")</f>
        <v>-</v>
      </c>
      <c r="V3100" s="26" t="str">
        <f>IFERROR(RIGHT(I3099,LEN(I3099)-FIND("*",I3099)),"-")</f>
        <v>-</v>
      </c>
      <c r="W3100" s="27" t="str">
        <f t="shared" si="1684"/>
        <v>-</v>
      </c>
      <c r="X3100" s="27" t="str">
        <f t="shared" ref="X3100" si="1689">IFERROR(W3100*J3099,"-")</f>
        <v>-</v>
      </c>
      <c r="Z3100" s="94" t="s">
        <v>82</v>
      </c>
    </row>
    <row r="3101" spans="1:26" s="25" customFormat="1" ht="6.95" customHeight="1" x14ac:dyDescent="0.3">
      <c r="A3101" s="10"/>
      <c r="B3101" s="168"/>
      <c r="C3101" s="169"/>
      <c r="D3101" s="160"/>
      <c r="E3101" s="161"/>
      <c r="F3101" s="162"/>
      <c r="G3101" s="163"/>
      <c r="H3101" s="164"/>
      <c r="I3101" s="163"/>
      <c r="J3101" s="164"/>
      <c r="K3101" s="163"/>
      <c r="L3101" s="164"/>
      <c r="M3101" s="11"/>
      <c r="N3101" s="39"/>
      <c r="Q3101" s="15" t="str">
        <f>+CONCATENATE(E3099,K3099)</f>
        <v/>
      </c>
      <c r="R3101" s="15">
        <f>+L3099</f>
        <v>0</v>
      </c>
      <c r="S3101" s="16"/>
      <c r="T3101" s="15">
        <f>+E3099</f>
        <v>0</v>
      </c>
      <c r="U3101" s="26" t="str">
        <f>IFERROR(LEFT(K3099,FIND("*",K3099)-1),"-")</f>
        <v>-</v>
      </c>
      <c r="V3101" s="26" t="str">
        <f>IFERROR(RIGHT(K3099,LEN(K3099)-FIND("*",K3099)),"-")</f>
        <v>-</v>
      </c>
      <c r="W3101" s="27" t="str">
        <f t="shared" si="1684"/>
        <v>-</v>
      </c>
      <c r="X3101" s="27" t="str">
        <f>IFERROR(W3101*L3099,"-")</f>
        <v>-</v>
      </c>
      <c r="Z3101" s="94" t="s">
        <v>82</v>
      </c>
    </row>
    <row r="3102" spans="1:26" s="25" customFormat="1" ht="21" customHeight="1" thickBot="1" x14ac:dyDescent="0.35">
      <c r="A3102" s="10"/>
      <c r="B3102" s="170"/>
      <c r="C3102" s="171"/>
      <c r="D3102" s="172" t="s">
        <v>43</v>
      </c>
      <c r="E3102" s="173"/>
      <c r="F3102" s="173"/>
      <c r="G3102" s="174"/>
      <c r="H3102" s="174"/>
      <c r="I3102" s="174"/>
      <c r="J3102" s="174"/>
      <c r="K3102" s="174"/>
      <c r="L3102" s="174"/>
      <c r="M3102" s="12"/>
      <c r="N3102" s="39"/>
      <c r="U3102" s="23"/>
      <c r="V3102" s="23"/>
      <c r="Z3102" s="95" t="s">
        <v>81</v>
      </c>
    </row>
    <row r="3103" spans="1:26" s="25" customFormat="1" ht="9.9499999999999993" customHeight="1" thickBot="1" x14ac:dyDescent="0.35">
      <c r="A3103" s="6"/>
      <c r="B3103" s="14"/>
      <c r="C3103" s="119"/>
      <c r="D3103" s="58"/>
      <c r="E3103" s="17"/>
      <c r="F3103" s="58"/>
      <c r="G3103" s="19"/>
      <c r="H3103" s="19"/>
      <c r="I3103" s="19"/>
      <c r="J3103" s="19"/>
      <c r="K3103" s="19"/>
      <c r="L3103" s="19"/>
      <c r="M3103" s="14"/>
      <c r="N3103" s="39"/>
      <c r="Q3103" s="1"/>
      <c r="R3103" s="1"/>
      <c r="S3103" s="1"/>
      <c r="T3103" s="1"/>
      <c r="U3103" s="24"/>
      <c r="V3103" s="24"/>
      <c r="W3103" s="1"/>
      <c r="X3103" s="1"/>
      <c r="Z3103" s="94" t="s">
        <v>82</v>
      </c>
    </row>
    <row r="3104" spans="1:26" s="25" customFormat="1" ht="6.95" customHeight="1" x14ac:dyDescent="0.3">
      <c r="A3104" s="165">
        <f>+A3093+1</f>
        <v>283</v>
      </c>
      <c r="B3104" s="166"/>
      <c r="C3104" s="167"/>
      <c r="D3104" s="160" t="s">
        <v>39</v>
      </c>
      <c r="E3104" s="161"/>
      <c r="F3104" s="162" t="s">
        <v>40</v>
      </c>
      <c r="G3104" s="163"/>
      <c r="H3104" s="164"/>
      <c r="I3104" s="163"/>
      <c r="J3104" s="164"/>
      <c r="K3104" s="163"/>
      <c r="L3104" s="164"/>
      <c r="M3104" s="11"/>
      <c r="N3104" s="39"/>
      <c r="Q3104" s="15" t="str">
        <f>+CONCATENATE(E3104,G3104)</f>
        <v/>
      </c>
      <c r="R3104" s="15">
        <f>+H3104</f>
        <v>0</v>
      </c>
      <c r="S3104" s="16"/>
      <c r="T3104" s="15">
        <f>+E3104</f>
        <v>0</v>
      </c>
      <c r="U3104" s="26" t="str">
        <f>IFERROR(LEFT(G3104,FIND("*",G3104)-1),"-")</f>
        <v>-</v>
      </c>
      <c r="V3104" s="26" t="str">
        <f>IFERROR(RIGHT(G3104,LEN(G3104)-FIND("*",G3104)),"-")</f>
        <v>-</v>
      </c>
      <c r="W3104" s="27" t="str">
        <f>IFERROR((U3104+V3104)*2/1000,"-")</f>
        <v>-</v>
      </c>
      <c r="X3104" s="27" t="str">
        <f>IFERROR(W3104*H3104,"-")</f>
        <v>-</v>
      </c>
      <c r="Z3104" s="94" t="s">
        <v>82</v>
      </c>
    </row>
    <row r="3105" spans="1:26" s="25" customFormat="1" ht="6.95" customHeight="1" x14ac:dyDescent="0.3">
      <c r="A3105" s="165"/>
      <c r="B3105" s="168"/>
      <c r="C3105" s="169"/>
      <c r="D3105" s="160"/>
      <c r="E3105" s="161"/>
      <c r="F3105" s="162"/>
      <c r="G3105" s="163"/>
      <c r="H3105" s="164"/>
      <c r="I3105" s="163"/>
      <c r="J3105" s="164"/>
      <c r="K3105" s="163"/>
      <c r="L3105" s="164"/>
      <c r="M3105" s="11"/>
      <c r="N3105" s="39"/>
      <c r="Q3105" s="15" t="str">
        <f>+CONCATENATE(E3104,I3104)</f>
        <v/>
      </c>
      <c r="R3105" s="15">
        <f>+J3104</f>
        <v>0</v>
      </c>
      <c r="S3105" s="16"/>
      <c r="T3105" s="15">
        <f>+E3104</f>
        <v>0</v>
      </c>
      <c r="U3105" s="26" t="str">
        <f>IFERROR(LEFT(I3104,FIND("*",I3104)-1),"-")</f>
        <v>-</v>
      </c>
      <c r="V3105" s="26" t="str">
        <f>IFERROR(RIGHT(I3104,LEN(I3104)-FIND("*",I3104)),"-")</f>
        <v>-</v>
      </c>
      <c r="W3105" s="27" t="str">
        <f t="shared" ref="W3105:W3112" si="1690">IFERROR((U3105+V3105)*2/1000,"-")</f>
        <v>-</v>
      </c>
      <c r="X3105" s="27" t="str">
        <f>IFERROR(W3105*J3104,"-")</f>
        <v>-</v>
      </c>
      <c r="Z3105" s="94" t="s">
        <v>82</v>
      </c>
    </row>
    <row r="3106" spans="1:26" s="25" customFormat="1" ht="6.95" customHeight="1" x14ac:dyDescent="0.3">
      <c r="A3106" s="165"/>
      <c r="B3106" s="168"/>
      <c r="C3106" s="169"/>
      <c r="D3106" s="160"/>
      <c r="E3106" s="161"/>
      <c r="F3106" s="162"/>
      <c r="G3106" s="163"/>
      <c r="H3106" s="164"/>
      <c r="I3106" s="163"/>
      <c r="J3106" s="164"/>
      <c r="K3106" s="163"/>
      <c r="L3106" s="164"/>
      <c r="M3106" s="11"/>
      <c r="N3106" s="39"/>
      <c r="Q3106" s="15" t="str">
        <f>+CONCATENATE(E3104,K3104)</f>
        <v/>
      </c>
      <c r="R3106" s="15">
        <f>+L3104</f>
        <v>0</v>
      </c>
      <c r="S3106" s="16"/>
      <c r="T3106" s="15">
        <f>+E3104</f>
        <v>0</v>
      </c>
      <c r="U3106" s="26" t="str">
        <f>IFERROR(LEFT(K3104,FIND("*",K3104)-1),"-")</f>
        <v>-</v>
      </c>
      <c r="V3106" s="26" t="str">
        <f>IFERROR(RIGHT(K3104,LEN(K3104)-FIND("*",K3104)),"-")</f>
        <v>-</v>
      </c>
      <c r="W3106" s="27" t="str">
        <f t="shared" si="1690"/>
        <v>-</v>
      </c>
      <c r="X3106" s="27" t="str">
        <f>IFERROR(W3106*L3104,"-")</f>
        <v>-</v>
      </c>
      <c r="Z3106" s="94" t="s">
        <v>82</v>
      </c>
    </row>
    <row r="3107" spans="1:26" s="25" customFormat="1" ht="6.95" customHeight="1" x14ac:dyDescent="0.3">
      <c r="A3107" s="13"/>
      <c r="B3107" s="168"/>
      <c r="C3107" s="169"/>
      <c r="D3107" s="160" t="s">
        <v>39</v>
      </c>
      <c r="E3107" s="161"/>
      <c r="F3107" s="162" t="s">
        <v>40</v>
      </c>
      <c r="G3107" s="163"/>
      <c r="H3107" s="164"/>
      <c r="I3107" s="163"/>
      <c r="J3107" s="164"/>
      <c r="K3107" s="163"/>
      <c r="L3107" s="164"/>
      <c r="M3107" s="11"/>
      <c r="N3107" s="39"/>
      <c r="Q3107" s="15" t="str">
        <f>+CONCATENATE(E3107,G3107)</f>
        <v/>
      </c>
      <c r="R3107" s="15">
        <f>+H3107</f>
        <v>0</v>
      </c>
      <c r="S3107" s="16"/>
      <c r="T3107" s="15">
        <f>+E3107</f>
        <v>0</v>
      </c>
      <c r="U3107" s="26" t="str">
        <f t="shared" ref="U3107" si="1691">IFERROR(LEFT(G3107,FIND("*",G3107)-1),"-")</f>
        <v>-</v>
      </c>
      <c r="V3107" s="26" t="str">
        <f t="shared" ref="V3107" si="1692">IFERROR(RIGHT(G3107,LEN(G3107)-FIND("*",G3107)),"-")</f>
        <v>-</v>
      </c>
      <c r="W3107" s="27" t="str">
        <f t="shared" si="1690"/>
        <v>-</v>
      </c>
      <c r="X3107" s="27" t="str">
        <f>IFERROR(W3107*H3107,"-")</f>
        <v>-</v>
      </c>
      <c r="Z3107" s="94" t="s">
        <v>82</v>
      </c>
    </row>
    <row r="3108" spans="1:26" s="25" customFormat="1" ht="6.95" customHeight="1" x14ac:dyDescent="0.3">
      <c r="A3108" s="10"/>
      <c r="B3108" s="168"/>
      <c r="C3108" s="169"/>
      <c r="D3108" s="160"/>
      <c r="E3108" s="161"/>
      <c r="F3108" s="162"/>
      <c r="G3108" s="163"/>
      <c r="H3108" s="164"/>
      <c r="I3108" s="163"/>
      <c r="J3108" s="164"/>
      <c r="K3108" s="163"/>
      <c r="L3108" s="164"/>
      <c r="M3108" s="11"/>
      <c r="N3108" s="39"/>
      <c r="Q3108" s="15" t="str">
        <f>+CONCATENATE(E3107,I3107)</f>
        <v/>
      </c>
      <c r="R3108" s="15">
        <f>+J3107</f>
        <v>0</v>
      </c>
      <c r="S3108" s="16"/>
      <c r="T3108" s="15">
        <f>+E3107</f>
        <v>0</v>
      </c>
      <c r="U3108" s="26" t="str">
        <f>IFERROR(LEFT(I3107,FIND("*",I3107)-1),"-")</f>
        <v>-</v>
      </c>
      <c r="V3108" s="26" t="str">
        <f>IFERROR(RIGHT(I3107,LEN(I3107)-FIND("*",I3107)),"-")</f>
        <v>-</v>
      </c>
      <c r="W3108" s="27" t="str">
        <f t="shared" si="1690"/>
        <v>-</v>
      </c>
      <c r="X3108" s="27" t="str">
        <f>IFERROR(W3108*J3107,"-")</f>
        <v>-</v>
      </c>
      <c r="Z3108" s="94" t="s">
        <v>82</v>
      </c>
    </row>
    <row r="3109" spans="1:26" s="25" customFormat="1" ht="6.95" customHeight="1" x14ac:dyDescent="0.3">
      <c r="A3109" s="10"/>
      <c r="B3109" s="168"/>
      <c r="C3109" s="169"/>
      <c r="D3109" s="160"/>
      <c r="E3109" s="161"/>
      <c r="F3109" s="162"/>
      <c r="G3109" s="163"/>
      <c r="H3109" s="164"/>
      <c r="I3109" s="163"/>
      <c r="J3109" s="164"/>
      <c r="K3109" s="163"/>
      <c r="L3109" s="164"/>
      <c r="M3109" s="11"/>
      <c r="N3109" s="39"/>
      <c r="Q3109" s="15" t="str">
        <f>+CONCATENATE(E3107,K3107)</f>
        <v/>
      </c>
      <c r="R3109" s="15">
        <f>+L3107</f>
        <v>0</v>
      </c>
      <c r="S3109" s="16"/>
      <c r="T3109" s="15">
        <f>+E3107</f>
        <v>0</v>
      </c>
      <c r="U3109" s="26" t="str">
        <f>IFERROR(LEFT(K3107,FIND("*",K3107)-1),"-")</f>
        <v>-</v>
      </c>
      <c r="V3109" s="26" t="str">
        <f>IFERROR(RIGHT(K3107,LEN(K3107)-FIND("*",K3107)),"-")</f>
        <v>-</v>
      </c>
      <c r="W3109" s="27" t="str">
        <f t="shared" si="1690"/>
        <v>-</v>
      </c>
      <c r="X3109" s="27" t="str">
        <f>IFERROR(W3109*L3107,"-")</f>
        <v>-</v>
      </c>
      <c r="Z3109" s="94" t="s">
        <v>82</v>
      </c>
    </row>
    <row r="3110" spans="1:26" s="25" customFormat="1" ht="6.95" customHeight="1" x14ac:dyDescent="0.3">
      <c r="A3110" s="13"/>
      <c r="B3110" s="168"/>
      <c r="C3110" s="169"/>
      <c r="D3110" s="160" t="s">
        <v>39</v>
      </c>
      <c r="E3110" s="161"/>
      <c r="F3110" s="162" t="s">
        <v>40</v>
      </c>
      <c r="G3110" s="163"/>
      <c r="H3110" s="164"/>
      <c r="I3110" s="163"/>
      <c r="J3110" s="164"/>
      <c r="K3110" s="163"/>
      <c r="L3110" s="164"/>
      <c r="M3110" s="11"/>
      <c r="N3110" s="39"/>
      <c r="Q3110" s="15" t="str">
        <f>+CONCATENATE(E3110,G3110)</f>
        <v/>
      </c>
      <c r="R3110" s="15">
        <f>+H3110</f>
        <v>0</v>
      </c>
      <c r="S3110" s="16"/>
      <c r="T3110" s="15">
        <f>+E3110</f>
        <v>0</v>
      </c>
      <c r="U3110" s="26" t="str">
        <f t="shared" ref="U3110" si="1693">IFERROR(LEFT(G3110,FIND("*",G3110)-1),"-")</f>
        <v>-</v>
      </c>
      <c r="V3110" s="26" t="str">
        <f t="shared" ref="V3110" si="1694">IFERROR(RIGHT(G3110,LEN(G3110)-FIND("*",G3110)),"-")</f>
        <v>-</v>
      </c>
      <c r="W3110" s="27" t="str">
        <f t="shared" si="1690"/>
        <v>-</v>
      </c>
      <c r="X3110" s="27" t="str">
        <f>IFERROR(W3110*H3110,"-")</f>
        <v>-</v>
      </c>
      <c r="Z3110" s="94" t="s">
        <v>82</v>
      </c>
    </row>
    <row r="3111" spans="1:26" s="25" customFormat="1" ht="6.95" customHeight="1" x14ac:dyDescent="0.3">
      <c r="A3111" s="10"/>
      <c r="B3111" s="168"/>
      <c r="C3111" s="169"/>
      <c r="D3111" s="160"/>
      <c r="E3111" s="161"/>
      <c r="F3111" s="162"/>
      <c r="G3111" s="163"/>
      <c r="H3111" s="164"/>
      <c r="I3111" s="163"/>
      <c r="J3111" s="164"/>
      <c r="K3111" s="163"/>
      <c r="L3111" s="164"/>
      <c r="M3111" s="11"/>
      <c r="N3111" s="39"/>
      <c r="Q3111" s="15" t="str">
        <f>+CONCATENATE(E3110,I3110)</f>
        <v/>
      </c>
      <c r="R3111" s="15">
        <f>+J3110</f>
        <v>0</v>
      </c>
      <c r="S3111" s="16"/>
      <c r="T3111" s="15">
        <f>+E3110</f>
        <v>0</v>
      </c>
      <c r="U3111" s="26" t="str">
        <f>IFERROR(LEFT(I3110,FIND("*",I3110)-1),"-")</f>
        <v>-</v>
      </c>
      <c r="V3111" s="26" t="str">
        <f>IFERROR(RIGHT(I3110,LEN(I3110)-FIND("*",I3110)),"-")</f>
        <v>-</v>
      </c>
      <c r="W3111" s="27" t="str">
        <f t="shared" si="1690"/>
        <v>-</v>
      </c>
      <c r="X3111" s="27" t="str">
        <f t="shared" ref="X3111" si="1695">IFERROR(W3111*J3110,"-")</f>
        <v>-</v>
      </c>
      <c r="Z3111" s="94" t="s">
        <v>82</v>
      </c>
    </row>
    <row r="3112" spans="1:26" s="25" customFormat="1" ht="6.95" customHeight="1" x14ac:dyDescent="0.3">
      <c r="A3112" s="10"/>
      <c r="B3112" s="168"/>
      <c r="C3112" s="169"/>
      <c r="D3112" s="160"/>
      <c r="E3112" s="161"/>
      <c r="F3112" s="162"/>
      <c r="G3112" s="163"/>
      <c r="H3112" s="164"/>
      <c r="I3112" s="163"/>
      <c r="J3112" s="164"/>
      <c r="K3112" s="163"/>
      <c r="L3112" s="164"/>
      <c r="M3112" s="11"/>
      <c r="N3112" s="39"/>
      <c r="Q3112" s="15" t="str">
        <f>+CONCATENATE(E3110,K3110)</f>
        <v/>
      </c>
      <c r="R3112" s="15">
        <f>+L3110</f>
        <v>0</v>
      </c>
      <c r="S3112" s="16"/>
      <c r="T3112" s="15">
        <f>+E3110</f>
        <v>0</v>
      </c>
      <c r="U3112" s="26" t="str">
        <f>IFERROR(LEFT(K3110,FIND("*",K3110)-1),"-")</f>
        <v>-</v>
      </c>
      <c r="V3112" s="26" t="str">
        <f>IFERROR(RIGHT(K3110,LEN(K3110)-FIND("*",K3110)),"-")</f>
        <v>-</v>
      </c>
      <c r="W3112" s="27" t="str">
        <f t="shared" si="1690"/>
        <v>-</v>
      </c>
      <c r="X3112" s="27" t="str">
        <f>IFERROR(W3112*L3110,"-")</f>
        <v>-</v>
      </c>
      <c r="Z3112" s="94" t="s">
        <v>82</v>
      </c>
    </row>
    <row r="3113" spans="1:26" s="25" customFormat="1" ht="21" customHeight="1" thickBot="1" x14ac:dyDescent="0.35">
      <c r="A3113" s="10"/>
      <c r="B3113" s="170"/>
      <c r="C3113" s="171"/>
      <c r="D3113" s="172" t="s">
        <v>43</v>
      </c>
      <c r="E3113" s="173"/>
      <c r="F3113" s="173"/>
      <c r="G3113" s="174"/>
      <c r="H3113" s="174"/>
      <c r="I3113" s="174"/>
      <c r="J3113" s="174"/>
      <c r="K3113" s="174"/>
      <c r="L3113" s="174"/>
      <c r="M3113" s="12"/>
      <c r="N3113" s="39"/>
      <c r="U3113" s="23"/>
      <c r="V3113" s="23"/>
      <c r="Z3113" s="95" t="s">
        <v>81</v>
      </c>
    </row>
    <row r="3114" spans="1:26" s="25" customFormat="1" ht="9.9499999999999993" customHeight="1" thickBot="1" x14ac:dyDescent="0.35">
      <c r="A3114" s="6"/>
      <c r="B3114" s="14"/>
      <c r="C3114" s="119"/>
      <c r="D3114" s="58"/>
      <c r="E3114" s="17"/>
      <c r="F3114" s="58"/>
      <c r="G3114" s="19"/>
      <c r="H3114" s="19"/>
      <c r="I3114" s="19"/>
      <c r="J3114" s="19"/>
      <c r="K3114" s="19"/>
      <c r="L3114" s="19"/>
      <c r="M3114" s="14"/>
      <c r="N3114" s="39"/>
      <c r="Q3114" s="1"/>
      <c r="R3114" s="1"/>
      <c r="S3114" s="1"/>
      <c r="T3114" s="1"/>
      <c r="U3114" s="24"/>
      <c r="V3114" s="24"/>
      <c r="W3114" s="1"/>
      <c r="X3114" s="1"/>
      <c r="Z3114" s="94" t="s">
        <v>82</v>
      </c>
    </row>
    <row r="3115" spans="1:26" s="25" customFormat="1" ht="6.95" customHeight="1" x14ac:dyDescent="0.3">
      <c r="A3115" s="165">
        <f>+A3104+1</f>
        <v>284</v>
      </c>
      <c r="B3115" s="166"/>
      <c r="C3115" s="167"/>
      <c r="D3115" s="160" t="s">
        <v>39</v>
      </c>
      <c r="E3115" s="161"/>
      <c r="F3115" s="162" t="s">
        <v>40</v>
      </c>
      <c r="G3115" s="163"/>
      <c r="H3115" s="164"/>
      <c r="I3115" s="163"/>
      <c r="J3115" s="164"/>
      <c r="K3115" s="163"/>
      <c r="L3115" s="164"/>
      <c r="M3115" s="11"/>
      <c r="N3115" s="39"/>
      <c r="Q3115" s="15" t="str">
        <f>+CONCATENATE(E3115,G3115)</f>
        <v/>
      </c>
      <c r="R3115" s="15">
        <f>+H3115</f>
        <v>0</v>
      </c>
      <c r="S3115" s="16"/>
      <c r="T3115" s="15">
        <f>+E3115</f>
        <v>0</v>
      </c>
      <c r="U3115" s="26" t="str">
        <f>IFERROR(LEFT(G3115,FIND("*",G3115)-1),"-")</f>
        <v>-</v>
      </c>
      <c r="V3115" s="26" t="str">
        <f>IFERROR(RIGHT(G3115,LEN(G3115)-FIND("*",G3115)),"-")</f>
        <v>-</v>
      </c>
      <c r="W3115" s="27" t="str">
        <f>IFERROR((U3115+V3115)*2/1000,"-")</f>
        <v>-</v>
      </c>
      <c r="X3115" s="27" t="str">
        <f>IFERROR(W3115*H3115,"-")</f>
        <v>-</v>
      </c>
      <c r="Z3115" s="94" t="s">
        <v>82</v>
      </c>
    </row>
    <row r="3116" spans="1:26" s="25" customFormat="1" ht="6.95" customHeight="1" x14ac:dyDescent="0.3">
      <c r="A3116" s="165"/>
      <c r="B3116" s="168"/>
      <c r="C3116" s="169"/>
      <c r="D3116" s="160"/>
      <c r="E3116" s="161"/>
      <c r="F3116" s="162"/>
      <c r="G3116" s="163"/>
      <c r="H3116" s="164"/>
      <c r="I3116" s="163"/>
      <c r="J3116" s="164"/>
      <c r="K3116" s="163"/>
      <c r="L3116" s="164"/>
      <c r="M3116" s="11"/>
      <c r="N3116" s="39"/>
      <c r="Q3116" s="15" t="str">
        <f>+CONCATENATE(E3115,I3115)</f>
        <v/>
      </c>
      <c r="R3116" s="15">
        <f>+J3115</f>
        <v>0</v>
      </c>
      <c r="S3116" s="16"/>
      <c r="T3116" s="15">
        <f>+E3115</f>
        <v>0</v>
      </c>
      <c r="U3116" s="26" t="str">
        <f>IFERROR(LEFT(I3115,FIND("*",I3115)-1),"-")</f>
        <v>-</v>
      </c>
      <c r="V3116" s="26" t="str">
        <f>IFERROR(RIGHT(I3115,LEN(I3115)-FIND("*",I3115)),"-")</f>
        <v>-</v>
      </c>
      <c r="W3116" s="27" t="str">
        <f t="shared" ref="W3116:W3123" si="1696">IFERROR((U3116+V3116)*2/1000,"-")</f>
        <v>-</v>
      </c>
      <c r="X3116" s="27" t="str">
        <f>IFERROR(W3116*J3115,"-")</f>
        <v>-</v>
      </c>
      <c r="Z3116" s="94" t="s">
        <v>82</v>
      </c>
    </row>
    <row r="3117" spans="1:26" s="25" customFormat="1" ht="6.95" customHeight="1" x14ac:dyDescent="0.3">
      <c r="A3117" s="165"/>
      <c r="B3117" s="168"/>
      <c r="C3117" s="169"/>
      <c r="D3117" s="160"/>
      <c r="E3117" s="161"/>
      <c r="F3117" s="162"/>
      <c r="G3117" s="163"/>
      <c r="H3117" s="164"/>
      <c r="I3117" s="163"/>
      <c r="J3117" s="164"/>
      <c r="K3117" s="163"/>
      <c r="L3117" s="164"/>
      <c r="M3117" s="11"/>
      <c r="N3117" s="39"/>
      <c r="Q3117" s="15" t="str">
        <f>+CONCATENATE(E3115,K3115)</f>
        <v/>
      </c>
      <c r="R3117" s="15">
        <f>+L3115</f>
        <v>0</v>
      </c>
      <c r="S3117" s="16"/>
      <c r="T3117" s="15">
        <f>+E3115</f>
        <v>0</v>
      </c>
      <c r="U3117" s="26" t="str">
        <f>IFERROR(LEFT(K3115,FIND("*",K3115)-1),"-")</f>
        <v>-</v>
      </c>
      <c r="V3117" s="26" t="str">
        <f>IFERROR(RIGHT(K3115,LEN(K3115)-FIND("*",K3115)),"-")</f>
        <v>-</v>
      </c>
      <c r="W3117" s="27" t="str">
        <f t="shared" si="1696"/>
        <v>-</v>
      </c>
      <c r="X3117" s="27" t="str">
        <f>IFERROR(W3117*L3115,"-")</f>
        <v>-</v>
      </c>
      <c r="Z3117" s="94" t="s">
        <v>82</v>
      </c>
    </row>
    <row r="3118" spans="1:26" s="25" customFormat="1" ht="6.95" customHeight="1" x14ac:dyDescent="0.3">
      <c r="A3118" s="13"/>
      <c r="B3118" s="168"/>
      <c r="C3118" s="169"/>
      <c r="D3118" s="160" t="s">
        <v>39</v>
      </c>
      <c r="E3118" s="161"/>
      <c r="F3118" s="162" t="s">
        <v>40</v>
      </c>
      <c r="G3118" s="163"/>
      <c r="H3118" s="164"/>
      <c r="I3118" s="163"/>
      <c r="J3118" s="164"/>
      <c r="K3118" s="163"/>
      <c r="L3118" s="164"/>
      <c r="M3118" s="11"/>
      <c r="N3118" s="39"/>
      <c r="Q3118" s="15" t="str">
        <f>+CONCATENATE(E3118,G3118)</f>
        <v/>
      </c>
      <c r="R3118" s="15">
        <f>+H3118</f>
        <v>0</v>
      </c>
      <c r="S3118" s="16"/>
      <c r="T3118" s="15">
        <f>+E3118</f>
        <v>0</v>
      </c>
      <c r="U3118" s="26" t="str">
        <f t="shared" ref="U3118" si="1697">IFERROR(LEFT(G3118,FIND("*",G3118)-1),"-")</f>
        <v>-</v>
      </c>
      <c r="V3118" s="26" t="str">
        <f t="shared" ref="V3118" si="1698">IFERROR(RIGHT(G3118,LEN(G3118)-FIND("*",G3118)),"-")</f>
        <v>-</v>
      </c>
      <c r="W3118" s="27" t="str">
        <f t="shared" si="1696"/>
        <v>-</v>
      </c>
      <c r="X3118" s="27" t="str">
        <f>IFERROR(W3118*H3118,"-")</f>
        <v>-</v>
      </c>
      <c r="Z3118" s="94" t="s">
        <v>82</v>
      </c>
    </row>
    <row r="3119" spans="1:26" s="25" customFormat="1" ht="6.95" customHeight="1" x14ac:dyDescent="0.3">
      <c r="A3119" s="10"/>
      <c r="B3119" s="168"/>
      <c r="C3119" s="169"/>
      <c r="D3119" s="160"/>
      <c r="E3119" s="161"/>
      <c r="F3119" s="162"/>
      <c r="G3119" s="163"/>
      <c r="H3119" s="164"/>
      <c r="I3119" s="163"/>
      <c r="J3119" s="164"/>
      <c r="K3119" s="163"/>
      <c r="L3119" s="164"/>
      <c r="M3119" s="11"/>
      <c r="N3119" s="39"/>
      <c r="Q3119" s="15" t="str">
        <f>+CONCATENATE(E3118,I3118)</f>
        <v/>
      </c>
      <c r="R3119" s="15">
        <f>+J3118</f>
        <v>0</v>
      </c>
      <c r="S3119" s="16"/>
      <c r="T3119" s="15">
        <f>+E3118</f>
        <v>0</v>
      </c>
      <c r="U3119" s="26" t="str">
        <f>IFERROR(LEFT(I3118,FIND("*",I3118)-1),"-")</f>
        <v>-</v>
      </c>
      <c r="V3119" s="26" t="str">
        <f>IFERROR(RIGHT(I3118,LEN(I3118)-FIND("*",I3118)),"-")</f>
        <v>-</v>
      </c>
      <c r="W3119" s="27" t="str">
        <f t="shared" si="1696"/>
        <v>-</v>
      </c>
      <c r="X3119" s="27" t="str">
        <f>IFERROR(W3119*J3118,"-")</f>
        <v>-</v>
      </c>
      <c r="Z3119" s="94" t="s">
        <v>82</v>
      </c>
    </row>
    <row r="3120" spans="1:26" s="25" customFormat="1" ht="6.95" customHeight="1" x14ac:dyDescent="0.3">
      <c r="A3120" s="10"/>
      <c r="B3120" s="168"/>
      <c r="C3120" s="169"/>
      <c r="D3120" s="160"/>
      <c r="E3120" s="161"/>
      <c r="F3120" s="162"/>
      <c r="G3120" s="163"/>
      <c r="H3120" s="164"/>
      <c r="I3120" s="163"/>
      <c r="J3120" s="164"/>
      <c r="K3120" s="163"/>
      <c r="L3120" s="164"/>
      <c r="M3120" s="11"/>
      <c r="N3120" s="39"/>
      <c r="Q3120" s="15" t="str">
        <f>+CONCATENATE(E3118,K3118)</f>
        <v/>
      </c>
      <c r="R3120" s="15">
        <f>+L3118</f>
        <v>0</v>
      </c>
      <c r="S3120" s="16"/>
      <c r="T3120" s="15">
        <f>+E3118</f>
        <v>0</v>
      </c>
      <c r="U3120" s="26" t="str">
        <f>IFERROR(LEFT(K3118,FIND("*",K3118)-1),"-")</f>
        <v>-</v>
      </c>
      <c r="V3120" s="26" t="str">
        <f>IFERROR(RIGHT(K3118,LEN(K3118)-FIND("*",K3118)),"-")</f>
        <v>-</v>
      </c>
      <c r="W3120" s="27" t="str">
        <f t="shared" si="1696"/>
        <v>-</v>
      </c>
      <c r="X3120" s="27" t="str">
        <f>IFERROR(W3120*L3118,"-")</f>
        <v>-</v>
      </c>
      <c r="Z3120" s="94" t="s">
        <v>82</v>
      </c>
    </row>
    <row r="3121" spans="1:26" s="25" customFormat="1" ht="6.95" customHeight="1" x14ac:dyDescent="0.3">
      <c r="A3121" s="13"/>
      <c r="B3121" s="168"/>
      <c r="C3121" s="169"/>
      <c r="D3121" s="160" t="s">
        <v>39</v>
      </c>
      <c r="E3121" s="161"/>
      <c r="F3121" s="162" t="s">
        <v>40</v>
      </c>
      <c r="G3121" s="163"/>
      <c r="H3121" s="164"/>
      <c r="I3121" s="163"/>
      <c r="J3121" s="164"/>
      <c r="K3121" s="163"/>
      <c r="L3121" s="164"/>
      <c r="M3121" s="11"/>
      <c r="N3121" s="39"/>
      <c r="Q3121" s="15" t="str">
        <f>+CONCATENATE(E3121,G3121)</f>
        <v/>
      </c>
      <c r="R3121" s="15">
        <f>+H3121</f>
        <v>0</v>
      </c>
      <c r="S3121" s="16"/>
      <c r="T3121" s="15">
        <f>+E3121</f>
        <v>0</v>
      </c>
      <c r="U3121" s="26" t="str">
        <f t="shared" ref="U3121" si="1699">IFERROR(LEFT(G3121,FIND("*",G3121)-1),"-")</f>
        <v>-</v>
      </c>
      <c r="V3121" s="26" t="str">
        <f t="shared" ref="V3121" si="1700">IFERROR(RIGHT(G3121,LEN(G3121)-FIND("*",G3121)),"-")</f>
        <v>-</v>
      </c>
      <c r="W3121" s="27" t="str">
        <f t="shared" si="1696"/>
        <v>-</v>
      </c>
      <c r="X3121" s="27" t="str">
        <f>IFERROR(W3121*H3121,"-")</f>
        <v>-</v>
      </c>
      <c r="Z3121" s="94" t="s">
        <v>82</v>
      </c>
    </row>
    <row r="3122" spans="1:26" s="25" customFormat="1" ht="6.95" customHeight="1" x14ac:dyDescent="0.3">
      <c r="A3122" s="10"/>
      <c r="B3122" s="168"/>
      <c r="C3122" s="169"/>
      <c r="D3122" s="160"/>
      <c r="E3122" s="161"/>
      <c r="F3122" s="162"/>
      <c r="G3122" s="163"/>
      <c r="H3122" s="164"/>
      <c r="I3122" s="163"/>
      <c r="J3122" s="164"/>
      <c r="K3122" s="163"/>
      <c r="L3122" s="164"/>
      <c r="M3122" s="11"/>
      <c r="N3122" s="39"/>
      <c r="Q3122" s="15" t="str">
        <f>+CONCATENATE(E3121,I3121)</f>
        <v/>
      </c>
      <c r="R3122" s="15">
        <f>+J3121</f>
        <v>0</v>
      </c>
      <c r="S3122" s="16"/>
      <c r="T3122" s="15">
        <f>+E3121</f>
        <v>0</v>
      </c>
      <c r="U3122" s="26" t="str">
        <f>IFERROR(LEFT(I3121,FIND("*",I3121)-1),"-")</f>
        <v>-</v>
      </c>
      <c r="V3122" s="26" t="str">
        <f>IFERROR(RIGHT(I3121,LEN(I3121)-FIND("*",I3121)),"-")</f>
        <v>-</v>
      </c>
      <c r="W3122" s="27" t="str">
        <f t="shared" si="1696"/>
        <v>-</v>
      </c>
      <c r="X3122" s="27" t="str">
        <f t="shared" ref="X3122" si="1701">IFERROR(W3122*J3121,"-")</f>
        <v>-</v>
      </c>
      <c r="Z3122" s="94" t="s">
        <v>82</v>
      </c>
    </row>
    <row r="3123" spans="1:26" s="25" customFormat="1" ht="6.95" customHeight="1" x14ac:dyDescent="0.3">
      <c r="A3123" s="10"/>
      <c r="B3123" s="168"/>
      <c r="C3123" s="169"/>
      <c r="D3123" s="160"/>
      <c r="E3123" s="161"/>
      <c r="F3123" s="162"/>
      <c r="G3123" s="163"/>
      <c r="H3123" s="164"/>
      <c r="I3123" s="163"/>
      <c r="J3123" s="164"/>
      <c r="K3123" s="163"/>
      <c r="L3123" s="164"/>
      <c r="M3123" s="11"/>
      <c r="N3123" s="39"/>
      <c r="Q3123" s="15" t="str">
        <f>+CONCATENATE(E3121,K3121)</f>
        <v/>
      </c>
      <c r="R3123" s="15">
        <f>+L3121</f>
        <v>0</v>
      </c>
      <c r="S3123" s="16"/>
      <c r="T3123" s="15">
        <f>+E3121</f>
        <v>0</v>
      </c>
      <c r="U3123" s="26" t="str">
        <f>IFERROR(LEFT(K3121,FIND("*",K3121)-1),"-")</f>
        <v>-</v>
      </c>
      <c r="V3123" s="26" t="str">
        <f>IFERROR(RIGHT(K3121,LEN(K3121)-FIND("*",K3121)),"-")</f>
        <v>-</v>
      </c>
      <c r="W3123" s="27" t="str">
        <f t="shared" si="1696"/>
        <v>-</v>
      </c>
      <c r="X3123" s="27" t="str">
        <f>IFERROR(W3123*L3121,"-")</f>
        <v>-</v>
      </c>
      <c r="Z3123" s="94" t="s">
        <v>82</v>
      </c>
    </row>
    <row r="3124" spans="1:26" s="25" customFormat="1" ht="21" customHeight="1" thickBot="1" x14ac:dyDescent="0.35">
      <c r="A3124" s="10"/>
      <c r="B3124" s="170"/>
      <c r="C3124" s="171"/>
      <c r="D3124" s="172" t="s">
        <v>43</v>
      </c>
      <c r="E3124" s="173"/>
      <c r="F3124" s="173"/>
      <c r="G3124" s="174"/>
      <c r="H3124" s="174"/>
      <c r="I3124" s="174"/>
      <c r="J3124" s="174"/>
      <c r="K3124" s="174"/>
      <c r="L3124" s="174"/>
      <c r="M3124" s="12"/>
      <c r="N3124" s="39"/>
      <c r="U3124" s="23"/>
      <c r="V3124" s="23"/>
      <c r="Z3124" s="95" t="s">
        <v>81</v>
      </c>
    </row>
    <row r="3125" spans="1:26" s="25" customFormat="1" ht="9.9499999999999993" customHeight="1" thickBot="1" x14ac:dyDescent="0.35">
      <c r="A3125" s="6"/>
      <c r="B3125" s="14"/>
      <c r="C3125" s="119"/>
      <c r="D3125" s="58"/>
      <c r="E3125" s="17"/>
      <c r="F3125" s="58"/>
      <c r="G3125" s="19"/>
      <c r="H3125" s="19"/>
      <c r="I3125" s="19"/>
      <c r="J3125" s="19"/>
      <c r="K3125" s="19"/>
      <c r="L3125" s="19"/>
      <c r="M3125" s="14"/>
      <c r="N3125" s="39"/>
      <c r="Q3125" s="1"/>
      <c r="R3125" s="1"/>
      <c r="S3125" s="1"/>
      <c r="T3125" s="1"/>
      <c r="U3125" s="24"/>
      <c r="V3125" s="24"/>
      <c r="W3125" s="1"/>
      <c r="X3125" s="1"/>
      <c r="Z3125" s="94" t="s">
        <v>82</v>
      </c>
    </row>
    <row r="3126" spans="1:26" s="25" customFormat="1" ht="6.95" customHeight="1" x14ac:dyDescent="0.3">
      <c r="A3126" s="165">
        <f>+A3115+1</f>
        <v>285</v>
      </c>
      <c r="B3126" s="166"/>
      <c r="C3126" s="167"/>
      <c r="D3126" s="160" t="s">
        <v>39</v>
      </c>
      <c r="E3126" s="161"/>
      <c r="F3126" s="162" t="s">
        <v>40</v>
      </c>
      <c r="G3126" s="163"/>
      <c r="H3126" s="164"/>
      <c r="I3126" s="163"/>
      <c r="J3126" s="164"/>
      <c r="K3126" s="163"/>
      <c r="L3126" s="164"/>
      <c r="M3126" s="11"/>
      <c r="N3126" s="39"/>
      <c r="Q3126" s="15" t="str">
        <f>+CONCATENATE(E3126,G3126)</f>
        <v/>
      </c>
      <c r="R3126" s="15">
        <f>+H3126</f>
        <v>0</v>
      </c>
      <c r="S3126" s="16"/>
      <c r="T3126" s="15">
        <f>+E3126</f>
        <v>0</v>
      </c>
      <c r="U3126" s="26" t="str">
        <f>IFERROR(LEFT(G3126,FIND("*",G3126)-1),"-")</f>
        <v>-</v>
      </c>
      <c r="V3126" s="26" t="str">
        <f>IFERROR(RIGHT(G3126,LEN(G3126)-FIND("*",G3126)),"-")</f>
        <v>-</v>
      </c>
      <c r="W3126" s="27" t="str">
        <f>IFERROR((U3126+V3126)*2/1000,"-")</f>
        <v>-</v>
      </c>
      <c r="X3126" s="27" t="str">
        <f>IFERROR(W3126*H3126,"-")</f>
        <v>-</v>
      </c>
      <c r="Z3126" s="94" t="s">
        <v>82</v>
      </c>
    </row>
    <row r="3127" spans="1:26" s="25" customFormat="1" ht="6.95" customHeight="1" x14ac:dyDescent="0.3">
      <c r="A3127" s="165"/>
      <c r="B3127" s="168"/>
      <c r="C3127" s="169"/>
      <c r="D3127" s="160"/>
      <c r="E3127" s="161"/>
      <c r="F3127" s="162"/>
      <c r="G3127" s="163"/>
      <c r="H3127" s="164"/>
      <c r="I3127" s="163"/>
      <c r="J3127" s="164"/>
      <c r="K3127" s="163"/>
      <c r="L3127" s="164"/>
      <c r="M3127" s="11"/>
      <c r="N3127" s="39"/>
      <c r="Q3127" s="15" t="str">
        <f>+CONCATENATE(E3126,I3126)</f>
        <v/>
      </c>
      <c r="R3127" s="15">
        <f>+J3126</f>
        <v>0</v>
      </c>
      <c r="S3127" s="16"/>
      <c r="T3127" s="15">
        <f>+E3126</f>
        <v>0</v>
      </c>
      <c r="U3127" s="26" t="str">
        <f>IFERROR(LEFT(I3126,FIND("*",I3126)-1),"-")</f>
        <v>-</v>
      </c>
      <c r="V3127" s="26" t="str">
        <f>IFERROR(RIGHT(I3126,LEN(I3126)-FIND("*",I3126)),"-")</f>
        <v>-</v>
      </c>
      <c r="W3127" s="27" t="str">
        <f t="shared" ref="W3127:W3134" si="1702">IFERROR((U3127+V3127)*2/1000,"-")</f>
        <v>-</v>
      </c>
      <c r="X3127" s="27" t="str">
        <f>IFERROR(W3127*J3126,"-")</f>
        <v>-</v>
      </c>
      <c r="Z3127" s="94" t="s">
        <v>82</v>
      </c>
    </row>
    <row r="3128" spans="1:26" s="25" customFormat="1" ht="6.95" customHeight="1" x14ac:dyDescent="0.3">
      <c r="A3128" s="165"/>
      <c r="B3128" s="168"/>
      <c r="C3128" s="169"/>
      <c r="D3128" s="160"/>
      <c r="E3128" s="161"/>
      <c r="F3128" s="162"/>
      <c r="G3128" s="163"/>
      <c r="H3128" s="164"/>
      <c r="I3128" s="163"/>
      <c r="J3128" s="164"/>
      <c r="K3128" s="163"/>
      <c r="L3128" s="164"/>
      <c r="M3128" s="11"/>
      <c r="N3128" s="39"/>
      <c r="Q3128" s="15" t="str">
        <f>+CONCATENATE(E3126,K3126)</f>
        <v/>
      </c>
      <c r="R3128" s="15">
        <f>+L3126</f>
        <v>0</v>
      </c>
      <c r="S3128" s="16"/>
      <c r="T3128" s="15">
        <f>+E3126</f>
        <v>0</v>
      </c>
      <c r="U3128" s="26" t="str">
        <f>IFERROR(LEFT(K3126,FIND("*",K3126)-1),"-")</f>
        <v>-</v>
      </c>
      <c r="V3128" s="26" t="str">
        <f>IFERROR(RIGHT(K3126,LEN(K3126)-FIND("*",K3126)),"-")</f>
        <v>-</v>
      </c>
      <c r="W3128" s="27" t="str">
        <f t="shared" si="1702"/>
        <v>-</v>
      </c>
      <c r="X3128" s="27" t="str">
        <f>IFERROR(W3128*L3126,"-")</f>
        <v>-</v>
      </c>
      <c r="Z3128" s="94" t="s">
        <v>82</v>
      </c>
    </row>
    <row r="3129" spans="1:26" s="25" customFormat="1" ht="6.95" customHeight="1" x14ac:dyDescent="0.3">
      <c r="A3129" s="13"/>
      <c r="B3129" s="168"/>
      <c r="C3129" s="169"/>
      <c r="D3129" s="160" t="s">
        <v>39</v>
      </c>
      <c r="E3129" s="161"/>
      <c r="F3129" s="162" t="s">
        <v>40</v>
      </c>
      <c r="G3129" s="163"/>
      <c r="H3129" s="164"/>
      <c r="I3129" s="163"/>
      <c r="J3129" s="164"/>
      <c r="K3129" s="163"/>
      <c r="L3129" s="164"/>
      <c r="M3129" s="11"/>
      <c r="N3129" s="39"/>
      <c r="Q3129" s="15" t="str">
        <f>+CONCATENATE(E3129,G3129)</f>
        <v/>
      </c>
      <c r="R3129" s="15">
        <f>+H3129</f>
        <v>0</v>
      </c>
      <c r="S3129" s="16"/>
      <c r="T3129" s="15">
        <f>+E3129</f>
        <v>0</v>
      </c>
      <c r="U3129" s="26" t="str">
        <f t="shared" ref="U3129" si="1703">IFERROR(LEFT(G3129,FIND("*",G3129)-1),"-")</f>
        <v>-</v>
      </c>
      <c r="V3129" s="26" t="str">
        <f t="shared" ref="V3129" si="1704">IFERROR(RIGHT(G3129,LEN(G3129)-FIND("*",G3129)),"-")</f>
        <v>-</v>
      </c>
      <c r="W3129" s="27" t="str">
        <f t="shared" si="1702"/>
        <v>-</v>
      </c>
      <c r="X3129" s="27" t="str">
        <f>IFERROR(W3129*H3129,"-")</f>
        <v>-</v>
      </c>
      <c r="Z3129" s="94" t="s">
        <v>82</v>
      </c>
    </row>
    <row r="3130" spans="1:26" s="25" customFormat="1" ht="6.95" customHeight="1" x14ac:dyDescent="0.3">
      <c r="A3130" s="10"/>
      <c r="B3130" s="168"/>
      <c r="C3130" s="169"/>
      <c r="D3130" s="160"/>
      <c r="E3130" s="161"/>
      <c r="F3130" s="162"/>
      <c r="G3130" s="163"/>
      <c r="H3130" s="164"/>
      <c r="I3130" s="163"/>
      <c r="J3130" s="164"/>
      <c r="K3130" s="163"/>
      <c r="L3130" s="164"/>
      <c r="M3130" s="11"/>
      <c r="N3130" s="39"/>
      <c r="Q3130" s="15" t="str">
        <f>+CONCATENATE(E3129,I3129)</f>
        <v/>
      </c>
      <c r="R3130" s="15">
        <f>+J3129</f>
        <v>0</v>
      </c>
      <c r="S3130" s="16"/>
      <c r="T3130" s="15">
        <f>+E3129</f>
        <v>0</v>
      </c>
      <c r="U3130" s="26" t="str">
        <f>IFERROR(LEFT(I3129,FIND("*",I3129)-1),"-")</f>
        <v>-</v>
      </c>
      <c r="V3130" s="26" t="str">
        <f>IFERROR(RIGHT(I3129,LEN(I3129)-FIND("*",I3129)),"-")</f>
        <v>-</v>
      </c>
      <c r="W3130" s="27" t="str">
        <f t="shared" si="1702"/>
        <v>-</v>
      </c>
      <c r="X3130" s="27" t="str">
        <f>IFERROR(W3130*J3129,"-")</f>
        <v>-</v>
      </c>
      <c r="Z3130" s="94" t="s">
        <v>82</v>
      </c>
    </row>
    <row r="3131" spans="1:26" s="25" customFormat="1" ht="6.95" customHeight="1" x14ac:dyDescent="0.3">
      <c r="A3131" s="10"/>
      <c r="B3131" s="168"/>
      <c r="C3131" s="169"/>
      <c r="D3131" s="160"/>
      <c r="E3131" s="161"/>
      <c r="F3131" s="162"/>
      <c r="G3131" s="163"/>
      <c r="H3131" s="164"/>
      <c r="I3131" s="163"/>
      <c r="J3131" s="164"/>
      <c r="K3131" s="163"/>
      <c r="L3131" s="164"/>
      <c r="M3131" s="11"/>
      <c r="N3131" s="39"/>
      <c r="Q3131" s="15" t="str">
        <f>+CONCATENATE(E3129,K3129)</f>
        <v/>
      </c>
      <c r="R3131" s="15">
        <f>+L3129</f>
        <v>0</v>
      </c>
      <c r="S3131" s="16"/>
      <c r="T3131" s="15">
        <f>+E3129</f>
        <v>0</v>
      </c>
      <c r="U3131" s="26" t="str">
        <f>IFERROR(LEFT(K3129,FIND("*",K3129)-1),"-")</f>
        <v>-</v>
      </c>
      <c r="V3131" s="26" t="str">
        <f>IFERROR(RIGHT(K3129,LEN(K3129)-FIND("*",K3129)),"-")</f>
        <v>-</v>
      </c>
      <c r="W3131" s="27" t="str">
        <f t="shared" si="1702"/>
        <v>-</v>
      </c>
      <c r="X3131" s="27" t="str">
        <f>IFERROR(W3131*L3129,"-")</f>
        <v>-</v>
      </c>
      <c r="Z3131" s="94" t="s">
        <v>82</v>
      </c>
    </row>
    <row r="3132" spans="1:26" s="25" customFormat="1" ht="6.95" customHeight="1" x14ac:dyDescent="0.3">
      <c r="A3132" s="13"/>
      <c r="B3132" s="168"/>
      <c r="C3132" s="169"/>
      <c r="D3132" s="160" t="s">
        <v>39</v>
      </c>
      <c r="E3132" s="161"/>
      <c r="F3132" s="162" t="s">
        <v>40</v>
      </c>
      <c r="G3132" s="163"/>
      <c r="H3132" s="164"/>
      <c r="I3132" s="163"/>
      <c r="J3132" s="164"/>
      <c r="K3132" s="163"/>
      <c r="L3132" s="164"/>
      <c r="M3132" s="11"/>
      <c r="N3132" s="39"/>
      <c r="Q3132" s="15" t="str">
        <f>+CONCATENATE(E3132,G3132)</f>
        <v/>
      </c>
      <c r="R3132" s="15">
        <f>+H3132</f>
        <v>0</v>
      </c>
      <c r="S3132" s="16"/>
      <c r="T3132" s="15">
        <f>+E3132</f>
        <v>0</v>
      </c>
      <c r="U3132" s="26" t="str">
        <f t="shared" ref="U3132" si="1705">IFERROR(LEFT(G3132,FIND("*",G3132)-1),"-")</f>
        <v>-</v>
      </c>
      <c r="V3132" s="26" t="str">
        <f t="shared" ref="V3132" si="1706">IFERROR(RIGHT(G3132,LEN(G3132)-FIND("*",G3132)),"-")</f>
        <v>-</v>
      </c>
      <c r="W3132" s="27" t="str">
        <f t="shared" si="1702"/>
        <v>-</v>
      </c>
      <c r="X3132" s="27" t="str">
        <f>IFERROR(W3132*H3132,"-")</f>
        <v>-</v>
      </c>
      <c r="Z3132" s="94" t="s">
        <v>82</v>
      </c>
    </row>
    <row r="3133" spans="1:26" s="25" customFormat="1" ht="6.95" customHeight="1" x14ac:dyDescent="0.3">
      <c r="A3133" s="10"/>
      <c r="B3133" s="168"/>
      <c r="C3133" s="169"/>
      <c r="D3133" s="160"/>
      <c r="E3133" s="161"/>
      <c r="F3133" s="162"/>
      <c r="G3133" s="163"/>
      <c r="H3133" s="164"/>
      <c r="I3133" s="163"/>
      <c r="J3133" s="164"/>
      <c r="K3133" s="163"/>
      <c r="L3133" s="164"/>
      <c r="M3133" s="11"/>
      <c r="N3133" s="39"/>
      <c r="Q3133" s="15" t="str">
        <f>+CONCATENATE(E3132,I3132)</f>
        <v/>
      </c>
      <c r="R3133" s="15">
        <f>+J3132</f>
        <v>0</v>
      </c>
      <c r="S3133" s="16"/>
      <c r="T3133" s="15">
        <f>+E3132</f>
        <v>0</v>
      </c>
      <c r="U3133" s="26" t="str">
        <f>IFERROR(LEFT(I3132,FIND("*",I3132)-1),"-")</f>
        <v>-</v>
      </c>
      <c r="V3133" s="26" t="str">
        <f>IFERROR(RIGHT(I3132,LEN(I3132)-FIND("*",I3132)),"-")</f>
        <v>-</v>
      </c>
      <c r="W3133" s="27" t="str">
        <f t="shared" si="1702"/>
        <v>-</v>
      </c>
      <c r="X3133" s="27" t="str">
        <f t="shared" ref="X3133" si="1707">IFERROR(W3133*J3132,"-")</f>
        <v>-</v>
      </c>
      <c r="Z3133" s="94" t="s">
        <v>82</v>
      </c>
    </row>
    <row r="3134" spans="1:26" s="25" customFormat="1" ht="6.95" customHeight="1" x14ac:dyDescent="0.3">
      <c r="A3134" s="10"/>
      <c r="B3134" s="168"/>
      <c r="C3134" s="169"/>
      <c r="D3134" s="160"/>
      <c r="E3134" s="161"/>
      <c r="F3134" s="162"/>
      <c r="G3134" s="163"/>
      <c r="H3134" s="164"/>
      <c r="I3134" s="163"/>
      <c r="J3134" s="164"/>
      <c r="K3134" s="163"/>
      <c r="L3134" s="164"/>
      <c r="M3134" s="11"/>
      <c r="N3134" s="39"/>
      <c r="Q3134" s="15" t="str">
        <f>+CONCATENATE(E3132,K3132)</f>
        <v/>
      </c>
      <c r="R3134" s="15">
        <f>+L3132</f>
        <v>0</v>
      </c>
      <c r="S3134" s="16"/>
      <c r="T3134" s="15">
        <f>+E3132</f>
        <v>0</v>
      </c>
      <c r="U3134" s="26" t="str">
        <f>IFERROR(LEFT(K3132,FIND("*",K3132)-1),"-")</f>
        <v>-</v>
      </c>
      <c r="V3134" s="26" t="str">
        <f>IFERROR(RIGHT(K3132,LEN(K3132)-FIND("*",K3132)),"-")</f>
        <v>-</v>
      </c>
      <c r="W3134" s="27" t="str">
        <f t="shared" si="1702"/>
        <v>-</v>
      </c>
      <c r="X3134" s="27" t="str">
        <f>IFERROR(W3134*L3132,"-")</f>
        <v>-</v>
      </c>
      <c r="Z3134" s="94" t="s">
        <v>82</v>
      </c>
    </row>
    <row r="3135" spans="1:26" s="25" customFormat="1" ht="21" customHeight="1" thickBot="1" x14ac:dyDescent="0.35">
      <c r="A3135" s="10"/>
      <c r="B3135" s="170"/>
      <c r="C3135" s="171"/>
      <c r="D3135" s="172" t="s">
        <v>43</v>
      </c>
      <c r="E3135" s="173"/>
      <c r="F3135" s="173"/>
      <c r="G3135" s="174"/>
      <c r="H3135" s="174"/>
      <c r="I3135" s="174"/>
      <c r="J3135" s="174"/>
      <c r="K3135" s="174"/>
      <c r="L3135" s="174"/>
      <c r="M3135" s="12"/>
      <c r="N3135" s="39"/>
      <c r="U3135" s="23"/>
      <c r="V3135" s="23"/>
      <c r="Z3135" s="95" t="s">
        <v>81</v>
      </c>
    </row>
    <row r="3136" spans="1:26" s="25" customFormat="1" ht="9.9499999999999993" customHeight="1" thickBot="1" x14ac:dyDescent="0.35">
      <c r="A3136" s="6"/>
      <c r="B3136" s="14"/>
      <c r="C3136" s="119"/>
      <c r="D3136" s="58"/>
      <c r="E3136" s="17"/>
      <c r="F3136" s="58"/>
      <c r="G3136" s="19"/>
      <c r="H3136" s="19"/>
      <c r="I3136" s="19"/>
      <c r="J3136" s="19"/>
      <c r="K3136" s="19"/>
      <c r="L3136" s="19"/>
      <c r="M3136" s="14"/>
      <c r="N3136" s="39"/>
      <c r="Q3136" s="1"/>
      <c r="R3136" s="1"/>
      <c r="S3136" s="1"/>
      <c r="T3136" s="1"/>
      <c r="U3136" s="24"/>
      <c r="V3136" s="24"/>
      <c r="W3136" s="1"/>
      <c r="X3136" s="1"/>
      <c r="Z3136" s="94" t="s">
        <v>82</v>
      </c>
    </row>
    <row r="3137" spans="1:26" s="25" customFormat="1" ht="6.95" customHeight="1" x14ac:dyDescent="0.3">
      <c r="A3137" s="165">
        <f>+A3126+1</f>
        <v>286</v>
      </c>
      <c r="B3137" s="166"/>
      <c r="C3137" s="167"/>
      <c r="D3137" s="160" t="s">
        <v>39</v>
      </c>
      <c r="E3137" s="161"/>
      <c r="F3137" s="162" t="s">
        <v>40</v>
      </c>
      <c r="G3137" s="163"/>
      <c r="H3137" s="164"/>
      <c r="I3137" s="163"/>
      <c r="J3137" s="164"/>
      <c r="K3137" s="163"/>
      <c r="L3137" s="164"/>
      <c r="M3137" s="11"/>
      <c r="N3137" s="39"/>
      <c r="Q3137" s="15" t="str">
        <f>+CONCATENATE(E3137,G3137)</f>
        <v/>
      </c>
      <c r="R3137" s="15">
        <f>+H3137</f>
        <v>0</v>
      </c>
      <c r="S3137" s="16"/>
      <c r="T3137" s="15">
        <f>+E3137</f>
        <v>0</v>
      </c>
      <c r="U3137" s="26" t="str">
        <f>IFERROR(LEFT(G3137,FIND("*",G3137)-1),"-")</f>
        <v>-</v>
      </c>
      <c r="V3137" s="26" t="str">
        <f>IFERROR(RIGHT(G3137,LEN(G3137)-FIND("*",G3137)),"-")</f>
        <v>-</v>
      </c>
      <c r="W3137" s="27" t="str">
        <f>IFERROR((U3137+V3137)*2/1000,"-")</f>
        <v>-</v>
      </c>
      <c r="X3137" s="27" t="str">
        <f>IFERROR(W3137*H3137,"-")</f>
        <v>-</v>
      </c>
      <c r="Z3137" s="94" t="s">
        <v>82</v>
      </c>
    </row>
    <row r="3138" spans="1:26" s="25" customFormat="1" ht="6.95" customHeight="1" x14ac:dyDescent="0.3">
      <c r="A3138" s="165"/>
      <c r="B3138" s="168"/>
      <c r="C3138" s="169"/>
      <c r="D3138" s="160"/>
      <c r="E3138" s="161"/>
      <c r="F3138" s="162"/>
      <c r="G3138" s="163"/>
      <c r="H3138" s="164"/>
      <c r="I3138" s="163"/>
      <c r="J3138" s="164"/>
      <c r="K3138" s="163"/>
      <c r="L3138" s="164"/>
      <c r="M3138" s="11"/>
      <c r="N3138" s="39"/>
      <c r="Q3138" s="15" t="str">
        <f>+CONCATENATE(E3137,I3137)</f>
        <v/>
      </c>
      <c r="R3138" s="15">
        <f>+J3137</f>
        <v>0</v>
      </c>
      <c r="S3138" s="16"/>
      <c r="T3138" s="15">
        <f>+E3137</f>
        <v>0</v>
      </c>
      <c r="U3138" s="26" t="str">
        <f>IFERROR(LEFT(I3137,FIND("*",I3137)-1),"-")</f>
        <v>-</v>
      </c>
      <c r="V3138" s="26" t="str">
        <f>IFERROR(RIGHT(I3137,LEN(I3137)-FIND("*",I3137)),"-")</f>
        <v>-</v>
      </c>
      <c r="W3138" s="27" t="str">
        <f t="shared" ref="W3138:W3145" si="1708">IFERROR((U3138+V3138)*2/1000,"-")</f>
        <v>-</v>
      </c>
      <c r="X3138" s="27" t="str">
        <f>IFERROR(W3138*J3137,"-")</f>
        <v>-</v>
      </c>
      <c r="Z3138" s="94" t="s">
        <v>82</v>
      </c>
    </row>
    <row r="3139" spans="1:26" s="25" customFormat="1" ht="6.95" customHeight="1" x14ac:dyDescent="0.3">
      <c r="A3139" s="165"/>
      <c r="B3139" s="168"/>
      <c r="C3139" s="169"/>
      <c r="D3139" s="160"/>
      <c r="E3139" s="161"/>
      <c r="F3139" s="162"/>
      <c r="G3139" s="163"/>
      <c r="H3139" s="164"/>
      <c r="I3139" s="163"/>
      <c r="J3139" s="164"/>
      <c r="K3139" s="163"/>
      <c r="L3139" s="164"/>
      <c r="M3139" s="11"/>
      <c r="N3139" s="39"/>
      <c r="Q3139" s="15" t="str">
        <f>+CONCATENATE(E3137,K3137)</f>
        <v/>
      </c>
      <c r="R3139" s="15">
        <f>+L3137</f>
        <v>0</v>
      </c>
      <c r="S3139" s="16"/>
      <c r="T3139" s="15">
        <f>+E3137</f>
        <v>0</v>
      </c>
      <c r="U3139" s="26" t="str">
        <f>IFERROR(LEFT(K3137,FIND("*",K3137)-1),"-")</f>
        <v>-</v>
      </c>
      <c r="V3139" s="26" t="str">
        <f>IFERROR(RIGHT(K3137,LEN(K3137)-FIND("*",K3137)),"-")</f>
        <v>-</v>
      </c>
      <c r="W3139" s="27" t="str">
        <f t="shared" si="1708"/>
        <v>-</v>
      </c>
      <c r="X3139" s="27" t="str">
        <f>IFERROR(W3139*L3137,"-")</f>
        <v>-</v>
      </c>
      <c r="Z3139" s="94" t="s">
        <v>82</v>
      </c>
    </row>
    <row r="3140" spans="1:26" s="25" customFormat="1" ht="6.95" customHeight="1" x14ac:dyDescent="0.3">
      <c r="A3140" s="13"/>
      <c r="B3140" s="168"/>
      <c r="C3140" s="169"/>
      <c r="D3140" s="160" t="s">
        <v>39</v>
      </c>
      <c r="E3140" s="161"/>
      <c r="F3140" s="162" t="s">
        <v>40</v>
      </c>
      <c r="G3140" s="163"/>
      <c r="H3140" s="164"/>
      <c r="I3140" s="163"/>
      <c r="J3140" s="164"/>
      <c r="K3140" s="163"/>
      <c r="L3140" s="164"/>
      <c r="M3140" s="11"/>
      <c r="N3140" s="39"/>
      <c r="Q3140" s="15" t="str">
        <f>+CONCATENATE(E3140,G3140)</f>
        <v/>
      </c>
      <c r="R3140" s="15">
        <f>+H3140</f>
        <v>0</v>
      </c>
      <c r="S3140" s="16"/>
      <c r="T3140" s="15">
        <f>+E3140</f>
        <v>0</v>
      </c>
      <c r="U3140" s="26" t="str">
        <f t="shared" ref="U3140" si="1709">IFERROR(LEFT(G3140,FIND("*",G3140)-1),"-")</f>
        <v>-</v>
      </c>
      <c r="V3140" s="26" t="str">
        <f t="shared" ref="V3140" si="1710">IFERROR(RIGHT(G3140,LEN(G3140)-FIND("*",G3140)),"-")</f>
        <v>-</v>
      </c>
      <c r="W3140" s="27" t="str">
        <f t="shared" si="1708"/>
        <v>-</v>
      </c>
      <c r="X3140" s="27" t="str">
        <f>IFERROR(W3140*H3140,"-")</f>
        <v>-</v>
      </c>
      <c r="Z3140" s="94" t="s">
        <v>82</v>
      </c>
    </row>
    <row r="3141" spans="1:26" s="25" customFormat="1" ht="6.95" customHeight="1" x14ac:dyDescent="0.3">
      <c r="A3141" s="10"/>
      <c r="B3141" s="168"/>
      <c r="C3141" s="169"/>
      <c r="D3141" s="160"/>
      <c r="E3141" s="161"/>
      <c r="F3141" s="162"/>
      <c r="G3141" s="163"/>
      <c r="H3141" s="164"/>
      <c r="I3141" s="163"/>
      <c r="J3141" s="164"/>
      <c r="K3141" s="163"/>
      <c r="L3141" s="164"/>
      <c r="M3141" s="11"/>
      <c r="N3141" s="39"/>
      <c r="Q3141" s="15" t="str">
        <f>+CONCATENATE(E3140,I3140)</f>
        <v/>
      </c>
      <c r="R3141" s="15">
        <f>+J3140</f>
        <v>0</v>
      </c>
      <c r="S3141" s="16"/>
      <c r="T3141" s="15">
        <f>+E3140</f>
        <v>0</v>
      </c>
      <c r="U3141" s="26" t="str">
        <f>IFERROR(LEFT(I3140,FIND("*",I3140)-1),"-")</f>
        <v>-</v>
      </c>
      <c r="V3141" s="26" t="str">
        <f>IFERROR(RIGHT(I3140,LEN(I3140)-FIND("*",I3140)),"-")</f>
        <v>-</v>
      </c>
      <c r="W3141" s="27" t="str">
        <f t="shared" si="1708"/>
        <v>-</v>
      </c>
      <c r="X3141" s="27" t="str">
        <f>IFERROR(W3141*J3140,"-")</f>
        <v>-</v>
      </c>
      <c r="Z3141" s="94" t="s">
        <v>82</v>
      </c>
    </row>
    <row r="3142" spans="1:26" s="25" customFormat="1" ht="6.95" customHeight="1" x14ac:dyDescent="0.3">
      <c r="A3142" s="10"/>
      <c r="B3142" s="168"/>
      <c r="C3142" s="169"/>
      <c r="D3142" s="160"/>
      <c r="E3142" s="161"/>
      <c r="F3142" s="162"/>
      <c r="G3142" s="163"/>
      <c r="H3142" s="164"/>
      <c r="I3142" s="163"/>
      <c r="J3142" s="164"/>
      <c r="K3142" s="163"/>
      <c r="L3142" s="164"/>
      <c r="M3142" s="11"/>
      <c r="N3142" s="39"/>
      <c r="Q3142" s="15" t="str">
        <f>+CONCATENATE(E3140,K3140)</f>
        <v/>
      </c>
      <c r="R3142" s="15">
        <f>+L3140</f>
        <v>0</v>
      </c>
      <c r="S3142" s="16"/>
      <c r="T3142" s="15">
        <f>+E3140</f>
        <v>0</v>
      </c>
      <c r="U3142" s="26" t="str">
        <f>IFERROR(LEFT(K3140,FIND("*",K3140)-1),"-")</f>
        <v>-</v>
      </c>
      <c r="V3142" s="26" t="str">
        <f>IFERROR(RIGHT(K3140,LEN(K3140)-FIND("*",K3140)),"-")</f>
        <v>-</v>
      </c>
      <c r="W3142" s="27" t="str">
        <f t="shared" si="1708"/>
        <v>-</v>
      </c>
      <c r="X3142" s="27" t="str">
        <f>IFERROR(W3142*L3140,"-")</f>
        <v>-</v>
      </c>
      <c r="Z3142" s="94" t="s">
        <v>82</v>
      </c>
    </row>
    <row r="3143" spans="1:26" s="25" customFormat="1" ht="6.95" customHeight="1" x14ac:dyDescent="0.3">
      <c r="A3143" s="13"/>
      <c r="B3143" s="168"/>
      <c r="C3143" s="169"/>
      <c r="D3143" s="160" t="s">
        <v>39</v>
      </c>
      <c r="E3143" s="161"/>
      <c r="F3143" s="162" t="s">
        <v>40</v>
      </c>
      <c r="G3143" s="163"/>
      <c r="H3143" s="164"/>
      <c r="I3143" s="163"/>
      <c r="J3143" s="164"/>
      <c r="K3143" s="163"/>
      <c r="L3143" s="164"/>
      <c r="M3143" s="11"/>
      <c r="N3143" s="39"/>
      <c r="Q3143" s="15" t="str">
        <f>+CONCATENATE(E3143,G3143)</f>
        <v/>
      </c>
      <c r="R3143" s="15">
        <f>+H3143</f>
        <v>0</v>
      </c>
      <c r="S3143" s="16"/>
      <c r="T3143" s="15">
        <f>+E3143</f>
        <v>0</v>
      </c>
      <c r="U3143" s="26" t="str">
        <f t="shared" ref="U3143" si="1711">IFERROR(LEFT(G3143,FIND("*",G3143)-1),"-")</f>
        <v>-</v>
      </c>
      <c r="V3143" s="26" t="str">
        <f t="shared" ref="V3143" si="1712">IFERROR(RIGHT(G3143,LEN(G3143)-FIND("*",G3143)),"-")</f>
        <v>-</v>
      </c>
      <c r="W3143" s="27" t="str">
        <f t="shared" si="1708"/>
        <v>-</v>
      </c>
      <c r="X3143" s="27" t="str">
        <f>IFERROR(W3143*H3143,"-")</f>
        <v>-</v>
      </c>
      <c r="Z3143" s="94" t="s">
        <v>82</v>
      </c>
    </row>
    <row r="3144" spans="1:26" s="25" customFormat="1" ht="6.95" customHeight="1" x14ac:dyDescent="0.3">
      <c r="A3144" s="10"/>
      <c r="B3144" s="168"/>
      <c r="C3144" s="169"/>
      <c r="D3144" s="160"/>
      <c r="E3144" s="161"/>
      <c r="F3144" s="162"/>
      <c r="G3144" s="163"/>
      <c r="H3144" s="164"/>
      <c r="I3144" s="163"/>
      <c r="J3144" s="164"/>
      <c r="K3144" s="163"/>
      <c r="L3144" s="164"/>
      <c r="M3144" s="11"/>
      <c r="N3144" s="39"/>
      <c r="Q3144" s="15" t="str">
        <f>+CONCATENATE(E3143,I3143)</f>
        <v/>
      </c>
      <c r="R3144" s="15">
        <f>+J3143</f>
        <v>0</v>
      </c>
      <c r="S3144" s="16"/>
      <c r="T3144" s="15">
        <f>+E3143</f>
        <v>0</v>
      </c>
      <c r="U3144" s="26" t="str">
        <f>IFERROR(LEFT(I3143,FIND("*",I3143)-1),"-")</f>
        <v>-</v>
      </c>
      <c r="V3144" s="26" t="str">
        <f>IFERROR(RIGHT(I3143,LEN(I3143)-FIND("*",I3143)),"-")</f>
        <v>-</v>
      </c>
      <c r="W3144" s="27" t="str">
        <f t="shared" si="1708"/>
        <v>-</v>
      </c>
      <c r="X3144" s="27" t="str">
        <f t="shared" ref="X3144" si="1713">IFERROR(W3144*J3143,"-")</f>
        <v>-</v>
      </c>
      <c r="Z3144" s="94" t="s">
        <v>82</v>
      </c>
    </row>
    <row r="3145" spans="1:26" s="25" customFormat="1" ht="6.95" customHeight="1" x14ac:dyDescent="0.3">
      <c r="A3145" s="10"/>
      <c r="B3145" s="168"/>
      <c r="C3145" s="169"/>
      <c r="D3145" s="160"/>
      <c r="E3145" s="161"/>
      <c r="F3145" s="162"/>
      <c r="G3145" s="163"/>
      <c r="H3145" s="164"/>
      <c r="I3145" s="163"/>
      <c r="J3145" s="164"/>
      <c r="K3145" s="163"/>
      <c r="L3145" s="164"/>
      <c r="M3145" s="11"/>
      <c r="N3145" s="39"/>
      <c r="Q3145" s="15" t="str">
        <f>+CONCATENATE(E3143,K3143)</f>
        <v/>
      </c>
      <c r="R3145" s="15">
        <f>+L3143</f>
        <v>0</v>
      </c>
      <c r="S3145" s="16"/>
      <c r="T3145" s="15">
        <f>+E3143</f>
        <v>0</v>
      </c>
      <c r="U3145" s="26" t="str">
        <f>IFERROR(LEFT(K3143,FIND("*",K3143)-1),"-")</f>
        <v>-</v>
      </c>
      <c r="V3145" s="26" t="str">
        <f>IFERROR(RIGHT(K3143,LEN(K3143)-FIND("*",K3143)),"-")</f>
        <v>-</v>
      </c>
      <c r="W3145" s="27" t="str">
        <f t="shared" si="1708"/>
        <v>-</v>
      </c>
      <c r="X3145" s="27" t="str">
        <f>IFERROR(W3145*L3143,"-")</f>
        <v>-</v>
      </c>
      <c r="Z3145" s="94" t="s">
        <v>82</v>
      </c>
    </row>
    <row r="3146" spans="1:26" s="25" customFormat="1" ht="21" customHeight="1" thickBot="1" x14ac:dyDescent="0.35">
      <c r="A3146" s="10"/>
      <c r="B3146" s="170"/>
      <c r="C3146" s="171"/>
      <c r="D3146" s="172" t="s">
        <v>43</v>
      </c>
      <c r="E3146" s="173"/>
      <c r="F3146" s="173"/>
      <c r="G3146" s="174"/>
      <c r="H3146" s="174"/>
      <c r="I3146" s="174"/>
      <c r="J3146" s="174"/>
      <c r="K3146" s="174"/>
      <c r="L3146" s="174"/>
      <c r="M3146" s="12"/>
      <c r="N3146" s="39"/>
      <c r="U3146" s="23"/>
      <c r="V3146" s="23"/>
      <c r="Z3146" s="95" t="s">
        <v>81</v>
      </c>
    </row>
    <row r="3147" spans="1:26" s="25" customFormat="1" ht="9.9499999999999993" customHeight="1" thickBot="1" x14ac:dyDescent="0.35">
      <c r="A3147" s="6"/>
      <c r="B3147" s="14"/>
      <c r="C3147" s="119"/>
      <c r="D3147" s="58"/>
      <c r="E3147" s="17"/>
      <c r="F3147" s="58"/>
      <c r="G3147" s="19"/>
      <c r="H3147" s="19"/>
      <c r="I3147" s="19"/>
      <c r="J3147" s="19"/>
      <c r="K3147" s="19"/>
      <c r="L3147" s="19"/>
      <c r="M3147" s="14"/>
      <c r="N3147" s="39"/>
      <c r="Q3147" s="1"/>
      <c r="R3147" s="1"/>
      <c r="S3147" s="1"/>
      <c r="T3147" s="1"/>
      <c r="U3147" s="24"/>
      <c r="V3147" s="24"/>
      <c r="W3147" s="1"/>
      <c r="X3147" s="1"/>
      <c r="Z3147" s="94" t="s">
        <v>82</v>
      </c>
    </row>
    <row r="3148" spans="1:26" s="25" customFormat="1" ht="6.95" customHeight="1" x14ac:dyDescent="0.3">
      <c r="A3148" s="165">
        <f>+A3137+1</f>
        <v>287</v>
      </c>
      <c r="B3148" s="166"/>
      <c r="C3148" s="167"/>
      <c r="D3148" s="160" t="s">
        <v>39</v>
      </c>
      <c r="E3148" s="161"/>
      <c r="F3148" s="162" t="s">
        <v>40</v>
      </c>
      <c r="G3148" s="163"/>
      <c r="H3148" s="164"/>
      <c r="I3148" s="163"/>
      <c r="J3148" s="164"/>
      <c r="K3148" s="163"/>
      <c r="L3148" s="164"/>
      <c r="M3148" s="11"/>
      <c r="N3148" s="39"/>
      <c r="Q3148" s="15" t="str">
        <f>+CONCATENATE(E3148,G3148)</f>
        <v/>
      </c>
      <c r="R3148" s="15">
        <f>+H3148</f>
        <v>0</v>
      </c>
      <c r="S3148" s="16"/>
      <c r="T3148" s="15">
        <f>+E3148</f>
        <v>0</v>
      </c>
      <c r="U3148" s="26" t="str">
        <f>IFERROR(LEFT(G3148,FIND("*",G3148)-1),"-")</f>
        <v>-</v>
      </c>
      <c r="V3148" s="26" t="str">
        <f>IFERROR(RIGHT(G3148,LEN(G3148)-FIND("*",G3148)),"-")</f>
        <v>-</v>
      </c>
      <c r="W3148" s="27" t="str">
        <f>IFERROR((U3148+V3148)*2/1000,"-")</f>
        <v>-</v>
      </c>
      <c r="X3148" s="27" t="str">
        <f>IFERROR(W3148*H3148,"-")</f>
        <v>-</v>
      </c>
      <c r="Z3148" s="94" t="s">
        <v>82</v>
      </c>
    </row>
    <row r="3149" spans="1:26" s="25" customFormat="1" ht="6.95" customHeight="1" x14ac:dyDescent="0.3">
      <c r="A3149" s="165"/>
      <c r="B3149" s="168"/>
      <c r="C3149" s="169"/>
      <c r="D3149" s="160"/>
      <c r="E3149" s="161"/>
      <c r="F3149" s="162"/>
      <c r="G3149" s="163"/>
      <c r="H3149" s="164"/>
      <c r="I3149" s="163"/>
      <c r="J3149" s="164"/>
      <c r="K3149" s="163"/>
      <c r="L3149" s="164"/>
      <c r="M3149" s="11"/>
      <c r="N3149" s="39"/>
      <c r="Q3149" s="15" t="str">
        <f>+CONCATENATE(E3148,I3148)</f>
        <v/>
      </c>
      <c r="R3149" s="15">
        <f>+J3148</f>
        <v>0</v>
      </c>
      <c r="S3149" s="16"/>
      <c r="T3149" s="15">
        <f>+E3148</f>
        <v>0</v>
      </c>
      <c r="U3149" s="26" t="str">
        <f>IFERROR(LEFT(I3148,FIND("*",I3148)-1),"-")</f>
        <v>-</v>
      </c>
      <c r="V3149" s="26" t="str">
        <f>IFERROR(RIGHT(I3148,LEN(I3148)-FIND("*",I3148)),"-")</f>
        <v>-</v>
      </c>
      <c r="W3149" s="27" t="str">
        <f t="shared" ref="W3149:W3156" si="1714">IFERROR((U3149+V3149)*2/1000,"-")</f>
        <v>-</v>
      </c>
      <c r="X3149" s="27" t="str">
        <f>IFERROR(W3149*J3148,"-")</f>
        <v>-</v>
      </c>
      <c r="Z3149" s="94" t="s">
        <v>82</v>
      </c>
    </row>
    <row r="3150" spans="1:26" s="25" customFormat="1" ht="6.95" customHeight="1" x14ac:dyDescent="0.3">
      <c r="A3150" s="165"/>
      <c r="B3150" s="168"/>
      <c r="C3150" s="169"/>
      <c r="D3150" s="160"/>
      <c r="E3150" s="161"/>
      <c r="F3150" s="162"/>
      <c r="G3150" s="163"/>
      <c r="H3150" s="164"/>
      <c r="I3150" s="163"/>
      <c r="J3150" s="164"/>
      <c r="K3150" s="163"/>
      <c r="L3150" s="164"/>
      <c r="M3150" s="11"/>
      <c r="N3150" s="39"/>
      <c r="Q3150" s="15" t="str">
        <f>+CONCATENATE(E3148,K3148)</f>
        <v/>
      </c>
      <c r="R3150" s="15">
        <f>+L3148</f>
        <v>0</v>
      </c>
      <c r="S3150" s="16"/>
      <c r="T3150" s="15">
        <f>+E3148</f>
        <v>0</v>
      </c>
      <c r="U3150" s="26" t="str">
        <f>IFERROR(LEFT(K3148,FIND("*",K3148)-1),"-")</f>
        <v>-</v>
      </c>
      <c r="V3150" s="26" t="str">
        <f>IFERROR(RIGHT(K3148,LEN(K3148)-FIND("*",K3148)),"-")</f>
        <v>-</v>
      </c>
      <c r="W3150" s="27" t="str">
        <f t="shared" si="1714"/>
        <v>-</v>
      </c>
      <c r="X3150" s="27" t="str">
        <f>IFERROR(W3150*L3148,"-")</f>
        <v>-</v>
      </c>
      <c r="Z3150" s="94" t="s">
        <v>82</v>
      </c>
    </row>
    <row r="3151" spans="1:26" s="25" customFormat="1" ht="6.95" customHeight="1" x14ac:dyDescent="0.3">
      <c r="A3151" s="13"/>
      <c r="B3151" s="168"/>
      <c r="C3151" s="169"/>
      <c r="D3151" s="160" t="s">
        <v>39</v>
      </c>
      <c r="E3151" s="161"/>
      <c r="F3151" s="162" t="s">
        <v>40</v>
      </c>
      <c r="G3151" s="163"/>
      <c r="H3151" s="164"/>
      <c r="I3151" s="163"/>
      <c r="J3151" s="164"/>
      <c r="K3151" s="163"/>
      <c r="L3151" s="164"/>
      <c r="M3151" s="11"/>
      <c r="N3151" s="39"/>
      <c r="Q3151" s="15" t="str">
        <f>+CONCATENATE(E3151,G3151)</f>
        <v/>
      </c>
      <c r="R3151" s="15">
        <f>+H3151</f>
        <v>0</v>
      </c>
      <c r="S3151" s="16"/>
      <c r="T3151" s="15">
        <f>+E3151</f>
        <v>0</v>
      </c>
      <c r="U3151" s="26" t="str">
        <f t="shared" ref="U3151" si="1715">IFERROR(LEFT(G3151,FIND("*",G3151)-1),"-")</f>
        <v>-</v>
      </c>
      <c r="V3151" s="26" t="str">
        <f t="shared" ref="V3151" si="1716">IFERROR(RIGHT(G3151,LEN(G3151)-FIND("*",G3151)),"-")</f>
        <v>-</v>
      </c>
      <c r="W3151" s="27" t="str">
        <f t="shared" si="1714"/>
        <v>-</v>
      </c>
      <c r="X3151" s="27" t="str">
        <f>IFERROR(W3151*H3151,"-")</f>
        <v>-</v>
      </c>
      <c r="Z3151" s="94" t="s">
        <v>82</v>
      </c>
    </row>
    <row r="3152" spans="1:26" s="25" customFormat="1" ht="6.95" customHeight="1" x14ac:dyDescent="0.3">
      <c r="A3152" s="10"/>
      <c r="B3152" s="168"/>
      <c r="C3152" s="169"/>
      <c r="D3152" s="160"/>
      <c r="E3152" s="161"/>
      <c r="F3152" s="162"/>
      <c r="G3152" s="163"/>
      <c r="H3152" s="164"/>
      <c r="I3152" s="163"/>
      <c r="J3152" s="164"/>
      <c r="K3152" s="163"/>
      <c r="L3152" s="164"/>
      <c r="M3152" s="11"/>
      <c r="N3152" s="39"/>
      <c r="Q3152" s="15" t="str">
        <f>+CONCATENATE(E3151,I3151)</f>
        <v/>
      </c>
      <c r="R3152" s="15">
        <f>+J3151</f>
        <v>0</v>
      </c>
      <c r="S3152" s="16"/>
      <c r="T3152" s="15">
        <f>+E3151</f>
        <v>0</v>
      </c>
      <c r="U3152" s="26" t="str">
        <f>IFERROR(LEFT(I3151,FIND("*",I3151)-1),"-")</f>
        <v>-</v>
      </c>
      <c r="V3152" s="26" t="str">
        <f>IFERROR(RIGHT(I3151,LEN(I3151)-FIND("*",I3151)),"-")</f>
        <v>-</v>
      </c>
      <c r="W3152" s="27" t="str">
        <f t="shared" si="1714"/>
        <v>-</v>
      </c>
      <c r="X3152" s="27" t="str">
        <f>IFERROR(W3152*J3151,"-")</f>
        <v>-</v>
      </c>
      <c r="Z3152" s="94" t="s">
        <v>82</v>
      </c>
    </row>
    <row r="3153" spans="1:26" s="25" customFormat="1" ht="6.95" customHeight="1" x14ac:dyDescent="0.3">
      <c r="A3153" s="10"/>
      <c r="B3153" s="168"/>
      <c r="C3153" s="169"/>
      <c r="D3153" s="160"/>
      <c r="E3153" s="161"/>
      <c r="F3153" s="162"/>
      <c r="G3153" s="163"/>
      <c r="H3153" s="164"/>
      <c r="I3153" s="163"/>
      <c r="J3153" s="164"/>
      <c r="K3153" s="163"/>
      <c r="L3153" s="164"/>
      <c r="M3153" s="11"/>
      <c r="N3153" s="39"/>
      <c r="Q3153" s="15" t="str">
        <f>+CONCATENATE(E3151,K3151)</f>
        <v/>
      </c>
      <c r="R3153" s="15">
        <f>+L3151</f>
        <v>0</v>
      </c>
      <c r="S3153" s="16"/>
      <c r="T3153" s="15">
        <f>+E3151</f>
        <v>0</v>
      </c>
      <c r="U3153" s="26" t="str">
        <f>IFERROR(LEFT(K3151,FIND("*",K3151)-1),"-")</f>
        <v>-</v>
      </c>
      <c r="V3153" s="26" t="str">
        <f>IFERROR(RIGHT(K3151,LEN(K3151)-FIND("*",K3151)),"-")</f>
        <v>-</v>
      </c>
      <c r="W3153" s="27" t="str">
        <f t="shared" si="1714"/>
        <v>-</v>
      </c>
      <c r="X3153" s="27" t="str">
        <f>IFERROR(W3153*L3151,"-")</f>
        <v>-</v>
      </c>
      <c r="Z3153" s="94" t="s">
        <v>82</v>
      </c>
    </row>
    <row r="3154" spans="1:26" s="25" customFormat="1" ht="6.95" customHeight="1" x14ac:dyDescent="0.3">
      <c r="A3154" s="13"/>
      <c r="B3154" s="168"/>
      <c r="C3154" s="169"/>
      <c r="D3154" s="160" t="s">
        <v>39</v>
      </c>
      <c r="E3154" s="161"/>
      <c r="F3154" s="162" t="s">
        <v>40</v>
      </c>
      <c r="G3154" s="163"/>
      <c r="H3154" s="164"/>
      <c r="I3154" s="163"/>
      <c r="J3154" s="164"/>
      <c r="K3154" s="163"/>
      <c r="L3154" s="164"/>
      <c r="M3154" s="11"/>
      <c r="N3154" s="39"/>
      <c r="Q3154" s="15" t="str">
        <f>+CONCATENATE(E3154,G3154)</f>
        <v/>
      </c>
      <c r="R3154" s="15">
        <f>+H3154</f>
        <v>0</v>
      </c>
      <c r="S3154" s="16"/>
      <c r="T3154" s="15">
        <f>+E3154</f>
        <v>0</v>
      </c>
      <c r="U3154" s="26" t="str">
        <f t="shared" ref="U3154" si="1717">IFERROR(LEFT(G3154,FIND("*",G3154)-1),"-")</f>
        <v>-</v>
      </c>
      <c r="V3154" s="26" t="str">
        <f t="shared" ref="V3154" si="1718">IFERROR(RIGHT(G3154,LEN(G3154)-FIND("*",G3154)),"-")</f>
        <v>-</v>
      </c>
      <c r="W3154" s="27" t="str">
        <f t="shared" si="1714"/>
        <v>-</v>
      </c>
      <c r="X3154" s="27" t="str">
        <f>IFERROR(W3154*H3154,"-")</f>
        <v>-</v>
      </c>
      <c r="Z3154" s="94" t="s">
        <v>82</v>
      </c>
    </row>
    <row r="3155" spans="1:26" s="25" customFormat="1" ht="6.95" customHeight="1" x14ac:dyDescent="0.3">
      <c r="A3155" s="10"/>
      <c r="B3155" s="168"/>
      <c r="C3155" s="169"/>
      <c r="D3155" s="160"/>
      <c r="E3155" s="161"/>
      <c r="F3155" s="162"/>
      <c r="G3155" s="163"/>
      <c r="H3155" s="164"/>
      <c r="I3155" s="163"/>
      <c r="J3155" s="164"/>
      <c r="K3155" s="163"/>
      <c r="L3155" s="164"/>
      <c r="M3155" s="11"/>
      <c r="N3155" s="39"/>
      <c r="Q3155" s="15" t="str">
        <f>+CONCATENATE(E3154,I3154)</f>
        <v/>
      </c>
      <c r="R3155" s="15">
        <f>+J3154</f>
        <v>0</v>
      </c>
      <c r="S3155" s="16"/>
      <c r="T3155" s="15">
        <f>+E3154</f>
        <v>0</v>
      </c>
      <c r="U3155" s="26" t="str">
        <f>IFERROR(LEFT(I3154,FIND("*",I3154)-1),"-")</f>
        <v>-</v>
      </c>
      <c r="V3155" s="26" t="str">
        <f>IFERROR(RIGHT(I3154,LEN(I3154)-FIND("*",I3154)),"-")</f>
        <v>-</v>
      </c>
      <c r="W3155" s="27" t="str">
        <f t="shared" si="1714"/>
        <v>-</v>
      </c>
      <c r="X3155" s="27" t="str">
        <f t="shared" ref="X3155" si="1719">IFERROR(W3155*J3154,"-")</f>
        <v>-</v>
      </c>
      <c r="Z3155" s="94" t="s">
        <v>82</v>
      </c>
    </row>
    <row r="3156" spans="1:26" s="25" customFormat="1" ht="6.95" customHeight="1" x14ac:dyDescent="0.3">
      <c r="A3156" s="10"/>
      <c r="B3156" s="168"/>
      <c r="C3156" s="169"/>
      <c r="D3156" s="160"/>
      <c r="E3156" s="161"/>
      <c r="F3156" s="162"/>
      <c r="G3156" s="163"/>
      <c r="H3156" s="164"/>
      <c r="I3156" s="163"/>
      <c r="J3156" s="164"/>
      <c r="K3156" s="163"/>
      <c r="L3156" s="164"/>
      <c r="M3156" s="11"/>
      <c r="N3156" s="39"/>
      <c r="Q3156" s="15" t="str">
        <f>+CONCATENATE(E3154,K3154)</f>
        <v/>
      </c>
      <c r="R3156" s="15">
        <f>+L3154</f>
        <v>0</v>
      </c>
      <c r="S3156" s="16"/>
      <c r="T3156" s="15">
        <f>+E3154</f>
        <v>0</v>
      </c>
      <c r="U3156" s="26" t="str">
        <f>IFERROR(LEFT(K3154,FIND("*",K3154)-1),"-")</f>
        <v>-</v>
      </c>
      <c r="V3156" s="26" t="str">
        <f>IFERROR(RIGHT(K3154,LEN(K3154)-FIND("*",K3154)),"-")</f>
        <v>-</v>
      </c>
      <c r="W3156" s="27" t="str">
        <f t="shared" si="1714"/>
        <v>-</v>
      </c>
      <c r="X3156" s="27" t="str">
        <f>IFERROR(W3156*L3154,"-")</f>
        <v>-</v>
      </c>
      <c r="Z3156" s="94" t="s">
        <v>82</v>
      </c>
    </row>
    <row r="3157" spans="1:26" s="25" customFormat="1" ht="21" customHeight="1" thickBot="1" x14ac:dyDescent="0.35">
      <c r="A3157" s="10"/>
      <c r="B3157" s="170"/>
      <c r="C3157" s="171"/>
      <c r="D3157" s="172" t="s">
        <v>43</v>
      </c>
      <c r="E3157" s="173"/>
      <c r="F3157" s="173"/>
      <c r="G3157" s="174"/>
      <c r="H3157" s="174"/>
      <c r="I3157" s="174"/>
      <c r="J3157" s="174"/>
      <c r="K3157" s="174"/>
      <c r="L3157" s="174"/>
      <c r="M3157" s="12"/>
      <c r="N3157" s="39"/>
      <c r="U3157" s="23"/>
      <c r="V3157" s="23"/>
      <c r="Z3157" s="95" t="s">
        <v>81</v>
      </c>
    </row>
    <row r="3158" spans="1:26" s="25" customFormat="1" ht="9.9499999999999993" customHeight="1" thickBot="1" x14ac:dyDescent="0.35">
      <c r="A3158" s="6"/>
      <c r="B3158" s="14"/>
      <c r="C3158" s="119"/>
      <c r="D3158" s="58"/>
      <c r="E3158" s="17"/>
      <c r="F3158" s="58"/>
      <c r="G3158" s="19"/>
      <c r="H3158" s="19"/>
      <c r="I3158" s="19"/>
      <c r="J3158" s="19"/>
      <c r="K3158" s="19"/>
      <c r="L3158" s="19"/>
      <c r="M3158" s="14"/>
      <c r="N3158" s="39"/>
      <c r="Q3158" s="1"/>
      <c r="R3158" s="1"/>
      <c r="S3158" s="1"/>
      <c r="T3158" s="1"/>
      <c r="U3158" s="24"/>
      <c r="V3158" s="24"/>
      <c r="W3158" s="1"/>
      <c r="X3158" s="1"/>
      <c r="Z3158" s="94" t="s">
        <v>82</v>
      </c>
    </row>
    <row r="3159" spans="1:26" s="25" customFormat="1" ht="6.95" customHeight="1" x14ac:dyDescent="0.3">
      <c r="A3159" s="165">
        <f>+A3148+1</f>
        <v>288</v>
      </c>
      <c r="B3159" s="166"/>
      <c r="C3159" s="167"/>
      <c r="D3159" s="160" t="s">
        <v>39</v>
      </c>
      <c r="E3159" s="161"/>
      <c r="F3159" s="162" t="s">
        <v>40</v>
      </c>
      <c r="G3159" s="163"/>
      <c r="H3159" s="164"/>
      <c r="I3159" s="163"/>
      <c r="J3159" s="164"/>
      <c r="K3159" s="163"/>
      <c r="L3159" s="164"/>
      <c r="M3159" s="11"/>
      <c r="N3159" s="39"/>
      <c r="Q3159" s="15" t="str">
        <f>+CONCATENATE(E3159,G3159)</f>
        <v/>
      </c>
      <c r="R3159" s="15">
        <f>+H3159</f>
        <v>0</v>
      </c>
      <c r="S3159" s="16"/>
      <c r="T3159" s="15">
        <f>+E3159</f>
        <v>0</v>
      </c>
      <c r="U3159" s="26" t="str">
        <f>IFERROR(LEFT(G3159,FIND("*",G3159)-1),"-")</f>
        <v>-</v>
      </c>
      <c r="V3159" s="26" t="str">
        <f>IFERROR(RIGHT(G3159,LEN(G3159)-FIND("*",G3159)),"-")</f>
        <v>-</v>
      </c>
      <c r="W3159" s="27" t="str">
        <f>IFERROR((U3159+V3159)*2/1000,"-")</f>
        <v>-</v>
      </c>
      <c r="X3159" s="27" t="str">
        <f>IFERROR(W3159*H3159,"-")</f>
        <v>-</v>
      </c>
      <c r="Z3159" s="94" t="s">
        <v>82</v>
      </c>
    </row>
    <row r="3160" spans="1:26" s="25" customFormat="1" ht="6.95" customHeight="1" x14ac:dyDescent="0.3">
      <c r="A3160" s="165"/>
      <c r="B3160" s="168"/>
      <c r="C3160" s="169"/>
      <c r="D3160" s="160"/>
      <c r="E3160" s="161"/>
      <c r="F3160" s="162"/>
      <c r="G3160" s="163"/>
      <c r="H3160" s="164"/>
      <c r="I3160" s="163"/>
      <c r="J3160" s="164"/>
      <c r="K3160" s="163"/>
      <c r="L3160" s="164"/>
      <c r="M3160" s="11"/>
      <c r="N3160" s="39"/>
      <c r="Q3160" s="15" t="str">
        <f>+CONCATENATE(E3159,I3159)</f>
        <v/>
      </c>
      <c r="R3160" s="15">
        <f>+J3159</f>
        <v>0</v>
      </c>
      <c r="S3160" s="16"/>
      <c r="T3160" s="15">
        <f>+E3159</f>
        <v>0</v>
      </c>
      <c r="U3160" s="26" t="str">
        <f>IFERROR(LEFT(I3159,FIND("*",I3159)-1),"-")</f>
        <v>-</v>
      </c>
      <c r="V3160" s="26" t="str">
        <f>IFERROR(RIGHT(I3159,LEN(I3159)-FIND("*",I3159)),"-")</f>
        <v>-</v>
      </c>
      <c r="W3160" s="27" t="str">
        <f t="shared" ref="W3160:W3167" si="1720">IFERROR((U3160+V3160)*2/1000,"-")</f>
        <v>-</v>
      </c>
      <c r="X3160" s="27" t="str">
        <f>IFERROR(W3160*J3159,"-")</f>
        <v>-</v>
      </c>
      <c r="Z3160" s="94" t="s">
        <v>82</v>
      </c>
    </row>
    <row r="3161" spans="1:26" s="25" customFormat="1" ht="6.95" customHeight="1" x14ac:dyDescent="0.3">
      <c r="A3161" s="165"/>
      <c r="B3161" s="168"/>
      <c r="C3161" s="169"/>
      <c r="D3161" s="160"/>
      <c r="E3161" s="161"/>
      <c r="F3161" s="162"/>
      <c r="G3161" s="163"/>
      <c r="H3161" s="164"/>
      <c r="I3161" s="163"/>
      <c r="J3161" s="164"/>
      <c r="K3161" s="163"/>
      <c r="L3161" s="164"/>
      <c r="M3161" s="11"/>
      <c r="N3161" s="39"/>
      <c r="Q3161" s="15" t="str">
        <f>+CONCATENATE(E3159,K3159)</f>
        <v/>
      </c>
      <c r="R3161" s="15">
        <f>+L3159</f>
        <v>0</v>
      </c>
      <c r="S3161" s="16"/>
      <c r="T3161" s="15">
        <f>+E3159</f>
        <v>0</v>
      </c>
      <c r="U3161" s="26" t="str">
        <f>IFERROR(LEFT(K3159,FIND("*",K3159)-1),"-")</f>
        <v>-</v>
      </c>
      <c r="V3161" s="26" t="str">
        <f>IFERROR(RIGHT(K3159,LEN(K3159)-FIND("*",K3159)),"-")</f>
        <v>-</v>
      </c>
      <c r="W3161" s="27" t="str">
        <f t="shared" si="1720"/>
        <v>-</v>
      </c>
      <c r="X3161" s="27" t="str">
        <f>IFERROR(W3161*L3159,"-")</f>
        <v>-</v>
      </c>
      <c r="Z3161" s="94" t="s">
        <v>82</v>
      </c>
    </row>
    <row r="3162" spans="1:26" s="25" customFormat="1" ht="6.95" customHeight="1" x14ac:dyDescent="0.3">
      <c r="A3162" s="13"/>
      <c r="B3162" s="168"/>
      <c r="C3162" s="169"/>
      <c r="D3162" s="160" t="s">
        <v>39</v>
      </c>
      <c r="E3162" s="161"/>
      <c r="F3162" s="162" t="s">
        <v>40</v>
      </c>
      <c r="G3162" s="163"/>
      <c r="H3162" s="164"/>
      <c r="I3162" s="163"/>
      <c r="J3162" s="164"/>
      <c r="K3162" s="163"/>
      <c r="L3162" s="164"/>
      <c r="M3162" s="11"/>
      <c r="N3162" s="39"/>
      <c r="Q3162" s="15" t="str">
        <f>+CONCATENATE(E3162,G3162)</f>
        <v/>
      </c>
      <c r="R3162" s="15">
        <f>+H3162</f>
        <v>0</v>
      </c>
      <c r="S3162" s="16"/>
      <c r="T3162" s="15">
        <f>+E3162</f>
        <v>0</v>
      </c>
      <c r="U3162" s="26" t="str">
        <f t="shared" ref="U3162" si="1721">IFERROR(LEFT(G3162,FIND("*",G3162)-1),"-")</f>
        <v>-</v>
      </c>
      <c r="V3162" s="26" t="str">
        <f t="shared" ref="V3162" si="1722">IFERROR(RIGHT(G3162,LEN(G3162)-FIND("*",G3162)),"-")</f>
        <v>-</v>
      </c>
      <c r="W3162" s="27" t="str">
        <f t="shared" si="1720"/>
        <v>-</v>
      </c>
      <c r="X3162" s="27" t="str">
        <f>IFERROR(W3162*H3162,"-")</f>
        <v>-</v>
      </c>
      <c r="Z3162" s="94" t="s">
        <v>82</v>
      </c>
    </row>
    <row r="3163" spans="1:26" s="25" customFormat="1" ht="6.95" customHeight="1" x14ac:dyDescent="0.3">
      <c r="A3163" s="10"/>
      <c r="B3163" s="168"/>
      <c r="C3163" s="169"/>
      <c r="D3163" s="160"/>
      <c r="E3163" s="161"/>
      <c r="F3163" s="162"/>
      <c r="G3163" s="163"/>
      <c r="H3163" s="164"/>
      <c r="I3163" s="163"/>
      <c r="J3163" s="164"/>
      <c r="K3163" s="163"/>
      <c r="L3163" s="164"/>
      <c r="M3163" s="11"/>
      <c r="N3163" s="39"/>
      <c r="Q3163" s="15" t="str">
        <f>+CONCATENATE(E3162,I3162)</f>
        <v/>
      </c>
      <c r="R3163" s="15">
        <f>+J3162</f>
        <v>0</v>
      </c>
      <c r="S3163" s="16"/>
      <c r="T3163" s="15">
        <f>+E3162</f>
        <v>0</v>
      </c>
      <c r="U3163" s="26" t="str">
        <f>IFERROR(LEFT(I3162,FIND("*",I3162)-1),"-")</f>
        <v>-</v>
      </c>
      <c r="V3163" s="26" t="str">
        <f>IFERROR(RIGHT(I3162,LEN(I3162)-FIND("*",I3162)),"-")</f>
        <v>-</v>
      </c>
      <c r="W3163" s="27" t="str">
        <f t="shared" si="1720"/>
        <v>-</v>
      </c>
      <c r="X3163" s="27" t="str">
        <f>IFERROR(W3163*J3162,"-")</f>
        <v>-</v>
      </c>
      <c r="Z3163" s="94" t="s">
        <v>82</v>
      </c>
    </row>
    <row r="3164" spans="1:26" s="25" customFormat="1" ht="6.95" customHeight="1" x14ac:dyDescent="0.3">
      <c r="A3164" s="10"/>
      <c r="B3164" s="168"/>
      <c r="C3164" s="169"/>
      <c r="D3164" s="160"/>
      <c r="E3164" s="161"/>
      <c r="F3164" s="162"/>
      <c r="G3164" s="163"/>
      <c r="H3164" s="164"/>
      <c r="I3164" s="163"/>
      <c r="J3164" s="164"/>
      <c r="K3164" s="163"/>
      <c r="L3164" s="164"/>
      <c r="M3164" s="11"/>
      <c r="N3164" s="39"/>
      <c r="Q3164" s="15" t="str">
        <f>+CONCATENATE(E3162,K3162)</f>
        <v/>
      </c>
      <c r="R3164" s="15">
        <f>+L3162</f>
        <v>0</v>
      </c>
      <c r="S3164" s="16"/>
      <c r="T3164" s="15">
        <f>+E3162</f>
        <v>0</v>
      </c>
      <c r="U3164" s="26" t="str">
        <f>IFERROR(LEFT(K3162,FIND("*",K3162)-1),"-")</f>
        <v>-</v>
      </c>
      <c r="V3164" s="26" t="str">
        <f>IFERROR(RIGHT(K3162,LEN(K3162)-FIND("*",K3162)),"-")</f>
        <v>-</v>
      </c>
      <c r="W3164" s="27" t="str">
        <f t="shared" si="1720"/>
        <v>-</v>
      </c>
      <c r="X3164" s="27" t="str">
        <f>IFERROR(W3164*L3162,"-")</f>
        <v>-</v>
      </c>
      <c r="Z3164" s="94" t="s">
        <v>82</v>
      </c>
    </row>
    <row r="3165" spans="1:26" s="25" customFormat="1" ht="6.95" customHeight="1" x14ac:dyDescent="0.3">
      <c r="A3165" s="13"/>
      <c r="B3165" s="168"/>
      <c r="C3165" s="169"/>
      <c r="D3165" s="160" t="s">
        <v>39</v>
      </c>
      <c r="E3165" s="161"/>
      <c r="F3165" s="162" t="s">
        <v>40</v>
      </c>
      <c r="G3165" s="163"/>
      <c r="H3165" s="164"/>
      <c r="I3165" s="163"/>
      <c r="J3165" s="164"/>
      <c r="K3165" s="163"/>
      <c r="L3165" s="164"/>
      <c r="M3165" s="11"/>
      <c r="N3165" s="39"/>
      <c r="Q3165" s="15" t="str">
        <f>+CONCATENATE(E3165,G3165)</f>
        <v/>
      </c>
      <c r="R3165" s="15">
        <f>+H3165</f>
        <v>0</v>
      </c>
      <c r="S3165" s="16"/>
      <c r="T3165" s="15">
        <f>+E3165</f>
        <v>0</v>
      </c>
      <c r="U3165" s="26" t="str">
        <f t="shared" ref="U3165" si="1723">IFERROR(LEFT(G3165,FIND("*",G3165)-1),"-")</f>
        <v>-</v>
      </c>
      <c r="V3165" s="26" t="str">
        <f t="shared" ref="V3165" si="1724">IFERROR(RIGHT(G3165,LEN(G3165)-FIND("*",G3165)),"-")</f>
        <v>-</v>
      </c>
      <c r="W3165" s="27" t="str">
        <f t="shared" si="1720"/>
        <v>-</v>
      </c>
      <c r="X3165" s="27" t="str">
        <f>IFERROR(W3165*H3165,"-")</f>
        <v>-</v>
      </c>
      <c r="Z3165" s="94" t="s">
        <v>82</v>
      </c>
    </row>
    <row r="3166" spans="1:26" s="25" customFormat="1" ht="6.95" customHeight="1" x14ac:dyDescent="0.3">
      <c r="A3166" s="10"/>
      <c r="B3166" s="168"/>
      <c r="C3166" s="169"/>
      <c r="D3166" s="160"/>
      <c r="E3166" s="161"/>
      <c r="F3166" s="162"/>
      <c r="G3166" s="163"/>
      <c r="H3166" s="164"/>
      <c r="I3166" s="163"/>
      <c r="J3166" s="164"/>
      <c r="K3166" s="163"/>
      <c r="L3166" s="164"/>
      <c r="M3166" s="11"/>
      <c r="N3166" s="39"/>
      <c r="Q3166" s="15" t="str">
        <f>+CONCATENATE(E3165,I3165)</f>
        <v/>
      </c>
      <c r="R3166" s="15">
        <f>+J3165</f>
        <v>0</v>
      </c>
      <c r="S3166" s="16"/>
      <c r="T3166" s="15">
        <f>+E3165</f>
        <v>0</v>
      </c>
      <c r="U3166" s="26" t="str">
        <f>IFERROR(LEFT(I3165,FIND("*",I3165)-1),"-")</f>
        <v>-</v>
      </c>
      <c r="V3166" s="26" t="str">
        <f>IFERROR(RIGHT(I3165,LEN(I3165)-FIND("*",I3165)),"-")</f>
        <v>-</v>
      </c>
      <c r="W3166" s="27" t="str">
        <f t="shared" si="1720"/>
        <v>-</v>
      </c>
      <c r="X3166" s="27" t="str">
        <f t="shared" ref="X3166" si="1725">IFERROR(W3166*J3165,"-")</f>
        <v>-</v>
      </c>
      <c r="Z3166" s="94" t="s">
        <v>82</v>
      </c>
    </row>
    <row r="3167" spans="1:26" s="25" customFormat="1" ht="6.95" customHeight="1" x14ac:dyDescent="0.3">
      <c r="A3167" s="10"/>
      <c r="B3167" s="168"/>
      <c r="C3167" s="169"/>
      <c r="D3167" s="160"/>
      <c r="E3167" s="161"/>
      <c r="F3167" s="162"/>
      <c r="G3167" s="163"/>
      <c r="H3167" s="164"/>
      <c r="I3167" s="163"/>
      <c r="J3167" s="164"/>
      <c r="K3167" s="163"/>
      <c r="L3167" s="164"/>
      <c r="M3167" s="11"/>
      <c r="N3167" s="39"/>
      <c r="Q3167" s="15" t="str">
        <f>+CONCATENATE(E3165,K3165)</f>
        <v/>
      </c>
      <c r="R3167" s="15">
        <f>+L3165</f>
        <v>0</v>
      </c>
      <c r="S3167" s="16"/>
      <c r="T3167" s="15">
        <f>+E3165</f>
        <v>0</v>
      </c>
      <c r="U3167" s="26" t="str">
        <f>IFERROR(LEFT(K3165,FIND("*",K3165)-1),"-")</f>
        <v>-</v>
      </c>
      <c r="V3167" s="26" t="str">
        <f>IFERROR(RIGHT(K3165,LEN(K3165)-FIND("*",K3165)),"-")</f>
        <v>-</v>
      </c>
      <c r="W3167" s="27" t="str">
        <f t="shared" si="1720"/>
        <v>-</v>
      </c>
      <c r="X3167" s="27" t="str">
        <f>IFERROR(W3167*L3165,"-")</f>
        <v>-</v>
      </c>
      <c r="Z3167" s="94" t="s">
        <v>82</v>
      </c>
    </row>
    <row r="3168" spans="1:26" s="25" customFormat="1" ht="21" customHeight="1" thickBot="1" x14ac:dyDescent="0.35">
      <c r="A3168" s="10"/>
      <c r="B3168" s="170"/>
      <c r="C3168" s="171"/>
      <c r="D3168" s="172" t="s">
        <v>43</v>
      </c>
      <c r="E3168" s="173"/>
      <c r="F3168" s="173"/>
      <c r="G3168" s="174"/>
      <c r="H3168" s="174"/>
      <c r="I3168" s="174"/>
      <c r="J3168" s="174"/>
      <c r="K3168" s="174"/>
      <c r="L3168" s="174"/>
      <c r="M3168" s="12"/>
      <c r="N3168" s="39"/>
      <c r="U3168" s="23"/>
      <c r="V3168" s="23"/>
      <c r="Z3168" s="95" t="s">
        <v>81</v>
      </c>
    </row>
    <row r="3169" spans="1:26" s="25" customFormat="1" ht="9.9499999999999993" customHeight="1" thickBot="1" x14ac:dyDescent="0.35">
      <c r="A3169" s="6"/>
      <c r="B3169" s="14"/>
      <c r="C3169" s="119"/>
      <c r="D3169" s="58"/>
      <c r="E3169" s="17"/>
      <c r="F3169" s="58"/>
      <c r="G3169" s="19"/>
      <c r="H3169" s="19"/>
      <c r="I3169" s="19"/>
      <c r="J3169" s="19"/>
      <c r="K3169" s="19"/>
      <c r="L3169" s="19"/>
      <c r="M3169" s="14"/>
      <c r="N3169" s="39"/>
      <c r="Q3169" s="1"/>
      <c r="R3169" s="1"/>
      <c r="S3169" s="1"/>
      <c r="T3169" s="1"/>
      <c r="U3169" s="24"/>
      <c r="V3169" s="24"/>
      <c r="W3169" s="1"/>
      <c r="X3169" s="1"/>
      <c r="Z3169" s="94" t="s">
        <v>82</v>
      </c>
    </row>
    <row r="3170" spans="1:26" s="25" customFormat="1" ht="6.95" customHeight="1" x14ac:dyDescent="0.3">
      <c r="A3170" s="165">
        <f>+A3159+1</f>
        <v>289</v>
      </c>
      <c r="B3170" s="166"/>
      <c r="C3170" s="167"/>
      <c r="D3170" s="160" t="s">
        <v>39</v>
      </c>
      <c r="E3170" s="161"/>
      <c r="F3170" s="162" t="s">
        <v>40</v>
      </c>
      <c r="G3170" s="163"/>
      <c r="H3170" s="164"/>
      <c r="I3170" s="163"/>
      <c r="J3170" s="164"/>
      <c r="K3170" s="163"/>
      <c r="L3170" s="164"/>
      <c r="M3170" s="11"/>
      <c r="N3170" s="39"/>
      <c r="Q3170" s="15" t="str">
        <f>+CONCATENATE(E3170,G3170)</f>
        <v/>
      </c>
      <c r="R3170" s="15">
        <f>+H3170</f>
        <v>0</v>
      </c>
      <c r="S3170" s="16"/>
      <c r="T3170" s="15">
        <f>+E3170</f>
        <v>0</v>
      </c>
      <c r="U3170" s="26" t="str">
        <f>IFERROR(LEFT(G3170,FIND("*",G3170)-1),"-")</f>
        <v>-</v>
      </c>
      <c r="V3170" s="26" t="str">
        <f>IFERROR(RIGHT(G3170,LEN(G3170)-FIND("*",G3170)),"-")</f>
        <v>-</v>
      </c>
      <c r="W3170" s="27" t="str">
        <f>IFERROR((U3170+V3170)*2/1000,"-")</f>
        <v>-</v>
      </c>
      <c r="X3170" s="27" t="str">
        <f>IFERROR(W3170*H3170,"-")</f>
        <v>-</v>
      </c>
      <c r="Z3170" s="94" t="s">
        <v>82</v>
      </c>
    </row>
    <row r="3171" spans="1:26" s="25" customFormat="1" ht="6.95" customHeight="1" x14ac:dyDescent="0.3">
      <c r="A3171" s="165"/>
      <c r="B3171" s="168"/>
      <c r="C3171" s="169"/>
      <c r="D3171" s="160"/>
      <c r="E3171" s="161"/>
      <c r="F3171" s="162"/>
      <c r="G3171" s="163"/>
      <c r="H3171" s="164"/>
      <c r="I3171" s="163"/>
      <c r="J3171" s="164"/>
      <c r="K3171" s="163"/>
      <c r="L3171" s="164"/>
      <c r="M3171" s="11"/>
      <c r="N3171" s="39"/>
      <c r="Q3171" s="15" t="str">
        <f>+CONCATENATE(E3170,I3170)</f>
        <v/>
      </c>
      <c r="R3171" s="15">
        <f>+J3170</f>
        <v>0</v>
      </c>
      <c r="S3171" s="16"/>
      <c r="T3171" s="15">
        <f>+E3170</f>
        <v>0</v>
      </c>
      <c r="U3171" s="26" t="str">
        <f>IFERROR(LEFT(I3170,FIND("*",I3170)-1),"-")</f>
        <v>-</v>
      </c>
      <c r="V3171" s="26" t="str">
        <f>IFERROR(RIGHT(I3170,LEN(I3170)-FIND("*",I3170)),"-")</f>
        <v>-</v>
      </c>
      <c r="W3171" s="27" t="str">
        <f t="shared" ref="W3171:W3178" si="1726">IFERROR((U3171+V3171)*2/1000,"-")</f>
        <v>-</v>
      </c>
      <c r="X3171" s="27" t="str">
        <f>IFERROR(W3171*J3170,"-")</f>
        <v>-</v>
      </c>
      <c r="Z3171" s="94" t="s">
        <v>82</v>
      </c>
    </row>
    <row r="3172" spans="1:26" s="25" customFormat="1" ht="6.95" customHeight="1" x14ac:dyDescent="0.3">
      <c r="A3172" s="165"/>
      <c r="B3172" s="168"/>
      <c r="C3172" s="169"/>
      <c r="D3172" s="160"/>
      <c r="E3172" s="161"/>
      <c r="F3172" s="162"/>
      <c r="G3172" s="163"/>
      <c r="H3172" s="164"/>
      <c r="I3172" s="163"/>
      <c r="J3172" s="164"/>
      <c r="K3172" s="163"/>
      <c r="L3172" s="164"/>
      <c r="M3172" s="11"/>
      <c r="N3172" s="39"/>
      <c r="Q3172" s="15" t="str">
        <f>+CONCATENATE(E3170,K3170)</f>
        <v/>
      </c>
      <c r="R3172" s="15">
        <f>+L3170</f>
        <v>0</v>
      </c>
      <c r="S3172" s="16"/>
      <c r="T3172" s="15">
        <f>+E3170</f>
        <v>0</v>
      </c>
      <c r="U3172" s="26" t="str">
        <f>IFERROR(LEFT(K3170,FIND("*",K3170)-1),"-")</f>
        <v>-</v>
      </c>
      <c r="V3172" s="26" t="str">
        <f>IFERROR(RIGHT(K3170,LEN(K3170)-FIND("*",K3170)),"-")</f>
        <v>-</v>
      </c>
      <c r="W3172" s="27" t="str">
        <f t="shared" si="1726"/>
        <v>-</v>
      </c>
      <c r="X3172" s="27" t="str">
        <f>IFERROR(W3172*L3170,"-")</f>
        <v>-</v>
      </c>
      <c r="Z3172" s="94" t="s">
        <v>82</v>
      </c>
    </row>
    <row r="3173" spans="1:26" s="25" customFormat="1" ht="6.95" customHeight="1" x14ac:dyDescent="0.3">
      <c r="A3173" s="13"/>
      <c r="B3173" s="168"/>
      <c r="C3173" s="169"/>
      <c r="D3173" s="160" t="s">
        <v>39</v>
      </c>
      <c r="E3173" s="161"/>
      <c r="F3173" s="162" t="s">
        <v>40</v>
      </c>
      <c r="G3173" s="163"/>
      <c r="H3173" s="164"/>
      <c r="I3173" s="163"/>
      <c r="J3173" s="164"/>
      <c r="K3173" s="163"/>
      <c r="L3173" s="164"/>
      <c r="M3173" s="11"/>
      <c r="N3173" s="39"/>
      <c r="Q3173" s="15" t="str">
        <f>+CONCATENATE(E3173,G3173)</f>
        <v/>
      </c>
      <c r="R3173" s="15">
        <f>+H3173</f>
        <v>0</v>
      </c>
      <c r="S3173" s="16"/>
      <c r="T3173" s="15">
        <f>+E3173</f>
        <v>0</v>
      </c>
      <c r="U3173" s="26" t="str">
        <f t="shared" ref="U3173" si="1727">IFERROR(LEFT(G3173,FIND("*",G3173)-1),"-")</f>
        <v>-</v>
      </c>
      <c r="V3173" s="26" t="str">
        <f t="shared" ref="V3173" si="1728">IFERROR(RIGHT(G3173,LEN(G3173)-FIND("*",G3173)),"-")</f>
        <v>-</v>
      </c>
      <c r="W3173" s="27" t="str">
        <f t="shared" si="1726"/>
        <v>-</v>
      </c>
      <c r="X3173" s="27" t="str">
        <f>IFERROR(W3173*H3173,"-")</f>
        <v>-</v>
      </c>
      <c r="Z3173" s="94" t="s">
        <v>82</v>
      </c>
    </row>
    <row r="3174" spans="1:26" s="25" customFormat="1" ht="6.95" customHeight="1" x14ac:dyDescent="0.3">
      <c r="A3174" s="10"/>
      <c r="B3174" s="168"/>
      <c r="C3174" s="169"/>
      <c r="D3174" s="160"/>
      <c r="E3174" s="161"/>
      <c r="F3174" s="162"/>
      <c r="G3174" s="163"/>
      <c r="H3174" s="164"/>
      <c r="I3174" s="163"/>
      <c r="J3174" s="164"/>
      <c r="K3174" s="163"/>
      <c r="L3174" s="164"/>
      <c r="M3174" s="11"/>
      <c r="N3174" s="39"/>
      <c r="Q3174" s="15" t="str">
        <f>+CONCATENATE(E3173,I3173)</f>
        <v/>
      </c>
      <c r="R3174" s="15">
        <f>+J3173</f>
        <v>0</v>
      </c>
      <c r="S3174" s="16"/>
      <c r="T3174" s="15">
        <f>+E3173</f>
        <v>0</v>
      </c>
      <c r="U3174" s="26" t="str">
        <f>IFERROR(LEFT(I3173,FIND("*",I3173)-1),"-")</f>
        <v>-</v>
      </c>
      <c r="V3174" s="26" t="str">
        <f>IFERROR(RIGHT(I3173,LEN(I3173)-FIND("*",I3173)),"-")</f>
        <v>-</v>
      </c>
      <c r="W3174" s="27" t="str">
        <f t="shared" si="1726"/>
        <v>-</v>
      </c>
      <c r="X3174" s="27" t="str">
        <f>IFERROR(W3174*J3173,"-")</f>
        <v>-</v>
      </c>
      <c r="Z3174" s="94" t="s">
        <v>82</v>
      </c>
    </row>
    <row r="3175" spans="1:26" s="25" customFormat="1" ht="6.95" customHeight="1" x14ac:dyDescent="0.3">
      <c r="A3175" s="10"/>
      <c r="B3175" s="168"/>
      <c r="C3175" s="169"/>
      <c r="D3175" s="160"/>
      <c r="E3175" s="161"/>
      <c r="F3175" s="162"/>
      <c r="G3175" s="163"/>
      <c r="H3175" s="164"/>
      <c r="I3175" s="163"/>
      <c r="J3175" s="164"/>
      <c r="K3175" s="163"/>
      <c r="L3175" s="164"/>
      <c r="M3175" s="11"/>
      <c r="N3175" s="39"/>
      <c r="Q3175" s="15" t="str">
        <f>+CONCATENATE(E3173,K3173)</f>
        <v/>
      </c>
      <c r="R3175" s="15">
        <f>+L3173</f>
        <v>0</v>
      </c>
      <c r="S3175" s="16"/>
      <c r="T3175" s="15">
        <f>+E3173</f>
        <v>0</v>
      </c>
      <c r="U3175" s="26" t="str">
        <f>IFERROR(LEFT(K3173,FIND("*",K3173)-1),"-")</f>
        <v>-</v>
      </c>
      <c r="V3175" s="26" t="str">
        <f>IFERROR(RIGHT(K3173,LEN(K3173)-FIND("*",K3173)),"-")</f>
        <v>-</v>
      </c>
      <c r="W3175" s="27" t="str">
        <f t="shared" si="1726"/>
        <v>-</v>
      </c>
      <c r="X3175" s="27" t="str">
        <f>IFERROR(W3175*L3173,"-")</f>
        <v>-</v>
      </c>
      <c r="Z3175" s="94" t="s">
        <v>82</v>
      </c>
    </row>
    <row r="3176" spans="1:26" s="25" customFormat="1" ht="6.95" customHeight="1" x14ac:dyDescent="0.3">
      <c r="A3176" s="13"/>
      <c r="B3176" s="168"/>
      <c r="C3176" s="169"/>
      <c r="D3176" s="160" t="s">
        <v>39</v>
      </c>
      <c r="E3176" s="161"/>
      <c r="F3176" s="162" t="s">
        <v>40</v>
      </c>
      <c r="G3176" s="163"/>
      <c r="H3176" s="164"/>
      <c r="I3176" s="163"/>
      <c r="J3176" s="164"/>
      <c r="K3176" s="163"/>
      <c r="L3176" s="164"/>
      <c r="M3176" s="11"/>
      <c r="N3176" s="39"/>
      <c r="Q3176" s="15" t="str">
        <f>+CONCATENATE(E3176,G3176)</f>
        <v/>
      </c>
      <c r="R3176" s="15">
        <f>+H3176</f>
        <v>0</v>
      </c>
      <c r="S3176" s="16"/>
      <c r="T3176" s="15">
        <f>+E3176</f>
        <v>0</v>
      </c>
      <c r="U3176" s="26" t="str">
        <f t="shared" ref="U3176" si="1729">IFERROR(LEFT(G3176,FIND("*",G3176)-1),"-")</f>
        <v>-</v>
      </c>
      <c r="V3176" s="26" t="str">
        <f t="shared" ref="V3176" si="1730">IFERROR(RIGHT(G3176,LEN(G3176)-FIND("*",G3176)),"-")</f>
        <v>-</v>
      </c>
      <c r="W3176" s="27" t="str">
        <f t="shared" si="1726"/>
        <v>-</v>
      </c>
      <c r="X3176" s="27" t="str">
        <f>IFERROR(W3176*H3176,"-")</f>
        <v>-</v>
      </c>
      <c r="Z3176" s="94" t="s">
        <v>82</v>
      </c>
    </row>
    <row r="3177" spans="1:26" s="25" customFormat="1" ht="6.95" customHeight="1" x14ac:dyDescent="0.3">
      <c r="A3177" s="10"/>
      <c r="B3177" s="168"/>
      <c r="C3177" s="169"/>
      <c r="D3177" s="160"/>
      <c r="E3177" s="161"/>
      <c r="F3177" s="162"/>
      <c r="G3177" s="163"/>
      <c r="H3177" s="164"/>
      <c r="I3177" s="163"/>
      <c r="J3177" s="164"/>
      <c r="K3177" s="163"/>
      <c r="L3177" s="164"/>
      <c r="M3177" s="11"/>
      <c r="N3177" s="39"/>
      <c r="Q3177" s="15" t="str">
        <f>+CONCATENATE(E3176,I3176)</f>
        <v/>
      </c>
      <c r="R3177" s="15">
        <f>+J3176</f>
        <v>0</v>
      </c>
      <c r="S3177" s="16"/>
      <c r="T3177" s="15">
        <f>+E3176</f>
        <v>0</v>
      </c>
      <c r="U3177" s="26" t="str">
        <f>IFERROR(LEFT(I3176,FIND("*",I3176)-1),"-")</f>
        <v>-</v>
      </c>
      <c r="V3177" s="26" t="str">
        <f>IFERROR(RIGHT(I3176,LEN(I3176)-FIND("*",I3176)),"-")</f>
        <v>-</v>
      </c>
      <c r="W3177" s="27" t="str">
        <f t="shared" si="1726"/>
        <v>-</v>
      </c>
      <c r="X3177" s="27" t="str">
        <f t="shared" ref="X3177" si="1731">IFERROR(W3177*J3176,"-")</f>
        <v>-</v>
      </c>
      <c r="Z3177" s="94" t="s">
        <v>82</v>
      </c>
    </row>
    <row r="3178" spans="1:26" s="25" customFormat="1" ht="6.95" customHeight="1" x14ac:dyDescent="0.3">
      <c r="A3178" s="10"/>
      <c r="B3178" s="168"/>
      <c r="C3178" s="169"/>
      <c r="D3178" s="160"/>
      <c r="E3178" s="161"/>
      <c r="F3178" s="162"/>
      <c r="G3178" s="163"/>
      <c r="H3178" s="164"/>
      <c r="I3178" s="163"/>
      <c r="J3178" s="164"/>
      <c r="K3178" s="163"/>
      <c r="L3178" s="164"/>
      <c r="M3178" s="11"/>
      <c r="N3178" s="39"/>
      <c r="Q3178" s="15" t="str">
        <f>+CONCATENATE(E3176,K3176)</f>
        <v/>
      </c>
      <c r="R3178" s="15">
        <f>+L3176</f>
        <v>0</v>
      </c>
      <c r="S3178" s="16"/>
      <c r="T3178" s="15">
        <f>+E3176</f>
        <v>0</v>
      </c>
      <c r="U3178" s="26" t="str">
        <f>IFERROR(LEFT(K3176,FIND("*",K3176)-1),"-")</f>
        <v>-</v>
      </c>
      <c r="V3178" s="26" t="str">
        <f>IFERROR(RIGHT(K3176,LEN(K3176)-FIND("*",K3176)),"-")</f>
        <v>-</v>
      </c>
      <c r="W3178" s="27" t="str">
        <f t="shared" si="1726"/>
        <v>-</v>
      </c>
      <c r="X3178" s="27" t="str">
        <f>IFERROR(W3178*L3176,"-")</f>
        <v>-</v>
      </c>
      <c r="Z3178" s="94" t="s">
        <v>82</v>
      </c>
    </row>
    <row r="3179" spans="1:26" s="25" customFormat="1" ht="21" customHeight="1" thickBot="1" x14ac:dyDescent="0.35">
      <c r="A3179" s="10"/>
      <c r="B3179" s="170"/>
      <c r="C3179" s="171"/>
      <c r="D3179" s="172" t="s">
        <v>43</v>
      </c>
      <c r="E3179" s="173"/>
      <c r="F3179" s="173"/>
      <c r="G3179" s="174"/>
      <c r="H3179" s="174"/>
      <c r="I3179" s="174"/>
      <c r="J3179" s="174"/>
      <c r="K3179" s="174"/>
      <c r="L3179" s="174"/>
      <c r="M3179" s="12"/>
      <c r="N3179" s="39"/>
      <c r="U3179" s="23"/>
      <c r="V3179" s="23"/>
      <c r="Z3179" s="95" t="s">
        <v>81</v>
      </c>
    </row>
    <row r="3180" spans="1:26" s="25" customFormat="1" ht="9.9499999999999993" customHeight="1" thickBot="1" x14ac:dyDescent="0.35">
      <c r="A3180" s="6"/>
      <c r="B3180" s="14"/>
      <c r="C3180" s="119"/>
      <c r="D3180" s="58"/>
      <c r="E3180" s="17"/>
      <c r="F3180" s="58"/>
      <c r="G3180" s="19"/>
      <c r="H3180" s="19"/>
      <c r="I3180" s="19"/>
      <c r="J3180" s="19"/>
      <c r="K3180" s="19"/>
      <c r="L3180" s="19"/>
      <c r="M3180" s="14"/>
      <c r="N3180" s="39"/>
      <c r="Q3180" s="1"/>
      <c r="R3180" s="1"/>
      <c r="S3180" s="1"/>
      <c r="T3180" s="1"/>
      <c r="U3180" s="24"/>
      <c r="V3180" s="24"/>
      <c r="W3180" s="1"/>
      <c r="X3180" s="1"/>
      <c r="Z3180" s="94" t="s">
        <v>82</v>
      </c>
    </row>
    <row r="3181" spans="1:26" s="25" customFormat="1" ht="6.95" customHeight="1" x14ac:dyDescent="0.3">
      <c r="A3181" s="165">
        <f>+A3170+1</f>
        <v>290</v>
      </c>
      <c r="B3181" s="166"/>
      <c r="C3181" s="167"/>
      <c r="D3181" s="160" t="s">
        <v>39</v>
      </c>
      <c r="E3181" s="161"/>
      <c r="F3181" s="162" t="s">
        <v>40</v>
      </c>
      <c r="G3181" s="163"/>
      <c r="H3181" s="164"/>
      <c r="I3181" s="163"/>
      <c r="J3181" s="164"/>
      <c r="K3181" s="163"/>
      <c r="L3181" s="164"/>
      <c r="M3181" s="11"/>
      <c r="N3181" s="39"/>
      <c r="Q3181" s="15" t="str">
        <f>+CONCATENATE(E3181,G3181)</f>
        <v/>
      </c>
      <c r="R3181" s="15">
        <f>+H3181</f>
        <v>0</v>
      </c>
      <c r="S3181" s="16"/>
      <c r="T3181" s="15">
        <f>+E3181</f>
        <v>0</v>
      </c>
      <c r="U3181" s="26" t="str">
        <f>IFERROR(LEFT(G3181,FIND("*",G3181)-1),"-")</f>
        <v>-</v>
      </c>
      <c r="V3181" s="26" t="str">
        <f>IFERROR(RIGHT(G3181,LEN(G3181)-FIND("*",G3181)),"-")</f>
        <v>-</v>
      </c>
      <c r="W3181" s="27" t="str">
        <f>IFERROR((U3181+V3181)*2/1000,"-")</f>
        <v>-</v>
      </c>
      <c r="X3181" s="27" t="str">
        <f>IFERROR(W3181*H3181,"-")</f>
        <v>-</v>
      </c>
      <c r="Z3181" s="94" t="s">
        <v>82</v>
      </c>
    </row>
    <row r="3182" spans="1:26" s="25" customFormat="1" ht="6.95" customHeight="1" x14ac:dyDescent="0.3">
      <c r="A3182" s="165"/>
      <c r="B3182" s="168"/>
      <c r="C3182" s="169"/>
      <c r="D3182" s="160"/>
      <c r="E3182" s="161"/>
      <c r="F3182" s="162"/>
      <c r="G3182" s="163"/>
      <c r="H3182" s="164"/>
      <c r="I3182" s="163"/>
      <c r="J3182" s="164"/>
      <c r="K3182" s="163"/>
      <c r="L3182" s="164"/>
      <c r="M3182" s="11"/>
      <c r="N3182" s="39"/>
      <c r="Q3182" s="15" t="str">
        <f>+CONCATENATE(E3181,I3181)</f>
        <v/>
      </c>
      <c r="R3182" s="15">
        <f>+J3181</f>
        <v>0</v>
      </c>
      <c r="S3182" s="16"/>
      <c r="T3182" s="15">
        <f>+E3181</f>
        <v>0</v>
      </c>
      <c r="U3182" s="26" t="str">
        <f>IFERROR(LEFT(I3181,FIND("*",I3181)-1),"-")</f>
        <v>-</v>
      </c>
      <c r="V3182" s="26" t="str">
        <f>IFERROR(RIGHT(I3181,LEN(I3181)-FIND("*",I3181)),"-")</f>
        <v>-</v>
      </c>
      <c r="W3182" s="27" t="str">
        <f t="shared" ref="W3182:W3189" si="1732">IFERROR((U3182+V3182)*2/1000,"-")</f>
        <v>-</v>
      </c>
      <c r="X3182" s="27" t="str">
        <f>IFERROR(W3182*J3181,"-")</f>
        <v>-</v>
      </c>
      <c r="Z3182" s="94" t="s">
        <v>82</v>
      </c>
    </row>
    <row r="3183" spans="1:26" s="25" customFormat="1" ht="6.95" customHeight="1" x14ac:dyDescent="0.3">
      <c r="A3183" s="165"/>
      <c r="B3183" s="168"/>
      <c r="C3183" s="169"/>
      <c r="D3183" s="160"/>
      <c r="E3183" s="161"/>
      <c r="F3183" s="162"/>
      <c r="G3183" s="163"/>
      <c r="H3183" s="164"/>
      <c r="I3183" s="163"/>
      <c r="J3183" s="164"/>
      <c r="K3183" s="163"/>
      <c r="L3183" s="164"/>
      <c r="M3183" s="11"/>
      <c r="N3183" s="39"/>
      <c r="Q3183" s="15" t="str">
        <f>+CONCATENATE(E3181,K3181)</f>
        <v/>
      </c>
      <c r="R3183" s="15">
        <f>+L3181</f>
        <v>0</v>
      </c>
      <c r="S3183" s="16"/>
      <c r="T3183" s="15">
        <f>+E3181</f>
        <v>0</v>
      </c>
      <c r="U3183" s="26" t="str">
        <f>IFERROR(LEFT(K3181,FIND("*",K3181)-1),"-")</f>
        <v>-</v>
      </c>
      <c r="V3183" s="26" t="str">
        <f>IFERROR(RIGHT(K3181,LEN(K3181)-FIND("*",K3181)),"-")</f>
        <v>-</v>
      </c>
      <c r="W3183" s="27" t="str">
        <f t="shared" si="1732"/>
        <v>-</v>
      </c>
      <c r="X3183" s="27" t="str">
        <f>IFERROR(W3183*L3181,"-")</f>
        <v>-</v>
      </c>
      <c r="Z3183" s="94" t="s">
        <v>82</v>
      </c>
    </row>
    <row r="3184" spans="1:26" s="25" customFormat="1" ht="6.95" customHeight="1" x14ac:dyDescent="0.3">
      <c r="A3184" s="13"/>
      <c r="B3184" s="168"/>
      <c r="C3184" s="169"/>
      <c r="D3184" s="160" t="s">
        <v>39</v>
      </c>
      <c r="E3184" s="161"/>
      <c r="F3184" s="162" t="s">
        <v>40</v>
      </c>
      <c r="G3184" s="163"/>
      <c r="H3184" s="164"/>
      <c r="I3184" s="163"/>
      <c r="J3184" s="164"/>
      <c r="K3184" s="163"/>
      <c r="L3184" s="164"/>
      <c r="M3184" s="11"/>
      <c r="N3184" s="39"/>
      <c r="Q3184" s="15" t="str">
        <f>+CONCATENATE(E3184,G3184)</f>
        <v/>
      </c>
      <c r="R3184" s="15">
        <f>+H3184</f>
        <v>0</v>
      </c>
      <c r="S3184" s="16"/>
      <c r="T3184" s="15">
        <f>+E3184</f>
        <v>0</v>
      </c>
      <c r="U3184" s="26" t="str">
        <f t="shared" ref="U3184" si="1733">IFERROR(LEFT(G3184,FIND("*",G3184)-1),"-")</f>
        <v>-</v>
      </c>
      <c r="V3184" s="26" t="str">
        <f t="shared" ref="V3184" si="1734">IFERROR(RIGHT(G3184,LEN(G3184)-FIND("*",G3184)),"-")</f>
        <v>-</v>
      </c>
      <c r="W3184" s="27" t="str">
        <f t="shared" si="1732"/>
        <v>-</v>
      </c>
      <c r="X3184" s="27" t="str">
        <f>IFERROR(W3184*H3184,"-")</f>
        <v>-</v>
      </c>
      <c r="Z3184" s="94" t="s">
        <v>82</v>
      </c>
    </row>
    <row r="3185" spans="1:26" s="25" customFormat="1" ht="6.95" customHeight="1" x14ac:dyDescent="0.3">
      <c r="A3185" s="10"/>
      <c r="B3185" s="168"/>
      <c r="C3185" s="169"/>
      <c r="D3185" s="160"/>
      <c r="E3185" s="161"/>
      <c r="F3185" s="162"/>
      <c r="G3185" s="163"/>
      <c r="H3185" s="164"/>
      <c r="I3185" s="163"/>
      <c r="J3185" s="164"/>
      <c r="K3185" s="163"/>
      <c r="L3185" s="164"/>
      <c r="M3185" s="11"/>
      <c r="N3185" s="39"/>
      <c r="Q3185" s="15" t="str">
        <f>+CONCATENATE(E3184,I3184)</f>
        <v/>
      </c>
      <c r="R3185" s="15">
        <f>+J3184</f>
        <v>0</v>
      </c>
      <c r="S3185" s="16"/>
      <c r="T3185" s="15">
        <f>+E3184</f>
        <v>0</v>
      </c>
      <c r="U3185" s="26" t="str">
        <f>IFERROR(LEFT(I3184,FIND("*",I3184)-1),"-")</f>
        <v>-</v>
      </c>
      <c r="V3185" s="26" t="str">
        <f>IFERROR(RIGHT(I3184,LEN(I3184)-FIND("*",I3184)),"-")</f>
        <v>-</v>
      </c>
      <c r="W3185" s="27" t="str">
        <f t="shared" si="1732"/>
        <v>-</v>
      </c>
      <c r="X3185" s="27" t="str">
        <f>IFERROR(W3185*J3184,"-")</f>
        <v>-</v>
      </c>
      <c r="Z3185" s="94" t="s">
        <v>82</v>
      </c>
    </row>
    <row r="3186" spans="1:26" s="25" customFormat="1" ht="6.95" customHeight="1" x14ac:dyDescent="0.3">
      <c r="A3186" s="10"/>
      <c r="B3186" s="168"/>
      <c r="C3186" s="169"/>
      <c r="D3186" s="160"/>
      <c r="E3186" s="161"/>
      <c r="F3186" s="162"/>
      <c r="G3186" s="163"/>
      <c r="H3186" s="164"/>
      <c r="I3186" s="163"/>
      <c r="J3186" s="164"/>
      <c r="K3186" s="163"/>
      <c r="L3186" s="164"/>
      <c r="M3186" s="11"/>
      <c r="N3186" s="39"/>
      <c r="Q3186" s="15" t="str">
        <f>+CONCATENATE(E3184,K3184)</f>
        <v/>
      </c>
      <c r="R3186" s="15">
        <f>+L3184</f>
        <v>0</v>
      </c>
      <c r="S3186" s="16"/>
      <c r="T3186" s="15">
        <f>+E3184</f>
        <v>0</v>
      </c>
      <c r="U3186" s="26" t="str">
        <f>IFERROR(LEFT(K3184,FIND("*",K3184)-1),"-")</f>
        <v>-</v>
      </c>
      <c r="V3186" s="26" t="str">
        <f>IFERROR(RIGHT(K3184,LEN(K3184)-FIND("*",K3184)),"-")</f>
        <v>-</v>
      </c>
      <c r="W3186" s="27" t="str">
        <f t="shared" si="1732"/>
        <v>-</v>
      </c>
      <c r="X3186" s="27" t="str">
        <f>IFERROR(W3186*L3184,"-")</f>
        <v>-</v>
      </c>
      <c r="Z3186" s="94" t="s">
        <v>82</v>
      </c>
    </row>
    <row r="3187" spans="1:26" s="25" customFormat="1" ht="6.95" customHeight="1" x14ac:dyDescent="0.3">
      <c r="A3187" s="13"/>
      <c r="B3187" s="168"/>
      <c r="C3187" s="169"/>
      <c r="D3187" s="160" t="s">
        <v>39</v>
      </c>
      <c r="E3187" s="161"/>
      <c r="F3187" s="162" t="s">
        <v>40</v>
      </c>
      <c r="G3187" s="163"/>
      <c r="H3187" s="164"/>
      <c r="I3187" s="163"/>
      <c r="J3187" s="164"/>
      <c r="K3187" s="163"/>
      <c r="L3187" s="164"/>
      <c r="M3187" s="11"/>
      <c r="N3187" s="39"/>
      <c r="Q3187" s="15" t="str">
        <f>+CONCATENATE(E3187,G3187)</f>
        <v/>
      </c>
      <c r="R3187" s="15">
        <f>+H3187</f>
        <v>0</v>
      </c>
      <c r="S3187" s="16"/>
      <c r="T3187" s="15">
        <f>+E3187</f>
        <v>0</v>
      </c>
      <c r="U3187" s="26" t="str">
        <f t="shared" ref="U3187" si="1735">IFERROR(LEFT(G3187,FIND("*",G3187)-1),"-")</f>
        <v>-</v>
      </c>
      <c r="V3187" s="26" t="str">
        <f t="shared" ref="V3187" si="1736">IFERROR(RIGHT(G3187,LEN(G3187)-FIND("*",G3187)),"-")</f>
        <v>-</v>
      </c>
      <c r="W3187" s="27" t="str">
        <f t="shared" si="1732"/>
        <v>-</v>
      </c>
      <c r="X3187" s="27" t="str">
        <f>IFERROR(W3187*H3187,"-")</f>
        <v>-</v>
      </c>
      <c r="Z3187" s="94" t="s">
        <v>82</v>
      </c>
    </row>
    <row r="3188" spans="1:26" s="25" customFormat="1" ht="6.95" customHeight="1" x14ac:dyDescent="0.3">
      <c r="A3188" s="10"/>
      <c r="B3188" s="168"/>
      <c r="C3188" s="169"/>
      <c r="D3188" s="160"/>
      <c r="E3188" s="161"/>
      <c r="F3188" s="162"/>
      <c r="G3188" s="163"/>
      <c r="H3188" s="164"/>
      <c r="I3188" s="163"/>
      <c r="J3188" s="164"/>
      <c r="K3188" s="163"/>
      <c r="L3188" s="164"/>
      <c r="M3188" s="11"/>
      <c r="N3188" s="39"/>
      <c r="Q3188" s="15" t="str">
        <f>+CONCATENATE(E3187,I3187)</f>
        <v/>
      </c>
      <c r="R3188" s="15">
        <f>+J3187</f>
        <v>0</v>
      </c>
      <c r="S3188" s="16"/>
      <c r="T3188" s="15">
        <f>+E3187</f>
        <v>0</v>
      </c>
      <c r="U3188" s="26" t="str">
        <f>IFERROR(LEFT(I3187,FIND("*",I3187)-1),"-")</f>
        <v>-</v>
      </c>
      <c r="V3188" s="26" t="str">
        <f>IFERROR(RIGHT(I3187,LEN(I3187)-FIND("*",I3187)),"-")</f>
        <v>-</v>
      </c>
      <c r="W3188" s="27" t="str">
        <f t="shared" si="1732"/>
        <v>-</v>
      </c>
      <c r="X3188" s="27" t="str">
        <f t="shared" ref="X3188" si="1737">IFERROR(W3188*J3187,"-")</f>
        <v>-</v>
      </c>
      <c r="Z3188" s="94" t="s">
        <v>82</v>
      </c>
    </row>
    <row r="3189" spans="1:26" s="25" customFormat="1" ht="6.95" customHeight="1" x14ac:dyDescent="0.3">
      <c r="A3189" s="10"/>
      <c r="B3189" s="168"/>
      <c r="C3189" s="169"/>
      <c r="D3189" s="160"/>
      <c r="E3189" s="161"/>
      <c r="F3189" s="162"/>
      <c r="G3189" s="163"/>
      <c r="H3189" s="164"/>
      <c r="I3189" s="163"/>
      <c r="J3189" s="164"/>
      <c r="K3189" s="163"/>
      <c r="L3189" s="164"/>
      <c r="M3189" s="11"/>
      <c r="N3189" s="39"/>
      <c r="Q3189" s="15" t="str">
        <f>+CONCATENATE(E3187,K3187)</f>
        <v/>
      </c>
      <c r="R3189" s="15">
        <f>+L3187</f>
        <v>0</v>
      </c>
      <c r="S3189" s="16"/>
      <c r="T3189" s="15">
        <f>+E3187</f>
        <v>0</v>
      </c>
      <c r="U3189" s="26" t="str">
        <f>IFERROR(LEFT(K3187,FIND("*",K3187)-1),"-")</f>
        <v>-</v>
      </c>
      <c r="V3189" s="26" t="str">
        <f>IFERROR(RIGHT(K3187,LEN(K3187)-FIND("*",K3187)),"-")</f>
        <v>-</v>
      </c>
      <c r="W3189" s="27" t="str">
        <f t="shared" si="1732"/>
        <v>-</v>
      </c>
      <c r="X3189" s="27" t="str">
        <f>IFERROR(W3189*L3187,"-")</f>
        <v>-</v>
      </c>
      <c r="Z3189" s="94" t="s">
        <v>82</v>
      </c>
    </row>
    <row r="3190" spans="1:26" s="25" customFormat="1" ht="21" customHeight="1" thickBot="1" x14ac:dyDescent="0.35">
      <c r="A3190" s="10"/>
      <c r="B3190" s="170"/>
      <c r="C3190" s="171"/>
      <c r="D3190" s="172" t="s">
        <v>43</v>
      </c>
      <c r="E3190" s="173"/>
      <c r="F3190" s="173"/>
      <c r="G3190" s="174"/>
      <c r="H3190" s="174"/>
      <c r="I3190" s="174"/>
      <c r="J3190" s="174"/>
      <c r="K3190" s="174"/>
      <c r="L3190" s="174"/>
      <c r="M3190" s="12"/>
      <c r="N3190" s="39"/>
      <c r="U3190" s="23"/>
      <c r="V3190" s="23"/>
      <c r="Z3190" s="95" t="s">
        <v>81</v>
      </c>
    </row>
    <row r="3191" spans="1:26" s="25" customFormat="1" ht="9.9499999999999993" customHeight="1" thickBot="1" x14ac:dyDescent="0.35">
      <c r="A3191" s="6"/>
      <c r="B3191" s="14"/>
      <c r="C3191" s="119"/>
      <c r="D3191" s="58"/>
      <c r="E3191" s="17"/>
      <c r="F3191" s="58"/>
      <c r="G3191" s="19"/>
      <c r="H3191" s="19"/>
      <c r="I3191" s="19"/>
      <c r="J3191" s="19"/>
      <c r="K3191" s="19"/>
      <c r="L3191" s="19"/>
      <c r="M3191" s="14"/>
      <c r="N3191" s="39"/>
      <c r="Q3191" s="1"/>
      <c r="R3191" s="1"/>
      <c r="S3191" s="1"/>
      <c r="T3191" s="1"/>
      <c r="U3191" s="24"/>
      <c r="V3191" s="24"/>
      <c r="W3191" s="1"/>
      <c r="X3191" s="1"/>
      <c r="Z3191" s="94" t="s">
        <v>82</v>
      </c>
    </row>
    <row r="3192" spans="1:26" s="25" customFormat="1" ht="6.95" customHeight="1" x14ac:dyDescent="0.3">
      <c r="A3192" s="165">
        <f>+A3181+1</f>
        <v>291</v>
      </c>
      <c r="B3192" s="166"/>
      <c r="C3192" s="167"/>
      <c r="D3192" s="160" t="s">
        <v>39</v>
      </c>
      <c r="E3192" s="161"/>
      <c r="F3192" s="162" t="s">
        <v>40</v>
      </c>
      <c r="G3192" s="163"/>
      <c r="H3192" s="164"/>
      <c r="I3192" s="163"/>
      <c r="J3192" s="164"/>
      <c r="K3192" s="163"/>
      <c r="L3192" s="164"/>
      <c r="M3192" s="11"/>
      <c r="N3192" s="39"/>
      <c r="Q3192" s="15" t="str">
        <f>+CONCATENATE(E3192,G3192)</f>
        <v/>
      </c>
      <c r="R3192" s="15">
        <f>+H3192</f>
        <v>0</v>
      </c>
      <c r="S3192" s="16"/>
      <c r="T3192" s="15">
        <f>+E3192</f>
        <v>0</v>
      </c>
      <c r="U3192" s="26" t="str">
        <f>IFERROR(LEFT(G3192,FIND("*",G3192)-1),"-")</f>
        <v>-</v>
      </c>
      <c r="V3192" s="26" t="str">
        <f>IFERROR(RIGHT(G3192,LEN(G3192)-FIND("*",G3192)),"-")</f>
        <v>-</v>
      </c>
      <c r="W3192" s="27" t="str">
        <f>IFERROR((U3192+V3192)*2/1000,"-")</f>
        <v>-</v>
      </c>
      <c r="X3192" s="27" t="str">
        <f>IFERROR(W3192*H3192,"-")</f>
        <v>-</v>
      </c>
      <c r="Z3192" s="94" t="s">
        <v>82</v>
      </c>
    </row>
    <row r="3193" spans="1:26" s="25" customFormat="1" ht="6.95" customHeight="1" x14ac:dyDescent="0.3">
      <c r="A3193" s="165"/>
      <c r="B3193" s="168"/>
      <c r="C3193" s="169"/>
      <c r="D3193" s="160"/>
      <c r="E3193" s="161"/>
      <c r="F3193" s="162"/>
      <c r="G3193" s="163"/>
      <c r="H3193" s="164"/>
      <c r="I3193" s="163"/>
      <c r="J3193" s="164"/>
      <c r="K3193" s="163"/>
      <c r="L3193" s="164"/>
      <c r="M3193" s="11"/>
      <c r="N3193" s="39"/>
      <c r="Q3193" s="15" t="str">
        <f>+CONCATENATE(E3192,I3192)</f>
        <v/>
      </c>
      <c r="R3193" s="15">
        <f>+J3192</f>
        <v>0</v>
      </c>
      <c r="S3193" s="16"/>
      <c r="T3193" s="15">
        <f>+E3192</f>
        <v>0</v>
      </c>
      <c r="U3193" s="26" t="str">
        <f>IFERROR(LEFT(I3192,FIND("*",I3192)-1),"-")</f>
        <v>-</v>
      </c>
      <c r="V3193" s="26" t="str">
        <f>IFERROR(RIGHT(I3192,LEN(I3192)-FIND("*",I3192)),"-")</f>
        <v>-</v>
      </c>
      <c r="W3193" s="27" t="str">
        <f t="shared" ref="W3193:W3200" si="1738">IFERROR((U3193+V3193)*2/1000,"-")</f>
        <v>-</v>
      </c>
      <c r="X3193" s="27" t="str">
        <f>IFERROR(W3193*J3192,"-")</f>
        <v>-</v>
      </c>
      <c r="Z3193" s="94" t="s">
        <v>82</v>
      </c>
    </row>
    <row r="3194" spans="1:26" s="25" customFormat="1" ht="6.95" customHeight="1" x14ac:dyDescent="0.3">
      <c r="A3194" s="165"/>
      <c r="B3194" s="168"/>
      <c r="C3194" s="169"/>
      <c r="D3194" s="160"/>
      <c r="E3194" s="161"/>
      <c r="F3194" s="162"/>
      <c r="G3194" s="163"/>
      <c r="H3194" s="164"/>
      <c r="I3194" s="163"/>
      <c r="J3194" s="164"/>
      <c r="K3194" s="163"/>
      <c r="L3194" s="164"/>
      <c r="M3194" s="11"/>
      <c r="N3194" s="39"/>
      <c r="Q3194" s="15" t="str">
        <f>+CONCATENATE(E3192,K3192)</f>
        <v/>
      </c>
      <c r="R3194" s="15">
        <f>+L3192</f>
        <v>0</v>
      </c>
      <c r="S3194" s="16"/>
      <c r="T3194" s="15">
        <f>+E3192</f>
        <v>0</v>
      </c>
      <c r="U3194" s="26" t="str">
        <f>IFERROR(LEFT(K3192,FIND("*",K3192)-1),"-")</f>
        <v>-</v>
      </c>
      <c r="V3194" s="26" t="str">
        <f>IFERROR(RIGHT(K3192,LEN(K3192)-FIND("*",K3192)),"-")</f>
        <v>-</v>
      </c>
      <c r="W3194" s="27" t="str">
        <f t="shared" si="1738"/>
        <v>-</v>
      </c>
      <c r="X3194" s="27" t="str">
        <f>IFERROR(W3194*L3192,"-")</f>
        <v>-</v>
      </c>
      <c r="Z3194" s="94" t="s">
        <v>82</v>
      </c>
    </row>
    <row r="3195" spans="1:26" s="25" customFormat="1" ht="6.95" customHeight="1" x14ac:dyDescent="0.3">
      <c r="A3195" s="13"/>
      <c r="B3195" s="168"/>
      <c r="C3195" s="169"/>
      <c r="D3195" s="160" t="s">
        <v>39</v>
      </c>
      <c r="E3195" s="161"/>
      <c r="F3195" s="162" t="s">
        <v>40</v>
      </c>
      <c r="G3195" s="163"/>
      <c r="H3195" s="164"/>
      <c r="I3195" s="163"/>
      <c r="J3195" s="164"/>
      <c r="K3195" s="163"/>
      <c r="L3195" s="164"/>
      <c r="M3195" s="11"/>
      <c r="N3195" s="39"/>
      <c r="Q3195" s="15" t="str">
        <f>+CONCATENATE(E3195,G3195)</f>
        <v/>
      </c>
      <c r="R3195" s="15">
        <f>+H3195</f>
        <v>0</v>
      </c>
      <c r="S3195" s="16"/>
      <c r="T3195" s="15">
        <f>+E3195</f>
        <v>0</v>
      </c>
      <c r="U3195" s="26" t="str">
        <f t="shared" ref="U3195" si="1739">IFERROR(LEFT(G3195,FIND("*",G3195)-1),"-")</f>
        <v>-</v>
      </c>
      <c r="V3195" s="26" t="str">
        <f t="shared" ref="V3195" si="1740">IFERROR(RIGHT(G3195,LEN(G3195)-FIND("*",G3195)),"-")</f>
        <v>-</v>
      </c>
      <c r="W3195" s="27" t="str">
        <f t="shared" si="1738"/>
        <v>-</v>
      </c>
      <c r="X3195" s="27" t="str">
        <f>IFERROR(W3195*H3195,"-")</f>
        <v>-</v>
      </c>
      <c r="Z3195" s="94" t="s">
        <v>82</v>
      </c>
    </row>
    <row r="3196" spans="1:26" s="25" customFormat="1" ht="6.95" customHeight="1" x14ac:dyDescent="0.3">
      <c r="A3196" s="10"/>
      <c r="B3196" s="168"/>
      <c r="C3196" s="169"/>
      <c r="D3196" s="160"/>
      <c r="E3196" s="161"/>
      <c r="F3196" s="162"/>
      <c r="G3196" s="163"/>
      <c r="H3196" s="164"/>
      <c r="I3196" s="163"/>
      <c r="J3196" s="164"/>
      <c r="K3196" s="163"/>
      <c r="L3196" s="164"/>
      <c r="M3196" s="11"/>
      <c r="N3196" s="39"/>
      <c r="Q3196" s="15" t="str">
        <f>+CONCATENATE(E3195,I3195)</f>
        <v/>
      </c>
      <c r="R3196" s="15">
        <f>+J3195</f>
        <v>0</v>
      </c>
      <c r="S3196" s="16"/>
      <c r="T3196" s="15">
        <f>+E3195</f>
        <v>0</v>
      </c>
      <c r="U3196" s="26" t="str">
        <f>IFERROR(LEFT(I3195,FIND("*",I3195)-1),"-")</f>
        <v>-</v>
      </c>
      <c r="V3196" s="26" t="str">
        <f>IFERROR(RIGHT(I3195,LEN(I3195)-FIND("*",I3195)),"-")</f>
        <v>-</v>
      </c>
      <c r="W3196" s="27" t="str">
        <f t="shared" si="1738"/>
        <v>-</v>
      </c>
      <c r="X3196" s="27" t="str">
        <f>IFERROR(W3196*J3195,"-")</f>
        <v>-</v>
      </c>
      <c r="Z3196" s="94" t="s">
        <v>82</v>
      </c>
    </row>
    <row r="3197" spans="1:26" s="25" customFormat="1" ht="6.95" customHeight="1" x14ac:dyDescent="0.3">
      <c r="A3197" s="10"/>
      <c r="B3197" s="168"/>
      <c r="C3197" s="169"/>
      <c r="D3197" s="160"/>
      <c r="E3197" s="161"/>
      <c r="F3197" s="162"/>
      <c r="G3197" s="163"/>
      <c r="H3197" s="164"/>
      <c r="I3197" s="163"/>
      <c r="J3197" s="164"/>
      <c r="K3197" s="163"/>
      <c r="L3197" s="164"/>
      <c r="M3197" s="11"/>
      <c r="N3197" s="39"/>
      <c r="Q3197" s="15" t="str">
        <f>+CONCATENATE(E3195,K3195)</f>
        <v/>
      </c>
      <c r="R3197" s="15">
        <f>+L3195</f>
        <v>0</v>
      </c>
      <c r="S3197" s="16"/>
      <c r="T3197" s="15">
        <f>+E3195</f>
        <v>0</v>
      </c>
      <c r="U3197" s="26" t="str">
        <f>IFERROR(LEFT(K3195,FIND("*",K3195)-1),"-")</f>
        <v>-</v>
      </c>
      <c r="V3197" s="26" t="str">
        <f>IFERROR(RIGHT(K3195,LEN(K3195)-FIND("*",K3195)),"-")</f>
        <v>-</v>
      </c>
      <c r="W3197" s="27" t="str">
        <f t="shared" si="1738"/>
        <v>-</v>
      </c>
      <c r="X3197" s="27" t="str">
        <f>IFERROR(W3197*L3195,"-")</f>
        <v>-</v>
      </c>
      <c r="Z3197" s="94" t="s">
        <v>82</v>
      </c>
    </row>
    <row r="3198" spans="1:26" s="25" customFormat="1" ht="6.95" customHeight="1" x14ac:dyDescent="0.3">
      <c r="A3198" s="13"/>
      <c r="B3198" s="168"/>
      <c r="C3198" s="169"/>
      <c r="D3198" s="160" t="s">
        <v>39</v>
      </c>
      <c r="E3198" s="161"/>
      <c r="F3198" s="162" t="s">
        <v>40</v>
      </c>
      <c r="G3198" s="163"/>
      <c r="H3198" s="164"/>
      <c r="I3198" s="163"/>
      <c r="J3198" s="164"/>
      <c r="K3198" s="163"/>
      <c r="L3198" s="164"/>
      <c r="M3198" s="11"/>
      <c r="N3198" s="39"/>
      <c r="Q3198" s="15" t="str">
        <f>+CONCATENATE(E3198,G3198)</f>
        <v/>
      </c>
      <c r="R3198" s="15">
        <f>+H3198</f>
        <v>0</v>
      </c>
      <c r="S3198" s="16"/>
      <c r="T3198" s="15">
        <f>+E3198</f>
        <v>0</v>
      </c>
      <c r="U3198" s="26" t="str">
        <f t="shared" ref="U3198" si="1741">IFERROR(LEFT(G3198,FIND("*",G3198)-1),"-")</f>
        <v>-</v>
      </c>
      <c r="V3198" s="26" t="str">
        <f t="shared" ref="V3198" si="1742">IFERROR(RIGHT(G3198,LEN(G3198)-FIND("*",G3198)),"-")</f>
        <v>-</v>
      </c>
      <c r="W3198" s="27" t="str">
        <f t="shared" si="1738"/>
        <v>-</v>
      </c>
      <c r="X3198" s="27" t="str">
        <f>IFERROR(W3198*H3198,"-")</f>
        <v>-</v>
      </c>
      <c r="Z3198" s="94" t="s">
        <v>82</v>
      </c>
    </row>
    <row r="3199" spans="1:26" s="25" customFormat="1" ht="6.95" customHeight="1" x14ac:dyDescent="0.3">
      <c r="A3199" s="10"/>
      <c r="B3199" s="168"/>
      <c r="C3199" s="169"/>
      <c r="D3199" s="160"/>
      <c r="E3199" s="161"/>
      <c r="F3199" s="162"/>
      <c r="G3199" s="163"/>
      <c r="H3199" s="164"/>
      <c r="I3199" s="163"/>
      <c r="J3199" s="164"/>
      <c r="K3199" s="163"/>
      <c r="L3199" s="164"/>
      <c r="M3199" s="11"/>
      <c r="N3199" s="39"/>
      <c r="Q3199" s="15" t="str">
        <f>+CONCATENATE(E3198,I3198)</f>
        <v/>
      </c>
      <c r="R3199" s="15">
        <f>+J3198</f>
        <v>0</v>
      </c>
      <c r="S3199" s="16"/>
      <c r="T3199" s="15">
        <f>+E3198</f>
        <v>0</v>
      </c>
      <c r="U3199" s="26" t="str">
        <f>IFERROR(LEFT(I3198,FIND("*",I3198)-1),"-")</f>
        <v>-</v>
      </c>
      <c r="V3199" s="26" t="str">
        <f>IFERROR(RIGHT(I3198,LEN(I3198)-FIND("*",I3198)),"-")</f>
        <v>-</v>
      </c>
      <c r="W3199" s="27" t="str">
        <f t="shared" si="1738"/>
        <v>-</v>
      </c>
      <c r="X3199" s="27" t="str">
        <f t="shared" ref="X3199" si="1743">IFERROR(W3199*J3198,"-")</f>
        <v>-</v>
      </c>
      <c r="Z3199" s="94" t="s">
        <v>82</v>
      </c>
    </row>
    <row r="3200" spans="1:26" s="25" customFormat="1" ht="6.95" customHeight="1" x14ac:dyDescent="0.3">
      <c r="A3200" s="10"/>
      <c r="B3200" s="168"/>
      <c r="C3200" s="169"/>
      <c r="D3200" s="160"/>
      <c r="E3200" s="161"/>
      <c r="F3200" s="162"/>
      <c r="G3200" s="163"/>
      <c r="H3200" s="164"/>
      <c r="I3200" s="163"/>
      <c r="J3200" s="164"/>
      <c r="K3200" s="163"/>
      <c r="L3200" s="164"/>
      <c r="M3200" s="11"/>
      <c r="N3200" s="39"/>
      <c r="Q3200" s="15" t="str">
        <f>+CONCATENATE(E3198,K3198)</f>
        <v/>
      </c>
      <c r="R3200" s="15">
        <f>+L3198</f>
        <v>0</v>
      </c>
      <c r="S3200" s="16"/>
      <c r="T3200" s="15">
        <f>+E3198</f>
        <v>0</v>
      </c>
      <c r="U3200" s="26" t="str">
        <f>IFERROR(LEFT(K3198,FIND("*",K3198)-1),"-")</f>
        <v>-</v>
      </c>
      <c r="V3200" s="26" t="str">
        <f>IFERROR(RIGHT(K3198,LEN(K3198)-FIND("*",K3198)),"-")</f>
        <v>-</v>
      </c>
      <c r="W3200" s="27" t="str">
        <f t="shared" si="1738"/>
        <v>-</v>
      </c>
      <c r="X3200" s="27" t="str">
        <f>IFERROR(W3200*L3198,"-")</f>
        <v>-</v>
      </c>
      <c r="Z3200" s="94" t="s">
        <v>82</v>
      </c>
    </row>
    <row r="3201" spans="1:26" s="25" customFormat="1" ht="21" customHeight="1" thickBot="1" x14ac:dyDescent="0.35">
      <c r="A3201" s="10"/>
      <c r="B3201" s="170"/>
      <c r="C3201" s="171"/>
      <c r="D3201" s="172" t="s">
        <v>43</v>
      </c>
      <c r="E3201" s="173"/>
      <c r="F3201" s="173"/>
      <c r="G3201" s="174"/>
      <c r="H3201" s="174"/>
      <c r="I3201" s="174"/>
      <c r="J3201" s="174"/>
      <c r="K3201" s="174"/>
      <c r="L3201" s="174"/>
      <c r="M3201" s="12"/>
      <c r="N3201" s="39"/>
      <c r="U3201" s="23"/>
      <c r="V3201" s="23"/>
      <c r="Z3201" s="95" t="s">
        <v>81</v>
      </c>
    </row>
    <row r="3202" spans="1:26" s="25" customFormat="1" ht="9.9499999999999993" customHeight="1" thickBot="1" x14ac:dyDescent="0.35">
      <c r="A3202" s="6"/>
      <c r="B3202" s="14"/>
      <c r="C3202" s="119"/>
      <c r="D3202" s="58"/>
      <c r="E3202" s="17"/>
      <c r="F3202" s="58"/>
      <c r="G3202" s="19"/>
      <c r="H3202" s="19"/>
      <c r="I3202" s="19"/>
      <c r="J3202" s="19"/>
      <c r="K3202" s="19"/>
      <c r="L3202" s="19"/>
      <c r="M3202" s="14"/>
      <c r="N3202" s="39"/>
      <c r="Q3202" s="1"/>
      <c r="R3202" s="1"/>
      <c r="S3202" s="1"/>
      <c r="T3202" s="1"/>
      <c r="U3202" s="24"/>
      <c r="V3202" s="24"/>
      <c r="W3202" s="1"/>
      <c r="X3202" s="1"/>
      <c r="Z3202" s="94" t="s">
        <v>82</v>
      </c>
    </row>
    <row r="3203" spans="1:26" s="25" customFormat="1" ht="6.95" customHeight="1" x14ac:dyDescent="0.3">
      <c r="A3203" s="165">
        <f>+A3192+1</f>
        <v>292</v>
      </c>
      <c r="B3203" s="166"/>
      <c r="C3203" s="167"/>
      <c r="D3203" s="160" t="s">
        <v>39</v>
      </c>
      <c r="E3203" s="161"/>
      <c r="F3203" s="162" t="s">
        <v>40</v>
      </c>
      <c r="G3203" s="163"/>
      <c r="H3203" s="164"/>
      <c r="I3203" s="163"/>
      <c r="J3203" s="164"/>
      <c r="K3203" s="163"/>
      <c r="L3203" s="164"/>
      <c r="M3203" s="11"/>
      <c r="N3203" s="39"/>
      <c r="Q3203" s="15" t="str">
        <f>+CONCATENATE(E3203,G3203)</f>
        <v/>
      </c>
      <c r="R3203" s="15">
        <f>+H3203</f>
        <v>0</v>
      </c>
      <c r="S3203" s="16"/>
      <c r="T3203" s="15">
        <f>+E3203</f>
        <v>0</v>
      </c>
      <c r="U3203" s="26" t="str">
        <f>IFERROR(LEFT(G3203,FIND("*",G3203)-1),"-")</f>
        <v>-</v>
      </c>
      <c r="V3203" s="26" t="str">
        <f>IFERROR(RIGHT(G3203,LEN(G3203)-FIND("*",G3203)),"-")</f>
        <v>-</v>
      </c>
      <c r="W3203" s="27" t="str">
        <f>IFERROR((U3203+V3203)*2/1000,"-")</f>
        <v>-</v>
      </c>
      <c r="X3203" s="27" t="str">
        <f>IFERROR(W3203*H3203,"-")</f>
        <v>-</v>
      </c>
      <c r="Z3203" s="94" t="s">
        <v>82</v>
      </c>
    </row>
    <row r="3204" spans="1:26" s="25" customFormat="1" ht="6.95" customHeight="1" x14ac:dyDescent="0.3">
      <c r="A3204" s="165"/>
      <c r="B3204" s="168"/>
      <c r="C3204" s="169"/>
      <c r="D3204" s="160"/>
      <c r="E3204" s="161"/>
      <c r="F3204" s="162"/>
      <c r="G3204" s="163"/>
      <c r="H3204" s="164"/>
      <c r="I3204" s="163"/>
      <c r="J3204" s="164"/>
      <c r="K3204" s="163"/>
      <c r="L3204" s="164"/>
      <c r="M3204" s="11"/>
      <c r="N3204" s="39"/>
      <c r="Q3204" s="15" t="str">
        <f>+CONCATENATE(E3203,I3203)</f>
        <v/>
      </c>
      <c r="R3204" s="15">
        <f>+J3203</f>
        <v>0</v>
      </c>
      <c r="S3204" s="16"/>
      <c r="T3204" s="15">
        <f>+E3203</f>
        <v>0</v>
      </c>
      <c r="U3204" s="26" t="str">
        <f>IFERROR(LEFT(I3203,FIND("*",I3203)-1),"-")</f>
        <v>-</v>
      </c>
      <c r="V3204" s="26" t="str">
        <f>IFERROR(RIGHT(I3203,LEN(I3203)-FIND("*",I3203)),"-")</f>
        <v>-</v>
      </c>
      <c r="W3204" s="27" t="str">
        <f t="shared" ref="W3204:W3211" si="1744">IFERROR((U3204+V3204)*2/1000,"-")</f>
        <v>-</v>
      </c>
      <c r="X3204" s="27" t="str">
        <f>IFERROR(W3204*J3203,"-")</f>
        <v>-</v>
      </c>
      <c r="Z3204" s="94" t="s">
        <v>82</v>
      </c>
    </row>
    <row r="3205" spans="1:26" s="25" customFormat="1" ht="6.95" customHeight="1" x14ac:dyDescent="0.3">
      <c r="A3205" s="165"/>
      <c r="B3205" s="168"/>
      <c r="C3205" s="169"/>
      <c r="D3205" s="160"/>
      <c r="E3205" s="161"/>
      <c r="F3205" s="162"/>
      <c r="G3205" s="163"/>
      <c r="H3205" s="164"/>
      <c r="I3205" s="163"/>
      <c r="J3205" s="164"/>
      <c r="K3205" s="163"/>
      <c r="L3205" s="164"/>
      <c r="M3205" s="11"/>
      <c r="N3205" s="39"/>
      <c r="Q3205" s="15" t="str">
        <f>+CONCATENATE(E3203,K3203)</f>
        <v/>
      </c>
      <c r="R3205" s="15">
        <f>+L3203</f>
        <v>0</v>
      </c>
      <c r="S3205" s="16"/>
      <c r="T3205" s="15">
        <f>+E3203</f>
        <v>0</v>
      </c>
      <c r="U3205" s="26" t="str">
        <f>IFERROR(LEFT(K3203,FIND("*",K3203)-1),"-")</f>
        <v>-</v>
      </c>
      <c r="V3205" s="26" t="str">
        <f>IFERROR(RIGHT(K3203,LEN(K3203)-FIND("*",K3203)),"-")</f>
        <v>-</v>
      </c>
      <c r="W3205" s="27" t="str">
        <f t="shared" si="1744"/>
        <v>-</v>
      </c>
      <c r="X3205" s="27" t="str">
        <f>IFERROR(W3205*L3203,"-")</f>
        <v>-</v>
      </c>
      <c r="Z3205" s="94" t="s">
        <v>82</v>
      </c>
    </row>
    <row r="3206" spans="1:26" s="25" customFormat="1" ht="6.95" customHeight="1" x14ac:dyDescent="0.3">
      <c r="A3206" s="13"/>
      <c r="B3206" s="168"/>
      <c r="C3206" s="169"/>
      <c r="D3206" s="160" t="s">
        <v>39</v>
      </c>
      <c r="E3206" s="161"/>
      <c r="F3206" s="162" t="s">
        <v>40</v>
      </c>
      <c r="G3206" s="163"/>
      <c r="H3206" s="164"/>
      <c r="I3206" s="163"/>
      <c r="J3206" s="164"/>
      <c r="K3206" s="163"/>
      <c r="L3206" s="164"/>
      <c r="M3206" s="11"/>
      <c r="N3206" s="39"/>
      <c r="Q3206" s="15" t="str">
        <f>+CONCATENATE(E3206,G3206)</f>
        <v/>
      </c>
      <c r="R3206" s="15">
        <f>+H3206</f>
        <v>0</v>
      </c>
      <c r="S3206" s="16"/>
      <c r="T3206" s="15">
        <f>+E3206</f>
        <v>0</v>
      </c>
      <c r="U3206" s="26" t="str">
        <f t="shared" ref="U3206" si="1745">IFERROR(LEFT(G3206,FIND("*",G3206)-1),"-")</f>
        <v>-</v>
      </c>
      <c r="V3206" s="26" t="str">
        <f t="shared" ref="V3206" si="1746">IFERROR(RIGHT(G3206,LEN(G3206)-FIND("*",G3206)),"-")</f>
        <v>-</v>
      </c>
      <c r="W3206" s="27" t="str">
        <f t="shared" si="1744"/>
        <v>-</v>
      </c>
      <c r="X3206" s="27" t="str">
        <f>IFERROR(W3206*H3206,"-")</f>
        <v>-</v>
      </c>
      <c r="Z3206" s="94" t="s">
        <v>82</v>
      </c>
    </row>
    <row r="3207" spans="1:26" s="25" customFormat="1" ht="6.95" customHeight="1" x14ac:dyDescent="0.3">
      <c r="A3207" s="10"/>
      <c r="B3207" s="168"/>
      <c r="C3207" s="169"/>
      <c r="D3207" s="160"/>
      <c r="E3207" s="161"/>
      <c r="F3207" s="162"/>
      <c r="G3207" s="163"/>
      <c r="H3207" s="164"/>
      <c r="I3207" s="163"/>
      <c r="J3207" s="164"/>
      <c r="K3207" s="163"/>
      <c r="L3207" s="164"/>
      <c r="M3207" s="11"/>
      <c r="N3207" s="39"/>
      <c r="Q3207" s="15" t="str">
        <f>+CONCATENATE(E3206,I3206)</f>
        <v/>
      </c>
      <c r="R3207" s="15">
        <f>+J3206</f>
        <v>0</v>
      </c>
      <c r="S3207" s="16"/>
      <c r="T3207" s="15">
        <f>+E3206</f>
        <v>0</v>
      </c>
      <c r="U3207" s="26" t="str">
        <f>IFERROR(LEFT(I3206,FIND("*",I3206)-1),"-")</f>
        <v>-</v>
      </c>
      <c r="V3207" s="26" t="str">
        <f>IFERROR(RIGHT(I3206,LEN(I3206)-FIND("*",I3206)),"-")</f>
        <v>-</v>
      </c>
      <c r="W3207" s="27" t="str">
        <f t="shared" si="1744"/>
        <v>-</v>
      </c>
      <c r="X3207" s="27" t="str">
        <f>IFERROR(W3207*J3206,"-")</f>
        <v>-</v>
      </c>
      <c r="Z3207" s="94" t="s">
        <v>82</v>
      </c>
    </row>
    <row r="3208" spans="1:26" s="25" customFormat="1" ht="6.95" customHeight="1" x14ac:dyDescent="0.3">
      <c r="A3208" s="10"/>
      <c r="B3208" s="168"/>
      <c r="C3208" s="169"/>
      <c r="D3208" s="160"/>
      <c r="E3208" s="161"/>
      <c r="F3208" s="162"/>
      <c r="G3208" s="163"/>
      <c r="H3208" s="164"/>
      <c r="I3208" s="163"/>
      <c r="J3208" s="164"/>
      <c r="K3208" s="163"/>
      <c r="L3208" s="164"/>
      <c r="M3208" s="11"/>
      <c r="N3208" s="39"/>
      <c r="Q3208" s="15" t="str">
        <f>+CONCATENATE(E3206,K3206)</f>
        <v/>
      </c>
      <c r="R3208" s="15">
        <f>+L3206</f>
        <v>0</v>
      </c>
      <c r="S3208" s="16"/>
      <c r="T3208" s="15">
        <f>+E3206</f>
        <v>0</v>
      </c>
      <c r="U3208" s="26" t="str">
        <f>IFERROR(LEFT(K3206,FIND("*",K3206)-1),"-")</f>
        <v>-</v>
      </c>
      <c r="V3208" s="26" t="str">
        <f>IFERROR(RIGHT(K3206,LEN(K3206)-FIND("*",K3206)),"-")</f>
        <v>-</v>
      </c>
      <c r="W3208" s="27" t="str">
        <f t="shared" si="1744"/>
        <v>-</v>
      </c>
      <c r="X3208" s="27" t="str">
        <f>IFERROR(W3208*L3206,"-")</f>
        <v>-</v>
      </c>
      <c r="Z3208" s="94" t="s">
        <v>82</v>
      </c>
    </row>
    <row r="3209" spans="1:26" s="25" customFormat="1" ht="6.95" customHeight="1" x14ac:dyDescent="0.3">
      <c r="A3209" s="13"/>
      <c r="B3209" s="168"/>
      <c r="C3209" s="169"/>
      <c r="D3209" s="160" t="s">
        <v>39</v>
      </c>
      <c r="E3209" s="161"/>
      <c r="F3209" s="162" t="s">
        <v>40</v>
      </c>
      <c r="G3209" s="163"/>
      <c r="H3209" s="164"/>
      <c r="I3209" s="163"/>
      <c r="J3209" s="164"/>
      <c r="K3209" s="163"/>
      <c r="L3209" s="164"/>
      <c r="M3209" s="11"/>
      <c r="N3209" s="39"/>
      <c r="Q3209" s="15" t="str">
        <f>+CONCATENATE(E3209,G3209)</f>
        <v/>
      </c>
      <c r="R3209" s="15">
        <f>+H3209</f>
        <v>0</v>
      </c>
      <c r="S3209" s="16"/>
      <c r="T3209" s="15">
        <f>+E3209</f>
        <v>0</v>
      </c>
      <c r="U3209" s="26" t="str">
        <f t="shared" ref="U3209" si="1747">IFERROR(LEFT(G3209,FIND("*",G3209)-1),"-")</f>
        <v>-</v>
      </c>
      <c r="V3209" s="26" t="str">
        <f t="shared" ref="V3209" si="1748">IFERROR(RIGHT(G3209,LEN(G3209)-FIND("*",G3209)),"-")</f>
        <v>-</v>
      </c>
      <c r="W3209" s="27" t="str">
        <f t="shared" si="1744"/>
        <v>-</v>
      </c>
      <c r="X3209" s="27" t="str">
        <f>IFERROR(W3209*H3209,"-")</f>
        <v>-</v>
      </c>
      <c r="Z3209" s="94" t="s">
        <v>82</v>
      </c>
    </row>
    <row r="3210" spans="1:26" s="25" customFormat="1" ht="6.95" customHeight="1" x14ac:dyDescent="0.3">
      <c r="A3210" s="10"/>
      <c r="B3210" s="168"/>
      <c r="C3210" s="169"/>
      <c r="D3210" s="160"/>
      <c r="E3210" s="161"/>
      <c r="F3210" s="162"/>
      <c r="G3210" s="163"/>
      <c r="H3210" s="164"/>
      <c r="I3210" s="163"/>
      <c r="J3210" s="164"/>
      <c r="K3210" s="163"/>
      <c r="L3210" s="164"/>
      <c r="M3210" s="11"/>
      <c r="N3210" s="39"/>
      <c r="Q3210" s="15" t="str">
        <f>+CONCATENATE(E3209,I3209)</f>
        <v/>
      </c>
      <c r="R3210" s="15">
        <f>+J3209</f>
        <v>0</v>
      </c>
      <c r="S3210" s="16"/>
      <c r="T3210" s="15">
        <f>+E3209</f>
        <v>0</v>
      </c>
      <c r="U3210" s="26" t="str">
        <f>IFERROR(LEFT(I3209,FIND("*",I3209)-1),"-")</f>
        <v>-</v>
      </c>
      <c r="V3210" s="26" t="str">
        <f>IFERROR(RIGHT(I3209,LEN(I3209)-FIND("*",I3209)),"-")</f>
        <v>-</v>
      </c>
      <c r="W3210" s="27" t="str">
        <f t="shared" si="1744"/>
        <v>-</v>
      </c>
      <c r="X3210" s="27" t="str">
        <f t="shared" ref="X3210" si="1749">IFERROR(W3210*J3209,"-")</f>
        <v>-</v>
      </c>
      <c r="Z3210" s="94" t="s">
        <v>82</v>
      </c>
    </row>
    <row r="3211" spans="1:26" s="25" customFormat="1" ht="6.95" customHeight="1" x14ac:dyDescent="0.3">
      <c r="A3211" s="10"/>
      <c r="B3211" s="168"/>
      <c r="C3211" s="169"/>
      <c r="D3211" s="160"/>
      <c r="E3211" s="161"/>
      <c r="F3211" s="162"/>
      <c r="G3211" s="163"/>
      <c r="H3211" s="164"/>
      <c r="I3211" s="163"/>
      <c r="J3211" s="164"/>
      <c r="K3211" s="163"/>
      <c r="L3211" s="164"/>
      <c r="M3211" s="11"/>
      <c r="N3211" s="39"/>
      <c r="Q3211" s="15" t="str">
        <f>+CONCATENATE(E3209,K3209)</f>
        <v/>
      </c>
      <c r="R3211" s="15">
        <f>+L3209</f>
        <v>0</v>
      </c>
      <c r="S3211" s="16"/>
      <c r="T3211" s="15">
        <f>+E3209</f>
        <v>0</v>
      </c>
      <c r="U3211" s="26" t="str">
        <f>IFERROR(LEFT(K3209,FIND("*",K3209)-1),"-")</f>
        <v>-</v>
      </c>
      <c r="V3211" s="26" t="str">
        <f>IFERROR(RIGHT(K3209,LEN(K3209)-FIND("*",K3209)),"-")</f>
        <v>-</v>
      </c>
      <c r="W3211" s="27" t="str">
        <f t="shared" si="1744"/>
        <v>-</v>
      </c>
      <c r="X3211" s="27" t="str">
        <f>IFERROR(W3211*L3209,"-")</f>
        <v>-</v>
      </c>
      <c r="Z3211" s="94" t="s">
        <v>82</v>
      </c>
    </row>
    <row r="3212" spans="1:26" s="25" customFormat="1" ht="21" customHeight="1" thickBot="1" x14ac:dyDescent="0.35">
      <c r="A3212" s="10"/>
      <c r="B3212" s="170"/>
      <c r="C3212" s="171"/>
      <c r="D3212" s="172" t="s">
        <v>43</v>
      </c>
      <c r="E3212" s="173"/>
      <c r="F3212" s="173"/>
      <c r="G3212" s="174"/>
      <c r="H3212" s="174"/>
      <c r="I3212" s="174"/>
      <c r="J3212" s="174"/>
      <c r="K3212" s="174"/>
      <c r="L3212" s="174"/>
      <c r="M3212" s="12"/>
      <c r="N3212" s="39"/>
      <c r="U3212" s="23"/>
      <c r="V3212" s="23"/>
      <c r="Z3212" s="95" t="s">
        <v>81</v>
      </c>
    </row>
    <row r="3213" spans="1:26" s="25" customFormat="1" ht="9.9499999999999993" customHeight="1" thickBot="1" x14ac:dyDescent="0.35">
      <c r="A3213" s="6"/>
      <c r="B3213" s="14"/>
      <c r="C3213" s="119"/>
      <c r="D3213" s="58"/>
      <c r="E3213" s="17"/>
      <c r="F3213" s="58"/>
      <c r="G3213" s="19"/>
      <c r="H3213" s="19"/>
      <c r="I3213" s="19"/>
      <c r="J3213" s="19"/>
      <c r="K3213" s="19"/>
      <c r="L3213" s="19"/>
      <c r="M3213" s="14"/>
      <c r="N3213" s="39"/>
      <c r="Q3213" s="1"/>
      <c r="R3213" s="1"/>
      <c r="S3213" s="1"/>
      <c r="T3213" s="1"/>
      <c r="U3213" s="24"/>
      <c r="V3213" s="24"/>
      <c r="W3213" s="1"/>
      <c r="X3213" s="1"/>
      <c r="Z3213" s="94" t="s">
        <v>82</v>
      </c>
    </row>
    <row r="3214" spans="1:26" s="25" customFormat="1" ht="6.95" customHeight="1" x14ac:dyDescent="0.3">
      <c r="A3214" s="165">
        <f>+A3203+1</f>
        <v>293</v>
      </c>
      <c r="B3214" s="166"/>
      <c r="C3214" s="167"/>
      <c r="D3214" s="160" t="s">
        <v>39</v>
      </c>
      <c r="E3214" s="161"/>
      <c r="F3214" s="162" t="s">
        <v>40</v>
      </c>
      <c r="G3214" s="163"/>
      <c r="H3214" s="164"/>
      <c r="I3214" s="163"/>
      <c r="J3214" s="164"/>
      <c r="K3214" s="163"/>
      <c r="L3214" s="164"/>
      <c r="M3214" s="11"/>
      <c r="N3214" s="39"/>
      <c r="Q3214" s="15" t="str">
        <f>+CONCATENATE(E3214,G3214)</f>
        <v/>
      </c>
      <c r="R3214" s="15">
        <f>+H3214</f>
        <v>0</v>
      </c>
      <c r="S3214" s="16"/>
      <c r="T3214" s="15">
        <f>+E3214</f>
        <v>0</v>
      </c>
      <c r="U3214" s="26" t="str">
        <f>IFERROR(LEFT(G3214,FIND("*",G3214)-1),"-")</f>
        <v>-</v>
      </c>
      <c r="V3214" s="26" t="str">
        <f>IFERROR(RIGHT(G3214,LEN(G3214)-FIND("*",G3214)),"-")</f>
        <v>-</v>
      </c>
      <c r="W3214" s="27" t="str">
        <f>IFERROR((U3214+V3214)*2/1000,"-")</f>
        <v>-</v>
      </c>
      <c r="X3214" s="27" t="str">
        <f>IFERROR(W3214*H3214,"-")</f>
        <v>-</v>
      </c>
      <c r="Z3214" s="94" t="s">
        <v>82</v>
      </c>
    </row>
    <row r="3215" spans="1:26" s="25" customFormat="1" ht="6.95" customHeight="1" x14ac:dyDescent="0.3">
      <c r="A3215" s="165"/>
      <c r="B3215" s="168"/>
      <c r="C3215" s="169"/>
      <c r="D3215" s="160"/>
      <c r="E3215" s="161"/>
      <c r="F3215" s="162"/>
      <c r="G3215" s="163"/>
      <c r="H3215" s="164"/>
      <c r="I3215" s="163"/>
      <c r="J3215" s="164"/>
      <c r="K3215" s="163"/>
      <c r="L3215" s="164"/>
      <c r="M3215" s="11"/>
      <c r="N3215" s="39"/>
      <c r="Q3215" s="15" t="str">
        <f>+CONCATENATE(E3214,I3214)</f>
        <v/>
      </c>
      <c r="R3215" s="15">
        <f>+J3214</f>
        <v>0</v>
      </c>
      <c r="S3215" s="16"/>
      <c r="T3215" s="15">
        <f>+E3214</f>
        <v>0</v>
      </c>
      <c r="U3215" s="26" t="str">
        <f>IFERROR(LEFT(I3214,FIND("*",I3214)-1),"-")</f>
        <v>-</v>
      </c>
      <c r="V3215" s="26" t="str">
        <f>IFERROR(RIGHT(I3214,LEN(I3214)-FIND("*",I3214)),"-")</f>
        <v>-</v>
      </c>
      <c r="W3215" s="27" t="str">
        <f t="shared" ref="W3215:W3222" si="1750">IFERROR((U3215+V3215)*2/1000,"-")</f>
        <v>-</v>
      </c>
      <c r="X3215" s="27" t="str">
        <f>IFERROR(W3215*J3214,"-")</f>
        <v>-</v>
      </c>
      <c r="Z3215" s="94" t="s">
        <v>82</v>
      </c>
    </row>
    <row r="3216" spans="1:26" s="25" customFormat="1" ht="6.95" customHeight="1" x14ac:dyDescent="0.3">
      <c r="A3216" s="165"/>
      <c r="B3216" s="168"/>
      <c r="C3216" s="169"/>
      <c r="D3216" s="160"/>
      <c r="E3216" s="161"/>
      <c r="F3216" s="162"/>
      <c r="G3216" s="163"/>
      <c r="H3216" s="164"/>
      <c r="I3216" s="163"/>
      <c r="J3216" s="164"/>
      <c r="K3216" s="163"/>
      <c r="L3216" s="164"/>
      <c r="M3216" s="11"/>
      <c r="N3216" s="39"/>
      <c r="Q3216" s="15" t="str">
        <f>+CONCATENATE(E3214,K3214)</f>
        <v/>
      </c>
      <c r="R3216" s="15">
        <f>+L3214</f>
        <v>0</v>
      </c>
      <c r="S3216" s="16"/>
      <c r="T3216" s="15">
        <f>+E3214</f>
        <v>0</v>
      </c>
      <c r="U3216" s="26" t="str">
        <f>IFERROR(LEFT(K3214,FIND("*",K3214)-1),"-")</f>
        <v>-</v>
      </c>
      <c r="V3216" s="26" t="str">
        <f>IFERROR(RIGHT(K3214,LEN(K3214)-FIND("*",K3214)),"-")</f>
        <v>-</v>
      </c>
      <c r="W3216" s="27" t="str">
        <f t="shared" si="1750"/>
        <v>-</v>
      </c>
      <c r="X3216" s="27" t="str">
        <f>IFERROR(W3216*L3214,"-")</f>
        <v>-</v>
      </c>
      <c r="Z3216" s="94" t="s">
        <v>82</v>
      </c>
    </row>
    <row r="3217" spans="1:26" s="25" customFormat="1" ht="6.95" customHeight="1" x14ac:dyDescent="0.3">
      <c r="A3217" s="13"/>
      <c r="B3217" s="168"/>
      <c r="C3217" s="169"/>
      <c r="D3217" s="160" t="s">
        <v>39</v>
      </c>
      <c r="E3217" s="161"/>
      <c r="F3217" s="162" t="s">
        <v>40</v>
      </c>
      <c r="G3217" s="163"/>
      <c r="H3217" s="164"/>
      <c r="I3217" s="163"/>
      <c r="J3217" s="164"/>
      <c r="K3217" s="163"/>
      <c r="L3217" s="164"/>
      <c r="M3217" s="11"/>
      <c r="N3217" s="39"/>
      <c r="Q3217" s="15" t="str">
        <f>+CONCATENATE(E3217,G3217)</f>
        <v/>
      </c>
      <c r="R3217" s="15">
        <f>+H3217</f>
        <v>0</v>
      </c>
      <c r="S3217" s="16"/>
      <c r="T3217" s="15">
        <f>+E3217</f>
        <v>0</v>
      </c>
      <c r="U3217" s="26" t="str">
        <f t="shared" ref="U3217" si="1751">IFERROR(LEFT(G3217,FIND("*",G3217)-1),"-")</f>
        <v>-</v>
      </c>
      <c r="V3217" s="26" t="str">
        <f t="shared" ref="V3217" si="1752">IFERROR(RIGHT(G3217,LEN(G3217)-FIND("*",G3217)),"-")</f>
        <v>-</v>
      </c>
      <c r="W3217" s="27" t="str">
        <f t="shared" si="1750"/>
        <v>-</v>
      </c>
      <c r="X3217" s="27" t="str">
        <f>IFERROR(W3217*H3217,"-")</f>
        <v>-</v>
      </c>
      <c r="Z3217" s="94" t="s">
        <v>82</v>
      </c>
    </row>
    <row r="3218" spans="1:26" s="25" customFormat="1" ht="6.95" customHeight="1" x14ac:dyDescent="0.3">
      <c r="A3218" s="10"/>
      <c r="B3218" s="168"/>
      <c r="C3218" s="169"/>
      <c r="D3218" s="160"/>
      <c r="E3218" s="161"/>
      <c r="F3218" s="162"/>
      <c r="G3218" s="163"/>
      <c r="H3218" s="164"/>
      <c r="I3218" s="163"/>
      <c r="J3218" s="164"/>
      <c r="K3218" s="163"/>
      <c r="L3218" s="164"/>
      <c r="M3218" s="11"/>
      <c r="N3218" s="39"/>
      <c r="Q3218" s="15" t="str">
        <f>+CONCATENATE(E3217,I3217)</f>
        <v/>
      </c>
      <c r="R3218" s="15">
        <f>+J3217</f>
        <v>0</v>
      </c>
      <c r="S3218" s="16"/>
      <c r="T3218" s="15">
        <f>+E3217</f>
        <v>0</v>
      </c>
      <c r="U3218" s="26" t="str">
        <f>IFERROR(LEFT(I3217,FIND("*",I3217)-1),"-")</f>
        <v>-</v>
      </c>
      <c r="V3218" s="26" t="str">
        <f>IFERROR(RIGHT(I3217,LEN(I3217)-FIND("*",I3217)),"-")</f>
        <v>-</v>
      </c>
      <c r="W3218" s="27" t="str">
        <f t="shared" si="1750"/>
        <v>-</v>
      </c>
      <c r="X3218" s="27" t="str">
        <f>IFERROR(W3218*J3217,"-")</f>
        <v>-</v>
      </c>
      <c r="Z3218" s="94" t="s">
        <v>82</v>
      </c>
    </row>
    <row r="3219" spans="1:26" s="25" customFormat="1" ht="6.95" customHeight="1" x14ac:dyDescent="0.3">
      <c r="A3219" s="10"/>
      <c r="B3219" s="168"/>
      <c r="C3219" s="169"/>
      <c r="D3219" s="160"/>
      <c r="E3219" s="161"/>
      <c r="F3219" s="162"/>
      <c r="G3219" s="163"/>
      <c r="H3219" s="164"/>
      <c r="I3219" s="163"/>
      <c r="J3219" s="164"/>
      <c r="K3219" s="163"/>
      <c r="L3219" s="164"/>
      <c r="M3219" s="11"/>
      <c r="N3219" s="39"/>
      <c r="Q3219" s="15" t="str">
        <f>+CONCATENATE(E3217,K3217)</f>
        <v/>
      </c>
      <c r="R3219" s="15">
        <f>+L3217</f>
        <v>0</v>
      </c>
      <c r="S3219" s="16"/>
      <c r="T3219" s="15">
        <f>+E3217</f>
        <v>0</v>
      </c>
      <c r="U3219" s="26" t="str">
        <f>IFERROR(LEFT(K3217,FIND("*",K3217)-1),"-")</f>
        <v>-</v>
      </c>
      <c r="V3219" s="26" t="str">
        <f>IFERROR(RIGHT(K3217,LEN(K3217)-FIND("*",K3217)),"-")</f>
        <v>-</v>
      </c>
      <c r="W3219" s="27" t="str">
        <f t="shared" si="1750"/>
        <v>-</v>
      </c>
      <c r="X3219" s="27" t="str">
        <f>IFERROR(W3219*L3217,"-")</f>
        <v>-</v>
      </c>
      <c r="Z3219" s="94" t="s">
        <v>82</v>
      </c>
    </row>
    <row r="3220" spans="1:26" s="25" customFormat="1" ht="6.95" customHeight="1" x14ac:dyDescent="0.3">
      <c r="A3220" s="13"/>
      <c r="B3220" s="168"/>
      <c r="C3220" s="169"/>
      <c r="D3220" s="160" t="s">
        <v>39</v>
      </c>
      <c r="E3220" s="161"/>
      <c r="F3220" s="162" t="s">
        <v>40</v>
      </c>
      <c r="G3220" s="163"/>
      <c r="H3220" s="164"/>
      <c r="I3220" s="163"/>
      <c r="J3220" s="164"/>
      <c r="K3220" s="163"/>
      <c r="L3220" s="164"/>
      <c r="M3220" s="11"/>
      <c r="N3220" s="39"/>
      <c r="Q3220" s="15" t="str">
        <f>+CONCATENATE(E3220,G3220)</f>
        <v/>
      </c>
      <c r="R3220" s="15">
        <f>+H3220</f>
        <v>0</v>
      </c>
      <c r="S3220" s="16"/>
      <c r="T3220" s="15">
        <f>+E3220</f>
        <v>0</v>
      </c>
      <c r="U3220" s="26" t="str">
        <f t="shared" ref="U3220" si="1753">IFERROR(LEFT(G3220,FIND("*",G3220)-1),"-")</f>
        <v>-</v>
      </c>
      <c r="V3220" s="26" t="str">
        <f t="shared" ref="V3220" si="1754">IFERROR(RIGHT(G3220,LEN(G3220)-FIND("*",G3220)),"-")</f>
        <v>-</v>
      </c>
      <c r="W3220" s="27" t="str">
        <f t="shared" si="1750"/>
        <v>-</v>
      </c>
      <c r="X3220" s="27" t="str">
        <f>IFERROR(W3220*H3220,"-")</f>
        <v>-</v>
      </c>
      <c r="Z3220" s="94" t="s">
        <v>82</v>
      </c>
    </row>
    <row r="3221" spans="1:26" s="25" customFormat="1" ht="6.95" customHeight="1" x14ac:dyDescent="0.3">
      <c r="A3221" s="10"/>
      <c r="B3221" s="168"/>
      <c r="C3221" s="169"/>
      <c r="D3221" s="160"/>
      <c r="E3221" s="161"/>
      <c r="F3221" s="162"/>
      <c r="G3221" s="163"/>
      <c r="H3221" s="164"/>
      <c r="I3221" s="163"/>
      <c r="J3221" s="164"/>
      <c r="K3221" s="163"/>
      <c r="L3221" s="164"/>
      <c r="M3221" s="11"/>
      <c r="N3221" s="39"/>
      <c r="Q3221" s="15" t="str">
        <f>+CONCATENATE(E3220,I3220)</f>
        <v/>
      </c>
      <c r="R3221" s="15">
        <f>+J3220</f>
        <v>0</v>
      </c>
      <c r="S3221" s="16"/>
      <c r="T3221" s="15">
        <f>+E3220</f>
        <v>0</v>
      </c>
      <c r="U3221" s="26" t="str">
        <f>IFERROR(LEFT(I3220,FIND("*",I3220)-1),"-")</f>
        <v>-</v>
      </c>
      <c r="V3221" s="26" t="str">
        <f>IFERROR(RIGHT(I3220,LEN(I3220)-FIND("*",I3220)),"-")</f>
        <v>-</v>
      </c>
      <c r="W3221" s="27" t="str">
        <f t="shared" si="1750"/>
        <v>-</v>
      </c>
      <c r="X3221" s="27" t="str">
        <f t="shared" ref="X3221" si="1755">IFERROR(W3221*J3220,"-")</f>
        <v>-</v>
      </c>
      <c r="Z3221" s="94" t="s">
        <v>82</v>
      </c>
    </row>
    <row r="3222" spans="1:26" s="25" customFormat="1" ht="6.95" customHeight="1" x14ac:dyDescent="0.3">
      <c r="A3222" s="10"/>
      <c r="B3222" s="168"/>
      <c r="C3222" s="169"/>
      <c r="D3222" s="160"/>
      <c r="E3222" s="161"/>
      <c r="F3222" s="162"/>
      <c r="G3222" s="163"/>
      <c r="H3222" s="164"/>
      <c r="I3222" s="163"/>
      <c r="J3222" s="164"/>
      <c r="K3222" s="163"/>
      <c r="L3222" s="164"/>
      <c r="M3222" s="11"/>
      <c r="N3222" s="39"/>
      <c r="Q3222" s="15" t="str">
        <f>+CONCATENATE(E3220,K3220)</f>
        <v/>
      </c>
      <c r="R3222" s="15">
        <f>+L3220</f>
        <v>0</v>
      </c>
      <c r="S3222" s="16"/>
      <c r="T3222" s="15">
        <f>+E3220</f>
        <v>0</v>
      </c>
      <c r="U3222" s="26" t="str">
        <f>IFERROR(LEFT(K3220,FIND("*",K3220)-1),"-")</f>
        <v>-</v>
      </c>
      <c r="V3222" s="26" t="str">
        <f>IFERROR(RIGHT(K3220,LEN(K3220)-FIND("*",K3220)),"-")</f>
        <v>-</v>
      </c>
      <c r="W3222" s="27" t="str">
        <f t="shared" si="1750"/>
        <v>-</v>
      </c>
      <c r="X3222" s="27" t="str">
        <f>IFERROR(W3222*L3220,"-")</f>
        <v>-</v>
      </c>
      <c r="Z3222" s="94" t="s">
        <v>82</v>
      </c>
    </row>
    <row r="3223" spans="1:26" s="25" customFormat="1" ht="21" customHeight="1" thickBot="1" x14ac:dyDescent="0.35">
      <c r="A3223" s="10"/>
      <c r="B3223" s="170"/>
      <c r="C3223" s="171"/>
      <c r="D3223" s="172" t="s">
        <v>43</v>
      </c>
      <c r="E3223" s="173"/>
      <c r="F3223" s="173"/>
      <c r="G3223" s="174"/>
      <c r="H3223" s="174"/>
      <c r="I3223" s="174"/>
      <c r="J3223" s="174"/>
      <c r="K3223" s="174"/>
      <c r="L3223" s="174"/>
      <c r="M3223" s="12"/>
      <c r="N3223" s="39"/>
      <c r="U3223" s="23"/>
      <c r="V3223" s="23"/>
      <c r="Z3223" s="95" t="s">
        <v>81</v>
      </c>
    </row>
    <row r="3224" spans="1:26" s="25" customFormat="1" ht="9.9499999999999993" customHeight="1" thickBot="1" x14ac:dyDescent="0.35">
      <c r="A3224" s="6"/>
      <c r="B3224" s="14"/>
      <c r="C3224" s="119"/>
      <c r="D3224" s="58"/>
      <c r="E3224" s="17"/>
      <c r="F3224" s="58"/>
      <c r="G3224" s="19"/>
      <c r="H3224" s="19"/>
      <c r="I3224" s="19"/>
      <c r="J3224" s="19"/>
      <c r="K3224" s="19"/>
      <c r="L3224" s="19"/>
      <c r="M3224" s="14"/>
      <c r="N3224" s="39"/>
      <c r="Q3224" s="1"/>
      <c r="R3224" s="1"/>
      <c r="S3224" s="1"/>
      <c r="T3224" s="1"/>
      <c r="U3224" s="24"/>
      <c r="V3224" s="24"/>
      <c r="W3224" s="1"/>
      <c r="X3224" s="1"/>
      <c r="Z3224" s="94" t="s">
        <v>82</v>
      </c>
    </row>
    <row r="3225" spans="1:26" s="25" customFormat="1" ht="6.95" customHeight="1" x14ac:dyDescent="0.3">
      <c r="A3225" s="165">
        <f>+A3214+1</f>
        <v>294</v>
      </c>
      <c r="B3225" s="166"/>
      <c r="C3225" s="167"/>
      <c r="D3225" s="160" t="s">
        <v>39</v>
      </c>
      <c r="E3225" s="161"/>
      <c r="F3225" s="162" t="s">
        <v>40</v>
      </c>
      <c r="G3225" s="163"/>
      <c r="H3225" s="164"/>
      <c r="I3225" s="163"/>
      <c r="J3225" s="164"/>
      <c r="K3225" s="163"/>
      <c r="L3225" s="164"/>
      <c r="M3225" s="11"/>
      <c r="N3225" s="39"/>
      <c r="Q3225" s="15" t="str">
        <f>+CONCATENATE(E3225,G3225)</f>
        <v/>
      </c>
      <c r="R3225" s="15">
        <f>+H3225</f>
        <v>0</v>
      </c>
      <c r="S3225" s="16"/>
      <c r="T3225" s="15">
        <f>+E3225</f>
        <v>0</v>
      </c>
      <c r="U3225" s="26" t="str">
        <f>IFERROR(LEFT(G3225,FIND("*",G3225)-1),"-")</f>
        <v>-</v>
      </c>
      <c r="V3225" s="26" t="str">
        <f>IFERROR(RIGHT(G3225,LEN(G3225)-FIND("*",G3225)),"-")</f>
        <v>-</v>
      </c>
      <c r="W3225" s="27" t="str">
        <f>IFERROR((U3225+V3225)*2/1000,"-")</f>
        <v>-</v>
      </c>
      <c r="X3225" s="27" t="str">
        <f>IFERROR(W3225*H3225,"-")</f>
        <v>-</v>
      </c>
      <c r="Z3225" s="94" t="s">
        <v>82</v>
      </c>
    </row>
    <row r="3226" spans="1:26" s="25" customFormat="1" ht="6.95" customHeight="1" x14ac:dyDescent="0.3">
      <c r="A3226" s="165"/>
      <c r="B3226" s="168"/>
      <c r="C3226" s="169"/>
      <c r="D3226" s="160"/>
      <c r="E3226" s="161"/>
      <c r="F3226" s="162"/>
      <c r="G3226" s="163"/>
      <c r="H3226" s="164"/>
      <c r="I3226" s="163"/>
      <c r="J3226" s="164"/>
      <c r="K3226" s="163"/>
      <c r="L3226" s="164"/>
      <c r="M3226" s="11"/>
      <c r="N3226" s="39"/>
      <c r="Q3226" s="15" t="str">
        <f>+CONCATENATE(E3225,I3225)</f>
        <v/>
      </c>
      <c r="R3226" s="15">
        <f>+J3225</f>
        <v>0</v>
      </c>
      <c r="S3226" s="16"/>
      <c r="T3226" s="15">
        <f>+E3225</f>
        <v>0</v>
      </c>
      <c r="U3226" s="26" t="str">
        <f>IFERROR(LEFT(I3225,FIND("*",I3225)-1),"-")</f>
        <v>-</v>
      </c>
      <c r="V3226" s="26" t="str">
        <f>IFERROR(RIGHT(I3225,LEN(I3225)-FIND("*",I3225)),"-")</f>
        <v>-</v>
      </c>
      <c r="W3226" s="27" t="str">
        <f t="shared" ref="W3226:W3233" si="1756">IFERROR((U3226+V3226)*2/1000,"-")</f>
        <v>-</v>
      </c>
      <c r="X3226" s="27" t="str">
        <f>IFERROR(W3226*J3225,"-")</f>
        <v>-</v>
      </c>
      <c r="Z3226" s="94" t="s">
        <v>82</v>
      </c>
    </row>
    <row r="3227" spans="1:26" s="25" customFormat="1" ht="6.95" customHeight="1" x14ac:dyDescent="0.3">
      <c r="A3227" s="165"/>
      <c r="B3227" s="168"/>
      <c r="C3227" s="169"/>
      <c r="D3227" s="160"/>
      <c r="E3227" s="161"/>
      <c r="F3227" s="162"/>
      <c r="G3227" s="163"/>
      <c r="H3227" s="164"/>
      <c r="I3227" s="163"/>
      <c r="J3227" s="164"/>
      <c r="K3227" s="163"/>
      <c r="L3227" s="164"/>
      <c r="M3227" s="11"/>
      <c r="N3227" s="39"/>
      <c r="Q3227" s="15" t="str">
        <f>+CONCATENATE(E3225,K3225)</f>
        <v/>
      </c>
      <c r="R3227" s="15">
        <f>+L3225</f>
        <v>0</v>
      </c>
      <c r="S3227" s="16"/>
      <c r="T3227" s="15">
        <f>+E3225</f>
        <v>0</v>
      </c>
      <c r="U3227" s="26" t="str">
        <f>IFERROR(LEFT(K3225,FIND("*",K3225)-1),"-")</f>
        <v>-</v>
      </c>
      <c r="V3227" s="26" t="str">
        <f>IFERROR(RIGHT(K3225,LEN(K3225)-FIND("*",K3225)),"-")</f>
        <v>-</v>
      </c>
      <c r="W3227" s="27" t="str">
        <f t="shared" si="1756"/>
        <v>-</v>
      </c>
      <c r="X3227" s="27" t="str">
        <f>IFERROR(W3227*L3225,"-")</f>
        <v>-</v>
      </c>
      <c r="Z3227" s="94" t="s">
        <v>82</v>
      </c>
    </row>
    <row r="3228" spans="1:26" s="25" customFormat="1" ht="6.95" customHeight="1" x14ac:dyDescent="0.3">
      <c r="A3228" s="13"/>
      <c r="B3228" s="168"/>
      <c r="C3228" s="169"/>
      <c r="D3228" s="160" t="s">
        <v>39</v>
      </c>
      <c r="E3228" s="161"/>
      <c r="F3228" s="162" t="s">
        <v>40</v>
      </c>
      <c r="G3228" s="163"/>
      <c r="H3228" s="164"/>
      <c r="I3228" s="163"/>
      <c r="J3228" s="164"/>
      <c r="K3228" s="163"/>
      <c r="L3228" s="164"/>
      <c r="M3228" s="11"/>
      <c r="N3228" s="39"/>
      <c r="Q3228" s="15" t="str">
        <f>+CONCATENATE(E3228,G3228)</f>
        <v/>
      </c>
      <c r="R3228" s="15">
        <f>+H3228</f>
        <v>0</v>
      </c>
      <c r="S3228" s="16"/>
      <c r="T3228" s="15">
        <f>+E3228</f>
        <v>0</v>
      </c>
      <c r="U3228" s="26" t="str">
        <f t="shared" ref="U3228" si="1757">IFERROR(LEFT(G3228,FIND("*",G3228)-1),"-")</f>
        <v>-</v>
      </c>
      <c r="V3228" s="26" t="str">
        <f t="shared" ref="V3228" si="1758">IFERROR(RIGHT(G3228,LEN(G3228)-FIND("*",G3228)),"-")</f>
        <v>-</v>
      </c>
      <c r="W3228" s="27" t="str">
        <f t="shared" si="1756"/>
        <v>-</v>
      </c>
      <c r="X3228" s="27" t="str">
        <f>IFERROR(W3228*H3228,"-")</f>
        <v>-</v>
      </c>
      <c r="Z3228" s="94" t="s">
        <v>82</v>
      </c>
    </row>
    <row r="3229" spans="1:26" s="25" customFormat="1" ht="6.95" customHeight="1" x14ac:dyDescent="0.3">
      <c r="A3229" s="10"/>
      <c r="B3229" s="168"/>
      <c r="C3229" s="169"/>
      <c r="D3229" s="160"/>
      <c r="E3229" s="161"/>
      <c r="F3229" s="162"/>
      <c r="G3229" s="163"/>
      <c r="H3229" s="164"/>
      <c r="I3229" s="163"/>
      <c r="J3229" s="164"/>
      <c r="K3229" s="163"/>
      <c r="L3229" s="164"/>
      <c r="M3229" s="11"/>
      <c r="N3229" s="39"/>
      <c r="Q3229" s="15" t="str">
        <f>+CONCATENATE(E3228,I3228)</f>
        <v/>
      </c>
      <c r="R3229" s="15">
        <f>+J3228</f>
        <v>0</v>
      </c>
      <c r="S3229" s="16"/>
      <c r="T3229" s="15">
        <f>+E3228</f>
        <v>0</v>
      </c>
      <c r="U3229" s="26" t="str">
        <f>IFERROR(LEFT(I3228,FIND("*",I3228)-1),"-")</f>
        <v>-</v>
      </c>
      <c r="V3229" s="26" t="str">
        <f>IFERROR(RIGHT(I3228,LEN(I3228)-FIND("*",I3228)),"-")</f>
        <v>-</v>
      </c>
      <c r="W3229" s="27" t="str">
        <f t="shared" si="1756"/>
        <v>-</v>
      </c>
      <c r="X3229" s="27" t="str">
        <f>IFERROR(W3229*J3228,"-")</f>
        <v>-</v>
      </c>
      <c r="Z3229" s="94" t="s">
        <v>82</v>
      </c>
    </row>
    <row r="3230" spans="1:26" s="25" customFormat="1" ht="6.95" customHeight="1" x14ac:dyDescent="0.3">
      <c r="A3230" s="10"/>
      <c r="B3230" s="168"/>
      <c r="C3230" s="169"/>
      <c r="D3230" s="160"/>
      <c r="E3230" s="161"/>
      <c r="F3230" s="162"/>
      <c r="G3230" s="163"/>
      <c r="H3230" s="164"/>
      <c r="I3230" s="163"/>
      <c r="J3230" s="164"/>
      <c r="K3230" s="163"/>
      <c r="L3230" s="164"/>
      <c r="M3230" s="11"/>
      <c r="N3230" s="39"/>
      <c r="Q3230" s="15" t="str">
        <f>+CONCATENATE(E3228,K3228)</f>
        <v/>
      </c>
      <c r="R3230" s="15">
        <f>+L3228</f>
        <v>0</v>
      </c>
      <c r="S3230" s="16"/>
      <c r="T3230" s="15">
        <f>+E3228</f>
        <v>0</v>
      </c>
      <c r="U3230" s="26" t="str">
        <f>IFERROR(LEFT(K3228,FIND("*",K3228)-1),"-")</f>
        <v>-</v>
      </c>
      <c r="V3230" s="26" t="str">
        <f>IFERROR(RIGHT(K3228,LEN(K3228)-FIND("*",K3228)),"-")</f>
        <v>-</v>
      </c>
      <c r="W3230" s="27" t="str">
        <f t="shared" si="1756"/>
        <v>-</v>
      </c>
      <c r="X3230" s="27" t="str">
        <f>IFERROR(W3230*L3228,"-")</f>
        <v>-</v>
      </c>
      <c r="Z3230" s="94" t="s">
        <v>82</v>
      </c>
    </row>
    <row r="3231" spans="1:26" s="25" customFormat="1" ht="6.95" customHeight="1" x14ac:dyDescent="0.3">
      <c r="A3231" s="13"/>
      <c r="B3231" s="168"/>
      <c r="C3231" s="169"/>
      <c r="D3231" s="160" t="s">
        <v>39</v>
      </c>
      <c r="E3231" s="161"/>
      <c r="F3231" s="162" t="s">
        <v>40</v>
      </c>
      <c r="G3231" s="163"/>
      <c r="H3231" s="164"/>
      <c r="I3231" s="163"/>
      <c r="J3231" s="164"/>
      <c r="K3231" s="163"/>
      <c r="L3231" s="164"/>
      <c r="M3231" s="11"/>
      <c r="N3231" s="39"/>
      <c r="Q3231" s="15" t="str">
        <f>+CONCATENATE(E3231,G3231)</f>
        <v/>
      </c>
      <c r="R3231" s="15">
        <f>+H3231</f>
        <v>0</v>
      </c>
      <c r="S3231" s="16"/>
      <c r="T3231" s="15">
        <f>+E3231</f>
        <v>0</v>
      </c>
      <c r="U3231" s="26" t="str">
        <f t="shared" ref="U3231" si="1759">IFERROR(LEFT(G3231,FIND("*",G3231)-1),"-")</f>
        <v>-</v>
      </c>
      <c r="V3231" s="26" t="str">
        <f t="shared" ref="V3231" si="1760">IFERROR(RIGHT(G3231,LEN(G3231)-FIND("*",G3231)),"-")</f>
        <v>-</v>
      </c>
      <c r="W3231" s="27" t="str">
        <f t="shared" si="1756"/>
        <v>-</v>
      </c>
      <c r="X3231" s="27" t="str">
        <f>IFERROR(W3231*H3231,"-")</f>
        <v>-</v>
      </c>
      <c r="Z3231" s="94" t="s">
        <v>82</v>
      </c>
    </row>
    <row r="3232" spans="1:26" s="25" customFormat="1" ht="6.95" customHeight="1" x14ac:dyDescent="0.3">
      <c r="A3232" s="10"/>
      <c r="B3232" s="168"/>
      <c r="C3232" s="169"/>
      <c r="D3232" s="160"/>
      <c r="E3232" s="161"/>
      <c r="F3232" s="162"/>
      <c r="G3232" s="163"/>
      <c r="H3232" s="164"/>
      <c r="I3232" s="163"/>
      <c r="J3232" s="164"/>
      <c r="K3232" s="163"/>
      <c r="L3232" s="164"/>
      <c r="M3232" s="11"/>
      <c r="N3232" s="39"/>
      <c r="Q3232" s="15" t="str">
        <f>+CONCATENATE(E3231,I3231)</f>
        <v/>
      </c>
      <c r="R3232" s="15">
        <f>+J3231</f>
        <v>0</v>
      </c>
      <c r="S3232" s="16"/>
      <c r="T3232" s="15">
        <f>+E3231</f>
        <v>0</v>
      </c>
      <c r="U3232" s="26" t="str">
        <f>IFERROR(LEFT(I3231,FIND("*",I3231)-1),"-")</f>
        <v>-</v>
      </c>
      <c r="V3232" s="26" t="str">
        <f>IFERROR(RIGHT(I3231,LEN(I3231)-FIND("*",I3231)),"-")</f>
        <v>-</v>
      </c>
      <c r="W3232" s="27" t="str">
        <f t="shared" si="1756"/>
        <v>-</v>
      </c>
      <c r="X3232" s="27" t="str">
        <f t="shared" ref="X3232" si="1761">IFERROR(W3232*J3231,"-")</f>
        <v>-</v>
      </c>
      <c r="Z3232" s="94" t="s">
        <v>82</v>
      </c>
    </row>
    <row r="3233" spans="1:26" s="25" customFormat="1" ht="6.95" customHeight="1" x14ac:dyDescent="0.3">
      <c r="A3233" s="10"/>
      <c r="B3233" s="168"/>
      <c r="C3233" s="169"/>
      <c r="D3233" s="160"/>
      <c r="E3233" s="161"/>
      <c r="F3233" s="162"/>
      <c r="G3233" s="163"/>
      <c r="H3233" s="164"/>
      <c r="I3233" s="163"/>
      <c r="J3233" s="164"/>
      <c r="K3233" s="163"/>
      <c r="L3233" s="164"/>
      <c r="M3233" s="11"/>
      <c r="N3233" s="39"/>
      <c r="Q3233" s="15" t="str">
        <f>+CONCATENATE(E3231,K3231)</f>
        <v/>
      </c>
      <c r="R3233" s="15">
        <f>+L3231</f>
        <v>0</v>
      </c>
      <c r="S3233" s="16"/>
      <c r="T3233" s="15">
        <f>+E3231</f>
        <v>0</v>
      </c>
      <c r="U3233" s="26" t="str">
        <f>IFERROR(LEFT(K3231,FIND("*",K3231)-1),"-")</f>
        <v>-</v>
      </c>
      <c r="V3233" s="26" t="str">
        <f>IFERROR(RIGHT(K3231,LEN(K3231)-FIND("*",K3231)),"-")</f>
        <v>-</v>
      </c>
      <c r="W3233" s="27" t="str">
        <f t="shared" si="1756"/>
        <v>-</v>
      </c>
      <c r="X3233" s="27" t="str">
        <f>IFERROR(W3233*L3231,"-")</f>
        <v>-</v>
      </c>
      <c r="Z3233" s="94" t="s">
        <v>82</v>
      </c>
    </row>
    <row r="3234" spans="1:26" s="25" customFormat="1" ht="21" customHeight="1" thickBot="1" x14ac:dyDescent="0.35">
      <c r="A3234" s="10"/>
      <c r="B3234" s="170"/>
      <c r="C3234" s="171"/>
      <c r="D3234" s="172" t="s">
        <v>43</v>
      </c>
      <c r="E3234" s="173"/>
      <c r="F3234" s="173"/>
      <c r="G3234" s="174"/>
      <c r="H3234" s="174"/>
      <c r="I3234" s="174"/>
      <c r="J3234" s="174"/>
      <c r="K3234" s="174"/>
      <c r="L3234" s="174"/>
      <c r="M3234" s="12"/>
      <c r="N3234" s="39"/>
      <c r="U3234" s="23"/>
      <c r="V3234" s="23"/>
      <c r="Z3234" s="95" t="s">
        <v>81</v>
      </c>
    </row>
    <row r="3235" spans="1:26" s="25" customFormat="1" ht="9.9499999999999993" customHeight="1" thickBot="1" x14ac:dyDescent="0.35">
      <c r="A3235" s="6"/>
      <c r="B3235" s="14"/>
      <c r="C3235" s="119"/>
      <c r="D3235" s="58"/>
      <c r="E3235" s="17"/>
      <c r="F3235" s="58"/>
      <c r="G3235" s="19"/>
      <c r="H3235" s="19"/>
      <c r="I3235" s="19"/>
      <c r="J3235" s="19"/>
      <c r="K3235" s="19"/>
      <c r="L3235" s="19"/>
      <c r="M3235" s="14"/>
      <c r="N3235" s="39"/>
      <c r="Q3235" s="1"/>
      <c r="R3235" s="1"/>
      <c r="S3235" s="1"/>
      <c r="T3235" s="1"/>
      <c r="U3235" s="24"/>
      <c r="V3235" s="24"/>
      <c r="W3235" s="1"/>
      <c r="X3235" s="1"/>
      <c r="Z3235" s="94" t="s">
        <v>82</v>
      </c>
    </row>
    <row r="3236" spans="1:26" s="25" customFormat="1" ht="6.95" customHeight="1" x14ac:dyDescent="0.3">
      <c r="A3236" s="165">
        <f>+A3225+1</f>
        <v>295</v>
      </c>
      <c r="B3236" s="166"/>
      <c r="C3236" s="167"/>
      <c r="D3236" s="160" t="s">
        <v>39</v>
      </c>
      <c r="E3236" s="161"/>
      <c r="F3236" s="162" t="s">
        <v>40</v>
      </c>
      <c r="G3236" s="163"/>
      <c r="H3236" s="164"/>
      <c r="I3236" s="163"/>
      <c r="J3236" s="164"/>
      <c r="K3236" s="163"/>
      <c r="L3236" s="164"/>
      <c r="M3236" s="11"/>
      <c r="N3236" s="39"/>
      <c r="Q3236" s="15" t="str">
        <f>+CONCATENATE(E3236,G3236)</f>
        <v/>
      </c>
      <c r="R3236" s="15">
        <f>+H3236</f>
        <v>0</v>
      </c>
      <c r="S3236" s="16"/>
      <c r="T3236" s="15">
        <f>+E3236</f>
        <v>0</v>
      </c>
      <c r="U3236" s="26" t="str">
        <f>IFERROR(LEFT(G3236,FIND("*",G3236)-1),"-")</f>
        <v>-</v>
      </c>
      <c r="V3236" s="26" t="str">
        <f>IFERROR(RIGHT(G3236,LEN(G3236)-FIND("*",G3236)),"-")</f>
        <v>-</v>
      </c>
      <c r="W3236" s="27" t="str">
        <f>IFERROR((U3236+V3236)*2/1000,"-")</f>
        <v>-</v>
      </c>
      <c r="X3236" s="27" t="str">
        <f>IFERROR(W3236*H3236,"-")</f>
        <v>-</v>
      </c>
      <c r="Z3236" s="94" t="s">
        <v>82</v>
      </c>
    </row>
    <row r="3237" spans="1:26" s="25" customFormat="1" ht="6.95" customHeight="1" x14ac:dyDescent="0.3">
      <c r="A3237" s="165"/>
      <c r="B3237" s="168"/>
      <c r="C3237" s="169"/>
      <c r="D3237" s="160"/>
      <c r="E3237" s="161"/>
      <c r="F3237" s="162"/>
      <c r="G3237" s="163"/>
      <c r="H3237" s="164"/>
      <c r="I3237" s="163"/>
      <c r="J3237" s="164"/>
      <c r="K3237" s="163"/>
      <c r="L3237" s="164"/>
      <c r="M3237" s="11"/>
      <c r="N3237" s="39"/>
      <c r="Q3237" s="15" t="str">
        <f>+CONCATENATE(E3236,I3236)</f>
        <v/>
      </c>
      <c r="R3237" s="15">
        <f>+J3236</f>
        <v>0</v>
      </c>
      <c r="S3237" s="16"/>
      <c r="T3237" s="15">
        <f>+E3236</f>
        <v>0</v>
      </c>
      <c r="U3237" s="26" t="str">
        <f>IFERROR(LEFT(I3236,FIND("*",I3236)-1),"-")</f>
        <v>-</v>
      </c>
      <c r="V3237" s="26" t="str">
        <f>IFERROR(RIGHT(I3236,LEN(I3236)-FIND("*",I3236)),"-")</f>
        <v>-</v>
      </c>
      <c r="W3237" s="27" t="str">
        <f t="shared" ref="W3237:W3244" si="1762">IFERROR((U3237+V3237)*2/1000,"-")</f>
        <v>-</v>
      </c>
      <c r="X3237" s="27" t="str">
        <f>IFERROR(W3237*J3236,"-")</f>
        <v>-</v>
      </c>
      <c r="Z3237" s="94" t="s">
        <v>82</v>
      </c>
    </row>
    <row r="3238" spans="1:26" s="25" customFormat="1" ht="6.95" customHeight="1" x14ac:dyDescent="0.3">
      <c r="A3238" s="165"/>
      <c r="B3238" s="168"/>
      <c r="C3238" s="169"/>
      <c r="D3238" s="160"/>
      <c r="E3238" s="161"/>
      <c r="F3238" s="162"/>
      <c r="G3238" s="163"/>
      <c r="H3238" s="164"/>
      <c r="I3238" s="163"/>
      <c r="J3238" s="164"/>
      <c r="K3238" s="163"/>
      <c r="L3238" s="164"/>
      <c r="M3238" s="11"/>
      <c r="N3238" s="39"/>
      <c r="Q3238" s="15" t="str">
        <f>+CONCATENATE(E3236,K3236)</f>
        <v/>
      </c>
      <c r="R3238" s="15">
        <f>+L3236</f>
        <v>0</v>
      </c>
      <c r="S3238" s="16"/>
      <c r="T3238" s="15">
        <f>+E3236</f>
        <v>0</v>
      </c>
      <c r="U3238" s="26" t="str">
        <f>IFERROR(LEFT(K3236,FIND("*",K3236)-1),"-")</f>
        <v>-</v>
      </c>
      <c r="V3238" s="26" t="str">
        <f>IFERROR(RIGHT(K3236,LEN(K3236)-FIND("*",K3236)),"-")</f>
        <v>-</v>
      </c>
      <c r="W3238" s="27" t="str">
        <f t="shared" si="1762"/>
        <v>-</v>
      </c>
      <c r="X3238" s="27" t="str">
        <f>IFERROR(W3238*L3236,"-")</f>
        <v>-</v>
      </c>
      <c r="Z3238" s="94" t="s">
        <v>82</v>
      </c>
    </row>
    <row r="3239" spans="1:26" s="25" customFormat="1" ht="6.95" customHeight="1" x14ac:dyDescent="0.3">
      <c r="A3239" s="13"/>
      <c r="B3239" s="168"/>
      <c r="C3239" s="169"/>
      <c r="D3239" s="160" t="s">
        <v>39</v>
      </c>
      <c r="E3239" s="161"/>
      <c r="F3239" s="162" t="s">
        <v>40</v>
      </c>
      <c r="G3239" s="163"/>
      <c r="H3239" s="164"/>
      <c r="I3239" s="163"/>
      <c r="J3239" s="164"/>
      <c r="K3239" s="163"/>
      <c r="L3239" s="164"/>
      <c r="M3239" s="11"/>
      <c r="N3239" s="39"/>
      <c r="Q3239" s="15" t="str">
        <f>+CONCATENATE(E3239,G3239)</f>
        <v/>
      </c>
      <c r="R3239" s="15">
        <f>+H3239</f>
        <v>0</v>
      </c>
      <c r="S3239" s="16"/>
      <c r="T3239" s="15">
        <f>+E3239</f>
        <v>0</v>
      </c>
      <c r="U3239" s="26" t="str">
        <f t="shared" ref="U3239" si="1763">IFERROR(LEFT(G3239,FIND("*",G3239)-1),"-")</f>
        <v>-</v>
      </c>
      <c r="V3239" s="26" t="str">
        <f t="shared" ref="V3239" si="1764">IFERROR(RIGHT(G3239,LEN(G3239)-FIND("*",G3239)),"-")</f>
        <v>-</v>
      </c>
      <c r="W3239" s="27" t="str">
        <f t="shared" si="1762"/>
        <v>-</v>
      </c>
      <c r="X3239" s="27" t="str">
        <f>IFERROR(W3239*H3239,"-")</f>
        <v>-</v>
      </c>
      <c r="Z3239" s="94" t="s">
        <v>82</v>
      </c>
    </row>
    <row r="3240" spans="1:26" s="25" customFormat="1" ht="6.95" customHeight="1" x14ac:dyDescent="0.3">
      <c r="A3240" s="10"/>
      <c r="B3240" s="168"/>
      <c r="C3240" s="169"/>
      <c r="D3240" s="160"/>
      <c r="E3240" s="161"/>
      <c r="F3240" s="162"/>
      <c r="G3240" s="163"/>
      <c r="H3240" s="164"/>
      <c r="I3240" s="163"/>
      <c r="J3240" s="164"/>
      <c r="K3240" s="163"/>
      <c r="L3240" s="164"/>
      <c r="M3240" s="11"/>
      <c r="N3240" s="39"/>
      <c r="Q3240" s="15" t="str">
        <f>+CONCATENATE(E3239,I3239)</f>
        <v/>
      </c>
      <c r="R3240" s="15">
        <f>+J3239</f>
        <v>0</v>
      </c>
      <c r="S3240" s="16"/>
      <c r="T3240" s="15">
        <f>+E3239</f>
        <v>0</v>
      </c>
      <c r="U3240" s="26" t="str">
        <f>IFERROR(LEFT(I3239,FIND("*",I3239)-1),"-")</f>
        <v>-</v>
      </c>
      <c r="V3240" s="26" t="str">
        <f>IFERROR(RIGHT(I3239,LEN(I3239)-FIND("*",I3239)),"-")</f>
        <v>-</v>
      </c>
      <c r="W3240" s="27" t="str">
        <f t="shared" si="1762"/>
        <v>-</v>
      </c>
      <c r="X3240" s="27" t="str">
        <f>IFERROR(W3240*J3239,"-")</f>
        <v>-</v>
      </c>
      <c r="Z3240" s="94" t="s">
        <v>82</v>
      </c>
    </row>
    <row r="3241" spans="1:26" s="25" customFormat="1" ht="6.95" customHeight="1" x14ac:dyDescent="0.3">
      <c r="A3241" s="10"/>
      <c r="B3241" s="168"/>
      <c r="C3241" s="169"/>
      <c r="D3241" s="160"/>
      <c r="E3241" s="161"/>
      <c r="F3241" s="162"/>
      <c r="G3241" s="163"/>
      <c r="H3241" s="164"/>
      <c r="I3241" s="163"/>
      <c r="J3241" s="164"/>
      <c r="K3241" s="163"/>
      <c r="L3241" s="164"/>
      <c r="M3241" s="11"/>
      <c r="N3241" s="39"/>
      <c r="Q3241" s="15" t="str">
        <f>+CONCATENATE(E3239,K3239)</f>
        <v/>
      </c>
      <c r="R3241" s="15">
        <f>+L3239</f>
        <v>0</v>
      </c>
      <c r="S3241" s="16"/>
      <c r="T3241" s="15">
        <f>+E3239</f>
        <v>0</v>
      </c>
      <c r="U3241" s="26" t="str">
        <f>IFERROR(LEFT(K3239,FIND("*",K3239)-1),"-")</f>
        <v>-</v>
      </c>
      <c r="V3241" s="26" t="str">
        <f>IFERROR(RIGHT(K3239,LEN(K3239)-FIND("*",K3239)),"-")</f>
        <v>-</v>
      </c>
      <c r="W3241" s="27" t="str">
        <f t="shared" si="1762"/>
        <v>-</v>
      </c>
      <c r="X3241" s="27" t="str">
        <f>IFERROR(W3241*L3239,"-")</f>
        <v>-</v>
      </c>
      <c r="Z3241" s="94" t="s">
        <v>82</v>
      </c>
    </row>
    <row r="3242" spans="1:26" s="25" customFormat="1" ht="6.95" customHeight="1" x14ac:dyDescent="0.3">
      <c r="A3242" s="13"/>
      <c r="B3242" s="168"/>
      <c r="C3242" s="169"/>
      <c r="D3242" s="160" t="s">
        <v>39</v>
      </c>
      <c r="E3242" s="161"/>
      <c r="F3242" s="162" t="s">
        <v>40</v>
      </c>
      <c r="G3242" s="163"/>
      <c r="H3242" s="164"/>
      <c r="I3242" s="163"/>
      <c r="J3242" s="164"/>
      <c r="K3242" s="163"/>
      <c r="L3242" s="164"/>
      <c r="M3242" s="11"/>
      <c r="N3242" s="39"/>
      <c r="Q3242" s="15" t="str">
        <f>+CONCATENATE(E3242,G3242)</f>
        <v/>
      </c>
      <c r="R3242" s="15">
        <f>+H3242</f>
        <v>0</v>
      </c>
      <c r="S3242" s="16"/>
      <c r="T3242" s="15">
        <f>+E3242</f>
        <v>0</v>
      </c>
      <c r="U3242" s="26" t="str">
        <f t="shared" ref="U3242" si="1765">IFERROR(LEFT(G3242,FIND("*",G3242)-1),"-")</f>
        <v>-</v>
      </c>
      <c r="V3242" s="26" t="str">
        <f t="shared" ref="V3242" si="1766">IFERROR(RIGHT(G3242,LEN(G3242)-FIND("*",G3242)),"-")</f>
        <v>-</v>
      </c>
      <c r="W3242" s="27" t="str">
        <f t="shared" si="1762"/>
        <v>-</v>
      </c>
      <c r="X3242" s="27" t="str">
        <f>IFERROR(W3242*H3242,"-")</f>
        <v>-</v>
      </c>
      <c r="Z3242" s="94" t="s">
        <v>82</v>
      </c>
    </row>
    <row r="3243" spans="1:26" s="25" customFormat="1" ht="6.95" customHeight="1" x14ac:dyDescent="0.3">
      <c r="A3243" s="10"/>
      <c r="B3243" s="168"/>
      <c r="C3243" s="169"/>
      <c r="D3243" s="160"/>
      <c r="E3243" s="161"/>
      <c r="F3243" s="162"/>
      <c r="G3243" s="163"/>
      <c r="H3243" s="164"/>
      <c r="I3243" s="163"/>
      <c r="J3243" s="164"/>
      <c r="K3243" s="163"/>
      <c r="L3243" s="164"/>
      <c r="M3243" s="11"/>
      <c r="N3243" s="39"/>
      <c r="Q3243" s="15" t="str">
        <f>+CONCATENATE(E3242,I3242)</f>
        <v/>
      </c>
      <c r="R3243" s="15">
        <f>+J3242</f>
        <v>0</v>
      </c>
      <c r="S3243" s="16"/>
      <c r="T3243" s="15">
        <f>+E3242</f>
        <v>0</v>
      </c>
      <c r="U3243" s="26" t="str">
        <f>IFERROR(LEFT(I3242,FIND("*",I3242)-1),"-")</f>
        <v>-</v>
      </c>
      <c r="V3243" s="26" t="str">
        <f>IFERROR(RIGHT(I3242,LEN(I3242)-FIND("*",I3242)),"-")</f>
        <v>-</v>
      </c>
      <c r="W3243" s="27" t="str">
        <f t="shared" si="1762"/>
        <v>-</v>
      </c>
      <c r="X3243" s="27" t="str">
        <f t="shared" ref="X3243" si="1767">IFERROR(W3243*J3242,"-")</f>
        <v>-</v>
      </c>
      <c r="Z3243" s="94" t="s">
        <v>82</v>
      </c>
    </row>
    <row r="3244" spans="1:26" s="25" customFormat="1" ht="6.95" customHeight="1" x14ac:dyDescent="0.3">
      <c r="A3244" s="10"/>
      <c r="B3244" s="168"/>
      <c r="C3244" s="169"/>
      <c r="D3244" s="160"/>
      <c r="E3244" s="161"/>
      <c r="F3244" s="162"/>
      <c r="G3244" s="163"/>
      <c r="H3244" s="164"/>
      <c r="I3244" s="163"/>
      <c r="J3244" s="164"/>
      <c r="K3244" s="163"/>
      <c r="L3244" s="164"/>
      <c r="M3244" s="11"/>
      <c r="N3244" s="39"/>
      <c r="Q3244" s="15" t="str">
        <f>+CONCATENATE(E3242,K3242)</f>
        <v/>
      </c>
      <c r="R3244" s="15">
        <f>+L3242</f>
        <v>0</v>
      </c>
      <c r="S3244" s="16"/>
      <c r="T3244" s="15">
        <f>+E3242</f>
        <v>0</v>
      </c>
      <c r="U3244" s="26" t="str">
        <f>IFERROR(LEFT(K3242,FIND("*",K3242)-1),"-")</f>
        <v>-</v>
      </c>
      <c r="V3244" s="26" t="str">
        <f>IFERROR(RIGHT(K3242,LEN(K3242)-FIND("*",K3242)),"-")</f>
        <v>-</v>
      </c>
      <c r="W3244" s="27" t="str">
        <f t="shared" si="1762"/>
        <v>-</v>
      </c>
      <c r="X3244" s="27" t="str">
        <f>IFERROR(W3244*L3242,"-")</f>
        <v>-</v>
      </c>
      <c r="Z3244" s="94" t="s">
        <v>82</v>
      </c>
    </row>
    <row r="3245" spans="1:26" s="25" customFormat="1" ht="21" customHeight="1" thickBot="1" x14ac:dyDescent="0.35">
      <c r="A3245" s="10"/>
      <c r="B3245" s="170"/>
      <c r="C3245" s="171"/>
      <c r="D3245" s="172" t="s">
        <v>43</v>
      </c>
      <c r="E3245" s="173"/>
      <c r="F3245" s="173"/>
      <c r="G3245" s="174"/>
      <c r="H3245" s="174"/>
      <c r="I3245" s="174"/>
      <c r="J3245" s="174"/>
      <c r="K3245" s="174"/>
      <c r="L3245" s="174"/>
      <c r="M3245" s="12"/>
      <c r="N3245" s="39"/>
      <c r="U3245" s="23"/>
      <c r="V3245" s="23"/>
      <c r="Z3245" s="95" t="s">
        <v>81</v>
      </c>
    </row>
    <row r="3246" spans="1:26" s="25" customFormat="1" ht="9.9499999999999993" customHeight="1" thickBot="1" x14ac:dyDescent="0.35">
      <c r="A3246" s="6"/>
      <c r="B3246" s="14"/>
      <c r="C3246" s="119"/>
      <c r="D3246" s="58"/>
      <c r="E3246" s="17"/>
      <c r="F3246" s="58"/>
      <c r="G3246" s="19"/>
      <c r="H3246" s="19"/>
      <c r="I3246" s="19"/>
      <c r="J3246" s="19"/>
      <c r="K3246" s="19"/>
      <c r="L3246" s="19"/>
      <c r="M3246" s="14"/>
      <c r="N3246" s="39"/>
      <c r="Q3246" s="1"/>
      <c r="R3246" s="1"/>
      <c r="S3246" s="1"/>
      <c r="T3246" s="1"/>
      <c r="U3246" s="24"/>
      <c r="V3246" s="24"/>
      <c r="W3246" s="1"/>
      <c r="X3246" s="1"/>
      <c r="Z3246" s="94" t="s">
        <v>82</v>
      </c>
    </row>
    <row r="3247" spans="1:26" s="25" customFormat="1" ht="6.95" customHeight="1" x14ac:dyDescent="0.3">
      <c r="A3247" s="165">
        <f>+A3236+1</f>
        <v>296</v>
      </c>
      <c r="B3247" s="166"/>
      <c r="C3247" s="167"/>
      <c r="D3247" s="160" t="s">
        <v>39</v>
      </c>
      <c r="E3247" s="161"/>
      <c r="F3247" s="162" t="s">
        <v>40</v>
      </c>
      <c r="G3247" s="163"/>
      <c r="H3247" s="164"/>
      <c r="I3247" s="163"/>
      <c r="J3247" s="164"/>
      <c r="K3247" s="163"/>
      <c r="L3247" s="164"/>
      <c r="M3247" s="11"/>
      <c r="N3247" s="39"/>
      <c r="Q3247" s="15" t="str">
        <f>+CONCATENATE(E3247,G3247)</f>
        <v/>
      </c>
      <c r="R3247" s="15">
        <f>+H3247</f>
        <v>0</v>
      </c>
      <c r="S3247" s="16"/>
      <c r="T3247" s="15">
        <f>+E3247</f>
        <v>0</v>
      </c>
      <c r="U3247" s="26" t="str">
        <f>IFERROR(LEFT(G3247,FIND("*",G3247)-1),"-")</f>
        <v>-</v>
      </c>
      <c r="V3247" s="26" t="str">
        <f>IFERROR(RIGHT(G3247,LEN(G3247)-FIND("*",G3247)),"-")</f>
        <v>-</v>
      </c>
      <c r="W3247" s="27" t="str">
        <f>IFERROR((U3247+V3247)*2/1000,"-")</f>
        <v>-</v>
      </c>
      <c r="X3247" s="27" t="str">
        <f>IFERROR(W3247*H3247,"-")</f>
        <v>-</v>
      </c>
      <c r="Z3247" s="94" t="s">
        <v>82</v>
      </c>
    </row>
    <row r="3248" spans="1:26" s="25" customFormat="1" ht="6.95" customHeight="1" x14ac:dyDescent="0.3">
      <c r="A3248" s="165"/>
      <c r="B3248" s="168"/>
      <c r="C3248" s="169"/>
      <c r="D3248" s="160"/>
      <c r="E3248" s="161"/>
      <c r="F3248" s="162"/>
      <c r="G3248" s="163"/>
      <c r="H3248" s="164"/>
      <c r="I3248" s="163"/>
      <c r="J3248" s="164"/>
      <c r="K3248" s="163"/>
      <c r="L3248" s="164"/>
      <c r="M3248" s="11"/>
      <c r="N3248" s="39"/>
      <c r="Q3248" s="15" t="str">
        <f>+CONCATENATE(E3247,I3247)</f>
        <v/>
      </c>
      <c r="R3248" s="15">
        <f>+J3247</f>
        <v>0</v>
      </c>
      <c r="S3248" s="16"/>
      <c r="T3248" s="15">
        <f>+E3247</f>
        <v>0</v>
      </c>
      <c r="U3248" s="26" t="str">
        <f>IFERROR(LEFT(I3247,FIND("*",I3247)-1),"-")</f>
        <v>-</v>
      </c>
      <c r="V3248" s="26" t="str">
        <f>IFERROR(RIGHT(I3247,LEN(I3247)-FIND("*",I3247)),"-")</f>
        <v>-</v>
      </c>
      <c r="W3248" s="27" t="str">
        <f t="shared" ref="W3248:W3255" si="1768">IFERROR((U3248+V3248)*2/1000,"-")</f>
        <v>-</v>
      </c>
      <c r="X3248" s="27" t="str">
        <f>IFERROR(W3248*J3247,"-")</f>
        <v>-</v>
      </c>
      <c r="Z3248" s="94" t="s">
        <v>82</v>
      </c>
    </row>
    <row r="3249" spans="1:26" s="25" customFormat="1" ht="6.95" customHeight="1" x14ac:dyDescent="0.3">
      <c r="A3249" s="165"/>
      <c r="B3249" s="168"/>
      <c r="C3249" s="169"/>
      <c r="D3249" s="160"/>
      <c r="E3249" s="161"/>
      <c r="F3249" s="162"/>
      <c r="G3249" s="163"/>
      <c r="H3249" s="164"/>
      <c r="I3249" s="163"/>
      <c r="J3249" s="164"/>
      <c r="K3249" s="163"/>
      <c r="L3249" s="164"/>
      <c r="M3249" s="11"/>
      <c r="N3249" s="39"/>
      <c r="Q3249" s="15" t="str">
        <f>+CONCATENATE(E3247,K3247)</f>
        <v/>
      </c>
      <c r="R3249" s="15">
        <f>+L3247</f>
        <v>0</v>
      </c>
      <c r="S3249" s="16"/>
      <c r="T3249" s="15">
        <f>+E3247</f>
        <v>0</v>
      </c>
      <c r="U3249" s="26" t="str">
        <f>IFERROR(LEFT(K3247,FIND("*",K3247)-1),"-")</f>
        <v>-</v>
      </c>
      <c r="V3249" s="26" t="str">
        <f>IFERROR(RIGHT(K3247,LEN(K3247)-FIND("*",K3247)),"-")</f>
        <v>-</v>
      </c>
      <c r="W3249" s="27" t="str">
        <f t="shared" si="1768"/>
        <v>-</v>
      </c>
      <c r="X3249" s="27" t="str">
        <f>IFERROR(W3249*L3247,"-")</f>
        <v>-</v>
      </c>
      <c r="Z3249" s="94" t="s">
        <v>82</v>
      </c>
    </row>
    <row r="3250" spans="1:26" s="25" customFormat="1" ht="6.95" customHeight="1" x14ac:dyDescent="0.3">
      <c r="A3250" s="13"/>
      <c r="B3250" s="168"/>
      <c r="C3250" s="169"/>
      <c r="D3250" s="160" t="s">
        <v>39</v>
      </c>
      <c r="E3250" s="161"/>
      <c r="F3250" s="162" t="s">
        <v>40</v>
      </c>
      <c r="G3250" s="163"/>
      <c r="H3250" s="164"/>
      <c r="I3250" s="163"/>
      <c r="J3250" s="164"/>
      <c r="K3250" s="163"/>
      <c r="L3250" s="164"/>
      <c r="M3250" s="11"/>
      <c r="N3250" s="39"/>
      <c r="Q3250" s="15" t="str">
        <f>+CONCATENATE(E3250,G3250)</f>
        <v/>
      </c>
      <c r="R3250" s="15">
        <f>+H3250</f>
        <v>0</v>
      </c>
      <c r="S3250" s="16"/>
      <c r="T3250" s="15">
        <f>+E3250</f>
        <v>0</v>
      </c>
      <c r="U3250" s="26" t="str">
        <f t="shared" ref="U3250" si="1769">IFERROR(LEFT(G3250,FIND("*",G3250)-1),"-")</f>
        <v>-</v>
      </c>
      <c r="V3250" s="26" t="str">
        <f t="shared" ref="V3250" si="1770">IFERROR(RIGHT(G3250,LEN(G3250)-FIND("*",G3250)),"-")</f>
        <v>-</v>
      </c>
      <c r="W3250" s="27" t="str">
        <f t="shared" si="1768"/>
        <v>-</v>
      </c>
      <c r="X3250" s="27" t="str">
        <f>IFERROR(W3250*H3250,"-")</f>
        <v>-</v>
      </c>
      <c r="Z3250" s="94" t="s">
        <v>82</v>
      </c>
    </row>
    <row r="3251" spans="1:26" s="25" customFormat="1" ht="6.95" customHeight="1" x14ac:dyDescent="0.3">
      <c r="A3251" s="10"/>
      <c r="B3251" s="168"/>
      <c r="C3251" s="169"/>
      <c r="D3251" s="160"/>
      <c r="E3251" s="161"/>
      <c r="F3251" s="162"/>
      <c r="G3251" s="163"/>
      <c r="H3251" s="164"/>
      <c r="I3251" s="163"/>
      <c r="J3251" s="164"/>
      <c r="K3251" s="163"/>
      <c r="L3251" s="164"/>
      <c r="M3251" s="11"/>
      <c r="N3251" s="39"/>
      <c r="Q3251" s="15" t="str">
        <f>+CONCATENATE(E3250,I3250)</f>
        <v/>
      </c>
      <c r="R3251" s="15">
        <f>+J3250</f>
        <v>0</v>
      </c>
      <c r="S3251" s="16"/>
      <c r="T3251" s="15">
        <f>+E3250</f>
        <v>0</v>
      </c>
      <c r="U3251" s="26" t="str">
        <f>IFERROR(LEFT(I3250,FIND("*",I3250)-1),"-")</f>
        <v>-</v>
      </c>
      <c r="V3251" s="26" t="str">
        <f>IFERROR(RIGHT(I3250,LEN(I3250)-FIND("*",I3250)),"-")</f>
        <v>-</v>
      </c>
      <c r="W3251" s="27" t="str">
        <f t="shared" si="1768"/>
        <v>-</v>
      </c>
      <c r="X3251" s="27" t="str">
        <f>IFERROR(W3251*J3250,"-")</f>
        <v>-</v>
      </c>
      <c r="Z3251" s="94" t="s">
        <v>82</v>
      </c>
    </row>
    <row r="3252" spans="1:26" s="25" customFormat="1" ht="6.95" customHeight="1" x14ac:dyDescent="0.3">
      <c r="A3252" s="10"/>
      <c r="B3252" s="168"/>
      <c r="C3252" s="169"/>
      <c r="D3252" s="160"/>
      <c r="E3252" s="161"/>
      <c r="F3252" s="162"/>
      <c r="G3252" s="163"/>
      <c r="H3252" s="164"/>
      <c r="I3252" s="163"/>
      <c r="J3252" s="164"/>
      <c r="K3252" s="163"/>
      <c r="L3252" s="164"/>
      <c r="M3252" s="11"/>
      <c r="N3252" s="39"/>
      <c r="Q3252" s="15" t="str">
        <f>+CONCATENATE(E3250,K3250)</f>
        <v/>
      </c>
      <c r="R3252" s="15">
        <f>+L3250</f>
        <v>0</v>
      </c>
      <c r="S3252" s="16"/>
      <c r="T3252" s="15">
        <f>+E3250</f>
        <v>0</v>
      </c>
      <c r="U3252" s="26" t="str">
        <f>IFERROR(LEFT(K3250,FIND("*",K3250)-1),"-")</f>
        <v>-</v>
      </c>
      <c r="V3252" s="26" t="str">
        <f>IFERROR(RIGHT(K3250,LEN(K3250)-FIND("*",K3250)),"-")</f>
        <v>-</v>
      </c>
      <c r="W3252" s="27" t="str">
        <f t="shared" si="1768"/>
        <v>-</v>
      </c>
      <c r="X3252" s="27" t="str">
        <f>IFERROR(W3252*L3250,"-")</f>
        <v>-</v>
      </c>
      <c r="Z3252" s="94" t="s">
        <v>82</v>
      </c>
    </row>
    <row r="3253" spans="1:26" s="25" customFormat="1" ht="6.95" customHeight="1" x14ac:dyDescent="0.3">
      <c r="A3253" s="13"/>
      <c r="B3253" s="168"/>
      <c r="C3253" s="169"/>
      <c r="D3253" s="160" t="s">
        <v>39</v>
      </c>
      <c r="E3253" s="161"/>
      <c r="F3253" s="162" t="s">
        <v>40</v>
      </c>
      <c r="G3253" s="163"/>
      <c r="H3253" s="164"/>
      <c r="I3253" s="163"/>
      <c r="J3253" s="164"/>
      <c r="K3253" s="163"/>
      <c r="L3253" s="164"/>
      <c r="M3253" s="11"/>
      <c r="N3253" s="39"/>
      <c r="Q3253" s="15" t="str">
        <f>+CONCATENATE(E3253,G3253)</f>
        <v/>
      </c>
      <c r="R3253" s="15">
        <f>+H3253</f>
        <v>0</v>
      </c>
      <c r="S3253" s="16"/>
      <c r="T3253" s="15">
        <f>+E3253</f>
        <v>0</v>
      </c>
      <c r="U3253" s="26" t="str">
        <f t="shared" ref="U3253" si="1771">IFERROR(LEFT(G3253,FIND("*",G3253)-1),"-")</f>
        <v>-</v>
      </c>
      <c r="V3253" s="26" t="str">
        <f t="shared" ref="V3253" si="1772">IFERROR(RIGHT(G3253,LEN(G3253)-FIND("*",G3253)),"-")</f>
        <v>-</v>
      </c>
      <c r="W3253" s="27" t="str">
        <f t="shared" si="1768"/>
        <v>-</v>
      </c>
      <c r="X3253" s="27" t="str">
        <f>IFERROR(W3253*H3253,"-")</f>
        <v>-</v>
      </c>
      <c r="Z3253" s="94" t="s">
        <v>82</v>
      </c>
    </row>
    <row r="3254" spans="1:26" s="25" customFormat="1" ht="6.95" customHeight="1" x14ac:dyDescent="0.3">
      <c r="A3254" s="10"/>
      <c r="B3254" s="168"/>
      <c r="C3254" s="169"/>
      <c r="D3254" s="160"/>
      <c r="E3254" s="161"/>
      <c r="F3254" s="162"/>
      <c r="G3254" s="163"/>
      <c r="H3254" s="164"/>
      <c r="I3254" s="163"/>
      <c r="J3254" s="164"/>
      <c r="K3254" s="163"/>
      <c r="L3254" s="164"/>
      <c r="M3254" s="11"/>
      <c r="N3254" s="39"/>
      <c r="Q3254" s="15" t="str">
        <f>+CONCATENATE(E3253,I3253)</f>
        <v/>
      </c>
      <c r="R3254" s="15">
        <f>+J3253</f>
        <v>0</v>
      </c>
      <c r="S3254" s="16"/>
      <c r="T3254" s="15">
        <f>+E3253</f>
        <v>0</v>
      </c>
      <c r="U3254" s="26" t="str">
        <f>IFERROR(LEFT(I3253,FIND("*",I3253)-1),"-")</f>
        <v>-</v>
      </c>
      <c r="V3254" s="26" t="str">
        <f>IFERROR(RIGHT(I3253,LEN(I3253)-FIND("*",I3253)),"-")</f>
        <v>-</v>
      </c>
      <c r="W3254" s="27" t="str">
        <f t="shared" si="1768"/>
        <v>-</v>
      </c>
      <c r="X3254" s="27" t="str">
        <f t="shared" ref="X3254" si="1773">IFERROR(W3254*J3253,"-")</f>
        <v>-</v>
      </c>
      <c r="Z3254" s="94" t="s">
        <v>82</v>
      </c>
    </row>
    <row r="3255" spans="1:26" s="25" customFormat="1" ht="6.95" customHeight="1" x14ac:dyDescent="0.3">
      <c r="A3255" s="10"/>
      <c r="B3255" s="168"/>
      <c r="C3255" s="169"/>
      <c r="D3255" s="160"/>
      <c r="E3255" s="161"/>
      <c r="F3255" s="162"/>
      <c r="G3255" s="163"/>
      <c r="H3255" s="164"/>
      <c r="I3255" s="163"/>
      <c r="J3255" s="164"/>
      <c r="K3255" s="163"/>
      <c r="L3255" s="164"/>
      <c r="M3255" s="11"/>
      <c r="N3255" s="39"/>
      <c r="Q3255" s="15" t="str">
        <f>+CONCATENATE(E3253,K3253)</f>
        <v/>
      </c>
      <c r="R3255" s="15">
        <f>+L3253</f>
        <v>0</v>
      </c>
      <c r="S3255" s="16"/>
      <c r="T3255" s="15">
        <f>+E3253</f>
        <v>0</v>
      </c>
      <c r="U3255" s="26" t="str">
        <f>IFERROR(LEFT(K3253,FIND("*",K3253)-1),"-")</f>
        <v>-</v>
      </c>
      <c r="V3255" s="26" t="str">
        <f>IFERROR(RIGHT(K3253,LEN(K3253)-FIND("*",K3253)),"-")</f>
        <v>-</v>
      </c>
      <c r="W3255" s="27" t="str">
        <f t="shared" si="1768"/>
        <v>-</v>
      </c>
      <c r="X3255" s="27" t="str">
        <f>IFERROR(W3255*L3253,"-")</f>
        <v>-</v>
      </c>
      <c r="Z3255" s="94" t="s">
        <v>82</v>
      </c>
    </row>
    <row r="3256" spans="1:26" s="25" customFormat="1" ht="21" customHeight="1" thickBot="1" x14ac:dyDescent="0.35">
      <c r="A3256" s="10"/>
      <c r="B3256" s="170"/>
      <c r="C3256" s="171"/>
      <c r="D3256" s="172" t="s">
        <v>43</v>
      </c>
      <c r="E3256" s="173"/>
      <c r="F3256" s="173"/>
      <c r="G3256" s="174"/>
      <c r="H3256" s="174"/>
      <c r="I3256" s="174"/>
      <c r="J3256" s="174"/>
      <c r="K3256" s="174"/>
      <c r="L3256" s="174"/>
      <c r="M3256" s="12"/>
      <c r="N3256" s="39"/>
      <c r="U3256" s="23"/>
      <c r="V3256" s="23"/>
      <c r="Z3256" s="95" t="s">
        <v>81</v>
      </c>
    </row>
    <row r="3257" spans="1:26" s="25" customFormat="1" ht="9.9499999999999993" customHeight="1" thickBot="1" x14ac:dyDescent="0.35">
      <c r="A3257" s="6"/>
      <c r="B3257" s="14"/>
      <c r="C3257" s="119"/>
      <c r="D3257" s="58"/>
      <c r="E3257" s="17"/>
      <c r="F3257" s="58"/>
      <c r="G3257" s="19"/>
      <c r="H3257" s="19"/>
      <c r="I3257" s="19"/>
      <c r="J3257" s="19"/>
      <c r="K3257" s="19"/>
      <c r="L3257" s="19"/>
      <c r="M3257" s="14"/>
      <c r="N3257" s="39"/>
      <c r="Q3257" s="1"/>
      <c r="R3257" s="1"/>
      <c r="S3257" s="1"/>
      <c r="T3257" s="1"/>
      <c r="U3257" s="24"/>
      <c r="V3257" s="24"/>
      <c r="W3257" s="1"/>
      <c r="X3257" s="1"/>
      <c r="Z3257" s="94" t="s">
        <v>82</v>
      </c>
    </row>
    <row r="3258" spans="1:26" s="25" customFormat="1" ht="6.95" customHeight="1" x14ac:dyDescent="0.3">
      <c r="A3258" s="165">
        <f>+A3247+1</f>
        <v>297</v>
      </c>
      <c r="B3258" s="166"/>
      <c r="C3258" s="167"/>
      <c r="D3258" s="160" t="s">
        <v>39</v>
      </c>
      <c r="E3258" s="161"/>
      <c r="F3258" s="162" t="s">
        <v>40</v>
      </c>
      <c r="G3258" s="163"/>
      <c r="H3258" s="164"/>
      <c r="I3258" s="163"/>
      <c r="J3258" s="164"/>
      <c r="K3258" s="163"/>
      <c r="L3258" s="164"/>
      <c r="M3258" s="11"/>
      <c r="N3258" s="39"/>
      <c r="Q3258" s="15" t="str">
        <f>+CONCATENATE(E3258,G3258)</f>
        <v/>
      </c>
      <c r="R3258" s="15">
        <f>+H3258</f>
        <v>0</v>
      </c>
      <c r="S3258" s="16"/>
      <c r="T3258" s="15">
        <f>+E3258</f>
        <v>0</v>
      </c>
      <c r="U3258" s="26" t="str">
        <f>IFERROR(LEFT(G3258,FIND("*",G3258)-1),"-")</f>
        <v>-</v>
      </c>
      <c r="V3258" s="26" t="str">
        <f>IFERROR(RIGHT(G3258,LEN(G3258)-FIND("*",G3258)),"-")</f>
        <v>-</v>
      </c>
      <c r="W3258" s="27" t="str">
        <f>IFERROR((U3258+V3258)*2/1000,"-")</f>
        <v>-</v>
      </c>
      <c r="X3258" s="27" t="str">
        <f>IFERROR(W3258*H3258,"-")</f>
        <v>-</v>
      </c>
      <c r="Z3258" s="94" t="s">
        <v>82</v>
      </c>
    </row>
    <row r="3259" spans="1:26" s="25" customFormat="1" ht="6.95" customHeight="1" x14ac:dyDescent="0.3">
      <c r="A3259" s="165"/>
      <c r="B3259" s="168"/>
      <c r="C3259" s="169"/>
      <c r="D3259" s="160"/>
      <c r="E3259" s="161"/>
      <c r="F3259" s="162"/>
      <c r="G3259" s="163"/>
      <c r="H3259" s="164"/>
      <c r="I3259" s="163"/>
      <c r="J3259" s="164"/>
      <c r="K3259" s="163"/>
      <c r="L3259" s="164"/>
      <c r="M3259" s="11"/>
      <c r="N3259" s="39"/>
      <c r="Q3259" s="15" t="str">
        <f>+CONCATENATE(E3258,I3258)</f>
        <v/>
      </c>
      <c r="R3259" s="15">
        <f>+J3258</f>
        <v>0</v>
      </c>
      <c r="S3259" s="16"/>
      <c r="T3259" s="15">
        <f>+E3258</f>
        <v>0</v>
      </c>
      <c r="U3259" s="26" t="str">
        <f>IFERROR(LEFT(I3258,FIND("*",I3258)-1),"-")</f>
        <v>-</v>
      </c>
      <c r="V3259" s="26" t="str">
        <f>IFERROR(RIGHT(I3258,LEN(I3258)-FIND("*",I3258)),"-")</f>
        <v>-</v>
      </c>
      <c r="W3259" s="27" t="str">
        <f t="shared" ref="W3259:W3266" si="1774">IFERROR((U3259+V3259)*2/1000,"-")</f>
        <v>-</v>
      </c>
      <c r="X3259" s="27" t="str">
        <f>IFERROR(W3259*J3258,"-")</f>
        <v>-</v>
      </c>
      <c r="Z3259" s="94" t="s">
        <v>82</v>
      </c>
    </row>
    <row r="3260" spans="1:26" s="25" customFormat="1" ht="6.95" customHeight="1" x14ac:dyDescent="0.3">
      <c r="A3260" s="165"/>
      <c r="B3260" s="168"/>
      <c r="C3260" s="169"/>
      <c r="D3260" s="160"/>
      <c r="E3260" s="161"/>
      <c r="F3260" s="162"/>
      <c r="G3260" s="163"/>
      <c r="H3260" s="164"/>
      <c r="I3260" s="163"/>
      <c r="J3260" s="164"/>
      <c r="K3260" s="163"/>
      <c r="L3260" s="164"/>
      <c r="M3260" s="11"/>
      <c r="N3260" s="39"/>
      <c r="Q3260" s="15" t="str">
        <f>+CONCATENATE(E3258,K3258)</f>
        <v/>
      </c>
      <c r="R3260" s="15">
        <f>+L3258</f>
        <v>0</v>
      </c>
      <c r="S3260" s="16"/>
      <c r="T3260" s="15">
        <f>+E3258</f>
        <v>0</v>
      </c>
      <c r="U3260" s="26" t="str">
        <f>IFERROR(LEFT(K3258,FIND("*",K3258)-1),"-")</f>
        <v>-</v>
      </c>
      <c r="V3260" s="26" t="str">
        <f>IFERROR(RIGHT(K3258,LEN(K3258)-FIND("*",K3258)),"-")</f>
        <v>-</v>
      </c>
      <c r="W3260" s="27" t="str">
        <f t="shared" si="1774"/>
        <v>-</v>
      </c>
      <c r="X3260" s="27" t="str">
        <f>IFERROR(W3260*L3258,"-")</f>
        <v>-</v>
      </c>
      <c r="Z3260" s="94" t="s">
        <v>82</v>
      </c>
    </row>
    <row r="3261" spans="1:26" s="25" customFormat="1" ht="6.95" customHeight="1" x14ac:dyDescent="0.3">
      <c r="A3261" s="13"/>
      <c r="B3261" s="168"/>
      <c r="C3261" s="169"/>
      <c r="D3261" s="160" t="s">
        <v>39</v>
      </c>
      <c r="E3261" s="161"/>
      <c r="F3261" s="162" t="s">
        <v>40</v>
      </c>
      <c r="G3261" s="163"/>
      <c r="H3261" s="164"/>
      <c r="I3261" s="163"/>
      <c r="J3261" s="164"/>
      <c r="K3261" s="163"/>
      <c r="L3261" s="164"/>
      <c r="M3261" s="11"/>
      <c r="N3261" s="39"/>
      <c r="Q3261" s="15" t="str">
        <f>+CONCATENATE(E3261,G3261)</f>
        <v/>
      </c>
      <c r="R3261" s="15">
        <f>+H3261</f>
        <v>0</v>
      </c>
      <c r="S3261" s="16"/>
      <c r="T3261" s="15">
        <f>+E3261</f>
        <v>0</v>
      </c>
      <c r="U3261" s="26" t="str">
        <f t="shared" ref="U3261" si="1775">IFERROR(LEFT(G3261,FIND("*",G3261)-1),"-")</f>
        <v>-</v>
      </c>
      <c r="V3261" s="26" t="str">
        <f t="shared" ref="V3261" si="1776">IFERROR(RIGHT(G3261,LEN(G3261)-FIND("*",G3261)),"-")</f>
        <v>-</v>
      </c>
      <c r="W3261" s="27" t="str">
        <f t="shared" si="1774"/>
        <v>-</v>
      </c>
      <c r="X3261" s="27" t="str">
        <f>IFERROR(W3261*H3261,"-")</f>
        <v>-</v>
      </c>
      <c r="Z3261" s="94" t="s">
        <v>82</v>
      </c>
    </row>
    <row r="3262" spans="1:26" s="25" customFormat="1" ht="6.95" customHeight="1" x14ac:dyDescent="0.3">
      <c r="A3262" s="10"/>
      <c r="B3262" s="168"/>
      <c r="C3262" s="169"/>
      <c r="D3262" s="160"/>
      <c r="E3262" s="161"/>
      <c r="F3262" s="162"/>
      <c r="G3262" s="163"/>
      <c r="H3262" s="164"/>
      <c r="I3262" s="163"/>
      <c r="J3262" s="164"/>
      <c r="K3262" s="163"/>
      <c r="L3262" s="164"/>
      <c r="M3262" s="11"/>
      <c r="N3262" s="39"/>
      <c r="Q3262" s="15" t="str">
        <f>+CONCATENATE(E3261,I3261)</f>
        <v/>
      </c>
      <c r="R3262" s="15">
        <f>+J3261</f>
        <v>0</v>
      </c>
      <c r="S3262" s="16"/>
      <c r="T3262" s="15">
        <f>+E3261</f>
        <v>0</v>
      </c>
      <c r="U3262" s="26" t="str">
        <f>IFERROR(LEFT(I3261,FIND("*",I3261)-1),"-")</f>
        <v>-</v>
      </c>
      <c r="V3262" s="26" t="str">
        <f>IFERROR(RIGHT(I3261,LEN(I3261)-FIND("*",I3261)),"-")</f>
        <v>-</v>
      </c>
      <c r="W3262" s="27" t="str">
        <f t="shared" si="1774"/>
        <v>-</v>
      </c>
      <c r="X3262" s="27" t="str">
        <f>IFERROR(W3262*J3261,"-")</f>
        <v>-</v>
      </c>
      <c r="Z3262" s="94" t="s">
        <v>82</v>
      </c>
    </row>
    <row r="3263" spans="1:26" s="25" customFormat="1" ht="6.95" customHeight="1" x14ac:dyDescent="0.3">
      <c r="A3263" s="10"/>
      <c r="B3263" s="168"/>
      <c r="C3263" s="169"/>
      <c r="D3263" s="160"/>
      <c r="E3263" s="161"/>
      <c r="F3263" s="162"/>
      <c r="G3263" s="163"/>
      <c r="H3263" s="164"/>
      <c r="I3263" s="163"/>
      <c r="J3263" s="164"/>
      <c r="K3263" s="163"/>
      <c r="L3263" s="164"/>
      <c r="M3263" s="11"/>
      <c r="N3263" s="39"/>
      <c r="Q3263" s="15" t="str">
        <f>+CONCATENATE(E3261,K3261)</f>
        <v/>
      </c>
      <c r="R3263" s="15">
        <f>+L3261</f>
        <v>0</v>
      </c>
      <c r="S3263" s="16"/>
      <c r="T3263" s="15">
        <f>+E3261</f>
        <v>0</v>
      </c>
      <c r="U3263" s="26" t="str">
        <f>IFERROR(LEFT(K3261,FIND("*",K3261)-1),"-")</f>
        <v>-</v>
      </c>
      <c r="V3263" s="26" t="str">
        <f>IFERROR(RIGHT(K3261,LEN(K3261)-FIND("*",K3261)),"-")</f>
        <v>-</v>
      </c>
      <c r="W3263" s="27" t="str">
        <f t="shared" si="1774"/>
        <v>-</v>
      </c>
      <c r="X3263" s="27" t="str">
        <f>IFERROR(W3263*L3261,"-")</f>
        <v>-</v>
      </c>
      <c r="Z3263" s="94" t="s">
        <v>82</v>
      </c>
    </row>
    <row r="3264" spans="1:26" s="25" customFormat="1" ht="6.95" customHeight="1" x14ac:dyDescent="0.3">
      <c r="A3264" s="13"/>
      <c r="B3264" s="168"/>
      <c r="C3264" s="169"/>
      <c r="D3264" s="160" t="s">
        <v>39</v>
      </c>
      <c r="E3264" s="161"/>
      <c r="F3264" s="162" t="s">
        <v>40</v>
      </c>
      <c r="G3264" s="163"/>
      <c r="H3264" s="164"/>
      <c r="I3264" s="163"/>
      <c r="J3264" s="164"/>
      <c r="K3264" s="163"/>
      <c r="L3264" s="164"/>
      <c r="M3264" s="11"/>
      <c r="N3264" s="39"/>
      <c r="Q3264" s="15" t="str">
        <f>+CONCATENATE(E3264,G3264)</f>
        <v/>
      </c>
      <c r="R3264" s="15">
        <f>+H3264</f>
        <v>0</v>
      </c>
      <c r="S3264" s="16"/>
      <c r="T3264" s="15">
        <f>+E3264</f>
        <v>0</v>
      </c>
      <c r="U3264" s="26" t="str">
        <f t="shared" ref="U3264" si="1777">IFERROR(LEFT(G3264,FIND("*",G3264)-1),"-")</f>
        <v>-</v>
      </c>
      <c r="V3264" s="26" t="str">
        <f t="shared" ref="V3264" si="1778">IFERROR(RIGHT(G3264,LEN(G3264)-FIND("*",G3264)),"-")</f>
        <v>-</v>
      </c>
      <c r="W3264" s="27" t="str">
        <f t="shared" si="1774"/>
        <v>-</v>
      </c>
      <c r="X3264" s="27" t="str">
        <f>IFERROR(W3264*H3264,"-")</f>
        <v>-</v>
      </c>
      <c r="Z3264" s="94" t="s">
        <v>82</v>
      </c>
    </row>
    <row r="3265" spans="1:26" s="25" customFormat="1" ht="6.95" customHeight="1" x14ac:dyDescent="0.3">
      <c r="A3265" s="10"/>
      <c r="B3265" s="168"/>
      <c r="C3265" s="169"/>
      <c r="D3265" s="160"/>
      <c r="E3265" s="161"/>
      <c r="F3265" s="162"/>
      <c r="G3265" s="163"/>
      <c r="H3265" s="164"/>
      <c r="I3265" s="163"/>
      <c r="J3265" s="164"/>
      <c r="K3265" s="163"/>
      <c r="L3265" s="164"/>
      <c r="M3265" s="11"/>
      <c r="N3265" s="39"/>
      <c r="Q3265" s="15" t="str">
        <f>+CONCATENATE(E3264,I3264)</f>
        <v/>
      </c>
      <c r="R3265" s="15">
        <f>+J3264</f>
        <v>0</v>
      </c>
      <c r="S3265" s="16"/>
      <c r="T3265" s="15">
        <f>+E3264</f>
        <v>0</v>
      </c>
      <c r="U3265" s="26" t="str">
        <f>IFERROR(LEFT(I3264,FIND("*",I3264)-1),"-")</f>
        <v>-</v>
      </c>
      <c r="V3265" s="26" t="str">
        <f>IFERROR(RIGHT(I3264,LEN(I3264)-FIND("*",I3264)),"-")</f>
        <v>-</v>
      </c>
      <c r="W3265" s="27" t="str">
        <f t="shared" si="1774"/>
        <v>-</v>
      </c>
      <c r="X3265" s="27" t="str">
        <f t="shared" ref="X3265" si="1779">IFERROR(W3265*J3264,"-")</f>
        <v>-</v>
      </c>
      <c r="Z3265" s="94" t="s">
        <v>82</v>
      </c>
    </row>
    <row r="3266" spans="1:26" s="25" customFormat="1" ht="6.95" customHeight="1" x14ac:dyDescent="0.3">
      <c r="A3266" s="10"/>
      <c r="B3266" s="168"/>
      <c r="C3266" s="169"/>
      <c r="D3266" s="160"/>
      <c r="E3266" s="161"/>
      <c r="F3266" s="162"/>
      <c r="G3266" s="163"/>
      <c r="H3266" s="164"/>
      <c r="I3266" s="163"/>
      <c r="J3266" s="164"/>
      <c r="K3266" s="163"/>
      <c r="L3266" s="164"/>
      <c r="M3266" s="11"/>
      <c r="N3266" s="39"/>
      <c r="Q3266" s="15" t="str">
        <f>+CONCATENATE(E3264,K3264)</f>
        <v/>
      </c>
      <c r="R3266" s="15">
        <f>+L3264</f>
        <v>0</v>
      </c>
      <c r="S3266" s="16"/>
      <c r="T3266" s="15">
        <f>+E3264</f>
        <v>0</v>
      </c>
      <c r="U3266" s="26" t="str">
        <f>IFERROR(LEFT(K3264,FIND("*",K3264)-1),"-")</f>
        <v>-</v>
      </c>
      <c r="V3266" s="26" t="str">
        <f>IFERROR(RIGHT(K3264,LEN(K3264)-FIND("*",K3264)),"-")</f>
        <v>-</v>
      </c>
      <c r="W3266" s="27" t="str">
        <f t="shared" si="1774"/>
        <v>-</v>
      </c>
      <c r="X3266" s="27" t="str">
        <f>IFERROR(W3266*L3264,"-")</f>
        <v>-</v>
      </c>
      <c r="Z3266" s="94" t="s">
        <v>82</v>
      </c>
    </row>
    <row r="3267" spans="1:26" s="25" customFormat="1" ht="21" customHeight="1" thickBot="1" x14ac:dyDescent="0.35">
      <c r="A3267" s="10"/>
      <c r="B3267" s="170"/>
      <c r="C3267" s="171"/>
      <c r="D3267" s="172" t="s">
        <v>43</v>
      </c>
      <c r="E3267" s="173"/>
      <c r="F3267" s="173"/>
      <c r="G3267" s="174"/>
      <c r="H3267" s="174"/>
      <c r="I3267" s="174"/>
      <c r="J3267" s="174"/>
      <c r="K3267" s="174"/>
      <c r="L3267" s="174"/>
      <c r="M3267" s="12"/>
      <c r="N3267" s="39"/>
      <c r="U3267" s="23"/>
      <c r="V3267" s="23"/>
      <c r="Z3267" s="95" t="s">
        <v>81</v>
      </c>
    </row>
    <row r="3268" spans="1:26" s="25" customFormat="1" ht="9.9499999999999993" customHeight="1" thickBot="1" x14ac:dyDescent="0.35">
      <c r="A3268" s="6"/>
      <c r="B3268" s="14"/>
      <c r="C3268" s="119"/>
      <c r="D3268" s="58"/>
      <c r="E3268" s="17"/>
      <c r="F3268" s="58"/>
      <c r="G3268" s="19"/>
      <c r="H3268" s="19"/>
      <c r="I3268" s="19"/>
      <c r="J3268" s="19"/>
      <c r="K3268" s="19"/>
      <c r="L3268" s="19"/>
      <c r="M3268" s="14"/>
      <c r="N3268" s="39"/>
      <c r="Q3268" s="1"/>
      <c r="R3268" s="1"/>
      <c r="S3268" s="1"/>
      <c r="T3268" s="1"/>
      <c r="U3268" s="24"/>
      <c r="V3268" s="24"/>
      <c r="W3268" s="1"/>
      <c r="X3268" s="1"/>
      <c r="Z3268" s="94" t="s">
        <v>82</v>
      </c>
    </row>
    <row r="3269" spans="1:26" s="25" customFormat="1" ht="6.95" customHeight="1" x14ac:dyDescent="0.3">
      <c r="A3269" s="165">
        <f>+A3258+1</f>
        <v>298</v>
      </c>
      <c r="B3269" s="166"/>
      <c r="C3269" s="167"/>
      <c r="D3269" s="160" t="s">
        <v>39</v>
      </c>
      <c r="E3269" s="161"/>
      <c r="F3269" s="162" t="s">
        <v>40</v>
      </c>
      <c r="G3269" s="163"/>
      <c r="H3269" s="164"/>
      <c r="I3269" s="163"/>
      <c r="J3269" s="164"/>
      <c r="K3269" s="163"/>
      <c r="L3269" s="164"/>
      <c r="M3269" s="11"/>
      <c r="N3269" s="39"/>
      <c r="Q3269" s="15" t="str">
        <f>+CONCATENATE(E3269,G3269)</f>
        <v/>
      </c>
      <c r="R3269" s="15">
        <f>+H3269</f>
        <v>0</v>
      </c>
      <c r="S3269" s="16"/>
      <c r="T3269" s="15">
        <f>+E3269</f>
        <v>0</v>
      </c>
      <c r="U3269" s="26" t="str">
        <f>IFERROR(LEFT(G3269,FIND("*",G3269)-1),"-")</f>
        <v>-</v>
      </c>
      <c r="V3269" s="26" t="str">
        <f>IFERROR(RIGHT(G3269,LEN(G3269)-FIND("*",G3269)),"-")</f>
        <v>-</v>
      </c>
      <c r="W3269" s="27" t="str">
        <f>IFERROR((U3269+V3269)*2/1000,"-")</f>
        <v>-</v>
      </c>
      <c r="X3269" s="27" t="str">
        <f>IFERROR(W3269*H3269,"-")</f>
        <v>-</v>
      </c>
      <c r="Z3269" s="94" t="s">
        <v>82</v>
      </c>
    </row>
    <row r="3270" spans="1:26" s="25" customFormat="1" ht="6.95" customHeight="1" x14ac:dyDescent="0.3">
      <c r="A3270" s="165"/>
      <c r="B3270" s="168"/>
      <c r="C3270" s="169"/>
      <c r="D3270" s="160"/>
      <c r="E3270" s="161"/>
      <c r="F3270" s="162"/>
      <c r="G3270" s="163"/>
      <c r="H3270" s="164"/>
      <c r="I3270" s="163"/>
      <c r="J3270" s="164"/>
      <c r="K3270" s="163"/>
      <c r="L3270" s="164"/>
      <c r="M3270" s="11"/>
      <c r="N3270" s="39"/>
      <c r="Q3270" s="15" t="str">
        <f>+CONCATENATE(E3269,I3269)</f>
        <v/>
      </c>
      <c r="R3270" s="15">
        <f>+J3269</f>
        <v>0</v>
      </c>
      <c r="S3270" s="16"/>
      <c r="T3270" s="15">
        <f>+E3269</f>
        <v>0</v>
      </c>
      <c r="U3270" s="26" t="str">
        <f>IFERROR(LEFT(I3269,FIND("*",I3269)-1),"-")</f>
        <v>-</v>
      </c>
      <c r="V3270" s="26" t="str">
        <f>IFERROR(RIGHT(I3269,LEN(I3269)-FIND("*",I3269)),"-")</f>
        <v>-</v>
      </c>
      <c r="W3270" s="27" t="str">
        <f t="shared" ref="W3270:W3277" si="1780">IFERROR((U3270+V3270)*2/1000,"-")</f>
        <v>-</v>
      </c>
      <c r="X3270" s="27" t="str">
        <f>IFERROR(W3270*J3269,"-")</f>
        <v>-</v>
      </c>
      <c r="Z3270" s="94" t="s">
        <v>82</v>
      </c>
    </row>
    <row r="3271" spans="1:26" s="25" customFormat="1" ht="6.95" customHeight="1" x14ac:dyDescent="0.3">
      <c r="A3271" s="165"/>
      <c r="B3271" s="168"/>
      <c r="C3271" s="169"/>
      <c r="D3271" s="160"/>
      <c r="E3271" s="161"/>
      <c r="F3271" s="162"/>
      <c r="G3271" s="163"/>
      <c r="H3271" s="164"/>
      <c r="I3271" s="163"/>
      <c r="J3271" s="164"/>
      <c r="K3271" s="163"/>
      <c r="L3271" s="164"/>
      <c r="M3271" s="11"/>
      <c r="N3271" s="39"/>
      <c r="Q3271" s="15" t="str">
        <f>+CONCATENATE(E3269,K3269)</f>
        <v/>
      </c>
      <c r="R3271" s="15">
        <f>+L3269</f>
        <v>0</v>
      </c>
      <c r="S3271" s="16"/>
      <c r="T3271" s="15">
        <f>+E3269</f>
        <v>0</v>
      </c>
      <c r="U3271" s="26" t="str">
        <f>IFERROR(LEFT(K3269,FIND("*",K3269)-1),"-")</f>
        <v>-</v>
      </c>
      <c r="V3271" s="26" t="str">
        <f>IFERROR(RIGHT(K3269,LEN(K3269)-FIND("*",K3269)),"-")</f>
        <v>-</v>
      </c>
      <c r="W3271" s="27" t="str">
        <f t="shared" si="1780"/>
        <v>-</v>
      </c>
      <c r="X3271" s="27" t="str">
        <f>IFERROR(W3271*L3269,"-")</f>
        <v>-</v>
      </c>
      <c r="Z3271" s="94" t="s">
        <v>82</v>
      </c>
    </row>
    <row r="3272" spans="1:26" s="25" customFormat="1" ht="6.95" customHeight="1" x14ac:dyDescent="0.3">
      <c r="A3272" s="13"/>
      <c r="B3272" s="168"/>
      <c r="C3272" s="169"/>
      <c r="D3272" s="160" t="s">
        <v>39</v>
      </c>
      <c r="E3272" s="161"/>
      <c r="F3272" s="162" t="s">
        <v>40</v>
      </c>
      <c r="G3272" s="163"/>
      <c r="H3272" s="164"/>
      <c r="I3272" s="163"/>
      <c r="J3272" s="164"/>
      <c r="K3272" s="163"/>
      <c r="L3272" s="164"/>
      <c r="M3272" s="11"/>
      <c r="N3272" s="39"/>
      <c r="Q3272" s="15" t="str">
        <f>+CONCATENATE(E3272,G3272)</f>
        <v/>
      </c>
      <c r="R3272" s="15">
        <f>+H3272</f>
        <v>0</v>
      </c>
      <c r="S3272" s="16"/>
      <c r="T3272" s="15">
        <f>+E3272</f>
        <v>0</v>
      </c>
      <c r="U3272" s="26" t="str">
        <f t="shared" ref="U3272" si="1781">IFERROR(LEFT(G3272,FIND("*",G3272)-1),"-")</f>
        <v>-</v>
      </c>
      <c r="V3272" s="26" t="str">
        <f t="shared" ref="V3272" si="1782">IFERROR(RIGHT(G3272,LEN(G3272)-FIND("*",G3272)),"-")</f>
        <v>-</v>
      </c>
      <c r="W3272" s="27" t="str">
        <f t="shared" si="1780"/>
        <v>-</v>
      </c>
      <c r="X3272" s="27" t="str">
        <f>IFERROR(W3272*H3272,"-")</f>
        <v>-</v>
      </c>
      <c r="Z3272" s="94" t="s">
        <v>82</v>
      </c>
    </row>
    <row r="3273" spans="1:26" s="25" customFormat="1" ht="6.95" customHeight="1" x14ac:dyDescent="0.3">
      <c r="A3273" s="10"/>
      <c r="B3273" s="168"/>
      <c r="C3273" s="169"/>
      <c r="D3273" s="160"/>
      <c r="E3273" s="161"/>
      <c r="F3273" s="162"/>
      <c r="G3273" s="163"/>
      <c r="H3273" s="164"/>
      <c r="I3273" s="163"/>
      <c r="J3273" s="164"/>
      <c r="K3273" s="163"/>
      <c r="L3273" s="164"/>
      <c r="M3273" s="11"/>
      <c r="N3273" s="39"/>
      <c r="Q3273" s="15" t="str">
        <f>+CONCATENATE(E3272,I3272)</f>
        <v/>
      </c>
      <c r="R3273" s="15">
        <f>+J3272</f>
        <v>0</v>
      </c>
      <c r="S3273" s="16"/>
      <c r="T3273" s="15">
        <f>+E3272</f>
        <v>0</v>
      </c>
      <c r="U3273" s="26" t="str">
        <f>IFERROR(LEFT(I3272,FIND("*",I3272)-1),"-")</f>
        <v>-</v>
      </c>
      <c r="V3273" s="26" t="str">
        <f>IFERROR(RIGHT(I3272,LEN(I3272)-FIND("*",I3272)),"-")</f>
        <v>-</v>
      </c>
      <c r="W3273" s="27" t="str">
        <f t="shared" si="1780"/>
        <v>-</v>
      </c>
      <c r="X3273" s="27" t="str">
        <f>IFERROR(W3273*J3272,"-")</f>
        <v>-</v>
      </c>
      <c r="Z3273" s="94" t="s">
        <v>82</v>
      </c>
    </row>
    <row r="3274" spans="1:26" s="25" customFormat="1" ht="6.95" customHeight="1" x14ac:dyDescent="0.3">
      <c r="A3274" s="10"/>
      <c r="B3274" s="168"/>
      <c r="C3274" s="169"/>
      <c r="D3274" s="160"/>
      <c r="E3274" s="161"/>
      <c r="F3274" s="162"/>
      <c r="G3274" s="163"/>
      <c r="H3274" s="164"/>
      <c r="I3274" s="163"/>
      <c r="J3274" s="164"/>
      <c r="K3274" s="163"/>
      <c r="L3274" s="164"/>
      <c r="M3274" s="11"/>
      <c r="N3274" s="39"/>
      <c r="Q3274" s="15" t="str">
        <f>+CONCATENATE(E3272,K3272)</f>
        <v/>
      </c>
      <c r="R3274" s="15">
        <f>+L3272</f>
        <v>0</v>
      </c>
      <c r="S3274" s="16"/>
      <c r="T3274" s="15">
        <f>+E3272</f>
        <v>0</v>
      </c>
      <c r="U3274" s="26" t="str">
        <f>IFERROR(LEFT(K3272,FIND("*",K3272)-1),"-")</f>
        <v>-</v>
      </c>
      <c r="V3274" s="26" t="str">
        <f>IFERROR(RIGHT(K3272,LEN(K3272)-FIND("*",K3272)),"-")</f>
        <v>-</v>
      </c>
      <c r="W3274" s="27" t="str">
        <f t="shared" si="1780"/>
        <v>-</v>
      </c>
      <c r="X3274" s="27" t="str">
        <f>IFERROR(W3274*L3272,"-")</f>
        <v>-</v>
      </c>
      <c r="Z3274" s="94" t="s">
        <v>82</v>
      </c>
    </row>
    <row r="3275" spans="1:26" s="25" customFormat="1" ht="6.95" customHeight="1" x14ac:dyDescent="0.3">
      <c r="A3275" s="13"/>
      <c r="B3275" s="168"/>
      <c r="C3275" s="169"/>
      <c r="D3275" s="160" t="s">
        <v>39</v>
      </c>
      <c r="E3275" s="161"/>
      <c r="F3275" s="162" t="s">
        <v>40</v>
      </c>
      <c r="G3275" s="163"/>
      <c r="H3275" s="164"/>
      <c r="I3275" s="163"/>
      <c r="J3275" s="164"/>
      <c r="K3275" s="163"/>
      <c r="L3275" s="164"/>
      <c r="M3275" s="11"/>
      <c r="N3275" s="39"/>
      <c r="Q3275" s="15" t="str">
        <f>+CONCATENATE(E3275,G3275)</f>
        <v/>
      </c>
      <c r="R3275" s="15">
        <f>+H3275</f>
        <v>0</v>
      </c>
      <c r="S3275" s="16"/>
      <c r="T3275" s="15">
        <f>+E3275</f>
        <v>0</v>
      </c>
      <c r="U3275" s="26" t="str">
        <f t="shared" ref="U3275" si="1783">IFERROR(LEFT(G3275,FIND("*",G3275)-1),"-")</f>
        <v>-</v>
      </c>
      <c r="V3275" s="26" t="str">
        <f t="shared" ref="V3275" si="1784">IFERROR(RIGHT(G3275,LEN(G3275)-FIND("*",G3275)),"-")</f>
        <v>-</v>
      </c>
      <c r="W3275" s="27" t="str">
        <f t="shared" si="1780"/>
        <v>-</v>
      </c>
      <c r="X3275" s="27" t="str">
        <f>IFERROR(W3275*H3275,"-")</f>
        <v>-</v>
      </c>
      <c r="Z3275" s="94" t="s">
        <v>82</v>
      </c>
    </row>
    <row r="3276" spans="1:26" s="25" customFormat="1" ht="6.95" customHeight="1" x14ac:dyDescent="0.3">
      <c r="A3276" s="10"/>
      <c r="B3276" s="168"/>
      <c r="C3276" s="169"/>
      <c r="D3276" s="160"/>
      <c r="E3276" s="161"/>
      <c r="F3276" s="162"/>
      <c r="G3276" s="163"/>
      <c r="H3276" s="164"/>
      <c r="I3276" s="163"/>
      <c r="J3276" s="164"/>
      <c r="K3276" s="163"/>
      <c r="L3276" s="164"/>
      <c r="M3276" s="11"/>
      <c r="N3276" s="39"/>
      <c r="Q3276" s="15" t="str">
        <f>+CONCATENATE(E3275,I3275)</f>
        <v/>
      </c>
      <c r="R3276" s="15">
        <f>+J3275</f>
        <v>0</v>
      </c>
      <c r="S3276" s="16"/>
      <c r="T3276" s="15">
        <f>+E3275</f>
        <v>0</v>
      </c>
      <c r="U3276" s="26" t="str">
        <f>IFERROR(LEFT(I3275,FIND("*",I3275)-1),"-")</f>
        <v>-</v>
      </c>
      <c r="V3276" s="26" t="str">
        <f>IFERROR(RIGHT(I3275,LEN(I3275)-FIND("*",I3275)),"-")</f>
        <v>-</v>
      </c>
      <c r="W3276" s="27" t="str">
        <f t="shared" si="1780"/>
        <v>-</v>
      </c>
      <c r="X3276" s="27" t="str">
        <f t="shared" ref="X3276" si="1785">IFERROR(W3276*J3275,"-")</f>
        <v>-</v>
      </c>
      <c r="Z3276" s="94" t="s">
        <v>82</v>
      </c>
    </row>
    <row r="3277" spans="1:26" s="25" customFormat="1" ht="6.95" customHeight="1" x14ac:dyDescent="0.3">
      <c r="A3277" s="10"/>
      <c r="B3277" s="168"/>
      <c r="C3277" s="169"/>
      <c r="D3277" s="160"/>
      <c r="E3277" s="161"/>
      <c r="F3277" s="162"/>
      <c r="G3277" s="163"/>
      <c r="H3277" s="164"/>
      <c r="I3277" s="163"/>
      <c r="J3277" s="164"/>
      <c r="K3277" s="163"/>
      <c r="L3277" s="164"/>
      <c r="M3277" s="11"/>
      <c r="N3277" s="39"/>
      <c r="Q3277" s="15" t="str">
        <f>+CONCATENATE(E3275,K3275)</f>
        <v/>
      </c>
      <c r="R3277" s="15">
        <f>+L3275</f>
        <v>0</v>
      </c>
      <c r="S3277" s="16"/>
      <c r="T3277" s="15">
        <f>+E3275</f>
        <v>0</v>
      </c>
      <c r="U3277" s="26" t="str">
        <f>IFERROR(LEFT(K3275,FIND("*",K3275)-1),"-")</f>
        <v>-</v>
      </c>
      <c r="V3277" s="26" t="str">
        <f>IFERROR(RIGHT(K3275,LEN(K3275)-FIND("*",K3275)),"-")</f>
        <v>-</v>
      </c>
      <c r="W3277" s="27" t="str">
        <f t="shared" si="1780"/>
        <v>-</v>
      </c>
      <c r="X3277" s="27" t="str">
        <f>IFERROR(W3277*L3275,"-")</f>
        <v>-</v>
      </c>
      <c r="Z3277" s="94" t="s">
        <v>82</v>
      </c>
    </row>
    <row r="3278" spans="1:26" s="25" customFormat="1" ht="21" customHeight="1" thickBot="1" x14ac:dyDescent="0.35">
      <c r="A3278" s="10"/>
      <c r="B3278" s="170"/>
      <c r="C3278" s="171"/>
      <c r="D3278" s="172" t="s">
        <v>43</v>
      </c>
      <c r="E3278" s="173"/>
      <c r="F3278" s="173"/>
      <c r="G3278" s="174"/>
      <c r="H3278" s="174"/>
      <c r="I3278" s="174"/>
      <c r="J3278" s="174"/>
      <c r="K3278" s="174"/>
      <c r="L3278" s="174"/>
      <c r="M3278" s="12"/>
      <c r="N3278" s="39"/>
      <c r="U3278" s="23"/>
      <c r="V3278" s="23"/>
      <c r="Z3278" s="95" t="s">
        <v>81</v>
      </c>
    </row>
    <row r="3279" spans="1:26" s="25" customFormat="1" ht="9.9499999999999993" customHeight="1" thickBot="1" x14ac:dyDescent="0.35">
      <c r="A3279" s="6"/>
      <c r="B3279" s="14"/>
      <c r="C3279" s="119"/>
      <c r="D3279" s="58"/>
      <c r="E3279" s="17"/>
      <c r="F3279" s="58"/>
      <c r="G3279" s="19"/>
      <c r="H3279" s="19"/>
      <c r="I3279" s="19"/>
      <c r="J3279" s="19"/>
      <c r="K3279" s="19"/>
      <c r="L3279" s="19"/>
      <c r="M3279" s="14"/>
      <c r="N3279" s="39"/>
      <c r="Q3279" s="1"/>
      <c r="R3279" s="1"/>
      <c r="S3279" s="1"/>
      <c r="T3279" s="1"/>
      <c r="U3279" s="24"/>
      <c r="V3279" s="24"/>
      <c r="W3279" s="1"/>
      <c r="X3279" s="1"/>
      <c r="Z3279" s="94" t="s">
        <v>82</v>
      </c>
    </row>
    <row r="3280" spans="1:26" s="25" customFormat="1" ht="6.95" customHeight="1" x14ac:dyDescent="0.3">
      <c r="A3280" s="165">
        <f>+A3269+1</f>
        <v>299</v>
      </c>
      <c r="B3280" s="166"/>
      <c r="C3280" s="167"/>
      <c r="D3280" s="160" t="s">
        <v>39</v>
      </c>
      <c r="E3280" s="161"/>
      <c r="F3280" s="162" t="s">
        <v>40</v>
      </c>
      <c r="G3280" s="163"/>
      <c r="H3280" s="164"/>
      <c r="I3280" s="163"/>
      <c r="J3280" s="164"/>
      <c r="K3280" s="163"/>
      <c r="L3280" s="164"/>
      <c r="M3280" s="11"/>
      <c r="N3280" s="39"/>
      <c r="Q3280" s="15" t="str">
        <f>+CONCATENATE(E3280,G3280)</f>
        <v/>
      </c>
      <c r="R3280" s="15">
        <f>+H3280</f>
        <v>0</v>
      </c>
      <c r="S3280" s="16"/>
      <c r="T3280" s="15">
        <f>+E3280</f>
        <v>0</v>
      </c>
      <c r="U3280" s="26" t="str">
        <f>IFERROR(LEFT(G3280,FIND("*",G3280)-1),"-")</f>
        <v>-</v>
      </c>
      <c r="V3280" s="26" t="str">
        <f>IFERROR(RIGHT(G3280,LEN(G3280)-FIND("*",G3280)),"-")</f>
        <v>-</v>
      </c>
      <c r="W3280" s="27" t="str">
        <f>IFERROR((U3280+V3280)*2/1000,"-")</f>
        <v>-</v>
      </c>
      <c r="X3280" s="27" t="str">
        <f>IFERROR(W3280*H3280,"-")</f>
        <v>-</v>
      </c>
      <c r="Z3280" s="94" t="s">
        <v>82</v>
      </c>
    </row>
    <row r="3281" spans="1:26" s="25" customFormat="1" ht="6.95" customHeight="1" x14ac:dyDescent="0.3">
      <c r="A3281" s="165"/>
      <c r="B3281" s="168"/>
      <c r="C3281" s="169"/>
      <c r="D3281" s="160"/>
      <c r="E3281" s="161"/>
      <c r="F3281" s="162"/>
      <c r="G3281" s="163"/>
      <c r="H3281" s="164"/>
      <c r="I3281" s="163"/>
      <c r="J3281" s="164"/>
      <c r="K3281" s="163"/>
      <c r="L3281" s="164"/>
      <c r="M3281" s="11"/>
      <c r="N3281" s="39"/>
      <c r="Q3281" s="15" t="str">
        <f>+CONCATENATE(E3280,I3280)</f>
        <v/>
      </c>
      <c r="R3281" s="15">
        <f>+J3280</f>
        <v>0</v>
      </c>
      <c r="S3281" s="16"/>
      <c r="T3281" s="15">
        <f>+E3280</f>
        <v>0</v>
      </c>
      <c r="U3281" s="26" t="str">
        <f>IFERROR(LEFT(I3280,FIND("*",I3280)-1),"-")</f>
        <v>-</v>
      </c>
      <c r="V3281" s="26" t="str">
        <f>IFERROR(RIGHT(I3280,LEN(I3280)-FIND("*",I3280)),"-")</f>
        <v>-</v>
      </c>
      <c r="W3281" s="27" t="str">
        <f t="shared" ref="W3281:W3288" si="1786">IFERROR((U3281+V3281)*2/1000,"-")</f>
        <v>-</v>
      </c>
      <c r="X3281" s="27" t="str">
        <f>IFERROR(W3281*J3280,"-")</f>
        <v>-</v>
      </c>
      <c r="Z3281" s="94" t="s">
        <v>82</v>
      </c>
    </row>
    <row r="3282" spans="1:26" s="25" customFormat="1" ht="6.95" customHeight="1" x14ac:dyDescent="0.3">
      <c r="A3282" s="165"/>
      <c r="B3282" s="168"/>
      <c r="C3282" s="169"/>
      <c r="D3282" s="160"/>
      <c r="E3282" s="161"/>
      <c r="F3282" s="162"/>
      <c r="G3282" s="163"/>
      <c r="H3282" s="164"/>
      <c r="I3282" s="163"/>
      <c r="J3282" s="164"/>
      <c r="K3282" s="163"/>
      <c r="L3282" s="164"/>
      <c r="M3282" s="11"/>
      <c r="N3282" s="39"/>
      <c r="Q3282" s="15" t="str">
        <f>+CONCATENATE(E3280,K3280)</f>
        <v/>
      </c>
      <c r="R3282" s="15">
        <f>+L3280</f>
        <v>0</v>
      </c>
      <c r="S3282" s="16"/>
      <c r="T3282" s="15">
        <f>+E3280</f>
        <v>0</v>
      </c>
      <c r="U3282" s="26" t="str">
        <f>IFERROR(LEFT(K3280,FIND("*",K3280)-1),"-")</f>
        <v>-</v>
      </c>
      <c r="V3282" s="26" t="str">
        <f>IFERROR(RIGHT(K3280,LEN(K3280)-FIND("*",K3280)),"-")</f>
        <v>-</v>
      </c>
      <c r="W3282" s="27" t="str">
        <f t="shared" si="1786"/>
        <v>-</v>
      </c>
      <c r="X3282" s="27" t="str">
        <f>IFERROR(W3282*L3280,"-")</f>
        <v>-</v>
      </c>
      <c r="Z3282" s="94" t="s">
        <v>82</v>
      </c>
    </row>
    <row r="3283" spans="1:26" s="25" customFormat="1" ht="6.95" customHeight="1" x14ac:dyDescent="0.3">
      <c r="A3283" s="13"/>
      <c r="B3283" s="168"/>
      <c r="C3283" s="169"/>
      <c r="D3283" s="160" t="s">
        <v>39</v>
      </c>
      <c r="E3283" s="161"/>
      <c r="F3283" s="162" t="s">
        <v>40</v>
      </c>
      <c r="G3283" s="163"/>
      <c r="H3283" s="164"/>
      <c r="I3283" s="163"/>
      <c r="J3283" s="164"/>
      <c r="K3283" s="163"/>
      <c r="L3283" s="164"/>
      <c r="M3283" s="11"/>
      <c r="N3283" s="39"/>
      <c r="Q3283" s="15" t="str">
        <f>+CONCATENATE(E3283,G3283)</f>
        <v/>
      </c>
      <c r="R3283" s="15">
        <f>+H3283</f>
        <v>0</v>
      </c>
      <c r="S3283" s="16"/>
      <c r="T3283" s="15">
        <f>+E3283</f>
        <v>0</v>
      </c>
      <c r="U3283" s="26" t="str">
        <f t="shared" ref="U3283" si="1787">IFERROR(LEFT(G3283,FIND("*",G3283)-1),"-")</f>
        <v>-</v>
      </c>
      <c r="V3283" s="26" t="str">
        <f t="shared" ref="V3283" si="1788">IFERROR(RIGHT(G3283,LEN(G3283)-FIND("*",G3283)),"-")</f>
        <v>-</v>
      </c>
      <c r="W3283" s="27" t="str">
        <f t="shared" si="1786"/>
        <v>-</v>
      </c>
      <c r="X3283" s="27" t="str">
        <f>IFERROR(W3283*H3283,"-")</f>
        <v>-</v>
      </c>
      <c r="Z3283" s="94" t="s">
        <v>82</v>
      </c>
    </row>
    <row r="3284" spans="1:26" s="25" customFormat="1" ht="6.95" customHeight="1" x14ac:dyDescent="0.3">
      <c r="A3284" s="10"/>
      <c r="B3284" s="168"/>
      <c r="C3284" s="169"/>
      <c r="D3284" s="160"/>
      <c r="E3284" s="161"/>
      <c r="F3284" s="162"/>
      <c r="G3284" s="163"/>
      <c r="H3284" s="164"/>
      <c r="I3284" s="163"/>
      <c r="J3284" s="164"/>
      <c r="K3284" s="163"/>
      <c r="L3284" s="164"/>
      <c r="M3284" s="11"/>
      <c r="N3284" s="39"/>
      <c r="Q3284" s="15" t="str">
        <f>+CONCATENATE(E3283,I3283)</f>
        <v/>
      </c>
      <c r="R3284" s="15">
        <f>+J3283</f>
        <v>0</v>
      </c>
      <c r="S3284" s="16"/>
      <c r="T3284" s="15">
        <f>+E3283</f>
        <v>0</v>
      </c>
      <c r="U3284" s="26" t="str">
        <f>IFERROR(LEFT(I3283,FIND("*",I3283)-1),"-")</f>
        <v>-</v>
      </c>
      <c r="V3284" s="26" t="str">
        <f>IFERROR(RIGHT(I3283,LEN(I3283)-FIND("*",I3283)),"-")</f>
        <v>-</v>
      </c>
      <c r="W3284" s="27" t="str">
        <f t="shared" si="1786"/>
        <v>-</v>
      </c>
      <c r="X3284" s="27" t="str">
        <f>IFERROR(W3284*J3283,"-")</f>
        <v>-</v>
      </c>
      <c r="Z3284" s="94" t="s">
        <v>82</v>
      </c>
    </row>
    <row r="3285" spans="1:26" s="25" customFormat="1" ht="6.95" customHeight="1" x14ac:dyDescent="0.3">
      <c r="A3285" s="10"/>
      <c r="B3285" s="168"/>
      <c r="C3285" s="169"/>
      <c r="D3285" s="160"/>
      <c r="E3285" s="161"/>
      <c r="F3285" s="162"/>
      <c r="G3285" s="163"/>
      <c r="H3285" s="164"/>
      <c r="I3285" s="163"/>
      <c r="J3285" s="164"/>
      <c r="K3285" s="163"/>
      <c r="L3285" s="164"/>
      <c r="M3285" s="11"/>
      <c r="N3285" s="39"/>
      <c r="Q3285" s="15" t="str">
        <f>+CONCATENATE(E3283,K3283)</f>
        <v/>
      </c>
      <c r="R3285" s="15">
        <f>+L3283</f>
        <v>0</v>
      </c>
      <c r="S3285" s="16"/>
      <c r="T3285" s="15">
        <f>+E3283</f>
        <v>0</v>
      </c>
      <c r="U3285" s="26" t="str">
        <f>IFERROR(LEFT(K3283,FIND("*",K3283)-1),"-")</f>
        <v>-</v>
      </c>
      <c r="V3285" s="26" t="str">
        <f>IFERROR(RIGHT(K3283,LEN(K3283)-FIND("*",K3283)),"-")</f>
        <v>-</v>
      </c>
      <c r="W3285" s="27" t="str">
        <f t="shared" si="1786"/>
        <v>-</v>
      </c>
      <c r="X3285" s="27" t="str">
        <f>IFERROR(W3285*L3283,"-")</f>
        <v>-</v>
      </c>
      <c r="Z3285" s="94" t="s">
        <v>82</v>
      </c>
    </row>
    <row r="3286" spans="1:26" s="25" customFormat="1" ht="6.95" customHeight="1" x14ac:dyDescent="0.3">
      <c r="A3286" s="13"/>
      <c r="B3286" s="168"/>
      <c r="C3286" s="169"/>
      <c r="D3286" s="160" t="s">
        <v>39</v>
      </c>
      <c r="E3286" s="161"/>
      <c r="F3286" s="162" t="s">
        <v>40</v>
      </c>
      <c r="G3286" s="163"/>
      <c r="H3286" s="164"/>
      <c r="I3286" s="163"/>
      <c r="J3286" s="164"/>
      <c r="K3286" s="163"/>
      <c r="L3286" s="164"/>
      <c r="M3286" s="11"/>
      <c r="N3286" s="39"/>
      <c r="Q3286" s="15" t="str">
        <f>+CONCATENATE(E3286,G3286)</f>
        <v/>
      </c>
      <c r="R3286" s="15">
        <f>+H3286</f>
        <v>0</v>
      </c>
      <c r="S3286" s="16"/>
      <c r="T3286" s="15">
        <f>+E3286</f>
        <v>0</v>
      </c>
      <c r="U3286" s="26" t="str">
        <f t="shared" ref="U3286" si="1789">IFERROR(LEFT(G3286,FIND("*",G3286)-1),"-")</f>
        <v>-</v>
      </c>
      <c r="V3286" s="26" t="str">
        <f t="shared" ref="V3286" si="1790">IFERROR(RIGHT(G3286,LEN(G3286)-FIND("*",G3286)),"-")</f>
        <v>-</v>
      </c>
      <c r="W3286" s="27" t="str">
        <f t="shared" si="1786"/>
        <v>-</v>
      </c>
      <c r="X3286" s="27" t="str">
        <f>IFERROR(W3286*H3286,"-")</f>
        <v>-</v>
      </c>
      <c r="Z3286" s="94" t="s">
        <v>82</v>
      </c>
    </row>
    <row r="3287" spans="1:26" s="25" customFormat="1" ht="6.95" customHeight="1" x14ac:dyDescent="0.3">
      <c r="A3287" s="10"/>
      <c r="B3287" s="168"/>
      <c r="C3287" s="169"/>
      <c r="D3287" s="160"/>
      <c r="E3287" s="161"/>
      <c r="F3287" s="162"/>
      <c r="G3287" s="163"/>
      <c r="H3287" s="164"/>
      <c r="I3287" s="163"/>
      <c r="J3287" s="164"/>
      <c r="K3287" s="163"/>
      <c r="L3287" s="164"/>
      <c r="M3287" s="11"/>
      <c r="N3287" s="39"/>
      <c r="Q3287" s="15" t="str">
        <f>+CONCATENATE(E3286,I3286)</f>
        <v/>
      </c>
      <c r="R3287" s="15">
        <f>+J3286</f>
        <v>0</v>
      </c>
      <c r="S3287" s="16"/>
      <c r="T3287" s="15">
        <f>+E3286</f>
        <v>0</v>
      </c>
      <c r="U3287" s="26" t="str">
        <f>IFERROR(LEFT(I3286,FIND("*",I3286)-1),"-")</f>
        <v>-</v>
      </c>
      <c r="V3287" s="26" t="str">
        <f>IFERROR(RIGHT(I3286,LEN(I3286)-FIND("*",I3286)),"-")</f>
        <v>-</v>
      </c>
      <c r="W3287" s="27" t="str">
        <f t="shared" si="1786"/>
        <v>-</v>
      </c>
      <c r="X3287" s="27" t="str">
        <f t="shared" ref="X3287" si="1791">IFERROR(W3287*J3286,"-")</f>
        <v>-</v>
      </c>
      <c r="Z3287" s="94" t="s">
        <v>82</v>
      </c>
    </row>
    <row r="3288" spans="1:26" s="25" customFormat="1" ht="6.95" customHeight="1" x14ac:dyDescent="0.3">
      <c r="A3288" s="10"/>
      <c r="B3288" s="168"/>
      <c r="C3288" s="169"/>
      <c r="D3288" s="160"/>
      <c r="E3288" s="161"/>
      <c r="F3288" s="162"/>
      <c r="G3288" s="163"/>
      <c r="H3288" s="164"/>
      <c r="I3288" s="163"/>
      <c r="J3288" s="164"/>
      <c r="K3288" s="163"/>
      <c r="L3288" s="164"/>
      <c r="M3288" s="11"/>
      <c r="N3288" s="39"/>
      <c r="Q3288" s="15" t="str">
        <f>+CONCATENATE(E3286,K3286)</f>
        <v/>
      </c>
      <c r="R3288" s="15">
        <f>+L3286</f>
        <v>0</v>
      </c>
      <c r="S3288" s="16"/>
      <c r="T3288" s="15">
        <f>+E3286</f>
        <v>0</v>
      </c>
      <c r="U3288" s="26" t="str">
        <f>IFERROR(LEFT(K3286,FIND("*",K3286)-1),"-")</f>
        <v>-</v>
      </c>
      <c r="V3288" s="26" t="str">
        <f>IFERROR(RIGHT(K3286,LEN(K3286)-FIND("*",K3286)),"-")</f>
        <v>-</v>
      </c>
      <c r="W3288" s="27" t="str">
        <f t="shared" si="1786"/>
        <v>-</v>
      </c>
      <c r="X3288" s="27" t="str">
        <f>IFERROR(W3288*L3286,"-")</f>
        <v>-</v>
      </c>
      <c r="Z3288" s="94" t="s">
        <v>82</v>
      </c>
    </row>
    <row r="3289" spans="1:26" s="25" customFormat="1" ht="21" customHeight="1" thickBot="1" x14ac:dyDescent="0.35">
      <c r="A3289" s="10"/>
      <c r="B3289" s="170"/>
      <c r="C3289" s="171"/>
      <c r="D3289" s="172" t="s">
        <v>43</v>
      </c>
      <c r="E3289" s="173"/>
      <c r="F3289" s="173"/>
      <c r="G3289" s="174"/>
      <c r="H3289" s="174"/>
      <c r="I3289" s="174"/>
      <c r="J3289" s="174"/>
      <c r="K3289" s="174"/>
      <c r="L3289" s="174"/>
      <c r="M3289" s="12"/>
      <c r="N3289" s="39"/>
      <c r="U3289" s="23"/>
      <c r="V3289" s="23"/>
      <c r="Z3289" s="95" t="s">
        <v>81</v>
      </c>
    </row>
    <row r="3290" spans="1:26" s="25" customFormat="1" ht="9.9499999999999993" customHeight="1" thickBot="1" x14ac:dyDescent="0.35">
      <c r="A3290" s="6"/>
      <c r="B3290" s="14"/>
      <c r="C3290" s="119"/>
      <c r="D3290" s="58"/>
      <c r="E3290" s="17"/>
      <c r="F3290" s="58"/>
      <c r="G3290" s="19"/>
      <c r="H3290" s="19"/>
      <c r="I3290" s="19"/>
      <c r="J3290" s="19"/>
      <c r="K3290" s="19"/>
      <c r="L3290" s="19"/>
      <c r="M3290" s="14"/>
      <c r="N3290" s="39"/>
      <c r="Q3290" s="1"/>
      <c r="R3290" s="1"/>
      <c r="S3290" s="1"/>
      <c r="T3290" s="1"/>
      <c r="U3290" s="24"/>
      <c r="V3290" s="24"/>
      <c r="W3290" s="1"/>
      <c r="X3290" s="1"/>
      <c r="Z3290" s="94" t="s">
        <v>82</v>
      </c>
    </row>
    <row r="3291" spans="1:26" s="25" customFormat="1" ht="6.95" customHeight="1" x14ac:dyDescent="0.3">
      <c r="A3291" s="165">
        <f>+A3280+1</f>
        <v>300</v>
      </c>
      <c r="B3291" s="166"/>
      <c r="C3291" s="167"/>
      <c r="D3291" s="160" t="s">
        <v>39</v>
      </c>
      <c r="E3291" s="161"/>
      <c r="F3291" s="162" t="s">
        <v>40</v>
      </c>
      <c r="G3291" s="163"/>
      <c r="H3291" s="164"/>
      <c r="I3291" s="163"/>
      <c r="J3291" s="164"/>
      <c r="K3291" s="163"/>
      <c r="L3291" s="164"/>
      <c r="M3291" s="11"/>
      <c r="N3291" s="39"/>
      <c r="Q3291" s="15" t="str">
        <f>+CONCATENATE(E3291,G3291)</f>
        <v/>
      </c>
      <c r="R3291" s="15">
        <f>+H3291</f>
        <v>0</v>
      </c>
      <c r="S3291" s="16"/>
      <c r="T3291" s="15">
        <f>+E3291</f>
        <v>0</v>
      </c>
      <c r="U3291" s="26" t="str">
        <f>IFERROR(LEFT(G3291,FIND("*",G3291)-1),"-")</f>
        <v>-</v>
      </c>
      <c r="V3291" s="26" t="str">
        <f>IFERROR(RIGHT(G3291,LEN(G3291)-FIND("*",G3291)),"-")</f>
        <v>-</v>
      </c>
      <c r="W3291" s="27" t="str">
        <f>IFERROR((U3291+V3291)*2/1000,"-")</f>
        <v>-</v>
      </c>
      <c r="X3291" s="27" t="str">
        <f>IFERROR(W3291*H3291,"-")</f>
        <v>-</v>
      </c>
      <c r="Z3291" s="94" t="s">
        <v>82</v>
      </c>
    </row>
    <row r="3292" spans="1:26" s="25" customFormat="1" ht="6.95" customHeight="1" x14ac:dyDescent="0.3">
      <c r="A3292" s="165"/>
      <c r="B3292" s="168"/>
      <c r="C3292" s="169"/>
      <c r="D3292" s="160"/>
      <c r="E3292" s="161"/>
      <c r="F3292" s="162"/>
      <c r="G3292" s="163"/>
      <c r="H3292" s="164"/>
      <c r="I3292" s="163"/>
      <c r="J3292" s="164"/>
      <c r="K3292" s="163"/>
      <c r="L3292" s="164"/>
      <c r="M3292" s="11"/>
      <c r="N3292" s="39"/>
      <c r="Q3292" s="15" t="str">
        <f>+CONCATENATE(E3291,I3291)</f>
        <v/>
      </c>
      <c r="R3292" s="15">
        <f>+J3291</f>
        <v>0</v>
      </c>
      <c r="S3292" s="16"/>
      <c r="T3292" s="15">
        <f>+E3291</f>
        <v>0</v>
      </c>
      <c r="U3292" s="26" t="str">
        <f>IFERROR(LEFT(I3291,FIND("*",I3291)-1),"-")</f>
        <v>-</v>
      </c>
      <c r="V3292" s="26" t="str">
        <f>IFERROR(RIGHT(I3291,LEN(I3291)-FIND("*",I3291)),"-")</f>
        <v>-</v>
      </c>
      <c r="W3292" s="27" t="str">
        <f t="shared" ref="W3292:W3299" si="1792">IFERROR((U3292+V3292)*2/1000,"-")</f>
        <v>-</v>
      </c>
      <c r="X3292" s="27" t="str">
        <f>IFERROR(W3292*J3291,"-")</f>
        <v>-</v>
      </c>
      <c r="Z3292" s="94" t="s">
        <v>82</v>
      </c>
    </row>
    <row r="3293" spans="1:26" s="25" customFormat="1" ht="6.95" customHeight="1" x14ac:dyDescent="0.3">
      <c r="A3293" s="165"/>
      <c r="B3293" s="168"/>
      <c r="C3293" s="169"/>
      <c r="D3293" s="160"/>
      <c r="E3293" s="161"/>
      <c r="F3293" s="162"/>
      <c r="G3293" s="163"/>
      <c r="H3293" s="164"/>
      <c r="I3293" s="163"/>
      <c r="J3293" s="164"/>
      <c r="K3293" s="163"/>
      <c r="L3293" s="164"/>
      <c r="M3293" s="11"/>
      <c r="N3293" s="39"/>
      <c r="Q3293" s="15" t="str">
        <f>+CONCATENATE(E3291,K3291)</f>
        <v/>
      </c>
      <c r="R3293" s="15">
        <f>+L3291</f>
        <v>0</v>
      </c>
      <c r="S3293" s="16"/>
      <c r="T3293" s="15">
        <f>+E3291</f>
        <v>0</v>
      </c>
      <c r="U3293" s="26" t="str">
        <f>IFERROR(LEFT(K3291,FIND("*",K3291)-1),"-")</f>
        <v>-</v>
      </c>
      <c r="V3293" s="26" t="str">
        <f>IFERROR(RIGHT(K3291,LEN(K3291)-FIND("*",K3291)),"-")</f>
        <v>-</v>
      </c>
      <c r="W3293" s="27" t="str">
        <f t="shared" si="1792"/>
        <v>-</v>
      </c>
      <c r="X3293" s="27" t="str">
        <f>IFERROR(W3293*L3291,"-")</f>
        <v>-</v>
      </c>
      <c r="Z3293" s="94" t="s">
        <v>82</v>
      </c>
    </row>
    <row r="3294" spans="1:26" s="25" customFormat="1" ht="6.95" customHeight="1" x14ac:dyDescent="0.3">
      <c r="A3294" s="13"/>
      <c r="B3294" s="168"/>
      <c r="C3294" s="169"/>
      <c r="D3294" s="160" t="s">
        <v>39</v>
      </c>
      <c r="E3294" s="161"/>
      <c r="F3294" s="162" t="s">
        <v>40</v>
      </c>
      <c r="G3294" s="163"/>
      <c r="H3294" s="164"/>
      <c r="I3294" s="163"/>
      <c r="J3294" s="164"/>
      <c r="K3294" s="163"/>
      <c r="L3294" s="164"/>
      <c r="M3294" s="11"/>
      <c r="N3294" s="39"/>
      <c r="Q3294" s="15" t="str">
        <f>+CONCATENATE(E3294,G3294)</f>
        <v/>
      </c>
      <c r="R3294" s="15">
        <f>+H3294</f>
        <v>0</v>
      </c>
      <c r="S3294" s="16"/>
      <c r="T3294" s="15">
        <f>+E3294</f>
        <v>0</v>
      </c>
      <c r="U3294" s="26" t="str">
        <f t="shared" ref="U3294" si="1793">IFERROR(LEFT(G3294,FIND("*",G3294)-1),"-")</f>
        <v>-</v>
      </c>
      <c r="V3294" s="26" t="str">
        <f t="shared" ref="V3294" si="1794">IFERROR(RIGHT(G3294,LEN(G3294)-FIND("*",G3294)),"-")</f>
        <v>-</v>
      </c>
      <c r="W3294" s="27" t="str">
        <f t="shared" si="1792"/>
        <v>-</v>
      </c>
      <c r="X3294" s="27" t="str">
        <f>IFERROR(W3294*H3294,"-")</f>
        <v>-</v>
      </c>
      <c r="Z3294" s="94" t="s">
        <v>82</v>
      </c>
    </row>
    <row r="3295" spans="1:26" s="25" customFormat="1" ht="6.95" customHeight="1" x14ac:dyDescent="0.3">
      <c r="A3295" s="10"/>
      <c r="B3295" s="168"/>
      <c r="C3295" s="169"/>
      <c r="D3295" s="160"/>
      <c r="E3295" s="161"/>
      <c r="F3295" s="162"/>
      <c r="G3295" s="163"/>
      <c r="H3295" s="164"/>
      <c r="I3295" s="163"/>
      <c r="J3295" s="164"/>
      <c r="K3295" s="163"/>
      <c r="L3295" s="164"/>
      <c r="M3295" s="11"/>
      <c r="N3295" s="39"/>
      <c r="Q3295" s="15" t="str">
        <f>+CONCATENATE(E3294,I3294)</f>
        <v/>
      </c>
      <c r="R3295" s="15">
        <f>+J3294</f>
        <v>0</v>
      </c>
      <c r="S3295" s="16"/>
      <c r="T3295" s="15">
        <f>+E3294</f>
        <v>0</v>
      </c>
      <c r="U3295" s="26" t="str">
        <f>IFERROR(LEFT(I3294,FIND("*",I3294)-1),"-")</f>
        <v>-</v>
      </c>
      <c r="V3295" s="26" t="str">
        <f>IFERROR(RIGHT(I3294,LEN(I3294)-FIND("*",I3294)),"-")</f>
        <v>-</v>
      </c>
      <c r="W3295" s="27" t="str">
        <f t="shared" si="1792"/>
        <v>-</v>
      </c>
      <c r="X3295" s="27" t="str">
        <f>IFERROR(W3295*J3294,"-")</f>
        <v>-</v>
      </c>
      <c r="Z3295" s="94" t="s">
        <v>82</v>
      </c>
    </row>
    <row r="3296" spans="1:26" s="25" customFormat="1" ht="6.95" customHeight="1" x14ac:dyDescent="0.3">
      <c r="A3296" s="10"/>
      <c r="B3296" s="168"/>
      <c r="C3296" s="169"/>
      <c r="D3296" s="160"/>
      <c r="E3296" s="161"/>
      <c r="F3296" s="162"/>
      <c r="G3296" s="163"/>
      <c r="H3296" s="164"/>
      <c r="I3296" s="163"/>
      <c r="J3296" s="164"/>
      <c r="K3296" s="163"/>
      <c r="L3296" s="164"/>
      <c r="M3296" s="11"/>
      <c r="N3296" s="39"/>
      <c r="Q3296" s="15" t="str">
        <f>+CONCATENATE(E3294,K3294)</f>
        <v/>
      </c>
      <c r="R3296" s="15">
        <f>+L3294</f>
        <v>0</v>
      </c>
      <c r="S3296" s="16"/>
      <c r="T3296" s="15">
        <f>+E3294</f>
        <v>0</v>
      </c>
      <c r="U3296" s="26" t="str">
        <f>IFERROR(LEFT(K3294,FIND("*",K3294)-1),"-")</f>
        <v>-</v>
      </c>
      <c r="V3296" s="26" t="str">
        <f>IFERROR(RIGHT(K3294,LEN(K3294)-FIND("*",K3294)),"-")</f>
        <v>-</v>
      </c>
      <c r="W3296" s="27" t="str">
        <f t="shared" si="1792"/>
        <v>-</v>
      </c>
      <c r="X3296" s="27" t="str">
        <f>IFERROR(W3296*L3294,"-")</f>
        <v>-</v>
      </c>
      <c r="Z3296" s="94" t="s">
        <v>82</v>
      </c>
    </row>
    <row r="3297" spans="1:26" s="25" customFormat="1" ht="6.95" customHeight="1" x14ac:dyDescent="0.3">
      <c r="A3297" s="13"/>
      <c r="B3297" s="168"/>
      <c r="C3297" s="169"/>
      <c r="D3297" s="160" t="s">
        <v>39</v>
      </c>
      <c r="E3297" s="161"/>
      <c r="F3297" s="162" t="s">
        <v>40</v>
      </c>
      <c r="G3297" s="163"/>
      <c r="H3297" s="164"/>
      <c r="I3297" s="163"/>
      <c r="J3297" s="164"/>
      <c r="K3297" s="163"/>
      <c r="L3297" s="164"/>
      <c r="M3297" s="11"/>
      <c r="N3297" s="39"/>
      <c r="Q3297" s="15" t="str">
        <f>+CONCATENATE(E3297,G3297)</f>
        <v/>
      </c>
      <c r="R3297" s="15">
        <f>+H3297</f>
        <v>0</v>
      </c>
      <c r="S3297" s="16"/>
      <c r="T3297" s="15">
        <f>+E3297</f>
        <v>0</v>
      </c>
      <c r="U3297" s="26" t="str">
        <f t="shared" ref="U3297" si="1795">IFERROR(LEFT(G3297,FIND("*",G3297)-1),"-")</f>
        <v>-</v>
      </c>
      <c r="V3297" s="26" t="str">
        <f t="shared" ref="V3297" si="1796">IFERROR(RIGHT(G3297,LEN(G3297)-FIND("*",G3297)),"-")</f>
        <v>-</v>
      </c>
      <c r="W3297" s="27" t="str">
        <f t="shared" si="1792"/>
        <v>-</v>
      </c>
      <c r="X3297" s="27" t="str">
        <f>IFERROR(W3297*H3297,"-")</f>
        <v>-</v>
      </c>
      <c r="Z3297" s="94" t="s">
        <v>82</v>
      </c>
    </row>
    <row r="3298" spans="1:26" s="25" customFormat="1" ht="6.95" customHeight="1" x14ac:dyDescent="0.3">
      <c r="A3298" s="10"/>
      <c r="B3298" s="168"/>
      <c r="C3298" s="169"/>
      <c r="D3298" s="160"/>
      <c r="E3298" s="161"/>
      <c r="F3298" s="162"/>
      <c r="G3298" s="163"/>
      <c r="H3298" s="164"/>
      <c r="I3298" s="163"/>
      <c r="J3298" s="164"/>
      <c r="K3298" s="163"/>
      <c r="L3298" s="164"/>
      <c r="M3298" s="11"/>
      <c r="N3298" s="39"/>
      <c r="Q3298" s="15" t="str">
        <f>+CONCATENATE(E3297,I3297)</f>
        <v/>
      </c>
      <c r="R3298" s="15">
        <f>+J3297</f>
        <v>0</v>
      </c>
      <c r="S3298" s="16"/>
      <c r="T3298" s="15">
        <f>+E3297</f>
        <v>0</v>
      </c>
      <c r="U3298" s="26" t="str">
        <f>IFERROR(LEFT(I3297,FIND("*",I3297)-1),"-")</f>
        <v>-</v>
      </c>
      <c r="V3298" s="26" t="str">
        <f>IFERROR(RIGHT(I3297,LEN(I3297)-FIND("*",I3297)),"-")</f>
        <v>-</v>
      </c>
      <c r="W3298" s="27" t="str">
        <f t="shared" si="1792"/>
        <v>-</v>
      </c>
      <c r="X3298" s="27" t="str">
        <f t="shared" ref="X3298" si="1797">IFERROR(W3298*J3297,"-")</f>
        <v>-</v>
      </c>
      <c r="Z3298" s="94" t="s">
        <v>82</v>
      </c>
    </row>
    <row r="3299" spans="1:26" s="25" customFormat="1" ht="6.95" customHeight="1" x14ac:dyDescent="0.3">
      <c r="A3299" s="10"/>
      <c r="B3299" s="168"/>
      <c r="C3299" s="169"/>
      <c r="D3299" s="160"/>
      <c r="E3299" s="161"/>
      <c r="F3299" s="162"/>
      <c r="G3299" s="163"/>
      <c r="H3299" s="164"/>
      <c r="I3299" s="163"/>
      <c r="J3299" s="164"/>
      <c r="K3299" s="163"/>
      <c r="L3299" s="164"/>
      <c r="M3299" s="11"/>
      <c r="N3299" s="39"/>
      <c r="Q3299" s="15" t="str">
        <f>+CONCATENATE(E3297,K3297)</f>
        <v/>
      </c>
      <c r="R3299" s="15">
        <f>+L3297</f>
        <v>0</v>
      </c>
      <c r="S3299" s="16"/>
      <c r="T3299" s="15">
        <f>+E3297</f>
        <v>0</v>
      </c>
      <c r="U3299" s="26" t="str">
        <f>IFERROR(LEFT(K3297,FIND("*",K3297)-1),"-")</f>
        <v>-</v>
      </c>
      <c r="V3299" s="26" t="str">
        <f>IFERROR(RIGHT(K3297,LEN(K3297)-FIND("*",K3297)),"-")</f>
        <v>-</v>
      </c>
      <c r="W3299" s="27" t="str">
        <f t="shared" si="1792"/>
        <v>-</v>
      </c>
      <c r="X3299" s="27" t="str">
        <f>IFERROR(W3299*L3297,"-")</f>
        <v>-</v>
      </c>
      <c r="Z3299" s="94" t="s">
        <v>82</v>
      </c>
    </row>
    <row r="3300" spans="1:26" s="25" customFormat="1" ht="21" customHeight="1" thickBot="1" x14ac:dyDescent="0.35">
      <c r="A3300" s="10"/>
      <c r="B3300" s="170"/>
      <c r="C3300" s="171"/>
      <c r="D3300" s="172" t="s">
        <v>43</v>
      </c>
      <c r="E3300" s="173"/>
      <c r="F3300" s="173"/>
      <c r="G3300" s="174"/>
      <c r="H3300" s="174"/>
      <c r="I3300" s="174"/>
      <c r="J3300" s="174"/>
      <c r="K3300" s="174"/>
      <c r="L3300" s="174"/>
      <c r="M3300" s="12"/>
      <c r="N3300" s="39"/>
      <c r="U3300" s="23"/>
      <c r="V3300" s="23"/>
      <c r="Z3300" s="95" t="s">
        <v>81</v>
      </c>
    </row>
    <row r="3301" spans="1:26" s="25" customFormat="1" ht="9.9499999999999993" customHeight="1" thickBot="1" x14ac:dyDescent="0.35">
      <c r="A3301" s="6"/>
      <c r="B3301" s="14"/>
      <c r="C3301" s="119"/>
      <c r="D3301" s="58"/>
      <c r="E3301" s="17"/>
      <c r="F3301" s="58"/>
      <c r="G3301" s="19"/>
      <c r="H3301" s="19"/>
      <c r="I3301" s="19"/>
      <c r="J3301" s="19"/>
      <c r="K3301" s="19"/>
      <c r="L3301" s="19"/>
      <c r="M3301" s="14"/>
      <c r="N3301" s="39"/>
      <c r="Q3301" s="1"/>
      <c r="R3301" s="1"/>
      <c r="S3301" s="1"/>
      <c r="T3301" s="1"/>
      <c r="U3301" s="24"/>
      <c r="V3301" s="24"/>
      <c r="W3301" s="1"/>
      <c r="X3301" s="1"/>
      <c r="Z3301" s="94" t="s">
        <v>82</v>
      </c>
    </row>
    <row r="3302" spans="1:26" s="25" customFormat="1" ht="6.95" customHeight="1" x14ac:dyDescent="0.3">
      <c r="A3302" s="165">
        <f>+A3291+1</f>
        <v>301</v>
      </c>
      <c r="B3302" s="166"/>
      <c r="C3302" s="167"/>
      <c r="D3302" s="160" t="s">
        <v>39</v>
      </c>
      <c r="E3302" s="161"/>
      <c r="F3302" s="162" t="s">
        <v>40</v>
      </c>
      <c r="G3302" s="163"/>
      <c r="H3302" s="164"/>
      <c r="I3302" s="163"/>
      <c r="J3302" s="164"/>
      <c r="K3302" s="163"/>
      <c r="L3302" s="164"/>
      <c r="M3302" s="11"/>
      <c r="N3302" s="39"/>
      <c r="Q3302" s="15" t="str">
        <f>+CONCATENATE(E3302,G3302)</f>
        <v/>
      </c>
      <c r="R3302" s="15">
        <f>+H3302</f>
        <v>0</v>
      </c>
      <c r="S3302" s="16"/>
      <c r="T3302" s="15">
        <f>+E3302</f>
        <v>0</v>
      </c>
      <c r="U3302" s="26" t="str">
        <f>IFERROR(LEFT(G3302,FIND("*",G3302)-1),"-")</f>
        <v>-</v>
      </c>
      <c r="V3302" s="26" t="str">
        <f>IFERROR(RIGHT(G3302,LEN(G3302)-FIND("*",G3302)),"-")</f>
        <v>-</v>
      </c>
      <c r="W3302" s="27" t="str">
        <f>IFERROR((U3302+V3302)*2/1000,"-")</f>
        <v>-</v>
      </c>
      <c r="X3302" s="27" t="str">
        <f>IFERROR(W3302*H3302,"-")</f>
        <v>-</v>
      </c>
      <c r="Z3302" s="94" t="s">
        <v>82</v>
      </c>
    </row>
    <row r="3303" spans="1:26" s="25" customFormat="1" ht="6.95" customHeight="1" x14ac:dyDescent="0.3">
      <c r="A3303" s="165"/>
      <c r="B3303" s="168"/>
      <c r="C3303" s="169"/>
      <c r="D3303" s="160"/>
      <c r="E3303" s="161"/>
      <c r="F3303" s="162"/>
      <c r="G3303" s="163"/>
      <c r="H3303" s="164"/>
      <c r="I3303" s="163"/>
      <c r="J3303" s="164"/>
      <c r="K3303" s="163"/>
      <c r="L3303" s="164"/>
      <c r="M3303" s="11"/>
      <c r="N3303" s="39"/>
      <c r="Q3303" s="15" t="str">
        <f>+CONCATENATE(E3302,I3302)</f>
        <v/>
      </c>
      <c r="R3303" s="15">
        <f>+J3302</f>
        <v>0</v>
      </c>
      <c r="S3303" s="16"/>
      <c r="T3303" s="15">
        <f>+E3302</f>
        <v>0</v>
      </c>
      <c r="U3303" s="26" t="str">
        <f>IFERROR(LEFT(I3302,FIND("*",I3302)-1),"-")</f>
        <v>-</v>
      </c>
      <c r="V3303" s="26" t="str">
        <f>IFERROR(RIGHT(I3302,LEN(I3302)-FIND("*",I3302)),"-")</f>
        <v>-</v>
      </c>
      <c r="W3303" s="27" t="str">
        <f t="shared" ref="W3303:W3310" si="1798">IFERROR((U3303+V3303)*2/1000,"-")</f>
        <v>-</v>
      </c>
      <c r="X3303" s="27" t="str">
        <f>IFERROR(W3303*J3302,"-")</f>
        <v>-</v>
      </c>
      <c r="Z3303" s="94" t="s">
        <v>82</v>
      </c>
    </row>
    <row r="3304" spans="1:26" s="25" customFormat="1" ht="6.95" customHeight="1" x14ac:dyDescent="0.3">
      <c r="A3304" s="165"/>
      <c r="B3304" s="168"/>
      <c r="C3304" s="169"/>
      <c r="D3304" s="160"/>
      <c r="E3304" s="161"/>
      <c r="F3304" s="162"/>
      <c r="G3304" s="163"/>
      <c r="H3304" s="164"/>
      <c r="I3304" s="163"/>
      <c r="J3304" s="164"/>
      <c r="K3304" s="163"/>
      <c r="L3304" s="164"/>
      <c r="M3304" s="11"/>
      <c r="N3304" s="39"/>
      <c r="Q3304" s="15" t="str">
        <f>+CONCATENATE(E3302,K3302)</f>
        <v/>
      </c>
      <c r="R3304" s="15">
        <f>+L3302</f>
        <v>0</v>
      </c>
      <c r="S3304" s="16"/>
      <c r="T3304" s="15">
        <f>+E3302</f>
        <v>0</v>
      </c>
      <c r="U3304" s="26" t="str">
        <f>IFERROR(LEFT(K3302,FIND("*",K3302)-1),"-")</f>
        <v>-</v>
      </c>
      <c r="V3304" s="26" t="str">
        <f>IFERROR(RIGHT(K3302,LEN(K3302)-FIND("*",K3302)),"-")</f>
        <v>-</v>
      </c>
      <c r="W3304" s="27" t="str">
        <f t="shared" si="1798"/>
        <v>-</v>
      </c>
      <c r="X3304" s="27" t="str">
        <f>IFERROR(W3304*L3302,"-")</f>
        <v>-</v>
      </c>
      <c r="Z3304" s="94" t="s">
        <v>82</v>
      </c>
    </row>
    <row r="3305" spans="1:26" s="25" customFormat="1" ht="6.95" customHeight="1" x14ac:dyDescent="0.3">
      <c r="A3305" s="13"/>
      <c r="B3305" s="168"/>
      <c r="C3305" s="169"/>
      <c r="D3305" s="160" t="s">
        <v>39</v>
      </c>
      <c r="E3305" s="161"/>
      <c r="F3305" s="162" t="s">
        <v>40</v>
      </c>
      <c r="G3305" s="163"/>
      <c r="H3305" s="164"/>
      <c r="I3305" s="163"/>
      <c r="J3305" s="164"/>
      <c r="K3305" s="163"/>
      <c r="L3305" s="164"/>
      <c r="M3305" s="11"/>
      <c r="N3305" s="39"/>
      <c r="Q3305" s="15" t="str">
        <f>+CONCATENATE(E3305,G3305)</f>
        <v/>
      </c>
      <c r="R3305" s="15">
        <f>+H3305</f>
        <v>0</v>
      </c>
      <c r="S3305" s="16"/>
      <c r="T3305" s="15">
        <f>+E3305</f>
        <v>0</v>
      </c>
      <c r="U3305" s="26" t="str">
        <f t="shared" ref="U3305" si="1799">IFERROR(LEFT(G3305,FIND("*",G3305)-1),"-")</f>
        <v>-</v>
      </c>
      <c r="V3305" s="26" t="str">
        <f t="shared" ref="V3305" si="1800">IFERROR(RIGHT(G3305,LEN(G3305)-FIND("*",G3305)),"-")</f>
        <v>-</v>
      </c>
      <c r="W3305" s="27" t="str">
        <f t="shared" si="1798"/>
        <v>-</v>
      </c>
      <c r="X3305" s="27" t="str">
        <f>IFERROR(W3305*H3305,"-")</f>
        <v>-</v>
      </c>
      <c r="Z3305" s="94" t="s">
        <v>82</v>
      </c>
    </row>
    <row r="3306" spans="1:26" s="25" customFormat="1" ht="6.95" customHeight="1" x14ac:dyDescent="0.3">
      <c r="A3306" s="10"/>
      <c r="B3306" s="168"/>
      <c r="C3306" s="169"/>
      <c r="D3306" s="160"/>
      <c r="E3306" s="161"/>
      <c r="F3306" s="162"/>
      <c r="G3306" s="163"/>
      <c r="H3306" s="164"/>
      <c r="I3306" s="163"/>
      <c r="J3306" s="164"/>
      <c r="K3306" s="163"/>
      <c r="L3306" s="164"/>
      <c r="M3306" s="11"/>
      <c r="N3306" s="39"/>
      <c r="Q3306" s="15" t="str">
        <f>+CONCATENATE(E3305,I3305)</f>
        <v/>
      </c>
      <c r="R3306" s="15">
        <f>+J3305</f>
        <v>0</v>
      </c>
      <c r="S3306" s="16"/>
      <c r="T3306" s="15">
        <f>+E3305</f>
        <v>0</v>
      </c>
      <c r="U3306" s="26" t="str">
        <f>IFERROR(LEFT(I3305,FIND("*",I3305)-1),"-")</f>
        <v>-</v>
      </c>
      <c r="V3306" s="26" t="str">
        <f>IFERROR(RIGHT(I3305,LEN(I3305)-FIND("*",I3305)),"-")</f>
        <v>-</v>
      </c>
      <c r="W3306" s="27" t="str">
        <f t="shared" si="1798"/>
        <v>-</v>
      </c>
      <c r="X3306" s="27" t="str">
        <f>IFERROR(W3306*J3305,"-")</f>
        <v>-</v>
      </c>
      <c r="Z3306" s="94" t="s">
        <v>82</v>
      </c>
    </row>
    <row r="3307" spans="1:26" s="25" customFormat="1" ht="6.95" customHeight="1" x14ac:dyDescent="0.3">
      <c r="A3307" s="10"/>
      <c r="B3307" s="168"/>
      <c r="C3307" s="169"/>
      <c r="D3307" s="160"/>
      <c r="E3307" s="161"/>
      <c r="F3307" s="162"/>
      <c r="G3307" s="163"/>
      <c r="H3307" s="164"/>
      <c r="I3307" s="163"/>
      <c r="J3307" s="164"/>
      <c r="K3307" s="163"/>
      <c r="L3307" s="164"/>
      <c r="M3307" s="11"/>
      <c r="N3307" s="39"/>
      <c r="Q3307" s="15" t="str">
        <f>+CONCATENATE(E3305,K3305)</f>
        <v/>
      </c>
      <c r="R3307" s="15">
        <f>+L3305</f>
        <v>0</v>
      </c>
      <c r="S3307" s="16"/>
      <c r="T3307" s="15">
        <f>+E3305</f>
        <v>0</v>
      </c>
      <c r="U3307" s="26" t="str">
        <f>IFERROR(LEFT(K3305,FIND("*",K3305)-1),"-")</f>
        <v>-</v>
      </c>
      <c r="V3307" s="26" t="str">
        <f>IFERROR(RIGHT(K3305,LEN(K3305)-FIND("*",K3305)),"-")</f>
        <v>-</v>
      </c>
      <c r="W3307" s="27" t="str">
        <f t="shared" si="1798"/>
        <v>-</v>
      </c>
      <c r="X3307" s="27" t="str">
        <f>IFERROR(W3307*L3305,"-")</f>
        <v>-</v>
      </c>
      <c r="Z3307" s="94" t="s">
        <v>82</v>
      </c>
    </row>
    <row r="3308" spans="1:26" s="25" customFormat="1" ht="6.95" customHeight="1" x14ac:dyDescent="0.3">
      <c r="A3308" s="13"/>
      <c r="B3308" s="168"/>
      <c r="C3308" s="169"/>
      <c r="D3308" s="160" t="s">
        <v>39</v>
      </c>
      <c r="E3308" s="161"/>
      <c r="F3308" s="162" t="s">
        <v>40</v>
      </c>
      <c r="G3308" s="163"/>
      <c r="H3308" s="164"/>
      <c r="I3308" s="163"/>
      <c r="J3308" s="164"/>
      <c r="K3308" s="163"/>
      <c r="L3308" s="164"/>
      <c r="M3308" s="11"/>
      <c r="N3308" s="39"/>
      <c r="Q3308" s="15" t="str">
        <f>+CONCATENATE(E3308,G3308)</f>
        <v/>
      </c>
      <c r="R3308" s="15">
        <f>+H3308</f>
        <v>0</v>
      </c>
      <c r="S3308" s="16"/>
      <c r="T3308" s="15">
        <f>+E3308</f>
        <v>0</v>
      </c>
      <c r="U3308" s="26" t="str">
        <f t="shared" ref="U3308" si="1801">IFERROR(LEFT(G3308,FIND("*",G3308)-1),"-")</f>
        <v>-</v>
      </c>
      <c r="V3308" s="26" t="str">
        <f t="shared" ref="V3308" si="1802">IFERROR(RIGHT(G3308,LEN(G3308)-FIND("*",G3308)),"-")</f>
        <v>-</v>
      </c>
      <c r="W3308" s="27" t="str">
        <f t="shared" si="1798"/>
        <v>-</v>
      </c>
      <c r="X3308" s="27" t="str">
        <f>IFERROR(W3308*H3308,"-")</f>
        <v>-</v>
      </c>
      <c r="Z3308" s="94" t="s">
        <v>82</v>
      </c>
    </row>
    <row r="3309" spans="1:26" s="25" customFormat="1" ht="6.95" customHeight="1" x14ac:dyDescent="0.3">
      <c r="A3309" s="10"/>
      <c r="B3309" s="168"/>
      <c r="C3309" s="169"/>
      <c r="D3309" s="160"/>
      <c r="E3309" s="161"/>
      <c r="F3309" s="162"/>
      <c r="G3309" s="163"/>
      <c r="H3309" s="164"/>
      <c r="I3309" s="163"/>
      <c r="J3309" s="164"/>
      <c r="K3309" s="163"/>
      <c r="L3309" s="164"/>
      <c r="M3309" s="11"/>
      <c r="N3309" s="39"/>
      <c r="Q3309" s="15" t="str">
        <f>+CONCATENATE(E3308,I3308)</f>
        <v/>
      </c>
      <c r="R3309" s="15">
        <f>+J3308</f>
        <v>0</v>
      </c>
      <c r="S3309" s="16"/>
      <c r="T3309" s="15">
        <f>+E3308</f>
        <v>0</v>
      </c>
      <c r="U3309" s="26" t="str">
        <f>IFERROR(LEFT(I3308,FIND("*",I3308)-1),"-")</f>
        <v>-</v>
      </c>
      <c r="V3309" s="26" t="str">
        <f>IFERROR(RIGHT(I3308,LEN(I3308)-FIND("*",I3308)),"-")</f>
        <v>-</v>
      </c>
      <c r="W3309" s="27" t="str">
        <f t="shared" si="1798"/>
        <v>-</v>
      </c>
      <c r="X3309" s="27" t="str">
        <f t="shared" ref="X3309" si="1803">IFERROR(W3309*J3308,"-")</f>
        <v>-</v>
      </c>
      <c r="Z3309" s="94" t="s">
        <v>82</v>
      </c>
    </row>
    <row r="3310" spans="1:26" s="25" customFormat="1" ht="6.95" customHeight="1" x14ac:dyDescent="0.3">
      <c r="A3310" s="10"/>
      <c r="B3310" s="168"/>
      <c r="C3310" s="169"/>
      <c r="D3310" s="160"/>
      <c r="E3310" s="161"/>
      <c r="F3310" s="162"/>
      <c r="G3310" s="163"/>
      <c r="H3310" s="164"/>
      <c r="I3310" s="163"/>
      <c r="J3310" s="164"/>
      <c r="K3310" s="163"/>
      <c r="L3310" s="164"/>
      <c r="M3310" s="11"/>
      <c r="N3310" s="39"/>
      <c r="Q3310" s="15" t="str">
        <f>+CONCATENATE(E3308,K3308)</f>
        <v/>
      </c>
      <c r="R3310" s="15">
        <f>+L3308</f>
        <v>0</v>
      </c>
      <c r="S3310" s="16"/>
      <c r="T3310" s="15">
        <f>+E3308</f>
        <v>0</v>
      </c>
      <c r="U3310" s="26" t="str">
        <f>IFERROR(LEFT(K3308,FIND("*",K3308)-1),"-")</f>
        <v>-</v>
      </c>
      <c r="V3310" s="26" t="str">
        <f>IFERROR(RIGHT(K3308,LEN(K3308)-FIND("*",K3308)),"-")</f>
        <v>-</v>
      </c>
      <c r="W3310" s="27" t="str">
        <f t="shared" si="1798"/>
        <v>-</v>
      </c>
      <c r="X3310" s="27" t="str">
        <f>IFERROR(W3310*L3308,"-")</f>
        <v>-</v>
      </c>
      <c r="Z3310" s="94" t="s">
        <v>82</v>
      </c>
    </row>
    <row r="3311" spans="1:26" s="25" customFormat="1" ht="21" customHeight="1" thickBot="1" x14ac:dyDescent="0.35">
      <c r="A3311" s="10"/>
      <c r="B3311" s="170"/>
      <c r="C3311" s="171"/>
      <c r="D3311" s="172" t="s">
        <v>43</v>
      </c>
      <c r="E3311" s="173"/>
      <c r="F3311" s="173"/>
      <c r="G3311" s="174"/>
      <c r="H3311" s="174"/>
      <c r="I3311" s="174"/>
      <c r="J3311" s="174"/>
      <c r="K3311" s="174"/>
      <c r="L3311" s="174"/>
      <c r="M3311" s="12"/>
      <c r="N3311" s="39"/>
      <c r="U3311" s="23"/>
      <c r="V3311" s="23"/>
      <c r="Z3311" s="95" t="s">
        <v>81</v>
      </c>
    </row>
    <row r="3312" spans="1:26" s="25" customFormat="1" ht="9.9499999999999993" customHeight="1" thickBot="1" x14ac:dyDescent="0.35">
      <c r="A3312" s="6"/>
      <c r="B3312" s="14"/>
      <c r="C3312" s="119"/>
      <c r="D3312" s="58"/>
      <c r="E3312" s="17"/>
      <c r="F3312" s="58"/>
      <c r="G3312" s="19"/>
      <c r="H3312" s="19"/>
      <c r="I3312" s="19"/>
      <c r="J3312" s="19"/>
      <c r="K3312" s="19"/>
      <c r="L3312" s="19"/>
      <c r="M3312" s="14"/>
      <c r="N3312" s="39"/>
      <c r="Q3312" s="1"/>
      <c r="R3312" s="1"/>
      <c r="S3312" s="1"/>
      <c r="T3312" s="1"/>
      <c r="U3312" s="24"/>
      <c r="V3312" s="24"/>
      <c r="W3312" s="1"/>
      <c r="X3312" s="1"/>
      <c r="Z3312" s="94" t="s">
        <v>82</v>
      </c>
    </row>
    <row r="3313" spans="1:26" s="25" customFormat="1" ht="6.95" customHeight="1" x14ac:dyDescent="0.3">
      <c r="A3313" s="165">
        <f>+A3302+1</f>
        <v>302</v>
      </c>
      <c r="B3313" s="166"/>
      <c r="C3313" s="167"/>
      <c r="D3313" s="160" t="s">
        <v>39</v>
      </c>
      <c r="E3313" s="161"/>
      <c r="F3313" s="162" t="s">
        <v>40</v>
      </c>
      <c r="G3313" s="163"/>
      <c r="H3313" s="164"/>
      <c r="I3313" s="163"/>
      <c r="J3313" s="164"/>
      <c r="K3313" s="163"/>
      <c r="L3313" s="164"/>
      <c r="M3313" s="11"/>
      <c r="N3313" s="39"/>
      <c r="Q3313" s="15" t="str">
        <f>+CONCATENATE(E3313,G3313)</f>
        <v/>
      </c>
      <c r="R3313" s="15">
        <f>+H3313</f>
        <v>0</v>
      </c>
      <c r="S3313" s="16"/>
      <c r="T3313" s="15">
        <f>+E3313</f>
        <v>0</v>
      </c>
      <c r="U3313" s="26" t="str">
        <f>IFERROR(LEFT(G3313,FIND("*",G3313)-1),"-")</f>
        <v>-</v>
      </c>
      <c r="V3313" s="26" t="str">
        <f>IFERROR(RIGHT(G3313,LEN(G3313)-FIND("*",G3313)),"-")</f>
        <v>-</v>
      </c>
      <c r="W3313" s="27" t="str">
        <f>IFERROR((U3313+V3313)*2/1000,"-")</f>
        <v>-</v>
      </c>
      <c r="X3313" s="27" t="str">
        <f>IFERROR(W3313*H3313,"-")</f>
        <v>-</v>
      </c>
      <c r="Z3313" s="94" t="s">
        <v>82</v>
      </c>
    </row>
    <row r="3314" spans="1:26" s="25" customFormat="1" ht="6.95" customHeight="1" x14ac:dyDescent="0.3">
      <c r="A3314" s="165"/>
      <c r="B3314" s="168"/>
      <c r="C3314" s="169"/>
      <c r="D3314" s="160"/>
      <c r="E3314" s="161"/>
      <c r="F3314" s="162"/>
      <c r="G3314" s="163"/>
      <c r="H3314" s="164"/>
      <c r="I3314" s="163"/>
      <c r="J3314" s="164"/>
      <c r="K3314" s="163"/>
      <c r="L3314" s="164"/>
      <c r="M3314" s="11"/>
      <c r="N3314" s="39"/>
      <c r="Q3314" s="15" t="str">
        <f>+CONCATENATE(E3313,I3313)</f>
        <v/>
      </c>
      <c r="R3314" s="15">
        <f>+J3313</f>
        <v>0</v>
      </c>
      <c r="S3314" s="16"/>
      <c r="T3314" s="15">
        <f>+E3313</f>
        <v>0</v>
      </c>
      <c r="U3314" s="26" t="str">
        <f>IFERROR(LEFT(I3313,FIND("*",I3313)-1),"-")</f>
        <v>-</v>
      </c>
      <c r="V3314" s="26" t="str">
        <f>IFERROR(RIGHT(I3313,LEN(I3313)-FIND("*",I3313)),"-")</f>
        <v>-</v>
      </c>
      <c r="W3314" s="27" t="str">
        <f t="shared" ref="W3314:W3321" si="1804">IFERROR((U3314+V3314)*2/1000,"-")</f>
        <v>-</v>
      </c>
      <c r="X3314" s="27" t="str">
        <f>IFERROR(W3314*J3313,"-")</f>
        <v>-</v>
      </c>
      <c r="Z3314" s="94" t="s">
        <v>82</v>
      </c>
    </row>
    <row r="3315" spans="1:26" s="25" customFormat="1" ht="6.95" customHeight="1" x14ac:dyDescent="0.3">
      <c r="A3315" s="165"/>
      <c r="B3315" s="168"/>
      <c r="C3315" s="169"/>
      <c r="D3315" s="160"/>
      <c r="E3315" s="161"/>
      <c r="F3315" s="162"/>
      <c r="G3315" s="163"/>
      <c r="H3315" s="164"/>
      <c r="I3315" s="163"/>
      <c r="J3315" s="164"/>
      <c r="K3315" s="163"/>
      <c r="L3315" s="164"/>
      <c r="M3315" s="11"/>
      <c r="N3315" s="39"/>
      <c r="Q3315" s="15" t="str">
        <f>+CONCATENATE(E3313,K3313)</f>
        <v/>
      </c>
      <c r="R3315" s="15">
        <f>+L3313</f>
        <v>0</v>
      </c>
      <c r="S3315" s="16"/>
      <c r="T3315" s="15">
        <f>+E3313</f>
        <v>0</v>
      </c>
      <c r="U3315" s="26" t="str">
        <f>IFERROR(LEFT(K3313,FIND("*",K3313)-1),"-")</f>
        <v>-</v>
      </c>
      <c r="V3315" s="26" t="str">
        <f>IFERROR(RIGHT(K3313,LEN(K3313)-FIND("*",K3313)),"-")</f>
        <v>-</v>
      </c>
      <c r="W3315" s="27" t="str">
        <f t="shared" si="1804"/>
        <v>-</v>
      </c>
      <c r="X3315" s="27" t="str">
        <f>IFERROR(W3315*L3313,"-")</f>
        <v>-</v>
      </c>
      <c r="Z3315" s="94" t="s">
        <v>82</v>
      </c>
    </row>
    <row r="3316" spans="1:26" s="25" customFormat="1" ht="6.95" customHeight="1" x14ac:dyDescent="0.3">
      <c r="A3316" s="13"/>
      <c r="B3316" s="168"/>
      <c r="C3316" s="169"/>
      <c r="D3316" s="160" t="s">
        <v>39</v>
      </c>
      <c r="E3316" s="161"/>
      <c r="F3316" s="162" t="s">
        <v>40</v>
      </c>
      <c r="G3316" s="163"/>
      <c r="H3316" s="164"/>
      <c r="I3316" s="163"/>
      <c r="J3316" s="164"/>
      <c r="K3316" s="163"/>
      <c r="L3316" s="164"/>
      <c r="M3316" s="11"/>
      <c r="N3316" s="39"/>
      <c r="Q3316" s="15" t="str">
        <f>+CONCATENATE(E3316,G3316)</f>
        <v/>
      </c>
      <c r="R3316" s="15">
        <f>+H3316</f>
        <v>0</v>
      </c>
      <c r="S3316" s="16"/>
      <c r="T3316" s="15">
        <f>+E3316</f>
        <v>0</v>
      </c>
      <c r="U3316" s="26" t="str">
        <f t="shared" ref="U3316" si="1805">IFERROR(LEFT(G3316,FIND("*",G3316)-1),"-")</f>
        <v>-</v>
      </c>
      <c r="V3316" s="26" t="str">
        <f t="shared" ref="V3316" si="1806">IFERROR(RIGHT(G3316,LEN(G3316)-FIND("*",G3316)),"-")</f>
        <v>-</v>
      </c>
      <c r="W3316" s="27" t="str">
        <f t="shared" si="1804"/>
        <v>-</v>
      </c>
      <c r="X3316" s="27" t="str">
        <f>IFERROR(W3316*H3316,"-")</f>
        <v>-</v>
      </c>
      <c r="Z3316" s="94" t="s">
        <v>82</v>
      </c>
    </row>
    <row r="3317" spans="1:26" s="25" customFormat="1" ht="6.95" customHeight="1" x14ac:dyDescent="0.3">
      <c r="A3317" s="10"/>
      <c r="B3317" s="168"/>
      <c r="C3317" s="169"/>
      <c r="D3317" s="160"/>
      <c r="E3317" s="161"/>
      <c r="F3317" s="162"/>
      <c r="G3317" s="163"/>
      <c r="H3317" s="164"/>
      <c r="I3317" s="163"/>
      <c r="J3317" s="164"/>
      <c r="K3317" s="163"/>
      <c r="L3317" s="164"/>
      <c r="M3317" s="11"/>
      <c r="N3317" s="39"/>
      <c r="Q3317" s="15" t="str">
        <f>+CONCATENATE(E3316,I3316)</f>
        <v/>
      </c>
      <c r="R3317" s="15">
        <f>+J3316</f>
        <v>0</v>
      </c>
      <c r="S3317" s="16"/>
      <c r="T3317" s="15">
        <f>+E3316</f>
        <v>0</v>
      </c>
      <c r="U3317" s="26" t="str">
        <f>IFERROR(LEFT(I3316,FIND("*",I3316)-1),"-")</f>
        <v>-</v>
      </c>
      <c r="V3317" s="26" t="str">
        <f>IFERROR(RIGHT(I3316,LEN(I3316)-FIND("*",I3316)),"-")</f>
        <v>-</v>
      </c>
      <c r="W3317" s="27" t="str">
        <f t="shared" si="1804"/>
        <v>-</v>
      </c>
      <c r="X3317" s="27" t="str">
        <f>IFERROR(W3317*J3316,"-")</f>
        <v>-</v>
      </c>
      <c r="Z3317" s="94" t="s">
        <v>82</v>
      </c>
    </row>
    <row r="3318" spans="1:26" s="25" customFormat="1" ht="6.95" customHeight="1" x14ac:dyDescent="0.3">
      <c r="A3318" s="10"/>
      <c r="B3318" s="168"/>
      <c r="C3318" s="169"/>
      <c r="D3318" s="160"/>
      <c r="E3318" s="161"/>
      <c r="F3318" s="162"/>
      <c r="G3318" s="163"/>
      <c r="H3318" s="164"/>
      <c r="I3318" s="163"/>
      <c r="J3318" s="164"/>
      <c r="K3318" s="163"/>
      <c r="L3318" s="164"/>
      <c r="M3318" s="11"/>
      <c r="N3318" s="39"/>
      <c r="Q3318" s="15" t="str">
        <f>+CONCATENATE(E3316,K3316)</f>
        <v/>
      </c>
      <c r="R3318" s="15">
        <f>+L3316</f>
        <v>0</v>
      </c>
      <c r="S3318" s="16"/>
      <c r="T3318" s="15">
        <f>+E3316</f>
        <v>0</v>
      </c>
      <c r="U3318" s="26" t="str">
        <f>IFERROR(LEFT(K3316,FIND("*",K3316)-1),"-")</f>
        <v>-</v>
      </c>
      <c r="V3318" s="26" t="str">
        <f>IFERROR(RIGHT(K3316,LEN(K3316)-FIND("*",K3316)),"-")</f>
        <v>-</v>
      </c>
      <c r="W3318" s="27" t="str">
        <f t="shared" si="1804"/>
        <v>-</v>
      </c>
      <c r="X3318" s="27" t="str">
        <f>IFERROR(W3318*L3316,"-")</f>
        <v>-</v>
      </c>
      <c r="Z3318" s="94" t="s">
        <v>82</v>
      </c>
    </row>
    <row r="3319" spans="1:26" s="25" customFormat="1" ht="6.95" customHeight="1" x14ac:dyDescent="0.3">
      <c r="A3319" s="13"/>
      <c r="B3319" s="168"/>
      <c r="C3319" s="169"/>
      <c r="D3319" s="160" t="s">
        <v>39</v>
      </c>
      <c r="E3319" s="161"/>
      <c r="F3319" s="162" t="s">
        <v>40</v>
      </c>
      <c r="G3319" s="163"/>
      <c r="H3319" s="164"/>
      <c r="I3319" s="163"/>
      <c r="J3319" s="164"/>
      <c r="K3319" s="163"/>
      <c r="L3319" s="164"/>
      <c r="M3319" s="11"/>
      <c r="N3319" s="39"/>
      <c r="Q3319" s="15" t="str">
        <f>+CONCATENATE(E3319,G3319)</f>
        <v/>
      </c>
      <c r="R3319" s="15">
        <f>+H3319</f>
        <v>0</v>
      </c>
      <c r="S3319" s="16"/>
      <c r="T3319" s="15">
        <f>+E3319</f>
        <v>0</v>
      </c>
      <c r="U3319" s="26" t="str">
        <f t="shared" ref="U3319" si="1807">IFERROR(LEFT(G3319,FIND("*",G3319)-1),"-")</f>
        <v>-</v>
      </c>
      <c r="V3319" s="26" t="str">
        <f t="shared" ref="V3319" si="1808">IFERROR(RIGHT(G3319,LEN(G3319)-FIND("*",G3319)),"-")</f>
        <v>-</v>
      </c>
      <c r="W3319" s="27" t="str">
        <f t="shared" si="1804"/>
        <v>-</v>
      </c>
      <c r="X3319" s="27" t="str">
        <f>IFERROR(W3319*H3319,"-")</f>
        <v>-</v>
      </c>
      <c r="Z3319" s="94" t="s">
        <v>82</v>
      </c>
    </row>
    <row r="3320" spans="1:26" s="25" customFormat="1" ht="6.95" customHeight="1" x14ac:dyDescent="0.3">
      <c r="A3320" s="10"/>
      <c r="B3320" s="168"/>
      <c r="C3320" s="169"/>
      <c r="D3320" s="160"/>
      <c r="E3320" s="161"/>
      <c r="F3320" s="162"/>
      <c r="G3320" s="163"/>
      <c r="H3320" s="164"/>
      <c r="I3320" s="163"/>
      <c r="J3320" s="164"/>
      <c r="K3320" s="163"/>
      <c r="L3320" s="164"/>
      <c r="M3320" s="11"/>
      <c r="N3320" s="39"/>
      <c r="Q3320" s="15" t="str">
        <f>+CONCATENATE(E3319,I3319)</f>
        <v/>
      </c>
      <c r="R3320" s="15">
        <f>+J3319</f>
        <v>0</v>
      </c>
      <c r="S3320" s="16"/>
      <c r="T3320" s="15">
        <f>+E3319</f>
        <v>0</v>
      </c>
      <c r="U3320" s="26" t="str">
        <f>IFERROR(LEFT(I3319,FIND("*",I3319)-1),"-")</f>
        <v>-</v>
      </c>
      <c r="V3320" s="26" t="str">
        <f>IFERROR(RIGHT(I3319,LEN(I3319)-FIND("*",I3319)),"-")</f>
        <v>-</v>
      </c>
      <c r="W3320" s="27" t="str">
        <f t="shared" si="1804"/>
        <v>-</v>
      </c>
      <c r="X3320" s="27" t="str">
        <f t="shared" ref="X3320" si="1809">IFERROR(W3320*J3319,"-")</f>
        <v>-</v>
      </c>
      <c r="Z3320" s="94" t="s">
        <v>82</v>
      </c>
    </row>
    <row r="3321" spans="1:26" s="25" customFormat="1" ht="6.95" customHeight="1" x14ac:dyDescent="0.3">
      <c r="A3321" s="10"/>
      <c r="B3321" s="168"/>
      <c r="C3321" s="169"/>
      <c r="D3321" s="160"/>
      <c r="E3321" s="161"/>
      <c r="F3321" s="162"/>
      <c r="G3321" s="163"/>
      <c r="H3321" s="164"/>
      <c r="I3321" s="163"/>
      <c r="J3321" s="164"/>
      <c r="K3321" s="163"/>
      <c r="L3321" s="164"/>
      <c r="M3321" s="11"/>
      <c r="N3321" s="39"/>
      <c r="Q3321" s="15" t="str">
        <f>+CONCATENATE(E3319,K3319)</f>
        <v/>
      </c>
      <c r="R3321" s="15">
        <f>+L3319</f>
        <v>0</v>
      </c>
      <c r="S3321" s="16"/>
      <c r="T3321" s="15">
        <f>+E3319</f>
        <v>0</v>
      </c>
      <c r="U3321" s="26" t="str">
        <f>IFERROR(LEFT(K3319,FIND("*",K3319)-1),"-")</f>
        <v>-</v>
      </c>
      <c r="V3321" s="26" t="str">
        <f>IFERROR(RIGHT(K3319,LEN(K3319)-FIND("*",K3319)),"-")</f>
        <v>-</v>
      </c>
      <c r="W3321" s="27" t="str">
        <f t="shared" si="1804"/>
        <v>-</v>
      </c>
      <c r="X3321" s="27" t="str">
        <f>IFERROR(W3321*L3319,"-")</f>
        <v>-</v>
      </c>
      <c r="Z3321" s="94" t="s">
        <v>82</v>
      </c>
    </row>
    <row r="3322" spans="1:26" s="25" customFormat="1" ht="21" customHeight="1" thickBot="1" x14ac:dyDescent="0.35">
      <c r="A3322" s="10"/>
      <c r="B3322" s="170"/>
      <c r="C3322" s="171"/>
      <c r="D3322" s="172" t="s">
        <v>43</v>
      </c>
      <c r="E3322" s="173"/>
      <c r="F3322" s="173"/>
      <c r="G3322" s="174"/>
      <c r="H3322" s="174"/>
      <c r="I3322" s="174"/>
      <c r="J3322" s="174"/>
      <c r="K3322" s="174"/>
      <c r="L3322" s="174"/>
      <c r="M3322" s="12"/>
      <c r="N3322" s="39"/>
      <c r="U3322" s="23"/>
      <c r="V3322" s="23"/>
      <c r="Z3322" s="95" t="s">
        <v>81</v>
      </c>
    </row>
    <row r="3323" spans="1:26" s="25" customFormat="1" ht="9.9499999999999993" customHeight="1" thickBot="1" x14ac:dyDescent="0.35">
      <c r="A3323" s="6"/>
      <c r="B3323" s="14"/>
      <c r="C3323" s="119"/>
      <c r="D3323" s="58"/>
      <c r="E3323" s="17"/>
      <c r="F3323" s="58"/>
      <c r="G3323" s="19"/>
      <c r="H3323" s="19"/>
      <c r="I3323" s="19"/>
      <c r="J3323" s="19"/>
      <c r="K3323" s="19"/>
      <c r="L3323" s="19"/>
      <c r="M3323" s="14"/>
      <c r="N3323" s="39"/>
      <c r="Q3323" s="1"/>
      <c r="R3323" s="1"/>
      <c r="S3323" s="1"/>
      <c r="T3323" s="1"/>
      <c r="U3323" s="24"/>
      <c r="V3323" s="24"/>
      <c r="W3323" s="1"/>
      <c r="X3323" s="1"/>
      <c r="Z3323" s="94" t="s">
        <v>82</v>
      </c>
    </row>
    <row r="3324" spans="1:26" s="25" customFormat="1" ht="6.95" customHeight="1" x14ac:dyDescent="0.3">
      <c r="A3324" s="165">
        <f>+A3313+1</f>
        <v>303</v>
      </c>
      <c r="B3324" s="166"/>
      <c r="C3324" s="167"/>
      <c r="D3324" s="160" t="s">
        <v>39</v>
      </c>
      <c r="E3324" s="161"/>
      <c r="F3324" s="162" t="s">
        <v>40</v>
      </c>
      <c r="G3324" s="163"/>
      <c r="H3324" s="164"/>
      <c r="I3324" s="163"/>
      <c r="J3324" s="164"/>
      <c r="K3324" s="163"/>
      <c r="L3324" s="164"/>
      <c r="M3324" s="11"/>
      <c r="N3324" s="39"/>
      <c r="Q3324" s="15" t="str">
        <f>+CONCATENATE(E3324,G3324)</f>
        <v/>
      </c>
      <c r="R3324" s="15">
        <f>+H3324</f>
        <v>0</v>
      </c>
      <c r="S3324" s="16"/>
      <c r="T3324" s="15">
        <f>+E3324</f>
        <v>0</v>
      </c>
      <c r="U3324" s="26" t="str">
        <f>IFERROR(LEFT(G3324,FIND("*",G3324)-1),"-")</f>
        <v>-</v>
      </c>
      <c r="V3324" s="26" t="str">
        <f>IFERROR(RIGHT(G3324,LEN(G3324)-FIND("*",G3324)),"-")</f>
        <v>-</v>
      </c>
      <c r="W3324" s="27" t="str">
        <f>IFERROR((U3324+V3324)*2/1000,"-")</f>
        <v>-</v>
      </c>
      <c r="X3324" s="27" t="str">
        <f>IFERROR(W3324*H3324,"-")</f>
        <v>-</v>
      </c>
      <c r="Z3324" s="94" t="s">
        <v>82</v>
      </c>
    </row>
    <row r="3325" spans="1:26" s="25" customFormat="1" ht="6.95" customHeight="1" x14ac:dyDescent="0.3">
      <c r="A3325" s="165"/>
      <c r="B3325" s="168"/>
      <c r="C3325" s="169"/>
      <c r="D3325" s="160"/>
      <c r="E3325" s="161"/>
      <c r="F3325" s="162"/>
      <c r="G3325" s="163"/>
      <c r="H3325" s="164"/>
      <c r="I3325" s="163"/>
      <c r="J3325" s="164"/>
      <c r="K3325" s="163"/>
      <c r="L3325" s="164"/>
      <c r="M3325" s="11"/>
      <c r="N3325" s="39"/>
      <c r="Q3325" s="15" t="str">
        <f>+CONCATENATE(E3324,I3324)</f>
        <v/>
      </c>
      <c r="R3325" s="15">
        <f>+J3324</f>
        <v>0</v>
      </c>
      <c r="S3325" s="16"/>
      <c r="T3325" s="15">
        <f>+E3324</f>
        <v>0</v>
      </c>
      <c r="U3325" s="26" t="str">
        <f>IFERROR(LEFT(I3324,FIND("*",I3324)-1),"-")</f>
        <v>-</v>
      </c>
      <c r="V3325" s="26" t="str">
        <f>IFERROR(RIGHT(I3324,LEN(I3324)-FIND("*",I3324)),"-")</f>
        <v>-</v>
      </c>
      <c r="W3325" s="27" t="str">
        <f t="shared" ref="W3325:W3332" si="1810">IFERROR((U3325+V3325)*2/1000,"-")</f>
        <v>-</v>
      </c>
      <c r="X3325" s="27" t="str">
        <f>IFERROR(W3325*J3324,"-")</f>
        <v>-</v>
      </c>
      <c r="Z3325" s="94" t="s">
        <v>82</v>
      </c>
    </row>
    <row r="3326" spans="1:26" s="25" customFormat="1" ht="6.95" customHeight="1" x14ac:dyDescent="0.3">
      <c r="A3326" s="165"/>
      <c r="B3326" s="168"/>
      <c r="C3326" s="169"/>
      <c r="D3326" s="160"/>
      <c r="E3326" s="161"/>
      <c r="F3326" s="162"/>
      <c r="G3326" s="163"/>
      <c r="H3326" s="164"/>
      <c r="I3326" s="163"/>
      <c r="J3326" s="164"/>
      <c r="K3326" s="163"/>
      <c r="L3326" s="164"/>
      <c r="M3326" s="11"/>
      <c r="N3326" s="39"/>
      <c r="Q3326" s="15" t="str">
        <f>+CONCATENATE(E3324,K3324)</f>
        <v/>
      </c>
      <c r="R3326" s="15">
        <f>+L3324</f>
        <v>0</v>
      </c>
      <c r="S3326" s="16"/>
      <c r="T3326" s="15">
        <f>+E3324</f>
        <v>0</v>
      </c>
      <c r="U3326" s="26" t="str">
        <f>IFERROR(LEFT(K3324,FIND("*",K3324)-1),"-")</f>
        <v>-</v>
      </c>
      <c r="V3326" s="26" t="str">
        <f>IFERROR(RIGHT(K3324,LEN(K3324)-FIND("*",K3324)),"-")</f>
        <v>-</v>
      </c>
      <c r="W3326" s="27" t="str">
        <f t="shared" si="1810"/>
        <v>-</v>
      </c>
      <c r="X3326" s="27" t="str">
        <f>IFERROR(W3326*L3324,"-")</f>
        <v>-</v>
      </c>
      <c r="Z3326" s="94" t="s">
        <v>82</v>
      </c>
    </row>
    <row r="3327" spans="1:26" s="25" customFormat="1" ht="6.95" customHeight="1" x14ac:dyDescent="0.3">
      <c r="A3327" s="13"/>
      <c r="B3327" s="168"/>
      <c r="C3327" s="169"/>
      <c r="D3327" s="160" t="s">
        <v>39</v>
      </c>
      <c r="E3327" s="161"/>
      <c r="F3327" s="162" t="s">
        <v>40</v>
      </c>
      <c r="G3327" s="163"/>
      <c r="H3327" s="164"/>
      <c r="I3327" s="163"/>
      <c r="J3327" s="164"/>
      <c r="K3327" s="163"/>
      <c r="L3327" s="164"/>
      <c r="M3327" s="11"/>
      <c r="N3327" s="39"/>
      <c r="Q3327" s="15" t="str">
        <f>+CONCATENATE(E3327,G3327)</f>
        <v/>
      </c>
      <c r="R3327" s="15">
        <f>+H3327</f>
        <v>0</v>
      </c>
      <c r="S3327" s="16"/>
      <c r="T3327" s="15">
        <f>+E3327</f>
        <v>0</v>
      </c>
      <c r="U3327" s="26" t="str">
        <f t="shared" ref="U3327" si="1811">IFERROR(LEFT(G3327,FIND("*",G3327)-1),"-")</f>
        <v>-</v>
      </c>
      <c r="V3327" s="26" t="str">
        <f t="shared" ref="V3327" si="1812">IFERROR(RIGHT(G3327,LEN(G3327)-FIND("*",G3327)),"-")</f>
        <v>-</v>
      </c>
      <c r="W3327" s="27" t="str">
        <f t="shared" si="1810"/>
        <v>-</v>
      </c>
      <c r="X3327" s="27" t="str">
        <f>IFERROR(W3327*H3327,"-")</f>
        <v>-</v>
      </c>
      <c r="Z3327" s="94" t="s">
        <v>82</v>
      </c>
    </row>
    <row r="3328" spans="1:26" s="25" customFormat="1" ht="6.95" customHeight="1" x14ac:dyDescent="0.3">
      <c r="A3328" s="10"/>
      <c r="B3328" s="168"/>
      <c r="C3328" s="169"/>
      <c r="D3328" s="160"/>
      <c r="E3328" s="161"/>
      <c r="F3328" s="162"/>
      <c r="G3328" s="163"/>
      <c r="H3328" s="164"/>
      <c r="I3328" s="163"/>
      <c r="J3328" s="164"/>
      <c r="K3328" s="163"/>
      <c r="L3328" s="164"/>
      <c r="M3328" s="11"/>
      <c r="N3328" s="39"/>
      <c r="Q3328" s="15" t="str">
        <f>+CONCATENATE(E3327,I3327)</f>
        <v/>
      </c>
      <c r="R3328" s="15">
        <f>+J3327</f>
        <v>0</v>
      </c>
      <c r="S3328" s="16"/>
      <c r="T3328" s="15">
        <f>+E3327</f>
        <v>0</v>
      </c>
      <c r="U3328" s="26" t="str">
        <f>IFERROR(LEFT(I3327,FIND("*",I3327)-1),"-")</f>
        <v>-</v>
      </c>
      <c r="V3328" s="26" t="str">
        <f>IFERROR(RIGHT(I3327,LEN(I3327)-FIND("*",I3327)),"-")</f>
        <v>-</v>
      </c>
      <c r="W3328" s="27" t="str">
        <f t="shared" si="1810"/>
        <v>-</v>
      </c>
      <c r="X3328" s="27" t="str">
        <f>IFERROR(W3328*J3327,"-")</f>
        <v>-</v>
      </c>
      <c r="Z3328" s="94" t="s">
        <v>82</v>
      </c>
    </row>
    <row r="3329" spans="1:26" s="25" customFormat="1" ht="6.95" customHeight="1" x14ac:dyDescent="0.3">
      <c r="A3329" s="10"/>
      <c r="B3329" s="168"/>
      <c r="C3329" s="169"/>
      <c r="D3329" s="160"/>
      <c r="E3329" s="161"/>
      <c r="F3329" s="162"/>
      <c r="G3329" s="163"/>
      <c r="H3329" s="164"/>
      <c r="I3329" s="163"/>
      <c r="J3329" s="164"/>
      <c r="K3329" s="163"/>
      <c r="L3329" s="164"/>
      <c r="M3329" s="11"/>
      <c r="N3329" s="39"/>
      <c r="Q3329" s="15" t="str">
        <f>+CONCATENATE(E3327,K3327)</f>
        <v/>
      </c>
      <c r="R3329" s="15">
        <f>+L3327</f>
        <v>0</v>
      </c>
      <c r="S3329" s="16"/>
      <c r="T3329" s="15">
        <f>+E3327</f>
        <v>0</v>
      </c>
      <c r="U3329" s="26" t="str">
        <f>IFERROR(LEFT(K3327,FIND("*",K3327)-1),"-")</f>
        <v>-</v>
      </c>
      <c r="V3329" s="26" t="str">
        <f>IFERROR(RIGHT(K3327,LEN(K3327)-FIND("*",K3327)),"-")</f>
        <v>-</v>
      </c>
      <c r="W3329" s="27" t="str">
        <f t="shared" si="1810"/>
        <v>-</v>
      </c>
      <c r="X3329" s="27" t="str">
        <f>IFERROR(W3329*L3327,"-")</f>
        <v>-</v>
      </c>
      <c r="Z3329" s="94" t="s">
        <v>82</v>
      </c>
    </row>
    <row r="3330" spans="1:26" s="25" customFormat="1" ht="6.95" customHeight="1" x14ac:dyDescent="0.3">
      <c r="A3330" s="13"/>
      <c r="B3330" s="168"/>
      <c r="C3330" s="169"/>
      <c r="D3330" s="160" t="s">
        <v>39</v>
      </c>
      <c r="E3330" s="161"/>
      <c r="F3330" s="162" t="s">
        <v>40</v>
      </c>
      <c r="G3330" s="163"/>
      <c r="H3330" s="164"/>
      <c r="I3330" s="163"/>
      <c r="J3330" s="164"/>
      <c r="K3330" s="163"/>
      <c r="L3330" s="164"/>
      <c r="M3330" s="11"/>
      <c r="N3330" s="39"/>
      <c r="Q3330" s="15" t="str">
        <f>+CONCATENATE(E3330,G3330)</f>
        <v/>
      </c>
      <c r="R3330" s="15">
        <f>+H3330</f>
        <v>0</v>
      </c>
      <c r="S3330" s="16"/>
      <c r="T3330" s="15">
        <f>+E3330</f>
        <v>0</v>
      </c>
      <c r="U3330" s="26" t="str">
        <f t="shared" ref="U3330" si="1813">IFERROR(LEFT(G3330,FIND("*",G3330)-1),"-")</f>
        <v>-</v>
      </c>
      <c r="V3330" s="26" t="str">
        <f t="shared" ref="V3330" si="1814">IFERROR(RIGHT(G3330,LEN(G3330)-FIND("*",G3330)),"-")</f>
        <v>-</v>
      </c>
      <c r="W3330" s="27" t="str">
        <f t="shared" si="1810"/>
        <v>-</v>
      </c>
      <c r="X3330" s="27" t="str">
        <f>IFERROR(W3330*H3330,"-")</f>
        <v>-</v>
      </c>
      <c r="Z3330" s="94" t="s">
        <v>82</v>
      </c>
    </row>
    <row r="3331" spans="1:26" s="25" customFormat="1" ht="6.95" customHeight="1" x14ac:dyDescent="0.3">
      <c r="A3331" s="10"/>
      <c r="B3331" s="168"/>
      <c r="C3331" s="169"/>
      <c r="D3331" s="160"/>
      <c r="E3331" s="161"/>
      <c r="F3331" s="162"/>
      <c r="G3331" s="163"/>
      <c r="H3331" s="164"/>
      <c r="I3331" s="163"/>
      <c r="J3331" s="164"/>
      <c r="K3331" s="163"/>
      <c r="L3331" s="164"/>
      <c r="M3331" s="11"/>
      <c r="N3331" s="39"/>
      <c r="Q3331" s="15" t="str">
        <f>+CONCATENATE(E3330,I3330)</f>
        <v/>
      </c>
      <c r="R3331" s="15">
        <f>+J3330</f>
        <v>0</v>
      </c>
      <c r="S3331" s="16"/>
      <c r="T3331" s="15">
        <f>+E3330</f>
        <v>0</v>
      </c>
      <c r="U3331" s="26" t="str">
        <f>IFERROR(LEFT(I3330,FIND("*",I3330)-1),"-")</f>
        <v>-</v>
      </c>
      <c r="V3331" s="26" t="str">
        <f>IFERROR(RIGHT(I3330,LEN(I3330)-FIND("*",I3330)),"-")</f>
        <v>-</v>
      </c>
      <c r="W3331" s="27" t="str">
        <f t="shared" si="1810"/>
        <v>-</v>
      </c>
      <c r="X3331" s="27" t="str">
        <f t="shared" ref="X3331" si="1815">IFERROR(W3331*J3330,"-")</f>
        <v>-</v>
      </c>
      <c r="Z3331" s="94" t="s">
        <v>82</v>
      </c>
    </row>
    <row r="3332" spans="1:26" s="25" customFormat="1" ht="6.95" customHeight="1" x14ac:dyDescent="0.3">
      <c r="A3332" s="10"/>
      <c r="B3332" s="168"/>
      <c r="C3332" s="169"/>
      <c r="D3332" s="160"/>
      <c r="E3332" s="161"/>
      <c r="F3332" s="162"/>
      <c r="G3332" s="163"/>
      <c r="H3332" s="164"/>
      <c r="I3332" s="163"/>
      <c r="J3332" s="164"/>
      <c r="K3332" s="163"/>
      <c r="L3332" s="164"/>
      <c r="M3332" s="11"/>
      <c r="N3332" s="39"/>
      <c r="Q3332" s="15" t="str">
        <f>+CONCATENATE(E3330,K3330)</f>
        <v/>
      </c>
      <c r="R3332" s="15">
        <f>+L3330</f>
        <v>0</v>
      </c>
      <c r="S3332" s="16"/>
      <c r="T3332" s="15">
        <f>+E3330</f>
        <v>0</v>
      </c>
      <c r="U3332" s="26" t="str">
        <f>IFERROR(LEFT(K3330,FIND("*",K3330)-1),"-")</f>
        <v>-</v>
      </c>
      <c r="V3332" s="26" t="str">
        <f>IFERROR(RIGHT(K3330,LEN(K3330)-FIND("*",K3330)),"-")</f>
        <v>-</v>
      </c>
      <c r="W3332" s="27" t="str">
        <f t="shared" si="1810"/>
        <v>-</v>
      </c>
      <c r="X3332" s="27" t="str">
        <f>IFERROR(W3332*L3330,"-")</f>
        <v>-</v>
      </c>
      <c r="Z3332" s="94" t="s">
        <v>82</v>
      </c>
    </row>
    <row r="3333" spans="1:26" s="25" customFormat="1" ht="21" customHeight="1" thickBot="1" x14ac:dyDescent="0.35">
      <c r="A3333" s="10"/>
      <c r="B3333" s="170"/>
      <c r="C3333" s="171"/>
      <c r="D3333" s="172" t="s">
        <v>43</v>
      </c>
      <c r="E3333" s="173"/>
      <c r="F3333" s="173"/>
      <c r="G3333" s="174"/>
      <c r="H3333" s="174"/>
      <c r="I3333" s="174"/>
      <c r="J3333" s="174"/>
      <c r="K3333" s="174"/>
      <c r="L3333" s="174"/>
      <c r="M3333" s="12"/>
      <c r="N3333" s="39"/>
      <c r="U3333" s="23"/>
      <c r="V3333" s="23"/>
      <c r="Z3333" s="95" t="s">
        <v>81</v>
      </c>
    </row>
    <row r="3334" spans="1:26" s="25" customFormat="1" ht="9.9499999999999993" customHeight="1" thickBot="1" x14ac:dyDescent="0.35">
      <c r="A3334" s="6"/>
      <c r="B3334" s="14"/>
      <c r="C3334" s="119"/>
      <c r="D3334" s="58"/>
      <c r="E3334" s="17"/>
      <c r="F3334" s="58"/>
      <c r="G3334" s="19"/>
      <c r="H3334" s="19"/>
      <c r="I3334" s="19"/>
      <c r="J3334" s="19"/>
      <c r="K3334" s="19"/>
      <c r="L3334" s="19"/>
      <c r="M3334" s="14"/>
      <c r="N3334" s="39"/>
      <c r="Q3334" s="1"/>
      <c r="R3334" s="1"/>
      <c r="S3334" s="1"/>
      <c r="T3334" s="1"/>
      <c r="U3334" s="24"/>
      <c r="V3334" s="24"/>
      <c r="W3334" s="1"/>
      <c r="X3334" s="1"/>
      <c r="Z3334" s="94" t="s">
        <v>82</v>
      </c>
    </row>
    <row r="3335" spans="1:26" s="25" customFormat="1" ht="6.95" customHeight="1" x14ac:dyDescent="0.3">
      <c r="A3335" s="165">
        <f>+A3324+1</f>
        <v>304</v>
      </c>
      <c r="B3335" s="166"/>
      <c r="C3335" s="167"/>
      <c r="D3335" s="160" t="s">
        <v>39</v>
      </c>
      <c r="E3335" s="161"/>
      <c r="F3335" s="162" t="s">
        <v>40</v>
      </c>
      <c r="G3335" s="163"/>
      <c r="H3335" s="164"/>
      <c r="I3335" s="163"/>
      <c r="J3335" s="164"/>
      <c r="K3335" s="163"/>
      <c r="L3335" s="164"/>
      <c r="M3335" s="11"/>
      <c r="N3335" s="39"/>
      <c r="Q3335" s="15" t="str">
        <f>+CONCATENATE(E3335,G3335)</f>
        <v/>
      </c>
      <c r="R3335" s="15">
        <f>+H3335</f>
        <v>0</v>
      </c>
      <c r="S3335" s="16"/>
      <c r="T3335" s="15">
        <f>+E3335</f>
        <v>0</v>
      </c>
      <c r="U3335" s="26" t="str">
        <f>IFERROR(LEFT(G3335,FIND("*",G3335)-1),"-")</f>
        <v>-</v>
      </c>
      <c r="V3335" s="26" t="str">
        <f>IFERROR(RIGHT(G3335,LEN(G3335)-FIND("*",G3335)),"-")</f>
        <v>-</v>
      </c>
      <c r="W3335" s="27" t="str">
        <f>IFERROR((U3335+V3335)*2/1000,"-")</f>
        <v>-</v>
      </c>
      <c r="X3335" s="27" t="str">
        <f>IFERROR(W3335*H3335,"-")</f>
        <v>-</v>
      </c>
      <c r="Z3335" s="94" t="s">
        <v>82</v>
      </c>
    </row>
    <row r="3336" spans="1:26" s="25" customFormat="1" ht="6.95" customHeight="1" x14ac:dyDescent="0.3">
      <c r="A3336" s="165"/>
      <c r="B3336" s="168"/>
      <c r="C3336" s="169"/>
      <c r="D3336" s="160"/>
      <c r="E3336" s="161"/>
      <c r="F3336" s="162"/>
      <c r="G3336" s="163"/>
      <c r="H3336" s="164"/>
      <c r="I3336" s="163"/>
      <c r="J3336" s="164"/>
      <c r="K3336" s="163"/>
      <c r="L3336" s="164"/>
      <c r="M3336" s="11"/>
      <c r="N3336" s="39"/>
      <c r="Q3336" s="15" t="str">
        <f>+CONCATENATE(E3335,I3335)</f>
        <v/>
      </c>
      <c r="R3336" s="15">
        <f>+J3335</f>
        <v>0</v>
      </c>
      <c r="S3336" s="16"/>
      <c r="T3336" s="15">
        <f>+E3335</f>
        <v>0</v>
      </c>
      <c r="U3336" s="26" t="str">
        <f>IFERROR(LEFT(I3335,FIND("*",I3335)-1),"-")</f>
        <v>-</v>
      </c>
      <c r="V3336" s="26" t="str">
        <f>IFERROR(RIGHT(I3335,LEN(I3335)-FIND("*",I3335)),"-")</f>
        <v>-</v>
      </c>
      <c r="W3336" s="27" t="str">
        <f t="shared" ref="W3336:W3343" si="1816">IFERROR((U3336+V3336)*2/1000,"-")</f>
        <v>-</v>
      </c>
      <c r="X3336" s="27" t="str">
        <f>IFERROR(W3336*J3335,"-")</f>
        <v>-</v>
      </c>
      <c r="Z3336" s="94" t="s">
        <v>82</v>
      </c>
    </row>
    <row r="3337" spans="1:26" s="25" customFormat="1" ht="6.95" customHeight="1" x14ac:dyDescent="0.3">
      <c r="A3337" s="165"/>
      <c r="B3337" s="168"/>
      <c r="C3337" s="169"/>
      <c r="D3337" s="160"/>
      <c r="E3337" s="161"/>
      <c r="F3337" s="162"/>
      <c r="G3337" s="163"/>
      <c r="H3337" s="164"/>
      <c r="I3337" s="163"/>
      <c r="J3337" s="164"/>
      <c r="K3337" s="163"/>
      <c r="L3337" s="164"/>
      <c r="M3337" s="11"/>
      <c r="N3337" s="39"/>
      <c r="Q3337" s="15" t="str">
        <f>+CONCATENATE(E3335,K3335)</f>
        <v/>
      </c>
      <c r="R3337" s="15">
        <f>+L3335</f>
        <v>0</v>
      </c>
      <c r="S3337" s="16"/>
      <c r="T3337" s="15">
        <f>+E3335</f>
        <v>0</v>
      </c>
      <c r="U3337" s="26" t="str">
        <f>IFERROR(LEFT(K3335,FIND("*",K3335)-1),"-")</f>
        <v>-</v>
      </c>
      <c r="V3337" s="26" t="str">
        <f>IFERROR(RIGHT(K3335,LEN(K3335)-FIND("*",K3335)),"-")</f>
        <v>-</v>
      </c>
      <c r="W3337" s="27" t="str">
        <f t="shared" si="1816"/>
        <v>-</v>
      </c>
      <c r="X3337" s="27" t="str">
        <f>IFERROR(W3337*L3335,"-")</f>
        <v>-</v>
      </c>
      <c r="Z3337" s="94" t="s">
        <v>82</v>
      </c>
    </row>
    <row r="3338" spans="1:26" s="25" customFormat="1" ht="6.95" customHeight="1" x14ac:dyDescent="0.3">
      <c r="A3338" s="13"/>
      <c r="B3338" s="168"/>
      <c r="C3338" s="169"/>
      <c r="D3338" s="160" t="s">
        <v>39</v>
      </c>
      <c r="E3338" s="161"/>
      <c r="F3338" s="162" t="s">
        <v>40</v>
      </c>
      <c r="G3338" s="163"/>
      <c r="H3338" s="164"/>
      <c r="I3338" s="163"/>
      <c r="J3338" s="164"/>
      <c r="K3338" s="163"/>
      <c r="L3338" s="164"/>
      <c r="M3338" s="11"/>
      <c r="N3338" s="39"/>
      <c r="Q3338" s="15" t="str">
        <f>+CONCATENATE(E3338,G3338)</f>
        <v/>
      </c>
      <c r="R3338" s="15">
        <f>+H3338</f>
        <v>0</v>
      </c>
      <c r="S3338" s="16"/>
      <c r="T3338" s="15">
        <f>+E3338</f>
        <v>0</v>
      </c>
      <c r="U3338" s="26" t="str">
        <f t="shared" ref="U3338" si="1817">IFERROR(LEFT(G3338,FIND("*",G3338)-1),"-")</f>
        <v>-</v>
      </c>
      <c r="V3338" s="26" t="str">
        <f t="shared" ref="V3338" si="1818">IFERROR(RIGHT(G3338,LEN(G3338)-FIND("*",G3338)),"-")</f>
        <v>-</v>
      </c>
      <c r="W3338" s="27" t="str">
        <f t="shared" si="1816"/>
        <v>-</v>
      </c>
      <c r="X3338" s="27" t="str">
        <f>IFERROR(W3338*H3338,"-")</f>
        <v>-</v>
      </c>
      <c r="Z3338" s="94" t="s">
        <v>82</v>
      </c>
    </row>
    <row r="3339" spans="1:26" s="25" customFormat="1" ht="6.95" customHeight="1" x14ac:dyDescent="0.3">
      <c r="A3339" s="10"/>
      <c r="B3339" s="168"/>
      <c r="C3339" s="169"/>
      <c r="D3339" s="160"/>
      <c r="E3339" s="161"/>
      <c r="F3339" s="162"/>
      <c r="G3339" s="163"/>
      <c r="H3339" s="164"/>
      <c r="I3339" s="163"/>
      <c r="J3339" s="164"/>
      <c r="K3339" s="163"/>
      <c r="L3339" s="164"/>
      <c r="M3339" s="11"/>
      <c r="N3339" s="39"/>
      <c r="Q3339" s="15" t="str">
        <f>+CONCATENATE(E3338,I3338)</f>
        <v/>
      </c>
      <c r="R3339" s="15">
        <f>+J3338</f>
        <v>0</v>
      </c>
      <c r="S3339" s="16"/>
      <c r="T3339" s="15">
        <f>+E3338</f>
        <v>0</v>
      </c>
      <c r="U3339" s="26" t="str">
        <f>IFERROR(LEFT(I3338,FIND("*",I3338)-1),"-")</f>
        <v>-</v>
      </c>
      <c r="V3339" s="26" t="str">
        <f>IFERROR(RIGHT(I3338,LEN(I3338)-FIND("*",I3338)),"-")</f>
        <v>-</v>
      </c>
      <c r="W3339" s="27" t="str">
        <f t="shared" si="1816"/>
        <v>-</v>
      </c>
      <c r="X3339" s="27" t="str">
        <f>IFERROR(W3339*J3338,"-")</f>
        <v>-</v>
      </c>
      <c r="Z3339" s="94" t="s">
        <v>82</v>
      </c>
    </row>
    <row r="3340" spans="1:26" s="25" customFormat="1" ht="6.95" customHeight="1" x14ac:dyDescent="0.3">
      <c r="A3340" s="10"/>
      <c r="B3340" s="168"/>
      <c r="C3340" s="169"/>
      <c r="D3340" s="160"/>
      <c r="E3340" s="161"/>
      <c r="F3340" s="162"/>
      <c r="G3340" s="163"/>
      <c r="H3340" s="164"/>
      <c r="I3340" s="163"/>
      <c r="J3340" s="164"/>
      <c r="K3340" s="163"/>
      <c r="L3340" s="164"/>
      <c r="M3340" s="11"/>
      <c r="N3340" s="39"/>
      <c r="Q3340" s="15" t="str">
        <f>+CONCATENATE(E3338,K3338)</f>
        <v/>
      </c>
      <c r="R3340" s="15">
        <f>+L3338</f>
        <v>0</v>
      </c>
      <c r="S3340" s="16"/>
      <c r="T3340" s="15">
        <f>+E3338</f>
        <v>0</v>
      </c>
      <c r="U3340" s="26" t="str">
        <f>IFERROR(LEFT(K3338,FIND("*",K3338)-1),"-")</f>
        <v>-</v>
      </c>
      <c r="V3340" s="26" t="str">
        <f>IFERROR(RIGHT(K3338,LEN(K3338)-FIND("*",K3338)),"-")</f>
        <v>-</v>
      </c>
      <c r="W3340" s="27" t="str">
        <f t="shared" si="1816"/>
        <v>-</v>
      </c>
      <c r="X3340" s="27" t="str">
        <f>IFERROR(W3340*L3338,"-")</f>
        <v>-</v>
      </c>
      <c r="Z3340" s="94" t="s">
        <v>82</v>
      </c>
    </row>
    <row r="3341" spans="1:26" s="25" customFormat="1" ht="6.95" customHeight="1" x14ac:dyDescent="0.3">
      <c r="A3341" s="13"/>
      <c r="B3341" s="168"/>
      <c r="C3341" s="169"/>
      <c r="D3341" s="160" t="s">
        <v>39</v>
      </c>
      <c r="E3341" s="161"/>
      <c r="F3341" s="162" t="s">
        <v>40</v>
      </c>
      <c r="G3341" s="163"/>
      <c r="H3341" s="164"/>
      <c r="I3341" s="163"/>
      <c r="J3341" s="164"/>
      <c r="K3341" s="163"/>
      <c r="L3341" s="164"/>
      <c r="M3341" s="11"/>
      <c r="N3341" s="39"/>
      <c r="Q3341" s="15" t="str">
        <f>+CONCATENATE(E3341,G3341)</f>
        <v/>
      </c>
      <c r="R3341" s="15">
        <f>+H3341</f>
        <v>0</v>
      </c>
      <c r="S3341" s="16"/>
      <c r="T3341" s="15">
        <f>+E3341</f>
        <v>0</v>
      </c>
      <c r="U3341" s="26" t="str">
        <f t="shared" ref="U3341" si="1819">IFERROR(LEFT(G3341,FIND("*",G3341)-1),"-")</f>
        <v>-</v>
      </c>
      <c r="V3341" s="26" t="str">
        <f t="shared" ref="V3341" si="1820">IFERROR(RIGHT(G3341,LEN(G3341)-FIND("*",G3341)),"-")</f>
        <v>-</v>
      </c>
      <c r="W3341" s="27" t="str">
        <f t="shared" si="1816"/>
        <v>-</v>
      </c>
      <c r="X3341" s="27" t="str">
        <f>IFERROR(W3341*H3341,"-")</f>
        <v>-</v>
      </c>
      <c r="Z3341" s="94" t="s">
        <v>82</v>
      </c>
    </row>
    <row r="3342" spans="1:26" s="25" customFormat="1" ht="6.95" customHeight="1" x14ac:dyDescent="0.3">
      <c r="A3342" s="10"/>
      <c r="B3342" s="168"/>
      <c r="C3342" s="169"/>
      <c r="D3342" s="160"/>
      <c r="E3342" s="161"/>
      <c r="F3342" s="162"/>
      <c r="G3342" s="163"/>
      <c r="H3342" s="164"/>
      <c r="I3342" s="163"/>
      <c r="J3342" s="164"/>
      <c r="K3342" s="163"/>
      <c r="L3342" s="164"/>
      <c r="M3342" s="11"/>
      <c r="N3342" s="39"/>
      <c r="Q3342" s="15" t="str">
        <f>+CONCATENATE(E3341,I3341)</f>
        <v/>
      </c>
      <c r="R3342" s="15">
        <f>+J3341</f>
        <v>0</v>
      </c>
      <c r="S3342" s="16"/>
      <c r="T3342" s="15">
        <f>+E3341</f>
        <v>0</v>
      </c>
      <c r="U3342" s="26" t="str">
        <f>IFERROR(LEFT(I3341,FIND("*",I3341)-1),"-")</f>
        <v>-</v>
      </c>
      <c r="V3342" s="26" t="str">
        <f>IFERROR(RIGHT(I3341,LEN(I3341)-FIND("*",I3341)),"-")</f>
        <v>-</v>
      </c>
      <c r="W3342" s="27" t="str">
        <f t="shared" si="1816"/>
        <v>-</v>
      </c>
      <c r="X3342" s="27" t="str">
        <f t="shared" ref="X3342" si="1821">IFERROR(W3342*J3341,"-")</f>
        <v>-</v>
      </c>
      <c r="Z3342" s="94" t="s">
        <v>82</v>
      </c>
    </row>
    <row r="3343" spans="1:26" s="25" customFormat="1" ht="6.95" customHeight="1" x14ac:dyDescent="0.3">
      <c r="A3343" s="10"/>
      <c r="B3343" s="168"/>
      <c r="C3343" s="169"/>
      <c r="D3343" s="160"/>
      <c r="E3343" s="161"/>
      <c r="F3343" s="162"/>
      <c r="G3343" s="163"/>
      <c r="H3343" s="164"/>
      <c r="I3343" s="163"/>
      <c r="J3343" s="164"/>
      <c r="K3343" s="163"/>
      <c r="L3343" s="164"/>
      <c r="M3343" s="11"/>
      <c r="N3343" s="39"/>
      <c r="Q3343" s="15" t="str">
        <f>+CONCATENATE(E3341,K3341)</f>
        <v/>
      </c>
      <c r="R3343" s="15">
        <f>+L3341</f>
        <v>0</v>
      </c>
      <c r="S3343" s="16"/>
      <c r="T3343" s="15">
        <f>+E3341</f>
        <v>0</v>
      </c>
      <c r="U3343" s="26" t="str">
        <f>IFERROR(LEFT(K3341,FIND("*",K3341)-1),"-")</f>
        <v>-</v>
      </c>
      <c r="V3343" s="26" t="str">
        <f>IFERROR(RIGHT(K3341,LEN(K3341)-FIND("*",K3341)),"-")</f>
        <v>-</v>
      </c>
      <c r="W3343" s="27" t="str">
        <f t="shared" si="1816"/>
        <v>-</v>
      </c>
      <c r="X3343" s="27" t="str">
        <f>IFERROR(W3343*L3341,"-")</f>
        <v>-</v>
      </c>
      <c r="Z3343" s="94" t="s">
        <v>82</v>
      </c>
    </row>
    <row r="3344" spans="1:26" s="25" customFormat="1" ht="21" customHeight="1" thickBot="1" x14ac:dyDescent="0.35">
      <c r="A3344" s="10"/>
      <c r="B3344" s="170"/>
      <c r="C3344" s="171"/>
      <c r="D3344" s="172" t="s">
        <v>43</v>
      </c>
      <c r="E3344" s="173"/>
      <c r="F3344" s="173"/>
      <c r="G3344" s="174"/>
      <c r="H3344" s="174"/>
      <c r="I3344" s="174"/>
      <c r="J3344" s="174"/>
      <c r="K3344" s="174"/>
      <c r="L3344" s="174"/>
      <c r="M3344" s="12"/>
      <c r="N3344" s="39"/>
      <c r="U3344" s="23"/>
      <c r="V3344" s="23"/>
      <c r="Z3344" s="95" t="s">
        <v>81</v>
      </c>
    </row>
    <row r="3345" spans="1:26" s="25" customFormat="1" ht="9.9499999999999993" customHeight="1" thickBot="1" x14ac:dyDescent="0.35">
      <c r="A3345" s="6"/>
      <c r="B3345" s="14"/>
      <c r="C3345" s="119"/>
      <c r="D3345" s="58"/>
      <c r="E3345" s="17"/>
      <c r="F3345" s="58"/>
      <c r="G3345" s="19"/>
      <c r="H3345" s="19"/>
      <c r="I3345" s="19"/>
      <c r="J3345" s="19"/>
      <c r="K3345" s="19"/>
      <c r="L3345" s="19"/>
      <c r="M3345" s="14"/>
      <c r="N3345" s="39"/>
      <c r="Q3345" s="1"/>
      <c r="R3345" s="1"/>
      <c r="S3345" s="1"/>
      <c r="T3345" s="1"/>
      <c r="U3345" s="24"/>
      <c r="V3345" s="24"/>
      <c r="W3345" s="1"/>
      <c r="X3345" s="1"/>
      <c r="Z3345" s="94" t="s">
        <v>82</v>
      </c>
    </row>
    <row r="3346" spans="1:26" s="25" customFormat="1" ht="6.95" customHeight="1" x14ac:dyDescent="0.3">
      <c r="A3346" s="165">
        <f>+A3335+1</f>
        <v>305</v>
      </c>
      <c r="B3346" s="166"/>
      <c r="C3346" s="167"/>
      <c r="D3346" s="160" t="s">
        <v>39</v>
      </c>
      <c r="E3346" s="161"/>
      <c r="F3346" s="162" t="s">
        <v>40</v>
      </c>
      <c r="G3346" s="163"/>
      <c r="H3346" s="164"/>
      <c r="I3346" s="163"/>
      <c r="J3346" s="164"/>
      <c r="K3346" s="163"/>
      <c r="L3346" s="164"/>
      <c r="M3346" s="11"/>
      <c r="N3346" s="39"/>
      <c r="Q3346" s="15" t="str">
        <f>+CONCATENATE(E3346,G3346)</f>
        <v/>
      </c>
      <c r="R3346" s="15">
        <f>+H3346</f>
        <v>0</v>
      </c>
      <c r="S3346" s="16"/>
      <c r="T3346" s="15">
        <f>+E3346</f>
        <v>0</v>
      </c>
      <c r="U3346" s="26" t="str">
        <f>IFERROR(LEFT(G3346,FIND("*",G3346)-1),"-")</f>
        <v>-</v>
      </c>
      <c r="V3346" s="26" t="str">
        <f>IFERROR(RIGHT(G3346,LEN(G3346)-FIND("*",G3346)),"-")</f>
        <v>-</v>
      </c>
      <c r="W3346" s="27" t="str">
        <f>IFERROR((U3346+V3346)*2/1000,"-")</f>
        <v>-</v>
      </c>
      <c r="X3346" s="27" t="str">
        <f>IFERROR(W3346*H3346,"-")</f>
        <v>-</v>
      </c>
      <c r="Z3346" s="94" t="s">
        <v>82</v>
      </c>
    </row>
    <row r="3347" spans="1:26" s="25" customFormat="1" ht="6.95" customHeight="1" x14ac:dyDescent="0.3">
      <c r="A3347" s="165"/>
      <c r="B3347" s="168"/>
      <c r="C3347" s="169"/>
      <c r="D3347" s="160"/>
      <c r="E3347" s="161"/>
      <c r="F3347" s="162"/>
      <c r="G3347" s="163"/>
      <c r="H3347" s="164"/>
      <c r="I3347" s="163"/>
      <c r="J3347" s="164"/>
      <c r="K3347" s="163"/>
      <c r="L3347" s="164"/>
      <c r="M3347" s="11"/>
      <c r="N3347" s="39"/>
      <c r="Q3347" s="15" t="str">
        <f>+CONCATENATE(E3346,I3346)</f>
        <v/>
      </c>
      <c r="R3347" s="15">
        <f>+J3346</f>
        <v>0</v>
      </c>
      <c r="S3347" s="16"/>
      <c r="T3347" s="15">
        <f>+E3346</f>
        <v>0</v>
      </c>
      <c r="U3347" s="26" t="str">
        <f>IFERROR(LEFT(I3346,FIND("*",I3346)-1),"-")</f>
        <v>-</v>
      </c>
      <c r="V3347" s="26" t="str">
        <f>IFERROR(RIGHT(I3346,LEN(I3346)-FIND("*",I3346)),"-")</f>
        <v>-</v>
      </c>
      <c r="W3347" s="27" t="str">
        <f t="shared" ref="W3347:W3354" si="1822">IFERROR((U3347+V3347)*2/1000,"-")</f>
        <v>-</v>
      </c>
      <c r="X3347" s="27" t="str">
        <f>IFERROR(W3347*J3346,"-")</f>
        <v>-</v>
      </c>
      <c r="Z3347" s="94" t="s">
        <v>82</v>
      </c>
    </row>
    <row r="3348" spans="1:26" s="25" customFormat="1" ht="6.95" customHeight="1" x14ac:dyDescent="0.3">
      <c r="A3348" s="165"/>
      <c r="B3348" s="168"/>
      <c r="C3348" s="169"/>
      <c r="D3348" s="160"/>
      <c r="E3348" s="161"/>
      <c r="F3348" s="162"/>
      <c r="G3348" s="163"/>
      <c r="H3348" s="164"/>
      <c r="I3348" s="163"/>
      <c r="J3348" s="164"/>
      <c r="K3348" s="163"/>
      <c r="L3348" s="164"/>
      <c r="M3348" s="11"/>
      <c r="N3348" s="39"/>
      <c r="Q3348" s="15" t="str">
        <f>+CONCATENATE(E3346,K3346)</f>
        <v/>
      </c>
      <c r="R3348" s="15">
        <f>+L3346</f>
        <v>0</v>
      </c>
      <c r="S3348" s="16"/>
      <c r="T3348" s="15">
        <f>+E3346</f>
        <v>0</v>
      </c>
      <c r="U3348" s="26" t="str">
        <f>IFERROR(LEFT(K3346,FIND("*",K3346)-1),"-")</f>
        <v>-</v>
      </c>
      <c r="V3348" s="26" t="str">
        <f>IFERROR(RIGHT(K3346,LEN(K3346)-FIND("*",K3346)),"-")</f>
        <v>-</v>
      </c>
      <c r="W3348" s="27" t="str">
        <f t="shared" si="1822"/>
        <v>-</v>
      </c>
      <c r="X3348" s="27" t="str">
        <f>IFERROR(W3348*L3346,"-")</f>
        <v>-</v>
      </c>
      <c r="Z3348" s="94" t="s">
        <v>82</v>
      </c>
    </row>
    <row r="3349" spans="1:26" s="25" customFormat="1" ht="6.95" customHeight="1" x14ac:dyDescent="0.3">
      <c r="A3349" s="13"/>
      <c r="B3349" s="168"/>
      <c r="C3349" s="169"/>
      <c r="D3349" s="160" t="s">
        <v>39</v>
      </c>
      <c r="E3349" s="161"/>
      <c r="F3349" s="162" t="s">
        <v>40</v>
      </c>
      <c r="G3349" s="163"/>
      <c r="H3349" s="164"/>
      <c r="I3349" s="163"/>
      <c r="J3349" s="164"/>
      <c r="K3349" s="163"/>
      <c r="L3349" s="164"/>
      <c r="M3349" s="11"/>
      <c r="N3349" s="39"/>
      <c r="Q3349" s="15" t="str">
        <f>+CONCATENATE(E3349,G3349)</f>
        <v/>
      </c>
      <c r="R3349" s="15">
        <f>+H3349</f>
        <v>0</v>
      </c>
      <c r="S3349" s="16"/>
      <c r="T3349" s="15">
        <f>+E3349</f>
        <v>0</v>
      </c>
      <c r="U3349" s="26" t="str">
        <f t="shared" ref="U3349" si="1823">IFERROR(LEFT(G3349,FIND("*",G3349)-1),"-")</f>
        <v>-</v>
      </c>
      <c r="V3349" s="26" t="str">
        <f t="shared" ref="V3349" si="1824">IFERROR(RIGHT(G3349,LEN(G3349)-FIND("*",G3349)),"-")</f>
        <v>-</v>
      </c>
      <c r="W3349" s="27" t="str">
        <f t="shared" si="1822"/>
        <v>-</v>
      </c>
      <c r="X3349" s="27" t="str">
        <f>IFERROR(W3349*H3349,"-")</f>
        <v>-</v>
      </c>
      <c r="Z3349" s="94" t="s">
        <v>82</v>
      </c>
    </row>
    <row r="3350" spans="1:26" s="25" customFormat="1" ht="6.95" customHeight="1" x14ac:dyDescent="0.3">
      <c r="A3350" s="10"/>
      <c r="B3350" s="168"/>
      <c r="C3350" s="169"/>
      <c r="D3350" s="160"/>
      <c r="E3350" s="161"/>
      <c r="F3350" s="162"/>
      <c r="G3350" s="163"/>
      <c r="H3350" s="164"/>
      <c r="I3350" s="163"/>
      <c r="J3350" s="164"/>
      <c r="K3350" s="163"/>
      <c r="L3350" s="164"/>
      <c r="M3350" s="11"/>
      <c r="N3350" s="39"/>
      <c r="Q3350" s="15" t="str">
        <f>+CONCATENATE(E3349,I3349)</f>
        <v/>
      </c>
      <c r="R3350" s="15">
        <f>+J3349</f>
        <v>0</v>
      </c>
      <c r="S3350" s="16"/>
      <c r="T3350" s="15">
        <f>+E3349</f>
        <v>0</v>
      </c>
      <c r="U3350" s="26" t="str">
        <f>IFERROR(LEFT(I3349,FIND("*",I3349)-1),"-")</f>
        <v>-</v>
      </c>
      <c r="V3350" s="26" t="str">
        <f>IFERROR(RIGHT(I3349,LEN(I3349)-FIND("*",I3349)),"-")</f>
        <v>-</v>
      </c>
      <c r="W3350" s="27" t="str">
        <f t="shared" si="1822"/>
        <v>-</v>
      </c>
      <c r="X3350" s="27" t="str">
        <f>IFERROR(W3350*J3349,"-")</f>
        <v>-</v>
      </c>
      <c r="Z3350" s="94" t="s">
        <v>82</v>
      </c>
    </row>
    <row r="3351" spans="1:26" s="25" customFormat="1" ht="6.95" customHeight="1" x14ac:dyDescent="0.3">
      <c r="A3351" s="10"/>
      <c r="B3351" s="168"/>
      <c r="C3351" s="169"/>
      <c r="D3351" s="160"/>
      <c r="E3351" s="161"/>
      <c r="F3351" s="162"/>
      <c r="G3351" s="163"/>
      <c r="H3351" s="164"/>
      <c r="I3351" s="163"/>
      <c r="J3351" s="164"/>
      <c r="K3351" s="163"/>
      <c r="L3351" s="164"/>
      <c r="M3351" s="11"/>
      <c r="N3351" s="39"/>
      <c r="Q3351" s="15" t="str">
        <f>+CONCATENATE(E3349,K3349)</f>
        <v/>
      </c>
      <c r="R3351" s="15">
        <f>+L3349</f>
        <v>0</v>
      </c>
      <c r="S3351" s="16"/>
      <c r="T3351" s="15">
        <f>+E3349</f>
        <v>0</v>
      </c>
      <c r="U3351" s="26" t="str">
        <f>IFERROR(LEFT(K3349,FIND("*",K3349)-1),"-")</f>
        <v>-</v>
      </c>
      <c r="V3351" s="26" t="str">
        <f>IFERROR(RIGHT(K3349,LEN(K3349)-FIND("*",K3349)),"-")</f>
        <v>-</v>
      </c>
      <c r="W3351" s="27" t="str">
        <f t="shared" si="1822"/>
        <v>-</v>
      </c>
      <c r="X3351" s="27" t="str">
        <f>IFERROR(W3351*L3349,"-")</f>
        <v>-</v>
      </c>
      <c r="Z3351" s="94" t="s">
        <v>82</v>
      </c>
    </row>
    <row r="3352" spans="1:26" s="25" customFormat="1" ht="6.95" customHeight="1" x14ac:dyDescent="0.3">
      <c r="A3352" s="13"/>
      <c r="B3352" s="168"/>
      <c r="C3352" s="169"/>
      <c r="D3352" s="160" t="s">
        <v>39</v>
      </c>
      <c r="E3352" s="161"/>
      <c r="F3352" s="162" t="s">
        <v>40</v>
      </c>
      <c r="G3352" s="163"/>
      <c r="H3352" s="164"/>
      <c r="I3352" s="163"/>
      <c r="J3352" s="164"/>
      <c r="K3352" s="163"/>
      <c r="L3352" s="164"/>
      <c r="M3352" s="11"/>
      <c r="N3352" s="39"/>
      <c r="Q3352" s="15" t="str">
        <f>+CONCATENATE(E3352,G3352)</f>
        <v/>
      </c>
      <c r="R3352" s="15">
        <f>+H3352</f>
        <v>0</v>
      </c>
      <c r="S3352" s="16"/>
      <c r="T3352" s="15">
        <f>+E3352</f>
        <v>0</v>
      </c>
      <c r="U3352" s="26" t="str">
        <f t="shared" ref="U3352" si="1825">IFERROR(LEFT(G3352,FIND("*",G3352)-1),"-")</f>
        <v>-</v>
      </c>
      <c r="V3352" s="26" t="str">
        <f t="shared" ref="V3352" si="1826">IFERROR(RIGHT(G3352,LEN(G3352)-FIND("*",G3352)),"-")</f>
        <v>-</v>
      </c>
      <c r="W3352" s="27" t="str">
        <f t="shared" si="1822"/>
        <v>-</v>
      </c>
      <c r="X3352" s="27" t="str">
        <f>IFERROR(W3352*H3352,"-")</f>
        <v>-</v>
      </c>
      <c r="Z3352" s="94" t="s">
        <v>82</v>
      </c>
    </row>
    <row r="3353" spans="1:26" s="25" customFormat="1" ht="6.95" customHeight="1" x14ac:dyDescent="0.3">
      <c r="A3353" s="10"/>
      <c r="B3353" s="168"/>
      <c r="C3353" s="169"/>
      <c r="D3353" s="160"/>
      <c r="E3353" s="161"/>
      <c r="F3353" s="162"/>
      <c r="G3353" s="163"/>
      <c r="H3353" s="164"/>
      <c r="I3353" s="163"/>
      <c r="J3353" s="164"/>
      <c r="K3353" s="163"/>
      <c r="L3353" s="164"/>
      <c r="M3353" s="11"/>
      <c r="N3353" s="39"/>
      <c r="Q3353" s="15" t="str">
        <f>+CONCATENATE(E3352,I3352)</f>
        <v/>
      </c>
      <c r="R3353" s="15">
        <f>+J3352</f>
        <v>0</v>
      </c>
      <c r="S3353" s="16"/>
      <c r="T3353" s="15">
        <f>+E3352</f>
        <v>0</v>
      </c>
      <c r="U3353" s="26" t="str">
        <f>IFERROR(LEFT(I3352,FIND("*",I3352)-1),"-")</f>
        <v>-</v>
      </c>
      <c r="V3353" s="26" t="str">
        <f>IFERROR(RIGHT(I3352,LEN(I3352)-FIND("*",I3352)),"-")</f>
        <v>-</v>
      </c>
      <c r="W3353" s="27" t="str">
        <f t="shared" si="1822"/>
        <v>-</v>
      </c>
      <c r="X3353" s="27" t="str">
        <f t="shared" ref="X3353" si="1827">IFERROR(W3353*J3352,"-")</f>
        <v>-</v>
      </c>
      <c r="Z3353" s="94" t="s">
        <v>82</v>
      </c>
    </row>
    <row r="3354" spans="1:26" s="25" customFormat="1" ht="6.95" customHeight="1" x14ac:dyDescent="0.3">
      <c r="A3354" s="10"/>
      <c r="B3354" s="168"/>
      <c r="C3354" s="169"/>
      <c r="D3354" s="160"/>
      <c r="E3354" s="161"/>
      <c r="F3354" s="162"/>
      <c r="G3354" s="163"/>
      <c r="H3354" s="164"/>
      <c r="I3354" s="163"/>
      <c r="J3354" s="164"/>
      <c r="K3354" s="163"/>
      <c r="L3354" s="164"/>
      <c r="M3354" s="11"/>
      <c r="N3354" s="39"/>
      <c r="Q3354" s="15" t="str">
        <f>+CONCATENATE(E3352,K3352)</f>
        <v/>
      </c>
      <c r="R3354" s="15">
        <f>+L3352</f>
        <v>0</v>
      </c>
      <c r="S3354" s="16"/>
      <c r="T3354" s="15">
        <f>+E3352</f>
        <v>0</v>
      </c>
      <c r="U3354" s="26" t="str">
        <f>IFERROR(LEFT(K3352,FIND("*",K3352)-1),"-")</f>
        <v>-</v>
      </c>
      <c r="V3354" s="26" t="str">
        <f>IFERROR(RIGHT(K3352,LEN(K3352)-FIND("*",K3352)),"-")</f>
        <v>-</v>
      </c>
      <c r="W3354" s="27" t="str">
        <f t="shared" si="1822"/>
        <v>-</v>
      </c>
      <c r="X3354" s="27" t="str">
        <f>IFERROR(W3354*L3352,"-")</f>
        <v>-</v>
      </c>
      <c r="Z3354" s="94" t="s">
        <v>82</v>
      </c>
    </row>
    <row r="3355" spans="1:26" s="25" customFormat="1" ht="21" customHeight="1" thickBot="1" x14ac:dyDescent="0.35">
      <c r="A3355" s="10"/>
      <c r="B3355" s="170"/>
      <c r="C3355" s="171"/>
      <c r="D3355" s="172" t="s">
        <v>43</v>
      </c>
      <c r="E3355" s="173"/>
      <c r="F3355" s="173"/>
      <c r="G3355" s="174"/>
      <c r="H3355" s="174"/>
      <c r="I3355" s="174"/>
      <c r="J3355" s="174"/>
      <c r="K3355" s="174"/>
      <c r="L3355" s="174"/>
      <c r="M3355" s="12"/>
      <c r="N3355" s="39"/>
      <c r="U3355" s="23"/>
      <c r="V3355" s="23"/>
      <c r="Z3355" s="95" t="s">
        <v>81</v>
      </c>
    </row>
    <row r="3356" spans="1:26" s="25" customFormat="1" ht="9.9499999999999993" customHeight="1" thickBot="1" x14ac:dyDescent="0.35">
      <c r="A3356" s="6"/>
      <c r="B3356" s="14"/>
      <c r="C3356" s="119"/>
      <c r="D3356" s="58"/>
      <c r="E3356" s="17"/>
      <c r="F3356" s="58"/>
      <c r="G3356" s="19"/>
      <c r="H3356" s="19"/>
      <c r="I3356" s="19"/>
      <c r="J3356" s="19"/>
      <c r="K3356" s="19"/>
      <c r="L3356" s="19"/>
      <c r="M3356" s="14"/>
      <c r="N3356" s="39"/>
      <c r="Q3356" s="1"/>
      <c r="R3356" s="1"/>
      <c r="S3356" s="1"/>
      <c r="T3356" s="1"/>
      <c r="U3356" s="24"/>
      <c r="V3356" s="24"/>
      <c r="W3356" s="1"/>
      <c r="X3356" s="1"/>
      <c r="Z3356" s="94" t="s">
        <v>82</v>
      </c>
    </row>
    <row r="3357" spans="1:26" s="25" customFormat="1" ht="6.95" customHeight="1" x14ac:dyDescent="0.3">
      <c r="A3357" s="165">
        <f>+A3346+1</f>
        <v>306</v>
      </c>
      <c r="B3357" s="166"/>
      <c r="C3357" s="167"/>
      <c r="D3357" s="160" t="s">
        <v>39</v>
      </c>
      <c r="E3357" s="161"/>
      <c r="F3357" s="162" t="s">
        <v>40</v>
      </c>
      <c r="G3357" s="163"/>
      <c r="H3357" s="164"/>
      <c r="I3357" s="163"/>
      <c r="J3357" s="164"/>
      <c r="K3357" s="163"/>
      <c r="L3357" s="164"/>
      <c r="M3357" s="11"/>
      <c r="N3357" s="39"/>
      <c r="Q3357" s="15" t="str">
        <f>+CONCATENATE(E3357,G3357)</f>
        <v/>
      </c>
      <c r="R3357" s="15">
        <f>+H3357</f>
        <v>0</v>
      </c>
      <c r="S3357" s="16"/>
      <c r="T3357" s="15">
        <f>+E3357</f>
        <v>0</v>
      </c>
      <c r="U3357" s="26" t="str">
        <f>IFERROR(LEFT(G3357,FIND("*",G3357)-1),"-")</f>
        <v>-</v>
      </c>
      <c r="V3357" s="26" t="str">
        <f>IFERROR(RIGHT(G3357,LEN(G3357)-FIND("*",G3357)),"-")</f>
        <v>-</v>
      </c>
      <c r="W3357" s="27" t="str">
        <f>IFERROR((U3357+V3357)*2/1000,"-")</f>
        <v>-</v>
      </c>
      <c r="X3357" s="27" t="str">
        <f>IFERROR(W3357*H3357,"-")</f>
        <v>-</v>
      </c>
      <c r="Z3357" s="94" t="s">
        <v>82</v>
      </c>
    </row>
    <row r="3358" spans="1:26" s="25" customFormat="1" ht="6.95" customHeight="1" x14ac:dyDescent="0.3">
      <c r="A3358" s="165"/>
      <c r="B3358" s="168"/>
      <c r="C3358" s="169"/>
      <c r="D3358" s="160"/>
      <c r="E3358" s="161"/>
      <c r="F3358" s="162"/>
      <c r="G3358" s="163"/>
      <c r="H3358" s="164"/>
      <c r="I3358" s="163"/>
      <c r="J3358" s="164"/>
      <c r="K3358" s="163"/>
      <c r="L3358" s="164"/>
      <c r="M3358" s="11"/>
      <c r="N3358" s="39"/>
      <c r="Q3358" s="15" t="str">
        <f>+CONCATENATE(E3357,I3357)</f>
        <v/>
      </c>
      <c r="R3358" s="15">
        <f>+J3357</f>
        <v>0</v>
      </c>
      <c r="S3358" s="16"/>
      <c r="T3358" s="15">
        <f>+E3357</f>
        <v>0</v>
      </c>
      <c r="U3358" s="26" t="str">
        <f>IFERROR(LEFT(I3357,FIND("*",I3357)-1),"-")</f>
        <v>-</v>
      </c>
      <c r="V3358" s="26" t="str">
        <f>IFERROR(RIGHT(I3357,LEN(I3357)-FIND("*",I3357)),"-")</f>
        <v>-</v>
      </c>
      <c r="W3358" s="27" t="str">
        <f t="shared" ref="W3358:W3365" si="1828">IFERROR((U3358+V3358)*2/1000,"-")</f>
        <v>-</v>
      </c>
      <c r="X3358" s="27" t="str">
        <f>IFERROR(W3358*J3357,"-")</f>
        <v>-</v>
      </c>
      <c r="Z3358" s="94" t="s">
        <v>82</v>
      </c>
    </row>
    <row r="3359" spans="1:26" s="25" customFormat="1" ht="6.95" customHeight="1" x14ac:dyDescent="0.3">
      <c r="A3359" s="165"/>
      <c r="B3359" s="168"/>
      <c r="C3359" s="169"/>
      <c r="D3359" s="160"/>
      <c r="E3359" s="161"/>
      <c r="F3359" s="162"/>
      <c r="G3359" s="163"/>
      <c r="H3359" s="164"/>
      <c r="I3359" s="163"/>
      <c r="J3359" s="164"/>
      <c r="K3359" s="163"/>
      <c r="L3359" s="164"/>
      <c r="M3359" s="11"/>
      <c r="N3359" s="39"/>
      <c r="Q3359" s="15" t="str">
        <f>+CONCATENATE(E3357,K3357)</f>
        <v/>
      </c>
      <c r="R3359" s="15">
        <f>+L3357</f>
        <v>0</v>
      </c>
      <c r="S3359" s="16"/>
      <c r="T3359" s="15">
        <f>+E3357</f>
        <v>0</v>
      </c>
      <c r="U3359" s="26" t="str">
        <f>IFERROR(LEFT(K3357,FIND("*",K3357)-1),"-")</f>
        <v>-</v>
      </c>
      <c r="V3359" s="26" t="str">
        <f>IFERROR(RIGHT(K3357,LEN(K3357)-FIND("*",K3357)),"-")</f>
        <v>-</v>
      </c>
      <c r="W3359" s="27" t="str">
        <f t="shared" si="1828"/>
        <v>-</v>
      </c>
      <c r="X3359" s="27" t="str">
        <f>IFERROR(W3359*L3357,"-")</f>
        <v>-</v>
      </c>
      <c r="Z3359" s="94" t="s">
        <v>82</v>
      </c>
    </row>
    <row r="3360" spans="1:26" s="25" customFormat="1" ht="6.95" customHeight="1" x14ac:dyDescent="0.3">
      <c r="A3360" s="13"/>
      <c r="B3360" s="168"/>
      <c r="C3360" s="169"/>
      <c r="D3360" s="160" t="s">
        <v>39</v>
      </c>
      <c r="E3360" s="161"/>
      <c r="F3360" s="162" t="s">
        <v>40</v>
      </c>
      <c r="G3360" s="163"/>
      <c r="H3360" s="164"/>
      <c r="I3360" s="163"/>
      <c r="J3360" s="164"/>
      <c r="K3360" s="163"/>
      <c r="L3360" s="164"/>
      <c r="M3360" s="11"/>
      <c r="N3360" s="39"/>
      <c r="Q3360" s="15" t="str">
        <f>+CONCATENATE(E3360,G3360)</f>
        <v/>
      </c>
      <c r="R3360" s="15">
        <f>+H3360</f>
        <v>0</v>
      </c>
      <c r="S3360" s="16"/>
      <c r="T3360" s="15">
        <f>+E3360</f>
        <v>0</v>
      </c>
      <c r="U3360" s="26" t="str">
        <f t="shared" ref="U3360" si="1829">IFERROR(LEFT(G3360,FIND("*",G3360)-1),"-")</f>
        <v>-</v>
      </c>
      <c r="V3360" s="26" t="str">
        <f t="shared" ref="V3360" si="1830">IFERROR(RIGHT(G3360,LEN(G3360)-FIND("*",G3360)),"-")</f>
        <v>-</v>
      </c>
      <c r="W3360" s="27" t="str">
        <f t="shared" si="1828"/>
        <v>-</v>
      </c>
      <c r="X3360" s="27" t="str">
        <f>IFERROR(W3360*H3360,"-")</f>
        <v>-</v>
      </c>
      <c r="Z3360" s="94" t="s">
        <v>82</v>
      </c>
    </row>
    <row r="3361" spans="1:26" s="25" customFormat="1" ht="6.95" customHeight="1" x14ac:dyDescent="0.3">
      <c r="A3361" s="10"/>
      <c r="B3361" s="168"/>
      <c r="C3361" s="169"/>
      <c r="D3361" s="160"/>
      <c r="E3361" s="161"/>
      <c r="F3361" s="162"/>
      <c r="G3361" s="163"/>
      <c r="H3361" s="164"/>
      <c r="I3361" s="163"/>
      <c r="J3361" s="164"/>
      <c r="K3361" s="163"/>
      <c r="L3361" s="164"/>
      <c r="M3361" s="11"/>
      <c r="N3361" s="39"/>
      <c r="Q3361" s="15" t="str">
        <f>+CONCATENATE(E3360,I3360)</f>
        <v/>
      </c>
      <c r="R3361" s="15">
        <f>+J3360</f>
        <v>0</v>
      </c>
      <c r="S3361" s="16"/>
      <c r="T3361" s="15">
        <f>+E3360</f>
        <v>0</v>
      </c>
      <c r="U3361" s="26" t="str">
        <f>IFERROR(LEFT(I3360,FIND("*",I3360)-1),"-")</f>
        <v>-</v>
      </c>
      <c r="V3361" s="26" t="str">
        <f>IFERROR(RIGHT(I3360,LEN(I3360)-FIND("*",I3360)),"-")</f>
        <v>-</v>
      </c>
      <c r="W3361" s="27" t="str">
        <f t="shared" si="1828"/>
        <v>-</v>
      </c>
      <c r="X3361" s="27" t="str">
        <f>IFERROR(W3361*J3360,"-")</f>
        <v>-</v>
      </c>
      <c r="Z3361" s="94" t="s">
        <v>82</v>
      </c>
    </row>
    <row r="3362" spans="1:26" s="25" customFormat="1" ht="6.95" customHeight="1" x14ac:dyDescent="0.3">
      <c r="A3362" s="10"/>
      <c r="B3362" s="168"/>
      <c r="C3362" s="169"/>
      <c r="D3362" s="160"/>
      <c r="E3362" s="161"/>
      <c r="F3362" s="162"/>
      <c r="G3362" s="163"/>
      <c r="H3362" s="164"/>
      <c r="I3362" s="163"/>
      <c r="J3362" s="164"/>
      <c r="K3362" s="163"/>
      <c r="L3362" s="164"/>
      <c r="M3362" s="11"/>
      <c r="N3362" s="39"/>
      <c r="Q3362" s="15" t="str">
        <f>+CONCATENATE(E3360,K3360)</f>
        <v/>
      </c>
      <c r="R3362" s="15">
        <f>+L3360</f>
        <v>0</v>
      </c>
      <c r="S3362" s="16"/>
      <c r="T3362" s="15">
        <f>+E3360</f>
        <v>0</v>
      </c>
      <c r="U3362" s="26" t="str">
        <f>IFERROR(LEFT(K3360,FIND("*",K3360)-1),"-")</f>
        <v>-</v>
      </c>
      <c r="V3362" s="26" t="str">
        <f>IFERROR(RIGHT(K3360,LEN(K3360)-FIND("*",K3360)),"-")</f>
        <v>-</v>
      </c>
      <c r="W3362" s="27" t="str">
        <f t="shared" si="1828"/>
        <v>-</v>
      </c>
      <c r="X3362" s="27" t="str">
        <f>IFERROR(W3362*L3360,"-")</f>
        <v>-</v>
      </c>
      <c r="Z3362" s="94" t="s">
        <v>82</v>
      </c>
    </row>
    <row r="3363" spans="1:26" s="25" customFormat="1" ht="6.95" customHeight="1" x14ac:dyDescent="0.3">
      <c r="A3363" s="13"/>
      <c r="B3363" s="168"/>
      <c r="C3363" s="169"/>
      <c r="D3363" s="160" t="s">
        <v>39</v>
      </c>
      <c r="E3363" s="161"/>
      <c r="F3363" s="162" t="s">
        <v>40</v>
      </c>
      <c r="G3363" s="163"/>
      <c r="H3363" s="164"/>
      <c r="I3363" s="163"/>
      <c r="J3363" s="164"/>
      <c r="K3363" s="163"/>
      <c r="L3363" s="164"/>
      <c r="M3363" s="11"/>
      <c r="N3363" s="39"/>
      <c r="Q3363" s="15" t="str">
        <f>+CONCATENATE(E3363,G3363)</f>
        <v/>
      </c>
      <c r="R3363" s="15">
        <f>+H3363</f>
        <v>0</v>
      </c>
      <c r="S3363" s="16"/>
      <c r="T3363" s="15">
        <f>+E3363</f>
        <v>0</v>
      </c>
      <c r="U3363" s="26" t="str">
        <f t="shared" ref="U3363" si="1831">IFERROR(LEFT(G3363,FIND("*",G3363)-1),"-")</f>
        <v>-</v>
      </c>
      <c r="V3363" s="26" t="str">
        <f t="shared" ref="V3363" si="1832">IFERROR(RIGHT(G3363,LEN(G3363)-FIND("*",G3363)),"-")</f>
        <v>-</v>
      </c>
      <c r="W3363" s="27" t="str">
        <f t="shared" si="1828"/>
        <v>-</v>
      </c>
      <c r="X3363" s="27" t="str">
        <f>IFERROR(W3363*H3363,"-")</f>
        <v>-</v>
      </c>
      <c r="Z3363" s="94" t="s">
        <v>82</v>
      </c>
    </row>
    <row r="3364" spans="1:26" s="25" customFormat="1" ht="6.95" customHeight="1" x14ac:dyDescent="0.3">
      <c r="A3364" s="10"/>
      <c r="B3364" s="168"/>
      <c r="C3364" s="169"/>
      <c r="D3364" s="160"/>
      <c r="E3364" s="161"/>
      <c r="F3364" s="162"/>
      <c r="G3364" s="163"/>
      <c r="H3364" s="164"/>
      <c r="I3364" s="163"/>
      <c r="J3364" s="164"/>
      <c r="K3364" s="163"/>
      <c r="L3364" s="164"/>
      <c r="M3364" s="11"/>
      <c r="N3364" s="39"/>
      <c r="Q3364" s="15" t="str">
        <f>+CONCATENATE(E3363,I3363)</f>
        <v/>
      </c>
      <c r="R3364" s="15">
        <f>+J3363</f>
        <v>0</v>
      </c>
      <c r="S3364" s="16"/>
      <c r="T3364" s="15">
        <f>+E3363</f>
        <v>0</v>
      </c>
      <c r="U3364" s="26" t="str">
        <f>IFERROR(LEFT(I3363,FIND("*",I3363)-1),"-")</f>
        <v>-</v>
      </c>
      <c r="V3364" s="26" t="str">
        <f>IFERROR(RIGHT(I3363,LEN(I3363)-FIND("*",I3363)),"-")</f>
        <v>-</v>
      </c>
      <c r="W3364" s="27" t="str">
        <f t="shared" si="1828"/>
        <v>-</v>
      </c>
      <c r="X3364" s="27" t="str">
        <f t="shared" ref="X3364" si="1833">IFERROR(W3364*J3363,"-")</f>
        <v>-</v>
      </c>
      <c r="Z3364" s="94" t="s">
        <v>82</v>
      </c>
    </row>
    <row r="3365" spans="1:26" s="25" customFormat="1" ht="6.95" customHeight="1" x14ac:dyDescent="0.3">
      <c r="A3365" s="10"/>
      <c r="B3365" s="168"/>
      <c r="C3365" s="169"/>
      <c r="D3365" s="160"/>
      <c r="E3365" s="161"/>
      <c r="F3365" s="162"/>
      <c r="G3365" s="163"/>
      <c r="H3365" s="164"/>
      <c r="I3365" s="163"/>
      <c r="J3365" s="164"/>
      <c r="K3365" s="163"/>
      <c r="L3365" s="164"/>
      <c r="M3365" s="11"/>
      <c r="N3365" s="39"/>
      <c r="Q3365" s="15" t="str">
        <f>+CONCATENATE(E3363,K3363)</f>
        <v/>
      </c>
      <c r="R3365" s="15">
        <f>+L3363</f>
        <v>0</v>
      </c>
      <c r="S3365" s="16"/>
      <c r="T3365" s="15">
        <f>+E3363</f>
        <v>0</v>
      </c>
      <c r="U3365" s="26" t="str">
        <f>IFERROR(LEFT(K3363,FIND("*",K3363)-1),"-")</f>
        <v>-</v>
      </c>
      <c r="V3365" s="26" t="str">
        <f>IFERROR(RIGHT(K3363,LEN(K3363)-FIND("*",K3363)),"-")</f>
        <v>-</v>
      </c>
      <c r="W3365" s="27" t="str">
        <f t="shared" si="1828"/>
        <v>-</v>
      </c>
      <c r="X3365" s="27" t="str">
        <f>IFERROR(W3365*L3363,"-")</f>
        <v>-</v>
      </c>
      <c r="Z3365" s="94" t="s">
        <v>82</v>
      </c>
    </row>
    <row r="3366" spans="1:26" s="25" customFormat="1" ht="21" customHeight="1" thickBot="1" x14ac:dyDescent="0.35">
      <c r="A3366" s="10"/>
      <c r="B3366" s="170"/>
      <c r="C3366" s="171"/>
      <c r="D3366" s="172" t="s">
        <v>43</v>
      </c>
      <c r="E3366" s="173"/>
      <c r="F3366" s="173"/>
      <c r="G3366" s="174"/>
      <c r="H3366" s="174"/>
      <c r="I3366" s="174"/>
      <c r="J3366" s="174"/>
      <c r="K3366" s="174"/>
      <c r="L3366" s="174"/>
      <c r="M3366" s="12"/>
      <c r="N3366" s="39"/>
      <c r="U3366" s="23"/>
      <c r="V3366" s="23"/>
      <c r="Z3366" s="95" t="s">
        <v>81</v>
      </c>
    </row>
    <row r="3367" spans="1:26" s="25" customFormat="1" ht="9.9499999999999993" customHeight="1" thickBot="1" x14ac:dyDescent="0.35">
      <c r="A3367" s="6"/>
      <c r="B3367" s="14"/>
      <c r="C3367" s="119"/>
      <c r="D3367" s="58"/>
      <c r="E3367" s="17"/>
      <c r="F3367" s="58"/>
      <c r="G3367" s="19"/>
      <c r="H3367" s="19"/>
      <c r="I3367" s="19"/>
      <c r="J3367" s="19"/>
      <c r="K3367" s="19"/>
      <c r="L3367" s="19"/>
      <c r="M3367" s="14"/>
      <c r="N3367" s="39"/>
      <c r="Q3367" s="1"/>
      <c r="R3367" s="1"/>
      <c r="S3367" s="1"/>
      <c r="T3367" s="1"/>
      <c r="U3367" s="24"/>
      <c r="V3367" s="24"/>
      <c r="W3367" s="1"/>
      <c r="X3367" s="1"/>
      <c r="Z3367" s="94" t="s">
        <v>82</v>
      </c>
    </row>
    <row r="3368" spans="1:26" s="25" customFormat="1" ht="6.95" customHeight="1" x14ac:dyDescent="0.3">
      <c r="A3368" s="165">
        <f>+A3357+1</f>
        <v>307</v>
      </c>
      <c r="B3368" s="166"/>
      <c r="C3368" s="167"/>
      <c r="D3368" s="160" t="s">
        <v>39</v>
      </c>
      <c r="E3368" s="161"/>
      <c r="F3368" s="162" t="s">
        <v>40</v>
      </c>
      <c r="G3368" s="163"/>
      <c r="H3368" s="164"/>
      <c r="I3368" s="163"/>
      <c r="J3368" s="164"/>
      <c r="K3368" s="163"/>
      <c r="L3368" s="164"/>
      <c r="M3368" s="11"/>
      <c r="N3368" s="39"/>
      <c r="Q3368" s="15" t="str">
        <f>+CONCATENATE(E3368,G3368)</f>
        <v/>
      </c>
      <c r="R3368" s="15">
        <f>+H3368</f>
        <v>0</v>
      </c>
      <c r="S3368" s="16"/>
      <c r="T3368" s="15">
        <f>+E3368</f>
        <v>0</v>
      </c>
      <c r="U3368" s="26" t="str">
        <f>IFERROR(LEFT(G3368,FIND("*",G3368)-1),"-")</f>
        <v>-</v>
      </c>
      <c r="V3368" s="26" t="str">
        <f>IFERROR(RIGHT(G3368,LEN(G3368)-FIND("*",G3368)),"-")</f>
        <v>-</v>
      </c>
      <c r="W3368" s="27" t="str">
        <f>IFERROR((U3368+V3368)*2/1000,"-")</f>
        <v>-</v>
      </c>
      <c r="X3368" s="27" t="str">
        <f>IFERROR(W3368*H3368,"-")</f>
        <v>-</v>
      </c>
      <c r="Z3368" s="94" t="s">
        <v>82</v>
      </c>
    </row>
    <row r="3369" spans="1:26" s="25" customFormat="1" ht="6.95" customHeight="1" x14ac:dyDescent="0.3">
      <c r="A3369" s="165"/>
      <c r="B3369" s="168"/>
      <c r="C3369" s="169"/>
      <c r="D3369" s="160"/>
      <c r="E3369" s="161"/>
      <c r="F3369" s="162"/>
      <c r="G3369" s="163"/>
      <c r="H3369" s="164"/>
      <c r="I3369" s="163"/>
      <c r="J3369" s="164"/>
      <c r="K3369" s="163"/>
      <c r="L3369" s="164"/>
      <c r="M3369" s="11"/>
      <c r="N3369" s="39"/>
      <c r="Q3369" s="15" t="str">
        <f>+CONCATENATE(E3368,I3368)</f>
        <v/>
      </c>
      <c r="R3369" s="15">
        <f>+J3368</f>
        <v>0</v>
      </c>
      <c r="S3369" s="16"/>
      <c r="T3369" s="15">
        <f>+E3368</f>
        <v>0</v>
      </c>
      <c r="U3369" s="26" t="str">
        <f>IFERROR(LEFT(I3368,FIND("*",I3368)-1),"-")</f>
        <v>-</v>
      </c>
      <c r="V3369" s="26" t="str">
        <f>IFERROR(RIGHT(I3368,LEN(I3368)-FIND("*",I3368)),"-")</f>
        <v>-</v>
      </c>
      <c r="W3369" s="27" t="str">
        <f t="shared" ref="W3369:W3376" si="1834">IFERROR((U3369+V3369)*2/1000,"-")</f>
        <v>-</v>
      </c>
      <c r="X3369" s="27" t="str">
        <f>IFERROR(W3369*J3368,"-")</f>
        <v>-</v>
      </c>
      <c r="Z3369" s="94" t="s">
        <v>82</v>
      </c>
    </row>
    <row r="3370" spans="1:26" s="25" customFormat="1" ht="6.95" customHeight="1" x14ac:dyDescent="0.3">
      <c r="A3370" s="165"/>
      <c r="B3370" s="168"/>
      <c r="C3370" s="169"/>
      <c r="D3370" s="160"/>
      <c r="E3370" s="161"/>
      <c r="F3370" s="162"/>
      <c r="G3370" s="163"/>
      <c r="H3370" s="164"/>
      <c r="I3370" s="163"/>
      <c r="J3370" s="164"/>
      <c r="K3370" s="163"/>
      <c r="L3370" s="164"/>
      <c r="M3370" s="11"/>
      <c r="N3370" s="39"/>
      <c r="Q3370" s="15" t="str">
        <f>+CONCATENATE(E3368,K3368)</f>
        <v/>
      </c>
      <c r="R3370" s="15">
        <f>+L3368</f>
        <v>0</v>
      </c>
      <c r="S3370" s="16"/>
      <c r="T3370" s="15">
        <f>+E3368</f>
        <v>0</v>
      </c>
      <c r="U3370" s="26" t="str">
        <f>IFERROR(LEFT(K3368,FIND("*",K3368)-1),"-")</f>
        <v>-</v>
      </c>
      <c r="V3370" s="26" t="str">
        <f>IFERROR(RIGHT(K3368,LEN(K3368)-FIND("*",K3368)),"-")</f>
        <v>-</v>
      </c>
      <c r="W3370" s="27" t="str">
        <f t="shared" si="1834"/>
        <v>-</v>
      </c>
      <c r="X3370" s="27" t="str">
        <f>IFERROR(W3370*L3368,"-")</f>
        <v>-</v>
      </c>
      <c r="Z3370" s="94" t="s">
        <v>82</v>
      </c>
    </row>
    <row r="3371" spans="1:26" s="25" customFormat="1" ht="6.95" customHeight="1" x14ac:dyDescent="0.3">
      <c r="A3371" s="13"/>
      <c r="B3371" s="168"/>
      <c r="C3371" s="169"/>
      <c r="D3371" s="160" t="s">
        <v>39</v>
      </c>
      <c r="E3371" s="161"/>
      <c r="F3371" s="162" t="s">
        <v>40</v>
      </c>
      <c r="G3371" s="163"/>
      <c r="H3371" s="164"/>
      <c r="I3371" s="163"/>
      <c r="J3371" s="164"/>
      <c r="K3371" s="163"/>
      <c r="L3371" s="164"/>
      <c r="M3371" s="11"/>
      <c r="N3371" s="39"/>
      <c r="Q3371" s="15" t="str">
        <f>+CONCATENATE(E3371,G3371)</f>
        <v/>
      </c>
      <c r="R3371" s="15">
        <f>+H3371</f>
        <v>0</v>
      </c>
      <c r="S3371" s="16"/>
      <c r="T3371" s="15">
        <f>+E3371</f>
        <v>0</v>
      </c>
      <c r="U3371" s="26" t="str">
        <f t="shared" ref="U3371" si="1835">IFERROR(LEFT(G3371,FIND("*",G3371)-1),"-")</f>
        <v>-</v>
      </c>
      <c r="V3371" s="26" t="str">
        <f t="shared" ref="V3371" si="1836">IFERROR(RIGHT(G3371,LEN(G3371)-FIND("*",G3371)),"-")</f>
        <v>-</v>
      </c>
      <c r="W3371" s="27" t="str">
        <f t="shared" si="1834"/>
        <v>-</v>
      </c>
      <c r="X3371" s="27" t="str">
        <f>IFERROR(W3371*H3371,"-")</f>
        <v>-</v>
      </c>
      <c r="Z3371" s="94" t="s">
        <v>82</v>
      </c>
    </row>
    <row r="3372" spans="1:26" s="25" customFormat="1" ht="6.95" customHeight="1" x14ac:dyDescent="0.3">
      <c r="A3372" s="10"/>
      <c r="B3372" s="168"/>
      <c r="C3372" s="169"/>
      <c r="D3372" s="160"/>
      <c r="E3372" s="161"/>
      <c r="F3372" s="162"/>
      <c r="G3372" s="163"/>
      <c r="H3372" s="164"/>
      <c r="I3372" s="163"/>
      <c r="J3372" s="164"/>
      <c r="K3372" s="163"/>
      <c r="L3372" s="164"/>
      <c r="M3372" s="11"/>
      <c r="N3372" s="39"/>
      <c r="Q3372" s="15" t="str">
        <f>+CONCATENATE(E3371,I3371)</f>
        <v/>
      </c>
      <c r="R3372" s="15">
        <f>+J3371</f>
        <v>0</v>
      </c>
      <c r="S3372" s="16"/>
      <c r="T3372" s="15">
        <f>+E3371</f>
        <v>0</v>
      </c>
      <c r="U3372" s="26" t="str">
        <f>IFERROR(LEFT(I3371,FIND("*",I3371)-1),"-")</f>
        <v>-</v>
      </c>
      <c r="V3372" s="26" t="str">
        <f>IFERROR(RIGHT(I3371,LEN(I3371)-FIND("*",I3371)),"-")</f>
        <v>-</v>
      </c>
      <c r="W3372" s="27" t="str">
        <f t="shared" si="1834"/>
        <v>-</v>
      </c>
      <c r="X3372" s="27" t="str">
        <f>IFERROR(W3372*J3371,"-")</f>
        <v>-</v>
      </c>
      <c r="Z3372" s="94" t="s">
        <v>82</v>
      </c>
    </row>
    <row r="3373" spans="1:26" s="25" customFormat="1" ht="6.95" customHeight="1" x14ac:dyDescent="0.3">
      <c r="A3373" s="10"/>
      <c r="B3373" s="168"/>
      <c r="C3373" s="169"/>
      <c r="D3373" s="160"/>
      <c r="E3373" s="161"/>
      <c r="F3373" s="162"/>
      <c r="G3373" s="163"/>
      <c r="H3373" s="164"/>
      <c r="I3373" s="163"/>
      <c r="J3373" s="164"/>
      <c r="K3373" s="163"/>
      <c r="L3373" s="164"/>
      <c r="M3373" s="11"/>
      <c r="N3373" s="39"/>
      <c r="Q3373" s="15" t="str">
        <f>+CONCATENATE(E3371,K3371)</f>
        <v/>
      </c>
      <c r="R3373" s="15">
        <f>+L3371</f>
        <v>0</v>
      </c>
      <c r="S3373" s="16"/>
      <c r="T3373" s="15">
        <f>+E3371</f>
        <v>0</v>
      </c>
      <c r="U3373" s="26" t="str">
        <f>IFERROR(LEFT(K3371,FIND("*",K3371)-1),"-")</f>
        <v>-</v>
      </c>
      <c r="V3373" s="26" t="str">
        <f>IFERROR(RIGHT(K3371,LEN(K3371)-FIND("*",K3371)),"-")</f>
        <v>-</v>
      </c>
      <c r="W3373" s="27" t="str">
        <f t="shared" si="1834"/>
        <v>-</v>
      </c>
      <c r="X3373" s="27" t="str">
        <f>IFERROR(W3373*L3371,"-")</f>
        <v>-</v>
      </c>
      <c r="Z3373" s="94" t="s">
        <v>82</v>
      </c>
    </row>
    <row r="3374" spans="1:26" s="25" customFormat="1" ht="6.95" customHeight="1" x14ac:dyDescent="0.3">
      <c r="A3374" s="13"/>
      <c r="B3374" s="168"/>
      <c r="C3374" s="169"/>
      <c r="D3374" s="160" t="s">
        <v>39</v>
      </c>
      <c r="E3374" s="161"/>
      <c r="F3374" s="162" t="s">
        <v>40</v>
      </c>
      <c r="G3374" s="163"/>
      <c r="H3374" s="164"/>
      <c r="I3374" s="163"/>
      <c r="J3374" s="164"/>
      <c r="K3374" s="163"/>
      <c r="L3374" s="164"/>
      <c r="M3374" s="11"/>
      <c r="N3374" s="39"/>
      <c r="Q3374" s="15" t="str">
        <f>+CONCATENATE(E3374,G3374)</f>
        <v/>
      </c>
      <c r="R3374" s="15">
        <f>+H3374</f>
        <v>0</v>
      </c>
      <c r="S3374" s="16"/>
      <c r="T3374" s="15">
        <f>+E3374</f>
        <v>0</v>
      </c>
      <c r="U3374" s="26" t="str">
        <f t="shared" ref="U3374" si="1837">IFERROR(LEFT(G3374,FIND("*",G3374)-1),"-")</f>
        <v>-</v>
      </c>
      <c r="V3374" s="26" t="str">
        <f t="shared" ref="V3374" si="1838">IFERROR(RIGHT(G3374,LEN(G3374)-FIND("*",G3374)),"-")</f>
        <v>-</v>
      </c>
      <c r="W3374" s="27" t="str">
        <f t="shared" si="1834"/>
        <v>-</v>
      </c>
      <c r="X3374" s="27" t="str">
        <f>IFERROR(W3374*H3374,"-")</f>
        <v>-</v>
      </c>
      <c r="Z3374" s="94" t="s">
        <v>82</v>
      </c>
    </row>
    <row r="3375" spans="1:26" s="25" customFormat="1" ht="6.95" customHeight="1" x14ac:dyDescent="0.3">
      <c r="A3375" s="10"/>
      <c r="B3375" s="168"/>
      <c r="C3375" s="169"/>
      <c r="D3375" s="160"/>
      <c r="E3375" s="161"/>
      <c r="F3375" s="162"/>
      <c r="G3375" s="163"/>
      <c r="H3375" s="164"/>
      <c r="I3375" s="163"/>
      <c r="J3375" s="164"/>
      <c r="K3375" s="163"/>
      <c r="L3375" s="164"/>
      <c r="M3375" s="11"/>
      <c r="N3375" s="39"/>
      <c r="Q3375" s="15" t="str">
        <f>+CONCATENATE(E3374,I3374)</f>
        <v/>
      </c>
      <c r="R3375" s="15">
        <f>+J3374</f>
        <v>0</v>
      </c>
      <c r="S3375" s="16"/>
      <c r="T3375" s="15">
        <f>+E3374</f>
        <v>0</v>
      </c>
      <c r="U3375" s="26" t="str">
        <f>IFERROR(LEFT(I3374,FIND("*",I3374)-1),"-")</f>
        <v>-</v>
      </c>
      <c r="V3375" s="26" t="str">
        <f>IFERROR(RIGHT(I3374,LEN(I3374)-FIND("*",I3374)),"-")</f>
        <v>-</v>
      </c>
      <c r="W3375" s="27" t="str">
        <f t="shared" si="1834"/>
        <v>-</v>
      </c>
      <c r="X3375" s="27" t="str">
        <f t="shared" ref="X3375" si="1839">IFERROR(W3375*J3374,"-")</f>
        <v>-</v>
      </c>
      <c r="Z3375" s="94" t="s">
        <v>82</v>
      </c>
    </row>
    <row r="3376" spans="1:26" s="25" customFormat="1" ht="6.95" customHeight="1" x14ac:dyDescent="0.3">
      <c r="A3376" s="10"/>
      <c r="B3376" s="168"/>
      <c r="C3376" s="169"/>
      <c r="D3376" s="160"/>
      <c r="E3376" s="161"/>
      <c r="F3376" s="162"/>
      <c r="G3376" s="163"/>
      <c r="H3376" s="164"/>
      <c r="I3376" s="163"/>
      <c r="J3376" s="164"/>
      <c r="K3376" s="163"/>
      <c r="L3376" s="164"/>
      <c r="M3376" s="11"/>
      <c r="N3376" s="39"/>
      <c r="Q3376" s="15" t="str">
        <f>+CONCATENATE(E3374,K3374)</f>
        <v/>
      </c>
      <c r="R3376" s="15">
        <f>+L3374</f>
        <v>0</v>
      </c>
      <c r="S3376" s="16"/>
      <c r="T3376" s="15">
        <f>+E3374</f>
        <v>0</v>
      </c>
      <c r="U3376" s="26" t="str">
        <f>IFERROR(LEFT(K3374,FIND("*",K3374)-1),"-")</f>
        <v>-</v>
      </c>
      <c r="V3376" s="26" t="str">
        <f>IFERROR(RIGHT(K3374,LEN(K3374)-FIND("*",K3374)),"-")</f>
        <v>-</v>
      </c>
      <c r="W3376" s="27" t="str">
        <f t="shared" si="1834"/>
        <v>-</v>
      </c>
      <c r="X3376" s="27" t="str">
        <f>IFERROR(W3376*L3374,"-")</f>
        <v>-</v>
      </c>
      <c r="Z3376" s="94" t="s">
        <v>82</v>
      </c>
    </row>
    <row r="3377" spans="1:26" s="25" customFormat="1" ht="21" customHeight="1" thickBot="1" x14ac:dyDescent="0.35">
      <c r="A3377" s="10"/>
      <c r="B3377" s="170"/>
      <c r="C3377" s="171"/>
      <c r="D3377" s="172" t="s">
        <v>43</v>
      </c>
      <c r="E3377" s="173"/>
      <c r="F3377" s="173"/>
      <c r="G3377" s="174"/>
      <c r="H3377" s="174"/>
      <c r="I3377" s="174"/>
      <c r="J3377" s="174"/>
      <c r="K3377" s="174"/>
      <c r="L3377" s="174"/>
      <c r="M3377" s="12"/>
      <c r="N3377" s="39"/>
      <c r="U3377" s="23"/>
      <c r="V3377" s="23"/>
      <c r="Z3377" s="95" t="s">
        <v>81</v>
      </c>
    </row>
    <row r="3378" spans="1:26" s="25" customFormat="1" ht="9.9499999999999993" customHeight="1" thickBot="1" x14ac:dyDescent="0.35">
      <c r="A3378" s="6"/>
      <c r="B3378" s="14"/>
      <c r="C3378" s="119"/>
      <c r="D3378" s="58"/>
      <c r="E3378" s="17"/>
      <c r="F3378" s="58"/>
      <c r="G3378" s="19"/>
      <c r="H3378" s="19"/>
      <c r="I3378" s="19"/>
      <c r="J3378" s="19"/>
      <c r="K3378" s="19"/>
      <c r="L3378" s="19"/>
      <c r="M3378" s="14"/>
      <c r="N3378" s="39"/>
      <c r="Q3378" s="1"/>
      <c r="R3378" s="1"/>
      <c r="S3378" s="1"/>
      <c r="T3378" s="1"/>
      <c r="U3378" s="24"/>
      <c r="V3378" s="24"/>
      <c r="W3378" s="1"/>
      <c r="X3378" s="1"/>
      <c r="Z3378" s="94" t="s">
        <v>82</v>
      </c>
    </row>
    <row r="3379" spans="1:26" s="25" customFormat="1" ht="6.95" customHeight="1" x14ac:dyDescent="0.3">
      <c r="A3379" s="165">
        <f>+A3368+1</f>
        <v>308</v>
      </c>
      <c r="B3379" s="166"/>
      <c r="C3379" s="167"/>
      <c r="D3379" s="160" t="s">
        <v>39</v>
      </c>
      <c r="E3379" s="161"/>
      <c r="F3379" s="162" t="s">
        <v>40</v>
      </c>
      <c r="G3379" s="163"/>
      <c r="H3379" s="164"/>
      <c r="I3379" s="163"/>
      <c r="J3379" s="164"/>
      <c r="K3379" s="163"/>
      <c r="L3379" s="164"/>
      <c r="M3379" s="11"/>
      <c r="N3379" s="39"/>
      <c r="Q3379" s="15" t="str">
        <f>+CONCATENATE(E3379,G3379)</f>
        <v/>
      </c>
      <c r="R3379" s="15">
        <f>+H3379</f>
        <v>0</v>
      </c>
      <c r="S3379" s="16"/>
      <c r="T3379" s="15">
        <f>+E3379</f>
        <v>0</v>
      </c>
      <c r="U3379" s="26" t="str">
        <f>IFERROR(LEFT(G3379,FIND("*",G3379)-1),"-")</f>
        <v>-</v>
      </c>
      <c r="V3379" s="26" t="str">
        <f>IFERROR(RIGHT(G3379,LEN(G3379)-FIND("*",G3379)),"-")</f>
        <v>-</v>
      </c>
      <c r="W3379" s="27" t="str">
        <f>IFERROR((U3379+V3379)*2/1000,"-")</f>
        <v>-</v>
      </c>
      <c r="X3379" s="27" t="str">
        <f>IFERROR(W3379*H3379,"-")</f>
        <v>-</v>
      </c>
      <c r="Z3379" s="94" t="s">
        <v>82</v>
      </c>
    </row>
    <row r="3380" spans="1:26" s="25" customFormat="1" ht="6.95" customHeight="1" x14ac:dyDescent="0.3">
      <c r="A3380" s="165"/>
      <c r="B3380" s="168"/>
      <c r="C3380" s="169"/>
      <c r="D3380" s="160"/>
      <c r="E3380" s="161"/>
      <c r="F3380" s="162"/>
      <c r="G3380" s="163"/>
      <c r="H3380" s="164"/>
      <c r="I3380" s="163"/>
      <c r="J3380" s="164"/>
      <c r="K3380" s="163"/>
      <c r="L3380" s="164"/>
      <c r="M3380" s="11"/>
      <c r="N3380" s="39"/>
      <c r="Q3380" s="15" t="str">
        <f>+CONCATENATE(E3379,I3379)</f>
        <v/>
      </c>
      <c r="R3380" s="15">
        <f>+J3379</f>
        <v>0</v>
      </c>
      <c r="S3380" s="16"/>
      <c r="T3380" s="15">
        <f>+E3379</f>
        <v>0</v>
      </c>
      <c r="U3380" s="26" t="str">
        <f>IFERROR(LEFT(I3379,FIND("*",I3379)-1),"-")</f>
        <v>-</v>
      </c>
      <c r="V3380" s="26" t="str">
        <f>IFERROR(RIGHT(I3379,LEN(I3379)-FIND("*",I3379)),"-")</f>
        <v>-</v>
      </c>
      <c r="W3380" s="27" t="str">
        <f t="shared" ref="W3380:W3387" si="1840">IFERROR((U3380+V3380)*2/1000,"-")</f>
        <v>-</v>
      </c>
      <c r="X3380" s="27" t="str">
        <f>IFERROR(W3380*J3379,"-")</f>
        <v>-</v>
      </c>
      <c r="Z3380" s="94" t="s">
        <v>82</v>
      </c>
    </row>
    <row r="3381" spans="1:26" s="25" customFormat="1" ht="6.95" customHeight="1" x14ac:dyDescent="0.3">
      <c r="A3381" s="165"/>
      <c r="B3381" s="168"/>
      <c r="C3381" s="169"/>
      <c r="D3381" s="160"/>
      <c r="E3381" s="161"/>
      <c r="F3381" s="162"/>
      <c r="G3381" s="163"/>
      <c r="H3381" s="164"/>
      <c r="I3381" s="163"/>
      <c r="J3381" s="164"/>
      <c r="K3381" s="163"/>
      <c r="L3381" s="164"/>
      <c r="M3381" s="11"/>
      <c r="N3381" s="39"/>
      <c r="Q3381" s="15" t="str">
        <f>+CONCATENATE(E3379,K3379)</f>
        <v/>
      </c>
      <c r="R3381" s="15">
        <f>+L3379</f>
        <v>0</v>
      </c>
      <c r="S3381" s="16"/>
      <c r="T3381" s="15">
        <f>+E3379</f>
        <v>0</v>
      </c>
      <c r="U3381" s="26" t="str">
        <f>IFERROR(LEFT(K3379,FIND("*",K3379)-1),"-")</f>
        <v>-</v>
      </c>
      <c r="V3381" s="26" t="str">
        <f>IFERROR(RIGHT(K3379,LEN(K3379)-FIND("*",K3379)),"-")</f>
        <v>-</v>
      </c>
      <c r="W3381" s="27" t="str">
        <f t="shared" si="1840"/>
        <v>-</v>
      </c>
      <c r="X3381" s="27" t="str">
        <f>IFERROR(W3381*L3379,"-")</f>
        <v>-</v>
      </c>
      <c r="Z3381" s="94" t="s">
        <v>82</v>
      </c>
    </row>
    <row r="3382" spans="1:26" s="25" customFormat="1" ht="6.95" customHeight="1" x14ac:dyDescent="0.3">
      <c r="A3382" s="13"/>
      <c r="B3382" s="168"/>
      <c r="C3382" s="169"/>
      <c r="D3382" s="160" t="s">
        <v>39</v>
      </c>
      <c r="E3382" s="161"/>
      <c r="F3382" s="162" t="s">
        <v>40</v>
      </c>
      <c r="G3382" s="163"/>
      <c r="H3382" s="164"/>
      <c r="I3382" s="163"/>
      <c r="J3382" s="164"/>
      <c r="K3382" s="163"/>
      <c r="L3382" s="164"/>
      <c r="M3382" s="11"/>
      <c r="N3382" s="39"/>
      <c r="Q3382" s="15" t="str">
        <f>+CONCATENATE(E3382,G3382)</f>
        <v/>
      </c>
      <c r="R3382" s="15">
        <f>+H3382</f>
        <v>0</v>
      </c>
      <c r="S3382" s="16"/>
      <c r="T3382" s="15">
        <f>+E3382</f>
        <v>0</v>
      </c>
      <c r="U3382" s="26" t="str">
        <f t="shared" ref="U3382" si="1841">IFERROR(LEFT(G3382,FIND("*",G3382)-1),"-")</f>
        <v>-</v>
      </c>
      <c r="V3382" s="26" t="str">
        <f t="shared" ref="V3382" si="1842">IFERROR(RIGHT(G3382,LEN(G3382)-FIND("*",G3382)),"-")</f>
        <v>-</v>
      </c>
      <c r="W3382" s="27" t="str">
        <f t="shared" si="1840"/>
        <v>-</v>
      </c>
      <c r="X3382" s="27" t="str">
        <f>IFERROR(W3382*H3382,"-")</f>
        <v>-</v>
      </c>
      <c r="Z3382" s="94" t="s">
        <v>82</v>
      </c>
    </row>
    <row r="3383" spans="1:26" s="25" customFormat="1" ht="6.95" customHeight="1" x14ac:dyDescent="0.3">
      <c r="A3383" s="10"/>
      <c r="B3383" s="168"/>
      <c r="C3383" s="169"/>
      <c r="D3383" s="160"/>
      <c r="E3383" s="161"/>
      <c r="F3383" s="162"/>
      <c r="G3383" s="163"/>
      <c r="H3383" s="164"/>
      <c r="I3383" s="163"/>
      <c r="J3383" s="164"/>
      <c r="K3383" s="163"/>
      <c r="L3383" s="164"/>
      <c r="M3383" s="11"/>
      <c r="N3383" s="39"/>
      <c r="Q3383" s="15" t="str">
        <f>+CONCATENATE(E3382,I3382)</f>
        <v/>
      </c>
      <c r="R3383" s="15">
        <f>+J3382</f>
        <v>0</v>
      </c>
      <c r="S3383" s="16"/>
      <c r="T3383" s="15">
        <f>+E3382</f>
        <v>0</v>
      </c>
      <c r="U3383" s="26" t="str">
        <f>IFERROR(LEFT(I3382,FIND("*",I3382)-1),"-")</f>
        <v>-</v>
      </c>
      <c r="V3383" s="26" t="str">
        <f>IFERROR(RIGHT(I3382,LEN(I3382)-FIND("*",I3382)),"-")</f>
        <v>-</v>
      </c>
      <c r="W3383" s="27" t="str">
        <f t="shared" si="1840"/>
        <v>-</v>
      </c>
      <c r="X3383" s="27" t="str">
        <f>IFERROR(W3383*J3382,"-")</f>
        <v>-</v>
      </c>
      <c r="Z3383" s="94" t="s">
        <v>82</v>
      </c>
    </row>
    <row r="3384" spans="1:26" s="25" customFormat="1" ht="6.95" customHeight="1" x14ac:dyDescent="0.3">
      <c r="A3384" s="10"/>
      <c r="B3384" s="168"/>
      <c r="C3384" s="169"/>
      <c r="D3384" s="160"/>
      <c r="E3384" s="161"/>
      <c r="F3384" s="162"/>
      <c r="G3384" s="163"/>
      <c r="H3384" s="164"/>
      <c r="I3384" s="163"/>
      <c r="J3384" s="164"/>
      <c r="K3384" s="163"/>
      <c r="L3384" s="164"/>
      <c r="M3384" s="11"/>
      <c r="N3384" s="39"/>
      <c r="Q3384" s="15" t="str">
        <f>+CONCATENATE(E3382,K3382)</f>
        <v/>
      </c>
      <c r="R3384" s="15">
        <f>+L3382</f>
        <v>0</v>
      </c>
      <c r="S3384" s="16"/>
      <c r="T3384" s="15">
        <f>+E3382</f>
        <v>0</v>
      </c>
      <c r="U3384" s="26" t="str">
        <f>IFERROR(LEFT(K3382,FIND("*",K3382)-1),"-")</f>
        <v>-</v>
      </c>
      <c r="V3384" s="26" t="str">
        <f>IFERROR(RIGHT(K3382,LEN(K3382)-FIND("*",K3382)),"-")</f>
        <v>-</v>
      </c>
      <c r="W3384" s="27" t="str">
        <f t="shared" si="1840"/>
        <v>-</v>
      </c>
      <c r="X3384" s="27" t="str">
        <f>IFERROR(W3384*L3382,"-")</f>
        <v>-</v>
      </c>
      <c r="Z3384" s="94" t="s">
        <v>82</v>
      </c>
    </row>
    <row r="3385" spans="1:26" s="25" customFormat="1" ht="6.95" customHeight="1" x14ac:dyDescent="0.3">
      <c r="A3385" s="13"/>
      <c r="B3385" s="168"/>
      <c r="C3385" s="169"/>
      <c r="D3385" s="160" t="s">
        <v>39</v>
      </c>
      <c r="E3385" s="161"/>
      <c r="F3385" s="162" t="s">
        <v>40</v>
      </c>
      <c r="G3385" s="163"/>
      <c r="H3385" s="164"/>
      <c r="I3385" s="163"/>
      <c r="J3385" s="164"/>
      <c r="K3385" s="163"/>
      <c r="L3385" s="164"/>
      <c r="M3385" s="11"/>
      <c r="N3385" s="39"/>
      <c r="Q3385" s="15" t="str">
        <f>+CONCATENATE(E3385,G3385)</f>
        <v/>
      </c>
      <c r="R3385" s="15">
        <f>+H3385</f>
        <v>0</v>
      </c>
      <c r="S3385" s="16"/>
      <c r="T3385" s="15">
        <f>+E3385</f>
        <v>0</v>
      </c>
      <c r="U3385" s="26" t="str">
        <f t="shared" ref="U3385" si="1843">IFERROR(LEFT(G3385,FIND("*",G3385)-1),"-")</f>
        <v>-</v>
      </c>
      <c r="V3385" s="26" t="str">
        <f t="shared" ref="V3385" si="1844">IFERROR(RIGHT(G3385,LEN(G3385)-FIND("*",G3385)),"-")</f>
        <v>-</v>
      </c>
      <c r="W3385" s="27" t="str">
        <f t="shared" si="1840"/>
        <v>-</v>
      </c>
      <c r="X3385" s="27" t="str">
        <f>IFERROR(W3385*H3385,"-")</f>
        <v>-</v>
      </c>
      <c r="Z3385" s="94" t="s">
        <v>82</v>
      </c>
    </row>
    <row r="3386" spans="1:26" s="25" customFormat="1" ht="6.95" customHeight="1" x14ac:dyDescent="0.3">
      <c r="A3386" s="10"/>
      <c r="B3386" s="168"/>
      <c r="C3386" s="169"/>
      <c r="D3386" s="160"/>
      <c r="E3386" s="161"/>
      <c r="F3386" s="162"/>
      <c r="G3386" s="163"/>
      <c r="H3386" s="164"/>
      <c r="I3386" s="163"/>
      <c r="J3386" s="164"/>
      <c r="K3386" s="163"/>
      <c r="L3386" s="164"/>
      <c r="M3386" s="11"/>
      <c r="N3386" s="39"/>
      <c r="Q3386" s="15" t="str">
        <f>+CONCATENATE(E3385,I3385)</f>
        <v/>
      </c>
      <c r="R3386" s="15">
        <f>+J3385</f>
        <v>0</v>
      </c>
      <c r="S3386" s="16"/>
      <c r="T3386" s="15">
        <f>+E3385</f>
        <v>0</v>
      </c>
      <c r="U3386" s="26" t="str">
        <f>IFERROR(LEFT(I3385,FIND("*",I3385)-1),"-")</f>
        <v>-</v>
      </c>
      <c r="V3386" s="26" t="str">
        <f>IFERROR(RIGHT(I3385,LEN(I3385)-FIND("*",I3385)),"-")</f>
        <v>-</v>
      </c>
      <c r="W3386" s="27" t="str">
        <f t="shared" si="1840"/>
        <v>-</v>
      </c>
      <c r="X3386" s="27" t="str">
        <f t="shared" ref="X3386" si="1845">IFERROR(W3386*J3385,"-")</f>
        <v>-</v>
      </c>
      <c r="Z3386" s="94" t="s">
        <v>82</v>
      </c>
    </row>
    <row r="3387" spans="1:26" s="25" customFormat="1" ht="6.95" customHeight="1" x14ac:dyDescent="0.3">
      <c r="A3387" s="10"/>
      <c r="B3387" s="168"/>
      <c r="C3387" s="169"/>
      <c r="D3387" s="160"/>
      <c r="E3387" s="161"/>
      <c r="F3387" s="162"/>
      <c r="G3387" s="163"/>
      <c r="H3387" s="164"/>
      <c r="I3387" s="163"/>
      <c r="J3387" s="164"/>
      <c r="K3387" s="163"/>
      <c r="L3387" s="164"/>
      <c r="M3387" s="11"/>
      <c r="N3387" s="39"/>
      <c r="Q3387" s="15" t="str">
        <f>+CONCATENATE(E3385,K3385)</f>
        <v/>
      </c>
      <c r="R3387" s="15">
        <f>+L3385</f>
        <v>0</v>
      </c>
      <c r="S3387" s="16"/>
      <c r="T3387" s="15">
        <f>+E3385</f>
        <v>0</v>
      </c>
      <c r="U3387" s="26" t="str">
        <f>IFERROR(LEFT(K3385,FIND("*",K3385)-1),"-")</f>
        <v>-</v>
      </c>
      <c r="V3387" s="26" t="str">
        <f>IFERROR(RIGHT(K3385,LEN(K3385)-FIND("*",K3385)),"-")</f>
        <v>-</v>
      </c>
      <c r="W3387" s="27" t="str">
        <f t="shared" si="1840"/>
        <v>-</v>
      </c>
      <c r="X3387" s="27" t="str">
        <f>IFERROR(W3387*L3385,"-")</f>
        <v>-</v>
      </c>
      <c r="Z3387" s="94" t="s">
        <v>82</v>
      </c>
    </row>
    <row r="3388" spans="1:26" s="25" customFormat="1" ht="21" customHeight="1" thickBot="1" x14ac:dyDescent="0.35">
      <c r="A3388" s="10"/>
      <c r="B3388" s="170"/>
      <c r="C3388" s="171"/>
      <c r="D3388" s="172" t="s">
        <v>43</v>
      </c>
      <c r="E3388" s="173"/>
      <c r="F3388" s="173"/>
      <c r="G3388" s="174"/>
      <c r="H3388" s="174"/>
      <c r="I3388" s="174"/>
      <c r="J3388" s="174"/>
      <c r="K3388" s="174"/>
      <c r="L3388" s="174"/>
      <c r="M3388" s="12"/>
      <c r="N3388" s="39"/>
      <c r="U3388" s="23"/>
      <c r="V3388" s="23"/>
      <c r="Z3388" s="95" t="s">
        <v>81</v>
      </c>
    </row>
    <row r="3389" spans="1:26" s="25" customFormat="1" ht="9.9499999999999993" customHeight="1" thickBot="1" x14ac:dyDescent="0.35">
      <c r="A3389" s="6"/>
      <c r="B3389" s="14"/>
      <c r="C3389" s="119"/>
      <c r="D3389" s="58"/>
      <c r="E3389" s="17"/>
      <c r="F3389" s="58"/>
      <c r="G3389" s="19"/>
      <c r="H3389" s="19"/>
      <c r="I3389" s="19"/>
      <c r="J3389" s="19"/>
      <c r="K3389" s="19"/>
      <c r="L3389" s="19"/>
      <c r="M3389" s="14"/>
      <c r="N3389" s="39"/>
      <c r="Q3389" s="1"/>
      <c r="R3389" s="1"/>
      <c r="S3389" s="1"/>
      <c r="T3389" s="1"/>
      <c r="U3389" s="24"/>
      <c r="V3389" s="24"/>
      <c r="W3389" s="1"/>
      <c r="X3389" s="1"/>
      <c r="Z3389" s="94" t="s">
        <v>82</v>
      </c>
    </row>
    <row r="3390" spans="1:26" s="25" customFormat="1" ht="6.95" customHeight="1" x14ac:dyDescent="0.3">
      <c r="A3390" s="165">
        <f>+A3379+1</f>
        <v>309</v>
      </c>
      <c r="B3390" s="166"/>
      <c r="C3390" s="167"/>
      <c r="D3390" s="160" t="s">
        <v>39</v>
      </c>
      <c r="E3390" s="161"/>
      <c r="F3390" s="162" t="s">
        <v>40</v>
      </c>
      <c r="G3390" s="163"/>
      <c r="H3390" s="164"/>
      <c r="I3390" s="163"/>
      <c r="J3390" s="164"/>
      <c r="K3390" s="163"/>
      <c r="L3390" s="164"/>
      <c r="M3390" s="11"/>
      <c r="N3390" s="39"/>
      <c r="Q3390" s="15" t="str">
        <f>+CONCATENATE(E3390,G3390)</f>
        <v/>
      </c>
      <c r="R3390" s="15">
        <f>+H3390</f>
        <v>0</v>
      </c>
      <c r="S3390" s="16"/>
      <c r="T3390" s="15">
        <f>+E3390</f>
        <v>0</v>
      </c>
      <c r="U3390" s="26" t="str">
        <f>IFERROR(LEFT(G3390,FIND("*",G3390)-1),"-")</f>
        <v>-</v>
      </c>
      <c r="V3390" s="26" t="str">
        <f>IFERROR(RIGHT(G3390,LEN(G3390)-FIND("*",G3390)),"-")</f>
        <v>-</v>
      </c>
      <c r="W3390" s="27" t="str">
        <f>IFERROR((U3390+V3390)*2/1000,"-")</f>
        <v>-</v>
      </c>
      <c r="X3390" s="27" t="str">
        <f>IFERROR(W3390*H3390,"-")</f>
        <v>-</v>
      </c>
      <c r="Z3390" s="94" t="s">
        <v>82</v>
      </c>
    </row>
    <row r="3391" spans="1:26" s="25" customFormat="1" ht="6.95" customHeight="1" x14ac:dyDescent="0.3">
      <c r="A3391" s="165"/>
      <c r="B3391" s="168"/>
      <c r="C3391" s="169"/>
      <c r="D3391" s="160"/>
      <c r="E3391" s="161"/>
      <c r="F3391" s="162"/>
      <c r="G3391" s="163"/>
      <c r="H3391" s="164"/>
      <c r="I3391" s="163"/>
      <c r="J3391" s="164"/>
      <c r="K3391" s="163"/>
      <c r="L3391" s="164"/>
      <c r="M3391" s="11"/>
      <c r="N3391" s="39"/>
      <c r="Q3391" s="15" t="str">
        <f>+CONCATENATE(E3390,I3390)</f>
        <v/>
      </c>
      <c r="R3391" s="15">
        <f>+J3390</f>
        <v>0</v>
      </c>
      <c r="S3391" s="16"/>
      <c r="T3391" s="15">
        <f>+E3390</f>
        <v>0</v>
      </c>
      <c r="U3391" s="26" t="str">
        <f>IFERROR(LEFT(I3390,FIND("*",I3390)-1),"-")</f>
        <v>-</v>
      </c>
      <c r="V3391" s="26" t="str">
        <f>IFERROR(RIGHT(I3390,LEN(I3390)-FIND("*",I3390)),"-")</f>
        <v>-</v>
      </c>
      <c r="W3391" s="27" t="str">
        <f t="shared" ref="W3391:W3398" si="1846">IFERROR((U3391+V3391)*2/1000,"-")</f>
        <v>-</v>
      </c>
      <c r="X3391" s="27" t="str">
        <f>IFERROR(W3391*J3390,"-")</f>
        <v>-</v>
      </c>
      <c r="Z3391" s="94" t="s">
        <v>82</v>
      </c>
    </row>
    <row r="3392" spans="1:26" s="25" customFormat="1" ht="6.95" customHeight="1" x14ac:dyDescent="0.3">
      <c r="A3392" s="165"/>
      <c r="B3392" s="168"/>
      <c r="C3392" s="169"/>
      <c r="D3392" s="160"/>
      <c r="E3392" s="161"/>
      <c r="F3392" s="162"/>
      <c r="G3392" s="163"/>
      <c r="H3392" s="164"/>
      <c r="I3392" s="163"/>
      <c r="J3392" s="164"/>
      <c r="K3392" s="163"/>
      <c r="L3392" s="164"/>
      <c r="M3392" s="11"/>
      <c r="N3392" s="39"/>
      <c r="Q3392" s="15" t="str">
        <f>+CONCATENATE(E3390,K3390)</f>
        <v/>
      </c>
      <c r="R3392" s="15">
        <f>+L3390</f>
        <v>0</v>
      </c>
      <c r="S3392" s="16"/>
      <c r="T3392" s="15">
        <f>+E3390</f>
        <v>0</v>
      </c>
      <c r="U3392" s="26" t="str">
        <f>IFERROR(LEFT(K3390,FIND("*",K3390)-1),"-")</f>
        <v>-</v>
      </c>
      <c r="V3392" s="26" t="str">
        <f>IFERROR(RIGHT(K3390,LEN(K3390)-FIND("*",K3390)),"-")</f>
        <v>-</v>
      </c>
      <c r="W3392" s="27" t="str">
        <f t="shared" si="1846"/>
        <v>-</v>
      </c>
      <c r="X3392" s="27" t="str">
        <f>IFERROR(W3392*L3390,"-")</f>
        <v>-</v>
      </c>
      <c r="Z3392" s="94" t="s">
        <v>82</v>
      </c>
    </row>
    <row r="3393" spans="1:26" s="25" customFormat="1" ht="6.95" customHeight="1" x14ac:dyDescent="0.3">
      <c r="A3393" s="13"/>
      <c r="B3393" s="168"/>
      <c r="C3393" s="169"/>
      <c r="D3393" s="160" t="s">
        <v>39</v>
      </c>
      <c r="E3393" s="161"/>
      <c r="F3393" s="162" t="s">
        <v>40</v>
      </c>
      <c r="G3393" s="163"/>
      <c r="H3393" s="164"/>
      <c r="I3393" s="163"/>
      <c r="J3393" s="164"/>
      <c r="K3393" s="163"/>
      <c r="L3393" s="164"/>
      <c r="M3393" s="11"/>
      <c r="N3393" s="39"/>
      <c r="Q3393" s="15" t="str">
        <f>+CONCATENATE(E3393,G3393)</f>
        <v/>
      </c>
      <c r="R3393" s="15">
        <f>+H3393</f>
        <v>0</v>
      </c>
      <c r="S3393" s="16"/>
      <c r="T3393" s="15">
        <f>+E3393</f>
        <v>0</v>
      </c>
      <c r="U3393" s="26" t="str">
        <f t="shared" ref="U3393" si="1847">IFERROR(LEFT(G3393,FIND("*",G3393)-1),"-")</f>
        <v>-</v>
      </c>
      <c r="V3393" s="26" t="str">
        <f t="shared" ref="V3393" si="1848">IFERROR(RIGHT(G3393,LEN(G3393)-FIND("*",G3393)),"-")</f>
        <v>-</v>
      </c>
      <c r="W3393" s="27" t="str">
        <f t="shared" si="1846"/>
        <v>-</v>
      </c>
      <c r="X3393" s="27" t="str">
        <f>IFERROR(W3393*H3393,"-")</f>
        <v>-</v>
      </c>
      <c r="Z3393" s="94" t="s">
        <v>82</v>
      </c>
    </row>
    <row r="3394" spans="1:26" s="25" customFormat="1" ht="6.95" customHeight="1" x14ac:dyDescent="0.3">
      <c r="A3394" s="10"/>
      <c r="B3394" s="168"/>
      <c r="C3394" s="169"/>
      <c r="D3394" s="160"/>
      <c r="E3394" s="161"/>
      <c r="F3394" s="162"/>
      <c r="G3394" s="163"/>
      <c r="H3394" s="164"/>
      <c r="I3394" s="163"/>
      <c r="J3394" s="164"/>
      <c r="K3394" s="163"/>
      <c r="L3394" s="164"/>
      <c r="M3394" s="11"/>
      <c r="N3394" s="39"/>
      <c r="Q3394" s="15" t="str">
        <f>+CONCATENATE(E3393,I3393)</f>
        <v/>
      </c>
      <c r="R3394" s="15">
        <f>+J3393</f>
        <v>0</v>
      </c>
      <c r="S3394" s="16"/>
      <c r="T3394" s="15">
        <f>+E3393</f>
        <v>0</v>
      </c>
      <c r="U3394" s="26" t="str">
        <f>IFERROR(LEFT(I3393,FIND("*",I3393)-1),"-")</f>
        <v>-</v>
      </c>
      <c r="V3394" s="26" t="str">
        <f>IFERROR(RIGHT(I3393,LEN(I3393)-FIND("*",I3393)),"-")</f>
        <v>-</v>
      </c>
      <c r="W3394" s="27" t="str">
        <f t="shared" si="1846"/>
        <v>-</v>
      </c>
      <c r="X3394" s="27" t="str">
        <f>IFERROR(W3394*J3393,"-")</f>
        <v>-</v>
      </c>
      <c r="Z3394" s="94" t="s">
        <v>82</v>
      </c>
    </row>
    <row r="3395" spans="1:26" s="25" customFormat="1" ht="6.95" customHeight="1" x14ac:dyDescent="0.3">
      <c r="A3395" s="10"/>
      <c r="B3395" s="168"/>
      <c r="C3395" s="169"/>
      <c r="D3395" s="160"/>
      <c r="E3395" s="161"/>
      <c r="F3395" s="162"/>
      <c r="G3395" s="163"/>
      <c r="H3395" s="164"/>
      <c r="I3395" s="163"/>
      <c r="J3395" s="164"/>
      <c r="K3395" s="163"/>
      <c r="L3395" s="164"/>
      <c r="M3395" s="11"/>
      <c r="N3395" s="39"/>
      <c r="Q3395" s="15" t="str">
        <f>+CONCATENATE(E3393,K3393)</f>
        <v/>
      </c>
      <c r="R3395" s="15">
        <f>+L3393</f>
        <v>0</v>
      </c>
      <c r="S3395" s="16"/>
      <c r="T3395" s="15">
        <f>+E3393</f>
        <v>0</v>
      </c>
      <c r="U3395" s="26" t="str">
        <f>IFERROR(LEFT(K3393,FIND("*",K3393)-1),"-")</f>
        <v>-</v>
      </c>
      <c r="V3395" s="26" t="str">
        <f>IFERROR(RIGHT(K3393,LEN(K3393)-FIND("*",K3393)),"-")</f>
        <v>-</v>
      </c>
      <c r="W3395" s="27" t="str">
        <f t="shared" si="1846"/>
        <v>-</v>
      </c>
      <c r="X3395" s="27" t="str">
        <f>IFERROR(W3395*L3393,"-")</f>
        <v>-</v>
      </c>
      <c r="Z3395" s="94" t="s">
        <v>82</v>
      </c>
    </row>
    <row r="3396" spans="1:26" s="25" customFormat="1" ht="6.95" customHeight="1" x14ac:dyDescent="0.3">
      <c r="A3396" s="13"/>
      <c r="B3396" s="168"/>
      <c r="C3396" s="169"/>
      <c r="D3396" s="160" t="s">
        <v>39</v>
      </c>
      <c r="E3396" s="161"/>
      <c r="F3396" s="162" t="s">
        <v>40</v>
      </c>
      <c r="G3396" s="163"/>
      <c r="H3396" s="164"/>
      <c r="I3396" s="163"/>
      <c r="J3396" s="164"/>
      <c r="K3396" s="163"/>
      <c r="L3396" s="164"/>
      <c r="M3396" s="11"/>
      <c r="N3396" s="39"/>
      <c r="Q3396" s="15" t="str">
        <f>+CONCATENATE(E3396,G3396)</f>
        <v/>
      </c>
      <c r="R3396" s="15">
        <f>+H3396</f>
        <v>0</v>
      </c>
      <c r="S3396" s="16"/>
      <c r="T3396" s="15">
        <f>+E3396</f>
        <v>0</v>
      </c>
      <c r="U3396" s="26" t="str">
        <f t="shared" ref="U3396" si="1849">IFERROR(LEFT(G3396,FIND("*",G3396)-1),"-")</f>
        <v>-</v>
      </c>
      <c r="V3396" s="26" t="str">
        <f t="shared" ref="V3396" si="1850">IFERROR(RIGHT(G3396,LEN(G3396)-FIND("*",G3396)),"-")</f>
        <v>-</v>
      </c>
      <c r="W3396" s="27" t="str">
        <f t="shared" si="1846"/>
        <v>-</v>
      </c>
      <c r="X3396" s="27" t="str">
        <f>IFERROR(W3396*H3396,"-")</f>
        <v>-</v>
      </c>
      <c r="Z3396" s="94" t="s">
        <v>82</v>
      </c>
    </row>
    <row r="3397" spans="1:26" s="25" customFormat="1" ht="6.95" customHeight="1" x14ac:dyDescent="0.3">
      <c r="A3397" s="10"/>
      <c r="B3397" s="168"/>
      <c r="C3397" s="169"/>
      <c r="D3397" s="160"/>
      <c r="E3397" s="161"/>
      <c r="F3397" s="162"/>
      <c r="G3397" s="163"/>
      <c r="H3397" s="164"/>
      <c r="I3397" s="163"/>
      <c r="J3397" s="164"/>
      <c r="K3397" s="163"/>
      <c r="L3397" s="164"/>
      <c r="M3397" s="11"/>
      <c r="N3397" s="39"/>
      <c r="Q3397" s="15" t="str">
        <f>+CONCATENATE(E3396,I3396)</f>
        <v/>
      </c>
      <c r="R3397" s="15">
        <f>+J3396</f>
        <v>0</v>
      </c>
      <c r="S3397" s="16"/>
      <c r="T3397" s="15">
        <f>+E3396</f>
        <v>0</v>
      </c>
      <c r="U3397" s="26" t="str">
        <f>IFERROR(LEFT(I3396,FIND("*",I3396)-1),"-")</f>
        <v>-</v>
      </c>
      <c r="V3397" s="26" t="str">
        <f>IFERROR(RIGHT(I3396,LEN(I3396)-FIND("*",I3396)),"-")</f>
        <v>-</v>
      </c>
      <c r="W3397" s="27" t="str">
        <f t="shared" si="1846"/>
        <v>-</v>
      </c>
      <c r="X3397" s="27" t="str">
        <f t="shared" ref="X3397" si="1851">IFERROR(W3397*J3396,"-")</f>
        <v>-</v>
      </c>
      <c r="Z3397" s="94" t="s">
        <v>82</v>
      </c>
    </row>
    <row r="3398" spans="1:26" s="25" customFormat="1" ht="6.95" customHeight="1" x14ac:dyDescent="0.3">
      <c r="A3398" s="10"/>
      <c r="B3398" s="168"/>
      <c r="C3398" s="169"/>
      <c r="D3398" s="160"/>
      <c r="E3398" s="161"/>
      <c r="F3398" s="162"/>
      <c r="G3398" s="163"/>
      <c r="H3398" s="164"/>
      <c r="I3398" s="163"/>
      <c r="J3398" s="164"/>
      <c r="K3398" s="163"/>
      <c r="L3398" s="164"/>
      <c r="M3398" s="11"/>
      <c r="N3398" s="39"/>
      <c r="Q3398" s="15" t="str">
        <f>+CONCATENATE(E3396,K3396)</f>
        <v/>
      </c>
      <c r="R3398" s="15">
        <f>+L3396</f>
        <v>0</v>
      </c>
      <c r="S3398" s="16"/>
      <c r="T3398" s="15">
        <f>+E3396</f>
        <v>0</v>
      </c>
      <c r="U3398" s="26" t="str">
        <f>IFERROR(LEFT(K3396,FIND("*",K3396)-1),"-")</f>
        <v>-</v>
      </c>
      <c r="V3398" s="26" t="str">
        <f>IFERROR(RIGHT(K3396,LEN(K3396)-FIND("*",K3396)),"-")</f>
        <v>-</v>
      </c>
      <c r="W3398" s="27" t="str">
        <f t="shared" si="1846"/>
        <v>-</v>
      </c>
      <c r="X3398" s="27" t="str">
        <f>IFERROR(W3398*L3396,"-")</f>
        <v>-</v>
      </c>
      <c r="Z3398" s="94" t="s">
        <v>82</v>
      </c>
    </row>
    <row r="3399" spans="1:26" s="25" customFormat="1" ht="21" customHeight="1" thickBot="1" x14ac:dyDescent="0.35">
      <c r="A3399" s="10"/>
      <c r="B3399" s="170"/>
      <c r="C3399" s="171"/>
      <c r="D3399" s="172" t="s">
        <v>43</v>
      </c>
      <c r="E3399" s="173"/>
      <c r="F3399" s="173"/>
      <c r="G3399" s="174"/>
      <c r="H3399" s="174"/>
      <c r="I3399" s="174"/>
      <c r="J3399" s="174"/>
      <c r="K3399" s="174"/>
      <c r="L3399" s="174"/>
      <c r="M3399" s="12"/>
      <c r="N3399" s="39"/>
      <c r="U3399" s="23"/>
      <c r="V3399" s="23"/>
      <c r="Z3399" s="95" t="s">
        <v>81</v>
      </c>
    </row>
    <row r="3400" spans="1:26" s="25" customFormat="1" ht="9.9499999999999993" customHeight="1" thickBot="1" x14ac:dyDescent="0.35">
      <c r="A3400" s="6"/>
      <c r="B3400" s="14"/>
      <c r="C3400" s="119"/>
      <c r="D3400" s="58"/>
      <c r="E3400" s="17"/>
      <c r="F3400" s="58"/>
      <c r="G3400" s="19"/>
      <c r="H3400" s="19"/>
      <c r="I3400" s="19"/>
      <c r="J3400" s="19"/>
      <c r="K3400" s="19"/>
      <c r="L3400" s="19"/>
      <c r="M3400" s="14"/>
      <c r="N3400" s="39"/>
      <c r="Q3400" s="1"/>
      <c r="R3400" s="1"/>
      <c r="S3400" s="1"/>
      <c r="T3400" s="1"/>
      <c r="U3400" s="24"/>
      <c r="V3400" s="24"/>
      <c r="W3400" s="1"/>
      <c r="X3400" s="1"/>
      <c r="Z3400" s="94" t="s">
        <v>82</v>
      </c>
    </row>
    <row r="3401" spans="1:26" s="25" customFormat="1" ht="6.95" customHeight="1" x14ac:dyDescent="0.3">
      <c r="A3401" s="165">
        <f>+A3390+1</f>
        <v>310</v>
      </c>
      <c r="B3401" s="166"/>
      <c r="C3401" s="167"/>
      <c r="D3401" s="160" t="s">
        <v>39</v>
      </c>
      <c r="E3401" s="161"/>
      <c r="F3401" s="162" t="s">
        <v>40</v>
      </c>
      <c r="G3401" s="163"/>
      <c r="H3401" s="164"/>
      <c r="I3401" s="163"/>
      <c r="J3401" s="164"/>
      <c r="K3401" s="163"/>
      <c r="L3401" s="164"/>
      <c r="M3401" s="11"/>
      <c r="N3401" s="39"/>
      <c r="Q3401" s="15" t="str">
        <f>+CONCATENATE(E3401,G3401)</f>
        <v/>
      </c>
      <c r="R3401" s="15">
        <f>+H3401</f>
        <v>0</v>
      </c>
      <c r="S3401" s="16"/>
      <c r="T3401" s="15">
        <f>+E3401</f>
        <v>0</v>
      </c>
      <c r="U3401" s="26" t="str">
        <f>IFERROR(LEFT(G3401,FIND("*",G3401)-1),"-")</f>
        <v>-</v>
      </c>
      <c r="V3401" s="26" t="str">
        <f>IFERROR(RIGHT(G3401,LEN(G3401)-FIND("*",G3401)),"-")</f>
        <v>-</v>
      </c>
      <c r="W3401" s="27" t="str">
        <f>IFERROR((U3401+V3401)*2/1000,"-")</f>
        <v>-</v>
      </c>
      <c r="X3401" s="27" t="str">
        <f>IFERROR(W3401*H3401,"-")</f>
        <v>-</v>
      </c>
      <c r="Z3401" s="94" t="s">
        <v>82</v>
      </c>
    </row>
    <row r="3402" spans="1:26" s="25" customFormat="1" ht="6.95" customHeight="1" x14ac:dyDescent="0.3">
      <c r="A3402" s="165"/>
      <c r="B3402" s="168"/>
      <c r="C3402" s="169"/>
      <c r="D3402" s="160"/>
      <c r="E3402" s="161"/>
      <c r="F3402" s="162"/>
      <c r="G3402" s="163"/>
      <c r="H3402" s="164"/>
      <c r="I3402" s="163"/>
      <c r="J3402" s="164"/>
      <c r="K3402" s="163"/>
      <c r="L3402" s="164"/>
      <c r="M3402" s="11"/>
      <c r="N3402" s="39"/>
      <c r="Q3402" s="15" t="str">
        <f>+CONCATENATE(E3401,I3401)</f>
        <v/>
      </c>
      <c r="R3402" s="15">
        <f>+J3401</f>
        <v>0</v>
      </c>
      <c r="S3402" s="16"/>
      <c r="T3402" s="15">
        <f>+E3401</f>
        <v>0</v>
      </c>
      <c r="U3402" s="26" t="str">
        <f>IFERROR(LEFT(I3401,FIND("*",I3401)-1),"-")</f>
        <v>-</v>
      </c>
      <c r="V3402" s="26" t="str">
        <f>IFERROR(RIGHT(I3401,LEN(I3401)-FIND("*",I3401)),"-")</f>
        <v>-</v>
      </c>
      <c r="W3402" s="27" t="str">
        <f t="shared" ref="W3402:W3409" si="1852">IFERROR((U3402+V3402)*2/1000,"-")</f>
        <v>-</v>
      </c>
      <c r="X3402" s="27" t="str">
        <f>IFERROR(W3402*J3401,"-")</f>
        <v>-</v>
      </c>
      <c r="Z3402" s="94" t="s">
        <v>82</v>
      </c>
    </row>
    <row r="3403" spans="1:26" s="25" customFormat="1" ht="6.95" customHeight="1" x14ac:dyDescent="0.3">
      <c r="A3403" s="165"/>
      <c r="B3403" s="168"/>
      <c r="C3403" s="169"/>
      <c r="D3403" s="160"/>
      <c r="E3403" s="161"/>
      <c r="F3403" s="162"/>
      <c r="G3403" s="163"/>
      <c r="H3403" s="164"/>
      <c r="I3403" s="163"/>
      <c r="J3403" s="164"/>
      <c r="K3403" s="163"/>
      <c r="L3403" s="164"/>
      <c r="M3403" s="11"/>
      <c r="N3403" s="39"/>
      <c r="Q3403" s="15" t="str">
        <f>+CONCATENATE(E3401,K3401)</f>
        <v/>
      </c>
      <c r="R3403" s="15">
        <f>+L3401</f>
        <v>0</v>
      </c>
      <c r="S3403" s="16"/>
      <c r="T3403" s="15">
        <f>+E3401</f>
        <v>0</v>
      </c>
      <c r="U3403" s="26" t="str">
        <f>IFERROR(LEFT(K3401,FIND("*",K3401)-1),"-")</f>
        <v>-</v>
      </c>
      <c r="V3403" s="26" t="str">
        <f>IFERROR(RIGHT(K3401,LEN(K3401)-FIND("*",K3401)),"-")</f>
        <v>-</v>
      </c>
      <c r="W3403" s="27" t="str">
        <f t="shared" si="1852"/>
        <v>-</v>
      </c>
      <c r="X3403" s="27" t="str">
        <f>IFERROR(W3403*L3401,"-")</f>
        <v>-</v>
      </c>
      <c r="Z3403" s="94" t="s">
        <v>82</v>
      </c>
    </row>
    <row r="3404" spans="1:26" s="25" customFormat="1" ht="6.95" customHeight="1" x14ac:dyDescent="0.3">
      <c r="A3404" s="13"/>
      <c r="B3404" s="168"/>
      <c r="C3404" s="169"/>
      <c r="D3404" s="160" t="s">
        <v>39</v>
      </c>
      <c r="E3404" s="161"/>
      <c r="F3404" s="162" t="s">
        <v>40</v>
      </c>
      <c r="G3404" s="163"/>
      <c r="H3404" s="164"/>
      <c r="I3404" s="163"/>
      <c r="J3404" s="164"/>
      <c r="K3404" s="163"/>
      <c r="L3404" s="164"/>
      <c r="M3404" s="11"/>
      <c r="N3404" s="39"/>
      <c r="Q3404" s="15" t="str">
        <f>+CONCATENATE(E3404,G3404)</f>
        <v/>
      </c>
      <c r="R3404" s="15">
        <f>+H3404</f>
        <v>0</v>
      </c>
      <c r="S3404" s="16"/>
      <c r="T3404" s="15">
        <f>+E3404</f>
        <v>0</v>
      </c>
      <c r="U3404" s="26" t="str">
        <f t="shared" ref="U3404" si="1853">IFERROR(LEFT(G3404,FIND("*",G3404)-1),"-")</f>
        <v>-</v>
      </c>
      <c r="V3404" s="26" t="str">
        <f t="shared" ref="V3404" si="1854">IFERROR(RIGHT(G3404,LEN(G3404)-FIND("*",G3404)),"-")</f>
        <v>-</v>
      </c>
      <c r="W3404" s="27" t="str">
        <f t="shared" si="1852"/>
        <v>-</v>
      </c>
      <c r="X3404" s="27" t="str">
        <f>IFERROR(W3404*H3404,"-")</f>
        <v>-</v>
      </c>
      <c r="Z3404" s="94" t="s">
        <v>82</v>
      </c>
    </row>
    <row r="3405" spans="1:26" s="25" customFormat="1" ht="6.95" customHeight="1" x14ac:dyDescent="0.3">
      <c r="A3405" s="10"/>
      <c r="B3405" s="168"/>
      <c r="C3405" s="169"/>
      <c r="D3405" s="160"/>
      <c r="E3405" s="161"/>
      <c r="F3405" s="162"/>
      <c r="G3405" s="163"/>
      <c r="H3405" s="164"/>
      <c r="I3405" s="163"/>
      <c r="J3405" s="164"/>
      <c r="K3405" s="163"/>
      <c r="L3405" s="164"/>
      <c r="M3405" s="11"/>
      <c r="N3405" s="39"/>
      <c r="Q3405" s="15" t="str">
        <f>+CONCATENATE(E3404,I3404)</f>
        <v/>
      </c>
      <c r="R3405" s="15">
        <f>+J3404</f>
        <v>0</v>
      </c>
      <c r="S3405" s="16"/>
      <c r="T3405" s="15">
        <f>+E3404</f>
        <v>0</v>
      </c>
      <c r="U3405" s="26" t="str">
        <f>IFERROR(LEFT(I3404,FIND("*",I3404)-1),"-")</f>
        <v>-</v>
      </c>
      <c r="V3405" s="26" t="str">
        <f>IFERROR(RIGHT(I3404,LEN(I3404)-FIND("*",I3404)),"-")</f>
        <v>-</v>
      </c>
      <c r="W3405" s="27" t="str">
        <f t="shared" si="1852"/>
        <v>-</v>
      </c>
      <c r="X3405" s="27" t="str">
        <f>IFERROR(W3405*J3404,"-")</f>
        <v>-</v>
      </c>
      <c r="Z3405" s="94" t="s">
        <v>82</v>
      </c>
    </row>
    <row r="3406" spans="1:26" s="25" customFormat="1" ht="6.95" customHeight="1" x14ac:dyDescent="0.3">
      <c r="A3406" s="10"/>
      <c r="B3406" s="168"/>
      <c r="C3406" s="169"/>
      <c r="D3406" s="160"/>
      <c r="E3406" s="161"/>
      <c r="F3406" s="162"/>
      <c r="G3406" s="163"/>
      <c r="H3406" s="164"/>
      <c r="I3406" s="163"/>
      <c r="J3406" s="164"/>
      <c r="K3406" s="163"/>
      <c r="L3406" s="164"/>
      <c r="M3406" s="11"/>
      <c r="N3406" s="39"/>
      <c r="Q3406" s="15" t="str">
        <f>+CONCATENATE(E3404,K3404)</f>
        <v/>
      </c>
      <c r="R3406" s="15">
        <f>+L3404</f>
        <v>0</v>
      </c>
      <c r="S3406" s="16"/>
      <c r="T3406" s="15">
        <f>+E3404</f>
        <v>0</v>
      </c>
      <c r="U3406" s="26" t="str">
        <f>IFERROR(LEFT(K3404,FIND("*",K3404)-1),"-")</f>
        <v>-</v>
      </c>
      <c r="V3406" s="26" t="str">
        <f>IFERROR(RIGHT(K3404,LEN(K3404)-FIND("*",K3404)),"-")</f>
        <v>-</v>
      </c>
      <c r="W3406" s="27" t="str">
        <f t="shared" si="1852"/>
        <v>-</v>
      </c>
      <c r="X3406" s="27" t="str">
        <f>IFERROR(W3406*L3404,"-")</f>
        <v>-</v>
      </c>
      <c r="Z3406" s="94" t="s">
        <v>82</v>
      </c>
    </row>
    <row r="3407" spans="1:26" s="25" customFormat="1" ht="6.95" customHeight="1" x14ac:dyDescent="0.3">
      <c r="A3407" s="13"/>
      <c r="B3407" s="168"/>
      <c r="C3407" s="169"/>
      <c r="D3407" s="160" t="s">
        <v>39</v>
      </c>
      <c r="E3407" s="161"/>
      <c r="F3407" s="162" t="s">
        <v>40</v>
      </c>
      <c r="G3407" s="163"/>
      <c r="H3407" s="164"/>
      <c r="I3407" s="163"/>
      <c r="J3407" s="164"/>
      <c r="K3407" s="163"/>
      <c r="L3407" s="164"/>
      <c r="M3407" s="11"/>
      <c r="N3407" s="39"/>
      <c r="Q3407" s="15" t="str">
        <f>+CONCATENATE(E3407,G3407)</f>
        <v/>
      </c>
      <c r="R3407" s="15">
        <f>+H3407</f>
        <v>0</v>
      </c>
      <c r="S3407" s="16"/>
      <c r="T3407" s="15">
        <f>+E3407</f>
        <v>0</v>
      </c>
      <c r="U3407" s="26" t="str">
        <f t="shared" ref="U3407" si="1855">IFERROR(LEFT(G3407,FIND("*",G3407)-1),"-")</f>
        <v>-</v>
      </c>
      <c r="V3407" s="26" t="str">
        <f t="shared" ref="V3407" si="1856">IFERROR(RIGHT(G3407,LEN(G3407)-FIND("*",G3407)),"-")</f>
        <v>-</v>
      </c>
      <c r="W3407" s="27" t="str">
        <f t="shared" si="1852"/>
        <v>-</v>
      </c>
      <c r="X3407" s="27" t="str">
        <f>IFERROR(W3407*H3407,"-")</f>
        <v>-</v>
      </c>
      <c r="Z3407" s="94" t="s">
        <v>82</v>
      </c>
    </row>
    <row r="3408" spans="1:26" s="25" customFormat="1" ht="6.95" customHeight="1" x14ac:dyDescent="0.3">
      <c r="A3408" s="10"/>
      <c r="B3408" s="168"/>
      <c r="C3408" s="169"/>
      <c r="D3408" s="160"/>
      <c r="E3408" s="161"/>
      <c r="F3408" s="162"/>
      <c r="G3408" s="163"/>
      <c r="H3408" s="164"/>
      <c r="I3408" s="163"/>
      <c r="J3408" s="164"/>
      <c r="K3408" s="163"/>
      <c r="L3408" s="164"/>
      <c r="M3408" s="11"/>
      <c r="N3408" s="39"/>
      <c r="Q3408" s="15" t="str">
        <f>+CONCATENATE(E3407,I3407)</f>
        <v/>
      </c>
      <c r="R3408" s="15">
        <f>+J3407</f>
        <v>0</v>
      </c>
      <c r="S3408" s="16"/>
      <c r="T3408" s="15">
        <f>+E3407</f>
        <v>0</v>
      </c>
      <c r="U3408" s="26" t="str">
        <f>IFERROR(LEFT(I3407,FIND("*",I3407)-1),"-")</f>
        <v>-</v>
      </c>
      <c r="V3408" s="26" t="str">
        <f>IFERROR(RIGHT(I3407,LEN(I3407)-FIND("*",I3407)),"-")</f>
        <v>-</v>
      </c>
      <c r="W3408" s="27" t="str">
        <f t="shared" si="1852"/>
        <v>-</v>
      </c>
      <c r="X3408" s="27" t="str">
        <f t="shared" ref="X3408" si="1857">IFERROR(W3408*J3407,"-")</f>
        <v>-</v>
      </c>
      <c r="Z3408" s="94" t="s">
        <v>82</v>
      </c>
    </row>
    <row r="3409" spans="1:26" s="25" customFormat="1" ht="6.95" customHeight="1" x14ac:dyDescent="0.3">
      <c r="A3409" s="10"/>
      <c r="B3409" s="168"/>
      <c r="C3409" s="169"/>
      <c r="D3409" s="160"/>
      <c r="E3409" s="161"/>
      <c r="F3409" s="162"/>
      <c r="G3409" s="163"/>
      <c r="H3409" s="164"/>
      <c r="I3409" s="163"/>
      <c r="J3409" s="164"/>
      <c r="K3409" s="163"/>
      <c r="L3409" s="164"/>
      <c r="M3409" s="11"/>
      <c r="N3409" s="39"/>
      <c r="Q3409" s="15" t="str">
        <f>+CONCATENATE(E3407,K3407)</f>
        <v/>
      </c>
      <c r="R3409" s="15">
        <f>+L3407</f>
        <v>0</v>
      </c>
      <c r="S3409" s="16"/>
      <c r="T3409" s="15">
        <f>+E3407</f>
        <v>0</v>
      </c>
      <c r="U3409" s="26" t="str">
        <f>IFERROR(LEFT(K3407,FIND("*",K3407)-1),"-")</f>
        <v>-</v>
      </c>
      <c r="V3409" s="26" t="str">
        <f>IFERROR(RIGHT(K3407,LEN(K3407)-FIND("*",K3407)),"-")</f>
        <v>-</v>
      </c>
      <c r="W3409" s="27" t="str">
        <f t="shared" si="1852"/>
        <v>-</v>
      </c>
      <c r="X3409" s="27" t="str">
        <f>IFERROR(W3409*L3407,"-")</f>
        <v>-</v>
      </c>
      <c r="Z3409" s="94" t="s">
        <v>82</v>
      </c>
    </row>
    <row r="3410" spans="1:26" s="25" customFormat="1" ht="21" customHeight="1" thickBot="1" x14ac:dyDescent="0.35">
      <c r="A3410" s="10"/>
      <c r="B3410" s="170"/>
      <c r="C3410" s="171"/>
      <c r="D3410" s="172" t="s">
        <v>43</v>
      </c>
      <c r="E3410" s="173"/>
      <c r="F3410" s="173"/>
      <c r="G3410" s="174"/>
      <c r="H3410" s="174"/>
      <c r="I3410" s="174"/>
      <c r="J3410" s="174"/>
      <c r="K3410" s="174"/>
      <c r="L3410" s="174"/>
      <c r="M3410" s="12"/>
      <c r="N3410" s="39"/>
      <c r="U3410" s="23"/>
      <c r="V3410" s="23"/>
      <c r="Z3410" s="95" t="s">
        <v>81</v>
      </c>
    </row>
    <row r="3411" spans="1:26" s="25" customFormat="1" ht="9.9499999999999993" customHeight="1" thickBot="1" x14ac:dyDescent="0.35">
      <c r="A3411" s="6"/>
      <c r="B3411" s="14"/>
      <c r="C3411" s="119"/>
      <c r="D3411" s="58"/>
      <c r="E3411" s="17"/>
      <c r="F3411" s="58"/>
      <c r="G3411" s="19"/>
      <c r="H3411" s="19"/>
      <c r="I3411" s="19"/>
      <c r="J3411" s="19"/>
      <c r="K3411" s="19"/>
      <c r="L3411" s="19"/>
      <c r="M3411" s="14"/>
      <c r="N3411" s="39"/>
      <c r="Q3411" s="1"/>
      <c r="R3411" s="1"/>
      <c r="S3411" s="1"/>
      <c r="T3411" s="1"/>
      <c r="U3411" s="24"/>
      <c r="V3411" s="24"/>
      <c r="W3411" s="1"/>
      <c r="X3411" s="1"/>
      <c r="Z3411" s="94" t="s">
        <v>82</v>
      </c>
    </row>
    <row r="3412" spans="1:26" s="25" customFormat="1" ht="6.95" customHeight="1" x14ac:dyDescent="0.3">
      <c r="A3412" s="165">
        <f>+A3401+1</f>
        <v>311</v>
      </c>
      <c r="B3412" s="166"/>
      <c r="C3412" s="167"/>
      <c r="D3412" s="160" t="s">
        <v>39</v>
      </c>
      <c r="E3412" s="161"/>
      <c r="F3412" s="162" t="s">
        <v>40</v>
      </c>
      <c r="G3412" s="163"/>
      <c r="H3412" s="164"/>
      <c r="I3412" s="163"/>
      <c r="J3412" s="164"/>
      <c r="K3412" s="163"/>
      <c r="L3412" s="164"/>
      <c r="M3412" s="11"/>
      <c r="N3412" s="39"/>
      <c r="Q3412" s="15" t="str">
        <f>+CONCATENATE(E3412,G3412)</f>
        <v/>
      </c>
      <c r="R3412" s="15">
        <f>+H3412</f>
        <v>0</v>
      </c>
      <c r="S3412" s="16"/>
      <c r="T3412" s="15">
        <f>+E3412</f>
        <v>0</v>
      </c>
      <c r="U3412" s="26" t="str">
        <f>IFERROR(LEFT(G3412,FIND("*",G3412)-1),"-")</f>
        <v>-</v>
      </c>
      <c r="V3412" s="26" t="str">
        <f>IFERROR(RIGHT(G3412,LEN(G3412)-FIND("*",G3412)),"-")</f>
        <v>-</v>
      </c>
      <c r="W3412" s="27" t="str">
        <f>IFERROR((U3412+V3412)*2/1000,"-")</f>
        <v>-</v>
      </c>
      <c r="X3412" s="27" t="str">
        <f>IFERROR(W3412*H3412,"-")</f>
        <v>-</v>
      </c>
      <c r="Z3412" s="94" t="s">
        <v>82</v>
      </c>
    </row>
    <row r="3413" spans="1:26" s="25" customFormat="1" ht="6.95" customHeight="1" x14ac:dyDescent="0.3">
      <c r="A3413" s="165"/>
      <c r="B3413" s="168"/>
      <c r="C3413" s="169"/>
      <c r="D3413" s="160"/>
      <c r="E3413" s="161"/>
      <c r="F3413" s="162"/>
      <c r="G3413" s="163"/>
      <c r="H3413" s="164"/>
      <c r="I3413" s="163"/>
      <c r="J3413" s="164"/>
      <c r="K3413" s="163"/>
      <c r="L3413" s="164"/>
      <c r="M3413" s="11"/>
      <c r="N3413" s="39"/>
      <c r="Q3413" s="15" t="str">
        <f>+CONCATENATE(E3412,I3412)</f>
        <v/>
      </c>
      <c r="R3413" s="15">
        <f>+J3412</f>
        <v>0</v>
      </c>
      <c r="S3413" s="16"/>
      <c r="T3413" s="15">
        <f>+E3412</f>
        <v>0</v>
      </c>
      <c r="U3413" s="26" t="str">
        <f>IFERROR(LEFT(I3412,FIND("*",I3412)-1),"-")</f>
        <v>-</v>
      </c>
      <c r="V3413" s="26" t="str">
        <f>IFERROR(RIGHT(I3412,LEN(I3412)-FIND("*",I3412)),"-")</f>
        <v>-</v>
      </c>
      <c r="W3413" s="27" t="str">
        <f t="shared" ref="W3413:W3420" si="1858">IFERROR((U3413+V3413)*2/1000,"-")</f>
        <v>-</v>
      </c>
      <c r="X3413" s="27" t="str">
        <f>IFERROR(W3413*J3412,"-")</f>
        <v>-</v>
      </c>
      <c r="Z3413" s="94" t="s">
        <v>82</v>
      </c>
    </row>
    <row r="3414" spans="1:26" s="25" customFormat="1" ht="6.95" customHeight="1" x14ac:dyDescent="0.3">
      <c r="A3414" s="165"/>
      <c r="B3414" s="168"/>
      <c r="C3414" s="169"/>
      <c r="D3414" s="160"/>
      <c r="E3414" s="161"/>
      <c r="F3414" s="162"/>
      <c r="G3414" s="163"/>
      <c r="H3414" s="164"/>
      <c r="I3414" s="163"/>
      <c r="J3414" s="164"/>
      <c r="K3414" s="163"/>
      <c r="L3414" s="164"/>
      <c r="M3414" s="11"/>
      <c r="N3414" s="39"/>
      <c r="Q3414" s="15" t="str">
        <f>+CONCATENATE(E3412,K3412)</f>
        <v/>
      </c>
      <c r="R3414" s="15">
        <f>+L3412</f>
        <v>0</v>
      </c>
      <c r="S3414" s="16"/>
      <c r="T3414" s="15">
        <f>+E3412</f>
        <v>0</v>
      </c>
      <c r="U3414" s="26" t="str">
        <f>IFERROR(LEFT(K3412,FIND("*",K3412)-1),"-")</f>
        <v>-</v>
      </c>
      <c r="V3414" s="26" t="str">
        <f>IFERROR(RIGHT(K3412,LEN(K3412)-FIND("*",K3412)),"-")</f>
        <v>-</v>
      </c>
      <c r="W3414" s="27" t="str">
        <f t="shared" si="1858"/>
        <v>-</v>
      </c>
      <c r="X3414" s="27" t="str">
        <f>IFERROR(W3414*L3412,"-")</f>
        <v>-</v>
      </c>
      <c r="Z3414" s="94" t="s">
        <v>82</v>
      </c>
    </row>
    <row r="3415" spans="1:26" s="25" customFormat="1" ht="6.95" customHeight="1" x14ac:dyDescent="0.3">
      <c r="A3415" s="13"/>
      <c r="B3415" s="168"/>
      <c r="C3415" s="169"/>
      <c r="D3415" s="160" t="s">
        <v>39</v>
      </c>
      <c r="E3415" s="161"/>
      <c r="F3415" s="162" t="s">
        <v>40</v>
      </c>
      <c r="G3415" s="163"/>
      <c r="H3415" s="164"/>
      <c r="I3415" s="163"/>
      <c r="J3415" s="164"/>
      <c r="K3415" s="163"/>
      <c r="L3415" s="164"/>
      <c r="M3415" s="11"/>
      <c r="N3415" s="39"/>
      <c r="Q3415" s="15" t="str">
        <f>+CONCATENATE(E3415,G3415)</f>
        <v/>
      </c>
      <c r="R3415" s="15">
        <f>+H3415</f>
        <v>0</v>
      </c>
      <c r="S3415" s="16"/>
      <c r="T3415" s="15">
        <f>+E3415</f>
        <v>0</v>
      </c>
      <c r="U3415" s="26" t="str">
        <f t="shared" ref="U3415" si="1859">IFERROR(LEFT(G3415,FIND("*",G3415)-1),"-")</f>
        <v>-</v>
      </c>
      <c r="V3415" s="26" t="str">
        <f t="shared" ref="V3415" si="1860">IFERROR(RIGHT(G3415,LEN(G3415)-FIND("*",G3415)),"-")</f>
        <v>-</v>
      </c>
      <c r="W3415" s="27" t="str">
        <f t="shared" si="1858"/>
        <v>-</v>
      </c>
      <c r="X3415" s="27" t="str">
        <f>IFERROR(W3415*H3415,"-")</f>
        <v>-</v>
      </c>
      <c r="Z3415" s="94" t="s">
        <v>82</v>
      </c>
    </row>
    <row r="3416" spans="1:26" s="25" customFormat="1" ht="6.95" customHeight="1" x14ac:dyDescent="0.3">
      <c r="A3416" s="10"/>
      <c r="B3416" s="168"/>
      <c r="C3416" s="169"/>
      <c r="D3416" s="160"/>
      <c r="E3416" s="161"/>
      <c r="F3416" s="162"/>
      <c r="G3416" s="163"/>
      <c r="H3416" s="164"/>
      <c r="I3416" s="163"/>
      <c r="J3416" s="164"/>
      <c r="K3416" s="163"/>
      <c r="L3416" s="164"/>
      <c r="M3416" s="11"/>
      <c r="N3416" s="39"/>
      <c r="Q3416" s="15" t="str">
        <f>+CONCATENATE(E3415,I3415)</f>
        <v/>
      </c>
      <c r="R3416" s="15">
        <f>+J3415</f>
        <v>0</v>
      </c>
      <c r="S3416" s="16"/>
      <c r="T3416" s="15">
        <f>+E3415</f>
        <v>0</v>
      </c>
      <c r="U3416" s="26" t="str">
        <f>IFERROR(LEFT(I3415,FIND("*",I3415)-1),"-")</f>
        <v>-</v>
      </c>
      <c r="V3416" s="26" t="str">
        <f>IFERROR(RIGHT(I3415,LEN(I3415)-FIND("*",I3415)),"-")</f>
        <v>-</v>
      </c>
      <c r="W3416" s="27" t="str">
        <f t="shared" si="1858"/>
        <v>-</v>
      </c>
      <c r="X3416" s="27" t="str">
        <f>IFERROR(W3416*J3415,"-")</f>
        <v>-</v>
      </c>
      <c r="Z3416" s="94" t="s">
        <v>82</v>
      </c>
    </row>
    <row r="3417" spans="1:26" s="25" customFormat="1" ht="6.95" customHeight="1" x14ac:dyDescent="0.3">
      <c r="A3417" s="10"/>
      <c r="B3417" s="168"/>
      <c r="C3417" s="169"/>
      <c r="D3417" s="160"/>
      <c r="E3417" s="161"/>
      <c r="F3417" s="162"/>
      <c r="G3417" s="163"/>
      <c r="H3417" s="164"/>
      <c r="I3417" s="163"/>
      <c r="J3417" s="164"/>
      <c r="K3417" s="163"/>
      <c r="L3417" s="164"/>
      <c r="M3417" s="11"/>
      <c r="N3417" s="39"/>
      <c r="Q3417" s="15" t="str">
        <f>+CONCATENATE(E3415,K3415)</f>
        <v/>
      </c>
      <c r="R3417" s="15">
        <f>+L3415</f>
        <v>0</v>
      </c>
      <c r="S3417" s="16"/>
      <c r="T3417" s="15">
        <f>+E3415</f>
        <v>0</v>
      </c>
      <c r="U3417" s="26" t="str">
        <f>IFERROR(LEFT(K3415,FIND("*",K3415)-1),"-")</f>
        <v>-</v>
      </c>
      <c r="V3417" s="26" t="str">
        <f>IFERROR(RIGHT(K3415,LEN(K3415)-FIND("*",K3415)),"-")</f>
        <v>-</v>
      </c>
      <c r="W3417" s="27" t="str">
        <f t="shared" si="1858"/>
        <v>-</v>
      </c>
      <c r="X3417" s="27" t="str">
        <f>IFERROR(W3417*L3415,"-")</f>
        <v>-</v>
      </c>
      <c r="Z3417" s="94" t="s">
        <v>82</v>
      </c>
    </row>
    <row r="3418" spans="1:26" s="25" customFormat="1" ht="6.95" customHeight="1" x14ac:dyDescent="0.3">
      <c r="A3418" s="13"/>
      <c r="B3418" s="168"/>
      <c r="C3418" s="169"/>
      <c r="D3418" s="160" t="s">
        <v>39</v>
      </c>
      <c r="E3418" s="161"/>
      <c r="F3418" s="162" t="s">
        <v>40</v>
      </c>
      <c r="G3418" s="163"/>
      <c r="H3418" s="164"/>
      <c r="I3418" s="163"/>
      <c r="J3418" s="164"/>
      <c r="K3418" s="163"/>
      <c r="L3418" s="164"/>
      <c r="M3418" s="11"/>
      <c r="N3418" s="39"/>
      <c r="Q3418" s="15" t="str">
        <f>+CONCATENATE(E3418,G3418)</f>
        <v/>
      </c>
      <c r="R3418" s="15">
        <f>+H3418</f>
        <v>0</v>
      </c>
      <c r="S3418" s="16"/>
      <c r="T3418" s="15">
        <f>+E3418</f>
        <v>0</v>
      </c>
      <c r="U3418" s="26" t="str">
        <f t="shared" ref="U3418" si="1861">IFERROR(LEFT(G3418,FIND("*",G3418)-1),"-")</f>
        <v>-</v>
      </c>
      <c r="V3418" s="26" t="str">
        <f t="shared" ref="V3418" si="1862">IFERROR(RIGHT(G3418,LEN(G3418)-FIND("*",G3418)),"-")</f>
        <v>-</v>
      </c>
      <c r="W3418" s="27" t="str">
        <f t="shared" si="1858"/>
        <v>-</v>
      </c>
      <c r="X3418" s="27" t="str">
        <f>IFERROR(W3418*H3418,"-")</f>
        <v>-</v>
      </c>
      <c r="Z3418" s="94" t="s">
        <v>82</v>
      </c>
    </row>
    <row r="3419" spans="1:26" s="25" customFormat="1" ht="6.95" customHeight="1" x14ac:dyDescent="0.3">
      <c r="A3419" s="10"/>
      <c r="B3419" s="168"/>
      <c r="C3419" s="169"/>
      <c r="D3419" s="160"/>
      <c r="E3419" s="161"/>
      <c r="F3419" s="162"/>
      <c r="G3419" s="163"/>
      <c r="H3419" s="164"/>
      <c r="I3419" s="163"/>
      <c r="J3419" s="164"/>
      <c r="K3419" s="163"/>
      <c r="L3419" s="164"/>
      <c r="M3419" s="11"/>
      <c r="N3419" s="39"/>
      <c r="Q3419" s="15" t="str">
        <f>+CONCATENATE(E3418,I3418)</f>
        <v/>
      </c>
      <c r="R3419" s="15">
        <f>+J3418</f>
        <v>0</v>
      </c>
      <c r="S3419" s="16"/>
      <c r="T3419" s="15">
        <f>+E3418</f>
        <v>0</v>
      </c>
      <c r="U3419" s="26" t="str">
        <f>IFERROR(LEFT(I3418,FIND("*",I3418)-1),"-")</f>
        <v>-</v>
      </c>
      <c r="V3419" s="26" t="str">
        <f>IFERROR(RIGHT(I3418,LEN(I3418)-FIND("*",I3418)),"-")</f>
        <v>-</v>
      </c>
      <c r="W3419" s="27" t="str">
        <f t="shared" si="1858"/>
        <v>-</v>
      </c>
      <c r="X3419" s="27" t="str">
        <f t="shared" ref="X3419" si="1863">IFERROR(W3419*J3418,"-")</f>
        <v>-</v>
      </c>
      <c r="Z3419" s="94" t="s">
        <v>82</v>
      </c>
    </row>
    <row r="3420" spans="1:26" s="25" customFormat="1" ht="6.95" customHeight="1" x14ac:dyDescent="0.3">
      <c r="A3420" s="10"/>
      <c r="B3420" s="168"/>
      <c r="C3420" s="169"/>
      <c r="D3420" s="160"/>
      <c r="E3420" s="161"/>
      <c r="F3420" s="162"/>
      <c r="G3420" s="163"/>
      <c r="H3420" s="164"/>
      <c r="I3420" s="163"/>
      <c r="J3420" s="164"/>
      <c r="K3420" s="163"/>
      <c r="L3420" s="164"/>
      <c r="M3420" s="11"/>
      <c r="N3420" s="39"/>
      <c r="Q3420" s="15" t="str">
        <f>+CONCATENATE(E3418,K3418)</f>
        <v/>
      </c>
      <c r="R3420" s="15">
        <f>+L3418</f>
        <v>0</v>
      </c>
      <c r="S3420" s="16"/>
      <c r="T3420" s="15">
        <f>+E3418</f>
        <v>0</v>
      </c>
      <c r="U3420" s="26" t="str">
        <f>IFERROR(LEFT(K3418,FIND("*",K3418)-1),"-")</f>
        <v>-</v>
      </c>
      <c r="V3420" s="26" t="str">
        <f>IFERROR(RIGHT(K3418,LEN(K3418)-FIND("*",K3418)),"-")</f>
        <v>-</v>
      </c>
      <c r="W3420" s="27" t="str">
        <f t="shared" si="1858"/>
        <v>-</v>
      </c>
      <c r="X3420" s="27" t="str">
        <f>IFERROR(W3420*L3418,"-")</f>
        <v>-</v>
      </c>
      <c r="Z3420" s="94" t="s">
        <v>82</v>
      </c>
    </row>
    <row r="3421" spans="1:26" s="25" customFormat="1" ht="21" customHeight="1" thickBot="1" x14ac:dyDescent="0.35">
      <c r="A3421" s="10"/>
      <c r="B3421" s="170"/>
      <c r="C3421" s="171"/>
      <c r="D3421" s="172" t="s">
        <v>43</v>
      </c>
      <c r="E3421" s="173"/>
      <c r="F3421" s="173"/>
      <c r="G3421" s="174"/>
      <c r="H3421" s="174"/>
      <c r="I3421" s="174"/>
      <c r="J3421" s="174"/>
      <c r="K3421" s="174"/>
      <c r="L3421" s="174"/>
      <c r="M3421" s="12"/>
      <c r="N3421" s="39"/>
      <c r="U3421" s="23"/>
      <c r="V3421" s="23"/>
      <c r="Z3421" s="95" t="s">
        <v>81</v>
      </c>
    </row>
    <row r="3422" spans="1:26" s="25" customFormat="1" ht="9.9499999999999993" customHeight="1" thickBot="1" x14ac:dyDescent="0.35">
      <c r="A3422" s="6"/>
      <c r="B3422" s="14"/>
      <c r="C3422" s="119"/>
      <c r="D3422" s="58"/>
      <c r="E3422" s="17"/>
      <c r="F3422" s="58"/>
      <c r="G3422" s="19"/>
      <c r="H3422" s="19"/>
      <c r="I3422" s="19"/>
      <c r="J3422" s="19"/>
      <c r="K3422" s="19"/>
      <c r="L3422" s="19"/>
      <c r="M3422" s="14"/>
      <c r="N3422" s="39"/>
      <c r="Q3422" s="1"/>
      <c r="R3422" s="1"/>
      <c r="S3422" s="1"/>
      <c r="T3422" s="1"/>
      <c r="U3422" s="24"/>
      <c r="V3422" s="24"/>
      <c r="W3422" s="1"/>
      <c r="X3422" s="1"/>
      <c r="Z3422" s="94" t="s">
        <v>82</v>
      </c>
    </row>
    <row r="3423" spans="1:26" s="25" customFormat="1" ht="6.95" customHeight="1" x14ac:dyDescent="0.3">
      <c r="A3423" s="165">
        <f>+A3412+1</f>
        <v>312</v>
      </c>
      <c r="B3423" s="166"/>
      <c r="C3423" s="167"/>
      <c r="D3423" s="160" t="s">
        <v>39</v>
      </c>
      <c r="E3423" s="161"/>
      <c r="F3423" s="162" t="s">
        <v>40</v>
      </c>
      <c r="G3423" s="163"/>
      <c r="H3423" s="164"/>
      <c r="I3423" s="163"/>
      <c r="J3423" s="164"/>
      <c r="K3423" s="163"/>
      <c r="L3423" s="164"/>
      <c r="M3423" s="11"/>
      <c r="N3423" s="39"/>
      <c r="Q3423" s="15" t="str">
        <f>+CONCATENATE(E3423,G3423)</f>
        <v/>
      </c>
      <c r="R3423" s="15">
        <f>+H3423</f>
        <v>0</v>
      </c>
      <c r="S3423" s="16"/>
      <c r="T3423" s="15">
        <f>+E3423</f>
        <v>0</v>
      </c>
      <c r="U3423" s="26" t="str">
        <f>IFERROR(LEFT(G3423,FIND("*",G3423)-1),"-")</f>
        <v>-</v>
      </c>
      <c r="V3423" s="26" t="str">
        <f>IFERROR(RIGHT(G3423,LEN(G3423)-FIND("*",G3423)),"-")</f>
        <v>-</v>
      </c>
      <c r="W3423" s="27" t="str">
        <f>IFERROR((U3423+V3423)*2/1000,"-")</f>
        <v>-</v>
      </c>
      <c r="X3423" s="27" t="str">
        <f>IFERROR(W3423*H3423,"-")</f>
        <v>-</v>
      </c>
      <c r="Z3423" s="94" t="s">
        <v>82</v>
      </c>
    </row>
    <row r="3424" spans="1:26" s="25" customFormat="1" ht="6.95" customHeight="1" x14ac:dyDescent="0.3">
      <c r="A3424" s="165"/>
      <c r="B3424" s="168"/>
      <c r="C3424" s="169"/>
      <c r="D3424" s="160"/>
      <c r="E3424" s="161"/>
      <c r="F3424" s="162"/>
      <c r="G3424" s="163"/>
      <c r="H3424" s="164"/>
      <c r="I3424" s="163"/>
      <c r="J3424" s="164"/>
      <c r="K3424" s="163"/>
      <c r="L3424" s="164"/>
      <c r="M3424" s="11"/>
      <c r="N3424" s="39"/>
      <c r="Q3424" s="15" t="str">
        <f>+CONCATENATE(E3423,I3423)</f>
        <v/>
      </c>
      <c r="R3424" s="15">
        <f>+J3423</f>
        <v>0</v>
      </c>
      <c r="S3424" s="16"/>
      <c r="T3424" s="15">
        <f>+E3423</f>
        <v>0</v>
      </c>
      <c r="U3424" s="26" t="str">
        <f>IFERROR(LEFT(I3423,FIND("*",I3423)-1),"-")</f>
        <v>-</v>
      </c>
      <c r="V3424" s="26" t="str">
        <f>IFERROR(RIGHT(I3423,LEN(I3423)-FIND("*",I3423)),"-")</f>
        <v>-</v>
      </c>
      <c r="W3424" s="27" t="str">
        <f t="shared" ref="W3424:W3431" si="1864">IFERROR((U3424+V3424)*2/1000,"-")</f>
        <v>-</v>
      </c>
      <c r="X3424" s="27" t="str">
        <f>IFERROR(W3424*J3423,"-")</f>
        <v>-</v>
      </c>
      <c r="Z3424" s="94" t="s">
        <v>82</v>
      </c>
    </row>
    <row r="3425" spans="1:26" s="25" customFormat="1" ht="6.95" customHeight="1" x14ac:dyDescent="0.3">
      <c r="A3425" s="165"/>
      <c r="B3425" s="168"/>
      <c r="C3425" s="169"/>
      <c r="D3425" s="160"/>
      <c r="E3425" s="161"/>
      <c r="F3425" s="162"/>
      <c r="G3425" s="163"/>
      <c r="H3425" s="164"/>
      <c r="I3425" s="163"/>
      <c r="J3425" s="164"/>
      <c r="K3425" s="163"/>
      <c r="L3425" s="164"/>
      <c r="M3425" s="11"/>
      <c r="N3425" s="39"/>
      <c r="Q3425" s="15" t="str">
        <f>+CONCATENATE(E3423,K3423)</f>
        <v/>
      </c>
      <c r="R3425" s="15">
        <f>+L3423</f>
        <v>0</v>
      </c>
      <c r="S3425" s="16"/>
      <c r="T3425" s="15">
        <f>+E3423</f>
        <v>0</v>
      </c>
      <c r="U3425" s="26" t="str">
        <f>IFERROR(LEFT(K3423,FIND("*",K3423)-1),"-")</f>
        <v>-</v>
      </c>
      <c r="V3425" s="26" t="str">
        <f>IFERROR(RIGHT(K3423,LEN(K3423)-FIND("*",K3423)),"-")</f>
        <v>-</v>
      </c>
      <c r="W3425" s="27" t="str">
        <f t="shared" si="1864"/>
        <v>-</v>
      </c>
      <c r="X3425" s="27" t="str">
        <f>IFERROR(W3425*L3423,"-")</f>
        <v>-</v>
      </c>
      <c r="Z3425" s="94" t="s">
        <v>82</v>
      </c>
    </row>
    <row r="3426" spans="1:26" s="25" customFormat="1" ht="6.95" customHeight="1" x14ac:dyDescent="0.3">
      <c r="A3426" s="13"/>
      <c r="B3426" s="168"/>
      <c r="C3426" s="169"/>
      <c r="D3426" s="160" t="s">
        <v>39</v>
      </c>
      <c r="E3426" s="161"/>
      <c r="F3426" s="162" t="s">
        <v>40</v>
      </c>
      <c r="G3426" s="163"/>
      <c r="H3426" s="164"/>
      <c r="I3426" s="163"/>
      <c r="J3426" s="164"/>
      <c r="K3426" s="163"/>
      <c r="L3426" s="164"/>
      <c r="M3426" s="11"/>
      <c r="N3426" s="39"/>
      <c r="Q3426" s="15" t="str">
        <f>+CONCATENATE(E3426,G3426)</f>
        <v/>
      </c>
      <c r="R3426" s="15">
        <f>+H3426</f>
        <v>0</v>
      </c>
      <c r="S3426" s="16"/>
      <c r="T3426" s="15">
        <f>+E3426</f>
        <v>0</v>
      </c>
      <c r="U3426" s="26" t="str">
        <f t="shared" ref="U3426" si="1865">IFERROR(LEFT(G3426,FIND("*",G3426)-1),"-")</f>
        <v>-</v>
      </c>
      <c r="V3426" s="26" t="str">
        <f t="shared" ref="V3426" si="1866">IFERROR(RIGHT(G3426,LEN(G3426)-FIND("*",G3426)),"-")</f>
        <v>-</v>
      </c>
      <c r="W3426" s="27" t="str">
        <f t="shared" si="1864"/>
        <v>-</v>
      </c>
      <c r="X3426" s="27" t="str">
        <f>IFERROR(W3426*H3426,"-")</f>
        <v>-</v>
      </c>
      <c r="Z3426" s="94" t="s">
        <v>82</v>
      </c>
    </row>
    <row r="3427" spans="1:26" s="25" customFormat="1" ht="6.95" customHeight="1" x14ac:dyDescent="0.3">
      <c r="A3427" s="10"/>
      <c r="B3427" s="168"/>
      <c r="C3427" s="169"/>
      <c r="D3427" s="160"/>
      <c r="E3427" s="161"/>
      <c r="F3427" s="162"/>
      <c r="G3427" s="163"/>
      <c r="H3427" s="164"/>
      <c r="I3427" s="163"/>
      <c r="J3427" s="164"/>
      <c r="K3427" s="163"/>
      <c r="L3427" s="164"/>
      <c r="M3427" s="11"/>
      <c r="N3427" s="39"/>
      <c r="Q3427" s="15" t="str">
        <f>+CONCATENATE(E3426,I3426)</f>
        <v/>
      </c>
      <c r="R3427" s="15">
        <f>+J3426</f>
        <v>0</v>
      </c>
      <c r="S3427" s="16"/>
      <c r="T3427" s="15">
        <f>+E3426</f>
        <v>0</v>
      </c>
      <c r="U3427" s="26" t="str">
        <f>IFERROR(LEFT(I3426,FIND("*",I3426)-1),"-")</f>
        <v>-</v>
      </c>
      <c r="V3427" s="26" t="str">
        <f>IFERROR(RIGHT(I3426,LEN(I3426)-FIND("*",I3426)),"-")</f>
        <v>-</v>
      </c>
      <c r="W3427" s="27" t="str">
        <f t="shared" si="1864"/>
        <v>-</v>
      </c>
      <c r="X3427" s="27" t="str">
        <f>IFERROR(W3427*J3426,"-")</f>
        <v>-</v>
      </c>
      <c r="Z3427" s="94" t="s">
        <v>82</v>
      </c>
    </row>
    <row r="3428" spans="1:26" s="25" customFormat="1" ht="6.95" customHeight="1" x14ac:dyDescent="0.3">
      <c r="A3428" s="10"/>
      <c r="B3428" s="168"/>
      <c r="C3428" s="169"/>
      <c r="D3428" s="160"/>
      <c r="E3428" s="161"/>
      <c r="F3428" s="162"/>
      <c r="G3428" s="163"/>
      <c r="H3428" s="164"/>
      <c r="I3428" s="163"/>
      <c r="J3428" s="164"/>
      <c r="K3428" s="163"/>
      <c r="L3428" s="164"/>
      <c r="M3428" s="11"/>
      <c r="N3428" s="39"/>
      <c r="Q3428" s="15" t="str">
        <f>+CONCATENATE(E3426,K3426)</f>
        <v/>
      </c>
      <c r="R3428" s="15">
        <f>+L3426</f>
        <v>0</v>
      </c>
      <c r="S3428" s="16"/>
      <c r="T3428" s="15">
        <f>+E3426</f>
        <v>0</v>
      </c>
      <c r="U3428" s="26" t="str">
        <f>IFERROR(LEFT(K3426,FIND("*",K3426)-1),"-")</f>
        <v>-</v>
      </c>
      <c r="V3428" s="26" t="str">
        <f>IFERROR(RIGHT(K3426,LEN(K3426)-FIND("*",K3426)),"-")</f>
        <v>-</v>
      </c>
      <c r="W3428" s="27" t="str">
        <f t="shared" si="1864"/>
        <v>-</v>
      </c>
      <c r="X3428" s="27" t="str">
        <f>IFERROR(W3428*L3426,"-")</f>
        <v>-</v>
      </c>
      <c r="Z3428" s="94" t="s">
        <v>82</v>
      </c>
    </row>
    <row r="3429" spans="1:26" s="25" customFormat="1" ht="6.95" customHeight="1" x14ac:dyDescent="0.3">
      <c r="A3429" s="13"/>
      <c r="B3429" s="168"/>
      <c r="C3429" s="169"/>
      <c r="D3429" s="160" t="s">
        <v>39</v>
      </c>
      <c r="E3429" s="161"/>
      <c r="F3429" s="162" t="s">
        <v>40</v>
      </c>
      <c r="G3429" s="163"/>
      <c r="H3429" s="164"/>
      <c r="I3429" s="163"/>
      <c r="J3429" s="164"/>
      <c r="K3429" s="163"/>
      <c r="L3429" s="164"/>
      <c r="M3429" s="11"/>
      <c r="N3429" s="39"/>
      <c r="Q3429" s="15" t="str">
        <f>+CONCATENATE(E3429,G3429)</f>
        <v/>
      </c>
      <c r="R3429" s="15">
        <f>+H3429</f>
        <v>0</v>
      </c>
      <c r="S3429" s="16"/>
      <c r="T3429" s="15">
        <f>+E3429</f>
        <v>0</v>
      </c>
      <c r="U3429" s="26" t="str">
        <f t="shared" ref="U3429" si="1867">IFERROR(LEFT(G3429,FIND("*",G3429)-1),"-")</f>
        <v>-</v>
      </c>
      <c r="V3429" s="26" t="str">
        <f t="shared" ref="V3429" si="1868">IFERROR(RIGHT(G3429,LEN(G3429)-FIND("*",G3429)),"-")</f>
        <v>-</v>
      </c>
      <c r="W3429" s="27" t="str">
        <f t="shared" si="1864"/>
        <v>-</v>
      </c>
      <c r="X3429" s="27" t="str">
        <f>IFERROR(W3429*H3429,"-")</f>
        <v>-</v>
      </c>
      <c r="Z3429" s="94" t="s">
        <v>82</v>
      </c>
    </row>
    <row r="3430" spans="1:26" s="25" customFormat="1" ht="6.95" customHeight="1" x14ac:dyDescent="0.3">
      <c r="A3430" s="10"/>
      <c r="B3430" s="168"/>
      <c r="C3430" s="169"/>
      <c r="D3430" s="160"/>
      <c r="E3430" s="161"/>
      <c r="F3430" s="162"/>
      <c r="G3430" s="163"/>
      <c r="H3430" s="164"/>
      <c r="I3430" s="163"/>
      <c r="J3430" s="164"/>
      <c r="K3430" s="163"/>
      <c r="L3430" s="164"/>
      <c r="M3430" s="11"/>
      <c r="N3430" s="39"/>
      <c r="Q3430" s="15" t="str">
        <f>+CONCATENATE(E3429,I3429)</f>
        <v/>
      </c>
      <c r="R3430" s="15">
        <f>+J3429</f>
        <v>0</v>
      </c>
      <c r="S3430" s="16"/>
      <c r="T3430" s="15">
        <f>+E3429</f>
        <v>0</v>
      </c>
      <c r="U3430" s="26" t="str">
        <f>IFERROR(LEFT(I3429,FIND("*",I3429)-1),"-")</f>
        <v>-</v>
      </c>
      <c r="V3430" s="26" t="str">
        <f>IFERROR(RIGHT(I3429,LEN(I3429)-FIND("*",I3429)),"-")</f>
        <v>-</v>
      </c>
      <c r="W3430" s="27" t="str">
        <f t="shared" si="1864"/>
        <v>-</v>
      </c>
      <c r="X3430" s="27" t="str">
        <f t="shared" ref="X3430" si="1869">IFERROR(W3430*J3429,"-")</f>
        <v>-</v>
      </c>
      <c r="Z3430" s="94" t="s">
        <v>82</v>
      </c>
    </row>
    <row r="3431" spans="1:26" s="25" customFormat="1" ht="6.95" customHeight="1" x14ac:dyDescent="0.3">
      <c r="A3431" s="10"/>
      <c r="B3431" s="168"/>
      <c r="C3431" s="169"/>
      <c r="D3431" s="160"/>
      <c r="E3431" s="161"/>
      <c r="F3431" s="162"/>
      <c r="G3431" s="163"/>
      <c r="H3431" s="164"/>
      <c r="I3431" s="163"/>
      <c r="J3431" s="164"/>
      <c r="K3431" s="163"/>
      <c r="L3431" s="164"/>
      <c r="M3431" s="11"/>
      <c r="N3431" s="39"/>
      <c r="Q3431" s="15" t="str">
        <f>+CONCATENATE(E3429,K3429)</f>
        <v/>
      </c>
      <c r="R3431" s="15">
        <f>+L3429</f>
        <v>0</v>
      </c>
      <c r="S3431" s="16"/>
      <c r="T3431" s="15">
        <f>+E3429</f>
        <v>0</v>
      </c>
      <c r="U3431" s="26" t="str">
        <f>IFERROR(LEFT(K3429,FIND("*",K3429)-1),"-")</f>
        <v>-</v>
      </c>
      <c r="V3431" s="26" t="str">
        <f>IFERROR(RIGHT(K3429,LEN(K3429)-FIND("*",K3429)),"-")</f>
        <v>-</v>
      </c>
      <c r="W3431" s="27" t="str">
        <f t="shared" si="1864"/>
        <v>-</v>
      </c>
      <c r="X3431" s="27" t="str">
        <f>IFERROR(W3431*L3429,"-")</f>
        <v>-</v>
      </c>
      <c r="Z3431" s="94" t="s">
        <v>82</v>
      </c>
    </row>
    <row r="3432" spans="1:26" s="25" customFormat="1" ht="21" customHeight="1" thickBot="1" x14ac:dyDescent="0.35">
      <c r="A3432" s="10"/>
      <c r="B3432" s="170"/>
      <c r="C3432" s="171"/>
      <c r="D3432" s="172" t="s">
        <v>43</v>
      </c>
      <c r="E3432" s="173"/>
      <c r="F3432" s="173"/>
      <c r="G3432" s="174"/>
      <c r="H3432" s="174"/>
      <c r="I3432" s="174"/>
      <c r="J3432" s="174"/>
      <c r="K3432" s="174"/>
      <c r="L3432" s="174"/>
      <c r="M3432" s="12"/>
      <c r="N3432" s="39"/>
      <c r="U3432" s="23"/>
      <c r="V3432" s="23"/>
      <c r="Z3432" s="95" t="s">
        <v>81</v>
      </c>
    </row>
    <row r="3433" spans="1:26" s="25" customFormat="1" ht="9.9499999999999993" customHeight="1" thickBot="1" x14ac:dyDescent="0.35">
      <c r="A3433" s="6"/>
      <c r="B3433" s="14"/>
      <c r="C3433" s="119"/>
      <c r="D3433" s="58"/>
      <c r="E3433" s="17"/>
      <c r="F3433" s="58"/>
      <c r="G3433" s="19"/>
      <c r="H3433" s="19"/>
      <c r="I3433" s="19"/>
      <c r="J3433" s="19"/>
      <c r="K3433" s="19"/>
      <c r="L3433" s="19"/>
      <c r="M3433" s="14"/>
      <c r="N3433" s="39"/>
      <c r="Q3433" s="1"/>
      <c r="R3433" s="1"/>
      <c r="S3433" s="1"/>
      <c r="T3433" s="1"/>
      <c r="U3433" s="24"/>
      <c r="V3433" s="24"/>
      <c r="W3433" s="1"/>
      <c r="X3433" s="1"/>
      <c r="Z3433" s="94" t="s">
        <v>82</v>
      </c>
    </row>
    <row r="3434" spans="1:26" s="25" customFormat="1" ht="6.95" customHeight="1" x14ac:dyDescent="0.3">
      <c r="A3434" s="165">
        <f>+A3423+1</f>
        <v>313</v>
      </c>
      <c r="B3434" s="166"/>
      <c r="C3434" s="167"/>
      <c r="D3434" s="160" t="s">
        <v>39</v>
      </c>
      <c r="E3434" s="161"/>
      <c r="F3434" s="162" t="s">
        <v>40</v>
      </c>
      <c r="G3434" s="163"/>
      <c r="H3434" s="164"/>
      <c r="I3434" s="163"/>
      <c r="J3434" s="164"/>
      <c r="K3434" s="163"/>
      <c r="L3434" s="164"/>
      <c r="M3434" s="11"/>
      <c r="N3434" s="39"/>
      <c r="Q3434" s="15" t="str">
        <f>+CONCATENATE(E3434,G3434)</f>
        <v/>
      </c>
      <c r="R3434" s="15">
        <f>+H3434</f>
        <v>0</v>
      </c>
      <c r="S3434" s="16"/>
      <c r="T3434" s="15">
        <f>+E3434</f>
        <v>0</v>
      </c>
      <c r="U3434" s="26" t="str">
        <f>IFERROR(LEFT(G3434,FIND("*",G3434)-1),"-")</f>
        <v>-</v>
      </c>
      <c r="V3434" s="26" t="str">
        <f>IFERROR(RIGHT(G3434,LEN(G3434)-FIND("*",G3434)),"-")</f>
        <v>-</v>
      </c>
      <c r="W3434" s="27" t="str">
        <f>IFERROR((U3434+V3434)*2/1000,"-")</f>
        <v>-</v>
      </c>
      <c r="X3434" s="27" t="str">
        <f>IFERROR(W3434*H3434,"-")</f>
        <v>-</v>
      </c>
      <c r="Z3434" s="94" t="s">
        <v>82</v>
      </c>
    </row>
    <row r="3435" spans="1:26" s="25" customFormat="1" ht="6.95" customHeight="1" x14ac:dyDescent="0.3">
      <c r="A3435" s="165"/>
      <c r="B3435" s="168"/>
      <c r="C3435" s="169"/>
      <c r="D3435" s="160"/>
      <c r="E3435" s="161"/>
      <c r="F3435" s="162"/>
      <c r="G3435" s="163"/>
      <c r="H3435" s="164"/>
      <c r="I3435" s="163"/>
      <c r="J3435" s="164"/>
      <c r="K3435" s="163"/>
      <c r="L3435" s="164"/>
      <c r="M3435" s="11"/>
      <c r="N3435" s="39"/>
      <c r="Q3435" s="15" t="str">
        <f>+CONCATENATE(E3434,I3434)</f>
        <v/>
      </c>
      <c r="R3435" s="15">
        <f>+J3434</f>
        <v>0</v>
      </c>
      <c r="S3435" s="16"/>
      <c r="T3435" s="15">
        <f>+E3434</f>
        <v>0</v>
      </c>
      <c r="U3435" s="26" t="str">
        <f>IFERROR(LEFT(I3434,FIND("*",I3434)-1),"-")</f>
        <v>-</v>
      </c>
      <c r="V3435" s="26" t="str">
        <f>IFERROR(RIGHT(I3434,LEN(I3434)-FIND("*",I3434)),"-")</f>
        <v>-</v>
      </c>
      <c r="W3435" s="27" t="str">
        <f t="shared" ref="W3435:W3442" si="1870">IFERROR((U3435+V3435)*2/1000,"-")</f>
        <v>-</v>
      </c>
      <c r="X3435" s="27" t="str">
        <f>IFERROR(W3435*J3434,"-")</f>
        <v>-</v>
      </c>
      <c r="Z3435" s="94" t="s">
        <v>82</v>
      </c>
    </row>
    <row r="3436" spans="1:26" s="25" customFormat="1" ht="6.95" customHeight="1" x14ac:dyDescent="0.3">
      <c r="A3436" s="165"/>
      <c r="B3436" s="168"/>
      <c r="C3436" s="169"/>
      <c r="D3436" s="160"/>
      <c r="E3436" s="161"/>
      <c r="F3436" s="162"/>
      <c r="G3436" s="163"/>
      <c r="H3436" s="164"/>
      <c r="I3436" s="163"/>
      <c r="J3436" s="164"/>
      <c r="K3436" s="163"/>
      <c r="L3436" s="164"/>
      <c r="M3436" s="11"/>
      <c r="N3436" s="39"/>
      <c r="Q3436" s="15" t="str">
        <f>+CONCATENATE(E3434,K3434)</f>
        <v/>
      </c>
      <c r="R3436" s="15">
        <f>+L3434</f>
        <v>0</v>
      </c>
      <c r="S3436" s="16"/>
      <c r="T3436" s="15">
        <f>+E3434</f>
        <v>0</v>
      </c>
      <c r="U3436" s="26" t="str">
        <f>IFERROR(LEFT(K3434,FIND("*",K3434)-1),"-")</f>
        <v>-</v>
      </c>
      <c r="V3436" s="26" t="str">
        <f>IFERROR(RIGHT(K3434,LEN(K3434)-FIND("*",K3434)),"-")</f>
        <v>-</v>
      </c>
      <c r="W3436" s="27" t="str">
        <f t="shared" si="1870"/>
        <v>-</v>
      </c>
      <c r="X3436" s="27" t="str">
        <f>IFERROR(W3436*L3434,"-")</f>
        <v>-</v>
      </c>
      <c r="Z3436" s="94" t="s">
        <v>82</v>
      </c>
    </row>
    <row r="3437" spans="1:26" s="25" customFormat="1" ht="6.95" customHeight="1" x14ac:dyDescent="0.3">
      <c r="A3437" s="13"/>
      <c r="B3437" s="168"/>
      <c r="C3437" s="169"/>
      <c r="D3437" s="160" t="s">
        <v>39</v>
      </c>
      <c r="E3437" s="161"/>
      <c r="F3437" s="162" t="s">
        <v>40</v>
      </c>
      <c r="G3437" s="163"/>
      <c r="H3437" s="164"/>
      <c r="I3437" s="163"/>
      <c r="J3437" s="164"/>
      <c r="K3437" s="163"/>
      <c r="L3437" s="164"/>
      <c r="M3437" s="11"/>
      <c r="N3437" s="39"/>
      <c r="Q3437" s="15" t="str">
        <f>+CONCATENATE(E3437,G3437)</f>
        <v/>
      </c>
      <c r="R3437" s="15">
        <f>+H3437</f>
        <v>0</v>
      </c>
      <c r="S3437" s="16"/>
      <c r="T3437" s="15">
        <f>+E3437</f>
        <v>0</v>
      </c>
      <c r="U3437" s="26" t="str">
        <f t="shared" ref="U3437" si="1871">IFERROR(LEFT(G3437,FIND("*",G3437)-1),"-")</f>
        <v>-</v>
      </c>
      <c r="V3437" s="26" t="str">
        <f t="shared" ref="V3437" si="1872">IFERROR(RIGHT(G3437,LEN(G3437)-FIND("*",G3437)),"-")</f>
        <v>-</v>
      </c>
      <c r="W3437" s="27" t="str">
        <f t="shared" si="1870"/>
        <v>-</v>
      </c>
      <c r="X3437" s="27" t="str">
        <f>IFERROR(W3437*H3437,"-")</f>
        <v>-</v>
      </c>
      <c r="Z3437" s="94" t="s">
        <v>82</v>
      </c>
    </row>
    <row r="3438" spans="1:26" s="25" customFormat="1" ht="6.95" customHeight="1" x14ac:dyDescent="0.3">
      <c r="A3438" s="10"/>
      <c r="B3438" s="168"/>
      <c r="C3438" s="169"/>
      <c r="D3438" s="160"/>
      <c r="E3438" s="161"/>
      <c r="F3438" s="162"/>
      <c r="G3438" s="163"/>
      <c r="H3438" s="164"/>
      <c r="I3438" s="163"/>
      <c r="J3438" s="164"/>
      <c r="K3438" s="163"/>
      <c r="L3438" s="164"/>
      <c r="M3438" s="11"/>
      <c r="N3438" s="39"/>
      <c r="Q3438" s="15" t="str">
        <f>+CONCATENATE(E3437,I3437)</f>
        <v/>
      </c>
      <c r="R3438" s="15">
        <f>+J3437</f>
        <v>0</v>
      </c>
      <c r="S3438" s="16"/>
      <c r="T3438" s="15">
        <f>+E3437</f>
        <v>0</v>
      </c>
      <c r="U3438" s="26" t="str">
        <f>IFERROR(LEFT(I3437,FIND("*",I3437)-1),"-")</f>
        <v>-</v>
      </c>
      <c r="V3438" s="26" t="str">
        <f>IFERROR(RIGHT(I3437,LEN(I3437)-FIND("*",I3437)),"-")</f>
        <v>-</v>
      </c>
      <c r="W3438" s="27" t="str">
        <f t="shared" si="1870"/>
        <v>-</v>
      </c>
      <c r="X3438" s="27" t="str">
        <f>IFERROR(W3438*J3437,"-")</f>
        <v>-</v>
      </c>
      <c r="Z3438" s="94" t="s">
        <v>82</v>
      </c>
    </row>
    <row r="3439" spans="1:26" s="25" customFormat="1" ht="6.95" customHeight="1" x14ac:dyDescent="0.3">
      <c r="A3439" s="10"/>
      <c r="B3439" s="168"/>
      <c r="C3439" s="169"/>
      <c r="D3439" s="160"/>
      <c r="E3439" s="161"/>
      <c r="F3439" s="162"/>
      <c r="G3439" s="163"/>
      <c r="H3439" s="164"/>
      <c r="I3439" s="163"/>
      <c r="J3439" s="164"/>
      <c r="K3439" s="163"/>
      <c r="L3439" s="164"/>
      <c r="M3439" s="11"/>
      <c r="N3439" s="39"/>
      <c r="Q3439" s="15" t="str">
        <f>+CONCATENATE(E3437,K3437)</f>
        <v/>
      </c>
      <c r="R3439" s="15">
        <f>+L3437</f>
        <v>0</v>
      </c>
      <c r="S3439" s="16"/>
      <c r="T3439" s="15">
        <f>+E3437</f>
        <v>0</v>
      </c>
      <c r="U3439" s="26" t="str">
        <f>IFERROR(LEFT(K3437,FIND("*",K3437)-1),"-")</f>
        <v>-</v>
      </c>
      <c r="V3439" s="26" t="str">
        <f>IFERROR(RIGHT(K3437,LEN(K3437)-FIND("*",K3437)),"-")</f>
        <v>-</v>
      </c>
      <c r="W3439" s="27" t="str">
        <f t="shared" si="1870"/>
        <v>-</v>
      </c>
      <c r="X3439" s="27" t="str">
        <f>IFERROR(W3439*L3437,"-")</f>
        <v>-</v>
      </c>
      <c r="Z3439" s="94" t="s">
        <v>82</v>
      </c>
    </row>
    <row r="3440" spans="1:26" s="25" customFormat="1" ht="6.95" customHeight="1" x14ac:dyDescent="0.3">
      <c r="A3440" s="13"/>
      <c r="B3440" s="168"/>
      <c r="C3440" s="169"/>
      <c r="D3440" s="160" t="s">
        <v>39</v>
      </c>
      <c r="E3440" s="161"/>
      <c r="F3440" s="162" t="s">
        <v>40</v>
      </c>
      <c r="G3440" s="163"/>
      <c r="H3440" s="164"/>
      <c r="I3440" s="163"/>
      <c r="J3440" s="164"/>
      <c r="K3440" s="163"/>
      <c r="L3440" s="164"/>
      <c r="M3440" s="11"/>
      <c r="N3440" s="39"/>
      <c r="Q3440" s="15" t="str">
        <f>+CONCATENATE(E3440,G3440)</f>
        <v/>
      </c>
      <c r="R3440" s="15">
        <f>+H3440</f>
        <v>0</v>
      </c>
      <c r="S3440" s="16"/>
      <c r="T3440" s="15">
        <f>+E3440</f>
        <v>0</v>
      </c>
      <c r="U3440" s="26" t="str">
        <f t="shared" ref="U3440" si="1873">IFERROR(LEFT(G3440,FIND("*",G3440)-1),"-")</f>
        <v>-</v>
      </c>
      <c r="V3440" s="26" t="str">
        <f t="shared" ref="V3440" si="1874">IFERROR(RIGHT(G3440,LEN(G3440)-FIND("*",G3440)),"-")</f>
        <v>-</v>
      </c>
      <c r="W3440" s="27" t="str">
        <f t="shared" si="1870"/>
        <v>-</v>
      </c>
      <c r="X3440" s="27" t="str">
        <f>IFERROR(W3440*H3440,"-")</f>
        <v>-</v>
      </c>
      <c r="Z3440" s="94" t="s">
        <v>82</v>
      </c>
    </row>
    <row r="3441" spans="1:26" s="25" customFormat="1" ht="6.95" customHeight="1" x14ac:dyDescent="0.3">
      <c r="A3441" s="10"/>
      <c r="B3441" s="168"/>
      <c r="C3441" s="169"/>
      <c r="D3441" s="160"/>
      <c r="E3441" s="161"/>
      <c r="F3441" s="162"/>
      <c r="G3441" s="163"/>
      <c r="H3441" s="164"/>
      <c r="I3441" s="163"/>
      <c r="J3441" s="164"/>
      <c r="K3441" s="163"/>
      <c r="L3441" s="164"/>
      <c r="M3441" s="11"/>
      <c r="N3441" s="39"/>
      <c r="Q3441" s="15" t="str">
        <f>+CONCATENATE(E3440,I3440)</f>
        <v/>
      </c>
      <c r="R3441" s="15">
        <f>+J3440</f>
        <v>0</v>
      </c>
      <c r="S3441" s="16"/>
      <c r="T3441" s="15">
        <f>+E3440</f>
        <v>0</v>
      </c>
      <c r="U3441" s="26" t="str">
        <f>IFERROR(LEFT(I3440,FIND("*",I3440)-1),"-")</f>
        <v>-</v>
      </c>
      <c r="V3441" s="26" t="str">
        <f>IFERROR(RIGHT(I3440,LEN(I3440)-FIND("*",I3440)),"-")</f>
        <v>-</v>
      </c>
      <c r="W3441" s="27" t="str">
        <f t="shared" si="1870"/>
        <v>-</v>
      </c>
      <c r="X3441" s="27" t="str">
        <f t="shared" ref="X3441" si="1875">IFERROR(W3441*J3440,"-")</f>
        <v>-</v>
      </c>
      <c r="Z3441" s="94" t="s">
        <v>82</v>
      </c>
    </row>
    <row r="3442" spans="1:26" s="25" customFormat="1" ht="6.95" customHeight="1" x14ac:dyDescent="0.3">
      <c r="A3442" s="10"/>
      <c r="B3442" s="168"/>
      <c r="C3442" s="169"/>
      <c r="D3442" s="160"/>
      <c r="E3442" s="161"/>
      <c r="F3442" s="162"/>
      <c r="G3442" s="163"/>
      <c r="H3442" s="164"/>
      <c r="I3442" s="163"/>
      <c r="J3442" s="164"/>
      <c r="K3442" s="163"/>
      <c r="L3442" s="164"/>
      <c r="M3442" s="11"/>
      <c r="N3442" s="39"/>
      <c r="Q3442" s="15" t="str">
        <f>+CONCATENATE(E3440,K3440)</f>
        <v/>
      </c>
      <c r="R3442" s="15">
        <f>+L3440</f>
        <v>0</v>
      </c>
      <c r="S3442" s="16"/>
      <c r="T3442" s="15">
        <f>+E3440</f>
        <v>0</v>
      </c>
      <c r="U3442" s="26" t="str">
        <f>IFERROR(LEFT(K3440,FIND("*",K3440)-1),"-")</f>
        <v>-</v>
      </c>
      <c r="V3442" s="26" t="str">
        <f>IFERROR(RIGHT(K3440,LEN(K3440)-FIND("*",K3440)),"-")</f>
        <v>-</v>
      </c>
      <c r="W3442" s="27" t="str">
        <f t="shared" si="1870"/>
        <v>-</v>
      </c>
      <c r="X3442" s="27" t="str">
        <f>IFERROR(W3442*L3440,"-")</f>
        <v>-</v>
      </c>
      <c r="Z3442" s="94" t="s">
        <v>82</v>
      </c>
    </row>
    <row r="3443" spans="1:26" s="25" customFormat="1" ht="21" customHeight="1" thickBot="1" x14ac:dyDescent="0.35">
      <c r="A3443" s="10"/>
      <c r="B3443" s="170"/>
      <c r="C3443" s="171"/>
      <c r="D3443" s="172" t="s">
        <v>43</v>
      </c>
      <c r="E3443" s="173"/>
      <c r="F3443" s="173"/>
      <c r="G3443" s="174"/>
      <c r="H3443" s="174"/>
      <c r="I3443" s="174"/>
      <c r="J3443" s="174"/>
      <c r="K3443" s="174"/>
      <c r="L3443" s="174"/>
      <c r="M3443" s="12"/>
      <c r="N3443" s="39"/>
      <c r="U3443" s="23"/>
      <c r="V3443" s="23"/>
      <c r="Z3443" s="95" t="s">
        <v>81</v>
      </c>
    </row>
    <row r="3444" spans="1:26" s="25" customFormat="1" ht="9.9499999999999993" customHeight="1" thickBot="1" x14ac:dyDescent="0.35">
      <c r="A3444" s="6"/>
      <c r="B3444" s="14"/>
      <c r="C3444" s="119"/>
      <c r="D3444" s="58"/>
      <c r="E3444" s="17"/>
      <c r="F3444" s="58"/>
      <c r="G3444" s="19"/>
      <c r="H3444" s="19"/>
      <c r="I3444" s="19"/>
      <c r="J3444" s="19"/>
      <c r="K3444" s="19"/>
      <c r="L3444" s="19"/>
      <c r="M3444" s="14"/>
      <c r="N3444" s="39"/>
      <c r="Q3444" s="1"/>
      <c r="R3444" s="1"/>
      <c r="S3444" s="1"/>
      <c r="T3444" s="1"/>
      <c r="U3444" s="24"/>
      <c r="V3444" s="24"/>
      <c r="W3444" s="1"/>
      <c r="X3444" s="1"/>
      <c r="Z3444" s="94" t="s">
        <v>82</v>
      </c>
    </row>
    <row r="3445" spans="1:26" s="25" customFormat="1" ht="6.95" customHeight="1" x14ac:dyDescent="0.3">
      <c r="A3445" s="165">
        <f>+A3434+1</f>
        <v>314</v>
      </c>
      <c r="B3445" s="166"/>
      <c r="C3445" s="167"/>
      <c r="D3445" s="160" t="s">
        <v>39</v>
      </c>
      <c r="E3445" s="161"/>
      <c r="F3445" s="162" t="s">
        <v>40</v>
      </c>
      <c r="G3445" s="163"/>
      <c r="H3445" s="164"/>
      <c r="I3445" s="163"/>
      <c r="J3445" s="164"/>
      <c r="K3445" s="163"/>
      <c r="L3445" s="164"/>
      <c r="M3445" s="11"/>
      <c r="N3445" s="39"/>
      <c r="Q3445" s="15" t="str">
        <f>+CONCATENATE(E3445,G3445)</f>
        <v/>
      </c>
      <c r="R3445" s="15">
        <f>+H3445</f>
        <v>0</v>
      </c>
      <c r="S3445" s="16"/>
      <c r="T3445" s="15">
        <f>+E3445</f>
        <v>0</v>
      </c>
      <c r="U3445" s="26" t="str">
        <f>IFERROR(LEFT(G3445,FIND("*",G3445)-1),"-")</f>
        <v>-</v>
      </c>
      <c r="V3445" s="26" t="str">
        <f>IFERROR(RIGHT(G3445,LEN(G3445)-FIND("*",G3445)),"-")</f>
        <v>-</v>
      </c>
      <c r="W3445" s="27" t="str">
        <f>IFERROR((U3445+V3445)*2/1000,"-")</f>
        <v>-</v>
      </c>
      <c r="X3445" s="27" t="str">
        <f>IFERROR(W3445*H3445,"-")</f>
        <v>-</v>
      </c>
      <c r="Z3445" s="94" t="s">
        <v>82</v>
      </c>
    </row>
    <row r="3446" spans="1:26" s="25" customFormat="1" ht="6.95" customHeight="1" x14ac:dyDescent="0.3">
      <c r="A3446" s="165"/>
      <c r="B3446" s="168"/>
      <c r="C3446" s="169"/>
      <c r="D3446" s="160"/>
      <c r="E3446" s="161"/>
      <c r="F3446" s="162"/>
      <c r="G3446" s="163"/>
      <c r="H3446" s="164"/>
      <c r="I3446" s="163"/>
      <c r="J3446" s="164"/>
      <c r="K3446" s="163"/>
      <c r="L3446" s="164"/>
      <c r="M3446" s="11"/>
      <c r="N3446" s="39"/>
      <c r="Q3446" s="15" t="str">
        <f>+CONCATENATE(E3445,I3445)</f>
        <v/>
      </c>
      <c r="R3446" s="15">
        <f>+J3445</f>
        <v>0</v>
      </c>
      <c r="S3446" s="16"/>
      <c r="T3446" s="15">
        <f>+E3445</f>
        <v>0</v>
      </c>
      <c r="U3446" s="26" t="str">
        <f>IFERROR(LEFT(I3445,FIND("*",I3445)-1),"-")</f>
        <v>-</v>
      </c>
      <c r="V3446" s="26" t="str">
        <f>IFERROR(RIGHT(I3445,LEN(I3445)-FIND("*",I3445)),"-")</f>
        <v>-</v>
      </c>
      <c r="W3446" s="27" t="str">
        <f t="shared" ref="W3446:W3453" si="1876">IFERROR((U3446+V3446)*2/1000,"-")</f>
        <v>-</v>
      </c>
      <c r="X3446" s="27" t="str">
        <f>IFERROR(W3446*J3445,"-")</f>
        <v>-</v>
      </c>
      <c r="Z3446" s="94" t="s">
        <v>82</v>
      </c>
    </row>
    <row r="3447" spans="1:26" s="25" customFormat="1" ht="6.95" customHeight="1" x14ac:dyDescent="0.3">
      <c r="A3447" s="165"/>
      <c r="B3447" s="168"/>
      <c r="C3447" s="169"/>
      <c r="D3447" s="160"/>
      <c r="E3447" s="161"/>
      <c r="F3447" s="162"/>
      <c r="G3447" s="163"/>
      <c r="H3447" s="164"/>
      <c r="I3447" s="163"/>
      <c r="J3447" s="164"/>
      <c r="K3447" s="163"/>
      <c r="L3447" s="164"/>
      <c r="M3447" s="11"/>
      <c r="N3447" s="39"/>
      <c r="Q3447" s="15" t="str">
        <f>+CONCATENATE(E3445,K3445)</f>
        <v/>
      </c>
      <c r="R3447" s="15">
        <f>+L3445</f>
        <v>0</v>
      </c>
      <c r="S3447" s="16"/>
      <c r="T3447" s="15">
        <f>+E3445</f>
        <v>0</v>
      </c>
      <c r="U3447" s="26" t="str">
        <f>IFERROR(LEFT(K3445,FIND("*",K3445)-1),"-")</f>
        <v>-</v>
      </c>
      <c r="V3447" s="26" t="str">
        <f>IFERROR(RIGHT(K3445,LEN(K3445)-FIND("*",K3445)),"-")</f>
        <v>-</v>
      </c>
      <c r="W3447" s="27" t="str">
        <f t="shared" si="1876"/>
        <v>-</v>
      </c>
      <c r="X3447" s="27" t="str">
        <f>IFERROR(W3447*L3445,"-")</f>
        <v>-</v>
      </c>
      <c r="Z3447" s="94" t="s">
        <v>82</v>
      </c>
    </row>
    <row r="3448" spans="1:26" s="25" customFormat="1" ht="6.95" customHeight="1" x14ac:dyDescent="0.3">
      <c r="A3448" s="13"/>
      <c r="B3448" s="168"/>
      <c r="C3448" s="169"/>
      <c r="D3448" s="160" t="s">
        <v>39</v>
      </c>
      <c r="E3448" s="161"/>
      <c r="F3448" s="162" t="s">
        <v>40</v>
      </c>
      <c r="G3448" s="163"/>
      <c r="H3448" s="164"/>
      <c r="I3448" s="163"/>
      <c r="J3448" s="164"/>
      <c r="K3448" s="163"/>
      <c r="L3448" s="164"/>
      <c r="M3448" s="11"/>
      <c r="N3448" s="39"/>
      <c r="Q3448" s="15" t="str">
        <f>+CONCATENATE(E3448,G3448)</f>
        <v/>
      </c>
      <c r="R3448" s="15">
        <f>+H3448</f>
        <v>0</v>
      </c>
      <c r="S3448" s="16"/>
      <c r="T3448" s="15">
        <f>+E3448</f>
        <v>0</v>
      </c>
      <c r="U3448" s="26" t="str">
        <f t="shared" ref="U3448" si="1877">IFERROR(LEFT(G3448,FIND("*",G3448)-1),"-")</f>
        <v>-</v>
      </c>
      <c r="V3448" s="26" t="str">
        <f t="shared" ref="V3448" si="1878">IFERROR(RIGHT(G3448,LEN(G3448)-FIND("*",G3448)),"-")</f>
        <v>-</v>
      </c>
      <c r="W3448" s="27" t="str">
        <f t="shared" si="1876"/>
        <v>-</v>
      </c>
      <c r="X3448" s="27" t="str">
        <f>IFERROR(W3448*H3448,"-")</f>
        <v>-</v>
      </c>
      <c r="Z3448" s="94" t="s">
        <v>82</v>
      </c>
    </row>
    <row r="3449" spans="1:26" s="25" customFormat="1" ht="6.95" customHeight="1" x14ac:dyDescent="0.3">
      <c r="A3449" s="10"/>
      <c r="B3449" s="168"/>
      <c r="C3449" s="169"/>
      <c r="D3449" s="160"/>
      <c r="E3449" s="161"/>
      <c r="F3449" s="162"/>
      <c r="G3449" s="163"/>
      <c r="H3449" s="164"/>
      <c r="I3449" s="163"/>
      <c r="J3449" s="164"/>
      <c r="K3449" s="163"/>
      <c r="L3449" s="164"/>
      <c r="M3449" s="11"/>
      <c r="N3449" s="39"/>
      <c r="Q3449" s="15" t="str">
        <f>+CONCATENATE(E3448,I3448)</f>
        <v/>
      </c>
      <c r="R3449" s="15">
        <f>+J3448</f>
        <v>0</v>
      </c>
      <c r="S3449" s="16"/>
      <c r="T3449" s="15">
        <f>+E3448</f>
        <v>0</v>
      </c>
      <c r="U3449" s="26" t="str">
        <f>IFERROR(LEFT(I3448,FIND("*",I3448)-1),"-")</f>
        <v>-</v>
      </c>
      <c r="V3449" s="26" t="str">
        <f>IFERROR(RIGHT(I3448,LEN(I3448)-FIND("*",I3448)),"-")</f>
        <v>-</v>
      </c>
      <c r="W3449" s="27" t="str">
        <f t="shared" si="1876"/>
        <v>-</v>
      </c>
      <c r="X3449" s="27" t="str">
        <f>IFERROR(W3449*J3448,"-")</f>
        <v>-</v>
      </c>
      <c r="Z3449" s="94" t="s">
        <v>82</v>
      </c>
    </row>
    <row r="3450" spans="1:26" s="25" customFormat="1" ht="6.95" customHeight="1" x14ac:dyDescent="0.3">
      <c r="A3450" s="10"/>
      <c r="B3450" s="168"/>
      <c r="C3450" s="169"/>
      <c r="D3450" s="160"/>
      <c r="E3450" s="161"/>
      <c r="F3450" s="162"/>
      <c r="G3450" s="163"/>
      <c r="H3450" s="164"/>
      <c r="I3450" s="163"/>
      <c r="J3450" s="164"/>
      <c r="K3450" s="163"/>
      <c r="L3450" s="164"/>
      <c r="M3450" s="11"/>
      <c r="N3450" s="39"/>
      <c r="Q3450" s="15" t="str">
        <f>+CONCATENATE(E3448,K3448)</f>
        <v/>
      </c>
      <c r="R3450" s="15">
        <f>+L3448</f>
        <v>0</v>
      </c>
      <c r="S3450" s="16"/>
      <c r="T3450" s="15">
        <f>+E3448</f>
        <v>0</v>
      </c>
      <c r="U3450" s="26" t="str">
        <f>IFERROR(LEFT(K3448,FIND("*",K3448)-1),"-")</f>
        <v>-</v>
      </c>
      <c r="V3450" s="26" t="str">
        <f>IFERROR(RIGHT(K3448,LEN(K3448)-FIND("*",K3448)),"-")</f>
        <v>-</v>
      </c>
      <c r="W3450" s="27" t="str">
        <f t="shared" si="1876"/>
        <v>-</v>
      </c>
      <c r="X3450" s="27" t="str">
        <f>IFERROR(W3450*L3448,"-")</f>
        <v>-</v>
      </c>
      <c r="Z3450" s="94" t="s">
        <v>82</v>
      </c>
    </row>
    <row r="3451" spans="1:26" s="25" customFormat="1" ht="6.95" customHeight="1" x14ac:dyDescent="0.3">
      <c r="A3451" s="13"/>
      <c r="B3451" s="168"/>
      <c r="C3451" s="169"/>
      <c r="D3451" s="160" t="s">
        <v>39</v>
      </c>
      <c r="E3451" s="161"/>
      <c r="F3451" s="162" t="s">
        <v>40</v>
      </c>
      <c r="G3451" s="163"/>
      <c r="H3451" s="164"/>
      <c r="I3451" s="163"/>
      <c r="J3451" s="164"/>
      <c r="K3451" s="163"/>
      <c r="L3451" s="164"/>
      <c r="M3451" s="11"/>
      <c r="N3451" s="39"/>
      <c r="Q3451" s="15" t="str">
        <f>+CONCATENATE(E3451,G3451)</f>
        <v/>
      </c>
      <c r="R3451" s="15">
        <f>+H3451</f>
        <v>0</v>
      </c>
      <c r="S3451" s="16"/>
      <c r="T3451" s="15">
        <f>+E3451</f>
        <v>0</v>
      </c>
      <c r="U3451" s="26" t="str">
        <f t="shared" ref="U3451" si="1879">IFERROR(LEFT(G3451,FIND("*",G3451)-1),"-")</f>
        <v>-</v>
      </c>
      <c r="V3451" s="26" t="str">
        <f t="shared" ref="V3451" si="1880">IFERROR(RIGHT(G3451,LEN(G3451)-FIND("*",G3451)),"-")</f>
        <v>-</v>
      </c>
      <c r="W3451" s="27" t="str">
        <f t="shared" si="1876"/>
        <v>-</v>
      </c>
      <c r="X3451" s="27" t="str">
        <f>IFERROR(W3451*H3451,"-")</f>
        <v>-</v>
      </c>
      <c r="Z3451" s="94" t="s">
        <v>82</v>
      </c>
    </row>
    <row r="3452" spans="1:26" s="25" customFormat="1" ht="6.95" customHeight="1" x14ac:dyDescent="0.3">
      <c r="A3452" s="10"/>
      <c r="B3452" s="168"/>
      <c r="C3452" s="169"/>
      <c r="D3452" s="160"/>
      <c r="E3452" s="161"/>
      <c r="F3452" s="162"/>
      <c r="G3452" s="163"/>
      <c r="H3452" s="164"/>
      <c r="I3452" s="163"/>
      <c r="J3452" s="164"/>
      <c r="K3452" s="163"/>
      <c r="L3452" s="164"/>
      <c r="M3452" s="11"/>
      <c r="N3452" s="39"/>
      <c r="Q3452" s="15" t="str">
        <f>+CONCATENATE(E3451,I3451)</f>
        <v/>
      </c>
      <c r="R3452" s="15">
        <f>+J3451</f>
        <v>0</v>
      </c>
      <c r="S3452" s="16"/>
      <c r="T3452" s="15">
        <f>+E3451</f>
        <v>0</v>
      </c>
      <c r="U3452" s="26" t="str">
        <f>IFERROR(LEFT(I3451,FIND("*",I3451)-1),"-")</f>
        <v>-</v>
      </c>
      <c r="V3452" s="26" t="str">
        <f>IFERROR(RIGHT(I3451,LEN(I3451)-FIND("*",I3451)),"-")</f>
        <v>-</v>
      </c>
      <c r="W3452" s="27" t="str">
        <f t="shared" si="1876"/>
        <v>-</v>
      </c>
      <c r="X3452" s="27" t="str">
        <f t="shared" ref="X3452" si="1881">IFERROR(W3452*J3451,"-")</f>
        <v>-</v>
      </c>
      <c r="Z3452" s="94" t="s">
        <v>82</v>
      </c>
    </row>
    <row r="3453" spans="1:26" s="25" customFormat="1" ht="6.95" customHeight="1" x14ac:dyDescent="0.3">
      <c r="A3453" s="10"/>
      <c r="B3453" s="168"/>
      <c r="C3453" s="169"/>
      <c r="D3453" s="160"/>
      <c r="E3453" s="161"/>
      <c r="F3453" s="162"/>
      <c r="G3453" s="163"/>
      <c r="H3453" s="164"/>
      <c r="I3453" s="163"/>
      <c r="J3453" s="164"/>
      <c r="K3453" s="163"/>
      <c r="L3453" s="164"/>
      <c r="M3453" s="11"/>
      <c r="N3453" s="39"/>
      <c r="Q3453" s="15" t="str">
        <f>+CONCATENATE(E3451,K3451)</f>
        <v/>
      </c>
      <c r="R3453" s="15">
        <f>+L3451</f>
        <v>0</v>
      </c>
      <c r="S3453" s="16"/>
      <c r="T3453" s="15">
        <f>+E3451</f>
        <v>0</v>
      </c>
      <c r="U3453" s="26" t="str">
        <f>IFERROR(LEFT(K3451,FIND("*",K3451)-1),"-")</f>
        <v>-</v>
      </c>
      <c r="V3453" s="26" t="str">
        <f>IFERROR(RIGHT(K3451,LEN(K3451)-FIND("*",K3451)),"-")</f>
        <v>-</v>
      </c>
      <c r="W3453" s="27" t="str">
        <f t="shared" si="1876"/>
        <v>-</v>
      </c>
      <c r="X3453" s="27" t="str">
        <f>IFERROR(W3453*L3451,"-")</f>
        <v>-</v>
      </c>
      <c r="Z3453" s="94" t="s">
        <v>82</v>
      </c>
    </row>
    <row r="3454" spans="1:26" s="25" customFormat="1" ht="21" customHeight="1" thickBot="1" x14ac:dyDescent="0.35">
      <c r="A3454" s="10"/>
      <c r="B3454" s="170"/>
      <c r="C3454" s="171"/>
      <c r="D3454" s="172" t="s">
        <v>43</v>
      </c>
      <c r="E3454" s="173"/>
      <c r="F3454" s="173"/>
      <c r="G3454" s="174"/>
      <c r="H3454" s="174"/>
      <c r="I3454" s="174"/>
      <c r="J3454" s="174"/>
      <c r="K3454" s="174"/>
      <c r="L3454" s="174"/>
      <c r="M3454" s="12"/>
      <c r="N3454" s="39"/>
      <c r="U3454" s="23"/>
      <c r="V3454" s="23"/>
      <c r="Z3454" s="95" t="s">
        <v>81</v>
      </c>
    </row>
    <row r="3455" spans="1:26" s="25" customFormat="1" ht="9.9499999999999993" customHeight="1" thickBot="1" x14ac:dyDescent="0.35">
      <c r="A3455" s="6"/>
      <c r="B3455" s="14"/>
      <c r="C3455" s="119"/>
      <c r="D3455" s="58"/>
      <c r="E3455" s="17"/>
      <c r="F3455" s="58"/>
      <c r="G3455" s="19"/>
      <c r="H3455" s="19"/>
      <c r="I3455" s="19"/>
      <c r="J3455" s="19"/>
      <c r="K3455" s="19"/>
      <c r="L3455" s="19"/>
      <c r="M3455" s="14"/>
      <c r="N3455" s="39"/>
      <c r="Q3455" s="1"/>
      <c r="R3455" s="1"/>
      <c r="S3455" s="1"/>
      <c r="T3455" s="1"/>
      <c r="U3455" s="24"/>
      <c r="V3455" s="24"/>
      <c r="W3455" s="1"/>
      <c r="X3455" s="1"/>
      <c r="Z3455" s="94" t="s">
        <v>82</v>
      </c>
    </row>
    <row r="3456" spans="1:26" s="25" customFormat="1" ht="6.95" customHeight="1" x14ac:dyDescent="0.3">
      <c r="A3456" s="165">
        <f>+A3445+1</f>
        <v>315</v>
      </c>
      <c r="B3456" s="166"/>
      <c r="C3456" s="167"/>
      <c r="D3456" s="160" t="s">
        <v>39</v>
      </c>
      <c r="E3456" s="161"/>
      <c r="F3456" s="162" t="s">
        <v>40</v>
      </c>
      <c r="G3456" s="163"/>
      <c r="H3456" s="164"/>
      <c r="I3456" s="163"/>
      <c r="J3456" s="164"/>
      <c r="K3456" s="163"/>
      <c r="L3456" s="164"/>
      <c r="M3456" s="11"/>
      <c r="N3456" s="39"/>
      <c r="Q3456" s="15" t="str">
        <f>+CONCATENATE(E3456,G3456)</f>
        <v/>
      </c>
      <c r="R3456" s="15">
        <f>+H3456</f>
        <v>0</v>
      </c>
      <c r="S3456" s="16"/>
      <c r="T3456" s="15">
        <f>+E3456</f>
        <v>0</v>
      </c>
      <c r="U3456" s="26" t="str">
        <f>IFERROR(LEFT(G3456,FIND("*",G3456)-1),"-")</f>
        <v>-</v>
      </c>
      <c r="V3456" s="26" t="str">
        <f>IFERROR(RIGHT(G3456,LEN(G3456)-FIND("*",G3456)),"-")</f>
        <v>-</v>
      </c>
      <c r="W3456" s="27" t="str">
        <f>IFERROR((U3456+V3456)*2/1000,"-")</f>
        <v>-</v>
      </c>
      <c r="X3456" s="27" t="str">
        <f>IFERROR(W3456*H3456,"-")</f>
        <v>-</v>
      </c>
      <c r="Z3456" s="94" t="s">
        <v>82</v>
      </c>
    </row>
    <row r="3457" spans="1:26" s="25" customFormat="1" ht="6.95" customHeight="1" x14ac:dyDescent="0.3">
      <c r="A3457" s="165"/>
      <c r="B3457" s="168"/>
      <c r="C3457" s="169"/>
      <c r="D3457" s="160"/>
      <c r="E3457" s="161"/>
      <c r="F3457" s="162"/>
      <c r="G3457" s="163"/>
      <c r="H3457" s="164"/>
      <c r="I3457" s="163"/>
      <c r="J3457" s="164"/>
      <c r="K3457" s="163"/>
      <c r="L3457" s="164"/>
      <c r="M3457" s="11"/>
      <c r="N3457" s="39"/>
      <c r="Q3457" s="15" t="str">
        <f>+CONCATENATE(E3456,I3456)</f>
        <v/>
      </c>
      <c r="R3457" s="15">
        <f>+J3456</f>
        <v>0</v>
      </c>
      <c r="S3457" s="16"/>
      <c r="T3457" s="15">
        <f>+E3456</f>
        <v>0</v>
      </c>
      <c r="U3457" s="26" t="str">
        <f>IFERROR(LEFT(I3456,FIND("*",I3456)-1),"-")</f>
        <v>-</v>
      </c>
      <c r="V3457" s="26" t="str">
        <f>IFERROR(RIGHT(I3456,LEN(I3456)-FIND("*",I3456)),"-")</f>
        <v>-</v>
      </c>
      <c r="W3457" s="27" t="str">
        <f t="shared" ref="W3457:W3464" si="1882">IFERROR((U3457+V3457)*2/1000,"-")</f>
        <v>-</v>
      </c>
      <c r="X3457" s="27" t="str">
        <f>IFERROR(W3457*J3456,"-")</f>
        <v>-</v>
      </c>
      <c r="Z3457" s="94" t="s">
        <v>82</v>
      </c>
    </row>
    <row r="3458" spans="1:26" s="25" customFormat="1" ht="6.95" customHeight="1" x14ac:dyDescent="0.3">
      <c r="A3458" s="165"/>
      <c r="B3458" s="168"/>
      <c r="C3458" s="169"/>
      <c r="D3458" s="160"/>
      <c r="E3458" s="161"/>
      <c r="F3458" s="162"/>
      <c r="G3458" s="163"/>
      <c r="H3458" s="164"/>
      <c r="I3458" s="163"/>
      <c r="J3458" s="164"/>
      <c r="K3458" s="163"/>
      <c r="L3458" s="164"/>
      <c r="M3458" s="11"/>
      <c r="N3458" s="39"/>
      <c r="Q3458" s="15" t="str">
        <f>+CONCATENATE(E3456,K3456)</f>
        <v/>
      </c>
      <c r="R3458" s="15">
        <f>+L3456</f>
        <v>0</v>
      </c>
      <c r="S3458" s="16"/>
      <c r="T3458" s="15">
        <f>+E3456</f>
        <v>0</v>
      </c>
      <c r="U3458" s="26" t="str">
        <f>IFERROR(LEFT(K3456,FIND("*",K3456)-1),"-")</f>
        <v>-</v>
      </c>
      <c r="V3458" s="26" t="str">
        <f>IFERROR(RIGHT(K3456,LEN(K3456)-FIND("*",K3456)),"-")</f>
        <v>-</v>
      </c>
      <c r="W3458" s="27" t="str">
        <f t="shared" si="1882"/>
        <v>-</v>
      </c>
      <c r="X3458" s="27" t="str">
        <f>IFERROR(W3458*L3456,"-")</f>
        <v>-</v>
      </c>
      <c r="Z3458" s="94" t="s">
        <v>82</v>
      </c>
    </row>
    <row r="3459" spans="1:26" s="25" customFormat="1" ht="6.95" customHeight="1" x14ac:dyDescent="0.3">
      <c r="A3459" s="13"/>
      <c r="B3459" s="168"/>
      <c r="C3459" s="169"/>
      <c r="D3459" s="160" t="s">
        <v>39</v>
      </c>
      <c r="E3459" s="161"/>
      <c r="F3459" s="162" t="s">
        <v>40</v>
      </c>
      <c r="G3459" s="163"/>
      <c r="H3459" s="164"/>
      <c r="I3459" s="163"/>
      <c r="J3459" s="164"/>
      <c r="K3459" s="163"/>
      <c r="L3459" s="164"/>
      <c r="M3459" s="11"/>
      <c r="N3459" s="39"/>
      <c r="Q3459" s="15" t="str">
        <f>+CONCATENATE(E3459,G3459)</f>
        <v/>
      </c>
      <c r="R3459" s="15">
        <f>+H3459</f>
        <v>0</v>
      </c>
      <c r="S3459" s="16"/>
      <c r="T3459" s="15">
        <f>+E3459</f>
        <v>0</v>
      </c>
      <c r="U3459" s="26" t="str">
        <f t="shared" ref="U3459" si="1883">IFERROR(LEFT(G3459,FIND("*",G3459)-1),"-")</f>
        <v>-</v>
      </c>
      <c r="V3459" s="26" t="str">
        <f t="shared" ref="V3459" si="1884">IFERROR(RIGHT(G3459,LEN(G3459)-FIND("*",G3459)),"-")</f>
        <v>-</v>
      </c>
      <c r="W3459" s="27" t="str">
        <f t="shared" si="1882"/>
        <v>-</v>
      </c>
      <c r="X3459" s="27" t="str">
        <f>IFERROR(W3459*H3459,"-")</f>
        <v>-</v>
      </c>
      <c r="Z3459" s="94" t="s">
        <v>82</v>
      </c>
    </row>
    <row r="3460" spans="1:26" s="25" customFormat="1" ht="6.95" customHeight="1" x14ac:dyDescent="0.3">
      <c r="A3460" s="10"/>
      <c r="B3460" s="168"/>
      <c r="C3460" s="169"/>
      <c r="D3460" s="160"/>
      <c r="E3460" s="161"/>
      <c r="F3460" s="162"/>
      <c r="G3460" s="163"/>
      <c r="H3460" s="164"/>
      <c r="I3460" s="163"/>
      <c r="J3460" s="164"/>
      <c r="K3460" s="163"/>
      <c r="L3460" s="164"/>
      <c r="M3460" s="11"/>
      <c r="N3460" s="39"/>
      <c r="Q3460" s="15" t="str">
        <f>+CONCATENATE(E3459,I3459)</f>
        <v/>
      </c>
      <c r="R3460" s="15">
        <f>+J3459</f>
        <v>0</v>
      </c>
      <c r="S3460" s="16"/>
      <c r="T3460" s="15">
        <f>+E3459</f>
        <v>0</v>
      </c>
      <c r="U3460" s="26" t="str">
        <f>IFERROR(LEFT(I3459,FIND("*",I3459)-1),"-")</f>
        <v>-</v>
      </c>
      <c r="V3460" s="26" t="str">
        <f>IFERROR(RIGHT(I3459,LEN(I3459)-FIND("*",I3459)),"-")</f>
        <v>-</v>
      </c>
      <c r="W3460" s="27" t="str">
        <f t="shared" si="1882"/>
        <v>-</v>
      </c>
      <c r="X3460" s="27" t="str">
        <f>IFERROR(W3460*J3459,"-")</f>
        <v>-</v>
      </c>
      <c r="Z3460" s="94" t="s">
        <v>82</v>
      </c>
    </row>
    <row r="3461" spans="1:26" s="25" customFormat="1" ht="6.95" customHeight="1" x14ac:dyDescent="0.3">
      <c r="A3461" s="10"/>
      <c r="B3461" s="168"/>
      <c r="C3461" s="169"/>
      <c r="D3461" s="160"/>
      <c r="E3461" s="161"/>
      <c r="F3461" s="162"/>
      <c r="G3461" s="163"/>
      <c r="H3461" s="164"/>
      <c r="I3461" s="163"/>
      <c r="J3461" s="164"/>
      <c r="K3461" s="163"/>
      <c r="L3461" s="164"/>
      <c r="M3461" s="11"/>
      <c r="N3461" s="39"/>
      <c r="Q3461" s="15" t="str">
        <f>+CONCATENATE(E3459,K3459)</f>
        <v/>
      </c>
      <c r="R3461" s="15">
        <f>+L3459</f>
        <v>0</v>
      </c>
      <c r="S3461" s="16"/>
      <c r="T3461" s="15">
        <f>+E3459</f>
        <v>0</v>
      </c>
      <c r="U3461" s="26" t="str">
        <f>IFERROR(LEFT(K3459,FIND("*",K3459)-1),"-")</f>
        <v>-</v>
      </c>
      <c r="V3461" s="26" t="str">
        <f>IFERROR(RIGHT(K3459,LEN(K3459)-FIND("*",K3459)),"-")</f>
        <v>-</v>
      </c>
      <c r="W3461" s="27" t="str">
        <f t="shared" si="1882"/>
        <v>-</v>
      </c>
      <c r="X3461" s="27" t="str">
        <f>IFERROR(W3461*L3459,"-")</f>
        <v>-</v>
      </c>
      <c r="Z3461" s="94" t="s">
        <v>82</v>
      </c>
    </row>
    <row r="3462" spans="1:26" s="25" customFormat="1" ht="6.95" customHeight="1" x14ac:dyDescent="0.3">
      <c r="A3462" s="13"/>
      <c r="B3462" s="168"/>
      <c r="C3462" s="169"/>
      <c r="D3462" s="160" t="s">
        <v>39</v>
      </c>
      <c r="E3462" s="161"/>
      <c r="F3462" s="162" t="s">
        <v>40</v>
      </c>
      <c r="G3462" s="163"/>
      <c r="H3462" s="164"/>
      <c r="I3462" s="163"/>
      <c r="J3462" s="164"/>
      <c r="K3462" s="163"/>
      <c r="L3462" s="164"/>
      <c r="M3462" s="11"/>
      <c r="N3462" s="39"/>
      <c r="Q3462" s="15" t="str">
        <f>+CONCATENATE(E3462,G3462)</f>
        <v/>
      </c>
      <c r="R3462" s="15">
        <f>+H3462</f>
        <v>0</v>
      </c>
      <c r="S3462" s="16"/>
      <c r="T3462" s="15">
        <f>+E3462</f>
        <v>0</v>
      </c>
      <c r="U3462" s="26" t="str">
        <f t="shared" ref="U3462" si="1885">IFERROR(LEFT(G3462,FIND("*",G3462)-1),"-")</f>
        <v>-</v>
      </c>
      <c r="V3462" s="26" t="str">
        <f t="shared" ref="V3462" si="1886">IFERROR(RIGHT(G3462,LEN(G3462)-FIND("*",G3462)),"-")</f>
        <v>-</v>
      </c>
      <c r="W3462" s="27" t="str">
        <f t="shared" si="1882"/>
        <v>-</v>
      </c>
      <c r="X3462" s="27" t="str">
        <f>IFERROR(W3462*H3462,"-")</f>
        <v>-</v>
      </c>
      <c r="Z3462" s="94" t="s">
        <v>82</v>
      </c>
    </row>
    <row r="3463" spans="1:26" s="25" customFormat="1" ht="6.95" customHeight="1" x14ac:dyDescent="0.3">
      <c r="A3463" s="10"/>
      <c r="B3463" s="168"/>
      <c r="C3463" s="169"/>
      <c r="D3463" s="160"/>
      <c r="E3463" s="161"/>
      <c r="F3463" s="162"/>
      <c r="G3463" s="163"/>
      <c r="H3463" s="164"/>
      <c r="I3463" s="163"/>
      <c r="J3463" s="164"/>
      <c r="K3463" s="163"/>
      <c r="L3463" s="164"/>
      <c r="M3463" s="11"/>
      <c r="N3463" s="39"/>
      <c r="Q3463" s="15" t="str">
        <f>+CONCATENATE(E3462,I3462)</f>
        <v/>
      </c>
      <c r="R3463" s="15">
        <f>+J3462</f>
        <v>0</v>
      </c>
      <c r="S3463" s="16"/>
      <c r="T3463" s="15">
        <f>+E3462</f>
        <v>0</v>
      </c>
      <c r="U3463" s="26" t="str">
        <f>IFERROR(LEFT(I3462,FIND("*",I3462)-1),"-")</f>
        <v>-</v>
      </c>
      <c r="V3463" s="26" t="str">
        <f>IFERROR(RIGHT(I3462,LEN(I3462)-FIND("*",I3462)),"-")</f>
        <v>-</v>
      </c>
      <c r="W3463" s="27" t="str">
        <f t="shared" si="1882"/>
        <v>-</v>
      </c>
      <c r="X3463" s="27" t="str">
        <f t="shared" ref="X3463" si="1887">IFERROR(W3463*J3462,"-")</f>
        <v>-</v>
      </c>
      <c r="Z3463" s="94" t="s">
        <v>82</v>
      </c>
    </row>
    <row r="3464" spans="1:26" s="25" customFormat="1" ht="6.95" customHeight="1" x14ac:dyDescent="0.3">
      <c r="A3464" s="10"/>
      <c r="B3464" s="168"/>
      <c r="C3464" s="169"/>
      <c r="D3464" s="160"/>
      <c r="E3464" s="161"/>
      <c r="F3464" s="162"/>
      <c r="G3464" s="163"/>
      <c r="H3464" s="164"/>
      <c r="I3464" s="163"/>
      <c r="J3464" s="164"/>
      <c r="K3464" s="163"/>
      <c r="L3464" s="164"/>
      <c r="M3464" s="11"/>
      <c r="N3464" s="39"/>
      <c r="Q3464" s="15" t="str">
        <f>+CONCATENATE(E3462,K3462)</f>
        <v/>
      </c>
      <c r="R3464" s="15">
        <f>+L3462</f>
        <v>0</v>
      </c>
      <c r="S3464" s="16"/>
      <c r="T3464" s="15">
        <f>+E3462</f>
        <v>0</v>
      </c>
      <c r="U3464" s="26" t="str">
        <f>IFERROR(LEFT(K3462,FIND("*",K3462)-1),"-")</f>
        <v>-</v>
      </c>
      <c r="V3464" s="26" t="str">
        <f>IFERROR(RIGHT(K3462,LEN(K3462)-FIND("*",K3462)),"-")</f>
        <v>-</v>
      </c>
      <c r="W3464" s="27" t="str">
        <f t="shared" si="1882"/>
        <v>-</v>
      </c>
      <c r="X3464" s="27" t="str">
        <f>IFERROR(W3464*L3462,"-")</f>
        <v>-</v>
      </c>
      <c r="Z3464" s="94" t="s">
        <v>82</v>
      </c>
    </row>
    <row r="3465" spans="1:26" s="25" customFormat="1" ht="21" customHeight="1" thickBot="1" x14ac:dyDescent="0.35">
      <c r="A3465" s="10"/>
      <c r="B3465" s="170"/>
      <c r="C3465" s="171"/>
      <c r="D3465" s="172" t="s">
        <v>43</v>
      </c>
      <c r="E3465" s="173"/>
      <c r="F3465" s="173"/>
      <c r="G3465" s="174"/>
      <c r="H3465" s="174"/>
      <c r="I3465" s="174"/>
      <c r="J3465" s="174"/>
      <c r="K3465" s="174"/>
      <c r="L3465" s="174"/>
      <c r="M3465" s="12"/>
      <c r="N3465" s="39"/>
      <c r="U3465" s="23"/>
      <c r="V3465" s="23"/>
      <c r="Z3465" s="95" t="s">
        <v>81</v>
      </c>
    </row>
    <row r="3466" spans="1:26" s="25" customFormat="1" ht="9.9499999999999993" customHeight="1" thickBot="1" x14ac:dyDescent="0.35">
      <c r="A3466" s="6"/>
      <c r="B3466" s="14"/>
      <c r="C3466" s="119"/>
      <c r="D3466" s="58"/>
      <c r="E3466" s="17"/>
      <c r="F3466" s="58"/>
      <c r="G3466" s="19"/>
      <c r="H3466" s="19"/>
      <c r="I3466" s="19"/>
      <c r="J3466" s="19"/>
      <c r="K3466" s="19"/>
      <c r="L3466" s="19"/>
      <c r="M3466" s="14"/>
      <c r="N3466" s="39"/>
      <c r="Q3466" s="1"/>
      <c r="R3466" s="1"/>
      <c r="S3466" s="1"/>
      <c r="T3466" s="1"/>
      <c r="U3466" s="24"/>
      <c r="V3466" s="24"/>
      <c r="W3466" s="1"/>
      <c r="X3466" s="1"/>
      <c r="Z3466" s="94" t="s">
        <v>82</v>
      </c>
    </row>
    <row r="3467" spans="1:26" s="25" customFormat="1" ht="6.95" customHeight="1" x14ac:dyDescent="0.3">
      <c r="A3467" s="165">
        <f>+A3456+1</f>
        <v>316</v>
      </c>
      <c r="B3467" s="166"/>
      <c r="C3467" s="167"/>
      <c r="D3467" s="160" t="s">
        <v>39</v>
      </c>
      <c r="E3467" s="161"/>
      <c r="F3467" s="162" t="s">
        <v>40</v>
      </c>
      <c r="G3467" s="163"/>
      <c r="H3467" s="164"/>
      <c r="I3467" s="163"/>
      <c r="J3467" s="164"/>
      <c r="K3467" s="163"/>
      <c r="L3467" s="164"/>
      <c r="M3467" s="11"/>
      <c r="N3467" s="39"/>
      <c r="Q3467" s="15" t="str">
        <f>+CONCATENATE(E3467,G3467)</f>
        <v/>
      </c>
      <c r="R3467" s="15">
        <f>+H3467</f>
        <v>0</v>
      </c>
      <c r="S3467" s="16"/>
      <c r="T3467" s="15">
        <f>+E3467</f>
        <v>0</v>
      </c>
      <c r="U3467" s="26" t="str">
        <f>IFERROR(LEFT(G3467,FIND("*",G3467)-1),"-")</f>
        <v>-</v>
      </c>
      <c r="V3467" s="26" t="str">
        <f>IFERROR(RIGHT(G3467,LEN(G3467)-FIND("*",G3467)),"-")</f>
        <v>-</v>
      </c>
      <c r="W3467" s="27" t="str">
        <f>IFERROR((U3467+V3467)*2/1000,"-")</f>
        <v>-</v>
      </c>
      <c r="X3467" s="27" t="str">
        <f>IFERROR(W3467*H3467,"-")</f>
        <v>-</v>
      </c>
      <c r="Z3467" s="94" t="s">
        <v>82</v>
      </c>
    </row>
    <row r="3468" spans="1:26" s="25" customFormat="1" ht="6.95" customHeight="1" x14ac:dyDescent="0.3">
      <c r="A3468" s="165"/>
      <c r="B3468" s="168"/>
      <c r="C3468" s="169"/>
      <c r="D3468" s="160"/>
      <c r="E3468" s="161"/>
      <c r="F3468" s="162"/>
      <c r="G3468" s="163"/>
      <c r="H3468" s="164"/>
      <c r="I3468" s="163"/>
      <c r="J3468" s="164"/>
      <c r="K3468" s="163"/>
      <c r="L3468" s="164"/>
      <c r="M3468" s="11"/>
      <c r="N3468" s="39"/>
      <c r="Q3468" s="15" t="str">
        <f>+CONCATENATE(E3467,I3467)</f>
        <v/>
      </c>
      <c r="R3468" s="15">
        <f>+J3467</f>
        <v>0</v>
      </c>
      <c r="S3468" s="16"/>
      <c r="T3468" s="15">
        <f>+E3467</f>
        <v>0</v>
      </c>
      <c r="U3468" s="26" t="str">
        <f>IFERROR(LEFT(I3467,FIND("*",I3467)-1),"-")</f>
        <v>-</v>
      </c>
      <c r="V3468" s="26" t="str">
        <f>IFERROR(RIGHT(I3467,LEN(I3467)-FIND("*",I3467)),"-")</f>
        <v>-</v>
      </c>
      <c r="W3468" s="27" t="str">
        <f t="shared" ref="W3468:W3475" si="1888">IFERROR((U3468+V3468)*2/1000,"-")</f>
        <v>-</v>
      </c>
      <c r="X3468" s="27" t="str">
        <f>IFERROR(W3468*J3467,"-")</f>
        <v>-</v>
      </c>
      <c r="Z3468" s="94" t="s">
        <v>82</v>
      </c>
    </row>
    <row r="3469" spans="1:26" s="25" customFormat="1" ht="6.95" customHeight="1" x14ac:dyDescent="0.3">
      <c r="A3469" s="165"/>
      <c r="B3469" s="168"/>
      <c r="C3469" s="169"/>
      <c r="D3469" s="160"/>
      <c r="E3469" s="161"/>
      <c r="F3469" s="162"/>
      <c r="G3469" s="163"/>
      <c r="H3469" s="164"/>
      <c r="I3469" s="163"/>
      <c r="J3469" s="164"/>
      <c r="K3469" s="163"/>
      <c r="L3469" s="164"/>
      <c r="M3469" s="11"/>
      <c r="N3469" s="39"/>
      <c r="Q3469" s="15" t="str">
        <f>+CONCATENATE(E3467,K3467)</f>
        <v/>
      </c>
      <c r="R3469" s="15">
        <f>+L3467</f>
        <v>0</v>
      </c>
      <c r="S3469" s="16"/>
      <c r="T3469" s="15">
        <f>+E3467</f>
        <v>0</v>
      </c>
      <c r="U3469" s="26" t="str">
        <f>IFERROR(LEFT(K3467,FIND("*",K3467)-1),"-")</f>
        <v>-</v>
      </c>
      <c r="V3469" s="26" t="str">
        <f>IFERROR(RIGHT(K3467,LEN(K3467)-FIND("*",K3467)),"-")</f>
        <v>-</v>
      </c>
      <c r="W3469" s="27" t="str">
        <f t="shared" si="1888"/>
        <v>-</v>
      </c>
      <c r="X3469" s="27" t="str">
        <f>IFERROR(W3469*L3467,"-")</f>
        <v>-</v>
      </c>
      <c r="Z3469" s="94" t="s">
        <v>82</v>
      </c>
    </row>
    <row r="3470" spans="1:26" s="25" customFormat="1" ht="6.95" customHeight="1" x14ac:dyDescent="0.3">
      <c r="A3470" s="13"/>
      <c r="B3470" s="168"/>
      <c r="C3470" s="169"/>
      <c r="D3470" s="160" t="s">
        <v>39</v>
      </c>
      <c r="E3470" s="161"/>
      <c r="F3470" s="162" t="s">
        <v>40</v>
      </c>
      <c r="G3470" s="163"/>
      <c r="H3470" s="164"/>
      <c r="I3470" s="163"/>
      <c r="J3470" s="164"/>
      <c r="K3470" s="163"/>
      <c r="L3470" s="164"/>
      <c r="M3470" s="11"/>
      <c r="N3470" s="39"/>
      <c r="Q3470" s="15" t="str">
        <f>+CONCATENATE(E3470,G3470)</f>
        <v/>
      </c>
      <c r="R3470" s="15">
        <f>+H3470</f>
        <v>0</v>
      </c>
      <c r="S3470" s="16"/>
      <c r="T3470" s="15">
        <f>+E3470</f>
        <v>0</v>
      </c>
      <c r="U3470" s="26" t="str">
        <f t="shared" ref="U3470" si="1889">IFERROR(LEFT(G3470,FIND("*",G3470)-1),"-")</f>
        <v>-</v>
      </c>
      <c r="V3470" s="26" t="str">
        <f t="shared" ref="V3470" si="1890">IFERROR(RIGHT(G3470,LEN(G3470)-FIND("*",G3470)),"-")</f>
        <v>-</v>
      </c>
      <c r="W3470" s="27" t="str">
        <f t="shared" si="1888"/>
        <v>-</v>
      </c>
      <c r="X3470" s="27" t="str">
        <f>IFERROR(W3470*H3470,"-")</f>
        <v>-</v>
      </c>
      <c r="Z3470" s="94" t="s">
        <v>82</v>
      </c>
    </row>
    <row r="3471" spans="1:26" s="25" customFormat="1" ht="6.95" customHeight="1" x14ac:dyDescent="0.3">
      <c r="A3471" s="10"/>
      <c r="B3471" s="168"/>
      <c r="C3471" s="169"/>
      <c r="D3471" s="160"/>
      <c r="E3471" s="161"/>
      <c r="F3471" s="162"/>
      <c r="G3471" s="163"/>
      <c r="H3471" s="164"/>
      <c r="I3471" s="163"/>
      <c r="J3471" s="164"/>
      <c r="K3471" s="163"/>
      <c r="L3471" s="164"/>
      <c r="M3471" s="11"/>
      <c r="N3471" s="39"/>
      <c r="Q3471" s="15" t="str">
        <f>+CONCATENATE(E3470,I3470)</f>
        <v/>
      </c>
      <c r="R3471" s="15">
        <f>+J3470</f>
        <v>0</v>
      </c>
      <c r="S3471" s="16"/>
      <c r="T3471" s="15">
        <f>+E3470</f>
        <v>0</v>
      </c>
      <c r="U3471" s="26" t="str">
        <f>IFERROR(LEFT(I3470,FIND("*",I3470)-1),"-")</f>
        <v>-</v>
      </c>
      <c r="V3471" s="26" t="str">
        <f>IFERROR(RIGHT(I3470,LEN(I3470)-FIND("*",I3470)),"-")</f>
        <v>-</v>
      </c>
      <c r="W3471" s="27" t="str">
        <f t="shared" si="1888"/>
        <v>-</v>
      </c>
      <c r="X3471" s="27" t="str">
        <f>IFERROR(W3471*J3470,"-")</f>
        <v>-</v>
      </c>
      <c r="Z3471" s="94" t="s">
        <v>82</v>
      </c>
    </row>
    <row r="3472" spans="1:26" s="25" customFormat="1" ht="6.95" customHeight="1" x14ac:dyDescent="0.3">
      <c r="A3472" s="10"/>
      <c r="B3472" s="168"/>
      <c r="C3472" s="169"/>
      <c r="D3472" s="160"/>
      <c r="E3472" s="161"/>
      <c r="F3472" s="162"/>
      <c r="G3472" s="163"/>
      <c r="H3472" s="164"/>
      <c r="I3472" s="163"/>
      <c r="J3472" s="164"/>
      <c r="K3472" s="163"/>
      <c r="L3472" s="164"/>
      <c r="M3472" s="11"/>
      <c r="N3472" s="39"/>
      <c r="Q3472" s="15" t="str">
        <f>+CONCATENATE(E3470,K3470)</f>
        <v/>
      </c>
      <c r="R3472" s="15">
        <f>+L3470</f>
        <v>0</v>
      </c>
      <c r="S3472" s="16"/>
      <c r="T3472" s="15">
        <f>+E3470</f>
        <v>0</v>
      </c>
      <c r="U3472" s="26" t="str">
        <f>IFERROR(LEFT(K3470,FIND("*",K3470)-1),"-")</f>
        <v>-</v>
      </c>
      <c r="V3472" s="26" t="str">
        <f>IFERROR(RIGHT(K3470,LEN(K3470)-FIND("*",K3470)),"-")</f>
        <v>-</v>
      </c>
      <c r="W3472" s="27" t="str">
        <f t="shared" si="1888"/>
        <v>-</v>
      </c>
      <c r="X3472" s="27" t="str">
        <f>IFERROR(W3472*L3470,"-")</f>
        <v>-</v>
      </c>
      <c r="Z3472" s="94" t="s">
        <v>82</v>
      </c>
    </row>
    <row r="3473" spans="1:26" s="25" customFormat="1" ht="6.95" customHeight="1" x14ac:dyDescent="0.3">
      <c r="A3473" s="13"/>
      <c r="B3473" s="168"/>
      <c r="C3473" s="169"/>
      <c r="D3473" s="160" t="s">
        <v>39</v>
      </c>
      <c r="E3473" s="161"/>
      <c r="F3473" s="162" t="s">
        <v>40</v>
      </c>
      <c r="G3473" s="163"/>
      <c r="H3473" s="164"/>
      <c r="I3473" s="163"/>
      <c r="J3473" s="164"/>
      <c r="K3473" s="163"/>
      <c r="L3473" s="164"/>
      <c r="M3473" s="11"/>
      <c r="N3473" s="39"/>
      <c r="Q3473" s="15" t="str">
        <f>+CONCATENATE(E3473,G3473)</f>
        <v/>
      </c>
      <c r="R3473" s="15">
        <f>+H3473</f>
        <v>0</v>
      </c>
      <c r="S3473" s="16"/>
      <c r="T3473" s="15">
        <f>+E3473</f>
        <v>0</v>
      </c>
      <c r="U3473" s="26" t="str">
        <f t="shared" ref="U3473" si="1891">IFERROR(LEFT(G3473,FIND("*",G3473)-1),"-")</f>
        <v>-</v>
      </c>
      <c r="V3473" s="26" t="str">
        <f t="shared" ref="V3473" si="1892">IFERROR(RIGHT(G3473,LEN(G3473)-FIND("*",G3473)),"-")</f>
        <v>-</v>
      </c>
      <c r="W3473" s="27" t="str">
        <f t="shared" si="1888"/>
        <v>-</v>
      </c>
      <c r="X3473" s="27" t="str">
        <f>IFERROR(W3473*H3473,"-")</f>
        <v>-</v>
      </c>
      <c r="Z3473" s="94" t="s">
        <v>82</v>
      </c>
    </row>
    <row r="3474" spans="1:26" s="25" customFormat="1" ht="6.95" customHeight="1" x14ac:dyDescent="0.3">
      <c r="A3474" s="10"/>
      <c r="B3474" s="168"/>
      <c r="C3474" s="169"/>
      <c r="D3474" s="160"/>
      <c r="E3474" s="161"/>
      <c r="F3474" s="162"/>
      <c r="G3474" s="163"/>
      <c r="H3474" s="164"/>
      <c r="I3474" s="163"/>
      <c r="J3474" s="164"/>
      <c r="K3474" s="163"/>
      <c r="L3474" s="164"/>
      <c r="M3474" s="11"/>
      <c r="N3474" s="39"/>
      <c r="Q3474" s="15" t="str">
        <f>+CONCATENATE(E3473,I3473)</f>
        <v/>
      </c>
      <c r="R3474" s="15">
        <f>+J3473</f>
        <v>0</v>
      </c>
      <c r="S3474" s="16"/>
      <c r="T3474" s="15">
        <f>+E3473</f>
        <v>0</v>
      </c>
      <c r="U3474" s="26" t="str">
        <f>IFERROR(LEFT(I3473,FIND("*",I3473)-1),"-")</f>
        <v>-</v>
      </c>
      <c r="V3474" s="26" t="str">
        <f>IFERROR(RIGHT(I3473,LEN(I3473)-FIND("*",I3473)),"-")</f>
        <v>-</v>
      </c>
      <c r="W3474" s="27" t="str">
        <f t="shared" si="1888"/>
        <v>-</v>
      </c>
      <c r="X3474" s="27" t="str">
        <f t="shared" ref="X3474" si="1893">IFERROR(W3474*J3473,"-")</f>
        <v>-</v>
      </c>
      <c r="Z3474" s="94" t="s">
        <v>82</v>
      </c>
    </row>
    <row r="3475" spans="1:26" s="25" customFormat="1" ht="6.95" customHeight="1" x14ac:dyDescent="0.3">
      <c r="A3475" s="10"/>
      <c r="B3475" s="168"/>
      <c r="C3475" s="169"/>
      <c r="D3475" s="160"/>
      <c r="E3475" s="161"/>
      <c r="F3475" s="162"/>
      <c r="G3475" s="163"/>
      <c r="H3475" s="164"/>
      <c r="I3475" s="163"/>
      <c r="J3475" s="164"/>
      <c r="K3475" s="163"/>
      <c r="L3475" s="164"/>
      <c r="M3475" s="11"/>
      <c r="N3475" s="39"/>
      <c r="Q3475" s="15" t="str">
        <f>+CONCATENATE(E3473,K3473)</f>
        <v/>
      </c>
      <c r="R3475" s="15">
        <f>+L3473</f>
        <v>0</v>
      </c>
      <c r="S3475" s="16"/>
      <c r="T3475" s="15">
        <f>+E3473</f>
        <v>0</v>
      </c>
      <c r="U3475" s="26" t="str">
        <f>IFERROR(LEFT(K3473,FIND("*",K3473)-1),"-")</f>
        <v>-</v>
      </c>
      <c r="V3475" s="26" t="str">
        <f>IFERROR(RIGHT(K3473,LEN(K3473)-FIND("*",K3473)),"-")</f>
        <v>-</v>
      </c>
      <c r="W3475" s="27" t="str">
        <f t="shared" si="1888"/>
        <v>-</v>
      </c>
      <c r="X3475" s="27" t="str">
        <f>IFERROR(W3475*L3473,"-")</f>
        <v>-</v>
      </c>
      <c r="Z3475" s="94" t="s">
        <v>82</v>
      </c>
    </row>
    <row r="3476" spans="1:26" s="25" customFormat="1" ht="21" customHeight="1" thickBot="1" x14ac:dyDescent="0.35">
      <c r="A3476" s="10"/>
      <c r="B3476" s="170"/>
      <c r="C3476" s="171"/>
      <c r="D3476" s="172" t="s">
        <v>43</v>
      </c>
      <c r="E3476" s="173"/>
      <c r="F3476" s="173"/>
      <c r="G3476" s="174"/>
      <c r="H3476" s="174"/>
      <c r="I3476" s="174"/>
      <c r="J3476" s="174"/>
      <c r="K3476" s="174"/>
      <c r="L3476" s="174"/>
      <c r="M3476" s="12"/>
      <c r="N3476" s="39"/>
      <c r="U3476" s="23"/>
      <c r="V3476" s="23"/>
      <c r="Z3476" s="95" t="s">
        <v>81</v>
      </c>
    </row>
    <row r="3477" spans="1:26" s="25" customFormat="1" ht="9.9499999999999993" customHeight="1" thickBot="1" x14ac:dyDescent="0.35">
      <c r="A3477" s="6"/>
      <c r="B3477" s="14"/>
      <c r="C3477" s="119"/>
      <c r="D3477" s="58"/>
      <c r="E3477" s="17"/>
      <c r="F3477" s="58"/>
      <c r="G3477" s="19"/>
      <c r="H3477" s="19"/>
      <c r="I3477" s="19"/>
      <c r="J3477" s="19"/>
      <c r="K3477" s="19"/>
      <c r="L3477" s="19"/>
      <c r="M3477" s="14"/>
      <c r="N3477" s="39"/>
      <c r="Q3477" s="1"/>
      <c r="R3477" s="1"/>
      <c r="S3477" s="1"/>
      <c r="T3477" s="1"/>
      <c r="U3477" s="24"/>
      <c r="V3477" s="24"/>
      <c r="W3477" s="1"/>
      <c r="X3477" s="1"/>
      <c r="Z3477" s="94" t="s">
        <v>82</v>
      </c>
    </row>
    <row r="3478" spans="1:26" s="25" customFormat="1" ht="6.95" customHeight="1" x14ac:dyDescent="0.3">
      <c r="A3478" s="165">
        <f>+A3467+1</f>
        <v>317</v>
      </c>
      <c r="B3478" s="166"/>
      <c r="C3478" s="167"/>
      <c r="D3478" s="160" t="s">
        <v>39</v>
      </c>
      <c r="E3478" s="161"/>
      <c r="F3478" s="162" t="s">
        <v>40</v>
      </c>
      <c r="G3478" s="163"/>
      <c r="H3478" s="164"/>
      <c r="I3478" s="163"/>
      <c r="J3478" s="164"/>
      <c r="K3478" s="163"/>
      <c r="L3478" s="164"/>
      <c r="M3478" s="11"/>
      <c r="N3478" s="39"/>
      <c r="Q3478" s="15" t="str">
        <f>+CONCATENATE(E3478,G3478)</f>
        <v/>
      </c>
      <c r="R3478" s="15">
        <f>+H3478</f>
        <v>0</v>
      </c>
      <c r="S3478" s="16"/>
      <c r="T3478" s="15">
        <f>+E3478</f>
        <v>0</v>
      </c>
      <c r="U3478" s="26" t="str">
        <f>IFERROR(LEFT(G3478,FIND("*",G3478)-1),"-")</f>
        <v>-</v>
      </c>
      <c r="V3478" s="26" t="str">
        <f>IFERROR(RIGHT(G3478,LEN(G3478)-FIND("*",G3478)),"-")</f>
        <v>-</v>
      </c>
      <c r="W3478" s="27" t="str">
        <f>IFERROR((U3478+V3478)*2/1000,"-")</f>
        <v>-</v>
      </c>
      <c r="X3478" s="27" t="str">
        <f>IFERROR(W3478*H3478,"-")</f>
        <v>-</v>
      </c>
      <c r="Z3478" s="94" t="s">
        <v>82</v>
      </c>
    </row>
    <row r="3479" spans="1:26" s="25" customFormat="1" ht="6.95" customHeight="1" x14ac:dyDescent="0.3">
      <c r="A3479" s="165"/>
      <c r="B3479" s="168"/>
      <c r="C3479" s="169"/>
      <c r="D3479" s="160"/>
      <c r="E3479" s="161"/>
      <c r="F3479" s="162"/>
      <c r="G3479" s="163"/>
      <c r="H3479" s="164"/>
      <c r="I3479" s="163"/>
      <c r="J3479" s="164"/>
      <c r="K3479" s="163"/>
      <c r="L3479" s="164"/>
      <c r="M3479" s="11"/>
      <c r="N3479" s="39"/>
      <c r="Q3479" s="15" t="str">
        <f>+CONCATENATE(E3478,I3478)</f>
        <v/>
      </c>
      <c r="R3479" s="15">
        <f>+J3478</f>
        <v>0</v>
      </c>
      <c r="S3479" s="16"/>
      <c r="T3479" s="15">
        <f>+E3478</f>
        <v>0</v>
      </c>
      <c r="U3479" s="26" t="str">
        <f>IFERROR(LEFT(I3478,FIND("*",I3478)-1),"-")</f>
        <v>-</v>
      </c>
      <c r="V3479" s="26" t="str">
        <f>IFERROR(RIGHT(I3478,LEN(I3478)-FIND("*",I3478)),"-")</f>
        <v>-</v>
      </c>
      <c r="W3479" s="27" t="str">
        <f t="shared" ref="W3479:W3486" si="1894">IFERROR((U3479+V3479)*2/1000,"-")</f>
        <v>-</v>
      </c>
      <c r="X3479" s="27" t="str">
        <f>IFERROR(W3479*J3478,"-")</f>
        <v>-</v>
      </c>
      <c r="Z3479" s="94" t="s">
        <v>82</v>
      </c>
    </row>
    <row r="3480" spans="1:26" s="25" customFormat="1" ht="6.95" customHeight="1" x14ac:dyDescent="0.3">
      <c r="A3480" s="165"/>
      <c r="B3480" s="168"/>
      <c r="C3480" s="169"/>
      <c r="D3480" s="160"/>
      <c r="E3480" s="161"/>
      <c r="F3480" s="162"/>
      <c r="G3480" s="163"/>
      <c r="H3480" s="164"/>
      <c r="I3480" s="163"/>
      <c r="J3480" s="164"/>
      <c r="K3480" s="163"/>
      <c r="L3480" s="164"/>
      <c r="M3480" s="11"/>
      <c r="N3480" s="39"/>
      <c r="Q3480" s="15" t="str">
        <f>+CONCATENATE(E3478,K3478)</f>
        <v/>
      </c>
      <c r="R3480" s="15">
        <f>+L3478</f>
        <v>0</v>
      </c>
      <c r="S3480" s="16"/>
      <c r="T3480" s="15">
        <f>+E3478</f>
        <v>0</v>
      </c>
      <c r="U3480" s="26" t="str">
        <f>IFERROR(LEFT(K3478,FIND("*",K3478)-1),"-")</f>
        <v>-</v>
      </c>
      <c r="V3480" s="26" t="str">
        <f>IFERROR(RIGHT(K3478,LEN(K3478)-FIND("*",K3478)),"-")</f>
        <v>-</v>
      </c>
      <c r="W3480" s="27" t="str">
        <f t="shared" si="1894"/>
        <v>-</v>
      </c>
      <c r="X3480" s="27" t="str">
        <f>IFERROR(W3480*L3478,"-")</f>
        <v>-</v>
      </c>
      <c r="Z3480" s="94" t="s">
        <v>82</v>
      </c>
    </row>
    <row r="3481" spans="1:26" s="25" customFormat="1" ht="6.95" customHeight="1" x14ac:dyDescent="0.3">
      <c r="A3481" s="13"/>
      <c r="B3481" s="168"/>
      <c r="C3481" s="169"/>
      <c r="D3481" s="160" t="s">
        <v>39</v>
      </c>
      <c r="E3481" s="161"/>
      <c r="F3481" s="162" t="s">
        <v>40</v>
      </c>
      <c r="G3481" s="163"/>
      <c r="H3481" s="164"/>
      <c r="I3481" s="163"/>
      <c r="J3481" s="164"/>
      <c r="K3481" s="163"/>
      <c r="L3481" s="164"/>
      <c r="M3481" s="11"/>
      <c r="N3481" s="39"/>
      <c r="Q3481" s="15" t="str">
        <f>+CONCATENATE(E3481,G3481)</f>
        <v/>
      </c>
      <c r="R3481" s="15">
        <f>+H3481</f>
        <v>0</v>
      </c>
      <c r="S3481" s="16"/>
      <c r="T3481" s="15">
        <f>+E3481</f>
        <v>0</v>
      </c>
      <c r="U3481" s="26" t="str">
        <f t="shared" ref="U3481" si="1895">IFERROR(LEFT(G3481,FIND("*",G3481)-1),"-")</f>
        <v>-</v>
      </c>
      <c r="V3481" s="26" t="str">
        <f t="shared" ref="V3481" si="1896">IFERROR(RIGHT(G3481,LEN(G3481)-FIND("*",G3481)),"-")</f>
        <v>-</v>
      </c>
      <c r="W3481" s="27" t="str">
        <f t="shared" si="1894"/>
        <v>-</v>
      </c>
      <c r="X3481" s="27" t="str">
        <f>IFERROR(W3481*H3481,"-")</f>
        <v>-</v>
      </c>
      <c r="Z3481" s="94" t="s">
        <v>82</v>
      </c>
    </row>
    <row r="3482" spans="1:26" s="25" customFormat="1" ht="6.95" customHeight="1" x14ac:dyDescent="0.3">
      <c r="A3482" s="10"/>
      <c r="B3482" s="168"/>
      <c r="C3482" s="169"/>
      <c r="D3482" s="160"/>
      <c r="E3482" s="161"/>
      <c r="F3482" s="162"/>
      <c r="G3482" s="163"/>
      <c r="H3482" s="164"/>
      <c r="I3482" s="163"/>
      <c r="J3482" s="164"/>
      <c r="K3482" s="163"/>
      <c r="L3482" s="164"/>
      <c r="M3482" s="11"/>
      <c r="N3482" s="39"/>
      <c r="Q3482" s="15" t="str">
        <f>+CONCATENATE(E3481,I3481)</f>
        <v/>
      </c>
      <c r="R3482" s="15">
        <f>+J3481</f>
        <v>0</v>
      </c>
      <c r="S3482" s="16"/>
      <c r="T3482" s="15">
        <f>+E3481</f>
        <v>0</v>
      </c>
      <c r="U3482" s="26" t="str">
        <f>IFERROR(LEFT(I3481,FIND("*",I3481)-1),"-")</f>
        <v>-</v>
      </c>
      <c r="V3482" s="26" t="str">
        <f>IFERROR(RIGHT(I3481,LEN(I3481)-FIND("*",I3481)),"-")</f>
        <v>-</v>
      </c>
      <c r="W3482" s="27" t="str">
        <f t="shared" si="1894"/>
        <v>-</v>
      </c>
      <c r="X3482" s="27" t="str">
        <f>IFERROR(W3482*J3481,"-")</f>
        <v>-</v>
      </c>
      <c r="Z3482" s="94" t="s">
        <v>82</v>
      </c>
    </row>
    <row r="3483" spans="1:26" s="25" customFormat="1" ht="6.95" customHeight="1" x14ac:dyDescent="0.3">
      <c r="A3483" s="10"/>
      <c r="B3483" s="168"/>
      <c r="C3483" s="169"/>
      <c r="D3483" s="160"/>
      <c r="E3483" s="161"/>
      <c r="F3483" s="162"/>
      <c r="G3483" s="163"/>
      <c r="H3483" s="164"/>
      <c r="I3483" s="163"/>
      <c r="J3483" s="164"/>
      <c r="K3483" s="163"/>
      <c r="L3483" s="164"/>
      <c r="M3483" s="11"/>
      <c r="N3483" s="39"/>
      <c r="Q3483" s="15" t="str">
        <f>+CONCATENATE(E3481,K3481)</f>
        <v/>
      </c>
      <c r="R3483" s="15">
        <f>+L3481</f>
        <v>0</v>
      </c>
      <c r="S3483" s="16"/>
      <c r="T3483" s="15">
        <f>+E3481</f>
        <v>0</v>
      </c>
      <c r="U3483" s="26" t="str">
        <f>IFERROR(LEFT(K3481,FIND("*",K3481)-1),"-")</f>
        <v>-</v>
      </c>
      <c r="V3483" s="26" t="str">
        <f>IFERROR(RIGHT(K3481,LEN(K3481)-FIND("*",K3481)),"-")</f>
        <v>-</v>
      </c>
      <c r="W3483" s="27" t="str">
        <f t="shared" si="1894"/>
        <v>-</v>
      </c>
      <c r="X3483" s="27" t="str">
        <f>IFERROR(W3483*L3481,"-")</f>
        <v>-</v>
      </c>
      <c r="Z3483" s="94" t="s">
        <v>82</v>
      </c>
    </row>
    <row r="3484" spans="1:26" s="25" customFormat="1" ht="6.95" customHeight="1" x14ac:dyDescent="0.3">
      <c r="A3484" s="13"/>
      <c r="B3484" s="168"/>
      <c r="C3484" s="169"/>
      <c r="D3484" s="160" t="s">
        <v>39</v>
      </c>
      <c r="E3484" s="161"/>
      <c r="F3484" s="162" t="s">
        <v>40</v>
      </c>
      <c r="G3484" s="163"/>
      <c r="H3484" s="164"/>
      <c r="I3484" s="163"/>
      <c r="J3484" s="164"/>
      <c r="K3484" s="163"/>
      <c r="L3484" s="164"/>
      <c r="M3484" s="11"/>
      <c r="N3484" s="39"/>
      <c r="Q3484" s="15" t="str">
        <f>+CONCATENATE(E3484,G3484)</f>
        <v/>
      </c>
      <c r="R3484" s="15">
        <f>+H3484</f>
        <v>0</v>
      </c>
      <c r="S3484" s="16"/>
      <c r="T3484" s="15">
        <f>+E3484</f>
        <v>0</v>
      </c>
      <c r="U3484" s="26" t="str">
        <f t="shared" ref="U3484" si="1897">IFERROR(LEFT(G3484,FIND("*",G3484)-1),"-")</f>
        <v>-</v>
      </c>
      <c r="V3484" s="26" t="str">
        <f t="shared" ref="V3484" si="1898">IFERROR(RIGHT(G3484,LEN(G3484)-FIND("*",G3484)),"-")</f>
        <v>-</v>
      </c>
      <c r="W3484" s="27" t="str">
        <f t="shared" si="1894"/>
        <v>-</v>
      </c>
      <c r="X3484" s="27" t="str">
        <f>IFERROR(W3484*H3484,"-")</f>
        <v>-</v>
      </c>
      <c r="Z3484" s="94" t="s">
        <v>82</v>
      </c>
    </row>
    <row r="3485" spans="1:26" s="25" customFormat="1" ht="6.95" customHeight="1" x14ac:dyDescent="0.3">
      <c r="A3485" s="10"/>
      <c r="B3485" s="168"/>
      <c r="C3485" s="169"/>
      <c r="D3485" s="160"/>
      <c r="E3485" s="161"/>
      <c r="F3485" s="162"/>
      <c r="G3485" s="163"/>
      <c r="H3485" s="164"/>
      <c r="I3485" s="163"/>
      <c r="J3485" s="164"/>
      <c r="K3485" s="163"/>
      <c r="L3485" s="164"/>
      <c r="M3485" s="11"/>
      <c r="N3485" s="39"/>
      <c r="Q3485" s="15" t="str">
        <f>+CONCATENATE(E3484,I3484)</f>
        <v/>
      </c>
      <c r="R3485" s="15">
        <f>+J3484</f>
        <v>0</v>
      </c>
      <c r="S3485" s="16"/>
      <c r="T3485" s="15">
        <f>+E3484</f>
        <v>0</v>
      </c>
      <c r="U3485" s="26" t="str">
        <f>IFERROR(LEFT(I3484,FIND("*",I3484)-1),"-")</f>
        <v>-</v>
      </c>
      <c r="V3485" s="26" t="str">
        <f>IFERROR(RIGHT(I3484,LEN(I3484)-FIND("*",I3484)),"-")</f>
        <v>-</v>
      </c>
      <c r="W3485" s="27" t="str">
        <f t="shared" si="1894"/>
        <v>-</v>
      </c>
      <c r="X3485" s="27" t="str">
        <f t="shared" ref="X3485" si="1899">IFERROR(W3485*J3484,"-")</f>
        <v>-</v>
      </c>
      <c r="Z3485" s="94" t="s">
        <v>82</v>
      </c>
    </row>
    <row r="3486" spans="1:26" s="25" customFormat="1" ht="6.95" customHeight="1" x14ac:dyDescent="0.3">
      <c r="A3486" s="10"/>
      <c r="B3486" s="168"/>
      <c r="C3486" s="169"/>
      <c r="D3486" s="160"/>
      <c r="E3486" s="161"/>
      <c r="F3486" s="162"/>
      <c r="G3486" s="163"/>
      <c r="H3486" s="164"/>
      <c r="I3486" s="163"/>
      <c r="J3486" s="164"/>
      <c r="K3486" s="163"/>
      <c r="L3486" s="164"/>
      <c r="M3486" s="11"/>
      <c r="N3486" s="39"/>
      <c r="Q3486" s="15" t="str">
        <f>+CONCATENATE(E3484,K3484)</f>
        <v/>
      </c>
      <c r="R3486" s="15">
        <f>+L3484</f>
        <v>0</v>
      </c>
      <c r="S3486" s="16"/>
      <c r="T3486" s="15">
        <f>+E3484</f>
        <v>0</v>
      </c>
      <c r="U3486" s="26" t="str">
        <f>IFERROR(LEFT(K3484,FIND("*",K3484)-1),"-")</f>
        <v>-</v>
      </c>
      <c r="V3486" s="26" t="str">
        <f>IFERROR(RIGHT(K3484,LEN(K3484)-FIND("*",K3484)),"-")</f>
        <v>-</v>
      </c>
      <c r="W3486" s="27" t="str">
        <f t="shared" si="1894"/>
        <v>-</v>
      </c>
      <c r="X3486" s="27" t="str">
        <f>IFERROR(W3486*L3484,"-")</f>
        <v>-</v>
      </c>
      <c r="Z3486" s="94" t="s">
        <v>82</v>
      </c>
    </row>
    <row r="3487" spans="1:26" s="25" customFormat="1" ht="21" customHeight="1" thickBot="1" x14ac:dyDescent="0.35">
      <c r="A3487" s="10"/>
      <c r="B3487" s="170"/>
      <c r="C3487" s="171"/>
      <c r="D3487" s="172" t="s">
        <v>43</v>
      </c>
      <c r="E3487" s="173"/>
      <c r="F3487" s="173"/>
      <c r="G3487" s="174"/>
      <c r="H3487" s="174"/>
      <c r="I3487" s="174"/>
      <c r="J3487" s="174"/>
      <c r="K3487" s="174"/>
      <c r="L3487" s="174"/>
      <c r="M3487" s="12"/>
      <c r="N3487" s="39"/>
      <c r="U3487" s="23"/>
      <c r="V3487" s="23"/>
      <c r="Z3487" s="95" t="s">
        <v>81</v>
      </c>
    </row>
    <row r="3488" spans="1:26" s="25" customFormat="1" ht="9.9499999999999993" customHeight="1" thickBot="1" x14ac:dyDescent="0.35">
      <c r="A3488" s="6"/>
      <c r="B3488" s="14"/>
      <c r="C3488" s="119"/>
      <c r="D3488" s="58"/>
      <c r="E3488" s="17"/>
      <c r="F3488" s="58"/>
      <c r="G3488" s="19"/>
      <c r="H3488" s="19"/>
      <c r="I3488" s="19"/>
      <c r="J3488" s="19"/>
      <c r="K3488" s="19"/>
      <c r="L3488" s="19"/>
      <c r="M3488" s="14"/>
      <c r="N3488" s="39"/>
      <c r="Q3488" s="1"/>
      <c r="R3488" s="1"/>
      <c r="S3488" s="1"/>
      <c r="T3488" s="1"/>
      <c r="U3488" s="24"/>
      <c r="V3488" s="24"/>
      <c r="W3488" s="1"/>
      <c r="X3488" s="1"/>
      <c r="Z3488" s="94" t="s">
        <v>82</v>
      </c>
    </row>
    <row r="3489" spans="1:26" s="25" customFormat="1" ht="6.95" customHeight="1" x14ac:dyDescent="0.3">
      <c r="A3489" s="165">
        <f>+A3478+1</f>
        <v>318</v>
      </c>
      <c r="B3489" s="166"/>
      <c r="C3489" s="167"/>
      <c r="D3489" s="160" t="s">
        <v>39</v>
      </c>
      <c r="E3489" s="161"/>
      <c r="F3489" s="162" t="s">
        <v>40</v>
      </c>
      <c r="G3489" s="163"/>
      <c r="H3489" s="164"/>
      <c r="I3489" s="163"/>
      <c r="J3489" s="164"/>
      <c r="K3489" s="163"/>
      <c r="L3489" s="164"/>
      <c r="M3489" s="11"/>
      <c r="N3489" s="39"/>
      <c r="Q3489" s="15" t="str">
        <f>+CONCATENATE(E3489,G3489)</f>
        <v/>
      </c>
      <c r="R3489" s="15">
        <f>+H3489</f>
        <v>0</v>
      </c>
      <c r="S3489" s="16"/>
      <c r="T3489" s="15">
        <f>+E3489</f>
        <v>0</v>
      </c>
      <c r="U3489" s="26" t="str">
        <f>IFERROR(LEFT(G3489,FIND("*",G3489)-1),"-")</f>
        <v>-</v>
      </c>
      <c r="V3489" s="26" t="str">
        <f>IFERROR(RIGHT(G3489,LEN(G3489)-FIND("*",G3489)),"-")</f>
        <v>-</v>
      </c>
      <c r="W3489" s="27" t="str">
        <f>IFERROR((U3489+V3489)*2/1000,"-")</f>
        <v>-</v>
      </c>
      <c r="X3489" s="27" t="str">
        <f>IFERROR(W3489*H3489,"-")</f>
        <v>-</v>
      </c>
      <c r="Z3489" s="94" t="s">
        <v>82</v>
      </c>
    </row>
    <row r="3490" spans="1:26" s="25" customFormat="1" ht="6.95" customHeight="1" x14ac:dyDescent="0.3">
      <c r="A3490" s="165"/>
      <c r="B3490" s="168"/>
      <c r="C3490" s="169"/>
      <c r="D3490" s="160"/>
      <c r="E3490" s="161"/>
      <c r="F3490" s="162"/>
      <c r="G3490" s="163"/>
      <c r="H3490" s="164"/>
      <c r="I3490" s="163"/>
      <c r="J3490" s="164"/>
      <c r="K3490" s="163"/>
      <c r="L3490" s="164"/>
      <c r="M3490" s="11"/>
      <c r="N3490" s="39"/>
      <c r="Q3490" s="15" t="str">
        <f>+CONCATENATE(E3489,I3489)</f>
        <v/>
      </c>
      <c r="R3490" s="15">
        <f>+J3489</f>
        <v>0</v>
      </c>
      <c r="S3490" s="16"/>
      <c r="T3490" s="15">
        <f>+E3489</f>
        <v>0</v>
      </c>
      <c r="U3490" s="26" t="str">
        <f>IFERROR(LEFT(I3489,FIND("*",I3489)-1),"-")</f>
        <v>-</v>
      </c>
      <c r="V3490" s="26" t="str">
        <f>IFERROR(RIGHT(I3489,LEN(I3489)-FIND("*",I3489)),"-")</f>
        <v>-</v>
      </c>
      <c r="W3490" s="27" t="str">
        <f t="shared" ref="W3490:W3497" si="1900">IFERROR((U3490+V3490)*2/1000,"-")</f>
        <v>-</v>
      </c>
      <c r="X3490" s="27" t="str">
        <f>IFERROR(W3490*J3489,"-")</f>
        <v>-</v>
      </c>
      <c r="Z3490" s="94" t="s">
        <v>82</v>
      </c>
    </row>
    <row r="3491" spans="1:26" s="25" customFormat="1" ht="6.95" customHeight="1" x14ac:dyDescent="0.3">
      <c r="A3491" s="165"/>
      <c r="B3491" s="168"/>
      <c r="C3491" s="169"/>
      <c r="D3491" s="160"/>
      <c r="E3491" s="161"/>
      <c r="F3491" s="162"/>
      <c r="G3491" s="163"/>
      <c r="H3491" s="164"/>
      <c r="I3491" s="163"/>
      <c r="J3491" s="164"/>
      <c r="K3491" s="163"/>
      <c r="L3491" s="164"/>
      <c r="M3491" s="11"/>
      <c r="N3491" s="39"/>
      <c r="Q3491" s="15" t="str">
        <f>+CONCATENATE(E3489,K3489)</f>
        <v/>
      </c>
      <c r="R3491" s="15">
        <f>+L3489</f>
        <v>0</v>
      </c>
      <c r="S3491" s="16"/>
      <c r="T3491" s="15">
        <f>+E3489</f>
        <v>0</v>
      </c>
      <c r="U3491" s="26" t="str">
        <f>IFERROR(LEFT(K3489,FIND("*",K3489)-1),"-")</f>
        <v>-</v>
      </c>
      <c r="V3491" s="26" t="str">
        <f>IFERROR(RIGHT(K3489,LEN(K3489)-FIND("*",K3489)),"-")</f>
        <v>-</v>
      </c>
      <c r="W3491" s="27" t="str">
        <f t="shared" si="1900"/>
        <v>-</v>
      </c>
      <c r="X3491" s="27" t="str">
        <f>IFERROR(W3491*L3489,"-")</f>
        <v>-</v>
      </c>
      <c r="Z3491" s="94" t="s">
        <v>82</v>
      </c>
    </row>
    <row r="3492" spans="1:26" s="25" customFormat="1" ht="6.95" customHeight="1" x14ac:dyDescent="0.3">
      <c r="A3492" s="13"/>
      <c r="B3492" s="168"/>
      <c r="C3492" s="169"/>
      <c r="D3492" s="160" t="s">
        <v>39</v>
      </c>
      <c r="E3492" s="161"/>
      <c r="F3492" s="162" t="s">
        <v>40</v>
      </c>
      <c r="G3492" s="163"/>
      <c r="H3492" s="164"/>
      <c r="I3492" s="163"/>
      <c r="J3492" s="164"/>
      <c r="K3492" s="163"/>
      <c r="L3492" s="164"/>
      <c r="M3492" s="11"/>
      <c r="N3492" s="39"/>
      <c r="Q3492" s="15" t="str">
        <f>+CONCATENATE(E3492,G3492)</f>
        <v/>
      </c>
      <c r="R3492" s="15">
        <f>+H3492</f>
        <v>0</v>
      </c>
      <c r="S3492" s="16"/>
      <c r="T3492" s="15">
        <f>+E3492</f>
        <v>0</v>
      </c>
      <c r="U3492" s="26" t="str">
        <f t="shared" ref="U3492" si="1901">IFERROR(LEFT(G3492,FIND("*",G3492)-1),"-")</f>
        <v>-</v>
      </c>
      <c r="V3492" s="26" t="str">
        <f t="shared" ref="V3492" si="1902">IFERROR(RIGHT(G3492,LEN(G3492)-FIND("*",G3492)),"-")</f>
        <v>-</v>
      </c>
      <c r="W3492" s="27" t="str">
        <f t="shared" si="1900"/>
        <v>-</v>
      </c>
      <c r="X3492" s="27" t="str">
        <f>IFERROR(W3492*H3492,"-")</f>
        <v>-</v>
      </c>
      <c r="Z3492" s="94" t="s">
        <v>82</v>
      </c>
    </row>
    <row r="3493" spans="1:26" s="25" customFormat="1" ht="6.95" customHeight="1" x14ac:dyDescent="0.3">
      <c r="A3493" s="10"/>
      <c r="B3493" s="168"/>
      <c r="C3493" s="169"/>
      <c r="D3493" s="160"/>
      <c r="E3493" s="161"/>
      <c r="F3493" s="162"/>
      <c r="G3493" s="163"/>
      <c r="H3493" s="164"/>
      <c r="I3493" s="163"/>
      <c r="J3493" s="164"/>
      <c r="K3493" s="163"/>
      <c r="L3493" s="164"/>
      <c r="M3493" s="11"/>
      <c r="N3493" s="39"/>
      <c r="Q3493" s="15" t="str">
        <f>+CONCATENATE(E3492,I3492)</f>
        <v/>
      </c>
      <c r="R3493" s="15">
        <f>+J3492</f>
        <v>0</v>
      </c>
      <c r="S3493" s="16"/>
      <c r="T3493" s="15">
        <f>+E3492</f>
        <v>0</v>
      </c>
      <c r="U3493" s="26" t="str">
        <f>IFERROR(LEFT(I3492,FIND("*",I3492)-1),"-")</f>
        <v>-</v>
      </c>
      <c r="V3493" s="26" t="str">
        <f>IFERROR(RIGHT(I3492,LEN(I3492)-FIND("*",I3492)),"-")</f>
        <v>-</v>
      </c>
      <c r="W3493" s="27" t="str">
        <f t="shared" si="1900"/>
        <v>-</v>
      </c>
      <c r="X3493" s="27" t="str">
        <f>IFERROR(W3493*J3492,"-")</f>
        <v>-</v>
      </c>
      <c r="Z3493" s="94" t="s">
        <v>82</v>
      </c>
    </row>
    <row r="3494" spans="1:26" s="25" customFormat="1" ht="6.95" customHeight="1" x14ac:dyDescent="0.3">
      <c r="A3494" s="10"/>
      <c r="B3494" s="168"/>
      <c r="C3494" s="169"/>
      <c r="D3494" s="160"/>
      <c r="E3494" s="161"/>
      <c r="F3494" s="162"/>
      <c r="G3494" s="163"/>
      <c r="H3494" s="164"/>
      <c r="I3494" s="163"/>
      <c r="J3494" s="164"/>
      <c r="K3494" s="163"/>
      <c r="L3494" s="164"/>
      <c r="M3494" s="11"/>
      <c r="N3494" s="39"/>
      <c r="Q3494" s="15" t="str">
        <f>+CONCATENATE(E3492,K3492)</f>
        <v/>
      </c>
      <c r="R3494" s="15">
        <f>+L3492</f>
        <v>0</v>
      </c>
      <c r="S3494" s="16"/>
      <c r="T3494" s="15">
        <f>+E3492</f>
        <v>0</v>
      </c>
      <c r="U3494" s="26" t="str">
        <f>IFERROR(LEFT(K3492,FIND("*",K3492)-1),"-")</f>
        <v>-</v>
      </c>
      <c r="V3494" s="26" t="str">
        <f>IFERROR(RIGHT(K3492,LEN(K3492)-FIND("*",K3492)),"-")</f>
        <v>-</v>
      </c>
      <c r="W3494" s="27" t="str">
        <f t="shared" si="1900"/>
        <v>-</v>
      </c>
      <c r="X3494" s="27" t="str">
        <f>IFERROR(W3494*L3492,"-")</f>
        <v>-</v>
      </c>
      <c r="Z3494" s="94" t="s">
        <v>82</v>
      </c>
    </row>
    <row r="3495" spans="1:26" s="25" customFormat="1" ht="6.95" customHeight="1" x14ac:dyDescent="0.3">
      <c r="A3495" s="13"/>
      <c r="B3495" s="168"/>
      <c r="C3495" s="169"/>
      <c r="D3495" s="160" t="s">
        <v>39</v>
      </c>
      <c r="E3495" s="161"/>
      <c r="F3495" s="162" t="s">
        <v>40</v>
      </c>
      <c r="G3495" s="163"/>
      <c r="H3495" s="164"/>
      <c r="I3495" s="163"/>
      <c r="J3495" s="164"/>
      <c r="K3495" s="163"/>
      <c r="L3495" s="164"/>
      <c r="M3495" s="11"/>
      <c r="N3495" s="39"/>
      <c r="Q3495" s="15" t="str">
        <f>+CONCATENATE(E3495,G3495)</f>
        <v/>
      </c>
      <c r="R3495" s="15">
        <f>+H3495</f>
        <v>0</v>
      </c>
      <c r="S3495" s="16"/>
      <c r="T3495" s="15">
        <f>+E3495</f>
        <v>0</v>
      </c>
      <c r="U3495" s="26" t="str">
        <f t="shared" ref="U3495" si="1903">IFERROR(LEFT(G3495,FIND("*",G3495)-1),"-")</f>
        <v>-</v>
      </c>
      <c r="V3495" s="26" t="str">
        <f t="shared" ref="V3495" si="1904">IFERROR(RIGHT(G3495,LEN(G3495)-FIND("*",G3495)),"-")</f>
        <v>-</v>
      </c>
      <c r="W3495" s="27" t="str">
        <f t="shared" si="1900"/>
        <v>-</v>
      </c>
      <c r="X3495" s="27" t="str">
        <f>IFERROR(W3495*H3495,"-")</f>
        <v>-</v>
      </c>
      <c r="Z3495" s="94" t="s">
        <v>82</v>
      </c>
    </row>
    <row r="3496" spans="1:26" s="25" customFormat="1" ht="6.95" customHeight="1" x14ac:dyDescent="0.3">
      <c r="A3496" s="10"/>
      <c r="B3496" s="168"/>
      <c r="C3496" s="169"/>
      <c r="D3496" s="160"/>
      <c r="E3496" s="161"/>
      <c r="F3496" s="162"/>
      <c r="G3496" s="163"/>
      <c r="H3496" s="164"/>
      <c r="I3496" s="163"/>
      <c r="J3496" s="164"/>
      <c r="K3496" s="163"/>
      <c r="L3496" s="164"/>
      <c r="M3496" s="11"/>
      <c r="N3496" s="39"/>
      <c r="Q3496" s="15" t="str">
        <f>+CONCATENATE(E3495,I3495)</f>
        <v/>
      </c>
      <c r="R3496" s="15">
        <f>+J3495</f>
        <v>0</v>
      </c>
      <c r="S3496" s="16"/>
      <c r="T3496" s="15">
        <f>+E3495</f>
        <v>0</v>
      </c>
      <c r="U3496" s="26" t="str">
        <f>IFERROR(LEFT(I3495,FIND("*",I3495)-1),"-")</f>
        <v>-</v>
      </c>
      <c r="V3496" s="26" t="str">
        <f>IFERROR(RIGHT(I3495,LEN(I3495)-FIND("*",I3495)),"-")</f>
        <v>-</v>
      </c>
      <c r="W3496" s="27" t="str">
        <f t="shared" si="1900"/>
        <v>-</v>
      </c>
      <c r="X3496" s="27" t="str">
        <f t="shared" ref="X3496" si="1905">IFERROR(W3496*J3495,"-")</f>
        <v>-</v>
      </c>
      <c r="Z3496" s="94" t="s">
        <v>82</v>
      </c>
    </row>
    <row r="3497" spans="1:26" s="25" customFormat="1" ht="6.95" customHeight="1" x14ac:dyDescent="0.3">
      <c r="A3497" s="10"/>
      <c r="B3497" s="168"/>
      <c r="C3497" s="169"/>
      <c r="D3497" s="160"/>
      <c r="E3497" s="161"/>
      <c r="F3497" s="162"/>
      <c r="G3497" s="163"/>
      <c r="H3497" s="164"/>
      <c r="I3497" s="163"/>
      <c r="J3497" s="164"/>
      <c r="K3497" s="163"/>
      <c r="L3497" s="164"/>
      <c r="M3497" s="11"/>
      <c r="N3497" s="39"/>
      <c r="Q3497" s="15" t="str">
        <f>+CONCATENATE(E3495,K3495)</f>
        <v/>
      </c>
      <c r="R3497" s="15">
        <f>+L3495</f>
        <v>0</v>
      </c>
      <c r="S3497" s="16"/>
      <c r="T3497" s="15">
        <f>+E3495</f>
        <v>0</v>
      </c>
      <c r="U3497" s="26" t="str">
        <f>IFERROR(LEFT(K3495,FIND("*",K3495)-1),"-")</f>
        <v>-</v>
      </c>
      <c r="V3497" s="26" t="str">
        <f>IFERROR(RIGHT(K3495,LEN(K3495)-FIND("*",K3495)),"-")</f>
        <v>-</v>
      </c>
      <c r="W3497" s="27" t="str">
        <f t="shared" si="1900"/>
        <v>-</v>
      </c>
      <c r="X3497" s="27" t="str">
        <f>IFERROR(W3497*L3495,"-")</f>
        <v>-</v>
      </c>
      <c r="Z3497" s="94" t="s">
        <v>82</v>
      </c>
    </row>
    <row r="3498" spans="1:26" s="25" customFormat="1" ht="21" customHeight="1" thickBot="1" x14ac:dyDescent="0.35">
      <c r="A3498" s="10"/>
      <c r="B3498" s="170"/>
      <c r="C3498" s="171"/>
      <c r="D3498" s="172" t="s">
        <v>43</v>
      </c>
      <c r="E3498" s="173"/>
      <c r="F3498" s="173"/>
      <c r="G3498" s="174"/>
      <c r="H3498" s="174"/>
      <c r="I3498" s="174"/>
      <c r="J3498" s="174"/>
      <c r="K3498" s="174"/>
      <c r="L3498" s="174"/>
      <c r="M3498" s="12"/>
      <c r="N3498" s="39"/>
      <c r="U3498" s="23"/>
      <c r="V3498" s="23"/>
      <c r="Z3498" s="95" t="s">
        <v>81</v>
      </c>
    </row>
    <row r="3499" spans="1:26" s="25" customFormat="1" ht="9.9499999999999993" customHeight="1" thickBot="1" x14ac:dyDescent="0.35">
      <c r="A3499" s="6"/>
      <c r="B3499" s="14"/>
      <c r="C3499" s="119"/>
      <c r="D3499" s="58"/>
      <c r="E3499" s="17"/>
      <c r="F3499" s="58"/>
      <c r="G3499" s="19"/>
      <c r="H3499" s="19"/>
      <c r="I3499" s="19"/>
      <c r="J3499" s="19"/>
      <c r="K3499" s="19"/>
      <c r="L3499" s="19"/>
      <c r="M3499" s="14"/>
      <c r="N3499" s="39"/>
      <c r="Q3499" s="1"/>
      <c r="R3499" s="1"/>
      <c r="S3499" s="1"/>
      <c r="T3499" s="1"/>
      <c r="U3499" s="24"/>
      <c r="V3499" s="24"/>
      <c r="W3499" s="1"/>
      <c r="X3499" s="1"/>
      <c r="Z3499" s="94" t="s">
        <v>82</v>
      </c>
    </row>
    <row r="3500" spans="1:26" s="25" customFormat="1" ht="6.95" customHeight="1" x14ac:dyDescent="0.3">
      <c r="A3500" s="165">
        <f>+A3489+1</f>
        <v>319</v>
      </c>
      <c r="B3500" s="166"/>
      <c r="C3500" s="167"/>
      <c r="D3500" s="160" t="s">
        <v>39</v>
      </c>
      <c r="E3500" s="161"/>
      <c r="F3500" s="162" t="s">
        <v>40</v>
      </c>
      <c r="G3500" s="163"/>
      <c r="H3500" s="164"/>
      <c r="I3500" s="163"/>
      <c r="J3500" s="164"/>
      <c r="K3500" s="163"/>
      <c r="L3500" s="164"/>
      <c r="M3500" s="11"/>
      <c r="N3500" s="39"/>
      <c r="Q3500" s="15" t="str">
        <f>+CONCATENATE(E3500,G3500)</f>
        <v/>
      </c>
      <c r="R3500" s="15">
        <f>+H3500</f>
        <v>0</v>
      </c>
      <c r="S3500" s="16"/>
      <c r="T3500" s="15">
        <f>+E3500</f>
        <v>0</v>
      </c>
      <c r="U3500" s="26" t="str">
        <f>IFERROR(LEFT(G3500,FIND("*",G3500)-1),"-")</f>
        <v>-</v>
      </c>
      <c r="V3500" s="26" t="str">
        <f>IFERROR(RIGHT(G3500,LEN(G3500)-FIND("*",G3500)),"-")</f>
        <v>-</v>
      </c>
      <c r="W3500" s="27" t="str">
        <f>IFERROR((U3500+V3500)*2/1000,"-")</f>
        <v>-</v>
      </c>
      <c r="X3500" s="27" t="str">
        <f>IFERROR(W3500*H3500,"-")</f>
        <v>-</v>
      </c>
      <c r="Z3500" s="94" t="s">
        <v>82</v>
      </c>
    </row>
    <row r="3501" spans="1:26" s="25" customFormat="1" ht="6.95" customHeight="1" x14ac:dyDescent="0.3">
      <c r="A3501" s="165"/>
      <c r="B3501" s="168"/>
      <c r="C3501" s="169"/>
      <c r="D3501" s="160"/>
      <c r="E3501" s="161"/>
      <c r="F3501" s="162"/>
      <c r="G3501" s="163"/>
      <c r="H3501" s="164"/>
      <c r="I3501" s="163"/>
      <c r="J3501" s="164"/>
      <c r="K3501" s="163"/>
      <c r="L3501" s="164"/>
      <c r="M3501" s="11"/>
      <c r="N3501" s="39"/>
      <c r="Q3501" s="15" t="str">
        <f>+CONCATENATE(E3500,I3500)</f>
        <v/>
      </c>
      <c r="R3501" s="15">
        <f>+J3500</f>
        <v>0</v>
      </c>
      <c r="S3501" s="16"/>
      <c r="T3501" s="15">
        <f>+E3500</f>
        <v>0</v>
      </c>
      <c r="U3501" s="26" t="str">
        <f>IFERROR(LEFT(I3500,FIND("*",I3500)-1),"-")</f>
        <v>-</v>
      </c>
      <c r="V3501" s="26" t="str">
        <f>IFERROR(RIGHT(I3500,LEN(I3500)-FIND("*",I3500)),"-")</f>
        <v>-</v>
      </c>
      <c r="W3501" s="27" t="str">
        <f t="shared" ref="W3501:W3508" si="1906">IFERROR((U3501+V3501)*2/1000,"-")</f>
        <v>-</v>
      </c>
      <c r="X3501" s="27" t="str">
        <f>IFERROR(W3501*J3500,"-")</f>
        <v>-</v>
      </c>
      <c r="Z3501" s="94" t="s">
        <v>82</v>
      </c>
    </row>
    <row r="3502" spans="1:26" s="25" customFormat="1" ht="6.95" customHeight="1" x14ac:dyDescent="0.3">
      <c r="A3502" s="165"/>
      <c r="B3502" s="168"/>
      <c r="C3502" s="169"/>
      <c r="D3502" s="160"/>
      <c r="E3502" s="161"/>
      <c r="F3502" s="162"/>
      <c r="G3502" s="163"/>
      <c r="H3502" s="164"/>
      <c r="I3502" s="163"/>
      <c r="J3502" s="164"/>
      <c r="K3502" s="163"/>
      <c r="L3502" s="164"/>
      <c r="M3502" s="11"/>
      <c r="N3502" s="39"/>
      <c r="Q3502" s="15" t="str">
        <f>+CONCATENATE(E3500,K3500)</f>
        <v/>
      </c>
      <c r="R3502" s="15">
        <f>+L3500</f>
        <v>0</v>
      </c>
      <c r="S3502" s="16"/>
      <c r="T3502" s="15">
        <f>+E3500</f>
        <v>0</v>
      </c>
      <c r="U3502" s="26" t="str">
        <f>IFERROR(LEFT(K3500,FIND("*",K3500)-1),"-")</f>
        <v>-</v>
      </c>
      <c r="V3502" s="26" t="str">
        <f>IFERROR(RIGHT(K3500,LEN(K3500)-FIND("*",K3500)),"-")</f>
        <v>-</v>
      </c>
      <c r="W3502" s="27" t="str">
        <f t="shared" si="1906"/>
        <v>-</v>
      </c>
      <c r="X3502" s="27" t="str">
        <f>IFERROR(W3502*L3500,"-")</f>
        <v>-</v>
      </c>
      <c r="Z3502" s="94" t="s">
        <v>82</v>
      </c>
    </row>
    <row r="3503" spans="1:26" s="25" customFormat="1" ht="6.95" customHeight="1" x14ac:dyDescent="0.3">
      <c r="A3503" s="13"/>
      <c r="B3503" s="168"/>
      <c r="C3503" s="169"/>
      <c r="D3503" s="160" t="s">
        <v>39</v>
      </c>
      <c r="E3503" s="161"/>
      <c r="F3503" s="162" t="s">
        <v>40</v>
      </c>
      <c r="G3503" s="163"/>
      <c r="H3503" s="164"/>
      <c r="I3503" s="163"/>
      <c r="J3503" s="164"/>
      <c r="K3503" s="163"/>
      <c r="L3503" s="164"/>
      <c r="M3503" s="11"/>
      <c r="N3503" s="39"/>
      <c r="Q3503" s="15" t="str">
        <f>+CONCATENATE(E3503,G3503)</f>
        <v/>
      </c>
      <c r="R3503" s="15">
        <f>+H3503</f>
        <v>0</v>
      </c>
      <c r="S3503" s="16"/>
      <c r="T3503" s="15">
        <f>+E3503</f>
        <v>0</v>
      </c>
      <c r="U3503" s="26" t="str">
        <f t="shared" ref="U3503" si="1907">IFERROR(LEFT(G3503,FIND("*",G3503)-1),"-")</f>
        <v>-</v>
      </c>
      <c r="V3503" s="26" t="str">
        <f t="shared" ref="V3503" si="1908">IFERROR(RIGHT(G3503,LEN(G3503)-FIND("*",G3503)),"-")</f>
        <v>-</v>
      </c>
      <c r="W3503" s="27" t="str">
        <f t="shared" si="1906"/>
        <v>-</v>
      </c>
      <c r="X3503" s="27" t="str">
        <f>IFERROR(W3503*H3503,"-")</f>
        <v>-</v>
      </c>
      <c r="Z3503" s="94" t="s">
        <v>82</v>
      </c>
    </row>
    <row r="3504" spans="1:26" s="25" customFormat="1" ht="6.95" customHeight="1" x14ac:dyDescent="0.3">
      <c r="A3504" s="10"/>
      <c r="B3504" s="168"/>
      <c r="C3504" s="169"/>
      <c r="D3504" s="160"/>
      <c r="E3504" s="161"/>
      <c r="F3504" s="162"/>
      <c r="G3504" s="163"/>
      <c r="H3504" s="164"/>
      <c r="I3504" s="163"/>
      <c r="J3504" s="164"/>
      <c r="K3504" s="163"/>
      <c r="L3504" s="164"/>
      <c r="M3504" s="11"/>
      <c r="N3504" s="39"/>
      <c r="Q3504" s="15" t="str">
        <f>+CONCATENATE(E3503,I3503)</f>
        <v/>
      </c>
      <c r="R3504" s="15">
        <f>+J3503</f>
        <v>0</v>
      </c>
      <c r="S3504" s="16"/>
      <c r="T3504" s="15">
        <f>+E3503</f>
        <v>0</v>
      </c>
      <c r="U3504" s="26" t="str">
        <f>IFERROR(LEFT(I3503,FIND("*",I3503)-1),"-")</f>
        <v>-</v>
      </c>
      <c r="V3504" s="26" t="str">
        <f>IFERROR(RIGHT(I3503,LEN(I3503)-FIND("*",I3503)),"-")</f>
        <v>-</v>
      </c>
      <c r="W3504" s="27" t="str">
        <f t="shared" si="1906"/>
        <v>-</v>
      </c>
      <c r="X3504" s="27" t="str">
        <f>IFERROR(W3504*J3503,"-")</f>
        <v>-</v>
      </c>
      <c r="Z3504" s="94" t="s">
        <v>82</v>
      </c>
    </row>
    <row r="3505" spans="1:26" s="25" customFormat="1" ht="6.95" customHeight="1" x14ac:dyDescent="0.3">
      <c r="A3505" s="10"/>
      <c r="B3505" s="168"/>
      <c r="C3505" s="169"/>
      <c r="D3505" s="160"/>
      <c r="E3505" s="161"/>
      <c r="F3505" s="162"/>
      <c r="G3505" s="163"/>
      <c r="H3505" s="164"/>
      <c r="I3505" s="163"/>
      <c r="J3505" s="164"/>
      <c r="K3505" s="163"/>
      <c r="L3505" s="164"/>
      <c r="M3505" s="11"/>
      <c r="N3505" s="39"/>
      <c r="Q3505" s="15" t="str">
        <f>+CONCATENATE(E3503,K3503)</f>
        <v/>
      </c>
      <c r="R3505" s="15">
        <f>+L3503</f>
        <v>0</v>
      </c>
      <c r="S3505" s="16"/>
      <c r="T3505" s="15">
        <f>+E3503</f>
        <v>0</v>
      </c>
      <c r="U3505" s="26" t="str">
        <f>IFERROR(LEFT(K3503,FIND("*",K3503)-1),"-")</f>
        <v>-</v>
      </c>
      <c r="V3505" s="26" t="str">
        <f>IFERROR(RIGHT(K3503,LEN(K3503)-FIND("*",K3503)),"-")</f>
        <v>-</v>
      </c>
      <c r="W3505" s="27" t="str">
        <f t="shared" si="1906"/>
        <v>-</v>
      </c>
      <c r="X3505" s="27" t="str">
        <f>IFERROR(W3505*L3503,"-")</f>
        <v>-</v>
      </c>
      <c r="Z3505" s="94" t="s">
        <v>82</v>
      </c>
    </row>
    <row r="3506" spans="1:26" s="25" customFormat="1" ht="6.95" customHeight="1" x14ac:dyDescent="0.3">
      <c r="A3506" s="13"/>
      <c r="B3506" s="168"/>
      <c r="C3506" s="169"/>
      <c r="D3506" s="160" t="s">
        <v>39</v>
      </c>
      <c r="E3506" s="161"/>
      <c r="F3506" s="162" t="s">
        <v>40</v>
      </c>
      <c r="G3506" s="163"/>
      <c r="H3506" s="164"/>
      <c r="I3506" s="163"/>
      <c r="J3506" s="164"/>
      <c r="K3506" s="163"/>
      <c r="L3506" s="164"/>
      <c r="M3506" s="11"/>
      <c r="N3506" s="39"/>
      <c r="Q3506" s="15" t="str">
        <f>+CONCATENATE(E3506,G3506)</f>
        <v/>
      </c>
      <c r="R3506" s="15">
        <f>+H3506</f>
        <v>0</v>
      </c>
      <c r="S3506" s="16"/>
      <c r="T3506" s="15">
        <f>+E3506</f>
        <v>0</v>
      </c>
      <c r="U3506" s="26" t="str">
        <f t="shared" ref="U3506" si="1909">IFERROR(LEFT(G3506,FIND("*",G3506)-1),"-")</f>
        <v>-</v>
      </c>
      <c r="V3506" s="26" t="str">
        <f t="shared" ref="V3506" si="1910">IFERROR(RIGHT(G3506,LEN(G3506)-FIND("*",G3506)),"-")</f>
        <v>-</v>
      </c>
      <c r="W3506" s="27" t="str">
        <f t="shared" si="1906"/>
        <v>-</v>
      </c>
      <c r="X3506" s="27" t="str">
        <f>IFERROR(W3506*H3506,"-")</f>
        <v>-</v>
      </c>
      <c r="Z3506" s="94" t="s">
        <v>82</v>
      </c>
    </row>
    <row r="3507" spans="1:26" s="25" customFormat="1" ht="6.95" customHeight="1" x14ac:dyDescent="0.3">
      <c r="A3507" s="10"/>
      <c r="B3507" s="168"/>
      <c r="C3507" s="169"/>
      <c r="D3507" s="160"/>
      <c r="E3507" s="161"/>
      <c r="F3507" s="162"/>
      <c r="G3507" s="163"/>
      <c r="H3507" s="164"/>
      <c r="I3507" s="163"/>
      <c r="J3507" s="164"/>
      <c r="K3507" s="163"/>
      <c r="L3507" s="164"/>
      <c r="M3507" s="11"/>
      <c r="N3507" s="39"/>
      <c r="Q3507" s="15" t="str">
        <f>+CONCATENATE(E3506,I3506)</f>
        <v/>
      </c>
      <c r="R3507" s="15">
        <f>+J3506</f>
        <v>0</v>
      </c>
      <c r="S3507" s="16"/>
      <c r="T3507" s="15">
        <f>+E3506</f>
        <v>0</v>
      </c>
      <c r="U3507" s="26" t="str">
        <f>IFERROR(LEFT(I3506,FIND("*",I3506)-1),"-")</f>
        <v>-</v>
      </c>
      <c r="V3507" s="26" t="str">
        <f>IFERROR(RIGHT(I3506,LEN(I3506)-FIND("*",I3506)),"-")</f>
        <v>-</v>
      </c>
      <c r="W3507" s="27" t="str">
        <f t="shared" si="1906"/>
        <v>-</v>
      </c>
      <c r="X3507" s="27" t="str">
        <f t="shared" ref="X3507" si="1911">IFERROR(W3507*J3506,"-")</f>
        <v>-</v>
      </c>
      <c r="Z3507" s="94" t="s">
        <v>82</v>
      </c>
    </row>
    <row r="3508" spans="1:26" s="25" customFormat="1" ht="6.95" customHeight="1" x14ac:dyDescent="0.3">
      <c r="A3508" s="10"/>
      <c r="B3508" s="168"/>
      <c r="C3508" s="169"/>
      <c r="D3508" s="160"/>
      <c r="E3508" s="161"/>
      <c r="F3508" s="162"/>
      <c r="G3508" s="163"/>
      <c r="H3508" s="164"/>
      <c r="I3508" s="163"/>
      <c r="J3508" s="164"/>
      <c r="K3508" s="163"/>
      <c r="L3508" s="164"/>
      <c r="M3508" s="11"/>
      <c r="N3508" s="39"/>
      <c r="Q3508" s="15" t="str">
        <f>+CONCATENATE(E3506,K3506)</f>
        <v/>
      </c>
      <c r="R3508" s="15">
        <f>+L3506</f>
        <v>0</v>
      </c>
      <c r="S3508" s="16"/>
      <c r="T3508" s="15">
        <f>+E3506</f>
        <v>0</v>
      </c>
      <c r="U3508" s="26" t="str">
        <f>IFERROR(LEFT(K3506,FIND("*",K3506)-1),"-")</f>
        <v>-</v>
      </c>
      <c r="V3508" s="26" t="str">
        <f>IFERROR(RIGHT(K3506,LEN(K3506)-FIND("*",K3506)),"-")</f>
        <v>-</v>
      </c>
      <c r="W3508" s="27" t="str">
        <f t="shared" si="1906"/>
        <v>-</v>
      </c>
      <c r="X3508" s="27" t="str">
        <f>IFERROR(W3508*L3506,"-")</f>
        <v>-</v>
      </c>
      <c r="Z3508" s="94" t="s">
        <v>82</v>
      </c>
    </row>
    <row r="3509" spans="1:26" s="25" customFormat="1" ht="21" customHeight="1" thickBot="1" x14ac:dyDescent="0.35">
      <c r="A3509" s="10"/>
      <c r="B3509" s="170"/>
      <c r="C3509" s="171"/>
      <c r="D3509" s="172" t="s">
        <v>43</v>
      </c>
      <c r="E3509" s="173"/>
      <c r="F3509" s="173"/>
      <c r="G3509" s="174"/>
      <c r="H3509" s="174"/>
      <c r="I3509" s="174"/>
      <c r="J3509" s="174"/>
      <c r="K3509" s="174"/>
      <c r="L3509" s="174"/>
      <c r="M3509" s="12"/>
      <c r="N3509" s="39"/>
      <c r="U3509" s="23"/>
      <c r="V3509" s="23"/>
      <c r="Z3509" s="95" t="s">
        <v>81</v>
      </c>
    </row>
    <row r="3510" spans="1:26" s="25" customFormat="1" ht="9.9499999999999993" customHeight="1" thickBot="1" x14ac:dyDescent="0.35">
      <c r="A3510" s="6"/>
      <c r="B3510" s="14"/>
      <c r="C3510" s="119"/>
      <c r="D3510" s="58"/>
      <c r="E3510" s="17"/>
      <c r="F3510" s="58"/>
      <c r="G3510" s="19"/>
      <c r="H3510" s="19"/>
      <c r="I3510" s="19"/>
      <c r="J3510" s="19"/>
      <c r="K3510" s="19"/>
      <c r="L3510" s="19"/>
      <c r="M3510" s="14"/>
      <c r="N3510" s="39"/>
      <c r="Q3510" s="1"/>
      <c r="R3510" s="1"/>
      <c r="S3510" s="1"/>
      <c r="T3510" s="1"/>
      <c r="U3510" s="24"/>
      <c r="V3510" s="24"/>
      <c r="W3510" s="1"/>
      <c r="X3510" s="1"/>
      <c r="Z3510" s="94" t="s">
        <v>82</v>
      </c>
    </row>
    <row r="3511" spans="1:26" s="25" customFormat="1" ht="6.95" customHeight="1" x14ac:dyDescent="0.3">
      <c r="A3511" s="165">
        <f>+A3500+1</f>
        <v>320</v>
      </c>
      <c r="B3511" s="166"/>
      <c r="C3511" s="167"/>
      <c r="D3511" s="160" t="s">
        <v>39</v>
      </c>
      <c r="E3511" s="161"/>
      <c r="F3511" s="162" t="s">
        <v>40</v>
      </c>
      <c r="G3511" s="163"/>
      <c r="H3511" s="164"/>
      <c r="I3511" s="163"/>
      <c r="J3511" s="164"/>
      <c r="K3511" s="163"/>
      <c r="L3511" s="164"/>
      <c r="M3511" s="11"/>
      <c r="N3511" s="39"/>
      <c r="Q3511" s="15" t="str">
        <f>+CONCATENATE(E3511,G3511)</f>
        <v/>
      </c>
      <c r="R3511" s="15">
        <f>+H3511</f>
        <v>0</v>
      </c>
      <c r="S3511" s="16"/>
      <c r="T3511" s="15">
        <f>+E3511</f>
        <v>0</v>
      </c>
      <c r="U3511" s="26" t="str">
        <f>IFERROR(LEFT(G3511,FIND("*",G3511)-1),"-")</f>
        <v>-</v>
      </c>
      <c r="V3511" s="26" t="str">
        <f>IFERROR(RIGHT(G3511,LEN(G3511)-FIND("*",G3511)),"-")</f>
        <v>-</v>
      </c>
      <c r="W3511" s="27" t="str">
        <f>IFERROR((U3511+V3511)*2/1000,"-")</f>
        <v>-</v>
      </c>
      <c r="X3511" s="27" t="str">
        <f>IFERROR(W3511*H3511,"-")</f>
        <v>-</v>
      </c>
      <c r="Z3511" s="94" t="s">
        <v>82</v>
      </c>
    </row>
    <row r="3512" spans="1:26" s="25" customFormat="1" ht="6.95" customHeight="1" x14ac:dyDescent="0.3">
      <c r="A3512" s="165"/>
      <c r="B3512" s="168"/>
      <c r="C3512" s="169"/>
      <c r="D3512" s="160"/>
      <c r="E3512" s="161"/>
      <c r="F3512" s="162"/>
      <c r="G3512" s="163"/>
      <c r="H3512" s="164"/>
      <c r="I3512" s="163"/>
      <c r="J3512" s="164"/>
      <c r="K3512" s="163"/>
      <c r="L3512" s="164"/>
      <c r="M3512" s="11"/>
      <c r="N3512" s="39"/>
      <c r="Q3512" s="15" t="str">
        <f>+CONCATENATE(E3511,I3511)</f>
        <v/>
      </c>
      <c r="R3512" s="15">
        <f>+J3511</f>
        <v>0</v>
      </c>
      <c r="S3512" s="16"/>
      <c r="T3512" s="15">
        <f>+E3511</f>
        <v>0</v>
      </c>
      <c r="U3512" s="26" t="str">
        <f>IFERROR(LEFT(I3511,FIND("*",I3511)-1),"-")</f>
        <v>-</v>
      </c>
      <c r="V3512" s="26" t="str">
        <f>IFERROR(RIGHT(I3511,LEN(I3511)-FIND("*",I3511)),"-")</f>
        <v>-</v>
      </c>
      <c r="W3512" s="27" t="str">
        <f t="shared" ref="W3512:W3519" si="1912">IFERROR((U3512+V3512)*2/1000,"-")</f>
        <v>-</v>
      </c>
      <c r="X3512" s="27" t="str">
        <f>IFERROR(W3512*J3511,"-")</f>
        <v>-</v>
      </c>
      <c r="Z3512" s="94" t="s">
        <v>82</v>
      </c>
    </row>
    <row r="3513" spans="1:26" s="25" customFormat="1" ht="6.95" customHeight="1" x14ac:dyDescent="0.3">
      <c r="A3513" s="165"/>
      <c r="B3513" s="168"/>
      <c r="C3513" s="169"/>
      <c r="D3513" s="160"/>
      <c r="E3513" s="161"/>
      <c r="F3513" s="162"/>
      <c r="G3513" s="163"/>
      <c r="H3513" s="164"/>
      <c r="I3513" s="163"/>
      <c r="J3513" s="164"/>
      <c r="K3513" s="163"/>
      <c r="L3513" s="164"/>
      <c r="M3513" s="11"/>
      <c r="N3513" s="39"/>
      <c r="Q3513" s="15" t="str">
        <f>+CONCATENATE(E3511,K3511)</f>
        <v/>
      </c>
      <c r="R3513" s="15">
        <f>+L3511</f>
        <v>0</v>
      </c>
      <c r="S3513" s="16"/>
      <c r="T3513" s="15">
        <f>+E3511</f>
        <v>0</v>
      </c>
      <c r="U3513" s="26" t="str">
        <f>IFERROR(LEFT(K3511,FIND("*",K3511)-1),"-")</f>
        <v>-</v>
      </c>
      <c r="V3513" s="26" t="str">
        <f>IFERROR(RIGHT(K3511,LEN(K3511)-FIND("*",K3511)),"-")</f>
        <v>-</v>
      </c>
      <c r="W3513" s="27" t="str">
        <f t="shared" si="1912"/>
        <v>-</v>
      </c>
      <c r="X3513" s="27" t="str">
        <f>IFERROR(W3513*L3511,"-")</f>
        <v>-</v>
      </c>
      <c r="Z3513" s="94" t="s">
        <v>82</v>
      </c>
    </row>
    <row r="3514" spans="1:26" s="25" customFormat="1" ht="6.95" customHeight="1" x14ac:dyDescent="0.3">
      <c r="A3514" s="13"/>
      <c r="B3514" s="168"/>
      <c r="C3514" s="169"/>
      <c r="D3514" s="160" t="s">
        <v>39</v>
      </c>
      <c r="E3514" s="161"/>
      <c r="F3514" s="162" t="s">
        <v>40</v>
      </c>
      <c r="G3514" s="163"/>
      <c r="H3514" s="164"/>
      <c r="I3514" s="163"/>
      <c r="J3514" s="164"/>
      <c r="K3514" s="163"/>
      <c r="L3514" s="164"/>
      <c r="M3514" s="11"/>
      <c r="N3514" s="39"/>
      <c r="Q3514" s="15" t="str">
        <f>+CONCATENATE(E3514,G3514)</f>
        <v/>
      </c>
      <c r="R3514" s="15">
        <f>+H3514</f>
        <v>0</v>
      </c>
      <c r="S3514" s="16"/>
      <c r="T3514" s="15">
        <f>+E3514</f>
        <v>0</v>
      </c>
      <c r="U3514" s="26" t="str">
        <f t="shared" ref="U3514" si="1913">IFERROR(LEFT(G3514,FIND("*",G3514)-1),"-")</f>
        <v>-</v>
      </c>
      <c r="V3514" s="26" t="str">
        <f t="shared" ref="V3514" si="1914">IFERROR(RIGHT(G3514,LEN(G3514)-FIND("*",G3514)),"-")</f>
        <v>-</v>
      </c>
      <c r="W3514" s="27" t="str">
        <f t="shared" si="1912"/>
        <v>-</v>
      </c>
      <c r="X3514" s="27" t="str">
        <f>IFERROR(W3514*H3514,"-")</f>
        <v>-</v>
      </c>
      <c r="Z3514" s="94" t="s">
        <v>82</v>
      </c>
    </row>
    <row r="3515" spans="1:26" s="25" customFormat="1" ht="6.95" customHeight="1" x14ac:dyDescent="0.3">
      <c r="A3515" s="10"/>
      <c r="B3515" s="168"/>
      <c r="C3515" s="169"/>
      <c r="D3515" s="160"/>
      <c r="E3515" s="161"/>
      <c r="F3515" s="162"/>
      <c r="G3515" s="163"/>
      <c r="H3515" s="164"/>
      <c r="I3515" s="163"/>
      <c r="J3515" s="164"/>
      <c r="K3515" s="163"/>
      <c r="L3515" s="164"/>
      <c r="M3515" s="11"/>
      <c r="N3515" s="39"/>
      <c r="Q3515" s="15" t="str">
        <f>+CONCATENATE(E3514,I3514)</f>
        <v/>
      </c>
      <c r="R3515" s="15">
        <f>+J3514</f>
        <v>0</v>
      </c>
      <c r="S3515" s="16"/>
      <c r="T3515" s="15">
        <f>+E3514</f>
        <v>0</v>
      </c>
      <c r="U3515" s="26" t="str">
        <f>IFERROR(LEFT(I3514,FIND("*",I3514)-1),"-")</f>
        <v>-</v>
      </c>
      <c r="V3515" s="26" t="str">
        <f>IFERROR(RIGHT(I3514,LEN(I3514)-FIND("*",I3514)),"-")</f>
        <v>-</v>
      </c>
      <c r="W3515" s="27" t="str">
        <f t="shared" si="1912"/>
        <v>-</v>
      </c>
      <c r="X3515" s="27" t="str">
        <f>IFERROR(W3515*J3514,"-")</f>
        <v>-</v>
      </c>
      <c r="Z3515" s="94" t="s">
        <v>82</v>
      </c>
    </row>
    <row r="3516" spans="1:26" s="25" customFormat="1" ht="6.95" customHeight="1" x14ac:dyDescent="0.3">
      <c r="A3516" s="10"/>
      <c r="B3516" s="168"/>
      <c r="C3516" s="169"/>
      <c r="D3516" s="160"/>
      <c r="E3516" s="161"/>
      <c r="F3516" s="162"/>
      <c r="G3516" s="163"/>
      <c r="H3516" s="164"/>
      <c r="I3516" s="163"/>
      <c r="J3516" s="164"/>
      <c r="K3516" s="163"/>
      <c r="L3516" s="164"/>
      <c r="M3516" s="11"/>
      <c r="N3516" s="39"/>
      <c r="Q3516" s="15" t="str">
        <f>+CONCATENATE(E3514,K3514)</f>
        <v/>
      </c>
      <c r="R3516" s="15">
        <f>+L3514</f>
        <v>0</v>
      </c>
      <c r="S3516" s="16"/>
      <c r="T3516" s="15">
        <f>+E3514</f>
        <v>0</v>
      </c>
      <c r="U3516" s="26" t="str">
        <f>IFERROR(LEFT(K3514,FIND("*",K3514)-1),"-")</f>
        <v>-</v>
      </c>
      <c r="V3516" s="26" t="str">
        <f>IFERROR(RIGHT(K3514,LEN(K3514)-FIND("*",K3514)),"-")</f>
        <v>-</v>
      </c>
      <c r="W3516" s="27" t="str">
        <f t="shared" si="1912"/>
        <v>-</v>
      </c>
      <c r="X3516" s="27" t="str">
        <f>IFERROR(W3516*L3514,"-")</f>
        <v>-</v>
      </c>
      <c r="Z3516" s="94" t="s">
        <v>82</v>
      </c>
    </row>
    <row r="3517" spans="1:26" s="25" customFormat="1" ht="6.95" customHeight="1" x14ac:dyDescent="0.3">
      <c r="A3517" s="13"/>
      <c r="B3517" s="168"/>
      <c r="C3517" s="169"/>
      <c r="D3517" s="160" t="s">
        <v>39</v>
      </c>
      <c r="E3517" s="161"/>
      <c r="F3517" s="162" t="s">
        <v>40</v>
      </c>
      <c r="G3517" s="163"/>
      <c r="H3517" s="164"/>
      <c r="I3517" s="163"/>
      <c r="J3517" s="164"/>
      <c r="K3517" s="163"/>
      <c r="L3517" s="164"/>
      <c r="M3517" s="11"/>
      <c r="N3517" s="39"/>
      <c r="Q3517" s="15" t="str">
        <f>+CONCATENATE(E3517,G3517)</f>
        <v/>
      </c>
      <c r="R3517" s="15">
        <f>+H3517</f>
        <v>0</v>
      </c>
      <c r="S3517" s="16"/>
      <c r="T3517" s="15">
        <f>+E3517</f>
        <v>0</v>
      </c>
      <c r="U3517" s="26" t="str">
        <f t="shared" ref="U3517" si="1915">IFERROR(LEFT(G3517,FIND("*",G3517)-1),"-")</f>
        <v>-</v>
      </c>
      <c r="V3517" s="26" t="str">
        <f t="shared" ref="V3517" si="1916">IFERROR(RIGHT(G3517,LEN(G3517)-FIND("*",G3517)),"-")</f>
        <v>-</v>
      </c>
      <c r="W3517" s="27" t="str">
        <f t="shared" si="1912"/>
        <v>-</v>
      </c>
      <c r="X3517" s="27" t="str">
        <f>IFERROR(W3517*H3517,"-")</f>
        <v>-</v>
      </c>
      <c r="Z3517" s="94" t="s">
        <v>82</v>
      </c>
    </row>
    <row r="3518" spans="1:26" s="25" customFormat="1" ht="6.95" customHeight="1" x14ac:dyDescent="0.3">
      <c r="A3518" s="10"/>
      <c r="B3518" s="168"/>
      <c r="C3518" s="169"/>
      <c r="D3518" s="160"/>
      <c r="E3518" s="161"/>
      <c r="F3518" s="162"/>
      <c r="G3518" s="163"/>
      <c r="H3518" s="164"/>
      <c r="I3518" s="163"/>
      <c r="J3518" s="164"/>
      <c r="K3518" s="163"/>
      <c r="L3518" s="164"/>
      <c r="M3518" s="11"/>
      <c r="N3518" s="39"/>
      <c r="Q3518" s="15" t="str">
        <f>+CONCATENATE(E3517,I3517)</f>
        <v/>
      </c>
      <c r="R3518" s="15">
        <f>+J3517</f>
        <v>0</v>
      </c>
      <c r="S3518" s="16"/>
      <c r="T3518" s="15">
        <f>+E3517</f>
        <v>0</v>
      </c>
      <c r="U3518" s="26" t="str">
        <f>IFERROR(LEFT(I3517,FIND("*",I3517)-1),"-")</f>
        <v>-</v>
      </c>
      <c r="V3518" s="26" t="str">
        <f>IFERROR(RIGHT(I3517,LEN(I3517)-FIND("*",I3517)),"-")</f>
        <v>-</v>
      </c>
      <c r="W3518" s="27" t="str">
        <f t="shared" si="1912"/>
        <v>-</v>
      </c>
      <c r="X3518" s="27" t="str">
        <f t="shared" ref="X3518" si="1917">IFERROR(W3518*J3517,"-")</f>
        <v>-</v>
      </c>
      <c r="Z3518" s="94" t="s">
        <v>82</v>
      </c>
    </row>
    <row r="3519" spans="1:26" s="25" customFormat="1" ht="6.95" customHeight="1" x14ac:dyDescent="0.3">
      <c r="A3519" s="10"/>
      <c r="B3519" s="168"/>
      <c r="C3519" s="169"/>
      <c r="D3519" s="160"/>
      <c r="E3519" s="161"/>
      <c r="F3519" s="162"/>
      <c r="G3519" s="163"/>
      <c r="H3519" s="164"/>
      <c r="I3519" s="163"/>
      <c r="J3519" s="164"/>
      <c r="K3519" s="163"/>
      <c r="L3519" s="164"/>
      <c r="M3519" s="11"/>
      <c r="N3519" s="39"/>
      <c r="Q3519" s="15" t="str">
        <f>+CONCATENATE(E3517,K3517)</f>
        <v/>
      </c>
      <c r="R3519" s="15">
        <f>+L3517</f>
        <v>0</v>
      </c>
      <c r="S3519" s="16"/>
      <c r="T3519" s="15">
        <f>+E3517</f>
        <v>0</v>
      </c>
      <c r="U3519" s="26" t="str">
        <f>IFERROR(LEFT(K3517,FIND("*",K3517)-1),"-")</f>
        <v>-</v>
      </c>
      <c r="V3519" s="26" t="str">
        <f>IFERROR(RIGHT(K3517,LEN(K3517)-FIND("*",K3517)),"-")</f>
        <v>-</v>
      </c>
      <c r="W3519" s="27" t="str">
        <f t="shared" si="1912"/>
        <v>-</v>
      </c>
      <c r="X3519" s="27" t="str">
        <f>IFERROR(W3519*L3517,"-")</f>
        <v>-</v>
      </c>
      <c r="Z3519" s="94" t="s">
        <v>82</v>
      </c>
    </row>
    <row r="3520" spans="1:26" s="25" customFormat="1" ht="21" customHeight="1" thickBot="1" x14ac:dyDescent="0.35">
      <c r="A3520" s="10"/>
      <c r="B3520" s="170"/>
      <c r="C3520" s="171"/>
      <c r="D3520" s="172" t="s">
        <v>43</v>
      </c>
      <c r="E3520" s="173"/>
      <c r="F3520" s="173"/>
      <c r="G3520" s="174"/>
      <c r="H3520" s="174"/>
      <c r="I3520" s="174"/>
      <c r="J3520" s="174"/>
      <c r="K3520" s="174"/>
      <c r="L3520" s="174"/>
      <c r="M3520" s="12"/>
      <c r="N3520" s="39"/>
      <c r="U3520" s="23"/>
      <c r="V3520" s="23"/>
      <c r="Z3520" s="95" t="s">
        <v>81</v>
      </c>
    </row>
    <row r="3521" spans="1:26" s="25" customFormat="1" ht="9.9499999999999993" customHeight="1" thickBot="1" x14ac:dyDescent="0.35">
      <c r="A3521" s="6"/>
      <c r="B3521" s="14"/>
      <c r="C3521" s="119"/>
      <c r="D3521" s="58"/>
      <c r="E3521" s="17"/>
      <c r="F3521" s="58"/>
      <c r="G3521" s="19"/>
      <c r="H3521" s="19"/>
      <c r="I3521" s="19"/>
      <c r="J3521" s="19"/>
      <c r="K3521" s="19"/>
      <c r="L3521" s="19"/>
      <c r="M3521" s="14"/>
      <c r="N3521" s="39"/>
      <c r="Q3521" s="1"/>
      <c r="R3521" s="1"/>
      <c r="S3521" s="1"/>
      <c r="T3521" s="1"/>
      <c r="U3521" s="24"/>
      <c r="V3521" s="24"/>
      <c r="W3521" s="1"/>
      <c r="X3521" s="1"/>
      <c r="Z3521" s="94" t="s">
        <v>82</v>
      </c>
    </row>
    <row r="3522" spans="1:26" s="25" customFormat="1" ht="6.95" customHeight="1" x14ac:dyDescent="0.3">
      <c r="A3522" s="165">
        <f>+A3511+1</f>
        <v>321</v>
      </c>
      <c r="B3522" s="166"/>
      <c r="C3522" s="167"/>
      <c r="D3522" s="160" t="s">
        <v>39</v>
      </c>
      <c r="E3522" s="161"/>
      <c r="F3522" s="162" t="s">
        <v>40</v>
      </c>
      <c r="G3522" s="163"/>
      <c r="H3522" s="164"/>
      <c r="I3522" s="163"/>
      <c r="J3522" s="164"/>
      <c r="K3522" s="163"/>
      <c r="L3522" s="164"/>
      <c r="M3522" s="11"/>
      <c r="N3522" s="39"/>
      <c r="Q3522" s="15" t="str">
        <f>+CONCATENATE(E3522,G3522)</f>
        <v/>
      </c>
      <c r="R3522" s="15">
        <f>+H3522</f>
        <v>0</v>
      </c>
      <c r="S3522" s="16"/>
      <c r="T3522" s="15">
        <f>+E3522</f>
        <v>0</v>
      </c>
      <c r="U3522" s="26" t="str">
        <f>IFERROR(LEFT(G3522,FIND("*",G3522)-1),"-")</f>
        <v>-</v>
      </c>
      <c r="V3522" s="26" t="str">
        <f>IFERROR(RIGHT(G3522,LEN(G3522)-FIND("*",G3522)),"-")</f>
        <v>-</v>
      </c>
      <c r="W3522" s="27" t="str">
        <f>IFERROR((U3522+V3522)*2/1000,"-")</f>
        <v>-</v>
      </c>
      <c r="X3522" s="27" t="str">
        <f>IFERROR(W3522*H3522,"-")</f>
        <v>-</v>
      </c>
      <c r="Z3522" s="94" t="s">
        <v>82</v>
      </c>
    </row>
    <row r="3523" spans="1:26" s="25" customFormat="1" ht="6.95" customHeight="1" x14ac:dyDescent="0.3">
      <c r="A3523" s="165"/>
      <c r="B3523" s="168"/>
      <c r="C3523" s="169"/>
      <c r="D3523" s="160"/>
      <c r="E3523" s="161"/>
      <c r="F3523" s="162"/>
      <c r="G3523" s="163"/>
      <c r="H3523" s="164"/>
      <c r="I3523" s="163"/>
      <c r="J3523" s="164"/>
      <c r="K3523" s="163"/>
      <c r="L3523" s="164"/>
      <c r="M3523" s="11"/>
      <c r="N3523" s="39"/>
      <c r="Q3523" s="15" t="str">
        <f>+CONCATENATE(E3522,I3522)</f>
        <v/>
      </c>
      <c r="R3523" s="15">
        <f>+J3522</f>
        <v>0</v>
      </c>
      <c r="S3523" s="16"/>
      <c r="T3523" s="15">
        <f>+E3522</f>
        <v>0</v>
      </c>
      <c r="U3523" s="26" t="str">
        <f>IFERROR(LEFT(I3522,FIND("*",I3522)-1),"-")</f>
        <v>-</v>
      </c>
      <c r="V3523" s="26" t="str">
        <f>IFERROR(RIGHT(I3522,LEN(I3522)-FIND("*",I3522)),"-")</f>
        <v>-</v>
      </c>
      <c r="W3523" s="27" t="str">
        <f t="shared" ref="W3523:W3530" si="1918">IFERROR((U3523+V3523)*2/1000,"-")</f>
        <v>-</v>
      </c>
      <c r="X3523" s="27" t="str">
        <f>IFERROR(W3523*J3522,"-")</f>
        <v>-</v>
      </c>
      <c r="Z3523" s="94" t="s">
        <v>82</v>
      </c>
    </row>
    <row r="3524" spans="1:26" s="25" customFormat="1" ht="6.95" customHeight="1" x14ac:dyDescent="0.3">
      <c r="A3524" s="165"/>
      <c r="B3524" s="168"/>
      <c r="C3524" s="169"/>
      <c r="D3524" s="160"/>
      <c r="E3524" s="161"/>
      <c r="F3524" s="162"/>
      <c r="G3524" s="163"/>
      <c r="H3524" s="164"/>
      <c r="I3524" s="163"/>
      <c r="J3524" s="164"/>
      <c r="K3524" s="163"/>
      <c r="L3524" s="164"/>
      <c r="M3524" s="11"/>
      <c r="N3524" s="39"/>
      <c r="Q3524" s="15" t="str">
        <f>+CONCATENATE(E3522,K3522)</f>
        <v/>
      </c>
      <c r="R3524" s="15">
        <f>+L3522</f>
        <v>0</v>
      </c>
      <c r="S3524" s="16"/>
      <c r="T3524" s="15">
        <f>+E3522</f>
        <v>0</v>
      </c>
      <c r="U3524" s="26" t="str">
        <f>IFERROR(LEFT(K3522,FIND("*",K3522)-1),"-")</f>
        <v>-</v>
      </c>
      <c r="V3524" s="26" t="str">
        <f>IFERROR(RIGHT(K3522,LEN(K3522)-FIND("*",K3522)),"-")</f>
        <v>-</v>
      </c>
      <c r="W3524" s="27" t="str">
        <f t="shared" si="1918"/>
        <v>-</v>
      </c>
      <c r="X3524" s="27" t="str">
        <f>IFERROR(W3524*L3522,"-")</f>
        <v>-</v>
      </c>
      <c r="Z3524" s="94" t="s">
        <v>82</v>
      </c>
    </row>
    <row r="3525" spans="1:26" s="25" customFormat="1" ht="6.95" customHeight="1" x14ac:dyDescent="0.3">
      <c r="A3525" s="13"/>
      <c r="B3525" s="168"/>
      <c r="C3525" s="169"/>
      <c r="D3525" s="160" t="s">
        <v>39</v>
      </c>
      <c r="E3525" s="161"/>
      <c r="F3525" s="162" t="s">
        <v>40</v>
      </c>
      <c r="G3525" s="163"/>
      <c r="H3525" s="164"/>
      <c r="I3525" s="163"/>
      <c r="J3525" s="164"/>
      <c r="K3525" s="163"/>
      <c r="L3525" s="164"/>
      <c r="M3525" s="11"/>
      <c r="N3525" s="39"/>
      <c r="Q3525" s="15" t="str">
        <f>+CONCATENATE(E3525,G3525)</f>
        <v/>
      </c>
      <c r="R3525" s="15">
        <f>+H3525</f>
        <v>0</v>
      </c>
      <c r="S3525" s="16"/>
      <c r="T3525" s="15">
        <f>+E3525</f>
        <v>0</v>
      </c>
      <c r="U3525" s="26" t="str">
        <f t="shared" ref="U3525" si="1919">IFERROR(LEFT(G3525,FIND("*",G3525)-1),"-")</f>
        <v>-</v>
      </c>
      <c r="V3525" s="26" t="str">
        <f t="shared" ref="V3525" si="1920">IFERROR(RIGHT(G3525,LEN(G3525)-FIND("*",G3525)),"-")</f>
        <v>-</v>
      </c>
      <c r="W3525" s="27" t="str">
        <f t="shared" si="1918"/>
        <v>-</v>
      </c>
      <c r="X3525" s="27" t="str">
        <f>IFERROR(W3525*H3525,"-")</f>
        <v>-</v>
      </c>
      <c r="Z3525" s="94" t="s">
        <v>82</v>
      </c>
    </row>
    <row r="3526" spans="1:26" s="25" customFormat="1" ht="6.95" customHeight="1" x14ac:dyDescent="0.3">
      <c r="A3526" s="10"/>
      <c r="B3526" s="168"/>
      <c r="C3526" s="169"/>
      <c r="D3526" s="160"/>
      <c r="E3526" s="161"/>
      <c r="F3526" s="162"/>
      <c r="G3526" s="163"/>
      <c r="H3526" s="164"/>
      <c r="I3526" s="163"/>
      <c r="J3526" s="164"/>
      <c r="K3526" s="163"/>
      <c r="L3526" s="164"/>
      <c r="M3526" s="11"/>
      <c r="N3526" s="39"/>
      <c r="Q3526" s="15" t="str">
        <f>+CONCATENATE(E3525,I3525)</f>
        <v/>
      </c>
      <c r="R3526" s="15">
        <f>+J3525</f>
        <v>0</v>
      </c>
      <c r="S3526" s="16"/>
      <c r="T3526" s="15">
        <f>+E3525</f>
        <v>0</v>
      </c>
      <c r="U3526" s="26" t="str">
        <f>IFERROR(LEFT(I3525,FIND("*",I3525)-1),"-")</f>
        <v>-</v>
      </c>
      <c r="V3526" s="26" t="str">
        <f>IFERROR(RIGHT(I3525,LEN(I3525)-FIND("*",I3525)),"-")</f>
        <v>-</v>
      </c>
      <c r="W3526" s="27" t="str">
        <f t="shared" si="1918"/>
        <v>-</v>
      </c>
      <c r="X3526" s="27" t="str">
        <f>IFERROR(W3526*J3525,"-")</f>
        <v>-</v>
      </c>
      <c r="Z3526" s="94" t="s">
        <v>82</v>
      </c>
    </row>
    <row r="3527" spans="1:26" s="25" customFormat="1" ht="6.95" customHeight="1" x14ac:dyDescent="0.3">
      <c r="A3527" s="10"/>
      <c r="B3527" s="168"/>
      <c r="C3527" s="169"/>
      <c r="D3527" s="160"/>
      <c r="E3527" s="161"/>
      <c r="F3527" s="162"/>
      <c r="G3527" s="163"/>
      <c r="H3527" s="164"/>
      <c r="I3527" s="163"/>
      <c r="J3527" s="164"/>
      <c r="K3527" s="163"/>
      <c r="L3527" s="164"/>
      <c r="M3527" s="11"/>
      <c r="N3527" s="39"/>
      <c r="Q3527" s="15" t="str">
        <f>+CONCATENATE(E3525,K3525)</f>
        <v/>
      </c>
      <c r="R3527" s="15">
        <f>+L3525</f>
        <v>0</v>
      </c>
      <c r="S3527" s="16"/>
      <c r="T3527" s="15">
        <f>+E3525</f>
        <v>0</v>
      </c>
      <c r="U3527" s="26" t="str">
        <f>IFERROR(LEFT(K3525,FIND("*",K3525)-1),"-")</f>
        <v>-</v>
      </c>
      <c r="V3527" s="26" t="str">
        <f>IFERROR(RIGHT(K3525,LEN(K3525)-FIND("*",K3525)),"-")</f>
        <v>-</v>
      </c>
      <c r="W3527" s="27" t="str">
        <f t="shared" si="1918"/>
        <v>-</v>
      </c>
      <c r="X3527" s="27" t="str">
        <f>IFERROR(W3527*L3525,"-")</f>
        <v>-</v>
      </c>
      <c r="Z3527" s="94" t="s">
        <v>82</v>
      </c>
    </row>
    <row r="3528" spans="1:26" s="25" customFormat="1" ht="6.95" customHeight="1" x14ac:dyDescent="0.3">
      <c r="A3528" s="13"/>
      <c r="B3528" s="168"/>
      <c r="C3528" s="169"/>
      <c r="D3528" s="160" t="s">
        <v>39</v>
      </c>
      <c r="E3528" s="161"/>
      <c r="F3528" s="162" t="s">
        <v>40</v>
      </c>
      <c r="G3528" s="163"/>
      <c r="H3528" s="164"/>
      <c r="I3528" s="163"/>
      <c r="J3528" s="164"/>
      <c r="K3528" s="163"/>
      <c r="L3528" s="164"/>
      <c r="M3528" s="11"/>
      <c r="N3528" s="39"/>
      <c r="Q3528" s="15" t="str">
        <f>+CONCATENATE(E3528,G3528)</f>
        <v/>
      </c>
      <c r="R3528" s="15">
        <f>+H3528</f>
        <v>0</v>
      </c>
      <c r="S3528" s="16"/>
      <c r="T3528" s="15">
        <f>+E3528</f>
        <v>0</v>
      </c>
      <c r="U3528" s="26" t="str">
        <f t="shared" ref="U3528" si="1921">IFERROR(LEFT(G3528,FIND("*",G3528)-1),"-")</f>
        <v>-</v>
      </c>
      <c r="V3528" s="26" t="str">
        <f t="shared" ref="V3528" si="1922">IFERROR(RIGHT(G3528,LEN(G3528)-FIND("*",G3528)),"-")</f>
        <v>-</v>
      </c>
      <c r="W3528" s="27" t="str">
        <f t="shared" si="1918"/>
        <v>-</v>
      </c>
      <c r="X3528" s="27" t="str">
        <f>IFERROR(W3528*H3528,"-")</f>
        <v>-</v>
      </c>
      <c r="Z3528" s="94" t="s">
        <v>82</v>
      </c>
    </row>
    <row r="3529" spans="1:26" s="25" customFormat="1" ht="6.95" customHeight="1" x14ac:dyDescent="0.3">
      <c r="A3529" s="10"/>
      <c r="B3529" s="168"/>
      <c r="C3529" s="169"/>
      <c r="D3529" s="160"/>
      <c r="E3529" s="161"/>
      <c r="F3529" s="162"/>
      <c r="G3529" s="163"/>
      <c r="H3529" s="164"/>
      <c r="I3529" s="163"/>
      <c r="J3529" s="164"/>
      <c r="K3529" s="163"/>
      <c r="L3529" s="164"/>
      <c r="M3529" s="11"/>
      <c r="N3529" s="39"/>
      <c r="Q3529" s="15" t="str">
        <f>+CONCATENATE(E3528,I3528)</f>
        <v/>
      </c>
      <c r="R3529" s="15">
        <f>+J3528</f>
        <v>0</v>
      </c>
      <c r="S3529" s="16"/>
      <c r="T3529" s="15">
        <f>+E3528</f>
        <v>0</v>
      </c>
      <c r="U3529" s="26" t="str">
        <f>IFERROR(LEFT(I3528,FIND("*",I3528)-1),"-")</f>
        <v>-</v>
      </c>
      <c r="V3529" s="26" t="str">
        <f>IFERROR(RIGHT(I3528,LEN(I3528)-FIND("*",I3528)),"-")</f>
        <v>-</v>
      </c>
      <c r="W3529" s="27" t="str">
        <f t="shared" si="1918"/>
        <v>-</v>
      </c>
      <c r="X3529" s="27" t="str">
        <f t="shared" ref="X3529" si="1923">IFERROR(W3529*J3528,"-")</f>
        <v>-</v>
      </c>
      <c r="Z3529" s="94" t="s">
        <v>82</v>
      </c>
    </row>
    <row r="3530" spans="1:26" s="25" customFormat="1" ht="6.95" customHeight="1" x14ac:dyDescent="0.3">
      <c r="A3530" s="10"/>
      <c r="B3530" s="168"/>
      <c r="C3530" s="169"/>
      <c r="D3530" s="160"/>
      <c r="E3530" s="161"/>
      <c r="F3530" s="162"/>
      <c r="G3530" s="163"/>
      <c r="H3530" s="164"/>
      <c r="I3530" s="163"/>
      <c r="J3530" s="164"/>
      <c r="K3530" s="163"/>
      <c r="L3530" s="164"/>
      <c r="M3530" s="11"/>
      <c r="N3530" s="39"/>
      <c r="Q3530" s="15" t="str">
        <f>+CONCATENATE(E3528,K3528)</f>
        <v/>
      </c>
      <c r="R3530" s="15">
        <f>+L3528</f>
        <v>0</v>
      </c>
      <c r="S3530" s="16"/>
      <c r="T3530" s="15">
        <f>+E3528</f>
        <v>0</v>
      </c>
      <c r="U3530" s="26" t="str">
        <f>IFERROR(LEFT(K3528,FIND("*",K3528)-1),"-")</f>
        <v>-</v>
      </c>
      <c r="V3530" s="26" t="str">
        <f>IFERROR(RIGHT(K3528,LEN(K3528)-FIND("*",K3528)),"-")</f>
        <v>-</v>
      </c>
      <c r="W3530" s="27" t="str">
        <f t="shared" si="1918"/>
        <v>-</v>
      </c>
      <c r="X3530" s="27" t="str">
        <f>IFERROR(W3530*L3528,"-")</f>
        <v>-</v>
      </c>
      <c r="Z3530" s="94" t="s">
        <v>82</v>
      </c>
    </row>
    <row r="3531" spans="1:26" s="25" customFormat="1" ht="21" customHeight="1" thickBot="1" x14ac:dyDescent="0.35">
      <c r="A3531" s="10"/>
      <c r="B3531" s="170"/>
      <c r="C3531" s="171"/>
      <c r="D3531" s="172" t="s">
        <v>43</v>
      </c>
      <c r="E3531" s="173"/>
      <c r="F3531" s="173"/>
      <c r="G3531" s="174"/>
      <c r="H3531" s="174"/>
      <c r="I3531" s="174"/>
      <c r="J3531" s="174"/>
      <c r="K3531" s="174"/>
      <c r="L3531" s="174"/>
      <c r="M3531" s="12"/>
      <c r="N3531" s="39"/>
      <c r="U3531" s="23"/>
      <c r="V3531" s="23"/>
      <c r="Z3531" s="95" t="s">
        <v>81</v>
      </c>
    </row>
    <row r="3532" spans="1:26" s="25" customFormat="1" ht="9.9499999999999993" customHeight="1" thickBot="1" x14ac:dyDescent="0.35">
      <c r="A3532" s="6"/>
      <c r="B3532" s="14"/>
      <c r="C3532" s="119"/>
      <c r="D3532" s="58"/>
      <c r="E3532" s="17"/>
      <c r="F3532" s="58"/>
      <c r="G3532" s="19"/>
      <c r="H3532" s="19"/>
      <c r="I3532" s="19"/>
      <c r="J3532" s="19"/>
      <c r="K3532" s="19"/>
      <c r="L3532" s="19"/>
      <c r="M3532" s="14"/>
      <c r="N3532" s="39"/>
      <c r="Q3532" s="1"/>
      <c r="R3532" s="1"/>
      <c r="S3532" s="1"/>
      <c r="T3532" s="1"/>
      <c r="U3532" s="24"/>
      <c r="V3532" s="24"/>
      <c r="W3532" s="1"/>
      <c r="X3532" s="1"/>
      <c r="Z3532" s="94" t="s">
        <v>82</v>
      </c>
    </row>
    <row r="3533" spans="1:26" s="25" customFormat="1" ht="6.95" customHeight="1" x14ac:dyDescent="0.3">
      <c r="A3533" s="165">
        <f>+A3522+1</f>
        <v>322</v>
      </c>
      <c r="B3533" s="166"/>
      <c r="C3533" s="167"/>
      <c r="D3533" s="160" t="s">
        <v>39</v>
      </c>
      <c r="E3533" s="161"/>
      <c r="F3533" s="162" t="s">
        <v>40</v>
      </c>
      <c r="G3533" s="163"/>
      <c r="H3533" s="164"/>
      <c r="I3533" s="163"/>
      <c r="J3533" s="164"/>
      <c r="K3533" s="163"/>
      <c r="L3533" s="164"/>
      <c r="M3533" s="11"/>
      <c r="N3533" s="39"/>
      <c r="Q3533" s="15" t="str">
        <f>+CONCATENATE(E3533,G3533)</f>
        <v/>
      </c>
      <c r="R3533" s="15">
        <f>+H3533</f>
        <v>0</v>
      </c>
      <c r="S3533" s="16"/>
      <c r="T3533" s="15">
        <f>+E3533</f>
        <v>0</v>
      </c>
      <c r="U3533" s="26" t="str">
        <f>IFERROR(LEFT(G3533,FIND("*",G3533)-1),"-")</f>
        <v>-</v>
      </c>
      <c r="V3533" s="26" t="str">
        <f>IFERROR(RIGHT(G3533,LEN(G3533)-FIND("*",G3533)),"-")</f>
        <v>-</v>
      </c>
      <c r="W3533" s="27" t="str">
        <f>IFERROR((U3533+V3533)*2/1000,"-")</f>
        <v>-</v>
      </c>
      <c r="X3533" s="27" t="str">
        <f>IFERROR(W3533*H3533,"-")</f>
        <v>-</v>
      </c>
      <c r="Z3533" s="94" t="s">
        <v>82</v>
      </c>
    </row>
    <row r="3534" spans="1:26" s="25" customFormat="1" ht="6.95" customHeight="1" x14ac:dyDescent="0.3">
      <c r="A3534" s="165"/>
      <c r="B3534" s="168"/>
      <c r="C3534" s="169"/>
      <c r="D3534" s="160"/>
      <c r="E3534" s="161"/>
      <c r="F3534" s="162"/>
      <c r="G3534" s="163"/>
      <c r="H3534" s="164"/>
      <c r="I3534" s="163"/>
      <c r="J3534" s="164"/>
      <c r="K3534" s="163"/>
      <c r="L3534" s="164"/>
      <c r="M3534" s="11"/>
      <c r="N3534" s="39"/>
      <c r="Q3534" s="15" t="str">
        <f>+CONCATENATE(E3533,I3533)</f>
        <v/>
      </c>
      <c r="R3534" s="15">
        <f>+J3533</f>
        <v>0</v>
      </c>
      <c r="S3534" s="16"/>
      <c r="T3534" s="15">
        <f>+E3533</f>
        <v>0</v>
      </c>
      <c r="U3534" s="26" t="str">
        <f>IFERROR(LEFT(I3533,FIND("*",I3533)-1),"-")</f>
        <v>-</v>
      </c>
      <c r="V3534" s="26" t="str">
        <f>IFERROR(RIGHT(I3533,LEN(I3533)-FIND("*",I3533)),"-")</f>
        <v>-</v>
      </c>
      <c r="W3534" s="27" t="str">
        <f t="shared" ref="W3534:W3541" si="1924">IFERROR((U3534+V3534)*2/1000,"-")</f>
        <v>-</v>
      </c>
      <c r="X3534" s="27" t="str">
        <f>IFERROR(W3534*J3533,"-")</f>
        <v>-</v>
      </c>
      <c r="Z3534" s="94" t="s">
        <v>82</v>
      </c>
    </row>
    <row r="3535" spans="1:26" s="25" customFormat="1" ht="6.95" customHeight="1" x14ac:dyDescent="0.3">
      <c r="A3535" s="165"/>
      <c r="B3535" s="168"/>
      <c r="C3535" s="169"/>
      <c r="D3535" s="160"/>
      <c r="E3535" s="161"/>
      <c r="F3535" s="162"/>
      <c r="G3535" s="163"/>
      <c r="H3535" s="164"/>
      <c r="I3535" s="163"/>
      <c r="J3535" s="164"/>
      <c r="K3535" s="163"/>
      <c r="L3535" s="164"/>
      <c r="M3535" s="11"/>
      <c r="N3535" s="39"/>
      <c r="Q3535" s="15" t="str">
        <f>+CONCATENATE(E3533,K3533)</f>
        <v/>
      </c>
      <c r="R3535" s="15">
        <f>+L3533</f>
        <v>0</v>
      </c>
      <c r="S3535" s="16"/>
      <c r="T3535" s="15">
        <f>+E3533</f>
        <v>0</v>
      </c>
      <c r="U3535" s="26" t="str">
        <f>IFERROR(LEFT(K3533,FIND("*",K3533)-1),"-")</f>
        <v>-</v>
      </c>
      <c r="V3535" s="26" t="str">
        <f>IFERROR(RIGHT(K3533,LEN(K3533)-FIND("*",K3533)),"-")</f>
        <v>-</v>
      </c>
      <c r="W3535" s="27" t="str">
        <f t="shared" si="1924"/>
        <v>-</v>
      </c>
      <c r="X3535" s="27" t="str">
        <f>IFERROR(W3535*L3533,"-")</f>
        <v>-</v>
      </c>
      <c r="Z3535" s="94" t="s">
        <v>82</v>
      </c>
    </row>
    <row r="3536" spans="1:26" s="25" customFormat="1" ht="6.95" customHeight="1" x14ac:dyDescent="0.3">
      <c r="A3536" s="13"/>
      <c r="B3536" s="168"/>
      <c r="C3536" s="169"/>
      <c r="D3536" s="160" t="s">
        <v>39</v>
      </c>
      <c r="E3536" s="161"/>
      <c r="F3536" s="162" t="s">
        <v>40</v>
      </c>
      <c r="G3536" s="163"/>
      <c r="H3536" s="164"/>
      <c r="I3536" s="163"/>
      <c r="J3536" s="164"/>
      <c r="K3536" s="163"/>
      <c r="L3536" s="164"/>
      <c r="M3536" s="11"/>
      <c r="N3536" s="39"/>
      <c r="Q3536" s="15" t="str">
        <f>+CONCATENATE(E3536,G3536)</f>
        <v/>
      </c>
      <c r="R3536" s="15">
        <f>+H3536</f>
        <v>0</v>
      </c>
      <c r="S3536" s="16"/>
      <c r="T3536" s="15">
        <f>+E3536</f>
        <v>0</v>
      </c>
      <c r="U3536" s="26" t="str">
        <f t="shared" ref="U3536" si="1925">IFERROR(LEFT(G3536,FIND("*",G3536)-1),"-")</f>
        <v>-</v>
      </c>
      <c r="V3536" s="26" t="str">
        <f t="shared" ref="V3536" si="1926">IFERROR(RIGHT(G3536,LEN(G3536)-FIND("*",G3536)),"-")</f>
        <v>-</v>
      </c>
      <c r="W3536" s="27" t="str">
        <f t="shared" si="1924"/>
        <v>-</v>
      </c>
      <c r="X3536" s="27" t="str">
        <f>IFERROR(W3536*H3536,"-")</f>
        <v>-</v>
      </c>
      <c r="Z3536" s="94" t="s">
        <v>82</v>
      </c>
    </row>
    <row r="3537" spans="1:26" s="25" customFormat="1" ht="6.95" customHeight="1" x14ac:dyDescent="0.3">
      <c r="A3537" s="10"/>
      <c r="B3537" s="168"/>
      <c r="C3537" s="169"/>
      <c r="D3537" s="160"/>
      <c r="E3537" s="161"/>
      <c r="F3537" s="162"/>
      <c r="G3537" s="163"/>
      <c r="H3537" s="164"/>
      <c r="I3537" s="163"/>
      <c r="J3537" s="164"/>
      <c r="K3537" s="163"/>
      <c r="L3537" s="164"/>
      <c r="M3537" s="11"/>
      <c r="N3537" s="39"/>
      <c r="Q3537" s="15" t="str">
        <f>+CONCATENATE(E3536,I3536)</f>
        <v/>
      </c>
      <c r="R3537" s="15">
        <f>+J3536</f>
        <v>0</v>
      </c>
      <c r="S3537" s="16"/>
      <c r="T3537" s="15">
        <f>+E3536</f>
        <v>0</v>
      </c>
      <c r="U3537" s="26" t="str">
        <f>IFERROR(LEFT(I3536,FIND("*",I3536)-1),"-")</f>
        <v>-</v>
      </c>
      <c r="V3537" s="26" t="str">
        <f>IFERROR(RIGHT(I3536,LEN(I3536)-FIND("*",I3536)),"-")</f>
        <v>-</v>
      </c>
      <c r="W3537" s="27" t="str">
        <f t="shared" si="1924"/>
        <v>-</v>
      </c>
      <c r="X3537" s="27" t="str">
        <f>IFERROR(W3537*J3536,"-")</f>
        <v>-</v>
      </c>
      <c r="Z3537" s="94" t="s">
        <v>82</v>
      </c>
    </row>
    <row r="3538" spans="1:26" s="25" customFormat="1" ht="6.95" customHeight="1" x14ac:dyDescent="0.3">
      <c r="A3538" s="10"/>
      <c r="B3538" s="168"/>
      <c r="C3538" s="169"/>
      <c r="D3538" s="160"/>
      <c r="E3538" s="161"/>
      <c r="F3538" s="162"/>
      <c r="G3538" s="163"/>
      <c r="H3538" s="164"/>
      <c r="I3538" s="163"/>
      <c r="J3538" s="164"/>
      <c r="K3538" s="163"/>
      <c r="L3538" s="164"/>
      <c r="M3538" s="11"/>
      <c r="N3538" s="39"/>
      <c r="Q3538" s="15" t="str">
        <f>+CONCATENATE(E3536,K3536)</f>
        <v/>
      </c>
      <c r="R3538" s="15">
        <f>+L3536</f>
        <v>0</v>
      </c>
      <c r="S3538" s="16"/>
      <c r="T3538" s="15">
        <f>+E3536</f>
        <v>0</v>
      </c>
      <c r="U3538" s="26" t="str">
        <f>IFERROR(LEFT(K3536,FIND("*",K3536)-1),"-")</f>
        <v>-</v>
      </c>
      <c r="V3538" s="26" t="str">
        <f>IFERROR(RIGHT(K3536,LEN(K3536)-FIND("*",K3536)),"-")</f>
        <v>-</v>
      </c>
      <c r="W3538" s="27" t="str">
        <f t="shared" si="1924"/>
        <v>-</v>
      </c>
      <c r="X3538" s="27" t="str">
        <f>IFERROR(W3538*L3536,"-")</f>
        <v>-</v>
      </c>
      <c r="Z3538" s="94" t="s">
        <v>82</v>
      </c>
    </row>
    <row r="3539" spans="1:26" s="25" customFormat="1" ht="6.95" customHeight="1" x14ac:dyDescent="0.3">
      <c r="A3539" s="13"/>
      <c r="B3539" s="168"/>
      <c r="C3539" s="169"/>
      <c r="D3539" s="160" t="s">
        <v>39</v>
      </c>
      <c r="E3539" s="161"/>
      <c r="F3539" s="162" t="s">
        <v>40</v>
      </c>
      <c r="G3539" s="163"/>
      <c r="H3539" s="164"/>
      <c r="I3539" s="163"/>
      <c r="J3539" s="164"/>
      <c r="K3539" s="163"/>
      <c r="L3539" s="164"/>
      <c r="M3539" s="11"/>
      <c r="N3539" s="39"/>
      <c r="Q3539" s="15" t="str">
        <f>+CONCATENATE(E3539,G3539)</f>
        <v/>
      </c>
      <c r="R3539" s="15">
        <f>+H3539</f>
        <v>0</v>
      </c>
      <c r="S3539" s="16"/>
      <c r="T3539" s="15">
        <f>+E3539</f>
        <v>0</v>
      </c>
      <c r="U3539" s="26" t="str">
        <f t="shared" ref="U3539" si="1927">IFERROR(LEFT(G3539,FIND("*",G3539)-1),"-")</f>
        <v>-</v>
      </c>
      <c r="V3539" s="26" t="str">
        <f t="shared" ref="V3539" si="1928">IFERROR(RIGHT(G3539,LEN(G3539)-FIND("*",G3539)),"-")</f>
        <v>-</v>
      </c>
      <c r="W3539" s="27" t="str">
        <f t="shared" si="1924"/>
        <v>-</v>
      </c>
      <c r="X3539" s="27" t="str">
        <f>IFERROR(W3539*H3539,"-")</f>
        <v>-</v>
      </c>
      <c r="Z3539" s="94" t="s">
        <v>82</v>
      </c>
    </row>
    <row r="3540" spans="1:26" s="25" customFormat="1" ht="6.95" customHeight="1" x14ac:dyDescent="0.3">
      <c r="A3540" s="10"/>
      <c r="B3540" s="168"/>
      <c r="C3540" s="169"/>
      <c r="D3540" s="160"/>
      <c r="E3540" s="161"/>
      <c r="F3540" s="162"/>
      <c r="G3540" s="163"/>
      <c r="H3540" s="164"/>
      <c r="I3540" s="163"/>
      <c r="J3540" s="164"/>
      <c r="K3540" s="163"/>
      <c r="L3540" s="164"/>
      <c r="M3540" s="11"/>
      <c r="N3540" s="39"/>
      <c r="Q3540" s="15" t="str">
        <f>+CONCATENATE(E3539,I3539)</f>
        <v/>
      </c>
      <c r="R3540" s="15">
        <f>+J3539</f>
        <v>0</v>
      </c>
      <c r="S3540" s="16"/>
      <c r="T3540" s="15">
        <f>+E3539</f>
        <v>0</v>
      </c>
      <c r="U3540" s="26" t="str">
        <f>IFERROR(LEFT(I3539,FIND("*",I3539)-1),"-")</f>
        <v>-</v>
      </c>
      <c r="V3540" s="26" t="str">
        <f>IFERROR(RIGHT(I3539,LEN(I3539)-FIND("*",I3539)),"-")</f>
        <v>-</v>
      </c>
      <c r="W3540" s="27" t="str">
        <f t="shared" si="1924"/>
        <v>-</v>
      </c>
      <c r="X3540" s="27" t="str">
        <f t="shared" ref="X3540" si="1929">IFERROR(W3540*J3539,"-")</f>
        <v>-</v>
      </c>
      <c r="Z3540" s="94" t="s">
        <v>82</v>
      </c>
    </row>
    <row r="3541" spans="1:26" s="25" customFormat="1" ht="6.95" customHeight="1" x14ac:dyDescent="0.3">
      <c r="A3541" s="10"/>
      <c r="B3541" s="168"/>
      <c r="C3541" s="169"/>
      <c r="D3541" s="160"/>
      <c r="E3541" s="161"/>
      <c r="F3541" s="162"/>
      <c r="G3541" s="163"/>
      <c r="H3541" s="164"/>
      <c r="I3541" s="163"/>
      <c r="J3541" s="164"/>
      <c r="K3541" s="163"/>
      <c r="L3541" s="164"/>
      <c r="M3541" s="11"/>
      <c r="N3541" s="39"/>
      <c r="Q3541" s="15" t="str">
        <f>+CONCATENATE(E3539,K3539)</f>
        <v/>
      </c>
      <c r="R3541" s="15">
        <f>+L3539</f>
        <v>0</v>
      </c>
      <c r="S3541" s="16"/>
      <c r="T3541" s="15">
        <f>+E3539</f>
        <v>0</v>
      </c>
      <c r="U3541" s="26" t="str">
        <f>IFERROR(LEFT(K3539,FIND("*",K3539)-1),"-")</f>
        <v>-</v>
      </c>
      <c r="V3541" s="26" t="str">
        <f>IFERROR(RIGHT(K3539,LEN(K3539)-FIND("*",K3539)),"-")</f>
        <v>-</v>
      </c>
      <c r="W3541" s="27" t="str">
        <f t="shared" si="1924"/>
        <v>-</v>
      </c>
      <c r="X3541" s="27" t="str">
        <f>IFERROR(W3541*L3539,"-")</f>
        <v>-</v>
      </c>
      <c r="Z3541" s="94" t="s">
        <v>82</v>
      </c>
    </row>
    <row r="3542" spans="1:26" s="25" customFormat="1" ht="21" customHeight="1" thickBot="1" x14ac:dyDescent="0.35">
      <c r="A3542" s="10"/>
      <c r="B3542" s="170"/>
      <c r="C3542" s="171"/>
      <c r="D3542" s="172" t="s">
        <v>43</v>
      </c>
      <c r="E3542" s="173"/>
      <c r="F3542" s="173"/>
      <c r="G3542" s="174"/>
      <c r="H3542" s="174"/>
      <c r="I3542" s="174"/>
      <c r="J3542" s="174"/>
      <c r="K3542" s="174"/>
      <c r="L3542" s="174"/>
      <c r="M3542" s="12"/>
      <c r="N3542" s="39"/>
      <c r="U3542" s="23"/>
      <c r="V3542" s="23"/>
      <c r="Z3542" s="95" t="s">
        <v>81</v>
      </c>
    </row>
    <row r="3543" spans="1:26" s="25" customFormat="1" ht="9.9499999999999993" customHeight="1" thickBot="1" x14ac:dyDescent="0.35">
      <c r="A3543" s="6"/>
      <c r="B3543" s="14"/>
      <c r="C3543" s="119"/>
      <c r="D3543" s="58"/>
      <c r="E3543" s="17"/>
      <c r="F3543" s="58"/>
      <c r="G3543" s="19"/>
      <c r="H3543" s="19"/>
      <c r="I3543" s="19"/>
      <c r="J3543" s="19"/>
      <c r="K3543" s="19"/>
      <c r="L3543" s="19"/>
      <c r="M3543" s="14"/>
      <c r="N3543" s="39"/>
      <c r="Q3543" s="1"/>
      <c r="R3543" s="1"/>
      <c r="S3543" s="1"/>
      <c r="T3543" s="1"/>
      <c r="U3543" s="24"/>
      <c r="V3543" s="24"/>
      <c r="W3543" s="1"/>
      <c r="X3543" s="1"/>
      <c r="Z3543" s="94" t="s">
        <v>82</v>
      </c>
    </row>
    <row r="3544" spans="1:26" s="25" customFormat="1" ht="6.95" customHeight="1" x14ac:dyDescent="0.3">
      <c r="A3544" s="165">
        <f>+A3533+1</f>
        <v>323</v>
      </c>
      <c r="B3544" s="166"/>
      <c r="C3544" s="167"/>
      <c r="D3544" s="160" t="s">
        <v>39</v>
      </c>
      <c r="E3544" s="161"/>
      <c r="F3544" s="162" t="s">
        <v>40</v>
      </c>
      <c r="G3544" s="163"/>
      <c r="H3544" s="164"/>
      <c r="I3544" s="163"/>
      <c r="J3544" s="164"/>
      <c r="K3544" s="163"/>
      <c r="L3544" s="164"/>
      <c r="M3544" s="11"/>
      <c r="N3544" s="39"/>
      <c r="Q3544" s="15" t="str">
        <f>+CONCATENATE(E3544,G3544)</f>
        <v/>
      </c>
      <c r="R3544" s="15">
        <f>+H3544</f>
        <v>0</v>
      </c>
      <c r="S3544" s="16"/>
      <c r="T3544" s="15">
        <f>+E3544</f>
        <v>0</v>
      </c>
      <c r="U3544" s="26" t="str">
        <f>IFERROR(LEFT(G3544,FIND("*",G3544)-1),"-")</f>
        <v>-</v>
      </c>
      <c r="V3544" s="26" t="str">
        <f>IFERROR(RIGHT(G3544,LEN(G3544)-FIND("*",G3544)),"-")</f>
        <v>-</v>
      </c>
      <c r="W3544" s="27" t="str">
        <f>IFERROR((U3544+V3544)*2/1000,"-")</f>
        <v>-</v>
      </c>
      <c r="X3544" s="27" t="str">
        <f>IFERROR(W3544*H3544,"-")</f>
        <v>-</v>
      </c>
      <c r="Z3544" s="94" t="s">
        <v>82</v>
      </c>
    </row>
    <row r="3545" spans="1:26" s="25" customFormat="1" ht="6.95" customHeight="1" x14ac:dyDescent="0.3">
      <c r="A3545" s="165"/>
      <c r="B3545" s="168"/>
      <c r="C3545" s="169"/>
      <c r="D3545" s="160"/>
      <c r="E3545" s="161"/>
      <c r="F3545" s="162"/>
      <c r="G3545" s="163"/>
      <c r="H3545" s="164"/>
      <c r="I3545" s="163"/>
      <c r="J3545" s="164"/>
      <c r="K3545" s="163"/>
      <c r="L3545" s="164"/>
      <c r="M3545" s="11"/>
      <c r="N3545" s="39"/>
      <c r="Q3545" s="15" t="str">
        <f>+CONCATENATE(E3544,I3544)</f>
        <v/>
      </c>
      <c r="R3545" s="15">
        <f>+J3544</f>
        <v>0</v>
      </c>
      <c r="S3545" s="16"/>
      <c r="T3545" s="15">
        <f>+E3544</f>
        <v>0</v>
      </c>
      <c r="U3545" s="26" t="str">
        <f>IFERROR(LEFT(I3544,FIND("*",I3544)-1),"-")</f>
        <v>-</v>
      </c>
      <c r="V3545" s="26" t="str">
        <f>IFERROR(RIGHT(I3544,LEN(I3544)-FIND("*",I3544)),"-")</f>
        <v>-</v>
      </c>
      <c r="W3545" s="27" t="str">
        <f t="shared" ref="W3545:W3552" si="1930">IFERROR((U3545+V3545)*2/1000,"-")</f>
        <v>-</v>
      </c>
      <c r="X3545" s="27" t="str">
        <f>IFERROR(W3545*J3544,"-")</f>
        <v>-</v>
      </c>
      <c r="Z3545" s="94" t="s">
        <v>82</v>
      </c>
    </row>
    <row r="3546" spans="1:26" s="25" customFormat="1" ht="6.95" customHeight="1" x14ac:dyDescent="0.3">
      <c r="A3546" s="165"/>
      <c r="B3546" s="168"/>
      <c r="C3546" s="169"/>
      <c r="D3546" s="160"/>
      <c r="E3546" s="161"/>
      <c r="F3546" s="162"/>
      <c r="G3546" s="163"/>
      <c r="H3546" s="164"/>
      <c r="I3546" s="163"/>
      <c r="J3546" s="164"/>
      <c r="K3546" s="163"/>
      <c r="L3546" s="164"/>
      <c r="M3546" s="11"/>
      <c r="N3546" s="39"/>
      <c r="Q3546" s="15" t="str">
        <f>+CONCATENATE(E3544,K3544)</f>
        <v/>
      </c>
      <c r="R3546" s="15">
        <f>+L3544</f>
        <v>0</v>
      </c>
      <c r="S3546" s="16"/>
      <c r="T3546" s="15">
        <f>+E3544</f>
        <v>0</v>
      </c>
      <c r="U3546" s="26" t="str">
        <f>IFERROR(LEFT(K3544,FIND("*",K3544)-1),"-")</f>
        <v>-</v>
      </c>
      <c r="V3546" s="26" t="str">
        <f>IFERROR(RIGHT(K3544,LEN(K3544)-FIND("*",K3544)),"-")</f>
        <v>-</v>
      </c>
      <c r="W3546" s="27" t="str">
        <f t="shared" si="1930"/>
        <v>-</v>
      </c>
      <c r="X3546" s="27" t="str">
        <f>IFERROR(W3546*L3544,"-")</f>
        <v>-</v>
      </c>
      <c r="Z3546" s="94" t="s">
        <v>82</v>
      </c>
    </row>
    <row r="3547" spans="1:26" s="25" customFormat="1" ht="6.95" customHeight="1" x14ac:dyDescent="0.3">
      <c r="A3547" s="13"/>
      <c r="B3547" s="168"/>
      <c r="C3547" s="169"/>
      <c r="D3547" s="160" t="s">
        <v>39</v>
      </c>
      <c r="E3547" s="161"/>
      <c r="F3547" s="162" t="s">
        <v>40</v>
      </c>
      <c r="G3547" s="163"/>
      <c r="H3547" s="164"/>
      <c r="I3547" s="163"/>
      <c r="J3547" s="164"/>
      <c r="K3547" s="163"/>
      <c r="L3547" s="164"/>
      <c r="M3547" s="11"/>
      <c r="N3547" s="39"/>
      <c r="Q3547" s="15" t="str">
        <f>+CONCATENATE(E3547,G3547)</f>
        <v/>
      </c>
      <c r="R3547" s="15">
        <f>+H3547</f>
        <v>0</v>
      </c>
      <c r="S3547" s="16"/>
      <c r="T3547" s="15">
        <f>+E3547</f>
        <v>0</v>
      </c>
      <c r="U3547" s="26" t="str">
        <f t="shared" ref="U3547" si="1931">IFERROR(LEFT(G3547,FIND("*",G3547)-1),"-")</f>
        <v>-</v>
      </c>
      <c r="V3547" s="26" t="str">
        <f t="shared" ref="V3547" si="1932">IFERROR(RIGHT(G3547,LEN(G3547)-FIND("*",G3547)),"-")</f>
        <v>-</v>
      </c>
      <c r="W3547" s="27" t="str">
        <f t="shared" si="1930"/>
        <v>-</v>
      </c>
      <c r="X3547" s="27" t="str">
        <f>IFERROR(W3547*H3547,"-")</f>
        <v>-</v>
      </c>
      <c r="Z3547" s="94" t="s">
        <v>82</v>
      </c>
    </row>
    <row r="3548" spans="1:26" s="25" customFormat="1" ht="6.95" customHeight="1" x14ac:dyDescent="0.3">
      <c r="A3548" s="10"/>
      <c r="B3548" s="168"/>
      <c r="C3548" s="169"/>
      <c r="D3548" s="160"/>
      <c r="E3548" s="161"/>
      <c r="F3548" s="162"/>
      <c r="G3548" s="163"/>
      <c r="H3548" s="164"/>
      <c r="I3548" s="163"/>
      <c r="J3548" s="164"/>
      <c r="K3548" s="163"/>
      <c r="L3548" s="164"/>
      <c r="M3548" s="11"/>
      <c r="N3548" s="39"/>
      <c r="Q3548" s="15" t="str">
        <f>+CONCATENATE(E3547,I3547)</f>
        <v/>
      </c>
      <c r="R3548" s="15">
        <f>+J3547</f>
        <v>0</v>
      </c>
      <c r="S3548" s="16"/>
      <c r="T3548" s="15">
        <f>+E3547</f>
        <v>0</v>
      </c>
      <c r="U3548" s="26" t="str">
        <f>IFERROR(LEFT(I3547,FIND("*",I3547)-1),"-")</f>
        <v>-</v>
      </c>
      <c r="V3548" s="26" t="str">
        <f>IFERROR(RIGHT(I3547,LEN(I3547)-FIND("*",I3547)),"-")</f>
        <v>-</v>
      </c>
      <c r="W3548" s="27" t="str">
        <f t="shared" si="1930"/>
        <v>-</v>
      </c>
      <c r="X3548" s="27" t="str">
        <f>IFERROR(W3548*J3547,"-")</f>
        <v>-</v>
      </c>
      <c r="Z3548" s="94" t="s">
        <v>82</v>
      </c>
    </row>
    <row r="3549" spans="1:26" s="25" customFormat="1" ht="6.95" customHeight="1" x14ac:dyDescent="0.3">
      <c r="A3549" s="10"/>
      <c r="B3549" s="168"/>
      <c r="C3549" s="169"/>
      <c r="D3549" s="160"/>
      <c r="E3549" s="161"/>
      <c r="F3549" s="162"/>
      <c r="G3549" s="163"/>
      <c r="H3549" s="164"/>
      <c r="I3549" s="163"/>
      <c r="J3549" s="164"/>
      <c r="K3549" s="163"/>
      <c r="L3549" s="164"/>
      <c r="M3549" s="11"/>
      <c r="N3549" s="39"/>
      <c r="Q3549" s="15" t="str">
        <f>+CONCATENATE(E3547,K3547)</f>
        <v/>
      </c>
      <c r="R3549" s="15">
        <f>+L3547</f>
        <v>0</v>
      </c>
      <c r="S3549" s="16"/>
      <c r="T3549" s="15">
        <f>+E3547</f>
        <v>0</v>
      </c>
      <c r="U3549" s="26" t="str">
        <f>IFERROR(LEFT(K3547,FIND("*",K3547)-1),"-")</f>
        <v>-</v>
      </c>
      <c r="V3549" s="26" t="str">
        <f>IFERROR(RIGHT(K3547,LEN(K3547)-FIND("*",K3547)),"-")</f>
        <v>-</v>
      </c>
      <c r="W3549" s="27" t="str">
        <f t="shared" si="1930"/>
        <v>-</v>
      </c>
      <c r="X3549" s="27" t="str">
        <f>IFERROR(W3549*L3547,"-")</f>
        <v>-</v>
      </c>
      <c r="Z3549" s="94" t="s">
        <v>82</v>
      </c>
    </row>
    <row r="3550" spans="1:26" s="25" customFormat="1" ht="6.95" customHeight="1" x14ac:dyDescent="0.3">
      <c r="A3550" s="13"/>
      <c r="B3550" s="168"/>
      <c r="C3550" s="169"/>
      <c r="D3550" s="160" t="s">
        <v>39</v>
      </c>
      <c r="E3550" s="161"/>
      <c r="F3550" s="162" t="s">
        <v>40</v>
      </c>
      <c r="G3550" s="163"/>
      <c r="H3550" s="164"/>
      <c r="I3550" s="163"/>
      <c r="J3550" s="164"/>
      <c r="K3550" s="163"/>
      <c r="L3550" s="164"/>
      <c r="M3550" s="11"/>
      <c r="N3550" s="39"/>
      <c r="Q3550" s="15" t="str">
        <f>+CONCATENATE(E3550,G3550)</f>
        <v/>
      </c>
      <c r="R3550" s="15">
        <f>+H3550</f>
        <v>0</v>
      </c>
      <c r="S3550" s="16"/>
      <c r="T3550" s="15">
        <f>+E3550</f>
        <v>0</v>
      </c>
      <c r="U3550" s="26" t="str">
        <f t="shared" ref="U3550" si="1933">IFERROR(LEFT(G3550,FIND("*",G3550)-1),"-")</f>
        <v>-</v>
      </c>
      <c r="V3550" s="26" t="str">
        <f t="shared" ref="V3550" si="1934">IFERROR(RIGHT(G3550,LEN(G3550)-FIND("*",G3550)),"-")</f>
        <v>-</v>
      </c>
      <c r="W3550" s="27" t="str">
        <f t="shared" si="1930"/>
        <v>-</v>
      </c>
      <c r="X3550" s="27" t="str">
        <f>IFERROR(W3550*H3550,"-")</f>
        <v>-</v>
      </c>
      <c r="Z3550" s="94" t="s">
        <v>82</v>
      </c>
    </row>
    <row r="3551" spans="1:26" s="25" customFormat="1" ht="6.95" customHeight="1" x14ac:dyDescent="0.3">
      <c r="A3551" s="10"/>
      <c r="B3551" s="168"/>
      <c r="C3551" s="169"/>
      <c r="D3551" s="160"/>
      <c r="E3551" s="161"/>
      <c r="F3551" s="162"/>
      <c r="G3551" s="163"/>
      <c r="H3551" s="164"/>
      <c r="I3551" s="163"/>
      <c r="J3551" s="164"/>
      <c r="K3551" s="163"/>
      <c r="L3551" s="164"/>
      <c r="M3551" s="11"/>
      <c r="N3551" s="39"/>
      <c r="Q3551" s="15" t="str">
        <f>+CONCATENATE(E3550,I3550)</f>
        <v/>
      </c>
      <c r="R3551" s="15">
        <f>+J3550</f>
        <v>0</v>
      </c>
      <c r="S3551" s="16"/>
      <c r="T3551" s="15">
        <f>+E3550</f>
        <v>0</v>
      </c>
      <c r="U3551" s="26" t="str">
        <f>IFERROR(LEFT(I3550,FIND("*",I3550)-1),"-")</f>
        <v>-</v>
      </c>
      <c r="V3551" s="26" t="str">
        <f>IFERROR(RIGHT(I3550,LEN(I3550)-FIND("*",I3550)),"-")</f>
        <v>-</v>
      </c>
      <c r="W3551" s="27" t="str">
        <f t="shared" si="1930"/>
        <v>-</v>
      </c>
      <c r="X3551" s="27" t="str">
        <f t="shared" ref="X3551" si="1935">IFERROR(W3551*J3550,"-")</f>
        <v>-</v>
      </c>
      <c r="Z3551" s="94" t="s">
        <v>82</v>
      </c>
    </row>
    <row r="3552" spans="1:26" s="25" customFormat="1" ht="6.95" customHeight="1" x14ac:dyDescent="0.3">
      <c r="A3552" s="10"/>
      <c r="B3552" s="168"/>
      <c r="C3552" s="169"/>
      <c r="D3552" s="160"/>
      <c r="E3552" s="161"/>
      <c r="F3552" s="162"/>
      <c r="G3552" s="163"/>
      <c r="H3552" s="164"/>
      <c r="I3552" s="163"/>
      <c r="J3552" s="164"/>
      <c r="K3552" s="163"/>
      <c r="L3552" s="164"/>
      <c r="M3552" s="11"/>
      <c r="N3552" s="39"/>
      <c r="Q3552" s="15" t="str">
        <f>+CONCATENATE(E3550,K3550)</f>
        <v/>
      </c>
      <c r="R3552" s="15">
        <f>+L3550</f>
        <v>0</v>
      </c>
      <c r="S3552" s="16"/>
      <c r="T3552" s="15">
        <f>+E3550</f>
        <v>0</v>
      </c>
      <c r="U3552" s="26" t="str">
        <f>IFERROR(LEFT(K3550,FIND("*",K3550)-1),"-")</f>
        <v>-</v>
      </c>
      <c r="V3552" s="26" t="str">
        <f>IFERROR(RIGHT(K3550,LEN(K3550)-FIND("*",K3550)),"-")</f>
        <v>-</v>
      </c>
      <c r="W3552" s="27" t="str">
        <f t="shared" si="1930"/>
        <v>-</v>
      </c>
      <c r="X3552" s="27" t="str">
        <f>IFERROR(W3552*L3550,"-")</f>
        <v>-</v>
      </c>
      <c r="Z3552" s="94" t="s">
        <v>82</v>
      </c>
    </row>
    <row r="3553" spans="1:26" s="25" customFormat="1" ht="21" customHeight="1" thickBot="1" x14ac:dyDescent="0.35">
      <c r="A3553" s="10"/>
      <c r="B3553" s="170"/>
      <c r="C3553" s="171"/>
      <c r="D3553" s="172" t="s">
        <v>43</v>
      </c>
      <c r="E3553" s="173"/>
      <c r="F3553" s="173"/>
      <c r="G3553" s="174"/>
      <c r="H3553" s="174"/>
      <c r="I3553" s="174"/>
      <c r="J3553" s="174"/>
      <c r="K3553" s="174"/>
      <c r="L3553" s="174"/>
      <c r="M3553" s="12"/>
      <c r="N3553" s="39"/>
      <c r="U3553" s="23"/>
      <c r="V3553" s="23"/>
      <c r="Z3553" s="95" t="s">
        <v>81</v>
      </c>
    </row>
    <row r="3554" spans="1:26" s="25" customFormat="1" ht="9.9499999999999993" customHeight="1" thickBot="1" x14ac:dyDescent="0.35">
      <c r="A3554" s="6"/>
      <c r="B3554" s="14"/>
      <c r="C3554" s="119"/>
      <c r="D3554" s="58"/>
      <c r="E3554" s="17"/>
      <c r="F3554" s="58"/>
      <c r="G3554" s="19"/>
      <c r="H3554" s="19"/>
      <c r="I3554" s="19"/>
      <c r="J3554" s="19"/>
      <c r="K3554" s="19"/>
      <c r="L3554" s="19"/>
      <c r="M3554" s="14"/>
      <c r="N3554" s="39"/>
      <c r="Q3554" s="1"/>
      <c r="R3554" s="1"/>
      <c r="S3554" s="1"/>
      <c r="T3554" s="1"/>
      <c r="U3554" s="24"/>
      <c r="V3554" s="24"/>
      <c r="W3554" s="1"/>
      <c r="X3554" s="1"/>
      <c r="Z3554" s="94" t="s">
        <v>82</v>
      </c>
    </row>
    <row r="3555" spans="1:26" s="25" customFormat="1" ht="6.95" customHeight="1" x14ac:dyDescent="0.3">
      <c r="A3555" s="165">
        <f>+A3544+1</f>
        <v>324</v>
      </c>
      <c r="B3555" s="166"/>
      <c r="C3555" s="167"/>
      <c r="D3555" s="160" t="s">
        <v>39</v>
      </c>
      <c r="E3555" s="161"/>
      <c r="F3555" s="162" t="s">
        <v>40</v>
      </c>
      <c r="G3555" s="163"/>
      <c r="H3555" s="164"/>
      <c r="I3555" s="163"/>
      <c r="J3555" s="164"/>
      <c r="K3555" s="163"/>
      <c r="L3555" s="164"/>
      <c r="M3555" s="11"/>
      <c r="N3555" s="39"/>
      <c r="Q3555" s="15" t="str">
        <f>+CONCATENATE(E3555,G3555)</f>
        <v/>
      </c>
      <c r="R3555" s="15">
        <f>+H3555</f>
        <v>0</v>
      </c>
      <c r="S3555" s="16"/>
      <c r="T3555" s="15">
        <f>+E3555</f>
        <v>0</v>
      </c>
      <c r="U3555" s="26" t="str">
        <f>IFERROR(LEFT(G3555,FIND("*",G3555)-1),"-")</f>
        <v>-</v>
      </c>
      <c r="V3555" s="26" t="str">
        <f>IFERROR(RIGHT(G3555,LEN(G3555)-FIND("*",G3555)),"-")</f>
        <v>-</v>
      </c>
      <c r="W3555" s="27" t="str">
        <f>IFERROR((U3555+V3555)*2/1000,"-")</f>
        <v>-</v>
      </c>
      <c r="X3555" s="27" t="str">
        <f>IFERROR(W3555*H3555,"-")</f>
        <v>-</v>
      </c>
      <c r="Z3555" s="94" t="s">
        <v>82</v>
      </c>
    </row>
    <row r="3556" spans="1:26" s="25" customFormat="1" ht="6.95" customHeight="1" x14ac:dyDescent="0.3">
      <c r="A3556" s="165"/>
      <c r="B3556" s="168"/>
      <c r="C3556" s="169"/>
      <c r="D3556" s="160"/>
      <c r="E3556" s="161"/>
      <c r="F3556" s="162"/>
      <c r="G3556" s="163"/>
      <c r="H3556" s="164"/>
      <c r="I3556" s="163"/>
      <c r="J3556" s="164"/>
      <c r="K3556" s="163"/>
      <c r="L3556" s="164"/>
      <c r="M3556" s="11"/>
      <c r="N3556" s="39"/>
      <c r="Q3556" s="15" t="str">
        <f>+CONCATENATE(E3555,I3555)</f>
        <v/>
      </c>
      <c r="R3556" s="15">
        <f>+J3555</f>
        <v>0</v>
      </c>
      <c r="S3556" s="16"/>
      <c r="T3556" s="15">
        <f>+E3555</f>
        <v>0</v>
      </c>
      <c r="U3556" s="26" t="str">
        <f>IFERROR(LEFT(I3555,FIND("*",I3555)-1),"-")</f>
        <v>-</v>
      </c>
      <c r="V3556" s="26" t="str">
        <f>IFERROR(RIGHT(I3555,LEN(I3555)-FIND("*",I3555)),"-")</f>
        <v>-</v>
      </c>
      <c r="W3556" s="27" t="str">
        <f t="shared" ref="W3556:W3563" si="1936">IFERROR((U3556+V3556)*2/1000,"-")</f>
        <v>-</v>
      </c>
      <c r="X3556" s="27" t="str">
        <f>IFERROR(W3556*J3555,"-")</f>
        <v>-</v>
      </c>
      <c r="Z3556" s="94" t="s">
        <v>82</v>
      </c>
    </row>
    <row r="3557" spans="1:26" s="25" customFormat="1" ht="6.95" customHeight="1" x14ac:dyDescent="0.3">
      <c r="A3557" s="165"/>
      <c r="B3557" s="168"/>
      <c r="C3557" s="169"/>
      <c r="D3557" s="160"/>
      <c r="E3557" s="161"/>
      <c r="F3557" s="162"/>
      <c r="G3557" s="163"/>
      <c r="H3557" s="164"/>
      <c r="I3557" s="163"/>
      <c r="J3557" s="164"/>
      <c r="K3557" s="163"/>
      <c r="L3557" s="164"/>
      <c r="M3557" s="11"/>
      <c r="N3557" s="39"/>
      <c r="Q3557" s="15" t="str">
        <f>+CONCATENATE(E3555,K3555)</f>
        <v/>
      </c>
      <c r="R3557" s="15">
        <f>+L3555</f>
        <v>0</v>
      </c>
      <c r="S3557" s="16"/>
      <c r="T3557" s="15">
        <f>+E3555</f>
        <v>0</v>
      </c>
      <c r="U3557" s="26" t="str">
        <f>IFERROR(LEFT(K3555,FIND("*",K3555)-1),"-")</f>
        <v>-</v>
      </c>
      <c r="V3557" s="26" t="str">
        <f>IFERROR(RIGHT(K3555,LEN(K3555)-FIND("*",K3555)),"-")</f>
        <v>-</v>
      </c>
      <c r="W3557" s="27" t="str">
        <f t="shared" si="1936"/>
        <v>-</v>
      </c>
      <c r="X3557" s="27" t="str">
        <f>IFERROR(W3557*L3555,"-")</f>
        <v>-</v>
      </c>
      <c r="Z3557" s="94" t="s">
        <v>82</v>
      </c>
    </row>
    <row r="3558" spans="1:26" s="25" customFormat="1" ht="6.95" customHeight="1" x14ac:dyDescent="0.3">
      <c r="A3558" s="13"/>
      <c r="B3558" s="168"/>
      <c r="C3558" s="169"/>
      <c r="D3558" s="160" t="s">
        <v>39</v>
      </c>
      <c r="E3558" s="161"/>
      <c r="F3558" s="162" t="s">
        <v>40</v>
      </c>
      <c r="G3558" s="163"/>
      <c r="H3558" s="164"/>
      <c r="I3558" s="163"/>
      <c r="J3558" s="164"/>
      <c r="K3558" s="163"/>
      <c r="L3558" s="164"/>
      <c r="M3558" s="11"/>
      <c r="N3558" s="39"/>
      <c r="Q3558" s="15" t="str">
        <f>+CONCATENATE(E3558,G3558)</f>
        <v/>
      </c>
      <c r="R3558" s="15">
        <f>+H3558</f>
        <v>0</v>
      </c>
      <c r="S3558" s="16"/>
      <c r="T3558" s="15">
        <f>+E3558</f>
        <v>0</v>
      </c>
      <c r="U3558" s="26" t="str">
        <f t="shared" ref="U3558" si="1937">IFERROR(LEFT(G3558,FIND("*",G3558)-1),"-")</f>
        <v>-</v>
      </c>
      <c r="V3558" s="26" t="str">
        <f t="shared" ref="V3558" si="1938">IFERROR(RIGHT(G3558,LEN(G3558)-FIND("*",G3558)),"-")</f>
        <v>-</v>
      </c>
      <c r="W3558" s="27" t="str">
        <f t="shared" si="1936"/>
        <v>-</v>
      </c>
      <c r="X3558" s="27" t="str">
        <f>IFERROR(W3558*H3558,"-")</f>
        <v>-</v>
      </c>
      <c r="Z3558" s="94" t="s">
        <v>82</v>
      </c>
    </row>
    <row r="3559" spans="1:26" s="25" customFormat="1" ht="6.95" customHeight="1" x14ac:dyDescent="0.3">
      <c r="A3559" s="10"/>
      <c r="B3559" s="168"/>
      <c r="C3559" s="169"/>
      <c r="D3559" s="160"/>
      <c r="E3559" s="161"/>
      <c r="F3559" s="162"/>
      <c r="G3559" s="163"/>
      <c r="H3559" s="164"/>
      <c r="I3559" s="163"/>
      <c r="J3559" s="164"/>
      <c r="K3559" s="163"/>
      <c r="L3559" s="164"/>
      <c r="M3559" s="11"/>
      <c r="N3559" s="39"/>
      <c r="Q3559" s="15" t="str">
        <f>+CONCATENATE(E3558,I3558)</f>
        <v/>
      </c>
      <c r="R3559" s="15">
        <f>+J3558</f>
        <v>0</v>
      </c>
      <c r="S3559" s="16"/>
      <c r="T3559" s="15">
        <f>+E3558</f>
        <v>0</v>
      </c>
      <c r="U3559" s="26" t="str">
        <f>IFERROR(LEFT(I3558,FIND("*",I3558)-1),"-")</f>
        <v>-</v>
      </c>
      <c r="V3559" s="26" t="str">
        <f>IFERROR(RIGHT(I3558,LEN(I3558)-FIND("*",I3558)),"-")</f>
        <v>-</v>
      </c>
      <c r="W3559" s="27" t="str">
        <f t="shared" si="1936"/>
        <v>-</v>
      </c>
      <c r="X3559" s="27" t="str">
        <f>IFERROR(W3559*J3558,"-")</f>
        <v>-</v>
      </c>
      <c r="Z3559" s="94" t="s">
        <v>82</v>
      </c>
    </row>
    <row r="3560" spans="1:26" s="25" customFormat="1" ht="6.95" customHeight="1" x14ac:dyDescent="0.3">
      <c r="A3560" s="10"/>
      <c r="B3560" s="168"/>
      <c r="C3560" s="169"/>
      <c r="D3560" s="160"/>
      <c r="E3560" s="161"/>
      <c r="F3560" s="162"/>
      <c r="G3560" s="163"/>
      <c r="H3560" s="164"/>
      <c r="I3560" s="163"/>
      <c r="J3560" s="164"/>
      <c r="K3560" s="163"/>
      <c r="L3560" s="164"/>
      <c r="M3560" s="11"/>
      <c r="N3560" s="39"/>
      <c r="Q3560" s="15" t="str">
        <f>+CONCATENATE(E3558,K3558)</f>
        <v/>
      </c>
      <c r="R3560" s="15">
        <f>+L3558</f>
        <v>0</v>
      </c>
      <c r="S3560" s="16"/>
      <c r="T3560" s="15">
        <f>+E3558</f>
        <v>0</v>
      </c>
      <c r="U3560" s="26" t="str">
        <f>IFERROR(LEFT(K3558,FIND("*",K3558)-1),"-")</f>
        <v>-</v>
      </c>
      <c r="V3560" s="26" t="str">
        <f>IFERROR(RIGHT(K3558,LEN(K3558)-FIND("*",K3558)),"-")</f>
        <v>-</v>
      </c>
      <c r="W3560" s="27" t="str">
        <f t="shared" si="1936"/>
        <v>-</v>
      </c>
      <c r="X3560" s="27" t="str">
        <f>IFERROR(W3560*L3558,"-")</f>
        <v>-</v>
      </c>
      <c r="Z3560" s="94" t="s">
        <v>82</v>
      </c>
    </row>
    <row r="3561" spans="1:26" s="25" customFormat="1" ht="6.95" customHeight="1" x14ac:dyDescent="0.3">
      <c r="A3561" s="13"/>
      <c r="B3561" s="168"/>
      <c r="C3561" s="169"/>
      <c r="D3561" s="160" t="s">
        <v>39</v>
      </c>
      <c r="E3561" s="161"/>
      <c r="F3561" s="162" t="s">
        <v>40</v>
      </c>
      <c r="G3561" s="163"/>
      <c r="H3561" s="164"/>
      <c r="I3561" s="163"/>
      <c r="J3561" s="164"/>
      <c r="K3561" s="163"/>
      <c r="L3561" s="164"/>
      <c r="M3561" s="11"/>
      <c r="N3561" s="39"/>
      <c r="Q3561" s="15" t="str">
        <f>+CONCATENATE(E3561,G3561)</f>
        <v/>
      </c>
      <c r="R3561" s="15">
        <f>+H3561</f>
        <v>0</v>
      </c>
      <c r="S3561" s="16"/>
      <c r="T3561" s="15">
        <f>+E3561</f>
        <v>0</v>
      </c>
      <c r="U3561" s="26" t="str">
        <f t="shared" ref="U3561" si="1939">IFERROR(LEFT(G3561,FIND("*",G3561)-1),"-")</f>
        <v>-</v>
      </c>
      <c r="V3561" s="26" t="str">
        <f t="shared" ref="V3561" si="1940">IFERROR(RIGHT(G3561,LEN(G3561)-FIND("*",G3561)),"-")</f>
        <v>-</v>
      </c>
      <c r="W3561" s="27" t="str">
        <f t="shared" si="1936"/>
        <v>-</v>
      </c>
      <c r="X3561" s="27" t="str">
        <f>IFERROR(W3561*H3561,"-")</f>
        <v>-</v>
      </c>
      <c r="Z3561" s="94" t="s">
        <v>82</v>
      </c>
    </row>
    <row r="3562" spans="1:26" s="25" customFormat="1" ht="6.95" customHeight="1" x14ac:dyDescent="0.3">
      <c r="A3562" s="10"/>
      <c r="B3562" s="168"/>
      <c r="C3562" s="169"/>
      <c r="D3562" s="160"/>
      <c r="E3562" s="161"/>
      <c r="F3562" s="162"/>
      <c r="G3562" s="163"/>
      <c r="H3562" s="164"/>
      <c r="I3562" s="163"/>
      <c r="J3562" s="164"/>
      <c r="K3562" s="163"/>
      <c r="L3562" s="164"/>
      <c r="M3562" s="11"/>
      <c r="N3562" s="39"/>
      <c r="Q3562" s="15" t="str">
        <f>+CONCATENATE(E3561,I3561)</f>
        <v/>
      </c>
      <c r="R3562" s="15">
        <f>+J3561</f>
        <v>0</v>
      </c>
      <c r="S3562" s="16"/>
      <c r="T3562" s="15">
        <f>+E3561</f>
        <v>0</v>
      </c>
      <c r="U3562" s="26" t="str">
        <f>IFERROR(LEFT(I3561,FIND("*",I3561)-1),"-")</f>
        <v>-</v>
      </c>
      <c r="V3562" s="26" t="str">
        <f>IFERROR(RIGHT(I3561,LEN(I3561)-FIND("*",I3561)),"-")</f>
        <v>-</v>
      </c>
      <c r="W3562" s="27" t="str">
        <f t="shared" si="1936"/>
        <v>-</v>
      </c>
      <c r="X3562" s="27" t="str">
        <f t="shared" ref="X3562" si="1941">IFERROR(W3562*J3561,"-")</f>
        <v>-</v>
      </c>
      <c r="Z3562" s="94" t="s">
        <v>82</v>
      </c>
    </row>
    <row r="3563" spans="1:26" s="25" customFormat="1" ht="6.95" customHeight="1" x14ac:dyDescent="0.3">
      <c r="A3563" s="10"/>
      <c r="B3563" s="168"/>
      <c r="C3563" s="169"/>
      <c r="D3563" s="160"/>
      <c r="E3563" s="161"/>
      <c r="F3563" s="162"/>
      <c r="G3563" s="163"/>
      <c r="H3563" s="164"/>
      <c r="I3563" s="163"/>
      <c r="J3563" s="164"/>
      <c r="K3563" s="163"/>
      <c r="L3563" s="164"/>
      <c r="M3563" s="11"/>
      <c r="N3563" s="39"/>
      <c r="Q3563" s="15" t="str">
        <f>+CONCATENATE(E3561,K3561)</f>
        <v/>
      </c>
      <c r="R3563" s="15">
        <f>+L3561</f>
        <v>0</v>
      </c>
      <c r="S3563" s="16"/>
      <c r="T3563" s="15">
        <f>+E3561</f>
        <v>0</v>
      </c>
      <c r="U3563" s="26" t="str">
        <f>IFERROR(LEFT(K3561,FIND("*",K3561)-1),"-")</f>
        <v>-</v>
      </c>
      <c r="V3563" s="26" t="str">
        <f>IFERROR(RIGHT(K3561,LEN(K3561)-FIND("*",K3561)),"-")</f>
        <v>-</v>
      </c>
      <c r="W3563" s="27" t="str">
        <f t="shared" si="1936"/>
        <v>-</v>
      </c>
      <c r="X3563" s="27" t="str">
        <f>IFERROR(W3563*L3561,"-")</f>
        <v>-</v>
      </c>
      <c r="Z3563" s="94" t="s">
        <v>82</v>
      </c>
    </row>
    <row r="3564" spans="1:26" s="25" customFormat="1" ht="21" customHeight="1" thickBot="1" x14ac:dyDescent="0.35">
      <c r="A3564" s="10"/>
      <c r="B3564" s="170"/>
      <c r="C3564" s="171"/>
      <c r="D3564" s="172" t="s">
        <v>43</v>
      </c>
      <c r="E3564" s="173"/>
      <c r="F3564" s="173"/>
      <c r="G3564" s="174"/>
      <c r="H3564" s="174"/>
      <c r="I3564" s="174"/>
      <c r="J3564" s="174"/>
      <c r="K3564" s="174"/>
      <c r="L3564" s="174"/>
      <c r="M3564" s="12"/>
      <c r="N3564" s="39"/>
      <c r="U3564" s="23"/>
      <c r="V3564" s="23"/>
      <c r="Z3564" s="95" t="s">
        <v>81</v>
      </c>
    </row>
    <row r="3565" spans="1:26" s="25" customFormat="1" ht="9.9499999999999993" customHeight="1" thickBot="1" x14ac:dyDescent="0.35">
      <c r="A3565" s="6"/>
      <c r="B3565" s="14"/>
      <c r="C3565" s="119"/>
      <c r="D3565" s="58"/>
      <c r="E3565" s="17"/>
      <c r="F3565" s="58"/>
      <c r="G3565" s="19"/>
      <c r="H3565" s="19"/>
      <c r="I3565" s="19"/>
      <c r="J3565" s="19"/>
      <c r="K3565" s="19"/>
      <c r="L3565" s="19"/>
      <c r="M3565" s="14"/>
      <c r="N3565" s="39"/>
      <c r="Q3565" s="1"/>
      <c r="R3565" s="1"/>
      <c r="S3565" s="1"/>
      <c r="T3565" s="1"/>
      <c r="U3565" s="24"/>
      <c r="V3565" s="24"/>
      <c r="W3565" s="1"/>
      <c r="X3565" s="1"/>
      <c r="Z3565" s="94" t="s">
        <v>82</v>
      </c>
    </row>
    <row r="3566" spans="1:26" s="25" customFormat="1" ht="6.95" customHeight="1" x14ac:dyDescent="0.3">
      <c r="A3566" s="165">
        <f>+A3555+1</f>
        <v>325</v>
      </c>
      <c r="B3566" s="166"/>
      <c r="C3566" s="167"/>
      <c r="D3566" s="160" t="s">
        <v>39</v>
      </c>
      <c r="E3566" s="161"/>
      <c r="F3566" s="162" t="s">
        <v>40</v>
      </c>
      <c r="G3566" s="163"/>
      <c r="H3566" s="164"/>
      <c r="I3566" s="163"/>
      <c r="J3566" s="164"/>
      <c r="K3566" s="163"/>
      <c r="L3566" s="164"/>
      <c r="M3566" s="11"/>
      <c r="N3566" s="39"/>
      <c r="Q3566" s="15" t="str">
        <f>+CONCATENATE(E3566,G3566)</f>
        <v/>
      </c>
      <c r="R3566" s="15">
        <f>+H3566</f>
        <v>0</v>
      </c>
      <c r="S3566" s="16"/>
      <c r="T3566" s="15">
        <f>+E3566</f>
        <v>0</v>
      </c>
      <c r="U3566" s="26" t="str">
        <f>IFERROR(LEFT(G3566,FIND("*",G3566)-1),"-")</f>
        <v>-</v>
      </c>
      <c r="V3566" s="26" t="str">
        <f>IFERROR(RIGHT(G3566,LEN(G3566)-FIND("*",G3566)),"-")</f>
        <v>-</v>
      </c>
      <c r="W3566" s="27" t="str">
        <f>IFERROR((U3566+V3566)*2/1000,"-")</f>
        <v>-</v>
      </c>
      <c r="X3566" s="27" t="str">
        <f>IFERROR(W3566*H3566,"-")</f>
        <v>-</v>
      </c>
      <c r="Z3566" s="94" t="s">
        <v>82</v>
      </c>
    </row>
    <row r="3567" spans="1:26" s="25" customFormat="1" ht="6.95" customHeight="1" x14ac:dyDescent="0.3">
      <c r="A3567" s="165"/>
      <c r="B3567" s="168"/>
      <c r="C3567" s="169"/>
      <c r="D3567" s="160"/>
      <c r="E3567" s="161"/>
      <c r="F3567" s="162"/>
      <c r="G3567" s="163"/>
      <c r="H3567" s="164"/>
      <c r="I3567" s="163"/>
      <c r="J3567" s="164"/>
      <c r="K3567" s="163"/>
      <c r="L3567" s="164"/>
      <c r="M3567" s="11"/>
      <c r="N3567" s="39"/>
      <c r="Q3567" s="15" t="str">
        <f>+CONCATENATE(E3566,I3566)</f>
        <v/>
      </c>
      <c r="R3567" s="15">
        <f>+J3566</f>
        <v>0</v>
      </c>
      <c r="S3567" s="16"/>
      <c r="T3567" s="15">
        <f>+E3566</f>
        <v>0</v>
      </c>
      <c r="U3567" s="26" t="str">
        <f>IFERROR(LEFT(I3566,FIND("*",I3566)-1),"-")</f>
        <v>-</v>
      </c>
      <c r="V3567" s="26" t="str">
        <f>IFERROR(RIGHT(I3566,LEN(I3566)-FIND("*",I3566)),"-")</f>
        <v>-</v>
      </c>
      <c r="W3567" s="27" t="str">
        <f t="shared" ref="W3567:W3574" si="1942">IFERROR((U3567+V3567)*2/1000,"-")</f>
        <v>-</v>
      </c>
      <c r="X3567" s="27" t="str">
        <f>IFERROR(W3567*J3566,"-")</f>
        <v>-</v>
      </c>
      <c r="Z3567" s="94" t="s">
        <v>82</v>
      </c>
    </row>
    <row r="3568" spans="1:26" s="25" customFormat="1" ht="6.95" customHeight="1" x14ac:dyDescent="0.3">
      <c r="A3568" s="165"/>
      <c r="B3568" s="168"/>
      <c r="C3568" s="169"/>
      <c r="D3568" s="160"/>
      <c r="E3568" s="161"/>
      <c r="F3568" s="162"/>
      <c r="G3568" s="163"/>
      <c r="H3568" s="164"/>
      <c r="I3568" s="163"/>
      <c r="J3568" s="164"/>
      <c r="K3568" s="163"/>
      <c r="L3568" s="164"/>
      <c r="M3568" s="11"/>
      <c r="N3568" s="39"/>
      <c r="Q3568" s="15" t="str">
        <f>+CONCATENATE(E3566,K3566)</f>
        <v/>
      </c>
      <c r="R3568" s="15">
        <f>+L3566</f>
        <v>0</v>
      </c>
      <c r="S3568" s="16"/>
      <c r="T3568" s="15">
        <f>+E3566</f>
        <v>0</v>
      </c>
      <c r="U3568" s="26" t="str">
        <f>IFERROR(LEFT(K3566,FIND("*",K3566)-1),"-")</f>
        <v>-</v>
      </c>
      <c r="V3568" s="26" t="str">
        <f>IFERROR(RIGHT(K3566,LEN(K3566)-FIND("*",K3566)),"-")</f>
        <v>-</v>
      </c>
      <c r="W3568" s="27" t="str">
        <f t="shared" si="1942"/>
        <v>-</v>
      </c>
      <c r="X3568" s="27" t="str">
        <f>IFERROR(W3568*L3566,"-")</f>
        <v>-</v>
      </c>
      <c r="Z3568" s="94" t="s">
        <v>82</v>
      </c>
    </row>
    <row r="3569" spans="1:26" s="25" customFormat="1" ht="6.95" customHeight="1" x14ac:dyDescent="0.3">
      <c r="A3569" s="13"/>
      <c r="B3569" s="168"/>
      <c r="C3569" s="169"/>
      <c r="D3569" s="160" t="s">
        <v>39</v>
      </c>
      <c r="E3569" s="161"/>
      <c r="F3569" s="162" t="s">
        <v>40</v>
      </c>
      <c r="G3569" s="163"/>
      <c r="H3569" s="164"/>
      <c r="I3569" s="163"/>
      <c r="J3569" s="164"/>
      <c r="K3569" s="163"/>
      <c r="L3569" s="164"/>
      <c r="M3569" s="11"/>
      <c r="N3569" s="39"/>
      <c r="Q3569" s="15" t="str">
        <f>+CONCATENATE(E3569,G3569)</f>
        <v/>
      </c>
      <c r="R3569" s="15">
        <f>+H3569</f>
        <v>0</v>
      </c>
      <c r="S3569" s="16"/>
      <c r="T3569" s="15">
        <f>+E3569</f>
        <v>0</v>
      </c>
      <c r="U3569" s="26" t="str">
        <f t="shared" ref="U3569" si="1943">IFERROR(LEFT(G3569,FIND("*",G3569)-1),"-")</f>
        <v>-</v>
      </c>
      <c r="V3569" s="26" t="str">
        <f t="shared" ref="V3569" si="1944">IFERROR(RIGHT(G3569,LEN(G3569)-FIND("*",G3569)),"-")</f>
        <v>-</v>
      </c>
      <c r="W3569" s="27" t="str">
        <f t="shared" si="1942"/>
        <v>-</v>
      </c>
      <c r="X3569" s="27" t="str">
        <f>IFERROR(W3569*H3569,"-")</f>
        <v>-</v>
      </c>
      <c r="Z3569" s="94" t="s">
        <v>82</v>
      </c>
    </row>
    <row r="3570" spans="1:26" s="25" customFormat="1" ht="6.95" customHeight="1" x14ac:dyDescent="0.3">
      <c r="A3570" s="10"/>
      <c r="B3570" s="168"/>
      <c r="C3570" s="169"/>
      <c r="D3570" s="160"/>
      <c r="E3570" s="161"/>
      <c r="F3570" s="162"/>
      <c r="G3570" s="163"/>
      <c r="H3570" s="164"/>
      <c r="I3570" s="163"/>
      <c r="J3570" s="164"/>
      <c r="K3570" s="163"/>
      <c r="L3570" s="164"/>
      <c r="M3570" s="11"/>
      <c r="N3570" s="39"/>
      <c r="Q3570" s="15" t="str">
        <f>+CONCATENATE(E3569,I3569)</f>
        <v/>
      </c>
      <c r="R3570" s="15">
        <f>+J3569</f>
        <v>0</v>
      </c>
      <c r="S3570" s="16"/>
      <c r="T3570" s="15">
        <f>+E3569</f>
        <v>0</v>
      </c>
      <c r="U3570" s="26" t="str">
        <f>IFERROR(LEFT(I3569,FIND("*",I3569)-1),"-")</f>
        <v>-</v>
      </c>
      <c r="V3570" s="26" t="str">
        <f>IFERROR(RIGHT(I3569,LEN(I3569)-FIND("*",I3569)),"-")</f>
        <v>-</v>
      </c>
      <c r="W3570" s="27" t="str">
        <f t="shared" si="1942"/>
        <v>-</v>
      </c>
      <c r="X3570" s="27" t="str">
        <f>IFERROR(W3570*J3569,"-")</f>
        <v>-</v>
      </c>
      <c r="Z3570" s="94" t="s">
        <v>82</v>
      </c>
    </row>
    <row r="3571" spans="1:26" s="25" customFormat="1" ht="6.95" customHeight="1" x14ac:dyDescent="0.3">
      <c r="A3571" s="10"/>
      <c r="B3571" s="168"/>
      <c r="C3571" s="169"/>
      <c r="D3571" s="160"/>
      <c r="E3571" s="161"/>
      <c r="F3571" s="162"/>
      <c r="G3571" s="163"/>
      <c r="H3571" s="164"/>
      <c r="I3571" s="163"/>
      <c r="J3571" s="164"/>
      <c r="K3571" s="163"/>
      <c r="L3571" s="164"/>
      <c r="M3571" s="11"/>
      <c r="N3571" s="39"/>
      <c r="Q3571" s="15" t="str">
        <f>+CONCATENATE(E3569,K3569)</f>
        <v/>
      </c>
      <c r="R3571" s="15">
        <f>+L3569</f>
        <v>0</v>
      </c>
      <c r="S3571" s="16"/>
      <c r="T3571" s="15">
        <f>+E3569</f>
        <v>0</v>
      </c>
      <c r="U3571" s="26" t="str">
        <f>IFERROR(LEFT(K3569,FIND("*",K3569)-1),"-")</f>
        <v>-</v>
      </c>
      <c r="V3571" s="26" t="str">
        <f>IFERROR(RIGHT(K3569,LEN(K3569)-FIND("*",K3569)),"-")</f>
        <v>-</v>
      </c>
      <c r="W3571" s="27" t="str">
        <f t="shared" si="1942"/>
        <v>-</v>
      </c>
      <c r="X3571" s="27" t="str">
        <f>IFERROR(W3571*L3569,"-")</f>
        <v>-</v>
      </c>
      <c r="Z3571" s="94" t="s">
        <v>82</v>
      </c>
    </row>
    <row r="3572" spans="1:26" s="25" customFormat="1" ht="6.95" customHeight="1" x14ac:dyDescent="0.3">
      <c r="A3572" s="13"/>
      <c r="B3572" s="168"/>
      <c r="C3572" s="169"/>
      <c r="D3572" s="160" t="s">
        <v>39</v>
      </c>
      <c r="E3572" s="161"/>
      <c r="F3572" s="162" t="s">
        <v>40</v>
      </c>
      <c r="G3572" s="163"/>
      <c r="H3572" s="164"/>
      <c r="I3572" s="163"/>
      <c r="J3572" s="164"/>
      <c r="K3572" s="163"/>
      <c r="L3572" s="164"/>
      <c r="M3572" s="11"/>
      <c r="N3572" s="39"/>
      <c r="Q3572" s="15" t="str">
        <f>+CONCATENATE(E3572,G3572)</f>
        <v/>
      </c>
      <c r="R3572" s="15">
        <f>+H3572</f>
        <v>0</v>
      </c>
      <c r="S3572" s="16"/>
      <c r="T3572" s="15">
        <f>+E3572</f>
        <v>0</v>
      </c>
      <c r="U3572" s="26" t="str">
        <f t="shared" ref="U3572" si="1945">IFERROR(LEFT(G3572,FIND("*",G3572)-1),"-")</f>
        <v>-</v>
      </c>
      <c r="V3572" s="26" t="str">
        <f t="shared" ref="V3572" si="1946">IFERROR(RIGHT(G3572,LEN(G3572)-FIND("*",G3572)),"-")</f>
        <v>-</v>
      </c>
      <c r="W3572" s="27" t="str">
        <f t="shared" si="1942"/>
        <v>-</v>
      </c>
      <c r="X3572" s="27" t="str">
        <f>IFERROR(W3572*H3572,"-")</f>
        <v>-</v>
      </c>
      <c r="Z3572" s="94" t="s">
        <v>82</v>
      </c>
    </row>
    <row r="3573" spans="1:26" s="25" customFormat="1" ht="6.95" customHeight="1" x14ac:dyDescent="0.3">
      <c r="A3573" s="10"/>
      <c r="B3573" s="168"/>
      <c r="C3573" s="169"/>
      <c r="D3573" s="160"/>
      <c r="E3573" s="161"/>
      <c r="F3573" s="162"/>
      <c r="G3573" s="163"/>
      <c r="H3573" s="164"/>
      <c r="I3573" s="163"/>
      <c r="J3573" s="164"/>
      <c r="K3573" s="163"/>
      <c r="L3573" s="164"/>
      <c r="M3573" s="11"/>
      <c r="N3573" s="39"/>
      <c r="Q3573" s="15" t="str">
        <f>+CONCATENATE(E3572,I3572)</f>
        <v/>
      </c>
      <c r="R3573" s="15">
        <f>+J3572</f>
        <v>0</v>
      </c>
      <c r="S3573" s="16"/>
      <c r="T3573" s="15">
        <f>+E3572</f>
        <v>0</v>
      </c>
      <c r="U3573" s="26" t="str">
        <f>IFERROR(LEFT(I3572,FIND("*",I3572)-1),"-")</f>
        <v>-</v>
      </c>
      <c r="V3573" s="26" t="str">
        <f>IFERROR(RIGHT(I3572,LEN(I3572)-FIND("*",I3572)),"-")</f>
        <v>-</v>
      </c>
      <c r="W3573" s="27" t="str">
        <f t="shared" si="1942"/>
        <v>-</v>
      </c>
      <c r="X3573" s="27" t="str">
        <f t="shared" ref="X3573" si="1947">IFERROR(W3573*J3572,"-")</f>
        <v>-</v>
      </c>
      <c r="Z3573" s="94" t="s">
        <v>82</v>
      </c>
    </row>
    <row r="3574" spans="1:26" s="25" customFormat="1" ht="6.95" customHeight="1" x14ac:dyDescent="0.3">
      <c r="A3574" s="10"/>
      <c r="B3574" s="168"/>
      <c r="C3574" s="169"/>
      <c r="D3574" s="160"/>
      <c r="E3574" s="161"/>
      <c r="F3574" s="162"/>
      <c r="G3574" s="163"/>
      <c r="H3574" s="164"/>
      <c r="I3574" s="163"/>
      <c r="J3574" s="164"/>
      <c r="K3574" s="163"/>
      <c r="L3574" s="164"/>
      <c r="M3574" s="11"/>
      <c r="N3574" s="39"/>
      <c r="Q3574" s="15" t="str">
        <f>+CONCATENATE(E3572,K3572)</f>
        <v/>
      </c>
      <c r="R3574" s="15">
        <f>+L3572</f>
        <v>0</v>
      </c>
      <c r="S3574" s="16"/>
      <c r="T3574" s="15">
        <f>+E3572</f>
        <v>0</v>
      </c>
      <c r="U3574" s="26" t="str">
        <f>IFERROR(LEFT(K3572,FIND("*",K3572)-1),"-")</f>
        <v>-</v>
      </c>
      <c r="V3574" s="26" t="str">
        <f>IFERROR(RIGHT(K3572,LEN(K3572)-FIND("*",K3572)),"-")</f>
        <v>-</v>
      </c>
      <c r="W3574" s="27" t="str">
        <f t="shared" si="1942"/>
        <v>-</v>
      </c>
      <c r="X3574" s="27" t="str">
        <f>IFERROR(W3574*L3572,"-")</f>
        <v>-</v>
      </c>
      <c r="Z3574" s="94" t="s">
        <v>82</v>
      </c>
    </row>
    <row r="3575" spans="1:26" s="25" customFormat="1" ht="21" customHeight="1" thickBot="1" x14ac:dyDescent="0.35">
      <c r="A3575" s="10"/>
      <c r="B3575" s="170"/>
      <c r="C3575" s="171"/>
      <c r="D3575" s="172" t="s">
        <v>43</v>
      </c>
      <c r="E3575" s="173"/>
      <c r="F3575" s="173"/>
      <c r="G3575" s="174"/>
      <c r="H3575" s="174"/>
      <c r="I3575" s="174"/>
      <c r="J3575" s="174"/>
      <c r="K3575" s="174"/>
      <c r="L3575" s="174"/>
      <c r="M3575" s="12"/>
      <c r="N3575" s="39"/>
      <c r="U3575" s="23"/>
      <c r="V3575" s="23"/>
      <c r="Z3575" s="95" t="s">
        <v>81</v>
      </c>
    </row>
    <row r="3576" spans="1:26" s="25" customFormat="1" ht="9.9499999999999993" customHeight="1" thickBot="1" x14ac:dyDescent="0.35">
      <c r="A3576" s="6"/>
      <c r="B3576" s="14"/>
      <c r="C3576" s="119"/>
      <c r="D3576" s="58"/>
      <c r="E3576" s="17"/>
      <c r="F3576" s="58"/>
      <c r="G3576" s="19"/>
      <c r="H3576" s="19"/>
      <c r="I3576" s="19"/>
      <c r="J3576" s="19"/>
      <c r="K3576" s="19"/>
      <c r="L3576" s="19"/>
      <c r="M3576" s="14"/>
      <c r="N3576" s="39"/>
      <c r="Q3576" s="1"/>
      <c r="R3576" s="1"/>
      <c r="S3576" s="1"/>
      <c r="T3576" s="1"/>
      <c r="U3576" s="24"/>
      <c r="V3576" s="24"/>
      <c r="W3576" s="1"/>
      <c r="X3576" s="1"/>
      <c r="Z3576" s="94" t="s">
        <v>82</v>
      </c>
    </row>
    <row r="3577" spans="1:26" s="25" customFormat="1" ht="6.95" customHeight="1" x14ac:dyDescent="0.3">
      <c r="A3577" s="165">
        <f>+A3566+1</f>
        <v>326</v>
      </c>
      <c r="B3577" s="166"/>
      <c r="C3577" s="167"/>
      <c r="D3577" s="160" t="s">
        <v>39</v>
      </c>
      <c r="E3577" s="161"/>
      <c r="F3577" s="162" t="s">
        <v>40</v>
      </c>
      <c r="G3577" s="163"/>
      <c r="H3577" s="164"/>
      <c r="I3577" s="163"/>
      <c r="J3577" s="164"/>
      <c r="K3577" s="163"/>
      <c r="L3577" s="164"/>
      <c r="M3577" s="11"/>
      <c r="N3577" s="39"/>
      <c r="Q3577" s="15" t="str">
        <f>+CONCATENATE(E3577,G3577)</f>
        <v/>
      </c>
      <c r="R3577" s="15">
        <f>+H3577</f>
        <v>0</v>
      </c>
      <c r="S3577" s="16"/>
      <c r="T3577" s="15">
        <f>+E3577</f>
        <v>0</v>
      </c>
      <c r="U3577" s="26" t="str">
        <f>IFERROR(LEFT(G3577,FIND("*",G3577)-1),"-")</f>
        <v>-</v>
      </c>
      <c r="V3577" s="26" t="str">
        <f>IFERROR(RIGHT(G3577,LEN(G3577)-FIND("*",G3577)),"-")</f>
        <v>-</v>
      </c>
      <c r="W3577" s="27" t="str">
        <f>IFERROR((U3577+V3577)*2/1000,"-")</f>
        <v>-</v>
      </c>
      <c r="X3577" s="27" t="str">
        <f>IFERROR(W3577*H3577,"-")</f>
        <v>-</v>
      </c>
      <c r="Z3577" s="94" t="s">
        <v>82</v>
      </c>
    </row>
    <row r="3578" spans="1:26" s="25" customFormat="1" ht="6.95" customHeight="1" x14ac:dyDescent="0.3">
      <c r="A3578" s="165"/>
      <c r="B3578" s="168"/>
      <c r="C3578" s="169"/>
      <c r="D3578" s="160"/>
      <c r="E3578" s="161"/>
      <c r="F3578" s="162"/>
      <c r="G3578" s="163"/>
      <c r="H3578" s="164"/>
      <c r="I3578" s="163"/>
      <c r="J3578" s="164"/>
      <c r="K3578" s="163"/>
      <c r="L3578" s="164"/>
      <c r="M3578" s="11"/>
      <c r="N3578" s="39"/>
      <c r="Q3578" s="15" t="str">
        <f>+CONCATENATE(E3577,I3577)</f>
        <v/>
      </c>
      <c r="R3578" s="15">
        <f>+J3577</f>
        <v>0</v>
      </c>
      <c r="S3578" s="16"/>
      <c r="T3578" s="15">
        <f>+E3577</f>
        <v>0</v>
      </c>
      <c r="U3578" s="26" t="str">
        <f>IFERROR(LEFT(I3577,FIND("*",I3577)-1),"-")</f>
        <v>-</v>
      </c>
      <c r="V3578" s="26" t="str">
        <f>IFERROR(RIGHT(I3577,LEN(I3577)-FIND("*",I3577)),"-")</f>
        <v>-</v>
      </c>
      <c r="W3578" s="27" t="str">
        <f t="shared" ref="W3578:W3585" si="1948">IFERROR((U3578+V3578)*2/1000,"-")</f>
        <v>-</v>
      </c>
      <c r="X3578" s="27" t="str">
        <f>IFERROR(W3578*J3577,"-")</f>
        <v>-</v>
      </c>
      <c r="Z3578" s="94" t="s">
        <v>82</v>
      </c>
    </row>
    <row r="3579" spans="1:26" s="25" customFormat="1" ht="6.95" customHeight="1" x14ac:dyDescent="0.3">
      <c r="A3579" s="165"/>
      <c r="B3579" s="168"/>
      <c r="C3579" s="169"/>
      <c r="D3579" s="160"/>
      <c r="E3579" s="161"/>
      <c r="F3579" s="162"/>
      <c r="G3579" s="163"/>
      <c r="H3579" s="164"/>
      <c r="I3579" s="163"/>
      <c r="J3579" s="164"/>
      <c r="K3579" s="163"/>
      <c r="L3579" s="164"/>
      <c r="M3579" s="11"/>
      <c r="N3579" s="39"/>
      <c r="Q3579" s="15" t="str">
        <f>+CONCATENATE(E3577,K3577)</f>
        <v/>
      </c>
      <c r="R3579" s="15">
        <f>+L3577</f>
        <v>0</v>
      </c>
      <c r="S3579" s="16"/>
      <c r="T3579" s="15">
        <f>+E3577</f>
        <v>0</v>
      </c>
      <c r="U3579" s="26" t="str">
        <f>IFERROR(LEFT(K3577,FIND("*",K3577)-1),"-")</f>
        <v>-</v>
      </c>
      <c r="V3579" s="26" t="str">
        <f>IFERROR(RIGHT(K3577,LEN(K3577)-FIND("*",K3577)),"-")</f>
        <v>-</v>
      </c>
      <c r="W3579" s="27" t="str">
        <f t="shared" si="1948"/>
        <v>-</v>
      </c>
      <c r="X3579" s="27" t="str">
        <f>IFERROR(W3579*L3577,"-")</f>
        <v>-</v>
      </c>
      <c r="Z3579" s="94" t="s">
        <v>82</v>
      </c>
    </row>
    <row r="3580" spans="1:26" s="25" customFormat="1" ht="6.95" customHeight="1" x14ac:dyDescent="0.3">
      <c r="A3580" s="13"/>
      <c r="B3580" s="168"/>
      <c r="C3580" s="169"/>
      <c r="D3580" s="160" t="s">
        <v>39</v>
      </c>
      <c r="E3580" s="161"/>
      <c r="F3580" s="162" t="s">
        <v>40</v>
      </c>
      <c r="G3580" s="163"/>
      <c r="H3580" s="164"/>
      <c r="I3580" s="163"/>
      <c r="J3580" s="164"/>
      <c r="K3580" s="163"/>
      <c r="L3580" s="164"/>
      <c r="M3580" s="11"/>
      <c r="N3580" s="39"/>
      <c r="Q3580" s="15" t="str">
        <f>+CONCATENATE(E3580,G3580)</f>
        <v/>
      </c>
      <c r="R3580" s="15">
        <f>+H3580</f>
        <v>0</v>
      </c>
      <c r="S3580" s="16"/>
      <c r="T3580" s="15">
        <f>+E3580</f>
        <v>0</v>
      </c>
      <c r="U3580" s="26" t="str">
        <f t="shared" ref="U3580" si="1949">IFERROR(LEFT(G3580,FIND("*",G3580)-1),"-")</f>
        <v>-</v>
      </c>
      <c r="V3580" s="26" t="str">
        <f t="shared" ref="V3580" si="1950">IFERROR(RIGHT(G3580,LEN(G3580)-FIND("*",G3580)),"-")</f>
        <v>-</v>
      </c>
      <c r="W3580" s="27" t="str">
        <f t="shared" si="1948"/>
        <v>-</v>
      </c>
      <c r="X3580" s="27" t="str">
        <f>IFERROR(W3580*H3580,"-")</f>
        <v>-</v>
      </c>
      <c r="Z3580" s="94" t="s">
        <v>82</v>
      </c>
    </row>
    <row r="3581" spans="1:26" s="25" customFormat="1" ht="6.95" customHeight="1" x14ac:dyDescent="0.3">
      <c r="A3581" s="10"/>
      <c r="B3581" s="168"/>
      <c r="C3581" s="169"/>
      <c r="D3581" s="160"/>
      <c r="E3581" s="161"/>
      <c r="F3581" s="162"/>
      <c r="G3581" s="163"/>
      <c r="H3581" s="164"/>
      <c r="I3581" s="163"/>
      <c r="J3581" s="164"/>
      <c r="K3581" s="163"/>
      <c r="L3581" s="164"/>
      <c r="M3581" s="11"/>
      <c r="N3581" s="39"/>
      <c r="Q3581" s="15" t="str">
        <f>+CONCATENATE(E3580,I3580)</f>
        <v/>
      </c>
      <c r="R3581" s="15">
        <f>+J3580</f>
        <v>0</v>
      </c>
      <c r="S3581" s="16"/>
      <c r="T3581" s="15">
        <f>+E3580</f>
        <v>0</v>
      </c>
      <c r="U3581" s="26" t="str">
        <f>IFERROR(LEFT(I3580,FIND("*",I3580)-1),"-")</f>
        <v>-</v>
      </c>
      <c r="V3581" s="26" t="str">
        <f>IFERROR(RIGHT(I3580,LEN(I3580)-FIND("*",I3580)),"-")</f>
        <v>-</v>
      </c>
      <c r="W3581" s="27" t="str">
        <f t="shared" si="1948"/>
        <v>-</v>
      </c>
      <c r="X3581" s="27" t="str">
        <f>IFERROR(W3581*J3580,"-")</f>
        <v>-</v>
      </c>
      <c r="Z3581" s="94" t="s">
        <v>82</v>
      </c>
    </row>
    <row r="3582" spans="1:26" s="25" customFormat="1" ht="6.95" customHeight="1" x14ac:dyDescent="0.3">
      <c r="A3582" s="10"/>
      <c r="B3582" s="168"/>
      <c r="C3582" s="169"/>
      <c r="D3582" s="160"/>
      <c r="E3582" s="161"/>
      <c r="F3582" s="162"/>
      <c r="G3582" s="163"/>
      <c r="H3582" s="164"/>
      <c r="I3582" s="163"/>
      <c r="J3582" s="164"/>
      <c r="K3582" s="163"/>
      <c r="L3582" s="164"/>
      <c r="M3582" s="11"/>
      <c r="N3582" s="39"/>
      <c r="Q3582" s="15" t="str">
        <f>+CONCATENATE(E3580,K3580)</f>
        <v/>
      </c>
      <c r="R3582" s="15">
        <f>+L3580</f>
        <v>0</v>
      </c>
      <c r="S3582" s="16"/>
      <c r="T3582" s="15">
        <f>+E3580</f>
        <v>0</v>
      </c>
      <c r="U3582" s="26" t="str">
        <f>IFERROR(LEFT(K3580,FIND("*",K3580)-1),"-")</f>
        <v>-</v>
      </c>
      <c r="V3582" s="26" t="str">
        <f>IFERROR(RIGHT(K3580,LEN(K3580)-FIND("*",K3580)),"-")</f>
        <v>-</v>
      </c>
      <c r="W3582" s="27" t="str">
        <f t="shared" si="1948"/>
        <v>-</v>
      </c>
      <c r="X3582" s="27" t="str">
        <f>IFERROR(W3582*L3580,"-")</f>
        <v>-</v>
      </c>
      <c r="Z3582" s="94" t="s">
        <v>82</v>
      </c>
    </row>
    <row r="3583" spans="1:26" s="25" customFormat="1" ht="6.95" customHeight="1" x14ac:dyDescent="0.3">
      <c r="A3583" s="13"/>
      <c r="B3583" s="168"/>
      <c r="C3583" s="169"/>
      <c r="D3583" s="160" t="s">
        <v>39</v>
      </c>
      <c r="E3583" s="161"/>
      <c r="F3583" s="162" t="s">
        <v>40</v>
      </c>
      <c r="G3583" s="163"/>
      <c r="H3583" s="164"/>
      <c r="I3583" s="163"/>
      <c r="J3583" s="164"/>
      <c r="K3583" s="163"/>
      <c r="L3583" s="164"/>
      <c r="M3583" s="11"/>
      <c r="N3583" s="39"/>
      <c r="Q3583" s="15" t="str">
        <f>+CONCATENATE(E3583,G3583)</f>
        <v/>
      </c>
      <c r="R3583" s="15">
        <f>+H3583</f>
        <v>0</v>
      </c>
      <c r="S3583" s="16"/>
      <c r="T3583" s="15">
        <f>+E3583</f>
        <v>0</v>
      </c>
      <c r="U3583" s="26" t="str">
        <f t="shared" ref="U3583" si="1951">IFERROR(LEFT(G3583,FIND("*",G3583)-1),"-")</f>
        <v>-</v>
      </c>
      <c r="V3583" s="26" t="str">
        <f t="shared" ref="V3583" si="1952">IFERROR(RIGHT(G3583,LEN(G3583)-FIND("*",G3583)),"-")</f>
        <v>-</v>
      </c>
      <c r="W3583" s="27" t="str">
        <f t="shared" si="1948"/>
        <v>-</v>
      </c>
      <c r="X3583" s="27" t="str">
        <f>IFERROR(W3583*H3583,"-")</f>
        <v>-</v>
      </c>
      <c r="Z3583" s="94" t="s">
        <v>82</v>
      </c>
    </row>
    <row r="3584" spans="1:26" s="25" customFormat="1" ht="6.95" customHeight="1" x14ac:dyDescent="0.3">
      <c r="A3584" s="10"/>
      <c r="B3584" s="168"/>
      <c r="C3584" s="169"/>
      <c r="D3584" s="160"/>
      <c r="E3584" s="161"/>
      <c r="F3584" s="162"/>
      <c r="G3584" s="163"/>
      <c r="H3584" s="164"/>
      <c r="I3584" s="163"/>
      <c r="J3584" s="164"/>
      <c r="K3584" s="163"/>
      <c r="L3584" s="164"/>
      <c r="M3584" s="11"/>
      <c r="N3584" s="39"/>
      <c r="Q3584" s="15" t="str">
        <f>+CONCATENATE(E3583,I3583)</f>
        <v/>
      </c>
      <c r="R3584" s="15">
        <f>+J3583</f>
        <v>0</v>
      </c>
      <c r="S3584" s="16"/>
      <c r="T3584" s="15">
        <f>+E3583</f>
        <v>0</v>
      </c>
      <c r="U3584" s="26" t="str">
        <f>IFERROR(LEFT(I3583,FIND("*",I3583)-1),"-")</f>
        <v>-</v>
      </c>
      <c r="V3584" s="26" t="str">
        <f>IFERROR(RIGHT(I3583,LEN(I3583)-FIND("*",I3583)),"-")</f>
        <v>-</v>
      </c>
      <c r="W3584" s="27" t="str">
        <f t="shared" si="1948"/>
        <v>-</v>
      </c>
      <c r="X3584" s="27" t="str">
        <f t="shared" ref="X3584" si="1953">IFERROR(W3584*J3583,"-")</f>
        <v>-</v>
      </c>
      <c r="Z3584" s="94" t="s">
        <v>82</v>
      </c>
    </row>
    <row r="3585" spans="1:26" s="25" customFormat="1" ht="6.95" customHeight="1" x14ac:dyDescent="0.3">
      <c r="A3585" s="10"/>
      <c r="B3585" s="168"/>
      <c r="C3585" s="169"/>
      <c r="D3585" s="160"/>
      <c r="E3585" s="161"/>
      <c r="F3585" s="162"/>
      <c r="G3585" s="163"/>
      <c r="H3585" s="164"/>
      <c r="I3585" s="163"/>
      <c r="J3585" s="164"/>
      <c r="K3585" s="163"/>
      <c r="L3585" s="164"/>
      <c r="M3585" s="11"/>
      <c r="N3585" s="39"/>
      <c r="Q3585" s="15" t="str">
        <f>+CONCATENATE(E3583,K3583)</f>
        <v/>
      </c>
      <c r="R3585" s="15">
        <f>+L3583</f>
        <v>0</v>
      </c>
      <c r="S3585" s="16"/>
      <c r="T3585" s="15">
        <f>+E3583</f>
        <v>0</v>
      </c>
      <c r="U3585" s="26" t="str">
        <f>IFERROR(LEFT(K3583,FIND("*",K3583)-1),"-")</f>
        <v>-</v>
      </c>
      <c r="V3585" s="26" t="str">
        <f>IFERROR(RIGHT(K3583,LEN(K3583)-FIND("*",K3583)),"-")</f>
        <v>-</v>
      </c>
      <c r="W3585" s="27" t="str">
        <f t="shared" si="1948"/>
        <v>-</v>
      </c>
      <c r="X3585" s="27" t="str">
        <f>IFERROR(W3585*L3583,"-")</f>
        <v>-</v>
      </c>
      <c r="Z3585" s="94" t="s">
        <v>82</v>
      </c>
    </row>
    <row r="3586" spans="1:26" s="25" customFormat="1" ht="21" customHeight="1" thickBot="1" x14ac:dyDescent="0.35">
      <c r="A3586" s="10"/>
      <c r="B3586" s="170"/>
      <c r="C3586" s="171"/>
      <c r="D3586" s="172" t="s">
        <v>43</v>
      </c>
      <c r="E3586" s="173"/>
      <c r="F3586" s="173"/>
      <c r="G3586" s="174"/>
      <c r="H3586" s="174"/>
      <c r="I3586" s="174"/>
      <c r="J3586" s="174"/>
      <c r="K3586" s="174"/>
      <c r="L3586" s="174"/>
      <c r="M3586" s="12"/>
      <c r="N3586" s="39"/>
      <c r="U3586" s="23"/>
      <c r="V3586" s="23"/>
      <c r="Z3586" s="95" t="s">
        <v>81</v>
      </c>
    </row>
    <row r="3587" spans="1:26" s="25" customFormat="1" ht="9.9499999999999993" customHeight="1" thickBot="1" x14ac:dyDescent="0.35">
      <c r="A3587" s="6"/>
      <c r="B3587" s="14"/>
      <c r="C3587" s="119"/>
      <c r="D3587" s="58"/>
      <c r="E3587" s="17"/>
      <c r="F3587" s="58"/>
      <c r="G3587" s="19"/>
      <c r="H3587" s="19"/>
      <c r="I3587" s="19"/>
      <c r="J3587" s="19"/>
      <c r="K3587" s="19"/>
      <c r="L3587" s="19"/>
      <c r="M3587" s="14"/>
      <c r="N3587" s="39"/>
      <c r="Q3587" s="1"/>
      <c r="R3587" s="1"/>
      <c r="S3587" s="1"/>
      <c r="T3587" s="1"/>
      <c r="U3587" s="24"/>
      <c r="V3587" s="24"/>
      <c r="W3587" s="1"/>
      <c r="X3587" s="1"/>
      <c r="Z3587" s="94" t="s">
        <v>82</v>
      </c>
    </row>
    <row r="3588" spans="1:26" s="25" customFormat="1" ht="6.95" customHeight="1" x14ac:dyDescent="0.3">
      <c r="A3588" s="165">
        <f>+A3577+1</f>
        <v>327</v>
      </c>
      <c r="B3588" s="166"/>
      <c r="C3588" s="167"/>
      <c r="D3588" s="160" t="s">
        <v>39</v>
      </c>
      <c r="E3588" s="161"/>
      <c r="F3588" s="162" t="s">
        <v>40</v>
      </c>
      <c r="G3588" s="163"/>
      <c r="H3588" s="164"/>
      <c r="I3588" s="163"/>
      <c r="J3588" s="164"/>
      <c r="K3588" s="163"/>
      <c r="L3588" s="164"/>
      <c r="M3588" s="11"/>
      <c r="N3588" s="39"/>
      <c r="Q3588" s="15" t="str">
        <f>+CONCATENATE(E3588,G3588)</f>
        <v/>
      </c>
      <c r="R3588" s="15">
        <f>+H3588</f>
        <v>0</v>
      </c>
      <c r="S3588" s="16"/>
      <c r="T3588" s="15">
        <f>+E3588</f>
        <v>0</v>
      </c>
      <c r="U3588" s="26" t="str">
        <f>IFERROR(LEFT(G3588,FIND("*",G3588)-1),"-")</f>
        <v>-</v>
      </c>
      <c r="V3588" s="26" t="str">
        <f>IFERROR(RIGHT(G3588,LEN(G3588)-FIND("*",G3588)),"-")</f>
        <v>-</v>
      </c>
      <c r="W3588" s="27" t="str">
        <f>IFERROR((U3588+V3588)*2/1000,"-")</f>
        <v>-</v>
      </c>
      <c r="X3588" s="27" t="str">
        <f>IFERROR(W3588*H3588,"-")</f>
        <v>-</v>
      </c>
      <c r="Z3588" s="94" t="s">
        <v>82</v>
      </c>
    </row>
    <row r="3589" spans="1:26" s="25" customFormat="1" ht="6.95" customHeight="1" x14ac:dyDescent="0.3">
      <c r="A3589" s="165"/>
      <c r="B3589" s="168"/>
      <c r="C3589" s="169"/>
      <c r="D3589" s="160"/>
      <c r="E3589" s="161"/>
      <c r="F3589" s="162"/>
      <c r="G3589" s="163"/>
      <c r="H3589" s="164"/>
      <c r="I3589" s="163"/>
      <c r="J3589" s="164"/>
      <c r="K3589" s="163"/>
      <c r="L3589" s="164"/>
      <c r="M3589" s="11"/>
      <c r="N3589" s="39"/>
      <c r="Q3589" s="15" t="str">
        <f>+CONCATENATE(E3588,I3588)</f>
        <v/>
      </c>
      <c r="R3589" s="15">
        <f>+J3588</f>
        <v>0</v>
      </c>
      <c r="S3589" s="16"/>
      <c r="T3589" s="15">
        <f>+E3588</f>
        <v>0</v>
      </c>
      <c r="U3589" s="26" t="str">
        <f>IFERROR(LEFT(I3588,FIND("*",I3588)-1),"-")</f>
        <v>-</v>
      </c>
      <c r="V3589" s="26" t="str">
        <f>IFERROR(RIGHT(I3588,LEN(I3588)-FIND("*",I3588)),"-")</f>
        <v>-</v>
      </c>
      <c r="W3589" s="27" t="str">
        <f t="shared" ref="W3589:W3596" si="1954">IFERROR((U3589+V3589)*2/1000,"-")</f>
        <v>-</v>
      </c>
      <c r="X3589" s="27" t="str">
        <f>IFERROR(W3589*J3588,"-")</f>
        <v>-</v>
      </c>
      <c r="Z3589" s="94" t="s">
        <v>82</v>
      </c>
    </row>
    <row r="3590" spans="1:26" s="25" customFormat="1" ht="6.95" customHeight="1" x14ac:dyDescent="0.3">
      <c r="A3590" s="165"/>
      <c r="B3590" s="168"/>
      <c r="C3590" s="169"/>
      <c r="D3590" s="160"/>
      <c r="E3590" s="161"/>
      <c r="F3590" s="162"/>
      <c r="G3590" s="163"/>
      <c r="H3590" s="164"/>
      <c r="I3590" s="163"/>
      <c r="J3590" s="164"/>
      <c r="K3590" s="163"/>
      <c r="L3590" s="164"/>
      <c r="M3590" s="11"/>
      <c r="N3590" s="39"/>
      <c r="Q3590" s="15" t="str">
        <f>+CONCATENATE(E3588,K3588)</f>
        <v/>
      </c>
      <c r="R3590" s="15">
        <f>+L3588</f>
        <v>0</v>
      </c>
      <c r="S3590" s="16"/>
      <c r="T3590" s="15">
        <f>+E3588</f>
        <v>0</v>
      </c>
      <c r="U3590" s="26" t="str">
        <f>IFERROR(LEFT(K3588,FIND("*",K3588)-1),"-")</f>
        <v>-</v>
      </c>
      <c r="V3590" s="26" t="str">
        <f>IFERROR(RIGHT(K3588,LEN(K3588)-FIND("*",K3588)),"-")</f>
        <v>-</v>
      </c>
      <c r="W3590" s="27" t="str">
        <f t="shared" si="1954"/>
        <v>-</v>
      </c>
      <c r="X3590" s="27" t="str">
        <f>IFERROR(W3590*L3588,"-")</f>
        <v>-</v>
      </c>
      <c r="Z3590" s="94" t="s">
        <v>82</v>
      </c>
    </row>
    <row r="3591" spans="1:26" s="25" customFormat="1" ht="6.95" customHeight="1" x14ac:dyDescent="0.3">
      <c r="A3591" s="13"/>
      <c r="B3591" s="168"/>
      <c r="C3591" s="169"/>
      <c r="D3591" s="160" t="s">
        <v>39</v>
      </c>
      <c r="E3591" s="161"/>
      <c r="F3591" s="162" t="s">
        <v>40</v>
      </c>
      <c r="G3591" s="163"/>
      <c r="H3591" s="164"/>
      <c r="I3591" s="163"/>
      <c r="J3591" s="164"/>
      <c r="K3591" s="163"/>
      <c r="L3591" s="164"/>
      <c r="M3591" s="11"/>
      <c r="N3591" s="39"/>
      <c r="Q3591" s="15" t="str">
        <f>+CONCATENATE(E3591,G3591)</f>
        <v/>
      </c>
      <c r="R3591" s="15">
        <f>+H3591</f>
        <v>0</v>
      </c>
      <c r="S3591" s="16"/>
      <c r="T3591" s="15">
        <f>+E3591</f>
        <v>0</v>
      </c>
      <c r="U3591" s="26" t="str">
        <f t="shared" ref="U3591" si="1955">IFERROR(LEFT(G3591,FIND("*",G3591)-1),"-")</f>
        <v>-</v>
      </c>
      <c r="V3591" s="26" t="str">
        <f t="shared" ref="V3591" si="1956">IFERROR(RIGHT(G3591,LEN(G3591)-FIND("*",G3591)),"-")</f>
        <v>-</v>
      </c>
      <c r="W3591" s="27" t="str">
        <f t="shared" si="1954"/>
        <v>-</v>
      </c>
      <c r="X3591" s="27" t="str">
        <f>IFERROR(W3591*H3591,"-")</f>
        <v>-</v>
      </c>
      <c r="Z3591" s="94" t="s">
        <v>82</v>
      </c>
    </row>
    <row r="3592" spans="1:26" s="25" customFormat="1" ht="6.95" customHeight="1" x14ac:dyDescent="0.3">
      <c r="A3592" s="10"/>
      <c r="B3592" s="168"/>
      <c r="C3592" s="169"/>
      <c r="D3592" s="160"/>
      <c r="E3592" s="161"/>
      <c r="F3592" s="162"/>
      <c r="G3592" s="163"/>
      <c r="H3592" s="164"/>
      <c r="I3592" s="163"/>
      <c r="J3592" s="164"/>
      <c r="K3592" s="163"/>
      <c r="L3592" s="164"/>
      <c r="M3592" s="11"/>
      <c r="N3592" s="39"/>
      <c r="Q3592" s="15" t="str">
        <f>+CONCATENATE(E3591,I3591)</f>
        <v/>
      </c>
      <c r="R3592" s="15">
        <f>+J3591</f>
        <v>0</v>
      </c>
      <c r="S3592" s="16"/>
      <c r="T3592" s="15">
        <f>+E3591</f>
        <v>0</v>
      </c>
      <c r="U3592" s="26" t="str">
        <f>IFERROR(LEFT(I3591,FIND("*",I3591)-1),"-")</f>
        <v>-</v>
      </c>
      <c r="V3592" s="26" t="str">
        <f>IFERROR(RIGHT(I3591,LEN(I3591)-FIND("*",I3591)),"-")</f>
        <v>-</v>
      </c>
      <c r="W3592" s="27" t="str">
        <f t="shared" si="1954"/>
        <v>-</v>
      </c>
      <c r="X3592" s="27" t="str">
        <f>IFERROR(W3592*J3591,"-")</f>
        <v>-</v>
      </c>
      <c r="Z3592" s="94" t="s">
        <v>82</v>
      </c>
    </row>
    <row r="3593" spans="1:26" s="25" customFormat="1" ht="6.95" customHeight="1" x14ac:dyDescent="0.3">
      <c r="A3593" s="10"/>
      <c r="B3593" s="168"/>
      <c r="C3593" s="169"/>
      <c r="D3593" s="160"/>
      <c r="E3593" s="161"/>
      <c r="F3593" s="162"/>
      <c r="G3593" s="163"/>
      <c r="H3593" s="164"/>
      <c r="I3593" s="163"/>
      <c r="J3593" s="164"/>
      <c r="K3593" s="163"/>
      <c r="L3593" s="164"/>
      <c r="M3593" s="11"/>
      <c r="N3593" s="39"/>
      <c r="Q3593" s="15" t="str">
        <f>+CONCATENATE(E3591,K3591)</f>
        <v/>
      </c>
      <c r="R3593" s="15">
        <f>+L3591</f>
        <v>0</v>
      </c>
      <c r="S3593" s="16"/>
      <c r="T3593" s="15">
        <f>+E3591</f>
        <v>0</v>
      </c>
      <c r="U3593" s="26" t="str">
        <f>IFERROR(LEFT(K3591,FIND("*",K3591)-1),"-")</f>
        <v>-</v>
      </c>
      <c r="V3593" s="26" t="str">
        <f>IFERROR(RIGHT(K3591,LEN(K3591)-FIND("*",K3591)),"-")</f>
        <v>-</v>
      </c>
      <c r="W3593" s="27" t="str">
        <f t="shared" si="1954"/>
        <v>-</v>
      </c>
      <c r="X3593" s="27" t="str">
        <f>IFERROR(W3593*L3591,"-")</f>
        <v>-</v>
      </c>
      <c r="Z3593" s="94" t="s">
        <v>82</v>
      </c>
    </row>
    <row r="3594" spans="1:26" s="25" customFormat="1" ht="6.95" customHeight="1" x14ac:dyDescent="0.3">
      <c r="A3594" s="13"/>
      <c r="B3594" s="168"/>
      <c r="C3594" s="169"/>
      <c r="D3594" s="160" t="s">
        <v>39</v>
      </c>
      <c r="E3594" s="161"/>
      <c r="F3594" s="162" t="s">
        <v>40</v>
      </c>
      <c r="G3594" s="163"/>
      <c r="H3594" s="164"/>
      <c r="I3594" s="163"/>
      <c r="J3594" s="164"/>
      <c r="K3594" s="163"/>
      <c r="L3594" s="164"/>
      <c r="M3594" s="11"/>
      <c r="N3594" s="39"/>
      <c r="Q3594" s="15" t="str">
        <f>+CONCATENATE(E3594,G3594)</f>
        <v/>
      </c>
      <c r="R3594" s="15">
        <f>+H3594</f>
        <v>0</v>
      </c>
      <c r="S3594" s="16"/>
      <c r="T3594" s="15">
        <f>+E3594</f>
        <v>0</v>
      </c>
      <c r="U3594" s="26" t="str">
        <f t="shared" ref="U3594" si="1957">IFERROR(LEFT(G3594,FIND("*",G3594)-1),"-")</f>
        <v>-</v>
      </c>
      <c r="V3594" s="26" t="str">
        <f t="shared" ref="V3594" si="1958">IFERROR(RIGHT(G3594,LEN(G3594)-FIND("*",G3594)),"-")</f>
        <v>-</v>
      </c>
      <c r="W3594" s="27" t="str">
        <f t="shared" si="1954"/>
        <v>-</v>
      </c>
      <c r="X3594" s="27" t="str">
        <f>IFERROR(W3594*H3594,"-")</f>
        <v>-</v>
      </c>
      <c r="Z3594" s="94" t="s">
        <v>82</v>
      </c>
    </row>
    <row r="3595" spans="1:26" s="25" customFormat="1" ht="6.95" customHeight="1" x14ac:dyDescent="0.3">
      <c r="A3595" s="10"/>
      <c r="B3595" s="168"/>
      <c r="C3595" s="169"/>
      <c r="D3595" s="160"/>
      <c r="E3595" s="161"/>
      <c r="F3595" s="162"/>
      <c r="G3595" s="163"/>
      <c r="H3595" s="164"/>
      <c r="I3595" s="163"/>
      <c r="J3595" s="164"/>
      <c r="K3595" s="163"/>
      <c r="L3595" s="164"/>
      <c r="M3595" s="11"/>
      <c r="N3595" s="39"/>
      <c r="Q3595" s="15" t="str">
        <f>+CONCATENATE(E3594,I3594)</f>
        <v/>
      </c>
      <c r="R3595" s="15">
        <f>+J3594</f>
        <v>0</v>
      </c>
      <c r="S3595" s="16"/>
      <c r="T3595" s="15">
        <f>+E3594</f>
        <v>0</v>
      </c>
      <c r="U3595" s="26" t="str">
        <f>IFERROR(LEFT(I3594,FIND("*",I3594)-1),"-")</f>
        <v>-</v>
      </c>
      <c r="V3595" s="26" t="str">
        <f>IFERROR(RIGHT(I3594,LEN(I3594)-FIND("*",I3594)),"-")</f>
        <v>-</v>
      </c>
      <c r="W3595" s="27" t="str">
        <f t="shared" si="1954"/>
        <v>-</v>
      </c>
      <c r="X3595" s="27" t="str">
        <f t="shared" ref="X3595" si="1959">IFERROR(W3595*J3594,"-")</f>
        <v>-</v>
      </c>
      <c r="Z3595" s="94" t="s">
        <v>82</v>
      </c>
    </row>
    <row r="3596" spans="1:26" s="25" customFormat="1" ht="6.95" customHeight="1" x14ac:dyDescent="0.3">
      <c r="A3596" s="10"/>
      <c r="B3596" s="168"/>
      <c r="C3596" s="169"/>
      <c r="D3596" s="160"/>
      <c r="E3596" s="161"/>
      <c r="F3596" s="162"/>
      <c r="G3596" s="163"/>
      <c r="H3596" s="164"/>
      <c r="I3596" s="163"/>
      <c r="J3596" s="164"/>
      <c r="K3596" s="163"/>
      <c r="L3596" s="164"/>
      <c r="M3596" s="11"/>
      <c r="N3596" s="39"/>
      <c r="Q3596" s="15" t="str">
        <f>+CONCATENATE(E3594,K3594)</f>
        <v/>
      </c>
      <c r="R3596" s="15">
        <f>+L3594</f>
        <v>0</v>
      </c>
      <c r="S3596" s="16"/>
      <c r="T3596" s="15">
        <f>+E3594</f>
        <v>0</v>
      </c>
      <c r="U3596" s="26" t="str">
        <f>IFERROR(LEFT(K3594,FIND("*",K3594)-1),"-")</f>
        <v>-</v>
      </c>
      <c r="V3596" s="26" t="str">
        <f>IFERROR(RIGHT(K3594,LEN(K3594)-FIND("*",K3594)),"-")</f>
        <v>-</v>
      </c>
      <c r="W3596" s="27" t="str">
        <f t="shared" si="1954"/>
        <v>-</v>
      </c>
      <c r="X3596" s="27" t="str">
        <f>IFERROR(W3596*L3594,"-")</f>
        <v>-</v>
      </c>
      <c r="Z3596" s="94" t="s">
        <v>82</v>
      </c>
    </row>
    <row r="3597" spans="1:26" s="25" customFormat="1" ht="21" customHeight="1" thickBot="1" x14ac:dyDescent="0.35">
      <c r="A3597" s="10"/>
      <c r="B3597" s="170"/>
      <c r="C3597" s="171"/>
      <c r="D3597" s="172" t="s">
        <v>43</v>
      </c>
      <c r="E3597" s="173"/>
      <c r="F3597" s="173"/>
      <c r="G3597" s="174"/>
      <c r="H3597" s="174"/>
      <c r="I3597" s="174"/>
      <c r="J3597" s="174"/>
      <c r="K3597" s="174"/>
      <c r="L3597" s="174"/>
      <c r="M3597" s="12"/>
      <c r="N3597" s="39"/>
      <c r="U3597" s="23"/>
      <c r="V3597" s="23"/>
      <c r="Z3597" s="95" t="s">
        <v>81</v>
      </c>
    </row>
    <row r="3598" spans="1:26" s="25" customFormat="1" ht="9.9499999999999993" customHeight="1" thickBot="1" x14ac:dyDescent="0.35">
      <c r="A3598" s="6"/>
      <c r="B3598" s="14"/>
      <c r="C3598" s="119"/>
      <c r="D3598" s="58"/>
      <c r="E3598" s="17"/>
      <c r="F3598" s="58"/>
      <c r="G3598" s="19"/>
      <c r="H3598" s="19"/>
      <c r="I3598" s="19"/>
      <c r="J3598" s="19"/>
      <c r="K3598" s="19"/>
      <c r="L3598" s="19"/>
      <c r="M3598" s="14"/>
      <c r="N3598" s="39"/>
      <c r="Q3598" s="1"/>
      <c r="R3598" s="1"/>
      <c r="S3598" s="1"/>
      <c r="T3598" s="1"/>
      <c r="U3598" s="24"/>
      <c r="V3598" s="24"/>
      <c r="W3598" s="1"/>
      <c r="X3598" s="1"/>
      <c r="Z3598" s="94" t="s">
        <v>82</v>
      </c>
    </row>
    <row r="3599" spans="1:26" s="25" customFormat="1" ht="6.95" customHeight="1" x14ac:dyDescent="0.3">
      <c r="A3599" s="165">
        <f>+A3588+1</f>
        <v>328</v>
      </c>
      <c r="B3599" s="166"/>
      <c r="C3599" s="167"/>
      <c r="D3599" s="160" t="s">
        <v>39</v>
      </c>
      <c r="E3599" s="161"/>
      <c r="F3599" s="162" t="s">
        <v>40</v>
      </c>
      <c r="G3599" s="163"/>
      <c r="H3599" s="164"/>
      <c r="I3599" s="163"/>
      <c r="J3599" s="164"/>
      <c r="K3599" s="163"/>
      <c r="L3599" s="164"/>
      <c r="M3599" s="11"/>
      <c r="N3599" s="39"/>
      <c r="Q3599" s="15" t="str">
        <f>+CONCATENATE(E3599,G3599)</f>
        <v/>
      </c>
      <c r="R3599" s="15">
        <f>+H3599</f>
        <v>0</v>
      </c>
      <c r="S3599" s="16"/>
      <c r="T3599" s="15">
        <f>+E3599</f>
        <v>0</v>
      </c>
      <c r="U3599" s="26" t="str">
        <f>IFERROR(LEFT(G3599,FIND("*",G3599)-1),"-")</f>
        <v>-</v>
      </c>
      <c r="V3599" s="26" t="str">
        <f>IFERROR(RIGHT(G3599,LEN(G3599)-FIND("*",G3599)),"-")</f>
        <v>-</v>
      </c>
      <c r="W3599" s="27" t="str">
        <f>IFERROR((U3599+V3599)*2/1000,"-")</f>
        <v>-</v>
      </c>
      <c r="X3599" s="27" t="str">
        <f>IFERROR(W3599*H3599,"-")</f>
        <v>-</v>
      </c>
      <c r="Z3599" s="94" t="s">
        <v>82</v>
      </c>
    </row>
    <row r="3600" spans="1:26" s="25" customFormat="1" ht="6.95" customHeight="1" x14ac:dyDescent="0.3">
      <c r="A3600" s="165"/>
      <c r="B3600" s="168"/>
      <c r="C3600" s="169"/>
      <c r="D3600" s="160"/>
      <c r="E3600" s="161"/>
      <c r="F3600" s="162"/>
      <c r="G3600" s="163"/>
      <c r="H3600" s="164"/>
      <c r="I3600" s="163"/>
      <c r="J3600" s="164"/>
      <c r="K3600" s="163"/>
      <c r="L3600" s="164"/>
      <c r="M3600" s="11"/>
      <c r="N3600" s="39"/>
      <c r="Q3600" s="15" t="str">
        <f>+CONCATENATE(E3599,I3599)</f>
        <v/>
      </c>
      <c r="R3600" s="15">
        <f>+J3599</f>
        <v>0</v>
      </c>
      <c r="S3600" s="16"/>
      <c r="T3600" s="15">
        <f>+E3599</f>
        <v>0</v>
      </c>
      <c r="U3600" s="26" t="str">
        <f>IFERROR(LEFT(I3599,FIND("*",I3599)-1),"-")</f>
        <v>-</v>
      </c>
      <c r="V3600" s="26" t="str">
        <f>IFERROR(RIGHT(I3599,LEN(I3599)-FIND("*",I3599)),"-")</f>
        <v>-</v>
      </c>
      <c r="W3600" s="27" t="str">
        <f t="shared" ref="W3600:W3607" si="1960">IFERROR((U3600+V3600)*2/1000,"-")</f>
        <v>-</v>
      </c>
      <c r="X3600" s="27" t="str">
        <f>IFERROR(W3600*J3599,"-")</f>
        <v>-</v>
      </c>
      <c r="Z3600" s="94" t="s">
        <v>82</v>
      </c>
    </row>
    <row r="3601" spans="1:26" s="25" customFormat="1" ht="6.95" customHeight="1" x14ac:dyDescent="0.3">
      <c r="A3601" s="165"/>
      <c r="B3601" s="168"/>
      <c r="C3601" s="169"/>
      <c r="D3601" s="160"/>
      <c r="E3601" s="161"/>
      <c r="F3601" s="162"/>
      <c r="G3601" s="163"/>
      <c r="H3601" s="164"/>
      <c r="I3601" s="163"/>
      <c r="J3601" s="164"/>
      <c r="K3601" s="163"/>
      <c r="L3601" s="164"/>
      <c r="M3601" s="11"/>
      <c r="N3601" s="39"/>
      <c r="Q3601" s="15" t="str">
        <f>+CONCATENATE(E3599,K3599)</f>
        <v/>
      </c>
      <c r="R3601" s="15">
        <f>+L3599</f>
        <v>0</v>
      </c>
      <c r="S3601" s="16"/>
      <c r="T3601" s="15">
        <f>+E3599</f>
        <v>0</v>
      </c>
      <c r="U3601" s="26" t="str">
        <f>IFERROR(LEFT(K3599,FIND("*",K3599)-1),"-")</f>
        <v>-</v>
      </c>
      <c r="V3601" s="26" t="str">
        <f>IFERROR(RIGHT(K3599,LEN(K3599)-FIND("*",K3599)),"-")</f>
        <v>-</v>
      </c>
      <c r="W3601" s="27" t="str">
        <f t="shared" si="1960"/>
        <v>-</v>
      </c>
      <c r="X3601" s="27" t="str">
        <f>IFERROR(W3601*L3599,"-")</f>
        <v>-</v>
      </c>
      <c r="Z3601" s="94" t="s">
        <v>82</v>
      </c>
    </row>
    <row r="3602" spans="1:26" s="25" customFormat="1" ht="6.95" customHeight="1" x14ac:dyDescent="0.3">
      <c r="A3602" s="13"/>
      <c r="B3602" s="168"/>
      <c r="C3602" s="169"/>
      <c r="D3602" s="160" t="s">
        <v>39</v>
      </c>
      <c r="E3602" s="161"/>
      <c r="F3602" s="162" t="s">
        <v>40</v>
      </c>
      <c r="G3602" s="163"/>
      <c r="H3602" s="164"/>
      <c r="I3602" s="163"/>
      <c r="J3602" s="164"/>
      <c r="K3602" s="163"/>
      <c r="L3602" s="164"/>
      <c r="M3602" s="11"/>
      <c r="N3602" s="39"/>
      <c r="Q3602" s="15" t="str">
        <f>+CONCATENATE(E3602,G3602)</f>
        <v/>
      </c>
      <c r="R3602" s="15">
        <f>+H3602</f>
        <v>0</v>
      </c>
      <c r="S3602" s="16"/>
      <c r="T3602" s="15">
        <f>+E3602</f>
        <v>0</v>
      </c>
      <c r="U3602" s="26" t="str">
        <f t="shared" ref="U3602" si="1961">IFERROR(LEFT(G3602,FIND("*",G3602)-1),"-")</f>
        <v>-</v>
      </c>
      <c r="V3602" s="26" t="str">
        <f t="shared" ref="V3602" si="1962">IFERROR(RIGHT(G3602,LEN(G3602)-FIND("*",G3602)),"-")</f>
        <v>-</v>
      </c>
      <c r="W3602" s="27" t="str">
        <f t="shared" si="1960"/>
        <v>-</v>
      </c>
      <c r="X3602" s="27" t="str">
        <f>IFERROR(W3602*H3602,"-")</f>
        <v>-</v>
      </c>
      <c r="Z3602" s="94" t="s">
        <v>82</v>
      </c>
    </row>
    <row r="3603" spans="1:26" s="25" customFormat="1" ht="6.95" customHeight="1" x14ac:dyDescent="0.3">
      <c r="A3603" s="10"/>
      <c r="B3603" s="168"/>
      <c r="C3603" s="169"/>
      <c r="D3603" s="160"/>
      <c r="E3603" s="161"/>
      <c r="F3603" s="162"/>
      <c r="G3603" s="163"/>
      <c r="H3603" s="164"/>
      <c r="I3603" s="163"/>
      <c r="J3603" s="164"/>
      <c r="K3603" s="163"/>
      <c r="L3603" s="164"/>
      <c r="M3603" s="11"/>
      <c r="N3603" s="39"/>
      <c r="Q3603" s="15" t="str">
        <f>+CONCATENATE(E3602,I3602)</f>
        <v/>
      </c>
      <c r="R3603" s="15">
        <f>+J3602</f>
        <v>0</v>
      </c>
      <c r="S3603" s="16"/>
      <c r="T3603" s="15">
        <f>+E3602</f>
        <v>0</v>
      </c>
      <c r="U3603" s="26" t="str">
        <f>IFERROR(LEFT(I3602,FIND("*",I3602)-1),"-")</f>
        <v>-</v>
      </c>
      <c r="V3603" s="26" t="str">
        <f>IFERROR(RIGHT(I3602,LEN(I3602)-FIND("*",I3602)),"-")</f>
        <v>-</v>
      </c>
      <c r="W3603" s="27" t="str">
        <f t="shared" si="1960"/>
        <v>-</v>
      </c>
      <c r="X3603" s="27" t="str">
        <f>IFERROR(W3603*J3602,"-")</f>
        <v>-</v>
      </c>
      <c r="Z3603" s="94" t="s">
        <v>82</v>
      </c>
    </row>
    <row r="3604" spans="1:26" s="25" customFormat="1" ht="6.95" customHeight="1" x14ac:dyDescent="0.3">
      <c r="A3604" s="10"/>
      <c r="B3604" s="168"/>
      <c r="C3604" s="169"/>
      <c r="D3604" s="160"/>
      <c r="E3604" s="161"/>
      <c r="F3604" s="162"/>
      <c r="G3604" s="163"/>
      <c r="H3604" s="164"/>
      <c r="I3604" s="163"/>
      <c r="J3604" s="164"/>
      <c r="K3604" s="163"/>
      <c r="L3604" s="164"/>
      <c r="M3604" s="11"/>
      <c r="N3604" s="39"/>
      <c r="Q3604" s="15" t="str">
        <f>+CONCATENATE(E3602,K3602)</f>
        <v/>
      </c>
      <c r="R3604" s="15">
        <f>+L3602</f>
        <v>0</v>
      </c>
      <c r="S3604" s="16"/>
      <c r="T3604" s="15">
        <f>+E3602</f>
        <v>0</v>
      </c>
      <c r="U3604" s="26" t="str">
        <f>IFERROR(LEFT(K3602,FIND("*",K3602)-1),"-")</f>
        <v>-</v>
      </c>
      <c r="V3604" s="26" t="str">
        <f>IFERROR(RIGHT(K3602,LEN(K3602)-FIND("*",K3602)),"-")</f>
        <v>-</v>
      </c>
      <c r="W3604" s="27" t="str">
        <f t="shared" si="1960"/>
        <v>-</v>
      </c>
      <c r="X3604" s="27" t="str">
        <f>IFERROR(W3604*L3602,"-")</f>
        <v>-</v>
      </c>
      <c r="Z3604" s="94" t="s">
        <v>82</v>
      </c>
    </row>
    <row r="3605" spans="1:26" s="25" customFormat="1" ht="6.95" customHeight="1" x14ac:dyDescent="0.3">
      <c r="A3605" s="13"/>
      <c r="B3605" s="168"/>
      <c r="C3605" s="169"/>
      <c r="D3605" s="160" t="s">
        <v>39</v>
      </c>
      <c r="E3605" s="161"/>
      <c r="F3605" s="162" t="s">
        <v>40</v>
      </c>
      <c r="G3605" s="163"/>
      <c r="H3605" s="164"/>
      <c r="I3605" s="163"/>
      <c r="J3605" s="164"/>
      <c r="K3605" s="163"/>
      <c r="L3605" s="164"/>
      <c r="M3605" s="11"/>
      <c r="N3605" s="39"/>
      <c r="Q3605" s="15" t="str">
        <f>+CONCATENATE(E3605,G3605)</f>
        <v/>
      </c>
      <c r="R3605" s="15">
        <f>+H3605</f>
        <v>0</v>
      </c>
      <c r="S3605" s="16"/>
      <c r="T3605" s="15">
        <f>+E3605</f>
        <v>0</v>
      </c>
      <c r="U3605" s="26" t="str">
        <f t="shared" ref="U3605" si="1963">IFERROR(LEFT(G3605,FIND("*",G3605)-1),"-")</f>
        <v>-</v>
      </c>
      <c r="V3605" s="26" t="str">
        <f t="shared" ref="V3605" si="1964">IFERROR(RIGHT(G3605,LEN(G3605)-FIND("*",G3605)),"-")</f>
        <v>-</v>
      </c>
      <c r="W3605" s="27" t="str">
        <f t="shared" si="1960"/>
        <v>-</v>
      </c>
      <c r="X3605" s="27" t="str">
        <f>IFERROR(W3605*H3605,"-")</f>
        <v>-</v>
      </c>
      <c r="Z3605" s="94" t="s">
        <v>82</v>
      </c>
    </row>
    <row r="3606" spans="1:26" s="25" customFormat="1" ht="6.95" customHeight="1" x14ac:dyDescent="0.3">
      <c r="A3606" s="10"/>
      <c r="B3606" s="168"/>
      <c r="C3606" s="169"/>
      <c r="D3606" s="160"/>
      <c r="E3606" s="161"/>
      <c r="F3606" s="162"/>
      <c r="G3606" s="163"/>
      <c r="H3606" s="164"/>
      <c r="I3606" s="163"/>
      <c r="J3606" s="164"/>
      <c r="K3606" s="163"/>
      <c r="L3606" s="164"/>
      <c r="M3606" s="11"/>
      <c r="N3606" s="39"/>
      <c r="Q3606" s="15" t="str">
        <f>+CONCATENATE(E3605,I3605)</f>
        <v/>
      </c>
      <c r="R3606" s="15">
        <f>+J3605</f>
        <v>0</v>
      </c>
      <c r="S3606" s="16"/>
      <c r="T3606" s="15">
        <f>+E3605</f>
        <v>0</v>
      </c>
      <c r="U3606" s="26" t="str">
        <f>IFERROR(LEFT(I3605,FIND("*",I3605)-1),"-")</f>
        <v>-</v>
      </c>
      <c r="V3606" s="26" t="str">
        <f>IFERROR(RIGHT(I3605,LEN(I3605)-FIND("*",I3605)),"-")</f>
        <v>-</v>
      </c>
      <c r="W3606" s="27" t="str">
        <f t="shared" si="1960"/>
        <v>-</v>
      </c>
      <c r="X3606" s="27" t="str">
        <f t="shared" ref="X3606" si="1965">IFERROR(W3606*J3605,"-")</f>
        <v>-</v>
      </c>
      <c r="Z3606" s="94" t="s">
        <v>82</v>
      </c>
    </row>
    <row r="3607" spans="1:26" s="25" customFormat="1" ht="6.95" customHeight="1" x14ac:dyDescent="0.3">
      <c r="A3607" s="10"/>
      <c r="B3607" s="168"/>
      <c r="C3607" s="169"/>
      <c r="D3607" s="160"/>
      <c r="E3607" s="161"/>
      <c r="F3607" s="162"/>
      <c r="G3607" s="163"/>
      <c r="H3607" s="164"/>
      <c r="I3607" s="163"/>
      <c r="J3607" s="164"/>
      <c r="K3607" s="163"/>
      <c r="L3607" s="164"/>
      <c r="M3607" s="11"/>
      <c r="N3607" s="39"/>
      <c r="Q3607" s="15" t="str">
        <f>+CONCATENATE(E3605,K3605)</f>
        <v/>
      </c>
      <c r="R3607" s="15">
        <f>+L3605</f>
        <v>0</v>
      </c>
      <c r="S3607" s="16"/>
      <c r="T3607" s="15">
        <f>+E3605</f>
        <v>0</v>
      </c>
      <c r="U3607" s="26" t="str">
        <f>IFERROR(LEFT(K3605,FIND("*",K3605)-1),"-")</f>
        <v>-</v>
      </c>
      <c r="V3607" s="26" t="str">
        <f>IFERROR(RIGHT(K3605,LEN(K3605)-FIND("*",K3605)),"-")</f>
        <v>-</v>
      </c>
      <c r="W3607" s="27" t="str">
        <f t="shared" si="1960"/>
        <v>-</v>
      </c>
      <c r="X3607" s="27" t="str">
        <f>IFERROR(W3607*L3605,"-")</f>
        <v>-</v>
      </c>
      <c r="Z3607" s="94" t="s">
        <v>82</v>
      </c>
    </row>
    <row r="3608" spans="1:26" s="25" customFormat="1" ht="21" customHeight="1" thickBot="1" x14ac:dyDescent="0.35">
      <c r="A3608" s="10"/>
      <c r="B3608" s="170"/>
      <c r="C3608" s="171"/>
      <c r="D3608" s="172" t="s">
        <v>43</v>
      </c>
      <c r="E3608" s="173"/>
      <c r="F3608" s="173"/>
      <c r="G3608" s="174"/>
      <c r="H3608" s="174"/>
      <c r="I3608" s="174"/>
      <c r="J3608" s="174"/>
      <c r="K3608" s="174"/>
      <c r="L3608" s="174"/>
      <c r="M3608" s="12"/>
      <c r="N3608" s="39"/>
      <c r="U3608" s="23"/>
      <c r="V3608" s="23"/>
      <c r="Z3608" s="95" t="s">
        <v>81</v>
      </c>
    </row>
    <row r="3609" spans="1:26" s="25" customFormat="1" ht="9.9499999999999993" customHeight="1" thickBot="1" x14ac:dyDescent="0.35">
      <c r="A3609" s="6"/>
      <c r="B3609" s="14"/>
      <c r="C3609" s="119"/>
      <c r="D3609" s="58"/>
      <c r="E3609" s="17"/>
      <c r="F3609" s="58"/>
      <c r="G3609" s="19"/>
      <c r="H3609" s="19"/>
      <c r="I3609" s="19"/>
      <c r="J3609" s="19"/>
      <c r="K3609" s="19"/>
      <c r="L3609" s="19"/>
      <c r="M3609" s="14"/>
      <c r="N3609" s="39"/>
      <c r="Q3609" s="1"/>
      <c r="R3609" s="1"/>
      <c r="S3609" s="1"/>
      <c r="T3609" s="1"/>
      <c r="U3609" s="24"/>
      <c r="V3609" s="24"/>
      <c r="W3609" s="1"/>
      <c r="X3609" s="1"/>
      <c r="Z3609" s="94" t="s">
        <v>82</v>
      </c>
    </row>
    <row r="3610" spans="1:26" s="25" customFormat="1" ht="6.95" customHeight="1" x14ac:dyDescent="0.3">
      <c r="A3610" s="165">
        <f>+A3599+1</f>
        <v>329</v>
      </c>
      <c r="B3610" s="166"/>
      <c r="C3610" s="167"/>
      <c r="D3610" s="160" t="s">
        <v>39</v>
      </c>
      <c r="E3610" s="161"/>
      <c r="F3610" s="162" t="s">
        <v>40</v>
      </c>
      <c r="G3610" s="163"/>
      <c r="H3610" s="164"/>
      <c r="I3610" s="163"/>
      <c r="J3610" s="164"/>
      <c r="K3610" s="163"/>
      <c r="L3610" s="164"/>
      <c r="M3610" s="11"/>
      <c r="N3610" s="39"/>
      <c r="Q3610" s="15" t="str">
        <f>+CONCATENATE(E3610,G3610)</f>
        <v/>
      </c>
      <c r="R3610" s="15">
        <f>+H3610</f>
        <v>0</v>
      </c>
      <c r="S3610" s="16"/>
      <c r="T3610" s="15">
        <f>+E3610</f>
        <v>0</v>
      </c>
      <c r="U3610" s="26" t="str">
        <f>IFERROR(LEFT(G3610,FIND("*",G3610)-1),"-")</f>
        <v>-</v>
      </c>
      <c r="V3610" s="26" t="str">
        <f>IFERROR(RIGHT(G3610,LEN(G3610)-FIND("*",G3610)),"-")</f>
        <v>-</v>
      </c>
      <c r="W3610" s="27" t="str">
        <f>IFERROR((U3610+V3610)*2/1000,"-")</f>
        <v>-</v>
      </c>
      <c r="X3610" s="27" t="str">
        <f>IFERROR(W3610*H3610,"-")</f>
        <v>-</v>
      </c>
      <c r="Z3610" s="94" t="s">
        <v>82</v>
      </c>
    </row>
    <row r="3611" spans="1:26" s="25" customFormat="1" ht="6.95" customHeight="1" x14ac:dyDescent="0.3">
      <c r="A3611" s="165"/>
      <c r="B3611" s="168"/>
      <c r="C3611" s="169"/>
      <c r="D3611" s="160"/>
      <c r="E3611" s="161"/>
      <c r="F3611" s="162"/>
      <c r="G3611" s="163"/>
      <c r="H3611" s="164"/>
      <c r="I3611" s="163"/>
      <c r="J3611" s="164"/>
      <c r="K3611" s="163"/>
      <c r="L3611" s="164"/>
      <c r="M3611" s="11"/>
      <c r="N3611" s="39"/>
      <c r="Q3611" s="15" t="str">
        <f>+CONCATENATE(E3610,I3610)</f>
        <v/>
      </c>
      <c r="R3611" s="15">
        <f>+J3610</f>
        <v>0</v>
      </c>
      <c r="S3611" s="16"/>
      <c r="T3611" s="15">
        <f>+E3610</f>
        <v>0</v>
      </c>
      <c r="U3611" s="26" t="str">
        <f>IFERROR(LEFT(I3610,FIND("*",I3610)-1),"-")</f>
        <v>-</v>
      </c>
      <c r="V3611" s="26" t="str">
        <f>IFERROR(RIGHT(I3610,LEN(I3610)-FIND("*",I3610)),"-")</f>
        <v>-</v>
      </c>
      <c r="W3611" s="27" t="str">
        <f t="shared" ref="W3611:W3618" si="1966">IFERROR((U3611+V3611)*2/1000,"-")</f>
        <v>-</v>
      </c>
      <c r="X3611" s="27" t="str">
        <f>IFERROR(W3611*J3610,"-")</f>
        <v>-</v>
      </c>
      <c r="Z3611" s="94" t="s">
        <v>82</v>
      </c>
    </row>
    <row r="3612" spans="1:26" s="25" customFormat="1" ht="6.95" customHeight="1" x14ac:dyDescent="0.3">
      <c r="A3612" s="165"/>
      <c r="B3612" s="168"/>
      <c r="C3612" s="169"/>
      <c r="D3612" s="160"/>
      <c r="E3612" s="161"/>
      <c r="F3612" s="162"/>
      <c r="G3612" s="163"/>
      <c r="H3612" s="164"/>
      <c r="I3612" s="163"/>
      <c r="J3612" s="164"/>
      <c r="K3612" s="163"/>
      <c r="L3612" s="164"/>
      <c r="M3612" s="11"/>
      <c r="N3612" s="39"/>
      <c r="Q3612" s="15" t="str">
        <f>+CONCATENATE(E3610,K3610)</f>
        <v/>
      </c>
      <c r="R3612" s="15">
        <f>+L3610</f>
        <v>0</v>
      </c>
      <c r="S3612" s="16"/>
      <c r="T3612" s="15">
        <f>+E3610</f>
        <v>0</v>
      </c>
      <c r="U3612" s="26" t="str">
        <f>IFERROR(LEFT(K3610,FIND("*",K3610)-1),"-")</f>
        <v>-</v>
      </c>
      <c r="V3612" s="26" t="str">
        <f>IFERROR(RIGHT(K3610,LEN(K3610)-FIND("*",K3610)),"-")</f>
        <v>-</v>
      </c>
      <c r="W3612" s="27" t="str">
        <f t="shared" si="1966"/>
        <v>-</v>
      </c>
      <c r="X3612" s="27" t="str">
        <f>IFERROR(W3612*L3610,"-")</f>
        <v>-</v>
      </c>
      <c r="Z3612" s="94" t="s">
        <v>82</v>
      </c>
    </row>
    <row r="3613" spans="1:26" s="25" customFormat="1" ht="6.95" customHeight="1" x14ac:dyDescent="0.3">
      <c r="A3613" s="13"/>
      <c r="B3613" s="168"/>
      <c r="C3613" s="169"/>
      <c r="D3613" s="160" t="s">
        <v>39</v>
      </c>
      <c r="E3613" s="161"/>
      <c r="F3613" s="162" t="s">
        <v>40</v>
      </c>
      <c r="G3613" s="163"/>
      <c r="H3613" s="164"/>
      <c r="I3613" s="163"/>
      <c r="J3613" s="164"/>
      <c r="K3613" s="163"/>
      <c r="L3613" s="164"/>
      <c r="M3613" s="11"/>
      <c r="N3613" s="39"/>
      <c r="Q3613" s="15" t="str">
        <f>+CONCATENATE(E3613,G3613)</f>
        <v/>
      </c>
      <c r="R3613" s="15">
        <f>+H3613</f>
        <v>0</v>
      </c>
      <c r="S3613" s="16"/>
      <c r="T3613" s="15">
        <f>+E3613</f>
        <v>0</v>
      </c>
      <c r="U3613" s="26" t="str">
        <f t="shared" ref="U3613" si="1967">IFERROR(LEFT(G3613,FIND("*",G3613)-1),"-")</f>
        <v>-</v>
      </c>
      <c r="V3613" s="26" t="str">
        <f t="shared" ref="V3613" si="1968">IFERROR(RIGHT(G3613,LEN(G3613)-FIND("*",G3613)),"-")</f>
        <v>-</v>
      </c>
      <c r="W3613" s="27" t="str">
        <f t="shared" si="1966"/>
        <v>-</v>
      </c>
      <c r="X3613" s="27" t="str">
        <f>IFERROR(W3613*H3613,"-")</f>
        <v>-</v>
      </c>
      <c r="Z3613" s="94" t="s">
        <v>82</v>
      </c>
    </row>
    <row r="3614" spans="1:26" s="25" customFormat="1" ht="6.95" customHeight="1" x14ac:dyDescent="0.3">
      <c r="A3614" s="10"/>
      <c r="B3614" s="168"/>
      <c r="C3614" s="169"/>
      <c r="D3614" s="160"/>
      <c r="E3614" s="161"/>
      <c r="F3614" s="162"/>
      <c r="G3614" s="163"/>
      <c r="H3614" s="164"/>
      <c r="I3614" s="163"/>
      <c r="J3614" s="164"/>
      <c r="K3614" s="163"/>
      <c r="L3614" s="164"/>
      <c r="M3614" s="11"/>
      <c r="N3614" s="39"/>
      <c r="Q3614" s="15" t="str">
        <f>+CONCATENATE(E3613,I3613)</f>
        <v/>
      </c>
      <c r="R3614" s="15">
        <f>+J3613</f>
        <v>0</v>
      </c>
      <c r="S3614" s="16"/>
      <c r="T3614" s="15">
        <f>+E3613</f>
        <v>0</v>
      </c>
      <c r="U3614" s="26" t="str">
        <f>IFERROR(LEFT(I3613,FIND("*",I3613)-1),"-")</f>
        <v>-</v>
      </c>
      <c r="V3614" s="26" t="str">
        <f>IFERROR(RIGHT(I3613,LEN(I3613)-FIND("*",I3613)),"-")</f>
        <v>-</v>
      </c>
      <c r="W3614" s="27" t="str">
        <f t="shared" si="1966"/>
        <v>-</v>
      </c>
      <c r="X3614" s="27" t="str">
        <f>IFERROR(W3614*J3613,"-")</f>
        <v>-</v>
      </c>
      <c r="Z3614" s="94" t="s">
        <v>82</v>
      </c>
    </row>
    <row r="3615" spans="1:26" s="25" customFormat="1" ht="6.95" customHeight="1" x14ac:dyDescent="0.3">
      <c r="A3615" s="10"/>
      <c r="B3615" s="168"/>
      <c r="C3615" s="169"/>
      <c r="D3615" s="160"/>
      <c r="E3615" s="161"/>
      <c r="F3615" s="162"/>
      <c r="G3615" s="163"/>
      <c r="H3615" s="164"/>
      <c r="I3615" s="163"/>
      <c r="J3615" s="164"/>
      <c r="K3615" s="163"/>
      <c r="L3615" s="164"/>
      <c r="M3615" s="11"/>
      <c r="N3615" s="39"/>
      <c r="Q3615" s="15" t="str">
        <f>+CONCATENATE(E3613,K3613)</f>
        <v/>
      </c>
      <c r="R3615" s="15">
        <f>+L3613</f>
        <v>0</v>
      </c>
      <c r="S3615" s="16"/>
      <c r="T3615" s="15">
        <f>+E3613</f>
        <v>0</v>
      </c>
      <c r="U3615" s="26" t="str">
        <f>IFERROR(LEFT(K3613,FIND("*",K3613)-1),"-")</f>
        <v>-</v>
      </c>
      <c r="V3615" s="26" t="str">
        <f>IFERROR(RIGHT(K3613,LEN(K3613)-FIND("*",K3613)),"-")</f>
        <v>-</v>
      </c>
      <c r="W3615" s="27" t="str">
        <f t="shared" si="1966"/>
        <v>-</v>
      </c>
      <c r="X3615" s="27" t="str">
        <f>IFERROR(W3615*L3613,"-")</f>
        <v>-</v>
      </c>
      <c r="Z3615" s="94" t="s">
        <v>82</v>
      </c>
    </row>
    <row r="3616" spans="1:26" s="25" customFormat="1" ht="6.95" customHeight="1" x14ac:dyDescent="0.3">
      <c r="A3616" s="13"/>
      <c r="B3616" s="168"/>
      <c r="C3616" s="169"/>
      <c r="D3616" s="160" t="s">
        <v>39</v>
      </c>
      <c r="E3616" s="161"/>
      <c r="F3616" s="162" t="s">
        <v>40</v>
      </c>
      <c r="G3616" s="163"/>
      <c r="H3616" s="164"/>
      <c r="I3616" s="163"/>
      <c r="J3616" s="164"/>
      <c r="K3616" s="163"/>
      <c r="L3616" s="164"/>
      <c r="M3616" s="11"/>
      <c r="N3616" s="39"/>
      <c r="Q3616" s="15" t="str">
        <f>+CONCATENATE(E3616,G3616)</f>
        <v/>
      </c>
      <c r="R3616" s="15">
        <f>+H3616</f>
        <v>0</v>
      </c>
      <c r="S3616" s="16"/>
      <c r="T3616" s="15">
        <f>+E3616</f>
        <v>0</v>
      </c>
      <c r="U3616" s="26" t="str">
        <f t="shared" ref="U3616" si="1969">IFERROR(LEFT(G3616,FIND("*",G3616)-1),"-")</f>
        <v>-</v>
      </c>
      <c r="V3616" s="26" t="str">
        <f t="shared" ref="V3616" si="1970">IFERROR(RIGHT(G3616,LEN(G3616)-FIND("*",G3616)),"-")</f>
        <v>-</v>
      </c>
      <c r="W3616" s="27" t="str">
        <f t="shared" si="1966"/>
        <v>-</v>
      </c>
      <c r="X3616" s="27" t="str">
        <f>IFERROR(W3616*H3616,"-")</f>
        <v>-</v>
      </c>
      <c r="Z3616" s="94" t="s">
        <v>82</v>
      </c>
    </row>
    <row r="3617" spans="1:26" s="25" customFormat="1" ht="6.95" customHeight="1" x14ac:dyDescent="0.3">
      <c r="A3617" s="10"/>
      <c r="B3617" s="168"/>
      <c r="C3617" s="169"/>
      <c r="D3617" s="160"/>
      <c r="E3617" s="161"/>
      <c r="F3617" s="162"/>
      <c r="G3617" s="163"/>
      <c r="H3617" s="164"/>
      <c r="I3617" s="163"/>
      <c r="J3617" s="164"/>
      <c r="K3617" s="163"/>
      <c r="L3617" s="164"/>
      <c r="M3617" s="11"/>
      <c r="N3617" s="39"/>
      <c r="Q3617" s="15" t="str">
        <f>+CONCATENATE(E3616,I3616)</f>
        <v/>
      </c>
      <c r="R3617" s="15">
        <f>+J3616</f>
        <v>0</v>
      </c>
      <c r="S3617" s="16"/>
      <c r="T3617" s="15">
        <f>+E3616</f>
        <v>0</v>
      </c>
      <c r="U3617" s="26" t="str">
        <f>IFERROR(LEFT(I3616,FIND("*",I3616)-1),"-")</f>
        <v>-</v>
      </c>
      <c r="V3617" s="26" t="str">
        <f>IFERROR(RIGHT(I3616,LEN(I3616)-FIND("*",I3616)),"-")</f>
        <v>-</v>
      </c>
      <c r="W3617" s="27" t="str">
        <f t="shared" si="1966"/>
        <v>-</v>
      </c>
      <c r="X3617" s="27" t="str">
        <f t="shared" ref="X3617" si="1971">IFERROR(W3617*J3616,"-")</f>
        <v>-</v>
      </c>
      <c r="Z3617" s="94" t="s">
        <v>82</v>
      </c>
    </row>
    <row r="3618" spans="1:26" s="25" customFormat="1" ht="6.95" customHeight="1" x14ac:dyDescent="0.3">
      <c r="A3618" s="10"/>
      <c r="B3618" s="168"/>
      <c r="C3618" s="169"/>
      <c r="D3618" s="160"/>
      <c r="E3618" s="161"/>
      <c r="F3618" s="162"/>
      <c r="G3618" s="163"/>
      <c r="H3618" s="164"/>
      <c r="I3618" s="163"/>
      <c r="J3618" s="164"/>
      <c r="K3618" s="163"/>
      <c r="L3618" s="164"/>
      <c r="M3618" s="11"/>
      <c r="N3618" s="39"/>
      <c r="Q3618" s="15" t="str">
        <f>+CONCATENATE(E3616,K3616)</f>
        <v/>
      </c>
      <c r="R3618" s="15">
        <f>+L3616</f>
        <v>0</v>
      </c>
      <c r="S3618" s="16"/>
      <c r="T3618" s="15">
        <f>+E3616</f>
        <v>0</v>
      </c>
      <c r="U3618" s="26" t="str">
        <f>IFERROR(LEFT(K3616,FIND("*",K3616)-1),"-")</f>
        <v>-</v>
      </c>
      <c r="V3618" s="26" t="str">
        <f>IFERROR(RIGHT(K3616,LEN(K3616)-FIND("*",K3616)),"-")</f>
        <v>-</v>
      </c>
      <c r="W3618" s="27" t="str">
        <f t="shared" si="1966"/>
        <v>-</v>
      </c>
      <c r="X3618" s="27" t="str">
        <f>IFERROR(W3618*L3616,"-")</f>
        <v>-</v>
      </c>
      <c r="Z3618" s="94" t="s">
        <v>82</v>
      </c>
    </row>
    <row r="3619" spans="1:26" s="25" customFormat="1" ht="21" customHeight="1" thickBot="1" x14ac:dyDescent="0.35">
      <c r="A3619" s="10"/>
      <c r="B3619" s="170"/>
      <c r="C3619" s="171"/>
      <c r="D3619" s="172" t="s">
        <v>43</v>
      </c>
      <c r="E3619" s="173"/>
      <c r="F3619" s="173"/>
      <c r="G3619" s="174"/>
      <c r="H3619" s="174"/>
      <c r="I3619" s="174"/>
      <c r="J3619" s="174"/>
      <c r="K3619" s="174"/>
      <c r="L3619" s="174"/>
      <c r="M3619" s="12"/>
      <c r="N3619" s="39"/>
      <c r="U3619" s="23"/>
      <c r="V3619" s="23"/>
      <c r="Z3619" s="95" t="s">
        <v>81</v>
      </c>
    </row>
    <row r="3620" spans="1:26" s="25" customFormat="1" ht="9.9499999999999993" customHeight="1" thickBot="1" x14ac:dyDescent="0.35">
      <c r="A3620" s="6"/>
      <c r="B3620" s="14"/>
      <c r="C3620" s="119"/>
      <c r="D3620" s="58"/>
      <c r="E3620" s="17"/>
      <c r="F3620" s="58"/>
      <c r="G3620" s="19"/>
      <c r="H3620" s="19"/>
      <c r="I3620" s="19"/>
      <c r="J3620" s="19"/>
      <c r="K3620" s="19"/>
      <c r="L3620" s="19"/>
      <c r="M3620" s="14"/>
      <c r="N3620" s="39"/>
      <c r="Q3620" s="1"/>
      <c r="R3620" s="1"/>
      <c r="S3620" s="1"/>
      <c r="T3620" s="1"/>
      <c r="U3620" s="24"/>
      <c r="V3620" s="24"/>
      <c r="W3620" s="1"/>
      <c r="X3620" s="1"/>
      <c r="Z3620" s="94" t="s">
        <v>82</v>
      </c>
    </row>
    <row r="3621" spans="1:26" s="25" customFormat="1" ht="6.95" customHeight="1" x14ac:dyDescent="0.3">
      <c r="A3621" s="165">
        <f>+A3610+1</f>
        <v>330</v>
      </c>
      <c r="B3621" s="166"/>
      <c r="C3621" s="167"/>
      <c r="D3621" s="160" t="s">
        <v>39</v>
      </c>
      <c r="E3621" s="161"/>
      <c r="F3621" s="162" t="s">
        <v>40</v>
      </c>
      <c r="G3621" s="163"/>
      <c r="H3621" s="164"/>
      <c r="I3621" s="163"/>
      <c r="J3621" s="164"/>
      <c r="K3621" s="163"/>
      <c r="L3621" s="164"/>
      <c r="M3621" s="11"/>
      <c r="N3621" s="39"/>
      <c r="Q3621" s="15" t="str">
        <f>+CONCATENATE(E3621,G3621)</f>
        <v/>
      </c>
      <c r="R3621" s="15">
        <f>+H3621</f>
        <v>0</v>
      </c>
      <c r="S3621" s="16"/>
      <c r="T3621" s="15">
        <f>+E3621</f>
        <v>0</v>
      </c>
      <c r="U3621" s="26" t="str">
        <f>IFERROR(LEFT(G3621,FIND("*",G3621)-1),"-")</f>
        <v>-</v>
      </c>
      <c r="V3621" s="26" t="str">
        <f>IFERROR(RIGHT(G3621,LEN(G3621)-FIND("*",G3621)),"-")</f>
        <v>-</v>
      </c>
      <c r="W3621" s="27" t="str">
        <f>IFERROR((U3621+V3621)*2/1000,"-")</f>
        <v>-</v>
      </c>
      <c r="X3621" s="27" t="str">
        <f>IFERROR(W3621*H3621,"-")</f>
        <v>-</v>
      </c>
      <c r="Z3621" s="94" t="s">
        <v>82</v>
      </c>
    </row>
    <row r="3622" spans="1:26" s="25" customFormat="1" ht="6.95" customHeight="1" x14ac:dyDescent="0.3">
      <c r="A3622" s="165"/>
      <c r="B3622" s="168"/>
      <c r="C3622" s="169"/>
      <c r="D3622" s="160"/>
      <c r="E3622" s="161"/>
      <c r="F3622" s="162"/>
      <c r="G3622" s="163"/>
      <c r="H3622" s="164"/>
      <c r="I3622" s="163"/>
      <c r="J3622" s="164"/>
      <c r="K3622" s="163"/>
      <c r="L3622" s="164"/>
      <c r="M3622" s="11"/>
      <c r="N3622" s="39"/>
      <c r="Q3622" s="15" t="str">
        <f>+CONCATENATE(E3621,I3621)</f>
        <v/>
      </c>
      <c r="R3622" s="15">
        <f>+J3621</f>
        <v>0</v>
      </c>
      <c r="S3622" s="16"/>
      <c r="T3622" s="15">
        <f>+E3621</f>
        <v>0</v>
      </c>
      <c r="U3622" s="26" t="str">
        <f>IFERROR(LEFT(I3621,FIND("*",I3621)-1),"-")</f>
        <v>-</v>
      </c>
      <c r="V3622" s="26" t="str">
        <f>IFERROR(RIGHT(I3621,LEN(I3621)-FIND("*",I3621)),"-")</f>
        <v>-</v>
      </c>
      <c r="W3622" s="27" t="str">
        <f t="shared" ref="W3622:W3629" si="1972">IFERROR((U3622+V3622)*2/1000,"-")</f>
        <v>-</v>
      </c>
      <c r="X3622" s="27" t="str">
        <f>IFERROR(W3622*J3621,"-")</f>
        <v>-</v>
      </c>
      <c r="Z3622" s="94" t="s">
        <v>82</v>
      </c>
    </row>
    <row r="3623" spans="1:26" s="25" customFormat="1" ht="6.95" customHeight="1" x14ac:dyDescent="0.3">
      <c r="A3623" s="165"/>
      <c r="B3623" s="168"/>
      <c r="C3623" s="169"/>
      <c r="D3623" s="160"/>
      <c r="E3623" s="161"/>
      <c r="F3623" s="162"/>
      <c r="G3623" s="163"/>
      <c r="H3623" s="164"/>
      <c r="I3623" s="163"/>
      <c r="J3623" s="164"/>
      <c r="K3623" s="163"/>
      <c r="L3623" s="164"/>
      <c r="M3623" s="11"/>
      <c r="N3623" s="39"/>
      <c r="Q3623" s="15" t="str">
        <f>+CONCATENATE(E3621,K3621)</f>
        <v/>
      </c>
      <c r="R3623" s="15">
        <f>+L3621</f>
        <v>0</v>
      </c>
      <c r="S3623" s="16"/>
      <c r="T3623" s="15">
        <f>+E3621</f>
        <v>0</v>
      </c>
      <c r="U3623" s="26" t="str">
        <f>IFERROR(LEFT(K3621,FIND("*",K3621)-1),"-")</f>
        <v>-</v>
      </c>
      <c r="V3623" s="26" t="str">
        <f>IFERROR(RIGHT(K3621,LEN(K3621)-FIND("*",K3621)),"-")</f>
        <v>-</v>
      </c>
      <c r="W3623" s="27" t="str">
        <f t="shared" si="1972"/>
        <v>-</v>
      </c>
      <c r="X3623" s="27" t="str">
        <f>IFERROR(W3623*L3621,"-")</f>
        <v>-</v>
      </c>
      <c r="Z3623" s="94" t="s">
        <v>82</v>
      </c>
    </row>
    <row r="3624" spans="1:26" s="25" customFormat="1" ht="6.95" customHeight="1" x14ac:dyDescent="0.3">
      <c r="A3624" s="13"/>
      <c r="B3624" s="168"/>
      <c r="C3624" s="169"/>
      <c r="D3624" s="160" t="s">
        <v>39</v>
      </c>
      <c r="E3624" s="161"/>
      <c r="F3624" s="162" t="s">
        <v>40</v>
      </c>
      <c r="G3624" s="163"/>
      <c r="H3624" s="164"/>
      <c r="I3624" s="163"/>
      <c r="J3624" s="164"/>
      <c r="K3624" s="163"/>
      <c r="L3624" s="164"/>
      <c r="M3624" s="11"/>
      <c r="N3624" s="39"/>
      <c r="Q3624" s="15" t="str">
        <f>+CONCATENATE(E3624,G3624)</f>
        <v/>
      </c>
      <c r="R3624" s="15">
        <f>+H3624</f>
        <v>0</v>
      </c>
      <c r="S3624" s="16"/>
      <c r="T3624" s="15">
        <f>+E3624</f>
        <v>0</v>
      </c>
      <c r="U3624" s="26" t="str">
        <f t="shared" ref="U3624" si="1973">IFERROR(LEFT(G3624,FIND("*",G3624)-1),"-")</f>
        <v>-</v>
      </c>
      <c r="V3624" s="26" t="str">
        <f t="shared" ref="V3624" si="1974">IFERROR(RIGHT(G3624,LEN(G3624)-FIND("*",G3624)),"-")</f>
        <v>-</v>
      </c>
      <c r="W3624" s="27" t="str">
        <f t="shared" si="1972"/>
        <v>-</v>
      </c>
      <c r="X3624" s="27" t="str">
        <f>IFERROR(W3624*H3624,"-")</f>
        <v>-</v>
      </c>
      <c r="Z3624" s="94" t="s">
        <v>82</v>
      </c>
    </row>
    <row r="3625" spans="1:26" s="25" customFormat="1" ht="6.95" customHeight="1" x14ac:dyDescent="0.3">
      <c r="A3625" s="10"/>
      <c r="B3625" s="168"/>
      <c r="C3625" s="169"/>
      <c r="D3625" s="160"/>
      <c r="E3625" s="161"/>
      <c r="F3625" s="162"/>
      <c r="G3625" s="163"/>
      <c r="H3625" s="164"/>
      <c r="I3625" s="163"/>
      <c r="J3625" s="164"/>
      <c r="K3625" s="163"/>
      <c r="L3625" s="164"/>
      <c r="M3625" s="11"/>
      <c r="N3625" s="39"/>
      <c r="Q3625" s="15" t="str">
        <f>+CONCATENATE(E3624,I3624)</f>
        <v/>
      </c>
      <c r="R3625" s="15">
        <f>+J3624</f>
        <v>0</v>
      </c>
      <c r="S3625" s="16"/>
      <c r="T3625" s="15">
        <f>+E3624</f>
        <v>0</v>
      </c>
      <c r="U3625" s="26" t="str">
        <f>IFERROR(LEFT(I3624,FIND("*",I3624)-1),"-")</f>
        <v>-</v>
      </c>
      <c r="V3625" s="26" t="str">
        <f>IFERROR(RIGHT(I3624,LEN(I3624)-FIND("*",I3624)),"-")</f>
        <v>-</v>
      </c>
      <c r="W3625" s="27" t="str">
        <f t="shared" si="1972"/>
        <v>-</v>
      </c>
      <c r="X3625" s="27" t="str">
        <f>IFERROR(W3625*J3624,"-")</f>
        <v>-</v>
      </c>
      <c r="Z3625" s="94" t="s">
        <v>82</v>
      </c>
    </row>
    <row r="3626" spans="1:26" s="25" customFormat="1" ht="6.95" customHeight="1" x14ac:dyDescent="0.3">
      <c r="A3626" s="10"/>
      <c r="B3626" s="168"/>
      <c r="C3626" s="169"/>
      <c r="D3626" s="160"/>
      <c r="E3626" s="161"/>
      <c r="F3626" s="162"/>
      <c r="G3626" s="163"/>
      <c r="H3626" s="164"/>
      <c r="I3626" s="163"/>
      <c r="J3626" s="164"/>
      <c r="K3626" s="163"/>
      <c r="L3626" s="164"/>
      <c r="M3626" s="11"/>
      <c r="N3626" s="39"/>
      <c r="Q3626" s="15" t="str">
        <f>+CONCATENATE(E3624,K3624)</f>
        <v/>
      </c>
      <c r="R3626" s="15">
        <f>+L3624</f>
        <v>0</v>
      </c>
      <c r="S3626" s="16"/>
      <c r="T3626" s="15">
        <f>+E3624</f>
        <v>0</v>
      </c>
      <c r="U3626" s="26" t="str">
        <f>IFERROR(LEFT(K3624,FIND("*",K3624)-1),"-")</f>
        <v>-</v>
      </c>
      <c r="V3626" s="26" t="str">
        <f>IFERROR(RIGHT(K3624,LEN(K3624)-FIND("*",K3624)),"-")</f>
        <v>-</v>
      </c>
      <c r="W3626" s="27" t="str">
        <f t="shared" si="1972"/>
        <v>-</v>
      </c>
      <c r="X3626" s="27" t="str">
        <f>IFERROR(W3626*L3624,"-")</f>
        <v>-</v>
      </c>
      <c r="Z3626" s="94" t="s">
        <v>82</v>
      </c>
    </row>
    <row r="3627" spans="1:26" s="25" customFormat="1" ht="6.95" customHeight="1" x14ac:dyDescent="0.3">
      <c r="A3627" s="13"/>
      <c r="B3627" s="168"/>
      <c r="C3627" s="169"/>
      <c r="D3627" s="160" t="s">
        <v>39</v>
      </c>
      <c r="E3627" s="161"/>
      <c r="F3627" s="162" t="s">
        <v>40</v>
      </c>
      <c r="G3627" s="163"/>
      <c r="H3627" s="164"/>
      <c r="I3627" s="163"/>
      <c r="J3627" s="164"/>
      <c r="K3627" s="163"/>
      <c r="L3627" s="164"/>
      <c r="M3627" s="11"/>
      <c r="N3627" s="39"/>
      <c r="Q3627" s="15" t="str">
        <f>+CONCATENATE(E3627,G3627)</f>
        <v/>
      </c>
      <c r="R3627" s="15">
        <f>+H3627</f>
        <v>0</v>
      </c>
      <c r="S3627" s="16"/>
      <c r="T3627" s="15">
        <f>+E3627</f>
        <v>0</v>
      </c>
      <c r="U3627" s="26" t="str">
        <f t="shared" ref="U3627" si="1975">IFERROR(LEFT(G3627,FIND("*",G3627)-1),"-")</f>
        <v>-</v>
      </c>
      <c r="V3627" s="26" t="str">
        <f t="shared" ref="V3627" si="1976">IFERROR(RIGHT(G3627,LEN(G3627)-FIND("*",G3627)),"-")</f>
        <v>-</v>
      </c>
      <c r="W3627" s="27" t="str">
        <f t="shared" si="1972"/>
        <v>-</v>
      </c>
      <c r="X3627" s="27" t="str">
        <f>IFERROR(W3627*H3627,"-")</f>
        <v>-</v>
      </c>
      <c r="Z3627" s="94" t="s">
        <v>82</v>
      </c>
    </row>
    <row r="3628" spans="1:26" s="25" customFormat="1" ht="6.95" customHeight="1" x14ac:dyDescent="0.3">
      <c r="A3628" s="10"/>
      <c r="B3628" s="168"/>
      <c r="C3628" s="169"/>
      <c r="D3628" s="160"/>
      <c r="E3628" s="161"/>
      <c r="F3628" s="162"/>
      <c r="G3628" s="163"/>
      <c r="H3628" s="164"/>
      <c r="I3628" s="163"/>
      <c r="J3628" s="164"/>
      <c r="K3628" s="163"/>
      <c r="L3628" s="164"/>
      <c r="M3628" s="11"/>
      <c r="N3628" s="39"/>
      <c r="Q3628" s="15" t="str">
        <f>+CONCATENATE(E3627,I3627)</f>
        <v/>
      </c>
      <c r="R3628" s="15">
        <f>+J3627</f>
        <v>0</v>
      </c>
      <c r="S3628" s="16"/>
      <c r="T3628" s="15">
        <f>+E3627</f>
        <v>0</v>
      </c>
      <c r="U3628" s="26" t="str">
        <f>IFERROR(LEFT(I3627,FIND("*",I3627)-1),"-")</f>
        <v>-</v>
      </c>
      <c r="V3628" s="26" t="str">
        <f>IFERROR(RIGHT(I3627,LEN(I3627)-FIND("*",I3627)),"-")</f>
        <v>-</v>
      </c>
      <c r="W3628" s="27" t="str">
        <f t="shared" si="1972"/>
        <v>-</v>
      </c>
      <c r="X3628" s="27" t="str">
        <f t="shared" ref="X3628" si="1977">IFERROR(W3628*J3627,"-")</f>
        <v>-</v>
      </c>
      <c r="Z3628" s="94" t="s">
        <v>82</v>
      </c>
    </row>
    <row r="3629" spans="1:26" s="25" customFormat="1" ht="6.95" customHeight="1" x14ac:dyDescent="0.3">
      <c r="A3629" s="10"/>
      <c r="B3629" s="168"/>
      <c r="C3629" s="169"/>
      <c r="D3629" s="160"/>
      <c r="E3629" s="161"/>
      <c r="F3629" s="162"/>
      <c r="G3629" s="163"/>
      <c r="H3629" s="164"/>
      <c r="I3629" s="163"/>
      <c r="J3629" s="164"/>
      <c r="K3629" s="163"/>
      <c r="L3629" s="164"/>
      <c r="M3629" s="11"/>
      <c r="N3629" s="39"/>
      <c r="Q3629" s="15" t="str">
        <f>+CONCATENATE(E3627,K3627)</f>
        <v/>
      </c>
      <c r="R3629" s="15">
        <f>+L3627</f>
        <v>0</v>
      </c>
      <c r="S3629" s="16"/>
      <c r="T3629" s="15">
        <f>+E3627</f>
        <v>0</v>
      </c>
      <c r="U3629" s="26" t="str">
        <f>IFERROR(LEFT(K3627,FIND("*",K3627)-1),"-")</f>
        <v>-</v>
      </c>
      <c r="V3629" s="26" t="str">
        <f>IFERROR(RIGHT(K3627,LEN(K3627)-FIND("*",K3627)),"-")</f>
        <v>-</v>
      </c>
      <c r="W3629" s="27" t="str">
        <f t="shared" si="1972"/>
        <v>-</v>
      </c>
      <c r="X3629" s="27" t="str">
        <f>IFERROR(W3629*L3627,"-")</f>
        <v>-</v>
      </c>
      <c r="Z3629" s="94" t="s">
        <v>82</v>
      </c>
    </row>
    <row r="3630" spans="1:26" s="25" customFormat="1" ht="21" customHeight="1" thickBot="1" x14ac:dyDescent="0.35">
      <c r="A3630" s="10"/>
      <c r="B3630" s="170"/>
      <c r="C3630" s="171"/>
      <c r="D3630" s="172" t="s">
        <v>43</v>
      </c>
      <c r="E3630" s="173"/>
      <c r="F3630" s="173"/>
      <c r="G3630" s="174"/>
      <c r="H3630" s="174"/>
      <c r="I3630" s="174"/>
      <c r="J3630" s="174"/>
      <c r="K3630" s="174"/>
      <c r="L3630" s="174"/>
      <c r="M3630" s="12"/>
      <c r="N3630" s="39"/>
      <c r="U3630" s="23"/>
      <c r="V3630" s="23"/>
      <c r="Z3630" s="95" t="s">
        <v>81</v>
      </c>
    </row>
    <row r="3631" spans="1:26" s="25" customFormat="1" ht="9.9499999999999993" customHeight="1" thickBot="1" x14ac:dyDescent="0.35">
      <c r="A3631" s="6"/>
      <c r="B3631" s="14"/>
      <c r="C3631" s="119"/>
      <c r="D3631" s="58"/>
      <c r="E3631" s="17"/>
      <c r="F3631" s="58"/>
      <c r="G3631" s="19"/>
      <c r="H3631" s="19"/>
      <c r="I3631" s="19"/>
      <c r="J3631" s="19"/>
      <c r="K3631" s="19"/>
      <c r="L3631" s="19"/>
      <c r="M3631" s="14"/>
      <c r="N3631" s="39"/>
      <c r="Q3631" s="1"/>
      <c r="R3631" s="1"/>
      <c r="S3631" s="1"/>
      <c r="T3631" s="1"/>
      <c r="U3631" s="24"/>
      <c r="V3631" s="24"/>
      <c r="W3631" s="1"/>
      <c r="X3631" s="1"/>
      <c r="Z3631" s="94" t="s">
        <v>82</v>
      </c>
    </row>
    <row r="3632" spans="1:26" s="25" customFormat="1" ht="6.95" customHeight="1" x14ac:dyDescent="0.3">
      <c r="A3632" s="165">
        <f>+A3621+1</f>
        <v>331</v>
      </c>
      <c r="B3632" s="166"/>
      <c r="C3632" s="167"/>
      <c r="D3632" s="160" t="s">
        <v>39</v>
      </c>
      <c r="E3632" s="161"/>
      <c r="F3632" s="162" t="s">
        <v>40</v>
      </c>
      <c r="G3632" s="163"/>
      <c r="H3632" s="164"/>
      <c r="I3632" s="163"/>
      <c r="J3632" s="164"/>
      <c r="K3632" s="163"/>
      <c r="L3632" s="164"/>
      <c r="M3632" s="11"/>
      <c r="N3632" s="39"/>
      <c r="Q3632" s="15" t="str">
        <f>+CONCATENATE(E3632,G3632)</f>
        <v/>
      </c>
      <c r="R3632" s="15">
        <f>+H3632</f>
        <v>0</v>
      </c>
      <c r="S3632" s="16"/>
      <c r="T3632" s="15">
        <f>+E3632</f>
        <v>0</v>
      </c>
      <c r="U3632" s="26" t="str">
        <f>IFERROR(LEFT(G3632,FIND("*",G3632)-1),"-")</f>
        <v>-</v>
      </c>
      <c r="V3632" s="26" t="str">
        <f>IFERROR(RIGHT(G3632,LEN(G3632)-FIND("*",G3632)),"-")</f>
        <v>-</v>
      </c>
      <c r="W3632" s="27" t="str">
        <f>IFERROR((U3632+V3632)*2/1000,"-")</f>
        <v>-</v>
      </c>
      <c r="X3632" s="27" t="str">
        <f>IFERROR(W3632*H3632,"-")</f>
        <v>-</v>
      </c>
      <c r="Z3632" s="94" t="s">
        <v>82</v>
      </c>
    </row>
    <row r="3633" spans="1:26" s="25" customFormat="1" ht="6.95" customHeight="1" x14ac:dyDescent="0.3">
      <c r="A3633" s="165"/>
      <c r="B3633" s="168"/>
      <c r="C3633" s="169"/>
      <c r="D3633" s="160"/>
      <c r="E3633" s="161"/>
      <c r="F3633" s="162"/>
      <c r="G3633" s="163"/>
      <c r="H3633" s="164"/>
      <c r="I3633" s="163"/>
      <c r="J3633" s="164"/>
      <c r="K3633" s="163"/>
      <c r="L3633" s="164"/>
      <c r="M3633" s="11"/>
      <c r="N3633" s="39"/>
      <c r="Q3633" s="15" t="str">
        <f>+CONCATENATE(E3632,I3632)</f>
        <v/>
      </c>
      <c r="R3633" s="15">
        <f>+J3632</f>
        <v>0</v>
      </c>
      <c r="S3633" s="16"/>
      <c r="T3633" s="15">
        <f>+E3632</f>
        <v>0</v>
      </c>
      <c r="U3633" s="26" t="str">
        <f>IFERROR(LEFT(I3632,FIND("*",I3632)-1),"-")</f>
        <v>-</v>
      </c>
      <c r="V3633" s="26" t="str">
        <f>IFERROR(RIGHT(I3632,LEN(I3632)-FIND("*",I3632)),"-")</f>
        <v>-</v>
      </c>
      <c r="W3633" s="27" t="str">
        <f t="shared" ref="W3633:W3640" si="1978">IFERROR((U3633+V3633)*2/1000,"-")</f>
        <v>-</v>
      </c>
      <c r="X3633" s="27" t="str">
        <f>IFERROR(W3633*J3632,"-")</f>
        <v>-</v>
      </c>
      <c r="Z3633" s="94" t="s">
        <v>82</v>
      </c>
    </row>
    <row r="3634" spans="1:26" s="25" customFormat="1" ht="6.95" customHeight="1" x14ac:dyDescent="0.3">
      <c r="A3634" s="165"/>
      <c r="B3634" s="168"/>
      <c r="C3634" s="169"/>
      <c r="D3634" s="160"/>
      <c r="E3634" s="161"/>
      <c r="F3634" s="162"/>
      <c r="G3634" s="163"/>
      <c r="H3634" s="164"/>
      <c r="I3634" s="163"/>
      <c r="J3634" s="164"/>
      <c r="K3634" s="163"/>
      <c r="L3634" s="164"/>
      <c r="M3634" s="11"/>
      <c r="N3634" s="39"/>
      <c r="Q3634" s="15" t="str">
        <f>+CONCATENATE(E3632,K3632)</f>
        <v/>
      </c>
      <c r="R3634" s="15">
        <f>+L3632</f>
        <v>0</v>
      </c>
      <c r="S3634" s="16"/>
      <c r="T3634" s="15">
        <f>+E3632</f>
        <v>0</v>
      </c>
      <c r="U3634" s="26" t="str">
        <f>IFERROR(LEFT(K3632,FIND("*",K3632)-1),"-")</f>
        <v>-</v>
      </c>
      <c r="V3634" s="26" t="str">
        <f>IFERROR(RIGHT(K3632,LEN(K3632)-FIND("*",K3632)),"-")</f>
        <v>-</v>
      </c>
      <c r="W3634" s="27" t="str">
        <f t="shared" si="1978"/>
        <v>-</v>
      </c>
      <c r="X3634" s="27" t="str">
        <f>IFERROR(W3634*L3632,"-")</f>
        <v>-</v>
      </c>
      <c r="Z3634" s="94" t="s">
        <v>82</v>
      </c>
    </row>
    <row r="3635" spans="1:26" s="25" customFormat="1" ht="6.95" customHeight="1" x14ac:dyDescent="0.3">
      <c r="A3635" s="13"/>
      <c r="B3635" s="168"/>
      <c r="C3635" s="169"/>
      <c r="D3635" s="160" t="s">
        <v>39</v>
      </c>
      <c r="E3635" s="161"/>
      <c r="F3635" s="162" t="s">
        <v>40</v>
      </c>
      <c r="G3635" s="163"/>
      <c r="H3635" s="164"/>
      <c r="I3635" s="163"/>
      <c r="J3635" s="164"/>
      <c r="K3635" s="163"/>
      <c r="L3635" s="164"/>
      <c r="M3635" s="11"/>
      <c r="N3635" s="39"/>
      <c r="Q3635" s="15" t="str">
        <f>+CONCATENATE(E3635,G3635)</f>
        <v/>
      </c>
      <c r="R3635" s="15">
        <f>+H3635</f>
        <v>0</v>
      </c>
      <c r="S3635" s="16"/>
      <c r="T3635" s="15">
        <f>+E3635</f>
        <v>0</v>
      </c>
      <c r="U3635" s="26" t="str">
        <f t="shared" ref="U3635" si="1979">IFERROR(LEFT(G3635,FIND("*",G3635)-1),"-")</f>
        <v>-</v>
      </c>
      <c r="V3635" s="26" t="str">
        <f t="shared" ref="V3635" si="1980">IFERROR(RIGHT(G3635,LEN(G3635)-FIND("*",G3635)),"-")</f>
        <v>-</v>
      </c>
      <c r="W3635" s="27" t="str">
        <f t="shared" si="1978"/>
        <v>-</v>
      </c>
      <c r="X3635" s="27" t="str">
        <f>IFERROR(W3635*H3635,"-")</f>
        <v>-</v>
      </c>
      <c r="Z3635" s="94" t="s">
        <v>82</v>
      </c>
    </row>
    <row r="3636" spans="1:26" s="25" customFormat="1" ht="6.95" customHeight="1" x14ac:dyDescent="0.3">
      <c r="A3636" s="10"/>
      <c r="B3636" s="168"/>
      <c r="C3636" s="169"/>
      <c r="D3636" s="160"/>
      <c r="E3636" s="161"/>
      <c r="F3636" s="162"/>
      <c r="G3636" s="163"/>
      <c r="H3636" s="164"/>
      <c r="I3636" s="163"/>
      <c r="J3636" s="164"/>
      <c r="K3636" s="163"/>
      <c r="L3636" s="164"/>
      <c r="M3636" s="11"/>
      <c r="N3636" s="39"/>
      <c r="Q3636" s="15" t="str">
        <f>+CONCATENATE(E3635,I3635)</f>
        <v/>
      </c>
      <c r="R3636" s="15">
        <f>+J3635</f>
        <v>0</v>
      </c>
      <c r="S3636" s="16"/>
      <c r="T3636" s="15">
        <f>+E3635</f>
        <v>0</v>
      </c>
      <c r="U3636" s="26" t="str">
        <f>IFERROR(LEFT(I3635,FIND("*",I3635)-1),"-")</f>
        <v>-</v>
      </c>
      <c r="V3636" s="26" t="str">
        <f>IFERROR(RIGHT(I3635,LEN(I3635)-FIND("*",I3635)),"-")</f>
        <v>-</v>
      </c>
      <c r="W3636" s="27" t="str">
        <f t="shared" si="1978"/>
        <v>-</v>
      </c>
      <c r="X3636" s="27" t="str">
        <f>IFERROR(W3636*J3635,"-")</f>
        <v>-</v>
      </c>
      <c r="Z3636" s="94" t="s">
        <v>82</v>
      </c>
    </row>
    <row r="3637" spans="1:26" s="25" customFormat="1" ht="6.95" customHeight="1" x14ac:dyDescent="0.3">
      <c r="A3637" s="10"/>
      <c r="B3637" s="168"/>
      <c r="C3637" s="169"/>
      <c r="D3637" s="160"/>
      <c r="E3637" s="161"/>
      <c r="F3637" s="162"/>
      <c r="G3637" s="163"/>
      <c r="H3637" s="164"/>
      <c r="I3637" s="163"/>
      <c r="J3637" s="164"/>
      <c r="K3637" s="163"/>
      <c r="L3637" s="164"/>
      <c r="M3637" s="11"/>
      <c r="N3637" s="39"/>
      <c r="Q3637" s="15" t="str">
        <f>+CONCATENATE(E3635,K3635)</f>
        <v/>
      </c>
      <c r="R3637" s="15">
        <f>+L3635</f>
        <v>0</v>
      </c>
      <c r="S3637" s="16"/>
      <c r="T3637" s="15">
        <f>+E3635</f>
        <v>0</v>
      </c>
      <c r="U3637" s="26" t="str">
        <f>IFERROR(LEFT(K3635,FIND("*",K3635)-1),"-")</f>
        <v>-</v>
      </c>
      <c r="V3637" s="26" t="str">
        <f>IFERROR(RIGHT(K3635,LEN(K3635)-FIND("*",K3635)),"-")</f>
        <v>-</v>
      </c>
      <c r="W3637" s="27" t="str">
        <f t="shared" si="1978"/>
        <v>-</v>
      </c>
      <c r="X3637" s="27" t="str">
        <f>IFERROR(W3637*L3635,"-")</f>
        <v>-</v>
      </c>
      <c r="Z3637" s="94" t="s">
        <v>82</v>
      </c>
    </row>
    <row r="3638" spans="1:26" s="25" customFormat="1" ht="6.95" customHeight="1" x14ac:dyDescent="0.3">
      <c r="A3638" s="13"/>
      <c r="B3638" s="168"/>
      <c r="C3638" s="169"/>
      <c r="D3638" s="160" t="s">
        <v>39</v>
      </c>
      <c r="E3638" s="161"/>
      <c r="F3638" s="162" t="s">
        <v>40</v>
      </c>
      <c r="G3638" s="163"/>
      <c r="H3638" s="164"/>
      <c r="I3638" s="163"/>
      <c r="J3638" s="164"/>
      <c r="K3638" s="163"/>
      <c r="L3638" s="164"/>
      <c r="M3638" s="11"/>
      <c r="N3638" s="39"/>
      <c r="Q3638" s="15" t="str">
        <f>+CONCATENATE(E3638,G3638)</f>
        <v/>
      </c>
      <c r="R3638" s="15">
        <f>+H3638</f>
        <v>0</v>
      </c>
      <c r="S3638" s="16"/>
      <c r="T3638" s="15">
        <f>+E3638</f>
        <v>0</v>
      </c>
      <c r="U3638" s="26" t="str">
        <f t="shared" ref="U3638" si="1981">IFERROR(LEFT(G3638,FIND("*",G3638)-1),"-")</f>
        <v>-</v>
      </c>
      <c r="V3638" s="26" t="str">
        <f t="shared" ref="V3638" si="1982">IFERROR(RIGHT(G3638,LEN(G3638)-FIND("*",G3638)),"-")</f>
        <v>-</v>
      </c>
      <c r="W3638" s="27" t="str">
        <f t="shared" si="1978"/>
        <v>-</v>
      </c>
      <c r="X3638" s="27" t="str">
        <f>IFERROR(W3638*H3638,"-")</f>
        <v>-</v>
      </c>
      <c r="Z3638" s="94" t="s">
        <v>82</v>
      </c>
    </row>
    <row r="3639" spans="1:26" s="25" customFormat="1" ht="6.95" customHeight="1" x14ac:dyDescent="0.3">
      <c r="A3639" s="10"/>
      <c r="B3639" s="168"/>
      <c r="C3639" s="169"/>
      <c r="D3639" s="160"/>
      <c r="E3639" s="161"/>
      <c r="F3639" s="162"/>
      <c r="G3639" s="163"/>
      <c r="H3639" s="164"/>
      <c r="I3639" s="163"/>
      <c r="J3639" s="164"/>
      <c r="K3639" s="163"/>
      <c r="L3639" s="164"/>
      <c r="M3639" s="11"/>
      <c r="N3639" s="39"/>
      <c r="Q3639" s="15" t="str">
        <f>+CONCATENATE(E3638,I3638)</f>
        <v/>
      </c>
      <c r="R3639" s="15">
        <f>+J3638</f>
        <v>0</v>
      </c>
      <c r="S3639" s="16"/>
      <c r="T3639" s="15">
        <f>+E3638</f>
        <v>0</v>
      </c>
      <c r="U3639" s="26" t="str">
        <f>IFERROR(LEFT(I3638,FIND("*",I3638)-1),"-")</f>
        <v>-</v>
      </c>
      <c r="V3639" s="26" t="str">
        <f>IFERROR(RIGHT(I3638,LEN(I3638)-FIND("*",I3638)),"-")</f>
        <v>-</v>
      </c>
      <c r="W3639" s="27" t="str">
        <f t="shared" si="1978"/>
        <v>-</v>
      </c>
      <c r="X3639" s="27" t="str">
        <f t="shared" ref="X3639" si="1983">IFERROR(W3639*J3638,"-")</f>
        <v>-</v>
      </c>
      <c r="Z3639" s="94" t="s">
        <v>82</v>
      </c>
    </row>
    <row r="3640" spans="1:26" s="25" customFormat="1" ht="6.95" customHeight="1" x14ac:dyDescent="0.3">
      <c r="A3640" s="10"/>
      <c r="B3640" s="168"/>
      <c r="C3640" s="169"/>
      <c r="D3640" s="160"/>
      <c r="E3640" s="161"/>
      <c r="F3640" s="162"/>
      <c r="G3640" s="163"/>
      <c r="H3640" s="164"/>
      <c r="I3640" s="163"/>
      <c r="J3640" s="164"/>
      <c r="K3640" s="163"/>
      <c r="L3640" s="164"/>
      <c r="M3640" s="11"/>
      <c r="N3640" s="39"/>
      <c r="Q3640" s="15" t="str">
        <f>+CONCATENATE(E3638,K3638)</f>
        <v/>
      </c>
      <c r="R3640" s="15">
        <f>+L3638</f>
        <v>0</v>
      </c>
      <c r="S3640" s="16"/>
      <c r="T3640" s="15">
        <f>+E3638</f>
        <v>0</v>
      </c>
      <c r="U3640" s="26" t="str">
        <f>IFERROR(LEFT(K3638,FIND("*",K3638)-1),"-")</f>
        <v>-</v>
      </c>
      <c r="V3640" s="26" t="str">
        <f>IFERROR(RIGHT(K3638,LEN(K3638)-FIND("*",K3638)),"-")</f>
        <v>-</v>
      </c>
      <c r="W3640" s="27" t="str">
        <f t="shared" si="1978"/>
        <v>-</v>
      </c>
      <c r="X3640" s="27" t="str">
        <f>IFERROR(W3640*L3638,"-")</f>
        <v>-</v>
      </c>
      <c r="Z3640" s="94" t="s">
        <v>82</v>
      </c>
    </row>
    <row r="3641" spans="1:26" s="25" customFormat="1" ht="21" customHeight="1" thickBot="1" x14ac:dyDescent="0.35">
      <c r="A3641" s="10"/>
      <c r="B3641" s="170"/>
      <c r="C3641" s="171"/>
      <c r="D3641" s="172" t="s">
        <v>43</v>
      </c>
      <c r="E3641" s="173"/>
      <c r="F3641" s="173"/>
      <c r="G3641" s="174"/>
      <c r="H3641" s="174"/>
      <c r="I3641" s="174"/>
      <c r="J3641" s="174"/>
      <c r="K3641" s="174"/>
      <c r="L3641" s="174"/>
      <c r="M3641" s="12"/>
      <c r="N3641" s="39"/>
      <c r="U3641" s="23"/>
      <c r="V3641" s="23"/>
      <c r="Z3641" s="95" t="s">
        <v>81</v>
      </c>
    </row>
    <row r="3642" spans="1:26" s="25" customFormat="1" ht="9.9499999999999993" customHeight="1" thickBot="1" x14ac:dyDescent="0.35">
      <c r="A3642" s="6"/>
      <c r="B3642" s="14"/>
      <c r="C3642" s="119"/>
      <c r="D3642" s="58"/>
      <c r="E3642" s="17"/>
      <c r="F3642" s="58"/>
      <c r="G3642" s="19"/>
      <c r="H3642" s="19"/>
      <c r="I3642" s="19"/>
      <c r="J3642" s="19"/>
      <c r="K3642" s="19"/>
      <c r="L3642" s="19"/>
      <c r="M3642" s="14"/>
      <c r="N3642" s="39"/>
      <c r="Q3642" s="1"/>
      <c r="R3642" s="1"/>
      <c r="S3642" s="1"/>
      <c r="T3642" s="1"/>
      <c r="U3642" s="24"/>
      <c r="V3642" s="24"/>
      <c r="W3642" s="1"/>
      <c r="X3642" s="1"/>
      <c r="Z3642" s="94" t="s">
        <v>82</v>
      </c>
    </row>
    <row r="3643" spans="1:26" s="25" customFormat="1" ht="6.95" customHeight="1" x14ac:dyDescent="0.3">
      <c r="A3643" s="165">
        <f>+A3632+1</f>
        <v>332</v>
      </c>
      <c r="B3643" s="166"/>
      <c r="C3643" s="167"/>
      <c r="D3643" s="160" t="s">
        <v>39</v>
      </c>
      <c r="E3643" s="161"/>
      <c r="F3643" s="162" t="s">
        <v>40</v>
      </c>
      <c r="G3643" s="163"/>
      <c r="H3643" s="164"/>
      <c r="I3643" s="163"/>
      <c r="J3643" s="164"/>
      <c r="K3643" s="163"/>
      <c r="L3643" s="164"/>
      <c r="M3643" s="11"/>
      <c r="N3643" s="39"/>
      <c r="Q3643" s="15" t="str">
        <f>+CONCATENATE(E3643,G3643)</f>
        <v/>
      </c>
      <c r="R3643" s="15">
        <f>+H3643</f>
        <v>0</v>
      </c>
      <c r="S3643" s="16"/>
      <c r="T3643" s="15">
        <f>+E3643</f>
        <v>0</v>
      </c>
      <c r="U3643" s="26" t="str">
        <f>IFERROR(LEFT(G3643,FIND("*",G3643)-1),"-")</f>
        <v>-</v>
      </c>
      <c r="V3643" s="26" t="str">
        <f>IFERROR(RIGHT(G3643,LEN(G3643)-FIND("*",G3643)),"-")</f>
        <v>-</v>
      </c>
      <c r="W3643" s="27" t="str">
        <f>IFERROR((U3643+V3643)*2/1000,"-")</f>
        <v>-</v>
      </c>
      <c r="X3643" s="27" t="str">
        <f>IFERROR(W3643*H3643,"-")</f>
        <v>-</v>
      </c>
      <c r="Z3643" s="94" t="s">
        <v>82</v>
      </c>
    </row>
    <row r="3644" spans="1:26" s="25" customFormat="1" ht="6.95" customHeight="1" x14ac:dyDescent="0.3">
      <c r="A3644" s="165"/>
      <c r="B3644" s="168"/>
      <c r="C3644" s="169"/>
      <c r="D3644" s="160"/>
      <c r="E3644" s="161"/>
      <c r="F3644" s="162"/>
      <c r="G3644" s="163"/>
      <c r="H3644" s="164"/>
      <c r="I3644" s="163"/>
      <c r="J3644" s="164"/>
      <c r="K3644" s="163"/>
      <c r="L3644" s="164"/>
      <c r="M3644" s="11"/>
      <c r="N3644" s="39"/>
      <c r="Q3644" s="15" t="str">
        <f>+CONCATENATE(E3643,I3643)</f>
        <v/>
      </c>
      <c r="R3644" s="15">
        <f>+J3643</f>
        <v>0</v>
      </c>
      <c r="S3644" s="16"/>
      <c r="T3644" s="15">
        <f>+E3643</f>
        <v>0</v>
      </c>
      <c r="U3644" s="26" t="str">
        <f>IFERROR(LEFT(I3643,FIND("*",I3643)-1),"-")</f>
        <v>-</v>
      </c>
      <c r="V3644" s="26" t="str">
        <f>IFERROR(RIGHT(I3643,LEN(I3643)-FIND("*",I3643)),"-")</f>
        <v>-</v>
      </c>
      <c r="W3644" s="27" t="str">
        <f t="shared" ref="W3644:W3651" si="1984">IFERROR((U3644+V3644)*2/1000,"-")</f>
        <v>-</v>
      </c>
      <c r="X3644" s="27" t="str">
        <f>IFERROR(W3644*J3643,"-")</f>
        <v>-</v>
      </c>
      <c r="Z3644" s="94" t="s">
        <v>82</v>
      </c>
    </row>
    <row r="3645" spans="1:26" s="25" customFormat="1" ht="6.95" customHeight="1" x14ac:dyDescent="0.3">
      <c r="A3645" s="165"/>
      <c r="B3645" s="168"/>
      <c r="C3645" s="169"/>
      <c r="D3645" s="160"/>
      <c r="E3645" s="161"/>
      <c r="F3645" s="162"/>
      <c r="G3645" s="163"/>
      <c r="H3645" s="164"/>
      <c r="I3645" s="163"/>
      <c r="J3645" s="164"/>
      <c r="K3645" s="163"/>
      <c r="L3645" s="164"/>
      <c r="M3645" s="11"/>
      <c r="N3645" s="39"/>
      <c r="Q3645" s="15" t="str">
        <f>+CONCATENATE(E3643,K3643)</f>
        <v/>
      </c>
      <c r="R3645" s="15">
        <f>+L3643</f>
        <v>0</v>
      </c>
      <c r="S3645" s="16"/>
      <c r="T3645" s="15">
        <f>+E3643</f>
        <v>0</v>
      </c>
      <c r="U3645" s="26" t="str">
        <f>IFERROR(LEFT(K3643,FIND("*",K3643)-1),"-")</f>
        <v>-</v>
      </c>
      <c r="V3645" s="26" t="str">
        <f>IFERROR(RIGHT(K3643,LEN(K3643)-FIND("*",K3643)),"-")</f>
        <v>-</v>
      </c>
      <c r="W3645" s="27" t="str">
        <f t="shared" si="1984"/>
        <v>-</v>
      </c>
      <c r="X3645" s="27" t="str">
        <f>IFERROR(W3645*L3643,"-")</f>
        <v>-</v>
      </c>
      <c r="Z3645" s="94" t="s">
        <v>82</v>
      </c>
    </row>
    <row r="3646" spans="1:26" s="25" customFormat="1" ht="6.95" customHeight="1" x14ac:dyDescent="0.3">
      <c r="A3646" s="13"/>
      <c r="B3646" s="168"/>
      <c r="C3646" s="169"/>
      <c r="D3646" s="160" t="s">
        <v>39</v>
      </c>
      <c r="E3646" s="161"/>
      <c r="F3646" s="162" t="s">
        <v>40</v>
      </c>
      <c r="G3646" s="163"/>
      <c r="H3646" s="164"/>
      <c r="I3646" s="163"/>
      <c r="J3646" s="164"/>
      <c r="K3646" s="163"/>
      <c r="L3646" s="164"/>
      <c r="M3646" s="11"/>
      <c r="N3646" s="39"/>
      <c r="Q3646" s="15" t="str">
        <f>+CONCATENATE(E3646,G3646)</f>
        <v/>
      </c>
      <c r="R3646" s="15">
        <f>+H3646</f>
        <v>0</v>
      </c>
      <c r="S3646" s="16"/>
      <c r="T3646" s="15">
        <f>+E3646</f>
        <v>0</v>
      </c>
      <c r="U3646" s="26" t="str">
        <f t="shared" ref="U3646" si="1985">IFERROR(LEFT(G3646,FIND("*",G3646)-1),"-")</f>
        <v>-</v>
      </c>
      <c r="V3646" s="26" t="str">
        <f t="shared" ref="V3646" si="1986">IFERROR(RIGHT(G3646,LEN(G3646)-FIND("*",G3646)),"-")</f>
        <v>-</v>
      </c>
      <c r="W3646" s="27" t="str">
        <f t="shared" si="1984"/>
        <v>-</v>
      </c>
      <c r="X3646" s="27" t="str">
        <f>IFERROR(W3646*H3646,"-")</f>
        <v>-</v>
      </c>
      <c r="Z3646" s="94" t="s">
        <v>82</v>
      </c>
    </row>
    <row r="3647" spans="1:26" s="25" customFormat="1" ht="6.95" customHeight="1" x14ac:dyDescent="0.3">
      <c r="A3647" s="10"/>
      <c r="B3647" s="168"/>
      <c r="C3647" s="169"/>
      <c r="D3647" s="160"/>
      <c r="E3647" s="161"/>
      <c r="F3647" s="162"/>
      <c r="G3647" s="163"/>
      <c r="H3647" s="164"/>
      <c r="I3647" s="163"/>
      <c r="J3647" s="164"/>
      <c r="K3647" s="163"/>
      <c r="L3647" s="164"/>
      <c r="M3647" s="11"/>
      <c r="N3647" s="39"/>
      <c r="Q3647" s="15" t="str">
        <f>+CONCATENATE(E3646,I3646)</f>
        <v/>
      </c>
      <c r="R3647" s="15">
        <f>+J3646</f>
        <v>0</v>
      </c>
      <c r="S3647" s="16"/>
      <c r="T3647" s="15">
        <f>+E3646</f>
        <v>0</v>
      </c>
      <c r="U3647" s="26" t="str">
        <f>IFERROR(LEFT(I3646,FIND("*",I3646)-1),"-")</f>
        <v>-</v>
      </c>
      <c r="V3647" s="26" t="str">
        <f>IFERROR(RIGHT(I3646,LEN(I3646)-FIND("*",I3646)),"-")</f>
        <v>-</v>
      </c>
      <c r="W3647" s="27" t="str">
        <f t="shared" si="1984"/>
        <v>-</v>
      </c>
      <c r="X3647" s="27" t="str">
        <f>IFERROR(W3647*J3646,"-")</f>
        <v>-</v>
      </c>
      <c r="Z3647" s="94" t="s">
        <v>82</v>
      </c>
    </row>
    <row r="3648" spans="1:26" s="25" customFormat="1" ht="6.95" customHeight="1" x14ac:dyDescent="0.3">
      <c r="A3648" s="10"/>
      <c r="B3648" s="168"/>
      <c r="C3648" s="169"/>
      <c r="D3648" s="160"/>
      <c r="E3648" s="161"/>
      <c r="F3648" s="162"/>
      <c r="G3648" s="163"/>
      <c r="H3648" s="164"/>
      <c r="I3648" s="163"/>
      <c r="J3648" s="164"/>
      <c r="K3648" s="163"/>
      <c r="L3648" s="164"/>
      <c r="M3648" s="11"/>
      <c r="N3648" s="39"/>
      <c r="Q3648" s="15" t="str">
        <f>+CONCATENATE(E3646,K3646)</f>
        <v/>
      </c>
      <c r="R3648" s="15">
        <f>+L3646</f>
        <v>0</v>
      </c>
      <c r="S3648" s="16"/>
      <c r="T3648" s="15">
        <f>+E3646</f>
        <v>0</v>
      </c>
      <c r="U3648" s="26" t="str">
        <f>IFERROR(LEFT(K3646,FIND("*",K3646)-1),"-")</f>
        <v>-</v>
      </c>
      <c r="V3648" s="26" t="str">
        <f>IFERROR(RIGHT(K3646,LEN(K3646)-FIND("*",K3646)),"-")</f>
        <v>-</v>
      </c>
      <c r="W3648" s="27" t="str">
        <f t="shared" si="1984"/>
        <v>-</v>
      </c>
      <c r="X3648" s="27" t="str">
        <f>IFERROR(W3648*L3646,"-")</f>
        <v>-</v>
      </c>
      <c r="Z3648" s="94" t="s">
        <v>82</v>
      </c>
    </row>
    <row r="3649" spans="1:26" s="25" customFormat="1" ht="6.95" customHeight="1" x14ac:dyDescent="0.3">
      <c r="A3649" s="13"/>
      <c r="B3649" s="168"/>
      <c r="C3649" s="169"/>
      <c r="D3649" s="160" t="s">
        <v>39</v>
      </c>
      <c r="E3649" s="161"/>
      <c r="F3649" s="162" t="s">
        <v>40</v>
      </c>
      <c r="G3649" s="163"/>
      <c r="H3649" s="164"/>
      <c r="I3649" s="163"/>
      <c r="J3649" s="164"/>
      <c r="K3649" s="163"/>
      <c r="L3649" s="164"/>
      <c r="M3649" s="11"/>
      <c r="N3649" s="39"/>
      <c r="Q3649" s="15" t="str">
        <f>+CONCATENATE(E3649,G3649)</f>
        <v/>
      </c>
      <c r="R3649" s="15">
        <f>+H3649</f>
        <v>0</v>
      </c>
      <c r="S3649" s="16"/>
      <c r="T3649" s="15">
        <f>+E3649</f>
        <v>0</v>
      </c>
      <c r="U3649" s="26" t="str">
        <f t="shared" ref="U3649" si="1987">IFERROR(LEFT(G3649,FIND("*",G3649)-1),"-")</f>
        <v>-</v>
      </c>
      <c r="V3649" s="26" t="str">
        <f t="shared" ref="V3649" si="1988">IFERROR(RIGHT(G3649,LEN(G3649)-FIND("*",G3649)),"-")</f>
        <v>-</v>
      </c>
      <c r="W3649" s="27" t="str">
        <f t="shared" si="1984"/>
        <v>-</v>
      </c>
      <c r="X3649" s="27" t="str">
        <f>IFERROR(W3649*H3649,"-")</f>
        <v>-</v>
      </c>
      <c r="Z3649" s="94" t="s">
        <v>82</v>
      </c>
    </row>
    <row r="3650" spans="1:26" s="25" customFormat="1" ht="6.95" customHeight="1" x14ac:dyDescent="0.3">
      <c r="A3650" s="10"/>
      <c r="B3650" s="168"/>
      <c r="C3650" s="169"/>
      <c r="D3650" s="160"/>
      <c r="E3650" s="161"/>
      <c r="F3650" s="162"/>
      <c r="G3650" s="163"/>
      <c r="H3650" s="164"/>
      <c r="I3650" s="163"/>
      <c r="J3650" s="164"/>
      <c r="K3650" s="163"/>
      <c r="L3650" s="164"/>
      <c r="M3650" s="11"/>
      <c r="N3650" s="39"/>
      <c r="Q3650" s="15" t="str">
        <f>+CONCATENATE(E3649,I3649)</f>
        <v/>
      </c>
      <c r="R3650" s="15">
        <f>+J3649</f>
        <v>0</v>
      </c>
      <c r="S3650" s="16"/>
      <c r="T3650" s="15">
        <f>+E3649</f>
        <v>0</v>
      </c>
      <c r="U3650" s="26" t="str">
        <f>IFERROR(LEFT(I3649,FIND("*",I3649)-1),"-")</f>
        <v>-</v>
      </c>
      <c r="V3650" s="26" t="str">
        <f>IFERROR(RIGHT(I3649,LEN(I3649)-FIND("*",I3649)),"-")</f>
        <v>-</v>
      </c>
      <c r="W3650" s="27" t="str">
        <f t="shared" si="1984"/>
        <v>-</v>
      </c>
      <c r="X3650" s="27" t="str">
        <f t="shared" ref="X3650" si="1989">IFERROR(W3650*J3649,"-")</f>
        <v>-</v>
      </c>
      <c r="Z3650" s="94" t="s">
        <v>82</v>
      </c>
    </row>
    <row r="3651" spans="1:26" s="25" customFormat="1" ht="6.95" customHeight="1" x14ac:dyDescent="0.3">
      <c r="A3651" s="10"/>
      <c r="B3651" s="168"/>
      <c r="C3651" s="169"/>
      <c r="D3651" s="160"/>
      <c r="E3651" s="161"/>
      <c r="F3651" s="162"/>
      <c r="G3651" s="163"/>
      <c r="H3651" s="164"/>
      <c r="I3651" s="163"/>
      <c r="J3651" s="164"/>
      <c r="K3651" s="163"/>
      <c r="L3651" s="164"/>
      <c r="M3651" s="11"/>
      <c r="N3651" s="39"/>
      <c r="Q3651" s="15" t="str">
        <f>+CONCATENATE(E3649,K3649)</f>
        <v/>
      </c>
      <c r="R3651" s="15">
        <f>+L3649</f>
        <v>0</v>
      </c>
      <c r="S3651" s="16"/>
      <c r="T3651" s="15">
        <f>+E3649</f>
        <v>0</v>
      </c>
      <c r="U3651" s="26" t="str">
        <f>IFERROR(LEFT(K3649,FIND("*",K3649)-1),"-")</f>
        <v>-</v>
      </c>
      <c r="V3651" s="26" t="str">
        <f>IFERROR(RIGHT(K3649,LEN(K3649)-FIND("*",K3649)),"-")</f>
        <v>-</v>
      </c>
      <c r="W3651" s="27" t="str">
        <f t="shared" si="1984"/>
        <v>-</v>
      </c>
      <c r="X3651" s="27" t="str">
        <f>IFERROR(W3651*L3649,"-")</f>
        <v>-</v>
      </c>
      <c r="Z3651" s="94" t="s">
        <v>82</v>
      </c>
    </row>
    <row r="3652" spans="1:26" s="25" customFormat="1" ht="21" customHeight="1" thickBot="1" x14ac:dyDescent="0.35">
      <c r="A3652" s="10"/>
      <c r="B3652" s="170"/>
      <c r="C3652" s="171"/>
      <c r="D3652" s="172" t="s">
        <v>43</v>
      </c>
      <c r="E3652" s="173"/>
      <c r="F3652" s="173"/>
      <c r="G3652" s="174"/>
      <c r="H3652" s="174"/>
      <c r="I3652" s="174"/>
      <c r="J3652" s="174"/>
      <c r="K3652" s="174"/>
      <c r="L3652" s="174"/>
      <c r="M3652" s="12"/>
      <c r="N3652" s="39"/>
      <c r="U3652" s="23"/>
      <c r="V3652" s="23"/>
      <c r="Z3652" s="95" t="s">
        <v>81</v>
      </c>
    </row>
    <row r="3653" spans="1:26" s="25" customFormat="1" ht="9.9499999999999993" customHeight="1" thickBot="1" x14ac:dyDescent="0.35">
      <c r="A3653" s="6"/>
      <c r="B3653" s="14"/>
      <c r="C3653" s="119"/>
      <c r="D3653" s="58"/>
      <c r="E3653" s="17"/>
      <c r="F3653" s="58"/>
      <c r="G3653" s="19"/>
      <c r="H3653" s="19"/>
      <c r="I3653" s="19"/>
      <c r="J3653" s="19"/>
      <c r="K3653" s="19"/>
      <c r="L3653" s="19"/>
      <c r="M3653" s="14"/>
      <c r="N3653" s="39"/>
      <c r="Q3653" s="1"/>
      <c r="R3653" s="1"/>
      <c r="S3653" s="1"/>
      <c r="T3653" s="1"/>
      <c r="U3653" s="24"/>
      <c r="V3653" s="24"/>
      <c r="W3653" s="1"/>
      <c r="X3653" s="1"/>
      <c r="Z3653" s="94" t="s">
        <v>82</v>
      </c>
    </row>
    <row r="3654" spans="1:26" s="25" customFormat="1" ht="6.95" customHeight="1" x14ac:dyDescent="0.3">
      <c r="A3654" s="165">
        <f>+A3643+1</f>
        <v>333</v>
      </c>
      <c r="B3654" s="166"/>
      <c r="C3654" s="167"/>
      <c r="D3654" s="160" t="s">
        <v>39</v>
      </c>
      <c r="E3654" s="161"/>
      <c r="F3654" s="162" t="s">
        <v>40</v>
      </c>
      <c r="G3654" s="163"/>
      <c r="H3654" s="164"/>
      <c r="I3654" s="163"/>
      <c r="J3654" s="164"/>
      <c r="K3654" s="163"/>
      <c r="L3654" s="164"/>
      <c r="M3654" s="11"/>
      <c r="N3654" s="39"/>
      <c r="Q3654" s="15" t="str">
        <f>+CONCATENATE(E3654,G3654)</f>
        <v/>
      </c>
      <c r="R3654" s="15">
        <f>+H3654</f>
        <v>0</v>
      </c>
      <c r="S3654" s="16"/>
      <c r="T3654" s="15">
        <f>+E3654</f>
        <v>0</v>
      </c>
      <c r="U3654" s="26" t="str">
        <f>IFERROR(LEFT(G3654,FIND("*",G3654)-1),"-")</f>
        <v>-</v>
      </c>
      <c r="V3654" s="26" t="str">
        <f>IFERROR(RIGHT(G3654,LEN(G3654)-FIND("*",G3654)),"-")</f>
        <v>-</v>
      </c>
      <c r="W3654" s="27" t="str">
        <f>IFERROR((U3654+V3654)*2/1000,"-")</f>
        <v>-</v>
      </c>
      <c r="X3654" s="27" t="str">
        <f>IFERROR(W3654*H3654,"-")</f>
        <v>-</v>
      </c>
      <c r="Z3654" s="94" t="s">
        <v>82</v>
      </c>
    </row>
    <row r="3655" spans="1:26" s="25" customFormat="1" ht="6.95" customHeight="1" x14ac:dyDescent="0.3">
      <c r="A3655" s="165"/>
      <c r="B3655" s="168"/>
      <c r="C3655" s="169"/>
      <c r="D3655" s="160"/>
      <c r="E3655" s="161"/>
      <c r="F3655" s="162"/>
      <c r="G3655" s="163"/>
      <c r="H3655" s="164"/>
      <c r="I3655" s="163"/>
      <c r="J3655" s="164"/>
      <c r="K3655" s="163"/>
      <c r="L3655" s="164"/>
      <c r="M3655" s="11"/>
      <c r="N3655" s="39"/>
      <c r="Q3655" s="15" t="str">
        <f>+CONCATENATE(E3654,I3654)</f>
        <v/>
      </c>
      <c r="R3655" s="15">
        <f>+J3654</f>
        <v>0</v>
      </c>
      <c r="S3655" s="16"/>
      <c r="T3655" s="15">
        <f>+E3654</f>
        <v>0</v>
      </c>
      <c r="U3655" s="26" t="str">
        <f>IFERROR(LEFT(I3654,FIND("*",I3654)-1),"-")</f>
        <v>-</v>
      </c>
      <c r="V3655" s="26" t="str">
        <f>IFERROR(RIGHT(I3654,LEN(I3654)-FIND("*",I3654)),"-")</f>
        <v>-</v>
      </c>
      <c r="W3655" s="27" t="str">
        <f t="shared" ref="W3655:W3662" si="1990">IFERROR((U3655+V3655)*2/1000,"-")</f>
        <v>-</v>
      </c>
      <c r="X3655" s="27" t="str">
        <f>IFERROR(W3655*J3654,"-")</f>
        <v>-</v>
      </c>
      <c r="Z3655" s="94" t="s">
        <v>82</v>
      </c>
    </row>
    <row r="3656" spans="1:26" s="25" customFormat="1" ht="6.95" customHeight="1" x14ac:dyDescent="0.3">
      <c r="A3656" s="165"/>
      <c r="B3656" s="168"/>
      <c r="C3656" s="169"/>
      <c r="D3656" s="160"/>
      <c r="E3656" s="161"/>
      <c r="F3656" s="162"/>
      <c r="G3656" s="163"/>
      <c r="H3656" s="164"/>
      <c r="I3656" s="163"/>
      <c r="J3656" s="164"/>
      <c r="K3656" s="163"/>
      <c r="L3656" s="164"/>
      <c r="M3656" s="11"/>
      <c r="N3656" s="39"/>
      <c r="Q3656" s="15" t="str">
        <f>+CONCATENATE(E3654,K3654)</f>
        <v/>
      </c>
      <c r="R3656" s="15">
        <f>+L3654</f>
        <v>0</v>
      </c>
      <c r="S3656" s="16"/>
      <c r="T3656" s="15">
        <f>+E3654</f>
        <v>0</v>
      </c>
      <c r="U3656" s="26" t="str">
        <f>IFERROR(LEFT(K3654,FIND("*",K3654)-1),"-")</f>
        <v>-</v>
      </c>
      <c r="V3656" s="26" t="str">
        <f>IFERROR(RIGHT(K3654,LEN(K3654)-FIND("*",K3654)),"-")</f>
        <v>-</v>
      </c>
      <c r="W3656" s="27" t="str">
        <f t="shared" si="1990"/>
        <v>-</v>
      </c>
      <c r="X3656" s="27" t="str">
        <f>IFERROR(W3656*L3654,"-")</f>
        <v>-</v>
      </c>
      <c r="Z3656" s="94" t="s">
        <v>82</v>
      </c>
    </row>
    <row r="3657" spans="1:26" s="25" customFormat="1" ht="6.95" customHeight="1" x14ac:dyDescent="0.3">
      <c r="A3657" s="13"/>
      <c r="B3657" s="168"/>
      <c r="C3657" s="169"/>
      <c r="D3657" s="160" t="s">
        <v>39</v>
      </c>
      <c r="E3657" s="161"/>
      <c r="F3657" s="162" t="s">
        <v>40</v>
      </c>
      <c r="G3657" s="163"/>
      <c r="H3657" s="164"/>
      <c r="I3657" s="163"/>
      <c r="J3657" s="164"/>
      <c r="K3657" s="163"/>
      <c r="L3657" s="164"/>
      <c r="M3657" s="11"/>
      <c r="N3657" s="39"/>
      <c r="Q3657" s="15" t="str">
        <f>+CONCATENATE(E3657,G3657)</f>
        <v/>
      </c>
      <c r="R3657" s="15">
        <f>+H3657</f>
        <v>0</v>
      </c>
      <c r="S3657" s="16"/>
      <c r="T3657" s="15">
        <f>+E3657</f>
        <v>0</v>
      </c>
      <c r="U3657" s="26" t="str">
        <f t="shared" ref="U3657" si="1991">IFERROR(LEFT(G3657,FIND("*",G3657)-1),"-")</f>
        <v>-</v>
      </c>
      <c r="V3657" s="26" t="str">
        <f t="shared" ref="V3657" si="1992">IFERROR(RIGHT(G3657,LEN(G3657)-FIND("*",G3657)),"-")</f>
        <v>-</v>
      </c>
      <c r="W3657" s="27" t="str">
        <f t="shared" si="1990"/>
        <v>-</v>
      </c>
      <c r="X3657" s="27" t="str">
        <f>IFERROR(W3657*H3657,"-")</f>
        <v>-</v>
      </c>
      <c r="Z3657" s="94" t="s">
        <v>82</v>
      </c>
    </row>
    <row r="3658" spans="1:26" s="25" customFormat="1" ht="6.95" customHeight="1" x14ac:dyDescent="0.3">
      <c r="A3658" s="10"/>
      <c r="B3658" s="168"/>
      <c r="C3658" s="169"/>
      <c r="D3658" s="160"/>
      <c r="E3658" s="161"/>
      <c r="F3658" s="162"/>
      <c r="G3658" s="163"/>
      <c r="H3658" s="164"/>
      <c r="I3658" s="163"/>
      <c r="J3658" s="164"/>
      <c r="K3658" s="163"/>
      <c r="L3658" s="164"/>
      <c r="M3658" s="11"/>
      <c r="N3658" s="39"/>
      <c r="Q3658" s="15" t="str">
        <f>+CONCATENATE(E3657,I3657)</f>
        <v/>
      </c>
      <c r="R3658" s="15">
        <f>+J3657</f>
        <v>0</v>
      </c>
      <c r="S3658" s="16"/>
      <c r="T3658" s="15">
        <f>+E3657</f>
        <v>0</v>
      </c>
      <c r="U3658" s="26" t="str">
        <f>IFERROR(LEFT(I3657,FIND("*",I3657)-1),"-")</f>
        <v>-</v>
      </c>
      <c r="V3658" s="26" t="str">
        <f>IFERROR(RIGHT(I3657,LEN(I3657)-FIND("*",I3657)),"-")</f>
        <v>-</v>
      </c>
      <c r="W3658" s="27" t="str">
        <f t="shared" si="1990"/>
        <v>-</v>
      </c>
      <c r="X3658" s="27" t="str">
        <f>IFERROR(W3658*J3657,"-")</f>
        <v>-</v>
      </c>
      <c r="Z3658" s="94" t="s">
        <v>82</v>
      </c>
    </row>
    <row r="3659" spans="1:26" s="25" customFormat="1" ht="6.95" customHeight="1" x14ac:dyDescent="0.3">
      <c r="A3659" s="10"/>
      <c r="B3659" s="168"/>
      <c r="C3659" s="169"/>
      <c r="D3659" s="160"/>
      <c r="E3659" s="161"/>
      <c r="F3659" s="162"/>
      <c r="G3659" s="163"/>
      <c r="H3659" s="164"/>
      <c r="I3659" s="163"/>
      <c r="J3659" s="164"/>
      <c r="K3659" s="163"/>
      <c r="L3659" s="164"/>
      <c r="M3659" s="11"/>
      <c r="N3659" s="39"/>
      <c r="Q3659" s="15" t="str">
        <f>+CONCATENATE(E3657,K3657)</f>
        <v/>
      </c>
      <c r="R3659" s="15">
        <f>+L3657</f>
        <v>0</v>
      </c>
      <c r="S3659" s="16"/>
      <c r="T3659" s="15">
        <f>+E3657</f>
        <v>0</v>
      </c>
      <c r="U3659" s="26" t="str">
        <f>IFERROR(LEFT(K3657,FIND("*",K3657)-1),"-")</f>
        <v>-</v>
      </c>
      <c r="V3659" s="26" t="str">
        <f>IFERROR(RIGHT(K3657,LEN(K3657)-FIND("*",K3657)),"-")</f>
        <v>-</v>
      </c>
      <c r="W3659" s="27" t="str">
        <f t="shared" si="1990"/>
        <v>-</v>
      </c>
      <c r="X3659" s="27" t="str">
        <f>IFERROR(W3659*L3657,"-")</f>
        <v>-</v>
      </c>
      <c r="Z3659" s="94" t="s">
        <v>82</v>
      </c>
    </row>
    <row r="3660" spans="1:26" s="25" customFormat="1" ht="6.95" customHeight="1" x14ac:dyDescent="0.3">
      <c r="A3660" s="13"/>
      <c r="B3660" s="168"/>
      <c r="C3660" s="169"/>
      <c r="D3660" s="160" t="s">
        <v>39</v>
      </c>
      <c r="E3660" s="161"/>
      <c r="F3660" s="162" t="s">
        <v>40</v>
      </c>
      <c r="G3660" s="163"/>
      <c r="H3660" s="164"/>
      <c r="I3660" s="163"/>
      <c r="J3660" s="164"/>
      <c r="K3660" s="163"/>
      <c r="L3660" s="164"/>
      <c r="M3660" s="11"/>
      <c r="N3660" s="39"/>
      <c r="Q3660" s="15" t="str">
        <f>+CONCATENATE(E3660,G3660)</f>
        <v/>
      </c>
      <c r="R3660" s="15">
        <f>+H3660</f>
        <v>0</v>
      </c>
      <c r="S3660" s="16"/>
      <c r="T3660" s="15">
        <f>+E3660</f>
        <v>0</v>
      </c>
      <c r="U3660" s="26" t="str">
        <f t="shared" ref="U3660" si="1993">IFERROR(LEFT(G3660,FIND("*",G3660)-1),"-")</f>
        <v>-</v>
      </c>
      <c r="V3660" s="26" t="str">
        <f t="shared" ref="V3660" si="1994">IFERROR(RIGHT(G3660,LEN(G3660)-FIND("*",G3660)),"-")</f>
        <v>-</v>
      </c>
      <c r="W3660" s="27" t="str">
        <f t="shared" si="1990"/>
        <v>-</v>
      </c>
      <c r="X3660" s="27" t="str">
        <f>IFERROR(W3660*H3660,"-")</f>
        <v>-</v>
      </c>
      <c r="Z3660" s="94" t="s">
        <v>82</v>
      </c>
    </row>
    <row r="3661" spans="1:26" s="25" customFormat="1" ht="6.95" customHeight="1" x14ac:dyDescent="0.3">
      <c r="A3661" s="10"/>
      <c r="B3661" s="168"/>
      <c r="C3661" s="169"/>
      <c r="D3661" s="160"/>
      <c r="E3661" s="161"/>
      <c r="F3661" s="162"/>
      <c r="G3661" s="163"/>
      <c r="H3661" s="164"/>
      <c r="I3661" s="163"/>
      <c r="J3661" s="164"/>
      <c r="K3661" s="163"/>
      <c r="L3661" s="164"/>
      <c r="M3661" s="11"/>
      <c r="N3661" s="39"/>
      <c r="Q3661" s="15" t="str">
        <f>+CONCATENATE(E3660,I3660)</f>
        <v/>
      </c>
      <c r="R3661" s="15">
        <f>+J3660</f>
        <v>0</v>
      </c>
      <c r="S3661" s="16"/>
      <c r="T3661" s="15">
        <f>+E3660</f>
        <v>0</v>
      </c>
      <c r="U3661" s="26" t="str">
        <f>IFERROR(LEFT(I3660,FIND("*",I3660)-1),"-")</f>
        <v>-</v>
      </c>
      <c r="V3661" s="26" t="str">
        <f>IFERROR(RIGHT(I3660,LEN(I3660)-FIND("*",I3660)),"-")</f>
        <v>-</v>
      </c>
      <c r="W3661" s="27" t="str">
        <f t="shared" si="1990"/>
        <v>-</v>
      </c>
      <c r="X3661" s="27" t="str">
        <f t="shared" ref="X3661" si="1995">IFERROR(W3661*J3660,"-")</f>
        <v>-</v>
      </c>
      <c r="Z3661" s="94" t="s">
        <v>82</v>
      </c>
    </row>
    <row r="3662" spans="1:26" s="25" customFormat="1" ht="6.95" customHeight="1" x14ac:dyDescent="0.3">
      <c r="A3662" s="10"/>
      <c r="B3662" s="168"/>
      <c r="C3662" s="169"/>
      <c r="D3662" s="160"/>
      <c r="E3662" s="161"/>
      <c r="F3662" s="162"/>
      <c r="G3662" s="163"/>
      <c r="H3662" s="164"/>
      <c r="I3662" s="163"/>
      <c r="J3662" s="164"/>
      <c r="K3662" s="163"/>
      <c r="L3662" s="164"/>
      <c r="M3662" s="11"/>
      <c r="N3662" s="39"/>
      <c r="Q3662" s="15" t="str">
        <f>+CONCATENATE(E3660,K3660)</f>
        <v/>
      </c>
      <c r="R3662" s="15">
        <f>+L3660</f>
        <v>0</v>
      </c>
      <c r="S3662" s="16"/>
      <c r="T3662" s="15">
        <f>+E3660</f>
        <v>0</v>
      </c>
      <c r="U3662" s="26" t="str">
        <f>IFERROR(LEFT(K3660,FIND("*",K3660)-1),"-")</f>
        <v>-</v>
      </c>
      <c r="V3662" s="26" t="str">
        <f>IFERROR(RIGHT(K3660,LEN(K3660)-FIND("*",K3660)),"-")</f>
        <v>-</v>
      </c>
      <c r="W3662" s="27" t="str">
        <f t="shared" si="1990"/>
        <v>-</v>
      </c>
      <c r="X3662" s="27" t="str">
        <f>IFERROR(W3662*L3660,"-")</f>
        <v>-</v>
      </c>
      <c r="Z3662" s="94" t="s">
        <v>82</v>
      </c>
    </row>
    <row r="3663" spans="1:26" s="25" customFormat="1" ht="21" customHeight="1" thickBot="1" x14ac:dyDescent="0.35">
      <c r="A3663" s="10"/>
      <c r="B3663" s="170"/>
      <c r="C3663" s="171"/>
      <c r="D3663" s="172" t="s">
        <v>43</v>
      </c>
      <c r="E3663" s="173"/>
      <c r="F3663" s="173"/>
      <c r="G3663" s="174"/>
      <c r="H3663" s="174"/>
      <c r="I3663" s="174"/>
      <c r="J3663" s="174"/>
      <c r="K3663" s="174"/>
      <c r="L3663" s="174"/>
      <c r="M3663" s="12"/>
      <c r="N3663" s="39"/>
      <c r="U3663" s="23"/>
      <c r="V3663" s="23"/>
      <c r="Z3663" s="95" t="s">
        <v>81</v>
      </c>
    </row>
    <row r="3664" spans="1:26" s="25" customFormat="1" ht="9.9499999999999993" customHeight="1" thickBot="1" x14ac:dyDescent="0.35">
      <c r="A3664" s="6"/>
      <c r="B3664" s="14"/>
      <c r="C3664" s="119"/>
      <c r="D3664" s="58"/>
      <c r="E3664" s="17"/>
      <c r="F3664" s="58"/>
      <c r="G3664" s="19"/>
      <c r="H3664" s="19"/>
      <c r="I3664" s="19"/>
      <c r="J3664" s="19"/>
      <c r="K3664" s="19"/>
      <c r="L3664" s="19"/>
      <c r="M3664" s="14"/>
      <c r="N3664" s="39"/>
      <c r="Q3664" s="1"/>
      <c r="R3664" s="1"/>
      <c r="S3664" s="1"/>
      <c r="T3664" s="1"/>
      <c r="U3664" s="24"/>
      <c r="V3664" s="24"/>
      <c r="W3664" s="1"/>
      <c r="X3664" s="1"/>
      <c r="Z3664" s="94" t="s">
        <v>82</v>
      </c>
    </row>
    <row r="3665" spans="1:26" s="25" customFormat="1" ht="6.95" customHeight="1" x14ac:dyDescent="0.3">
      <c r="A3665" s="165">
        <f>+A3654+1</f>
        <v>334</v>
      </c>
      <c r="B3665" s="166"/>
      <c r="C3665" s="167"/>
      <c r="D3665" s="160" t="s">
        <v>39</v>
      </c>
      <c r="E3665" s="161"/>
      <c r="F3665" s="162" t="s">
        <v>40</v>
      </c>
      <c r="G3665" s="163"/>
      <c r="H3665" s="164"/>
      <c r="I3665" s="163"/>
      <c r="J3665" s="164"/>
      <c r="K3665" s="163"/>
      <c r="L3665" s="164"/>
      <c r="M3665" s="11"/>
      <c r="N3665" s="39"/>
      <c r="Q3665" s="15" t="str">
        <f>+CONCATENATE(E3665,G3665)</f>
        <v/>
      </c>
      <c r="R3665" s="15">
        <f>+H3665</f>
        <v>0</v>
      </c>
      <c r="S3665" s="16"/>
      <c r="T3665" s="15">
        <f>+E3665</f>
        <v>0</v>
      </c>
      <c r="U3665" s="26" t="str">
        <f>IFERROR(LEFT(G3665,FIND("*",G3665)-1),"-")</f>
        <v>-</v>
      </c>
      <c r="V3665" s="26" t="str">
        <f>IFERROR(RIGHT(G3665,LEN(G3665)-FIND("*",G3665)),"-")</f>
        <v>-</v>
      </c>
      <c r="W3665" s="27" t="str">
        <f>IFERROR((U3665+V3665)*2/1000,"-")</f>
        <v>-</v>
      </c>
      <c r="X3665" s="27" t="str">
        <f>IFERROR(W3665*H3665,"-")</f>
        <v>-</v>
      </c>
      <c r="Z3665" s="94" t="s">
        <v>82</v>
      </c>
    </row>
    <row r="3666" spans="1:26" s="25" customFormat="1" ht="6.95" customHeight="1" x14ac:dyDescent="0.3">
      <c r="A3666" s="165"/>
      <c r="B3666" s="168"/>
      <c r="C3666" s="169"/>
      <c r="D3666" s="160"/>
      <c r="E3666" s="161"/>
      <c r="F3666" s="162"/>
      <c r="G3666" s="163"/>
      <c r="H3666" s="164"/>
      <c r="I3666" s="163"/>
      <c r="J3666" s="164"/>
      <c r="K3666" s="163"/>
      <c r="L3666" s="164"/>
      <c r="M3666" s="11"/>
      <c r="N3666" s="39"/>
      <c r="Q3666" s="15" t="str">
        <f>+CONCATENATE(E3665,I3665)</f>
        <v/>
      </c>
      <c r="R3666" s="15">
        <f>+J3665</f>
        <v>0</v>
      </c>
      <c r="S3666" s="16"/>
      <c r="T3666" s="15">
        <f>+E3665</f>
        <v>0</v>
      </c>
      <c r="U3666" s="26" t="str">
        <f>IFERROR(LEFT(I3665,FIND("*",I3665)-1),"-")</f>
        <v>-</v>
      </c>
      <c r="V3666" s="26" t="str">
        <f>IFERROR(RIGHT(I3665,LEN(I3665)-FIND("*",I3665)),"-")</f>
        <v>-</v>
      </c>
      <c r="W3666" s="27" t="str">
        <f t="shared" ref="W3666:W3673" si="1996">IFERROR((U3666+V3666)*2/1000,"-")</f>
        <v>-</v>
      </c>
      <c r="X3666" s="27" t="str">
        <f>IFERROR(W3666*J3665,"-")</f>
        <v>-</v>
      </c>
      <c r="Z3666" s="94" t="s">
        <v>82</v>
      </c>
    </row>
    <row r="3667" spans="1:26" s="25" customFormat="1" ht="6.95" customHeight="1" x14ac:dyDescent="0.3">
      <c r="A3667" s="165"/>
      <c r="B3667" s="168"/>
      <c r="C3667" s="169"/>
      <c r="D3667" s="160"/>
      <c r="E3667" s="161"/>
      <c r="F3667" s="162"/>
      <c r="G3667" s="163"/>
      <c r="H3667" s="164"/>
      <c r="I3667" s="163"/>
      <c r="J3667" s="164"/>
      <c r="K3667" s="163"/>
      <c r="L3667" s="164"/>
      <c r="M3667" s="11"/>
      <c r="N3667" s="39"/>
      <c r="Q3667" s="15" t="str">
        <f>+CONCATENATE(E3665,K3665)</f>
        <v/>
      </c>
      <c r="R3667" s="15">
        <f>+L3665</f>
        <v>0</v>
      </c>
      <c r="S3667" s="16"/>
      <c r="T3667" s="15">
        <f>+E3665</f>
        <v>0</v>
      </c>
      <c r="U3667" s="26" t="str">
        <f>IFERROR(LEFT(K3665,FIND("*",K3665)-1),"-")</f>
        <v>-</v>
      </c>
      <c r="V3667" s="26" t="str">
        <f>IFERROR(RIGHT(K3665,LEN(K3665)-FIND("*",K3665)),"-")</f>
        <v>-</v>
      </c>
      <c r="W3667" s="27" t="str">
        <f t="shared" si="1996"/>
        <v>-</v>
      </c>
      <c r="X3667" s="27" t="str">
        <f>IFERROR(W3667*L3665,"-")</f>
        <v>-</v>
      </c>
      <c r="Z3667" s="94" t="s">
        <v>82</v>
      </c>
    </row>
    <row r="3668" spans="1:26" s="25" customFormat="1" ht="6.95" customHeight="1" x14ac:dyDescent="0.3">
      <c r="A3668" s="13"/>
      <c r="B3668" s="168"/>
      <c r="C3668" s="169"/>
      <c r="D3668" s="160" t="s">
        <v>39</v>
      </c>
      <c r="E3668" s="161"/>
      <c r="F3668" s="162" t="s">
        <v>40</v>
      </c>
      <c r="G3668" s="163"/>
      <c r="H3668" s="164"/>
      <c r="I3668" s="163"/>
      <c r="J3668" s="164"/>
      <c r="K3668" s="163"/>
      <c r="L3668" s="164"/>
      <c r="M3668" s="11"/>
      <c r="N3668" s="39"/>
      <c r="Q3668" s="15" t="str">
        <f>+CONCATENATE(E3668,G3668)</f>
        <v/>
      </c>
      <c r="R3668" s="15">
        <f>+H3668</f>
        <v>0</v>
      </c>
      <c r="S3668" s="16"/>
      <c r="T3668" s="15">
        <f>+E3668</f>
        <v>0</v>
      </c>
      <c r="U3668" s="26" t="str">
        <f t="shared" ref="U3668" si="1997">IFERROR(LEFT(G3668,FIND("*",G3668)-1),"-")</f>
        <v>-</v>
      </c>
      <c r="V3668" s="26" t="str">
        <f t="shared" ref="V3668" si="1998">IFERROR(RIGHT(G3668,LEN(G3668)-FIND("*",G3668)),"-")</f>
        <v>-</v>
      </c>
      <c r="W3668" s="27" t="str">
        <f t="shared" si="1996"/>
        <v>-</v>
      </c>
      <c r="X3668" s="27" t="str">
        <f>IFERROR(W3668*H3668,"-")</f>
        <v>-</v>
      </c>
      <c r="Z3668" s="94" t="s">
        <v>82</v>
      </c>
    </row>
    <row r="3669" spans="1:26" s="25" customFormat="1" ht="6.95" customHeight="1" x14ac:dyDescent="0.3">
      <c r="A3669" s="10"/>
      <c r="B3669" s="168"/>
      <c r="C3669" s="169"/>
      <c r="D3669" s="160"/>
      <c r="E3669" s="161"/>
      <c r="F3669" s="162"/>
      <c r="G3669" s="163"/>
      <c r="H3669" s="164"/>
      <c r="I3669" s="163"/>
      <c r="J3669" s="164"/>
      <c r="K3669" s="163"/>
      <c r="L3669" s="164"/>
      <c r="M3669" s="11"/>
      <c r="N3669" s="39"/>
      <c r="Q3669" s="15" t="str">
        <f>+CONCATENATE(E3668,I3668)</f>
        <v/>
      </c>
      <c r="R3669" s="15">
        <f>+J3668</f>
        <v>0</v>
      </c>
      <c r="S3669" s="16"/>
      <c r="T3669" s="15">
        <f>+E3668</f>
        <v>0</v>
      </c>
      <c r="U3669" s="26" t="str">
        <f>IFERROR(LEFT(I3668,FIND("*",I3668)-1),"-")</f>
        <v>-</v>
      </c>
      <c r="V3669" s="26" t="str">
        <f>IFERROR(RIGHT(I3668,LEN(I3668)-FIND("*",I3668)),"-")</f>
        <v>-</v>
      </c>
      <c r="W3669" s="27" t="str">
        <f t="shared" si="1996"/>
        <v>-</v>
      </c>
      <c r="X3669" s="27" t="str">
        <f>IFERROR(W3669*J3668,"-")</f>
        <v>-</v>
      </c>
      <c r="Z3669" s="94" t="s">
        <v>82</v>
      </c>
    </row>
    <row r="3670" spans="1:26" s="25" customFormat="1" ht="6.95" customHeight="1" x14ac:dyDescent="0.3">
      <c r="A3670" s="10"/>
      <c r="B3670" s="168"/>
      <c r="C3670" s="169"/>
      <c r="D3670" s="160"/>
      <c r="E3670" s="161"/>
      <c r="F3670" s="162"/>
      <c r="G3670" s="163"/>
      <c r="H3670" s="164"/>
      <c r="I3670" s="163"/>
      <c r="J3670" s="164"/>
      <c r="K3670" s="163"/>
      <c r="L3670" s="164"/>
      <c r="M3670" s="11"/>
      <c r="N3670" s="39"/>
      <c r="Q3670" s="15" t="str">
        <f>+CONCATENATE(E3668,K3668)</f>
        <v/>
      </c>
      <c r="R3670" s="15">
        <f>+L3668</f>
        <v>0</v>
      </c>
      <c r="S3670" s="16"/>
      <c r="T3670" s="15">
        <f>+E3668</f>
        <v>0</v>
      </c>
      <c r="U3670" s="26" t="str">
        <f>IFERROR(LEFT(K3668,FIND("*",K3668)-1),"-")</f>
        <v>-</v>
      </c>
      <c r="V3670" s="26" t="str">
        <f>IFERROR(RIGHT(K3668,LEN(K3668)-FIND("*",K3668)),"-")</f>
        <v>-</v>
      </c>
      <c r="W3670" s="27" t="str">
        <f t="shared" si="1996"/>
        <v>-</v>
      </c>
      <c r="X3670" s="27" t="str">
        <f>IFERROR(W3670*L3668,"-")</f>
        <v>-</v>
      </c>
      <c r="Z3670" s="94" t="s">
        <v>82</v>
      </c>
    </row>
    <row r="3671" spans="1:26" s="25" customFormat="1" ht="6.95" customHeight="1" x14ac:dyDescent="0.3">
      <c r="A3671" s="13"/>
      <c r="B3671" s="168"/>
      <c r="C3671" s="169"/>
      <c r="D3671" s="160" t="s">
        <v>39</v>
      </c>
      <c r="E3671" s="161"/>
      <c r="F3671" s="162" t="s">
        <v>40</v>
      </c>
      <c r="G3671" s="163"/>
      <c r="H3671" s="164"/>
      <c r="I3671" s="163"/>
      <c r="J3671" s="164"/>
      <c r="K3671" s="163"/>
      <c r="L3671" s="164"/>
      <c r="M3671" s="11"/>
      <c r="N3671" s="39"/>
      <c r="Q3671" s="15" t="str">
        <f>+CONCATENATE(E3671,G3671)</f>
        <v/>
      </c>
      <c r="R3671" s="15">
        <f>+H3671</f>
        <v>0</v>
      </c>
      <c r="S3671" s="16"/>
      <c r="T3671" s="15">
        <f>+E3671</f>
        <v>0</v>
      </c>
      <c r="U3671" s="26" t="str">
        <f t="shared" ref="U3671" si="1999">IFERROR(LEFT(G3671,FIND("*",G3671)-1),"-")</f>
        <v>-</v>
      </c>
      <c r="V3671" s="26" t="str">
        <f t="shared" ref="V3671" si="2000">IFERROR(RIGHT(G3671,LEN(G3671)-FIND("*",G3671)),"-")</f>
        <v>-</v>
      </c>
      <c r="W3671" s="27" t="str">
        <f t="shared" si="1996"/>
        <v>-</v>
      </c>
      <c r="X3671" s="27" t="str">
        <f>IFERROR(W3671*H3671,"-")</f>
        <v>-</v>
      </c>
      <c r="Z3671" s="94" t="s">
        <v>82</v>
      </c>
    </row>
    <row r="3672" spans="1:26" s="25" customFormat="1" ht="6.95" customHeight="1" x14ac:dyDescent="0.3">
      <c r="A3672" s="10"/>
      <c r="B3672" s="168"/>
      <c r="C3672" s="169"/>
      <c r="D3672" s="160"/>
      <c r="E3672" s="161"/>
      <c r="F3672" s="162"/>
      <c r="G3672" s="163"/>
      <c r="H3672" s="164"/>
      <c r="I3672" s="163"/>
      <c r="J3672" s="164"/>
      <c r="K3672" s="163"/>
      <c r="L3672" s="164"/>
      <c r="M3672" s="11"/>
      <c r="N3672" s="39"/>
      <c r="Q3672" s="15" t="str">
        <f>+CONCATENATE(E3671,I3671)</f>
        <v/>
      </c>
      <c r="R3672" s="15">
        <f>+J3671</f>
        <v>0</v>
      </c>
      <c r="S3672" s="16"/>
      <c r="T3672" s="15">
        <f>+E3671</f>
        <v>0</v>
      </c>
      <c r="U3672" s="26" t="str">
        <f>IFERROR(LEFT(I3671,FIND("*",I3671)-1),"-")</f>
        <v>-</v>
      </c>
      <c r="V3672" s="26" t="str">
        <f>IFERROR(RIGHT(I3671,LEN(I3671)-FIND("*",I3671)),"-")</f>
        <v>-</v>
      </c>
      <c r="W3672" s="27" t="str">
        <f t="shared" si="1996"/>
        <v>-</v>
      </c>
      <c r="X3672" s="27" t="str">
        <f t="shared" ref="X3672" si="2001">IFERROR(W3672*J3671,"-")</f>
        <v>-</v>
      </c>
      <c r="Z3672" s="94" t="s">
        <v>82</v>
      </c>
    </row>
    <row r="3673" spans="1:26" s="25" customFormat="1" ht="6.95" customHeight="1" x14ac:dyDescent="0.3">
      <c r="A3673" s="10"/>
      <c r="B3673" s="168"/>
      <c r="C3673" s="169"/>
      <c r="D3673" s="160"/>
      <c r="E3673" s="161"/>
      <c r="F3673" s="162"/>
      <c r="G3673" s="163"/>
      <c r="H3673" s="164"/>
      <c r="I3673" s="163"/>
      <c r="J3673" s="164"/>
      <c r="K3673" s="163"/>
      <c r="L3673" s="164"/>
      <c r="M3673" s="11"/>
      <c r="N3673" s="39"/>
      <c r="Q3673" s="15" t="str">
        <f>+CONCATENATE(E3671,K3671)</f>
        <v/>
      </c>
      <c r="R3673" s="15">
        <f>+L3671</f>
        <v>0</v>
      </c>
      <c r="S3673" s="16"/>
      <c r="T3673" s="15">
        <f>+E3671</f>
        <v>0</v>
      </c>
      <c r="U3673" s="26" t="str">
        <f>IFERROR(LEFT(K3671,FIND("*",K3671)-1),"-")</f>
        <v>-</v>
      </c>
      <c r="V3673" s="26" t="str">
        <f>IFERROR(RIGHT(K3671,LEN(K3671)-FIND("*",K3671)),"-")</f>
        <v>-</v>
      </c>
      <c r="W3673" s="27" t="str">
        <f t="shared" si="1996"/>
        <v>-</v>
      </c>
      <c r="X3673" s="27" t="str">
        <f>IFERROR(W3673*L3671,"-")</f>
        <v>-</v>
      </c>
      <c r="Z3673" s="94" t="s">
        <v>82</v>
      </c>
    </row>
    <row r="3674" spans="1:26" s="25" customFormat="1" ht="21" customHeight="1" thickBot="1" x14ac:dyDescent="0.35">
      <c r="A3674" s="10"/>
      <c r="B3674" s="170"/>
      <c r="C3674" s="171"/>
      <c r="D3674" s="172" t="s">
        <v>43</v>
      </c>
      <c r="E3674" s="173"/>
      <c r="F3674" s="173"/>
      <c r="G3674" s="174"/>
      <c r="H3674" s="174"/>
      <c r="I3674" s="174"/>
      <c r="J3674" s="174"/>
      <c r="K3674" s="174"/>
      <c r="L3674" s="174"/>
      <c r="M3674" s="12"/>
      <c r="N3674" s="39"/>
      <c r="U3674" s="23"/>
      <c r="V3674" s="23"/>
      <c r="Z3674" s="95" t="s">
        <v>81</v>
      </c>
    </row>
    <row r="3675" spans="1:26" s="25" customFormat="1" ht="9.9499999999999993" customHeight="1" thickBot="1" x14ac:dyDescent="0.35">
      <c r="A3675" s="6"/>
      <c r="B3675" s="14"/>
      <c r="C3675" s="119"/>
      <c r="D3675" s="58"/>
      <c r="E3675" s="17"/>
      <c r="F3675" s="58"/>
      <c r="G3675" s="19"/>
      <c r="H3675" s="19"/>
      <c r="I3675" s="19"/>
      <c r="J3675" s="19"/>
      <c r="K3675" s="19"/>
      <c r="L3675" s="19"/>
      <c r="M3675" s="14"/>
      <c r="N3675" s="39"/>
      <c r="Q3675" s="1"/>
      <c r="R3675" s="1"/>
      <c r="S3675" s="1"/>
      <c r="T3675" s="1"/>
      <c r="U3675" s="24"/>
      <c r="V3675" s="24"/>
      <c r="W3675" s="1"/>
      <c r="X3675" s="1"/>
      <c r="Z3675" s="94" t="s">
        <v>82</v>
      </c>
    </row>
    <row r="3676" spans="1:26" s="25" customFormat="1" ht="6.95" customHeight="1" x14ac:dyDescent="0.3">
      <c r="A3676" s="165">
        <f>+A3665+1</f>
        <v>335</v>
      </c>
      <c r="B3676" s="166"/>
      <c r="C3676" s="167"/>
      <c r="D3676" s="160" t="s">
        <v>39</v>
      </c>
      <c r="E3676" s="161"/>
      <c r="F3676" s="162" t="s">
        <v>40</v>
      </c>
      <c r="G3676" s="163"/>
      <c r="H3676" s="164"/>
      <c r="I3676" s="163"/>
      <c r="J3676" s="164"/>
      <c r="K3676" s="163"/>
      <c r="L3676" s="164"/>
      <c r="M3676" s="11"/>
      <c r="N3676" s="39"/>
      <c r="Q3676" s="15" t="str">
        <f>+CONCATENATE(E3676,G3676)</f>
        <v/>
      </c>
      <c r="R3676" s="15">
        <f>+H3676</f>
        <v>0</v>
      </c>
      <c r="S3676" s="16"/>
      <c r="T3676" s="15">
        <f>+E3676</f>
        <v>0</v>
      </c>
      <c r="U3676" s="26" t="str">
        <f>IFERROR(LEFT(G3676,FIND("*",G3676)-1),"-")</f>
        <v>-</v>
      </c>
      <c r="V3676" s="26" t="str">
        <f>IFERROR(RIGHT(G3676,LEN(G3676)-FIND("*",G3676)),"-")</f>
        <v>-</v>
      </c>
      <c r="W3676" s="27" t="str">
        <f>IFERROR((U3676+V3676)*2/1000,"-")</f>
        <v>-</v>
      </c>
      <c r="X3676" s="27" t="str">
        <f>IFERROR(W3676*H3676,"-")</f>
        <v>-</v>
      </c>
      <c r="Z3676" s="94" t="s">
        <v>82</v>
      </c>
    </row>
    <row r="3677" spans="1:26" s="25" customFormat="1" ht="6.95" customHeight="1" x14ac:dyDescent="0.3">
      <c r="A3677" s="165"/>
      <c r="B3677" s="168"/>
      <c r="C3677" s="169"/>
      <c r="D3677" s="160"/>
      <c r="E3677" s="161"/>
      <c r="F3677" s="162"/>
      <c r="G3677" s="163"/>
      <c r="H3677" s="164"/>
      <c r="I3677" s="163"/>
      <c r="J3677" s="164"/>
      <c r="K3677" s="163"/>
      <c r="L3677" s="164"/>
      <c r="M3677" s="11"/>
      <c r="N3677" s="39"/>
      <c r="Q3677" s="15" t="str">
        <f>+CONCATENATE(E3676,I3676)</f>
        <v/>
      </c>
      <c r="R3677" s="15">
        <f>+J3676</f>
        <v>0</v>
      </c>
      <c r="S3677" s="16"/>
      <c r="T3677" s="15">
        <f>+E3676</f>
        <v>0</v>
      </c>
      <c r="U3677" s="26" t="str">
        <f>IFERROR(LEFT(I3676,FIND("*",I3676)-1),"-")</f>
        <v>-</v>
      </c>
      <c r="V3677" s="26" t="str">
        <f>IFERROR(RIGHT(I3676,LEN(I3676)-FIND("*",I3676)),"-")</f>
        <v>-</v>
      </c>
      <c r="W3677" s="27" t="str">
        <f t="shared" ref="W3677:W3684" si="2002">IFERROR((U3677+V3677)*2/1000,"-")</f>
        <v>-</v>
      </c>
      <c r="X3677" s="27" t="str">
        <f>IFERROR(W3677*J3676,"-")</f>
        <v>-</v>
      </c>
      <c r="Z3677" s="94" t="s">
        <v>82</v>
      </c>
    </row>
    <row r="3678" spans="1:26" s="25" customFormat="1" ht="6.95" customHeight="1" x14ac:dyDescent="0.3">
      <c r="A3678" s="165"/>
      <c r="B3678" s="168"/>
      <c r="C3678" s="169"/>
      <c r="D3678" s="160"/>
      <c r="E3678" s="161"/>
      <c r="F3678" s="162"/>
      <c r="G3678" s="163"/>
      <c r="H3678" s="164"/>
      <c r="I3678" s="163"/>
      <c r="J3678" s="164"/>
      <c r="K3678" s="163"/>
      <c r="L3678" s="164"/>
      <c r="M3678" s="11"/>
      <c r="N3678" s="39"/>
      <c r="Q3678" s="15" t="str">
        <f>+CONCATENATE(E3676,K3676)</f>
        <v/>
      </c>
      <c r="R3678" s="15">
        <f>+L3676</f>
        <v>0</v>
      </c>
      <c r="S3678" s="16"/>
      <c r="T3678" s="15">
        <f>+E3676</f>
        <v>0</v>
      </c>
      <c r="U3678" s="26" t="str">
        <f>IFERROR(LEFT(K3676,FIND("*",K3676)-1),"-")</f>
        <v>-</v>
      </c>
      <c r="V3678" s="26" t="str">
        <f>IFERROR(RIGHT(K3676,LEN(K3676)-FIND("*",K3676)),"-")</f>
        <v>-</v>
      </c>
      <c r="W3678" s="27" t="str">
        <f t="shared" si="2002"/>
        <v>-</v>
      </c>
      <c r="X3678" s="27" t="str">
        <f>IFERROR(W3678*L3676,"-")</f>
        <v>-</v>
      </c>
      <c r="Z3678" s="94" t="s">
        <v>82</v>
      </c>
    </row>
    <row r="3679" spans="1:26" s="25" customFormat="1" ht="6.95" customHeight="1" x14ac:dyDescent="0.3">
      <c r="A3679" s="13"/>
      <c r="B3679" s="168"/>
      <c r="C3679" s="169"/>
      <c r="D3679" s="160" t="s">
        <v>39</v>
      </c>
      <c r="E3679" s="161"/>
      <c r="F3679" s="162" t="s">
        <v>40</v>
      </c>
      <c r="G3679" s="163"/>
      <c r="H3679" s="164"/>
      <c r="I3679" s="163"/>
      <c r="J3679" s="164"/>
      <c r="K3679" s="163"/>
      <c r="L3679" s="164"/>
      <c r="M3679" s="11"/>
      <c r="N3679" s="39"/>
      <c r="Q3679" s="15" t="str">
        <f>+CONCATENATE(E3679,G3679)</f>
        <v/>
      </c>
      <c r="R3679" s="15">
        <f>+H3679</f>
        <v>0</v>
      </c>
      <c r="S3679" s="16"/>
      <c r="T3679" s="15">
        <f>+E3679</f>
        <v>0</v>
      </c>
      <c r="U3679" s="26" t="str">
        <f t="shared" ref="U3679" si="2003">IFERROR(LEFT(G3679,FIND("*",G3679)-1),"-")</f>
        <v>-</v>
      </c>
      <c r="V3679" s="26" t="str">
        <f t="shared" ref="V3679" si="2004">IFERROR(RIGHT(G3679,LEN(G3679)-FIND("*",G3679)),"-")</f>
        <v>-</v>
      </c>
      <c r="W3679" s="27" t="str">
        <f t="shared" si="2002"/>
        <v>-</v>
      </c>
      <c r="X3679" s="27" t="str">
        <f>IFERROR(W3679*H3679,"-")</f>
        <v>-</v>
      </c>
      <c r="Z3679" s="94" t="s">
        <v>82</v>
      </c>
    </row>
    <row r="3680" spans="1:26" s="25" customFormat="1" ht="6.95" customHeight="1" x14ac:dyDescent="0.3">
      <c r="A3680" s="10"/>
      <c r="B3680" s="168"/>
      <c r="C3680" s="169"/>
      <c r="D3680" s="160"/>
      <c r="E3680" s="161"/>
      <c r="F3680" s="162"/>
      <c r="G3680" s="163"/>
      <c r="H3680" s="164"/>
      <c r="I3680" s="163"/>
      <c r="J3680" s="164"/>
      <c r="K3680" s="163"/>
      <c r="L3680" s="164"/>
      <c r="M3680" s="11"/>
      <c r="N3680" s="39"/>
      <c r="Q3680" s="15" t="str">
        <f>+CONCATENATE(E3679,I3679)</f>
        <v/>
      </c>
      <c r="R3680" s="15">
        <f>+J3679</f>
        <v>0</v>
      </c>
      <c r="S3680" s="16"/>
      <c r="T3680" s="15">
        <f>+E3679</f>
        <v>0</v>
      </c>
      <c r="U3680" s="26" t="str">
        <f>IFERROR(LEFT(I3679,FIND("*",I3679)-1),"-")</f>
        <v>-</v>
      </c>
      <c r="V3680" s="26" t="str">
        <f>IFERROR(RIGHT(I3679,LEN(I3679)-FIND("*",I3679)),"-")</f>
        <v>-</v>
      </c>
      <c r="W3680" s="27" t="str">
        <f t="shared" si="2002"/>
        <v>-</v>
      </c>
      <c r="X3680" s="27" t="str">
        <f>IFERROR(W3680*J3679,"-")</f>
        <v>-</v>
      </c>
      <c r="Z3680" s="94" t="s">
        <v>82</v>
      </c>
    </row>
    <row r="3681" spans="1:26" s="25" customFormat="1" ht="6.95" customHeight="1" x14ac:dyDescent="0.3">
      <c r="A3681" s="10"/>
      <c r="B3681" s="168"/>
      <c r="C3681" s="169"/>
      <c r="D3681" s="160"/>
      <c r="E3681" s="161"/>
      <c r="F3681" s="162"/>
      <c r="G3681" s="163"/>
      <c r="H3681" s="164"/>
      <c r="I3681" s="163"/>
      <c r="J3681" s="164"/>
      <c r="K3681" s="163"/>
      <c r="L3681" s="164"/>
      <c r="M3681" s="11"/>
      <c r="N3681" s="39"/>
      <c r="Q3681" s="15" t="str">
        <f>+CONCATENATE(E3679,K3679)</f>
        <v/>
      </c>
      <c r="R3681" s="15">
        <f>+L3679</f>
        <v>0</v>
      </c>
      <c r="S3681" s="16"/>
      <c r="T3681" s="15">
        <f>+E3679</f>
        <v>0</v>
      </c>
      <c r="U3681" s="26" t="str">
        <f>IFERROR(LEFT(K3679,FIND("*",K3679)-1),"-")</f>
        <v>-</v>
      </c>
      <c r="V3681" s="26" t="str">
        <f>IFERROR(RIGHT(K3679,LEN(K3679)-FIND("*",K3679)),"-")</f>
        <v>-</v>
      </c>
      <c r="W3681" s="27" t="str">
        <f t="shared" si="2002"/>
        <v>-</v>
      </c>
      <c r="X3681" s="27" t="str">
        <f>IFERROR(W3681*L3679,"-")</f>
        <v>-</v>
      </c>
      <c r="Z3681" s="94" t="s">
        <v>82</v>
      </c>
    </row>
    <row r="3682" spans="1:26" s="25" customFormat="1" ht="6.95" customHeight="1" x14ac:dyDescent="0.3">
      <c r="A3682" s="13"/>
      <c r="B3682" s="168"/>
      <c r="C3682" s="169"/>
      <c r="D3682" s="160" t="s">
        <v>39</v>
      </c>
      <c r="E3682" s="161"/>
      <c r="F3682" s="162" t="s">
        <v>40</v>
      </c>
      <c r="G3682" s="163"/>
      <c r="H3682" s="164"/>
      <c r="I3682" s="163"/>
      <c r="J3682" s="164"/>
      <c r="K3682" s="163"/>
      <c r="L3682" s="164"/>
      <c r="M3682" s="11"/>
      <c r="N3682" s="39"/>
      <c r="Q3682" s="15" t="str">
        <f>+CONCATENATE(E3682,G3682)</f>
        <v/>
      </c>
      <c r="R3682" s="15">
        <f>+H3682</f>
        <v>0</v>
      </c>
      <c r="S3682" s="16"/>
      <c r="T3682" s="15">
        <f>+E3682</f>
        <v>0</v>
      </c>
      <c r="U3682" s="26" t="str">
        <f t="shared" ref="U3682" si="2005">IFERROR(LEFT(G3682,FIND("*",G3682)-1),"-")</f>
        <v>-</v>
      </c>
      <c r="V3682" s="26" t="str">
        <f t="shared" ref="V3682" si="2006">IFERROR(RIGHT(G3682,LEN(G3682)-FIND("*",G3682)),"-")</f>
        <v>-</v>
      </c>
      <c r="W3682" s="27" t="str">
        <f t="shared" si="2002"/>
        <v>-</v>
      </c>
      <c r="X3682" s="27" t="str">
        <f>IFERROR(W3682*H3682,"-")</f>
        <v>-</v>
      </c>
      <c r="Z3682" s="94" t="s">
        <v>82</v>
      </c>
    </row>
    <row r="3683" spans="1:26" s="25" customFormat="1" ht="6.95" customHeight="1" x14ac:dyDescent="0.3">
      <c r="A3683" s="10"/>
      <c r="B3683" s="168"/>
      <c r="C3683" s="169"/>
      <c r="D3683" s="160"/>
      <c r="E3683" s="161"/>
      <c r="F3683" s="162"/>
      <c r="G3683" s="163"/>
      <c r="H3683" s="164"/>
      <c r="I3683" s="163"/>
      <c r="J3683" s="164"/>
      <c r="K3683" s="163"/>
      <c r="L3683" s="164"/>
      <c r="M3683" s="11"/>
      <c r="N3683" s="39"/>
      <c r="Q3683" s="15" t="str">
        <f>+CONCATENATE(E3682,I3682)</f>
        <v/>
      </c>
      <c r="R3683" s="15">
        <f>+J3682</f>
        <v>0</v>
      </c>
      <c r="S3683" s="16"/>
      <c r="T3683" s="15">
        <f>+E3682</f>
        <v>0</v>
      </c>
      <c r="U3683" s="26" t="str">
        <f>IFERROR(LEFT(I3682,FIND("*",I3682)-1),"-")</f>
        <v>-</v>
      </c>
      <c r="V3683" s="26" t="str">
        <f>IFERROR(RIGHT(I3682,LEN(I3682)-FIND("*",I3682)),"-")</f>
        <v>-</v>
      </c>
      <c r="W3683" s="27" t="str">
        <f t="shared" si="2002"/>
        <v>-</v>
      </c>
      <c r="X3683" s="27" t="str">
        <f t="shared" ref="X3683" si="2007">IFERROR(W3683*J3682,"-")</f>
        <v>-</v>
      </c>
      <c r="Z3683" s="94" t="s">
        <v>82</v>
      </c>
    </row>
    <row r="3684" spans="1:26" s="25" customFormat="1" ht="6.95" customHeight="1" x14ac:dyDescent="0.3">
      <c r="A3684" s="10"/>
      <c r="B3684" s="168"/>
      <c r="C3684" s="169"/>
      <c r="D3684" s="160"/>
      <c r="E3684" s="161"/>
      <c r="F3684" s="162"/>
      <c r="G3684" s="163"/>
      <c r="H3684" s="164"/>
      <c r="I3684" s="163"/>
      <c r="J3684" s="164"/>
      <c r="K3684" s="163"/>
      <c r="L3684" s="164"/>
      <c r="M3684" s="11"/>
      <c r="N3684" s="39"/>
      <c r="Q3684" s="15" t="str">
        <f>+CONCATENATE(E3682,K3682)</f>
        <v/>
      </c>
      <c r="R3684" s="15">
        <f>+L3682</f>
        <v>0</v>
      </c>
      <c r="S3684" s="16"/>
      <c r="T3684" s="15">
        <f>+E3682</f>
        <v>0</v>
      </c>
      <c r="U3684" s="26" t="str">
        <f>IFERROR(LEFT(K3682,FIND("*",K3682)-1),"-")</f>
        <v>-</v>
      </c>
      <c r="V3684" s="26" t="str">
        <f>IFERROR(RIGHT(K3682,LEN(K3682)-FIND("*",K3682)),"-")</f>
        <v>-</v>
      </c>
      <c r="W3684" s="27" t="str">
        <f t="shared" si="2002"/>
        <v>-</v>
      </c>
      <c r="X3684" s="27" t="str">
        <f>IFERROR(W3684*L3682,"-")</f>
        <v>-</v>
      </c>
      <c r="Z3684" s="94" t="s">
        <v>82</v>
      </c>
    </row>
    <row r="3685" spans="1:26" s="25" customFormat="1" ht="21" customHeight="1" thickBot="1" x14ac:dyDescent="0.35">
      <c r="A3685" s="10"/>
      <c r="B3685" s="170"/>
      <c r="C3685" s="171"/>
      <c r="D3685" s="172" t="s">
        <v>43</v>
      </c>
      <c r="E3685" s="173"/>
      <c r="F3685" s="173"/>
      <c r="G3685" s="174"/>
      <c r="H3685" s="174"/>
      <c r="I3685" s="174"/>
      <c r="J3685" s="174"/>
      <c r="K3685" s="174"/>
      <c r="L3685" s="174"/>
      <c r="M3685" s="12"/>
      <c r="N3685" s="39"/>
      <c r="U3685" s="23"/>
      <c r="V3685" s="23"/>
      <c r="Z3685" s="95" t="s">
        <v>81</v>
      </c>
    </row>
    <row r="3686" spans="1:26" s="25" customFormat="1" ht="9.9499999999999993" customHeight="1" thickBot="1" x14ac:dyDescent="0.35">
      <c r="A3686" s="6"/>
      <c r="B3686" s="14"/>
      <c r="C3686" s="119"/>
      <c r="D3686" s="58"/>
      <c r="E3686" s="17"/>
      <c r="F3686" s="58"/>
      <c r="G3686" s="19"/>
      <c r="H3686" s="19"/>
      <c r="I3686" s="19"/>
      <c r="J3686" s="19"/>
      <c r="K3686" s="19"/>
      <c r="L3686" s="19"/>
      <c r="M3686" s="14"/>
      <c r="N3686" s="39"/>
      <c r="Q3686" s="1"/>
      <c r="R3686" s="1"/>
      <c r="S3686" s="1"/>
      <c r="T3686" s="1"/>
      <c r="U3686" s="24"/>
      <c r="V3686" s="24"/>
      <c r="W3686" s="1"/>
      <c r="X3686" s="1"/>
      <c r="Z3686" s="94" t="s">
        <v>82</v>
      </c>
    </row>
    <row r="3687" spans="1:26" s="25" customFormat="1" ht="6.95" customHeight="1" x14ac:dyDescent="0.3">
      <c r="A3687" s="165">
        <f>+A3676+1</f>
        <v>336</v>
      </c>
      <c r="B3687" s="166"/>
      <c r="C3687" s="167"/>
      <c r="D3687" s="160" t="s">
        <v>39</v>
      </c>
      <c r="E3687" s="161"/>
      <c r="F3687" s="162" t="s">
        <v>40</v>
      </c>
      <c r="G3687" s="163"/>
      <c r="H3687" s="164"/>
      <c r="I3687" s="163"/>
      <c r="J3687" s="164"/>
      <c r="K3687" s="163"/>
      <c r="L3687" s="164"/>
      <c r="M3687" s="11"/>
      <c r="N3687" s="39"/>
      <c r="Q3687" s="15" t="str">
        <f>+CONCATENATE(E3687,G3687)</f>
        <v/>
      </c>
      <c r="R3687" s="15">
        <f>+H3687</f>
        <v>0</v>
      </c>
      <c r="S3687" s="16"/>
      <c r="T3687" s="15">
        <f>+E3687</f>
        <v>0</v>
      </c>
      <c r="U3687" s="26" t="str">
        <f>IFERROR(LEFT(G3687,FIND("*",G3687)-1),"-")</f>
        <v>-</v>
      </c>
      <c r="V3687" s="26" t="str">
        <f>IFERROR(RIGHT(G3687,LEN(G3687)-FIND("*",G3687)),"-")</f>
        <v>-</v>
      </c>
      <c r="W3687" s="27" t="str">
        <f>IFERROR((U3687+V3687)*2/1000,"-")</f>
        <v>-</v>
      </c>
      <c r="X3687" s="27" t="str">
        <f>IFERROR(W3687*H3687,"-")</f>
        <v>-</v>
      </c>
      <c r="Z3687" s="94" t="s">
        <v>82</v>
      </c>
    </row>
    <row r="3688" spans="1:26" s="25" customFormat="1" ht="6.95" customHeight="1" x14ac:dyDescent="0.3">
      <c r="A3688" s="165"/>
      <c r="B3688" s="168"/>
      <c r="C3688" s="169"/>
      <c r="D3688" s="160"/>
      <c r="E3688" s="161"/>
      <c r="F3688" s="162"/>
      <c r="G3688" s="163"/>
      <c r="H3688" s="164"/>
      <c r="I3688" s="163"/>
      <c r="J3688" s="164"/>
      <c r="K3688" s="163"/>
      <c r="L3688" s="164"/>
      <c r="M3688" s="11"/>
      <c r="N3688" s="39"/>
      <c r="Q3688" s="15" t="str">
        <f>+CONCATENATE(E3687,I3687)</f>
        <v/>
      </c>
      <c r="R3688" s="15">
        <f>+J3687</f>
        <v>0</v>
      </c>
      <c r="S3688" s="16"/>
      <c r="T3688" s="15">
        <f>+E3687</f>
        <v>0</v>
      </c>
      <c r="U3688" s="26" t="str">
        <f>IFERROR(LEFT(I3687,FIND("*",I3687)-1),"-")</f>
        <v>-</v>
      </c>
      <c r="V3688" s="26" t="str">
        <f>IFERROR(RIGHT(I3687,LEN(I3687)-FIND("*",I3687)),"-")</f>
        <v>-</v>
      </c>
      <c r="W3688" s="27" t="str">
        <f t="shared" ref="W3688:W3695" si="2008">IFERROR((U3688+V3688)*2/1000,"-")</f>
        <v>-</v>
      </c>
      <c r="X3688" s="27" t="str">
        <f>IFERROR(W3688*J3687,"-")</f>
        <v>-</v>
      </c>
      <c r="Z3688" s="94" t="s">
        <v>82</v>
      </c>
    </row>
    <row r="3689" spans="1:26" s="25" customFormat="1" ht="6.95" customHeight="1" x14ac:dyDescent="0.3">
      <c r="A3689" s="165"/>
      <c r="B3689" s="168"/>
      <c r="C3689" s="169"/>
      <c r="D3689" s="160"/>
      <c r="E3689" s="161"/>
      <c r="F3689" s="162"/>
      <c r="G3689" s="163"/>
      <c r="H3689" s="164"/>
      <c r="I3689" s="163"/>
      <c r="J3689" s="164"/>
      <c r="K3689" s="163"/>
      <c r="L3689" s="164"/>
      <c r="M3689" s="11"/>
      <c r="N3689" s="39"/>
      <c r="Q3689" s="15" t="str">
        <f>+CONCATENATE(E3687,K3687)</f>
        <v/>
      </c>
      <c r="R3689" s="15">
        <f>+L3687</f>
        <v>0</v>
      </c>
      <c r="S3689" s="16"/>
      <c r="T3689" s="15">
        <f>+E3687</f>
        <v>0</v>
      </c>
      <c r="U3689" s="26" t="str">
        <f>IFERROR(LEFT(K3687,FIND("*",K3687)-1),"-")</f>
        <v>-</v>
      </c>
      <c r="V3689" s="26" t="str">
        <f>IFERROR(RIGHT(K3687,LEN(K3687)-FIND("*",K3687)),"-")</f>
        <v>-</v>
      </c>
      <c r="W3689" s="27" t="str">
        <f t="shared" si="2008"/>
        <v>-</v>
      </c>
      <c r="X3689" s="27" t="str">
        <f>IFERROR(W3689*L3687,"-")</f>
        <v>-</v>
      </c>
      <c r="Z3689" s="94" t="s">
        <v>82</v>
      </c>
    </row>
    <row r="3690" spans="1:26" s="25" customFormat="1" ht="6.95" customHeight="1" x14ac:dyDescent="0.3">
      <c r="A3690" s="13"/>
      <c r="B3690" s="168"/>
      <c r="C3690" s="169"/>
      <c r="D3690" s="160" t="s">
        <v>39</v>
      </c>
      <c r="E3690" s="161"/>
      <c r="F3690" s="162" t="s">
        <v>40</v>
      </c>
      <c r="G3690" s="163"/>
      <c r="H3690" s="164"/>
      <c r="I3690" s="163"/>
      <c r="J3690" s="164"/>
      <c r="K3690" s="163"/>
      <c r="L3690" s="164"/>
      <c r="M3690" s="11"/>
      <c r="N3690" s="39"/>
      <c r="Q3690" s="15" t="str">
        <f>+CONCATENATE(E3690,G3690)</f>
        <v/>
      </c>
      <c r="R3690" s="15">
        <f>+H3690</f>
        <v>0</v>
      </c>
      <c r="S3690" s="16"/>
      <c r="T3690" s="15">
        <f>+E3690</f>
        <v>0</v>
      </c>
      <c r="U3690" s="26" t="str">
        <f t="shared" ref="U3690" si="2009">IFERROR(LEFT(G3690,FIND("*",G3690)-1),"-")</f>
        <v>-</v>
      </c>
      <c r="V3690" s="26" t="str">
        <f t="shared" ref="V3690" si="2010">IFERROR(RIGHT(G3690,LEN(G3690)-FIND("*",G3690)),"-")</f>
        <v>-</v>
      </c>
      <c r="W3690" s="27" t="str">
        <f t="shared" si="2008"/>
        <v>-</v>
      </c>
      <c r="X3690" s="27" t="str">
        <f>IFERROR(W3690*H3690,"-")</f>
        <v>-</v>
      </c>
      <c r="Z3690" s="94" t="s">
        <v>82</v>
      </c>
    </row>
    <row r="3691" spans="1:26" s="25" customFormat="1" ht="6.95" customHeight="1" x14ac:dyDescent="0.3">
      <c r="A3691" s="10"/>
      <c r="B3691" s="168"/>
      <c r="C3691" s="169"/>
      <c r="D3691" s="160"/>
      <c r="E3691" s="161"/>
      <c r="F3691" s="162"/>
      <c r="G3691" s="163"/>
      <c r="H3691" s="164"/>
      <c r="I3691" s="163"/>
      <c r="J3691" s="164"/>
      <c r="K3691" s="163"/>
      <c r="L3691" s="164"/>
      <c r="M3691" s="11"/>
      <c r="N3691" s="39"/>
      <c r="Q3691" s="15" t="str">
        <f>+CONCATENATE(E3690,I3690)</f>
        <v/>
      </c>
      <c r="R3691" s="15">
        <f>+J3690</f>
        <v>0</v>
      </c>
      <c r="S3691" s="16"/>
      <c r="T3691" s="15">
        <f>+E3690</f>
        <v>0</v>
      </c>
      <c r="U3691" s="26" t="str">
        <f>IFERROR(LEFT(I3690,FIND("*",I3690)-1),"-")</f>
        <v>-</v>
      </c>
      <c r="V3691" s="26" t="str">
        <f>IFERROR(RIGHT(I3690,LEN(I3690)-FIND("*",I3690)),"-")</f>
        <v>-</v>
      </c>
      <c r="W3691" s="27" t="str">
        <f t="shared" si="2008"/>
        <v>-</v>
      </c>
      <c r="X3691" s="27" t="str">
        <f>IFERROR(W3691*J3690,"-")</f>
        <v>-</v>
      </c>
      <c r="Z3691" s="94" t="s">
        <v>82</v>
      </c>
    </row>
    <row r="3692" spans="1:26" s="25" customFormat="1" ht="6.95" customHeight="1" x14ac:dyDescent="0.3">
      <c r="A3692" s="10"/>
      <c r="B3692" s="168"/>
      <c r="C3692" s="169"/>
      <c r="D3692" s="160"/>
      <c r="E3692" s="161"/>
      <c r="F3692" s="162"/>
      <c r="G3692" s="163"/>
      <c r="H3692" s="164"/>
      <c r="I3692" s="163"/>
      <c r="J3692" s="164"/>
      <c r="K3692" s="163"/>
      <c r="L3692" s="164"/>
      <c r="M3692" s="11"/>
      <c r="N3692" s="39"/>
      <c r="Q3692" s="15" t="str">
        <f>+CONCATENATE(E3690,K3690)</f>
        <v/>
      </c>
      <c r="R3692" s="15">
        <f>+L3690</f>
        <v>0</v>
      </c>
      <c r="S3692" s="16"/>
      <c r="T3692" s="15">
        <f>+E3690</f>
        <v>0</v>
      </c>
      <c r="U3692" s="26" t="str">
        <f>IFERROR(LEFT(K3690,FIND("*",K3690)-1),"-")</f>
        <v>-</v>
      </c>
      <c r="V3692" s="26" t="str">
        <f>IFERROR(RIGHT(K3690,LEN(K3690)-FIND("*",K3690)),"-")</f>
        <v>-</v>
      </c>
      <c r="W3692" s="27" t="str">
        <f t="shared" si="2008"/>
        <v>-</v>
      </c>
      <c r="X3692" s="27" t="str">
        <f>IFERROR(W3692*L3690,"-")</f>
        <v>-</v>
      </c>
      <c r="Z3692" s="94" t="s">
        <v>82</v>
      </c>
    </row>
    <row r="3693" spans="1:26" s="25" customFormat="1" ht="6.95" customHeight="1" x14ac:dyDescent="0.3">
      <c r="A3693" s="13"/>
      <c r="B3693" s="168"/>
      <c r="C3693" s="169"/>
      <c r="D3693" s="160" t="s">
        <v>39</v>
      </c>
      <c r="E3693" s="161"/>
      <c r="F3693" s="162" t="s">
        <v>40</v>
      </c>
      <c r="G3693" s="163"/>
      <c r="H3693" s="164"/>
      <c r="I3693" s="163"/>
      <c r="J3693" s="164"/>
      <c r="K3693" s="163"/>
      <c r="L3693" s="164"/>
      <c r="M3693" s="11"/>
      <c r="N3693" s="39"/>
      <c r="Q3693" s="15" t="str">
        <f>+CONCATENATE(E3693,G3693)</f>
        <v/>
      </c>
      <c r="R3693" s="15">
        <f>+H3693</f>
        <v>0</v>
      </c>
      <c r="S3693" s="16"/>
      <c r="T3693" s="15">
        <f>+E3693</f>
        <v>0</v>
      </c>
      <c r="U3693" s="26" t="str">
        <f t="shared" ref="U3693" si="2011">IFERROR(LEFT(G3693,FIND("*",G3693)-1),"-")</f>
        <v>-</v>
      </c>
      <c r="V3693" s="26" t="str">
        <f t="shared" ref="V3693" si="2012">IFERROR(RIGHT(G3693,LEN(G3693)-FIND("*",G3693)),"-")</f>
        <v>-</v>
      </c>
      <c r="W3693" s="27" t="str">
        <f t="shared" si="2008"/>
        <v>-</v>
      </c>
      <c r="X3693" s="27" t="str">
        <f>IFERROR(W3693*H3693,"-")</f>
        <v>-</v>
      </c>
      <c r="Z3693" s="94" t="s">
        <v>82</v>
      </c>
    </row>
    <row r="3694" spans="1:26" s="25" customFormat="1" ht="6.95" customHeight="1" x14ac:dyDescent="0.3">
      <c r="A3694" s="10"/>
      <c r="B3694" s="168"/>
      <c r="C3694" s="169"/>
      <c r="D3694" s="160"/>
      <c r="E3694" s="161"/>
      <c r="F3694" s="162"/>
      <c r="G3694" s="163"/>
      <c r="H3694" s="164"/>
      <c r="I3694" s="163"/>
      <c r="J3694" s="164"/>
      <c r="K3694" s="163"/>
      <c r="L3694" s="164"/>
      <c r="M3694" s="11"/>
      <c r="N3694" s="39"/>
      <c r="Q3694" s="15" t="str">
        <f>+CONCATENATE(E3693,I3693)</f>
        <v/>
      </c>
      <c r="R3694" s="15">
        <f>+J3693</f>
        <v>0</v>
      </c>
      <c r="S3694" s="16"/>
      <c r="T3694" s="15">
        <f>+E3693</f>
        <v>0</v>
      </c>
      <c r="U3694" s="26" t="str">
        <f>IFERROR(LEFT(I3693,FIND("*",I3693)-1),"-")</f>
        <v>-</v>
      </c>
      <c r="V3694" s="26" t="str">
        <f>IFERROR(RIGHT(I3693,LEN(I3693)-FIND("*",I3693)),"-")</f>
        <v>-</v>
      </c>
      <c r="W3694" s="27" t="str">
        <f t="shared" si="2008"/>
        <v>-</v>
      </c>
      <c r="X3694" s="27" t="str">
        <f t="shared" ref="X3694" si="2013">IFERROR(W3694*J3693,"-")</f>
        <v>-</v>
      </c>
      <c r="Z3694" s="94" t="s">
        <v>82</v>
      </c>
    </row>
    <row r="3695" spans="1:26" s="25" customFormat="1" ht="6.95" customHeight="1" x14ac:dyDescent="0.3">
      <c r="A3695" s="10"/>
      <c r="B3695" s="168"/>
      <c r="C3695" s="169"/>
      <c r="D3695" s="160"/>
      <c r="E3695" s="161"/>
      <c r="F3695" s="162"/>
      <c r="G3695" s="163"/>
      <c r="H3695" s="164"/>
      <c r="I3695" s="163"/>
      <c r="J3695" s="164"/>
      <c r="K3695" s="163"/>
      <c r="L3695" s="164"/>
      <c r="M3695" s="11"/>
      <c r="N3695" s="39"/>
      <c r="Q3695" s="15" t="str">
        <f>+CONCATENATE(E3693,K3693)</f>
        <v/>
      </c>
      <c r="R3695" s="15">
        <f>+L3693</f>
        <v>0</v>
      </c>
      <c r="S3695" s="16"/>
      <c r="T3695" s="15">
        <f>+E3693</f>
        <v>0</v>
      </c>
      <c r="U3695" s="26" t="str">
        <f>IFERROR(LEFT(K3693,FIND("*",K3693)-1),"-")</f>
        <v>-</v>
      </c>
      <c r="V3695" s="26" t="str">
        <f>IFERROR(RIGHT(K3693,LEN(K3693)-FIND("*",K3693)),"-")</f>
        <v>-</v>
      </c>
      <c r="W3695" s="27" t="str">
        <f t="shared" si="2008"/>
        <v>-</v>
      </c>
      <c r="X3695" s="27" t="str">
        <f>IFERROR(W3695*L3693,"-")</f>
        <v>-</v>
      </c>
      <c r="Z3695" s="94" t="s">
        <v>82</v>
      </c>
    </row>
    <row r="3696" spans="1:26" s="25" customFormat="1" ht="21" customHeight="1" thickBot="1" x14ac:dyDescent="0.35">
      <c r="A3696" s="10"/>
      <c r="B3696" s="170"/>
      <c r="C3696" s="171"/>
      <c r="D3696" s="172" t="s">
        <v>43</v>
      </c>
      <c r="E3696" s="173"/>
      <c r="F3696" s="173"/>
      <c r="G3696" s="174"/>
      <c r="H3696" s="174"/>
      <c r="I3696" s="174"/>
      <c r="J3696" s="174"/>
      <c r="K3696" s="174"/>
      <c r="L3696" s="174"/>
      <c r="M3696" s="12"/>
      <c r="N3696" s="39"/>
      <c r="U3696" s="23"/>
      <c r="V3696" s="23"/>
      <c r="Z3696" s="95" t="s">
        <v>81</v>
      </c>
    </row>
    <row r="3697" spans="1:26" s="25" customFormat="1" ht="9.9499999999999993" customHeight="1" thickBot="1" x14ac:dyDescent="0.35">
      <c r="A3697" s="6"/>
      <c r="B3697" s="14"/>
      <c r="C3697" s="119"/>
      <c r="D3697" s="58"/>
      <c r="E3697" s="17"/>
      <c r="F3697" s="58"/>
      <c r="G3697" s="19"/>
      <c r="H3697" s="19"/>
      <c r="I3697" s="19"/>
      <c r="J3697" s="19"/>
      <c r="K3697" s="19"/>
      <c r="L3697" s="19"/>
      <c r="M3697" s="14"/>
      <c r="N3697" s="39"/>
      <c r="Q3697" s="1"/>
      <c r="R3697" s="1"/>
      <c r="S3697" s="1"/>
      <c r="T3697" s="1"/>
      <c r="U3697" s="24"/>
      <c r="V3697" s="24"/>
      <c r="W3697" s="1"/>
      <c r="X3697" s="1"/>
      <c r="Z3697" s="94" t="s">
        <v>82</v>
      </c>
    </row>
    <row r="3698" spans="1:26" s="25" customFormat="1" ht="6.95" customHeight="1" x14ac:dyDescent="0.3">
      <c r="A3698" s="165">
        <f>+A3687+1</f>
        <v>337</v>
      </c>
      <c r="B3698" s="166"/>
      <c r="C3698" s="167"/>
      <c r="D3698" s="160" t="s">
        <v>39</v>
      </c>
      <c r="E3698" s="161"/>
      <c r="F3698" s="162" t="s">
        <v>40</v>
      </c>
      <c r="G3698" s="163"/>
      <c r="H3698" s="164"/>
      <c r="I3698" s="163"/>
      <c r="J3698" s="164"/>
      <c r="K3698" s="163"/>
      <c r="L3698" s="164"/>
      <c r="M3698" s="11"/>
      <c r="N3698" s="39"/>
      <c r="Q3698" s="15" t="str">
        <f>+CONCATENATE(E3698,G3698)</f>
        <v/>
      </c>
      <c r="R3698" s="15">
        <f>+H3698</f>
        <v>0</v>
      </c>
      <c r="S3698" s="16"/>
      <c r="T3698" s="15">
        <f>+E3698</f>
        <v>0</v>
      </c>
      <c r="U3698" s="26" t="str">
        <f>IFERROR(LEFT(G3698,FIND("*",G3698)-1),"-")</f>
        <v>-</v>
      </c>
      <c r="V3698" s="26" t="str">
        <f>IFERROR(RIGHT(G3698,LEN(G3698)-FIND("*",G3698)),"-")</f>
        <v>-</v>
      </c>
      <c r="W3698" s="27" t="str">
        <f>IFERROR((U3698+V3698)*2/1000,"-")</f>
        <v>-</v>
      </c>
      <c r="X3698" s="27" t="str">
        <f>IFERROR(W3698*H3698,"-")</f>
        <v>-</v>
      </c>
      <c r="Z3698" s="94" t="s">
        <v>82</v>
      </c>
    </row>
    <row r="3699" spans="1:26" s="25" customFormat="1" ht="6.95" customHeight="1" x14ac:dyDescent="0.3">
      <c r="A3699" s="165"/>
      <c r="B3699" s="168"/>
      <c r="C3699" s="169"/>
      <c r="D3699" s="160"/>
      <c r="E3699" s="161"/>
      <c r="F3699" s="162"/>
      <c r="G3699" s="163"/>
      <c r="H3699" s="164"/>
      <c r="I3699" s="163"/>
      <c r="J3699" s="164"/>
      <c r="K3699" s="163"/>
      <c r="L3699" s="164"/>
      <c r="M3699" s="11"/>
      <c r="N3699" s="39"/>
      <c r="Q3699" s="15" t="str">
        <f>+CONCATENATE(E3698,I3698)</f>
        <v/>
      </c>
      <c r="R3699" s="15">
        <f>+J3698</f>
        <v>0</v>
      </c>
      <c r="S3699" s="16"/>
      <c r="T3699" s="15">
        <f>+E3698</f>
        <v>0</v>
      </c>
      <c r="U3699" s="26" t="str">
        <f>IFERROR(LEFT(I3698,FIND("*",I3698)-1),"-")</f>
        <v>-</v>
      </c>
      <c r="V3699" s="26" t="str">
        <f>IFERROR(RIGHT(I3698,LEN(I3698)-FIND("*",I3698)),"-")</f>
        <v>-</v>
      </c>
      <c r="W3699" s="27" t="str">
        <f t="shared" ref="W3699:W3706" si="2014">IFERROR((U3699+V3699)*2/1000,"-")</f>
        <v>-</v>
      </c>
      <c r="X3699" s="27" t="str">
        <f>IFERROR(W3699*J3698,"-")</f>
        <v>-</v>
      </c>
      <c r="Z3699" s="94" t="s">
        <v>82</v>
      </c>
    </row>
    <row r="3700" spans="1:26" s="25" customFormat="1" ht="6.95" customHeight="1" x14ac:dyDescent="0.3">
      <c r="A3700" s="165"/>
      <c r="B3700" s="168"/>
      <c r="C3700" s="169"/>
      <c r="D3700" s="160"/>
      <c r="E3700" s="161"/>
      <c r="F3700" s="162"/>
      <c r="G3700" s="163"/>
      <c r="H3700" s="164"/>
      <c r="I3700" s="163"/>
      <c r="J3700" s="164"/>
      <c r="K3700" s="163"/>
      <c r="L3700" s="164"/>
      <c r="M3700" s="11"/>
      <c r="N3700" s="39"/>
      <c r="Q3700" s="15" t="str">
        <f>+CONCATENATE(E3698,K3698)</f>
        <v/>
      </c>
      <c r="R3700" s="15">
        <f>+L3698</f>
        <v>0</v>
      </c>
      <c r="S3700" s="16"/>
      <c r="T3700" s="15">
        <f>+E3698</f>
        <v>0</v>
      </c>
      <c r="U3700" s="26" t="str">
        <f>IFERROR(LEFT(K3698,FIND("*",K3698)-1),"-")</f>
        <v>-</v>
      </c>
      <c r="V3700" s="26" t="str">
        <f>IFERROR(RIGHT(K3698,LEN(K3698)-FIND("*",K3698)),"-")</f>
        <v>-</v>
      </c>
      <c r="W3700" s="27" t="str">
        <f t="shared" si="2014"/>
        <v>-</v>
      </c>
      <c r="X3700" s="27" t="str">
        <f>IFERROR(W3700*L3698,"-")</f>
        <v>-</v>
      </c>
      <c r="Z3700" s="94" t="s">
        <v>82</v>
      </c>
    </row>
    <row r="3701" spans="1:26" s="25" customFormat="1" ht="6.95" customHeight="1" x14ac:dyDescent="0.3">
      <c r="A3701" s="13"/>
      <c r="B3701" s="168"/>
      <c r="C3701" s="169"/>
      <c r="D3701" s="160" t="s">
        <v>39</v>
      </c>
      <c r="E3701" s="161"/>
      <c r="F3701" s="162" t="s">
        <v>40</v>
      </c>
      <c r="G3701" s="163"/>
      <c r="H3701" s="164"/>
      <c r="I3701" s="163"/>
      <c r="J3701" s="164"/>
      <c r="K3701" s="163"/>
      <c r="L3701" s="164"/>
      <c r="M3701" s="11"/>
      <c r="N3701" s="39"/>
      <c r="Q3701" s="15" t="str">
        <f>+CONCATENATE(E3701,G3701)</f>
        <v/>
      </c>
      <c r="R3701" s="15">
        <f>+H3701</f>
        <v>0</v>
      </c>
      <c r="S3701" s="16"/>
      <c r="T3701" s="15">
        <f>+E3701</f>
        <v>0</v>
      </c>
      <c r="U3701" s="26" t="str">
        <f t="shared" ref="U3701" si="2015">IFERROR(LEFT(G3701,FIND("*",G3701)-1),"-")</f>
        <v>-</v>
      </c>
      <c r="V3701" s="26" t="str">
        <f t="shared" ref="V3701" si="2016">IFERROR(RIGHT(G3701,LEN(G3701)-FIND("*",G3701)),"-")</f>
        <v>-</v>
      </c>
      <c r="W3701" s="27" t="str">
        <f t="shared" si="2014"/>
        <v>-</v>
      </c>
      <c r="X3701" s="27" t="str">
        <f>IFERROR(W3701*H3701,"-")</f>
        <v>-</v>
      </c>
      <c r="Z3701" s="94" t="s">
        <v>82</v>
      </c>
    </row>
    <row r="3702" spans="1:26" s="25" customFormat="1" ht="6.95" customHeight="1" x14ac:dyDescent="0.3">
      <c r="A3702" s="10"/>
      <c r="B3702" s="168"/>
      <c r="C3702" s="169"/>
      <c r="D3702" s="160"/>
      <c r="E3702" s="161"/>
      <c r="F3702" s="162"/>
      <c r="G3702" s="163"/>
      <c r="H3702" s="164"/>
      <c r="I3702" s="163"/>
      <c r="J3702" s="164"/>
      <c r="K3702" s="163"/>
      <c r="L3702" s="164"/>
      <c r="M3702" s="11"/>
      <c r="N3702" s="39"/>
      <c r="Q3702" s="15" t="str">
        <f>+CONCATENATE(E3701,I3701)</f>
        <v/>
      </c>
      <c r="R3702" s="15">
        <f>+J3701</f>
        <v>0</v>
      </c>
      <c r="S3702" s="16"/>
      <c r="T3702" s="15">
        <f>+E3701</f>
        <v>0</v>
      </c>
      <c r="U3702" s="26" t="str">
        <f>IFERROR(LEFT(I3701,FIND("*",I3701)-1),"-")</f>
        <v>-</v>
      </c>
      <c r="V3702" s="26" t="str">
        <f>IFERROR(RIGHT(I3701,LEN(I3701)-FIND("*",I3701)),"-")</f>
        <v>-</v>
      </c>
      <c r="W3702" s="27" t="str">
        <f t="shared" si="2014"/>
        <v>-</v>
      </c>
      <c r="X3702" s="27" t="str">
        <f>IFERROR(W3702*J3701,"-")</f>
        <v>-</v>
      </c>
      <c r="Z3702" s="94" t="s">
        <v>82</v>
      </c>
    </row>
    <row r="3703" spans="1:26" s="25" customFormat="1" ht="6.95" customHeight="1" x14ac:dyDescent="0.3">
      <c r="A3703" s="10"/>
      <c r="B3703" s="168"/>
      <c r="C3703" s="169"/>
      <c r="D3703" s="160"/>
      <c r="E3703" s="161"/>
      <c r="F3703" s="162"/>
      <c r="G3703" s="163"/>
      <c r="H3703" s="164"/>
      <c r="I3703" s="163"/>
      <c r="J3703" s="164"/>
      <c r="K3703" s="163"/>
      <c r="L3703" s="164"/>
      <c r="M3703" s="11"/>
      <c r="N3703" s="39"/>
      <c r="Q3703" s="15" t="str">
        <f>+CONCATENATE(E3701,K3701)</f>
        <v/>
      </c>
      <c r="R3703" s="15">
        <f>+L3701</f>
        <v>0</v>
      </c>
      <c r="S3703" s="16"/>
      <c r="T3703" s="15">
        <f>+E3701</f>
        <v>0</v>
      </c>
      <c r="U3703" s="26" t="str">
        <f>IFERROR(LEFT(K3701,FIND("*",K3701)-1),"-")</f>
        <v>-</v>
      </c>
      <c r="V3703" s="26" t="str">
        <f>IFERROR(RIGHT(K3701,LEN(K3701)-FIND("*",K3701)),"-")</f>
        <v>-</v>
      </c>
      <c r="W3703" s="27" t="str">
        <f t="shared" si="2014"/>
        <v>-</v>
      </c>
      <c r="X3703" s="27" t="str">
        <f>IFERROR(W3703*L3701,"-")</f>
        <v>-</v>
      </c>
      <c r="Z3703" s="94" t="s">
        <v>82</v>
      </c>
    </row>
    <row r="3704" spans="1:26" s="25" customFormat="1" ht="6.95" customHeight="1" x14ac:dyDescent="0.3">
      <c r="A3704" s="13"/>
      <c r="B3704" s="168"/>
      <c r="C3704" s="169"/>
      <c r="D3704" s="160" t="s">
        <v>39</v>
      </c>
      <c r="E3704" s="161"/>
      <c r="F3704" s="162" t="s">
        <v>40</v>
      </c>
      <c r="G3704" s="163"/>
      <c r="H3704" s="164"/>
      <c r="I3704" s="163"/>
      <c r="J3704" s="164"/>
      <c r="K3704" s="163"/>
      <c r="L3704" s="164"/>
      <c r="M3704" s="11"/>
      <c r="N3704" s="39"/>
      <c r="Q3704" s="15" t="str">
        <f>+CONCATENATE(E3704,G3704)</f>
        <v/>
      </c>
      <c r="R3704" s="15">
        <f>+H3704</f>
        <v>0</v>
      </c>
      <c r="S3704" s="16"/>
      <c r="T3704" s="15">
        <f>+E3704</f>
        <v>0</v>
      </c>
      <c r="U3704" s="26" t="str">
        <f t="shared" ref="U3704" si="2017">IFERROR(LEFT(G3704,FIND("*",G3704)-1),"-")</f>
        <v>-</v>
      </c>
      <c r="V3704" s="26" t="str">
        <f t="shared" ref="V3704" si="2018">IFERROR(RIGHT(G3704,LEN(G3704)-FIND("*",G3704)),"-")</f>
        <v>-</v>
      </c>
      <c r="W3704" s="27" t="str">
        <f t="shared" si="2014"/>
        <v>-</v>
      </c>
      <c r="X3704" s="27" t="str">
        <f>IFERROR(W3704*H3704,"-")</f>
        <v>-</v>
      </c>
      <c r="Z3704" s="94" t="s">
        <v>82</v>
      </c>
    </row>
    <row r="3705" spans="1:26" s="25" customFormat="1" ht="6.95" customHeight="1" x14ac:dyDescent="0.3">
      <c r="A3705" s="10"/>
      <c r="B3705" s="168"/>
      <c r="C3705" s="169"/>
      <c r="D3705" s="160"/>
      <c r="E3705" s="161"/>
      <c r="F3705" s="162"/>
      <c r="G3705" s="163"/>
      <c r="H3705" s="164"/>
      <c r="I3705" s="163"/>
      <c r="J3705" s="164"/>
      <c r="K3705" s="163"/>
      <c r="L3705" s="164"/>
      <c r="M3705" s="11"/>
      <c r="N3705" s="39"/>
      <c r="Q3705" s="15" t="str">
        <f>+CONCATENATE(E3704,I3704)</f>
        <v/>
      </c>
      <c r="R3705" s="15">
        <f>+J3704</f>
        <v>0</v>
      </c>
      <c r="S3705" s="16"/>
      <c r="T3705" s="15">
        <f>+E3704</f>
        <v>0</v>
      </c>
      <c r="U3705" s="26" t="str">
        <f>IFERROR(LEFT(I3704,FIND("*",I3704)-1),"-")</f>
        <v>-</v>
      </c>
      <c r="V3705" s="26" t="str">
        <f>IFERROR(RIGHT(I3704,LEN(I3704)-FIND("*",I3704)),"-")</f>
        <v>-</v>
      </c>
      <c r="W3705" s="27" t="str">
        <f t="shared" si="2014"/>
        <v>-</v>
      </c>
      <c r="X3705" s="27" t="str">
        <f t="shared" ref="X3705" si="2019">IFERROR(W3705*J3704,"-")</f>
        <v>-</v>
      </c>
      <c r="Z3705" s="94" t="s">
        <v>82</v>
      </c>
    </row>
    <row r="3706" spans="1:26" s="25" customFormat="1" ht="6.95" customHeight="1" x14ac:dyDescent="0.3">
      <c r="A3706" s="10"/>
      <c r="B3706" s="168"/>
      <c r="C3706" s="169"/>
      <c r="D3706" s="160"/>
      <c r="E3706" s="161"/>
      <c r="F3706" s="162"/>
      <c r="G3706" s="163"/>
      <c r="H3706" s="164"/>
      <c r="I3706" s="163"/>
      <c r="J3706" s="164"/>
      <c r="K3706" s="163"/>
      <c r="L3706" s="164"/>
      <c r="M3706" s="11"/>
      <c r="N3706" s="39"/>
      <c r="Q3706" s="15" t="str">
        <f>+CONCATENATE(E3704,K3704)</f>
        <v/>
      </c>
      <c r="R3706" s="15">
        <f>+L3704</f>
        <v>0</v>
      </c>
      <c r="S3706" s="16"/>
      <c r="T3706" s="15">
        <f>+E3704</f>
        <v>0</v>
      </c>
      <c r="U3706" s="26" t="str">
        <f>IFERROR(LEFT(K3704,FIND("*",K3704)-1),"-")</f>
        <v>-</v>
      </c>
      <c r="V3706" s="26" t="str">
        <f>IFERROR(RIGHT(K3704,LEN(K3704)-FIND("*",K3704)),"-")</f>
        <v>-</v>
      </c>
      <c r="W3706" s="27" t="str">
        <f t="shared" si="2014"/>
        <v>-</v>
      </c>
      <c r="X3706" s="27" t="str">
        <f>IFERROR(W3706*L3704,"-")</f>
        <v>-</v>
      </c>
      <c r="Z3706" s="94" t="s">
        <v>82</v>
      </c>
    </row>
    <row r="3707" spans="1:26" s="25" customFormat="1" ht="21" customHeight="1" thickBot="1" x14ac:dyDescent="0.35">
      <c r="A3707" s="10"/>
      <c r="B3707" s="170"/>
      <c r="C3707" s="171"/>
      <c r="D3707" s="172" t="s">
        <v>43</v>
      </c>
      <c r="E3707" s="173"/>
      <c r="F3707" s="173"/>
      <c r="G3707" s="174"/>
      <c r="H3707" s="174"/>
      <c r="I3707" s="174"/>
      <c r="J3707" s="174"/>
      <c r="K3707" s="174"/>
      <c r="L3707" s="174"/>
      <c r="M3707" s="12"/>
      <c r="N3707" s="39"/>
      <c r="U3707" s="23"/>
      <c r="V3707" s="23"/>
      <c r="Z3707" s="95" t="s">
        <v>81</v>
      </c>
    </row>
    <row r="3708" spans="1:26" s="25" customFormat="1" ht="9.9499999999999993" customHeight="1" thickBot="1" x14ac:dyDescent="0.35">
      <c r="A3708" s="6"/>
      <c r="B3708" s="14"/>
      <c r="C3708" s="119"/>
      <c r="D3708" s="58"/>
      <c r="E3708" s="17"/>
      <c r="F3708" s="58"/>
      <c r="G3708" s="19"/>
      <c r="H3708" s="19"/>
      <c r="I3708" s="19"/>
      <c r="J3708" s="19"/>
      <c r="K3708" s="19"/>
      <c r="L3708" s="19"/>
      <c r="M3708" s="14"/>
      <c r="N3708" s="39"/>
      <c r="Q3708" s="1"/>
      <c r="R3708" s="1"/>
      <c r="S3708" s="1"/>
      <c r="T3708" s="1"/>
      <c r="U3708" s="24"/>
      <c r="V3708" s="24"/>
      <c r="W3708" s="1"/>
      <c r="X3708" s="1"/>
      <c r="Z3708" s="94" t="s">
        <v>82</v>
      </c>
    </row>
    <row r="3709" spans="1:26" s="25" customFormat="1" ht="6.95" customHeight="1" x14ac:dyDescent="0.3">
      <c r="A3709" s="165">
        <f>+A3698+1</f>
        <v>338</v>
      </c>
      <c r="B3709" s="166"/>
      <c r="C3709" s="167"/>
      <c r="D3709" s="160" t="s">
        <v>39</v>
      </c>
      <c r="E3709" s="161"/>
      <c r="F3709" s="162" t="s">
        <v>40</v>
      </c>
      <c r="G3709" s="163"/>
      <c r="H3709" s="164"/>
      <c r="I3709" s="163"/>
      <c r="J3709" s="164"/>
      <c r="K3709" s="163"/>
      <c r="L3709" s="164"/>
      <c r="M3709" s="11"/>
      <c r="N3709" s="39"/>
      <c r="Q3709" s="15" t="str">
        <f>+CONCATENATE(E3709,G3709)</f>
        <v/>
      </c>
      <c r="R3709" s="15">
        <f>+H3709</f>
        <v>0</v>
      </c>
      <c r="S3709" s="16"/>
      <c r="T3709" s="15">
        <f>+E3709</f>
        <v>0</v>
      </c>
      <c r="U3709" s="26" t="str">
        <f>IFERROR(LEFT(G3709,FIND("*",G3709)-1),"-")</f>
        <v>-</v>
      </c>
      <c r="V3709" s="26" t="str">
        <f>IFERROR(RIGHT(G3709,LEN(G3709)-FIND("*",G3709)),"-")</f>
        <v>-</v>
      </c>
      <c r="W3709" s="27" t="str">
        <f>IFERROR((U3709+V3709)*2/1000,"-")</f>
        <v>-</v>
      </c>
      <c r="X3709" s="27" t="str">
        <f>IFERROR(W3709*H3709,"-")</f>
        <v>-</v>
      </c>
      <c r="Z3709" s="94" t="s">
        <v>82</v>
      </c>
    </row>
    <row r="3710" spans="1:26" s="25" customFormat="1" ht="6.95" customHeight="1" x14ac:dyDescent="0.3">
      <c r="A3710" s="165"/>
      <c r="B3710" s="168"/>
      <c r="C3710" s="169"/>
      <c r="D3710" s="160"/>
      <c r="E3710" s="161"/>
      <c r="F3710" s="162"/>
      <c r="G3710" s="163"/>
      <c r="H3710" s="164"/>
      <c r="I3710" s="163"/>
      <c r="J3710" s="164"/>
      <c r="K3710" s="163"/>
      <c r="L3710" s="164"/>
      <c r="M3710" s="11"/>
      <c r="N3710" s="39"/>
      <c r="Q3710" s="15" t="str">
        <f>+CONCATENATE(E3709,I3709)</f>
        <v/>
      </c>
      <c r="R3710" s="15">
        <f>+J3709</f>
        <v>0</v>
      </c>
      <c r="S3710" s="16"/>
      <c r="T3710" s="15">
        <f>+E3709</f>
        <v>0</v>
      </c>
      <c r="U3710" s="26" t="str">
        <f>IFERROR(LEFT(I3709,FIND("*",I3709)-1),"-")</f>
        <v>-</v>
      </c>
      <c r="V3710" s="26" t="str">
        <f>IFERROR(RIGHT(I3709,LEN(I3709)-FIND("*",I3709)),"-")</f>
        <v>-</v>
      </c>
      <c r="W3710" s="27" t="str">
        <f t="shared" ref="W3710:W3717" si="2020">IFERROR((U3710+V3710)*2/1000,"-")</f>
        <v>-</v>
      </c>
      <c r="X3710" s="27" t="str">
        <f>IFERROR(W3710*J3709,"-")</f>
        <v>-</v>
      </c>
      <c r="Z3710" s="94" t="s">
        <v>82</v>
      </c>
    </row>
    <row r="3711" spans="1:26" s="25" customFormat="1" ht="6.95" customHeight="1" x14ac:dyDescent="0.3">
      <c r="A3711" s="165"/>
      <c r="B3711" s="168"/>
      <c r="C3711" s="169"/>
      <c r="D3711" s="160"/>
      <c r="E3711" s="161"/>
      <c r="F3711" s="162"/>
      <c r="G3711" s="163"/>
      <c r="H3711" s="164"/>
      <c r="I3711" s="163"/>
      <c r="J3711" s="164"/>
      <c r="K3711" s="163"/>
      <c r="L3711" s="164"/>
      <c r="M3711" s="11"/>
      <c r="N3711" s="39"/>
      <c r="Q3711" s="15" t="str">
        <f>+CONCATENATE(E3709,K3709)</f>
        <v/>
      </c>
      <c r="R3711" s="15">
        <f>+L3709</f>
        <v>0</v>
      </c>
      <c r="S3711" s="16"/>
      <c r="T3711" s="15">
        <f>+E3709</f>
        <v>0</v>
      </c>
      <c r="U3711" s="26" t="str">
        <f>IFERROR(LEFT(K3709,FIND("*",K3709)-1),"-")</f>
        <v>-</v>
      </c>
      <c r="V3711" s="26" t="str">
        <f>IFERROR(RIGHT(K3709,LEN(K3709)-FIND("*",K3709)),"-")</f>
        <v>-</v>
      </c>
      <c r="W3711" s="27" t="str">
        <f t="shared" si="2020"/>
        <v>-</v>
      </c>
      <c r="X3711" s="27" t="str">
        <f>IFERROR(W3711*L3709,"-")</f>
        <v>-</v>
      </c>
      <c r="Z3711" s="94" t="s">
        <v>82</v>
      </c>
    </row>
    <row r="3712" spans="1:26" s="25" customFormat="1" ht="6.95" customHeight="1" x14ac:dyDescent="0.3">
      <c r="A3712" s="13"/>
      <c r="B3712" s="168"/>
      <c r="C3712" s="169"/>
      <c r="D3712" s="160" t="s">
        <v>39</v>
      </c>
      <c r="E3712" s="161"/>
      <c r="F3712" s="162" t="s">
        <v>40</v>
      </c>
      <c r="G3712" s="163"/>
      <c r="H3712" s="164"/>
      <c r="I3712" s="163"/>
      <c r="J3712" s="164"/>
      <c r="K3712" s="163"/>
      <c r="L3712" s="164"/>
      <c r="M3712" s="11"/>
      <c r="N3712" s="39"/>
      <c r="Q3712" s="15" t="str">
        <f>+CONCATENATE(E3712,G3712)</f>
        <v/>
      </c>
      <c r="R3712" s="15">
        <f>+H3712</f>
        <v>0</v>
      </c>
      <c r="S3712" s="16"/>
      <c r="T3712" s="15">
        <f>+E3712</f>
        <v>0</v>
      </c>
      <c r="U3712" s="26" t="str">
        <f t="shared" ref="U3712" si="2021">IFERROR(LEFT(G3712,FIND("*",G3712)-1),"-")</f>
        <v>-</v>
      </c>
      <c r="V3712" s="26" t="str">
        <f t="shared" ref="V3712" si="2022">IFERROR(RIGHT(G3712,LEN(G3712)-FIND("*",G3712)),"-")</f>
        <v>-</v>
      </c>
      <c r="W3712" s="27" t="str">
        <f t="shared" si="2020"/>
        <v>-</v>
      </c>
      <c r="X3712" s="27" t="str">
        <f>IFERROR(W3712*H3712,"-")</f>
        <v>-</v>
      </c>
      <c r="Z3712" s="94" t="s">
        <v>82</v>
      </c>
    </row>
    <row r="3713" spans="1:26" s="25" customFormat="1" ht="6.95" customHeight="1" x14ac:dyDescent="0.3">
      <c r="A3713" s="10"/>
      <c r="B3713" s="168"/>
      <c r="C3713" s="169"/>
      <c r="D3713" s="160"/>
      <c r="E3713" s="161"/>
      <c r="F3713" s="162"/>
      <c r="G3713" s="163"/>
      <c r="H3713" s="164"/>
      <c r="I3713" s="163"/>
      <c r="J3713" s="164"/>
      <c r="K3713" s="163"/>
      <c r="L3713" s="164"/>
      <c r="M3713" s="11"/>
      <c r="N3713" s="39"/>
      <c r="Q3713" s="15" t="str">
        <f>+CONCATENATE(E3712,I3712)</f>
        <v/>
      </c>
      <c r="R3713" s="15">
        <f>+J3712</f>
        <v>0</v>
      </c>
      <c r="S3713" s="16"/>
      <c r="T3713" s="15">
        <f>+E3712</f>
        <v>0</v>
      </c>
      <c r="U3713" s="26" t="str">
        <f>IFERROR(LEFT(I3712,FIND("*",I3712)-1),"-")</f>
        <v>-</v>
      </c>
      <c r="V3713" s="26" t="str">
        <f>IFERROR(RIGHT(I3712,LEN(I3712)-FIND("*",I3712)),"-")</f>
        <v>-</v>
      </c>
      <c r="W3713" s="27" t="str">
        <f t="shared" si="2020"/>
        <v>-</v>
      </c>
      <c r="X3713" s="27" t="str">
        <f>IFERROR(W3713*J3712,"-")</f>
        <v>-</v>
      </c>
      <c r="Z3713" s="94" t="s">
        <v>82</v>
      </c>
    </row>
    <row r="3714" spans="1:26" s="25" customFormat="1" ht="6.95" customHeight="1" x14ac:dyDescent="0.3">
      <c r="A3714" s="10"/>
      <c r="B3714" s="168"/>
      <c r="C3714" s="169"/>
      <c r="D3714" s="160"/>
      <c r="E3714" s="161"/>
      <c r="F3714" s="162"/>
      <c r="G3714" s="163"/>
      <c r="H3714" s="164"/>
      <c r="I3714" s="163"/>
      <c r="J3714" s="164"/>
      <c r="K3714" s="163"/>
      <c r="L3714" s="164"/>
      <c r="M3714" s="11"/>
      <c r="N3714" s="39"/>
      <c r="Q3714" s="15" t="str">
        <f>+CONCATENATE(E3712,K3712)</f>
        <v/>
      </c>
      <c r="R3714" s="15">
        <f>+L3712</f>
        <v>0</v>
      </c>
      <c r="S3714" s="16"/>
      <c r="T3714" s="15">
        <f>+E3712</f>
        <v>0</v>
      </c>
      <c r="U3714" s="26" t="str">
        <f>IFERROR(LEFT(K3712,FIND("*",K3712)-1),"-")</f>
        <v>-</v>
      </c>
      <c r="V3714" s="26" t="str">
        <f>IFERROR(RIGHT(K3712,LEN(K3712)-FIND("*",K3712)),"-")</f>
        <v>-</v>
      </c>
      <c r="W3714" s="27" t="str">
        <f t="shared" si="2020"/>
        <v>-</v>
      </c>
      <c r="X3714" s="27" t="str">
        <f>IFERROR(W3714*L3712,"-")</f>
        <v>-</v>
      </c>
      <c r="Z3714" s="94" t="s">
        <v>82</v>
      </c>
    </row>
    <row r="3715" spans="1:26" s="25" customFormat="1" ht="6.95" customHeight="1" x14ac:dyDescent="0.3">
      <c r="A3715" s="13"/>
      <c r="B3715" s="168"/>
      <c r="C3715" s="169"/>
      <c r="D3715" s="160" t="s">
        <v>39</v>
      </c>
      <c r="E3715" s="161"/>
      <c r="F3715" s="162" t="s">
        <v>40</v>
      </c>
      <c r="G3715" s="163"/>
      <c r="H3715" s="164"/>
      <c r="I3715" s="163"/>
      <c r="J3715" s="164"/>
      <c r="K3715" s="163"/>
      <c r="L3715" s="164"/>
      <c r="M3715" s="11"/>
      <c r="N3715" s="39"/>
      <c r="Q3715" s="15" t="str">
        <f>+CONCATENATE(E3715,G3715)</f>
        <v/>
      </c>
      <c r="R3715" s="15">
        <f>+H3715</f>
        <v>0</v>
      </c>
      <c r="S3715" s="16"/>
      <c r="T3715" s="15">
        <f>+E3715</f>
        <v>0</v>
      </c>
      <c r="U3715" s="26" t="str">
        <f t="shared" ref="U3715" si="2023">IFERROR(LEFT(G3715,FIND("*",G3715)-1),"-")</f>
        <v>-</v>
      </c>
      <c r="V3715" s="26" t="str">
        <f t="shared" ref="V3715" si="2024">IFERROR(RIGHT(G3715,LEN(G3715)-FIND("*",G3715)),"-")</f>
        <v>-</v>
      </c>
      <c r="W3715" s="27" t="str">
        <f t="shared" si="2020"/>
        <v>-</v>
      </c>
      <c r="X3715" s="27" t="str">
        <f>IFERROR(W3715*H3715,"-")</f>
        <v>-</v>
      </c>
      <c r="Z3715" s="94" t="s">
        <v>82</v>
      </c>
    </row>
    <row r="3716" spans="1:26" s="25" customFormat="1" ht="6.95" customHeight="1" x14ac:dyDescent="0.3">
      <c r="A3716" s="10"/>
      <c r="B3716" s="168"/>
      <c r="C3716" s="169"/>
      <c r="D3716" s="160"/>
      <c r="E3716" s="161"/>
      <c r="F3716" s="162"/>
      <c r="G3716" s="163"/>
      <c r="H3716" s="164"/>
      <c r="I3716" s="163"/>
      <c r="J3716" s="164"/>
      <c r="K3716" s="163"/>
      <c r="L3716" s="164"/>
      <c r="M3716" s="11"/>
      <c r="N3716" s="39"/>
      <c r="Q3716" s="15" t="str">
        <f>+CONCATENATE(E3715,I3715)</f>
        <v/>
      </c>
      <c r="R3716" s="15">
        <f>+J3715</f>
        <v>0</v>
      </c>
      <c r="S3716" s="16"/>
      <c r="T3716" s="15">
        <f>+E3715</f>
        <v>0</v>
      </c>
      <c r="U3716" s="26" t="str">
        <f>IFERROR(LEFT(I3715,FIND("*",I3715)-1),"-")</f>
        <v>-</v>
      </c>
      <c r="V3716" s="26" t="str">
        <f>IFERROR(RIGHT(I3715,LEN(I3715)-FIND("*",I3715)),"-")</f>
        <v>-</v>
      </c>
      <c r="W3716" s="27" t="str">
        <f t="shared" si="2020"/>
        <v>-</v>
      </c>
      <c r="X3716" s="27" t="str">
        <f t="shared" ref="X3716" si="2025">IFERROR(W3716*J3715,"-")</f>
        <v>-</v>
      </c>
      <c r="Z3716" s="94" t="s">
        <v>82</v>
      </c>
    </row>
    <row r="3717" spans="1:26" s="25" customFormat="1" ht="6.95" customHeight="1" x14ac:dyDescent="0.3">
      <c r="A3717" s="10"/>
      <c r="B3717" s="168"/>
      <c r="C3717" s="169"/>
      <c r="D3717" s="160"/>
      <c r="E3717" s="161"/>
      <c r="F3717" s="162"/>
      <c r="G3717" s="163"/>
      <c r="H3717" s="164"/>
      <c r="I3717" s="163"/>
      <c r="J3717" s="164"/>
      <c r="K3717" s="163"/>
      <c r="L3717" s="164"/>
      <c r="M3717" s="11"/>
      <c r="N3717" s="39"/>
      <c r="Q3717" s="15" t="str">
        <f>+CONCATENATE(E3715,K3715)</f>
        <v/>
      </c>
      <c r="R3717" s="15">
        <f>+L3715</f>
        <v>0</v>
      </c>
      <c r="S3717" s="16"/>
      <c r="T3717" s="15">
        <f>+E3715</f>
        <v>0</v>
      </c>
      <c r="U3717" s="26" t="str">
        <f>IFERROR(LEFT(K3715,FIND("*",K3715)-1),"-")</f>
        <v>-</v>
      </c>
      <c r="V3717" s="26" t="str">
        <f>IFERROR(RIGHT(K3715,LEN(K3715)-FIND("*",K3715)),"-")</f>
        <v>-</v>
      </c>
      <c r="W3717" s="27" t="str">
        <f t="shared" si="2020"/>
        <v>-</v>
      </c>
      <c r="X3717" s="27" t="str">
        <f>IFERROR(W3717*L3715,"-")</f>
        <v>-</v>
      </c>
      <c r="Z3717" s="94" t="s">
        <v>82</v>
      </c>
    </row>
    <row r="3718" spans="1:26" s="25" customFormat="1" ht="21" customHeight="1" thickBot="1" x14ac:dyDescent="0.35">
      <c r="A3718" s="10"/>
      <c r="B3718" s="170"/>
      <c r="C3718" s="171"/>
      <c r="D3718" s="172" t="s">
        <v>43</v>
      </c>
      <c r="E3718" s="173"/>
      <c r="F3718" s="173"/>
      <c r="G3718" s="174"/>
      <c r="H3718" s="174"/>
      <c r="I3718" s="174"/>
      <c r="J3718" s="174"/>
      <c r="K3718" s="174"/>
      <c r="L3718" s="174"/>
      <c r="M3718" s="12"/>
      <c r="N3718" s="39"/>
      <c r="U3718" s="23"/>
      <c r="V3718" s="23"/>
      <c r="Z3718" s="95" t="s">
        <v>81</v>
      </c>
    </row>
    <row r="3719" spans="1:26" s="25" customFormat="1" ht="9.9499999999999993" customHeight="1" thickBot="1" x14ac:dyDescent="0.35">
      <c r="A3719" s="6"/>
      <c r="B3719" s="14"/>
      <c r="C3719" s="119"/>
      <c r="D3719" s="58"/>
      <c r="E3719" s="17"/>
      <c r="F3719" s="58"/>
      <c r="G3719" s="19"/>
      <c r="H3719" s="19"/>
      <c r="I3719" s="19"/>
      <c r="J3719" s="19"/>
      <c r="K3719" s="19"/>
      <c r="L3719" s="19"/>
      <c r="M3719" s="14"/>
      <c r="N3719" s="39"/>
      <c r="Q3719" s="1"/>
      <c r="R3719" s="1"/>
      <c r="S3719" s="1"/>
      <c r="T3719" s="1"/>
      <c r="U3719" s="24"/>
      <c r="V3719" s="24"/>
      <c r="W3719" s="1"/>
      <c r="X3719" s="1"/>
      <c r="Z3719" s="94" t="s">
        <v>82</v>
      </c>
    </row>
    <row r="3720" spans="1:26" s="25" customFormat="1" ht="6.95" customHeight="1" x14ac:dyDescent="0.3">
      <c r="A3720" s="165">
        <f>+A3709+1</f>
        <v>339</v>
      </c>
      <c r="B3720" s="166"/>
      <c r="C3720" s="167"/>
      <c r="D3720" s="160" t="s">
        <v>39</v>
      </c>
      <c r="E3720" s="161"/>
      <c r="F3720" s="162" t="s">
        <v>40</v>
      </c>
      <c r="G3720" s="163"/>
      <c r="H3720" s="164"/>
      <c r="I3720" s="163"/>
      <c r="J3720" s="164"/>
      <c r="K3720" s="163"/>
      <c r="L3720" s="164"/>
      <c r="M3720" s="11"/>
      <c r="N3720" s="39"/>
      <c r="Q3720" s="15" t="str">
        <f>+CONCATENATE(E3720,G3720)</f>
        <v/>
      </c>
      <c r="R3720" s="15">
        <f>+H3720</f>
        <v>0</v>
      </c>
      <c r="S3720" s="16"/>
      <c r="T3720" s="15">
        <f>+E3720</f>
        <v>0</v>
      </c>
      <c r="U3720" s="26" t="str">
        <f>IFERROR(LEFT(G3720,FIND("*",G3720)-1),"-")</f>
        <v>-</v>
      </c>
      <c r="V3720" s="26" t="str">
        <f>IFERROR(RIGHT(G3720,LEN(G3720)-FIND("*",G3720)),"-")</f>
        <v>-</v>
      </c>
      <c r="W3720" s="27" t="str">
        <f>IFERROR((U3720+V3720)*2/1000,"-")</f>
        <v>-</v>
      </c>
      <c r="X3720" s="27" t="str">
        <f>IFERROR(W3720*H3720,"-")</f>
        <v>-</v>
      </c>
      <c r="Z3720" s="94" t="s">
        <v>82</v>
      </c>
    </row>
    <row r="3721" spans="1:26" s="25" customFormat="1" ht="6.95" customHeight="1" x14ac:dyDescent="0.3">
      <c r="A3721" s="165"/>
      <c r="B3721" s="168"/>
      <c r="C3721" s="169"/>
      <c r="D3721" s="160"/>
      <c r="E3721" s="161"/>
      <c r="F3721" s="162"/>
      <c r="G3721" s="163"/>
      <c r="H3721" s="164"/>
      <c r="I3721" s="163"/>
      <c r="J3721" s="164"/>
      <c r="K3721" s="163"/>
      <c r="L3721" s="164"/>
      <c r="M3721" s="11"/>
      <c r="N3721" s="39"/>
      <c r="Q3721" s="15" t="str">
        <f>+CONCATENATE(E3720,I3720)</f>
        <v/>
      </c>
      <c r="R3721" s="15">
        <f>+J3720</f>
        <v>0</v>
      </c>
      <c r="S3721" s="16"/>
      <c r="T3721" s="15">
        <f>+E3720</f>
        <v>0</v>
      </c>
      <c r="U3721" s="26" t="str">
        <f>IFERROR(LEFT(I3720,FIND("*",I3720)-1),"-")</f>
        <v>-</v>
      </c>
      <c r="V3721" s="26" t="str">
        <f>IFERROR(RIGHT(I3720,LEN(I3720)-FIND("*",I3720)),"-")</f>
        <v>-</v>
      </c>
      <c r="W3721" s="27" t="str">
        <f t="shared" ref="W3721:W3728" si="2026">IFERROR((U3721+V3721)*2/1000,"-")</f>
        <v>-</v>
      </c>
      <c r="X3721" s="27" t="str">
        <f>IFERROR(W3721*J3720,"-")</f>
        <v>-</v>
      </c>
      <c r="Z3721" s="94" t="s">
        <v>82</v>
      </c>
    </row>
    <row r="3722" spans="1:26" s="25" customFormat="1" ht="6.95" customHeight="1" x14ac:dyDescent="0.3">
      <c r="A3722" s="165"/>
      <c r="B3722" s="168"/>
      <c r="C3722" s="169"/>
      <c r="D3722" s="160"/>
      <c r="E3722" s="161"/>
      <c r="F3722" s="162"/>
      <c r="G3722" s="163"/>
      <c r="H3722" s="164"/>
      <c r="I3722" s="163"/>
      <c r="J3722" s="164"/>
      <c r="K3722" s="163"/>
      <c r="L3722" s="164"/>
      <c r="M3722" s="11"/>
      <c r="N3722" s="39"/>
      <c r="Q3722" s="15" t="str">
        <f>+CONCATENATE(E3720,K3720)</f>
        <v/>
      </c>
      <c r="R3722" s="15">
        <f>+L3720</f>
        <v>0</v>
      </c>
      <c r="S3722" s="16"/>
      <c r="T3722" s="15">
        <f>+E3720</f>
        <v>0</v>
      </c>
      <c r="U3722" s="26" t="str">
        <f>IFERROR(LEFT(K3720,FIND("*",K3720)-1),"-")</f>
        <v>-</v>
      </c>
      <c r="V3722" s="26" t="str">
        <f>IFERROR(RIGHT(K3720,LEN(K3720)-FIND("*",K3720)),"-")</f>
        <v>-</v>
      </c>
      <c r="W3722" s="27" t="str">
        <f t="shared" si="2026"/>
        <v>-</v>
      </c>
      <c r="X3722" s="27" t="str">
        <f>IFERROR(W3722*L3720,"-")</f>
        <v>-</v>
      </c>
      <c r="Z3722" s="94" t="s">
        <v>82</v>
      </c>
    </row>
    <row r="3723" spans="1:26" s="25" customFormat="1" ht="6.95" customHeight="1" x14ac:dyDescent="0.3">
      <c r="A3723" s="13"/>
      <c r="B3723" s="168"/>
      <c r="C3723" s="169"/>
      <c r="D3723" s="160" t="s">
        <v>39</v>
      </c>
      <c r="E3723" s="161"/>
      <c r="F3723" s="162" t="s">
        <v>40</v>
      </c>
      <c r="G3723" s="163"/>
      <c r="H3723" s="164"/>
      <c r="I3723" s="163"/>
      <c r="J3723" s="164"/>
      <c r="K3723" s="163"/>
      <c r="L3723" s="164"/>
      <c r="M3723" s="11"/>
      <c r="N3723" s="39"/>
      <c r="Q3723" s="15" t="str">
        <f>+CONCATENATE(E3723,G3723)</f>
        <v/>
      </c>
      <c r="R3723" s="15">
        <f>+H3723</f>
        <v>0</v>
      </c>
      <c r="S3723" s="16"/>
      <c r="T3723" s="15">
        <f>+E3723</f>
        <v>0</v>
      </c>
      <c r="U3723" s="26" t="str">
        <f t="shared" ref="U3723" si="2027">IFERROR(LEFT(G3723,FIND("*",G3723)-1),"-")</f>
        <v>-</v>
      </c>
      <c r="V3723" s="26" t="str">
        <f t="shared" ref="V3723" si="2028">IFERROR(RIGHT(G3723,LEN(G3723)-FIND("*",G3723)),"-")</f>
        <v>-</v>
      </c>
      <c r="W3723" s="27" t="str">
        <f t="shared" si="2026"/>
        <v>-</v>
      </c>
      <c r="X3723" s="27" t="str">
        <f>IFERROR(W3723*H3723,"-")</f>
        <v>-</v>
      </c>
      <c r="Z3723" s="94" t="s">
        <v>82</v>
      </c>
    </row>
    <row r="3724" spans="1:26" s="25" customFormat="1" ht="6.95" customHeight="1" x14ac:dyDescent="0.3">
      <c r="A3724" s="10"/>
      <c r="B3724" s="168"/>
      <c r="C3724" s="169"/>
      <c r="D3724" s="160"/>
      <c r="E3724" s="161"/>
      <c r="F3724" s="162"/>
      <c r="G3724" s="163"/>
      <c r="H3724" s="164"/>
      <c r="I3724" s="163"/>
      <c r="J3724" s="164"/>
      <c r="K3724" s="163"/>
      <c r="L3724" s="164"/>
      <c r="M3724" s="11"/>
      <c r="N3724" s="39"/>
      <c r="Q3724" s="15" t="str">
        <f>+CONCATENATE(E3723,I3723)</f>
        <v/>
      </c>
      <c r="R3724" s="15">
        <f>+J3723</f>
        <v>0</v>
      </c>
      <c r="S3724" s="16"/>
      <c r="T3724" s="15">
        <f>+E3723</f>
        <v>0</v>
      </c>
      <c r="U3724" s="26" t="str">
        <f>IFERROR(LEFT(I3723,FIND("*",I3723)-1),"-")</f>
        <v>-</v>
      </c>
      <c r="V3724" s="26" t="str">
        <f>IFERROR(RIGHT(I3723,LEN(I3723)-FIND("*",I3723)),"-")</f>
        <v>-</v>
      </c>
      <c r="W3724" s="27" t="str">
        <f t="shared" si="2026"/>
        <v>-</v>
      </c>
      <c r="X3724" s="27" t="str">
        <f>IFERROR(W3724*J3723,"-")</f>
        <v>-</v>
      </c>
      <c r="Z3724" s="94" t="s">
        <v>82</v>
      </c>
    </row>
    <row r="3725" spans="1:26" s="25" customFormat="1" ht="6.95" customHeight="1" x14ac:dyDescent="0.3">
      <c r="A3725" s="10"/>
      <c r="B3725" s="168"/>
      <c r="C3725" s="169"/>
      <c r="D3725" s="160"/>
      <c r="E3725" s="161"/>
      <c r="F3725" s="162"/>
      <c r="G3725" s="163"/>
      <c r="H3725" s="164"/>
      <c r="I3725" s="163"/>
      <c r="J3725" s="164"/>
      <c r="K3725" s="163"/>
      <c r="L3725" s="164"/>
      <c r="M3725" s="11"/>
      <c r="N3725" s="39"/>
      <c r="Q3725" s="15" t="str">
        <f>+CONCATENATE(E3723,K3723)</f>
        <v/>
      </c>
      <c r="R3725" s="15">
        <f>+L3723</f>
        <v>0</v>
      </c>
      <c r="S3725" s="16"/>
      <c r="T3725" s="15">
        <f>+E3723</f>
        <v>0</v>
      </c>
      <c r="U3725" s="26" t="str">
        <f>IFERROR(LEFT(K3723,FIND("*",K3723)-1),"-")</f>
        <v>-</v>
      </c>
      <c r="V3725" s="26" t="str">
        <f>IFERROR(RIGHT(K3723,LEN(K3723)-FIND("*",K3723)),"-")</f>
        <v>-</v>
      </c>
      <c r="W3725" s="27" t="str">
        <f t="shared" si="2026"/>
        <v>-</v>
      </c>
      <c r="X3725" s="27" t="str">
        <f>IFERROR(W3725*L3723,"-")</f>
        <v>-</v>
      </c>
      <c r="Z3725" s="94" t="s">
        <v>82</v>
      </c>
    </row>
    <row r="3726" spans="1:26" s="25" customFormat="1" ht="6.95" customHeight="1" x14ac:dyDescent="0.3">
      <c r="A3726" s="13"/>
      <c r="B3726" s="168"/>
      <c r="C3726" s="169"/>
      <c r="D3726" s="160" t="s">
        <v>39</v>
      </c>
      <c r="E3726" s="161"/>
      <c r="F3726" s="162" t="s">
        <v>40</v>
      </c>
      <c r="G3726" s="163"/>
      <c r="H3726" s="164"/>
      <c r="I3726" s="163"/>
      <c r="J3726" s="164"/>
      <c r="K3726" s="163"/>
      <c r="L3726" s="164"/>
      <c r="M3726" s="11"/>
      <c r="N3726" s="39"/>
      <c r="Q3726" s="15" t="str">
        <f>+CONCATENATE(E3726,G3726)</f>
        <v/>
      </c>
      <c r="R3726" s="15">
        <f>+H3726</f>
        <v>0</v>
      </c>
      <c r="S3726" s="16"/>
      <c r="T3726" s="15">
        <f>+E3726</f>
        <v>0</v>
      </c>
      <c r="U3726" s="26" t="str">
        <f t="shared" ref="U3726" si="2029">IFERROR(LEFT(G3726,FIND("*",G3726)-1),"-")</f>
        <v>-</v>
      </c>
      <c r="V3726" s="26" t="str">
        <f t="shared" ref="V3726" si="2030">IFERROR(RIGHT(G3726,LEN(G3726)-FIND("*",G3726)),"-")</f>
        <v>-</v>
      </c>
      <c r="W3726" s="27" t="str">
        <f t="shared" si="2026"/>
        <v>-</v>
      </c>
      <c r="X3726" s="27" t="str">
        <f>IFERROR(W3726*H3726,"-")</f>
        <v>-</v>
      </c>
      <c r="Z3726" s="94" t="s">
        <v>82</v>
      </c>
    </row>
    <row r="3727" spans="1:26" s="25" customFormat="1" ht="6.95" customHeight="1" x14ac:dyDescent="0.3">
      <c r="A3727" s="10"/>
      <c r="B3727" s="168"/>
      <c r="C3727" s="169"/>
      <c r="D3727" s="160"/>
      <c r="E3727" s="161"/>
      <c r="F3727" s="162"/>
      <c r="G3727" s="163"/>
      <c r="H3727" s="164"/>
      <c r="I3727" s="163"/>
      <c r="J3727" s="164"/>
      <c r="K3727" s="163"/>
      <c r="L3727" s="164"/>
      <c r="M3727" s="11"/>
      <c r="N3727" s="39"/>
      <c r="Q3727" s="15" t="str">
        <f>+CONCATENATE(E3726,I3726)</f>
        <v/>
      </c>
      <c r="R3727" s="15">
        <f>+J3726</f>
        <v>0</v>
      </c>
      <c r="S3727" s="16"/>
      <c r="T3727" s="15">
        <f>+E3726</f>
        <v>0</v>
      </c>
      <c r="U3727" s="26" t="str">
        <f>IFERROR(LEFT(I3726,FIND("*",I3726)-1),"-")</f>
        <v>-</v>
      </c>
      <c r="V3727" s="26" t="str">
        <f>IFERROR(RIGHT(I3726,LEN(I3726)-FIND("*",I3726)),"-")</f>
        <v>-</v>
      </c>
      <c r="W3727" s="27" t="str">
        <f t="shared" si="2026"/>
        <v>-</v>
      </c>
      <c r="X3727" s="27" t="str">
        <f t="shared" ref="X3727" si="2031">IFERROR(W3727*J3726,"-")</f>
        <v>-</v>
      </c>
      <c r="Z3727" s="94" t="s">
        <v>82</v>
      </c>
    </row>
    <row r="3728" spans="1:26" s="25" customFormat="1" ht="6.95" customHeight="1" x14ac:dyDescent="0.3">
      <c r="A3728" s="10"/>
      <c r="B3728" s="168"/>
      <c r="C3728" s="169"/>
      <c r="D3728" s="160"/>
      <c r="E3728" s="161"/>
      <c r="F3728" s="162"/>
      <c r="G3728" s="163"/>
      <c r="H3728" s="164"/>
      <c r="I3728" s="163"/>
      <c r="J3728" s="164"/>
      <c r="K3728" s="163"/>
      <c r="L3728" s="164"/>
      <c r="M3728" s="11"/>
      <c r="N3728" s="39"/>
      <c r="Q3728" s="15" t="str">
        <f>+CONCATENATE(E3726,K3726)</f>
        <v/>
      </c>
      <c r="R3728" s="15">
        <f>+L3726</f>
        <v>0</v>
      </c>
      <c r="S3728" s="16"/>
      <c r="T3728" s="15">
        <f>+E3726</f>
        <v>0</v>
      </c>
      <c r="U3728" s="26" t="str">
        <f>IFERROR(LEFT(K3726,FIND("*",K3726)-1),"-")</f>
        <v>-</v>
      </c>
      <c r="V3728" s="26" t="str">
        <f>IFERROR(RIGHT(K3726,LEN(K3726)-FIND("*",K3726)),"-")</f>
        <v>-</v>
      </c>
      <c r="W3728" s="27" t="str">
        <f t="shared" si="2026"/>
        <v>-</v>
      </c>
      <c r="X3728" s="27" t="str">
        <f>IFERROR(W3728*L3726,"-")</f>
        <v>-</v>
      </c>
      <c r="Z3728" s="94" t="s">
        <v>82</v>
      </c>
    </row>
    <row r="3729" spans="1:26" s="25" customFormat="1" ht="21" customHeight="1" thickBot="1" x14ac:dyDescent="0.35">
      <c r="A3729" s="10"/>
      <c r="B3729" s="170"/>
      <c r="C3729" s="171"/>
      <c r="D3729" s="172" t="s">
        <v>43</v>
      </c>
      <c r="E3729" s="173"/>
      <c r="F3729" s="173"/>
      <c r="G3729" s="174"/>
      <c r="H3729" s="174"/>
      <c r="I3729" s="174"/>
      <c r="J3729" s="174"/>
      <c r="K3729" s="174"/>
      <c r="L3729" s="174"/>
      <c r="M3729" s="12"/>
      <c r="N3729" s="39"/>
      <c r="U3729" s="23"/>
      <c r="V3729" s="23"/>
      <c r="Z3729" s="95" t="s">
        <v>81</v>
      </c>
    </row>
    <row r="3730" spans="1:26" s="25" customFormat="1" ht="9.9499999999999993" customHeight="1" thickBot="1" x14ac:dyDescent="0.35">
      <c r="A3730" s="6"/>
      <c r="B3730" s="14"/>
      <c r="C3730" s="119"/>
      <c r="D3730" s="58"/>
      <c r="E3730" s="17"/>
      <c r="F3730" s="58"/>
      <c r="G3730" s="19"/>
      <c r="H3730" s="19"/>
      <c r="I3730" s="19"/>
      <c r="J3730" s="19"/>
      <c r="K3730" s="19"/>
      <c r="L3730" s="19"/>
      <c r="M3730" s="14"/>
      <c r="N3730" s="39"/>
      <c r="Q3730" s="1"/>
      <c r="R3730" s="1"/>
      <c r="S3730" s="1"/>
      <c r="T3730" s="1"/>
      <c r="U3730" s="24"/>
      <c r="V3730" s="24"/>
      <c r="W3730" s="1"/>
      <c r="X3730" s="1"/>
      <c r="Z3730" s="94" t="s">
        <v>82</v>
      </c>
    </row>
    <row r="3731" spans="1:26" s="25" customFormat="1" ht="6.95" customHeight="1" x14ac:dyDescent="0.3">
      <c r="A3731" s="165">
        <f>+A3720+1</f>
        <v>340</v>
      </c>
      <c r="B3731" s="166"/>
      <c r="C3731" s="167"/>
      <c r="D3731" s="160" t="s">
        <v>39</v>
      </c>
      <c r="E3731" s="161"/>
      <c r="F3731" s="162" t="s">
        <v>40</v>
      </c>
      <c r="G3731" s="163"/>
      <c r="H3731" s="164"/>
      <c r="I3731" s="163"/>
      <c r="J3731" s="164"/>
      <c r="K3731" s="163"/>
      <c r="L3731" s="164"/>
      <c r="M3731" s="11"/>
      <c r="N3731" s="39"/>
      <c r="Q3731" s="15" t="str">
        <f>+CONCATENATE(E3731,G3731)</f>
        <v/>
      </c>
      <c r="R3731" s="15">
        <f>+H3731</f>
        <v>0</v>
      </c>
      <c r="S3731" s="16"/>
      <c r="T3731" s="15">
        <f>+E3731</f>
        <v>0</v>
      </c>
      <c r="U3731" s="26" t="str">
        <f>IFERROR(LEFT(G3731,FIND("*",G3731)-1),"-")</f>
        <v>-</v>
      </c>
      <c r="V3731" s="26" t="str">
        <f>IFERROR(RIGHT(G3731,LEN(G3731)-FIND("*",G3731)),"-")</f>
        <v>-</v>
      </c>
      <c r="W3731" s="27" t="str">
        <f>IFERROR((U3731+V3731)*2/1000,"-")</f>
        <v>-</v>
      </c>
      <c r="X3731" s="27" t="str">
        <f>IFERROR(W3731*H3731,"-")</f>
        <v>-</v>
      </c>
      <c r="Z3731" s="94" t="s">
        <v>82</v>
      </c>
    </row>
    <row r="3732" spans="1:26" s="25" customFormat="1" ht="6.95" customHeight="1" x14ac:dyDescent="0.3">
      <c r="A3732" s="165"/>
      <c r="B3732" s="168"/>
      <c r="C3732" s="169"/>
      <c r="D3732" s="160"/>
      <c r="E3732" s="161"/>
      <c r="F3732" s="162"/>
      <c r="G3732" s="163"/>
      <c r="H3732" s="164"/>
      <c r="I3732" s="163"/>
      <c r="J3732" s="164"/>
      <c r="K3732" s="163"/>
      <c r="L3732" s="164"/>
      <c r="M3732" s="11"/>
      <c r="N3732" s="39"/>
      <c r="Q3732" s="15" t="str">
        <f>+CONCATENATE(E3731,I3731)</f>
        <v/>
      </c>
      <c r="R3732" s="15">
        <f>+J3731</f>
        <v>0</v>
      </c>
      <c r="S3732" s="16"/>
      <c r="T3732" s="15">
        <f>+E3731</f>
        <v>0</v>
      </c>
      <c r="U3732" s="26" t="str">
        <f>IFERROR(LEFT(I3731,FIND("*",I3731)-1),"-")</f>
        <v>-</v>
      </c>
      <c r="V3732" s="26" t="str">
        <f>IFERROR(RIGHT(I3731,LEN(I3731)-FIND("*",I3731)),"-")</f>
        <v>-</v>
      </c>
      <c r="W3732" s="27" t="str">
        <f t="shared" ref="W3732:W3739" si="2032">IFERROR((U3732+V3732)*2/1000,"-")</f>
        <v>-</v>
      </c>
      <c r="X3732" s="27" t="str">
        <f>IFERROR(W3732*J3731,"-")</f>
        <v>-</v>
      </c>
      <c r="Z3732" s="94" t="s">
        <v>82</v>
      </c>
    </row>
    <row r="3733" spans="1:26" s="25" customFormat="1" ht="6.95" customHeight="1" x14ac:dyDescent="0.3">
      <c r="A3733" s="165"/>
      <c r="B3733" s="168"/>
      <c r="C3733" s="169"/>
      <c r="D3733" s="160"/>
      <c r="E3733" s="161"/>
      <c r="F3733" s="162"/>
      <c r="G3733" s="163"/>
      <c r="H3733" s="164"/>
      <c r="I3733" s="163"/>
      <c r="J3733" s="164"/>
      <c r="K3733" s="163"/>
      <c r="L3733" s="164"/>
      <c r="M3733" s="11"/>
      <c r="N3733" s="39"/>
      <c r="Q3733" s="15" t="str">
        <f>+CONCATENATE(E3731,K3731)</f>
        <v/>
      </c>
      <c r="R3733" s="15">
        <f>+L3731</f>
        <v>0</v>
      </c>
      <c r="S3733" s="16"/>
      <c r="T3733" s="15">
        <f>+E3731</f>
        <v>0</v>
      </c>
      <c r="U3733" s="26" t="str">
        <f>IFERROR(LEFT(K3731,FIND("*",K3731)-1),"-")</f>
        <v>-</v>
      </c>
      <c r="V3733" s="26" t="str">
        <f>IFERROR(RIGHT(K3731,LEN(K3731)-FIND("*",K3731)),"-")</f>
        <v>-</v>
      </c>
      <c r="W3733" s="27" t="str">
        <f t="shared" si="2032"/>
        <v>-</v>
      </c>
      <c r="X3733" s="27" t="str">
        <f>IFERROR(W3733*L3731,"-")</f>
        <v>-</v>
      </c>
      <c r="Z3733" s="94" t="s">
        <v>82</v>
      </c>
    </row>
    <row r="3734" spans="1:26" s="25" customFormat="1" ht="6.95" customHeight="1" x14ac:dyDescent="0.3">
      <c r="A3734" s="13"/>
      <c r="B3734" s="168"/>
      <c r="C3734" s="169"/>
      <c r="D3734" s="160" t="s">
        <v>39</v>
      </c>
      <c r="E3734" s="161"/>
      <c r="F3734" s="162" t="s">
        <v>40</v>
      </c>
      <c r="G3734" s="163"/>
      <c r="H3734" s="164"/>
      <c r="I3734" s="163"/>
      <c r="J3734" s="164"/>
      <c r="K3734" s="163"/>
      <c r="L3734" s="164"/>
      <c r="M3734" s="11"/>
      <c r="N3734" s="39"/>
      <c r="Q3734" s="15" t="str">
        <f>+CONCATENATE(E3734,G3734)</f>
        <v/>
      </c>
      <c r="R3734" s="15">
        <f>+H3734</f>
        <v>0</v>
      </c>
      <c r="S3734" s="16"/>
      <c r="T3734" s="15">
        <f>+E3734</f>
        <v>0</v>
      </c>
      <c r="U3734" s="26" t="str">
        <f t="shared" ref="U3734" si="2033">IFERROR(LEFT(G3734,FIND("*",G3734)-1),"-")</f>
        <v>-</v>
      </c>
      <c r="V3734" s="26" t="str">
        <f t="shared" ref="V3734" si="2034">IFERROR(RIGHT(G3734,LEN(G3734)-FIND("*",G3734)),"-")</f>
        <v>-</v>
      </c>
      <c r="W3734" s="27" t="str">
        <f t="shared" si="2032"/>
        <v>-</v>
      </c>
      <c r="X3734" s="27" t="str">
        <f>IFERROR(W3734*H3734,"-")</f>
        <v>-</v>
      </c>
      <c r="Z3734" s="94" t="s">
        <v>82</v>
      </c>
    </row>
    <row r="3735" spans="1:26" s="25" customFormat="1" ht="6.95" customHeight="1" x14ac:dyDescent="0.3">
      <c r="A3735" s="10"/>
      <c r="B3735" s="168"/>
      <c r="C3735" s="169"/>
      <c r="D3735" s="160"/>
      <c r="E3735" s="161"/>
      <c r="F3735" s="162"/>
      <c r="G3735" s="163"/>
      <c r="H3735" s="164"/>
      <c r="I3735" s="163"/>
      <c r="J3735" s="164"/>
      <c r="K3735" s="163"/>
      <c r="L3735" s="164"/>
      <c r="M3735" s="11"/>
      <c r="N3735" s="39"/>
      <c r="Q3735" s="15" t="str">
        <f>+CONCATENATE(E3734,I3734)</f>
        <v/>
      </c>
      <c r="R3735" s="15">
        <f>+J3734</f>
        <v>0</v>
      </c>
      <c r="S3735" s="16"/>
      <c r="T3735" s="15">
        <f>+E3734</f>
        <v>0</v>
      </c>
      <c r="U3735" s="26" t="str">
        <f>IFERROR(LEFT(I3734,FIND("*",I3734)-1),"-")</f>
        <v>-</v>
      </c>
      <c r="V3735" s="26" t="str">
        <f>IFERROR(RIGHT(I3734,LEN(I3734)-FIND("*",I3734)),"-")</f>
        <v>-</v>
      </c>
      <c r="W3735" s="27" t="str">
        <f t="shared" si="2032"/>
        <v>-</v>
      </c>
      <c r="X3735" s="27" t="str">
        <f>IFERROR(W3735*J3734,"-")</f>
        <v>-</v>
      </c>
      <c r="Z3735" s="94" t="s">
        <v>82</v>
      </c>
    </row>
    <row r="3736" spans="1:26" s="25" customFormat="1" ht="6.95" customHeight="1" x14ac:dyDescent="0.3">
      <c r="A3736" s="10"/>
      <c r="B3736" s="168"/>
      <c r="C3736" s="169"/>
      <c r="D3736" s="160"/>
      <c r="E3736" s="161"/>
      <c r="F3736" s="162"/>
      <c r="G3736" s="163"/>
      <c r="H3736" s="164"/>
      <c r="I3736" s="163"/>
      <c r="J3736" s="164"/>
      <c r="K3736" s="163"/>
      <c r="L3736" s="164"/>
      <c r="M3736" s="11"/>
      <c r="N3736" s="39"/>
      <c r="Q3736" s="15" t="str">
        <f>+CONCATENATE(E3734,K3734)</f>
        <v/>
      </c>
      <c r="R3736" s="15">
        <f>+L3734</f>
        <v>0</v>
      </c>
      <c r="S3736" s="16"/>
      <c r="T3736" s="15">
        <f>+E3734</f>
        <v>0</v>
      </c>
      <c r="U3736" s="26" t="str">
        <f>IFERROR(LEFT(K3734,FIND("*",K3734)-1),"-")</f>
        <v>-</v>
      </c>
      <c r="V3736" s="26" t="str">
        <f>IFERROR(RIGHT(K3734,LEN(K3734)-FIND("*",K3734)),"-")</f>
        <v>-</v>
      </c>
      <c r="W3736" s="27" t="str">
        <f t="shared" si="2032"/>
        <v>-</v>
      </c>
      <c r="X3736" s="27" t="str">
        <f>IFERROR(W3736*L3734,"-")</f>
        <v>-</v>
      </c>
      <c r="Z3736" s="94" t="s">
        <v>82</v>
      </c>
    </row>
    <row r="3737" spans="1:26" s="25" customFormat="1" ht="6.95" customHeight="1" x14ac:dyDescent="0.3">
      <c r="A3737" s="13"/>
      <c r="B3737" s="168"/>
      <c r="C3737" s="169"/>
      <c r="D3737" s="160" t="s">
        <v>39</v>
      </c>
      <c r="E3737" s="161"/>
      <c r="F3737" s="162" t="s">
        <v>40</v>
      </c>
      <c r="G3737" s="163"/>
      <c r="H3737" s="164"/>
      <c r="I3737" s="163"/>
      <c r="J3737" s="164"/>
      <c r="K3737" s="163"/>
      <c r="L3737" s="164"/>
      <c r="M3737" s="11"/>
      <c r="N3737" s="39"/>
      <c r="Q3737" s="15" t="str">
        <f>+CONCATENATE(E3737,G3737)</f>
        <v/>
      </c>
      <c r="R3737" s="15">
        <f>+H3737</f>
        <v>0</v>
      </c>
      <c r="S3737" s="16"/>
      <c r="T3737" s="15">
        <f>+E3737</f>
        <v>0</v>
      </c>
      <c r="U3737" s="26" t="str">
        <f t="shared" ref="U3737" si="2035">IFERROR(LEFT(G3737,FIND("*",G3737)-1),"-")</f>
        <v>-</v>
      </c>
      <c r="V3737" s="26" t="str">
        <f t="shared" ref="V3737" si="2036">IFERROR(RIGHT(G3737,LEN(G3737)-FIND("*",G3737)),"-")</f>
        <v>-</v>
      </c>
      <c r="W3737" s="27" t="str">
        <f t="shared" si="2032"/>
        <v>-</v>
      </c>
      <c r="X3737" s="27" t="str">
        <f>IFERROR(W3737*H3737,"-")</f>
        <v>-</v>
      </c>
      <c r="Z3737" s="94" t="s">
        <v>82</v>
      </c>
    </row>
    <row r="3738" spans="1:26" s="25" customFormat="1" ht="6.95" customHeight="1" x14ac:dyDescent="0.3">
      <c r="A3738" s="10"/>
      <c r="B3738" s="168"/>
      <c r="C3738" s="169"/>
      <c r="D3738" s="160"/>
      <c r="E3738" s="161"/>
      <c r="F3738" s="162"/>
      <c r="G3738" s="163"/>
      <c r="H3738" s="164"/>
      <c r="I3738" s="163"/>
      <c r="J3738" s="164"/>
      <c r="K3738" s="163"/>
      <c r="L3738" s="164"/>
      <c r="M3738" s="11"/>
      <c r="N3738" s="39"/>
      <c r="Q3738" s="15" t="str">
        <f>+CONCATENATE(E3737,I3737)</f>
        <v/>
      </c>
      <c r="R3738" s="15">
        <f>+J3737</f>
        <v>0</v>
      </c>
      <c r="S3738" s="16"/>
      <c r="T3738" s="15">
        <f>+E3737</f>
        <v>0</v>
      </c>
      <c r="U3738" s="26" t="str">
        <f>IFERROR(LEFT(I3737,FIND("*",I3737)-1),"-")</f>
        <v>-</v>
      </c>
      <c r="V3738" s="26" t="str">
        <f>IFERROR(RIGHT(I3737,LEN(I3737)-FIND("*",I3737)),"-")</f>
        <v>-</v>
      </c>
      <c r="W3738" s="27" t="str">
        <f t="shared" si="2032"/>
        <v>-</v>
      </c>
      <c r="X3738" s="27" t="str">
        <f t="shared" ref="X3738" si="2037">IFERROR(W3738*J3737,"-")</f>
        <v>-</v>
      </c>
      <c r="Z3738" s="94" t="s">
        <v>82</v>
      </c>
    </row>
    <row r="3739" spans="1:26" s="25" customFormat="1" ht="6.95" customHeight="1" x14ac:dyDescent="0.3">
      <c r="A3739" s="10"/>
      <c r="B3739" s="168"/>
      <c r="C3739" s="169"/>
      <c r="D3739" s="160"/>
      <c r="E3739" s="161"/>
      <c r="F3739" s="162"/>
      <c r="G3739" s="163"/>
      <c r="H3739" s="164"/>
      <c r="I3739" s="163"/>
      <c r="J3739" s="164"/>
      <c r="K3739" s="163"/>
      <c r="L3739" s="164"/>
      <c r="M3739" s="11"/>
      <c r="N3739" s="39"/>
      <c r="Q3739" s="15" t="str">
        <f>+CONCATENATE(E3737,K3737)</f>
        <v/>
      </c>
      <c r="R3739" s="15">
        <f>+L3737</f>
        <v>0</v>
      </c>
      <c r="S3739" s="16"/>
      <c r="T3739" s="15">
        <f>+E3737</f>
        <v>0</v>
      </c>
      <c r="U3739" s="26" t="str">
        <f>IFERROR(LEFT(K3737,FIND("*",K3737)-1),"-")</f>
        <v>-</v>
      </c>
      <c r="V3739" s="26" t="str">
        <f>IFERROR(RIGHT(K3737,LEN(K3737)-FIND("*",K3737)),"-")</f>
        <v>-</v>
      </c>
      <c r="W3739" s="27" t="str">
        <f t="shared" si="2032"/>
        <v>-</v>
      </c>
      <c r="X3739" s="27" t="str">
        <f>IFERROR(W3739*L3737,"-")</f>
        <v>-</v>
      </c>
      <c r="Z3739" s="94" t="s">
        <v>82</v>
      </c>
    </row>
    <row r="3740" spans="1:26" s="25" customFormat="1" ht="21" customHeight="1" thickBot="1" x14ac:dyDescent="0.35">
      <c r="A3740" s="10"/>
      <c r="B3740" s="170"/>
      <c r="C3740" s="171"/>
      <c r="D3740" s="172" t="s">
        <v>43</v>
      </c>
      <c r="E3740" s="173"/>
      <c r="F3740" s="173"/>
      <c r="G3740" s="174"/>
      <c r="H3740" s="174"/>
      <c r="I3740" s="174"/>
      <c r="J3740" s="174"/>
      <c r="K3740" s="174"/>
      <c r="L3740" s="174"/>
      <c r="M3740" s="12"/>
      <c r="N3740" s="39"/>
      <c r="U3740" s="23"/>
      <c r="V3740" s="23"/>
      <c r="Z3740" s="95" t="s">
        <v>81</v>
      </c>
    </row>
    <row r="3741" spans="1:26" s="25" customFormat="1" ht="9.9499999999999993" customHeight="1" thickBot="1" x14ac:dyDescent="0.35">
      <c r="A3741" s="6"/>
      <c r="B3741" s="14"/>
      <c r="C3741" s="119"/>
      <c r="D3741" s="58"/>
      <c r="E3741" s="17"/>
      <c r="F3741" s="58"/>
      <c r="G3741" s="19"/>
      <c r="H3741" s="19"/>
      <c r="I3741" s="19"/>
      <c r="J3741" s="19"/>
      <c r="K3741" s="19"/>
      <c r="L3741" s="19"/>
      <c r="M3741" s="14"/>
      <c r="N3741" s="39"/>
      <c r="Q3741" s="1"/>
      <c r="R3741" s="1"/>
      <c r="S3741" s="1"/>
      <c r="T3741" s="1"/>
      <c r="U3741" s="24"/>
      <c r="V3741" s="24"/>
      <c r="W3741" s="1"/>
      <c r="X3741" s="1"/>
      <c r="Z3741" s="94" t="s">
        <v>82</v>
      </c>
    </row>
    <row r="3742" spans="1:26" s="25" customFormat="1" ht="6.95" customHeight="1" x14ac:dyDescent="0.3">
      <c r="A3742" s="165">
        <f>+A3731+1</f>
        <v>341</v>
      </c>
      <c r="B3742" s="166"/>
      <c r="C3742" s="167"/>
      <c r="D3742" s="160" t="s">
        <v>39</v>
      </c>
      <c r="E3742" s="161"/>
      <c r="F3742" s="162" t="s">
        <v>40</v>
      </c>
      <c r="G3742" s="163"/>
      <c r="H3742" s="164"/>
      <c r="I3742" s="163"/>
      <c r="J3742" s="164"/>
      <c r="K3742" s="163"/>
      <c r="L3742" s="164"/>
      <c r="M3742" s="11"/>
      <c r="N3742" s="39"/>
      <c r="Q3742" s="15" t="str">
        <f>+CONCATENATE(E3742,G3742)</f>
        <v/>
      </c>
      <c r="R3742" s="15">
        <f>+H3742</f>
        <v>0</v>
      </c>
      <c r="S3742" s="16"/>
      <c r="T3742" s="15">
        <f>+E3742</f>
        <v>0</v>
      </c>
      <c r="U3742" s="26" t="str">
        <f>IFERROR(LEFT(G3742,FIND("*",G3742)-1),"-")</f>
        <v>-</v>
      </c>
      <c r="V3742" s="26" t="str">
        <f>IFERROR(RIGHT(G3742,LEN(G3742)-FIND("*",G3742)),"-")</f>
        <v>-</v>
      </c>
      <c r="W3742" s="27" t="str">
        <f>IFERROR((U3742+V3742)*2/1000,"-")</f>
        <v>-</v>
      </c>
      <c r="X3742" s="27" t="str">
        <f>IFERROR(W3742*H3742,"-")</f>
        <v>-</v>
      </c>
      <c r="Z3742" s="94" t="s">
        <v>82</v>
      </c>
    </row>
    <row r="3743" spans="1:26" s="25" customFormat="1" ht="6.95" customHeight="1" x14ac:dyDescent="0.3">
      <c r="A3743" s="165"/>
      <c r="B3743" s="168"/>
      <c r="C3743" s="169"/>
      <c r="D3743" s="160"/>
      <c r="E3743" s="161"/>
      <c r="F3743" s="162"/>
      <c r="G3743" s="163"/>
      <c r="H3743" s="164"/>
      <c r="I3743" s="163"/>
      <c r="J3743" s="164"/>
      <c r="K3743" s="163"/>
      <c r="L3743" s="164"/>
      <c r="M3743" s="11"/>
      <c r="N3743" s="39"/>
      <c r="Q3743" s="15" t="str">
        <f>+CONCATENATE(E3742,I3742)</f>
        <v/>
      </c>
      <c r="R3743" s="15">
        <f>+J3742</f>
        <v>0</v>
      </c>
      <c r="S3743" s="16"/>
      <c r="T3743" s="15">
        <f>+E3742</f>
        <v>0</v>
      </c>
      <c r="U3743" s="26" t="str">
        <f>IFERROR(LEFT(I3742,FIND("*",I3742)-1),"-")</f>
        <v>-</v>
      </c>
      <c r="V3743" s="26" t="str">
        <f>IFERROR(RIGHT(I3742,LEN(I3742)-FIND("*",I3742)),"-")</f>
        <v>-</v>
      </c>
      <c r="W3743" s="27" t="str">
        <f t="shared" ref="W3743:W3750" si="2038">IFERROR((U3743+V3743)*2/1000,"-")</f>
        <v>-</v>
      </c>
      <c r="X3743" s="27" t="str">
        <f>IFERROR(W3743*J3742,"-")</f>
        <v>-</v>
      </c>
      <c r="Z3743" s="94" t="s">
        <v>82</v>
      </c>
    </row>
    <row r="3744" spans="1:26" s="25" customFormat="1" ht="6.95" customHeight="1" x14ac:dyDescent="0.3">
      <c r="A3744" s="165"/>
      <c r="B3744" s="168"/>
      <c r="C3744" s="169"/>
      <c r="D3744" s="160"/>
      <c r="E3744" s="161"/>
      <c r="F3744" s="162"/>
      <c r="G3744" s="163"/>
      <c r="H3744" s="164"/>
      <c r="I3744" s="163"/>
      <c r="J3744" s="164"/>
      <c r="K3744" s="163"/>
      <c r="L3744" s="164"/>
      <c r="M3744" s="11"/>
      <c r="N3744" s="39"/>
      <c r="Q3744" s="15" t="str">
        <f>+CONCATENATE(E3742,K3742)</f>
        <v/>
      </c>
      <c r="R3744" s="15">
        <f>+L3742</f>
        <v>0</v>
      </c>
      <c r="S3744" s="16"/>
      <c r="T3744" s="15">
        <f>+E3742</f>
        <v>0</v>
      </c>
      <c r="U3744" s="26" t="str">
        <f>IFERROR(LEFT(K3742,FIND("*",K3742)-1),"-")</f>
        <v>-</v>
      </c>
      <c r="V3744" s="26" t="str">
        <f>IFERROR(RIGHT(K3742,LEN(K3742)-FIND("*",K3742)),"-")</f>
        <v>-</v>
      </c>
      <c r="W3744" s="27" t="str">
        <f t="shared" si="2038"/>
        <v>-</v>
      </c>
      <c r="X3744" s="27" t="str">
        <f>IFERROR(W3744*L3742,"-")</f>
        <v>-</v>
      </c>
      <c r="Z3744" s="94" t="s">
        <v>82</v>
      </c>
    </row>
    <row r="3745" spans="1:26" s="25" customFormat="1" ht="6.95" customHeight="1" x14ac:dyDescent="0.3">
      <c r="A3745" s="13"/>
      <c r="B3745" s="168"/>
      <c r="C3745" s="169"/>
      <c r="D3745" s="160" t="s">
        <v>39</v>
      </c>
      <c r="E3745" s="161"/>
      <c r="F3745" s="162" t="s">
        <v>40</v>
      </c>
      <c r="G3745" s="163"/>
      <c r="H3745" s="164"/>
      <c r="I3745" s="163"/>
      <c r="J3745" s="164"/>
      <c r="K3745" s="163"/>
      <c r="L3745" s="164"/>
      <c r="M3745" s="11"/>
      <c r="N3745" s="39"/>
      <c r="Q3745" s="15" t="str">
        <f>+CONCATENATE(E3745,G3745)</f>
        <v/>
      </c>
      <c r="R3745" s="15">
        <f>+H3745</f>
        <v>0</v>
      </c>
      <c r="S3745" s="16"/>
      <c r="T3745" s="15">
        <f>+E3745</f>
        <v>0</v>
      </c>
      <c r="U3745" s="26" t="str">
        <f t="shared" ref="U3745" si="2039">IFERROR(LEFT(G3745,FIND("*",G3745)-1),"-")</f>
        <v>-</v>
      </c>
      <c r="V3745" s="26" t="str">
        <f t="shared" ref="V3745" si="2040">IFERROR(RIGHT(G3745,LEN(G3745)-FIND("*",G3745)),"-")</f>
        <v>-</v>
      </c>
      <c r="W3745" s="27" t="str">
        <f t="shared" si="2038"/>
        <v>-</v>
      </c>
      <c r="X3745" s="27" t="str">
        <f>IFERROR(W3745*H3745,"-")</f>
        <v>-</v>
      </c>
      <c r="Z3745" s="94" t="s">
        <v>82</v>
      </c>
    </row>
    <row r="3746" spans="1:26" s="25" customFormat="1" ht="6.95" customHeight="1" x14ac:dyDescent="0.3">
      <c r="A3746" s="10"/>
      <c r="B3746" s="168"/>
      <c r="C3746" s="169"/>
      <c r="D3746" s="160"/>
      <c r="E3746" s="161"/>
      <c r="F3746" s="162"/>
      <c r="G3746" s="163"/>
      <c r="H3746" s="164"/>
      <c r="I3746" s="163"/>
      <c r="J3746" s="164"/>
      <c r="K3746" s="163"/>
      <c r="L3746" s="164"/>
      <c r="M3746" s="11"/>
      <c r="N3746" s="39"/>
      <c r="Q3746" s="15" t="str">
        <f>+CONCATENATE(E3745,I3745)</f>
        <v/>
      </c>
      <c r="R3746" s="15">
        <f>+J3745</f>
        <v>0</v>
      </c>
      <c r="S3746" s="16"/>
      <c r="T3746" s="15">
        <f>+E3745</f>
        <v>0</v>
      </c>
      <c r="U3746" s="26" t="str">
        <f>IFERROR(LEFT(I3745,FIND("*",I3745)-1),"-")</f>
        <v>-</v>
      </c>
      <c r="V3746" s="26" t="str">
        <f>IFERROR(RIGHT(I3745,LEN(I3745)-FIND("*",I3745)),"-")</f>
        <v>-</v>
      </c>
      <c r="W3746" s="27" t="str">
        <f t="shared" si="2038"/>
        <v>-</v>
      </c>
      <c r="X3746" s="27" t="str">
        <f>IFERROR(W3746*J3745,"-")</f>
        <v>-</v>
      </c>
      <c r="Z3746" s="94" t="s">
        <v>82</v>
      </c>
    </row>
    <row r="3747" spans="1:26" s="25" customFormat="1" ht="6.95" customHeight="1" x14ac:dyDescent="0.3">
      <c r="A3747" s="10"/>
      <c r="B3747" s="168"/>
      <c r="C3747" s="169"/>
      <c r="D3747" s="160"/>
      <c r="E3747" s="161"/>
      <c r="F3747" s="162"/>
      <c r="G3747" s="163"/>
      <c r="H3747" s="164"/>
      <c r="I3747" s="163"/>
      <c r="J3747" s="164"/>
      <c r="K3747" s="163"/>
      <c r="L3747" s="164"/>
      <c r="M3747" s="11"/>
      <c r="N3747" s="39"/>
      <c r="Q3747" s="15" t="str">
        <f>+CONCATENATE(E3745,K3745)</f>
        <v/>
      </c>
      <c r="R3747" s="15">
        <f>+L3745</f>
        <v>0</v>
      </c>
      <c r="S3747" s="16"/>
      <c r="T3747" s="15">
        <f>+E3745</f>
        <v>0</v>
      </c>
      <c r="U3747" s="26" t="str">
        <f>IFERROR(LEFT(K3745,FIND("*",K3745)-1),"-")</f>
        <v>-</v>
      </c>
      <c r="V3747" s="26" t="str">
        <f>IFERROR(RIGHT(K3745,LEN(K3745)-FIND("*",K3745)),"-")</f>
        <v>-</v>
      </c>
      <c r="W3747" s="27" t="str">
        <f t="shared" si="2038"/>
        <v>-</v>
      </c>
      <c r="X3747" s="27" t="str">
        <f>IFERROR(W3747*L3745,"-")</f>
        <v>-</v>
      </c>
      <c r="Z3747" s="94" t="s">
        <v>82</v>
      </c>
    </row>
    <row r="3748" spans="1:26" s="25" customFormat="1" ht="6.95" customHeight="1" x14ac:dyDescent="0.3">
      <c r="A3748" s="13"/>
      <c r="B3748" s="168"/>
      <c r="C3748" s="169"/>
      <c r="D3748" s="160" t="s">
        <v>39</v>
      </c>
      <c r="E3748" s="161"/>
      <c r="F3748" s="162" t="s">
        <v>40</v>
      </c>
      <c r="G3748" s="163"/>
      <c r="H3748" s="164"/>
      <c r="I3748" s="163"/>
      <c r="J3748" s="164"/>
      <c r="K3748" s="163"/>
      <c r="L3748" s="164"/>
      <c r="M3748" s="11"/>
      <c r="N3748" s="39"/>
      <c r="Q3748" s="15" t="str">
        <f>+CONCATENATE(E3748,G3748)</f>
        <v/>
      </c>
      <c r="R3748" s="15">
        <f>+H3748</f>
        <v>0</v>
      </c>
      <c r="S3748" s="16"/>
      <c r="T3748" s="15">
        <f>+E3748</f>
        <v>0</v>
      </c>
      <c r="U3748" s="26" t="str">
        <f t="shared" ref="U3748" si="2041">IFERROR(LEFT(G3748,FIND("*",G3748)-1),"-")</f>
        <v>-</v>
      </c>
      <c r="V3748" s="26" t="str">
        <f t="shared" ref="V3748" si="2042">IFERROR(RIGHT(G3748,LEN(G3748)-FIND("*",G3748)),"-")</f>
        <v>-</v>
      </c>
      <c r="W3748" s="27" t="str">
        <f t="shared" si="2038"/>
        <v>-</v>
      </c>
      <c r="X3748" s="27" t="str">
        <f>IFERROR(W3748*H3748,"-")</f>
        <v>-</v>
      </c>
      <c r="Z3748" s="94" t="s">
        <v>82</v>
      </c>
    </row>
    <row r="3749" spans="1:26" s="25" customFormat="1" ht="6.95" customHeight="1" x14ac:dyDescent="0.3">
      <c r="A3749" s="10"/>
      <c r="B3749" s="168"/>
      <c r="C3749" s="169"/>
      <c r="D3749" s="160"/>
      <c r="E3749" s="161"/>
      <c r="F3749" s="162"/>
      <c r="G3749" s="163"/>
      <c r="H3749" s="164"/>
      <c r="I3749" s="163"/>
      <c r="J3749" s="164"/>
      <c r="K3749" s="163"/>
      <c r="L3749" s="164"/>
      <c r="M3749" s="11"/>
      <c r="N3749" s="39"/>
      <c r="Q3749" s="15" t="str">
        <f>+CONCATENATE(E3748,I3748)</f>
        <v/>
      </c>
      <c r="R3749" s="15">
        <f>+J3748</f>
        <v>0</v>
      </c>
      <c r="S3749" s="16"/>
      <c r="T3749" s="15">
        <f>+E3748</f>
        <v>0</v>
      </c>
      <c r="U3749" s="26" t="str">
        <f>IFERROR(LEFT(I3748,FIND("*",I3748)-1),"-")</f>
        <v>-</v>
      </c>
      <c r="V3749" s="26" t="str">
        <f>IFERROR(RIGHT(I3748,LEN(I3748)-FIND("*",I3748)),"-")</f>
        <v>-</v>
      </c>
      <c r="W3749" s="27" t="str">
        <f t="shared" si="2038"/>
        <v>-</v>
      </c>
      <c r="X3749" s="27" t="str">
        <f t="shared" ref="X3749" si="2043">IFERROR(W3749*J3748,"-")</f>
        <v>-</v>
      </c>
      <c r="Z3749" s="94" t="s">
        <v>82</v>
      </c>
    </row>
    <row r="3750" spans="1:26" s="25" customFormat="1" ht="6.95" customHeight="1" x14ac:dyDescent="0.3">
      <c r="A3750" s="10"/>
      <c r="B3750" s="168"/>
      <c r="C3750" s="169"/>
      <c r="D3750" s="160"/>
      <c r="E3750" s="161"/>
      <c r="F3750" s="162"/>
      <c r="G3750" s="163"/>
      <c r="H3750" s="164"/>
      <c r="I3750" s="163"/>
      <c r="J3750" s="164"/>
      <c r="K3750" s="163"/>
      <c r="L3750" s="164"/>
      <c r="M3750" s="11"/>
      <c r="N3750" s="39"/>
      <c r="Q3750" s="15" t="str">
        <f>+CONCATENATE(E3748,K3748)</f>
        <v/>
      </c>
      <c r="R3750" s="15">
        <f>+L3748</f>
        <v>0</v>
      </c>
      <c r="S3750" s="16"/>
      <c r="T3750" s="15">
        <f>+E3748</f>
        <v>0</v>
      </c>
      <c r="U3750" s="26" t="str">
        <f>IFERROR(LEFT(K3748,FIND("*",K3748)-1),"-")</f>
        <v>-</v>
      </c>
      <c r="V3750" s="26" t="str">
        <f>IFERROR(RIGHT(K3748,LEN(K3748)-FIND("*",K3748)),"-")</f>
        <v>-</v>
      </c>
      <c r="W3750" s="27" t="str">
        <f t="shared" si="2038"/>
        <v>-</v>
      </c>
      <c r="X3750" s="27" t="str">
        <f>IFERROR(W3750*L3748,"-")</f>
        <v>-</v>
      </c>
      <c r="Z3750" s="94" t="s">
        <v>82</v>
      </c>
    </row>
    <row r="3751" spans="1:26" s="25" customFormat="1" ht="21" customHeight="1" thickBot="1" x14ac:dyDescent="0.35">
      <c r="A3751" s="10"/>
      <c r="B3751" s="170"/>
      <c r="C3751" s="171"/>
      <c r="D3751" s="172" t="s">
        <v>43</v>
      </c>
      <c r="E3751" s="173"/>
      <c r="F3751" s="173"/>
      <c r="G3751" s="174"/>
      <c r="H3751" s="174"/>
      <c r="I3751" s="174"/>
      <c r="J3751" s="174"/>
      <c r="K3751" s="174"/>
      <c r="L3751" s="174"/>
      <c r="M3751" s="12"/>
      <c r="N3751" s="39"/>
      <c r="U3751" s="23"/>
      <c r="V3751" s="23"/>
      <c r="Z3751" s="95" t="s">
        <v>81</v>
      </c>
    </row>
    <row r="3752" spans="1:26" s="25" customFormat="1" ht="9.9499999999999993" customHeight="1" thickBot="1" x14ac:dyDescent="0.35">
      <c r="A3752" s="6"/>
      <c r="B3752" s="14"/>
      <c r="C3752" s="119"/>
      <c r="D3752" s="58"/>
      <c r="E3752" s="17"/>
      <c r="F3752" s="58"/>
      <c r="G3752" s="19"/>
      <c r="H3752" s="19"/>
      <c r="I3752" s="19"/>
      <c r="J3752" s="19"/>
      <c r="K3752" s="19"/>
      <c r="L3752" s="19"/>
      <c r="M3752" s="14"/>
      <c r="N3752" s="39"/>
      <c r="Q3752" s="1"/>
      <c r="R3752" s="1"/>
      <c r="S3752" s="1"/>
      <c r="T3752" s="1"/>
      <c r="U3752" s="24"/>
      <c r="V3752" s="24"/>
      <c r="W3752" s="1"/>
      <c r="X3752" s="1"/>
      <c r="Z3752" s="94" t="s">
        <v>82</v>
      </c>
    </row>
    <row r="3753" spans="1:26" s="25" customFormat="1" ht="6.95" customHeight="1" x14ac:dyDescent="0.3">
      <c r="A3753" s="165">
        <f>+A3742+1</f>
        <v>342</v>
      </c>
      <c r="B3753" s="166"/>
      <c r="C3753" s="167"/>
      <c r="D3753" s="160" t="s">
        <v>39</v>
      </c>
      <c r="E3753" s="161"/>
      <c r="F3753" s="162" t="s">
        <v>40</v>
      </c>
      <c r="G3753" s="163"/>
      <c r="H3753" s="164"/>
      <c r="I3753" s="163"/>
      <c r="J3753" s="164"/>
      <c r="K3753" s="163"/>
      <c r="L3753" s="164"/>
      <c r="M3753" s="11"/>
      <c r="N3753" s="39"/>
      <c r="Q3753" s="15" t="str">
        <f>+CONCATENATE(E3753,G3753)</f>
        <v/>
      </c>
      <c r="R3753" s="15">
        <f>+H3753</f>
        <v>0</v>
      </c>
      <c r="S3753" s="16"/>
      <c r="T3753" s="15">
        <f>+E3753</f>
        <v>0</v>
      </c>
      <c r="U3753" s="26" t="str">
        <f>IFERROR(LEFT(G3753,FIND("*",G3753)-1),"-")</f>
        <v>-</v>
      </c>
      <c r="V3753" s="26" t="str">
        <f>IFERROR(RIGHT(G3753,LEN(G3753)-FIND("*",G3753)),"-")</f>
        <v>-</v>
      </c>
      <c r="W3753" s="27" t="str">
        <f>IFERROR((U3753+V3753)*2/1000,"-")</f>
        <v>-</v>
      </c>
      <c r="X3753" s="27" t="str">
        <f>IFERROR(W3753*H3753,"-")</f>
        <v>-</v>
      </c>
      <c r="Z3753" s="94" t="s">
        <v>82</v>
      </c>
    </row>
    <row r="3754" spans="1:26" s="25" customFormat="1" ht="6.95" customHeight="1" x14ac:dyDescent="0.3">
      <c r="A3754" s="165"/>
      <c r="B3754" s="168"/>
      <c r="C3754" s="169"/>
      <c r="D3754" s="160"/>
      <c r="E3754" s="161"/>
      <c r="F3754" s="162"/>
      <c r="G3754" s="163"/>
      <c r="H3754" s="164"/>
      <c r="I3754" s="163"/>
      <c r="J3754" s="164"/>
      <c r="K3754" s="163"/>
      <c r="L3754" s="164"/>
      <c r="M3754" s="11"/>
      <c r="N3754" s="39"/>
      <c r="Q3754" s="15" t="str">
        <f>+CONCATENATE(E3753,I3753)</f>
        <v/>
      </c>
      <c r="R3754" s="15">
        <f>+J3753</f>
        <v>0</v>
      </c>
      <c r="S3754" s="16"/>
      <c r="T3754" s="15">
        <f>+E3753</f>
        <v>0</v>
      </c>
      <c r="U3754" s="26" t="str">
        <f>IFERROR(LEFT(I3753,FIND("*",I3753)-1),"-")</f>
        <v>-</v>
      </c>
      <c r="V3754" s="26" t="str">
        <f>IFERROR(RIGHT(I3753,LEN(I3753)-FIND("*",I3753)),"-")</f>
        <v>-</v>
      </c>
      <c r="W3754" s="27" t="str">
        <f t="shared" ref="W3754:W3761" si="2044">IFERROR((U3754+V3754)*2/1000,"-")</f>
        <v>-</v>
      </c>
      <c r="X3754" s="27" t="str">
        <f>IFERROR(W3754*J3753,"-")</f>
        <v>-</v>
      </c>
      <c r="Z3754" s="94" t="s">
        <v>82</v>
      </c>
    </row>
    <row r="3755" spans="1:26" s="25" customFormat="1" ht="6.95" customHeight="1" x14ac:dyDescent="0.3">
      <c r="A3755" s="165"/>
      <c r="B3755" s="168"/>
      <c r="C3755" s="169"/>
      <c r="D3755" s="160"/>
      <c r="E3755" s="161"/>
      <c r="F3755" s="162"/>
      <c r="G3755" s="163"/>
      <c r="H3755" s="164"/>
      <c r="I3755" s="163"/>
      <c r="J3755" s="164"/>
      <c r="K3755" s="163"/>
      <c r="L3755" s="164"/>
      <c r="M3755" s="11"/>
      <c r="N3755" s="39"/>
      <c r="Q3755" s="15" t="str">
        <f>+CONCATENATE(E3753,K3753)</f>
        <v/>
      </c>
      <c r="R3755" s="15">
        <f>+L3753</f>
        <v>0</v>
      </c>
      <c r="S3755" s="16"/>
      <c r="T3755" s="15">
        <f>+E3753</f>
        <v>0</v>
      </c>
      <c r="U3755" s="26" t="str">
        <f>IFERROR(LEFT(K3753,FIND("*",K3753)-1),"-")</f>
        <v>-</v>
      </c>
      <c r="V3755" s="26" t="str">
        <f>IFERROR(RIGHT(K3753,LEN(K3753)-FIND("*",K3753)),"-")</f>
        <v>-</v>
      </c>
      <c r="W3755" s="27" t="str">
        <f t="shared" si="2044"/>
        <v>-</v>
      </c>
      <c r="X3755" s="27" t="str">
        <f>IFERROR(W3755*L3753,"-")</f>
        <v>-</v>
      </c>
      <c r="Z3755" s="94" t="s">
        <v>82</v>
      </c>
    </row>
    <row r="3756" spans="1:26" s="25" customFormat="1" ht="6.95" customHeight="1" x14ac:dyDescent="0.3">
      <c r="A3756" s="13"/>
      <c r="B3756" s="168"/>
      <c r="C3756" s="169"/>
      <c r="D3756" s="160" t="s">
        <v>39</v>
      </c>
      <c r="E3756" s="161"/>
      <c r="F3756" s="162" t="s">
        <v>40</v>
      </c>
      <c r="G3756" s="163"/>
      <c r="H3756" s="164"/>
      <c r="I3756" s="163"/>
      <c r="J3756" s="164"/>
      <c r="K3756" s="163"/>
      <c r="L3756" s="164"/>
      <c r="M3756" s="11"/>
      <c r="N3756" s="39"/>
      <c r="Q3756" s="15" t="str">
        <f>+CONCATENATE(E3756,G3756)</f>
        <v/>
      </c>
      <c r="R3756" s="15">
        <f>+H3756</f>
        <v>0</v>
      </c>
      <c r="S3756" s="16"/>
      <c r="T3756" s="15">
        <f>+E3756</f>
        <v>0</v>
      </c>
      <c r="U3756" s="26" t="str">
        <f t="shared" ref="U3756" si="2045">IFERROR(LEFT(G3756,FIND("*",G3756)-1),"-")</f>
        <v>-</v>
      </c>
      <c r="V3756" s="26" t="str">
        <f t="shared" ref="V3756" si="2046">IFERROR(RIGHT(G3756,LEN(G3756)-FIND("*",G3756)),"-")</f>
        <v>-</v>
      </c>
      <c r="W3756" s="27" t="str">
        <f t="shared" si="2044"/>
        <v>-</v>
      </c>
      <c r="X3756" s="27" t="str">
        <f>IFERROR(W3756*H3756,"-")</f>
        <v>-</v>
      </c>
      <c r="Z3756" s="94" t="s">
        <v>82</v>
      </c>
    </row>
    <row r="3757" spans="1:26" s="25" customFormat="1" ht="6.95" customHeight="1" x14ac:dyDescent="0.3">
      <c r="A3757" s="10"/>
      <c r="B3757" s="168"/>
      <c r="C3757" s="169"/>
      <c r="D3757" s="160"/>
      <c r="E3757" s="161"/>
      <c r="F3757" s="162"/>
      <c r="G3757" s="163"/>
      <c r="H3757" s="164"/>
      <c r="I3757" s="163"/>
      <c r="J3757" s="164"/>
      <c r="K3757" s="163"/>
      <c r="L3757" s="164"/>
      <c r="M3757" s="11"/>
      <c r="N3757" s="39"/>
      <c r="Q3757" s="15" t="str">
        <f>+CONCATENATE(E3756,I3756)</f>
        <v/>
      </c>
      <c r="R3757" s="15">
        <f>+J3756</f>
        <v>0</v>
      </c>
      <c r="S3757" s="16"/>
      <c r="T3757" s="15">
        <f>+E3756</f>
        <v>0</v>
      </c>
      <c r="U3757" s="26" t="str">
        <f>IFERROR(LEFT(I3756,FIND("*",I3756)-1),"-")</f>
        <v>-</v>
      </c>
      <c r="V3757" s="26" t="str">
        <f>IFERROR(RIGHT(I3756,LEN(I3756)-FIND("*",I3756)),"-")</f>
        <v>-</v>
      </c>
      <c r="W3757" s="27" t="str">
        <f t="shared" si="2044"/>
        <v>-</v>
      </c>
      <c r="X3757" s="27" t="str">
        <f>IFERROR(W3757*J3756,"-")</f>
        <v>-</v>
      </c>
      <c r="Z3757" s="94" t="s">
        <v>82</v>
      </c>
    </row>
    <row r="3758" spans="1:26" s="25" customFormat="1" ht="6.95" customHeight="1" x14ac:dyDescent="0.3">
      <c r="A3758" s="10"/>
      <c r="B3758" s="168"/>
      <c r="C3758" s="169"/>
      <c r="D3758" s="160"/>
      <c r="E3758" s="161"/>
      <c r="F3758" s="162"/>
      <c r="G3758" s="163"/>
      <c r="H3758" s="164"/>
      <c r="I3758" s="163"/>
      <c r="J3758" s="164"/>
      <c r="K3758" s="163"/>
      <c r="L3758" s="164"/>
      <c r="M3758" s="11"/>
      <c r="N3758" s="39"/>
      <c r="Q3758" s="15" t="str">
        <f>+CONCATENATE(E3756,K3756)</f>
        <v/>
      </c>
      <c r="R3758" s="15">
        <f>+L3756</f>
        <v>0</v>
      </c>
      <c r="S3758" s="16"/>
      <c r="T3758" s="15">
        <f>+E3756</f>
        <v>0</v>
      </c>
      <c r="U3758" s="26" t="str">
        <f>IFERROR(LEFT(K3756,FIND("*",K3756)-1),"-")</f>
        <v>-</v>
      </c>
      <c r="V3758" s="26" t="str">
        <f>IFERROR(RIGHT(K3756,LEN(K3756)-FIND("*",K3756)),"-")</f>
        <v>-</v>
      </c>
      <c r="W3758" s="27" t="str">
        <f t="shared" si="2044"/>
        <v>-</v>
      </c>
      <c r="X3758" s="27" t="str">
        <f>IFERROR(W3758*L3756,"-")</f>
        <v>-</v>
      </c>
      <c r="Z3758" s="94" t="s">
        <v>82</v>
      </c>
    </row>
    <row r="3759" spans="1:26" s="25" customFormat="1" ht="6.95" customHeight="1" x14ac:dyDescent="0.3">
      <c r="A3759" s="13"/>
      <c r="B3759" s="168"/>
      <c r="C3759" s="169"/>
      <c r="D3759" s="160" t="s">
        <v>39</v>
      </c>
      <c r="E3759" s="161"/>
      <c r="F3759" s="162" t="s">
        <v>40</v>
      </c>
      <c r="G3759" s="163"/>
      <c r="H3759" s="164"/>
      <c r="I3759" s="163"/>
      <c r="J3759" s="164"/>
      <c r="K3759" s="163"/>
      <c r="L3759" s="164"/>
      <c r="M3759" s="11"/>
      <c r="N3759" s="39"/>
      <c r="Q3759" s="15" t="str">
        <f>+CONCATENATE(E3759,G3759)</f>
        <v/>
      </c>
      <c r="R3759" s="15">
        <f>+H3759</f>
        <v>0</v>
      </c>
      <c r="S3759" s="16"/>
      <c r="T3759" s="15">
        <f>+E3759</f>
        <v>0</v>
      </c>
      <c r="U3759" s="26" t="str">
        <f t="shared" ref="U3759" si="2047">IFERROR(LEFT(G3759,FIND("*",G3759)-1),"-")</f>
        <v>-</v>
      </c>
      <c r="V3759" s="26" t="str">
        <f t="shared" ref="V3759" si="2048">IFERROR(RIGHT(G3759,LEN(G3759)-FIND("*",G3759)),"-")</f>
        <v>-</v>
      </c>
      <c r="W3759" s="27" t="str">
        <f t="shared" si="2044"/>
        <v>-</v>
      </c>
      <c r="X3759" s="27" t="str">
        <f>IFERROR(W3759*H3759,"-")</f>
        <v>-</v>
      </c>
      <c r="Z3759" s="94" t="s">
        <v>82</v>
      </c>
    </row>
    <row r="3760" spans="1:26" s="25" customFormat="1" ht="6.95" customHeight="1" x14ac:dyDescent="0.3">
      <c r="A3760" s="10"/>
      <c r="B3760" s="168"/>
      <c r="C3760" s="169"/>
      <c r="D3760" s="160"/>
      <c r="E3760" s="161"/>
      <c r="F3760" s="162"/>
      <c r="G3760" s="163"/>
      <c r="H3760" s="164"/>
      <c r="I3760" s="163"/>
      <c r="J3760" s="164"/>
      <c r="K3760" s="163"/>
      <c r="L3760" s="164"/>
      <c r="M3760" s="11"/>
      <c r="N3760" s="39"/>
      <c r="Q3760" s="15" t="str">
        <f>+CONCATENATE(E3759,I3759)</f>
        <v/>
      </c>
      <c r="R3760" s="15">
        <f>+J3759</f>
        <v>0</v>
      </c>
      <c r="S3760" s="16"/>
      <c r="T3760" s="15">
        <f>+E3759</f>
        <v>0</v>
      </c>
      <c r="U3760" s="26" t="str">
        <f>IFERROR(LEFT(I3759,FIND("*",I3759)-1),"-")</f>
        <v>-</v>
      </c>
      <c r="V3760" s="26" t="str">
        <f>IFERROR(RIGHT(I3759,LEN(I3759)-FIND("*",I3759)),"-")</f>
        <v>-</v>
      </c>
      <c r="W3760" s="27" t="str">
        <f t="shared" si="2044"/>
        <v>-</v>
      </c>
      <c r="X3760" s="27" t="str">
        <f t="shared" ref="X3760" si="2049">IFERROR(W3760*J3759,"-")</f>
        <v>-</v>
      </c>
      <c r="Z3760" s="94" t="s">
        <v>82</v>
      </c>
    </row>
    <row r="3761" spans="1:26" s="25" customFormat="1" ht="6.95" customHeight="1" x14ac:dyDescent="0.3">
      <c r="A3761" s="10"/>
      <c r="B3761" s="168"/>
      <c r="C3761" s="169"/>
      <c r="D3761" s="160"/>
      <c r="E3761" s="161"/>
      <c r="F3761" s="162"/>
      <c r="G3761" s="163"/>
      <c r="H3761" s="164"/>
      <c r="I3761" s="163"/>
      <c r="J3761" s="164"/>
      <c r="K3761" s="163"/>
      <c r="L3761" s="164"/>
      <c r="M3761" s="11"/>
      <c r="N3761" s="39"/>
      <c r="Q3761" s="15" t="str">
        <f>+CONCATENATE(E3759,K3759)</f>
        <v/>
      </c>
      <c r="R3761" s="15">
        <f>+L3759</f>
        <v>0</v>
      </c>
      <c r="S3761" s="16"/>
      <c r="T3761" s="15">
        <f>+E3759</f>
        <v>0</v>
      </c>
      <c r="U3761" s="26" t="str">
        <f>IFERROR(LEFT(K3759,FIND("*",K3759)-1),"-")</f>
        <v>-</v>
      </c>
      <c r="V3761" s="26" t="str">
        <f>IFERROR(RIGHT(K3759,LEN(K3759)-FIND("*",K3759)),"-")</f>
        <v>-</v>
      </c>
      <c r="W3761" s="27" t="str">
        <f t="shared" si="2044"/>
        <v>-</v>
      </c>
      <c r="X3761" s="27" t="str">
        <f>IFERROR(W3761*L3759,"-")</f>
        <v>-</v>
      </c>
      <c r="Z3761" s="94" t="s">
        <v>82</v>
      </c>
    </row>
    <row r="3762" spans="1:26" s="25" customFormat="1" ht="21" customHeight="1" thickBot="1" x14ac:dyDescent="0.35">
      <c r="A3762" s="10"/>
      <c r="B3762" s="170"/>
      <c r="C3762" s="171"/>
      <c r="D3762" s="172" t="s">
        <v>43</v>
      </c>
      <c r="E3762" s="173"/>
      <c r="F3762" s="173"/>
      <c r="G3762" s="174"/>
      <c r="H3762" s="174"/>
      <c r="I3762" s="174"/>
      <c r="J3762" s="174"/>
      <c r="K3762" s="174"/>
      <c r="L3762" s="174"/>
      <c r="M3762" s="12"/>
      <c r="N3762" s="39"/>
      <c r="U3762" s="23"/>
      <c r="V3762" s="23"/>
      <c r="Z3762" s="95" t="s">
        <v>81</v>
      </c>
    </row>
    <row r="3763" spans="1:26" s="25" customFormat="1" ht="9.9499999999999993" customHeight="1" thickBot="1" x14ac:dyDescent="0.35">
      <c r="A3763" s="6"/>
      <c r="B3763" s="14"/>
      <c r="C3763" s="119"/>
      <c r="D3763" s="58"/>
      <c r="E3763" s="17"/>
      <c r="F3763" s="58"/>
      <c r="G3763" s="19"/>
      <c r="H3763" s="19"/>
      <c r="I3763" s="19"/>
      <c r="J3763" s="19"/>
      <c r="K3763" s="19"/>
      <c r="L3763" s="19"/>
      <c r="M3763" s="14"/>
      <c r="N3763" s="39"/>
      <c r="Q3763" s="1"/>
      <c r="R3763" s="1"/>
      <c r="S3763" s="1"/>
      <c r="T3763" s="1"/>
      <c r="U3763" s="24"/>
      <c r="V3763" s="24"/>
      <c r="W3763" s="1"/>
      <c r="X3763" s="1"/>
      <c r="Z3763" s="94" t="s">
        <v>82</v>
      </c>
    </row>
    <row r="3764" spans="1:26" s="25" customFormat="1" ht="6.95" customHeight="1" x14ac:dyDescent="0.3">
      <c r="A3764" s="165">
        <f>+A3753+1</f>
        <v>343</v>
      </c>
      <c r="B3764" s="166"/>
      <c r="C3764" s="167"/>
      <c r="D3764" s="160" t="s">
        <v>39</v>
      </c>
      <c r="E3764" s="161"/>
      <c r="F3764" s="162" t="s">
        <v>40</v>
      </c>
      <c r="G3764" s="163"/>
      <c r="H3764" s="164"/>
      <c r="I3764" s="163"/>
      <c r="J3764" s="164"/>
      <c r="K3764" s="163"/>
      <c r="L3764" s="164"/>
      <c r="M3764" s="11"/>
      <c r="N3764" s="39"/>
      <c r="Q3764" s="15" t="str">
        <f>+CONCATENATE(E3764,G3764)</f>
        <v/>
      </c>
      <c r="R3764" s="15">
        <f>+H3764</f>
        <v>0</v>
      </c>
      <c r="S3764" s="16"/>
      <c r="T3764" s="15">
        <f>+E3764</f>
        <v>0</v>
      </c>
      <c r="U3764" s="26" t="str">
        <f>IFERROR(LEFT(G3764,FIND("*",G3764)-1),"-")</f>
        <v>-</v>
      </c>
      <c r="V3764" s="26" t="str">
        <f>IFERROR(RIGHT(G3764,LEN(G3764)-FIND("*",G3764)),"-")</f>
        <v>-</v>
      </c>
      <c r="W3764" s="27" t="str">
        <f>IFERROR((U3764+V3764)*2/1000,"-")</f>
        <v>-</v>
      </c>
      <c r="X3764" s="27" t="str">
        <f>IFERROR(W3764*H3764,"-")</f>
        <v>-</v>
      </c>
      <c r="Z3764" s="94" t="s">
        <v>82</v>
      </c>
    </row>
    <row r="3765" spans="1:26" s="25" customFormat="1" ht="6.95" customHeight="1" x14ac:dyDescent="0.3">
      <c r="A3765" s="165"/>
      <c r="B3765" s="168"/>
      <c r="C3765" s="169"/>
      <c r="D3765" s="160"/>
      <c r="E3765" s="161"/>
      <c r="F3765" s="162"/>
      <c r="G3765" s="163"/>
      <c r="H3765" s="164"/>
      <c r="I3765" s="163"/>
      <c r="J3765" s="164"/>
      <c r="K3765" s="163"/>
      <c r="L3765" s="164"/>
      <c r="M3765" s="11"/>
      <c r="N3765" s="39"/>
      <c r="Q3765" s="15" t="str">
        <f>+CONCATENATE(E3764,I3764)</f>
        <v/>
      </c>
      <c r="R3765" s="15">
        <f>+J3764</f>
        <v>0</v>
      </c>
      <c r="S3765" s="16"/>
      <c r="T3765" s="15">
        <f>+E3764</f>
        <v>0</v>
      </c>
      <c r="U3765" s="26" t="str">
        <f>IFERROR(LEFT(I3764,FIND("*",I3764)-1),"-")</f>
        <v>-</v>
      </c>
      <c r="V3765" s="26" t="str">
        <f>IFERROR(RIGHT(I3764,LEN(I3764)-FIND("*",I3764)),"-")</f>
        <v>-</v>
      </c>
      <c r="W3765" s="27" t="str">
        <f t="shared" ref="W3765:W3772" si="2050">IFERROR((U3765+V3765)*2/1000,"-")</f>
        <v>-</v>
      </c>
      <c r="X3765" s="27" t="str">
        <f>IFERROR(W3765*J3764,"-")</f>
        <v>-</v>
      </c>
      <c r="Z3765" s="94" t="s">
        <v>82</v>
      </c>
    </row>
    <row r="3766" spans="1:26" s="25" customFormat="1" ht="6.95" customHeight="1" x14ac:dyDescent="0.3">
      <c r="A3766" s="165"/>
      <c r="B3766" s="168"/>
      <c r="C3766" s="169"/>
      <c r="D3766" s="160"/>
      <c r="E3766" s="161"/>
      <c r="F3766" s="162"/>
      <c r="G3766" s="163"/>
      <c r="H3766" s="164"/>
      <c r="I3766" s="163"/>
      <c r="J3766" s="164"/>
      <c r="K3766" s="163"/>
      <c r="L3766" s="164"/>
      <c r="M3766" s="11"/>
      <c r="N3766" s="39"/>
      <c r="Q3766" s="15" t="str">
        <f>+CONCATENATE(E3764,K3764)</f>
        <v/>
      </c>
      <c r="R3766" s="15">
        <f>+L3764</f>
        <v>0</v>
      </c>
      <c r="S3766" s="16"/>
      <c r="T3766" s="15">
        <f>+E3764</f>
        <v>0</v>
      </c>
      <c r="U3766" s="26" t="str">
        <f>IFERROR(LEFT(K3764,FIND("*",K3764)-1),"-")</f>
        <v>-</v>
      </c>
      <c r="V3766" s="26" t="str">
        <f>IFERROR(RIGHT(K3764,LEN(K3764)-FIND("*",K3764)),"-")</f>
        <v>-</v>
      </c>
      <c r="W3766" s="27" t="str">
        <f t="shared" si="2050"/>
        <v>-</v>
      </c>
      <c r="X3766" s="27" t="str">
        <f>IFERROR(W3766*L3764,"-")</f>
        <v>-</v>
      </c>
      <c r="Z3766" s="94" t="s">
        <v>82</v>
      </c>
    </row>
    <row r="3767" spans="1:26" s="25" customFormat="1" ht="6.95" customHeight="1" x14ac:dyDescent="0.3">
      <c r="A3767" s="13"/>
      <c r="B3767" s="168"/>
      <c r="C3767" s="169"/>
      <c r="D3767" s="160" t="s">
        <v>39</v>
      </c>
      <c r="E3767" s="161"/>
      <c r="F3767" s="162" t="s">
        <v>40</v>
      </c>
      <c r="G3767" s="163"/>
      <c r="H3767" s="164"/>
      <c r="I3767" s="163"/>
      <c r="J3767" s="164"/>
      <c r="K3767" s="163"/>
      <c r="L3767" s="164"/>
      <c r="M3767" s="11"/>
      <c r="N3767" s="39"/>
      <c r="Q3767" s="15" t="str">
        <f>+CONCATENATE(E3767,G3767)</f>
        <v/>
      </c>
      <c r="R3767" s="15">
        <f>+H3767</f>
        <v>0</v>
      </c>
      <c r="S3767" s="16"/>
      <c r="T3767" s="15">
        <f>+E3767</f>
        <v>0</v>
      </c>
      <c r="U3767" s="26" t="str">
        <f t="shared" ref="U3767" si="2051">IFERROR(LEFT(G3767,FIND("*",G3767)-1),"-")</f>
        <v>-</v>
      </c>
      <c r="V3767" s="26" t="str">
        <f t="shared" ref="V3767" si="2052">IFERROR(RIGHT(G3767,LEN(G3767)-FIND("*",G3767)),"-")</f>
        <v>-</v>
      </c>
      <c r="W3767" s="27" t="str">
        <f t="shared" si="2050"/>
        <v>-</v>
      </c>
      <c r="X3767" s="27" t="str">
        <f>IFERROR(W3767*H3767,"-")</f>
        <v>-</v>
      </c>
      <c r="Z3767" s="94" t="s">
        <v>82</v>
      </c>
    </row>
    <row r="3768" spans="1:26" s="25" customFormat="1" ht="6.95" customHeight="1" x14ac:dyDescent="0.3">
      <c r="A3768" s="10"/>
      <c r="B3768" s="168"/>
      <c r="C3768" s="169"/>
      <c r="D3768" s="160"/>
      <c r="E3768" s="161"/>
      <c r="F3768" s="162"/>
      <c r="G3768" s="163"/>
      <c r="H3768" s="164"/>
      <c r="I3768" s="163"/>
      <c r="J3768" s="164"/>
      <c r="K3768" s="163"/>
      <c r="L3768" s="164"/>
      <c r="M3768" s="11"/>
      <c r="N3768" s="39"/>
      <c r="Q3768" s="15" t="str">
        <f>+CONCATENATE(E3767,I3767)</f>
        <v/>
      </c>
      <c r="R3768" s="15">
        <f>+J3767</f>
        <v>0</v>
      </c>
      <c r="S3768" s="16"/>
      <c r="T3768" s="15">
        <f>+E3767</f>
        <v>0</v>
      </c>
      <c r="U3768" s="26" t="str">
        <f>IFERROR(LEFT(I3767,FIND("*",I3767)-1),"-")</f>
        <v>-</v>
      </c>
      <c r="V3768" s="26" t="str">
        <f>IFERROR(RIGHT(I3767,LEN(I3767)-FIND("*",I3767)),"-")</f>
        <v>-</v>
      </c>
      <c r="W3768" s="27" t="str">
        <f t="shared" si="2050"/>
        <v>-</v>
      </c>
      <c r="X3768" s="27" t="str">
        <f>IFERROR(W3768*J3767,"-")</f>
        <v>-</v>
      </c>
      <c r="Z3768" s="94" t="s">
        <v>82</v>
      </c>
    </row>
    <row r="3769" spans="1:26" s="25" customFormat="1" ht="6.95" customHeight="1" x14ac:dyDescent="0.3">
      <c r="A3769" s="10"/>
      <c r="B3769" s="168"/>
      <c r="C3769" s="169"/>
      <c r="D3769" s="160"/>
      <c r="E3769" s="161"/>
      <c r="F3769" s="162"/>
      <c r="G3769" s="163"/>
      <c r="H3769" s="164"/>
      <c r="I3769" s="163"/>
      <c r="J3769" s="164"/>
      <c r="K3769" s="163"/>
      <c r="L3769" s="164"/>
      <c r="M3769" s="11"/>
      <c r="N3769" s="39"/>
      <c r="Q3769" s="15" t="str">
        <f>+CONCATENATE(E3767,K3767)</f>
        <v/>
      </c>
      <c r="R3769" s="15">
        <f>+L3767</f>
        <v>0</v>
      </c>
      <c r="S3769" s="16"/>
      <c r="T3769" s="15">
        <f>+E3767</f>
        <v>0</v>
      </c>
      <c r="U3769" s="26" t="str">
        <f>IFERROR(LEFT(K3767,FIND("*",K3767)-1),"-")</f>
        <v>-</v>
      </c>
      <c r="V3769" s="26" t="str">
        <f>IFERROR(RIGHT(K3767,LEN(K3767)-FIND("*",K3767)),"-")</f>
        <v>-</v>
      </c>
      <c r="W3769" s="27" t="str">
        <f t="shared" si="2050"/>
        <v>-</v>
      </c>
      <c r="X3769" s="27" t="str">
        <f>IFERROR(W3769*L3767,"-")</f>
        <v>-</v>
      </c>
      <c r="Z3769" s="94" t="s">
        <v>82</v>
      </c>
    </row>
    <row r="3770" spans="1:26" s="25" customFormat="1" ht="6.95" customHeight="1" x14ac:dyDescent="0.3">
      <c r="A3770" s="13"/>
      <c r="B3770" s="168"/>
      <c r="C3770" s="169"/>
      <c r="D3770" s="160" t="s">
        <v>39</v>
      </c>
      <c r="E3770" s="161"/>
      <c r="F3770" s="162" t="s">
        <v>40</v>
      </c>
      <c r="G3770" s="163"/>
      <c r="H3770" s="164"/>
      <c r="I3770" s="163"/>
      <c r="J3770" s="164"/>
      <c r="K3770" s="163"/>
      <c r="L3770" s="164"/>
      <c r="M3770" s="11"/>
      <c r="N3770" s="39"/>
      <c r="Q3770" s="15" t="str">
        <f>+CONCATENATE(E3770,G3770)</f>
        <v/>
      </c>
      <c r="R3770" s="15">
        <f>+H3770</f>
        <v>0</v>
      </c>
      <c r="S3770" s="16"/>
      <c r="T3770" s="15">
        <f>+E3770</f>
        <v>0</v>
      </c>
      <c r="U3770" s="26" t="str">
        <f t="shared" ref="U3770" si="2053">IFERROR(LEFT(G3770,FIND("*",G3770)-1),"-")</f>
        <v>-</v>
      </c>
      <c r="V3770" s="26" t="str">
        <f t="shared" ref="V3770" si="2054">IFERROR(RIGHT(G3770,LEN(G3770)-FIND("*",G3770)),"-")</f>
        <v>-</v>
      </c>
      <c r="W3770" s="27" t="str">
        <f t="shared" si="2050"/>
        <v>-</v>
      </c>
      <c r="X3770" s="27" t="str">
        <f>IFERROR(W3770*H3770,"-")</f>
        <v>-</v>
      </c>
      <c r="Z3770" s="94" t="s">
        <v>82</v>
      </c>
    </row>
    <row r="3771" spans="1:26" s="25" customFormat="1" ht="6.95" customHeight="1" x14ac:dyDescent="0.3">
      <c r="A3771" s="10"/>
      <c r="B3771" s="168"/>
      <c r="C3771" s="169"/>
      <c r="D3771" s="160"/>
      <c r="E3771" s="161"/>
      <c r="F3771" s="162"/>
      <c r="G3771" s="163"/>
      <c r="H3771" s="164"/>
      <c r="I3771" s="163"/>
      <c r="J3771" s="164"/>
      <c r="K3771" s="163"/>
      <c r="L3771" s="164"/>
      <c r="M3771" s="11"/>
      <c r="N3771" s="39"/>
      <c r="Q3771" s="15" t="str">
        <f>+CONCATENATE(E3770,I3770)</f>
        <v/>
      </c>
      <c r="R3771" s="15">
        <f>+J3770</f>
        <v>0</v>
      </c>
      <c r="S3771" s="16"/>
      <c r="T3771" s="15">
        <f>+E3770</f>
        <v>0</v>
      </c>
      <c r="U3771" s="26" t="str">
        <f>IFERROR(LEFT(I3770,FIND("*",I3770)-1),"-")</f>
        <v>-</v>
      </c>
      <c r="V3771" s="26" t="str">
        <f>IFERROR(RIGHT(I3770,LEN(I3770)-FIND("*",I3770)),"-")</f>
        <v>-</v>
      </c>
      <c r="W3771" s="27" t="str">
        <f t="shared" si="2050"/>
        <v>-</v>
      </c>
      <c r="X3771" s="27" t="str">
        <f t="shared" ref="X3771" si="2055">IFERROR(W3771*J3770,"-")</f>
        <v>-</v>
      </c>
      <c r="Z3771" s="94" t="s">
        <v>82</v>
      </c>
    </row>
    <row r="3772" spans="1:26" s="25" customFormat="1" ht="6.95" customHeight="1" x14ac:dyDescent="0.3">
      <c r="A3772" s="10"/>
      <c r="B3772" s="168"/>
      <c r="C3772" s="169"/>
      <c r="D3772" s="160"/>
      <c r="E3772" s="161"/>
      <c r="F3772" s="162"/>
      <c r="G3772" s="163"/>
      <c r="H3772" s="164"/>
      <c r="I3772" s="163"/>
      <c r="J3772" s="164"/>
      <c r="K3772" s="163"/>
      <c r="L3772" s="164"/>
      <c r="M3772" s="11"/>
      <c r="N3772" s="39"/>
      <c r="Q3772" s="15" t="str">
        <f>+CONCATENATE(E3770,K3770)</f>
        <v/>
      </c>
      <c r="R3772" s="15">
        <f>+L3770</f>
        <v>0</v>
      </c>
      <c r="S3772" s="16"/>
      <c r="T3772" s="15">
        <f>+E3770</f>
        <v>0</v>
      </c>
      <c r="U3772" s="26" t="str">
        <f>IFERROR(LEFT(K3770,FIND("*",K3770)-1),"-")</f>
        <v>-</v>
      </c>
      <c r="V3772" s="26" t="str">
        <f>IFERROR(RIGHT(K3770,LEN(K3770)-FIND("*",K3770)),"-")</f>
        <v>-</v>
      </c>
      <c r="W3772" s="27" t="str">
        <f t="shared" si="2050"/>
        <v>-</v>
      </c>
      <c r="X3772" s="27" t="str">
        <f>IFERROR(W3772*L3770,"-")</f>
        <v>-</v>
      </c>
      <c r="Z3772" s="94" t="s">
        <v>82</v>
      </c>
    </row>
    <row r="3773" spans="1:26" s="25" customFormat="1" ht="21" customHeight="1" thickBot="1" x14ac:dyDescent="0.35">
      <c r="A3773" s="10"/>
      <c r="B3773" s="170"/>
      <c r="C3773" s="171"/>
      <c r="D3773" s="172" t="s">
        <v>43</v>
      </c>
      <c r="E3773" s="173"/>
      <c r="F3773" s="173"/>
      <c r="G3773" s="174"/>
      <c r="H3773" s="174"/>
      <c r="I3773" s="174"/>
      <c r="J3773" s="174"/>
      <c r="K3773" s="174"/>
      <c r="L3773" s="174"/>
      <c r="M3773" s="12"/>
      <c r="N3773" s="39"/>
      <c r="U3773" s="23"/>
      <c r="V3773" s="23"/>
      <c r="Z3773" s="95" t="s">
        <v>81</v>
      </c>
    </row>
    <row r="3774" spans="1:26" s="25" customFormat="1" ht="9.9499999999999993" customHeight="1" thickBot="1" x14ac:dyDescent="0.35">
      <c r="A3774" s="6"/>
      <c r="B3774" s="14"/>
      <c r="C3774" s="119"/>
      <c r="D3774" s="58"/>
      <c r="E3774" s="17"/>
      <c r="F3774" s="58"/>
      <c r="G3774" s="19"/>
      <c r="H3774" s="19"/>
      <c r="I3774" s="19"/>
      <c r="J3774" s="19"/>
      <c r="K3774" s="19"/>
      <c r="L3774" s="19"/>
      <c r="M3774" s="14"/>
      <c r="N3774" s="39"/>
      <c r="Q3774" s="1"/>
      <c r="R3774" s="1"/>
      <c r="S3774" s="1"/>
      <c r="T3774" s="1"/>
      <c r="U3774" s="24"/>
      <c r="V3774" s="24"/>
      <c r="W3774" s="1"/>
      <c r="X3774" s="1"/>
      <c r="Z3774" s="94" t="s">
        <v>82</v>
      </c>
    </row>
    <row r="3775" spans="1:26" s="25" customFormat="1" ht="6.95" customHeight="1" x14ac:dyDescent="0.3">
      <c r="A3775" s="165">
        <f>+A3764+1</f>
        <v>344</v>
      </c>
      <c r="B3775" s="166"/>
      <c r="C3775" s="167"/>
      <c r="D3775" s="160" t="s">
        <v>39</v>
      </c>
      <c r="E3775" s="161"/>
      <c r="F3775" s="162" t="s">
        <v>40</v>
      </c>
      <c r="G3775" s="163"/>
      <c r="H3775" s="164"/>
      <c r="I3775" s="163"/>
      <c r="J3775" s="164"/>
      <c r="K3775" s="163"/>
      <c r="L3775" s="164"/>
      <c r="M3775" s="11"/>
      <c r="N3775" s="39"/>
      <c r="Q3775" s="15" t="str">
        <f>+CONCATENATE(E3775,G3775)</f>
        <v/>
      </c>
      <c r="R3775" s="15">
        <f>+H3775</f>
        <v>0</v>
      </c>
      <c r="S3775" s="16"/>
      <c r="T3775" s="15">
        <f>+E3775</f>
        <v>0</v>
      </c>
      <c r="U3775" s="26" t="str">
        <f>IFERROR(LEFT(G3775,FIND("*",G3775)-1),"-")</f>
        <v>-</v>
      </c>
      <c r="V3775" s="26" t="str">
        <f>IFERROR(RIGHT(G3775,LEN(G3775)-FIND("*",G3775)),"-")</f>
        <v>-</v>
      </c>
      <c r="W3775" s="27" t="str">
        <f>IFERROR((U3775+V3775)*2/1000,"-")</f>
        <v>-</v>
      </c>
      <c r="X3775" s="27" t="str">
        <f>IFERROR(W3775*H3775,"-")</f>
        <v>-</v>
      </c>
      <c r="Z3775" s="94" t="s">
        <v>82</v>
      </c>
    </row>
    <row r="3776" spans="1:26" s="25" customFormat="1" ht="6.95" customHeight="1" x14ac:dyDescent="0.3">
      <c r="A3776" s="165"/>
      <c r="B3776" s="168"/>
      <c r="C3776" s="169"/>
      <c r="D3776" s="160"/>
      <c r="E3776" s="161"/>
      <c r="F3776" s="162"/>
      <c r="G3776" s="163"/>
      <c r="H3776" s="164"/>
      <c r="I3776" s="163"/>
      <c r="J3776" s="164"/>
      <c r="K3776" s="163"/>
      <c r="L3776" s="164"/>
      <c r="M3776" s="11"/>
      <c r="N3776" s="39"/>
      <c r="Q3776" s="15" t="str">
        <f>+CONCATENATE(E3775,I3775)</f>
        <v/>
      </c>
      <c r="R3776" s="15">
        <f>+J3775</f>
        <v>0</v>
      </c>
      <c r="S3776" s="16"/>
      <c r="T3776" s="15">
        <f>+E3775</f>
        <v>0</v>
      </c>
      <c r="U3776" s="26" t="str">
        <f>IFERROR(LEFT(I3775,FIND("*",I3775)-1),"-")</f>
        <v>-</v>
      </c>
      <c r="V3776" s="26" t="str">
        <f>IFERROR(RIGHT(I3775,LEN(I3775)-FIND("*",I3775)),"-")</f>
        <v>-</v>
      </c>
      <c r="W3776" s="27" t="str">
        <f t="shared" ref="W3776:W3783" si="2056">IFERROR((U3776+V3776)*2/1000,"-")</f>
        <v>-</v>
      </c>
      <c r="X3776" s="27" t="str">
        <f>IFERROR(W3776*J3775,"-")</f>
        <v>-</v>
      </c>
      <c r="Z3776" s="94" t="s">
        <v>82</v>
      </c>
    </row>
    <row r="3777" spans="1:26" s="25" customFormat="1" ht="6.95" customHeight="1" x14ac:dyDescent="0.3">
      <c r="A3777" s="165"/>
      <c r="B3777" s="168"/>
      <c r="C3777" s="169"/>
      <c r="D3777" s="160"/>
      <c r="E3777" s="161"/>
      <c r="F3777" s="162"/>
      <c r="G3777" s="163"/>
      <c r="H3777" s="164"/>
      <c r="I3777" s="163"/>
      <c r="J3777" s="164"/>
      <c r="K3777" s="163"/>
      <c r="L3777" s="164"/>
      <c r="M3777" s="11"/>
      <c r="N3777" s="39"/>
      <c r="Q3777" s="15" t="str">
        <f>+CONCATENATE(E3775,K3775)</f>
        <v/>
      </c>
      <c r="R3777" s="15">
        <f>+L3775</f>
        <v>0</v>
      </c>
      <c r="S3777" s="16"/>
      <c r="T3777" s="15">
        <f>+E3775</f>
        <v>0</v>
      </c>
      <c r="U3777" s="26" t="str">
        <f>IFERROR(LEFT(K3775,FIND("*",K3775)-1),"-")</f>
        <v>-</v>
      </c>
      <c r="V3777" s="26" t="str">
        <f>IFERROR(RIGHT(K3775,LEN(K3775)-FIND("*",K3775)),"-")</f>
        <v>-</v>
      </c>
      <c r="W3777" s="27" t="str">
        <f t="shared" si="2056"/>
        <v>-</v>
      </c>
      <c r="X3777" s="27" t="str">
        <f>IFERROR(W3777*L3775,"-")</f>
        <v>-</v>
      </c>
      <c r="Z3777" s="94" t="s">
        <v>82</v>
      </c>
    </row>
    <row r="3778" spans="1:26" s="25" customFormat="1" ht="6.95" customHeight="1" x14ac:dyDescent="0.3">
      <c r="A3778" s="13"/>
      <c r="B3778" s="168"/>
      <c r="C3778" s="169"/>
      <c r="D3778" s="160" t="s">
        <v>39</v>
      </c>
      <c r="E3778" s="161"/>
      <c r="F3778" s="162" t="s">
        <v>40</v>
      </c>
      <c r="G3778" s="163"/>
      <c r="H3778" s="164"/>
      <c r="I3778" s="163"/>
      <c r="J3778" s="164"/>
      <c r="K3778" s="163"/>
      <c r="L3778" s="164"/>
      <c r="M3778" s="11"/>
      <c r="N3778" s="39"/>
      <c r="Q3778" s="15" t="str">
        <f>+CONCATENATE(E3778,G3778)</f>
        <v/>
      </c>
      <c r="R3778" s="15">
        <f>+H3778</f>
        <v>0</v>
      </c>
      <c r="S3778" s="16"/>
      <c r="T3778" s="15">
        <f>+E3778</f>
        <v>0</v>
      </c>
      <c r="U3778" s="26" t="str">
        <f t="shared" ref="U3778" si="2057">IFERROR(LEFT(G3778,FIND("*",G3778)-1),"-")</f>
        <v>-</v>
      </c>
      <c r="V3778" s="26" t="str">
        <f t="shared" ref="V3778" si="2058">IFERROR(RIGHT(G3778,LEN(G3778)-FIND("*",G3778)),"-")</f>
        <v>-</v>
      </c>
      <c r="W3778" s="27" t="str">
        <f t="shared" si="2056"/>
        <v>-</v>
      </c>
      <c r="X3778" s="27" t="str">
        <f>IFERROR(W3778*H3778,"-")</f>
        <v>-</v>
      </c>
      <c r="Z3778" s="94" t="s">
        <v>82</v>
      </c>
    </row>
    <row r="3779" spans="1:26" s="25" customFormat="1" ht="6.95" customHeight="1" x14ac:dyDescent="0.3">
      <c r="A3779" s="10"/>
      <c r="B3779" s="168"/>
      <c r="C3779" s="169"/>
      <c r="D3779" s="160"/>
      <c r="E3779" s="161"/>
      <c r="F3779" s="162"/>
      <c r="G3779" s="163"/>
      <c r="H3779" s="164"/>
      <c r="I3779" s="163"/>
      <c r="J3779" s="164"/>
      <c r="K3779" s="163"/>
      <c r="L3779" s="164"/>
      <c r="M3779" s="11"/>
      <c r="N3779" s="39"/>
      <c r="Q3779" s="15" t="str">
        <f>+CONCATENATE(E3778,I3778)</f>
        <v/>
      </c>
      <c r="R3779" s="15">
        <f>+J3778</f>
        <v>0</v>
      </c>
      <c r="S3779" s="16"/>
      <c r="T3779" s="15">
        <f>+E3778</f>
        <v>0</v>
      </c>
      <c r="U3779" s="26" t="str">
        <f>IFERROR(LEFT(I3778,FIND("*",I3778)-1),"-")</f>
        <v>-</v>
      </c>
      <c r="V3779" s="26" t="str">
        <f>IFERROR(RIGHT(I3778,LEN(I3778)-FIND("*",I3778)),"-")</f>
        <v>-</v>
      </c>
      <c r="W3779" s="27" t="str">
        <f t="shared" si="2056"/>
        <v>-</v>
      </c>
      <c r="X3779" s="27" t="str">
        <f>IFERROR(W3779*J3778,"-")</f>
        <v>-</v>
      </c>
      <c r="Z3779" s="94" t="s">
        <v>82</v>
      </c>
    </row>
    <row r="3780" spans="1:26" s="25" customFormat="1" ht="6.95" customHeight="1" x14ac:dyDescent="0.3">
      <c r="A3780" s="10"/>
      <c r="B3780" s="168"/>
      <c r="C3780" s="169"/>
      <c r="D3780" s="160"/>
      <c r="E3780" s="161"/>
      <c r="F3780" s="162"/>
      <c r="G3780" s="163"/>
      <c r="H3780" s="164"/>
      <c r="I3780" s="163"/>
      <c r="J3780" s="164"/>
      <c r="K3780" s="163"/>
      <c r="L3780" s="164"/>
      <c r="M3780" s="11"/>
      <c r="N3780" s="39"/>
      <c r="Q3780" s="15" t="str">
        <f>+CONCATENATE(E3778,K3778)</f>
        <v/>
      </c>
      <c r="R3780" s="15">
        <f>+L3778</f>
        <v>0</v>
      </c>
      <c r="S3780" s="16"/>
      <c r="T3780" s="15">
        <f>+E3778</f>
        <v>0</v>
      </c>
      <c r="U3780" s="26" t="str">
        <f>IFERROR(LEFT(K3778,FIND("*",K3778)-1),"-")</f>
        <v>-</v>
      </c>
      <c r="V3780" s="26" t="str">
        <f>IFERROR(RIGHT(K3778,LEN(K3778)-FIND("*",K3778)),"-")</f>
        <v>-</v>
      </c>
      <c r="W3780" s="27" t="str">
        <f t="shared" si="2056"/>
        <v>-</v>
      </c>
      <c r="X3780" s="27" t="str">
        <f>IFERROR(W3780*L3778,"-")</f>
        <v>-</v>
      </c>
      <c r="Z3780" s="94" t="s">
        <v>82</v>
      </c>
    </row>
    <row r="3781" spans="1:26" s="25" customFormat="1" ht="6.95" customHeight="1" x14ac:dyDescent="0.3">
      <c r="A3781" s="13"/>
      <c r="B3781" s="168"/>
      <c r="C3781" s="169"/>
      <c r="D3781" s="160" t="s">
        <v>39</v>
      </c>
      <c r="E3781" s="161"/>
      <c r="F3781" s="162" t="s">
        <v>40</v>
      </c>
      <c r="G3781" s="163"/>
      <c r="H3781" s="164"/>
      <c r="I3781" s="163"/>
      <c r="J3781" s="164"/>
      <c r="K3781" s="163"/>
      <c r="L3781" s="164"/>
      <c r="M3781" s="11"/>
      <c r="N3781" s="39"/>
      <c r="Q3781" s="15" t="str">
        <f>+CONCATENATE(E3781,G3781)</f>
        <v/>
      </c>
      <c r="R3781" s="15">
        <f>+H3781</f>
        <v>0</v>
      </c>
      <c r="S3781" s="16"/>
      <c r="T3781" s="15">
        <f>+E3781</f>
        <v>0</v>
      </c>
      <c r="U3781" s="26" t="str">
        <f t="shared" ref="U3781" si="2059">IFERROR(LEFT(G3781,FIND("*",G3781)-1),"-")</f>
        <v>-</v>
      </c>
      <c r="V3781" s="26" t="str">
        <f t="shared" ref="V3781" si="2060">IFERROR(RIGHT(G3781,LEN(G3781)-FIND("*",G3781)),"-")</f>
        <v>-</v>
      </c>
      <c r="W3781" s="27" t="str">
        <f t="shared" si="2056"/>
        <v>-</v>
      </c>
      <c r="X3781" s="27" t="str">
        <f>IFERROR(W3781*H3781,"-")</f>
        <v>-</v>
      </c>
      <c r="Z3781" s="94" t="s">
        <v>82</v>
      </c>
    </row>
    <row r="3782" spans="1:26" s="25" customFormat="1" ht="6.95" customHeight="1" x14ac:dyDescent="0.3">
      <c r="A3782" s="10"/>
      <c r="B3782" s="168"/>
      <c r="C3782" s="169"/>
      <c r="D3782" s="160"/>
      <c r="E3782" s="161"/>
      <c r="F3782" s="162"/>
      <c r="G3782" s="163"/>
      <c r="H3782" s="164"/>
      <c r="I3782" s="163"/>
      <c r="J3782" s="164"/>
      <c r="K3782" s="163"/>
      <c r="L3782" s="164"/>
      <c r="M3782" s="11"/>
      <c r="N3782" s="39"/>
      <c r="Q3782" s="15" t="str">
        <f>+CONCATENATE(E3781,I3781)</f>
        <v/>
      </c>
      <c r="R3782" s="15">
        <f>+J3781</f>
        <v>0</v>
      </c>
      <c r="S3782" s="16"/>
      <c r="T3782" s="15">
        <f>+E3781</f>
        <v>0</v>
      </c>
      <c r="U3782" s="26" t="str">
        <f>IFERROR(LEFT(I3781,FIND("*",I3781)-1),"-")</f>
        <v>-</v>
      </c>
      <c r="V3782" s="26" t="str">
        <f>IFERROR(RIGHT(I3781,LEN(I3781)-FIND("*",I3781)),"-")</f>
        <v>-</v>
      </c>
      <c r="W3782" s="27" t="str">
        <f t="shared" si="2056"/>
        <v>-</v>
      </c>
      <c r="X3782" s="27" t="str">
        <f t="shared" ref="X3782" si="2061">IFERROR(W3782*J3781,"-")</f>
        <v>-</v>
      </c>
      <c r="Z3782" s="94" t="s">
        <v>82</v>
      </c>
    </row>
    <row r="3783" spans="1:26" s="25" customFormat="1" ht="6.95" customHeight="1" x14ac:dyDescent="0.3">
      <c r="A3783" s="10"/>
      <c r="B3783" s="168"/>
      <c r="C3783" s="169"/>
      <c r="D3783" s="160"/>
      <c r="E3783" s="161"/>
      <c r="F3783" s="162"/>
      <c r="G3783" s="163"/>
      <c r="H3783" s="164"/>
      <c r="I3783" s="163"/>
      <c r="J3783" s="164"/>
      <c r="K3783" s="163"/>
      <c r="L3783" s="164"/>
      <c r="M3783" s="11"/>
      <c r="N3783" s="39"/>
      <c r="Q3783" s="15" t="str">
        <f>+CONCATENATE(E3781,K3781)</f>
        <v/>
      </c>
      <c r="R3783" s="15">
        <f>+L3781</f>
        <v>0</v>
      </c>
      <c r="S3783" s="16"/>
      <c r="T3783" s="15">
        <f>+E3781</f>
        <v>0</v>
      </c>
      <c r="U3783" s="26" t="str">
        <f>IFERROR(LEFT(K3781,FIND("*",K3781)-1),"-")</f>
        <v>-</v>
      </c>
      <c r="V3783" s="26" t="str">
        <f>IFERROR(RIGHT(K3781,LEN(K3781)-FIND("*",K3781)),"-")</f>
        <v>-</v>
      </c>
      <c r="W3783" s="27" t="str">
        <f t="shared" si="2056"/>
        <v>-</v>
      </c>
      <c r="X3783" s="27" t="str">
        <f>IFERROR(W3783*L3781,"-")</f>
        <v>-</v>
      </c>
      <c r="Z3783" s="94" t="s">
        <v>82</v>
      </c>
    </row>
    <row r="3784" spans="1:26" s="25" customFormat="1" ht="21" customHeight="1" thickBot="1" x14ac:dyDescent="0.35">
      <c r="A3784" s="10"/>
      <c r="B3784" s="170"/>
      <c r="C3784" s="171"/>
      <c r="D3784" s="172" t="s">
        <v>43</v>
      </c>
      <c r="E3784" s="173"/>
      <c r="F3784" s="173"/>
      <c r="G3784" s="174"/>
      <c r="H3784" s="174"/>
      <c r="I3784" s="174"/>
      <c r="J3784" s="174"/>
      <c r="K3784" s="174"/>
      <c r="L3784" s="174"/>
      <c r="M3784" s="12"/>
      <c r="N3784" s="39"/>
      <c r="U3784" s="23"/>
      <c r="V3784" s="23"/>
      <c r="Z3784" s="95" t="s">
        <v>81</v>
      </c>
    </row>
    <row r="3785" spans="1:26" s="25" customFormat="1" ht="9.9499999999999993" customHeight="1" thickBot="1" x14ac:dyDescent="0.35">
      <c r="A3785" s="6"/>
      <c r="B3785" s="14"/>
      <c r="C3785" s="119"/>
      <c r="D3785" s="58"/>
      <c r="E3785" s="17"/>
      <c r="F3785" s="58"/>
      <c r="G3785" s="19"/>
      <c r="H3785" s="19"/>
      <c r="I3785" s="19"/>
      <c r="J3785" s="19"/>
      <c r="K3785" s="19"/>
      <c r="L3785" s="19"/>
      <c r="M3785" s="14"/>
      <c r="N3785" s="39"/>
      <c r="Q3785" s="1"/>
      <c r="R3785" s="1"/>
      <c r="S3785" s="1"/>
      <c r="T3785" s="1"/>
      <c r="U3785" s="24"/>
      <c r="V3785" s="24"/>
      <c r="W3785" s="1"/>
      <c r="X3785" s="1"/>
      <c r="Z3785" s="94" t="s">
        <v>82</v>
      </c>
    </row>
    <row r="3786" spans="1:26" s="25" customFormat="1" ht="6.95" customHeight="1" x14ac:dyDescent="0.3">
      <c r="A3786" s="165">
        <f>+A3775+1</f>
        <v>345</v>
      </c>
      <c r="B3786" s="166"/>
      <c r="C3786" s="167"/>
      <c r="D3786" s="160" t="s">
        <v>39</v>
      </c>
      <c r="E3786" s="161"/>
      <c r="F3786" s="162" t="s">
        <v>40</v>
      </c>
      <c r="G3786" s="163"/>
      <c r="H3786" s="164"/>
      <c r="I3786" s="163"/>
      <c r="J3786" s="164"/>
      <c r="K3786" s="163"/>
      <c r="L3786" s="164"/>
      <c r="M3786" s="11"/>
      <c r="N3786" s="39"/>
      <c r="Q3786" s="15" t="str">
        <f>+CONCATENATE(E3786,G3786)</f>
        <v/>
      </c>
      <c r="R3786" s="15">
        <f>+H3786</f>
        <v>0</v>
      </c>
      <c r="S3786" s="16"/>
      <c r="T3786" s="15">
        <f>+E3786</f>
        <v>0</v>
      </c>
      <c r="U3786" s="26" t="str">
        <f>IFERROR(LEFT(G3786,FIND("*",G3786)-1),"-")</f>
        <v>-</v>
      </c>
      <c r="V3786" s="26" t="str">
        <f>IFERROR(RIGHT(G3786,LEN(G3786)-FIND("*",G3786)),"-")</f>
        <v>-</v>
      </c>
      <c r="W3786" s="27" t="str">
        <f>IFERROR((U3786+V3786)*2/1000,"-")</f>
        <v>-</v>
      </c>
      <c r="X3786" s="27" t="str">
        <f>IFERROR(W3786*H3786,"-")</f>
        <v>-</v>
      </c>
      <c r="Z3786" s="94" t="s">
        <v>82</v>
      </c>
    </row>
    <row r="3787" spans="1:26" s="25" customFormat="1" ht="6.95" customHeight="1" x14ac:dyDescent="0.3">
      <c r="A3787" s="165"/>
      <c r="B3787" s="168"/>
      <c r="C3787" s="169"/>
      <c r="D3787" s="160"/>
      <c r="E3787" s="161"/>
      <c r="F3787" s="162"/>
      <c r="G3787" s="163"/>
      <c r="H3787" s="164"/>
      <c r="I3787" s="163"/>
      <c r="J3787" s="164"/>
      <c r="K3787" s="163"/>
      <c r="L3787" s="164"/>
      <c r="M3787" s="11"/>
      <c r="N3787" s="39"/>
      <c r="Q3787" s="15" t="str">
        <f>+CONCATENATE(E3786,I3786)</f>
        <v/>
      </c>
      <c r="R3787" s="15">
        <f>+J3786</f>
        <v>0</v>
      </c>
      <c r="S3787" s="16"/>
      <c r="T3787" s="15">
        <f>+E3786</f>
        <v>0</v>
      </c>
      <c r="U3787" s="26" t="str">
        <f>IFERROR(LEFT(I3786,FIND("*",I3786)-1),"-")</f>
        <v>-</v>
      </c>
      <c r="V3787" s="26" t="str">
        <f>IFERROR(RIGHT(I3786,LEN(I3786)-FIND("*",I3786)),"-")</f>
        <v>-</v>
      </c>
      <c r="W3787" s="27" t="str">
        <f t="shared" ref="W3787:W3794" si="2062">IFERROR((U3787+V3787)*2/1000,"-")</f>
        <v>-</v>
      </c>
      <c r="X3787" s="27" t="str">
        <f>IFERROR(W3787*J3786,"-")</f>
        <v>-</v>
      </c>
      <c r="Z3787" s="94" t="s">
        <v>82</v>
      </c>
    </row>
    <row r="3788" spans="1:26" s="25" customFormat="1" ht="6.95" customHeight="1" x14ac:dyDescent="0.3">
      <c r="A3788" s="165"/>
      <c r="B3788" s="168"/>
      <c r="C3788" s="169"/>
      <c r="D3788" s="160"/>
      <c r="E3788" s="161"/>
      <c r="F3788" s="162"/>
      <c r="G3788" s="163"/>
      <c r="H3788" s="164"/>
      <c r="I3788" s="163"/>
      <c r="J3788" s="164"/>
      <c r="K3788" s="163"/>
      <c r="L3788" s="164"/>
      <c r="M3788" s="11"/>
      <c r="N3788" s="39"/>
      <c r="Q3788" s="15" t="str">
        <f>+CONCATENATE(E3786,K3786)</f>
        <v/>
      </c>
      <c r="R3788" s="15">
        <f>+L3786</f>
        <v>0</v>
      </c>
      <c r="S3788" s="16"/>
      <c r="T3788" s="15">
        <f>+E3786</f>
        <v>0</v>
      </c>
      <c r="U3788" s="26" t="str">
        <f>IFERROR(LEFT(K3786,FIND("*",K3786)-1),"-")</f>
        <v>-</v>
      </c>
      <c r="V3788" s="26" t="str">
        <f>IFERROR(RIGHT(K3786,LEN(K3786)-FIND("*",K3786)),"-")</f>
        <v>-</v>
      </c>
      <c r="W3788" s="27" t="str">
        <f t="shared" si="2062"/>
        <v>-</v>
      </c>
      <c r="X3788" s="27" t="str">
        <f>IFERROR(W3788*L3786,"-")</f>
        <v>-</v>
      </c>
      <c r="Z3788" s="94" t="s">
        <v>82</v>
      </c>
    </row>
    <row r="3789" spans="1:26" s="25" customFormat="1" ht="6.95" customHeight="1" x14ac:dyDescent="0.3">
      <c r="A3789" s="13"/>
      <c r="B3789" s="168"/>
      <c r="C3789" s="169"/>
      <c r="D3789" s="160" t="s">
        <v>39</v>
      </c>
      <c r="E3789" s="161"/>
      <c r="F3789" s="162" t="s">
        <v>40</v>
      </c>
      <c r="G3789" s="163"/>
      <c r="H3789" s="164"/>
      <c r="I3789" s="163"/>
      <c r="J3789" s="164"/>
      <c r="K3789" s="163"/>
      <c r="L3789" s="164"/>
      <c r="M3789" s="11"/>
      <c r="N3789" s="39"/>
      <c r="Q3789" s="15" t="str">
        <f>+CONCATENATE(E3789,G3789)</f>
        <v/>
      </c>
      <c r="R3789" s="15">
        <f>+H3789</f>
        <v>0</v>
      </c>
      <c r="S3789" s="16"/>
      <c r="T3789" s="15">
        <f>+E3789</f>
        <v>0</v>
      </c>
      <c r="U3789" s="26" t="str">
        <f t="shared" ref="U3789" si="2063">IFERROR(LEFT(G3789,FIND("*",G3789)-1),"-")</f>
        <v>-</v>
      </c>
      <c r="V3789" s="26" t="str">
        <f t="shared" ref="V3789" si="2064">IFERROR(RIGHT(G3789,LEN(G3789)-FIND("*",G3789)),"-")</f>
        <v>-</v>
      </c>
      <c r="W3789" s="27" t="str">
        <f t="shared" si="2062"/>
        <v>-</v>
      </c>
      <c r="X3789" s="27" t="str">
        <f>IFERROR(W3789*H3789,"-")</f>
        <v>-</v>
      </c>
      <c r="Z3789" s="94" t="s">
        <v>82</v>
      </c>
    </row>
    <row r="3790" spans="1:26" s="25" customFormat="1" ht="6.95" customHeight="1" x14ac:dyDescent="0.3">
      <c r="A3790" s="10"/>
      <c r="B3790" s="168"/>
      <c r="C3790" s="169"/>
      <c r="D3790" s="160"/>
      <c r="E3790" s="161"/>
      <c r="F3790" s="162"/>
      <c r="G3790" s="163"/>
      <c r="H3790" s="164"/>
      <c r="I3790" s="163"/>
      <c r="J3790" s="164"/>
      <c r="K3790" s="163"/>
      <c r="L3790" s="164"/>
      <c r="M3790" s="11"/>
      <c r="N3790" s="39"/>
      <c r="Q3790" s="15" t="str">
        <f>+CONCATENATE(E3789,I3789)</f>
        <v/>
      </c>
      <c r="R3790" s="15">
        <f>+J3789</f>
        <v>0</v>
      </c>
      <c r="S3790" s="16"/>
      <c r="T3790" s="15">
        <f>+E3789</f>
        <v>0</v>
      </c>
      <c r="U3790" s="26" t="str">
        <f>IFERROR(LEFT(I3789,FIND("*",I3789)-1),"-")</f>
        <v>-</v>
      </c>
      <c r="V3790" s="26" t="str">
        <f>IFERROR(RIGHT(I3789,LEN(I3789)-FIND("*",I3789)),"-")</f>
        <v>-</v>
      </c>
      <c r="W3790" s="27" t="str">
        <f t="shared" si="2062"/>
        <v>-</v>
      </c>
      <c r="X3790" s="27" t="str">
        <f>IFERROR(W3790*J3789,"-")</f>
        <v>-</v>
      </c>
      <c r="Z3790" s="94" t="s">
        <v>82</v>
      </c>
    </row>
    <row r="3791" spans="1:26" s="25" customFormat="1" ht="6.95" customHeight="1" x14ac:dyDescent="0.3">
      <c r="A3791" s="10"/>
      <c r="B3791" s="168"/>
      <c r="C3791" s="169"/>
      <c r="D3791" s="160"/>
      <c r="E3791" s="161"/>
      <c r="F3791" s="162"/>
      <c r="G3791" s="163"/>
      <c r="H3791" s="164"/>
      <c r="I3791" s="163"/>
      <c r="J3791" s="164"/>
      <c r="K3791" s="163"/>
      <c r="L3791" s="164"/>
      <c r="M3791" s="11"/>
      <c r="N3791" s="39"/>
      <c r="Q3791" s="15" t="str">
        <f>+CONCATENATE(E3789,K3789)</f>
        <v/>
      </c>
      <c r="R3791" s="15">
        <f>+L3789</f>
        <v>0</v>
      </c>
      <c r="S3791" s="16"/>
      <c r="T3791" s="15">
        <f>+E3789</f>
        <v>0</v>
      </c>
      <c r="U3791" s="26" t="str">
        <f>IFERROR(LEFT(K3789,FIND("*",K3789)-1),"-")</f>
        <v>-</v>
      </c>
      <c r="V3791" s="26" t="str">
        <f>IFERROR(RIGHT(K3789,LEN(K3789)-FIND("*",K3789)),"-")</f>
        <v>-</v>
      </c>
      <c r="W3791" s="27" t="str">
        <f t="shared" si="2062"/>
        <v>-</v>
      </c>
      <c r="X3791" s="27" t="str">
        <f>IFERROR(W3791*L3789,"-")</f>
        <v>-</v>
      </c>
      <c r="Z3791" s="94" t="s">
        <v>82</v>
      </c>
    </row>
    <row r="3792" spans="1:26" s="25" customFormat="1" ht="6.95" customHeight="1" x14ac:dyDescent="0.3">
      <c r="A3792" s="13"/>
      <c r="B3792" s="168"/>
      <c r="C3792" s="169"/>
      <c r="D3792" s="160" t="s">
        <v>39</v>
      </c>
      <c r="E3792" s="161"/>
      <c r="F3792" s="162" t="s">
        <v>40</v>
      </c>
      <c r="G3792" s="163"/>
      <c r="H3792" s="164"/>
      <c r="I3792" s="163"/>
      <c r="J3792" s="164"/>
      <c r="K3792" s="163"/>
      <c r="L3792" s="164"/>
      <c r="M3792" s="11"/>
      <c r="N3792" s="39"/>
      <c r="Q3792" s="15" t="str">
        <f>+CONCATENATE(E3792,G3792)</f>
        <v/>
      </c>
      <c r="R3792" s="15">
        <f>+H3792</f>
        <v>0</v>
      </c>
      <c r="S3792" s="16"/>
      <c r="T3792" s="15">
        <f>+E3792</f>
        <v>0</v>
      </c>
      <c r="U3792" s="26" t="str">
        <f t="shared" ref="U3792" si="2065">IFERROR(LEFT(G3792,FIND("*",G3792)-1),"-")</f>
        <v>-</v>
      </c>
      <c r="V3792" s="26" t="str">
        <f t="shared" ref="V3792" si="2066">IFERROR(RIGHT(G3792,LEN(G3792)-FIND("*",G3792)),"-")</f>
        <v>-</v>
      </c>
      <c r="W3792" s="27" t="str">
        <f t="shared" si="2062"/>
        <v>-</v>
      </c>
      <c r="X3792" s="27" t="str">
        <f>IFERROR(W3792*H3792,"-")</f>
        <v>-</v>
      </c>
      <c r="Z3792" s="94" t="s">
        <v>82</v>
      </c>
    </row>
    <row r="3793" spans="1:26" s="25" customFormat="1" ht="6.95" customHeight="1" x14ac:dyDescent="0.3">
      <c r="A3793" s="10"/>
      <c r="B3793" s="168"/>
      <c r="C3793" s="169"/>
      <c r="D3793" s="160"/>
      <c r="E3793" s="161"/>
      <c r="F3793" s="162"/>
      <c r="G3793" s="163"/>
      <c r="H3793" s="164"/>
      <c r="I3793" s="163"/>
      <c r="J3793" s="164"/>
      <c r="K3793" s="163"/>
      <c r="L3793" s="164"/>
      <c r="M3793" s="11"/>
      <c r="N3793" s="39"/>
      <c r="Q3793" s="15" t="str">
        <f>+CONCATENATE(E3792,I3792)</f>
        <v/>
      </c>
      <c r="R3793" s="15">
        <f>+J3792</f>
        <v>0</v>
      </c>
      <c r="S3793" s="16"/>
      <c r="T3793" s="15">
        <f>+E3792</f>
        <v>0</v>
      </c>
      <c r="U3793" s="26" t="str">
        <f>IFERROR(LEFT(I3792,FIND("*",I3792)-1),"-")</f>
        <v>-</v>
      </c>
      <c r="V3793" s="26" t="str">
        <f>IFERROR(RIGHT(I3792,LEN(I3792)-FIND("*",I3792)),"-")</f>
        <v>-</v>
      </c>
      <c r="W3793" s="27" t="str">
        <f t="shared" si="2062"/>
        <v>-</v>
      </c>
      <c r="X3793" s="27" t="str">
        <f t="shared" ref="X3793" si="2067">IFERROR(W3793*J3792,"-")</f>
        <v>-</v>
      </c>
      <c r="Z3793" s="94" t="s">
        <v>82</v>
      </c>
    </row>
    <row r="3794" spans="1:26" s="25" customFormat="1" ht="6.95" customHeight="1" x14ac:dyDescent="0.3">
      <c r="A3794" s="10"/>
      <c r="B3794" s="168"/>
      <c r="C3794" s="169"/>
      <c r="D3794" s="160"/>
      <c r="E3794" s="161"/>
      <c r="F3794" s="162"/>
      <c r="G3794" s="163"/>
      <c r="H3794" s="164"/>
      <c r="I3794" s="163"/>
      <c r="J3794" s="164"/>
      <c r="K3794" s="163"/>
      <c r="L3794" s="164"/>
      <c r="M3794" s="11"/>
      <c r="N3794" s="39"/>
      <c r="Q3794" s="15" t="str">
        <f>+CONCATENATE(E3792,K3792)</f>
        <v/>
      </c>
      <c r="R3794" s="15">
        <f>+L3792</f>
        <v>0</v>
      </c>
      <c r="S3794" s="16"/>
      <c r="T3794" s="15">
        <f>+E3792</f>
        <v>0</v>
      </c>
      <c r="U3794" s="26" t="str">
        <f>IFERROR(LEFT(K3792,FIND("*",K3792)-1),"-")</f>
        <v>-</v>
      </c>
      <c r="V3794" s="26" t="str">
        <f>IFERROR(RIGHT(K3792,LEN(K3792)-FIND("*",K3792)),"-")</f>
        <v>-</v>
      </c>
      <c r="W3794" s="27" t="str">
        <f t="shared" si="2062"/>
        <v>-</v>
      </c>
      <c r="X3794" s="27" t="str">
        <f>IFERROR(W3794*L3792,"-")</f>
        <v>-</v>
      </c>
      <c r="Z3794" s="94" t="s">
        <v>82</v>
      </c>
    </row>
    <row r="3795" spans="1:26" s="25" customFormat="1" ht="21" customHeight="1" thickBot="1" x14ac:dyDescent="0.35">
      <c r="A3795" s="10"/>
      <c r="B3795" s="170"/>
      <c r="C3795" s="171"/>
      <c r="D3795" s="172" t="s">
        <v>43</v>
      </c>
      <c r="E3795" s="173"/>
      <c r="F3795" s="173"/>
      <c r="G3795" s="174"/>
      <c r="H3795" s="174"/>
      <c r="I3795" s="174"/>
      <c r="J3795" s="174"/>
      <c r="K3795" s="174"/>
      <c r="L3795" s="174"/>
      <c r="M3795" s="12"/>
      <c r="N3795" s="39"/>
      <c r="U3795" s="23"/>
      <c r="V3795" s="23"/>
      <c r="Z3795" s="95" t="s">
        <v>81</v>
      </c>
    </row>
    <row r="3796" spans="1:26" s="25" customFormat="1" ht="9.9499999999999993" customHeight="1" thickBot="1" x14ac:dyDescent="0.35">
      <c r="A3796" s="6"/>
      <c r="B3796" s="14"/>
      <c r="C3796" s="119"/>
      <c r="D3796" s="58"/>
      <c r="E3796" s="17"/>
      <c r="F3796" s="58"/>
      <c r="G3796" s="19"/>
      <c r="H3796" s="19"/>
      <c r="I3796" s="19"/>
      <c r="J3796" s="19"/>
      <c r="K3796" s="19"/>
      <c r="L3796" s="19"/>
      <c r="M3796" s="14"/>
      <c r="N3796" s="39"/>
      <c r="Q3796" s="1"/>
      <c r="R3796" s="1"/>
      <c r="S3796" s="1"/>
      <c r="T3796" s="1"/>
      <c r="U3796" s="24"/>
      <c r="V3796" s="24"/>
      <c r="W3796" s="1"/>
      <c r="X3796" s="1"/>
      <c r="Z3796" s="94" t="s">
        <v>82</v>
      </c>
    </row>
    <row r="3797" spans="1:26" s="25" customFormat="1" ht="6.95" customHeight="1" x14ac:dyDescent="0.3">
      <c r="A3797" s="165">
        <f>+A3786+1</f>
        <v>346</v>
      </c>
      <c r="B3797" s="166"/>
      <c r="C3797" s="167"/>
      <c r="D3797" s="160" t="s">
        <v>39</v>
      </c>
      <c r="E3797" s="161"/>
      <c r="F3797" s="162" t="s">
        <v>40</v>
      </c>
      <c r="G3797" s="163"/>
      <c r="H3797" s="164"/>
      <c r="I3797" s="163"/>
      <c r="J3797" s="164"/>
      <c r="K3797" s="163"/>
      <c r="L3797" s="164"/>
      <c r="M3797" s="11"/>
      <c r="N3797" s="39"/>
      <c r="Q3797" s="15" t="str">
        <f>+CONCATENATE(E3797,G3797)</f>
        <v/>
      </c>
      <c r="R3797" s="15">
        <f>+H3797</f>
        <v>0</v>
      </c>
      <c r="S3797" s="16"/>
      <c r="T3797" s="15">
        <f>+E3797</f>
        <v>0</v>
      </c>
      <c r="U3797" s="26" t="str">
        <f>IFERROR(LEFT(G3797,FIND("*",G3797)-1),"-")</f>
        <v>-</v>
      </c>
      <c r="V3797" s="26" t="str">
        <f>IFERROR(RIGHT(G3797,LEN(G3797)-FIND("*",G3797)),"-")</f>
        <v>-</v>
      </c>
      <c r="W3797" s="27" t="str">
        <f>IFERROR((U3797+V3797)*2/1000,"-")</f>
        <v>-</v>
      </c>
      <c r="X3797" s="27" t="str">
        <f>IFERROR(W3797*H3797,"-")</f>
        <v>-</v>
      </c>
      <c r="Z3797" s="94" t="s">
        <v>82</v>
      </c>
    </row>
    <row r="3798" spans="1:26" s="25" customFormat="1" ht="6.95" customHeight="1" x14ac:dyDescent="0.3">
      <c r="A3798" s="165"/>
      <c r="B3798" s="168"/>
      <c r="C3798" s="169"/>
      <c r="D3798" s="160"/>
      <c r="E3798" s="161"/>
      <c r="F3798" s="162"/>
      <c r="G3798" s="163"/>
      <c r="H3798" s="164"/>
      <c r="I3798" s="163"/>
      <c r="J3798" s="164"/>
      <c r="K3798" s="163"/>
      <c r="L3798" s="164"/>
      <c r="M3798" s="11"/>
      <c r="N3798" s="39"/>
      <c r="Q3798" s="15" t="str">
        <f>+CONCATENATE(E3797,I3797)</f>
        <v/>
      </c>
      <c r="R3798" s="15">
        <f>+J3797</f>
        <v>0</v>
      </c>
      <c r="S3798" s="16"/>
      <c r="T3798" s="15">
        <f>+E3797</f>
        <v>0</v>
      </c>
      <c r="U3798" s="26" t="str">
        <f>IFERROR(LEFT(I3797,FIND("*",I3797)-1),"-")</f>
        <v>-</v>
      </c>
      <c r="V3798" s="26" t="str">
        <f>IFERROR(RIGHT(I3797,LEN(I3797)-FIND("*",I3797)),"-")</f>
        <v>-</v>
      </c>
      <c r="W3798" s="27" t="str">
        <f t="shared" ref="W3798:W3805" si="2068">IFERROR((U3798+V3798)*2/1000,"-")</f>
        <v>-</v>
      </c>
      <c r="X3798" s="27" t="str">
        <f>IFERROR(W3798*J3797,"-")</f>
        <v>-</v>
      </c>
      <c r="Z3798" s="94" t="s">
        <v>82</v>
      </c>
    </row>
    <row r="3799" spans="1:26" s="25" customFormat="1" ht="6.95" customHeight="1" x14ac:dyDescent="0.3">
      <c r="A3799" s="165"/>
      <c r="B3799" s="168"/>
      <c r="C3799" s="169"/>
      <c r="D3799" s="160"/>
      <c r="E3799" s="161"/>
      <c r="F3799" s="162"/>
      <c r="G3799" s="163"/>
      <c r="H3799" s="164"/>
      <c r="I3799" s="163"/>
      <c r="J3799" s="164"/>
      <c r="K3799" s="163"/>
      <c r="L3799" s="164"/>
      <c r="M3799" s="11"/>
      <c r="N3799" s="39"/>
      <c r="Q3799" s="15" t="str">
        <f>+CONCATENATE(E3797,K3797)</f>
        <v/>
      </c>
      <c r="R3799" s="15">
        <f>+L3797</f>
        <v>0</v>
      </c>
      <c r="S3799" s="16"/>
      <c r="T3799" s="15">
        <f>+E3797</f>
        <v>0</v>
      </c>
      <c r="U3799" s="26" t="str">
        <f>IFERROR(LEFT(K3797,FIND("*",K3797)-1),"-")</f>
        <v>-</v>
      </c>
      <c r="V3799" s="26" t="str">
        <f>IFERROR(RIGHT(K3797,LEN(K3797)-FIND("*",K3797)),"-")</f>
        <v>-</v>
      </c>
      <c r="W3799" s="27" t="str">
        <f t="shared" si="2068"/>
        <v>-</v>
      </c>
      <c r="X3799" s="27" t="str">
        <f>IFERROR(W3799*L3797,"-")</f>
        <v>-</v>
      </c>
      <c r="Z3799" s="94" t="s">
        <v>82</v>
      </c>
    </row>
    <row r="3800" spans="1:26" s="25" customFormat="1" ht="6.95" customHeight="1" x14ac:dyDescent="0.3">
      <c r="A3800" s="13"/>
      <c r="B3800" s="168"/>
      <c r="C3800" s="169"/>
      <c r="D3800" s="160" t="s">
        <v>39</v>
      </c>
      <c r="E3800" s="161"/>
      <c r="F3800" s="162" t="s">
        <v>40</v>
      </c>
      <c r="G3800" s="163"/>
      <c r="H3800" s="164"/>
      <c r="I3800" s="163"/>
      <c r="J3800" s="164"/>
      <c r="K3800" s="163"/>
      <c r="L3800" s="164"/>
      <c r="M3800" s="11"/>
      <c r="N3800" s="39"/>
      <c r="Q3800" s="15" t="str">
        <f>+CONCATENATE(E3800,G3800)</f>
        <v/>
      </c>
      <c r="R3800" s="15">
        <f>+H3800</f>
        <v>0</v>
      </c>
      <c r="S3800" s="16"/>
      <c r="T3800" s="15">
        <f>+E3800</f>
        <v>0</v>
      </c>
      <c r="U3800" s="26" t="str">
        <f t="shared" ref="U3800" si="2069">IFERROR(LEFT(G3800,FIND("*",G3800)-1),"-")</f>
        <v>-</v>
      </c>
      <c r="V3800" s="26" t="str">
        <f t="shared" ref="V3800" si="2070">IFERROR(RIGHT(G3800,LEN(G3800)-FIND("*",G3800)),"-")</f>
        <v>-</v>
      </c>
      <c r="W3800" s="27" t="str">
        <f t="shared" si="2068"/>
        <v>-</v>
      </c>
      <c r="X3800" s="27" t="str">
        <f>IFERROR(W3800*H3800,"-")</f>
        <v>-</v>
      </c>
      <c r="Z3800" s="94" t="s">
        <v>82</v>
      </c>
    </row>
    <row r="3801" spans="1:26" s="25" customFormat="1" ht="6.95" customHeight="1" x14ac:dyDescent="0.3">
      <c r="A3801" s="10"/>
      <c r="B3801" s="168"/>
      <c r="C3801" s="169"/>
      <c r="D3801" s="160"/>
      <c r="E3801" s="161"/>
      <c r="F3801" s="162"/>
      <c r="G3801" s="163"/>
      <c r="H3801" s="164"/>
      <c r="I3801" s="163"/>
      <c r="J3801" s="164"/>
      <c r="K3801" s="163"/>
      <c r="L3801" s="164"/>
      <c r="M3801" s="11"/>
      <c r="N3801" s="39"/>
      <c r="Q3801" s="15" t="str">
        <f>+CONCATENATE(E3800,I3800)</f>
        <v/>
      </c>
      <c r="R3801" s="15">
        <f>+J3800</f>
        <v>0</v>
      </c>
      <c r="S3801" s="16"/>
      <c r="T3801" s="15">
        <f>+E3800</f>
        <v>0</v>
      </c>
      <c r="U3801" s="26" t="str">
        <f>IFERROR(LEFT(I3800,FIND("*",I3800)-1),"-")</f>
        <v>-</v>
      </c>
      <c r="V3801" s="26" t="str">
        <f>IFERROR(RIGHT(I3800,LEN(I3800)-FIND("*",I3800)),"-")</f>
        <v>-</v>
      </c>
      <c r="W3801" s="27" t="str">
        <f t="shared" si="2068"/>
        <v>-</v>
      </c>
      <c r="X3801" s="27" t="str">
        <f>IFERROR(W3801*J3800,"-")</f>
        <v>-</v>
      </c>
      <c r="Z3801" s="94" t="s">
        <v>82</v>
      </c>
    </row>
    <row r="3802" spans="1:26" s="25" customFormat="1" ht="6.95" customHeight="1" x14ac:dyDescent="0.3">
      <c r="A3802" s="10"/>
      <c r="B3802" s="168"/>
      <c r="C3802" s="169"/>
      <c r="D3802" s="160"/>
      <c r="E3802" s="161"/>
      <c r="F3802" s="162"/>
      <c r="G3802" s="163"/>
      <c r="H3802" s="164"/>
      <c r="I3802" s="163"/>
      <c r="J3802" s="164"/>
      <c r="K3802" s="163"/>
      <c r="L3802" s="164"/>
      <c r="M3802" s="11"/>
      <c r="N3802" s="39"/>
      <c r="Q3802" s="15" t="str">
        <f>+CONCATENATE(E3800,K3800)</f>
        <v/>
      </c>
      <c r="R3802" s="15">
        <f>+L3800</f>
        <v>0</v>
      </c>
      <c r="S3802" s="16"/>
      <c r="T3802" s="15">
        <f>+E3800</f>
        <v>0</v>
      </c>
      <c r="U3802" s="26" t="str">
        <f>IFERROR(LEFT(K3800,FIND("*",K3800)-1),"-")</f>
        <v>-</v>
      </c>
      <c r="V3802" s="26" t="str">
        <f>IFERROR(RIGHT(K3800,LEN(K3800)-FIND("*",K3800)),"-")</f>
        <v>-</v>
      </c>
      <c r="W3802" s="27" t="str">
        <f t="shared" si="2068"/>
        <v>-</v>
      </c>
      <c r="X3802" s="27" t="str">
        <f>IFERROR(W3802*L3800,"-")</f>
        <v>-</v>
      </c>
      <c r="Z3802" s="94" t="s">
        <v>82</v>
      </c>
    </row>
    <row r="3803" spans="1:26" s="25" customFormat="1" ht="6.95" customHeight="1" x14ac:dyDescent="0.3">
      <c r="A3803" s="13"/>
      <c r="B3803" s="168"/>
      <c r="C3803" s="169"/>
      <c r="D3803" s="160" t="s">
        <v>39</v>
      </c>
      <c r="E3803" s="161"/>
      <c r="F3803" s="162" t="s">
        <v>40</v>
      </c>
      <c r="G3803" s="163"/>
      <c r="H3803" s="164"/>
      <c r="I3803" s="163"/>
      <c r="J3803" s="164"/>
      <c r="K3803" s="163"/>
      <c r="L3803" s="164"/>
      <c r="M3803" s="11"/>
      <c r="N3803" s="39"/>
      <c r="Q3803" s="15" t="str">
        <f>+CONCATENATE(E3803,G3803)</f>
        <v/>
      </c>
      <c r="R3803" s="15">
        <f>+H3803</f>
        <v>0</v>
      </c>
      <c r="S3803" s="16"/>
      <c r="T3803" s="15">
        <f>+E3803</f>
        <v>0</v>
      </c>
      <c r="U3803" s="26" t="str">
        <f t="shared" ref="U3803" si="2071">IFERROR(LEFT(G3803,FIND("*",G3803)-1),"-")</f>
        <v>-</v>
      </c>
      <c r="V3803" s="26" t="str">
        <f t="shared" ref="V3803" si="2072">IFERROR(RIGHT(G3803,LEN(G3803)-FIND("*",G3803)),"-")</f>
        <v>-</v>
      </c>
      <c r="W3803" s="27" t="str">
        <f t="shared" si="2068"/>
        <v>-</v>
      </c>
      <c r="X3803" s="27" t="str">
        <f>IFERROR(W3803*H3803,"-")</f>
        <v>-</v>
      </c>
      <c r="Z3803" s="94" t="s">
        <v>82</v>
      </c>
    </row>
    <row r="3804" spans="1:26" s="25" customFormat="1" ht="6.95" customHeight="1" x14ac:dyDescent="0.3">
      <c r="A3804" s="10"/>
      <c r="B3804" s="168"/>
      <c r="C3804" s="169"/>
      <c r="D3804" s="160"/>
      <c r="E3804" s="161"/>
      <c r="F3804" s="162"/>
      <c r="G3804" s="163"/>
      <c r="H3804" s="164"/>
      <c r="I3804" s="163"/>
      <c r="J3804" s="164"/>
      <c r="K3804" s="163"/>
      <c r="L3804" s="164"/>
      <c r="M3804" s="11"/>
      <c r="N3804" s="39"/>
      <c r="Q3804" s="15" t="str">
        <f>+CONCATENATE(E3803,I3803)</f>
        <v/>
      </c>
      <c r="R3804" s="15">
        <f>+J3803</f>
        <v>0</v>
      </c>
      <c r="S3804" s="16"/>
      <c r="T3804" s="15">
        <f>+E3803</f>
        <v>0</v>
      </c>
      <c r="U3804" s="26" t="str">
        <f>IFERROR(LEFT(I3803,FIND("*",I3803)-1),"-")</f>
        <v>-</v>
      </c>
      <c r="V3804" s="26" t="str">
        <f>IFERROR(RIGHT(I3803,LEN(I3803)-FIND("*",I3803)),"-")</f>
        <v>-</v>
      </c>
      <c r="W3804" s="27" t="str">
        <f t="shared" si="2068"/>
        <v>-</v>
      </c>
      <c r="X3804" s="27" t="str">
        <f t="shared" ref="X3804" si="2073">IFERROR(W3804*J3803,"-")</f>
        <v>-</v>
      </c>
      <c r="Z3804" s="94" t="s">
        <v>82</v>
      </c>
    </row>
    <row r="3805" spans="1:26" s="25" customFormat="1" ht="6.95" customHeight="1" x14ac:dyDescent="0.3">
      <c r="A3805" s="10"/>
      <c r="B3805" s="168"/>
      <c r="C3805" s="169"/>
      <c r="D3805" s="160"/>
      <c r="E3805" s="161"/>
      <c r="F3805" s="162"/>
      <c r="G3805" s="163"/>
      <c r="H3805" s="164"/>
      <c r="I3805" s="163"/>
      <c r="J3805" s="164"/>
      <c r="K3805" s="163"/>
      <c r="L3805" s="164"/>
      <c r="M3805" s="11"/>
      <c r="N3805" s="39"/>
      <c r="Q3805" s="15" t="str">
        <f>+CONCATENATE(E3803,K3803)</f>
        <v/>
      </c>
      <c r="R3805" s="15">
        <f>+L3803</f>
        <v>0</v>
      </c>
      <c r="S3805" s="16"/>
      <c r="T3805" s="15">
        <f>+E3803</f>
        <v>0</v>
      </c>
      <c r="U3805" s="26" t="str">
        <f>IFERROR(LEFT(K3803,FIND("*",K3803)-1),"-")</f>
        <v>-</v>
      </c>
      <c r="V3805" s="26" t="str">
        <f>IFERROR(RIGHT(K3803,LEN(K3803)-FIND("*",K3803)),"-")</f>
        <v>-</v>
      </c>
      <c r="W3805" s="27" t="str">
        <f t="shared" si="2068"/>
        <v>-</v>
      </c>
      <c r="X3805" s="27" t="str">
        <f>IFERROR(W3805*L3803,"-")</f>
        <v>-</v>
      </c>
      <c r="Z3805" s="94" t="s">
        <v>82</v>
      </c>
    </row>
    <row r="3806" spans="1:26" s="25" customFormat="1" ht="21" customHeight="1" thickBot="1" x14ac:dyDescent="0.35">
      <c r="A3806" s="10"/>
      <c r="B3806" s="170"/>
      <c r="C3806" s="171"/>
      <c r="D3806" s="172" t="s">
        <v>43</v>
      </c>
      <c r="E3806" s="173"/>
      <c r="F3806" s="173"/>
      <c r="G3806" s="174"/>
      <c r="H3806" s="174"/>
      <c r="I3806" s="174"/>
      <c r="J3806" s="174"/>
      <c r="K3806" s="174"/>
      <c r="L3806" s="174"/>
      <c r="M3806" s="12"/>
      <c r="N3806" s="39"/>
      <c r="U3806" s="23"/>
      <c r="V3806" s="23"/>
      <c r="Z3806" s="95" t="s">
        <v>81</v>
      </c>
    </row>
    <row r="3807" spans="1:26" s="25" customFormat="1" ht="9.9499999999999993" customHeight="1" thickBot="1" x14ac:dyDescent="0.35">
      <c r="A3807" s="6"/>
      <c r="B3807" s="14"/>
      <c r="C3807" s="119"/>
      <c r="D3807" s="58"/>
      <c r="E3807" s="17"/>
      <c r="F3807" s="58"/>
      <c r="G3807" s="19"/>
      <c r="H3807" s="19"/>
      <c r="I3807" s="19"/>
      <c r="J3807" s="19"/>
      <c r="K3807" s="19"/>
      <c r="L3807" s="19"/>
      <c r="M3807" s="14"/>
      <c r="N3807" s="39"/>
      <c r="Q3807" s="1"/>
      <c r="R3807" s="1"/>
      <c r="S3807" s="1"/>
      <c r="T3807" s="1"/>
      <c r="U3807" s="24"/>
      <c r="V3807" s="24"/>
      <c r="W3807" s="1"/>
      <c r="X3807" s="1"/>
      <c r="Z3807" s="94" t="s">
        <v>82</v>
      </c>
    </row>
    <row r="3808" spans="1:26" s="25" customFormat="1" ht="6.95" customHeight="1" x14ac:dyDescent="0.3">
      <c r="A3808" s="165">
        <f>+A3797+1</f>
        <v>347</v>
      </c>
      <c r="B3808" s="166"/>
      <c r="C3808" s="167"/>
      <c r="D3808" s="160" t="s">
        <v>39</v>
      </c>
      <c r="E3808" s="161"/>
      <c r="F3808" s="162" t="s">
        <v>40</v>
      </c>
      <c r="G3808" s="163"/>
      <c r="H3808" s="164"/>
      <c r="I3808" s="163"/>
      <c r="J3808" s="164"/>
      <c r="K3808" s="163"/>
      <c r="L3808" s="164"/>
      <c r="M3808" s="11"/>
      <c r="N3808" s="39"/>
      <c r="Q3808" s="15" t="str">
        <f>+CONCATENATE(E3808,G3808)</f>
        <v/>
      </c>
      <c r="R3808" s="15">
        <f>+H3808</f>
        <v>0</v>
      </c>
      <c r="S3808" s="16"/>
      <c r="T3808" s="15">
        <f>+E3808</f>
        <v>0</v>
      </c>
      <c r="U3808" s="26" t="str">
        <f>IFERROR(LEFT(G3808,FIND("*",G3808)-1),"-")</f>
        <v>-</v>
      </c>
      <c r="V3808" s="26" t="str">
        <f>IFERROR(RIGHT(G3808,LEN(G3808)-FIND("*",G3808)),"-")</f>
        <v>-</v>
      </c>
      <c r="W3808" s="27" t="str">
        <f>IFERROR((U3808+V3808)*2/1000,"-")</f>
        <v>-</v>
      </c>
      <c r="X3808" s="27" t="str">
        <f>IFERROR(W3808*H3808,"-")</f>
        <v>-</v>
      </c>
      <c r="Z3808" s="94" t="s">
        <v>82</v>
      </c>
    </row>
    <row r="3809" spans="1:26" s="25" customFormat="1" ht="6.95" customHeight="1" x14ac:dyDescent="0.3">
      <c r="A3809" s="165"/>
      <c r="B3809" s="168"/>
      <c r="C3809" s="169"/>
      <c r="D3809" s="160"/>
      <c r="E3809" s="161"/>
      <c r="F3809" s="162"/>
      <c r="G3809" s="163"/>
      <c r="H3809" s="164"/>
      <c r="I3809" s="163"/>
      <c r="J3809" s="164"/>
      <c r="K3809" s="163"/>
      <c r="L3809" s="164"/>
      <c r="M3809" s="11"/>
      <c r="N3809" s="39"/>
      <c r="Q3809" s="15" t="str">
        <f>+CONCATENATE(E3808,I3808)</f>
        <v/>
      </c>
      <c r="R3809" s="15">
        <f>+J3808</f>
        <v>0</v>
      </c>
      <c r="S3809" s="16"/>
      <c r="T3809" s="15">
        <f>+E3808</f>
        <v>0</v>
      </c>
      <c r="U3809" s="26" t="str">
        <f>IFERROR(LEFT(I3808,FIND("*",I3808)-1),"-")</f>
        <v>-</v>
      </c>
      <c r="V3809" s="26" t="str">
        <f>IFERROR(RIGHT(I3808,LEN(I3808)-FIND("*",I3808)),"-")</f>
        <v>-</v>
      </c>
      <c r="W3809" s="27" t="str">
        <f t="shared" ref="W3809:W3816" si="2074">IFERROR((U3809+V3809)*2/1000,"-")</f>
        <v>-</v>
      </c>
      <c r="X3809" s="27" t="str">
        <f>IFERROR(W3809*J3808,"-")</f>
        <v>-</v>
      </c>
      <c r="Z3809" s="94" t="s">
        <v>82</v>
      </c>
    </row>
    <row r="3810" spans="1:26" s="25" customFormat="1" ht="6.95" customHeight="1" x14ac:dyDescent="0.3">
      <c r="A3810" s="165"/>
      <c r="B3810" s="168"/>
      <c r="C3810" s="169"/>
      <c r="D3810" s="160"/>
      <c r="E3810" s="161"/>
      <c r="F3810" s="162"/>
      <c r="G3810" s="163"/>
      <c r="H3810" s="164"/>
      <c r="I3810" s="163"/>
      <c r="J3810" s="164"/>
      <c r="K3810" s="163"/>
      <c r="L3810" s="164"/>
      <c r="M3810" s="11"/>
      <c r="N3810" s="39"/>
      <c r="Q3810" s="15" t="str">
        <f>+CONCATENATE(E3808,K3808)</f>
        <v/>
      </c>
      <c r="R3810" s="15">
        <f>+L3808</f>
        <v>0</v>
      </c>
      <c r="S3810" s="16"/>
      <c r="T3810" s="15">
        <f>+E3808</f>
        <v>0</v>
      </c>
      <c r="U3810" s="26" t="str">
        <f>IFERROR(LEFT(K3808,FIND("*",K3808)-1),"-")</f>
        <v>-</v>
      </c>
      <c r="V3810" s="26" t="str">
        <f>IFERROR(RIGHT(K3808,LEN(K3808)-FIND("*",K3808)),"-")</f>
        <v>-</v>
      </c>
      <c r="W3810" s="27" t="str">
        <f t="shared" si="2074"/>
        <v>-</v>
      </c>
      <c r="X3810" s="27" t="str">
        <f>IFERROR(W3810*L3808,"-")</f>
        <v>-</v>
      </c>
      <c r="Z3810" s="94" t="s">
        <v>82</v>
      </c>
    </row>
    <row r="3811" spans="1:26" s="25" customFormat="1" ht="6.95" customHeight="1" x14ac:dyDescent="0.3">
      <c r="A3811" s="13"/>
      <c r="B3811" s="168"/>
      <c r="C3811" s="169"/>
      <c r="D3811" s="160" t="s">
        <v>39</v>
      </c>
      <c r="E3811" s="161"/>
      <c r="F3811" s="162" t="s">
        <v>40</v>
      </c>
      <c r="G3811" s="163"/>
      <c r="H3811" s="164"/>
      <c r="I3811" s="163"/>
      <c r="J3811" s="164"/>
      <c r="K3811" s="163"/>
      <c r="L3811" s="164"/>
      <c r="M3811" s="11"/>
      <c r="N3811" s="39"/>
      <c r="Q3811" s="15" t="str">
        <f>+CONCATENATE(E3811,G3811)</f>
        <v/>
      </c>
      <c r="R3811" s="15">
        <f>+H3811</f>
        <v>0</v>
      </c>
      <c r="S3811" s="16"/>
      <c r="T3811" s="15">
        <f>+E3811</f>
        <v>0</v>
      </c>
      <c r="U3811" s="26" t="str">
        <f t="shared" ref="U3811" si="2075">IFERROR(LEFT(G3811,FIND("*",G3811)-1),"-")</f>
        <v>-</v>
      </c>
      <c r="V3811" s="26" t="str">
        <f t="shared" ref="V3811" si="2076">IFERROR(RIGHT(G3811,LEN(G3811)-FIND("*",G3811)),"-")</f>
        <v>-</v>
      </c>
      <c r="W3811" s="27" t="str">
        <f t="shared" si="2074"/>
        <v>-</v>
      </c>
      <c r="X3811" s="27" t="str">
        <f>IFERROR(W3811*H3811,"-")</f>
        <v>-</v>
      </c>
      <c r="Z3811" s="94" t="s">
        <v>82</v>
      </c>
    </row>
    <row r="3812" spans="1:26" s="25" customFormat="1" ht="6.95" customHeight="1" x14ac:dyDescent="0.3">
      <c r="A3812" s="10"/>
      <c r="B3812" s="168"/>
      <c r="C3812" s="169"/>
      <c r="D3812" s="160"/>
      <c r="E3812" s="161"/>
      <c r="F3812" s="162"/>
      <c r="G3812" s="163"/>
      <c r="H3812" s="164"/>
      <c r="I3812" s="163"/>
      <c r="J3812" s="164"/>
      <c r="K3812" s="163"/>
      <c r="L3812" s="164"/>
      <c r="M3812" s="11"/>
      <c r="N3812" s="39"/>
      <c r="Q3812" s="15" t="str">
        <f>+CONCATENATE(E3811,I3811)</f>
        <v/>
      </c>
      <c r="R3812" s="15">
        <f>+J3811</f>
        <v>0</v>
      </c>
      <c r="S3812" s="16"/>
      <c r="T3812" s="15">
        <f>+E3811</f>
        <v>0</v>
      </c>
      <c r="U3812" s="26" t="str">
        <f>IFERROR(LEFT(I3811,FIND("*",I3811)-1),"-")</f>
        <v>-</v>
      </c>
      <c r="V3812" s="26" t="str">
        <f>IFERROR(RIGHT(I3811,LEN(I3811)-FIND("*",I3811)),"-")</f>
        <v>-</v>
      </c>
      <c r="W3812" s="27" t="str">
        <f t="shared" si="2074"/>
        <v>-</v>
      </c>
      <c r="X3812" s="27" t="str">
        <f>IFERROR(W3812*J3811,"-")</f>
        <v>-</v>
      </c>
      <c r="Z3812" s="94" t="s">
        <v>82</v>
      </c>
    </row>
    <row r="3813" spans="1:26" s="25" customFormat="1" ht="6.95" customHeight="1" x14ac:dyDescent="0.3">
      <c r="A3813" s="10"/>
      <c r="B3813" s="168"/>
      <c r="C3813" s="169"/>
      <c r="D3813" s="160"/>
      <c r="E3813" s="161"/>
      <c r="F3813" s="162"/>
      <c r="G3813" s="163"/>
      <c r="H3813" s="164"/>
      <c r="I3813" s="163"/>
      <c r="J3813" s="164"/>
      <c r="K3813" s="163"/>
      <c r="L3813" s="164"/>
      <c r="M3813" s="11"/>
      <c r="N3813" s="39"/>
      <c r="Q3813" s="15" t="str">
        <f>+CONCATENATE(E3811,K3811)</f>
        <v/>
      </c>
      <c r="R3813" s="15">
        <f>+L3811</f>
        <v>0</v>
      </c>
      <c r="S3813" s="16"/>
      <c r="T3813" s="15">
        <f>+E3811</f>
        <v>0</v>
      </c>
      <c r="U3813" s="26" t="str">
        <f>IFERROR(LEFT(K3811,FIND("*",K3811)-1),"-")</f>
        <v>-</v>
      </c>
      <c r="V3813" s="26" t="str">
        <f>IFERROR(RIGHT(K3811,LEN(K3811)-FIND("*",K3811)),"-")</f>
        <v>-</v>
      </c>
      <c r="W3813" s="27" t="str">
        <f t="shared" si="2074"/>
        <v>-</v>
      </c>
      <c r="X3813" s="27" t="str">
        <f>IFERROR(W3813*L3811,"-")</f>
        <v>-</v>
      </c>
      <c r="Z3813" s="94" t="s">
        <v>82</v>
      </c>
    </row>
    <row r="3814" spans="1:26" s="25" customFormat="1" ht="6.95" customHeight="1" x14ac:dyDescent="0.3">
      <c r="A3814" s="13"/>
      <c r="B3814" s="168"/>
      <c r="C3814" s="169"/>
      <c r="D3814" s="160" t="s">
        <v>39</v>
      </c>
      <c r="E3814" s="161"/>
      <c r="F3814" s="162" t="s">
        <v>40</v>
      </c>
      <c r="G3814" s="163"/>
      <c r="H3814" s="164"/>
      <c r="I3814" s="163"/>
      <c r="J3814" s="164"/>
      <c r="K3814" s="163"/>
      <c r="L3814" s="164"/>
      <c r="M3814" s="11"/>
      <c r="N3814" s="39"/>
      <c r="Q3814" s="15" t="str">
        <f>+CONCATENATE(E3814,G3814)</f>
        <v/>
      </c>
      <c r="R3814" s="15">
        <f>+H3814</f>
        <v>0</v>
      </c>
      <c r="S3814" s="16"/>
      <c r="T3814" s="15">
        <f>+E3814</f>
        <v>0</v>
      </c>
      <c r="U3814" s="26" t="str">
        <f t="shared" ref="U3814" si="2077">IFERROR(LEFT(G3814,FIND("*",G3814)-1),"-")</f>
        <v>-</v>
      </c>
      <c r="V3814" s="26" t="str">
        <f t="shared" ref="V3814" si="2078">IFERROR(RIGHT(G3814,LEN(G3814)-FIND("*",G3814)),"-")</f>
        <v>-</v>
      </c>
      <c r="W3814" s="27" t="str">
        <f t="shared" si="2074"/>
        <v>-</v>
      </c>
      <c r="X3814" s="27" t="str">
        <f>IFERROR(W3814*H3814,"-")</f>
        <v>-</v>
      </c>
      <c r="Z3814" s="94" t="s">
        <v>82</v>
      </c>
    </row>
    <row r="3815" spans="1:26" s="25" customFormat="1" ht="6.95" customHeight="1" x14ac:dyDescent="0.3">
      <c r="A3815" s="10"/>
      <c r="B3815" s="168"/>
      <c r="C3815" s="169"/>
      <c r="D3815" s="160"/>
      <c r="E3815" s="161"/>
      <c r="F3815" s="162"/>
      <c r="G3815" s="163"/>
      <c r="H3815" s="164"/>
      <c r="I3815" s="163"/>
      <c r="J3815" s="164"/>
      <c r="K3815" s="163"/>
      <c r="L3815" s="164"/>
      <c r="M3815" s="11"/>
      <c r="N3815" s="39"/>
      <c r="Q3815" s="15" t="str">
        <f>+CONCATENATE(E3814,I3814)</f>
        <v/>
      </c>
      <c r="R3815" s="15">
        <f>+J3814</f>
        <v>0</v>
      </c>
      <c r="S3815" s="16"/>
      <c r="T3815" s="15">
        <f>+E3814</f>
        <v>0</v>
      </c>
      <c r="U3815" s="26" t="str">
        <f>IFERROR(LEFT(I3814,FIND("*",I3814)-1),"-")</f>
        <v>-</v>
      </c>
      <c r="V3815" s="26" t="str">
        <f>IFERROR(RIGHT(I3814,LEN(I3814)-FIND("*",I3814)),"-")</f>
        <v>-</v>
      </c>
      <c r="W3815" s="27" t="str">
        <f t="shared" si="2074"/>
        <v>-</v>
      </c>
      <c r="X3815" s="27" t="str">
        <f t="shared" ref="X3815" si="2079">IFERROR(W3815*J3814,"-")</f>
        <v>-</v>
      </c>
      <c r="Z3815" s="94" t="s">
        <v>82</v>
      </c>
    </row>
    <row r="3816" spans="1:26" s="25" customFormat="1" ht="6.95" customHeight="1" x14ac:dyDescent="0.3">
      <c r="A3816" s="10"/>
      <c r="B3816" s="168"/>
      <c r="C3816" s="169"/>
      <c r="D3816" s="160"/>
      <c r="E3816" s="161"/>
      <c r="F3816" s="162"/>
      <c r="G3816" s="163"/>
      <c r="H3816" s="164"/>
      <c r="I3816" s="163"/>
      <c r="J3816" s="164"/>
      <c r="K3816" s="163"/>
      <c r="L3816" s="164"/>
      <c r="M3816" s="11"/>
      <c r="N3816" s="39"/>
      <c r="Q3816" s="15" t="str">
        <f>+CONCATENATE(E3814,K3814)</f>
        <v/>
      </c>
      <c r="R3816" s="15">
        <f>+L3814</f>
        <v>0</v>
      </c>
      <c r="S3816" s="16"/>
      <c r="T3816" s="15">
        <f>+E3814</f>
        <v>0</v>
      </c>
      <c r="U3816" s="26" t="str">
        <f>IFERROR(LEFT(K3814,FIND("*",K3814)-1),"-")</f>
        <v>-</v>
      </c>
      <c r="V3816" s="26" t="str">
        <f>IFERROR(RIGHT(K3814,LEN(K3814)-FIND("*",K3814)),"-")</f>
        <v>-</v>
      </c>
      <c r="W3816" s="27" t="str">
        <f t="shared" si="2074"/>
        <v>-</v>
      </c>
      <c r="X3816" s="27" t="str">
        <f>IFERROR(W3816*L3814,"-")</f>
        <v>-</v>
      </c>
      <c r="Z3816" s="94" t="s">
        <v>82</v>
      </c>
    </row>
    <row r="3817" spans="1:26" s="25" customFormat="1" ht="21" customHeight="1" thickBot="1" x14ac:dyDescent="0.35">
      <c r="A3817" s="10"/>
      <c r="B3817" s="170"/>
      <c r="C3817" s="171"/>
      <c r="D3817" s="172" t="s">
        <v>43</v>
      </c>
      <c r="E3817" s="173"/>
      <c r="F3817" s="173"/>
      <c r="G3817" s="174"/>
      <c r="H3817" s="174"/>
      <c r="I3817" s="174"/>
      <c r="J3817" s="174"/>
      <c r="K3817" s="174"/>
      <c r="L3817" s="174"/>
      <c r="M3817" s="12"/>
      <c r="N3817" s="39"/>
      <c r="U3817" s="23"/>
      <c r="V3817" s="23"/>
      <c r="Z3817" s="95" t="s">
        <v>81</v>
      </c>
    </row>
    <row r="3818" spans="1:26" s="25" customFormat="1" ht="9.9499999999999993" customHeight="1" thickBot="1" x14ac:dyDescent="0.35">
      <c r="A3818" s="6"/>
      <c r="B3818" s="14"/>
      <c r="C3818" s="119"/>
      <c r="D3818" s="58"/>
      <c r="E3818" s="17"/>
      <c r="F3818" s="58"/>
      <c r="G3818" s="19"/>
      <c r="H3818" s="19"/>
      <c r="I3818" s="19"/>
      <c r="J3818" s="19"/>
      <c r="K3818" s="19"/>
      <c r="L3818" s="19"/>
      <c r="M3818" s="14"/>
      <c r="N3818" s="39"/>
      <c r="Q3818" s="1"/>
      <c r="R3818" s="1"/>
      <c r="S3818" s="1"/>
      <c r="T3818" s="1"/>
      <c r="U3818" s="24"/>
      <c r="V3818" s="24"/>
      <c r="W3818" s="1"/>
      <c r="X3818" s="1"/>
      <c r="Z3818" s="94" t="s">
        <v>82</v>
      </c>
    </row>
    <row r="3819" spans="1:26" s="25" customFormat="1" ht="6.95" customHeight="1" x14ac:dyDescent="0.3">
      <c r="A3819" s="165">
        <f>+A3808+1</f>
        <v>348</v>
      </c>
      <c r="B3819" s="166"/>
      <c r="C3819" s="167"/>
      <c r="D3819" s="160" t="s">
        <v>39</v>
      </c>
      <c r="E3819" s="161"/>
      <c r="F3819" s="162" t="s">
        <v>40</v>
      </c>
      <c r="G3819" s="163"/>
      <c r="H3819" s="164"/>
      <c r="I3819" s="163"/>
      <c r="J3819" s="164"/>
      <c r="K3819" s="163"/>
      <c r="L3819" s="164"/>
      <c r="M3819" s="11"/>
      <c r="N3819" s="39"/>
      <c r="Q3819" s="15" t="str">
        <f>+CONCATENATE(E3819,G3819)</f>
        <v/>
      </c>
      <c r="R3819" s="15">
        <f>+H3819</f>
        <v>0</v>
      </c>
      <c r="S3819" s="16"/>
      <c r="T3819" s="15">
        <f>+E3819</f>
        <v>0</v>
      </c>
      <c r="U3819" s="26" t="str">
        <f>IFERROR(LEFT(G3819,FIND("*",G3819)-1),"-")</f>
        <v>-</v>
      </c>
      <c r="V3819" s="26" t="str">
        <f>IFERROR(RIGHT(G3819,LEN(G3819)-FIND("*",G3819)),"-")</f>
        <v>-</v>
      </c>
      <c r="W3819" s="27" t="str">
        <f>IFERROR((U3819+V3819)*2/1000,"-")</f>
        <v>-</v>
      </c>
      <c r="X3819" s="27" t="str">
        <f>IFERROR(W3819*H3819,"-")</f>
        <v>-</v>
      </c>
      <c r="Z3819" s="94" t="s">
        <v>82</v>
      </c>
    </row>
    <row r="3820" spans="1:26" s="25" customFormat="1" ht="6.95" customHeight="1" x14ac:dyDescent="0.3">
      <c r="A3820" s="165"/>
      <c r="B3820" s="168"/>
      <c r="C3820" s="169"/>
      <c r="D3820" s="160"/>
      <c r="E3820" s="161"/>
      <c r="F3820" s="162"/>
      <c r="G3820" s="163"/>
      <c r="H3820" s="164"/>
      <c r="I3820" s="163"/>
      <c r="J3820" s="164"/>
      <c r="K3820" s="163"/>
      <c r="L3820" s="164"/>
      <c r="M3820" s="11"/>
      <c r="N3820" s="39"/>
      <c r="Q3820" s="15" t="str">
        <f>+CONCATENATE(E3819,I3819)</f>
        <v/>
      </c>
      <c r="R3820" s="15">
        <f>+J3819</f>
        <v>0</v>
      </c>
      <c r="S3820" s="16"/>
      <c r="T3820" s="15">
        <f>+E3819</f>
        <v>0</v>
      </c>
      <c r="U3820" s="26" t="str">
        <f>IFERROR(LEFT(I3819,FIND("*",I3819)-1),"-")</f>
        <v>-</v>
      </c>
      <c r="V3820" s="26" t="str">
        <f>IFERROR(RIGHT(I3819,LEN(I3819)-FIND("*",I3819)),"-")</f>
        <v>-</v>
      </c>
      <c r="W3820" s="27" t="str">
        <f t="shared" ref="W3820:W3827" si="2080">IFERROR((U3820+V3820)*2/1000,"-")</f>
        <v>-</v>
      </c>
      <c r="X3820" s="27" t="str">
        <f>IFERROR(W3820*J3819,"-")</f>
        <v>-</v>
      </c>
      <c r="Z3820" s="94" t="s">
        <v>82</v>
      </c>
    </row>
    <row r="3821" spans="1:26" s="25" customFormat="1" ht="6.95" customHeight="1" x14ac:dyDescent="0.3">
      <c r="A3821" s="165"/>
      <c r="B3821" s="168"/>
      <c r="C3821" s="169"/>
      <c r="D3821" s="160"/>
      <c r="E3821" s="161"/>
      <c r="F3821" s="162"/>
      <c r="G3821" s="163"/>
      <c r="H3821" s="164"/>
      <c r="I3821" s="163"/>
      <c r="J3821" s="164"/>
      <c r="K3821" s="163"/>
      <c r="L3821" s="164"/>
      <c r="M3821" s="11"/>
      <c r="N3821" s="39"/>
      <c r="Q3821" s="15" t="str">
        <f>+CONCATENATE(E3819,K3819)</f>
        <v/>
      </c>
      <c r="R3821" s="15">
        <f>+L3819</f>
        <v>0</v>
      </c>
      <c r="S3821" s="16"/>
      <c r="T3821" s="15">
        <f>+E3819</f>
        <v>0</v>
      </c>
      <c r="U3821" s="26" t="str">
        <f>IFERROR(LEFT(K3819,FIND("*",K3819)-1),"-")</f>
        <v>-</v>
      </c>
      <c r="V3821" s="26" t="str">
        <f>IFERROR(RIGHT(K3819,LEN(K3819)-FIND("*",K3819)),"-")</f>
        <v>-</v>
      </c>
      <c r="W3821" s="27" t="str">
        <f t="shared" si="2080"/>
        <v>-</v>
      </c>
      <c r="X3821" s="27" t="str">
        <f>IFERROR(W3821*L3819,"-")</f>
        <v>-</v>
      </c>
      <c r="Z3821" s="94" t="s">
        <v>82</v>
      </c>
    </row>
    <row r="3822" spans="1:26" s="25" customFormat="1" ht="6.95" customHeight="1" x14ac:dyDescent="0.3">
      <c r="A3822" s="13"/>
      <c r="B3822" s="168"/>
      <c r="C3822" s="169"/>
      <c r="D3822" s="160" t="s">
        <v>39</v>
      </c>
      <c r="E3822" s="161"/>
      <c r="F3822" s="162" t="s">
        <v>40</v>
      </c>
      <c r="G3822" s="163"/>
      <c r="H3822" s="164"/>
      <c r="I3822" s="163"/>
      <c r="J3822" s="164"/>
      <c r="K3822" s="163"/>
      <c r="L3822" s="164"/>
      <c r="M3822" s="11"/>
      <c r="N3822" s="39"/>
      <c r="Q3822" s="15" t="str">
        <f>+CONCATENATE(E3822,G3822)</f>
        <v/>
      </c>
      <c r="R3822" s="15">
        <f>+H3822</f>
        <v>0</v>
      </c>
      <c r="S3822" s="16"/>
      <c r="T3822" s="15">
        <f>+E3822</f>
        <v>0</v>
      </c>
      <c r="U3822" s="26" t="str">
        <f t="shared" ref="U3822" si="2081">IFERROR(LEFT(G3822,FIND("*",G3822)-1),"-")</f>
        <v>-</v>
      </c>
      <c r="V3822" s="26" t="str">
        <f t="shared" ref="V3822" si="2082">IFERROR(RIGHT(G3822,LEN(G3822)-FIND("*",G3822)),"-")</f>
        <v>-</v>
      </c>
      <c r="W3822" s="27" t="str">
        <f t="shared" si="2080"/>
        <v>-</v>
      </c>
      <c r="X3822" s="27" t="str">
        <f>IFERROR(W3822*H3822,"-")</f>
        <v>-</v>
      </c>
      <c r="Z3822" s="94" t="s">
        <v>82</v>
      </c>
    </row>
    <row r="3823" spans="1:26" s="25" customFormat="1" ht="6.95" customHeight="1" x14ac:dyDescent="0.3">
      <c r="A3823" s="10"/>
      <c r="B3823" s="168"/>
      <c r="C3823" s="169"/>
      <c r="D3823" s="160"/>
      <c r="E3823" s="161"/>
      <c r="F3823" s="162"/>
      <c r="G3823" s="163"/>
      <c r="H3823" s="164"/>
      <c r="I3823" s="163"/>
      <c r="J3823" s="164"/>
      <c r="K3823" s="163"/>
      <c r="L3823" s="164"/>
      <c r="M3823" s="11"/>
      <c r="N3823" s="39"/>
      <c r="Q3823" s="15" t="str">
        <f>+CONCATENATE(E3822,I3822)</f>
        <v/>
      </c>
      <c r="R3823" s="15">
        <f>+J3822</f>
        <v>0</v>
      </c>
      <c r="S3823" s="16"/>
      <c r="T3823" s="15">
        <f>+E3822</f>
        <v>0</v>
      </c>
      <c r="U3823" s="26" t="str">
        <f>IFERROR(LEFT(I3822,FIND("*",I3822)-1),"-")</f>
        <v>-</v>
      </c>
      <c r="V3823" s="26" t="str">
        <f>IFERROR(RIGHT(I3822,LEN(I3822)-FIND("*",I3822)),"-")</f>
        <v>-</v>
      </c>
      <c r="W3823" s="27" t="str">
        <f t="shared" si="2080"/>
        <v>-</v>
      </c>
      <c r="X3823" s="27" t="str">
        <f>IFERROR(W3823*J3822,"-")</f>
        <v>-</v>
      </c>
      <c r="Z3823" s="94" t="s">
        <v>82</v>
      </c>
    </row>
    <row r="3824" spans="1:26" s="25" customFormat="1" ht="6.95" customHeight="1" x14ac:dyDescent="0.3">
      <c r="A3824" s="10"/>
      <c r="B3824" s="168"/>
      <c r="C3824" s="169"/>
      <c r="D3824" s="160"/>
      <c r="E3824" s="161"/>
      <c r="F3824" s="162"/>
      <c r="G3824" s="163"/>
      <c r="H3824" s="164"/>
      <c r="I3824" s="163"/>
      <c r="J3824" s="164"/>
      <c r="K3824" s="163"/>
      <c r="L3824" s="164"/>
      <c r="M3824" s="11"/>
      <c r="N3824" s="39"/>
      <c r="Q3824" s="15" t="str">
        <f>+CONCATENATE(E3822,K3822)</f>
        <v/>
      </c>
      <c r="R3824" s="15">
        <f>+L3822</f>
        <v>0</v>
      </c>
      <c r="S3824" s="16"/>
      <c r="T3824" s="15">
        <f>+E3822</f>
        <v>0</v>
      </c>
      <c r="U3824" s="26" t="str">
        <f>IFERROR(LEFT(K3822,FIND("*",K3822)-1),"-")</f>
        <v>-</v>
      </c>
      <c r="V3824" s="26" t="str">
        <f>IFERROR(RIGHT(K3822,LEN(K3822)-FIND("*",K3822)),"-")</f>
        <v>-</v>
      </c>
      <c r="W3824" s="27" t="str">
        <f t="shared" si="2080"/>
        <v>-</v>
      </c>
      <c r="X3824" s="27" t="str">
        <f>IFERROR(W3824*L3822,"-")</f>
        <v>-</v>
      </c>
      <c r="Z3824" s="94" t="s">
        <v>82</v>
      </c>
    </row>
    <row r="3825" spans="1:26" s="25" customFormat="1" ht="6.95" customHeight="1" x14ac:dyDescent="0.3">
      <c r="A3825" s="13"/>
      <c r="B3825" s="168"/>
      <c r="C3825" s="169"/>
      <c r="D3825" s="160" t="s">
        <v>39</v>
      </c>
      <c r="E3825" s="161"/>
      <c r="F3825" s="162" t="s">
        <v>40</v>
      </c>
      <c r="G3825" s="163"/>
      <c r="H3825" s="164"/>
      <c r="I3825" s="163"/>
      <c r="J3825" s="164"/>
      <c r="K3825" s="163"/>
      <c r="L3825" s="164"/>
      <c r="M3825" s="11"/>
      <c r="N3825" s="39"/>
      <c r="Q3825" s="15" t="str">
        <f>+CONCATENATE(E3825,G3825)</f>
        <v/>
      </c>
      <c r="R3825" s="15">
        <f>+H3825</f>
        <v>0</v>
      </c>
      <c r="S3825" s="16"/>
      <c r="T3825" s="15">
        <f>+E3825</f>
        <v>0</v>
      </c>
      <c r="U3825" s="26" t="str">
        <f t="shared" ref="U3825" si="2083">IFERROR(LEFT(G3825,FIND("*",G3825)-1),"-")</f>
        <v>-</v>
      </c>
      <c r="V3825" s="26" t="str">
        <f t="shared" ref="V3825" si="2084">IFERROR(RIGHT(G3825,LEN(G3825)-FIND("*",G3825)),"-")</f>
        <v>-</v>
      </c>
      <c r="W3825" s="27" t="str">
        <f t="shared" si="2080"/>
        <v>-</v>
      </c>
      <c r="X3825" s="27" t="str">
        <f>IFERROR(W3825*H3825,"-")</f>
        <v>-</v>
      </c>
      <c r="Z3825" s="94" t="s">
        <v>82</v>
      </c>
    </row>
    <row r="3826" spans="1:26" s="25" customFormat="1" ht="6.95" customHeight="1" x14ac:dyDescent="0.3">
      <c r="A3826" s="10"/>
      <c r="B3826" s="168"/>
      <c r="C3826" s="169"/>
      <c r="D3826" s="160"/>
      <c r="E3826" s="161"/>
      <c r="F3826" s="162"/>
      <c r="G3826" s="163"/>
      <c r="H3826" s="164"/>
      <c r="I3826" s="163"/>
      <c r="J3826" s="164"/>
      <c r="K3826" s="163"/>
      <c r="L3826" s="164"/>
      <c r="M3826" s="11"/>
      <c r="N3826" s="39"/>
      <c r="Q3826" s="15" t="str">
        <f>+CONCATENATE(E3825,I3825)</f>
        <v/>
      </c>
      <c r="R3826" s="15">
        <f>+J3825</f>
        <v>0</v>
      </c>
      <c r="S3826" s="16"/>
      <c r="T3826" s="15">
        <f>+E3825</f>
        <v>0</v>
      </c>
      <c r="U3826" s="26" t="str">
        <f>IFERROR(LEFT(I3825,FIND("*",I3825)-1),"-")</f>
        <v>-</v>
      </c>
      <c r="V3826" s="26" t="str">
        <f>IFERROR(RIGHT(I3825,LEN(I3825)-FIND("*",I3825)),"-")</f>
        <v>-</v>
      </c>
      <c r="W3826" s="27" t="str">
        <f t="shared" si="2080"/>
        <v>-</v>
      </c>
      <c r="X3826" s="27" t="str">
        <f t="shared" ref="X3826" si="2085">IFERROR(W3826*J3825,"-")</f>
        <v>-</v>
      </c>
      <c r="Z3826" s="94" t="s">
        <v>82</v>
      </c>
    </row>
    <row r="3827" spans="1:26" s="25" customFormat="1" ht="6.95" customHeight="1" x14ac:dyDescent="0.3">
      <c r="A3827" s="10"/>
      <c r="B3827" s="168"/>
      <c r="C3827" s="169"/>
      <c r="D3827" s="160"/>
      <c r="E3827" s="161"/>
      <c r="F3827" s="162"/>
      <c r="G3827" s="163"/>
      <c r="H3827" s="164"/>
      <c r="I3827" s="163"/>
      <c r="J3827" s="164"/>
      <c r="K3827" s="163"/>
      <c r="L3827" s="164"/>
      <c r="M3827" s="11"/>
      <c r="N3827" s="39"/>
      <c r="Q3827" s="15" t="str">
        <f>+CONCATENATE(E3825,K3825)</f>
        <v/>
      </c>
      <c r="R3827" s="15">
        <f>+L3825</f>
        <v>0</v>
      </c>
      <c r="S3827" s="16"/>
      <c r="T3827" s="15">
        <f>+E3825</f>
        <v>0</v>
      </c>
      <c r="U3827" s="26" t="str">
        <f>IFERROR(LEFT(K3825,FIND("*",K3825)-1),"-")</f>
        <v>-</v>
      </c>
      <c r="V3827" s="26" t="str">
        <f>IFERROR(RIGHT(K3825,LEN(K3825)-FIND("*",K3825)),"-")</f>
        <v>-</v>
      </c>
      <c r="W3827" s="27" t="str">
        <f t="shared" si="2080"/>
        <v>-</v>
      </c>
      <c r="X3827" s="27" t="str">
        <f>IFERROR(W3827*L3825,"-")</f>
        <v>-</v>
      </c>
      <c r="Z3827" s="94" t="s">
        <v>82</v>
      </c>
    </row>
    <row r="3828" spans="1:26" s="25" customFormat="1" ht="21" customHeight="1" thickBot="1" x14ac:dyDescent="0.35">
      <c r="A3828" s="10"/>
      <c r="B3828" s="170"/>
      <c r="C3828" s="171"/>
      <c r="D3828" s="172" t="s">
        <v>43</v>
      </c>
      <c r="E3828" s="173"/>
      <c r="F3828" s="173"/>
      <c r="G3828" s="174"/>
      <c r="H3828" s="174"/>
      <c r="I3828" s="174"/>
      <c r="J3828" s="174"/>
      <c r="K3828" s="174"/>
      <c r="L3828" s="174"/>
      <c r="M3828" s="12"/>
      <c r="N3828" s="39"/>
      <c r="U3828" s="23"/>
      <c r="V3828" s="23"/>
      <c r="Z3828" s="95" t="s">
        <v>81</v>
      </c>
    </row>
    <row r="3829" spans="1:26" s="25" customFormat="1" ht="9.9499999999999993" customHeight="1" thickBot="1" x14ac:dyDescent="0.35">
      <c r="A3829" s="6"/>
      <c r="B3829" s="14"/>
      <c r="C3829" s="119"/>
      <c r="D3829" s="58"/>
      <c r="E3829" s="17"/>
      <c r="F3829" s="58"/>
      <c r="G3829" s="19"/>
      <c r="H3829" s="19"/>
      <c r="I3829" s="19"/>
      <c r="J3829" s="19"/>
      <c r="K3829" s="19"/>
      <c r="L3829" s="19"/>
      <c r="M3829" s="14"/>
      <c r="N3829" s="39"/>
      <c r="Q3829" s="1"/>
      <c r="R3829" s="1"/>
      <c r="S3829" s="1"/>
      <c r="T3829" s="1"/>
      <c r="U3829" s="24"/>
      <c r="V3829" s="24"/>
      <c r="W3829" s="1"/>
      <c r="X3829" s="1"/>
      <c r="Z3829" s="94" t="s">
        <v>82</v>
      </c>
    </row>
    <row r="3830" spans="1:26" s="25" customFormat="1" ht="6.95" customHeight="1" x14ac:dyDescent="0.3">
      <c r="A3830" s="165">
        <f>+A3819+1</f>
        <v>349</v>
      </c>
      <c r="B3830" s="166"/>
      <c r="C3830" s="167"/>
      <c r="D3830" s="160" t="s">
        <v>39</v>
      </c>
      <c r="E3830" s="161"/>
      <c r="F3830" s="162" t="s">
        <v>40</v>
      </c>
      <c r="G3830" s="163"/>
      <c r="H3830" s="164"/>
      <c r="I3830" s="163"/>
      <c r="J3830" s="164"/>
      <c r="K3830" s="163"/>
      <c r="L3830" s="164"/>
      <c r="M3830" s="11"/>
      <c r="N3830" s="39"/>
      <c r="Q3830" s="15" t="str">
        <f>+CONCATENATE(E3830,G3830)</f>
        <v/>
      </c>
      <c r="R3830" s="15">
        <f>+H3830</f>
        <v>0</v>
      </c>
      <c r="S3830" s="16"/>
      <c r="T3830" s="15">
        <f>+E3830</f>
        <v>0</v>
      </c>
      <c r="U3830" s="26" t="str">
        <f>IFERROR(LEFT(G3830,FIND("*",G3830)-1),"-")</f>
        <v>-</v>
      </c>
      <c r="V3830" s="26" t="str">
        <f>IFERROR(RIGHT(G3830,LEN(G3830)-FIND("*",G3830)),"-")</f>
        <v>-</v>
      </c>
      <c r="W3830" s="27" t="str">
        <f>IFERROR((U3830+V3830)*2/1000,"-")</f>
        <v>-</v>
      </c>
      <c r="X3830" s="27" t="str">
        <f>IFERROR(W3830*H3830,"-")</f>
        <v>-</v>
      </c>
      <c r="Z3830" s="94" t="s">
        <v>82</v>
      </c>
    </row>
    <row r="3831" spans="1:26" s="25" customFormat="1" ht="6.95" customHeight="1" x14ac:dyDescent="0.3">
      <c r="A3831" s="165"/>
      <c r="B3831" s="168"/>
      <c r="C3831" s="169"/>
      <c r="D3831" s="160"/>
      <c r="E3831" s="161"/>
      <c r="F3831" s="162"/>
      <c r="G3831" s="163"/>
      <c r="H3831" s="164"/>
      <c r="I3831" s="163"/>
      <c r="J3831" s="164"/>
      <c r="K3831" s="163"/>
      <c r="L3831" s="164"/>
      <c r="M3831" s="11"/>
      <c r="N3831" s="39"/>
      <c r="Q3831" s="15" t="str">
        <f>+CONCATENATE(E3830,I3830)</f>
        <v/>
      </c>
      <c r="R3831" s="15">
        <f>+J3830</f>
        <v>0</v>
      </c>
      <c r="S3831" s="16"/>
      <c r="T3831" s="15">
        <f>+E3830</f>
        <v>0</v>
      </c>
      <c r="U3831" s="26" t="str">
        <f>IFERROR(LEFT(I3830,FIND("*",I3830)-1),"-")</f>
        <v>-</v>
      </c>
      <c r="V3831" s="26" t="str">
        <f>IFERROR(RIGHT(I3830,LEN(I3830)-FIND("*",I3830)),"-")</f>
        <v>-</v>
      </c>
      <c r="W3831" s="27" t="str">
        <f t="shared" ref="W3831:W3838" si="2086">IFERROR((U3831+V3831)*2/1000,"-")</f>
        <v>-</v>
      </c>
      <c r="X3831" s="27" t="str">
        <f>IFERROR(W3831*J3830,"-")</f>
        <v>-</v>
      </c>
      <c r="Z3831" s="94" t="s">
        <v>82</v>
      </c>
    </row>
    <row r="3832" spans="1:26" s="25" customFormat="1" ht="6.95" customHeight="1" x14ac:dyDescent="0.3">
      <c r="A3832" s="165"/>
      <c r="B3832" s="168"/>
      <c r="C3832" s="169"/>
      <c r="D3832" s="160"/>
      <c r="E3832" s="161"/>
      <c r="F3832" s="162"/>
      <c r="G3832" s="163"/>
      <c r="H3832" s="164"/>
      <c r="I3832" s="163"/>
      <c r="J3832" s="164"/>
      <c r="K3832" s="163"/>
      <c r="L3832" s="164"/>
      <c r="M3832" s="11"/>
      <c r="N3832" s="39"/>
      <c r="Q3832" s="15" t="str">
        <f>+CONCATENATE(E3830,K3830)</f>
        <v/>
      </c>
      <c r="R3832" s="15">
        <f>+L3830</f>
        <v>0</v>
      </c>
      <c r="S3832" s="16"/>
      <c r="T3832" s="15">
        <f>+E3830</f>
        <v>0</v>
      </c>
      <c r="U3832" s="26" t="str">
        <f>IFERROR(LEFT(K3830,FIND("*",K3830)-1),"-")</f>
        <v>-</v>
      </c>
      <c r="V3832" s="26" t="str">
        <f>IFERROR(RIGHT(K3830,LEN(K3830)-FIND("*",K3830)),"-")</f>
        <v>-</v>
      </c>
      <c r="W3832" s="27" t="str">
        <f t="shared" si="2086"/>
        <v>-</v>
      </c>
      <c r="X3832" s="27" t="str">
        <f>IFERROR(W3832*L3830,"-")</f>
        <v>-</v>
      </c>
      <c r="Z3832" s="94" t="s">
        <v>82</v>
      </c>
    </row>
    <row r="3833" spans="1:26" s="25" customFormat="1" ht="6.95" customHeight="1" x14ac:dyDescent="0.3">
      <c r="A3833" s="13"/>
      <c r="B3833" s="168"/>
      <c r="C3833" s="169"/>
      <c r="D3833" s="160" t="s">
        <v>39</v>
      </c>
      <c r="E3833" s="161"/>
      <c r="F3833" s="162" t="s">
        <v>40</v>
      </c>
      <c r="G3833" s="163"/>
      <c r="H3833" s="164"/>
      <c r="I3833" s="163"/>
      <c r="J3833" s="164"/>
      <c r="K3833" s="163"/>
      <c r="L3833" s="164"/>
      <c r="M3833" s="11"/>
      <c r="N3833" s="39"/>
      <c r="Q3833" s="15" t="str">
        <f>+CONCATENATE(E3833,G3833)</f>
        <v/>
      </c>
      <c r="R3833" s="15">
        <f>+H3833</f>
        <v>0</v>
      </c>
      <c r="S3833" s="16"/>
      <c r="T3833" s="15">
        <f>+E3833</f>
        <v>0</v>
      </c>
      <c r="U3833" s="26" t="str">
        <f t="shared" ref="U3833" si="2087">IFERROR(LEFT(G3833,FIND("*",G3833)-1),"-")</f>
        <v>-</v>
      </c>
      <c r="V3833" s="26" t="str">
        <f t="shared" ref="V3833" si="2088">IFERROR(RIGHT(G3833,LEN(G3833)-FIND("*",G3833)),"-")</f>
        <v>-</v>
      </c>
      <c r="W3833" s="27" t="str">
        <f t="shared" si="2086"/>
        <v>-</v>
      </c>
      <c r="X3833" s="27" t="str">
        <f>IFERROR(W3833*H3833,"-")</f>
        <v>-</v>
      </c>
      <c r="Z3833" s="94" t="s">
        <v>82</v>
      </c>
    </row>
    <row r="3834" spans="1:26" s="25" customFormat="1" ht="6.95" customHeight="1" x14ac:dyDescent="0.3">
      <c r="A3834" s="10"/>
      <c r="B3834" s="168"/>
      <c r="C3834" s="169"/>
      <c r="D3834" s="160"/>
      <c r="E3834" s="161"/>
      <c r="F3834" s="162"/>
      <c r="G3834" s="163"/>
      <c r="H3834" s="164"/>
      <c r="I3834" s="163"/>
      <c r="J3834" s="164"/>
      <c r="K3834" s="163"/>
      <c r="L3834" s="164"/>
      <c r="M3834" s="11"/>
      <c r="N3834" s="39"/>
      <c r="Q3834" s="15" t="str">
        <f>+CONCATENATE(E3833,I3833)</f>
        <v/>
      </c>
      <c r="R3834" s="15">
        <f>+J3833</f>
        <v>0</v>
      </c>
      <c r="S3834" s="16"/>
      <c r="T3834" s="15">
        <f>+E3833</f>
        <v>0</v>
      </c>
      <c r="U3834" s="26" t="str">
        <f>IFERROR(LEFT(I3833,FIND("*",I3833)-1),"-")</f>
        <v>-</v>
      </c>
      <c r="V3834" s="26" t="str">
        <f>IFERROR(RIGHT(I3833,LEN(I3833)-FIND("*",I3833)),"-")</f>
        <v>-</v>
      </c>
      <c r="W3834" s="27" t="str">
        <f t="shared" si="2086"/>
        <v>-</v>
      </c>
      <c r="X3834" s="27" t="str">
        <f>IFERROR(W3834*J3833,"-")</f>
        <v>-</v>
      </c>
      <c r="Z3834" s="94" t="s">
        <v>82</v>
      </c>
    </row>
    <row r="3835" spans="1:26" s="25" customFormat="1" ht="6.95" customHeight="1" x14ac:dyDescent="0.3">
      <c r="A3835" s="10"/>
      <c r="B3835" s="168"/>
      <c r="C3835" s="169"/>
      <c r="D3835" s="160"/>
      <c r="E3835" s="161"/>
      <c r="F3835" s="162"/>
      <c r="G3835" s="163"/>
      <c r="H3835" s="164"/>
      <c r="I3835" s="163"/>
      <c r="J3835" s="164"/>
      <c r="K3835" s="163"/>
      <c r="L3835" s="164"/>
      <c r="M3835" s="11"/>
      <c r="N3835" s="39"/>
      <c r="Q3835" s="15" t="str">
        <f>+CONCATENATE(E3833,K3833)</f>
        <v/>
      </c>
      <c r="R3835" s="15">
        <f>+L3833</f>
        <v>0</v>
      </c>
      <c r="S3835" s="16"/>
      <c r="T3835" s="15">
        <f>+E3833</f>
        <v>0</v>
      </c>
      <c r="U3835" s="26" t="str">
        <f>IFERROR(LEFT(K3833,FIND("*",K3833)-1),"-")</f>
        <v>-</v>
      </c>
      <c r="V3835" s="26" t="str">
        <f>IFERROR(RIGHT(K3833,LEN(K3833)-FIND("*",K3833)),"-")</f>
        <v>-</v>
      </c>
      <c r="W3835" s="27" t="str">
        <f t="shared" si="2086"/>
        <v>-</v>
      </c>
      <c r="X3835" s="27" t="str">
        <f>IFERROR(W3835*L3833,"-")</f>
        <v>-</v>
      </c>
      <c r="Z3835" s="94" t="s">
        <v>82</v>
      </c>
    </row>
    <row r="3836" spans="1:26" s="25" customFormat="1" ht="6.95" customHeight="1" x14ac:dyDescent="0.3">
      <c r="A3836" s="13"/>
      <c r="B3836" s="168"/>
      <c r="C3836" s="169"/>
      <c r="D3836" s="160" t="s">
        <v>39</v>
      </c>
      <c r="E3836" s="161"/>
      <c r="F3836" s="162" t="s">
        <v>40</v>
      </c>
      <c r="G3836" s="163"/>
      <c r="H3836" s="164"/>
      <c r="I3836" s="163"/>
      <c r="J3836" s="164"/>
      <c r="K3836" s="163"/>
      <c r="L3836" s="164"/>
      <c r="M3836" s="11"/>
      <c r="N3836" s="39"/>
      <c r="Q3836" s="15" t="str">
        <f>+CONCATENATE(E3836,G3836)</f>
        <v/>
      </c>
      <c r="R3836" s="15">
        <f>+H3836</f>
        <v>0</v>
      </c>
      <c r="S3836" s="16"/>
      <c r="T3836" s="15">
        <f>+E3836</f>
        <v>0</v>
      </c>
      <c r="U3836" s="26" t="str">
        <f t="shared" ref="U3836" si="2089">IFERROR(LEFT(G3836,FIND("*",G3836)-1),"-")</f>
        <v>-</v>
      </c>
      <c r="V3836" s="26" t="str">
        <f t="shared" ref="V3836" si="2090">IFERROR(RIGHT(G3836,LEN(G3836)-FIND("*",G3836)),"-")</f>
        <v>-</v>
      </c>
      <c r="W3836" s="27" t="str">
        <f t="shared" si="2086"/>
        <v>-</v>
      </c>
      <c r="X3836" s="27" t="str">
        <f>IFERROR(W3836*H3836,"-")</f>
        <v>-</v>
      </c>
      <c r="Z3836" s="94" t="s">
        <v>82</v>
      </c>
    </row>
    <row r="3837" spans="1:26" s="25" customFormat="1" ht="6.95" customHeight="1" x14ac:dyDescent="0.3">
      <c r="A3837" s="10"/>
      <c r="B3837" s="168"/>
      <c r="C3837" s="169"/>
      <c r="D3837" s="160"/>
      <c r="E3837" s="161"/>
      <c r="F3837" s="162"/>
      <c r="G3837" s="163"/>
      <c r="H3837" s="164"/>
      <c r="I3837" s="163"/>
      <c r="J3837" s="164"/>
      <c r="K3837" s="163"/>
      <c r="L3837" s="164"/>
      <c r="M3837" s="11"/>
      <c r="N3837" s="39"/>
      <c r="Q3837" s="15" t="str">
        <f>+CONCATENATE(E3836,I3836)</f>
        <v/>
      </c>
      <c r="R3837" s="15">
        <f>+J3836</f>
        <v>0</v>
      </c>
      <c r="S3837" s="16"/>
      <c r="T3837" s="15">
        <f>+E3836</f>
        <v>0</v>
      </c>
      <c r="U3837" s="26" t="str">
        <f>IFERROR(LEFT(I3836,FIND("*",I3836)-1),"-")</f>
        <v>-</v>
      </c>
      <c r="V3837" s="26" t="str">
        <f>IFERROR(RIGHT(I3836,LEN(I3836)-FIND("*",I3836)),"-")</f>
        <v>-</v>
      </c>
      <c r="W3837" s="27" t="str">
        <f t="shared" si="2086"/>
        <v>-</v>
      </c>
      <c r="X3837" s="27" t="str">
        <f t="shared" ref="X3837" si="2091">IFERROR(W3837*J3836,"-")</f>
        <v>-</v>
      </c>
      <c r="Z3837" s="94" t="s">
        <v>82</v>
      </c>
    </row>
    <row r="3838" spans="1:26" s="25" customFormat="1" ht="6.95" customHeight="1" x14ac:dyDescent="0.3">
      <c r="A3838" s="10"/>
      <c r="B3838" s="168"/>
      <c r="C3838" s="169"/>
      <c r="D3838" s="160"/>
      <c r="E3838" s="161"/>
      <c r="F3838" s="162"/>
      <c r="G3838" s="163"/>
      <c r="H3838" s="164"/>
      <c r="I3838" s="163"/>
      <c r="J3838" s="164"/>
      <c r="K3838" s="163"/>
      <c r="L3838" s="164"/>
      <c r="M3838" s="11"/>
      <c r="N3838" s="39"/>
      <c r="Q3838" s="15" t="str">
        <f>+CONCATENATE(E3836,K3836)</f>
        <v/>
      </c>
      <c r="R3838" s="15">
        <f>+L3836</f>
        <v>0</v>
      </c>
      <c r="S3838" s="16"/>
      <c r="T3838" s="15">
        <f>+E3836</f>
        <v>0</v>
      </c>
      <c r="U3838" s="26" t="str">
        <f>IFERROR(LEFT(K3836,FIND("*",K3836)-1),"-")</f>
        <v>-</v>
      </c>
      <c r="V3838" s="26" t="str">
        <f>IFERROR(RIGHT(K3836,LEN(K3836)-FIND("*",K3836)),"-")</f>
        <v>-</v>
      </c>
      <c r="W3838" s="27" t="str">
        <f t="shared" si="2086"/>
        <v>-</v>
      </c>
      <c r="X3838" s="27" t="str">
        <f>IFERROR(W3838*L3836,"-")</f>
        <v>-</v>
      </c>
      <c r="Z3838" s="94" t="s">
        <v>82</v>
      </c>
    </row>
    <row r="3839" spans="1:26" s="25" customFormat="1" ht="21" customHeight="1" thickBot="1" x14ac:dyDescent="0.35">
      <c r="A3839" s="10"/>
      <c r="B3839" s="170"/>
      <c r="C3839" s="171"/>
      <c r="D3839" s="172" t="s">
        <v>43</v>
      </c>
      <c r="E3839" s="173"/>
      <c r="F3839" s="173"/>
      <c r="G3839" s="174"/>
      <c r="H3839" s="174"/>
      <c r="I3839" s="174"/>
      <c r="J3839" s="174"/>
      <c r="K3839" s="174"/>
      <c r="L3839" s="174"/>
      <c r="M3839" s="12"/>
      <c r="N3839" s="39"/>
      <c r="U3839" s="23"/>
      <c r="V3839" s="23"/>
      <c r="Z3839" s="95" t="s">
        <v>81</v>
      </c>
    </row>
    <row r="3840" spans="1:26" s="25" customFormat="1" ht="9.9499999999999993" customHeight="1" thickBot="1" x14ac:dyDescent="0.35">
      <c r="A3840" s="6"/>
      <c r="B3840" s="14"/>
      <c r="C3840" s="119"/>
      <c r="D3840" s="58"/>
      <c r="E3840" s="17"/>
      <c r="F3840" s="58"/>
      <c r="G3840" s="19"/>
      <c r="H3840" s="19"/>
      <c r="I3840" s="19"/>
      <c r="J3840" s="19"/>
      <c r="K3840" s="19"/>
      <c r="L3840" s="19"/>
      <c r="M3840" s="14"/>
      <c r="N3840" s="39"/>
      <c r="Q3840" s="1"/>
      <c r="R3840" s="1"/>
      <c r="S3840" s="1"/>
      <c r="T3840" s="1"/>
      <c r="U3840" s="24"/>
      <c r="V3840" s="24"/>
      <c r="W3840" s="1"/>
      <c r="X3840" s="1"/>
      <c r="Z3840" s="94" t="s">
        <v>82</v>
      </c>
    </row>
    <row r="3841" spans="1:26" s="25" customFormat="1" ht="6.95" customHeight="1" x14ac:dyDescent="0.3">
      <c r="A3841" s="165">
        <f>+A3830+1</f>
        <v>350</v>
      </c>
      <c r="B3841" s="166"/>
      <c r="C3841" s="167"/>
      <c r="D3841" s="160" t="s">
        <v>39</v>
      </c>
      <c r="E3841" s="161"/>
      <c r="F3841" s="162" t="s">
        <v>40</v>
      </c>
      <c r="G3841" s="163"/>
      <c r="H3841" s="164"/>
      <c r="I3841" s="163"/>
      <c r="J3841" s="164"/>
      <c r="K3841" s="163"/>
      <c r="L3841" s="164"/>
      <c r="M3841" s="11"/>
      <c r="N3841" s="39"/>
      <c r="Q3841" s="15" t="str">
        <f>+CONCATENATE(E3841,G3841)</f>
        <v/>
      </c>
      <c r="R3841" s="15">
        <f>+H3841</f>
        <v>0</v>
      </c>
      <c r="S3841" s="16"/>
      <c r="T3841" s="15">
        <f>+E3841</f>
        <v>0</v>
      </c>
      <c r="U3841" s="26" t="str">
        <f>IFERROR(LEFT(G3841,FIND("*",G3841)-1),"-")</f>
        <v>-</v>
      </c>
      <c r="V3841" s="26" t="str">
        <f>IFERROR(RIGHT(G3841,LEN(G3841)-FIND("*",G3841)),"-")</f>
        <v>-</v>
      </c>
      <c r="W3841" s="27" t="str">
        <f>IFERROR((U3841+V3841)*2/1000,"-")</f>
        <v>-</v>
      </c>
      <c r="X3841" s="27" t="str">
        <f>IFERROR(W3841*H3841,"-")</f>
        <v>-</v>
      </c>
      <c r="Z3841" s="94" t="s">
        <v>82</v>
      </c>
    </row>
    <row r="3842" spans="1:26" s="25" customFormat="1" ht="6.95" customHeight="1" x14ac:dyDescent="0.3">
      <c r="A3842" s="165"/>
      <c r="B3842" s="168"/>
      <c r="C3842" s="169"/>
      <c r="D3842" s="160"/>
      <c r="E3842" s="161"/>
      <c r="F3842" s="162"/>
      <c r="G3842" s="163"/>
      <c r="H3842" s="164"/>
      <c r="I3842" s="163"/>
      <c r="J3842" s="164"/>
      <c r="K3842" s="163"/>
      <c r="L3842" s="164"/>
      <c r="M3842" s="11"/>
      <c r="N3842" s="39"/>
      <c r="Q3842" s="15" t="str">
        <f>+CONCATENATE(E3841,I3841)</f>
        <v/>
      </c>
      <c r="R3842" s="15">
        <f>+J3841</f>
        <v>0</v>
      </c>
      <c r="S3842" s="16"/>
      <c r="T3842" s="15">
        <f>+E3841</f>
        <v>0</v>
      </c>
      <c r="U3842" s="26" t="str">
        <f>IFERROR(LEFT(I3841,FIND("*",I3841)-1),"-")</f>
        <v>-</v>
      </c>
      <c r="V3842" s="26" t="str">
        <f>IFERROR(RIGHT(I3841,LEN(I3841)-FIND("*",I3841)),"-")</f>
        <v>-</v>
      </c>
      <c r="W3842" s="27" t="str">
        <f t="shared" ref="W3842:W3849" si="2092">IFERROR((U3842+V3842)*2/1000,"-")</f>
        <v>-</v>
      </c>
      <c r="X3842" s="27" t="str">
        <f>IFERROR(W3842*J3841,"-")</f>
        <v>-</v>
      </c>
      <c r="Z3842" s="94" t="s">
        <v>82</v>
      </c>
    </row>
    <row r="3843" spans="1:26" s="25" customFormat="1" ht="6.95" customHeight="1" x14ac:dyDescent="0.3">
      <c r="A3843" s="165"/>
      <c r="B3843" s="168"/>
      <c r="C3843" s="169"/>
      <c r="D3843" s="160"/>
      <c r="E3843" s="161"/>
      <c r="F3843" s="162"/>
      <c r="G3843" s="163"/>
      <c r="H3843" s="164"/>
      <c r="I3843" s="163"/>
      <c r="J3843" s="164"/>
      <c r="K3843" s="163"/>
      <c r="L3843" s="164"/>
      <c r="M3843" s="11"/>
      <c r="N3843" s="39"/>
      <c r="Q3843" s="15" t="str">
        <f>+CONCATENATE(E3841,K3841)</f>
        <v/>
      </c>
      <c r="R3843" s="15">
        <f>+L3841</f>
        <v>0</v>
      </c>
      <c r="S3843" s="16"/>
      <c r="T3843" s="15">
        <f>+E3841</f>
        <v>0</v>
      </c>
      <c r="U3843" s="26" t="str">
        <f>IFERROR(LEFT(K3841,FIND("*",K3841)-1),"-")</f>
        <v>-</v>
      </c>
      <c r="V3843" s="26" t="str">
        <f>IFERROR(RIGHT(K3841,LEN(K3841)-FIND("*",K3841)),"-")</f>
        <v>-</v>
      </c>
      <c r="W3843" s="27" t="str">
        <f t="shared" si="2092"/>
        <v>-</v>
      </c>
      <c r="X3843" s="27" t="str">
        <f>IFERROR(W3843*L3841,"-")</f>
        <v>-</v>
      </c>
      <c r="Z3843" s="94" t="s">
        <v>82</v>
      </c>
    </row>
    <row r="3844" spans="1:26" s="25" customFormat="1" ht="6.95" customHeight="1" x14ac:dyDescent="0.3">
      <c r="A3844" s="13"/>
      <c r="B3844" s="168"/>
      <c r="C3844" s="169"/>
      <c r="D3844" s="160" t="s">
        <v>39</v>
      </c>
      <c r="E3844" s="161"/>
      <c r="F3844" s="162" t="s">
        <v>40</v>
      </c>
      <c r="G3844" s="163"/>
      <c r="H3844" s="164"/>
      <c r="I3844" s="163"/>
      <c r="J3844" s="164"/>
      <c r="K3844" s="163"/>
      <c r="L3844" s="164"/>
      <c r="M3844" s="11"/>
      <c r="N3844" s="39"/>
      <c r="Q3844" s="15" t="str">
        <f>+CONCATENATE(E3844,G3844)</f>
        <v/>
      </c>
      <c r="R3844" s="15">
        <f>+H3844</f>
        <v>0</v>
      </c>
      <c r="S3844" s="16"/>
      <c r="T3844" s="15">
        <f>+E3844</f>
        <v>0</v>
      </c>
      <c r="U3844" s="26" t="str">
        <f t="shared" ref="U3844" si="2093">IFERROR(LEFT(G3844,FIND("*",G3844)-1),"-")</f>
        <v>-</v>
      </c>
      <c r="V3844" s="26" t="str">
        <f t="shared" ref="V3844" si="2094">IFERROR(RIGHT(G3844,LEN(G3844)-FIND("*",G3844)),"-")</f>
        <v>-</v>
      </c>
      <c r="W3844" s="27" t="str">
        <f t="shared" si="2092"/>
        <v>-</v>
      </c>
      <c r="X3844" s="27" t="str">
        <f>IFERROR(W3844*H3844,"-")</f>
        <v>-</v>
      </c>
      <c r="Z3844" s="94" t="s">
        <v>82</v>
      </c>
    </row>
    <row r="3845" spans="1:26" s="25" customFormat="1" ht="6.95" customHeight="1" x14ac:dyDescent="0.3">
      <c r="A3845" s="10"/>
      <c r="B3845" s="168"/>
      <c r="C3845" s="169"/>
      <c r="D3845" s="160"/>
      <c r="E3845" s="161"/>
      <c r="F3845" s="162"/>
      <c r="G3845" s="163"/>
      <c r="H3845" s="164"/>
      <c r="I3845" s="163"/>
      <c r="J3845" s="164"/>
      <c r="K3845" s="163"/>
      <c r="L3845" s="164"/>
      <c r="M3845" s="11"/>
      <c r="N3845" s="39"/>
      <c r="Q3845" s="15" t="str">
        <f>+CONCATENATE(E3844,I3844)</f>
        <v/>
      </c>
      <c r="R3845" s="15">
        <f>+J3844</f>
        <v>0</v>
      </c>
      <c r="S3845" s="16"/>
      <c r="T3845" s="15">
        <f>+E3844</f>
        <v>0</v>
      </c>
      <c r="U3845" s="26" t="str">
        <f>IFERROR(LEFT(I3844,FIND("*",I3844)-1),"-")</f>
        <v>-</v>
      </c>
      <c r="V3845" s="26" t="str">
        <f>IFERROR(RIGHT(I3844,LEN(I3844)-FIND("*",I3844)),"-")</f>
        <v>-</v>
      </c>
      <c r="W3845" s="27" t="str">
        <f t="shared" si="2092"/>
        <v>-</v>
      </c>
      <c r="X3845" s="27" t="str">
        <f>IFERROR(W3845*J3844,"-")</f>
        <v>-</v>
      </c>
      <c r="Z3845" s="94" t="s">
        <v>82</v>
      </c>
    </row>
    <row r="3846" spans="1:26" s="25" customFormat="1" ht="6.95" customHeight="1" x14ac:dyDescent="0.3">
      <c r="A3846" s="10"/>
      <c r="B3846" s="168"/>
      <c r="C3846" s="169"/>
      <c r="D3846" s="160"/>
      <c r="E3846" s="161"/>
      <c r="F3846" s="162"/>
      <c r="G3846" s="163"/>
      <c r="H3846" s="164"/>
      <c r="I3846" s="163"/>
      <c r="J3846" s="164"/>
      <c r="K3846" s="163"/>
      <c r="L3846" s="164"/>
      <c r="M3846" s="11"/>
      <c r="N3846" s="39"/>
      <c r="Q3846" s="15" t="str">
        <f>+CONCATENATE(E3844,K3844)</f>
        <v/>
      </c>
      <c r="R3846" s="15">
        <f>+L3844</f>
        <v>0</v>
      </c>
      <c r="S3846" s="16"/>
      <c r="T3846" s="15">
        <f>+E3844</f>
        <v>0</v>
      </c>
      <c r="U3846" s="26" t="str">
        <f>IFERROR(LEFT(K3844,FIND("*",K3844)-1),"-")</f>
        <v>-</v>
      </c>
      <c r="V3846" s="26" t="str">
        <f>IFERROR(RIGHT(K3844,LEN(K3844)-FIND("*",K3844)),"-")</f>
        <v>-</v>
      </c>
      <c r="W3846" s="27" t="str">
        <f t="shared" si="2092"/>
        <v>-</v>
      </c>
      <c r="X3846" s="27" t="str">
        <f>IFERROR(W3846*L3844,"-")</f>
        <v>-</v>
      </c>
      <c r="Z3846" s="94" t="s">
        <v>82</v>
      </c>
    </row>
    <row r="3847" spans="1:26" s="25" customFormat="1" ht="6.95" customHeight="1" x14ac:dyDescent="0.3">
      <c r="A3847" s="13"/>
      <c r="B3847" s="168"/>
      <c r="C3847" s="169"/>
      <c r="D3847" s="160" t="s">
        <v>39</v>
      </c>
      <c r="E3847" s="161"/>
      <c r="F3847" s="162" t="s">
        <v>40</v>
      </c>
      <c r="G3847" s="163"/>
      <c r="H3847" s="164"/>
      <c r="I3847" s="163"/>
      <c r="J3847" s="164"/>
      <c r="K3847" s="163"/>
      <c r="L3847" s="164"/>
      <c r="M3847" s="11"/>
      <c r="N3847" s="39"/>
      <c r="Q3847" s="15" t="str">
        <f>+CONCATENATE(E3847,G3847)</f>
        <v/>
      </c>
      <c r="R3847" s="15">
        <f>+H3847</f>
        <v>0</v>
      </c>
      <c r="S3847" s="16"/>
      <c r="T3847" s="15">
        <f>+E3847</f>
        <v>0</v>
      </c>
      <c r="U3847" s="26" t="str">
        <f t="shared" ref="U3847" si="2095">IFERROR(LEFT(G3847,FIND("*",G3847)-1),"-")</f>
        <v>-</v>
      </c>
      <c r="V3847" s="26" t="str">
        <f t="shared" ref="V3847" si="2096">IFERROR(RIGHT(G3847,LEN(G3847)-FIND("*",G3847)),"-")</f>
        <v>-</v>
      </c>
      <c r="W3847" s="27" t="str">
        <f t="shared" si="2092"/>
        <v>-</v>
      </c>
      <c r="X3847" s="27" t="str">
        <f>IFERROR(W3847*H3847,"-")</f>
        <v>-</v>
      </c>
      <c r="Z3847" s="94" t="s">
        <v>82</v>
      </c>
    </row>
    <row r="3848" spans="1:26" s="25" customFormat="1" ht="6.95" customHeight="1" x14ac:dyDescent="0.3">
      <c r="A3848" s="10"/>
      <c r="B3848" s="168"/>
      <c r="C3848" s="169"/>
      <c r="D3848" s="160"/>
      <c r="E3848" s="161"/>
      <c r="F3848" s="162"/>
      <c r="G3848" s="163"/>
      <c r="H3848" s="164"/>
      <c r="I3848" s="163"/>
      <c r="J3848" s="164"/>
      <c r="K3848" s="163"/>
      <c r="L3848" s="164"/>
      <c r="M3848" s="11"/>
      <c r="N3848" s="39"/>
      <c r="Q3848" s="15" t="str">
        <f>+CONCATENATE(E3847,I3847)</f>
        <v/>
      </c>
      <c r="R3848" s="15">
        <f>+J3847</f>
        <v>0</v>
      </c>
      <c r="S3848" s="16"/>
      <c r="T3848" s="15">
        <f>+E3847</f>
        <v>0</v>
      </c>
      <c r="U3848" s="26" t="str">
        <f>IFERROR(LEFT(I3847,FIND("*",I3847)-1),"-")</f>
        <v>-</v>
      </c>
      <c r="V3848" s="26" t="str">
        <f>IFERROR(RIGHT(I3847,LEN(I3847)-FIND("*",I3847)),"-")</f>
        <v>-</v>
      </c>
      <c r="W3848" s="27" t="str">
        <f t="shared" si="2092"/>
        <v>-</v>
      </c>
      <c r="X3848" s="27" t="str">
        <f t="shared" ref="X3848" si="2097">IFERROR(W3848*J3847,"-")</f>
        <v>-</v>
      </c>
      <c r="Z3848" s="94" t="s">
        <v>82</v>
      </c>
    </row>
    <row r="3849" spans="1:26" s="25" customFormat="1" ht="6.95" customHeight="1" x14ac:dyDescent="0.3">
      <c r="A3849" s="10"/>
      <c r="B3849" s="168"/>
      <c r="C3849" s="169"/>
      <c r="D3849" s="160"/>
      <c r="E3849" s="161"/>
      <c r="F3849" s="162"/>
      <c r="G3849" s="163"/>
      <c r="H3849" s="164"/>
      <c r="I3849" s="163"/>
      <c r="J3849" s="164"/>
      <c r="K3849" s="163"/>
      <c r="L3849" s="164"/>
      <c r="M3849" s="11"/>
      <c r="N3849" s="39"/>
      <c r="Q3849" s="15" t="str">
        <f>+CONCATENATE(E3847,K3847)</f>
        <v/>
      </c>
      <c r="R3849" s="15">
        <f>+L3847</f>
        <v>0</v>
      </c>
      <c r="S3849" s="16"/>
      <c r="T3849" s="15">
        <f>+E3847</f>
        <v>0</v>
      </c>
      <c r="U3849" s="26" t="str">
        <f>IFERROR(LEFT(K3847,FIND("*",K3847)-1),"-")</f>
        <v>-</v>
      </c>
      <c r="V3849" s="26" t="str">
        <f>IFERROR(RIGHT(K3847,LEN(K3847)-FIND("*",K3847)),"-")</f>
        <v>-</v>
      </c>
      <c r="W3849" s="27" t="str">
        <f t="shared" si="2092"/>
        <v>-</v>
      </c>
      <c r="X3849" s="27" t="str">
        <f>IFERROR(W3849*L3847,"-")</f>
        <v>-</v>
      </c>
      <c r="Z3849" s="94" t="s">
        <v>82</v>
      </c>
    </row>
    <row r="3850" spans="1:26" s="25" customFormat="1" ht="21" customHeight="1" thickBot="1" x14ac:dyDescent="0.35">
      <c r="A3850" s="10"/>
      <c r="B3850" s="170"/>
      <c r="C3850" s="171"/>
      <c r="D3850" s="172" t="s">
        <v>43</v>
      </c>
      <c r="E3850" s="173"/>
      <c r="F3850" s="173"/>
      <c r="G3850" s="174"/>
      <c r="H3850" s="174"/>
      <c r="I3850" s="174"/>
      <c r="J3850" s="174"/>
      <c r="K3850" s="174"/>
      <c r="L3850" s="174"/>
      <c r="M3850" s="12"/>
      <c r="N3850" s="39"/>
      <c r="U3850" s="23"/>
      <c r="V3850" s="23"/>
      <c r="Z3850" s="95" t="s">
        <v>81</v>
      </c>
    </row>
    <row r="3851" spans="1:26" s="25" customFormat="1" ht="9.9499999999999993" customHeight="1" thickBot="1" x14ac:dyDescent="0.35">
      <c r="A3851" s="6"/>
      <c r="B3851" s="14"/>
      <c r="C3851" s="119"/>
      <c r="D3851" s="58"/>
      <c r="E3851" s="17"/>
      <c r="F3851" s="58"/>
      <c r="G3851" s="19"/>
      <c r="H3851" s="19"/>
      <c r="I3851" s="19"/>
      <c r="J3851" s="19"/>
      <c r="K3851" s="19"/>
      <c r="L3851" s="19"/>
      <c r="M3851" s="14"/>
      <c r="N3851" s="39"/>
      <c r="Q3851" s="1"/>
      <c r="R3851" s="1"/>
      <c r="S3851" s="1"/>
      <c r="T3851" s="1"/>
      <c r="U3851" s="24"/>
      <c r="V3851" s="24"/>
      <c r="W3851" s="1"/>
      <c r="X3851" s="1"/>
      <c r="Z3851" s="94" t="s">
        <v>82</v>
      </c>
    </row>
    <row r="3852" spans="1:26" s="25" customFormat="1" ht="6.95" customHeight="1" x14ac:dyDescent="0.3">
      <c r="A3852" s="165">
        <f>+A3841+1</f>
        <v>351</v>
      </c>
      <c r="B3852" s="166"/>
      <c r="C3852" s="167"/>
      <c r="D3852" s="160" t="s">
        <v>39</v>
      </c>
      <c r="E3852" s="161"/>
      <c r="F3852" s="162" t="s">
        <v>40</v>
      </c>
      <c r="G3852" s="163"/>
      <c r="H3852" s="164"/>
      <c r="I3852" s="163"/>
      <c r="J3852" s="164"/>
      <c r="K3852" s="163"/>
      <c r="L3852" s="164"/>
      <c r="M3852" s="11"/>
      <c r="N3852" s="39"/>
      <c r="Q3852" s="15" t="str">
        <f>+CONCATENATE(E3852,G3852)</f>
        <v/>
      </c>
      <c r="R3852" s="15">
        <f>+H3852</f>
        <v>0</v>
      </c>
      <c r="S3852" s="16"/>
      <c r="T3852" s="15">
        <f>+E3852</f>
        <v>0</v>
      </c>
      <c r="U3852" s="26" t="str">
        <f>IFERROR(LEFT(G3852,FIND("*",G3852)-1),"-")</f>
        <v>-</v>
      </c>
      <c r="V3852" s="26" t="str">
        <f>IFERROR(RIGHT(G3852,LEN(G3852)-FIND("*",G3852)),"-")</f>
        <v>-</v>
      </c>
      <c r="W3852" s="27" t="str">
        <f>IFERROR((U3852+V3852)*2/1000,"-")</f>
        <v>-</v>
      </c>
      <c r="X3852" s="27" t="str">
        <f>IFERROR(W3852*H3852,"-")</f>
        <v>-</v>
      </c>
      <c r="Z3852" s="94" t="s">
        <v>82</v>
      </c>
    </row>
    <row r="3853" spans="1:26" s="25" customFormat="1" ht="6.95" customHeight="1" x14ac:dyDescent="0.3">
      <c r="A3853" s="165"/>
      <c r="B3853" s="168"/>
      <c r="C3853" s="169"/>
      <c r="D3853" s="160"/>
      <c r="E3853" s="161"/>
      <c r="F3853" s="162"/>
      <c r="G3853" s="163"/>
      <c r="H3853" s="164"/>
      <c r="I3853" s="163"/>
      <c r="J3853" s="164"/>
      <c r="K3853" s="163"/>
      <c r="L3853" s="164"/>
      <c r="M3853" s="11"/>
      <c r="N3853" s="39"/>
      <c r="Q3853" s="15" t="str">
        <f>+CONCATENATE(E3852,I3852)</f>
        <v/>
      </c>
      <c r="R3853" s="15">
        <f>+J3852</f>
        <v>0</v>
      </c>
      <c r="S3853" s="16"/>
      <c r="T3853" s="15">
        <f>+E3852</f>
        <v>0</v>
      </c>
      <c r="U3853" s="26" t="str">
        <f>IFERROR(LEFT(I3852,FIND("*",I3852)-1),"-")</f>
        <v>-</v>
      </c>
      <c r="V3853" s="26" t="str">
        <f>IFERROR(RIGHT(I3852,LEN(I3852)-FIND("*",I3852)),"-")</f>
        <v>-</v>
      </c>
      <c r="W3853" s="27" t="str">
        <f t="shared" ref="W3853:W3860" si="2098">IFERROR((U3853+V3853)*2/1000,"-")</f>
        <v>-</v>
      </c>
      <c r="X3853" s="27" t="str">
        <f>IFERROR(W3853*J3852,"-")</f>
        <v>-</v>
      </c>
      <c r="Z3853" s="94" t="s">
        <v>82</v>
      </c>
    </row>
    <row r="3854" spans="1:26" s="25" customFormat="1" ht="6.95" customHeight="1" x14ac:dyDescent="0.3">
      <c r="A3854" s="165"/>
      <c r="B3854" s="168"/>
      <c r="C3854" s="169"/>
      <c r="D3854" s="160"/>
      <c r="E3854" s="161"/>
      <c r="F3854" s="162"/>
      <c r="G3854" s="163"/>
      <c r="H3854" s="164"/>
      <c r="I3854" s="163"/>
      <c r="J3854" s="164"/>
      <c r="K3854" s="163"/>
      <c r="L3854" s="164"/>
      <c r="M3854" s="11"/>
      <c r="N3854" s="39"/>
      <c r="Q3854" s="15" t="str">
        <f>+CONCATENATE(E3852,K3852)</f>
        <v/>
      </c>
      <c r="R3854" s="15">
        <f>+L3852</f>
        <v>0</v>
      </c>
      <c r="S3854" s="16"/>
      <c r="T3854" s="15">
        <f>+E3852</f>
        <v>0</v>
      </c>
      <c r="U3854" s="26" t="str">
        <f>IFERROR(LEFT(K3852,FIND("*",K3852)-1),"-")</f>
        <v>-</v>
      </c>
      <c r="V3854" s="26" t="str">
        <f>IFERROR(RIGHT(K3852,LEN(K3852)-FIND("*",K3852)),"-")</f>
        <v>-</v>
      </c>
      <c r="W3854" s="27" t="str">
        <f t="shared" si="2098"/>
        <v>-</v>
      </c>
      <c r="X3854" s="27" t="str">
        <f>IFERROR(W3854*L3852,"-")</f>
        <v>-</v>
      </c>
      <c r="Z3854" s="94" t="s">
        <v>82</v>
      </c>
    </row>
    <row r="3855" spans="1:26" s="25" customFormat="1" ht="6.95" customHeight="1" x14ac:dyDescent="0.3">
      <c r="A3855" s="13"/>
      <c r="B3855" s="168"/>
      <c r="C3855" s="169"/>
      <c r="D3855" s="160" t="s">
        <v>39</v>
      </c>
      <c r="E3855" s="161"/>
      <c r="F3855" s="162" t="s">
        <v>40</v>
      </c>
      <c r="G3855" s="163"/>
      <c r="H3855" s="164"/>
      <c r="I3855" s="163"/>
      <c r="J3855" s="164"/>
      <c r="K3855" s="163"/>
      <c r="L3855" s="164"/>
      <c r="M3855" s="11"/>
      <c r="N3855" s="39"/>
      <c r="Q3855" s="15" t="str">
        <f>+CONCATENATE(E3855,G3855)</f>
        <v/>
      </c>
      <c r="R3855" s="15">
        <f>+H3855</f>
        <v>0</v>
      </c>
      <c r="S3855" s="16"/>
      <c r="T3855" s="15">
        <f>+E3855</f>
        <v>0</v>
      </c>
      <c r="U3855" s="26" t="str">
        <f t="shared" ref="U3855" si="2099">IFERROR(LEFT(G3855,FIND("*",G3855)-1),"-")</f>
        <v>-</v>
      </c>
      <c r="V3855" s="26" t="str">
        <f t="shared" ref="V3855" si="2100">IFERROR(RIGHT(G3855,LEN(G3855)-FIND("*",G3855)),"-")</f>
        <v>-</v>
      </c>
      <c r="W3855" s="27" t="str">
        <f t="shared" si="2098"/>
        <v>-</v>
      </c>
      <c r="X3855" s="27" t="str">
        <f>IFERROR(W3855*H3855,"-")</f>
        <v>-</v>
      </c>
      <c r="Z3855" s="94" t="s">
        <v>82</v>
      </c>
    </row>
    <row r="3856" spans="1:26" s="25" customFormat="1" ht="6.95" customHeight="1" x14ac:dyDescent="0.3">
      <c r="A3856" s="10"/>
      <c r="B3856" s="168"/>
      <c r="C3856" s="169"/>
      <c r="D3856" s="160"/>
      <c r="E3856" s="161"/>
      <c r="F3856" s="162"/>
      <c r="G3856" s="163"/>
      <c r="H3856" s="164"/>
      <c r="I3856" s="163"/>
      <c r="J3856" s="164"/>
      <c r="K3856" s="163"/>
      <c r="L3856" s="164"/>
      <c r="M3856" s="11"/>
      <c r="N3856" s="39"/>
      <c r="Q3856" s="15" t="str">
        <f>+CONCATENATE(E3855,I3855)</f>
        <v/>
      </c>
      <c r="R3856" s="15">
        <f>+J3855</f>
        <v>0</v>
      </c>
      <c r="S3856" s="16"/>
      <c r="T3856" s="15">
        <f>+E3855</f>
        <v>0</v>
      </c>
      <c r="U3856" s="26" t="str">
        <f>IFERROR(LEFT(I3855,FIND("*",I3855)-1),"-")</f>
        <v>-</v>
      </c>
      <c r="V3856" s="26" t="str">
        <f>IFERROR(RIGHT(I3855,LEN(I3855)-FIND("*",I3855)),"-")</f>
        <v>-</v>
      </c>
      <c r="W3856" s="27" t="str">
        <f t="shared" si="2098"/>
        <v>-</v>
      </c>
      <c r="X3856" s="27" t="str">
        <f>IFERROR(W3856*J3855,"-")</f>
        <v>-</v>
      </c>
      <c r="Z3856" s="94" t="s">
        <v>82</v>
      </c>
    </row>
    <row r="3857" spans="1:26" s="25" customFormat="1" ht="6.95" customHeight="1" x14ac:dyDescent="0.3">
      <c r="A3857" s="10"/>
      <c r="B3857" s="168"/>
      <c r="C3857" s="169"/>
      <c r="D3857" s="160"/>
      <c r="E3857" s="161"/>
      <c r="F3857" s="162"/>
      <c r="G3857" s="163"/>
      <c r="H3857" s="164"/>
      <c r="I3857" s="163"/>
      <c r="J3857" s="164"/>
      <c r="K3857" s="163"/>
      <c r="L3857" s="164"/>
      <c r="M3857" s="11"/>
      <c r="N3857" s="39"/>
      <c r="Q3857" s="15" t="str">
        <f>+CONCATENATE(E3855,K3855)</f>
        <v/>
      </c>
      <c r="R3857" s="15">
        <f>+L3855</f>
        <v>0</v>
      </c>
      <c r="S3857" s="16"/>
      <c r="T3857" s="15">
        <f>+E3855</f>
        <v>0</v>
      </c>
      <c r="U3857" s="26" t="str">
        <f>IFERROR(LEFT(K3855,FIND("*",K3855)-1),"-")</f>
        <v>-</v>
      </c>
      <c r="V3857" s="26" t="str">
        <f>IFERROR(RIGHT(K3855,LEN(K3855)-FIND("*",K3855)),"-")</f>
        <v>-</v>
      </c>
      <c r="W3857" s="27" t="str">
        <f t="shared" si="2098"/>
        <v>-</v>
      </c>
      <c r="X3857" s="27" t="str">
        <f>IFERROR(W3857*L3855,"-")</f>
        <v>-</v>
      </c>
      <c r="Z3857" s="94" t="s">
        <v>82</v>
      </c>
    </row>
    <row r="3858" spans="1:26" s="25" customFormat="1" ht="6.95" customHeight="1" x14ac:dyDescent="0.3">
      <c r="A3858" s="13"/>
      <c r="B3858" s="168"/>
      <c r="C3858" s="169"/>
      <c r="D3858" s="160" t="s">
        <v>39</v>
      </c>
      <c r="E3858" s="161"/>
      <c r="F3858" s="162" t="s">
        <v>40</v>
      </c>
      <c r="G3858" s="163"/>
      <c r="H3858" s="164"/>
      <c r="I3858" s="163"/>
      <c r="J3858" s="164"/>
      <c r="K3858" s="163"/>
      <c r="L3858" s="164"/>
      <c r="M3858" s="11"/>
      <c r="N3858" s="39"/>
      <c r="Q3858" s="15" t="str">
        <f>+CONCATENATE(E3858,G3858)</f>
        <v/>
      </c>
      <c r="R3858" s="15">
        <f>+H3858</f>
        <v>0</v>
      </c>
      <c r="S3858" s="16"/>
      <c r="T3858" s="15">
        <f>+E3858</f>
        <v>0</v>
      </c>
      <c r="U3858" s="26" t="str">
        <f t="shared" ref="U3858" si="2101">IFERROR(LEFT(G3858,FIND("*",G3858)-1),"-")</f>
        <v>-</v>
      </c>
      <c r="V3858" s="26" t="str">
        <f t="shared" ref="V3858" si="2102">IFERROR(RIGHT(G3858,LEN(G3858)-FIND("*",G3858)),"-")</f>
        <v>-</v>
      </c>
      <c r="W3858" s="27" t="str">
        <f t="shared" si="2098"/>
        <v>-</v>
      </c>
      <c r="X3858" s="27" t="str">
        <f>IFERROR(W3858*H3858,"-")</f>
        <v>-</v>
      </c>
      <c r="Z3858" s="94" t="s">
        <v>82</v>
      </c>
    </row>
    <row r="3859" spans="1:26" s="25" customFormat="1" ht="6.95" customHeight="1" x14ac:dyDescent="0.3">
      <c r="A3859" s="10"/>
      <c r="B3859" s="168"/>
      <c r="C3859" s="169"/>
      <c r="D3859" s="160"/>
      <c r="E3859" s="161"/>
      <c r="F3859" s="162"/>
      <c r="G3859" s="163"/>
      <c r="H3859" s="164"/>
      <c r="I3859" s="163"/>
      <c r="J3859" s="164"/>
      <c r="K3859" s="163"/>
      <c r="L3859" s="164"/>
      <c r="M3859" s="11"/>
      <c r="N3859" s="39"/>
      <c r="Q3859" s="15" t="str">
        <f>+CONCATENATE(E3858,I3858)</f>
        <v/>
      </c>
      <c r="R3859" s="15">
        <f>+J3858</f>
        <v>0</v>
      </c>
      <c r="S3859" s="16"/>
      <c r="T3859" s="15">
        <f>+E3858</f>
        <v>0</v>
      </c>
      <c r="U3859" s="26" t="str">
        <f>IFERROR(LEFT(I3858,FIND("*",I3858)-1),"-")</f>
        <v>-</v>
      </c>
      <c r="V3859" s="26" t="str">
        <f>IFERROR(RIGHT(I3858,LEN(I3858)-FIND("*",I3858)),"-")</f>
        <v>-</v>
      </c>
      <c r="W3859" s="27" t="str">
        <f t="shared" si="2098"/>
        <v>-</v>
      </c>
      <c r="X3859" s="27" t="str">
        <f t="shared" ref="X3859" si="2103">IFERROR(W3859*J3858,"-")</f>
        <v>-</v>
      </c>
      <c r="Z3859" s="94" t="s">
        <v>82</v>
      </c>
    </row>
    <row r="3860" spans="1:26" s="25" customFormat="1" ht="6.95" customHeight="1" x14ac:dyDescent="0.3">
      <c r="A3860" s="10"/>
      <c r="B3860" s="168"/>
      <c r="C3860" s="169"/>
      <c r="D3860" s="160"/>
      <c r="E3860" s="161"/>
      <c r="F3860" s="162"/>
      <c r="G3860" s="163"/>
      <c r="H3860" s="164"/>
      <c r="I3860" s="163"/>
      <c r="J3860" s="164"/>
      <c r="K3860" s="163"/>
      <c r="L3860" s="164"/>
      <c r="M3860" s="11"/>
      <c r="N3860" s="39"/>
      <c r="Q3860" s="15" t="str">
        <f>+CONCATENATE(E3858,K3858)</f>
        <v/>
      </c>
      <c r="R3860" s="15">
        <f>+L3858</f>
        <v>0</v>
      </c>
      <c r="S3860" s="16"/>
      <c r="T3860" s="15">
        <f>+E3858</f>
        <v>0</v>
      </c>
      <c r="U3860" s="26" t="str">
        <f>IFERROR(LEFT(K3858,FIND("*",K3858)-1),"-")</f>
        <v>-</v>
      </c>
      <c r="V3860" s="26" t="str">
        <f>IFERROR(RIGHT(K3858,LEN(K3858)-FIND("*",K3858)),"-")</f>
        <v>-</v>
      </c>
      <c r="W3860" s="27" t="str">
        <f t="shared" si="2098"/>
        <v>-</v>
      </c>
      <c r="X3860" s="27" t="str">
        <f>IFERROR(W3860*L3858,"-")</f>
        <v>-</v>
      </c>
      <c r="Z3860" s="94" t="s">
        <v>82</v>
      </c>
    </row>
    <row r="3861" spans="1:26" s="25" customFormat="1" ht="21" customHeight="1" thickBot="1" x14ac:dyDescent="0.35">
      <c r="A3861" s="10"/>
      <c r="B3861" s="170"/>
      <c r="C3861" s="171"/>
      <c r="D3861" s="172" t="s">
        <v>43</v>
      </c>
      <c r="E3861" s="173"/>
      <c r="F3861" s="173"/>
      <c r="G3861" s="174"/>
      <c r="H3861" s="174"/>
      <c r="I3861" s="174"/>
      <c r="J3861" s="174"/>
      <c r="K3861" s="174"/>
      <c r="L3861" s="174"/>
      <c r="M3861" s="12"/>
      <c r="N3861" s="39"/>
      <c r="U3861" s="23"/>
      <c r="V3861" s="23"/>
      <c r="Z3861" s="95" t="s">
        <v>81</v>
      </c>
    </row>
    <row r="3862" spans="1:26" s="25" customFormat="1" ht="9.9499999999999993" customHeight="1" thickBot="1" x14ac:dyDescent="0.35">
      <c r="A3862" s="6"/>
      <c r="B3862" s="14"/>
      <c r="C3862" s="119"/>
      <c r="D3862" s="58"/>
      <c r="E3862" s="17"/>
      <c r="F3862" s="58"/>
      <c r="G3862" s="19"/>
      <c r="H3862" s="19"/>
      <c r="I3862" s="19"/>
      <c r="J3862" s="19"/>
      <c r="K3862" s="19"/>
      <c r="L3862" s="19"/>
      <c r="M3862" s="14"/>
      <c r="N3862" s="39"/>
      <c r="Q3862" s="1"/>
      <c r="R3862" s="1"/>
      <c r="S3862" s="1"/>
      <c r="T3862" s="1"/>
      <c r="U3862" s="24"/>
      <c r="V3862" s="24"/>
      <c r="W3862" s="1"/>
      <c r="X3862" s="1"/>
      <c r="Z3862" s="94" t="s">
        <v>82</v>
      </c>
    </row>
    <row r="3863" spans="1:26" s="25" customFormat="1" ht="6.95" customHeight="1" x14ac:dyDescent="0.3">
      <c r="A3863" s="165">
        <f>+A3852+1</f>
        <v>352</v>
      </c>
      <c r="B3863" s="166"/>
      <c r="C3863" s="167"/>
      <c r="D3863" s="160" t="s">
        <v>39</v>
      </c>
      <c r="E3863" s="161"/>
      <c r="F3863" s="162" t="s">
        <v>40</v>
      </c>
      <c r="G3863" s="163"/>
      <c r="H3863" s="164"/>
      <c r="I3863" s="163"/>
      <c r="J3863" s="164"/>
      <c r="K3863" s="163"/>
      <c r="L3863" s="164"/>
      <c r="M3863" s="11"/>
      <c r="N3863" s="39"/>
      <c r="Q3863" s="15" t="str">
        <f>+CONCATENATE(E3863,G3863)</f>
        <v/>
      </c>
      <c r="R3863" s="15">
        <f>+H3863</f>
        <v>0</v>
      </c>
      <c r="S3863" s="16"/>
      <c r="T3863" s="15">
        <f>+E3863</f>
        <v>0</v>
      </c>
      <c r="U3863" s="26" t="str">
        <f>IFERROR(LEFT(G3863,FIND("*",G3863)-1),"-")</f>
        <v>-</v>
      </c>
      <c r="V3863" s="26" t="str">
        <f>IFERROR(RIGHT(G3863,LEN(G3863)-FIND("*",G3863)),"-")</f>
        <v>-</v>
      </c>
      <c r="W3863" s="27" t="str">
        <f>IFERROR((U3863+V3863)*2/1000,"-")</f>
        <v>-</v>
      </c>
      <c r="X3863" s="27" t="str">
        <f>IFERROR(W3863*H3863,"-")</f>
        <v>-</v>
      </c>
      <c r="Z3863" s="94" t="s">
        <v>82</v>
      </c>
    </row>
    <row r="3864" spans="1:26" s="25" customFormat="1" ht="6.95" customHeight="1" x14ac:dyDescent="0.3">
      <c r="A3864" s="165"/>
      <c r="B3864" s="168"/>
      <c r="C3864" s="169"/>
      <c r="D3864" s="160"/>
      <c r="E3864" s="161"/>
      <c r="F3864" s="162"/>
      <c r="G3864" s="163"/>
      <c r="H3864" s="164"/>
      <c r="I3864" s="163"/>
      <c r="J3864" s="164"/>
      <c r="K3864" s="163"/>
      <c r="L3864" s="164"/>
      <c r="M3864" s="11"/>
      <c r="N3864" s="39"/>
      <c r="Q3864" s="15" t="str">
        <f>+CONCATENATE(E3863,I3863)</f>
        <v/>
      </c>
      <c r="R3864" s="15">
        <f>+J3863</f>
        <v>0</v>
      </c>
      <c r="S3864" s="16"/>
      <c r="T3864" s="15">
        <f>+E3863</f>
        <v>0</v>
      </c>
      <c r="U3864" s="26" t="str">
        <f>IFERROR(LEFT(I3863,FIND("*",I3863)-1),"-")</f>
        <v>-</v>
      </c>
      <c r="V3864" s="26" t="str">
        <f>IFERROR(RIGHT(I3863,LEN(I3863)-FIND("*",I3863)),"-")</f>
        <v>-</v>
      </c>
      <c r="W3864" s="27" t="str">
        <f t="shared" ref="W3864:W3871" si="2104">IFERROR((U3864+V3864)*2/1000,"-")</f>
        <v>-</v>
      </c>
      <c r="X3864" s="27" t="str">
        <f>IFERROR(W3864*J3863,"-")</f>
        <v>-</v>
      </c>
      <c r="Z3864" s="94" t="s">
        <v>82</v>
      </c>
    </row>
    <row r="3865" spans="1:26" s="25" customFormat="1" ht="6.95" customHeight="1" x14ac:dyDescent="0.3">
      <c r="A3865" s="165"/>
      <c r="B3865" s="168"/>
      <c r="C3865" s="169"/>
      <c r="D3865" s="160"/>
      <c r="E3865" s="161"/>
      <c r="F3865" s="162"/>
      <c r="G3865" s="163"/>
      <c r="H3865" s="164"/>
      <c r="I3865" s="163"/>
      <c r="J3865" s="164"/>
      <c r="K3865" s="163"/>
      <c r="L3865" s="164"/>
      <c r="M3865" s="11"/>
      <c r="N3865" s="39"/>
      <c r="Q3865" s="15" t="str">
        <f>+CONCATENATE(E3863,K3863)</f>
        <v/>
      </c>
      <c r="R3865" s="15">
        <f>+L3863</f>
        <v>0</v>
      </c>
      <c r="S3865" s="16"/>
      <c r="T3865" s="15">
        <f>+E3863</f>
        <v>0</v>
      </c>
      <c r="U3865" s="26" t="str">
        <f>IFERROR(LEFT(K3863,FIND("*",K3863)-1),"-")</f>
        <v>-</v>
      </c>
      <c r="V3865" s="26" t="str">
        <f>IFERROR(RIGHT(K3863,LEN(K3863)-FIND("*",K3863)),"-")</f>
        <v>-</v>
      </c>
      <c r="W3865" s="27" t="str">
        <f t="shared" si="2104"/>
        <v>-</v>
      </c>
      <c r="X3865" s="27" t="str">
        <f>IFERROR(W3865*L3863,"-")</f>
        <v>-</v>
      </c>
      <c r="Z3865" s="94" t="s">
        <v>82</v>
      </c>
    </row>
    <row r="3866" spans="1:26" s="25" customFormat="1" ht="6.95" customHeight="1" x14ac:dyDescent="0.3">
      <c r="A3866" s="13"/>
      <c r="B3866" s="168"/>
      <c r="C3866" s="169"/>
      <c r="D3866" s="160" t="s">
        <v>39</v>
      </c>
      <c r="E3866" s="161"/>
      <c r="F3866" s="162" t="s">
        <v>40</v>
      </c>
      <c r="G3866" s="163"/>
      <c r="H3866" s="164"/>
      <c r="I3866" s="163"/>
      <c r="J3866" s="164"/>
      <c r="K3866" s="163"/>
      <c r="L3866" s="164"/>
      <c r="M3866" s="11"/>
      <c r="N3866" s="39"/>
      <c r="Q3866" s="15" t="str">
        <f>+CONCATENATE(E3866,G3866)</f>
        <v/>
      </c>
      <c r="R3866" s="15">
        <f>+H3866</f>
        <v>0</v>
      </c>
      <c r="S3866" s="16"/>
      <c r="T3866" s="15">
        <f>+E3866</f>
        <v>0</v>
      </c>
      <c r="U3866" s="26" t="str">
        <f t="shared" ref="U3866" si="2105">IFERROR(LEFT(G3866,FIND("*",G3866)-1),"-")</f>
        <v>-</v>
      </c>
      <c r="V3866" s="26" t="str">
        <f t="shared" ref="V3866" si="2106">IFERROR(RIGHT(G3866,LEN(G3866)-FIND("*",G3866)),"-")</f>
        <v>-</v>
      </c>
      <c r="W3866" s="27" t="str">
        <f t="shared" si="2104"/>
        <v>-</v>
      </c>
      <c r="X3866" s="27" t="str">
        <f>IFERROR(W3866*H3866,"-")</f>
        <v>-</v>
      </c>
      <c r="Z3866" s="94" t="s">
        <v>82</v>
      </c>
    </row>
    <row r="3867" spans="1:26" s="25" customFormat="1" ht="6.95" customHeight="1" x14ac:dyDescent="0.3">
      <c r="A3867" s="10"/>
      <c r="B3867" s="168"/>
      <c r="C3867" s="169"/>
      <c r="D3867" s="160"/>
      <c r="E3867" s="161"/>
      <c r="F3867" s="162"/>
      <c r="G3867" s="163"/>
      <c r="H3867" s="164"/>
      <c r="I3867" s="163"/>
      <c r="J3867" s="164"/>
      <c r="K3867" s="163"/>
      <c r="L3867" s="164"/>
      <c r="M3867" s="11"/>
      <c r="N3867" s="39"/>
      <c r="Q3867" s="15" t="str">
        <f>+CONCATENATE(E3866,I3866)</f>
        <v/>
      </c>
      <c r="R3867" s="15">
        <f>+J3866</f>
        <v>0</v>
      </c>
      <c r="S3867" s="16"/>
      <c r="T3867" s="15">
        <f>+E3866</f>
        <v>0</v>
      </c>
      <c r="U3867" s="26" t="str">
        <f>IFERROR(LEFT(I3866,FIND("*",I3866)-1),"-")</f>
        <v>-</v>
      </c>
      <c r="V3867" s="26" t="str">
        <f>IFERROR(RIGHT(I3866,LEN(I3866)-FIND("*",I3866)),"-")</f>
        <v>-</v>
      </c>
      <c r="W3867" s="27" t="str">
        <f t="shared" si="2104"/>
        <v>-</v>
      </c>
      <c r="X3867" s="27" t="str">
        <f>IFERROR(W3867*J3866,"-")</f>
        <v>-</v>
      </c>
      <c r="Z3867" s="94" t="s">
        <v>82</v>
      </c>
    </row>
    <row r="3868" spans="1:26" s="25" customFormat="1" ht="6.95" customHeight="1" x14ac:dyDescent="0.3">
      <c r="A3868" s="10"/>
      <c r="B3868" s="168"/>
      <c r="C3868" s="169"/>
      <c r="D3868" s="160"/>
      <c r="E3868" s="161"/>
      <c r="F3868" s="162"/>
      <c r="G3868" s="163"/>
      <c r="H3868" s="164"/>
      <c r="I3868" s="163"/>
      <c r="J3868" s="164"/>
      <c r="K3868" s="163"/>
      <c r="L3868" s="164"/>
      <c r="M3868" s="11"/>
      <c r="N3868" s="39"/>
      <c r="Q3868" s="15" t="str">
        <f>+CONCATENATE(E3866,K3866)</f>
        <v/>
      </c>
      <c r="R3868" s="15">
        <f>+L3866</f>
        <v>0</v>
      </c>
      <c r="S3868" s="16"/>
      <c r="T3868" s="15">
        <f>+E3866</f>
        <v>0</v>
      </c>
      <c r="U3868" s="26" t="str">
        <f>IFERROR(LEFT(K3866,FIND("*",K3866)-1),"-")</f>
        <v>-</v>
      </c>
      <c r="V3868" s="26" t="str">
        <f>IFERROR(RIGHT(K3866,LEN(K3866)-FIND("*",K3866)),"-")</f>
        <v>-</v>
      </c>
      <c r="W3868" s="27" t="str">
        <f t="shared" si="2104"/>
        <v>-</v>
      </c>
      <c r="X3868" s="27" t="str">
        <f>IFERROR(W3868*L3866,"-")</f>
        <v>-</v>
      </c>
      <c r="Z3868" s="94" t="s">
        <v>82</v>
      </c>
    </row>
    <row r="3869" spans="1:26" s="25" customFormat="1" ht="6.95" customHeight="1" x14ac:dyDescent="0.3">
      <c r="A3869" s="13"/>
      <c r="B3869" s="168"/>
      <c r="C3869" s="169"/>
      <c r="D3869" s="160" t="s">
        <v>39</v>
      </c>
      <c r="E3869" s="161"/>
      <c r="F3869" s="162" t="s">
        <v>40</v>
      </c>
      <c r="G3869" s="163"/>
      <c r="H3869" s="164"/>
      <c r="I3869" s="163"/>
      <c r="J3869" s="164"/>
      <c r="K3869" s="163"/>
      <c r="L3869" s="164"/>
      <c r="M3869" s="11"/>
      <c r="N3869" s="39"/>
      <c r="Q3869" s="15" t="str">
        <f>+CONCATENATE(E3869,G3869)</f>
        <v/>
      </c>
      <c r="R3869" s="15">
        <f>+H3869</f>
        <v>0</v>
      </c>
      <c r="S3869" s="16"/>
      <c r="T3869" s="15">
        <f>+E3869</f>
        <v>0</v>
      </c>
      <c r="U3869" s="26" t="str">
        <f t="shared" ref="U3869" si="2107">IFERROR(LEFT(G3869,FIND("*",G3869)-1),"-")</f>
        <v>-</v>
      </c>
      <c r="V3869" s="26" t="str">
        <f t="shared" ref="V3869" si="2108">IFERROR(RIGHT(G3869,LEN(G3869)-FIND("*",G3869)),"-")</f>
        <v>-</v>
      </c>
      <c r="W3869" s="27" t="str">
        <f t="shared" si="2104"/>
        <v>-</v>
      </c>
      <c r="X3869" s="27" t="str">
        <f>IFERROR(W3869*H3869,"-")</f>
        <v>-</v>
      </c>
      <c r="Z3869" s="94" t="s">
        <v>82</v>
      </c>
    </row>
    <row r="3870" spans="1:26" s="25" customFormat="1" ht="6.95" customHeight="1" x14ac:dyDescent="0.3">
      <c r="A3870" s="10"/>
      <c r="B3870" s="168"/>
      <c r="C3870" s="169"/>
      <c r="D3870" s="160"/>
      <c r="E3870" s="161"/>
      <c r="F3870" s="162"/>
      <c r="G3870" s="163"/>
      <c r="H3870" s="164"/>
      <c r="I3870" s="163"/>
      <c r="J3870" s="164"/>
      <c r="K3870" s="163"/>
      <c r="L3870" s="164"/>
      <c r="M3870" s="11"/>
      <c r="N3870" s="39"/>
      <c r="Q3870" s="15" t="str">
        <f>+CONCATENATE(E3869,I3869)</f>
        <v/>
      </c>
      <c r="R3870" s="15">
        <f>+J3869</f>
        <v>0</v>
      </c>
      <c r="S3870" s="16"/>
      <c r="T3870" s="15">
        <f>+E3869</f>
        <v>0</v>
      </c>
      <c r="U3870" s="26" t="str">
        <f>IFERROR(LEFT(I3869,FIND("*",I3869)-1),"-")</f>
        <v>-</v>
      </c>
      <c r="V3870" s="26" t="str">
        <f>IFERROR(RIGHT(I3869,LEN(I3869)-FIND("*",I3869)),"-")</f>
        <v>-</v>
      </c>
      <c r="W3870" s="27" t="str">
        <f t="shared" si="2104"/>
        <v>-</v>
      </c>
      <c r="X3870" s="27" t="str">
        <f t="shared" ref="X3870" si="2109">IFERROR(W3870*J3869,"-")</f>
        <v>-</v>
      </c>
      <c r="Z3870" s="94" t="s">
        <v>82</v>
      </c>
    </row>
    <row r="3871" spans="1:26" s="25" customFormat="1" ht="6.95" customHeight="1" x14ac:dyDescent="0.3">
      <c r="A3871" s="10"/>
      <c r="B3871" s="168"/>
      <c r="C3871" s="169"/>
      <c r="D3871" s="160"/>
      <c r="E3871" s="161"/>
      <c r="F3871" s="162"/>
      <c r="G3871" s="163"/>
      <c r="H3871" s="164"/>
      <c r="I3871" s="163"/>
      <c r="J3871" s="164"/>
      <c r="K3871" s="163"/>
      <c r="L3871" s="164"/>
      <c r="M3871" s="11"/>
      <c r="N3871" s="39"/>
      <c r="Q3871" s="15" t="str">
        <f>+CONCATENATE(E3869,K3869)</f>
        <v/>
      </c>
      <c r="R3871" s="15">
        <f>+L3869</f>
        <v>0</v>
      </c>
      <c r="S3871" s="16"/>
      <c r="T3871" s="15">
        <f>+E3869</f>
        <v>0</v>
      </c>
      <c r="U3871" s="26" t="str">
        <f>IFERROR(LEFT(K3869,FIND("*",K3869)-1),"-")</f>
        <v>-</v>
      </c>
      <c r="V3871" s="26" t="str">
        <f>IFERROR(RIGHT(K3869,LEN(K3869)-FIND("*",K3869)),"-")</f>
        <v>-</v>
      </c>
      <c r="W3871" s="27" t="str">
        <f t="shared" si="2104"/>
        <v>-</v>
      </c>
      <c r="X3871" s="27" t="str">
        <f>IFERROR(W3871*L3869,"-")</f>
        <v>-</v>
      </c>
      <c r="Z3871" s="94" t="s">
        <v>82</v>
      </c>
    </row>
    <row r="3872" spans="1:26" s="25" customFormat="1" ht="21" customHeight="1" thickBot="1" x14ac:dyDescent="0.35">
      <c r="A3872" s="10"/>
      <c r="B3872" s="170"/>
      <c r="C3872" s="171"/>
      <c r="D3872" s="172" t="s">
        <v>43</v>
      </c>
      <c r="E3872" s="173"/>
      <c r="F3872" s="173"/>
      <c r="G3872" s="174"/>
      <c r="H3872" s="174"/>
      <c r="I3872" s="174"/>
      <c r="J3872" s="174"/>
      <c r="K3872" s="174"/>
      <c r="L3872" s="174"/>
      <c r="M3872" s="12"/>
      <c r="N3872" s="39"/>
      <c r="U3872" s="23"/>
      <c r="V3872" s="23"/>
      <c r="Z3872" s="95" t="s">
        <v>81</v>
      </c>
    </row>
    <row r="3873" spans="1:26" s="25" customFormat="1" ht="9.9499999999999993" customHeight="1" thickBot="1" x14ac:dyDescent="0.35">
      <c r="A3873" s="6"/>
      <c r="B3873" s="14"/>
      <c r="C3873" s="119"/>
      <c r="D3873" s="58"/>
      <c r="E3873" s="17"/>
      <c r="F3873" s="58"/>
      <c r="G3873" s="19"/>
      <c r="H3873" s="19"/>
      <c r="I3873" s="19"/>
      <c r="J3873" s="19"/>
      <c r="K3873" s="19"/>
      <c r="L3873" s="19"/>
      <c r="M3873" s="14"/>
      <c r="N3873" s="39"/>
      <c r="Q3873" s="1"/>
      <c r="R3873" s="1"/>
      <c r="S3873" s="1"/>
      <c r="T3873" s="1"/>
      <c r="U3873" s="24"/>
      <c r="V3873" s="24"/>
      <c r="W3873" s="1"/>
      <c r="X3873" s="1"/>
      <c r="Z3873" s="94" t="s">
        <v>82</v>
      </c>
    </row>
    <row r="3874" spans="1:26" s="25" customFormat="1" ht="6.95" customHeight="1" x14ac:dyDescent="0.3">
      <c r="A3874" s="165">
        <f>+A3863+1</f>
        <v>353</v>
      </c>
      <c r="B3874" s="166"/>
      <c r="C3874" s="167"/>
      <c r="D3874" s="160" t="s">
        <v>39</v>
      </c>
      <c r="E3874" s="161"/>
      <c r="F3874" s="162" t="s">
        <v>40</v>
      </c>
      <c r="G3874" s="163"/>
      <c r="H3874" s="164"/>
      <c r="I3874" s="163"/>
      <c r="J3874" s="164"/>
      <c r="K3874" s="163"/>
      <c r="L3874" s="164"/>
      <c r="M3874" s="11"/>
      <c r="N3874" s="39"/>
      <c r="Q3874" s="15" t="str">
        <f>+CONCATENATE(E3874,G3874)</f>
        <v/>
      </c>
      <c r="R3874" s="15">
        <f>+H3874</f>
        <v>0</v>
      </c>
      <c r="S3874" s="16"/>
      <c r="T3874" s="15">
        <f>+E3874</f>
        <v>0</v>
      </c>
      <c r="U3874" s="26" t="str">
        <f>IFERROR(LEFT(G3874,FIND("*",G3874)-1),"-")</f>
        <v>-</v>
      </c>
      <c r="V3874" s="26" t="str">
        <f>IFERROR(RIGHT(G3874,LEN(G3874)-FIND("*",G3874)),"-")</f>
        <v>-</v>
      </c>
      <c r="W3874" s="27" t="str">
        <f>IFERROR((U3874+V3874)*2/1000,"-")</f>
        <v>-</v>
      </c>
      <c r="X3874" s="27" t="str">
        <f>IFERROR(W3874*H3874,"-")</f>
        <v>-</v>
      </c>
      <c r="Z3874" s="94" t="s">
        <v>82</v>
      </c>
    </row>
    <row r="3875" spans="1:26" s="25" customFormat="1" ht="6.95" customHeight="1" x14ac:dyDescent="0.3">
      <c r="A3875" s="165"/>
      <c r="B3875" s="168"/>
      <c r="C3875" s="169"/>
      <c r="D3875" s="160"/>
      <c r="E3875" s="161"/>
      <c r="F3875" s="162"/>
      <c r="G3875" s="163"/>
      <c r="H3875" s="164"/>
      <c r="I3875" s="163"/>
      <c r="J3875" s="164"/>
      <c r="K3875" s="163"/>
      <c r="L3875" s="164"/>
      <c r="M3875" s="11"/>
      <c r="N3875" s="39"/>
      <c r="Q3875" s="15" t="str">
        <f>+CONCATENATE(E3874,I3874)</f>
        <v/>
      </c>
      <c r="R3875" s="15">
        <f>+J3874</f>
        <v>0</v>
      </c>
      <c r="S3875" s="16"/>
      <c r="T3875" s="15">
        <f>+E3874</f>
        <v>0</v>
      </c>
      <c r="U3875" s="26" t="str">
        <f>IFERROR(LEFT(I3874,FIND("*",I3874)-1),"-")</f>
        <v>-</v>
      </c>
      <c r="V3875" s="26" t="str">
        <f>IFERROR(RIGHT(I3874,LEN(I3874)-FIND("*",I3874)),"-")</f>
        <v>-</v>
      </c>
      <c r="W3875" s="27" t="str">
        <f t="shared" ref="W3875:W3882" si="2110">IFERROR((U3875+V3875)*2/1000,"-")</f>
        <v>-</v>
      </c>
      <c r="X3875" s="27" t="str">
        <f>IFERROR(W3875*J3874,"-")</f>
        <v>-</v>
      </c>
      <c r="Z3875" s="94" t="s">
        <v>82</v>
      </c>
    </row>
    <row r="3876" spans="1:26" s="25" customFormat="1" ht="6.95" customHeight="1" x14ac:dyDescent="0.3">
      <c r="A3876" s="165"/>
      <c r="B3876" s="168"/>
      <c r="C3876" s="169"/>
      <c r="D3876" s="160"/>
      <c r="E3876" s="161"/>
      <c r="F3876" s="162"/>
      <c r="G3876" s="163"/>
      <c r="H3876" s="164"/>
      <c r="I3876" s="163"/>
      <c r="J3876" s="164"/>
      <c r="K3876" s="163"/>
      <c r="L3876" s="164"/>
      <c r="M3876" s="11"/>
      <c r="N3876" s="39"/>
      <c r="Q3876" s="15" t="str">
        <f>+CONCATENATE(E3874,K3874)</f>
        <v/>
      </c>
      <c r="R3876" s="15">
        <f>+L3874</f>
        <v>0</v>
      </c>
      <c r="S3876" s="16"/>
      <c r="T3876" s="15">
        <f>+E3874</f>
        <v>0</v>
      </c>
      <c r="U3876" s="26" t="str">
        <f>IFERROR(LEFT(K3874,FIND("*",K3874)-1),"-")</f>
        <v>-</v>
      </c>
      <c r="V3876" s="26" t="str">
        <f>IFERROR(RIGHT(K3874,LEN(K3874)-FIND("*",K3874)),"-")</f>
        <v>-</v>
      </c>
      <c r="W3876" s="27" t="str">
        <f t="shared" si="2110"/>
        <v>-</v>
      </c>
      <c r="X3876" s="27" t="str">
        <f>IFERROR(W3876*L3874,"-")</f>
        <v>-</v>
      </c>
      <c r="Z3876" s="94" t="s">
        <v>82</v>
      </c>
    </row>
    <row r="3877" spans="1:26" s="25" customFormat="1" ht="6.95" customHeight="1" x14ac:dyDescent="0.3">
      <c r="A3877" s="13"/>
      <c r="B3877" s="168"/>
      <c r="C3877" s="169"/>
      <c r="D3877" s="160" t="s">
        <v>39</v>
      </c>
      <c r="E3877" s="161"/>
      <c r="F3877" s="162" t="s">
        <v>40</v>
      </c>
      <c r="G3877" s="163"/>
      <c r="H3877" s="164"/>
      <c r="I3877" s="163"/>
      <c r="J3877" s="164"/>
      <c r="K3877" s="163"/>
      <c r="L3877" s="164"/>
      <c r="M3877" s="11"/>
      <c r="N3877" s="39"/>
      <c r="Q3877" s="15" t="str">
        <f>+CONCATENATE(E3877,G3877)</f>
        <v/>
      </c>
      <c r="R3877" s="15">
        <f>+H3877</f>
        <v>0</v>
      </c>
      <c r="S3877" s="16"/>
      <c r="T3877" s="15">
        <f>+E3877</f>
        <v>0</v>
      </c>
      <c r="U3877" s="26" t="str">
        <f t="shared" ref="U3877" si="2111">IFERROR(LEFT(G3877,FIND("*",G3877)-1),"-")</f>
        <v>-</v>
      </c>
      <c r="V3877" s="26" t="str">
        <f t="shared" ref="V3877" si="2112">IFERROR(RIGHT(G3877,LEN(G3877)-FIND("*",G3877)),"-")</f>
        <v>-</v>
      </c>
      <c r="W3877" s="27" t="str">
        <f t="shared" si="2110"/>
        <v>-</v>
      </c>
      <c r="X3877" s="27" t="str">
        <f>IFERROR(W3877*H3877,"-")</f>
        <v>-</v>
      </c>
      <c r="Z3877" s="94" t="s">
        <v>82</v>
      </c>
    </row>
    <row r="3878" spans="1:26" s="25" customFormat="1" ht="6.95" customHeight="1" x14ac:dyDescent="0.3">
      <c r="A3878" s="10"/>
      <c r="B3878" s="168"/>
      <c r="C3878" s="169"/>
      <c r="D3878" s="160"/>
      <c r="E3878" s="161"/>
      <c r="F3878" s="162"/>
      <c r="G3878" s="163"/>
      <c r="H3878" s="164"/>
      <c r="I3878" s="163"/>
      <c r="J3878" s="164"/>
      <c r="K3878" s="163"/>
      <c r="L3878" s="164"/>
      <c r="M3878" s="11"/>
      <c r="N3878" s="39"/>
      <c r="Q3878" s="15" t="str">
        <f>+CONCATENATE(E3877,I3877)</f>
        <v/>
      </c>
      <c r="R3878" s="15">
        <f>+J3877</f>
        <v>0</v>
      </c>
      <c r="S3878" s="16"/>
      <c r="T3878" s="15">
        <f>+E3877</f>
        <v>0</v>
      </c>
      <c r="U3878" s="26" t="str">
        <f>IFERROR(LEFT(I3877,FIND("*",I3877)-1),"-")</f>
        <v>-</v>
      </c>
      <c r="V3878" s="26" t="str">
        <f>IFERROR(RIGHT(I3877,LEN(I3877)-FIND("*",I3877)),"-")</f>
        <v>-</v>
      </c>
      <c r="W3878" s="27" t="str">
        <f t="shared" si="2110"/>
        <v>-</v>
      </c>
      <c r="X3878" s="27" t="str">
        <f>IFERROR(W3878*J3877,"-")</f>
        <v>-</v>
      </c>
      <c r="Z3878" s="94" t="s">
        <v>82</v>
      </c>
    </row>
    <row r="3879" spans="1:26" s="25" customFormat="1" ht="6.95" customHeight="1" x14ac:dyDescent="0.3">
      <c r="A3879" s="10"/>
      <c r="B3879" s="168"/>
      <c r="C3879" s="169"/>
      <c r="D3879" s="160"/>
      <c r="E3879" s="161"/>
      <c r="F3879" s="162"/>
      <c r="G3879" s="163"/>
      <c r="H3879" s="164"/>
      <c r="I3879" s="163"/>
      <c r="J3879" s="164"/>
      <c r="K3879" s="163"/>
      <c r="L3879" s="164"/>
      <c r="M3879" s="11"/>
      <c r="N3879" s="39"/>
      <c r="Q3879" s="15" t="str">
        <f>+CONCATENATE(E3877,K3877)</f>
        <v/>
      </c>
      <c r="R3879" s="15">
        <f>+L3877</f>
        <v>0</v>
      </c>
      <c r="S3879" s="16"/>
      <c r="T3879" s="15">
        <f>+E3877</f>
        <v>0</v>
      </c>
      <c r="U3879" s="26" t="str">
        <f>IFERROR(LEFT(K3877,FIND("*",K3877)-1),"-")</f>
        <v>-</v>
      </c>
      <c r="V3879" s="26" t="str">
        <f>IFERROR(RIGHT(K3877,LEN(K3877)-FIND("*",K3877)),"-")</f>
        <v>-</v>
      </c>
      <c r="W3879" s="27" t="str">
        <f t="shared" si="2110"/>
        <v>-</v>
      </c>
      <c r="X3879" s="27" t="str">
        <f>IFERROR(W3879*L3877,"-")</f>
        <v>-</v>
      </c>
      <c r="Z3879" s="94" t="s">
        <v>82</v>
      </c>
    </row>
    <row r="3880" spans="1:26" s="25" customFormat="1" ht="6.95" customHeight="1" x14ac:dyDescent="0.3">
      <c r="A3880" s="13"/>
      <c r="B3880" s="168"/>
      <c r="C3880" s="169"/>
      <c r="D3880" s="160" t="s">
        <v>39</v>
      </c>
      <c r="E3880" s="161"/>
      <c r="F3880" s="162" t="s">
        <v>40</v>
      </c>
      <c r="G3880" s="163"/>
      <c r="H3880" s="164"/>
      <c r="I3880" s="163"/>
      <c r="J3880" s="164"/>
      <c r="K3880" s="163"/>
      <c r="L3880" s="164"/>
      <c r="M3880" s="11"/>
      <c r="N3880" s="39"/>
      <c r="Q3880" s="15" t="str">
        <f>+CONCATENATE(E3880,G3880)</f>
        <v/>
      </c>
      <c r="R3880" s="15">
        <f>+H3880</f>
        <v>0</v>
      </c>
      <c r="S3880" s="16"/>
      <c r="T3880" s="15">
        <f>+E3880</f>
        <v>0</v>
      </c>
      <c r="U3880" s="26" t="str">
        <f t="shared" ref="U3880" si="2113">IFERROR(LEFT(G3880,FIND("*",G3880)-1),"-")</f>
        <v>-</v>
      </c>
      <c r="V3880" s="26" t="str">
        <f t="shared" ref="V3880" si="2114">IFERROR(RIGHT(G3880,LEN(G3880)-FIND("*",G3880)),"-")</f>
        <v>-</v>
      </c>
      <c r="W3880" s="27" t="str">
        <f t="shared" si="2110"/>
        <v>-</v>
      </c>
      <c r="X3880" s="27" t="str">
        <f>IFERROR(W3880*H3880,"-")</f>
        <v>-</v>
      </c>
      <c r="Z3880" s="94" t="s">
        <v>82</v>
      </c>
    </row>
    <row r="3881" spans="1:26" s="25" customFormat="1" ht="6.95" customHeight="1" x14ac:dyDescent="0.3">
      <c r="A3881" s="10"/>
      <c r="B3881" s="168"/>
      <c r="C3881" s="169"/>
      <c r="D3881" s="160"/>
      <c r="E3881" s="161"/>
      <c r="F3881" s="162"/>
      <c r="G3881" s="163"/>
      <c r="H3881" s="164"/>
      <c r="I3881" s="163"/>
      <c r="J3881" s="164"/>
      <c r="K3881" s="163"/>
      <c r="L3881" s="164"/>
      <c r="M3881" s="11"/>
      <c r="N3881" s="39"/>
      <c r="Q3881" s="15" t="str">
        <f>+CONCATENATE(E3880,I3880)</f>
        <v/>
      </c>
      <c r="R3881" s="15">
        <f>+J3880</f>
        <v>0</v>
      </c>
      <c r="S3881" s="16"/>
      <c r="T3881" s="15">
        <f>+E3880</f>
        <v>0</v>
      </c>
      <c r="U3881" s="26" t="str">
        <f>IFERROR(LEFT(I3880,FIND("*",I3880)-1),"-")</f>
        <v>-</v>
      </c>
      <c r="V3881" s="26" t="str">
        <f>IFERROR(RIGHT(I3880,LEN(I3880)-FIND("*",I3880)),"-")</f>
        <v>-</v>
      </c>
      <c r="W3881" s="27" t="str">
        <f t="shared" si="2110"/>
        <v>-</v>
      </c>
      <c r="X3881" s="27" t="str">
        <f t="shared" ref="X3881" si="2115">IFERROR(W3881*J3880,"-")</f>
        <v>-</v>
      </c>
      <c r="Z3881" s="94" t="s">
        <v>82</v>
      </c>
    </row>
    <row r="3882" spans="1:26" s="25" customFormat="1" ht="6.95" customHeight="1" x14ac:dyDescent="0.3">
      <c r="A3882" s="10"/>
      <c r="B3882" s="168"/>
      <c r="C3882" s="169"/>
      <c r="D3882" s="160"/>
      <c r="E3882" s="161"/>
      <c r="F3882" s="162"/>
      <c r="G3882" s="163"/>
      <c r="H3882" s="164"/>
      <c r="I3882" s="163"/>
      <c r="J3882" s="164"/>
      <c r="K3882" s="163"/>
      <c r="L3882" s="164"/>
      <c r="M3882" s="11"/>
      <c r="N3882" s="39"/>
      <c r="Q3882" s="15" t="str">
        <f>+CONCATENATE(E3880,K3880)</f>
        <v/>
      </c>
      <c r="R3882" s="15">
        <f>+L3880</f>
        <v>0</v>
      </c>
      <c r="S3882" s="16"/>
      <c r="T3882" s="15">
        <f>+E3880</f>
        <v>0</v>
      </c>
      <c r="U3882" s="26" t="str">
        <f>IFERROR(LEFT(K3880,FIND("*",K3880)-1),"-")</f>
        <v>-</v>
      </c>
      <c r="V3882" s="26" t="str">
        <f>IFERROR(RIGHT(K3880,LEN(K3880)-FIND("*",K3880)),"-")</f>
        <v>-</v>
      </c>
      <c r="W3882" s="27" t="str">
        <f t="shared" si="2110"/>
        <v>-</v>
      </c>
      <c r="X3882" s="27" t="str">
        <f>IFERROR(W3882*L3880,"-")</f>
        <v>-</v>
      </c>
      <c r="Z3882" s="94" t="s">
        <v>82</v>
      </c>
    </row>
    <row r="3883" spans="1:26" s="25" customFormat="1" ht="21" customHeight="1" thickBot="1" x14ac:dyDescent="0.35">
      <c r="A3883" s="10"/>
      <c r="B3883" s="170"/>
      <c r="C3883" s="171"/>
      <c r="D3883" s="172" t="s">
        <v>43</v>
      </c>
      <c r="E3883" s="173"/>
      <c r="F3883" s="173"/>
      <c r="G3883" s="174"/>
      <c r="H3883" s="174"/>
      <c r="I3883" s="174"/>
      <c r="J3883" s="174"/>
      <c r="K3883" s="174"/>
      <c r="L3883" s="174"/>
      <c r="M3883" s="12"/>
      <c r="N3883" s="39"/>
      <c r="U3883" s="23"/>
      <c r="V3883" s="23"/>
      <c r="Z3883" s="95" t="s">
        <v>81</v>
      </c>
    </row>
    <row r="3884" spans="1:26" s="25" customFormat="1" ht="9.9499999999999993" customHeight="1" thickBot="1" x14ac:dyDescent="0.35">
      <c r="A3884" s="6"/>
      <c r="B3884" s="14"/>
      <c r="C3884" s="119"/>
      <c r="D3884" s="58"/>
      <c r="E3884" s="17"/>
      <c r="F3884" s="58"/>
      <c r="G3884" s="19"/>
      <c r="H3884" s="19"/>
      <c r="I3884" s="19"/>
      <c r="J3884" s="19"/>
      <c r="K3884" s="19"/>
      <c r="L3884" s="19"/>
      <c r="M3884" s="14"/>
      <c r="N3884" s="39"/>
      <c r="Q3884" s="1"/>
      <c r="R3884" s="1"/>
      <c r="S3884" s="1"/>
      <c r="T3884" s="1"/>
      <c r="U3884" s="24"/>
      <c r="V3884" s="24"/>
      <c r="W3884" s="1"/>
      <c r="X3884" s="1"/>
      <c r="Z3884" s="94" t="s">
        <v>82</v>
      </c>
    </row>
    <row r="3885" spans="1:26" s="25" customFormat="1" ht="6.95" customHeight="1" x14ac:dyDescent="0.3">
      <c r="A3885" s="165">
        <f>+A3874+1</f>
        <v>354</v>
      </c>
      <c r="B3885" s="166"/>
      <c r="C3885" s="167"/>
      <c r="D3885" s="160" t="s">
        <v>39</v>
      </c>
      <c r="E3885" s="161"/>
      <c r="F3885" s="162" t="s">
        <v>40</v>
      </c>
      <c r="G3885" s="163"/>
      <c r="H3885" s="164"/>
      <c r="I3885" s="163"/>
      <c r="J3885" s="164"/>
      <c r="K3885" s="163"/>
      <c r="L3885" s="164"/>
      <c r="M3885" s="11"/>
      <c r="N3885" s="39"/>
      <c r="Q3885" s="15" t="str">
        <f>+CONCATENATE(E3885,G3885)</f>
        <v/>
      </c>
      <c r="R3885" s="15">
        <f>+H3885</f>
        <v>0</v>
      </c>
      <c r="S3885" s="16"/>
      <c r="T3885" s="15">
        <f>+E3885</f>
        <v>0</v>
      </c>
      <c r="U3885" s="26" t="str">
        <f>IFERROR(LEFT(G3885,FIND("*",G3885)-1),"-")</f>
        <v>-</v>
      </c>
      <c r="V3885" s="26" t="str">
        <f>IFERROR(RIGHT(G3885,LEN(G3885)-FIND("*",G3885)),"-")</f>
        <v>-</v>
      </c>
      <c r="W3885" s="27" t="str">
        <f>IFERROR((U3885+V3885)*2/1000,"-")</f>
        <v>-</v>
      </c>
      <c r="X3885" s="27" t="str">
        <f>IFERROR(W3885*H3885,"-")</f>
        <v>-</v>
      </c>
      <c r="Z3885" s="94" t="s">
        <v>82</v>
      </c>
    </row>
    <row r="3886" spans="1:26" s="25" customFormat="1" ht="6.95" customHeight="1" x14ac:dyDescent="0.3">
      <c r="A3886" s="165"/>
      <c r="B3886" s="168"/>
      <c r="C3886" s="169"/>
      <c r="D3886" s="160"/>
      <c r="E3886" s="161"/>
      <c r="F3886" s="162"/>
      <c r="G3886" s="163"/>
      <c r="H3886" s="164"/>
      <c r="I3886" s="163"/>
      <c r="J3886" s="164"/>
      <c r="K3886" s="163"/>
      <c r="L3886" s="164"/>
      <c r="M3886" s="11"/>
      <c r="N3886" s="39"/>
      <c r="Q3886" s="15" t="str">
        <f>+CONCATENATE(E3885,I3885)</f>
        <v/>
      </c>
      <c r="R3886" s="15">
        <f>+J3885</f>
        <v>0</v>
      </c>
      <c r="S3886" s="16"/>
      <c r="T3886" s="15">
        <f>+E3885</f>
        <v>0</v>
      </c>
      <c r="U3886" s="26" t="str">
        <f>IFERROR(LEFT(I3885,FIND("*",I3885)-1),"-")</f>
        <v>-</v>
      </c>
      <c r="V3886" s="26" t="str">
        <f>IFERROR(RIGHT(I3885,LEN(I3885)-FIND("*",I3885)),"-")</f>
        <v>-</v>
      </c>
      <c r="W3886" s="27" t="str">
        <f t="shared" ref="W3886:W3893" si="2116">IFERROR((U3886+V3886)*2/1000,"-")</f>
        <v>-</v>
      </c>
      <c r="X3886" s="27" t="str">
        <f>IFERROR(W3886*J3885,"-")</f>
        <v>-</v>
      </c>
      <c r="Z3886" s="94" t="s">
        <v>82</v>
      </c>
    </row>
    <row r="3887" spans="1:26" s="25" customFormat="1" ht="6.95" customHeight="1" x14ac:dyDescent="0.3">
      <c r="A3887" s="165"/>
      <c r="B3887" s="168"/>
      <c r="C3887" s="169"/>
      <c r="D3887" s="160"/>
      <c r="E3887" s="161"/>
      <c r="F3887" s="162"/>
      <c r="G3887" s="163"/>
      <c r="H3887" s="164"/>
      <c r="I3887" s="163"/>
      <c r="J3887" s="164"/>
      <c r="K3887" s="163"/>
      <c r="L3887" s="164"/>
      <c r="M3887" s="11"/>
      <c r="N3887" s="39"/>
      <c r="Q3887" s="15" t="str">
        <f>+CONCATENATE(E3885,K3885)</f>
        <v/>
      </c>
      <c r="R3887" s="15">
        <f>+L3885</f>
        <v>0</v>
      </c>
      <c r="S3887" s="16"/>
      <c r="T3887" s="15">
        <f>+E3885</f>
        <v>0</v>
      </c>
      <c r="U3887" s="26" t="str">
        <f>IFERROR(LEFT(K3885,FIND("*",K3885)-1),"-")</f>
        <v>-</v>
      </c>
      <c r="V3887" s="26" t="str">
        <f>IFERROR(RIGHT(K3885,LEN(K3885)-FIND("*",K3885)),"-")</f>
        <v>-</v>
      </c>
      <c r="W3887" s="27" t="str">
        <f t="shared" si="2116"/>
        <v>-</v>
      </c>
      <c r="X3887" s="27" t="str">
        <f>IFERROR(W3887*L3885,"-")</f>
        <v>-</v>
      </c>
      <c r="Z3887" s="94" t="s">
        <v>82</v>
      </c>
    </row>
    <row r="3888" spans="1:26" s="25" customFormat="1" ht="6.95" customHeight="1" x14ac:dyDescent="0.3">
      <c r="A3888" s="13"/>
      <c r="B3888" s="168"/>
      <c r="C3888" s="169"/>
      <c r="D3888" s="160" t="s">
        <v>39</v>
      </c>
      <c r="E3888" s="161"/>
      <c r="F3888" s="162" t="s">
        <v>40</v>
      </c>
      <c r="G3888" s="163"/>
      <c r="H3888" s="164"/>
      <c r="I3888" s="163"/>
      <c r="J3888" s="164"/>
      <c r="K3888" s="163"/>
      <c r="L3888" s="164"/>
      <c r="M3888" s="11"/>
      <c r="N3888" s="39"/>
      <c r="Q3888" s="15" t="str">
        <f>+CONCATENATE(E3888,G3888)</f>
        <v/>
      </c>
      <c r="R3888" s="15">
        <f>+H3888</f>
        <v>0</v>
      </c>
      <c r="S3888" s="16"/>
      <c r="T3888" s="15">
        <f>+E3888</f>
        <v>0</v>
      </c>
      <c r="U3888" s="26" t="str">
        <f t="shared" ref="U3888" si="2117">IFERROR(LEFT(G3888,FIND("*",G3888)-1),"-")</f>
        <v>-</v>
      </c>
      <c r="V3888" s="26" t="str">
        <f t="shared" ref="V3888" si="2118">IFERROR(RIGHT(G3888,LEN(G3888)-FIND("*",G3888)),"-")</f>
        <v>-</v>
      </c>
      <c r="W3888" s="27" t="str">
        <f t="shared" si="2116"/>
        <v>-</v>
      </c>
      <c r="X3888" s="27" t="str">
        <f>IFERROR(W3888*H3888,"-")</f>
        <v>-</v>
      </c>
      <c r="Z3888" s="94" t="s">
        <v>82</v>
      </c>
    </row>
    <row r="3889" spans="1:26" s="25" customFormat="1" ht="6.95" customHeight="1" x14ac:dyDescent="0.3">
      <c r="A3889" s="10"/>
      <c r="B3889" s="168"/>
      <c r="C3889" s="169"/>
      <c r="D3889" s="160"/>
      <c r="E3889" s="161"/>
      <c r="F3889" s="162"/>
      <c r="G3889" s="163"/>
      <c r="H3889" s="164"/>
      <c r="I3889" s="163"/>
      <c r="J3889" s="164"/>
      <c r="K3889" s="163"/>
      <c r="L3889" s="164"/>
      <c r="M3889" s="11"/>
      <c r="N3889" s="39"/>
      <c r="Q3889" s="15" t="str">
        <f>+CONCATENATE(E3888,I3888)</f>
        <v/>
      </c>
      <c r="R3889" s="15">
        <f>+J3888</f>
        <v>0</v>
      </c>
      <c r="S3889" s="16"/>
      <c r="T3889" s="15">
        <f>+E3888</f>
        <v>0</v>
      </c>
      <c r="U3889" s="26" t="str">
        <f>IFERROR(LEFT(I3888,FIND("*",I3888)-1),"-")</f>
        <v>-</v>
      </c>
      <c r="V3889" s="26" t="str">
        <f>IFERROR(RIGHT(I3888,LEN(I3888)-FIND("*",I3888)),"-")</f>
        <v>-</v>
      </c>
      <c r="W3889" s="27" t="str">
        <f t="shared" si="2116"/>
        <v>-</v>
      </c>
      <c r="X3889" s="27" t="str">
        <f>IFERROR(W3889*J3888,"-")</f>
        <v>-</v>
      </c>
      <c r="Z3889" s="94" t="s">
        <v>82</v>
      </c>
    </row>
    <row r="3890" spans="1:26" s="25" customFormat="1" ht="6.95" customHeight="1" x14ac:dyDescent="0.3">
      <c r="A3890" s="10"/>
      <c r="B3890" s="168"/>
      <c r="C3890" s="169"/>
      <c r="D3890" s="160"/>
      <c r="E3890" s="161"/>
      <c r="F3890" s="162"/>
      <c r="G3890" s="163"/>
      <c r="H3890" s="164"/>
      <c r="I3890" s="163"/>
      <c r="J3890" s="164"/>
      <c r="K3890" s="163"/>
      <c r="L3890" s="164"/>
      <c r="M3890" s="11"/>
      <c r="N3890" s="39"/>
      <c r="Q3890" s="15" t="str">
        <f>+CONCATENATE(E3888,K3888)</f>
        <v/>
      </c>
      <c r="R3890" s="15">
        <f>+L3888</f>
        <v>0</v>
      </c>
      <c r="S3890" s="16"/>
      <c r="T3890" s="15">
        <f>+E3888</f>
        <v>0</v>
      </c>
      <c r="U3890" s="26" t="str">
        <f>IFERROR(LEFT(K3888,FIND("*",K3888)-1),"-")</f>
        <v>-</v>
      </c>
      <c r="V3890" s="26" t="str">
        <f>IFERROR(RIGHT(K3888,LEN(K3888)-FIND("*",K3888)),"-")</f>
        <v>-</v>
      </c>
      <c r="W3890" s="27" t="str">
        <f t="shared" si="2116"/>
        <v>-</v>
      </c>
      <c r="X3890" s="27" t="str">
        <f>IFERROR(W3890*L3888,"-")</f>
        <v>-</v>
      </c>
      <c r="Z3890" s="94" t="s">
        <v>82</v>
      </c>
    </row>
    <row r="3891" spans="1:26" s="25" customFormat="1" ht="6.95" customHeight="1" x14ac:dyDescent="0.3">
      <c r="A3891" s="13"/>
      <c r="B3891" s="168"/>
      <c r="C3891" s="169"/>
      <c r="D3891" s="160" t="s">
        <v>39</v>
      </c>
      <c r="E3891" s="161"/>
      <c r="F3891" s="162" t="s">
        <v>40</v>
      </c>
      <c r="G3891" s="163"/>
      <c r="H3891" s="164"/>
      <c r="I3891" s="163"/>
      <c r="J3891" s="164"/>
      <c r="K3891" s="163"/>
      <c r="L3891" s="164"/>
      <c r="M3891" s="11"/>
      <c r="N3891" s="39"/>
      <c r="Q3891" s="15" t="str">
        <f>+CONCATENATE(E3891,G3891)</f>
        <v/>
      </c>
      <c r="R3891" s="15">
        <f>+H3891</f>
        <v>0</v>
      </c>
      <c r="S3891" s="16"/>
      <c r="T3891" s="15">
        <f>+E3891</f>
        <v>0</v>
      </c>
      <c r="U3891" s="26" t="str">
        <f t="shared" ref="U3891" si="2119">IFERROR(LEFT(G3891,FIND("*",G3891)-1),"-")</f>
        <v>-</v>
      </c>
      <c r="V3891" s="26" t="str">
        <f t="shared" ref="V3891" si="2120">IFERROR(RIGHT(G3891,LEN(G3891)-FIND("*",G3891)),"-")</f>
        <v>-</v>
      </c>
      <c r="W3891" s="27" t="str">
        <f t="shared" si="2116"/>
        <v>-</v>
      </c>
      <c r="X3891" s="27" t="str">
        <f>IFERROR(W3891*H3891,"-")</f>
        <v>-</v>
      </c>
      <c r="Z3891" s="94" t="s">
        <v>82</v>
      </c>
    </row>
    <row r="3892" spans="1:26" s="25" customFormat="1" ht="6.95" customHeight="1" x14ac:dyDescent="0.3">
      <c r="A3892" s="10"/>
      <c r="B3892" s="168"/>
      <c r="C3892" s="169"/>
      <c r="D3892" s="160"/>
      <c r="E3892" s="161"/>
      <c r="F3892" s="162"/>
      <c r="G3892" s="163"/>
      <c r="H3892" s="164"/>
      <c r="I3892" s="163"/>
      <c r="J3892" s="164"/>
      <c r="K3892" s="163"/>
      <c r="L3892" s="164"/>
      <c r="M3892" s="11"/>
      <c r="N3892" s="39"/>
      <c r="Q3892" s="15" t="str">
        <f>+CONCATENATE(E3891,I3891)</f>
        <v/>
      </c>
      <c r="R3892" s="15">
        <f>+J3891</f>
        <v>0</v>
      </c>
      <c r="S3892" s="16"/>
      <c r="T3892" s="15">
        <f>+E3891</f>
        <v>0</v>
      </c>
      <c r="U3892" s="26" t="str">
        <f>IFERROR(LEFT(I3891,FIND("*",I3891)-1),"-")</f>
        <v>-</v>
      </c>
      <c r="V3892" s="26" t="str">
        <f>IFERROR(RIGHT(I3891,LEN(I3891)-FIND("*",I3891)),"-")</f>
        <v>-</v>
      </c>
      <c r="W3892" s="27" t="str">
        <f t="shared" si="2116"/>
        <v>-</v>
      </c>
      <c r="X3892" s="27" t="str">
        <f t="shared" ref="X3892" si="2121">IFERROR(W3892*J3891,"-")</f>
        <v>-</v>
      </c>
      <c r="Z3892" s="94" t="s">
        <v>82</v>
      </c>
    </row>
    <row r="3893" spans="1:26" s="25" customFormat="1" ht="6.95" customHeight="1" x14ac:dyDescent="0.3">
      <c r="A3893" s="10"/>
      <c r="B3893" s="168"/>
      <c r="C3893" s="169"/>
      <c r="D3893" s="160"/>
      <c r="E3893" s="161"/>
      <c r="F3893" s="162"/>
      <c r="G3893" s="163"/>
      <c r="H3893" s="164"/>
      <c r="I3893" s="163"/>
      <c r="J3893" s="164"/>
      <c r="K3893" s="163"/>
      <c r="L3893" s="164"/>
      <c r="M3893" s="11"/>
      <c r="N3893" s="39"/>
      <c r="Q3893" s="15" t="str">
        <f>+CONCATENATE(E3891,K3891)</f>
        <v/>
      </c>
      <c r="R3893" s="15">
        <f>+L3891</f>
        <v>0</v>
      </c>
      <c r="S3893" s="16"/>
      <c r="T3893" s="15">
        <f>+E3891</f>
        <v>0</v>
      </c>
      <c r="U3893" s="26" t="str">
        <f>IFERROR(LEFT(K3891,FIND("*",K3891)-1),"-")</f>
        <v>-</v>
      </c>
      <c r="V3893" s="26" t="str">
        <f>IFERROR(RIGHT(K3891,LEN(K3891)-FIND("*",K3891)),"-")</f>
        <v>-</v>
      </c>
      <c r="W3893" s="27" t="str">
        <f t="shared" si="2116"/>
        <v>-</v>
      </c>
      <c r="X3893" s="27" t="str">
        <f>IFERROR(W3893*L3891,"-")</f>
        <v>-</v>
      </c>
      <c r="Z3893" s="94" t="s">
        <v>82</v>
      </c>
    </row>
    <row r="3894" spans="1:26" s="25" customFormat="1" ht="21" customHeight="1" thickBot="1" x14ac:dyDescent="0.35">
      <c r="A3894" s="10"/>
      <c r="B3894" s="170"/>
      <c r="C3894" s="171"/>
      <c r="D3894" s="172" t="s">
        <v>43</v>
      </c>
      <c r="E3894" s="173"/>
      <c r="F3894" s="173"/>
      <c r="G3894" s="174"/>
      <c r="H3894" s="174"/>
      <c r="I3894" s="174"/>
      <c r="J3894" s="174"/>
      <c r="K3894" s="174"/>
      <c r="L3894" s="174"/>
      <c r="M3894" s="12"/>
      <c r="N3894" s="39"/>
      <c r="U3894" s="23"/>
      <c r="V3894" s="23"/>
      <c r="Z3894" s="95" t="s">
        <v>81</v>
      </c>
    </row>
    <row r="3895" spans="1:26" s="25" customFormat="1" ht="9.9499999999999993" customHeight="1" thickBot="1" x14ac:dyDescent="0.35">
      <c r="A3895" s="6"/>
      <c r="B3895" s="14"/>
      <c r="C3895" s="119"/>
      <c r="D3895" s="58"/>
      <c r="E3895" s="17"/>
      <c r="F3895" s="58"/>
      <c r="G3895" s="19"/>
      <c r="H3895" s="19"/>
      <c r="I3895" s="19"/>
      <c r="J3895" s="19"/>
      <c r="K3895" s="19"/>
      <c r="L3895" s="19"/>
      <c r="M3895" s="14"/>
      <c r="N3895" s="39"/>
      <c r="Q3895" s="1"/>
      <c r="R3895" s="1"/>
      <c r="S3895" s="1"/>
      <c r="T3895" s="1"/>
      <c r="U3895" s="24"/>
      <c r="V3895" s="24"/>
      <c r="W3895" s="1"/>
      <c r="X3895" s="1"/>
      <c r="Z3895" s="94" t="s">
        <v>82</v>
      </c>
    </row>
    <row r="3896" spans="1:26" s="25" customFormat="1" ht="6.95" customHeight="1" x14ac:dyDescent="0.3">
      <c r="A3896" s="165">
        <f>+A3885+1</f>
        <v>355</v>
      </c>
      <c r="B3896" s="166"/>
      <c r="C3896" s="167"/>
      <c r="D3896" s="160" t="s">
        <v>39</v>
      </c>
      <c r="E3896" s="161"/>
      <c r="F3896" s="162" t="s">
        <v>40</v>
      </c>
      <c r="G3896" s="163"/>
      <c r="H3896" s="164"/>
      <c r="I3896" s="163"/>
      <c r="J3896" s="164"/>
      <c r="K3896" s="163"/>
      <c r="L3896" s="164"/>
      <c r="M3896" s="11"/>
      <c r="N3896" s="39"/>
      <c r="Q3896" s="15" t="str">
        <f>+CONCATENATE(E3896,G3896)</f>
        <v/>
      </c>
      <c r="R3896" s="15">
        <f>+H3896</f>
        <v>0</v>
      </c>
      <c r="S3896" s="16"/>
      <c r="T3896" s="15">
        <f>+E3896</f>
        <v>0</v>
      </c>
      <c r="U3896" s="26" t="str">
        <f>IFERROR(LEFT(G3896,FIND("*",G3896)-1),"-")</f>
        <v>-</v>
      </c>
      <c r="V3896" s="26" t="str">
        <f>IFERROR(RIGHT(G3896,LEN(G3896)-FIND("*",G3896)),"-")</f>
        <v>-</v>
      </c>
      <c r="W3896" s="27" t="str">
        <f>IFERROR((U3896+V3896)*2/1000,"-")</f>
        <v>-</v>
      </c>
      <c r="X3896" s="27" t="str">
        <f>IFERROR(W3896*H3896,"-")</f>
        <v>-</v>
      </c>
      <c r="Z3896" s="94" t="s">
        <v>82</v>
      </c>
    </row>
    <row r="3897" spans="1:26" s="25" customFormat="1" ht="6.95" customHeight="1" x14ac:dyDescent="0.3">
      <c r="A3897" s="165"/>
      <c r="B3897" s="168"/>
      <c r="C3897" s="169"/>
      <c r="D3897" s="160"/>
      <c r="E3897" s="161"/>
      <c r="F3897" s="162"/>
      <c r="G3897" s="163"/>
      <c r="H3897" s="164"/>
      <c r="I3897" s="163"/>
      <c r="J3897" s="164"/>
      <c r="K3897" s="163"/>
      <c r="L3897" s="164"/>
      <c r="M3897" s="11"/>
      <c r="N3897" s="39"/>
      <c r="Q3897" s="15" t="str">
        <f>+CONCATENATE(E3896,I3896)</f>
        <v/>
      </c>
      <c r="R3897" s="15">
        <f>+J3896</f>
        <v>0</v>
      </c>
      <c r="S3897" s="16"/>
      <c r="T3897" s="15">
        <f>+E3896</f>
        <v>0</v>
      </c>
      <c r="U3897" s="26" t="str">
        <f>IFERROR(LEFT(I3896,FIND("*",I3896)-1),"-")</f>
        <v>-</v>
      </c>
      <c r="V3897" s="26" t="str">
        <f>IFERROR(RIGHT(I3896,LEN(I3896)-FIND("*",I3896)),"-")</f>
        <v>-</v>
      </c>
      <c r="W3897" s="27" t="str">
        <f t="shared" ref="W3897:W3904" si="2122">IFERROR((U3897+V3897)*2/1000,"-")</f>
        <v>-</v>
      </c>
      <c r="X3897" s="27" t="str">
        <f>IFERROR(W3897*J3896,"-")</f>
        <v>-</v>
      </c>
      <c r="Z3897" s="94" t="s">
        <v>82</v>
      </c>
    </row>
    <row r="3898" spans="1:26" s="25" customFormat="1" ht="6.95" customHeight="1" x14ac:dyDescent="0.3">
      <c r="A3898" s="165"/>
      <c r="B3898" s="168"/>
      <c r="C3898" s="169"/>
      <c r="D3898" s="160"/>
      <c r="E3898" s="161"/>
      <c r="F3898" s="162"/>
      <c r="G3898" s="163"/>
      <c r="H3898" s="164"/>
      <c r="I3898" s="163"/>
      <c r="J3898" s="164"/>
      <c r="K3898" s="163"/>
      <c r="L3898" s="164"/>
      <c r="M3898" s="11"/>
      <c r="N3898" s="39"/>
      <c r="Q3898" s="15" t="str">
        <f>+CONCATENATE(E3896,K3896)</f>
        <v/>
      </c>
      <c r="R3898" s="15">
        <f>+L3896</f>
        <v>0</v>
      </c>
      <c r="S3898" s="16"/>
      <c r="T3898" s="15">
        <f>+E3896</f>
        <v>0</v>
      </c>
      <c r="U3898" s="26" t="str">
        <f>IFERROR(LEFT(K3896,FIND("*",K3896)-1),"-")</f>
        <v>-</v>
      </c>
      <c r="V3898" s="26" t="str">
        <f>IFERROR(RIGHT(K3896,LEN(K3896)-FIND("*",K3896)),"-")</f>
        <v>-</v>
      </c>
      <c r="W3898" s="27" t="str">
        <f t="shared" si="2122"/>
        <v>-</v>
      </c>
      <c r="X3898" s="27" t="str">
        <f>IFERROR(W3898*L3896,"-")</f>
        <v>-</v>
      </c>
      <c r="Z3898" s="94" t="s">
        <v>82</v>
      </c>
    </row>
    <row r="3899" spans="1:26" s="25" customFormat="1" ht="6.95" customHeight="1" x14ac:dyDescent="0.3">
      <c r="A3899" s="13"/>
      <c r="B3899" s="168"/>
      <c r="C3899" s="169"/>
      <c r="D3899" s="160" t="s">
        <v>39</v>
      </c>
      <c r="E3899" s="161"/>
      <c r="F3899" s="162" t="s">
        <v>40</v>
      </c>
      <c r="G3899" s="163"/>
      <c r="H3899" s="164"/>
      <c r="I3899" s="163"/>
      <c r="J3899" s="164"/>
      <c r="K3899" s="163"/>
      <c r="L3899" s="164"/>
      <c r="M3899" s="11"/>
      <c r="N3899" s="39"/>
      <c r="Q3899" s="15" t="str">
        <f>+CONCATENATE(E3899,G3899)</f>
        <v/>
      </c>
      <c r="R3899" s="15">
        <f>+H3899</f>
        <v>0</v>
      </c>
      <c r="S3899" s="16"/>
      <c r="T3899" s="15">
        <f>+E3899</f>
        <v>0</v>
      </c>
      <c r="U3899" s="26" t="str">
        <f t="shared" ref="U3899" si="2123">IFERROR(LEFT(G3899,FIND("*",G3899)-1),"-")</f>
        <v>-</v>
      </c>
      <c r="V3899" s="26" t="str">
        <f t="shared" ref="V3899" si="2124">IFERROR(RIGHT(G3899,LEN(G3899)-FIND("*",G3899)),"-")</f>
        <v>-</v>
      </c>
      <c r="W3899" s="27" t="str">
        <f t="shared" si="2122"/>
        <v>-</v>
      </c>
      <c r="X3899" s="27" t="str">
        <f>IFERROR(W3899*H3899,"-")</f>
        <v>-</v>
      </c>
      <c r="Z3899" s="94" t="s">
        <v>82</v>
      </c>
    </row>
    <row r="3900" spans="1:26" s="25" customFormat="1" ht="6.95" customHeight="1" x14ac:dyDescent="0.3">
      <c r="A3900" s="10"/>
      <c r="B3900" s="168"/>
      <c r="C3900" s="169"/>
      <c r="D3900" s="160"/>
      <c r="E3900" s="161"/>
      <c r="F3900" s="162"/>
      <c r="G3900" s="163"/>
      <c r="H3900" s="164"/>
      <c r="I3900" s="163"/>
      <c r="J3900" s="164"/>
      <c r="K3900" s="163"/>
      <c r="L3900" s="164"/>
      <c r="M3900" s="11"/>
      <c r="N3900" s="39"/>
      <c r="Q3900" s="15" t="str">
        <f>+CONCATENATE(E3899,I3899)</f>
        <v/>
      </c>
      <c r="R3900" s="15">
        <f>+J3899</f>
        <v>0</v>
      </c>
      <c r="S3900" s="16"/>
      <c r="T3900" s="15">
        <f>+E3899</f>
        <v>0</v>
      </c>
      <c r="U3900" s="26" t="str">
        <f>IFERROR(LEFT(I3899,FIND("*",I3899)-1),"-")</f>
        <v>-</v>
      </c>
      <c r="V3900" s="26" t="str">
        <f>IFERROR(RIGHT(I3899,LEN(I3899)-FIND("*",I3899)),"-")</f>
        <v>-</v>
      </c>
      <c r="W3900" s="27" t="str">
        <f t="shared" si="2122"/>
        <v>-</v>
      </c>
      <c r="X3900" s="27" t="str">
        <f>IFERROR(W3900*J3899,"-")</f>
        <v>-</v>
      </c>
      <c r="Z3900" s="94" t="s">
        <v>82</v>
      </c>
    </row>
    <row r="3901" spans="1:26" s="25" customFormat="1" ht="6.95" customHeight="1" x14ac:dyDescent="0.3">
      <c r="A3901" s="10"/>
      <c r="B3901" s="168"/>
      <c r="C3901" s="169"/>
      <c r="D3901" s="160"/>
      <c r="E3901" s="161"/>
      <c r="F3901" s="162"/>
      <c r="G3901" s="163"/>
      <c r="H3901" s="164"/>
      <c r="I3901" s="163"/>
      <c r="J3901" s="164"/>
      <c r="K3901" s="163"/>
      <c r="L3901" s="164"/>
      <c r="M3901" s="11"/>
      <c r="N3901" s="39"/>
      <c r="Q3901" s="15" t="str">
        <f>+CONCATENATE(E3899,K3899)</f>
        <v/>
      </c>
      <c r="R3901" s="15">
        <f>+L3899</f>
        <v>0</v>
      </c>
      <c r="S3901" s="16"/>
      <c r="T3901" s="15">
        <f>+E3899</f>
        <v>0</v>
      </c>
      <c r="U3901" s="26" t="str">
        <f>IFERROR(LEFT(K3899,FIND("*",K3899)-1),"-")</f>
        <v>-</v>
      </c>
      <c r="V3901" s="26" t="str">
        <f>IFERROR(RIGHT(K3899,LEN(K3899)-FIND("*",K3899)),"-")</f>
        <v>-</v>
      </c>
      <c r="W3901" s="27" t="str">
        <f t="shared" si="2122"/>
        <v>-</v>
      </c>
      <c r="X3901" s="27" t="str">
        <f>IFERROR(W3901*L3899,"-")</f>
        <v>-</v>
      </c>
      <c r="Z3901" s="94" t="s">
        <v>82</v>
      </c>
    </row>
    <row r="3902" spans="1:26" s="25" customFormat="1" ht="6.95" customHeight="1" x14ac:dyDescent="0.3">
      <c r="A3902" s="13"/>
      <c r="B3902" s="168"/>
      <c r="C3902" s="169"/>
      <c r="D3902" s="160" t="s">
        <v>39</v>
      </c>
      <c r="E3902" s="161"/>
      <c r="F3902" s="162" t="s">
        <v>40</v>
      </c>
      <c r="G3902" s="163"/>
      <c r="H3902" s="164"/>
      <c r="I3902" s="163"/>
      <c r="J3902" s="164"/>
      <c r="K3902" s="163"/>
      <c r="L3902" s="164"/>
      <c r="M3902" s="11"/>
      <c r="N3902" s="39"/>
      <c r="Q3902" s="15" t="str">
        <f>+CONCATENATE(E3902,G3902)</f>
        <v/>
      </c>
      <c r="R3902" s="15">
        <f>+H3902</f>
        <v>0</v>
      </c>
      <c r="S3902" s="16"/>
      <c r="T3902" s="15">
        <f>+E3902</f>
        <v>0</v>
      </c>
      <c r="U3902" s="26" t="str">
        <f t="shared" ref="U3902" si="2125">IFERROR(LEFT(G3902,FIND("*",G3902)-1),"-")</f>
        <v>-</v>
      </c>
      <c r="V3902" s="26" t="str">
        <f t="shared" ref="V3902" si="2126">IFERROR(RIGHT(G3902,LEN(G3902)-FIND("*",G3902)),"-")</f>
        <v>-</v>
      </c>
      <c r="W3902" s="27" t="str">
        <f t="shared" si="2122"/>
        <v>-</v>
      </c>
      <c r="X3902" s="27" t="str">
        <f>IFERROR(W3902*H3902,"-")</f>
        <v>-</v>
      </c>
      <c r="Z3902" s="94" t="s">
        <v>82</v>
      </c>
    </row>
    <row r="3903" spans="1:26" s="25" customFormat="1" ht="6.95" customHeight="1" x14ac:dyDescent="0.3">
      <c r="A3903" s="10"/>
      <c r="B3903" s="168"/>
      <c r="C3903" s="169"/>
      <c r="D3903" s="160"/>
      <c r="E3903" s="161"/>
      <c r="F3903" s="162"/>
      <c r="G3903" s="163"/>
      <c r="H3903" s="164"/>
      <c r="I3903" s="163"/>
      <c r="J3903" s="164"/>
      <c r="K3903" s="163"/>
      <c r="L3903" s="164"/>
      <c r="M3903" s="11"/>
      <c r="N3903" s="39"/>
      <c r="Q3903" s="15" t="str">
        <f>+CONCATENATE(E3902,I3902)</f>
        <v/>
      </c>
      <c r="R3903" s="15">
        <f>+J3902</f>
        <v>0</v>
      </c>
      <c r="S3903" s="16"/>
      <c r="T3903" s="15">
        <f>+E3902</f>
        <v>0</v>
      </c>
      <c r="U3903" s="26" t="str">
        <f>IFERROR(LEFT(I3902,FIND("*",I3902)-1),"-")</f>
        <v>-</v>
      </c>
      <c r="V3903" s="26" t="str">
        <f>IFERROR(RIGHT(I3902,LEN(I3902)-FIND("*",I3902)),"-")</f>
        <v>-</v>
      </c>
      <c r="W3903" s="27" t="str">
        <f t="shared" si="2122"/>
        <v>-</v>
      </c>
      <c r="X3903" s="27" t="str">
        <f t="shared" ref="X3903" si="2127">IFERROR(W3903*J3902,"-")</f>
        <v>-</v>
      </c>
      <c r="Z3903" s="94" t="s">
        <v>82</v>
      </c>
    </row>
    <row r="3904" spans="1:26" s="25" customFormat="1" ht="6.95" customHeight="1" x14ac:dyDescent="0.3">
      <c r="A3904" s="10"/>
      <c r="B3904" s="168"/>
      <c r="C3904" s="169"/>
      <c r="D3904" s="160"/>
      <c r="E3904" s="161"/>
      <c r="F3904" s="162"/>
      <c r="G3904" s="163"/>
      <c r="H3904" s="164"/>
      <c r="I3904" s="163"/>
      <c r="J3904" s="164"/>
      <c r="K3904" s="163"/>
      <c r="L3904" s="164"/>
      <c r="M3904" s="11"/>
      <c r="N3904" s="39"/>
      <c r="Q3904" s="15" t="str">
        <f>+CONCATENATE(E3902,K3902)</f>
        <v/>
      </c>
      <c r="R3904" s="15">
        <f>+L3902</f>
        <v>0</v>
      </c>
      <c r="S3904" s="16"/>
      <c r="T3904" s="15">
        <f>+E3902</f>
        <v>0</v>
      </c>
      <c r="U3904" s="26" t="str">
        <f>IFERROR(LEFT(K3902,FIND("*",K3902)-1),"-")</f>
        <v>-</v>
      </c>
      <c r="V3904" s="26" t="str">
        <f>IFERROR(RIGHT(K3902,LEN(K3902)-FIND("*",K3902)),"-")</f>
        <v>-</v>
      </c>
      <c r="W3904" s="27" t="str">
        <f t="shared" si="2122"/>
        <v>-</v>
      </c>
      <c r="X3904" s="27" t="str">
        <f>IFERROR(W3904*L3902,"-")</f>
        <v>-</v>
      </c>
      <c r="Z3904" s="94" t="s">
        <v>82</v>
      </c>
    </row>
    <row r="3905" spans="1:26" s="25" customFormat="1" ht="21" customHeight="1" thickBot="1" x14ac:dyDescent="0.35">
      <c r="A3905" s="10"/>
      <c r="B3905" s="170"/>
      <c r="C3905" s="171"/>
      <c r="D3905" s="172" t="s">
        <v>43</v>
      </c>
      <c r="E3905" s="173"/>
      <c r="F3905" s="173"/>
      <c r="G3905" s="174"/>
      <c r="H3905" s="174"/>
      <c r="I3905" s="174"/>
      <c r="J3905" s="174"/>
      <c r="K3905" s="174"/>
      <c r="L3905" s="174"/>
      <c r="M3905" s="12"/>
      <c r="N3905" s="39"/>
      <c r="U3905" s="23"/>
      <c r="V3905" s="23"/>
      <c r="Z3905" s="95" t="s">
        <v>81</v>
      </c>
    </row>
    <row r="3906" spans="1:26" s="25" customFormat="1" ht="9.9499999999999993" customHeight="1" thickBot="1" x14ac:dyDescent="0.35">
      <c r="A3906" s="6"/>
      <c r="B3906" s="14"/>
      <c r="C3906" s="119"/>
      <c r="D3906" s="58"/>
      <c r="E3906" s="17"/>
      <c r="F3906" s="58"/>
      <c r="G3906" s="19"/>
      <c r="H3906" s="19"/>
      <c r="I3906" s="19"/>
      <c r="J3906" s="19"/>
      <c r="K3906" s="19"/>
      <c r="L3906" s="19"/>
      <c r="M3906" s="14"/>
      <c r="N3906" s="39"/>
      <c r="Q3906" s="1"/>
      <c r="R3906" s="1"/>
      <c r="S3906" s="1"/>
      <c r="T3906" s="1"/>
      <c r="U3906" s="24"/>
      <c r="V3906" s="24"/>
      <c r="W3906" s="1"/>
      <c r="X3906" s="1"/>
      <c r="Z3906" s="94" t="s">
        <v>82</v>
      </c>
    </row>
    <row r="3907" spans="1:26" s="25" customFormat="1" ht="6.95" customHeight="1" x14ac:dyDescent="0.3">
      <c r="A3907" s="165">
        <f>+A3896+1</f>
        <v>356</v>
      </c>
      <c r="B3907" s="166"/>
      <c r="C3907" s="167"/>
      <c r="D3907" s="160" t="s">
        <v>39</v>
      </c>
      <c r="E3907" s="161"/>
      <c r="F3907" s="162" t="s">
        <v>40</v>
      </c>
      <c r="G3907" s="163"/>
      <c r="H3907" s="164"/>
      <c r="I3907" s="163"/>
      <c r="J3907" s="164"/>
      <c r="K3907" s="163"/>
      <c r="L3907" s="164"/>
      <c r="M3907" s="11"/>
      <c r="N3907" s="39"/>
      <c r="Q3907" s="15" t="str">
        <f>+CONCATENATE(E3907,G3907)</f>
        <v/>
      </c>
      <c r="R3907" s="15">
        <f>+H3907</f>
        <v>0</v>
      </c>
      <c r="S3907" s="16"/>
      <c r="T3907" s="15">
        <f>+E3907</f>
        <v>0</v>
      </c>
      <c r="U3907" s="26" t="str">
        <f>IFERROR(LEFT(G3907,FIND("*",G3907)-1),"-")</f>
        <v>-</v>
      </c>
      <c r="V3907" s="26" t="str">
        <f>IFERROR(RIGHT(G3907,LEN(G3907)-FIND("*",G3907)),"-")</f>
        <v>-</v>
      </c>
      <c r="W3907" s="27" t="str">
        <f>IFERROR((U3907+V3907)*2/1000,"-")</f>
        <v>-</v>
      </c>
      <c r="X3907" s="27" t="str">
        <f>IFERROR(W3907*H3907,"-")</f>
        <v>-</v>
      </c>
      <c r="Z3907" s="94" t="s">
        <v>82</v>
      </c>
    </row>
    <row r="3908" spans="1:26" s="25" customFormat="1" ht="6.95" customHeight="1" x14ac:dyDescent="0.3">
      <c r="A3908" s="165"/>
      <c r="B3908" s="168"/>
      <c r="C3908" s="169"/>
      <c r="D3908" s="160"/>
      <c r="E3908" s="161"/>
      <c r="F3908" s="162"/>
      <c r="G3908" s="163"/>
      <c r="H3908" s="164"/>
      <c r="I3908" s="163"/>
      <c r="J3908" s="164"/>
      <c r="K3908" s="163"/>
      <c r="L3908" s="164"/>
      <c r="M3908" s="11"/>
      <c r="N3908" s="39"/>
      <c r="Q3908" s="15" t="str">
        <f>+CONCATENATE(E3907,I3907)</f>
        <v/>
      </c>
      <c r="R3908" s="15">
        <f>+J3907</f>
        <v>0</v>
      </c>
      <c r="S3908" s="16"/>
      <c r="T3908" s="15">
        <f>+E3907</f>
        <v>0</v>
      </c>
      <c r="U3908" s="26" t="str">
        <f>IFERROR(LEFT(I3907,FIND("*",I3907)-1),"-")</f>
        <v>-</v>
      </c>
      <c r="V3908" s="26" t="str">
        <f>IFERROR(RIGHT(I3907,LEN(I3907)-FIND("*",I3907)),"-")</f>
        <v>-</v>
      </c>
      <c r="W3908" s="27" t="str">
        <f t="shared" ref="W3908:W3915" si="2128">IFERROR((U3908+V3908)*2/1000,"-")</f>
        <v>-</v>
      </c>
      <c r="X3908" s="27" t="str">
        <f>IFERROR(W3908*J3907,"-")</f>
        <v>-</v>
      </c>
      <c r="Z3908" s="94" t="s">
        <v>82</v>
      </c>
    </row>
    <row r="3909" spans="1:26" s="25" customFormat="1" ht="6.95" customHeight="1" x14ac:dyDescent="0.3">
      <c r="A3909" s="165"/>
      <c r="B3909" s="168"/>
      <c r="C3909" s="169"/>
      <c r="D3909" s="160"/>
      <c r="E3909" s="161"/>
      <c r="F3909" s="162"/>
      <c r="G3909" s="163"/>
      <c r="H3909" s="164"/>
      <c r="I3909" s="163"/>
      <c r="J3909" s="164"/>
      <c r="K3909" s="163"/>
      <c r="L3909" s="164"/>
      <c r="M3909" s="11"/>
      <c r="N3909" s="39"/>
      <c r="Q3909" s="15" t="str">
        <f>+CONCATENATE(E3907,K3907)</f>
        <v/>
      </c>
      <c r="R3909" s="15">
        <f>+L3907</f>
        <v>0</v>
      </c>
      <c r="S3909" s="16"/>
      <c r="T3909" s="15">
        <f>+E3907</f>
        <v>0</v>
      </c>
      <c r="U3909" s="26" t="str">
        <f>IFERROR(LEFT(K3907,FIND("*",K3907)-1),"-")</f>
        <v>-</v>
      </c>
      <c r="V3909" s="26" t="str">
        <f>IFERROR(RIGHT(K3907,LEN(K3907)-FIND("*",K3907)),"-")</f>
        <v>-</v>
      </c>
      <c r="W3909" s="27" t="str">
        <f t="shared" si="2128"/>
        <v>-</v>
      </c>
      <c r="X3909" s="27" t="str">
        <f>IFERROR(W3909*L3907,"-")</f>
        <v>-</v>
      </c>
      <c r="Z3909" s="94" t="s">
        <v>82</v>
      </c>
    </row>
    <row r="3910" spans="1:26" s="25" customFormat="1" ht="6.95" customHeight="1" x14ac:dyDescent="0.3">
      <c r="A3910" s="13"/>
      <c r="B3910" s="168"/>
      <c r="C3910" s="169"/>
      <c r="D3910" s="160" t="s">
        <v>39</v>
      </c>
      <c r="E3910" s="161"/>
      <c r="F3910" s="162" t="s">
        <v>40</v>
      </c>
      <c r="G3910" s="163"/>
      <c r="H3910" s="164"/>
      <c r="I3910" s="163"/>
      <c r="J3910" s="164"/>
      <c r="K3910" s="163"/>
      <c r="L3910" s="164"/>
      <c r="M3910" s="11"/>
      <c r="N3910" s="39"/>
      <c r="Q3910" s="15" t="str">
        <f>+CONCATENATE(E3910,G3910)</f>
        <v/>
      </c>
      <c r="R3910" s="15">
        <f>+H3910</f>
        <v>0</v>
      </c>
      <c r="S3910" s="16"/>
      <c r="T3910" s="15">
        <f>+E3910</f>
        <v>0</v>
      </c>
      <c r="U3910" s="26" t="str">
        <f t="shared" ref="U3910" si="2129">IFERROR(LEFT(G3910,FIND("*",G3910)-1),"-")</f>
        <v>-</v>
      </c>
      <c r="V3910" s="26" t="str">
        <f t="shared" ref="V3910" si="2130">IFERROR(RIGHT(G3910,LEN(G3910)-FIND("*",G3910)),"-")</f>
        <v>-</v>
      </c>
      <c r="W3910" s="27" t="str">
        <f t="shared" si="2128"/>
        <v>-</v>
      </c>
      <c r="X3910" s="27" t="str">
        <f>IFERROR(W3910*H3910,"-")</f>
        <v>-</v>
      </c>
      <c r="Z3910" s="94" t="s">
        <v>82</v>
      </c>
    </row>
    <row r="3911" spans="1:26" s="25" customFormat="1" ht="6.95" customHeight="1" x14ac:dyDescent="0.3">
      <c r="A3911" s="10"/>
      <c r="B3911" s="168"/>
      <c r="C3911" s="169"/>
      <c r="D3911" s="160"/>
      <c r="E3911" s="161"/>
      <c r="F3911" s="162"/>
      <c r="G3911" s="163"/>
      <c r="H3911" s="164"/>
      <c r="I3911" s="163"/>
      <c r="J3911" s="164"/>
      <c r="K3911" s="163"/>
      <c r="L3911" s="164"/>
      <c r="M3911" s="11"/>
      <c r="N3911" s="39"/>
      <c r="Q3911" s="15" t="str">
        <f>+CONCATENATE(E3910,I3910)</f>
        <v/>
      </c>
      <c r="R3911" s="15">
        <f>+J3910</f>
        <v>0</v>
      </c>
      <c r="S3911" s="16"/>
      <c r="T3911" s="15">
        <f>+E3910</f>
        <v>0</v>
      </c>
      <c r="U3911" s="26" t="str">
        <f>IFERROR(LEFT(I3910,FIND("*",I3910)-1),"-")</f>
        <v>-</v>
      </c>
      <c r="V3911" s="26" t="str">
        <f>IFERROR(RIGHT(I3910,LEN(I3910)-FIND("*",I3910)),"-")</f>
        <v>-</v>
      </c>
      <c r="W3911" s="27" t="str">
        <f t="shared" si="2128"/>
        <v>-</v>
      </c>
      <c r="X3911" s="27" t="str">
        <f>IFERROR(W3911*J3910,"-")</f>
        <v>-</v>
      </c>
      <c r="Z3911" s="94" t="s">
        <v>82</v>
      </c>
    </row>
    <row r="3912" spans="1:26" s="25" customFormat="1" ht="6.95" customHeight="1" x14ac:dyDescent="0.3">
      <c r="A3912" s="10"/>
      <c r="B3912" s="168"/>
      <c r="C3912" s="169"/>
      <c r="D3912" s="160"/>
      <c r="E3912" s="161"/>
      <c r="F3912" s="162"/>
      <c r="G3912" s="163"/>
      <c r="H3912" s="164"/>
      <c r="I3912" s="163"/>
      <c r="J3912" s="164"/>
      <c r="K3912" s="163"/>
      <c r="L3912" s="164"/>
      <c r="M3912" s="11"/>
      <c r="N3912" s="39"/>
      <c r="Q3912" s="15" t="str">
        <f>+CONCATENATE(E3910,K3910)</f>
        <v/>
      </c>
      <c r="R3912" s="15">
        <f>+L3910</f>
        <v>0</v>
      </c>
      <c r="S3912" s="16"/>
      <c r="T3912" s="15">
        <f>+E3910</f>
        <v>0</v>
      </c>
      <c r="U3912" s="26" t="str">
        <f>IFERROR(LEFT(K3910,FIND("*",K3910)-1),"-")</f>
        <v>-</v>
      </c>
      <c r="V3912" s="26" t="str">
        <f>IFERROR(RIGHT(K3910,LEN(K3910)-FIND("*",K3910)),"-")</f>
        <v>-</v>
      </c>
      <c r="W3912" s="27" t="str">
        <f t="shared" si="2128"/>
        <v>-</v>
      </c>
      <c r="X3912" s="27" t="str">
        <f>IFERROR(W3912*L3910,"-")</f>
        <v>-</v>
      </c>
      <c r="Z3912" s="94" t="s">
        <v>82</v>
      </c>
    </row>
    <row r="3913" spans="1:26" s="25" customFormat="1" ht="6.95" customHeight="1" x14ac:dyDescent="0.3">
      <c r="A3913" s="13"/>
      <c r="B3913" s="168"/>
      <c r="C3913" s="169"/>
      <c r="D3913" s="160" t="s">
        <v>39</v>
      </c>
      <c r="E3913" s="161"/>
      <c r="F3913" s="162" t="s">
        <v>40</v>
      </c>
      <c r="G3913" s="163"/>
      <c r="H3913" s="164"/>
      <c r="I3913" s="163"/>
      <c r="J3913" s="164"/>
      <c r="K3913" s="163"/>
      <c r="L3913" s="164"/>
      <c r="M3913" s="11"/>
      <c r="N3913" s="39"/>
      <c r="Q3913" s="15" t="str">
        <f>+CONCATENATE(E3913,G3913)</f>
        <v/>
      </c>
      <c r="R3913" s="15">
        <f>+H3913</f>
        <v>0</v>
      </c>
      <c r="S3913" s="16"/>
      <c r="T3913" s="15">
        <f>+E3913</f>
        <v>0</v>
      </c>
      <c r="U3913" s="26" t="str">
        <f t="shared" ref="U3913" si="2131">IFERROR(LEFT(G3913,FIND("*",G3913)-1),"-")</f>
        <v>-</v>
      </c>
      <c r="V3913" s="26" t="str">
        <f t="shared" ref="V3913" si="2132">IFERROR(RIGHT(G3913,LEN(G3913)-FIND("*",G3913)),"-")</f>
        <v>-</v>
      </c>
      <c r="W3913" s="27" t="str">
        <f t="shared" si="2128"/>
        <v>-</v>
      </c>
      <c r="X3913" s="27" t="str">
        <f>IFERROR(W3913*H3913,"-")</f>
        <v>-</v>
      </c>
      <c r="Z3913" s="94" t="s">
        <v>82</v>
      </c>
    </row>
    <row r="3914" spans="1:26" s="25" customFormat="1" ht="6.95" customHeight="1" x14ac:dyDescent="0.3">
      <c r="A3914" s="10"/>
      <c r="B3914" s="168"/>
      <c r="C3914" s="169"/>
      <c r="D3914" s="160"/>
      <c r="E3914" s="161"/>
      <c r="F3914" s="162"/>
      <c r="G3914" s="163"/>
      <c r="H3914" s="164"/>
      <c r="I3914" s="163"/>
      <c r="J3914" s="164"/>
      <c r="K3914" s="163"/>
      <c r="L3914" s="164"/>
      <c r="M3914" s="11"/>
      <c r="N3914" s="39"/>
      <c r="Q3914" s="15" t="str">
        <f>+CONCATENATE(E3913,I3913)</f>
        <v/>
      </c>
      <c r="R3914" s="15">
        <f>+J3913</f>
        <v>0</v>
      </c>
      <c r="S3914" s="16"/>
      <c r="T3914" s="15">
        <f>+E3913</f>
        <v>0</v>
      </c>
      <c r="U3914" s="26" t="str">
        <f>IFERROR(LEFT(I3913,FIND("*",I3913)-1),"-")</f>
        <v>-</v>
      </c>
      <c r="V3914" s="26" t="str">
        <f>IFERROR(RIGHT(I3913,LEN(I3913)-FIND("*",I3913)),"-")</f>
        <v>-</v>
      </c>
      <c r="W3914" s="27" t="str">
        <f t="shared" si="2128"/>
        <v>-</v>
      </c>
      <c r="X3914" s="27" t="str">
        <f t="shared" ref="X3914" si="2133">IFERROR(W3914*J3913,"-")</f>
        <v>-</v>
      </c>
      <c r="Z3914" s="94" t="s">
        <v>82</v>
      </c>
    </row>
    <row r="3915" spans="1:26" s="25" customFormat="1" ht="6.95" customHeight="1" x14ac:dyDescent="0.3">
      <c r="A3915" s="10"/>
      <c r="B3915" s="168"/>
      <c r="C3915" s="169"/>
      <c r="D3915" s="160"/>
      <c r="E3915" s="161"/>
      <c r="F3915" s="162"/>
      <c r="G3915" s="163"/>
      <c r="H3915" s="164"/>
      <c r="I3915" s="163"/>
      <c r="J3915" s="164"/>
      <c r="K3915" s="163"/>
      <c r="L3915" s="164"/>
      <c r="M3915" s="11"/>
      <c r="N3915" s="39"/>
      <c r="Q3915" s="15" t="str">
        <f>+CONCATENATE(E3913,K3913)</f>
        <v/>
      </c>
      <c r="R3915" s="15">
        <f>+L3913</f>
        <v>0</v>
      </c>
      <c r="S3915" s="16"/>
      <c r="T3915" s="15">
        <f>+E3913</f>
        <v>0</v>
      </c>
      <c r="U3915" s="26" t="str">
        <f>IFERROR(LEFT(K3913,FIND("*",K3913)-1),"-")</f>
        <v>-</v>
      </c>
      <c r="V3915" s="26" t="str">
        <f>IFERROR(RIGHT(K3913,LEN(K3913)-FIND("*",K3913)),"-")</f>
        <v>-</v>
      </c>
      <c r="W3915" s="27" t="str">
        <f t="shared" si="2128"/>
        <v>-</v>
      </c>
      <c r="X3915" s="27" t="str">
        <f>IFERROR(W3915*L3913,"-")</f>
        <v>-</v>
      </c>
      <c r="Z3915" s="94" t="s">
        <v>82</v>
      </c>
    </row>
    <row r="3916" spans="1:26" s="25" customFormat="1" ht="21" customHeight="1" thickBot="1" x14ac:dyDescent="0.35">
      <c r="A3916" s="10"/>
      <c r="B3916" s="170"/>
      <c r="C3916" s="171"/>
      <c r="D3916" s="172" t="s">
        <v>43</v>
      </c>
      <c r="E3916" s="173"/>
      <c r="F3916" s="173"/>
      <c r="G3916" s="174"/>
      <c r="H3916" s="174"/>
      <c r="I3916" s="174"/>
      <c r="J3916" s="174"/>
      <c r="K3916" s="174"/>
      <c r="L3916" s="174"/>
      <c r="M3916" s="12"/>
      <c r="N3916" s="39"/>
      <c r="U3916" s="23"/>
      <c r="V3916" s="23"/>
      <c r="Z3916" s="95" t="s">
        <v>81</v>
      </c>
    </row>
    <row r="3917" spans="1:26" s="25" customFormat="1" ht="9.9499999999999993" customHeight="1" thickBot="1" x14ac:dyDescent="0.35">
      <c r="A3917" s="6"/>
      <c r="B3917" s="14"/>
      <c r="C3917" s="119"/>
      <c r="D3917" s="58"/>
      <c r="E3917" s="17"/>
      <c r="F3917" s="58"/>
      <c r="G3917" s="19"/>
      <c r="H3917" s="19"/>
      <c r="I3917" s="19"/>
      <c r="J3917" s="19"/>
      <c r="K3917" s="19"/>
      <c r="L3917" s="19"/>
      <c r="M3917" s="14"/>
      <c r="N3917" s="39"/>
      <c r="Q3917" s="1"/>
      <c r="R3917" s="1"/>
      <c r="S3917" s="1"/>
      <c r="T3917" s="1"/>
      <c r="U3917" s="24"/>
      <c r="V3917" s="24"/>
      <c r="W3917" s="1"/>
      <c r="X3917" s="1"/>
      <c r="Z3917" s="94" t="s">
        <v>82</v>
      </c>
    </row>
    <row r="3918" spans="1:26" s="25" customFormat="1" ht="6.95" customHeight="1" x14ac:dyDescent="0.3">
      <c r="A3918" s="165">
        <f>+A3907+1</f>
        <v>357</v>
      </c>
      <c r="B3918" s="166"/>
      <c r="C3918" s="167"/>
      <c r="D3918" s="160" t="s">
        <v>39</v>
      </c>
      <c r="E3918" s="161"/>
      <c r="F3918" s="162" t="s">
        <v>40</v>
      </c>
      <c r="G3918" s="163"/>
      <c r="H3918" s="164"/>
      <c r="I3918" s="163"/>
      <c r="J3918" s="164"/>
      <c r="K3918" s="163"/>
      <c r="L3918" s="164"/>
      <c r="M3918" s="11"/>
      <c r="N3918" s="39"/>
      <c r="Q3918" s="15" t="str">
        <f>+CONCATENATE(E3918,G3918)</f>
        <v/>
      </c>
      <c r="R3918" s="15">
        <f>+H3918</f>
        <v>0</v>
      </c>
      <c r="S3918" s="16"/>
      <c r="T3918" s="15">
        <f>+E3918</f>
        <v>0</v>
      </c>
      <c r="U3918" s="26" t="str">
        <f>IFERROR(LEFT(G3918,FIND("*",G3918)-1),"-")</f>
        <v>-</v>
      </c>
      <c r="V3918" s="26" t="str">
        <f>IFERROR(RIGHT(G3918,LEN(G3918)-FIND("*",G3918)),"-")</f>
        <v>-</v>
      </c>
      <c r="W3918" s="27" t="str">
        <f>IFERROR((U3918+V3918)*2/1000,"-")</f>
        <v>-</v>
      </c>
      <c r="X3918" s="27" t="str">
        <f>IFERROR(W3918*H3918,"-")</f>
        <v>-</v>
      </c>
      <c r="Z3918" s="94" t="s">
        <v>82</v>
      </c>
    </row>
    <row r="3919" spans="1:26" s="25" customFormat="1" ht="6.95" customHeight="1" x14ac:dyDescent="0.3">
      <c r="A3919" s="165"/>
      <c r="B3919" s="168"/>
      <c r="C3919" s="169"/>
      <c r="D3919" s="160"/>
      <c r="E3919" s="161"/>
      <c r="F3919" s="162"/>
      <c r="G3919" s="163"/>
      <c r="H3919" s="164"/>
      <c r="I3919" s="163"/>
      <c r="J3919" s="164"/>
      <c r="K3919" s="163"/>
      <c r="L3919" s="164"/>
      <c r="M3919" s="11"/>
      <c r="N3919" s="39"/>
      <c r="Q3919" s="15" t="str">
        <f>+CONCATENATE(E3918,I3918)</f>
        <v/>
      </c>
      <c r="R3919" s="15">
        <f>+J3918</f>
        <v>0</v>
      </c>
      <c r="S3919" s="16"/>
      <c r="T3919" s="15">
        <f>+E3918</f>
        <v>0</v>
      </c>
      <c r="U3919" s="26" t="str">
        <f>IFERROR(LEFT(I3918,FIND("*",I3918)-1),"-")</f>
        <v>-</v>
      </c>
      <c r="V3919" s="26" t="str">
        <f>IFERROR(RIGHT(I3918,LEN(I3918)-FIND("*",I3918)),"-")</f>
        <v>-</v>
      </c>
      <c r="W3919" s="27" t="str">
        <f t="shared" ref="W3919:W3926" si="2134">IFERROR((U3919+V3919)*2/1000,"-")</f>
        <v>-</v>
      </c>
      <c r="X3919" s="27" t="str">
        <f>IFERROR(W3919*J3918,"-")</f>
        <v>-</v>
      </c>
      <c r="Z3919" s="94" t="s">
        <v>82</v>
      </c>
    </row>
    <row r="3920" spans="1:26" s="25" customFormat="1" ht="6.95" customHeight="1" x14ac:dyDescent="0.3">
      <c r="A3920" s="165"/>
      <c r="B3920" s="168"/>
      <c r="C3920" s="169"/>
      <c r="D3920" s="160"/>
      <c r="E3920" s="161"/>
      <c r="F3920" s="162"/>
      <c r="G3920" s="163"/>
      <c r="H3920" s="164"/>
      <c r="I3920" s="163"/>
      <c r="J3920" s="164"/>
      <c r="K3920" s="163"/>
      <c r="L3920" s="164"/>
      <c r="M3920" s="11"/>
      <c r="N3920" s="39"/>
      <c r="Q3920" s="15" t="str">
        <f>+CONCATENATE(E3918,K3918)</f>
        <v/>
      </c>
      <c r="R3920" s="15">
        <f>+L3918</f>
        <v>0</v>
      </c>
      <c r="S3920" s="16"/>
      <c r="T3920" s="15">
        <f>+E3918</f>
        <v>0</v>
      </c>
      <c r="U3920" s="26" t="str">
        <f>IFERROR(LEFT(K3918,FIND("*",K3918)-1),"-")</f>
        <v>-</v>
      </c>
      <c r="V3920" s="26" t="str">
        <f>IFERROR(RIGHT(K3918,LEN(K3918)-FIND("*",K3918)),"-")</f>
        <v>-</v>
      </c>
      <c r="W3920" s="27" t="str">
        <f t="shared" si="2134"/>
        <v>-</v>
      </c>
      <c r="X3920" s="27" t="str">
        <f>IFERROR(W3920*L3918,"-")</f>
        <v>-</v>
      </c>
      <c r="Z3920" s="94" t="s">
        <v>82</v>
      </c>
    </row>
    <row r="3921" spans="1:26" s="25" customFormat="1" ht="6.95" customHeight="1" x14ac:dyDescent="0.3">
      <c r="A3921" s="13"/>
      <c r="B3921" s="168"/>
      <c r="C3921" s="169"/>
      <c r="D3921" s="160" t="s">
        <v>39</v>
      </c>
      <c r="E3921" s="161"/>
      <c r="F3921" s="162" t="s">
        <v>40</v>
      </c>
      <c r="G3921" s="163"/>
      <c r="H3921" s="164"/>
      <c r="I3921" s="163"/>
      <c r="J3921" s="164"/>
      <c r="K3921" s="163"/>
      <c r="L3921" s="164"/>
      <c r="M3921" s="11"/>
      <c r="N3921" s="39"/>
      <c r="Q3921" s="15" t="str">
        <f>+CONCATENATE(E3921,G3921)</f>
        <v/>
      </c>
      <c r="R3921" s="15">
        <f>+H3921</f>
        <v>0</v>
      </c>
      <c r="S3921" s="16"/>
      <c r="T3921" s="15">
        <f>+E3921</f>
        <v>0</v>
      </c>
      <c r="U3921" s="26" t="str">
        <f t="shared" ref="U3921" si="2135">IFERROR(LEFT(G3921,FIND("*",G3921)-1),"-")</f>
        <v>-</v>
      </c>
      <c r="V3921" s="26" t="str">
        <f t="shared" ref="V3921" si="2136">IFERROR(RIGHT(G3921,LEN(G3921)-FIND("*",G3921)),"-")</f>
        <v>-</v>
      </c>
      <c r="W3921" s="27" t="str">
        <f t="shared" si="2134"/>
        <v>-</v>
      </c>
      <c r="X3921" s="27" t="str">
        <f>IFERROR(W3921*H3921,"-")</f>
        <v>-</v>
      </c>
      <c r="Z3921" s="94" t="s">
        <v>82</v>
      </c>
    </row>
    <row r="3922" spans="1:26" s="25" customFormat="1" ht="6.95" customHeight="1" x14ac:dyDescent="0.3">
      <c r="A3922" s="10"/>
      <c r="B3922" s="168"/>
      <c r="C3922" s="169"/>
      <c r="D3922" s="160"/>
      <c r="E3922" s="161"/>
      <c r="F3922" s="162"/>
      <c r="G3922" s="163"/>
      <c r="H3922" s="164"/>
      <c r="I3922" s="163"/>
      <c r="J3922" s="164"/>
      <c r="K3922" s="163"/>
      <c r="L3922" s="164"/>
      <c r="M3922" s="11"/>
      <c r="N3922" s="39"/>
      <c r="Q3922" s="15" t="str">
        <f>+CONCATENATE(E3921,I3921)</f>
        <v/>
      </c>
      <c r="R3922" s="15">
        <f>+J3921</f>
        <v>0</v>
      </c>
      <c r="S3922" s="16"/>
      <c r="T3922" s="15">
        <f>+E3921</f>
        <v>0</v>
      </c>
      <c r="U3922" s="26" t="str">
        <f>IFERROR(LEFT(I3921,FIND("*",I3921)-1),"-")</f>
        <v>-</v>
      </c>
      <c r="V3922" s="26" t="str">
        <f>IFERROR(RIGHT(I3921,LEN(I3921)-FIND("*",I3921)),"-")</f>
        <v>-</v>
      </c>
      <c r="W3922" s="27" t="str">
        <f t="shared" si="2134"/>
        <v>-</v>
      </c>
      <c r="X3922" s="27" t="str">
        <f>IFERROR(W3922*J3921,"-")</f>
        <v>-</v>
      </c>
      <c r="Z3922" s="94" t="s">
        <v>82</v>
      </c>
    </row>
    <row r="3923" spans="1:26" s="25" customFormat="1" ht="6.95" customHeight="1" x14ac:dyDescent="0.3">
      <c r="A3923" s="10"/>
      <c r="B3923" s="168"/>
      <c r="C3923" s="169"/>
      <c r="D3923" s="160"/>
      <c r="E3923" s="161"/>
      <c r="F3923" s="162"/>
      <c r="G3923" s="163"/>
      <c r="H3923" s="164"/>
      <c r="I3923" s="163"/>
      <c r="J3923" s="164"/>
      <c r="K3923" s="163"/>
      <c r="L3923" s="164"/>
      <c r="M3923" s="11"/>
      <c r="N3923" s="39"/>
      <c r="Q3923" s="15" t="str">
        <f>+CONCATENATE(E3921,K3921)</f>
        <v/>
      </c>
      <c r="R3923" s="15">
        <f>+L3921</f>
        <v>0</v>
      </c>
      <c r="S3923" s="16"/>
      <c r="T3923" s="15">
        <f>+E3921</f>
        <v>0</v>
      </c>
      <c r="U3923" s="26" t="str">
        <f>IFERROR(LEFT(K3921,FIND("*",K3921)-1),"-")</f>
        <v>-</v>
      </c>
      <c r="V3923" s="26" t="str">
        <f>IFERROR(RIGHT(K3921,LEN(K3921)-FIND("*",K3921)),"-")</f>
        <v>-</v>
      </c>
      <c r="W3923" s="27" t="str">
        <f t="shared" si="2134"/>
        <v>-</v>
      </c>
      <c r="X3923" s="27" t="str">
        <f>IFERROR(W3923*L3921,"-")</f>
        <v>-</v>
      </c>
      <c r="Z3923" s="94" t="s">
        <v>82</v>
      </c>
    </row>
    <row r="3924" spans="1:26" s="25" customFormat="1" ht="6.95" customHeight="1" x14ac:dyDescent="0.3">
      <c r="A3924" s="13"/>
      <c r="B3924" s="168"/>
      <c r="C3924" s="169"/>
      <c r="D3924" s="160" t="s">
        <v>39</v>
      </c>
      <c r="E3924" s="161"/>
      <c r="F3924" s="162" t="s">
        <v>40</v>
      </c>
      <c r="G3924" s="163"/>
      <c r="H3924" s="164"/>
      <c r="I3924" s="163"/>
      <c r="J3924" s="164"/>
      <c r="K3924" s="163"/>
      <c r="L3924" s="164"/>
      <c r="M3924" s="11"/>
      <c r="N3924" s="39"/>
      <c r="Q3924" s="15" t="str">
        <f>+CONCATENATE(E3924,G3924)</f>
        <v/>
      </c>
      <c r="R3924" s="15">
        <f>+H3924</f>
        <v>0</v>
      </c>
      <c r="S3924" s="16"/>
      <c r="T3924" s="15">
        <f>+E3924</f>
        <v>0</v>
      </c>
      <c r="U3924" s="26" t="str">
        <f t="shared" ref="U3924" si="2137">IFERROR(LEFT(G3924,FIND("*",G3924)-1),"-")</f>
        <v>-</v>
      </c>
      <c r="V3924" s="26" t="str">
        <f t="shared" ref="V3924" si="2138">IFERROR(RIGHT(G3924,LEN(G3924)-FIND("*",G3924)),"-")</f>
        <v>-</v>
      </c>
      <c r="W3924" s="27" t="str">
        <f t="shared" si="2134"/>
        <v>-</v>
      </c>
      <c r="X3924" s="27" t="str">
        <f>IFERROR(W3924*H3924,"-")</f>
        <v>-</v>
      </c>
      <c r="Z3924" s="94" t="s">
        <v>82</v>
      </c>
    </row>
    <row r="3925" spans="1:26" s="25" customFormat="1" ht="6.95" customHeight="1" x14ac:dyDescent="0.3">
      <c r="A3925" s="10"/>
      <c r="B3925" s="168"/>
      <c r="C3925" s="169"/>
      <c r="D3925" s="160"/>
      <c r="E3925" s="161"/>
      <c r="F3925" s="162"/>
      <c r="G3925" s="163"/>
      <c r="H3925" s="164"/>
      <c r="I3925" s="163"/>
      <c r="J3925" s="164"/>
      <c r="K3925" s="163"/>
      <c r="L3925" s="164"/>
      <c r="M3925" s="11"/>
      <c r="N3925" s="39"/>
      <c r="Q3925" s="15" t="str">
        <f>+CONCATENATE(E3924,I3924)</f>
        <v/>
      </c>
      <c r="R3925" s="15">
        <f>+J3924</f>
        <v>0</v>
      </c>
      <c r="S3925" s="16"/>
      <c r="T3925" s="15">
        <f>+E3924</f>
        <v>0</v>
      </c>
      <c r="U3925" s="26" t="str">
        <f>IFERROR(LEFT(I3924,FIND("*",I3924)-1),"-")</f>
        <v>-</v>
      </c>
      <c r="V3925" s="26" t="str">
        <f>IFERROR(RIGHT(I3924,LEN(I3924)-FIND("*",I3924)),"-")</f>
        <v>-</v>
      </c>
      <c r="W3925" s="27" t="str">
        <f t="shared" si="2134"/>
        <v>-</v>
      </c>
      <c r="X3925" s="27" t="str">
        <f t="shared" ref="X3925" si="2139">IFERROR(W3925*J3924,"-")</f>
        <v>-</v>
      </c>
      <c r="Z3925" s="94" t="s">
        <v>82</v>
      </c>
    </row>
    <row r="3926" spans="1:26" s="25" customFormat="1" ht="6.95" customHeight="1" x14ac:dyDescent="0.3">
      <c r="A3926" s="10"/>
      <c r="B3926" s="168"/>
      <c r="C3926" s="169"/>
      <c r="D3926" s="160"/>
      <c r="E3926" s="161"/>
      <c r="F3926" s="162"/>
      <c r="G3926" s="163"/>
      <c r="H3926" s="164"/>
      <c r="I3926" s="163"/>
      <c r="J3926" s="164"/>
      <c r="K3926" s="163"/>
      <c r="L3926" s="164"/>
      <c r="M3926" s="11"/>
      <c r="N3926" s="39"/>
      <c r="Q3926" s="15" t="str">
        <f>+CONCATENATE(E3924,K3924)</f>
        <v/>
      </c>
      <c r="R3926" s="15">
        <f>+L3924</f>
        <v>0</v>
      </c>
      <c r="S3926" s="16"/>
      <c r="T3926" s="15">
        <f>+E3924</f>
        <v>0</v>
      </c>
      <c r="U3926" s="26" t="str">
        <f>IFERROR(LEFT(K3924,FIND("*",K3924)-1),"-")</f>
        <v>-</v>
      </c>
      <c r="V3926" s="26" t="str">
        <f>IFERROR(RIGHT(K3924,LEN(K3924)-FIND("*",K3924)),"-")</f>
        <v>-</v>
      </c>
      <c r="W3926" s="27" t="str">
        <f t="shared" si="2134"/>
        <v>-</v>
      </c>
      <c r="X3926" s="27" t="str">
        <f>IFERROR(W3926*L3924,"-")</f>
        <v>-</v>
      </c>
      <c r="Z3926" s="94" t="s">
        <v>82</v>
      </c>
    </row>
    <row r="3927" spans="1:26" s="25" customFormat="1" ht="21" customHeight="1" thickBot="1" x14ac:dyDescent="0.35">
      <c r="A3927" s="10"/>
      <c r="B3927" s="170"/>
      <c r="C3927" s="171"/>
      <c r="D3927" s="172" t="s">
        <v>43</v>
      </c>
      <c r="E3927" s="173"/>
      <c r="F3927" s="173"/>
      <c r="G3927" s="174"/>
      <c r="H3927" s="174"/>
      <c r="I3927" s="174"/>
      <c r="J3927" s="174"/>
      <c r="K3927" s="174"/>
      <c r="L3927" s="174"/>
      <c r="M3927" s="12"/>
      <c r="N3927" s="39"/>
      <c r="U3927" s="23"/>
      <c r="V3927" s="23"/>
      <c r="Z3927" s="95" t="s">
        <v>81</v>
      </c>
    </row>
    <row r="3928" spans="1:26" s="25" customFormat="1" ht="9.9499999999999993" customHeight="1" thickBot="1" x14ac:dyDescent="0.35">
      <c r="A3928" s="6"/>
      <c r="B3928" s="14"/>
      <c r="C3928" s="119"/>
      <c r="D3928" s="58"/>
      <c r="E3928" s="17"/>
      <c r="F3928" s="58"/>
      <c r="G3928" s="19"/>
      <c r="H3928" s="19"/>
      <c r="I3928" s="19"/>
      <c r="J3928" s="19"/>
      <c r="K3928" s="19"/>
      <c r="L3928" s="19"/>
      <c r="M3928" s="14"/>
      <c r="N3928" s="39"/>
      <c r="Q3928" s="1"/>
      <c r="R3928" s="1"/>
      <c r="S3928" s="1"/>
      <c r="T3928" s="1"/>
      <c r="U3928" s="24"/>
      <c r="V3928" s="24"/>
      <c r="W3928" s="1"/>
      <c r="X3928" s="1"/>
      <c r="Z3928" s="94" t="s">
        <v>82</v>
      </c>
    </row>
    <row r="3929" spans="1:26" s="25" customFormat="1" ht="6.95" customHeight="1" x14ac:dyDescent="0.3">
      <c r="A3929" s="165">
        <f>+A3918+1</f>
        <v>358</v>
      </c>
      <c r="B3929" s="166"/>
      <c r="C3929" s="167"/>
      <c r="D3929" s="160" t="s">
        <v>39</v>
      </c>
      <c r="E3929" s="161"/>
      <c r="F3929" s="162" t="s">
        <v>40</v>
      </c>
      <c r="G3929" s="163"/>
      <c r="H3929" s="164"/>
      <c r="I3929" s="163"/>
      <c r="J3929" s="164"/>
      <c r="K3929" s="163"/>
      <c r="L3929" s="164"/>
      <c r="M3929" s="11"/>
      <c r="N3929" s="39"/>
      <c r="Q3929" s="15" t="str">
        <f>+CONCATENATE(E3929,G3929)</f>
        <v/>
      </c>
      <c r="R3929" s="15">
        <f>+H3929</f>
        <v>0</v>
      </c>
      <c r="S3929" s="16"/>
      <c r="T3929" s="15">
        <f>+E3929</f>
        <v>0</v>
      </c>
      <c r="U3929" s="26" t="str">
        <f>IFERROR(LEFT(G3929,FIND("*",G3929)-1),"-")</f>
        <v>-</v>
      </c>
      <c r="V3929" s="26" t="str">
        <f>IFERROR(RIGHT(G3929,LEN(G3929)-FIND("*",G3929)),"-")</f>
        <v>-</v>
      </c>
      <c r="W3929" s="27" t="str">
        <f>IFERROR((U3929+V3929)*2/1000,"-")</f>
        <v>-</v>
      </c>
      <c r="X3929" s="27" t="str">
        <f>IFERROR(W3929*H3929,"-")</f>
        <v>-</v>
      </c>
      <c r="Z3929" s="94" t="s">
        <v>82</v>
      </c>
    </row>
    <row r="3930" spans="1:26" s="25" customFormat="1" ht="6.95" customHeight="1" x14ac:dyDescent="0.3">
      <c r="A3930" s="165"/>
      <c r="B3930" s="168"/>
      <c r="C3930" s="169"/>
      <c r="D3930" s="160"/>
      <c r="E3930" s="161"/>
      <c r="F3930" s="162"/>
      <c r="G3930" s="163"/>
      <c r="H3930" s="164"/>
      <c r="I3930" s="163"/>
      <c r="J3930" s="164"/>
      <c r="K3930" s="163"/>
      <c r="L3930" s="164"/>
      <c r="M3930" s="11"/>
      <c r="N3930" s="39"/>
      <c r="Q3930" s="15" t="str">
        <f>+CONCATENATE(E3929,I3929)</f>
        <v/>
      </c>
      <c r="R3930" s="15">
        <f>+J3929</f>
        <v>0</v>
      </c>
      <c r="S3930" s="16"/>
      <c r="T3930" s="15">
        <f>+E3929</f>
        <v>0</v>
      </c>
      <c r="U3930" s="26" t="str">
        <f>IFERROR(LEFT(I3929,FIND("*",I3929)-1),"-")</f>
        <v>-</v>
      </c>
      <c r="V3930" s="26" t="str">
        <f>IFERROR(RIGHT(I3929,LEN(I3929)-FIND("*",I3929)),"-")</f>
        <v>-</v>
      </c>
      <c r="W3930" s="27" t="str">
        <f t="shared" ref="W3930:W3937" si="2140">IFERROR((U3930+V3930)*2/1000,"-")</f>
        <v>-</v>
      </c>
      <c r="X3930" s="27" t="str">
        <f>IFERROR(W3930*J3929,"-")</f>
        <v>-</v>
      </c>
      <c r="Z3930" s="94" t="s">
        <v>82</v>
      </c>
    </row>
    <row r="3931" spans="1:26" s="25" customFormat="1" ht="6.95" customHeight="1" x14ac:dyDescent="0.3">
      <c r="A3931" s="165"/>
      <c r="B3931" s="168"/>
      <c r="C3931" s="169"/>
      <c r="D3931" s="160"/>
      <c r="E3931" s="161"/>
      <c r="F3931" s="162"/>
      <c r="G3931" s="163"/>
      <c r="H3931" s="164"/>
      <c r="I3931" s="163"/>
      <c r="J3931" s="164"/>
      <c r="K3931" s="163"/>
      <c r="L3931" s="164"/>
      <c r="M3931" s="11"/>
      <c r="N3931" s="39"/>
      <c r="Q3931" s="15" t="str">
        <f>+CONCATENATE(E3929,K3929)</f>
        <v/>
      </c>
      <c r="R3931" s="15">
        <f>+L3929</f>
        <v>0</v>
      </c>
      <c r="S3931" s="16"/>
      <c r="T3931" s="15">
        <f>+E3929</f>
        <v>0</v>
      </c>
      <c r="U3931" s="26" t="str">
        <f>IFERROR(LEFT(K3929,FIND("*",K3929)-1),"-")</f>
        <v>-</v>
      </c>
      <c r="V3931" s="26" t="str">
        <f>IFERROR(RIGHT(K3929,LEN(K3929)-FIND("*",K3929)),"-")</f>
        <v>-</v>
      </c>
      <c r="W3931" s="27" t="str">
        <f t="shared" si="2140"/>
        <v>-</v>
      </c>
      <c r="X3931" s="27" t="str">
        <f>IFERROR(W3931*L3929,"-")</f>
        <v>-</v>
      </c>
      <c r="Z3931" s="94" t="s">
        <v>82</v>
      </c>
    </row>
    <row r="3932" spans="1:26" s="25" customFormat="1" ht="6.95" customHeight="1" x14ac:dyDescent="0.3">
      <c r="A3932" s="13"/>
      <c r="B3932" s="168"/>
      <c r="C3932" s="169"/>
      <c r="D3932" s="160" t="s">
        <v>39</v>
      </c>
      <c r="E3932" s="161"/>
      <c r="F3932" s="162" t="s">
        <v>40</v>
      </c>
      <c r="G3932" s="163"/>
      <c r="H3932" s="164"/>
      <c r="I3932" s="163"/>
      <c r="J3932" s="164"/>
      <c r="K3932" s="163"/>
      <c r="L3932" s="164"/>
      <c r="M3932" s="11"/>
      <c r="N3932" s="39"/>
      <c r="Q3932" s="15" t="str">
        <f>+CONCATENATE(E3932,G3932)</f>
        <v/>
      </c>
      <c r="R3932" s="15">
        <f>+H3932</f>
        <v>0</v>
      </c>
      <c r="S3932" s="16"/>
      <c r="T3932" s="15">
        <f>+E3932</f>
        <v>0</v>
      </c>
      <c r="U3932" s="26" t="str">
        <f t="shared" ref="U3932" si="2141">IFERROR(LEFT(G3932,FIND("*",G3932)-1),"-")</f>
        <v>-</v>
      </c>
      <c r="V3932" s="26" t="str">
        <f t="shared" ref="V3932" si="2142">IFERROR(RIGHT(G3932,LEN(G3932)-FIND("*",G3932)),"-")</f>
        <v>-</v>
      </c>
      <c r="W3932" s="27" t="str">
        <f t="shared" si="2140"/>
        <v>-</v>
      </c>
      <c r="X3932" s="27" t="str">
        <f>IFERROR(W3932*H3932,"-")</f>
        <v>-</v>
      </c>
      <c r="Z3932" s="94" t="s">
        <v>82</v>
      </c>
    </row>
    <row r="3933" spans="1:26" s="25" customFormat="1" ht="6.95" customHeight="1" x14ac:dyDescent="0.3">
      <c r="A3933" s="10"/>
      <c r="B3933" s="168"/>
      <c r="C3933" s="169"/>
      <c r="D3933" s="160"/>
      <c r="E3933" s="161"/>
      <c r="F3933" s="162"/>
      <c r="G3933" s="163"/>
      <c r="H3933" s="164"/>
      <c r="I3933" s="163"/>
      <c r="J3933" s="164"/>
      <c r="K3933" s="163"/>
      <c r="L3933" s="164"/>
      <c r="M3933" s="11"/>
      <c r="N3933" s="39"/>
      <c r="Q3933" s="15" t="str">
        <f>+CONCATENATE(E3932,I3932)</f>
        <v/>
      </c>
      <c r="R3933" s="15">
        <f>+J3932</f>
        <v>0</v>
      </c>
      <c r="S3933" s="16"/>
      <c r="T3933" s="15">
        <f>+E3932</f>
        <v>0</v>
      </c>
      <c r="U3933" s="26" t="str">
        <f>IFERROR(LEFT(I3932,FIND("*",I3932)-1),"-")</f>
        <v>-</v>
      </c>
      <c r="V3933" s="26" t="str">
        <f>IFERROR(RIGHT(I3932,LEN(I3932)-FIND("*",I3932)),"-")</f>
        <v>-</v>
      </c>
      <c r="W3933" s="27" t="str">
        <f t="shared" si="2140"/>
        <v>-</v>
      </c>
      <c r="X3933" s="27" t="str">
        <f>IFERROR(W3933*J3932,"-")</f>
        <v>-</v>
      </c>
      <c r="Z3933" s="94" t="s">
        <v>82</v>
      </c>
    </row>
    <row r="3934" spans="1:26" s="25" customFormat="1" ht="6.95" customHeight="1" x14ac:dyDescent="0.3">
      <c r="A3934" s="10"/>
      <c r="B3934" s="168"/>
      <c r="C3934" s="169"/>
      <c r="D3934" s="160"/>
      <c r="E3934" s="161"/>
      <c r="F3934" s="162"/>
      <c r="G3934" s="163"/>
      <c r="H3934" s="164"/>
      <c r="I3934" s="163"/>
      <c r="J3934" s="164"/>
      <c r="K3934" s="163"/>
      <c r="L3934" s="164"/>
      <c r="M3934" s="11"/>
      <c r="N3934" s="39"/>
      <c r="Q3934" s="15" t="str">
        <f>+CONCATENATE(E3932,K3932)</f>
        <v/>
      </c>
      <c r="R3934" s="15">
        <f>+L3932</f>
        <v>0</v>
      </c>
      <c r="S3934" s="16"/>
      <c r="T3934" s="15">
        <f>+E3932</f>
        <v>0</v>
      </c>
      <c r="U3934" s="26" t="str">
        <f>IFERROR(LEFT(K3932,FIND("*",K3932)-1),"-")</f>
        <v>-</v>
      </c>
      <c r="V3934" s="26" t="str">
        <f>IFERROR(RIGHT(K3932,LEN(K3932)-FIND("*",K3932)),"-")</f>
        <v>-</v>
      </c>
      <c r="W3934" s="27" t="str">
        <f t="shared" si="2140"/>
        <v>-</v>
      </c>
      <c r="X3934" s="27" t="str">
        <f>IFERROR(W3934*L3932,"-")</f>
        <v>-</v>
      </c>
      <c r="Z3934" s="94" t="s">
        <v>82</v>
      </c>
    </row>
    <row r="3935" spans="1:26" s="25" customFormat="1" ht="6.95" customHeight="1" x14ac:dyDescent="0.3">
      <c r="A3935" s="13"/>
      <c r="B3935" s="168"/>
      <c r="C3935" s="169"/>
      <c r="D3935" s="160" t="s">
        <v>39</v>
      </c>
      <c r="E3935" s="161"/>
      <c r="F3935" s="162" t="s">
        <v>40</v>
      </c>
      <c r="G3935" s="163"/>
      <c r="H3935" s="164"/>
      <c r="I3935" s="163"/>
      <c r="J3935" s="164"/>
      <c r="K3935" s="163"/>
      <c r="L3935" s="164"/>
      <c r="M3935" s="11"/>
      <c r="N3935" s="39"/>
      <c r="Q3935" s="15" t="str">
        <f>+CONCATENATE(E3935,G3935)</f>
        <v/>
      </c>
      <c r="R3935" s="15">
        <f>+H3935</f>
        <v>0</v>
      </c>
      <c r="S3935" s="16"/>
      <c r="T3935" s="15">
        <f>+E3935</f>
        <v>0</v>
      </c>
      <c r="U3935" s="26" t="str">
        <f t="shared" ref="U3935" si="2143">IFERROR(LEFT(G3935,FIND("*",G3935)-1),"-")</f>
        <v>-</v>
      </c>
      <c r="V3935" s="26" t="str">
        <f t="shared" ref="V3935" si="2144">IFERROR(RIGHT(G3935,LEN(G3935)-FIND("*",G3935)),"-")</f>
        <v>-</v>
      </c>
      <c r="W3935" s="27" t="str">
        <f t="shared" si="2140"/>
        <v>-</v>
      </c>
      <c r="X3935" s="27" t="str">
        <f>IFERROR(W3935*H3935,"-")</f>
        <v>-</v>
      </c>
      <c r="Z3935" s="94" t="s">
        <v>82</v>
      </c>
    </row>
    <row r="3936" spans="1:26" s="25" customFormat="1" ht="6.95" customHeight="1" x14ac:dyDescent="0.3">
      <c r="A3936" s="10"/>
      <c r="B3936" s="168"/>
      <c r="C3936" s="169"/>
      <c r="D3936" s="160"/>
      <c r="E3936" s="161"/>
      <c r="F3936" s="162"/>
      <c r="G3936" s="163"/>
      <c r="H3936" s="164"/>
      <c r="I3936" s="163"/>
      <c r="J3936" s="164"/>
      <c r="K3936" s="163"/>
      <c r="L3936" s="164"/>
      <c r="M3936" s="11"/>
      <c r="N3936" s="39"/>
      <c r="Q3936" s="15" t="str">
        <f>+CONCATENATE(E3935,I3935)</f>
        <v/>
      </c>
      <c r="R3936" s="15">
        <f>+J3935</f>
        <v>0</v>
      </c>
      <c r="S3936" s="16"/>
      <c r="T3936" s="15">
        <f>+E3935</f>
        <v>0</v>
      </c>
      <c r="U3936" s="26" t="str">
        <f>IFERROR(LEFT(I3935,FIND("*",I3935)-1),"-")</f>
        <v>-</v>
      </c>
      <c r="V3936" s="26" t="str">
        <f>IFERROR(RIGHT(I3935,LEN(I3935)-FIND("*",I3935)),"-")</f>
        <v>-</v>
      </c>
      <c r="W3936" s="27" t="str">
        <f t="shared" si="2140"/>
        <v>-</v>
      </c>
      <c r="X3936" s="27" t="str">
        <f t="shared" ref="X3936" si="2145">IFERROR(W3936*J3935,"-")</f>
        <v>-</v>
      </c>
      <c r="Z3936" s="94" t="s">
        <v>82</v>
      </c>
    </row>
    <row r="3937" spans="1:26" s="25" customFormat="1" ht="6.95" customHeight="1" x14ac:dyDescent="0.3">
      <c r="A3937" s="10"/>
      <c r="B3937" s="168"/>
      <c r="C3937" s="169"/>
      <c r="D3937" s="160"/>
      <c r="E3937" s="161"/>
      <c r="F3937" s="162"/>
      <c r="G3937" s="163"/>
      <c r="H3937" s="164"/>
      <c r="I3937" s="163"/>
      <c r="J3937" s="164"/>
      <c r="K3937" s="163"/>
      <c r="L3937" s="164"/>
      <c r="M3937" s="11"/>
      <c r="N3937" s="39"/>
      <c r="Q3937" s="15" t="str">
        <f>+CONCATENATE(E3935,K3935)</f>
        <v/>
      </c>
      <c r="R3937" s="15">
        <f>+L3935</f>
        <v>0</v>
      </c>
      <c r="S3937" s="16"/>
      <c r="T3937" s="15">
        <f>+E3935</f>
        <v>0</v>
      </c>
      <c r="U3937" s="26" t="str">
        <f>IFERROR(LEFT(K3935,FIND("*",K3935)-1),"-")</f>
        <v>-</v>
      </c>
      <c r="V3937" s="26" t="str">
        <f>IFERROR(RIGHT(K3935,LEN(K3935)-FIND("*",K3935)),"-")</f>
        <v>-</v>
      </c>
      <c r="W3937" s="27" t="str">
        <f t="shared" si="2140"/>
        <v>-</v>
      </c>
      <c r="X3937" s="27" t="str">
        <f>IFERROR(W3937*L3935,"-")</f>
        <v>-</v>
      </c>
      <c r="Z3937" s="94" t="s">
        <v>82</v>
      </c>
    </row>
    <row r="3938" spans="1:26" s="25" customFormat="1" ht="21" customHeight="1" thickBot="1" x14ac:dyDescent="0.35">
      <c r="A3938" s="10"/>
      <c r="B3938" s="170"/>
      <c r="C3938" s="171"/>
      <c r="D3938" s="172" t="s">
        <v>43</v>
      </c>
      <c r="E3938" s="173"/>
      <c r="F3938" s="173"/>
      <c r="G3938" s="174"/>
      <c r="H3938" s="174"/>
      <c r="I3938" s="174"/>
      <c r="J3938" s="174"/>
      <c r="K3938" s="174"/>
      <c r="L3938" s="174"/>
      <c r="M3938" s="12"/>
      <c r="N3938" s="39"/>
      <c r="U3938" s="23"/>
      <c r="V3938" s="23"/>
      <c r="Z3938" s="95" t="s">
        <v>81</v>
      </c>
    </row>
    <row r="3939" spans="1:26" s="25" customFormat="1" ht="9.9499999999999993" customHeight="1" thickBot="1" x14ac:dyDescent="0.35">
      <c r="A3939" s="6"/>
      <c r="B3939" s="14"/>
      <c r="C3939" s="119"/>
      <c r="D3939" s="58"/>
      <c r="E3939" s="17"/>
      <c r="F3939" s="58"/>
      <c r="G3939" s="19"/>
      <c r="H3939" s="19"/>
      <c r="I3939" s="19"/>
      <c r="J3939" s="19"/>
      <c r="K3939" s="19"/>
      <c r="L3939" s="19"/>
      <c r="M3939" s="14"/>
      <c r="N3939" s="39"/>
      <c r="Q3939" s="1"/>
      <c r="R3939" s="1"/>
      <c r="S3939" s="1"/>
      <c r="T3939" s="1"/>
      <c r="U3939" s="24"/>
      <c r="V3939" s="24"/>
      <c r="W3939" s="1"/>
      <c r="X3939" s="1"/>
      <c r="Z3939" s="94" t="s">
        <v>82</v>
      </c>
    </row>
    <row r="3940" spans="1:26" s="25" customFormat="1" ht="6.95" customHeight="1" x14ac:dyDescent="0.3">
      <c r="A3940" s="165">
        <f>+A3929+1</f>
        <v>359</v>
      </c>
      <c r="B3940" s="166"/>
      <c r="C3940" s="167"/>
      <c r="D3940" s="160" t="s">
        <v>39</v>
      </c>
      <c r="E3940" s="161"/>
      <c r="F3940" s="162" t="s">
        <v>40</v>
      </c>
      <c r="G3940" s="163"/>
      <c r="H3940" s="164"/>
      <c r="I3940" s="163"/>
      <c r="J3940" s="164"/>
      <c r="K3940" s="163"/>
      <c r="L3940" s="164"/>
      <c r="M3940" s="11"/>
      <c r="N3940" s="39"/>
      <c r="Q3940" s="15" t="str">
        <f>+CONCATENATE(E3940,G3940)</f>
        <v/>
      </c>
      <c r="R3940" s="15">
        <f>+H3940</f>
        <v>0</v>
      </c>
      <c r="S3940" s="16"/>
      <c r="T3940" s="15">
        <f>+E3940</f>
        <v>0</v>
      </c>
      <c r="U3940" s="26" t="str">
        <f>IFERROR(LEFT(G3940,FIND("*",G3940)-1),"-")</f>
        <v>-</v>
      </c>
      <c r="V3940" s="26" t="str">
        <f>IFERROR(RIGHT(G3940,LEN(G3940)-FIND("*",G3940)),"-")</f>
        <v>-</v>
      </c>
      <c r="W3940" s="27" t="str">
        <f>IFERROR((U3940+V3940)*2/1000,"-")</f>
        <v>-</v>
      </c>
      <c r="X3940" s="27" t="str">
        <f>IFERROR(W3940*H3940,"-")</f>
        <v>-</v>
      </c>
      <c r="Z3940" s="94" t="s">
        <v>82</v>
      </c>
    </row>
    <row r="3941" spans="1:26" s="25" customFormat="1" ht="6.95" customHeight="1" x14ac:dyDescent="0.3">
      <c r="A3941" s="165"/>
      <c r="B3941" s="168"/>
      <c r="C3941" s="169"/>
      <c r="D3941" s="160"/>
      <c r="E3941" s="161"/>
      <c r="F3941" s="162"/>
      <c r="G3941" s="163"/>
      <c r="H3941" s="164"/>
      <c r="I3941" s="163"/>
      <c r="J3941" s="164"/>
      <c r="K3941" s="163"/>
      <c r="L3941" s="164"/>
      <c r="M3941" s="11"/>
      <c r="N3941" s="39"/>
      <c r="Q3941" s="15" t="str">
        <f>+CONCATENATE(E3940,I3940)</f>
        <v/>
      </c>
      <c r="R3941" s="15">
        <f>+J3940</f>
        <v>0</v>
      </c>
      <c r="S3941" s="16"/>
      <c r="T3941" s="15">
        <f>+E3940</f>
        <v>0</v>
      </c>
      <c r="U3941" s="26" t="str">
        <f>IFERROR(LEFT(I3940,FIND("*",I3940)-1),"-")</f>
        <v>-</v>
      </c>
      <c r="V3941" s="26" t="str">
        <f>IFERROR(RIGHT(I3940,LEN(I3940)-FIND("*",I3940)),"-")</f>
        <v>-</v>
      </c>
      <c r="W3941" s="27" t="str">
        <f t="shared" ref="W3941:W3948" si="2146">IFERROR((U3941+V3941)*2/1000,"-")</f>
        <v>-</v>
      </c>
      <c r="X3941" s="27" t="str">
        <f>IFERROR(W3941*J3940,"-")</f>
        <v>-</v>
      </c>
      <c r="Z3941" s="94" t="s">
        <v>82</v>
      </c>
    </row>
    <row r="3942" spans="1:26" s="25" customFormat="1" ht="6.95" customHeight="1" x14ac:dyDescent="0.3">
      <c r="A3942" s="165"/>
      <c r="B3942" s="168"/>
      <c r="C3942" s="169"/>
      <c r="D3942" s="160"/>
      <c r="E3942" s="161"/>
      <c r="F3942" s="162"/>
      <c r="G3942" s="163"/>
      <c r="H3942" s="164"/>
      <c r="I3942" s="163"/>
      <c r="J3942" s="164"/>
      <c r="K3942" s="163"/>
      <c r="L3942" s="164"/>
      <c r="M3942" s="11"/>
      <c r="N3942" s="39"/>
      <c r="Q3942" s="15" t="str">
        <f>+CONCATENATE(E3940,K3940)</f>
        <v/>
      </c>
      <c r="R3942" s="15">
        <f>+L3940</f>
        <v>0</v>
      </c>
      <c r="S3942" s="16"/>
      <c r="T3942" s="15">
        <f>+E3940</f>
        <v>0</v>
      </c>
      <c r="U3942" s="26" t="str">
        <f>IFERROR(LEFT(K3940,FIND("*",K3940)-1),"-")</f>
        <v>-</v>
      </c>
      <c r="V3942" s="26" t="str">
        <f>IFERROR(RIGHT(K3940,LEN(K3940)-FIND("*",K3940)),"-")</f>
        <v>-</v>
      </c>
      <c r="W3942" s="27" t="str">
        <f t="shared" si="2146"/>
        <v>-</v>
      </c>
      <c r="X3942" s="27" t="str">
        <f>IFERROR(W3942*L3940,"-")</f>
        <v>-</v>
      </c>
      <c r="Z3942" s="94" t="s">
        <v>82</v>
      </c>
    </row>
    <row r="3943" spans="1:26" s="25" customFormat="1" ht="6.95" customHeight="1" x14ac:dyDescent="0.3">
      <c r="A3943" s="13"/>
      <c r="B3943" s="168"/>
      <c r="C3943" s="169"/>
      <c r="D3943" s="160" t="s">
        <v>39</v>
      </c>
      <c r="E3943" s="161"/>
      <c r="F3943" s="162" t="s">
        <v>40</v>
      </c>
      <c r="G3943" s="163"/>
      <c r="H3943" s="164"/>
      <c r="I3943" s="163"/>
      <c r="J3943" s="164"/>
      <c r="K3943" s="163"/>
      <c r="L3943" s="164"/>
      <c r="M3943" s="11"/>
      <c r="N3943" s="39"/>
      <c r="Q3943" s="15" t="str">
        <f>+CONCATENATE(E3943,G3943)</f>
        <v/>
      </c>
      <c r="R3943" s="15">
        <f>+H3943</f>
        <v>0</v>
      </c>
      <c r="S3943" s="16"/>
      <c r="T3943" s="15">
        <f>+E3943</f>
        <v>0</v>
      </c>
      <c r="U3943" s="26" t="str">
        <f t="shared" ref="U3943" si="2147">IFERROR(LEFT(G3943,FIND("*",G3943)-1),"-")</f>
        <v>-</v>
      </c>
      <c r="V3943" s="26" t="str">
        <f t="shared" ref="V3943" si="2148">IFERROR(RIGHT(G3943,LEN(G3943)-FIND("*",G3943)),"-")</f>
        <v>-</v>
      </c>
      <c r="W3943" s="27" t="str">
        <f t="shared" si="2146"/>
        <v>-</v>
      </c>
      <c r="X3943" s="27" t="str">
        <f>IFERROR(W3943*H3943,"-")</f>
        <v>-</v>
      </c>
      <c r="Z3943" s="94" t="s">
        <v>82</v>
      </c>
    </row>
    <row r="3944" spans="1:26" s="25" customFormat="1" ht="6.95" customHeight="1" x14ac:dyDescent="0.3">
      <c r="A3944" s="10"/>
      <c r="B3944" s="168"/>
      <c r="C3944" s="169"/>
      <c r="D3944" s="160"/>
      <c r="E3944" s="161"/>
      <c r="F3944" s="162"/>
      <c r="G3944" s="163"/>
      <c r="H3944" s="164"/>
      <c r="I3944" s="163"/>
      <c r="J3944" s="164"/>
      <c r="K3944" s="163"/>
      <c r="L3944" s="164"/>
      <c r="M3944" s="11"/>
      <c r="N3944" s="39"/>
      <c r="Q3944" s="15" t="str">
        <f>+CONCATENATE(E3943,I3943)</f>
        <v/>
      </c>
      <c r="R3944" s="15">
        <f>+J3943</f>
        <v>0</v>
      </c>
      <c r="S3944" s="16"/>
      <c r="T3944" s="15">
        <f>+E3943</f>
        <v>0</v>
      </c>
      <c r="U3944" s="26" t="str">
        <f>IFERROR(LEFT(I3943,FIND("*",I3943)-1),"-")</f>
        <v>-</v>
      </c>
      <c r="V3944" s="26" t="str">
        <f>IFERROR(RIGHT(I3943,LEN(I3943)-FIND("*",I3943)),"-")</f>
        <v>-</v>
      </c>
      <c r="W3944" s="27" t="str">
        <f t="shared" si="2146"/>
        <v>-</v>
      </c>
      <c r="X3944" s="27" t="str">
        <f>IFERROR(W3944*J3943,"-")</f>
        <v>-</v>
      </c>
      <c r="Z3944" s="94" t="s">
        <v>82</v>
      </c>
    </row>
    <row r="3945" spans="1:26" s="25" customFormat="1" ht="6.95" customHeight="1" x14ac:dyDescent="0.3">
      <c r="A3945" s="10"/>
      <c r="B3945" s="168"/>
      <c r="C3945" s="169"/>
      <c r="D3945" s="160"/>
      <c r="E3945" s="161"/>
      <c r="F3945" s="162"/>
      <c r="G3945" s="163"/>
      <c r="H3945" s="164"/>
      <c r="I3945" s="163"/>
      <c r="J3945" s="164"/>
      <c r="K3945" s="163"/>
      <c r="L3945" s="164"/>
      <c r="M3945" s="11"/>
      <c r="N3945" s="39"/>
      <c r="Q3945" s="15" t="str">
        <f>+CONCATENATE(E3943,K3943)</f>
        <v/>
      </c>
      <c r="R3945" s="15">
        <f>+L3943</f>
        <v>0</v>
      </c>
      <c r="S3945" s="16"/>
      <c r="T3945" s="15">
        <f>+E3943</f>
        <v>0</v>
      </c>
      <c r="U3945" s="26" t="str">
        <f>IFERROR(LEFT(K3943,FIND("*",K3943)-1),"-")</f>
        <v>-</v>
      </c>
      <c r="V3945" s="26" t="str">
        <f>IFERROR(RIGHT(K3943,LEN(K3943)-FIND("*",K3943)),"-")</f>
        <v>-</v>
      </c>
      <c r="W3945" s="27" t="str">
        <f t="shared" si="2146"/>
        <v>-</v>
      </c>
      <c r="X3945" s="27" t="str">
        <f>IFERROR(W3945*L3943,"-")</f>
        <v>-</v>
      </c>
      <c r="Z3945" s="94" t="s">
        <v>82</v>
      </c>
    </row>
    <row r="3946" spans="1:26" s="25" customFormat="1" ht="6.95" customHeight="1" x14ac:dyDescent="0.3">
      <c r="A3946" s="13"/>
      <c r="B3946" s="168"/>
      <c r="C3946" s="169"/>
      <c r="D3946" s="160" t="s">
        <v>39</v>
      </c>
      <c r="E3946" s="161"/>
      <c r="F3946" s="162" t="s">
        <v>40</v>
      </c>
      <c r="G3946" s="163"/>
      <c r="H3946" s="164"/>
      <c r="I3946" s="163"/>
      <c r="J3946" s="164"/>
      <c r="K3946" s="163"/>
      <c r="L3946" s="164"/>
      <c r="M3946" s="11"/>
      <c r="N3946" s="39"/>
      <c r="Q3946" s="15" t="str">
        <f>+CONCATENATE(E3946,G3946)</f>
        <v/>
      </c>
      <c r="R3946" s="15">
        <f>+H3946</f>
        <v>0</v>
      </c>
      <c r="S3946" s="16"/>
      <c r="T3946" s="15">
        <f>+E3946</f>
        <v>0</v>
      </c>
      <c r="U3946" s="26" t="str">
        <f t="shared" ref="U3946" si="2149">IFERROR(LEFT(G3946,FIND("*",G3946)-1),"-")</f>
        <v>-</v>
      </c>
      <c r="V3946" s="26" t="str">
        <f t="shared" ref="V3946" si="2150">IFERROR(RIGHT(G3946,LEN(G3946)-FIND("*",G3946)),"-")</f>
        <v>-</v>
      </c>
      <c r="W3946" s="27" t="str">
        <f t="shared" si="2146"/>
        <v>-</v>
      </c>
      <c r="X3946" s="27" t="str">
        <f>IFERROR(W3946*H3946,"-")</f>
        <v>-</v>
      </c>
      <c r="Z3946" s="94" t="s">
        <v>82</v>
      </c>
    </row>
    <row r="3947" spans="1:26" s="25" customFormat="1" ht="6.95" customHeight="1" x14ac:dyDescent="0.3">
      <c r="A3947" s="10"/>
      <c r="B3947" s="168"/>
      <c r="C3947" s="169"/>
      <c r="D3947" s="160"/>
      <c r="E3947" s="161"/>
      <c r="F3947" s="162"/>
      <c r="G3947" s="163"/>
      <c r="H3947" s="164"/>
      <c r="I3947" s="163"/>
      <c r="J3947" s="164"/>
      <c r="K3947" s="163"/>
      <c r="L3947" s="164"/>
      <c r="M3947" s="11"/>
      <c r="N3947" s="39"/>
      <c r="Q3947" s="15" t="str">
        <f>+CONCATENATE(E3946,I3946)</f>
        <v/>
      </c>
      <c r="R3947" s="15">
        <f>+J3946</f>
        <v>0</v>
      </c>
      <c r="S3947" s="16"/>
      <c r="T3947" s="15">
        <f>+E3946</f>
        <v>0</v>
      </c>
      <c r="U3947" s="26" t="str">
        <f>IFERROR(LEFT(I3946,FIND("*",I3946)-1),"-")</f>
        <v>-</v>
      </c>
      <c r="V3947" s="26" t="str">
        <f>IFERROR(RIGHT(I3946,LEN(I3946)-FIND("*",I3946)),"-")</f>
        <v>-</v>
      </c>
      <c r="W3947" s="27" t="str">
        <f t="shared" si="2146"/>
        <v>-</v>
      </c>
      <c r="X3947" s="27" t="str">
        <f t="shared" ref="X3947" si="2151">IFERROR(W3947*J3946,"-")</f>
        <v>-</v>
      </c>
      <c r="Z3947" s="94" t="s">
        <v>82</v>
      </c>
    </row>
    <row r="3948" spans="1:26" s="25" customFormat="1" ht="6.95" customHeight="1" x14ac:dyDescent="0.3">
      <c r="A3948" s="10"/>
      <c r="B3948" s="168"/>
      <c r="C3948" s="169"/>
      <c r="D3948" s="160"/>
      <c r="E3948" s="161"/>
      <c r="F3948" s="162"/>
      <c r="G3948" s="163"/>
      <c r="H3948" s="164"/>
      <c r="I3948" s="163"/>
      <c r="J3948" s="164"/>
      <c r="K3948" s="163"/>
      <c r="L3948" s="164"/>
      <c r="M3948" s="11"/>
      <c r="N3948" s="39"/>
      <c r="Q3948" s="15" t="str">
        <f>+CONCATENATE(E3946,K3946)</f>
        <v/>
      </c>
      <c r="R3948" s="15">
        <f>+L3946</f>
        <v>0</v>
      </c>
      <c r="S3948" s="16"/>
      <c r="T3948" s="15">
        <f>+E3946</f>
        <v>0</v>
      </c>
      <c r="U3948" s="26" t="str">
        <f>IFERROR(LEFT(K3946,FIND("*",K3946)-1),"-")</f>
        <v>-</v>
      </c>
      <c r="V3948" s="26" t="str">
        <f>IFERROR(RIGHT(K3946,LEN(K3946)-FIND("*",K3946)),"-")</f>
        <v>-</v>
      </c>
      <c r="W3948" s="27" t="str">
        <f t="shared" si="2146"/>
        <v>-</v>
      </c>
      <c r="X3948" s="27" t="str">
        <f>IFERROR(W3948*L3946,"-")</f>
        <v>-</v>
      </c>
      <c r="Z3948" s="94" t="s">
        <v>82</v>
      </c>
    </row>
    <row r="3949" spans="1:26" s="25" customFormat="1" ht="21" customHeight="1" thickBot="1" x14ac:dyDescent="0.35">
      <c r="A3949" s="10"/>
      <c r="B3949" s="170"/>
      <c r="C3949" s="171"/>
      <c r="D3949" s="172" t="s">
        <v>43</v>
      </c>
      <c r="E3949" s="173"/>
      <c r="F3949" s="173"/>
      <c r="G3949" s="174"/>
      <c r="H3949" s="174"/>
      <c r="I3949" s="174"/>
      <c r="J3949" s="174"/>
      <c r="K3949" s="174"/>
      <c r="L3949" s="174"/>
      <c r="M3949" s="12"/>
      <c r="N3949" s="39"/>
      <c r="U3949" s="23"/>
      <c r="V3949" s="23"/>
      <c r="Z3949" s="95" t="s">
        <v>81</v>
      </c>
    </row>
    <row r="3950" spans="1:26" s="25" customFormat="1" ht="9.9499999999999993" customHeight="1" thickBot="1" x14ac:dyDescent="0.35">
      <c r="A3950" s="6"/>
      <c r="B3950" s="14"/>
      <c r="C3950" s="119"/>
      <c r="D3950" s="58"/>
      <c r="E3950" s="17"/>
      <c r="F3950" s="58"/>
      <c r="G3950" s="19"/>
      <c r="H3950" s="19"/>
      <c r="I3950" s="19"/>
      <c r="J3950" s="19"/>
      <c r="K3950" s="19"/>
      <c r="L3950" s="19"/>
      <c r="M3950" s="14"/>
      <c r="N3950" s="39"/>
      <c r="Q3950" s="1"/>
      <c r="R3950" s="1"/>
      <c r="S3950" s="1"/>
      <c r="T3950" s="1"/>
      <c r="U3950" s="24"/>
      <c r="V3950" s="24"/>
      <c r="W3950" s="1"/>
      <c r="X3950" s="1"/>
      <c r="Z3950" s="94" t="s">
        <v>82</v>
      </c>
    </row>
    <row r="3951" spans="1:26" s="25" customFormat="1" ht="6.95" customHeight="1" x14ac:dyDescent="0.3">
      <c r="A3951" s="165">
        <f>+A3940+1</f>
        <v>360</v>
      </c>
      <c r="B3951" s="166"/>
      <c r="C3951" s="167"/>
      <c r="D3951" s="160" t="s">
        <v>39</v>
      </c>
      <c r="E3951" s="161"/>
      <c r="F3951" s="162" t="s">
        <v>40</v>
      </c>
      <c r="G3951" s="163"/>
      <c r="H3951" s="164"/>
      <c r="I3951" s="163"/>
      <c r="J3951" s="164"/>
      <c r="K3951" s="163"/>
      <c r="L3951" s="164"/>
      <c r="M3951" s="11"/>
      <c r="N3951" s="39"/>
      <c r="Q3951" s="15" t="str">
        <f>+CONCATENATE(E3951,G3951)</f>
        <v/>
      </c>
      <c r="R3951" s="15">
        <f>+H3951</f>
        <v>0</v>
      </c>
      <c r="S3951" s="16"/>
      <c r="T3951" s="15">
        <f>+E3951</f>
        <v>0</v>
      </c>
      <c r="U3951" s="26" t="str">
        <f>IFERROR(LEFT(G3951,FIND("*",G3951)-1),"-")</f>
        <v>-</v>
      </c>
      <c r="V3951" s="26" t="str">
        <f>IFERROR(RIGHT(G3951,LEN(G3951)-FIND("*",G3951)),"-")</f>
        <v>-</v>
      </c>
      <c r="W3951" s="27" t="str">
        <f>IFERROR((U3951+V3951)*2/1000,"-")</f>
        <v>-</v>
      </c>
      <c r="X3951" s="27" t="str">
        <f>IFERROR(W3951*H3951,"-")</f>
        <v>-</v>
      </c>
      <c r="Z3951" s="94" t="s">
        <v>82</v>
      </c>
    </row>
    <row r="3952" spans="1:26" s="25" customFormat="1" ht="6.95" customHeight="1" x14ac:dyDescent="0.3">
      <c r="A3952" s="165"/>
      <c r="B3952" s="168"/>
      <c r="C3952" s="169"/>
      <c r="D3952" s="160"/>
      <c r="E3952" s="161"/>
      <c r="F3952" s="162"/>
      <c r="G3952" s="163"/>
      <c r="H3952" s="164"/>
      <c r="I3952" s="163"/>
      <c r="J3952" s="164"/>
      <c r="K3952" s="163"/>
      <c r="L3952" s="164"/>
      <c r="M3952" s="11"/>
      <c r="N3952" s="39"/>
      <c r="Q3952" s="15" t="str">
        <f>+CONCATENATE(E3951,I3951)</f>
        <v/>
      </c>
      <c r="R3952" s="15">
        <f>+J3951</f>
        <v>0</v>
      </c>
      <c r="S3952" s="16"/>
      <c r="T3952" s="15">
        <f>+E3951</f>
        <v>0</v>
      </c>
      <c r="U3952" s="26" t="str">
        <f>IFERROR(LEFT(I3951,FIND("*",I3951)-1),"-")</f>
        <v>-</v>
      </c>
      <c r="V3952" s="26" t="str">
        <f>IFERROR(RIGHT(I3951,LEN(I3951)-FIND("*",I3951)),"-")</f>
        <v>-</v>
      </c>
      <c r="W3952" s="27" t="str">
        <f t="shared" ref="W3952:W3959" si="2152">IFERROR((U3952+V3952)*2/1000,"-")</f>
        <v>-</v>
      </c>
      <c r="X3952" s="27" t="str">
        <f>IFERROR(W3952*J3951,"-")</f>
        <v>-</v>
      </c>
      <c r="Z3952" s="94" t="s">
        <v>82</v>
      </c>
    </row>
    <row r="3953" spans="1:26" s="25" customFormat="1" ht="6.95" customHeight="1" x14ac:dyDescent="0.3">
      <c r="A3953" s="165"/>
      <c r="B3953" s="168"/>
      <c r="C3953" s="169"/>
      <c r="D3953" s="160"/>
      <c r="E3953" s="161"/>
      <c r="F3953" s="162"/>
      <c r="G3953" s="163"/>
      <c r="H3953" s="164"/>
      <c r="I3953" s="163"/>
      <c r="J3953" s="164"/>
      <c r="K3953" s="163"/>
      <c r="L3953" s="164"/>
      <c r="M3953" s="11"/>
      <c r="N3953" s="39"/>
      <c r="Q3953" s="15" t="str">
        <f>+CONCATENATE(E3951,K3951)</f>
        <v/>
      </c>
      <c r="R3953" s="15">
        <f>+L3951</f>
        <v>0</v>
      </c>
      <c r="S3953" s="16"/>
      <c r="T3953" s="15">
        <f>+E3951</f>
        <v>0</v>
      </c>
      <c r="U3953" s="26" t="str">
        <f>IFERROR(LEFT(K3951,FIND("*",K3951)-1),"-")</f>
        <v>-</v>
      </c>
      <c r="V3953" s="26" t="str">
        <f>IFERROR(RIGHT(K3951,LEN(K3951)-FIND("*",K3951)),"-")</f>
        <v>-</v>
      </c>
      <c r="W3953" s="27" t="str">
        <f t="shared" si="2152"/>
        <v>-</v>
      </c>
      <c r="X3953" s="27" t="str">
        <f>IFERROR(W3953*L3951,"-")</f>
        <v>-</v>
      </c>
      <c r="Z3953" s="94" t="s">
        <v>82</v>
      </c>
    </row>
    <row r="3954" spans="1:26" s="25" customFormat="1" ht="6.95" customHeight="1" x14ac:dyDescent="0.3">
      <c r="A3954" s="13"/>
      <c r="B3954" s="168"/>
      <c r="C3954" s="169"/>
      <c r="D3954" s="160" t="s">
        <v>39</v>
      </c>
      <c r="E3954" s="161"/>
      <c r="F3954" s="162" t="s">
        <v>40</v>
      </c>
      <c r="G3954" s="163"/>
      <c r="H3954" s="164"/>
      <c r="I3954" s="163"/>
      <c r="J3954" s="164"/>
      <c r="K3954" s="163"/>
      <c r="L3954" s="164"/>
      <c r="M3954" s="11"/>
      <c r="N3954" s="39"/>
      <c r="Q3954" s="15" t="str">
        <f>+CONCATENATE(E3954,G3954)</f>
        <v/>
      </c>
      <c r="R3954" s="15">
        <f>+H3954</f>
        <v>0</v>
      </c>
      <c r="S3954" s="16"/>
      <c r="T3954" s="15">
        <f>+E3954</f>
        <v>0</v>
      </c>
      <c r="U3954" s="26" t="str">
        <f t="shared" ref="U3954" si="2153">IFERROR(LEFT(G3954,FIND("*",G3954)-1),"-")</f>
        <v>-</v>
      </c>
      <c r="V3954" s="26" t="str">
        <f t="shared" ref="V3954" si="2154">IFERROR(RIGHT(G3954,LEN(G3954)-FIND("*",G3954)),"-")</f>
        <v>-</v>
      </c>
      <c r="W3954" s="27" t="str">
        <f t="shared" si="2152"/>
        <v>-</v>
      </c>
      <c r="X3954" s="27" t="str">
        <f>IFERROR(W3954*H3954,"-")</f>
        <v>-</v>
      </c>
      <c r="Z3954" s="94" t="s">
        <v>82</v>
      </c>
    </row>
    <row r="3955" spans="1:26" s="25" customFormat="1" ht="6.95" customHeight="1" x14ac:dyDescent="0.3">
      <c r="A3955" s="10"/>
      <c r="B3955" s="168"/>
      <c r="C3955" s="169"/>
      <c r="D3955" s="160"/>
      <c r="E3955" s="161"/>
      <c r="F3955" s="162"/>
      <c r="G3955" s="163"/>
      <c r="H3955" s="164"/>
      <c r="I3955" s="163"/>
      <c r="J3955" s="164"/>
      <c r="K3955" s="163"/>
      <c r="L3955" s="164"/>
      <c r="M3955" s="11"/>
      <c r="N3955" s="39"/>
      <c r="Q3955" s="15" t="str">
        <f>+CONCATENATE(E3954,I3954)</f>
        <v/>
      </c>
      <c r="R3955" s="15">
        <f>+J3954</f>
        <v>0</v>
      </c>
      <c r="S3955" s="16"/>
      <c r="T3955" s="15">
        <f>+E3954</f>
        <v>0</v>
      </c>
      <c r="U3955" s="26" t="str">
        <f>IFERROR(LEFT(I3954,FIND("*",I3954)-1),"-")</f>
        <v>-</v>
      </c>
      <c r="V3955" s="26" t="str">
        <f>IFERROR(RIGHT(I3954,LEN(I3954)-FIND("*",I3954)),"-")</f>
        <v>-</v>
      </c>
      <c r="W3955" s="27" t="str">
        <f t="shared" si="2152"/>
        <v>-</v>
      </c>
      <c r="X3955" s="27" t="str">
        <f>IFERROR(W3955*J3954,"-")</f>
        <v>-</v>
      </c>
      <c r="Z3955" s="94" t="s">
        <v>82</v>
      </c>
    </row>
    <row r="3956" spans="1:26" s="25" customFormat="1" ht="6.95" customHeight="1" x14ac:dyDescent="0.3">
      <c r="A3956" s="10"/>
      <c r="B3956" s="168"/>
      <c r="C3956" s="169"/>
      <c r="D3956" s="160"/>
      <c r="E3956" s="161"/>
      <c r="F3956" s="162"/>
      <c r="G3956" s="163"/>
      <c r="H3956" s="164"/>
      <c r="I3956" s="163"/>
      <c r="J3956" s="164"/>
      <c r="K3956" s="163"/>
      <c r="L3956" s="164"/>
      <c r="M3956" s="11"/>
      <c r="N3956" s="39"/>
      <c r="Q3956" s="15" t="str">
        <f>+CONCATENATE(E3954,K3954)</f>
        <v/>
      </c>
      <c r="R3956" s="15">
        <f>+L3954</f>
        <v>0</v>
      </c>
      <c r="S3956" s="16"/>
      <c r="T3956" s="15">
        <f>+E3954</f>
        <v>0</v>
      </c>
      <c r="U3956" s="26" t="str">
        <f>IFERROR(LEFT(K3954,FIND("*",K3954)-1),"-")</f>
        <v>-</v>
      </c>
      <c r="V3956" s="26" t="str">
        <f>IFERROR(RIGHT(K3954,LEN(K3954)-FIND("*",K3954)),"-")</f>
        <v>-</v>
      </c>
      <c r="W3956" s="27" t="str">
        <f t="shared" si="2152"/>
        <v>-</v>
      </c>
      <c r="X3956" s="27" t="str">
        <f>IFERROR(W3956*L3954,"-")</f>
        <v>-</v>
      </c>
      <c r="Z3956" s="94" t="s">
        <v>82</v>
      </c>
    </row>
    <row r="3957" spans="1:26" s="25" customFormat="1" ht="6.95" customHeight="1" x14ac:dyDescent="0.3">
      <c r="A3957" s="13"/>
      <c r="B3957" s="168"/>
      <c r="C3957" s="169"/>
      <c r="D3957" s="160" t="s">
        <v>39</v>
      </c>
      <c r="E3957" s="161"/>
      <c r="F3957" s="162" t="s">
        <v>40</v>
      </c>
      <c r="G3957" s="163"/>
      <c r="H3957" s="164"/>
      <c r="I3957" s="163"/>
      <c r="J3957" s="164"/>
      <c r="K3957" s="163"/>
      <c r="L3957" s="164"/>
      <c r="M3957" s="11"/>
      <c r="N3957" s="39"/>
      <c r="Q3957" s="15" t="str">
        <f>+CONCATENATE(E3957,G3957)</f>
        <v/>
      </c>
      <c r="R3957" s="15">
        <f>+H3957</f>
        <v>0</v>
      </c>
      <c r="S3957" s="16"/>
      <c r="T3957" s="15">
        <f>+E3957</f>
        <v>0</v>
      </c>
      <c r="U3957" s="26" t="str">
        <f t="shared" ref="U3957" si="2155">IFERROR(LEFT(G3957,FIND("*",G3957)-1),"-")</f>
        <v>-</v>
      </c>
      <c r="V3957" s="26" t="str">
        <f t="shared" ref="V3957" si="2156">IFERROR(RIGHT(G3957,LEN(G3957)-FIND("*",G3957)),"-")</f>
        <v>-</v>
      </c>
      <c r="W3957" s="27" t="str">
        <f t="shared" si="2152"/>
        <v>-</v>
      </c>
      <c r="X3957" s="27" t="str">
        <f>IFERROR(W3957*H3957,"-")</f>
        <v>-</v>
      </c>
      <c r="Z3957" s="94" t="s">
        <v>82</v>
      </c>
    </row>
    <row r="3958" spans="1:26" s="25" customFormat="1" ht="6.95" customHeight="1" x14ac:dyDescent="0.3">
      <c r="A3958" s="10"/>
      <c r="B3958" s="168"/>
      <c r="C3958" s="169"/>
      <c r="D3958" s="160"/>
      <c r="E3958" s="161"/>
      <c r="F3958" s="162"/>
      <c r="G3958" s="163"/>
      <c r="H3958" s="164"/>
      <c r="I3958" s="163"/>
      <c r="J3958" s="164"/>
      <c r="K3958" s="163"/>
      <c r="L3958" s="164"/>
      <c r="M3958" s="11"/>
      <c r="N3958" s="39"/>
      <c r="Q3958" s="15" t="str">
        <f>+CONCATENATE(E3957,I3957)</f>
        <v/>
      </c>
      <c r="R3958" s="15">
        <f>+J3957</f>
        <v>0</v>
      </c>
      <c r="S3958" s="16"/>
      <c r="T3958" s="15">
        <f>+E3957</f>
        <v>0</v>
      </c>
      <c r="U3958" s="26" t="str">
        <f>IFERROR(LEFT(I3957,FIND("*",I3957)-1),"-")</f>
        <v>-</v>
      </c>
      <c r="V3958" s="26" t="str">
        <f>IFERROR(RIGHT(I3957,LEN(I3957)-FIND("*",I3957)),"-")</f>
        <v>-</v>
      </c>
      <c r="W3958" s="27" t="str">
        <f t="shared" si="2152"/>
        <v>-</v>
      </c>
      <c r="X3958" s="27" t="str">
        <f t="shared" ref="X3958" si="2157">IFERROR(W3958*J3957,"-")</f>
        <v>-</v>
      </c>
      <c r="Z3958" s="94" t="s">
        <v>82</v>
      </c>
    </row>
    <row r="3959" spans="1:26" s="25" customFormat="1" ht="6.95" customHeight="1" x14ac:dyDescent="0.3">
      <c r="A3959" s="10"/>
      <c r="B3959" s="168"/>
      <c r="C3959" s="169"/>
      <c r="D3959" s="160"/>
      <c r="E3959" s="161"/>
      <c r="F3959" s="162"/>
      <c r="G3959" s="163"/>
      <c r="H3959" s="164"/>
      <c r="I3959" s="163"/>
      <c r="J3959" s="164"/>
      <c r="K3959" s="163"/>
      <c r="L3959" s="164"/>
      <c r="M3959" s="11"/>
      <c r="N3959" s="39"/>
      <c r="Q3959" s="15" t="str">
        <f>+CONCATENATE(E3957,K3957)</f>
        <v/>
      </c>
      <c r="R3959" s="15">
        <f>+L3957</f>
        <v>0</v>
      </c>
      <c r="S3959" s="16"/>
      <c r="T3959" s="15">
        <f>+E3957</f>
        <v>0</v>
      </c>
      <c r="U3959" s="26" t="str">
        <f>IFERROR(LEFT(K3957,FIND("*",K3957)-1),"-")</f>
        <v>-</v>
      </c>
      <c r="V3959" s="26" t="str">
        <f>IFERROR(RIGHT(K3957,LEN(K3957)-FIND("*",K3957)),"-")</f>
        <v>-</v>
      </c>
      <c r="W3959" s="27" t="str">
        <f t="shared" si="2152"/>
        <v>-</v>
      </c>
      <c r="X3959" s="27" t="str">
        <f>IFERROR(W3959*L3957,"-")</f>
        <v>-</v>
      </c>
      <c r="Z3959" s="94" t="s">
        <v>82</v>
      </c>
    </row>
    <row r="3960" spans="1:26" s="25" customFormat="1" ht="21" customHeight="1" thickBot="1" x14ac:dyDescent="0.35">
      <c r="A3960" s="10"/>
      <c r="B3960" s="170"/>
      <c r="C3960" s="171"/>
      <c r="D3960" s="172" t="s">
        <v>43</v>
      </c>
      <c r="E3960" s="173"/>
      <c r="F3960" s="173"/>
      <c r="G3960" s="174"/>
      <c r="H3960" s="174"/>
      <c r="I3960" s="174"/>
      <c r="J3960" s="174"/>
      <c r="K3960" s="174"/>
      <c r="L3960" s="174"/>
      <c r="M3960" s="12"/>
      <c r="N3960" s="39"/>
      <c r="U3960" s="23"/>
      <c r="V3960" s="23"/>
      <c r="Z3960" s="95" t="s">
        <v>81</v>
      </c>
    </row>
    <row r="3961" spans="1:26" s="25" customFormat="1" ht="9.9499999999999993" customHeight="1" thickBot="1" x14ac:dyDescent="0.35">
      <c r="A3961" s="6"/>
      <c r="B3961" s="14"/>
      <c r="C3961" s="119"/>
      <c r="D3961" s="58"/>
      <c r="E3961" s="17"/>
      <c r="F3961" s="58"/>
      <c r="G3961" s="19"/>
      <c r="H3961" s="19"/>
      <c r="I3961" s="19"/>
      <c r="J3961" s="19"/>
      <c r="K3961" s="19"/>
      <c r="L3961" s="19"/>
      <c r="M3961" s="14"/>
      <c r="N3961" s="39"/>
      <c r="Q3961" s="1"/>
      <c r="R3961" s="1"/>
      <c r="S3961" s="1"/>
      <c r="T3961" s="1"/>
      <c r="U3961" s="24"/>
      <c r="V3961" s="24"/>
      <c r="W3961" s="1"/>
      <c r="X3961" s="1"/>
      <c r="Z3961" s="94" t="s">
        <v>82</v>
      </c>
    </row>
    <row r="3962" spans="1:26" s="25" customFormat="1" ht="6.95" customHeight="1" x14ac:dyDescent="0.3">
      <c r="A3962" s="165">
        <f>+A3951+1</f>
        <v>361</v>
      </c>
      <c r="B3962" s="166"/>
      <c r="C3962" s="167"/>
      <c r="D3962" s="160" t="s">
        <v>39</v>
      </c>
      <c r="E3962" s="161"/>
      <c r="F3962" s="162" t="s">
        <v>40</v>
      </c>
      <c r="G3962" s="163"/>
      <c r="H3962" s="164"/>
      <c r="I3962" s="163"/>
      <c r="J3962" s="164"/>
      <c r="K3962" s="163"/>
      <c r="L3962" s="164"/>
      <c r="M3962" s="11"/>
      <c r="N3962" s="39"/>
      <c r="Q3962" s="15" t="str">
        <f>+CONCATENATE(E3962,G3962)</f>
        <v/>
      </c>
      <c r="R3962" s="15">
        <f>+H3962</f>
        <v>0</v>
      </c>
      <c r="S3962" s="16"/>
      <c r="T3962" s="15">
        <f>+E3962</f>
        <v>0</v>
      </c>
      <c r="U3962" s="26" t="str">
        <f>IFERROR(LEFT(G3962,FIND("*",G3962)-1),"-")</f>
        <v>-</v>
      </c>
      <c r="V3962" s="26" t="str">
        <f>IFERROR(RIGHT(G3962,LEN(G3962)-FIND("*",G3962)),"-")</f>
        <v>-</v>
      </c>
      <c r="W3962" s="27" t="str">
        <f>IFERROR((U3962+V3962)*2/1000,"-")</f>
        <v>-</v>
      </c>
      <c r="X3962" s="27" t="str">
        <f>IFERROR(W3962*H3962,"-")</f>
        <v>-</v>
      </c>
      <c r="Z3962" s="94" t="s">
        <v>82</v>
      </c>
    </row>
    <row r="3963" spans="1:26" s="25" customFormat="1" ht="6.95" customHeight="1" x14ac:dyDescent="0.3">
      <c r="A3963" s="165"/>
      <c r="B3963" s="168"/>
      <c r="C3963" s="169"/>
      <c r="D3963" s="160"/>
      <c r="E3963" s="161"/>
      <c r="F3963" s="162"/>
      <c r="G3963" s="163"/>
      <c r="H3963" s="164"/>
      <c r="I3963" s="163"/>
      <c r="J3963" s="164"/>
      <c r="K3963" s="163"/>
      <c r="L3963" s="164"/>
      <c r="M3963" s="11"/>
      <c r="N3963" s="39"/>
      <c r="Q3963" s="15" t="str">
        <f>+CONCATENATE(E3962,I3962)</f>
        <v/>
      </c>
      <c r="R3963" s="15">
        <f>+J3962</f>
        <v>0</v>
      </c>
      <c r="S3963" s="16"/>
      <c r="T3963" s="15">
        <f>+E3962</f>
        <v>0</v>
      </c>
      <c r="U3963" s="26" t="str">
        <f>IFERROR(LEFT(I3962,FIND("*",I3962)-1),"-")</f>
        <v>-</v>
      </c>
      <c r="V3963" s="26" t="str">
        <f>IFERROR(RIGHT(I3962,LEN(I3962)-FIND("*",I3962)),"-")</f>
        <v>-</v>
      </c>
      <c r="W3963" s="27" t="str">
        <f t="shared" ref="W3963:W3970" si="2158">IFERROR((U3963+V3963)*2/1000,"-")</f>
        <v>-</v>
      </c>
      <c r="X3963" s="27" t="str">
        <f>IFERROR(W3963*J3962,"-")</f>
        <v>-</v>
      </c>
      <c r="Z3963" s="94" t="s">
        <v>82</v>
      </c>
    </row>
    <row r="3964" spans="1:26" s="25" customFormat="1" ht="6.95" customHeight="1" x14ac:dyDescent="0.3">
      <c r="A3964" s="165"/>
      <c r="B3964" s="168"/>
      <c r="C3964" s="169"/>
      <c r="D3964" s="160"/>
      <c r="E3964" s="161"/>
      <c r="F3964" s="162"/>
      <c r="G3964" s="163"/>
      <c r="H3964" s="164"/>
      <c r="I3964" s="163"/>
      <c r="J3964" s="164"/>
      <c r="K3964" s="163"/>
      <c r="L3964" s="164"/>
      <c r="M3964" s="11"/>
      <c r="N3964" s="39"/>
      <c r="Q3964" s="15" t="str">
        <f>+CONCATENATE(E3962,K3962)</f>
        <v/>
      </c>
      <c r="R3964" s="15">
        <f>+L3962</f>
        <v>0</v>
      </c>
      <c r="S3964" s="16"/>
      <c r="T3964" s="15">
        <f>+E3962</f>
        <v>0</v>
      </c>
      <c r="U3964" s="26" t="str">
        <f>IFERROR(LEFT(K3962,FIND("*",K3962)-1),"-")</f>
        <v>-</v>
      </c>
      <c r="V3964" s="26" t="str">
        <f>IFERROR(RIGHT(K3962,LEN(K3962)-FIND("*",K3962)),"-")</f>
        <v>-</v>
      </c>
      <c r="W3964" s="27" t="str">
        <f t="shared" si="2158"/>
        <v>-</v>
      </c>
      <c r="X3964" s="27" t="str">
        <f>IFERROR(W3964*L3962,"-")</f>
        <v>-</v>
      </c>
      <c r="Z3964" s="94" t="s">
        <v>82</v>
      </c>
    </row>
    <row r="3965" spans="1:26" s="25" customFormat="1" ht="6.95" customHeight="1" x14ac:dyDescent="0.3">
      <c r="A3965" s="13"/>
      <c r="B3965" s="168"/>
      <c r="C3965" s="169"/>
      <c r="D3965" s="160" t="s">
        <v>39</v>
      </c>
      <c r="E3965" s="161"/>
      <c r="F3965" s="162" t="s">
        <v>40</v>
      </c>
      <c r="G3965" s="163"/>
      <c r="H3965" s="164"/>
      <c r="I3965" s="163"/>
      <c r="J3965" s="164"/>
      <c r="K3965" s="163"/>
      <c r="L3965" s="164"/>
      <c r="M3965" s="11"/>
      <c r="N3965" s="39"/>
      <c r="Q3965" s="15" t="str">
        <f>+CONCATENATE(E3965,G3965)</f>
        <v/>
      </c>
      <c r="R3965" s="15">
        <f>+H3965</f>
        <v>0</v>
      </c>
      <c r="S3965" s="16"/>
      <c r="T3965" s="15">
        <f>+E3965</f>
        <v>0</v>
      </c>
      <c r="U3965" s="26" t="str">
        <f t="shared" ref="U3965" si="2159">IFERROR(LEFT(G3965,FIND("*",G3965)-1),"-")</f>
        <v>-</v>
      </c>
      <c r="V3965" s="26" t="str">
        <f t="shared" ref="V3965" si="2160">IFERROR(RIGHT(G3965,LEN(G3965)-FIND("*",G3965)),"-")</f>
        <v>-</v>
      </c>
      <c r="W3965" s="27" t="str">
        <f t="shared" si="2158"/>
        <v>-</v>
      </c>
      <c r="X3965" s="27" t="str">
        <f>IFERROR(W3965*H3965,"-")</f>
        <v>-</v>
      </c>
      <c r="Z3965" s="94" t="s">
        <v>82</v>
      </c>
    </row>
    <row r="3966" spans="1:26" s="25" customFormat="1" ht="6.95" customHeight="1" x14ac:dyDescent="0.3">
      <c r="A3966" s="10"/>
      <c r="B3966" s="168"/>
      <c r="C3966" s="169"/>
      <c r="D3966" s="160"/>
      <c r="E3966" s="161"/>
      <c r="F3966" s="162"/>
      <c r="G3966" s="163"/>
      <c r="H3966" s="164"/>
      <c r="I3966" s="163"/>
      <c r="J3966" s="164"/>
      <c r="K3966" s="163"/>
      <c r="L3966" s="164"/>
      <c r="M3966" s="11"/>
      <c r="N3966" s="39"/>
      <c r="Q3966" s="15" t="str">
        <f>+CONCATENATE(E3965,I3965)</f>
        <v/>
      </c>
      <c r="R3966" s="15">
        <f>+J3965</f>
        <v>0</v>
      </c>
      <c r="S3966" s="16"/>
      <c r="T3966" s="15">
        <f>+E3965</f>
        <v>0</v>
      </c>
      <c r="U3966" s="26" t="str">
        <f>IFERROR(LEFT(I3965,FIND("*",I3965)-1),"-")</f>
        <v>-</v>
      </c>
      <c r="V3966" s="26" t="str">
        <f>IFERROR(RIGHT(I3965,LEN(I3965)-FIND("*",I3965)),"-")</f>
        <v>-</v>
      </c>
      <c r="W3966" s="27" t="str">
        <f t="shared" si="2158"/>
        <v>-</v>
      </c>
      <c r="X3966" s="27" t="str">
        <f>IFERROR(W3966*J3965,"-")</f>
        <v>-</v>
      </c>
      <c r="Z3966" s="94" t="s">
        <v>82</v>
      </c>
    </row>
    <row r="3967" spans="1:26" s="25" customFormat="1" ht="6.95" customHeight="1" x14ac:dyDescent="0.3">
      <c r="A3967" s="10"/>
      <c r="B3967" s="168"/>
      <c r="C3967" s="169"/>
      <c r="D3967" s="160"/>
      <c r="E3967" s="161"/>
      <c r="F3967" s="162"/>
      <c r="G3967" s="163"/>
      <c r="H3967" s="164"/>
      <c r="I3967" s="163"/>
      <c r="J3967" s="164"/>
      <c r="K3967" s="163"/>
      <c r="L3967" s="164"/>
      <c r="M3967" s="11"/>
      <c r="N3967" s="39"/>
      <c r="Q3967" s="15" t="str">
        <f>+CONCATENATE(E3965,K3965)</f>
        <v/>
      </c>
      <c r="R3967" s="15">
        <f>+L3965</f>
        <v>0</v>
      </c>
      <c r="S3967" s="16"/>
      <c r="T3967" s="15">
        <f>+E3965</f>
        <v>0</v>
      </c>
      <c r="U3967" s="26" t="str">
        <f>IFERROR(LEFT(K3965,FIND("*",K3965)-1),"-")</f>
        <v>-</v>
      </c>
      <c r="V3967" s="26" t="str">
        <f>IFERROR(RIGHT(K3965,LEN(K3965)-FIND("*",K3965)),"-")</f>
        <v>-</v>
      </c>
      <c r="W3967" s="27" t="str">
        <f t="shared" si="2158"/>
        <v>-</v>
      </c>
      <c r="X3967" s="27" t="str">
        <f>IFERROR(W3967*L3965,"-")</f>
        <v>-</v>
      </c>
      <c r="Z3967" s="94" t="s">
        <v>82</v>
      </c>
    </row>
    <row r="3968" spans="1:26" s="25" customFormat="1" ht="6.95" customHeight="1" x14ac:dyDescent="0.3">
      <c r="A3968" s="13"/>
      <c r="B3968" s="168"/>
      <c r="C3968" s="169"/>
      <c r="D3968" s="160" t="s">
        <v>39</v>
      </c>
      <c r="E3968" s="161"/>
      <c r="F3968" s="162" t="s">
        <v>40</v>
      </c>
      <c r="G3968" s="163"/>
      <c r="H3968" s="164"/>
      <c r="I3968" s="163"/>
      <c r="J3968" s="164"/>
      <c r="K3968" s="163"/>
      <c r="L3968" s="164"/>
      <c r="M3968" s="11"/>
      <c r="N3968" s="39"/>
      <c r="Q3968" s="15" t="str">
        <f>+CONCATENATE(E3968,G3968)</f>
        <v/>
      </c>
      <c r="R3968" s="15">
        <f>+H3968</f>
        <v>0</v>
      </c>
      <c r="S3968" s="16"/>
      <c r="T3968" s="15">
        <f>+E3968</f>
        <v>0</v>
      </c>
      <c r="U3968" s="26" t="str">
        <f t="shared" ref="U3968" si="2161">IFERROR(LEFT(G3968,FIND("*",G3968)-1),"-")</f>
        <v>-</v>
      </c>
      <c r="V3968" s="26" t="str">
        <f t="shared" ref="V3968" si="2162">IFERROR(RIGHT(G3968,LEN(G3968)-FIND("*",G3968)),"-")</f>
        <v>-</v>
      </c>
      <c r="W3968" s="27" t="str">
        <f t="shared" si="2158"/>
        <v>-</v>
      </c>
      <c r="X3968" s="27" t="str">
        <f>IFERROR(W3968*H3968,"-")</f>
        <v>-</v>
      </c>
      <c r="Z3968" s="94" t="s">
        <v>82</v>
      </c>
    </row>
    <row r="3969" spans="1:26" s="25" customFormat="1" ht="6.95" customHeight="1" x14ac:dyDescent="0.3">
      <c r="A3969" s="10"/>
      <c r="B3969" s="168"/>
      <c r="C3969" s="169"/>
      <c r="D3969" s="160"/>
      <c r="E3969" s="161"/>
      <c r="F3969" s="162"/>
      <c r="G3969" s="163"/>
      <c r="H3969" s="164"/>
      <c r="I3969" s="163"/>
      <c r="J3969" s="164"/>
      <c r="K3969" s="163"/>
      <c r="L3969" s="164"/>
      <c r="M3969" s="11"/>
      <c r="N3969" s="39"/>
      <c r="Q3969" s="15" t="str">
        <f>+CONCATENATE(E3968,I3968)</f>
        <v/>
      </c>
      <c r="R3969" s="15">
        <f>+J3968</f>
        <v>0</v>
      </c>
      <c r="S3969" s="16"/>
      <c r="T3969" s="15">
        <f>+E3968</f>
        <v>0</v>
      </c>
      <c r="U3969" s="26" t="str">
        <f>IFERROR(LEFT(I3968,FIND("*",I3968)-1),"-")</f>
        <v>-</v>
      </c>
      <c r="V3969" s="26" t="str">
        <f>IFERROR(RIGHT(I3968,LEN(I3968)-FIND("*",I3968)),"-")</f>
        <v>-</v>
      </c>
      <c r="W3969" s="27" t="str">
        <f t="shared" si="2158"/>
        <v>-</v>
      </c>
      <c r="X3969" s="27" t="str">
        <f t="shared" ref="X3969" si="2163">IFERROR(W3969*J3968,"-")</f>
        <v>-</v>
      </c>
      <c r="Z3969" s="94" t="s">
        <v>82</v>
      </c>
    </row>
    <row r="3970" spans="1:26" s="25" customFormat="1" ht="6.95" customHeight="1" x14ac:dyDescent="0.3">
      <c r="A3970" s="10"/>
      <c r="B3970" s="168"/>
      <c r="C3970" s="169"/>
      <c r="D3970" s="160"/>
      <c r="E3970" s="161"/>
      <c r="F3970" s="162"/>
      <c r="G3970" s="163"/>
      <c r="H3970" s="164"/>
      <c r="I3970" s="163"/>
      <c r="J3970" s="164"/>
      <c r="K3970" s="163"/>
      <c r="L3970" s="164"/>
      <c r="M3970" s="11"/>
      <c r="N3970" s="39"/>
      <c r="Q3970" s="15" t="str">
        <f>+CONCATENATE(E3968,K3968)</f>
        <v/>
      </c>
      <c r="R3970" s="15">
        <f>+L3968</f>
        <v>0</v>
      </c>
      <c r="S3970" s="16"/>
      <c r="T3970" s="15">
        <f>+E3968</f>
        <v>0</v>
      </c>
      <c r="U3970" s="26" t="str">
        <f>IFERROR(LEFT(K3968,FIND("*",K3968)-1),"-")</f>
        <v>-</v>
      </c>
      <c r="V3970" s="26" t="str">
        <f>IFERROR(RIGHT(K3968,LEN(K3968)-FIND("*",K3968)),"-")</f>
        <v>-</v>
      </c>
      <c r="W3970" s="27" t="str">
        <f t="shared" si="2158"/>
        <v>-</v>
      </c>
      <c r="X3970" s="27" t="str">
        <f>IFERROR(W3970*L3968,"-")</f>
        <v>-</v>
      </c>
      <c r="Z3970" s="94" t="s">
        <v>82</v>
      </c>
    </row>
    <row r="3971" spans="1:26" s="25" customFormat="1" ht="21" customHeight="1" thickBot="1" x14ac:dyDescent="0.35">
      <c r="A3971" s="10"/>
      <c r="B3971" s="170"/>
      <c r="C3971" s="171"/>
      <c r="D3971" s="172" t="s">
        <v>43</v>
      </c>
      <c r="E3971" s="173"/>
      <c r="F3971" s="173"/>
      <c r="G3971" s="174"/>
      <c r="H3971" s="174"/>
      <c r="I3971" s="174"/>
      <c r="J3971" s="174"/>
      <c r="K3971" s="174"/>
      <c r="L3971" s="174"/>
      <c r="M3971" s="12"/>
      <c r="N3971" s="39"/>
      <c r="U3971" s="23"/>
      <c r="V3971" s="23"/>
      <c r="Z3971" s="95" t="s">
        <v>81</v>
      </c>
    </row>
    <row r="3972" spans="1:26" s="25" customFormat="1" ht="9.9499999999999993" customHeight="1" thickBot="1" x14ac:dyDescent="0.35">
      <c r="A3972" s="6"/>
      <c r="B3972" s="14"/>
      <c r="C3972" s="119"/>
      <c r="D3972" s="58"/>
      <c r="E3972" s="17"/>
      <c r="F3972" s="58"/>
      <c r="G3972" s="19"/>
      <c r="H3972" s="19"/>
      <c r="I3972" s="19"/>
      <c r="J3972" s="19"/>
      <c r="K3972" s="19"/>
      <c r="L3972" s="19"/>
      <c r="M3972" s="14"/>
      <c r="N3972" s="39"/>
      <c r="Q3972" s="1"/>
      <c r="R3972" s="1"/>
      <c r="S3972" s="1"/>
      <c r="T3972" s="1"/>
      <c r="U3972" s="24"/>
      <c r="V3972" s="24"/>
      <c r="W3972" s="1"/>
      <c r="X3972" s="1"/>
      <c r="Z3972" s="94" t="s">
        <v>82</v>
      </c>
    </row>
    <row r="3973" spans="1:26" s="25" customFormat="1" ht="6.95" customHeight="1" x14ac:dyDescent="0.3">
      <c r="A3973" s="165">
        <f>+A3962+1</f>
        <v>362</v>
      </c>
      <c r="B3973" s="166"/>
      <c r="C3973" s="167"/>
      <c r="D3973" s="160" t="s">
        <v>39</v>
      </c>
      <c r="E3973" s="161"/>
      <c r="F3973" s="162" t="s">
        <v>40</v>
      </c>
      <c r="G3973" s="163"/>
      <c r="H3973" s="164"/>
      <c r="I3973" s="163"/>
      <c r="J3973" s="164"/>
      <c r="K3973" s="163"/>
      <c r="L3973" s="164"/>
      <c r="M3973" s="11"/>
      <c r="N3973" s="39"/>
      <c r="Q3973" s="15" t="str">
        <f>+CONCATENATE(E3973,G3973)</f>
        <v/>
      </c>
      <c r="R3973" s="15">
        <f>+H3973</f>
        <v>0</v>
      </c>
      <c r="S3973" s="16"/>
      <c r="T3973" s="15">
        <f>+E3973</f>
        <v>0</v>
      </c>
      <c r="U3973" s="26" t="str">
        <f>IFERROR(LEFT(G3973,FIND("*",G3973)-1),"-")</f>
        <v>-</v>
      </c>
      <c r="V3973" s="26" t="str">
        <f>IFERROR(RIGHT(G3973,LEN(G3973)-FIND("*",G3973)),"-")</f>
        <v>-</v>
      </c>
      <c r="W3973" s="27" t="str">
        <f>IFERROR((U3973+V3973)*2/1000,"-")</f>
        <v>-</v>
      </c>
      <c r="X3973" s="27" t="str">
        <f>IFERROR(W3973*H3973,"-")</f>
        <v>-</v>
      </c>
      <c r="Z3973" s="94" t="s">
        <v>82</v>
      </c>
    </row>
    <row r="3974" spans="1:26" s="25" customFormat="1" ht="6.95" customHeight="1" x14ac:dyDescent="0.3">
      <c r="A3974" s="165"/>
      <c r="B3974" s="168"/>
      <c r="C3974" s="169"/>
      <c r="D3974" s="160"/>
      <c r="E3974" s="161"/>
      <c r="F3974" s="162"/>
      <c r="G3974" s="163"/>
      <c r="H3974" s="164"/>
      <c r="I3974" s="163"/>
      <c r="J3974" s="164"/>
      <c r="K3974" s="163"/>
      <c r="L3974" s="164"/>
      <c r="M3974" s="11"/>
      <c r="N3974" s="39"/>
      <c r="Q3974" s="15" t="str">
        <f>+CONCATENATE(E3973,I3973)</f>
        <v/>
      </c>
      <c r="R3974" s="15">
        <f>+J3973</f>
        <v>0</v>
      </c>
      <c r="S3974" s="16"/>
      <c r="T3974" s="15">
        <f>+E3973</f>
        <v>0</v>
      </c>
      <c r="U3974" s="26" t="str">
        <f>IFERROR(LEFT(I3973,FIND("*",I3973)-1),"-")</f>
        <v>-</v>
      </c>
      <c r="V3974" s="26" t="str">
        <f>IFERROR(RIGHT(I3973,LEN(I3973)-FIND("*",I3973)),"-")</f>
        <v>-</v>
      </c>
      <c r="W3974" s="27" t="str">
        <f t="shared" ref="W3974:W3981" si="2164">IFERROR((U3974+V3974)*2/1000,"-")</f>
        <v>-</v>
      </c>
      <c r="X3974" s="27" t="str">
        <f>IFERROR(W3974*J3973,"-")</f>
        <v>-</v>
      </c>
      <c r="Z3974" s="94" t="s">
        <v>82</v>
      </c>
    </row>
    <row r="3975" spans="1:26" s="25" customFormat="1" ht="6.95" customHeight="1" x14ac:dyDescent="0.3">
      <c r="A3975" s="165"/>
      <c r="B3975" s="168"/>
      <c r="C3975" s="169"/>
      <c r="D3975" s="160"/>
      <c r="E3975" s="161"/>
      <c r="F3975" s="162"/>
      <c r="G3975" s="163"/>
      <c r="H3975" s="164"/>
      <c r="I3975" s="163"/>
      <c r="J3975" s="164"/>
      <c r="K3975" s="163"/>
      <c r="L3975" s="164"/>
      <c r="M3975" s="11"/>
      <c r="N3975" s="39"/>
      <c r="Q3975" s="15" t="str">
        <f>+CONCATENATE(E3973,K3973)</f>
        <v/>
      </c>
      <c r="R3975" s="15">
        <f>+L3973</f>
        <v>0</v>
      </c>
      <c r="S3975" s="16"/>
      <c r="T3975" s="15">
        <f>+E3973</f>
        <v>0</v>
      </c>
      <c r="U3975" s="26" t="str">
        <f>IFERROR(LEFT(K3973,FIND("*",K3973)-1),"-")</f>
        <v>-</v>
      </c>
      <c r="V3975" s="26" t="str">
        <f>IFERROR(RIGHT(K3973,LEN(K3973)-FIND("*",K3973)),"-")</f>
        <v>-</v>
      </c>
      <c r="W3975" s="27" t="str">
        <f t="shared" si="2164"/>
        <v>-</v>
      </c>
      <c r="X3975" s="27" t="str">
        <f>IFERROR(W3975*L3973,"-")</f>
        <v>-</v>
      </c>
      <c r="Z3975" s="94" t="s">
        <v>82</v>
      </c>
    </row>
    <row r="3976" spans="1:26" s="25" customFormat="1" ht="6.95" customHeight="1" x14ac:dyDescent="0.3">
      <c r="A3976" s="13"/>
      <c r="B3976" s="168"/>
      <c r="C3976" s="169"/>
      <c r="D3976" s="160" t="s">
        <v>39</v>
      </c>
      <c r="E3976" s="161"/>
      <c r="F3976" s="162" t="s">
        <v>40</v>
      </c>
      <c r="G3976" s="163"/>
      <c r="H3976" s="164"/>
      <c r="I3976" s="163"/>
      <c r="J3976" s="164"/>
      <c r="K3976" s="163"/>
      <c r="L3976" s="164"/>
      <c r="M3976" s="11"/>
      <c r="N3976" s="39"/>
      <c r="Q3976" s="15" t="str">
        <f>+CONCATENATE(E3976,G3976)</f>
        <v/>
      </c>
      <c r="R3976" s="15">
        <f>+H3976</f>
        <v>0</v>
      </c>
      <c r="S3976" s="16"/>
      <c r="T3976" s="15">
        <f>+E3976</f>
        <v>0</v>
      </c>
      <c r="U3976" s="26" t="str">
        <f t="shared" ref="U3976" si="2165">IFERROR(LEFT(G3976,FIND("*",G3976)-1),"-")</f>
        <v>-</v>
      </c>
      <c r="V3976" s="26" t="str">
        <f t="shared" ref="V3976" si="2166">IFERROR(RIGHT(G3976,LEN(G3976)-FIND("*",G3976)),"-")</f>
        <v>-</v>
      </c>
      <c r="W3976" s="27" t="str">
        <f t="shared" si="2164"/>
        <v>-</v>
      </c>
      <c r="X3976" s="27" t="str">
        <f>IFERROR(W3976*H3976,"-")</f>
        <v>-</v>
      </c>
      <c r="Z3976" s="94" t="s">
        <v>82</v>
      </c>
    </row>
    <row r="3977" spans="1:26" s="25" customFormat="1" ht="6.95" customHeight="1" x14ac:dyDescent="0.3">
      <c r="A3977" s="10"/>
      <c r="B3977" s="168"/>
      <c r="C3977" s="169"/>
      <c r="D3977" s="160"/>
      <c r="E3977" s="161"/>
      <c r="F3977" s="162"/>
      <c r="G3977" s="163"/>
      <c r="H3977" s="164"/>
      <c r="I3977" s="163"/>
      <c r="J3977" s="164"/>
      <c r="K3977" s="163"/>
      <c r="L3977" s="164"/>
      <c r="M3977" s="11"/>
      <c r="N3977" s="39"/>
      <c r="Q3977" s="15" t="str">
        <f>+CONCATENATE(E3976,I3976)</f>
        <v/>
      </c>
      <c r="R3977" s="15">
        <f>+J3976</f>
        <v>0</v>
      </c>
      <c r="S3977" s="16"/>
      <c r="T3977" s="15">
        <f>+E3976</f>
        <v>0</v>
      </c>
      <c r="U3977" s="26" t="str">
        <f>IFERROR(LEFT(I3976,FIND("*",I3976)-1),"-")</f>
        <v>-</v>
      </c>
      <c r="V3977" s="26" t="str">
        <f>IFERROR(RIGHT(I3976,LEN(I3976)-FIND("*",I3976)),"-")</f>
        <v>-</v>
      </c>
      <c r="W3977" s="27" t="str">
        <f t="shared" si="2164"/>
        <v>-</v>
      </c>
      <c r="X3977" s="27" t="str">
        <f>IFERROR(W3977*J3976,"-")</f>
        <v>-</v>
      </c>
      <c r="Z3977" s="94" t="s">
        <v>82</v>
      </c>
    </row>
    <row r="3978" spans="1:26" s="25" customFormat="1" ht="6.95" customHeight="1" x14ac:dyDescent="0.3">
      <c r="A3978" s="10"/>
      <c r="B3978" s="168"/>
      <c r="C3978" s="169"/>
      <c r="D3978" s="160"/>
      <c r="E3978" s="161"/>
      <c r="F3978" s="162"/>
      <c r="G3978" s="163"/>
      <c r="H3978" s="164"/>
      <c r="I3978" s="163"/>
      <c r="J3978" s="164"/>
      <c r="K3978" s="163"/>
      <c r="L3978" s="164"/>
      <c r="M3978" s="11"/>
      <c r="N3978" s="39"/>
      <c r="Q3978" s="15" t="str">
        <f>+CONCATENATE(E3976,K3976)</f>
        <v/>
      </c>
      <c r="R3978" s="15">
        <f>+L3976</f>
        <v>0</v>
      </c>
      <c r="S3978" s="16"/>
      <c r="T3978" s="15">
        <f>+E3976</f>
        <v>0</v>
      </c>
      <c r="U3978" s="26" t="str">
        <f>IFERROR(LEFT(K3976,FIND("*",K3976)-1),"-")</f>
        <v>-</v>
      </c>
      <c r="V3978" s="26" t="str">
        <f>IFERROR(RIGHT(K3976,LEN(K3976)-FIND("*",K3976)),"-")</f>
        <v>-</v>
      </c>
      <c r="W3978" s="27" t="str">
        <f t="shared" si="2164"/>
        <v>-</v>
      </c>
      <c r="X3978" s="27" t="str">
        <f>IFERROR(W3978*L3976,"-")</f>
        <v>-</v>
      </c>
      <c r="Z3978" s="94" t="s">
        <v>82</v>
      </c>
    </row>
    <row r="3979" spans="1:26" s="25" customFormat="1" ht="6.95" customHeight="1" x14ac:dyDescent="0.3">
      <c r="A3979" s="13"/>
      <c r="B3979" s="168"/>
      <c r="C3979" s="169"/>
      <c r="D3979" s="160" t="s">
        <v>39</v>
      </c>
      <c r="E3979" s="161"/>
      <c r="F3979" s="162" t="s">
        <v>40</v>
      </c>
      <c r="G3979" s="163"/>
      <c r="H3979" s="164"/>
      <c r="I3979" s="163"/>
      <c r="J3979" s="164"/>
      <c r="K3979" s="163"/>
      <c r="L3979" s="164"/>
      <c r="M3979" s="11"/>
      <c r="N3979" s="39"/>
      <c r="Q3979" s="15" t="str">
        <f>+CONCATENATE(E3979,G3979)</f>
        <v/>
      </c>
      <c r="R3979" s="15">
        <f>+H3979</f>
        <v>0</v>
      </c>
      <c r="S3979" s="16"/>
      <c r="T3979" s="15">
        <f>+E3979</f>
        <v>0</v>
      </c>
      <c r="U3979" s="26" t="str">
        <f t="shared" ref="U3979" si="2167">IFERROR(LEFT(G3979,FIND("*",G3979)-1),"-")</f>
        <v>-</v>
      </c>
      <c r="V3979" s="26" t="str">
        <f t="shared" ref="V3979" si="2168">IFERROR(RIGHT(G3979,LEN(G3979)-FIND("*",G3979)),"-")</f>
        <v>-</v>
      </c>
      <c r="W3979" s="27" t="str">
        <f t="shared" si="2164"/>
        <v>-</v>
      </c>
      <c r="X3979" s="27" t="str">
        <f>IFERROR(W3979*H3979,"-")</f>
        <v>-</v>
      </c>
      <c r="Z3979" s="94" t="s">
        <v>82</v>
      </c>
    </row>
    <row r="3980" spans="1:26" s="25" customFormat="1" ht="6.95" customHeight="1" x14ac:dyDescent="0.3">
      <c r="A3980" s="10"/>
      <c r="B3980" s="168"/>
      <c r="C3980" s="169"/>
      <c r="D3980" s="160"/>
      <c r="E3980" s="161"/>
      <c r="F3980" s="162"/>
      <c r="G3980" s="163"/>
      <c r="H3980" s="164"/>
      <c r="I3980" s="163"/>
      <c r="J3980" s="164"/>
      <c r="K3980" s="163"/>
      <c r="L3980" s="164"/>
      <c r="M3980" s="11"/>
      <c r="N3980" s="39"/>
      <c r="Q3980" s="15" t="str">
        <f>+CONCATENATE(E3979,I3979)</f>
        <v/>
      </c>
      <c r="R3980" s="15">
        <f>+J3979</f>
        <v>0</v>
      </c>
      <c r="S3980" s="16"/>
      <c r="T3980" s="15">
        <f>+E3979</f>
        <v>0</v>
      </c>
      <c r="U3980" s="26" t="str">
        <f>IFERROR(LEFT(I3979,FIND("*",I3979)-1),"-")</f>
        <v>-</v>
      </c>
      <c r="V3980" s="26" t="str">
        <f>IFERROR(RIGHT(I3979,LEN(I3979)-FIND("*",I3979)),"-")</f>
        <v>-</v>
      </c>
      <c r="W3980" s="27" t="str">
        <f t="shared" si="2164"/>
        <v>-</v>
      </c>
      <c r="X3980" s="27" t="str">
        <f t="shared" ref="X3980" si="2169">IFERROR(W3980*J3979,"-")</f>
        <v>-</v>
      </c>
      <c r="Z3980" s="94" t="s">
        <v>82</v>
      </c>
    </row>
    <row r="3981" spans="1:26" s="25" customFormat="1" ht="6.95" customHeight="1" x14ac:dyDescent="0.3">
      <c r="A3981" s="10"/>
      <c r="B3981" s="168"/>
      <c r="C3981" s="169"/>
      <c r="D3981" s="160"/>
      <c r="E3981" s="161"/>
      <c r="F3981" s="162"/>
      <c r="G3981" s="163"/>
      <c r="H3981" s="164"/>
      <c r="I3981" s="163"/>
      <c r="J3981" s="164"/>
      <c r="K3981" s="163"/>
      <c r="L3981" s="164"/>
      <c r="M3981" s="11"/>
      <c r="N3981" s="39"/>
      <c r="Q3981" s="15" t="str">
        <f>+CONCATENATE(E3979,K3979)</f>
        <v/>
      </c>
      <c r="R3981" s="15">
        <f>+L3979</f>
        <v>0</v>
      </c>
      <c r="S3981" s="16"/>
      <c r="T3981" s="15">
        <f>+E3979</f>
        <v>0</v>
      </c>
      <c r="U3981" s="26" t="str">
        <f>IFERROR(LEFT(K3979,FIND("*",K3979)-1),"-")</f>
        <v>-</v>
      </c>
      <c r="V3981" s="26" t="str">
        <f>IFERROR(RIGHT(K3979,LEN(K3979)-FIND("*",K3979)),"-")</f>
        <v>-</v>
      </c>
      <c r="W3981" s="27" t="str">
        <f t="shared" si="2164"/>
        <v>-</v>
      </c>
      <c r="X3981" s="27" t="str">
        <f>IFERROR(W3981*L3979,"-")</f>
        <v>-</v>
      </c>
      <c r="Z3981" s="94" t="s">
        <v>82</v>
      </c>
    </row>
    <row r="3982" spans="1:26" s="25" customFormat="1" ht="21" customHeight="1" thickBot="1" x14ac:dyDescent="0.35">
      <c r="A3982" s="10"/>
      <c r="B3982" s="170"/>
      <c r="C3982" s="171"/>
      <c r="D3982" s="172" t="s">
        <v>43</v>
      </c>
      <c r="E3982" s="173"/>
      <c r="F3982" s="173"/>
      <c r="G3982" s="174"/>
      <c r="H3982" s="174"/>
      <c r="I3982" s="174"/>
      <c r="J3982" s="174"/>
      <c r="K3982" s="174"/>
      <c r="L3982" s="174"/>
      <c r="M3982" s="12"/>
      <c r="N3982" s="39"/>
      <c r="U3982" s="23"/>
      <c r="V3982" s="23"/>
      <c r="Z3982" s="95" t="s">
        <v>81</v>
      </c>
    </row>
    <row r="3983" spans="1:26" s="25" customFormat="1" ht="9.9499999999999993" customHeight="1" thickBot="1" x14ac:dyDescent="0.35">
      <c r="A3983" s="6"/>
      <c r="B3983" s="14"/>
      <c r="C3983" s="119"/>
      <c r="D3983" s="58"/>
      <c r="E3983" s="17"/>
      <c r="F3983" s="58"/>
      <c r="G3983" s="19"/>
      <c r="H3983" s="19"/>
      <c r="I3983" s="19"/>
      <c r="J3983" s="19"/>
      <c r="K3983" s="19"/>
      <c r="L3983" s="19"/>
      <c r="M3983" s="14"/>
      <c r="N3983" s="39"/>
      <c r="Q3983" s="1"/>
      <c r="R3983" s="1"/>
      <c r="S3983" s="1"/>
      <c r="T3983" s="1"/>
      <c r="U3983" s="24"/>
      <c r="V3983" s="24"/>
      <c r="W3983" s="1"/>
      <c r="X3983" s="1"/>
      <c r="Z3983" s="94" t="s">
        <v>82</v>
      </c>
    </row>
    <row r="3984" spans="1:26" s="25" customFormat="1" ht="6.95" customHeight="1" x14ac:dyDescent="0.3">
      <c r="A3984" s="165">
        <f>+A3973+1</f>
        <v>363</v>
      </c>
      <c r="B3984" s="166"/>
      <c r="C3984" s="167"/>
      <c r="D3984" s="160" t="s">
        <v>39</v>
      </c>
      <c r="E3984" s="161"/>
      <c r="F3984" s="162" t="s">
        <v>40</v>
      </c>
      <c r="G3984" s="163"/>
      <c r="H3984" s="164"/>
      <c r="I3984" s="163"/>
      <c r="J3984" s="164"/>
      <c r="K3984" s="163"/>
      <c r="L3984" s="164"/>
      <c r="M3984" s="11"/>
      <c r="N3984" s="39"/>
      <c r="Q3984" s="15" t="str">
        <f>+CONCATENATE(E3984,G3984)</f>
        <v/>
      </c>
      <c r="R3984" s="15">
        <f>+H3984</f>
        <v>0</v>
      </c>
      <c r="S3984" s="16"/>
      <c r="T3984" s="15">
        <f>+E3984</f>
        <v>0</v>
      </c>
      <c r="U3984" s="26" t="str">
        <f>IFERROR(LEFT(G3984,FIND("*",G3984)-1),"-")</f>
        <v>-</v>
      </c>
      <c r="V3984" s="26" t="str">
        <f>IFERROR(RIGHT(G3984,LEN(G3984)-FIND("*",G3984)),"-")</f>
        <v>-</v>
      </c>
      <c r="W3984" s="27" t="str">
        <f>IFERROR((U3984+V3984)*2/1000,"-")</f>
        <v>-</v>
      </c>
      <c r="X3984" s="27" t="str">
        <f>IFERROR(W3984*H3984,"-")</f>
        <v>-</v>
      </c>
      <c r="Z3984" s="94" t="s">
        <v>82</v>
      </c>
    </row>
    <row r="3985" spans="1:26" s="25" customFormat="1" ht="6.95" customHeight="1" x14ac:dyDescent="0.3">
      <c r="A3985" s="165"/>
      <c r="B3985" s="168"/>
      <c r="C3985" s="169"/>
      <c r="D3985" s="160"/>
      <c r="E3985" s="161"/>
      <c r="F3985" s="162"/>
      <c r="G3985" s="163"/>
      <c r="H3985" s="164"/>
      <c r="I3985" s="163"/>
      <c r="J3985" s="164"/>
      <c r="K3985" s="163"/>
      <c r="L3985" s="164"/>
      <c r="M3985" s="11"/>
      <c r="N3985" s="39"/>
      <c r="Q3985" s="15" t="str">
        <f>+CONCATENATE(E3984,I3984)</f>
        <v/>
      </c>
      <c r="R3985" s="15">
        <f>+J3984</f>
        <v>0</v>
      </c>
      <c r="S3985" s="16"/>
      <c r="T3985" s="15">
        <f>+E3984</f>
        <v>0</v>
      </c>
      <c r="U3985" s="26" t="str">
        <f>IFERROR(LEFT(I3984,FIND("*",I3984)-1),"-")</f>
        <v>-</v>
      </c>
      <c r="V3985" s="26" t="str">
        <f>IFERROR(RIGHT(I3984,LEN(I3984)-FIND("*",I3984)),"-")</f>
        <v>-</v>
      </c>
      <c r="W3985" s="27" t="str">
        <f t="shared" ref="W3985:W3992" si="2170">IFERROR((U3985+V3985)*2/1000,"-")</f>
        <v>-</v>
      </c>
      <c r="X3985" s="27" t="str">
        <f>IFERROR(W3985*J3984,"-")</f>
        <v>-</v>
      </c>
      <c r="Z3985" s="94" t="s">
        <v>82</v>
      </c>
    </row>
    <row r="3986" spans="1:26" s="25" customFormat="1" ht="6.95" customHeight="1" x14ac:dyDescent="0.3">
      <c r="A3986" s="165"/>
      <c r="B3986" s="168"/>
      <c r="C3986" s="169"/>
      <c r="D3986" s="160"/>
      <c r="E3986" s="161"/>
      <c r="F3986" s="162"/>
      <c r="G3986" s="163"/>
      <c r="H3986" s="164"/>
      <c r="I3986" s="163"/>
      <c r="J3986" s="164"/>
      <c r="K3986" s="163"/>
      <c r="L3986" s="164"/>
      <c r="M3986" s="11"/>
      <c r="N3986" s="39"/>
      <c r="Q3986" s="15" t="str">
        <f>+CONCATENATE(E3984,K3984)</f>
        <v/>
      </c>
      <c r="R3986" s="15">
        <f>+L3984</f>
        <v>0</v>
      </c>
      <c r="S3986" s="16"/>
      <c r="T3986" s="15">
        <f>+E3984</f>
        <v>0</v>
      </c>
      <c r="U3986" s="26" t="str">
        <f>IFERROR(LEFT(K3984,FIND("*",K3984)-1),"-")</f>
        <v>-</v>
      </c>
      <c r="V3986" s="26" t="str">
        <f>IFERROR(RIGHT(K3984,LEN(K3984)-FIND("*",K3984)),"-")</f>
        <v>-</v>
      </c>
      <c r="W3986" s="27" t="str">
        <f t="shared" si="2170"/>
        <v>-</v>
      </c>
      <c r="X3986" s="27" t="str">
        <f>IFERROR(W3986*L3984,"-")</f>
        <v>-</v>
      </c>
      <c r="Z3986" s="94" t="s">
        <v>82</v>
      </c>
    </row>
    <row r="3987" spans="1:26" s="25" customFormat="1" ht="6.95" customHeight="1" x14ac:dyDescent="0.3">
      <c r="A3987" s="13"/>
      <c r="B3987" s="168"/>
      <c r="C3987" s="169"/>
      <c r="D3987" s="160" t="s">
        <v>39</v>
      </c>
      <c r="E3987" s="161"/>
      <c r="F3987" s="162" t="s">
        <v>40</v>
      </c>
      <c r="G3987" s="163"/>
      <c r="H3987" s="164"/>
      <c r="I3987" s="163"/>
      <c r="J3987" s="164"/>
      <c r="K3987" s="163"/>
      <c r="L3987" s="164"/>
      <c r="M3987" s="11"/>
      <c r="N3987" s="39"/>
      <c r="Q3987" s="15" t="str">
        <f>+CONCATENATE(E3987,G3987)</f>
        <v/>
      </c>
      <c r="R3987" s="15">
        <f>+H3987</f>
        <v>0</v>
      </c>
      <c r="S3987" s="16"/>
      <c r="T3987" s="15">
        <f>+E3987</f>
        <v>0</v>
      </c>
      <c r="U3987" s="26" t="str">
        <f t="shared" ref="U3987" si="2171">IFERROR(LEFT(G3987,FIND("*",G3987)-1),"-")</f>
        <v>-</v>
      </c>
      <c r="V3987" s="26" t="str">
        <f t="shared" ref="V3987" si="2172">IFERROR(RIGHT(G3987,LEN(G3987)-FIND("*",G3987)),"-")</f>
        <v>-</v>
      </c>
      <c r="W3987" s="27" t="str">
        <f t="shared" si="2170"/>
        <v>-</v>
      </c>
      <c r="X3987" s="27" t="str">
        <f>IFERROR(W3987*H3987,"-")</f>
        <v>-</v>
      </c>
      <c r="Z3987" s="94" t="s">
        <v>82</v>
      </c>
    </row>
    <row r="3988" spans="1:26" s="25" customFormat="1" ht="6.95" customHeight="1" x14ac:dyDescent="0.3">
      <c r="A3988" s="10"/>
      <c r="B3988" s="168"/>
      <c r="C3988" s="169"/>
      <c r="D3988" s="160"/>
      <c r="E3988" s="161"/>
      <c r="F3988" s="162"/>
      <c r="G3988" s="163"/>
      <c r="H3988" s="164"/>
      <c r="I3988" s="163"/>
      <c r="J3988" s="164"/>
      <c r="K3988" s="163"/>
      <c r="L3988" s="164"/>
      <c r="M3988" s="11"/>
      <c r="N3988" s="39"/>
      <c r="Q3988" s="15" t="str">
        <f>+CONCATENATE(E3987,I3987)</f>
        <v/>
      </c>
      <c r="R3988" s="15">
        <f>+J3987</f>
        <v>0</v>
      </c>
      <c r="S3988" s="16"/>
      <c r="T3988" s="15">
        <f>+E3987</f>
        <v>0</v>
      </c>
      <c r="U3988" s="26" t="str">
        <f>IFERROR(LEFT(I3987,FIND("*",I3987)-1),"-")</f>
        <v>-</v>
      </c>
      <c r="V3988" s="26" t="str">
        <f>IFERROR(RIGHT(I3987,LEN(I3987)-FIND("*",I3987)),"-")</f>
        <v>-</v>
      </c>
      <c r="W3988" s="27" t="str">
        <f t="shared" si="2170"/>
        <v>-</v>
      </c>
      <c r="X3988" s="27" t="str">
        <f>IFERROR(W3988*J3987,"-")</f>
        <v>-</v>
      </c>
      <c r="Z3988" s="94" t="s">
        <v>82</v>
      </c>
    </row>
    <row r="3989" spans="1:26" s="25" customFormat="1" ht="6.95" customHeight="1" x14ac:dyDescent="0.3">
      <c r="A3989" s="10"/>
      <c r="B3989" s="168"/>
      <c r="C3989" s="169"/>
      <c r="D3989" s="160"/>
      <c r="E3989" s="161"/>
      <c r="F3989" s="162"/>
      <c r="G3989" s="163"/>
      <c r="H3989" s="164"/>
      <c r="I3989" s="163"/>
      <c r="J3989" s="164"/>
      <c r="K3989" s="163"/>
      <c r="L3989" s="164"/>
      <c r="M3989" s="11"/>
      <c r="N3989" s="39"/>
      <c r="Q3989" s="15" t="str">
        <f>+CONCATENATE(E3987,K3987)</f>
        <v/>
      </c>
      <c r="R3989" s="15">
        <f>+L3987</f>
        <v>0</v>
      </c>
      <c r="S3989" s="16"/>
      <c r="T3989" s="15">
        <f>+E3987</f>
        <v>0</v>
      </c>
      <c r="U3989" s="26" t="str">
        <f>IFERROR(LEFT(K3987,FIND("*",K3987)-1),"-")</f>
        <v>-</v>
      </c>
      <c r="V3989" s="26" t="str">
        <f>IFERROR(RIGHT(K3987,LEN(K3987)-FIND("*",K3987)),"-")</f>
        <v>-</v>
      </c>
      <c r="W3989" s="27" t="str">
        <f t="shared" si="2170"/>
        <v>-</v>
      </c>
      <c r="X3989" s="27" t="str">
        <f>IFERROR(W3989*L3987,"-")</f>
        <v>-</v>
      </c>
      <c r="Z3989" s="94" t="s">
        <v>82</v>
      </c>
    </row>
    <row r="3990" spans="1:26" s="25" customFormat="1" ht="6.95" customHeight="1" x14ac:dyDescent="0.3">
      <c r="A3990" s="13"/>
      <c r="B3990" s="168"/>
      <c r="C3990" s="169"/>
      <c r="D3990" s="160" t="s">
        <v>39</v>
      </c>
      <c r="E3990" s="161"/>
      <c r="F3990" s="162" t="s">
        <v>40</v>
      </c>
      <c r="G3990" s="163"/>
      <c r="H3990" s="164"/>
      <c r="I3990" s="163"/>
      <c r="J3990" s="164"/>
      <c r="K3990" s="163"/>
      <c r="L3990" s="164"/>
      <c r="M3990" s="11"/>
      <c r="N3990" s="39"/>
      <c r="Q3990" s="15" t="str">
        <f>+CONCATENATE(E3990,G3990)</f>
        <v/>
      </c>
      <c r="R3990" s="15">
        <f>+H3990</f>
        <v>0</v>
      </c>
      <c r="S3990" s="16"/>
      <c r="T3990" s="15">
        <f>+E3990</f>
        <v>0</v>
      </c>
      <c r="U3990" s="26" t="str">
        <f t="shared" ref="U3990" si="2173">IFERROR(LEFT(G3990,FIND("*",G3990)-1),"-")</f>
        <v>-</v>
      </c>
      <c r="V3990" s="26" t="str">
        <f t="shared" ref="V3990" si="2174">IFERROR(RIGHT(G3990,LEN(G3990)-FIND("*",G3990)),"-")</f>
        <v>-</v>
      </c>
      <c r="W3990" s="27" t="str">
        <f t="shared" si="2170"/>
        <v>-</v>
      </c>
      <c r="X3990" s="27" t="str">
        <f>IFERROR(W3990*H3990,"-")</f>
        <v>-</v>
      </c>
      <c r="Z3990" s="94" t="s">
        <v>82</v>
      </c>
    </row>
    <row r="3991" spans="1:26" s="25" customFormat="1" ht="6.95" customHeight="1" x14ac:dyDescent="0.3">
      <c r="A3991" s="10"/>
      <c r="B3991" s="168"/>
      <c r="C3991" s="169"/>
      <c r="D3991" s="160"/>
      <c r="E3991" s="161"/>
      <c r="F3991" s="162"/>
      <c r="G3991" s="163"/>
      <c r="H3991" s="164"/>
      <c r="I3991" s="163"/>
      <c r="J3991" s="164"/>
      <c r="K3991" s="163"/>
      <c r="L3991" s="164"/>
      <c r="M3991" s="11"/>
      <c r="N3991" s="39"/>
      <c r="Q3991" s="15" t="str">
        <f>+CONCATENATE(E3990,I3990)</f>
        <v/>
      </c>
      <c r="R3991" s="15">
        <f>+J3990</f>
        <v>0</v>
      </c>
      <c r="S3991" s="16"/>
      <c r="T3991" s="15">
        <f>+E3990</f>
        <v>0</v>
      </c>
      <c r="U3991" s="26" t="str">
        <f>IFERROR(LEFT(I3990,FIND("*",I3990)-1),"-")</f>
        <v>-</v>
      </c>
      <c r="V3991" s="26" t="str">
        <f>IFERROR(RIGHT(I3990,LEN(I3990)-FIND("*",I3990)),"-")</f>
        <v>-</v>
      </c>
      <c r="W3991" s="27" t="str">
        <f t="shared" si="2170"/>
        <v>-</v>
      </c>
      <c r="X3991" s="27" t="str">
        <f t="shared" ref="X3991" si="2175">IFERROR(W3991*J3990,"-")</f>
        <v>-</v>
      </c>
      <c r="Z3991" s="94" t="s">
        <v>82</v>
      </c>
    </row>
    <row r="3992" spans="1:26" s="25" customFormat="1" ht="6.95" customHeight="1" x14ac:dyDescent="0.3">
      <c r="A3992" s="10"/>
      <c r="B3992" s="168"/>
      <c r="C3992" s="169"/>
      <c r="D3992" s="160"/>
      <c r="E3992" s="161"/>
      <c r="F3992" s="162"/>
      <c r="G3992" s="163"/>
      <c r="H3992" s="164"/>
      <c r="I3992" s="163"/>
      <c r="J3992" s="164"/>
      <c r="K3992" s="163"/>
      <c r="L3992" s="164"/>
      <c r="M3992" s="11"/>
      <c r="N3992" s="39"/>
      <c r="Q3992" s="15" t="str">
        <f>+CONCATENATE(E3990,K3990)</f>
        <v/>
      </c>
      <c r="R3992" s="15">
        <f>+L3990</f>
        <v>0</v>
      </c>
      <c r="S3992" s="16"/>
      <c r="T3992" s="15">
        <f>+E3990</f>
        <v>0</v>
      </c>
      <c r="U3992" s="26" t="str">
        <f>IFERROR(LEFT(K3990,FIND("*",K3990)-1),"-")</f>
        <v>-</v>
      </c>
      <c r="V3992" s="26" t="str">
        <f>IFERROR(RIGHT(K3990,LEN(K3990)-FIND("*",K3990)),"-")</f>
        <v>-</v>
      </c>
      <c r="W3992" s="27" t="str">
        <f t="shared" si="2170"/>
        <v>-</v>
      </c>
      <c r="X3992" s="27" t="str">
        <f>IFERROR(W3992*L3990,"-")</f>
        <v>-</v>
      </c>
      <c r="Z3992" s="94" t="s">
        <v>82</v>
      </c>
    </row>
    <row r="3993" spans="1:26" s="25" customFormat="1" ht="21" customHeight="1" thickBot="1" x14ac:dyDescent="0.35">
      <c r="A3993" s="10"/>
      <c r="B3993" s="170"/>
      <c r="C3993" s="171"/>
      <c r="D3993" s="172" t="s">
        <v>43</v>
      </c>
      <c r="E3993" s="173"/>
      <c r="F3993" s="173"/>
      <c r="G3993" s="174"/>
      <c r="H3993" s="174"/>
      <c r="I3993" s="174"/>
      <c r="J3993" s="174"/>
      <c r="K3993" s="174"/>
      <c r="L3993" s="174"/>
      <c r="M3993" s="12"/>
      <c r="N3993" s="39"/>
      <c r="U3993" s="23"/>
      <c r="V3993" s="23"/>
      <c r="Z3993" s="95" t="s">
        <v>81</v>
      </c>
    </row>
    <row r="3994" spans="1:26" s="25" customFormat="1" ht="9.9499999999999993" customHeight="1" thickBot="1" x14ac:dyDescent="0.35">
      <c r="A3994" s="6"/>
      <c r="B3994" s="14"/>
      <c r="C3994" s="119"/>
      <c r="D3994" s="58"/>
      <c r="E3994" s="17"/>
      <c r="F3994" s="58"/>
      <c r="G3994" s="19"/>
      <c r="H3994" s="19"/>
      <c r="I3994" s="19"/>
      <c r="J3994" s="19"/>
      <c r="K3994" s="19"/>
      <c r="L3994" s="19"/>
      <c r="M3994" s="14"/>
      <c r="N3994" s="39"/>
      <c r="Q3994" s="1"/>
      <c r="R3994" s="1"/>
      <c r="S3994" s="1"/>
      <c r="T3994" s="1"/>
      <c r="U3994" s="24"/>
      <c r="V3994" s="24"/>
      <c r="W3994" s="1"/>
      <c r="X3994" s="1"/>
      <c r="Z3994" s="94" t="s">
        <v>82</v>
      </c>
    </row>
    <row r="3995" spans="1:26" s="25" customFormat="1" ht="6.95" customHeight="1" x14ac:dyDescent="0.3">
      <c r="A3995" s="165">
        <f>+A3984+1</f>
        <v>364</v>
      </c>
      <c r="B3995" s="166"/>
      <c r="C3995" s="167"/>
      <c r="D3995" s="160" t="s">
        <v>39</v>
      </c>
      <c r="E3995" s="161"/>
      <c r="F3995" s="162" t="s">
        <v>40</v>
      </c>
      <c r="G3995" s="163"/>
      <c r="H3995" s="164"/>
      <c r="I3995" s="163"/>
      <c r="J3995" s="164"/>
      <c r="K3995" s="163"/>
      <c r="L3995" s="164"/>
      <c r="M3995" s="11"/>
      <c r="N3995" s="39"/>
      <c r="Q3995" s="15" t="str">
        <f>+CONCATENATE(E3995,G3995)</f>
        <v/>
      </c>
      <c r="R3995" s="15">
        <f>+H3995</f>
        <v>0</v>
      </c>
      <c r="S3995" s="16"/>
      <c r="T3995" s="15">
        <f>+E3995</f>
        <v>0</v>
      </c>
      <c r="U3995" s="26" t="str">
        <f>IFERROR(LEFT(G3995,FIND("*",G3995)-1),"-")</f>
        <v>-</v>
      </c>
      <c r="V3995" s="26" t="str">
        <f>IFERROR(RIGHT(G3995,LEN(G3995)-FIND("*",G3995)),"-")</f>
        <v>-</v>
      </c>
      <c r="W3995" s="27" t="str">
        <f>IFERROR((U3995+V3995)*2/1000,"-")</f>
        <v>-</v>
      </c>
      <c r="X3995" s="27" t="str">
        <f>IFERROR(W3995*H3995,"-")</f>
        <v>-</v>
      </c>
      <c r="Z3995" s="94" t="s">
        <v>82</v>
      </c>
    </row>
    <row r="3996" spans="1:26" s="25" customFormat="1" ht="6.95" customHeight="1" x14ac:dyDescent="0.3">
      <c r="A3996" s="165"/>
      <c r="B3996" s="168"/>
      <c r="C3996" s="169"/>
      <c r="D3996" s="160"/>
      <c r="E3996" s="161"/>
      <c r="F3996" s="162"/>
      <c r="G3996" s="163"/>
      <c r="H3996" s="164"/>
      <c r="I3996" s="163"/>
      <c r="J3996" s="164"/>
      <c r="K3996" s="163"/>
      <c r="L3996" s="164"/>
      <c r="M3996" s="11"/>
      <c r="N3996" s="39"/>
      <c r="Q3996" s="15" t="str">
        <f>+CONCATENATE(E3995,I3995)</f>
        <v/>
      </c>
      <c r="R3996" s="15">
        <f>+J3995</f>
        <v>0</v>
      </c>
      <c r="S3996" s="16"/>
      <c r="T3996" s="15">
        <f>+E3995</f>
        <v>0</v>
      </c>
      <c r="U3996" s="26" t="str">
        <f>IFERROR(LEFT(I3995,FIND("*",I3995)-1),"-")</f>
        <v>-</v>
      </c>
      <c r="V3996" s="26" t="str">
        <f>IFERROR(RIGHT(I3995,LEN(I3995)-FIND("*",I3995)),"-")</f>
        <v>-</v>
      </c>
      <c r="W3996" s="27" t="str">
        <f t="shared" ref="W3996:W4003" si="2176">IFERROR((U3996+V3996)*2/1000,"-")</f>
        <v>-</v>
      </c>
      <c r="X3996" s="27" t="str">
        <f>IFERROR(W3996*J3995,"-")</f>
        <v>-</v>
      </c>
      <c r="Z3996" s="94" t="s">
        <v>82</v>
      </c>
    </row>
    <row r="3997" spans="1:26" s="25" customFormat="1" ht="6.95" customHeight="1" x14ac:dyDescent="0.3">
      <c r="A3997" s="165"/>
      <c r="B3997" s="168"/>
      <c r="C3997" s="169"/>
      <c r="D3997" s="160"/>
      <c r="E3997" s="161"/>
      <c r="F3997" s="162"/>
      <c r="G3997" s="163"/>
      <c r="H3997" s="164"/>
      <c r="I3997" s="163"/>
      <c r="J3997" s="164"/>
      <c r="K3997" s="163"/>
      <c r="L3997" s="164"/>
      <c r="M3997" s="11"/>
      <c r="N3997" s="39"/>
      <c r="Q3997" s="15" t="str">
        <f>+CONCATENATE(E3995,K3995)</f>
        <v/>
      </c>
      <c r="R3997" s="15">
        <f>+L3995</f>
        <v>0</v>
      </c>
      <c r="S3997" s="16"/>
      <c r="T3997" s="15">
        <f>+E3995</f>
        <v>0</v>
      </c>
      <c r="U3997" s="26" t="str">
        <f>IFERROR(LEFT(K3995,FIND("*",K3995)-1),"-")</f>
        <v>-</v>
      </c>
      <c r="V3997" s="26" t="str">
        <f>IFERROR(RIGHT(K3995,LEN(K3995)-FIND("*",K3995)),"-")</f>
        <v>-</v>
      </c>
      <c r="W3997" s="27" t="str">
        <f t="shared" si="2176"/>
        <v>-</v>
      </c>
      <c r="X3997" s="27" t="str">
        <f>IFERROR(W3997*L3995,"-")</f>
        <v>-</v>
      </c>
      <c r="Z3997" s="94" t="s">
        <v>82</v>
      </c>
    </row>
    <row r="3998" spans="1:26" s="25" customFormat="1" ht="6.95" customHeight="1" x14ac:dyDescent="0.3">
      <c r="A3998" s="13"/>
      <c r="B3998" s="168"/>
      <c r="C3998" s="169"/>
      <c r="D3998" s="160" t="s">
        <v>39</v>
      </c>
      <c r="E3998" s="161"/>
      <c r="F3998" s="162" t="s">
        <v>40</v>
      </c>
      <c r="G3998" s="163"/>
      <c r="H3998" s="164"/>
      <c r="I3998" s="163"/>
      <c r="J3998" s="164"/>
      <c r="K3998" s="163"/>
      <c r="L3998" s="164"/>
      <c r="M3998" s="11"/>
      <c r="N3998" s="39"/>
      <c r="Q3998" s="15" t="str">
        <f>+CONCATENATE(E3998,G3998)</f>
        <v/>
      </c>
      <c r="R3998" s="15">
        <f>+H3998</f>
        <v>0</v>
      </c>
      <c r="S3998" s="16"/>
      <c r="T3998" s="15">
        <f>+E3998</f>
        <v>0</v>
      </c>
      <c r="U3998" s="26" t="str">
        <f t="shared" ref="U3998" si="2177">IFERROR(LEFT(G3998,FIND("*",G3998)-1),"-")</f>
        <v>-</v>
      </c>
      <c r="V3998" s="26" t="str">
        <f t="shared" ref="V3998" si="2178">IFERROR(RIGHT(G3998,LEN(G3998)-FIND("*",G3998)),"-")</f>
        <v>-</v>
      </c>
      <c r="W3998" s="27" t="str">
        <f t="shared" si="2176"/>
        <v>-</v>
      </c>
      <c r="X3998" s="27" t="str">
        <f>IFERROR(W3998*H3998,"-")</f>
        <v>-</v>
      </c>
      <c r="Z3998" s="94" t="s">
        <v>82</v>
      </c>
    </row>
    <row r="3999" spans="1:26" s="25" customFormat="1" ht="6.95" customHeight="1" x14ac:dyDescent="0.3">
      <c r="A3999" s="10"/>
      <c r="B3999" s="168"/>
      <c r="C3999" s="169"/>
      <c r="D3999" s="160"/>
      <c r="E3999" s="161"/>
      <c r="F3999" s="162"/>
      <c r="G3999" s="163"/>
      <c r="H3999" s="164"/>
      <c r="I3999" s="163"/>
      <c r="J3999" s="164"/>
      <c r="K3999" s="163"/>
      <c r="L3999" s="164"/>
      <c r="M3999" s="11"/>
      <c r="N3999" s="39"/>
      <c r="Q3999" s="15" t="str">
        <f>+CONCATENATE(E3998,I3998)</f>
        <v/>
      </c>
      <c r="R3999" s="15">
        <f>+J3998</f>
        <v>0</v>
      </c>
      <c r="S3999" s="16"/>
      <c r="T3999" s="15">
        <f>+E3998</f>
        <v>0</v>
      </c>
      <c r="U3999" s="26" t="str">
        <f>IFERROR(LEFT(I3998,FIND("*",I3998)-1),"-")</f>
        <v>-</v>
      </c>
      <c r="V3999" s="26" t="str">
        <f>IFERROR(RIGHT(I3998,LEN(I3998)-FIND("*",I3998)),"-")</f>
        <v>-</v>
      </c>
      <c r="W3999" s="27" t="str">
        <f t="shared" si="2176"/>
        <v>-</v>
      </c>
      <c r="X3999" s="27" t="str">
        <f>IFERROR(W3999*J3998,"-")</f>
        <v>-</v>
      </c>
      <c r="Z3999" s="94" t="s">
        <v>82</v>
      </c>
    </row>
    <row r="4000" spans="1:26" s="25" customFormat="1" ht="6.95" customHeight="1" x14ac:dyDescent="0.3">
      <c r="A4000" s="10"/>
      <c r="B4000" s="168"/>
      <c r="C4000" s="169"/>
      <c r="D4000" s="160"/>
      <c r="E4000" s="161"/>
      <c r="F4000" s="162"/>
      <c r="G4000" s="163"/>
      <c r="H4000" s="164"/>
      <c r="I4000" s="163"/>
      <c r="J4000" s="164"/>
      <c r="K4000" s="163"/>
      <c r="L4000" s="164"/>
      <c r="M4000" s="11"/>
      <c r="N4000" s="39"/>
      <c r="Q4000" s="15" t="str">
        <f>+CONCATENATE(E3998,K3998)</f>
        <v/>
      </c>
      <c r="R4000" s="15">
        <f>+L3998</f>
        <v>0</v>
      </c>
      <c r="S4000" s="16"/>
      <c r="T4000" s="15">
        <f>+E3998</f>
        <v>0</v>
      </c>
      <c r="U4000" s="26" t="str">
        <f>IFERROR(LEFT(K3998,FIND("*",K3998)-1),"-")</f>
        <v>-</v>
      </c>
      <c r="V4000" s="26" t="str">
        <f>IFERROR(RIGHT(K3998,LEN(K3998)-FIND("*",K3998)),"-")</f>
        <v>-</v>
      </c>
      <c r="W4000" s="27" t="str">
        <f t="shared" si="2176"/>
        <v>-</v>
      </c>
      <c r="X4000" s="27" t="str">
        <f>IFERROR(W4000*L3998,"-")</f>
        <v>-</v>
      </c>
      <c r="Z4000" s="94" t="s">
        <v>82</v>
      </c>
    </row>
    <row r="4001" spans="1:26" s="25" customFormat="1" ht="6.95" customHeight="1" x14ac:dyDescent="0.3">
      <c r="A4001" s="13"/>
      <c r="B4001" s="168"/>
      <c r="C4001" s="169"/>
      <c r="D4001" s="160" t="s">
        <v>39</v>
      </c>
      <c r="E4001" s="161"/>
      <c r="F4001" s="162" t="s">
        <v>40</v>
      </c>
      <c r="G4001" s="163"/>
      <c r="H4001" s="164"/>
      <c r="I4001" s="163"/>
      <c r="J4001" s="164"/>
      <c r="K4001" s="163"/>
      <c r="L4001" s="164"/>
      <c r="M4001" s="11"/>
      <c r="N4001" s="39"/>
      <c r="Q4001" s="15" t="str">
        <f>+CONCATENATE(E4001,G4001)</f>
        <v/>
      </c>
      <c r="R4001" s="15">
        <f>+H4001</f>
        <v>0</v>
      </c>
      <c r="S4001" s="16"/>
      <c r="T4001" s="15">
        <f>+E4001</f>
        <v>0</v>
      </c>
      <c r="U4001" s="26" t="str">
        <f t="shared" ref="U4001" si="2179">IFERROR(LEFT(G4001,FIND("*",G4001)-1),"-")</f>
        <v>-</v>
      </c>
      <c r="V4001" s="26" t="str">
        <f t="shared" ref="V4001" si="2180">IFERROR(RIGHT(G4001,LEN(G4001)-FIND("*",G4001)),"-")</f>
        <v>-</v>
      </c>
      <c r="W4001" s="27" t="str">
        <f t="shared" si="2176"/>
        <v>-</v>
      </c>
      <c r="X4001" s="27" t="str">
        <f>IFERROR(W4001*H4001,"-")</f>
        <v>-</v>
      </c>
      <c r="Z4001" s="94" t="s">
        <v>82</v>
      </c>
    </row>
    <row r="4002" spans="1:26" s="25" customFormat="1" ht="6.95" customHeight="1" x14ac:dyDescent="0.3">
      <c r="A4002" s="10"/>
      <c r="B4002" s="168"/>
      <c r="C4002" s="169"/>
      <c r="D4002" s="160"/>
      <c r="E4002" s="161"/>
      <c r="F4002" s="162"/>
      <c r="G4002" s="163"/>
      <c r="H4002" s="164"/>
      <c r="I4002" s="163"/>
      <c r="J4002" s="164"/>
      <c r="K4002" s="163"/>
      <c r="L4002" s="164"/>
      <c r="M4002" s="11"/>
      <c r="N4002" s="39"/>
      <c r="Q4002" s="15" t="str">
        <f>+CONCATENATE(E4001,I4001)</f>
        <v/>
      </c>
      <c r="R4002" s="15">
        <f>+J4001</f>
        <v>0</v>
      </c>
      <c r="S4002" s="16"/>
      <c r="T4002" s="15">
        <f>+E4001</f>
        <v>0</v>
      </c>
      <c r="U4002" s="26" t="str">
        <f>IFERROR(LEFT(I4001,FIND("*",I4001)-1),"-")</f>
        <v>-</v>
      </c>
      <c r="V4002" s="26" t="str">
        <f>IFERROR(RIGHT(I4001,LEN(I4001)-FIND("*",I4001)),"-")</f>
        <v>-</v>
      </c>
      <c r="W4002" s="27" t="str">
        <f t="shared" si="2176"/>
        <v>-</v>
      </c>
      <c r="X4002" s="27" t="str">
        <f t="shared" ref="X4002" si="2181">IFERROR(W4002*J4001,"-")</f>
        <v>-</v>
      </c>
      <c r="Z4002" s="94" t="s">
        <v>82</v>
      </c>
    </row>
    <row r="4003" spans="1:26" s="25" customFormat="1" ht="6.95" customHeight="1" x14ac:dyDescent="0.3">
      <c r="A4003" s="10"/>
      <c r="B4003" s="168"/>
      <c r="C4003" s="169"/>
      <c r="D4003" s="160"/>
      <c r="E4003" s="161"/>
      <c r="F4003" s="162"/>
      <c r="G4003" s="163"/>
      <c r="H4003" s="164"/>
      <c r="I4003" s="163"/>
      <c r="J4003" s="164"/>
      <c r="K4003" s="163"/>
      <c r="L4003" s="164"/>
      <c r="M4003" s="11"/>
      <c r="N4003" s="39"/>
      <c r="Q4003" s="15" t="str">
        <f>+CONCATENATE(E4001,K4001)</f>
        <v/>
      </c>
      <c r="R4003" s="15">
        <f>+L4001</f>
        <v>0</v>
      </c>
      <c r="S4003" s="16"/>
      <c r="T4003" s="15">
        <f>+E4001</f>
        <v>0</v>
      </c>
      <c r="U4003" s="26" t="str">
        <f>IFERROR(LEFT(K4001,FIND("*",K4001)-1),"-")</f>
        <v>-</v>
      </c>
      <c r="V4003" s="26" t="str">
        <f>IFERROR(RIGHT(K4001,LEN(K4001)-FIND("*",K4001)),"-")</f>
        <v>-</v>
      </c>
      <c r="W4003" s="27" t="str">
        <f t="shared" si="2176"/>
        <v>-</v>
      </c>
      <c r="X4003" s="27" t="str">
        <f>IFERROR(W4003*L4001,"-")</f>
        <v>-</v>
      </c>
      <c r="Z4003" s="94" t="s">
        <v>82</v>
      </c>
    </row>
    <row r="4004" spans="1:26" s="25" customFormat="1" ht="21" customHeight="1" thickBot="1" x14ac:dyDescent="0.35">
      <c r="A4004" s="10"/>
      <c r="B4004" s="170"/>
      <c r="C4004" s="171"/>
      <c r="D4004" s="172" t="s">
        <v>43</v>
      </c>
      <c r="E4004" s="173"/>
      <c r="F4004" s="173"/>
      <c r="G4004" s="174"/>
      <c r="H4004" s="174"/>
      <c r="I4004" s="174"/>
      <c r="J4004" s="174"/>
      <c r="K4004" s="174"/>
      <c r="L4004" s="174"/>
      <c r="M4004" s="12"/>
      <c r="N4004" s="39"/>
      <c r="U4004" s="23"/>
      <c r="V4004" s="23"/>
      <c r="Z4004" s="95" t="s">
        <v>81</v>
      </c>
    </row>
    <row r="4005" spans="1:26" s="25" customFormat="1" ht="9.9499999999999993" customHeight="1" thickBot="1" x14ac:dyDescent="0.35">
      <c r="A4005" s="6"/>
      <c r="B4005" s="14"/>
      <c r="C4005" s="119"/>
      <c r="D4005" s="58"/>
      <c r="E4005" s="17"/>
      <c r="F4005" s="58"/>
      <c r="G4005" s="19"/>
      <c r="H4005" s="19"/>
      <c r="I4005" s="19"/>
      <c r="J4005" s="19"/>
      <c r="K4005" s="19"/>
      <c r="L4005" s="19"/>
      <c r="M4005" s="14"/>
      <c r="N4005" s="39"/>
      <c r="Q4005" s="1"/>
      <c r="R4005" s="1"/>
      <c r="S4005" s="1"/>
      <c r="T4005" s="1"/>
      <c r="U4005" s="24"/>
      <c r="V4005" s="24"/>
      <c r="W4005" s="1"/>
      <c r="X4005" s="1"/>
      <c r="Z4005" s="94" t="s">
        <v>82</v>
      </c>
    </row>
    <row r="4006" spans="1:26" s="25" customFormat="1" ht="6.95" customHeight="1" x14ac:dyDescent="0.3">
      <c r="A4006" s="165">
        <f>+A3995+1</f>
        <v>365</v>
      </c>
      <c r="B4006" s="166"/>
      <c r="C4006" s="167"/>
      <c r="D4006" s="160" t="s">
        <v>39</v>
      </c>
      <c r="E4006" s="161"/>
      <c r="F4006" s="162" t="s">
        <v>40</v>
      </c>
      <c r="G4006" s="163"/>
      <c r="H4006" s="164"/>
      <c r="I4006" s="163"/>
      <c r="J4006" s="164"/>
      <c r="K4006" s="163"/>
      <c r="L4006" s="164"/>
      <c r="M4006" s="11"/>
      <c r="N4006" s="39"/>
      <c r="Q4006" s="15" t="str">
        <f>+CONCATENATE(E4006,G4006)</f>
        <v/>
      </c>
      <c r="R4006" s="15">
        <f>+H4006</f>
        <v>0</v>
      </c>
      <c r="S4006" s="16"/>
      <c r="T4006" s="15">
        <f>+E4006</f>
        <v>0</v>
      </c>
      <c r="U4006" s="26" t="str">
        <f>IFERROR(LEFT(G4006,FIND("*",G4006)-1),"-")</f>
        <v>-</v>
      </c>
      <c r="V4006" s="26" t="str">
        <f>IFERROR(RIGHT(G4006,LEN(G4006)-FIND("*",G4006)),"-")</f>
        <v>-</v>
      </c>
      <c r="W4006" s="27" t="str">
        <f>IFERROR((U4006+V4006)*2/1000,"-")</f>
        <v>-</v>
      </c>
      <c r="X4006" s="27" t="str">
        <f>IFERROR(W4006*H4006,"-")</f>
        <v>-</v>
      </c>
      <c r="Z4006" s="94" t="s">
        <v>82</v>
      </c>
    </row>
    <row r="4007" spans="1:26" s="25" customFormat="1" ht="6.95" customHeight="1" x14ac:dyDescent="0.3">
      <c r="A4007" s="165"/>
      <c r="B4007" s="168"/>
      <c r="C4007" s="169"/>
      <c r="D4007" s="160"/>
      <c r="E4007" s="161"/>
      <c r="F4007" s="162"/>
      <c r="G4007" s="163"/>
      <c r="H4007" s="164"/>
      <c r="I4007" s="163"/>
      <c r="J4007" s="164"/>
      <c r="K4007" s="163"/>
      <c r="L4007" s="164"/>
      <c r="M4007" s="11"/>
      <c r="N4007" s="39"/>
      <c r="Q4007" s="15" t="str">
        <f>+CONCATENATE(E4006,I4006)</f>
        <v/>
      </c>
      <c r="R4007" s="15">
        <f>+J4006</f>
        <v>0</v>
      </c>
      <c r="S4007" s="16"/>
      <c r="T4007" s="15">
        <f>+E4006</f>
        <v>0</v>
      </c>
      <c r="U4007" s="26" t="str">
        <f>IFERROR(LEFT(I4006,FIND("*",I4006)-1),"-")</f>
        <v>-</v>
      </c>
      <c r="V4007" s="26" t="str">
        <f>IFERROR(RIGHT(I4006,LEN(I4006)-FIND("*",I4006)),"-")</f>
        <v>-</v>
      </c>
      <c r="W4007" s="27" t="str">
        <f t="shared" ref="W4007:W4014" si="2182">IFERROR((U4007+V4007)*2/1000,"-")</f>
        <v>-</v>
      </c>
      <c r="X4007" s="27" t="str">
        <f>IFERROR(W4007*J4006,"-")</f>
        <v>-</v>
      </c>
      <c r="Z4007" s="94" t="s">
        <v>82</v>
      </c>
    </row>
    <row r="4008" spans="1:26" s="25" customFormat="1" ht="6.95" customHeight="1" x14ac:dyDescent="0.3">
      <c r="A4008" s="165"/>
      <c r="B4008" s="168"/>
      <c r="C4008" s="169"/>
      <c r="D4008" s="160"/>
      <c r="E4008" s="161"/>
      <c r="F4008" s="162"/>
      <c r="G4008" s="163"/>
      <c r="H4008" s="164"/>
      <c r="I4008" s="163"/>
      <c r="J4008" s="164"/>
      <c r="K4008" s="163"/>
      <c r="L4008" s="164"/>
      <c r="M4008" s="11"/>
      <c r="N4008" s="39"/>
      <c r="Q4008" s="15" t="str">
        <f>+CONCATENATE(E4006,K4006)</f>
        <v/>
      </c>
      <c r="R4008" s="15">
        <f>+L4006</f>
        <v>0</v>
      </c>
      <c r="S4008" s="16"/>
      <c r="T4008" s="15">
        <f>+E4006</f>
        <v>0</v>
      </c>
      <c r="U4008" s="26" t="str">
        <f>IFERROR(LEFT(K4006,FIND("*",K4006)-1),"-")</f>
        <v>-</v>
      </c>
      <c r="V4008" s="26" t="str">
        <f>IFERROR(RIGHT(K4006,LEN(K4006)-FIND("*",K4006)),"-")</f>
        <v>-</v>
      </c>
      <c r="W4008" s="27" t="str">
        <f t="shared" si="2182"/>
        <v>-</v>
      </c>
      <c r="X4008" s="27" t="str">
        <f>IFERROR(W4008*L4006,"-")</f>
        <v>-</v>
      </c>
      <c r="Z4008" s="94" t="s">
        <v>82</v>
      </c>
    </row>
    <row r="4009" spans="1:26" s="25" customFormat="1" ht="6.95" customHeight="1" x14ac:dyDescent="0.3">
      <c r="A4009" s="13"/>
      <c r="B4009" s="168"/>
      <c r="C4009" s="169"/>
      <c r="D4009" s="160" t="s">
        <v>39</v>
      </c>
      <c r="E4009" s="161"/>
      <c r="F4009" s="162" t="s">
        <v>40</v>
      </c>
      <c r="G4009" s="163"/>
      <c r="H4009" s="164"/>
      <c r="I4009" s="163"/>
      <c r="J4009" s="164"/>
      <c r="K4009" s="163"/>
      <c r="L4009" s="164"/>
      <c r="M4009" s="11"/>
      <c r="N4009" s="39"/>
      <c r="Q4009" s="15" t="str">
        <f>+CONCATENATE(E4009,G4009)</f>
        <v/>
      </c>
      <c r="R4009" s="15">
        <f>+H4009</f>
        <v>0</v>
      </c>
      <c r="S4009" s="16"/>
      <c r="T4009" s="15">
        <f>+E4009</f>
        <v>0</v>
      </c>
      <c r="U4009" s="26" t="str">
        <f t="shared" ref="U4009" si="2183">IFERROR(LEFT(G4009,FIND("*",G4009)-1),"-")</f>
        <v>-</v>
      </c>
      <c r="V4009" s="26" t="str">
        <f t="shared" ref="V4009" si="2184">IFERROR(RIGHT(G4009,LEN(G4009)-FIND("*",G4009)),"-")</f>
        <v>-</v>
      </c>
      <c r="W4009" s="27" t="str">
        <f t="shared" si="2182"/>
        <v>-</v>
      </c>
      <c r="X4009" s="27" t="str">
        <f>IFERROR(W4009*H4009,"-")</f>
        <v>-</v>
      </c>
      <c r="Z4009" s="94" t="s">
        <v>82</v>
      </c>
    </row>
    <row r="4010" spans="1:26" s="25" customFormat="1" ht="6.95" customHeight="1" x14ac:dyDescent="0.3">
      <c r="A4010" s="10"/>
      <c r="B4010" s="168"/>
      <c r="C4010" s="169"/>
      <c r="D4010" s="160"/>
      <c r="E4010" s="161"/>
      <c r="F4010" s="162"/>
      <c r="G4010" s="163"/>
      <c r="H4010" s="164"/>
      <c r="I4010" s="163"/>
      <c r="J4010" s="164"/>
      <c r="K4010" s="163"/>
      <c r="L4010" s="164"/>
      <c r="M4010" s="11"/>
      <c r="N4010" s="39"/>
      <c r="Q4010" s="15" t="str">
        <f>+CONCATENATE(E4009,I4009)</f>
        <v/>
      </c>
      <c r="R4010" s="15">
        <f>+J4009</f>
        <v>0</v>
      </c>
      <c r="S4010" s="16"/>
      <c r="T4010" s="15">
        <f>+E4009</f>
        <v>0</v>
      </c>
      <c r="U4010" s="26" t="str">
        <f>IFERROR(LEFT(I4009,FIND("*",I4009)-1),"-")</f>
        <v>-</v>
      </c>
      <c r="V4010" s="26" t="str">
        <f>IFERROR(RIGHT(I4009,LEN(I4009)-FIND("*",I4009)),"-")</f>
        <v>-</v>
      </c>
      <c r="W4010" s="27" t="str">
        <f t="shared" si="2182"/>
        <v>-</v>
      </c>
      <c r="X4010" s="27" t="str">
        <f>IFERROR(W4010*J4009,"-")</f>
        <v>-</v>
      </c>
      <c r="Z4010" s="94" t="s">
        <v>82</v>
      </c>
    </row>
    <row r="4011" spans="1:26" s="25" customFormat="1" ht="6.95" customHeight="1" x14ac:dyDescent="0.3">
      <c r="A4011" s="10"/>
      <c r="B4011" s="168"/>
      <c r="C4011" s="169"/>
      <c r="D4011" s="160"/>
      <c r="E4011" s="161"/>
      <c r="F4011" s="162"/>
      <c r="G4011" s="163"/>
      <c r="H4011" s="164"/>
      <c r="I4011" s="163"/>
      <c r="J4011" s="164"/>
      <c r="K4011" s="163"/>
      <c r="L4011" s="164"/>
      <c r="M4011" s="11"/>
      <c r="N4011" s="39"/>
      <c r="Q4011" s="15" t="str">
        <f>+CONCATENATE(E4009,K4009)</f>
        <v/>
      </c>
      <c r="R4011" s="15">
        <f>+L4009</f>
        <v>0</v>
      </c>
      <c r="S4011" s="16"/>
      <c r="T4011" s="15">
        <f>+E4009</f>
        <v>0</v>
      </c>
      <c r="U4011" s="26" t="str">
        <f>IFERROR(LEFT(K4009,FIND("*",K4009)-1),"-")</f>
        <v>-</v>
      </c>
      <c r="V4011" s="26" t="str">
        <f>IFERROR(RIGHT(K4009,LEN(K4009)-FIND("*",K4009)),"-")</f>
        <v>-</v>
      </c>
      <c r="W4011" s="27" t="str">
        <f t="shared" si="2182"/>
        <v>-</v>
      </c>
      <c r="X4011" s="27" t="str">
        <f>IFERROR(W4011*L4009,"-")</f>
        <v>-</v>
      </c>
      <c r="Z4011" s="94" t="s">
        <v>82</v>
      </c>
    </row>
    <row r="4012" spans="1:26" s="25" customFormat="1" ht="6.95" customHeight="1" x14ac:dyDescent="0.3">
      <c r="A4012" s="13"/>
      <c r="B4012" s="168"/>
      <c r="C4012" s="169"/>
      <c r="D4012" s="160" t="s">
        <v>39</v>
      </c>
      <c r="E4012" s="161"/>
      <c r="F4012" s="162" t="s">
        <v>40</v>
      </c>
      <c r="G4012" s="163"/>
      <c r="H4012" s="164"/>
      <c r="I4012" s="163"/>
      <c r="J4012" s="164"/>
      <c r="K4012" s="163"/>
      <c r="L4012" s="164"/>
      <c r="M4012" s="11"/>
      <c r="N4012" s="39"/>
      <c r="Q4012" s="15" t="str">
        <f>+CONCATENATE(E4012,G4012)</f>
        <v/>
      </c>
      <c r="R4012" s="15">
        <f>+H4012</f>
        <v>0</v>
      </c>
      <c r="S4012" s="16"/>
      <c r="T4012" s="15">
        <f>+E4012</f>
        <v>0</v>
      </c>
      <c r="U4012" s="26" t="str">
        <f t="shared" ref="U4012" si="2185">IFERROR(LEFT(G4012,FIND("*",G4012)-1),"-")</f>
        <v>-</v>
      </c>
      <c r="V4012" s="26" t="str">
        <f t="shared" ref="V4012" si="2186">IFERROR(RIGHT(G4012,LEN(G4012)-FIND("*",G4012)),"-")</f>
        <v>-</v>
      </c>
      <c r="W4012" s="27" t="str">
        <f t="shared" si="2182"/>
        <v>-</v>
      </c>
      <c r="X4012" s="27" t="str">
        <f>IFERROR(W4012*H4012,"-")</f>
        <v>-</v>
      </c>
      <c r="Z4012" s="94" t="s">
        <v>82</v>
      </c>
    </row>
    <row r="4013" spans="1:26" s="25" customFormat="1" ht="6.95" customHeight="1" x14ac:dyDescent="0.3">
      <c r="A4013" s="10"/>
      <c r="B4013" s="168"/>
      <c r="C4013" s="169"/>
      <c r="D4013" s="160"/>
      <c r="E4013" s="161"/>
      <c r="F4013" s="162"/>
      <c r="G4013" s="163"/>
      <c r="H4013" s="164"/>
      <c r="I4013" s="163"/>
      <c r="J4013" s="164"/>
      <c r="K4013" s="163"/>
      <c r="L4013" s="164"/>
      <c r="M4013" s="11"/>
      <c r="N4013" s="39"/>
      <c r="Q4013" s="15" t="str">
        <f>+CONCATENATE(E4012,I4012)</f>
        <v/>
      </c>
      <c r="R4013" s="15">
        <f>+J4012</f>
        <v>0</v>
      </c>
      <c r="S4013" s="16"/>
      <c r="T4013" s="15">
        <f>+E4012</f>
        <v>0</v>
      </c>
      <c r="U4013" s="26" t="str">
        <f>IFERROR(LEFT(I4012,FIND("*",I4012)-1),"-")</f>
        <v>-</v>
      </c>
      <c r="V4013" s="26" t="str">
        <f>IFERROR(RIGHT(I4012,LEN(I4012)-FIND("*",I4012)),"-")</f>
        <v>-</v>
      </c>
      <c r="W4013" s="27" t="str">
        <f t="shared" si="2182"/>
        <v>-</v>
      </c>
      <c r="X4013" s="27" t="str">
        <f t="shared" ref="X4013" si="2187">IFERROR(W4013*J4012,"-")</f>
        <v>-</v>
      </c>
      <c r="Z4013" s="94" t="s">
        <v>82</v>
      </c>
    </row>
    <row r="4014" spans="1:26" s="25" customFormat="1" ht="6.95" customHeight="1" x14ac:dyDescent="0.3">
      <c r="A4014" s="10"/>
      <c r="B4014" s="168"/>
      <c r="C4014" s="169"/>
      <c r="D4014" s="160"/>
      <c r="E4014" s="161"/>
      <c r="F4014" s="162"/>
      <c r="G4014" s="163"/>
      <c r="H4014" s="164"/>
      <c r="I4014" s="163"/>
      <c r="J4014" s="164"/>
      <c r="K4014" s="163"/>
      <c r="L4014" s="164"/>
      <c r="M4014" s="11"/>
      <c r="N4014" s="39"/>
      <c r="Q4014" s="15" t="str">
        <f>+CONCATENATE(E4012,K4012)</f>
        <v/>
      </c>
      <c r="R4014" s="15">
        <f>+L4012</f>
        <v>0</v>
      </c>
      <c r="S4014" s="16"/>
      <c r="T4014" s="15">
        <f>+E4012</f>
        <v>0</v>
      </c>
      <c r="U4014" s="26" t="str">
        <f>IFERROR(LEFT(K4012,FIND("*",K4012)-1),"-")</f>
        <v>-</v>
      </c>
      <c r="V4014" s="26" t="str">
        <f>IFERROR(RIGHT(K4012,LEN(K4012)-FIND("*",K4012)),"-")</f>
        <v>-</v>
      </c>
      <c r="W4014" s="27" t="str">
        <f t="shared" si="2182"/>
        <v>-</v>
      </c>
      <c r="X4014" s="27" t="str">
        <f>IFERROR(W4014*L4012,"-")</f>
        <v>-</v>
      </c>
      <c r="Z4014" s="94" t="s">
        <v>82</v>
      </c>
    </row>
    <row r="4015" spans="1:26" s="25" customFormat="1" ht="21" customHeight="1" thickBot="1" x14ac:dyDescent="0.35">
      <c r="A4015" s="10"/>
      <c r="B4015" s="170"/>
      <c r="C4015" s="171"/>
      <c r="D4015" s="172" t="s">
        <v>43</v>
      </c>
      <c r="E4015" s="173"/>
      <c r="F4015" s="173"/>
      <c r="G4015" s="174"/>
      <c r="H4015" s="174"/>
      <c r="I4015" s="174"/>
      <c r="J4015" s="174"/>
      <c r="K4015" s="174"/>
      <c r="L4015" s="174"/>
      <c r="M4015" s="12"/>
      <c r="N4015" s="39"/>
      <c r="U4015" s="23"/>
      <c r="V4015" s="23"/>
      <c r="Z4015" s="95" t="s">
        <v>81</v>
      </c>
    </row>
    <row r="4016" spans="1:26" s="25" customFormat="1" ht="9.9499999999999993" customHeight="1" thickBot="1" x14ac:dyDescent="0.35">
      <c r="A4016" s="6"/>
      <c r="B4016" s="14"/>
      <c r="C4016" s="119"/>
      <c r="D4016" s="58"/>
      <c r="E4016" s="17"/>
      <c r="F4016" s="58"/>
      <c r="G4016" s="19"/>
      <c r="H4016" s="19"/>
      <c r="I4016" s="19"/>
      <c r="J4016" s="19"/>
      <c r="K4016" s="19"/>
      <c r="L4016" s="19"/>
      <c r="M4016" s="14"/>
      <c r="N4016" s="39"/>
      <c r="Q4016" s="1"/>
      <c r="R4016" s="1"/>
      <c r="S4016" s="1"/>
      <c r="T4016" s="1"/>
      <c r="U4016" s="24"/>
      <c r="V4016" s="24"/>
      <c r="W4016" s="1"/>
      <c r="X4016" s="1"/>
      <c r="Z4016" s="94" t="s">
        <v>82</v>
      </c>
    </row>
    <row r="4017" spans="1:26" s="25" customFormat="1" ht="6.95" customHeight="1" x14ac:dyDescent="0.3">
      <c r="A4017" s="165">
        <f>+A4006+1</f>
        <v>366</v>
      </c>
      <c r="B4017" s="166"/>
      <c r="C4017" s="167"/>
      <c r="D4017" s="160" t="s">
        <v>39</v>
      </c>
      <c r="E4017" s="161"/>
      <c r="F4017" s="162" t="s">
        <v>40</v>
      </c>
      <c r="G4017" s="163"/>
      <c r="H4017" s="164"/>
      <c r="I4017" s="163"/>
      <c r="J4017" s="164"/>
      <c r="K4017" s="163"/>
      <c r="L4017" s="164"/>
      <c r="M4017" s="11"/>
      <c r="N4017" s="39"/>
      <c r="Q4017" s="15" t="str">
        <f>+CONCATENATE(E4017,G4017)</f>
        <v/>
      </c>
      <c r="R4017" s="15">
        <f>+H4017</f>
        <v>0</v>
      </c>
      <c r="S4017" s="16"/>
      <c r="T4017" s="15">
        <f>+E4017</f>
        <v>0</v>
      </c>
      <c r="U4017" s="26" t="str">
        <f>IFERROR(LEFT(G4017,FIND("*",G4017)-1),"-")</f>
        <v>-</v>
      </c>
      <c r="V4017" s="26" t="str">
        <f>IFERROR(RIGHT(G4017,LEN(G4017)-FIND("*",G4017)),"-")</f>
        <v>-</v>
      </c>
      <c r="W4017" s="27" t="str">
        <f>IFERROR((U4017+V4017)*2/1000,"-")</f>
        <v>-</v>
      </c>
      <c r="X4017" s="27" t="str">
        <f>IFERROR(W4017*H4017,"-")</f>
        <v>-</v>
      </c>
      <c r="Z4017" s="94" t="s">
        <v>82</v>
      </c>
    </row>
    <row r="4018" spans="1:26" s="25" customFormat="1" ht="6.95" customHeight="1" x14ac:dyDescent="0.3">
      <c r="A4018" s="165"/>
      <c r="B4018" s="168"/>
      <c r="C4018" s="169"/>
      <c r="D4018" s="160"/>
      <c r="E4018" s="161"/>
      <c r="F4018" s="162"/>
      <c r="G4018" s="163"/>
      <c r="H4018" s="164"/>
      <c r="I4018" s="163"/>
      <c r="J4018" s="164"/>
      <c r="K4018" s="163"/>
      <c r="L4018" s="164"/>
      <c r="M4018" s="11"/>
      <c r="N4018" s="39"/>
      <c r="Q4018" s="15" t="str">
        <f>+CONCATENATE(E4017,I4017)</f>
        <v/>
      </c>
      <c r="R4018" s="15">
        <f>+J4017</f>
        <v>0</v>
      </c>
      <c r="S4018" s="16"/>
      <c r="T4018" s="15">
        <f>+E4017</f>
        <v>0</v>
      </c>
      <c r="U4018" s="26" t="str">
        <f>IFERROR(LEFT(I4017,FIND("*",I4017)-1),"-")</f>
        <v>-</v>
      </c>
      <c r="V4018" s="26" t="str">
        <f>IFERROR(RIGHT(I4017,LEN(I4017)-FIND("*",I4017)),"-")</f>
        <v>-</v>
      </c>
      <c r="W4018" s="27" t="str">
        <f t="shared" ref="W4018:W4025" si="2188">IFERROR((U4018+V4018)*2/1000,"-")</f>
        <v>-</v>
      </c>
      <c r="X4018" s="27" t="str">
        <f>IFERROR(W4018*J4017,"-")</f>
        <v>-</v>
      </c>
      <c r="Z4018" s="94" t="s">
        <v>82</v>
      </c>
    </row>
    <row r="4019" spans="1:26" s="25" customFormat="1" ht="6.95" customHeight="1" x14ac:dyDescent="0.3">
      <c r="A4019" s="165"/>
      <c r="B4019" s="168"/>
      <c r="C4019" s="169"/>
      <c r="D4019" s="160"/>
      <c r="E4019" s="161"/>
      <c r="F4019" s="162"/>
      <c r="G4019" s="163"/>
      <c r="H4019" s="164"/>
      <c r="I4019" s="163"/>
      <c r="J4019" s="164"/>
      <c r="K4019" s="163"/>
      <c r="L4019" s="164"/>
      <c r="M4019" s="11"/>
      <c r="N4019" s="39"/>
      <c r="Q4019" s="15" t="str">
        <f>+CONCATENATE(E4017,K4017)</f>
        <v/>
      </c>
      <c r="R4019" s="15">
        <f>+L4017</f>
        <v>0</v>
      </c>
      <c r="S4019" s="16"/>
      <c r="T4019" s="15">
        <f>+E4017</f>
        <v>0</v>
      </c>
      <c r="U4019" s="26" t="str">
        <f>IFERROR(LEFT(K4017,FIND("*",K4017)-1),"-")</f>
        <v>-</v>
      </c>
      <c r="V4019" s="26" t="str">
        <f>IFERROR(RIGHT(K4017,LEN(K4017)-FIND("*",K4017)),"-")</f>
        <v>-</v>
      </c>
      <c r="W4019" s="27" t="str">
        <f t="shared" si="2188"/>
        <v>-</v>
      </c>
      <c r="X4019" s="27" t="str">
        <f>IFERROR(W4019*L4017,"-")</f>
        <v>-</v>
      </c>
      <c r="Z4019" s="94" t="s">
        <v>82</v>
      </c>
    </row>
    <row r="4020" spans="1:26" s="25" customFormat="1" ht="6.95" customHeight="1" x14ac:dyDescent="0.3">
      <c r="A4020" s="13"/>
      <c r="B4020" s="168"/>
      <c r="C4020" s="169"/>
      <c r="D4020" s="160" t="s">
        <v>39</v>
      </c>
      <c r="E4020" s="161"/>
      <c r="F4020" s="162" t="s">
        <v>40</v>
      </c>
      <c r="G4020" s="163"/>
      <c r="H4020" s="164"/>
      <c r="I4020" s="163"/>
      <c r="J4020" s="164"/>
      <c r="K4020" s="163"/>
      <c r="L4020" s="164"/>
      <c r="M4020" s="11"/>
      <c r="N4020" s="39"/>
      <c r="Q4020" s="15" t="str">
        <f>+CONCATENATE(E4020,G4020)</f>
        <v/>
      </c>
      <c r="R4020" s="15">
        <f>+H4020</f>
        <v>0</v>
      </c>
      <c r="S4020" s="16"/>
      <c r="T4020" s="15">
        <f>+E4020</f>
        <v>0</v>
      </c>
      <c r="U4020" s="26" t="str">
        <f t="shared" ref="U4020" si="2189">IFERROR(LEFT(G4020,FIND("*",G4020)-1),"-")</f>
        <v>-</v>
      </c>
      <c r="V4020" s="26" t="str">
        <f t="shared" ref="V4020" si="2190">IFERROR(RIGHT(G4020,LEN(G4020)-FIND("*",G4020)),"-")</f>
        <v>-</v>
      </c>
      <c r="W4020" s="27" t="str">
        <f t="shared" si="2188"/>
        <v>-</v>
      </c>
      <c r="X4020" s="27" t="str">
        <f>IFERROR(W4020*H4020,"-")</f>
        <v>-</v>
      </c>
      <c r="Z4020" s="94" t="s">
        <v>82</v>
      </c>
    </row>
    <row r="4021" spans="1:26" s="25" customFormat="1" ht="6.95" customHeight="1" x14ac:dyDescent="0.3">
      <c r="A4021" s="10"/>
      <c r="B4021" s="168"/>
      <c r="C4021" s="169"/>
      <c r="D4021" s="160"/>
      <c r="E4021" s="161"/>
      <c r="F4021" s="162"/>
      <c r="G4021" s="163"/>
      <c r="H4021" s="164"/>
      <c r="I4021" s="163"/>
      <c r="J4021" s="164"/>
      <c r="K4021" s="163"/>
      <c r="L4021" s="164"/>
      <c r="M4021" s="11"/>
      <c r="N4021" s="39"/>
      <c r="Q4021" s="15" t="str">
        <f>+CONCATENATE(E4020,I4020)</f>
        <v/>
      </c>
      <c r="R4021" s="15">
        <f>+J4020</f>
        <v>0</v>
      </c>
      <c r="S4021" s="16"/>
      <c r="T4021" s="15">
        <f>+E4020</f>
        <v>0</v>
      </c>
      <c r="U4021" s="26" t="str">
        <f>IFERROR(LEFT(I4020,FIND("*",I4020)-1),"-")</f>
        <v>-</v>
      </c>
      <c r="V4021" s="26" t="str">
        <f>IFERROR(RIGHT(I4020,LEN(I4020)-FIND("*",I4020)),"-")</f>
        <v>-</v>
      </c>
      <c r="W4021" s="27" t="str">
        <f t="shared" si="2188"/>
        <v>-</v>
      </c>
      <c r="X4021" s="27" t="str">
        <f>IFERROR(W4021*J4020,"-")</f>
        <v>-</v>
      </c>
      <c r="Z4021" s="94" t="s">
        <v>82</v>
      </c>
    </row>
    <row r="4022" spans="1:26" s="25" customFormat="1" ht="6.95" customHeight="1" x14ac:dyDescent="0.3">
      <c r="A4022" s="10"/>
      <c r="B4022" s="168"/>
      <c r="C4022" s="169"/>
      <c r="D4022" s="160"/>
      <c r="E4022" s="161"/>
      <c r="F4022" s="162"/>
      <c r="G4022" s="163"/>
      <c r="H4022" s="164"/>
      <c r="I4022" s="163"/>
      <c r="J4022" s="164"/>
      <c r="K4022" s="163"/>
      <c r="L4022" s="164"/>
      <c r="M4022" s="11"/>
      <c r="N4022" s="39"/>
      <c r="Q4022" s="15" t="str">
        <f>+CONCATENATE(E4020,K4020)</f>
        <v/>
      </c>
      <c r="R4022" s="15">
        <f>+L4020</f>
        <v>0</v>
      </c>
      <c r="S4022" s="16"/>
      <c r="T4022" s="15">
        <f>+E4020</f>
        <v>0</v>
      </c>
      <c r="U4022" s="26" t="str">
        <f>IFERROR(LEFT(K4020,FIND("*",K4020)-1),"-")</f>
        <v>-</v>
      </c>
      <c r="V4022" s="26" t="str">
        <f>IFERROR(RIGHT(K4020,LEN(K4020)-FIND("*",K4020)),"-")</f>
        <v>-</v>
      </c>
      <c r="W4022" s="27" t="str">
        <f t="shared" si="2188"/>
        <v>-</v>
      </c>
      <c r="X4022" s="27" t="str">
        <f>IFERROR(W4022*L4020,"-")</f>
        <v>-</v>
      </c>
      <c r="Z4022" s="94" t="s">
        <v>82</v>
      </c>
    </row>
    <row r="4023" spans="1:26" s="25" customFormat="1" ht="6.95" customHeight="1" x14ac:dyDescent="0.3">
      <c r="A4023" s="13"/>
      <c r="B4023" s="168"/>
      <c r="C4023" s="169"/>
      <c r="D4023" s="160" t="s">
        <v>39</v>
      </c>
      <c r="E4023" s="161"/>
      <c r="F4023" s="162" t="s">
        <v>40</v>
      </c>
      <c r="G4023" s="163"/>
      <c r="H4023" s="164"/>
      <c r="I4023" s="163"/>
      <c r="J4023" s="164"/>
      <c r="K4023" s="163"/>
      <c r="L4023" s="164"/>
      <c r="M4023" s="11"/>
      <c r="N4023" s="39"/>
      <c r="Q4023" s="15" t="str">
        <f>+CONCATENATE(E4023,G4023)</f>
        <v/>
      </c>
      <c r="R4023" s="15">
        <f>+H4023</f>
        <v>0</v>
      </c>
      <c r="S4023" s="16"/>
      <c r="T4023" s="15">
        <f>+E4023</f>
        <v>0</v>
      </c>
      <c r="U4023" s="26" t="str">
        <f t="shared" ref="U4023" si="2191">IFERROR(LEFT(G4023,FIND("*",G4023)-1),"-")</f>
        <v>-</v>
      </c>
      <c r="V4023" s="26" t="str">
        <f t="shared" ref="V4023" si="2192">IFERROR(RIGHT(G4023,LEN(G4023)-FIND("*",G4023)),"-")</f>
        <v>-</v>
      </c>
      <c r="W4023" s="27" t="str">
        <f t="shared" si="2188"/>
        <v>-</v>
      </c>
      <c r="X4023" s="27" t="str">
        <f>IFERROR(W4023*H4023,"-")</f>
        <v>-</v>
      </c>
      <c r="Z4023" s="94" t="s">
        <v>82</v>
      </c>
    </row>
    <row r="4024" spans="1:26" s="25" customFormat="1" ht="6.95" customHeight="1" x14ac:dyDescent="0.3">
      <c r="A4024" s="10"/>
      <c r="B4024" s="168"/>
      <c r="C4024" s="169"/>
      <c r="D4024" s="160"/>
      <c r="E4024" s="161"/>
      <c r="F4024" s="162"/>
      <c r="G4024" s="163"/>
      <c r="H4024" s="164"/>
      <c r="I4024" s="163"/>
      <c r="J4024" s="164"/>
      <c r="K4024" s="163"/>
      <c r="L4024" s="164"/>
      <c r="M4024" s="11"/>
      <c r="N4024" s="39"/>
      <c r="Q4024" s="15" t="str">
        <f>+CONCATENATE(E4023,I4023)</f>
        <v/>
      </c>
      <c r="R4024" s="15">
        <f>+J4023</f>
        <v>0</v>
      </c>
      <c r="S4024" s="16"/>
      <c r="T4024" s="15">
        <f>+E4023</f>
        <v>0</v>
      </c>
      <c r="U4024" s="26" t="str">
        <f>IFERROR(LEFT(I4023,FIND("*",I4023)-1),"-")</f>
        <v>-</v>
      </c>
      <c r="V4024" s="26" t="str">
        <f>IFERROR(RIGHT(I4023,LEN(I4023)-FIND("*",I4023)),"-")</f>
        <v>-</v>
      </c>
      <c r="W4024" s="27" t="str">
        <f t="shared" si="2188"/>
        <v>-</v>
      </c>
      <c r="X4024" s="27" t="str">
        <f t="shared" ref="X4024" si="2193">IFERROR(W4024*J4023,"-")</f>
        <v>-</v>
      </c>
      <c r="Z4024" s="94" t="s">
        <v>82</v>
      </c>
    </row>
    <row r="4025" spans="1:26" s="25" customFormat="1" ht="6.95" customHeight="1" x14ac:dyDescent="0.3">
      <c r="A4025" s="10"/>
      <c r="B4025" s="168"/>
      <c r="C4025" s="169"/>
      <c r="D4025" s="160"/>
      <c r="E4025" s="161"/>
      <c r="F4025" s="162"/>
      <c r="G4025" s="163"/>
      <c r="H4025" s="164"/>
      <c r="I4025" s="163"/>
      <c r="J4025" s="164"/>
      <c r="K4025" s="163"/>
      <c r="L4025" s="164"/>
      <c r="M4025" s="11"/>
      <c r="N4025" s="39"/>
      <c r="Q4025" s="15" t="str">
        <f>+CONCATENATE(E4023,K4023)</f>
        <v/>
      </c>
      <c r="R4025" s="15">
        <f>+L4023</f>
        <v>0</v>
      </c>
      <c r="S4025" s="16"/>
      <c r="T4025" s="15">
        <f>+E4023</f>
        <v>0</v>
      </c>
      <c r="U4025" s="26" t="str">
        <f>IFERROR(LEFT(K4023,FIND("*",K4023)-1),"-")</f>
        <v>-</v>
      </c>
      <c r="V4025" s="26" t="str">
        <f>IFERROR(RIGHT(K4023,LEN(K4023)-FIND("*",K4023)),"-")</f>
        <v>-</v>
      </c>
      <c r="W4025" s="27" t="str">
        <f t="shared" si="2188"/>
        <v>-</v>
      </c>
      <c r="X4025" s="27" t="str">
        <f>IFERROR(W4025*L4023,"-")</f>
        <v>-</v>
      </c>
      <c r="Z4025" s="94" t="s">
        <v>82</v>
      </c>
    </row>
    <row r="4026" spans="1:26" s="25" customFormat="1" ht="21" customHeight="1" thickBot="1" x14ac:dyDescent="0.35">
      <c r="A4026" s="10"/>
      <c r="B4026" s="170"/>
      <c r="C4026" s="171"/>
      <c r="D4026" s="172" t="s">
        <v>43</v>
      </c>
      <c r="E4026" s="173"/>
      <c r="F4026" s="173"/>
      <c r="G4026" s="174"/>
      <c r="H4026" s="174"/>
      <c r="I4026" s="174"/>
      <c r="J4026" s="174"/>
      <c r="K4026" s="174"/>
      <c r="L4026" s="174"/>
      <c r="M4026" s="12"/>
      <c r="N4026" s="39"/>
      <c r="U4026" s="23"/>
      <c r="V4026" s="23"/>
      <c r="Z4026" s="95" t="s">
        <v>81</v>
      </c>
    </row>
    <row r="4027" spans="1:26" s="25" customFormat="1" ht="9.9499999999999993" customHeight="1" thickBot="1" x14ac:dyDescent="0.35">
      <c r="A4027" s="6"/>
      <c r="B4027" s="14"/>
      <c r="C4027" s="119"/>
      <c r="D4027" s="58"/>
      <c r="E4027" s="17"/>
      <c r="F4027" s="58"/>
      <c r="G4027" s="19"/>
      <c r="H4027" s="19"/>
      <c r="I4027" s="19"/>
      <c r="J4027" s="19"/>
      <c r="K4027" s="19"/>
      <c r="L4027" s="19"/>
      <c r="M4027" s="14"/>
      <c r="N4027" s="39"/>
      <c r="Q4027" s="1"/>
      <c r="R4027" s="1"/>
      <c r="S4027" s="1"/>
      <c r="T4027" s="1"/>
      <c r="U4027" s="24"/>
      <c r="V4027" s="24"/>
      <c r="W4027" s="1"/>
      <c r="X4027" s="1"/>
      <c r="Z4027" s="94" t="s">
        <v>82</v>
      </c>
    </row>
    <row r="4028" spans="1:26" s="25" customFormat="1" ht="6.95" customHeight="1" x14ac:dyDescent="0.3">
      <c r="A4028" s="165">
        <f>+A4017+1</f>
        <v>367</v>
      </c>
      <c r="B4028" s="166"/>
      <c r="C4028" s="167"/>
      <c r="D4028" s="160" t="s">
        <v>39</v>
      </c>
      <c r="E4028" s="161"/>
      <c r="F4028" s="162" t="s">
        <v>40</v>
      </c>
      <c r="G4028" s="163"/>
      <c r="H4028" s="164"/>
      <c r="I4028" s="163"/>
      <c r="J4028" s="164"/>
      <c r="K4028" s="163"/>
      <c r="L4028" s="164"/>
      <c r="M4028" s="11"/>
      <c r="N4028" s="39"/>
      <c r="Q4028" s="15" t="str">
        <f>+CONCATENATE(E4028,G4028)</f>
        <v/>
      </c>
      <c r="R4028" s="15">
        <f>+H4028</f>
        <v>0</v>
      </c>
      <c r="S4028" s="16"/>
      <c r="T4028" s="15">
        <f>+E4028</f>
        <v>0</v>
      </c>
      <c r="U4028" s="26" t="str">
        <f>IFERROR(LEFT(G4028,FIND("*",G4028)-1),"-")</f>
        <v>-</v>
      </c>
      <c r="V4028" s="26" t="str">
        <f>IFERROR(RIGHT(G4028,LEN(G4028)-FIND("*",G4028)),"-")</f>
        <v>-</v>
      </c>
      <c r="W4028" s="27" t="str">
        <f>IFERROR((U4028+V4028)*2/1000,"-")</f>
        <v>-</v>
      </c>
      <c r="X4028" s="27" t="str">
        <f>IFERROR(W4028*H4028,"-")</f>
        <v>-</v>
      </c>
      <c r="Z4028" s="94" t="s">
        <v>82</v>
      </c>
    </row>
    <row r="4029" spans="1:26" s="25" customFormat="1" ht="6.95" customHeight="1" x14ac:dyDescent="0.3">
      <c r="A4029" s="165"/>
      <c r="B4029" s="168"/>
      <c r="C4029" s="169"/>
      <c r="D4029" s="160"/>
      <c r="E4029" s="161"/>
      <c r="F4029" s="162"/>
      <c r="G4029" s="163"/>
      <c r="H4029" s="164"/>
      <c r="I4029" s="163"/>
      <c r="J4029" s="164"/>
      <c r="K4029" s="163"/>
      <c r="L4029" s="164"/>
      <c r="M4029" s="11"/>
      <c r="N4029" s="39"/>
      <c r="Q4029" s="15" t="str">
        <f>+CONCATENATE(E4028,I4028)</f>
        <v/>
      </c>
      <c r="R4029" s="15">
        <f>+J4028</f>
        <v>0</v>
      </c>
      <c r="S4029" s="16"/>
      <c r="T4029" s="15">
        <f>+E4028</f>
        <v>0</v>
      </c>
      <c r="U4029" s="26" t="str">
        <f>IFERROR(LEFT(I4028,FIND("*",I4028)-1),"-")</f>
        <v>-</v>
      </c>
      <c r="V4029" s="26" t="str">
        <f>IFERROR(RIGHT(I4028,LEN(I4028)-FIND("*",I4028)),"-")</f>
        <v>-</v>
      </c>
      <c r="W4029" s="27" t="str">
        <f t="shared" ref="W4029:W4036" si="2194">IFERROR((U4029+V4029)*2/1000,"-")</f>
        <v>-</v>
      </c>
      <c r="X4029" s="27" t="str">
        <f>IFERROR(W4029*J4028,"-")</f>
        <v>-</v>
      </c>
      <c r="Z4029" s="94" t="s">
        <v>82</v>
      </c>
    </row>
    <row r="4030" spans="1:26" s="25" customFormat="1" ht="6.95" customHeight="1" x14ac:dyDescent="0.3">
      <c r="A4030" s="165"/>
      <c r="B4030" s="168"/>
      <c r="C4030" s="169"/>
      <c r="D4030" s="160"/>
      <c r="E4030" s="161"/>
      <c r="F4030" s="162"/>
      <c r="G4030" s="163"/>
      <c r="H4030" s="164"/>
      <c r="I4030" s="163"/>
      <c r="J4030" s="164"/>
      <c r="K4030" s="163"/>
      <c r="L4030" s="164"/>
      <c r="M4030" s="11"/>
      <c r="N4030" s="39"/>
      <c r="Q4030" s="15" t="str">
        <f>+CONCATENATE(E4028,K4028)</f>
        <v/>
      </c>
      <c r="R4030" s="15">
        <f>+L4028</f>
        <v>0</v>
      </c>
      <c r="S4030" s="16"/>
      <c r="T4030" s="15">
        <f>+E4028</f>
        <v>0</v>
      </c>
      <c r="U4030" s="26" t="str">
        <f>IFERROR(LEFT(K4028,FIND("*",K4028)-1),"-")</f>
        <v>-</v>
      </c>
      <c r="V4030" s="26" t="str">
        <f>IFERROR(RIGHT(K4028,LEN(K4028)-FIND("*",K4028)),"-")</f>
        <v>-</v>
      </c>
      <c r="W4030" s="27" t="str">
        <f t="shared" si="2194"/>
        <v>-</v>
      </c>
      <c r="X4030" s="27" t="str">
        <f>IFERROR(W4030*L4028,"-")</f>
        <v>-</v>
      </c>
      <c r="Z4030" s="94" t="s">
        <v>82</v>
      </c>
    </row>
    <row r="4031" spans="1:26" s="25" customFormat="1" ht="6.95" customHeight="1" x14ac:dyDescent="0.3">
      <c r="A4031" s="13"/>
      <c r="B4031" s="168"/>
      <c r="C4031" s="169"/>
      <c r="D4031" s="160" t="s">
        <v>39</v>
      </c>
      <c r="E4031" s="161"/>
      <c r="F4031" s="162" t="s">
        <v>40</v>
      </c>
      <c r="G4031" s="163"/>
      <c r="H4031" s="164"/>
      <c r="I4031" s="163"/>
      <c r="J4031" s="164"/>
      <c r="K4031" s="163"/>
      <c r="L4031" s="164"/>
      <c r="M4031" s="11"/>
      <c r="N4031" s="39"/>
      <c r="Q4031" s="15" t="str">
        <f>+CONCATENATE(E4031,G4031)</f>
        <v/>
      </c>
      <c r="R4031" s="15">
        <f>+H4031</f>
        <v>0</v>
      </c>
      <c r="S4031" s="16"/>
      <c r="T4031" s="15">
        <f>+E4031</f>
        <v>0</v>
      </c>
      <c r="U4031" s="26" t="str">
        <f t="shared" ref="U4031" si="2195">IFERROR(LEFT(G4031,FIND("*",G4031)-1),"-")</f>
        <v>-</v>
      </c>
      <c r="V4031" s="26" t="str">
        <f t="shared" ref="V4031" si="2196">IFERROR(RIGHT(G4031,LEN(G4031)-FIND("*",G4031)),"-")</f>
        <v>-</v>
      </c>
      <c r="W4031" s="27" t="str">
        <f t="shared" si="2194"/>
        <v>-</v>
      </c>
      <c r="X4031" s="27" t="str">
        <f>IFERROR(W4031*H4031,"-")</f>
        <v>-</v>
      </c>
      <c r="Z4031" s="94" t="s">
        <v>82</v>
      </c>
    </row>
    <row r="4032" spans="1:26" s="25" customFormat="1" ht="6.95" customHeight="1" x14ac:dyDescent="0.3">
      <c r="A4032" s="10"/>
      <c r="B4032" s="168"/>
      <c r="C4032" s="169"/>
      <c r="D4032" s="160"/>
      <c r="E4032" s="161"/>
      <c r="F4032" s="162"/>
      <c r="G4032" s="163"/>
      <c r="H4032" s="164"/>
      <c r="I4032" s="163"/>
      <c r="J4032" s="164"/>
      <c r="K4032" s="163"/>
      <c r="L4032" s="164"/>
      <c r="M4032" s="11"/>
      <c r="N4032" s="39"/>
      <c r="Q4032" s="15" t="str">
        <f>+CONCATENATE(E4031,I4031)</f>
        <v/>
      </c>
      <c r="R4032" s="15">
        <f>+J4031</f>
        <v>0</v>
      </c>
      <c r="S4032" s="16"/>
      <c r="T4032" s="15">
        <f>+E4031</f>
        <v>0</v>
      </c>
      <c r="U4032" s="26" t="str">
        <f>IFERROR(LEFT(I4031,FIND("*",I4031)-1),"-")</f>
        <v>-</v>
      </c>
      <c r="V4032" s="26" t="str">
        <f>IFERROR(RIGHT(I4031,LEN(I4031)-FIND("*",I4031)),"-")</f>
        <v>-</v>
      </c>
      <c r="W4032" s="27" t="str">
        <f t="shared" si="2194"/>
        <v>-</v>
      </c>
      <c r="X4032" s="27" t="str">
        <f>IFERROR(W4032*J4031,"-")</f>
        <v>-</v>
      </c>
      <c r="Z4032" s="94" t="s">
        <v>82</v>
      </c>
    </row>
    <row r="4033" spans="1:26" s="25" customFormat="1" ht="6.95" customHeight="1" x14ac:dyDescent="0.3">
      <c r="A4033" s="10"/>
      <c r="B4033" s="168"/>
      <c r="C4033" s="169"/>
      <c r="D4033" s="160"/>
      <c r="E4033" s="161"/>
      <c r="F4033" s="162"/>
      <c r="G4033" s="163"/>
      <c r="H4033" s="164"/>
      <c r="I4033" s="163"/>
      <c r="J4033" s="164"/>
      <c r="K4033" s="163"/>
      <c r="L4033" s="164"/>
      <c r="M4033" s="11"/>
      <c r="N4033" s="39"/>
      <c r="Q4033" s="15" t="str">
        <f>+CONCATENATE(E4031,K4031)</f>
        <v/>
      </c>
      <c r="R4033" s="15">
        <f>+L4031</f>
        <v>0</v>
      </c>
      <c r="S4033" s="16"/>
      <c r="T4033" s="15">
        <f>+E4031</f>
        <v>0</v>
      </c>
      <c r="U4033" s="26" t="str">
        <f>IFERROR(LEFT(K4031,FIND("*",K4031)-1),"-")</f>
        <v>-</v>
      </c>
      <c r="V4033" s="26" t="str">
        <f>IFERROR(RIGHT(K4031,LEN(K4031)-FIND("*",K4031)),"-")</f>
        <v>-</v>
      </c>
      <c r="W4033" s="27" t="str">
        <f t="shared" si="2194"/>
        <v>-</v>
      </c>
      <c r="X4033" s="27" t="str">
        <f>IFERROR(W4033*L4031,"-")</f>
        <v>-</v>
      </c>
      <c r="Z4033" s="94" t="s">
        <v>82</v>
      </c>
    </row>
    <row r="4034" spans="1:26" s="25" customFormat="1" ht="6.95" customHeight="1" x14ac:dyDescent="0.3">
      <c r="A4034" s="13"/>
      <c r="B4034" s="168"/>
      <c r="C4034" s="169"/>
      <c r="D4034" s="160" t="s">
        <v>39</v>
      </c>
      <c r="E4034" s="161"/>
      <c r="F4034" s="162" t="s">
        <v>40</v>
      </c>
      <c r="G4034" s="163"/>
      <c r="H4034" s="164"/>
      <c r="I4034" s="163"/>
      <c r="J4034" s="164"/>
      <c r="K4034" s="163"/>
      <c r="L4034" s="164"/>
      <c r="M4034" s="11"/>
      <c r="N4034" s="39"/>
      <c r="Q4034" s="15" t="str">
        <f>+CONCATENATE(E4034,G4034)</f>
        <v/>
      </c>
      <c r="R4034" s="15">
        <f>+H4034</f>
        <v>0</v>
      </c>
      <c r="S4034" s="16"/>
      <c r="T4034" s="15">
        <f>+E4034</f>
        <v>0</v>
      </c>
      <c r="U4034" s="26" t="str">
        <f t="shared" ref="U4034" si="2197">IFERROR(LEFT(G4034,FIND("*",G4034)-1),"-")</f>
        <v>-</v>
      </c>
      <c r="V4034" s="26" t="str">
        <f t="shared" ref="V4034" si="2198">IFERROR(RIGHT(G4034,LEN(G4034)-FIND("*",G4034)),"-")</f>
        <v>-</v>
      </c>
      <c r="W4034" s="27" t="str">
        <f t="shared" si="2194"/>
        <v>-</v>
      </c>
      <c r="X4034" s="27" t="str">
        <f>IFERROR(W4034*H4034,"-")</f>
        <v>-</v>
      </c>
      <c r="Z4034" s="94" t="s">
        <v>82</v>
      </c>
    </row>
    <row r="4035" spans="1:26" s="25" customFormat="1" ht="6.95" customHeight="1" x14ac:dyDescent="0.3">
      <c r="A4035" s="10"/>
      <c r="B4035" s="168"/>
      <c r="C4035" s="169"/>
      <c r="D4035" s="160"/>
      <c r="E4035" s="161"/>
      <c r="F4035" s="162"/>
      <c r="G4035" s="163"/>
      <c r="H4035" s="164"/>
      <c r="I4035" s="163"/>
      <c r="J4035" s="164"/>
      <c r="K4035" s="163"/>
      <c r="L4035" s="164"/>
      <c r="M4035" s="11"/>
      <c r="N4035" s="39"/>
      <c r="Q4035" s="15" t="str">
        <f>+CONCATENATE(E4034,I4034)</f>
        <v/>
      </c>
      <c r="R4035" s="15">
        <f>+J4034</f>
        <v>0</v>
      </c>
      <c r="S4035" s="16"/>
      <c r="T4035" s="15">
        <f>+E4034</f>
        <v>0</v>
      </c>
      <c r="U4035" s="26" t="str">
        <f>IFERROR(LEFT(I4034,FIND("*",I4034)-1),"-")</f>
        <v>-</v>
      </c>
      <c r="V4035" s="26" t="str">
        <f>IFERROR(RIGHT(I4034,LEN(I4034)-FIND("*",I4034)),"-")</f>
        <v>-</v>
      </c>
      <c r="W4035" s="27" t="str">
        <f t="shared" si="2194"/>
        <v>-</v>
      </c>
      <c r="X4035" s="27" t="str">
        <f t="shared" ref="X4035" si="2199">IFERROR(W4035*J4034,"-")</f>
        <v>-</v>
      </c>
      <c r="Z4035" s="94" t="s">
        <v>82</v>
      </c>
    </row>
    <row r="4036" spans="1:26" s="25" customFormat="1" ht="6.95" customHeight="1" x14ac:dyDescent="0.3">
      <c r="A4036" s="10"/>
      <c r="B4036" s="168"/>
      <c r="C4036" s="169"/>
      <c r="D4036" s="160"/>
      <c r="E4036" s="161"/>
      <c r="F4036" s="162"/>
      <c r="G4036" s="163"/>
      <c r="H4036" s="164"/>
      <c r="I4036" s="163"/>
      <c r="J4036" s="164"/>
      <c r="K4036" s="163"/>
      <c r="L4036" s="164"/>
      <c r="M4036" s="11"/>
      <c r="N4036" s="39"/>
      <c r="Q4036" s="15" t="str">
        <f>+CONCATENATE(E4034,K4034)</f>
        <v/>
      </c>
      <c r="R4036" s="15">
        <f>+L4034</f>
        <v>0</v>
      </c>
      <c r="S4036" s="16"/>
      <c r="T4036" s="15">
        <f>+E4034</f>
        <v>0</v>
      </c>
      <c r="U4036" s="26" t="str">
        <f>IFERROR(LEFT(K4034,FIND("*",K4034)-1),"-")</f>
        <v>-</v>
      </c>
      <c r="V4036" s="26" t="str">
        <f>IFERROR(RIGHT(K4034,LEN(K4034)-FIND("*",K4034)),"-")</f>
        <v>-</v>
      </c>
      <c r="W4036" s="27" t="str">
        <f t="shared" si="2194"/>
        <v>-</v>
      </c>
      <c r="X4036" s="27" t="str">
        <f>IFERROR(W4036*L4034,"-")</f>
        <v>-</v>
      </c>
      <c r="Z4036" s="94" t="s">
        <v>82</v>
      </c>
    </row>
    <row r="4037" spans="1:26" s="25" customFormat="1" ht="21" customHeight="1" thickBot="1" x14ac:dyDescent="0.35">
      <c r="A4037" s="10"/>
      <c r="B4037" s="170"/>
      <c r="C4037" s="171"/>
      <c r="D4037" s="172" t="s">
        <v>43</v>
      </c>
      <c r="E4037" s="173"/>
      <c r="F4037" s="173"/>
      <c r="G4037" s="174"/>
      <c r="H4037" s="174"/>
      <c r="I4037" s="174"/>
      <c r="J4037" s="174"/>
      <c r="K4037" s="174"/>
      <c r="L4037" s="174"/>
      <c r="M4037" s="12"/>
      <c r="N4037" s="39"/>
      <c r="U4037" s="23"/>
      <c r="V4037" s="23"/>
      <c r="Z4037" s="95" t="s">
        <v>81</v>
      </c>
    </row>
    <row r="4038" spans="1:26" s="25" customFormat="1" ht="9.9499999999999993" customHeight="1" thickBot="1" x14ac:dyDescent="0.35">
      <c r="A4038" s="6"/>
      <c r="B4038" s="14"/>
      <c r="C4038" s="119"/>
      <c r="D4038" s="58"/>
      <c r="E4038" s="17"/>
      <c r="F4038" s="58"/>
      <c r="G4038" s="19"/>
      <c r="H4038" s="19"/>
      <c r="I4038" s="19"/>
      <c r="J4038" s="19"/>
      <c r="K4038" s="19"/>
      <c r="L4038" s="19"/>
      <c r="M4038" s="14"/>
      <c r="N4038" s="39"/>
      <c r="Q4038" s="1"/>
      <c r="R4038" s="1"/>
      <c r="S4038" s="1"/>
      <c r="T4038" s="1"/>
      <c r="U4038" s="24"/>
      <c r="V4038" s="24"/>
      <c r="W4038" s="1"/>
      <c r="X4038" s="1"/>
      <c r="Z4038" s="94" t="s">
        <v>82</v>
      </c>
    </row>
    <row r="4039" spans="1:26" s="25" customFormat="1" ht="6.95" customHeight="1" x14ac:dyDescent="0.3">
      <c r="A4039" s="165">
        <f>+A4028+1</f>
        <v>368</v>
      </c>
      <c r="B4039" s="166"/>
      <c r="C4039" s="167"/>
      <c r="D4039" s="160" t="s">
        <v>39</v>
      </c>
      <c r="E4039" s="161"/>
      <c r="F4039" s="162" t="s">
        <v>40</v>
      </c>
      <c r="G4039" s="163"/>
      <c r="H4039" s="164"/>
      <c r="I4039" s="163"/>
      <c r="J4039" s="164"/>
      <c r="K4039" s="163"/>
      <c r="L4039" s="164"/>
      <c r="M4039" s="11"/>
      <c r="N4039" s="39"/>
      <c r="Q4039" s="15" t="str">
        <f>+CONCATENATE(E4039,G4039)</f>
        <v/>
      </c>
      <c r="R4039" s="15">
        <f>+H4039</f>
        <v>0</v>
      </c>
      <c r="S4039" s="16"/>
      <c r="T4039" s="15">
        <f>+E4039</f>
        <v>0</v>
      </c>
      <c r="U4039" s="26" t="str">
        <f>IFERROR(LEFT(G4039,FIND("*",G4039)-1),"-")</f>
        <v>-</v>
      </c>
      <c r="V4039" s="26" t="str">
        <f>IFERROR(RIGHT(G4039,LEN(G4039)-FIND("*",G4039)),"-")</f>
        <v>-</v>
      </c>
      <c r="W4039" s="27" t="str">
        <f>IFERROR((U4039+V4039)*2/1000,"-")</f>
        <v>-</v>
      </c>
      <c r="X4039" s="27" t="str">
        <f>IFERROR(W4039*H4039,"-")</f>
        <v>-</v>
      </c>
      <c r="Z4039" s="94" t="s">
        <v>82</v>
      </c>
    </row>
    <row r="4040" spans="1:26" s="25" customFormat="1" ht="6.95" customHeight="1" x14ac:dyDescent="0.3">
      <c r="A4040" s="165"/>
      <c r="B4040" s="168"/>
      <c r="C4040" s="169"/>
      <c r="D4040" s="160"/>
      <c r="E4040" s="161"/>
      <c r="F4040" s="162"/>
      <c r="G4040" s="163"/>
      <c r="H4040" s="164"/>
      <c r="I4040" s="163"/>
      <c r="J4040" s="164"/>
      <c r="K4040" s="163"/>
      <c r="L4040" s="164"/>
      <c r="M4040" s="11"/>
      <c r="N4040" s="39"/>
      <c r="Q4040" s="15" t="str">
        <f>+CONCATENATE(E4039,I4039)</f>
        <v/>
      </c>
      <c r="R4040" s="15">
        <f>+J4039</f>
        <v>0</v>
      </c>
      <c r="S4040" s="16"/>
      <c r="T4040" s="15">
        <f>+E4039</f>
        <v>0</v>
      </c>
      <c r="U4040" s="26" t="str">
        <f>IFERROR(LEFT(I4039,FIND("*",I4039)-1),"-")</f>
        <v>-</v>
      </c>
      <c r="V4040" s="26" t="str">
        <f>IFERROR(RIGHT(I4039,LEN(I4039)-FIND("*",I4039)),"-")</f>
        <v>-</v>
      </c>
      <c r="W4040" s="27" t="str">
        <f t="shared" ref="W4040:W4047" si="2200">IFERROR((U4040+V4040)*2/1000,"-")</f>
        <v>-</v>
      </c>
      <c r="X4040" s="27" t="str">
        <f>IFERROR(W4040*J4039,"-")</f>
        <v>-</v>
      </c>
      <c r="Z4040" s="94" t="s">
        <v>82</v>
      </c>
    </row>
    <row r="4041" spans="1:26" s="25" customFormat="1" ht="6.95" customHeight="1" x14ac:dyDescent="0.3">
      <c r="A4041" s="165"/>
      <c r="B4041" s="168"/>
      <c r="C4041" s="169"/>
      <c r="D4041" s="160"/>
      <c r="E4041" s="161"/>
      <c r="F4041" s="162"/>
      <c r="G4041" s="163"/>
      <c r="H4041" s="164"/>
      <c r="I4041" s="163"/>
      <c r="J4041" s="164"/>
      <c r="K4041" s="163"/>
      <c r="L4041" s="164"/>
      <c r="M4041" s="11"/>
      <c r="N4041" s="39"/>
      <c r="Q4041" s="15" t="str">
        <f>+CONCATENATE(E4039,K4039)</f>
        <v/>
      </c>
      <c r="R4041" s="15">
        <f>+L4039</f>
        <v>0</v>
      </c>
      <c r="S4041" s="16"/>
      <c r="T4041" s="15">
        <f>+E4039</f>
        <v>0</v>
      </c>
      <c r="U4041" s="26" t="str">
        <f>IFERROR(LEFT(K4039,FIND("*",K4039)-1),"-")</f>
        <v>-</v>
      </c>
      <c r="V4041" s="26" t="str">
        <f>IFERROR(RIGHT(K4039,LEN(K4039)-FIND("*",K4039)),"-")</f>
        <v>-</v>
      </c>
      <c r="W4041" s="27" t="str">
        <f t="shared" si="2200"/>
        <v>-</v>
      </c>
      <c r="X4041" s="27" t="str">
        <f>IFERROR(W4041*L4039,"-")</f>
        <v>-</v>
      </c>
      <c r="Z4041" s="94" t="s">
        <v>82</v>
      </c>
    </row>
    <row r="4042" spans="1:26" s="25" customFormat="1" ht="6.95" customHeight="1" x14ac:dyDescent="0.3">
      <c r="A4042" s="13"/>
      <c r="B4042" s="168"/>
      <c r="C4042" s="169"/>
      <c r="D4042" s="160" t="s">
        <v>39</v>
      </c>
      <c r="E4042" s="161"/>
      <c r="F4042" s="162" t="s">
        <v>40</v>
      </c>
      <c r="G4042" s="163"/>
      <c r="H4042" s="164"/>
      <c r="I4042" s="163"/>
      <c r="J4042" s="164"/>
      <c r="K4042" s="163"/>
      <c r="L4042" s="164"/>
      <c r="M4042" s="11"/>
      <c r="N4042" s="39"/>
      <c r="Q4042" s="15" t="str">
        <f>+CONCATENATE(E4042,G4042)</f>
        <v/>
      </c>
      <c r="R4042" s="15">
        <f>+H4042</f>
        <v>0</v>
      </c>
      <c r="S4042" s="16"/>
      <c r="T4042" s="15">
        <f>+E4042</f>
        <v>0</v>
      </c>
      <c r="U4042" s="26" t="str">
        <f t="shared" ref="U4042" si="2201">IFERROR(LEFT(G4042,FIND("*",G4042)-1),"-")</f>
        <v>-</v>
      </c>
      <c r="V4042" s="26" t="str">
        <f t="shared" ref="V4042" si="2202">IFERROR(RIGHT(G4042,LEN(G4042)-FIND("*",G4042)),"-")</f>
        <v>-</v>
      </c>
      <c r="W4042" s="27" t="str">
        <f t="shared" si="2200"/>
        <v>-</v>
      </c>
      <c r="X4042" s="27" t="str">
        <f>IFERROR(W4042*H4042,"-")</f>
        <v>-</v>
      </c>
      <c r="Z4042" s="94" t="s">
        <v>82</v>
      </c>
    </row>
    <row r="4043" spans="1:26" s="25" customFormat="1" ht="6.95" customHeight="1" x14ac:dyDescent="0.3">
      <c r="A4043" s="10"/>
      <c r="B4043" s="168"/>
      <c r="C4043" s="169"/>
      <c r="D4043" s="160"/>
      <c r="E4043" s="161"/>
      <c r="F4043" s="162"/>
      <c r="G4043" s="163"/>
      <c r="H4043" s="164"/>
      <c r="I4043" s="163"/>
      <c r="J4043" s="164"/>
      <c r="K4043" s="163"/>
      <c r="L4043" s="164"/>
      <c r="M4043" s="11"/>
      <c r="N4043" s="39"/>
      <c r="Q4043" s="15" t="str">
        <f>+CONCATENATE(E4042,I4042)</f>
        <v/>
      </c>
      <c r="R4043" s="15">
        <f>+J4042</f>
        <v>0</v>
      </c>
      <c r="S4043" s="16"/>
      <c r="T4043" s="15">
        <f>+E4042</f>
        <v>0</v>
      </c>
      <c r="U4043" s="26" t="str">
        <f>IFERROR(LEFT(I4042,FIND("*",I4042)-1),"-")</f>
        <v>-</v>
      </c>
      <c r="V4043" s="26" t="str">
        <f>IFERROR(RIGHT(I4042,LEN(I4042)-FIND("*",I4042)),"-")</f>
        <v>-</v>
      </c>
      <c r="W4043" s="27" t="str">
        <f t="shared" si="2200"/>
        <v>-</v>
      </c>
      <c r="X4043" s="27" t="str">
        <f>IFERROR(W4043*J4042,"-")</f>
        <v>-</v>
      </c>
      <c r="Z4043" s="94" t="s">
        <v>82</v>
      </c>
    </row>
    <row r="4044" spans="1:26" s="25" customFormat="1" ht="6.95" customHeight="1" x14ac:dyDescent="0.3">
      <c r="A4044" s="10"/>
      <c r="B4044" s="168"/>
      <c r="C4044" s="169"/>
      <c r="D4044" s="160"/>
      <c r="E4044" s="161"/>
      <c r="F4044" s="162"/>
      <c r="G4044" s="163"/>
      <c r="H4044" s="164"/>
      <c r="I4044" s="163"/>
      <c r="J4044" s="164"/>
      <c r="K4044" s="163"/>
      <c r="L4044" s="164"/>
      <c r="M4044" s="11"/>
      <c r="N4044" s="39"/>
      <c r="Q4044" s="15" t="str">
        <f>+CONCATENATE(E4042,K4042)</f>
        <v/>
      </c>
      <c r="R4044" s="15">
        <f>+L4042</f>
        <v>0</v>
      </c>
      <c r="S4044" s="16"/>
      <c r="T4044" s="15">
        <f>+E4042</f>
        <v>0</v>
      </c>
      <c r="U4044" s="26" t="str">
        <f>IFERROR(LEFT(K4042,FIND("*",K4042)-1),"-")</f>
        <v>-</v>
      </c>
      <c r="V4044" s="26" t="str">
        <f>IFERROR(RIGHT(K4042,LEN(K4042)-FIND("*",K4042)),"-")</f>
        <v>-</v>
      </c>
      <c r="W4044" s="27" t="str">
        <f t="shared" si="2200"/>
        <v>-</v>
      </c>
      <c r="X4044" s="27" t="str">
        <f>IFERROR(W4044*L4042,"-")</f>
        <v>-</v>
      </c>
      <c r="Z4044" s="94" t="s">
        <v>82</v>
      </c>
    </row>
    <row r="4045" spans="1:26" s="25" customFormat="1" ht="6.95" customHeight="1" x14ac:dyDescent="0.3">
      <c r="A4045" s="13"/>
      <c r="B4045" s="168"/>
      <c r="C4045" s="169"/>
      <c r="D4045" s="160" t="s">
        <v>39</v>
      </c>
      <c r="E4045" s="161"/>
      <c r="F4045" s="162" t="s">
        <v>40</v>
      </c>
      <c r="G4045" s="163"/>
      <c r="H4045" s="164"/>
      <c r="I4045" s="163"/>
      <c r="J4045" s="164"/>
      <c r="K4045" s="163"/>
      <c r="L4045" s="164"/>
      <c r="M4045" s="11"/>
      <c r="N4045" s="39"/>
      <c r="Q4045" s="15" t="str">
        <f>+CONCATENATE(E4045,G4045)</f>
        <v/>
      </c>
      <c r="R4045" s="15">
        <f>+H4045</f>
        <v>0</v>
      </c>
      <c r="S4045" s="16"/>
      <c r="T4045" s="15">
        <f>+E4045</f>
        <v>0</v>
      </c>
      <c r="U4045" s="26" t="str">
        <f t="shared" ref="U4045" si="2203">IFERROR(LEFT(G4045,FIND("*",G4045)-1),"-")</f>
        <v>-</v>
      </c>
      <c r="V4045" s="26" t="str">
        <f t="shared" ref="V4045" si="2204">IFERROR(RIGHT(G4045,LEN(G4045)-FIND("*",G4045)),"-")</f>
        <v>-</v>
      </c>
      <c r="W4045" s="27" t="str">
        <f t="shared" si="2200"/>
        <v>-</v>
      </c>
      <c r="X4045" s="27" t="str">
        <f>IFERROR(W4045*H4045,"-")</f>
        <v>-</v>
      </c>
      <c r="Z4045" s="94" t="s">
        <v>82</v>
      </c>
    </row>
    <row r="4046" spans="1:26" s="25" customFormat="1" ht="6.95" customHeight="1" x14ac:dyDescent="0.3">
      <c r="A4046" s="10"/>
      <c r="B4046" s="168"/>
      <c r="C4046" s="169"/>
      <c r="D4046" s="160"/>
      <c r="E4046" s="161"/>
      <c r="F4046" s="162"/>
      <c r="G4046" s="163"/>
      <c r="H4046" s="164"/>
      <c r="I4046" s="163"/>
      <c r="J4046" s="164"/>
      <c r="K4046" s="163"/>
      <c r="L4046" s="164"/>
      <c r="M4046" s="11"/>
      <c r="N4046" s="39"/>
      <c r="Q4046" s="15" t="str">
        <f>+CONCATENATE(E4045,I4045)</f>
        <v/>
      </c>
      <c r="R4046" s="15">
        <f>+J4045</f>
        <v>0</v>
      </c>
      <c r="S4046" s="16"/>
      <c r="T4046" s="15">
        <f>+E4045</f>
        <v>0</v>
      </c>
      <c r="U4046" s="26" t="str">
        <f>IFERROR(LEFT(I4045,FIND("*",I4045)-1),"-")</f>
        <v>-</v>
      </c>
      <c r="V4046" s="26" t="str">
        <f>IFERROR(RIGHT(I4045,LEN(I4045)-FIND("*",I4045)),"-")</f>
        <v>-</v>
      </c>
      <c r="W4046" s="27" t="str">
        <f t="shared" si="2200"/>
        <v>-</v>
      </c>
      <c r="X4046" s="27" t="str">
        <f t="shared" ref="X4046" si="2205">IFERROR(W4046*J4045,"-")</f>
        <v>-</v>
      </c>
      <c r="Z4046" s="94" t="s">
        <v>82</v>
      </c>
    </row>
    <row r="4047" spans="1:26" s="25" customFormat="1" ht="6.95" customHeight="1" x14ac:dyDescent="0.3">
      <c r="A4047" s="10"/>
      <c r="B4047" s="168"/>
      <c r="C4047" s="169"/>
      <c r="D4047" s="160"/>
      <c r="E4047" s="161"/>
      <c r="F4047" s="162"/>
      <c r="G4047" s="163"/>
      <c r="H4047" s="164"/>
      <c r="I4047" s="163"/>
      <c r="J4047" s="164"/>
      <c r="K4047" s="163"/>
      <c r="L4047" s="164"/>
      <c r="M4047" s="11"/>
      <c r="N4047" s="39"/>
      <c r="Q4047" s="15" t="str">
        <f>+CONCATENATE(E4045,K4045)</f>
        <v/>
      </c>
      <c r="R4047" s="15">
        <f>+L4045</f>
        <v>0</v>
      </c>
      <c r="S4047" s="16"/>
      <c r="T4047" s="15">
        <f>+E4045</f>
        <v>0</v>
      </c>
      <c r="U4047" s="26" t="str">
        <f>IFERROR(LEFT(K4045,FIND("*",K4045)-1),"-")</f>
        <v>-</v>
      </c>
      <c r="V4047" s="26" t="str">
        <f>IFERROR(RIGHT(K4045,LEN(K4045)-FIND("*",K4045)),"-")</f>
        <v>-</v>
      </c>
      <c r="W4047" s="27" t="str">
        <f t="shared" si="2200"/>
        <v>-</v>
      </c>
      <c r="X4047" s="27" t="str">
        <f>IFERROR(W4047*L4045,"-")</f>
        <v>-</v>
      </c>
      <c r="Z4047" s="94" t="s">
        <v>82</v>
      </c>
    </row>
    <row r="4048" spans="1:26" s="25" customFormat="1" ht="21" customHeight="1" thickBot="1" x14ac:dyDescent="0.35">
      <c r="A4048" s="10"/>
      <c r="B4048" s="170"/>
      <c r="C4048" s="171"/>
      <c r="D4048" s="172" t="s">
        <v>43</v>
      </c>
      <c r="E4048" s="173"/>
      <c r="F4048" s="173"/>
      <c r="G4048" s="174"/>
      <c r="H4048" s="174"/>
      <c r="I4048" s="174"/>
      <c r="J4048" s="174"/>
      <c r="K4048" s="174"/>
      <c r="L4048" s="174"/>
      <c r="M4048" s="12"/>
      <c r="N4048" s="39"/>
      <c r="U4048" s="23"/>
      <c r="V4048" s="23"/>
      <c r="Z4048" s="95" t="s">
        <v>81</v>
      </c>
    </row>
    <row r="4049" spans="1:26" s="25" customFormat="1" ht="9.9499999999999993" customHeight="1" thickBot="1" x14ac:dyDescent="0.35">
      <c r="A4049" s="6"/>
      <c r="B4049" s="14"/>
      <c r="C4049" s="119"/>
      <c r="D4049" s="58"/>
      <c r="E4049" s="17"/>
      <c r="F4049" s="58"/>
      <c r="G4049" s="19"/>
      <c r="H4049" s="19"/>
      <c r="I4049" s="19"/>
      <c r="J4049" s="19"/>
      <c r="K4049" s="19"/>
      <c r="L4049" s="19"/>
      <c r="M4049" s="14"/>
      <c r="N4049" s="39"/>
      <c r="Q4049" s="1"/>
      <c r="R4049" s="1"/>
      <c r="S4049" s="1"/>
      <c r="T4049" s="1"/>
      <c r="U4049" s="24"/>
      <c r="V4049" s="24"/>
      <c r="W4049" s="1"/>
      <c r="X4049" s="1"/>
      <c r="Z4049" s="94" t="s">
        <v>82</v>
      </c>
    </row>
    <row r="4050" spans="1:26" s="25" customFormat="1" ht="6.95" customHeight="1" x14ac:dyDescent="0.3">
      <c r="A4050" s="165">
        <f>+A4039+1</f>
        <v>369</v>
      </c>
      <c r="B4050" s="166"/>
      <c r="C4050" s="167"/>
      <c r="D4050" s="160" t="s">
        <v>39</v>
      </c>
      <c r="E4050" s="161"/>
      <c r="F4050" s="162" t="s">
        <v>40</v>
      </c>
      <c r="G4050" s="163"/>
      <c r="H4050" s="164"/>
      <c r="I4050" s="163"/>
      <c r="J4050" s="164"/>
      <c r="K4050" s="163"/>
      <c r="L4050" s="164"/>
      <c r="M4050" s="11"/>
      <c r="N4050" s="39"/>
      <c r="Q4050" s="15" t="str">
        <f>+CONCATENATE(E4050,G4050)</f>
        <v/>
      </c>
      <c r="R4050" s="15">
        <f>+H4050</f>
        <v>0</v>
      </c>
      <c r="S4050" s="16"/>
      <c r="T4050" s="15">
        <f>+E4050</f>
        <v>0</v>
      </c>
      <c r="U4050" s="26" t="str">
        <f>IFERROR(LEFT(G4050,FIND("*",G4050)-1),"-")</f>
        <v>-</v>
      </c>
      <c r="V4050" s="26" t="str">
        <f>IFERROR(RIGHT(G4050,LEN(G4050)-FIND("*",G4050)),"-")</f>
        <v>-</v>
      </c>
      <c r="W4050" s="27" t="str">
        <f>IFERROR((U4050+V4050)*2/1000,"-")</f>
        <v>-</v>
      </c>
      <c r="X4050" s="27" t="str">
        <f>IFERROR(W4050*H4050,"-")</f>
        <v>-</v>
      </c>
      <c r="Z4050" s="94" t="s">
        <v>82</v>
      </c>
    </row>
    <row r="4051" spans="1:26" s="25" customFormat="1" ht="6.95" customHeight="1" x14ac:dyDescent="0.3">
      <c r="A4051" s="165"/>
      <c r="B4051" s="168"/>
      <c r="C4051" s="169"/>
      <c r="D4051" s="160"/>
      <c r="E4051" s="161"/>
      <c r="F4051" s="162"/>
      <c r="G4051" s="163"/>
      <c r="H4051" s="164"/>
      <c r="I4051" s="163"/>
      <c r="J4051" s="164"/>
      <c r="K4051" s="163"/>
      <c r="L4051" s="164"/>
      <c r="M4051" s="11"/>
      <c r="N4051" s="39"/>
      <c r="Q4051" s="15" t="str">
        <f>+CONCATENATE(E4050,I4050)</f>
        <v/>
      </c>
      <c r="R4051" s="15">
        <f>+J4050</f>
        <v>0</v>
      </c>
      <c r="S4051" s="16"/>
      <c r="T4051" s="15">
        <f>+E4050</f>
        <v>0</v>
      </c>
      <c r="U4051" s="26" t="str">
        <f>IFERROR(LEFT(I4050,FIND("*",I4050)-1),"-")</f>
        <v>-</v>
      </c>
      <c r="V4051" s="26" t="str">
        <f>IFERROR(RIGHT(I4050,LEN(I4050)-FIND("*",I4050)),"-")</f>
        <v>-</v>
      </c>
      <c r="W4051" s="27" t="str">
        <f t="shared" ref="W4051:W4058" si="2206">IFERROR((U4051+V4051)*2/1000,"-")</f>
        <v>-</v>
      </c>
      <c r="X4051" s="27" t="str">
        <f>IFERROR(W4051*J4050,"-")</f>
        <v>-</v>
      </c>
      <c r="Z4051" s="94" t="s">
        <v>82</v>
      </c>
    </row>
    <row r="4052" spans="1:26" s="25" customFormat="1" ht="6.95" customHeight="1" x14ac:dyDescent="0.3">
      <c r="A4052" s="165"/>
      <c r="B4052" s="168"/>
      <c r="C4052" s="169"/>
      <c r="D4052" s="160"/>
      <c r="E4052" s="161"/>
      <c r="F4052" s="162"/>
      <c r="G4052" s="163"/>
      <c r="H4052" s="164"/>
      <c r="I4052" s="163"/>
      <c r="J4052" s="164"/>
      <c r="K4052" s="163"/>
      <c r="L4052" s="164"/>
      <c r="M4052" s="11"/>
      <c r="N4052" s="39"/>
      <c r="Q4052" s="15" t="str">
        <f>+CONCATENATE(E4050,K4050)</f>
        <v/>
      </c>
      <c r="R4052" s="15">
        <f>+L4050</f>
        <v>0</v>
      </c>
      <c r="S4052" s="16"/>
      <c r="T4052" s="15">
        <f>+E4050</f>
        <v>0</v>
      </c>
      <c r="U4052" s="26" t="str">
        <f>IFERROR(LEFT(K4050,FIND("*",K4050)-1),"-")</f>
        <v>-</v>
      </c>
      <c r="V4052" s="26" t="str">
        <f>IFERROR(RIGHT(K4050,LEN(K4050)-FIND("*",K4050)),"-")</f>
        <v>-</v>
      </c>
      <c r="W4052" s="27" t="str">
        <f t="shared" si="2206"/>
        <v>-</v>
      </c>
      <c r="X4052" s="27" t="str">
        <f>IFERROR(W4052*L4050,"-")</f>
        <v>-</v>
      </c>
      <c r="Z4052" s="94" t="s">
        <v>82</v>
      </c>
    </row>
    <row r="4053" spans="1:26" s="25" customFormat="1" ht="6.95" customHeight="1" x14ac:dyDescent="0.3">
      <c r="A4053" s="13"/>
      <c r="B4053" s="168"/>
      <c r="C4053" s="169"/>
      <c r="D4053" s="160" t="s">
        <v>39</v>
      </c>
      <c r="E4053" s="161"/>
      <c r="F4053" s="162" t="s">
        <v>40</v>
      </c>
      <c r="G4053" s="163"/>
      <c r="H4053" s="164"/>
      <c r="I4053" s="163"/>
      <c r="J4053" s="164"/>
      <c r="K4053" s="163"/>
      <c r="L4053" s="164"/>
      <c r="M4053" s="11"/>
      <c r="N4053" s="39"/>
      <c r="Q4053" s="15" t="str">
        <f>+CONCATENATE(E4053,G4053)</f>
        <v/>
      </c>
      <c r="R4053" s="15">
        <f>+H4053</f>
        <v>0</v>
      </c>
      <c r="S4053" s="16"/>
      <c r="T4053" s="15">
        <f>+E4053</f>
        <v>0</v>
      </c>
      <c r="U4053" s="26" t="str">
        <f t="shared" ref="U4053" si="2207">IFERROR(LEFT(G4053,FIND("*",G4053)-1),"-")</f>
        <v>-</v>
      </c>
      <c r="V4053" s="26" t="str">
        <f t="shared" ref="V4053" si="2208">IFERROR(RIGHT(G4053,LEN(G4053)-FIND("*",G4053)),"-")</f>
        <v>-</v>
      </c>
      <c r="W4053" s="27" t="str">
        <f t="shared" si="2206"/>
        <v>-</v>
      </c>
      <c r="X4053" s="27" t="str">
        <f>IFERROR(W4053*H4053,"-")</f>
        <v>-</v>
      </c>
      <c r="Z4053" s="94" t="s">
        <v>82</v>
      </c>
    </row>
    <row r="4054" spans="1:26" s="25" customFormat="1" ht="6.95" customHeight="1" x14ac:dyDescent="0.3">
      <c r="A4054" s="10"/>
      <c r="B4054" s="168"/>
      <c r="C4054" s="169"/>
      <c r="D4054" s="160"/>
      <c r="E4054" s="161"/>
      <c r="F4054" s="162"/>
      <c r="G4054" s="163"/>
      <c r="H4054" s="164"/>
      <c r="I4054" s="163"/>
      <c r="J4054" s="164"/>
      <c r="K4054" s="163"/>
      <c r="L4054" s="164"/>
      <c r="M4054" s="11"/>
      <c r="N4054" s="39"/>
      <c r="Q4054" s="15" t="str">
        <f>+CONCATENATE(E4053,I4053)</f>
        <v/>
      </c>
      <c r="R4054" s="15">
        <f>+J4053</f>
        <v>0</v>
      </c>
      <c r="S4054" s="16"/>
      <c r="T4054" s="15">
        <f>+E4053</f>
        <v>0</v>
      </c>
      <c r="U4054" s="26" t="str">
        <f>IFERROR(LEFT(I4053,FIND("*",I4053)-1),"-")</f>
        <v>-</v>
      </c>
      <c r="V4054" s="26" t="str">
        <f>IFERROR(RIGHT(I4053,LEN(I4053)-FIND("*",I4053)),"-")</f>
        <v>-</v>
      </c>
      <c r="W4054" s="27" t="str">
        <f t="shared" si="2206"/>
        <v>-</v>
      </c>
      <c r="X4054" s="27" t="str">
        <f>IFERROR(W4054*J4053,"-")</f>
        <v>-</v>
      </c>
      <c r="Z4054" s="94" t="s">
        <v>82</v>
      </c>
    </row>
    <row r="4055" spans="1:26" s="25" customFormat="1" ht="6.95" customHeight="1" x14ac:dyDescent="0.3">
      <c r="A4055" s="10"/>
      <c r="B4055" s="168"/>
      <c r="C4055" s="169"/>
      <c r="D4055" s="160"/>
      <c r="E4055" s="161"/>
      <c r="F4055" s="162"/>
      <c r="G4055" s="163"/>
      <c r="H4055" s="164"/>
      <c r="I4055" s="163"/>
      <c r="J4055" s="164"/>
      <c r="K4055" s="163"/>
      <c r="L4055" s="164"/>
      <c r="M4055" s="11"/>
      <c r="N4055" s="39"/>
      <c r="Q4055" s="15" t="str">
        <f>+CONCATENATE(E4053,K4053)</f>
        <v/>
      </c>
      <c r="R4055" s="15">
        <f>+L4053</f>
        <v>0</v>
      </c>
      <c r="S4055" s="16"/>
      <c r="T4055" s="15">
        <f>+E4053</f>
        <v>0</v>
      </c>
      <c r="U4055" s="26" t="str">
        <f>IFERROR(LEFT(K4053,FIND("*",K4053)-1),"-")</f>
        <v>-</v>
      </c>
      <c r="V4055" s="26" t="str">
        <f>IFERROR(RIGHT(K4053,LEN(K4053)-FIND("*",K4053)),"-")</f>
        <v>-</v>
      </c>
      <c r="W4055" s="27" t="str">
        <f t="shared" si="2206"/>
        <v>-</v>
      </c>
      <c r="X4055" s="27" t="str">
        <f>IFERROR(W4055*L4053,"-")</f>
        <v>-</v>
      </c>
      <c r="Z4055" s="94" t="s">
        <v>82</v>
      </c>
    </row>
    <row r="4056" spans="1:26" s="25" customFormat="1" ht="6.95" customHeight="1" x14ac:dyDescent="0.3">
      <c r="A4056" s="13"/>
      <c r="B4056" s="168"/>
      <c r="C4056" s="169"/>
      <c r="D4056" s="160" t="s">
        <v>39</v>
      </c>
      <c r="E4056" s="161"/>
      <c r="F4056" s="162" t="s">
        <v>40</v>
      </c>
      <c r="G4056" s="163"/>
      <c r="H4056" s="164"/>
      <c r="I4056" s="163"/>
      <c r="J4056" s="164"/>
      <c r="K4056" s="163"/>
      <c r="L4056" s="164"/>
      <c r="M4056" s="11"/>
      <c r="N4056" s="39"/>
      <c r="Q4056" s="15" t="str">
        <f>+CONCATENATE(E4056,G4056)</f>
        <v/>
      </c>
      <c r="R4056" s="15">
        <f>+H4056</f>
        <v>0</v>
      </c>
      <c r="S4056" s="16"/>
      <c r="T4056" s="15">
        <f>+E4056</f>
        <v>0</v>
      </c>
      <c r="U4056" s="26" t="str">
        <f t="shared" ref="U4056" si="2209">IFERROR(LEFT(G4056,FIND("*",G4056)-1),"-")</f>
        <v>-</v>
      </c>
      <c r="V4056" s="26" t="str">
        <f t="shared" ref="V4056" si="2210">IFERROR(RIGHT(G4056,LEN(G4056)-FIND("*",G4056)),"-")</f>
        <v>-</v>
      </c>
      <c r="W4056" s="27" t="str">
        <f t="shared" si="2206"/>
        <v>-</v>
      </c>
      <c r="X4056" s="27" t="str">
        <f>IFERROR(W4056*H4056,"-")</f>
        <v>-</v>
      </c>
      <c r="Z4056" s="94" t="s">
        <v>82</v>
      </c>
    </row>
    <row r="4057" spans="1:26" s="25" customFormat="1" ht="6.95" customHeight="1" x14ac:dyDescent="0.3">
      <c r="A4057" s="10"/>
      <c r="B4057" s="168"/>
      <c r="C4057" s="169"/>
      <c r="D4057" s="160"/>
      <c r="E4057" s="161"/>
      <c r="F4057" s="162"/>
      <c r="G4057" s="163"/>
      <c r="H4057" s="164"/>
      <c r="I4057" s="163"/>
      <c r="J4057" s="164"/>
      <c r="K4057" s="163"/>
      <c r="L4057" s="164"/>
      <c r="M4057" s="11"/>
      <c r="N4057" s="39"/>
      <c r="Q4057" s="15" t="str">
        <f>+CONCATENATE(E4056,I4056)</f>
        <v/>
      </c>
      <c r="R4057" s="15">
        <f>+J4056</f>
        <v>0</v>
      </c>
      <c r="S4057" s="16"/>
      <c r="T4057" s="15">
        <f>+E4056</f>
        <v>0</v>
      </c>
      <c r="U4057" s="26" t="str">
        <f>IFERROR(LEFT(I4056,FIND("*",I4056)-1),"-")</f>
        <v>-</v>
      </c>
      <c r="V4057" s="26" t="str">
        <f>IFERROR(RIGHT(I4056,LEN(I4056)-FIND("*",I4056)),"-")</f>
        <v>-</v>
      </c>
      <c r="W4057" s="27" t="str">
        <f t="shared" si="2206"/>
        <v>-</v>
      </c>
      <c r="X4057" s="27" t="str">
        <f t="shared" ref="X4057" si="2211">IFERROR(W4057*J4056,"-")</f>
        <v>-</v>
      </c>
      <c r="Z4057" s="94" t="s">
        <v>82</v>
      </c>
    </row>
    <row r="4058" spans="1:26" s="25" customFormat="1" ht="6.95" customHeight="1" x14ac:dyDescent="0.3">
      <c r="A4058" s="10"/>
      <c r="B4058" s="168"/>
      <c r="C4058" s="169"/>
      <c r="D4058" s="160"/>
      <c r="E4058" s="161"/>
      <c r="F4058" s="162"/>
      <c r="G4058" s="163"/>
      <c r="H4058" s="164"/>
      <c r="I4058" s="163"/>
      <c r="J4058" s="164"/>
      <c r="K4058" s="163"/>
      <c r="L4058" s="164"/>
      <c r="M4058" s="11"/>
      <c r="N4058" s="39"/>
      <c r="Q4058" s="15" t="str">
        <f>+CONCATENATE(E4056,K4056)</f>
        <v/>
      </c>
      <c r="R4058" s="15">
        <f>+L4056</f>
        <v>0</v>
      </c>
      <c r="S4058" s="16"/>
      <c r="T4058" s="15">
        <f>+E4056</f>
        <v>0</v>
      </c>
      <c r="U4058" s="26" t="str">
        <f>IFERROR(LEFT(K4056,FIND("*",K4056)-1),"-")</f>
        <v>-</v>
      </c>
      <c r="V4058" s="26" t="str">
        <f>IFERROR(RIGHT(K4056,LEN(K4056)-FIND("*",K4056)),"-")</f>
        <v>-</v>
      </c>
      <c r="W4058" s="27" t="str">
        <f t="shared" si="2206"/>
        <v>-</v>
      </c>
      <c r="X4058" s="27" t="str">
        <f>IFERROR(W4058*L4056,"-")</f>
        <v>-</v>
      </c>
      <c r="Z4058" s="94" t="s">
        <v>82</v>
      </c>
    </row>
    <row r="4059" spans="1:26" s="25" customFormat="1" ht="21" customHeight="1" thickBot="1" x14ac:dyDescent="0.35">
      <c r="A4059" s="10"/>
      <c r="B4059" s="170"/>
      <c r="C4059" s="171"/>
      <c r="D4059" s="172" t="s">
        <v>43</v>
      </c>
      <c r="E4059" s="173"/>
      <c r="F4059" s="173"/>
      <c r="G4059" s="174"/>
      <c r="H4059" s="174"/>
      <c r="I4059" s="174"/>
      <c r="J4059" s="174"/>
      <c r="K4059" s="174"/>
      <c r="L4059" s="174"/>
      <c r="M4059" s="12"/>
      <c r="N4059" s="39"/>
      <c r="U4059" s="23"/>
      <c r="V4059" s="23"/>
      <c r="Z4059" s="95" t="s">
        <v>81</v>
      </c>
    </row>
    <row r="4060" spans="1:26" s="25" customFormat="1" ht="9.9499999999999993" customHeight="1" thickBot="1" x14ac:dyDescent="0.35">
      <c r="A4060" s="6"/>
      <c r="B4060" s="14"/>
      <c r="C4060" s="119"/>
      <c r="D4060" s="58"/>
      <c r="E4060" s="17"/>
      <c r="F4060" s="58"/>
      <c r="G4060" s="19"/>
      <c r="H4060" s="19"/>
      <c r="I4060" s="19"/>
      <c r="J4060" s="19"/>
      <c r="K4060" s="19"/>
      <c r="L4060" s="19"/>
      <c r="M4060" s="14"/>
      <c r="N4060" s="39"/>
      <c r="Q4060" s="1"/>
      <c r="R4060" s="1"/>
      <c r="S4060" s="1"/>
      <c r="T4060" s="1"/>
      <c r="U4060" s="24"/>
      <c r="V4060" s="24"/>
      <c r="W4060" s="1"/>
      <c r="X4060" s="1"/>
      <c r="Z4060" s="94" t="s">
        <v>82</v>
      </c>
    </row>
    <row r="4061" spans="1:26" s="25" customFormat="1" ht="6.95" customHeight="1" x14ac:dyDescent="0.3">
      <c r="A4061" s="165">
        <f>+A4050+1</f>
        <v>370</v>
      </c>
      <c r="B4061" s="166"/>
      <c r="C4061" s="167"/>
      <c r="D4061" s="160" t="s">
        <v>39</v>
      </c>
      <c r="E4061" s="161"/>
      <c r="F4061" s="162" t="s">
        <v>40</v>
      </c>
      <c r="G4061" s="163"/>
      <c r="H4061" s="164"/>
      <c r="I4061" s="163"/>
      <c r="J4061" s="164"/>
      <c r="K4061" s="163"/>
      <c r="L4061" s="164"/>
      <c r="M4061" s="11"/>
      <c r="N4061" s="39"/>
      <c r="Q4061" s="15" t="str">
        <f>+CONCATENATE(E4061,G4061)</f>
        <v/>
      </c>
      <c r="R4061" s="15">
        <f>+H4061</f>
        <v>0</v>
      </c>
      <c r="S4061" s="16"/>
      <c r="T4061" s="15">
        <f>+E4061</f>
        <v>0</v>
      </c>
      <c r="U4061" s="26" t="str">
        <f>IFERROR(LEFT(G4061,FIND("*",G4061)-1),"-")</f>
        <v>-</v>
      </c>
      <c r="V4061" s="26" t="str">
        <f>IFERROR(RIGHT(G4061,LEN(G4061)-FIND("*",G4061)),"-")</f>
        <v>-</v>
      </c>
      <c r="W4061" s="27" t="str">
        <f>IFERROR((U4061+V4061)*2/1000,"-")</f>
        <v>-</v>
      </c>
      <c r="X4061" s="27" t="str">
        <f>IFERROR(W4061*H4061,"-")</f>
        <v>-</v>
      </c>
      <c r="Z4061" s="94" t="s">
        <v>82</v>
      </c>
    </row>
    <row r="4062" spans="1:26" s="25" customFormat="1" ht="6.95" customHeight="1" x14ac:dyDescent="0.3">
      <c r="A4062" s="165"/>
      <c r="B4062" s="168"/>
      <c r="C4062" s="169"/>
      <c r="D4062" s="160"/>
      <c r="E4062" s="161"/>
      <c r="F4062" s="162"/>
      <c r="G4062" s="163"/>
      <c r="H4062" s="164"/>
      <c r="I4062" s="163"/>
      <c r="J4062" s="164"/>
      <c r="K4062" s="163"/>
      <c r="L4062" s="164"/>
      <c r="M4062" s="11"/>
      <c r="N4062" s="39"/>
      <c r="Q4062" s="15" t="str">
        <f>+CONCATENATE(E4061,I4061)</f>
        <v/>
      </c>
      <c r="R4062" s="15">
        <f>+J4061</f>
        <v>0</v>
      </c>
      <c r="S4062" s="16"/>
      <c r="T4062" s="15">
        <f>+E4061</f>
        <v>0</v>
      </c>
      <c r="U4062" s="26" t="str">
        <f>IFERROR(LEFT(I4061,FIND("*",I4061)-1),"-")</f>
        <v>-</v>
      </c>
      <c r="V4062" s="26" t="str">
        <f>IFERROR(RIGHT(I4061,LEN(I4061)-FIND("*",I4061)),"-")</f>
        <v>-</v>
      </c>
      <c r="W4062" s="27" t="str">
        <f t="shared" ref="W4062:W4069" si="2212">IFERROR((U4062+V4062)*2/1000,"-")</f>
        <v>-</v>
      </c>
      <c r="X4062" s="27" t="str">
        <f>IFERROR(W4062*J4061,"-")</f>
        <v>-</v>
      </c>
      <c r="Z4062" s="94" t="s">
        <v>82</v>
      </c>
    </row>
    <row r="4063" spans="1:26" s="25" customFormat="1" ht="6.95" customHeight="1" x14ac:dyDescent="0.3">
      <c r="A4063" s="165"/>
      <c r="B4063" s="168"/>
      <c r="C4063" s="169"/>
      <c r="D4063" s="160"/>
      <c r="E4063" s="161"/>
      <c r="F4063" s="162"/>
      <c r="G4063" s="163"/>
      <c r="H4063" s="164"/>
      <c r="I4063" s="163"/>
      <c r="J4063" s="164"/>
      <c r="K4063" s="163"/>
      <c r="L4063" s="164"/>
      <c r="M4063" s="11"/>
      <c r="N4063" s="39"/>
      <c r="Q4063" s="15" t="str">
        <f>+CONCATENATE(E4061,K4061)</f>
        <v/>
      </c>
      <c r="R4063" s="15">
        <f>+L4061</f>
        <v>0</v>
      </c>
      <c r="S4063" s="16"/>
      <c r="T4063" s="15">
        <f>+E4061</f>
        <v>0</v>
      </c>
      <c r="U4063" s="26" t="str">
        <f>IFERROR(LEFT(K4061,FIND("*",K4061)-1),"-")</f>
        <v>-</v>
      </c>
      <c r="V4063" s="26" t="str">
        <f>IFERROR(RIGHT(K4061,LEN(K4061)-FIND("*",K4061)),"-")</f>
        <v>-</v>
      </c>
      <c r="W4063" s="27" t="str">
        <f t="shared" si="2212"/>
        <v>-</v>
      </c>
      <c r="X4063" s="27" t="str">
        <f>IFERROR(W4063*L4061,"-")</f>
        <v>-</v>
      </c>
      <c r="Z4063" s="94" t="s">
        <v>82</v>
      </c>
    </row>
    <row r="4064" spans="1:26" s="25" customFormat="1" ht="6.95" customHeight="1" x14ac:dyDescent="0.3">
      <c r="A4064" s="13"/>
      <c r="B4064" s="168"/>
      <c r="C4064" s="169"/>
      <c r="D4064" s="160" t="s">
        <v>39</v>
      </c>
      <c r="E4064" s="161"/>
      <c r="F4064" s="162" t="s">
        <v>40</v>
      </c>
      <c r="G4064" s="163"/>
      <c r="H4064" s="164"/>
      <c r="I4064" s="163"/>
      <c r="J4064" s="164"/>
      <c r="K4064" s="163"/>
      <c r="L4064" s="164"/>
      <c r="M4064" s="11"/>
      <c r="N4064" s="39"/>
      <c r="Q4064" s="15" t="str">
        <f>+CONCATENATE(E4064,G4064)</f>
        <v/>
      </c>
      <c r="R4064" s="15">
        <f>+H4064</f>
        <v>0</v>
      </c>
      <c r="S4064" s="16"/>
      <c r="T4064" s="15">
        <f>+E4064</f>
        <v>0</v>
      </c>
      <c r="U4064" s="26" t="str">
        <f t="shared" ref="U4064" si="2213">IFERROR(LEFT(G4064,FIND("*",G4064)-1),"-")</f>
        <v>-</v>
      </c>
      <c r="V4064" s="26" t="str">
        <f t="shared" ref="V4064" si="2214">IFERROR(RIGHT(G4064,LEN(G4064)-FIND("*",G4064)),"-")</f>
        <v>-</v>
      </c>
      <c r="W4064" s="27" t="str">
        <f t="shared" si="2212"/>
        <v>-</v>
      </c>
      <c r="X4064" s="27" t="str">
        <f>IFERROR(W4064*H4064,"-")</f>
        <v>-</v>
      </c>
      <c r="Z4064" s="94" t="s">
        <v>82</v>
      </c>
    </row>
    <row r="4065" spans="1:26" s="25" customFormat="1" ht="6.95" customHeight="1" x14ac:dyDescent="0.3">
      <c r="A4065" s="10"/>
      <c r="B4065" s="168"/>
      <c r="C4065" s="169"/>
      <c r="D4065" s="160"/>
      <c r="E4065" s="161"/>
      <c r="F4065" s="162"/>
      <c r="G4065" s="163"/>
      <c r="H4065" s="164"/>
      <c r="I4065" s="163"/>
      <c r="J4065" s="164"/>
      <c r="K4065" s="163"/>
      <c r="L4065" s="164"/>
      <c r="M4065" s="11"/>
      <c r="N4065" s="39"/>
      <c r="Q4065" s="15" t="str">
        <f>+CONCATENATE(E4064,I4064)</f>
        <v/>
      </c>
      <c r="R4065" s="15">
        <f>+J4064</f>
        <v>0</v>
      </c>
      <c r="S4065" s="16"/>
      <c r="T4065" s="15">
        <f>+E4064</f>
        <v>0</v>
      </c>
      <c r="U4065" s="26" t="str">
        <f>IFERROR(LEFT(I4064,FIND("*",I4064)-1),"-")</f>
        <v>-</v>
      </c>
      <c r="V4065" s="26" t="str">
        <f>IFERROR(RIGHT(I4064,LEN(I4064)-FIND("*",I4064)),"-")</f>
        <v>-</v>
      </c>
      <c r="W4065" s="27" t="str">
        <f t="shared" si="2212"/>
        <v>-</v>
      </c>
      <c r="X4065" s="27" t="str">
        <f>IFERROR(W4065*J4064,"-")</f>
        <v>-</v>
      </c>
      <c r="Z4065" s="94" t="s">
        <v>82</v>
      </c>
    </row>
    <row r="4066" spans="1:26" s="25" customFormat="1" ht="6.95" customHeight="1" x14ac:dyDescent="0.3">
      <c r="A4066" s="10"/>
      <c r="B4066" s="168"/>
      <c r="C4066" s="169"/>
      <c r="D4066" s="160"/>
      <c r="E4066" s="161"/>
      <c r="F4066" s="162"/>
      <c r="G4066" s="163"/>
      <c r="H4066" s="164"/>
      <c r="I4066" s="163"/>
      <c r="J4066" s="164"/>
      <c r="K4066" s="163"/>
      <c r="L4066" s="164"/>
      <c r="M4066" s="11"/>
      <c r="N4066" s="39"/>
      <c r="Q4066" s="15" t="str">
        <f>+CONCATENATE(E4064,K4064)</f>
        <v/>
      </c>
      <c r="R4066" s="15">
        <f>+L4064</f>
        <v>0</v>
      </c>
      <c r="S4066" s="16"/>
      <c r="T4066" s="15">
        <f>+E4064</f>
        <v>0</v>
      </c>
      <c r="U4066" s="26" t="str">
        <f>IFERROR(LEFT(K4064,FIND("*",K4064)-1),"-")</f>
        <v>-</v>
      </c>
      <c r="V4066" s="26" t="str">
        <f>IFERROR(RIGHT(K4064,LEN(K4064)-FIND("*",K4064)),"-")</f>
        <v>-</v>
      </c>
      <c r="W4066" s="27" t="str">
        <f t="shared" si="2212"/>
        <v>-</v>
      </c>
      <c r="X4066" s="27" t="str">
        <f>IFERROR(W4066*L4064,"-")</f>
        <v>-</v>
      </c>
      <c r="Z4066" s="94" t="s">
        <v>82</v>
      </c>
    </row>
    <row r="4067" spans="1:26" s="25" customFormat="1" ht="6.95" customHeight="1" x14ac:dyDescent="0.3">
      <c r="A4067" s="13"/>
      <c r="B4067" s="168"/>
      <c r="C4067" s="169"/>
      <c r="D4067" s="160" t="s">
        <v>39</v>
      </c>
      <c r="E4067" s="161"/>
      <c r="F4067" s="162" t="s">
        <v>40</v>
      </c>
      <c r="G4067" s="163"/>
      <c r="H4067" s="164"/>
      <c r="I4067" s="163"/>
      <c r="J4067" s="164"/>
      <c r="K4067" s="163"/>
      <c r="L4067" s="164"/>
      <c r="M4067" s="11"/>
      <c r="N4067" s="39"/>
      <c r="Q4067" s="15" t="str">
        <f>+CONCATENATE(E4067,G4067)</f>
        <v/>
      </c>
      <c r="R4067" s="15">
        <f>+H4067</f>
        <v>0</v>
      </c>
      <c r="S4067" s="16"/>
      <c r="T4067" s="15">
        <f>+E4067</f>
        <v>0</v>
      </c>
      <c r="U4067" s="26" t="str">
        <f t="shared" ref="U4067" si="2215">IFERROR(LEFT(G4067,FIND("*",G4067)-1),"-")</f>
        <v>-</v>
      </c>
      <c r="V4067" s="26" t="str">
        <f t="shared" ref="V4067" si="2216">IFERROR(RIGHT(G4067,LEN(G4067)-FIND("*",G4067)),"-")</f>
        <v>-</v>
      </c>
      <c r="W4067" s="27" t="str">
        <f t="shared" si="2212"/>
        <v>-</v>
      </c>
      <c r="X4067" s="27" t="str">
        <f>IFERROR(W4067*H4067,"-")</f>
        <v>-</v>
      </c>
      <c r="Z4067" s="94" t="s">
        <v>82</v>
      </c>
    </row>
    <row r="4068" spans="1:26" s="25" customFormat="1" ht="6.95" customHeight="1" x14ac:dyDescent="0.3">
      <c r="A4068" s="10"/>
      <c r="B4068" s="168"/>
      <c r="C4068" s="169"/>
      <c r="D4068" s="160"/>
      <c r="E4068" s="161"/>
      <c r="F4068" s="162"/>
      <c r="G4068" s="163"/>
      <c r="H4068" s="164"/>
      <c r="I4068" s="163"/>
      <c r="J4068" s="164"/>
      <c r="K4068" s="163"/>
      <c r="L4068" s="164"/>
      <c r="M4068" s="11"/>
      <c r="N4068" s="39"/>
      <c r="Q4068" s="15" t="str">
        <f>+CONCATENATE(E4067,I4067)</f>
        <v/>
      </c>
      <c r="R4068" s="15">
        <f>+J4067</f>
        <v>0</v>
      </c>
      <c r="S4068" s="16"/>
      <c r="T4068" s="15">
        <f>+E4067</f>
        <v>0</v>
      </c>
      <c r="U4068" s="26" t="str">
        <f>IFERROR(LEFT(I4067,FIND("*",I4067)-1),"-")</f>
        <v>-</v>
      </c>
      <c r="V4068" s="26" t="str">
        <f>IFERROR(RIGHT(I4067,LEN(I4067)-FIND("*",I4067)),"-")</f>
        <v>-</v>
      </c>
      <c r="W4068" s="27" t="str">
        <f t="shared" si="2212"/>
        <v>-</v>
      </c>
      <c r="X4068" s="27" t="str">
        <f t="shared" ref="X4068" si="2217">IFERROR(W4068*J4067,"-")</f>
        <v>-</v>
      </c>
      <c r="Z4068" s="94" t="s">
        <v>82</v>
      </c>
    </row>
    <row r="4069" spans="1:26" s="25" customFormat="1" ht="6.95" customHeight="1" x14ac:dyDescent="0.3">
      <c r="A4069" s="10"/>
      <c r="B4069" s="168"/>
      <c r="C4069" s="169"/>
      <c r="D4069" s="160"/>
      <c r="E4069" s="161"/>
      <c r="F4069" s="162"/>
      <c r="G4069" s="163"/>
      <c r="H4069" s="164"/>
      <c r="I4069" s="163"/>
      <c r="J4069" s="164"/>
      <c r="K4069" s="163"/>
      <c r="L4069" s="164"/>
      <c r="M4069" s="11"/>
      <c r="N4069" s="39"/>
      <c r="Q4069" s="15" t="str">
        <f>+CONCATENATE(E4067,K4067)</f>
        <v/>
      </c>
      <c r="R4069" s="15">
        <f>+L4067</f>
        <v>0</v>
      </c>
      <c r="S4069" s="16"/>
      <c r="T4069" s="15">
        <f>+E4067</f>
        <v>0</v>
      </c>
      <c r="U4069" s="26" t="str">
        <f>IFERROR(LEFT(K4067,FIND("*",K4067)-1),"-")</f>
        <v>-</v>
      </c>
      <c r="V4069" s="26" t="str">
        <f>IFERROR(RIGHT(K4067,LEN(K4067)-FIND("*",K4067)),"-")</f>
        <v>-</v>
      </c>
      <c r="W4069" s="27" t="str">
        <f t="shared" si="2212"/>
        <v>-</v>
      </c>
      <c r="X4069" s="27" t="str">
        <f>IFERROR(W4069*L4067,"-")</f>
        <v>-</v>
      </c>
      <c r="Z4069" s="94" t="s">
        <v>82</v>
      </c>
    </row>
    <row r="4070" spans="1:26" s="25" customFormat="1" ht="21" customHeight="1" thickBot="1" x14ac:dyDescent="0.35">
      <c r="A4070" s="10"/>
      <c r="B4070" s="170"/>
      <c r="C4070" s="171"/>
      <c r="D4070" s="172" t="s">
        <v>43</v>
      </c>
      <c r="E4070" s="173"/>
      <c r="F4070" s="173"/>
      <c r="G4070" s="174"/>
      <c r="H4070" s="174"/>
      <c r="I4070" s="174"/>
      <c r="J4070" s="174"/>
      <c r="K4070" s="174"/>
      <c r="L4070" s="174"/>
      <c r="M4070" s="12"/>
      <c r="N4070" s="39"/>
      <c r="U4070" s="23"/>
      <c r="V4070" s="23"/>
      <c r="Z4070" s="95" t="s">
        <v>81</v>
      </c>
    </row>
    <row r="4071" spans="1:26" s="25" customFormat="1" ht="9.9499999999999993" customHeight="1" thickBot="1" x14ac:dyDescent="0.35">
      <c r="A4071" s="6"/>
      <c r="B4071" s="14"/>
      <c r="C4071" s="119"/>
      <c r="D4071" s="58"/>
      <c r="E4071" s="17"/>
      <c r="F4071" s="58"/>
      <c r="G4071" s="19"/>
      <c r="H4071" s="19"/>
      <c r="I4071" s="19"/>
      <c r="J4071" s="19"/>
      <c r="K4071" s="19"/>
      <c r="L4071" s="19"/>
      <c r="M4071" s="14"/>
      <c r="N4071" s="39"/>
      <c r="Q4071" s="1"/>
      <c r="R4071" s="1"/>
      <c r="S4071" s="1"/>
      <c r="T4071" s="1"/>
      <c r="U4071" s="24"/>
      <c r="V4071" s="24"/>
      <c r="W4071" s="1"/>
      <c r="X4071" s="1"/>
      <c r="Z4071" s="94" t="s">
        <v>82</v>
      </c>
    </row>
    <row r="4072" spans="1:26" s="25" customFormat="1" ht="6.95" customHeight="1" x14ac:dyDescent="0.3">
      <c r="A4072" s="165">
        <f>+A4061+1</f>
        <v>371</v>
      </c>
      <c r="B4072" s="166"/>
      <c r="C4072" s="167"/>
      <c r="D4072" s="160" t="s">
        <v>39</v>
      </c>
      <c r="E4072" s="161"/>
      <c r="F4072" s="162" t="s">
        <v>40</v>
      </c>
      <c r="G4072" s="163"/>
      <c r="H4072" s="164"/>
      <c r="I4072" s="163"/>
      <c r="J4072" s="164"/>
      <c r="K4072" s="163"/>
      <c r="L4072" s="164"/>
      <c r="M4072" s="11"/>
      <c r="N4072" s="39"/>
      <c r="Q4072" s="15" t="str">
        <f>+CONCATENATE(E4072,G4072)</f>
        <v/>
      </c>
      <c r="R4072" s="15">
        <f>+H4072</f>
        <v>0</v>
      </c>
      <c r="S4072" s="16"/>
      <c r="T4072" s="15">
        <f>+E4072</f>
        <v>0</v>
      </c>
      <c r="U4072" s="26" t="str">
        <f>IFERROR(LEFT(G4072,FIND("*",G4072)-1),"-")</f>
        <v>-</v>
      </c>
      <c r="V4072" s="26" t="str">
        <f>IFERROR(RIGHT(G4072,LEN(G4072)-FIND("*",G4072)),"-")</f>
        <v>-</v>
      </c>
      <c r="W4072" s="27" t="str">
        <f>IFERROR((U4072+V4072)*2/1000,"-")</f>
        <v>-</v>
      </c>
      <c r="X4072" s="27" t="str">
        <f>IFERROR(W4072*H4072,"-")</f>
        <v>-</v>
      </c>
      <c r="Z4072" s="94" t="s">
        <v>82</v>
      </c>
    </row>
    <row r="4073" spans="1:26" s="25" customFormat="1" ht="6.95" customHeight="1" x14ac:dyDescent="0.3">
      <c r="A4073" s="165"/>
      <c r="B4073" s="168"/>
      <c r="C4073" s="169"/>
      <c r="D4073" s="160"/>
      <c r="E4073" s="161"/>
      <c r="F4073" s="162"/>
      <c r="G4073" s="163"/>
      <c r="H4073" s="164"/>
      <c r="I4073" s="163"/>
      <c r="J4073" s="164"/>
      <c r="K4073" s="163"/>
      <c r="L4073" s="164"/>
      <c r="M4073" s="11"/>
      <c r="N4073" s="39"/>
      <c r="Q4073" s="15" t="str">
        <f>+CONCATENATE(E4072,I4072)</f>
        <v/>
      </c>
      <c r="R4073" s="15">
        <f>+J4072</f>
        <v>0</v>
      </c>
      <c r="S4073" s="16"/>
      <c r="T4073" s="15">
        <f>+E4072</f>
        <v>0</v>
      </c>
      <c r="U4073" s="26" t="str">
        <f>IFERROR(LEFT(I4072,FIND("*",I4072)-1),"-")</f>
        <v>-</v>
      </c>
      <c r="V4073" s="26" t="str">
        <f>IFERROR(RIGHT(I4072,LEN(I4072)-FIND("*",I4072)),"-")</f>
        <v>-</v>
      </c>
      <c r="W4073" s="27" t="str">
        <f t="shared" ref="W4073:W4080" si="2218">IFERROR((U4073+V4073)*2/1000,"-")</f>
        <v>-</v>
      </c>
      <c r="X4073" s="27" t="str">
        <f>IFERROR(W4073*J4072,"-")</f>
        <v>-</v>
      </c>
      <c r="Z4073" s="94" t="s">
        <v>82</v>
      </c>
    </row>
    <row r="4074" spans="1:26" s="25" customFormat="1" ht="6.95" customHeight="1" x14ac:dyDescent="0.3">
      <c r="A4074" s="165"/>
      <c r="B4074" s="168"/>
      <c r="C4074" s="169"/>
      <c r="D4074" s="160"/>
      <c r="E4074" s="161"/>
      <c r="F4074" s="162"/>
      <c r="G4074" s="163"/>
      <c r="H4074" s="164"/>
      <c r="I4074" s="163"/>
      <c r="J4074" s="164"/>
      <c r="K4074" s="163"/>
      <c r="L4074" s="164"/>
      <c r="M4074" s="11"/>
      <c r="N4074" s="39"/>
      <c r="Q4074" s="15" t="str">
        <f>+CONCATENATE(E4072,K4072)</f>
        <v/>
      </c>
      <c r="R4074" s="15">
        <f>+L4072</f>
        <v>0</v>
      </c>
      <c r="S4074" s="16"/>
      <c r="T4074" s="15">
        <f>+E4072</f>
        <v>0</v>
      </c>
      <c r="U4074" s="26" t="str">
        <f>IFERROR(LEFT(K4072,FIND("*",K4072)-1),"-")</f>
        <v>-</v>
      </c>
      <c r="V4074" s="26" t="str">
        <f>IFERROR(RIGHT(K4072,LEN(K4072)-FIND("*",K4072)),"-")</f>
        <v>-</v>
      </c>
      <c r="W4074" s="27" t="str">
        <f t="shared" si="2218"/>
        <v>-</v>
      </c>
      <c r="X4074" s="27" t="str">
        <f>IFERROR(W4074*L4072,"-")</f>
        <v>-</v>
      </c>
      <c r="Z4074" s="94" t="s">
        <v>82</v>
      </c>
    </row>
    <row r="4075" spans="1:26" s="25" customFormat="1" ht="6.95" customHeight="1" x14ac:dyDescent="0.3">
      <c r="A4075" s="13"/>
      <c r="B4075" s="168"/>
      <c r="C4075" s="169"/>
      <c r="D4075" s="160" t="s">
        <v>39</v>
      </c>
      <c r="E4075" s="161"/>
      <c r="F4075" s="162" t="s">
        <v>40</v>
      </c>
      <c r="G4075" s="163"/>
      <c r="H4075" s="164"/>
      <c r="I4075" s="163"/>
      <c r="J4075" s="164"/>
      <c r="K4075" s="163"/>
      <c r="L4075" s="164"/>
      <c r="M4075" s="11"/>
      <c r="N4075" s="39"/>
      <c r="Q4075" s="15" t="str">
        <f>+CONCATENATE(E4075,G4075)</f>
        <v/>
      </c>
      <c r="R4075" s="15">
        <f>+H4075</f>
        <v>0</v>
      </c>
      <c r="S4075" s="16"/>
      <c r="T4075" s="15">
        <f>+E4075</f>
        <v>0</v>
      </c>
      <c r="U4075" s="26" t="str">
        <f t="shared" ref="U4075" si="2219">IFERROR(LEFT(G4075,FIND("*",G4075)-1),"-")</f>
        <v>-</v>
      </c>
      <c r="V4075" s="26" t="str">
        <f t="shared" ref="V4075" si="2220">IFERROR(RIGHT(G4075,LEN(G4075)-FIND("*",G4075)),"-")</f>
        <v>-</v>
      </c>
      <c r="W4075" s="27" t="str">
        <f t="shared" si="2218"/>
        <v>-</v>
      </c>
      <c r="X4075" s="27" t="str">
        <f>IFERROR(W4075*H4075,"-")</f>
        <v>-</v>
      </c>
      <c r="Z4075" s="94" t="s">
        <v>82</v>
      </c>
    </row>
    <row r="4076" spans="1:26" s="25" customFormat="1" ht="6.95" customHeight="1" x14ac:dyDescent="0.3">
      <c r="A4076" s="10"/>
      <c r="B4076" s="168"/>
      <c r="C4076" s="169"/>
      <c r="D4076" s="160"/>
      <c r="E4076" s="161"/>
      <c r="F4076" s="162"/>
      <c r="G4076" s="163"/>
      <c r="H4076" s="164"/>
      <c r="I4076" s="163"/>
      <c r="J4076" s="164"/>
      <c r="K4076" s="163"/>
      <c r="L4076" s="164"/>
      <c r="M4076" s="11"/>
      <c r="N4076" s="39"/>
      <c r="Q4076" s="15" t="str">
        <f>+CONCATENATE(E4075,I4075)</f>
        <v/>
      </c>
      <c r="R4076" s="15">
        <f>+J4075</f>
        <v>0</v>
      </c>
      <c r="S4076" s="16"/>
      <c r="T4076" s="15">
        <f>+E4075</f>
        <v>0</v>
      </c>
      <c r="U4076" s="26" t="str">
        <f>IFERROR(LEFT(I4075,FIND("*",I4075)-1),"-")</f>
        <v>-</v>
      </c>
      <c r="V4076" s="26" t="str">
        <f>IFERROR(RIGHT(I4075,LEN(I4075)-FIND("*",I4075)),"-")</f>
        <v>-</v>
      </c>
      <c r="W4076" s="27" t="str">
        <f t="shared" si="2218"/>
        <v>-</v>
      </c>
      <c r="X4076" s="27" t="str">
        <f>IFERROR(W4076*J4075,"-")</f>
        <v>-</v>
      </c>
      <c r="Z4076" s="94" t="s">
        <v>82</v>
      </c>
    </row>
    <row r="4077" spans="1:26" s="25" customFormat="1" ht="6.95" customHeight="1" x14ac:dyDescent="0.3">
      <c r="A4077" s="10"/>
      <c r="B4077" s="168"/>
      <c r="C4077" s="169"/>
      <c r="D4077" s="160"/>
      <c r="E4077" s="161"/>
      <c r="F4077" s="162"/>
      <c r="G4077" s="163"/>
      <c r="H4077" s="164"/>
      <c r="I4077" s="163"/>
      <c r="J4077" s="164"/>
      <c r="K4077" s="163"/>
      <c r="L4077" s="164"/>
      <c r="M4077" s="11"/>
      <c r="N4077" s="39"/>
      <c r="Q4077" s="15" t="str">
        <f>+CONCATENATE(E4075,K4075)</f>
        <v/>
      </c>
      <c r="R4077" s="15">
        <f>+L4075</f>
        <v>0</v>
      </c>
      <c r="S4077" s="16"/>
      <c r="T4077" s="15">
        <f>+E4075</f>
        <v>0</v>
      </c>
      <c r="U4077" s="26" t="str">
        <f>IFERROR(LEFT(K4075,FIND("*",K4075)-1),"-")</f>
        <v>-</v>
      </c>
      <c r="V4077" s="26" t="str">
        <f>IFERROR(RIGHT(K4075,LEN(K4075)-FIND("*",K4075)),"-")</f>
        <v>-</v>
      </c>
      <c r="W4077" s="27" t="str">
        <f t="shared" si="2218"/>
        <v>-</v>
      </c>
      <c r="X4077" s="27" t="str">
        <f>IFERROR(W4077*L4075,"-")</f>
        <v>-</v>
      </c>
      <c r="Z4077" s="94" t="s">
        <v>82</v>
      </c>
    </row>
    <row r="4078" spans="1:26" s="25" customFormat="1" ht="6.95" customHeight="1" x14ac:dyDescent="0.3">
      <c r="A4078" s="13"/>
      <c r="B4078" s="168"/>
      <c r="C4078" s="169"/>
      <c r="D4078" s="160" t="s">
        <v>39</v>
      </c>
      <c r="E4078" s="161"/>
      <c r="F4078" s="162" t="s">
        <v>40</v>
      </c>
      <c r="G4078" s="163"/>
      <c r="H4078" s="164"/>
      <c r="I4078" s="163"/>
      <c r="J4078" s="164"/>
      <c r="K4078" s="163"/>
      <c r="L4078" s="164"/>
      <c r="M4078" s="11"/>
      <c r="N4078" s="39"/>
      <c r="Q4078" s="15" t="str">
        <f>+CONCATENATE(E4078,G4078)</f>
        <v/>
      </c>
      <c r="R4078" s="15">
        <f>+H4078</f>
        <v>0</v>
      </c>
      <c r="S4078" s="16"/>
      <c r="T4078" s="15">
        <f>+E4078</f>
        <v>0</v>
      </c>
      <c r="U4078" s="26" t="str">
        <f t="shared" ref="U4078" si="2221">IFERROR(LEFT(G4078,FIND("*",G4078)-1),"-")</f>
        <v>-</v>
      </c>
      <c r="V4078" s="26" t="str">
        <f t="shared" ref="V4078" si="2222">IFERROR(RIGHT(G4078,LEN(G4078)-FIND("*",G4078)),"-")</f>
        <v>-</v>
      </c>
      <c r="W4078" s="27" t="str">
        <f t="shared" si="2218"/>
        <v>-</v>
      </c>
      <c r="X4078" s="27" t="str">
        <f>IFERROR(W4078*H4078,"-")</f>
        <v>-</v>
      </c>
      <c r="Z4078" s="94" t="s">
        <v>82</v>
      </c>
    </row>
    <row r="4079" spans="1:26" s="25" customFormat="1" ht="6.95" customHeight="1" x14ac:dyDescent="0.3">
      <c r="A4079" s="10"/>
      <c r="B4079" s="168"/>
      <c r="C4079" s="169"/>
      <c r="D4079" s="160"/>
      <c r="E4079" s="161"/>
      <c r="F4079" s="162"/>
      <c r="G4079" s="163"/>
      <c r="H4079" s="164"/>
      <c r="I4079" s="163"/>
      <c r="J4079" s="164"/>
      <c r="K4079" s="163"/>
      <c r="L4079" s="164"/>
      <c r="M4079" s="11"/>
      <c r="N4079" s="39"/>
      <c r="Q4079" s="15" t="str">
        <f>+CONCATENATE(E4078,I4078)</f>
        <v/>
      </c>
      <c r="R4079" s="15">
        <f>+J4078</f>
        <v>0</v>
      </c>
      <c r="S4079" s="16"/>
      <c r="T4079" s="15">
        <f>+E4078</f>
        <v>0</v>
      </c>
      <c r="U4079" s="26" t="str">
        <f>IFERROR(LEFT(I4078,FIND("*",I4078)-1),"-")</f>
        <v>-</v>
      </c>
      <c r="V4079" s="26" t="str">
        <f>IFERROR(RIGHT(I4078,LEN(I4078)-FIND("*",I4078)),"-")</f>
        <v>-</v>
      </c>
      <c r="W4079" s="27" t="str">
        <f t="shared" si="2218"/>
        <v>-</v>
      </c>
      <c r="X4079" s="27" t="str">
        <f t="shared" ref="X4079" si="2223">IFERROR(W4079*J4078,"-")</f>
        <v>-</v>
      </c>
      <c r="Z4079" s="94" t="s">
        <v>82</v>
      </c>
    </row>
    <row r="4080" spans="1:26" s="25" customFormat="1" ht="6.95" customHeight="1" x14ac:dyDescent="0.3">
      <c r="A4080" s="10"/>
      <c r="B4080" s="168"/>
      <c r="C4080" s="169"/>
      <c r="D4080" s="160"/>
      <c r="E4080" s="161"/>
      <c r="F4080" s="162"/>
      <c r="G4080" s="163"/>
      <c r="H4080" s="164"/>
      <c r="I4080" s="163"/>
      <c r="J4080" s="164"/>
      <c r="K4080" s="163"/>
      <c r="L4080" s="164"/>
      <c r="M4080" s="11"/>
      <c r="N4080" s="39"/>
      <c r="Q4080" s="15" t="str">
        <f>+CONCATENATE(E4078,K4078)</f>
        <v/>
      </c>
      <c r="R4080" s="15">
        <f>+L4078</f>
        <v>0</v>
      </c>
      <c r="S4080" s="16"/>
      <c r="T4080" s="15">
        <f>+E4078</f>
        <v>0</v>
      </c>
      <c r="U4080" s="26" t="str">
        <f>IFERROR(LEFT(K4078,FIND("*",K4078)-1),"-")</f>
        <v>-</v>
      </c>
      <c r="V4080" s="26" t="str">
        <f>IFERROR(RIGHT(K4078,LEN(K4078)-FIND("*",K4078)),"-")</f>
        <v>-</v>
      </c>
      <c r="W4080" s="27" t="str">
        <f t="shared" si="2218"/>
        <v>-</v>
      </c>
      <c r="X4080" s="27" t="str">
        <f>IFERROR(W4080*L4078,"-")</f>
        <v>-</v>
      </c>
      <c r="Z4080" s="94" t="s">
        <v>82</v>
      </c>
    </row>
    <row r="4081" spans="1:26" s="25" customFormat="1" ht="21" customHeight="1" thickBot="1" x14ac:dyDescent="0.35">
      <c r="A4081" s="10"/>
      <c r="B4081" s="170"/>
      <c r="C4081" s="171"/>
      <c r="D4081" s="172" t="s">
        <v>43</v>
      </c>
      <c r="E4081" s="173"/>
      <c r="F4081" s="173"/>
      <c r="G4081" s="174"/>
      <c r="H4081" s="174"/>
      <c r="I4081" s="174"/>
      <c r="J4081" s="174"/>
      <c r="K4081" s="174"/>
      <c r="L4081" s="174"/>
      <c r="M4081" s="12"/>
      <c r="N4081" s="39"/>
      <c r="U4081" s="23"/>
      <c r="V4081" s="23"/>
      <c r="Z4081" s="95" t="s">
        <v>81</v>
      </c>
    </row>
    <row r="4082" spans="1:26" s="25" customFormat="1" ht="9.9499999999999993" customHeight="1" thickBot="1" x14ac:dyDescent="0.35">
      <c r="A4082" s="6"/>
      <c r="B4082" s="14"/>
      <c r="C4082" s="119"/>
      <c r="D4082" s="58"/>
      <c r="E4082" s="17"/>
      <c r="F4082" s="58"/>
      <c r="G4082" s="19"/>
      <c r="H4082" s="19"/>
      <c r="I4082" s="19"/>
      <c r="J4082" s="19"/>
      <c r="K4082" s="19"/>
      <c r="L4082" s="19"/>
      <c r="M4082" s="14"/>
      <c r="N4082" s="39"/>
      <c r="Q4082" s="1"/>
      <c r="R4082" s="1"/>
      <c r="S4082" s="1"/>
      <c r="T4082" s="1"/>
      <c r="U4082" s="24"/>
      <c r="V4082" s="24"/>
      <c r="W4082" s="1"/>
      <c r="X4082" s="1"/>
      <c r="Z4082" s="94" t="s">
        <v>82</v>
      </c>
    </row>
    <row r="4083" spans="1:26" s="25" customFormat="1" ht="6.95" customHeight="1" x14ac:dyDescent="0.3">
      <c r="A4083" s="165">
        <f>+A4072+1</f>
        <v>372</v>
      </c>
      <c r="B4083" s="166"/>
      <c r="C4083" s="167"/>
      <c r="D4083" s="160" t="s">
        <v>39</v>
      </c>
      <c r="E4083" s="161"/>
      <c r="F4083" s="162" t="s">
        <v>40</v>
      </c>
      <c r="G4083" s="163"/>
      <c r="H4083" s="164"/>
      <c r="I4083" s="163"/>
      <c r="J4083" s="164"/>
      <c r="K4083" s="163"/>
      <c r="L4083" s="164"/>
      <c r="M4083" s="11"/>
      <c r="N4083" s="39"/>
      <c r="Q4083" s="15" t="str">
        <f>+CONCATENATE(E4083,G4083)</f>
        <v/>
      </c>
      <c r="R4083" s="15">
        <f>+H4083</f>
        <v>0</v>
      </c>
      <c r="S4083" s="16"/>
      <c r="T4083" s="15">
        <f>+E4083</f>
        <v>0</v>
      </c>
      <c r="U4083" s="26" t="str">
        <f>IFERROR(LEFT(G4083,FIND("*",G4083)-1),"-")</f>
        <v>-</v>
      </c>
      <c r="V4083" s="26" t="str">
        <f>IFERROR(RIGHT(G4083,LEN(G4083)-FIND("*",G4083)),"-")</f>
        <v>-</v>
      </c>
      <c r="W4083" s="27" t="str">
        <f>IFERROR((U4083+V4083)*2/1000,"-")</f>
        <v>-</v>
      </c>
      <c r="X4083" s="27" t="str">
        <f>IFERROR(W4083*H4083,"-")</f>
        <v>-</v>
      </c>
      <c r="Z4083" s="94" t="s">
        <v>82</v>
      </c>
    </row>
    <row r="4084" spans="1:26" s="25" customFormat="1" ht="6.95" customHeight="1" x14ac:dyDescent="0.3">
      <c r="A4084" s="165"/>
      <c r="B4084" s="168"/>
      <c r="C4084" s="169"/>
      <c r="D4084" s="160"/>
      <c r="E4084" s="161"/>
      <c r="F4084" s="162"/>
      <c r="G4084" s="163"/>
      <c r="H4084" s="164"/>
      <c r="I4084" s="163"/>
      <c r="J4084" s="164"/>
      <c r="K4084" s="163"/>
      <c r="L4084" s="164"/>
      <c r="M4084" s="11"/>
      <c r="N4084" s="39"/>
      <c r="Q4084" s="15" t="str">
        <f>+CONCATENATE(E4083,I4083)</f>
        <v/>
      </c>
      <c r="R4084" s="15">
        <f>+J4083</f>
        <v>0</v>
      </c>
      <c r="S4084" s="16"/>
      <c r="T4084" s="15">
        <f>+E4083</f>
        <v>0</v>
      </c>
      <c r="U4084" s="26" t="str">
        <f>IFERROR(LEFT(I4083,FIND("*",I4083)-1),"-")</f>
        <v>-</v>
      </c>
      <c r="V4084" s="26" t="str">
        <f>IFERROR(RIGHT(I4083,LEN(I4083)-FIND("*",I4083)),"-")</f>
        <v>-</v>
      </c>
      <c r="W4084" s="27" t="str">
        <f t="shared" ref="W4084:W4091" si="2224">IFERROR((U4084+V4084)*2/1000,"-")</f>
        <v>-</v>
      </c>
      <c r="X4084" s="27" t="str">
        <f>IFERROR(W4084*J4083,"-")</f>
        <v>-</v>
      </c>
      <c r="Z4084" s="94" t="s">
        <v>82</v>
      </c>
    </row>
    <row r="4085" spans="1:26" s="25" customFormat="1" ht="6.95" customHeight="1" x14ac:dyDescent="0.3">
      <c r="A4085" s="165"/>
      <c r="B4085" s="168"/>
      <c r="C4085" s="169"/>
      <c r="D4085" s="160"/>
      <c r="E4085" s="161"/>
      <c r="F4085" s="162"/>
      <c r="G4085" s="163"/>
      <c r="H4085" s="164"/>
      <c r="I4085" s="163"/>
      <c r="J4085" s="164"/>
      <c r="K4085" s="163"/>
      <c r="L4085" s="164"/>
      <c r="M4085" s="11"/>
      <c r="N4085" s="39"/>
      <c r="Q4085" s="15" t="str">
        <f>+CONCATENATE(E4083,K4083)</f>
        <v/>
      </c>
      <c r="R4085" s="15">
        <f>+L4083</f>
        <v>0</v>
      </c>
      <c r="S4085" s="16"/>
      <c r="T4085" s="15">
        <f>+E4083</f>
        <v>0</v>
      </c>
      <c r="U4085" s="26" t="str">
        <f>IFERROR(LEFT(K4083,FIND("*",K4083)-1),"-")</f>
        <v>-</v>
      </c>
      <c r="V4085" s="26" t="str">
        <f>IFERROR(RIGHT(K4083,LEN(K4083)-FIND("*",K4083)),"-")</f>
        <v>-</v>
      </c>
      <c r="W4085" s="27" t="str">
        <f t="shared" si="2224"/>
        <v>-</v>
      </c>
      <c r="X4085" s="27" t="str">
        <f>IFERROR(W4085*L4083,"-")</f>
        <v>-</v>
      </c>
      <c r="Z4085" s="94" t="s">
        <v>82</v>
      </c>
    </row>
    <row r="4086" spans="1:26" s="25" customFormat="1" ht="6.95" customHeight="1" x14ac:dyDescent="0.3">
      <c r="A4086" s="13"/>
      <c r="B4086" s="168"/>
      <c r="C4086" s="169"/>
      <c r="D4086" s="160" t="s">
        <v>39</v>
      </c>
      <c r="E4086" s="161"/>
      <c r="F4086" s="162" t="s">
        <v>40</v>
      </c>
      <c r="G4086" s="163"/>
      <c r="H4086" s="164"/>
      <c r="I4086" s="163"/>
      <c r="J4086" s="164"/>
      <c r="K4086" s="163"/>
      <c r="L4086" s="164"/>
      <c r="M4086" s="11"/>
      <c r="N4086" s="39"/>
      <c r="Q4086" s="15" t="str">
        <f>+CONCATENATE(E4086,G4086)</f>
        <v/>
      </c>
      <c r="R4086" s="15">
        <f>+H4086</f>
        <v>0</v>
      </c>
      <c r="S4086" s="16"/>
      <c r="T4086" s="15">
        <f>+E4086</f>
        <v>0</v>
      </c>
      <c r="U4086" s="26" t="str">
        <f t="shared" ref="U4086" si="2225">IFERROR(LEFT(G4086,FIND("*",G4086)-1),"-")</f>
        <v>-</v>
      </c>
      <c r="V4086" s="26" t="str">
        <f t="shared" ref="V4086" si="2226">IFERROR(RIGHT(G4086,LEN(G4086)-FIND("*",G4086)),"-")</f>
        <v>-</v>
      </c>
      <c r="W4086" s="27" t="str">
        <f t="shared" si="2224"/>
        <v>-</v>
      </c>
      <c r="X4086" s="27" t="str">
        <f>IFERROR(W4086*H4086,"-")</f>
        <v>-</v>
      </c>
      <c r="Z4086" s="94" t="s">
        <v>82</v>
      </c>
    </row>
    <row r="4087" spans="1:26" s="25" customFormat="1" ht="6.95" customHeight="1" x14ac:dyDescent="0.3">
      <c r="A4087" s="10"/>
      <c r="B4087" s="168"/>
      <c r="C4087" s="169"/>
      <c r="D4087" s="160"/>
      <c r="E4087" s="161"/>
      <c r="F4087" s="162"/>
      <c r="G4087" s="163"/>
      <c r="H4087" s="164"/>
      <c r="I4087" s="163"/>
      <c r="J4087" s="164"/>
      <c r="K4087" s="163"/>
      <c r="L4087" s="164"/>
      <c r="M4087" s="11"/>
      <c r="N4087" s="39"/>
      <c r="Q4087" s="15" t="str">
        <f>+CONCATENATE(E4086,I4086)</f>
        <v/>
      </c>
      <c r="R4087" s="15">
        <f>+J4086</f>
        <v>0</v>
      </c>
      <c r="S4087" s="16"/>
      <c r="T4087" s="15">
        <f>+E4086</f>
        <v>0</v>
      </c>
      <c r="U4087" s="26" t="str">
        <f>IFERROR(LEFT(I4086,FIND("*",I4086)-1),"-")</f>
        <v>-</v>
      </c>
      <c r="V4087" s="26" t="str">
        <f>IFERROR(RIGHT(I4086,LEN(I4086)-FIND("*",I4086)),"-")</f>
        <v>-</v>
      </c>
      <c r="W4087" s="27" t="str">
        <f t="shared" si="2224"/>
        <v>-</v>
      </c>
      <c r="X4087" s="27" t="str">
        <f>IFERROR(W4087*J4086,"-")</f>
        <v>-</v>
      </c>
      <c r="Z4087" s="94" t="s">
        <v>82</v>
      </c>
    </row>
    <row r="4088" spans="1:26" s="25" customFormat="1" ht="6.95" customHeight="1" x14ac:dyDescent="0.3">
      <c r="A4088" s="10"/>
      <c r="B4088" s="168"/>
      <c r="C4088" s="169"/>
      <c r="D4088" s="160"/>
      <c r="E4088" s="161"/>
      <c r="F4088" s="162"/>
      <c r="G4088" s="163"/>
      <c r="H4088" s="164"/>
      <c r="I4088" s="163"/>
      <c r="J4088" s="164"/>
      <c r="K4088" s="163"/>
      <c r="L4088" s="164"/>
      <c r="M4088" s="11"/>
      <c r="N4088" s="39"/>
      <c r="Q4088" s="15" t="str">
        <f>+CONCATENATE(E4086,K4086)</f>
        <v/>
      </c>
      <c r="R4088" s="15">
        <f>+L4086</f>
        <v>0</v>
      </c>
      <c r="S4088" s="16"/>
      <c r="T4088" s="15">
        <f>+E4086</f>
        <v>0</v>
      </c>
      <c r="U4088" s="26" t="str">
        <f>IFERROR(LEFT(K4086,FIND("*",K4086)-1),"-")</f>
        <v>-</v>
      </c>
      <c r="V4088" s="26" t="str">
        <f>IFERROR(RIGHT(K4086,LEN(K4086)-FIND("*",K4086)),"-")</f>
        <v>-</v>
      </c>
      <c r="W4088" s="27" t="str">
        <f t="shared" si="2224"/>
        <v>-</v>
      </c>
      <c r="X4088" s="27" t="str">
        <f>IFERROR(W4088*L4086,"-")</f>
        <v>-</v>
      </c>
      <c r="Z4088" s="94" t="s">
        <v>82</v>
      </c>
    </row>
    <row r="4089" spans="1:26" s="25" customFormat="1" ht="6.95" customHeight="1" x14ac:dyDescent="0.3">
      <c r="A4089" s="13"/>
      <c r="B4089" s="168"/>
      <c r="C4089" s="169"/>
      <c r="D4089" s="160" t="s">
        <v>39</v>
      </c>
      <c r="E4089" s="161"/>
      <c r="F4089" s="162" t="s">
        <v>40</v>
      </c>
      <c r="G4089" s="163"/>
      <c r="H4089" s="164"/>
      <c r="I4089" s="163"/>
      <c r="J4089" s="164"/>
      <c r="K4089" s="163"/>
      <c r="L4089" s="164"/>
      <c r="M4089" s="11"/>
      <c r="N4089" s="39"/>
      <c r="Q4089" s="15" t="str">
        <f>+CONCATENATE(E4089,G4089)</f>
        <v/>
      </c>
      <c r="R4089" s="15">
        <f>+H4089</f>
        <v>0</v>
      </c>
      <c r="S4089" s="16"/>
      <c r="T4089" s="15">
        <f>+E4089</f>
        <v>0</v>
      </c>
      <c r="U4089" s="26" t="str">
        <f t="shared" ref="U4089" si="2227">IFERROR(LEFT(G4089,FIND("*",G4089)-1),"-")</f>
        <v>-</v>
      </c>
      <c r="V4089" s="26" t="str">
        <f t="shared" ref="V4089" si="2228">IFERROR(RIGHT(G4089,LEN(G4089)-FIND("*",G4089)),"-")</f>
        <v>-</v>
      </c>
      <c r="W4089" s="27" t="str">
        <f t="shared" si="2224"/>
        <v>-</v>
      </c>
      <c r="X4089" s="27" t="str">
        <f>IFERROR(W4089*H4089,"-")</f>
        <v>-</v>
      </c>
      <c r="Z4089" s="94" t="s">
        <v>82</v>
      </c>
    </row>
    <row r="4090" spans="1:26" s="25" customFormat="1" ht="6.95" customHeight="1" x14ac:dyDescent="0.3">
      <c r="A4090" s="10"/>
      <c r="B4090" s="168"/>
      <c r="C4090" s="169"/>
      <c r="D4090" s="160"/>
      <c r="E4090" s="161"/>
      <c r="F4090" s="162"/>
      <c r="G4090" s="163"/>
      <c r="H4090" s="164"/>
      <c r="I4090" s="163"/>
      <c r="J4090" s="164"/>
      <c r="K4090" s="163"/>
      <c r="L4090" s="164"/>
      <c r="M4090" s="11"/>
      <c r="N4090" s="39"/>
      <c r="Q4090" s="15" t="str">
        <f>+CONCATENATE(E4089,I4089)</f>
        <v/>
      </c>
      <c r="R4090" s="15">
        <f>+J4089</f>
        <v>0</v>
      </c>
      <c r="S4090" s="16"/>
      <c r="T4090" s="15">
        <f>+E4089</f>
        <v>0</v>
      </c>
      <c r="U4090" s="26" t="str">
        <f>IFERROR(LEFT(I4089,FIND("*",I4089)-1),"-")</f>
        <v>-</v>
      </c>
      <c r="V4090" s="26" t="str">
        <f>IFERROR(RIGHT(I4089,LEN(I4089)-FIND("*",I4089)),"-")</f>
        <v>-</v>
      </c>
      <c r="W4090" s="27" t="str">
        <f t="shared" si="2224"/>
        <v>-</v>
      </c>
      <c r="X4090" s="27" t="str">
        <f t="shared" ref="X4090" si="2229">IFERROR(W4090*J4089,"-")</f>
        <v>-</v>
      </c>
      <c r="Z4090" s="94" t="s">
        <v>82</v>
      </c>
    </row>
    <row r="4091" spans="1:26" s="25" customFormat="1" ht="6.95" customHeight="1" x14ac:dyDescent="0.3">
      <c r="A4091" s="10"/>
      <c r="B4091" s="168"/>
      <c r="C4091" s="169"/>
      <c r="D4091" s="160"/>
      <c r="E4091" s="161"/>
      <c r="F4091" s="162"/>
      <c r="G4091" s="163"/>
      <c r="H4091" s="164"/>
      <c r="I4091" s="163"/>
      <c r="J4091" s="164"/>
      <c r="K4091" s="163"/>
      <c r="L4091" s="164"/>
      <c r="M4091" s="11"/>
      <c r="N4091" s="39"/>
      <c r="Q4091" s="15" t="str">
        <f>+CONCATENATE(E4089,K4089)</f>
        <v/>
      </c>
      <c r="R4091" s="15">
        <f>+L4089</f>
        <v>0</v>
      </c>
      <c r="S4091" s="16"/>
      <c r="T4091" s="15">
        <f>+E4089</f>
        <v>0</v>
      </c>
      <c r="U4091" s="26" t="str">
        <f>IFERROR(LEFT(K4089,FIND("*",K4089)-1),"-")</f>
        <v>-</v>
      </c>
      <c r="V4091" s="26" t="str">
        <f>IFERROR(RIGHT(K4089,LEN(K4089)-FIND("*",K4089)),"-")</f>
        <v>-</v>
      </c>
      <c r="W4091" s="27" t="str">
        <f t="shared" si="2224"/>
        <v>-</v>
      </c>
      <c r="X4091" s="27" t="str">
        <f>IFERROR(W4091*L4089,"-")</f>
        <v>-</v>
      </c>
      <c r="Z4091" s="94" t="s">
        <v>82</v>
      </c>
    </row>
    <row r="4092" spans="1:26" s="25" customFormat="1" ht="21" customHeight="1" thickBot="1" x14ac:dyDescent="0.35">
      <c r="A4092" s="10"/>
      <c r="B4092" s="170"/>
      <c r="C4092" s="171"/>
      <c r="D4092" s="172" t="s">
        <v>43</v>
      </c>
      <c r="E4092" s="173"/>
      <c r="F4092" s="173"/>
      <c r="G4092" s="174"/>
      <c r="H4092" s="174"/>
      <c r="I4092" s="174"/>
      <c r="J4092" s="174"/>
      <c r="K4092" s="174"/>
      <c r="L4092" s="174"/>
      <c r="M4092" s="12"/>
      <c r="N4092" s="39"/>
      <c r="U4092" s="23"/>
      <c r="V4092" s="23"/>
      <c r="Z4092" s="95" t="s">
        <v>81</v>
      </c>
    </row>
    <row r="4093" spans="1:26" s="25" customFormat="1" ht="9.9499999999999993" customHeight="1" thickBot="1" x14ac:dyDescent="0.35">
      <c r="A4093" s="6"/>
      <c r="B4093" s="14"/>
      <c r="C4093" s="119"/>
      <c r="D4093" s="58"/>
      <c r="E4093" s="17"/>
      <c r="F4093" s="58"/>
      <c r="G4093" s="19"/>
      <c r="H4093" s="19"/>
      <c r="I4093" s="19"/>
      <c r="J4093" s="19"/>
      <c r="K4093" s="19"/>
      <c r="L4093" s="19"/>
      <c r="M4093" s="14"/>
      <c r="N4093" s="39"/>
      <c r="Q4093" s="1"/>
      <c r="R4093" s="1"/>
      <c r="S4093" s="1"/>
      <c r="T4093" s="1"/>
      <c r="U4093" s="24"/>
      <c r="V4093" s="24"/>
      <c r="W4093" s="1"/>
      <c r="X4093" s="1"/>
      <c r="Z4093" s="94" t="s">
        <v>82</v>
      </c>
    </row>
    <row r="4094" spans="1:26" s="25" customFormat="1" ht="6.95" customHeight="1" x14ac:dyDescent="0.3">
      <c r="A4094" s="165">
        <f>+A4083+1</f>
        <v>373</v>
      </c>
      <c r="B4094" s="166"/>
      <c r="C4094" s="167"/>
      <c r="D4094" s="160" t="s">
        <v>39</v>
      </c>
      <c r="E4094" s="161"/>
      <c r="F4094" s="162" t="s">
        <v>40</v>
      </c>
      <c r="G4094" s="163"/>
      <c r="H4094" s="164"/>
      <c r="I4094" s="163"/>
      <c r="J4094" s="164"/>
      <c r="K4094" s="163"/>
      <c r="L4094" s="164"/>
      <c r="M4094" s="11"/>
      <c r="N4094" s="39"/>
      <c r="Q4094" s="15" t="str">
        <f>+CONCATENATE(E4094,G4094)</f>
        <v/>
      </c>
      <c r="R4094" s="15">
        <f>+H4094</f>
        <v>0</v>
      </c>
      <c r="S4094" s="16"/>
      <c r="T4094" s="15">
        <f>+E4094</f>
        <v>0</v>
      </c>
      <c r="U4094" s="26" t="str">
        <f>IFERROR(LEFT(G4094,FIND("*",G4094)-1),"-")</f>
        <v>-</v>
      </c>
      <c r="V4094" s="26" t="str">
        <f>IFERROR(RIGHT(G4094,LEN(G4094)-FIND("*",G4094)),"-")</f>
        <v>-</v>
      </c>
      <c r="W4094" s="27" t="str">
        <f>IFERROR((U4094+V4094)*2/1000,"-")</f>
        <v>-</v>
      </c>
      <c r="X4094" s="27" t="str">
        <f>IFERROR(W4094*H4094,"-")</f>
        <v>-</v>
      </c>
      <c r="Z4094" s="94" t="s">
        <v>82</v>
      </c>
    </row>
    <row r="4095" spans="1:26" s="25" customFormat="1" ht="6.95" customHeight="1" x14ac:dyDescent="0.3">
      <c r="A4095" s="165"/>
      <c r="B4095" s="168"/>
      <c r="C4095" s="169"/>
      <c r="D4095" s="160"/>
      <c r="E4095" s="161"/>
      <c r="F4095" s="162"/>
      <c r="G4095" s="163"/>
      <c r="H4095" s="164"/>
      <c r="I4095" s="163"/>
      <c r="J4095" s="164"/>
      <c r="K4095" s="163"/>
      <c r="L4095" s="164"/>
      <c r="M4095" s="11"/>
      <c r="N4095" s="39"/>
      <c r="Q4095" s="15" t="str">
        <f>+CONCATENATE(E4094,I4094)</f>
        <v/>
      </c>
      <c r="R4095" s="15">
        <f>+J4094</f>
        <v>0</v>
      </c>
      <c r="S4095" s="16"/>
      <c r="T4095" s="15">
        <f>+E4094</f>
        <v>0</v>
      </c>
      <c r="U4095" s="26" t="str">
        <f>IFERROR(LEFT(I4094,FIND("*",I4094)-1),"-")</f>
        <v>-</v>
      </c>
      <c r="V4095" s="26" t="str">
        <f>IFERROR(RIGHT(I4094,LEN(I4094)-FIND("*",I4094)),"-")</f>
        <v>-</v>
      </c>
      <c r="W4095" s="27" t="str">
        <f t="shared" ref="W4095:W4102" si="2230">IFERROR((U4095+V4095)*2/1000,"-")</f>
        <v>-</v>
      </c>
      <c r="X4095" s="27" t="str">
        <f>IFERROR(W4095*J4094,"-")</f>
        <v>-</v>
      </c>
      <c r="Z4095" s="94" t="s">
        <v>82</v>
      </c>
    </row>
    <row r="4096" spans="1:26" s="25" customFormat="1" ht="6.95" customHeight="1" x14ac:dyDescent="0.3">
      <c r="A4096" s="165"/>
      <c r="B4096" s="168"/>
      <c r="C4096" s="169"/>
      <c r="D4096" s="160"/>
      <c r="E4096" s="161"/>
      <c r="F4096" s="162"/>
      <c r="G4096" s="163"/>
      <c r="H4096" s="164"/>
      <c r="I4096" s="163"/>
      <c r="J4096" s="164"/>
      <c r="K4096" s="163"/>
      <c r="L4096" s="164"/>
      <c r="M4096" s="11"/>
      <c r="N4096" s="39"/>
      <c r="Q4096" s="15" t="str">
        <f>+CONCATENATE(E4094,K4094)</f>
        <v/>
      </c>
      <c r="R4096" s="15">
        <f>+L4094</f>
        <v>0</v>
      </c>
      <c r="S4096" s="16"/>
      <c r="T4096" s="15">
        <f>+E4094</f>
        <v>0</v>
      </c>
      <c r="U4096" s="26" t="str">
        <f>IFERROR(LEFT(K4094,FIND("*",K4094)-1),"-")</f>
        <v>-</v>
      </c>
      <c r="V4096" s="26" t="str">
        <f>IFERROR(RIGHT(K4094,LEN(K4094)-FIND("*",K4094)),"-")</f>
        <v>-</v>
      </c>
      <c r="W4096" s="27" t="str">
        <f t="shared" si="2230"/>
        <v>-</v>
      </c>
      <c r="X4096" s="27" t="str">
        <f>IFERROR(W4096*L4094,"-")</f>
        <v>-</v>
      </c>
      <c r="Z4096" s="94" t="s">
        <v>82</v>
      </c>
    </row>
    <row r="4097" spans="1:26" s="25" customFormat="1" ht="6.95" customHeight="1" x14ac:dyDescent="0.3">
      <c r="A4097" s="13"/>
      <c r="B4097" s="168"/>
      <c r="C4097" s="169"/>
      <c r="D4097" s="160" t="s">
        <v>39</v>
      </c>
      <c r="E4097" s="161"/>
      <c r="F4097" s="162" t="s">
        <v>40</v>
      </c>
      <c r="G4097" s="163"/>
      <c r="H4097" s="164"/>
      <c r="I4097" s="163"/>
      <c r="J4097" s="164"/>
      <c r="K4097" s="163"/>
      <c r="L4097" s="164"/>
      <c r="M4097" s="11"/>
      <c r="N4097" s="39"/>
      <c r="Q4097" s="15" t="str">
        <f>+CONCATENATE(E4097,G4097)</f>
        <v/>
      </c>
      <c r="R4097" s="15">
        <f>+H4097</f>
        <v>0</v>
      </c>
      <c r="S4097" s="16"/>
      <c r="T4097" s="15">
        <f>+E4097</f>
        <v>0</v>
      </c>
      <c r="U4097" s="26" t="str">
        <f t="shared" ref="U4097" si="2231">IFERROR(LEFT(G4097,FIND("*",G4097)-1),"-")</f>
        <v>-</v>
      </c>
      <c r="V4097" s="26" t="str">
        <f t="shared" ref="V4097" si="2232">IFERROR(RIGHT(G4097,LEN(G4097)-FIND("*",G4097)),"-")</f>
        <v>-</v>
      </c>
      <c r="W4097" s="27" t="str">
        <f t="shared" si="2230"/>
        <v>-</v>
      </c>
      <c r="X4097" s="27" t="str">
        <f>IFERROR(W4097*H4097,"-")</f>
        <v>-</v>
      </c>
      <c r="Z4097" s="94" t="s">
        <v>82</v>
      </c>
    </row>
    <row r="4098" spans="1:26" s="25" customFormat="1" ht="6.95" customHeight="1" x14ac:dyDescent="0.3">
      <c r="A4098" s="10"/>
      <c r="B4098" s="168"/>
      <c r="C4098" s="169"/>
      <c r="D4098" s="160"/>
      <c r="E4098" s="161"/>
      <c r="F4098" s="162"/>
      <c r="G4098" s="163"/>
      <c r="H4098" s="164"/>
      <c r="I4098" s="163"/>
      <c r="J4098" s="164"/>
      <c r="K4098" s="163"/>
      <c r="L4098" s="164"/>
      <c r="M4098" s="11"/>
      <c r="N4098" s="39"/>
      <c r="Q4098" s="15" t="str">
        <f>+CONCATENATE(E4097,I4097)</f>
        <v/>
      </c>
      <c r="R4098" s="15">
        <f>+J4097</f>
        <v>0</v>
      </c>
      <c r="S4098" s="16"/>
      <c r="T4098" s="15">
        <f>+E4097</f>
        <v>0</v>
      </c>
      <c r="U4098" s="26" t="str">
        <f>IFERROR(LEFT(I4097,FIND("*",I4097)-1),"-")</f>
        <v>-</v>
      </c>
      <c r="V4098" s="26" t="str">
        <f>IFERROR(RIGHT(I4097,LEN(I4097)-FIND("*",I4097)),"-")</f>
        <v>-</v>
      </c>
      <c r="W4098" s="27" t="str">
        <f t="shared" si="2230"/>
        <v>-</v>
      </c>
      <c r="X4098" s="27" t="str">
        <f>IFERROR(W4098*J4097,"-")</f>
        <v>-</v>
      </c>
      <c r="Z4098" s="94" t="s">
        <v>82</v>
      </c>
    </row>
    <row r="4099" spans="1:26" s="25" customFormat="1" ht="6.95" customHeight="1" x14ac:dyDescent="0.3">
      <c r="A4099" s="10"/>
      <c r="B4099" s="168"/>
      <c r="C4099" s="169"/>
      <c r="D4099" s="160"/>
      <c r="E4099" s="161"/>
      <c r="F4099" s="162"/>
      <c r="G4099" s="163"/>
      <c r="H4099" s="164"/>
      <c r="I4099" s="163"/>
      <c r="J4099" s="164"/>
      <c r="K4099" s="163"/>
      <c r="L4099" s="164"/>
      <c r="M4099" s="11"/>
      <c r="N4099" s="39"/>
      <c r="Q4099" s="15" t="str">
        <f>+CONCATENATE(E4097,K4097)</f>
        <v/>
      </c>
      <c r="R4099" s="15">
        <f>+L4097</f>
        <v>0</v>
      </c>
      <c r="S4099" s="16"/>
      <c r="T4099" s="15">
        <f>+E4097</f>
        <v>0</v>
      </c>
      <c r="U4099" s="26" t="str">
        <f>IFERROR(LEFT(K4097,FIND("*",K4097)-1),"-")</f>
        <v>-</v>
      </c>
      <c r="V4099" s="26" t="str">
        <f>IFERROR(RIGHT(K4097,LEN(K4097)-FIND("*",K4097)),"-")</f>
        <v>-</v>
      </c>
      <c r="W4099" s="27" t="str">
        <f t="shared" si="2230"/>
        <v>-</v>
      </c>
      <c r="X4099" s="27" t="str">
        <f>IFERROR(W4099*L4097,"-")</f>
        <v>-</v>
      </c>
      <c r="Z4099" s="94" t="s">
        <v>82</v>
      </c>
    </row>
    <row r="4100" spans="1:26" s="25" customFormat="1" ht="6.95" customHeight="1" x14ac:dyDescent="0.3">
      <c r="A4100" s="13"/>
      <c r="B4100" s="168"/>
      <c r="C4100" s="169"/>
      <c r="D4100" s="160" t="s">
        <v>39</v>
      </c>
      <c r="E4100" s="161"/>
      <c r="F4100" s="162" t="s">
        <v>40</v>
      </c>
      <c r="G4100" s="163"/>
      <c r="H4100" s="164"/>
      <c r="I4100" s="163"/>
      <c r="J4100" s="164"/>
      <c r="K4100" s="163"/>
      <c r="L4100" s="164"/>
      <c r="M4100" s="11"/>
      <c r="N4100" s="39"/>
      <c r="Q4100" s="15" t="str">
        <f>+CONCATENATE(E4100,G4100)</f>
        <v/>
      </c>
      <c r="R4100" s="15">
        <f>+H4100</f>
        <v>0</v>
      </c>
      <c r="S4100" s="16"/>
      <c r="T4100" s="15">
        <f>+E4100</f>
        <v>0</v>
      </c>
      <c r="U4100" s="26" t="str">
        <f t="shared" ref="U4100" si="2233">IFERROR(LEFT(G4100,FIND("*",G4100)-1),"-")</f>
        <v>-</v>
      </c>
      <c r="V4100" s="26" t="str">
        <f t="shared" ref="V4100" si="2234">IFERROR(RIGHT(G4100,LEN(G4100)-FIND("*",G4100)),"-")</f>
        <v>-</v>
      </c>
      <c r="W4100" s="27" t="str">
        <f t="shared" si="2230"/>
        <v>-</v>
      </c>
      <c r="X4100" s="27" t="str">
        <f>IFERROR(W4100*H4100,"-")</f>
        <v>-</v>
      </c>
      <c r="Z4100" s="94" t="s">
        <v>82</v>
      </c>
    </row>
    <row r="4101" spans="1:26" s="25" customFormat="1" ht="6.95" customHeight="1" x14ac:dyDescent="0.3">
      <c r="A4101" s="10"/>
      <c r="B4101" s="168"/>
      <c r="C4101" s="169"/>
      <c r="D4101" s="160"/>
      <c r="E4101" s="161"/>
      <c r="F4101" s="162"/>
      <c r="G4101" s="163"/>
      <c r="H4101" s="164"/>
      <c r="I4101" s="163"/>
      <c r="J4101" s="164"/>
      <c r="K4101" s="163"/>
      <c r="L4101" s="164"/>
      <c r="M4101" s="11"/>
      <c r="N4101" s="39"/>
      <c r="Q4101" s="15" t="str">
        <f>+CONCATENATE(E4100,I4100)</f>
        <v/>
      </c>
      <c r="R4101" s="15">
        <f>+J4100</f>
        <v>0</v>
      </c>
      <c r="S4101" s="16"/>
      <c r="T4101" s="15">
        <f>+E4100</f>
        <v>0</v>
      </c>
      <c r="U4101" s="26" t="str">
        <f>IFERROR(LEFT(I4100,FIND("*",I4100)-1),"-")</f>
        <v>-</v>
      </c>
      <c r="V4101" s="26" t="str">
        <f>IFERROR(RIGHT(I4100,LEN(I4100)-FIND("*",I4100)),"-")</f>
        <v>-</v>
      </c>
      <c r="W4101" s="27" t="str">
        <f t="shared" si="2230"/>
        <v>-</v>
      </c>
      <c r="X4101" s="27" t="str">
        <f t="shared" ref="X4101" si="2235">IFERROR(W4101*J4100,"-")</f>
        <v>-</v>
      </c>
      <c r="Z4101" s="94" t="s">
        <v>82</v>
      </c>
    </row>
    <row r="4102" spans="1:26" s="25" customFormat="1" ht="6.95" customHeight="1" x14ac:dyDescent="0.3">
      <c r="A4102" s="10"/>
      <c r="B4102" s="168"/>
      <c r="C4102" s="169"/>
      <c r="D4102" s="160"/>
      <c r="E4102" s="161"/>
      <c r="F4102" s="162"/>
      <c r="G4102" s="163"/>
      <c r="H4102" s="164"/>
      <c r="I4102" s="163"/>
      <c r="J4102" s="164"/>
      <c r="K4102" s="163"/>
      <c r="L4102" s="164"/>
      <c r="M4102" s="11"/>
      <c r="N4102" s="39"/>
      <c r="Q4102" s="15" t="str">
        <f>+CONCATENATE(E4100,K4100)</f>
        <v/>
      </c>
      <c r="R4102" s="15">
        <f>+L4100</f>
        <v>0</v>
      </c>
      <c r="S4102" s="16"/>
      <c r="T4102" s="15">
        <f>+E4100</f>
        <v>0</v>
      </c>
      <c r="U4102" s="26" t="str">
        <f>IFERROR(LEFT(K4100,FIND("*",K4100)-1),"-")</f>
        <v>-</v>
      </c>
      <c r="V4102" s="26" t="str">
        <f>IFERROR(RIGHT(K4100,LEN(K4100)-FIND("*",K4100)),"-")</f>
        <v>-</v>
      </c>
      <c r="W4102" s="27" t="str">
        <f t="shared" si="2230"/>
        <v>-</v>
      </c>
      <c r="X4102" s="27" t="str">
        <f>IFERROR(W4102*L4100,"-")</f>
        <v>-</v>
      </c>
      <c r="Z4102" s="94" t="s">
        <v>82</v>
      </c>
    </row>
    <row r="4103" spans="1:26" s="25" customFormat="1" ht="21" customHeight="1" thickBot="1" x14ac:dyDescent="0.35">
      <c r="A4103" s="10"/>
      <c r="B4103" s="170"/>
      <c r="C4103" s="171"/>
      <c r="D4103" s="172" t="s">
        <v>43</v>
      </c>
      <c r="E4103" s="173"/>
      <c r="F4103" s="173"/>
      <c r="G4103" s="174"/>
      <c r="H4103" s="174"/>
      <c r="I4103" s="174"/>
      <c r="J4103" s="174"/>
      <c r="K4103" s="174"/>
      <c r="L4103" s="174"/>
      <c r="M4103" s="12"/>
      <c r="N4103" s="39"/>
      <c r="U4103" s="23"/>
      <c r="V4103" s="23"/>
      <c r="Z4103" s="95" t="s">
        <v>81</v>
      </c>
    </row>
    <row r="4104" spans="1:26" s="25" customFormat="1" ht="9.9499999999999993" customHeight="1" thickBot="1" x14ac:dyDescent="0.35">
      <c r="A4104" s="6"/>
      <c r="B4104" s="14"/>
      <c r="C4104" s="119"/>
      <c r="D4104" s="58"/>
      <c r="E4104" s="17"/>
      <c r="F4104" s="58"/>
      <c r="G4104" s="19"/>
      <c r="H4104" s="19"/>
      <c r="I4104" s="19"/>
      <c r="J4104" s="19"/>
      <c r="K4104" s="19"/>
      <c r="L4104" s="19"/>
      <c r="M4104" s="14"/>
      <c r="N4104" s="39"/>
      <c r="Q4104" s="1"/>
      <c r="R4104" s="1"/>
      <c r="S4104" s="1"/>
      <c r="T4104" s="1"/>
      <c r="U4104" s="24"/>
      <c r="V4104" s="24"/>
      <c r="W4104" s="1"/>
      <c r="X4104" s="1"/>
      <c r="Z4104" s="94" t="s">
        <v>82</v>
      </c>
    </row>
    <row r="4105" spans="1:26" s="25" customFormat="1" ht="6.95" customHeight="1" x14ac:dyDescent="0.3">
      <c r="A4105" s="165">
        <f>+A4094+1</f>
        <v>374</v>
      </c>
      <c r="B4105" s="166"/>
      <c r="C4105" s="167"/>
      <c r="D4105" s="160" t="s">
        <v>39</v>
      </c>
      <c r="E4105" s="161"/>
      <c r="F4105" s="162" t="s">
        <v>40</v>
      </c>
      <c r="G4105" s="163"/>
      <c r="H4105" s="164"/>
      <c r="I4105" s="163"/>
      <c r="J4105" s="164"/>
      <c r="K4105" s="163"/>
      <c r="L4105" s="164"/>
      <c r="M4105" s="11"/>
      <c r="N4105" s="39"/>
      <c r="Q4105" s="15" t="str">
        <f>+CONCATENATE(E4105,G4105)</f>
        <v/>
      </c>
      <c r="R4105" s="15">
        <f>+H4105</f>
        <v>0</v>
      </c>
      <c r="S4105" s="16"/>
      <c r="T4105" s="15">
        <f>+E4105</f>
        <v>0</v>
      </c>
      <c r="U4105" s="26" t="str">
        <f>IFERROR(LEFT(G4105,FIND("*",G4105)-1),"-")</f>
        <v>-</v>
      </c>
      <c r="V4105" s="26" t="str">
        <f>IFERROR(RIGHT(G4105,LEN(G4105)-FIND("*",G4105)),"-")</f>
        <v>-</v>
      </c>
      <c r="W4105" s="27" t="str">
        <f>IFERROR((U4105+V4105)*2/1000,"-")</f>
        <v>-</v>
      </c>
      <c r="X4105" s="27" t="str">
        <f>IFERROR(W4105*H4105,"-")</f>
        <v>-</v>
      </c>
      <c r="Z4105" s="94" t="s">
        <v>82</v>
      </c>
    </row>
    <row r="4106" spans="1:26" s="25" customFormat="1" ht="6.95" customHeight="1" x14ac:dyDescent="0.3">
      <c r="A4106" s="165"/>
      <c r="B4106" s="168"/>
      <c r="C4106" s="169"/>
      <c r="D4106" s="160"/>
      <c r="E4106" s="161"/>
      <c r="F4106" s="162"/>
      <c r="G4106" s="163"/>
      <c r="H4106" s="164"/>
      <c r="I4106" s="163"/>
      <c r="J4106" s="164"/>
      <c r="K4106" s="163"/>
      <c r="L4106" s="164"/>
      <c r="M4106" s="11"/>
      <c r="N4106" s="39"/>
      <c r="Q4106" s="15" t="str">
        <f>+CONCATENATE(E4105,I4105)</f>
        <v/>
      </c>
      <c r="R4106" s="15">
        <f>+J4105</f>
        <v>0</v>
      </c>
      <c r="S4106" s="16"/>
      <c r="T4106" s="15">
        <f>+E4105</f>
        <v>0</v>
      </c>
      <c r="U4106" s="26" t="str">
        <f>IFERROR(LEFT(I4105,FIND("*",I4105)-1),"-")</f>
        <v>-</v>
      </c>
      <c r="V4106" s="26" t="str">
        <f>IFERROR(RIGHT(I4105,LEN(I4105)-FIND("*",I4105)),"-")</f>
        <v>-</v>
      </c>
      <c r="W4106" s="27" t="str">
        <f t="shared" ref="W4106:W4113" si="2236">IFERROR((U4106+V4106)*2/1000,"-")</f>
        <v>-</v>
      </c>
      <c r="X4106" s="27" t="str">
        <f>IFERROR(W4106*J4105,"-")</f>
        <v>-</v>
      </c>
      <c r="Z4106" s="94" t="s">
        <v>82</v>
      </c>
    </row>
    <row r="4107" spans="1:26" s="25" customFormat="1" ht="6.95" customHeight="1" x14ac:dyDescent="0.3">
      <c r="A4107" s="165"/>
      <c r="B4107" s="168"/>
      <c r="C4107" s="169"/>
      <c r="D4107" s="160"/>
      <c r="E4107" s="161"/>
      <c r="F4107" s="162"/>
      <c r="G4107" s="163"/>
      <c r="H4107" s="164"/>
      <c r="I4107" s="163"/>
      <c r="J4107" s="164"/>
      <c r="K4107" s="163"/>
      <c r="L4107" s="164"/>
      <c r="M4107" s="11"/>
      <c r="N4107" s="39"/>
      <c r="Q4107" s="15" t="str">
        <f>+CONCATENATE(E4105,K4105)</f>
        <v/>
      </c>
      <c r="R4107" s="15">
        <f>+L4105</f>
        <v>0</v>
      </c>
      <c r="S4107" s="16"/>
      <c r="T4107" s="15">
        <f>+E4105</f>
        <v>0</v>
      </c>
      <c r="U4107" s="26" t="str">
        <f>IFERROR(LEFT(K4105,FIND("*",K4105)-1),"-")</f>
        <v>-</v>
      </c>
      <c r="V4107" s="26" t="str">
        <f>IFERROR(RIGHT(K4105,LEN(K4105)-FIND("*",K4105)),"-")</f>
        <v>-</v>
      </c>
      <c r="W4107" s="27" t="str">
        <f t="shared" si="2236"/>
        <v>-</v>
      </c>
      <c r="X4107" s="27" t="str">
        <f>IFERROR(W4107*L4105,"-")</f>
        <v>-</v>
      </c>
      <c r="Z4107" s="94" t="s">
        <v>82</v>
      </c>
    </row>
    <row r="4108" spans="1:26" s="25" customFormat="1" ht="6.95" customHeight="1" x14ac:dyDescent="0.3">
      <c r="A4108" s="13"/>
      <c r="B4108" s="168"/>
      <c r="C4108" s="169"/>
      <c r="D4108" s="160" t="s">
        <v>39</v>
      </c>
      <c r="E4108" s="161"/>
      <c r="F4108" s="162" t="s">
        <v>40</v>
      </c>
      <c r="G4108" s="163"/>
      <c r="H4108" s="164"/>
      <c r="I4108" s="163"/>
      <c r="J4108" s="164"/>
      <c r="K4108" s="163"/>
      <c r="L4108" s="164"/>
      <c r="M4108" s="11"/>
      <c r="N4108" s="39"/>
      <c r="Q4108" s="15" t="str">
        <f>+CONCATENATE(E4108,G4108)</f>
        <v/>
      </c>
      <c r="R4108" s="15">
        <f>+H4108</f>
        <v>0</v>
      </c>
      <c r="S4108" s="16"/>
      <c r="T4108" s="15">
        <f>+E4108</f>
        <v>0</v>
      </c>
      <c r="U4108" s="26" t="str">
        <f t="shared" ref="U4108" si="2237">IFERROR(LEFT(G4108,FIND("*",G4108)-1),"-")</f>
        <v>-</v>
      </c>
      <c r="V4108" s="26" t="str">
        <f t="shared" ref="V4108" si="2238">IFERROR(RIGHT(G4108,LEN(G4108)-FIND("*",G4108)),"-")</f>
        <v>-</v>
      </c>
      <c r="W4108" s="27" t="str">
        <f t="shared" si="2236"/>
        <v>-</v>
      </c>
      <c r="X4108" s="27" t="str">
        <f>IFERROR(W4108*H4108,"-")</f>
        <v>-</v>
      </c>
      <c r="Z4108" s="94" t="s">
        <v>82</v>
      </c>
    </row>
    <row r="4109" spans="1:26" s="25" customFormat="1" ht="6.95" customHeight="1" x14ac:dyDescent="0.3">
      <c r="A4109" s="10"/>
      <c r="B4109" s="168"/>
      <c r="C4109" s="169"/>
      <c r="D4109" s="160"/>
      <c r="E4109" s="161"/>
      <c r="F4109" s="162"/>
      <c r="G4109" s="163"/>
      <c r="H4109" s="164"/>
      <c r="I4109" s="163"/>
      <c r="J4109" s="164"/>
      <c r="K4109" s="163"/>
      <c r="L4109" s="164"/>
      <c r="M4109" s="11"/>
      <c r="N4109" s="39"/>
      <c r="Q4109" s="15" t="str">
        <f>+CONCATENATE(E4108,I4108)</f>
        <v/>
      </c>
      <c r="R4109" s="15">
        <f>+J4108</f>
        <v>0</v>
      </c>
      <c r="S4109" s="16"/>
      <c r="T4109" s="15">
        <f>+E4108</f>
        <v>0</v>
      </c>
      <c r="U4109" s="26" t="str">
        <f>IFERROR(LEFT(I4108,FIND("*",I4108)-1),"-")</f>
        <v>-</v>
      </c>
      <c r="V4109" s="26" t="str">
        <f>IFERROR(RIGHT(I4108,LEN(I4108)-FIND("*",I4108)),"-")</f>
        <v>-</v>
      </c>
      <c r="W4109" s="27" t="str">
        <f t="shared" si="2236"/>
        <v>-</v>
      </c>
      <c r="X4109" s="27" t="str">
        <f>IFERROR(W4109*J4108,"-")</f>
        <v>-</v>
      </c>
      <c r="Z4109" s="94" t="s">
        <v>82</v>
      </c>
    </row>
    <row r="4110" spans="1:26" s="25" customFormat="1" ht="6.95" customHeight="1" x14ac:dyDescent="0.3">
      <c r="A4110" s="10"/>
      <c r="B4110" s="168"/>
      <c r="C4110" s="169"/>
      <c r="D4110" s="160"/>
      <c r="E4110" s="161"/>
      <c r="F4110" s="162"/>
      <c r="G4110" s="163"/>
      <c r="H4110" s="164"/>
      <c r="I4110" s="163"/>
      <c r="J4110" s="164"/>
      <c r="K4110" s="163"/>
      <c r="L4110" s="164"/>
      <c r="M4110" s="11"/>
      <c r="N4110" s="39"/>
      <c r="Q4110" s="15" t="str">
        <f>+CONCATENATE(E4108,K4108)</f>
        <v/>
      </c>
      <c r="R4110" s="15">
        <f>+L4108</f>
        <v>0</v>
      </c>
      <c r="S4110" s="16"/>
      <c r="T4110" s="15">
        <f>+E4108</f>
        <v>0</v>
      </c>
      <c r="U4110" s="26" t="str">
        <f>IFERROR(LEFT(K4108,FIND("*",K4108)-1),"-")</f>
        <v>-</v>
      </c>
      <c r="V4110" s="26" t="str">
        <f>IFERROR(RIGHT(K4108,LEN(K4108)-FIND("*",K4108)),"-")</f>
        <v>-</v>
      </c>
      <c r="W4110" s="27" t="str">
        <f t="shared" si="2236"/>
        <v>-</v>
      </c>
      <c r="X4110" s="27" t="str">
        <f>IFERROR(W4110*L4108,"-")</f>
        <v>-</v>
      </c>
      <c r="Z4110" s="94" t="s">
        <v>82</v>
      </c>
    </row>
    <row r="4111" spans="1:26" s="25" customFormat="1" ht="6.95" customHeight="1" x14ac:dyDescent="0.3">
      <c r="A4111" s="13"/>
      <c r="B4111" s="168"/>
      <c r="C4111" s="169"/>
      <c r="D4111" s="160" t="s">
        <v>39</v>
      </c>
      <c r="E4111" s="161"/>
      <c r="F4111" s="162" t="s">
        <v>40</v>
      </c>
      <c r="G4111" s="163"/>
      <c r="H4111" s="164"/>
      <c r="I4111" s="163"/>
      <c r="J4111" s="164"/>
      <c r="K4111" s="163"/>
      <c r="L4111" s="164"/>
      <c r="M4111" s="11"/>
      <c r="N4111" s="39"/>
      <c r="Q4111" s="15" t="str">
        <f>+CONCATENATE(E4111,G4111)</f>
        <v/>
      </c>
      <c r="R4111" s="15">
        <f>+H4111</f>
        <v>0</v>
      </c>
      <c r="S4111" s="16"/>
      <c r="T4111" s="15">
        <f>+E4111</f>
        <v>0</v>
      </c>
      <c r="U4111" s="26" t="str">
        <f t="shared" ref="U4111" si="2239">IFERROR(LEFT(G4111,FIND("*",G4111)-1),"-")</f>
        <v>-</v>
      </c>
      <c r="V4111" s="26" t="str">
        <f t="shared" ref="V4111" si="2240">IFERROR(RIGHT(G4111,LEN(G4111)-FIND("*",G4111)),"-")</f>
        <v>-</v>
      </c>
      <c r="W4111" s="27" t="str">
        <f t="shared" si="2236"/>
        <v>-</v>
      </c>
      <c r="X4111" s="27" t="str">
        <f>IFERROR(W4111*H4111,"-")</f>
        <v>-</v>
      </c>
      <c r="Z4111" s="94" t="s">
        <v>82</v>
      </c>
    </row>
    <row r="4112" spans="1:26" s="25" customFormat="1" ht="6.95" customHeight="1" x14ac:dyDescent="0.3">
      <c r="A4112" s="10"/>
      <c r="B4112" s="168"/>
      <c r="C4112" s="169"/>
      <c r="D4112" s="160"/>
      <c r="E4112" s="161"/>
      <c r="F4112" s="162"/>
      <c r="G4112" s="163"/>
      <c r="H4112" s="164"/>
      <c r="I4112" s="163"/>
      <c r="J4112" s="164"/>
      <c r="K4112" s="163"/>
      <c r="L4112" s="164"/>
      <c r="M4112" s="11"/>
      <c r="N4112" s="39"/>
      <c r="Q4112" s="15" t="str">
        <f>+CONCATENATE(E4111,I4111)</f>
        <v/>
      </c>
      <c r="R4112" s="15">
        <f>+J4111</f>
        <v>0</v>
      </c>
      <c r="S4112" s="16"/>
      <c r="T4112" s="15">
        <f>+E4111</f>
        <v>0</v>
      </c>
      <c r="U4112" s="26" t="str">
        <f>IFERROR(LEFT(I4111,FIND("*",I4111)-1),"-")</f>
        <v>-</v>
      </c>
      <c r="V4112" s="26" t="str">
        <f>IFERROR(RIGHT(I4111,LEN(I4111)-FIND("*",I4111)),"-")</f>
        <v>-</v>
      </c>
      <c r="W4112" s="27" t="str">
        <f t="shared" si="2236"/>
        <v>-</v>
      </c>
      <c r="X4112" s="27" t="str">
        <f t="shared" ref="X4112" si="2241">IFERROR(W4112*J4111,"-")</f>
        <v>-</v>
      </c>
      <c r="Z4112" s="94" t="s">
        <v>82</v>
      </c>
    </row>
    <row r="4113" spans="1:26" s="25" customFormat="1" ht="6.95" customHeight="1" x14ac:dyDescent="0.3">
      <c r="A4113" s="10"/>
      <c r="B4113" s="168"/>
      <c r="C4113" s="169"/>
      <c r="D4113" s="160"/>
      <c r="E4113" s="161"/>
      <c r="F4113" s="162"/>
      <c r="G4113" s="163"/>
      <c r="H4113" s="164"/>
      <c r="I4113" s="163"/>
      <c r="J4113" s="164"/>
      <c r="K4113" s="163"/>
      <c r="L4113" s="164"/>
      <c r="M4113" s="11"/>
      <c r="N4113" s="39"/>
      <c r="Q4113" s="15" t="str">
        <f>+CONCATENATE(E4111,K4111)</f>
        <v/>
      </c>
      <c r="R4113" s="15">
        <f>+L4111</f>
        <v>0</v>
      </c>
      <c r="S4113" s="16"/>
      <c r="T4113" s="15">
        <f>+E4111</f>
        <v>0</v>
      </c>
      <c r="U4113" s="26" t="str">
        <f>IFERROR(LEFT(K4111,FIND("*",K4111)-1),"-")</f>
        <v>-</v>
      </c>
      <c r="V4113" s="26" t="str">
        <f>IFERROR(RIGHT(K4111,LEN(K4111)-FIND("*",K4111)),"-")</f>
        <v>-</v>
      </c>
      <c r="W4113" s="27" t="str">
        <f t="shared" si="2236"/>
        <v>-</v>
      </c>
      <c r="X4113" s="27" t="str">
        <f>IFERROR(W4113*L4111,"-")</f>
        <v>-</v>
      </c>
      <c r="Z4113" s="94" t="s">
        <v>82</v>
      </c>
    </row>
    <row r="4114" spans="1:26" s="25" customFormat="1" ht="21" customHeight="1" thickBot="1" x14ac:dyDescent="0.35">
      <c r="A4114" s="10"/>
      <c r="B4114" s="170"/>
      <c r="C4114" s="171"/>
      <c r="D4114" s="172" t="s">
        <v>43</v>
      </c>
      <c r="E4114" s="173"/>
      <c r="F4114" s="173"/>
      <c r="G4114" s="174"/>
      <c r="H4114" s="174"/>
      <c r="I4114" s="174"/>
      <c r="J4114" s="174"/>
      <c r="K4114" s="174"/>
      <c r="L4114" s="174"/>
      <c r="M4114" s="12"/>
      <c r="N4114" s="39"/>
      <c r="U4114" s="23"/>
      <c r="V4114" s="23"/>
      <c r="Z4114" s="95" t="s">
        <v>81</v>
      </c>
    </row>
    <row r="4115" spans="1:26" s="25" customFormat="1" ht="9.9499999999999993" customHeight="1" thickBot="1" x14ac:dyDescent="0.35">
      <c r="A4115" s="6"/>
      <c r="B4115" s="14"/>
      <c r="C4115" s="119"/>
      <c r="D4115" s="58"/>
      <c r="E4115" s="17"/>
      <c r="F4115" s="58"/>
      <c r="G4115" s="19"/>
      <c r="H4115" s="19"/>
      <c r="I4115" s="19"/>
      <c r="J4115" s="19"/>
      <c r="K4115" s="19"/>
      <c r="L4115" s="19"/>
      <c r="M4115" s="14"/>
      <c r="N4115" s="39"/>
      <c r="Q4115" s="1"/>
      <c r="R4115" s="1"/>
      <c r="S4115" s="1"/>
      <c r="T4115" s="1"/>
      <c r="U4115" s="24"/>
      <c r="V4115" s="24"/>
      <c r="W4115" s="1"/>
      <c r="X4115" s="1"/>
      <c r="Z4115" s="94" t="s">
        <v>82</v>
      </c>
    </row>
    <row r="4116" spans="1:26" s="25" customFormat="1" ht="6.95" customHeight="1" x14ac:dyDescent="0.3">
      <c r="A4116" s="165">
        <f>+A4105+1</f>
        <v>375</v>
      </c>
      <c r="B4116" s="166"/>
      <c r="C4116" s="167"/>
      <c r="D4116" s="160" t="s">
        <v>39</v>
      </c>
      <c r="E4116" s="161"/>
      <c r="F4116" s="162" t="s">
        <v>40</v>
      </c>
      <c r="G4116" s="163"/>
      <c r="H4116" s="164"/>
      <c r="I4116" s="163"/>
      <c r="J4116" s="164"/>
      <c r="K4116" s="163"/>
      <c r="L4116" s="164"/>
      <c r="M4116" s="11"/>
      <c r="N4116" s="39"/>
      <c r="Q4116" s="15" t="str">
        <f>+CONCATENATE(E4116,G4116)</f>
        <v/>
      </c>
      <c r="R4116" s="15">
        <f>+H4116</f>
        <v>0</v>
      </c>
      <c r="S4116" s="16"/>
      <c r="T4116" s="15">
        <f>+E4116</f>
        <v>0</v>
      </c>
      <c r="U4116" s="26" t="str">
        <f>IFERROR(LEFT(G4116,FIND("*",G4116)-1),"-")</f>
        <v>-</v>
      </c>
      <c r="V4116" s="26" t="str">
        <f>IFERROR(RIGHT(G4116,LEN(G4116)-FIND("*",G4116)),"-")</f>
        <v>-</v>
      </c>
      <c r="W4116" s="27" t="str">
        <f>IFERROR((U4116+V4116)*2/1000,"-")</f>
        <v>-</v>
      </c>
      <c r="X4116" s="27" t="str">
        <f>IFERROR(W4116*H4116,"-")</f>
        <v>-</v>
      </c>
      <c r="Z4116" s="94" t="s">
        <v>82</v>
      </c>
    </row>
    <row r="4117" spans="1:26" s="25" customFormat="1" ht="6.95" customHeight="1" x14ac:dyDescent="0.3">
      <c r="A4117" s="165"/>
      <c r="B4117" s="168"/>
      <c r="C4117" s="169"/>
      <c r="D4117" s="160"/>
      <c r="E4117" s="161"/>
      <c r="F4117" s="162"/>
      <c r="G4117" s="163"/>
      <c r="H4117" s="164"/>
      <c r="I4117" s="163"/>
      <c r="J4117" s="164"/>
      <c r="K4117" s="163"/>
      <c r="L4117" s="164"/>
      <c r="M4117" s="11"/>
      <c r="N4117" s="39"/>
      <c r="Q4117" s="15" t="str">
        <f>+CONCATENATE(E4116,I4116)</f>
        <v/>
      </c>
      <c r="R4117" s="15">
        <f>+J4116</f>
        <v>0</v>
      </c>
      <c r="S4117" s="16"/>
      <c r="T4117" s="15">
        <f>+E4116</f>
        <v>0</v>
      </c>
      <c r="U4117" s="26" t="str">
        <f>IFERROR(LEFT(I4116,FIND("*",I4116)-1),"-")</f>
        <v>-</v>
      </c>
      <c r="V4117" s="26" t="str">
        <f>IFERROR(RIGHT(I4116,LEN(I4116)-FIND("*",I4116)),"-")</f>
        <v>-</v>
      </c>
      <c r="W4117" s="27" t="str">
        <f t="shared" ref="W4117:W4124" si="2242">IFERROR((U4117+V4117)*2/1000,"-")</f>
        <v>-</v>
      </c>
      <c r="X4117" s="27" t="str">
        <f>IFERROR(W4117*J4116,"-")</f>
        <v>-</v>
      </c>
      <c r="Z4117" s="94" t="s">
        <v>82</v>
      </c>
    </row>
    <row r="4118" spans="1:26" s="25" customFormat="1" ht="6.95" customHeight="1" x14ac:dyDescent="0.3">
      <c r="A4118" s="165"/>
      <c r="B4118" s="168"/>
      <c r="C4118" s="169"/>
      <c r="D4118" s="160"/>
      <c r="E4118" s="161"/>
      <c r="F4118" s="162"/>
      <c r="G4118" s="163"/>
      <c r="H4118" s="164"/>
      <c r="I4118" s="163"/>
      <c r="J4118" s="164"/>
      <c r="K4118" s="163"/>
      <c r="L4118" s="164"/>
      <c r="M4118" s="11"/>
      <c r="N4118" s="39"/>
      <c r="Q4118" s="15" t="str">
        <f>+CONCATENATE(E4116,K4116)</f>
        <v/>
      </c>
      <c r="R4118" s="15">
        <f>+L4116</f>
        <v>0</v>
      </c>
      <c r="S4118" s="16"/>
      <c r="T4118" s="15">
        <f>+E4116</f>
        <v>0</v>
      </c>
      <c r="U4118" s="26" t="str">
        <f>IFERROR(LEFT(K4116,FIND("*",K4116)-1),"-")</f>
        <v>-</v>
      </c>
      <c r="V4118" s="26" t="str">
        <f>IFERROR(RIGHT(K4116,LEN(K4116)-FIND("*",K4116)),"-")</f>
        <v>-</v>
      </c>
      <c r="W4118" s="27" t="str">
        <f t="shared" si="2242"/>
        <v>-</v>
      </c>
      <c r="X4118" s="27" t="str">
        <f>IFERROR(W4118*L4116,"-")</f>
        <v>-</v>
      </c>
      <c r="Z4118" s="94" t="s">
        <v>82</v>
      </c>
    </row>
    <row r="4119" spans="1:26" s="25" customFormat="1" ht="6.95" customHeight="1" x14ac:dyDescent="0.3">
      <c r="A4119" s="13"/>
      <c r="B4119" s="168"/>
      <c r="C4119" s="169"/>
      <c r="D4119" s="160" t="s">
        <v>39</v>
      </c>
      <c r="E4119" s="161"/>
      <c r="F4119" s="162" t="s">
        <v>40</v>
      </c>
      <c r="G4119" s="163"/>
      <c r="H4119" s="164"/>
      <c r="I4119" s="163"/>
      <c r="J4119" s="164"/>
      <c r="K4119" s="163"/>
      <c r="L4119" s="164"/>
      <c r="M4119" s="11"/>
      <c r="N4119" s="39"/>
      <c r="Q4119" s="15" t="str">
        <f>+CONCATENATE(E4119,G4119)</f>
        <v/>
      </c>
      <c r="R4119" s="15">
        <f>+H4119</f>
        <v>0</v>
      </c>
      <c r="S4119" s="16"/>
      <c r="T4119" s="15">
        <f>+E4119</f>
        <v>0</v>
      </c>
      <c r="U4119" s="26" t="str">
        <f t="shared" ref="U4119" si="2243">IFERROR(LEFT(G4119,FIND("*",G4119)-1),"-")</f>
        <v>-</v>
      </c>
      <c r="V4119" s="26" t="str">
        <f t="shared" ref="V4119" si="2244">IFERROR(RIGHT(G4119,LEN(G4119)-FIND("*",G4119)),"-")</f>
        <v>-</v>
      </c>
      <c r="W4119" s="27" t="str">
        <f t="shared" si="2242"/>
        <v>-</v>
      </c>
      <c r="X4119" s="27" t="str">
        <f>IFERROR(W4119*H4119,"-")</f>
        <v>-</v>
      </c>
      <c r="Z4119" s="94" t="s">
        <v>82</v>
      </c>
    </row>
    <row r="4120" spans="1:26" s="25" customFormat="1" ht="6.95" customHeight="1" x14ac:dyDescent="0.3">
      <c r="A4120" s="10"/>
      <c r="B4120" s="168"/>
      <c r="C4120" s="169"/>
      <c r="D4120" s="160"/>
      <c r="E4120" s="161"/>
      <c r="F4120" s="162"/>
      <c r="G4120" s="163"/>
      <c r="H4120" s="164"/>
      <c r="I4120" s="163"/>
      <c r="J4120" s="164"/>
      <c r="K4120" s="163"/>
      <c r="L4120" s="164"/>
      <c r="M4120" s="11"/>
      <c r="N4120" s="39"/>
      <c r="Q4120" s="15" t="str">
        <f>+CONCATENATE(E4119,I4119)</f>
        <v/>
      </c>
      <c r="R4120" s="15">
        <f>+J4119</f>
        <v>0</v>
      </c>
      <c r="S4120" s="16"/>
      <c r="T4120" s="15">
        <f>+E4119</f>
        <v>0</v>
      </c>
      <c r="U4120" s="26" t="str">
        <f>IFERROR(LEFT(I4119,FIND("*",I4119)-1),"-")</f>
        <v>-</v>
      </c>
      <c r="V4120" s="26" t="str">
        <f>IFERROR(RIGHT(I4119,LEN(I4119)-FIND("*",I4119)),"-")</f>
        <v>-</v>
      </c>
      <c r="W4120" s="27" t="str">
        <f t="shared" si="2242"/>
        <v>-</v>
      </c>
      <c r="X4120" s="27" t="str">
        <f>IFERROR(W4120*J4119,"-")</f>
        <v>-</v>
      </c>
      <c r="Z4120" s="94" t="s">
        <v>82</v>
      </c>
    </row>
    <row r="4121" spans="1:26" s="25" customFormat="1" ht="6.95" customHeight="1" x14ac:dyDescent="0.3">
      <c r="A4121" s="10"/>
      <c r="B4121" s="168"/>
      <c r="C4121" s="169"/>
      <c r="D4121" s="160"/>
      <c r="E4121" s="161"/>
      <c r="F4121" s="162"/>
      <c r="G4121" s="163"/>
      <c r="H4121" s="164"/>
      <c r="I4121" s="163"/>
      <c r="J4121" s="164"/>
      <c r="K4121" s="163"/>
      <c r="L4121" s="164"/>
      <c r="M4121" s="11"/>
      <c r="N4121" s="39"/>
      <c r="Q4121" s="15" t="str">
        <f>+CONCATENATE(E4119,K4119)</f>
        <v/>
      </c>
      <c r="R4121" s="15">
        <f>+L4119</f>
        <v>0</v>
      </c>
      <c r="S4121" s="16"/>
      <c r="T4121" s="15">
        <f>+E4119</f>
        <v>0</v>
      </c>
      <c r="U4121" s="26" t="str">
        <f>IFERROR(LEFT(K4119,FIND("*",K4119)-1),"-")</f>
        <v>-</v>
      </c>
      <c r="V4121" s="26" t="str">
        <f>IFERROR(RIGHT(K4119,LEN(K4119)-FIND("*",K4119)),"-")</f>
        <v>-</v>
      </c>
      <c r="W4121" s="27" t="str">
        <f t="shared" si="2242"/>
        <v>-</v>
      </c>
      <c r="X4121" s="27" t="str">
        <f>IFERROR(W4121*L4119,"-")</f>
        <v>-</v>
      </c>
      <c r="Z4121" s="94" t="s">
        <v>82</v>
      </c>
    </row>
    <row r="4122" spans="1:26" s="25" customFormat="1" ht="6.95" customHeight="1" x14ac:dyDescent="0.3">
      <c r="A4122" s="13"/>
      <c r="B4122" s="168"/>
      <c r="C4122" s="169"/>
      <c r="D4122" s="160" t="s">
        <v>39</v>
      </c>
      <c r="E4122" s="161"/>
      <c r="F4122" s="162" t="s">
        <v>40</v>
      </c>
      <c r="G4122" s="163"/>
      <c r="H4122" s="164"/>
      <c r="I4122" s="163"/>
      <c r="J4122" s="164"/>
      <c r="K4122" s="163"/>
      <c r="L4122" s="164"/>
      <c r="M4122" s="11"/>
      <c r="N4122" s="39"/>
      <c r="Q4122" s="15" t="str">
        <f>+CONCATENATE(E4122,G4122)</f>
        <v/>
      </c>
      <c r="R4122" s="15">
        <f>+H4122</f>
        <v>0</v>
      </c>
      <c r="S4122" s="16"/>
      <c r="T4122" s="15">
        <f>+E4122</f>
        <v>0</v>
      </c>
      <c r="U4122" s="26" t="str">
        <f t="shared" ref="U4122" si="2245">IFERROR(LEFT(G4122,FIND("*",G4122)-1),"-")</f>
        <v>-</v>
      </c>
      <c r="V4122" s="26" t="str">
        <f t="shared" ref="V4122" si="2246">IFERROR(RIGHT(G4122,LEN(G4122)-FIND("*",G4122)),"-")</f>
        <v>-</v>
      </c>
      <c r="W4122" s="27" t="str">
        <f t="shared" si="2242"/>
        <v>-</v>
      </c>
      <c r="X4122" s="27" t="str">
        <f>IFERROR(W4122*H4122,"-")</f>
        <v>-</v>
      </c>
      <c r="Z4122" s="94" t="s">
        <v>82</v>
      </c>
    </row>
    <row r="4123" spans="1:26" s="25" customFormat="1" ht="6.95" customHeight="1" x14ac:dyDescent="0.3">
      <c r="A4123" s="10"/>
      <c r="B4123" s="168"/>
      <c r="C4123" s="169"/>
      <c r="D4123" s="160"/>
      <c r="E4123" s="161"/>
      <c r="F4123" s="162"/>
      <c r="G4123" s="163"/>
      <c r="H4123" s="164"/>
      <c r="I4123" s="163"/>
      <c r="J4123" s="164"/>
      <c r="K4123" s="163"/>
      <c r="L4123" s="164"/>
      <c r="M4123" s="11"/>
      <c r="N4123" s="39"/>
      <c r="Q4123" s="15" t="str">
        <f>+CONCATENATE(E4122,I4122)</f>
        <v/>
      </c>
      <c r="R4123" s="15">
        <f>+J4122</f>
        <v>0</v>
      </c>
      <c r="S4123" s="16"/>
      <c r="T4123" s="15">
        <f>+E4122</f>
        <v>0</v>
      </c>
      <c r="U4123" s="26" t="str">
        <f>IFERROR(LEFT(I4122,FIND("*",I4122)-1),"-")</f>
        <v>-</v>
      </c>
      <c r="V4123" s="26" t="str">
        <f>IFERROR(RIGHT(I4122,LEN(I4122)-FIND("*",I4122)),"-")</f>
        <v>-</v>
      </c>
      <c r="W4123" s="27" t="str">
        <f t="shared" si="2242"/>
        <v>-</v>
      </c>
      <c r="X4123" s="27" t="str">
        <f t="shared" ref="X4123" si="2247">IFERROR(W4123*J4122,"-")</f>
        <v>-</v>
      </c>
      <c r="Z4123" s="94" t="s">
        <v>82</v>
      </c>
    </row>
    <row r="4124" spans="1:26" s="25" customFormat="1" ht="6.95" customHeight="1" x14ac:dyDescent="0.3">
      <c r="A4124" s="10"/>
      <c r="B4124" s="168"/>
      <c r="C4124" s="169"/>
      <c r="D4124" s="160"/>
      <c r="E4124" s="161"/>
      <c r="F4124" s="162"/>
      <c r="G4124" s="163"/>
      <c r="H4124" s="164"/>
      <c r="I4124" s="163"/>
      <c r="J4124" s="164"/>
      <c r="K4124" s="163"/>
      <c r="L4124" s="164"/>
      <c r="M4124" s="11"/>
      <c r="N4124" s="39"/>
      <c r="Q4124" s="15" t="str">
        <f>+CONCATENATE(E4122,K4122)</f>
        <v/>
      </c>
      <c r="R4124" s="15">
        <f>+L4122</f>
        <v>0</v>
      </c>
      <c r="S4124" s="16"/>
      <c r="T4124" s="15">
        <f>+E4122</f>
        <v>0</v>
      </c>
      <c r="U4124" s="26" t="str">
        <f>IFERROR(LEFT(K4122,FIND("*",K4122)-1),"-")</f>
        <v>-</v>
      </c>
      <c r="V4124" s="26" t="str">
        <f>IFERROR(RIGHT(K4122,LEN(K4122)-FIND("*",K4122)),"-")</f>
        <v>-</v>
      </c>
      <c r="W4124" s="27" t="str">
        <f t="shared" si="2242"/>
        <v>-</v>
      </c>
      <c r="X4124" s="27" t="str">
        <f>IFERROR(W4124*L4122,"-")</f>
        <v>-</v>
      </c>
      <c r="Z4124" s="94" t="s">
        <v>82</v>
      </c>
    </row>
    <row r="4125" spans="1:26" s="25" customFormat="1" ht="21" customHeight="1" thickBot="1" x14ac:dyDescent="0.35">
      <c r="A4125" s="10"/>
      <c r="B4125" s="170"/>
      <c r="C4125" s="171"/>
      <c r="D4125" s="172" t="s">
        <v>43</v>
      </c>
      <c r="E4125" s="173"/>
      <c r="F4125" s="173"/>
      <c r="G4125" s="174"/>
      <c r="H4125" s="174"/>
      <c r="I4125" s="174"/>
      <c r="J4125" s="174"/>
      <c r="K4125" s="174"/>
      <c r="L4125" s="174"/>
      <c r="M4125" s="12"/>
      <c r="N4125" s="39"/>
      <c r="U4125" s="23"/>
      <c r="V4125" s="23"/>
      <c r="Z4125" s="95" t="s">
        <v>81</v>
      </c>
    </row>
    <row r="4126" spans="1:26" s="25" customFormat="1" ht="9.9499999999999993" customHeight="1" thickBot="1" x14ac:dyDescent="0.35">
      <c r="A4126" s="6"/>
      <c r="B4126" s="14"/>
      <c r="C4126" s="119"/>
      <c r="D4126" s="58"/>
      <c r="E4126" s="17"/>
      <c r="F4126" s="58"/>
      <c r="G4126" s="19"/>
      <c r="H4126" s="19"/>
      <c r="I4126" s="19"/>
      <c r="J4126" s="19"/>
      <c r="K4126" s="19"/>
      <c r="L4126" s="19"/>
      <c r="M4126" s="14"/>
      <c r="N4126" s="39"/>
      <c r="Q4126" s="1"/>
      <c r="R4126" s="1"/>
      <c r="S4126" s="1"/>
      <c r="T4126" s="1"/>
      <c r="U4126" s="24"/>
      <c r="V4126" s="24"/>
      <c r="W4126" s="1"/>
      <c r="X4126" s="1"/>
      <c r="Z4126" s="94" t="s">
        <v>82</v>
      </c>
    </row>
    <row r="4127" spans="1:26" s="25" customFormat="1" ht="6.95" customHeight="1" x14ac:dyDescent="0.3">
      <c r="A4127" s="165">
        <f>+A4116+1</f>
        <v>376</v>
      </c>
      <c r="B4127" s="166"/>
      <c r="C4127" s="167"/>
      <c r="D4127" s="160" t="s">
        <v>39</v>
      </c>
      <c r="E4127" s="161"/>
      <c r="F4127" s="162" t="s">
        <v>40</v>
      </c>
      <c r="G4127" s="163"/>
      <c r="H4127" s="164"/>
      <c r="I4127" s="163"/>
      <c r="J4127" s="164"/>
      <c r="K4127" s="163"/>
      <c r="L4127" s="164"/>
      <c r="M4127" s="11"/>
      <c r="N4127" s="39"/>
      <c r="Q4127" s="15" t="str">
        <f>+CONCATENATE(E4127,G4127)</f>
        <v/>
      </c>
      <c r="R4127" s="15">
        <f>+H4127</f>
        <v>0</v>
      </c>
      <c r="S4127" s="16"/>
      <c r="T4127" s="15">
        <f>+E4127</f>
        <v>0</v>
      </c>
      <c r="U4127" s="26" t="str">
        <f>IFERROR(LEFT(G4127,FIND("*",G4127)-1),"-")</f>
        <v>-</v>
      </c>
      <c r="V4127" s="26" t="str">
        <f>IFERROR(RIGHT(G4127,LEN(G4127)-FIND("*",G4127)),"-")</f>
        <v>-</v>
      </c>
      <c r="W4127" s="27" t="str">
        <f>IFERROR((U4127+V4127)*2/1000,"-")</f>
        <v>-</v>
      </c>
      <c r="X4127" s="27" t="str">
        <f>IFERROR(W4127*H4127,"-")</f>
        <v>-</v>
      </c>
      <c r="Z4127" s="94" t="s">
        <v>82</v>
      </c>
    </row>
    <row r="4128" spans="1:26" s="25" customFormat="1" ht="6.95" customHeight="1" x14ac:dyDescent="0.3">
      <c r="A4128" s="165"/>
      <c r="B4128" s="168"/>
      <c r="C4128" s="169"/>
      <c r="D4128" s="160"/>
      <c r="E4128" s="161"/>
      <c r="F4128" s="162"/>
      <c r="G4128" s="163"/>
      <c r="H4128" s="164"/>
      <c r="I4128" s="163"/>
      <c r="J4128" s="164"/>
      <c r="K4128" s="163"/>
      <c r="L4128" s="164"/>
      <c r="M4128" s="11"/>
      <c r="N4128" s="39"/>
      <c r="Q4128" s="15" t="str">
        <f>+CONCATENATE(E4127,I4127)</f>
        <v/>
      </c>
      <c r="R4128" s="15">
        <f>+J4127</f>
        <v>0</v>
      </c>
      <c r="S4128" s="16"/>
      <c r="T4128" s="15">
        <f>+E4127</f>
        <v>0</v>
      </c>
      <c r="U4128" s="26" t="str">
        <f>IFERROR(LEFT(I4127,FIND("*",I4127)-1),"-")</f>
        <v>-</v>
      </c>
      <c r="V4128" s="26" t="str">
        <f>IFERROR(RIGHT(I4127,LEN(I4127)-FIND("*",I4127)),"-")</f>
        <v>-</v>
      </c>
      <c r="W4128" s="27" t="str">
        <f t="shared" ref="W4128:W4135" si="2248">IFERROR((U4128+V4128)*2/1000,"-")</f>
        <v>-</v>
      </c>
      <c r="X4128" s="27" t="str">
        <f>IFERROR(W4128*J4127,"-")</f>
        <v>-</v>
      </c>
      <c r="Z4128" s="94" t="s">
        <v>82</v>
      </c>
    </row>
    <row r="4129" spans="1:26" s="25" customFormat="1" ht="6.95" customHeight="1" x14ac:dyDescent="0.3">
      <c r="A4129" s="165"/>
      <c r="B4129" s="168"/>
      <c r="C4129" s="169"/>
      <c r="D4129" s="160"/>
      <c r="E4129" s="161"/>
      <c r="F4129" s="162"/>
      <c r="G4129" s="163"/>
      <c r="H4129" s="164"/>
      <c r="I4129" s="163"/>
      <c r="J4129" s="164"/>
      <c r="K4129" s="163"/>
      <c r="L4129" s="164"/>
      <c r="M4129" s="11"/>
      <c r="N4129" s="39"/>
      <c r="Q4129" s="15" t="str">
        <f>+CONCATENATE(E4127,K4127)</f>
        <v/>
      </c>
      <c r="R4129" s="15">
        <f>+L4127</f>
        <v>0</v>
      </c>
      <c r="S4129" s="16"/>
      <c r="T4129" s="15">
        <f>+E4127</f>
        <v>0</v>
      </c>
      <c r="U4129" s="26" t="str">
        <f>IFERROR(LEFT(K4127,FIND("*",K4127)-1),"-")</f>
        <v>-</v>
      </c>
      <c r="V4129" s="26" t="str">
        <f>IFERROR(RIGHT(K4127,LEN(K4127)-FIND("*",K4127)),"-")</f>
        <v>-</v>
      </c>
      <c r="W4129" s="27" t="str">
        <f t="shared" si="2248"/>
        <v>-</v>
      </c>
      <c r="X4129" s="27" t="str">
        <f>IFERROR(W4129*L4127,"-")</f>
        <v>-</v>
      </c>
      <c r="Z4129" s="94" t="s">
        <v>82</v>
      </c>
    </row>
    <row r="4130" spans="1:26" s="25" customFormat="1" ht="6.95" customHeight="1" x14ac:dyDescent="0.3">
      <c r="A4130" s="13"/>
      <c r="B4130" s="168"/>
      <c r="C4130" s="169"/>
      <c r="D4130" s="160" t="s">
        <v>39</v>
      </c>
      <c r="E4130" s="161"/>
      <c r="F4130" s="162" t="s">
        <v>40</v>
      </c>
      <c r="G4130" s="163"/>
      <c r="H4130" s="164"/>
      <c r="I4130" s="163"/>
      <c r="J4130" s="164"/>
      <c r="K4130" s="163"/>
      <c r="L4130" s="164"/>
      <c r="M4130" s="11"/>
      <c r="N4130" s="39"/>
      <c r="Q4130" s="15" t="str">
        <f>+CONCATENATE(E4130,G4130)</f>
        <v/>
      </c>
      <c r="R4130" s="15">
        <f>+H4130</f>
        <v>0</v>
      </c>
      <c r="S4130" s="16"/>
      <c r="T4130" s="15">
        <f>+E4130</f>
        <v>0</v>
      </c>
      <c r="U4130" s="26" t="str">
        <f t="shared" ref="U4130" si="2249">IFERROR(LEFT(G4130,FIND("*",G4130)-1),"-")</f>
        <v>-</v>
      </c>
      <c r="V4130" s="26" t="str">
        <f t="shared" ref="V4130" si="2250">IFERROR(RIGHT(G4130,LEN(G4130)-FIND("*",G4130)),"-")</f>
        <v>-</v>
      </c>
      <c r="W4130" s="27" t="str">
        <f t="shared" si="2248"/>
        <v>-</v>
      </c>
      <c r="X4130" s="27" t="str">
        <f>IFERROR(W4130*H4130,"-")</f>
        <v>-</v>
      </c>
      <c r="Z4130" s="94" t="s">
        <v>82</v>
      </c>
    </row>
    <row r="4131" spans="1:26" s="25" customFormat="1" ht="6.95" customHeight="1" x14ac:dyDescent="0.3">
      <c r="A4131" s="10"/>
      <c r="B4131" s="168"/>
      <c r="C4131" s="169"/>
      <c r="D4131" s="160"/>
      <c r="E4131" s="161"/>
      <c r="F4131" s="162"/>
      <c r="G4131" s="163"/>
      <c r="H4131" s="164"/>
      <c r="I4131" s="163"/>
      <c r="J4131" s="164"/>
      <c r="K4131" s="163"/>
      <c r="L4131" s="164"/>
      <c r="M4131" s="11"/>
      <c r="N4131" s="39"/>
      <c r="Q4131" s="15" t="str">
        <f>+CONCATENATE(E4130,I4130)</f>
        <v/>
      </c>
      <c r="R4131" s="15">
        <f>+J4130</f>
        <v>0</v>
      </c>
      <c r="S4131" s="16"/>
      <c r="T4131" s="15">
        <f>+E4130</f>
        <v>0</v>
      </c>
      <c r="U4131" s="26" t="str">
        <f>IFERROR(LEFT(I4130,FIND("*",I4130)-1),"-")</f>
        <v>-</v>
      </c>
      <c r="V4131" s="26" t="str">
        <f>IFERROR(RIGHT(I4130,LEN(I4130)-FIND("*",I4130)),"-")</f>
        <v>-</v>
      </c>
      <c r="W4131" s="27" t="str">
        <f t="shared" si="2248"/>
        <v>-</v>
      </c>
      <c r="X4131" s="27" t="str">
        <f>IFERROR(W4131*J4130,"-")</f>
        <v>-</v>
      </c>
      <c r="Z4131" s="94" t="s">
        <v>82</v>
      </c>
    </row>
    <row r="4132" spans="1:26" s="25" customFormat="1" ht="6.95" customHeight="1" x14ac:dyDescent="0.3">
      <c r="A4132" s="10"/>
      <c r="B4132" s="168"/>
      <c r="C4132" s="169"/>
      <c r="D4132" s="160"/>
      <c r="E4132" s="161"/>
      <c r="F4132" s="162"/>
      <c r="G4132" s="163"/>
      <c r="H4132" s="164"/>
      <c r="I4132" s="163"/>
      <c r="J4132" s="164"/>
      <c r="K4132" s="163"/>
      <c r="L4132" s="164"/>
      <c r="M4132" s="11"/>
      <c r="N4132" s="39"/>
      <c r="Q4132" s="15" t="str">
        <f>+CONCATENATE(E4130,K4130)</f>
        <v/>
      </c>
      <c r="R4132" s="15">
        <f>+L4130</f>
        <v>0</v>
      </c>
      <c r="S4132" s="16"/>
      <c r="T4132" s="15">
        <f>+E4130</f>
        <v>0</v>
      </c>
      <c r="U4132" s="26" t="str">
        <f>IFERROR(LEFT(K4130,FIND("*",K4130)-1),"-")</f>
        <v>-</v>
      </c>
      <c r="V4132" s="26" t="str">
        <f>IFERROR(RIGHT(K4130,LEN(K4130)-FIND("*",K4130)),"-")</f>
        <v>-</v>
      </c>
      <c r="W4132" s="27" t="str">
        <f t="shared" si="2248"/>
        <v>-</v>
      </c>
      <c r="X4132" s="27" t="str">
        <f>IFERROR(W4132*L4130,"-")</f>
        <v>-</v>
      </c>
      <c r="Z4132" s="94" t="s">
        <v>82</v>
      </c>
    </row>
    <row r="4133" spans="1:26" s="25" customFormat="1" ht="6.95" customHeight="1" x14ac:dyDescent="0.3">
      <c r="A4133" s="13"/>
      <c r="B4133" s="168"/>
      <c r="C4133" s="169"/>
      <c r="D4133" s="160" t="s">
        <v>39</v>
      </c>
      <c r="E4133" s="161"/>
      <c r="F4133" s="162" t="s">
        <v>40</v>
      </c>
      <c r="G4133" s="163"/>
      <c r="H4133" s="164"/>
      <c r="I4133" s="163"/>
      <c r="J4133" s="164"/>
      <c r="K4133" s="163"/>
      <c r="L4133" s="164"/>
      <c r="M4133" s="11"/>
      <c r="N4133" s="39"/>
      <c r="Q4133" s="15" t="str">
        <f>+CONCATENATE(E4133,G4133)</f>
        <v/>
      </c>
      <c r="R4133" s="15">
        <f>+H4133</f>
        <v>0</v>
      </c>
      <c r="S4133" s="16"/>
      <c r="T4133" s="15">
        <f>+E4133</f>
        <v>0</v>
      </c>
      <c r="U4133" s="26" t="str">
        <f t="shared" ref="U4133" si="2251">IFERROR(LEFT(G4133,FIND("*",G4133)-1),"-")</f>
        <v>-</v>
      </c>
      <c r="V4133" s="26" t="str">
        <f t="shared" ref="V4133" si="2252">IFERROR(RIGHT(G4133,LEN(G4133)-FIND("*",G4133)),"-")</f>
        <v>-</v>
      </c>
      <c r="W4133" s="27" t="str">
        <f t="shared" si="2248"/>
        <v>-</v>
      </c>
      <c r="X4133" s="27" t="str">
        <f>IFERROR(W4133*H4133,"-")</f>
        <v>-</v>
      </c>
      <c r="Z4133" s="94" t="s">
        <v>82</v>
      </c>
    </row>
    <row r="4134" spans="1:26" s="25" customFormat="1" ht="6.95" customHeight="1" x14ac:dyDescent="0.3">
      <c r="A4134" s="10"/>
      <c r="B4134" s="168"/>
      <c r="C4134" s="169"/>
      <c r="D4134" s="160"/>
      <c r="E4134" s="161"/>
      <c r="F4134" s="162"/>
      <c r="G4134" s="163"/>
      <c r="H4134" s="164"/>
      <c r="I4134" s="163"/>
      <c r="J4134" s="164"/>
      <c r="K4134" s="163"/>
      <c r="L4134" s="164"/>
      <c r="M4134" s="11"/>
      <c r="N4134" s="39"/>
      <c r="Q4134" s="15" t="str">
        <f>+CONCATENATE(E4133,I4133)</f>
        <v/>
      </c>
      <c r="R4134" s="15">
        <f>+J4133</f>
        <v>0</v>
      </c>
      <c r="S4134" s="16"/>
      <c r="T4134" s="15">
        <f>+E4133</f>
        <v>0</v>
      </c>
      <c r="U4134" s="26" t="str">
        <f>IFERROR(LEFT(I4133,FIND("*",I4133)-1),"-")</f>
        <v>-</v>
      </c>
      <c r="V4134" s="26" t="str">
        <f>IFERROR(RIGHT(I4133,LEN(I4133)-FIND("*",I4133)),"-")</f>
        <v>-</v>
      </c>
      <c r="W4134" s="27" t="str">
        <f t="shared" si="2248"/>
        <v>-</v>
      </c>
      <c r="X4134" s="27" t="str">
        <f t="shared" ref="X4134" si="2253">IFERROR(W4134*J4133,"-")</f>
        <v>-</v>
      </c>
      <c r="Z4134" s="94" t="s">
        <v>82</v>
      </c>
    </row>
    <row r="4135" spans="1:26" s="25" customFormat="1" ht="6.95" customHeight="1" x14ac:dyDescent="0.3">
      <c r="A4135" s="10"/>
      <c r="B4135" s="168"/>
      <c r="C4135" s="169"/>
      <c r="D4135" s="160"/>
      <c r="E4135" s="161"/>
      <c r="F4135" s="162"/>
      <c r="G4135" s="163"/>
      <c r="H4135" s="164"/>
      <c r="I4135" s="163"/>
      <c r="J4135" s="164"/>
      <c r="K4135" s="163"/>
      <c r="L4135" s="164"/>
      <c r="M4135" s="11"/>
      <c r="N4135" s="39"/>
      <c r="Q4135" s="15" t="str">
        <f>+CONCATENATE(E4133,K4133)</f>
        <v/>
      </c>
      <c r="R4135" s="15">
        <f>+L4133</f>
        <v>0</v>
      </c>
      <c r="S4135" s="16"/>
      <c r="T4135" s="15">
        <f>+E4133</f>
        <v>0</v>
      </c>
      <c r="U4135" s="26" t="str">
        <f>IFERROR(LEFT(K4133,FIND("*",K4133)-1),"-")</f>
        <v>-</v>
      </c>
      <c r="V4135" s="26" t="str">
        <f>IFERROR(RIGHT(K4133,LEN(K4133)-FIND("*",K4133)),"-")</f>
        <v>-</v>
      </c>
      <c r="W4135" s="27" t="str">
        <f t="shared" si="2248"/>
        <v>-</v>
      </c>
      <c r="X4135" s="27" t="str">
        <f>IFERROR(W4135*L4133,"-")</f>
        <v>-</v>
      </c>
      <c r="Z4135" s="94" t="s">
        <v>82</v>
      </c>
    </row>
    <row r="4136" spans="1:26" s="25" customFormat="1" ht="21" customHeight="1" thickBot="1" x14ac:dyDescent="0.35">
      <c r="A4136" s="10"/>
      <c r="B4136" s="170"/>
      <c r="C4136" s="171"/>
      <c r="D4136" s="172" t="s">
        <v>43</v>
      </c>
      <c r="E4136" s="173"/>
      <c r="F4136" s="173"/>
      <c r="G4136" s="174"/>
      <c r="H4136" s="174"/>
      <c r="I4136" s="174"/>
      <c r="J4136" s="174"/>
      <c r="K4136" s="174"/>
      <c r="L4136" s="174"/>
      <c r="M4136" s="12"/>
      <c r="N4136" s="39"/>
      <c r="U4136" s="23"/>
      <c r="V4136" s="23"/>
      <c r="Z4136" s="95" t="s">
        <v>81</v>
      </c>
    </row>
    <row r="4137" spans="1:26" s="25" customFormat="1" ht="9.9499999999999993" customHeight="1" thickBot="1" x14ac:dyDescent="0.35">
      <c r="A4137" s="6"/>
      <c r="B4137" s="14"/>
      <c r="C4137" s="119"/>
      <c r="D4137" s="58"/>
      <c r="E4137" s="17"/>
      <c r="F4137" s="58"/>
      <c r="G4137" s="19"/>
      <c r="H4137" s="19"/>
      <c r="I4137" s="19"/>
      <c r="J4137" s="19"/>
      <c r="K4137" s="19"/>
      <c r="L4137" s="19"/>
      <c r="M4137" s="14"/>
      <c r="N4137" s="39"/>
      <c r="Q4137" s="1"/>
      <c r="R4137" s="1"/>
      <c r="S4137" s="1"/>
      <c r="T4137" s="1"/>
      <c r="U4137" s="24"/>
      <c r="V4137" s="24"/>
      <c r="W4137" s="1"/>
      <c r="X4137" s="1"/>
      <c r="Z4137" s="94" t="s">
        <v>82</v>
      </c>
    </row>
    <row r="4138" spans="1:26" s="25" customFormat="1" ht="6.95" customHeight="1" x14ac:dyDescent="0.3">
      <c r="A4138" s="165">
        <f>+A4127+1</f>
        <v>377</v>
      </c>
      <c r="B4138" s="166"/>
      <c r="C4138" s="167"/>
      <c r="D4138" s="160" t="s">
        <v>39</v>
      </c>
      <c r="E4138" s="161"/>
      <c r="F4138" s="162" t="s">
        <v>40</v>
      </c>
      <c r="G4138" s="163"/>
      <c r="H4138" s="164"/>
      <c r="I4138" s="163"/>
      <c r="J4138" s="164"/>
      <c r="K4138" s="163"/>
      <c r="L4138" s="164"/>
      <c r="M4138" s="11"/>
      <c r="N4138" s="39"/>
      <c r="Q4138" s="15" t="str">
        <f>+CONCATENATE(E4138,G4138)</f>
        <v/>
      </c>
      <c r="R4138" s="15">
        <f>+H4138</f>
        <v>0</v>
      </c>
      <c r="S4138" s="16"/>
      <c r="T4138" s="15">
        <f>+E4138</f>
        <v>0</v>
      </c>
      <c r="U4138" s="26" t="str">
        <f>IFERROR(LEFT(G4138,FIND("*",G4138)-1),"-")</f>
        <v>-</v>
      </c>
      <c r="V4138" s="26" t="str">
        <f>IFERROR(RIGHT(G4138,LEN(G4138)-FIND("*",G4138)),"-")</f>
        <v>-</v>
      </c>
      <c r="W4138" s="27" t="str">
        <f>IFERROR((U4138+V4138)*2/1000,"-")</f>
        <v>-</v>
      </c>
      <c r="X4138" s="27" t="str">
        <f>IFERROR(W4138*H4138,"-")</f>
        <v>-</v>
      </c>
      <c r="Z4138" s="94" t="s">
        <v>82</v>
      </c>
    </row>
    <row r="4139" spans="1:26" s="25" customFormat="1" ht="6.95" customHeight="1" x14ac:dyDescent="0.3">
      <c r="A4139" s="165"/>
      <c r="B4139" s="168"/>
      <c r="C4139" s="169"/>
      <c r="D4139" s="160"/>
      <c r="E4139" s="161"/>
      <c r="F4139" s="162"/>
      <c r="G4139" s="163"/>
      <c r="H4139" s="164"/>
      <c r="I4139" s="163"/>
      <c r="J4139" s="164"/>
      <c r="K4139" s="163"/>
      <c r="L4139" s="164"/>
      <c r="M4139" s="11"/>
      <c r="N4139" s="39"/>
      <c r="Q4139" s="15" t="str">
        <f>+CONCATENATE(E4138,I4138)</f>
        <v/>
      </c>
      <c r="R4139" s="15">
        <f>+J4138</f>
        <v>0</v>
      </c>
      <c r="S4139" s="16"/>
      <c r="T4139" s="15">
        <f>+E4138</f>
        <v>0</v>
      </c>
      <c r="U4139" s="26" t="str">
        <f>IFERROR(LEFT(I4138,FIND("*",I4138)-1),"-")</f>
        <v>-</v>
      </c>
      <c r="V4139" s="26" t="str">
        <f>IFERROR(RIGHT(I4138,LEN(I4138)-FIND("*",I4138)),"-")</f>
        <v>-</v>
      </c>
      <c r="W4139" s="27" t="str">
        <f t="shared" ref="W4139:W4146" si="2254">IFERROR((U4139+V4139)*2/1000,"-")</f>
        <v>-</v>
      </c>
      <c r="X4139" s="27" t="str">
        <f>IFERROR(W4139*J4138,"-")</f>
        <v>-</v>
      </c>
      <c r="Z4139" s="94" t="s">
        <v>82</v>
      </c>
    </row>
    <row r="4140" spans="1:26" s="25" customFormat="1" ht="6.95" customHeight="1" x14ac:dyDescent="0.3">
      <c r="A4140" s="165"/>
      <c r="B4140" s="168"/>
      <c r="C4140" s="169"/>
      <c r="D4140" s="160"/>
      <c r="E4140" s="161"/>
      <c r="F4140" s="162"/>
      <c r="G4140" s="163"/>
      <c r="H4140" s="164"/>
      <c r="I4140" s="163"/>
      <c r="J4140" s="164"/>
      <c r="K4140" s="163"/>
      <c r="L4140" s="164"/>
      <c r="M4140" s="11"/>
      <c r="N4140" s="39"/>
      <c r="Q4140" s="15" t="str">
        <f>+CONCATENATE(E4138,K4138)</f>
        <v/>
      </c>
      <c r="R4140" s="15">
        <f>+L4138</f>
        <v>0</v>
      </c>
      <c r="S4140" s="16"/>
      <c r="T4140" s="15">
        <f>+E4138</f>
        <v>0</v>
      </c>
      <c r="U4140" s="26" t="str">
        <f>IFERROR(LEFT(K4138,FIND("*",K4138)-1),"-")</f>
        <v>-</v>
      </c>
      <c r="V4140" s="26" t="str">
        <f>IFERROR(RIGHT(K4138,LEN(K4138)-FIND("*",K4138)),"-")</f>
        <v>-</v>
      </c>
      <c r="W4140" s="27" t="str">
        <f t="shared" si="2254"/>
        <v>-</v>
      </c>
      <c r="X4140" s="27" t="str">
        <f>IFERROR(W4140*L4138,"-")</f>
        <v>-</v>
      </c>
      <c r="Z4140" s="94" t="s">
        <v>82</v>
      </c>
    </row>
    <row r="4141" spans="1:26" s="25" customFormat="1" ht="6.95" customHeight="1" x14ac:dyDescent="0.3">
      <c r="A4141" s="13"/>
      <c r="B4141" s="168"/>
      <c r="C4141" s="169"/>
      <c r="D4141" s="160" t="s">
        <v>39</v>
      </c>
      <c r="E4141" s="161"/>
      <c r="F4141" s="162" t="s">
        <v>40</v>
      </c>
      <c r="G4141" s="163"/>
      <c r="H4141" s="164"/>
      <c r="I4141" s="163"/>
      <c r="J4141" s="164"/>
      <c r="K4141" s="163"/>
      <c r="L4141" s="164"/>
      <c r="M4141" s="11"/>
      <c r="N4141" s="39"/>
      <c r="Q4141" s="15" t="str">
        <f>+CONCATENATE(E4141,G4141)</f>
        <v/>
      </c>
      <c r="R4141" s="15">
        <f>+H4141</f>
        <v>0</v>
      </c>
      <c r="S4141" s="16"/>
      <c r="T4141" s="15">
        <f>+E4141</f>
        <v>0</v>
      </c>
      <c r="U4141" s="26" t="str">
        <f t="shared" ref="U4141" si="2255">IFERROR(LEFT(G4141,FIND("*",G4141)-1),"-")</f>
        <v>-</v>
      </c>
      <c r="V4141" s="26" t="str">
        <f t="shared" ref="V4141" si="2256">IFERROR(RIGHT(G4141,LEN(G4141)-FIND("*",G4141)),"-")</f>
        <v>-</v>
      </c>
      <c r="W4141" s="27" t="str">
        <f t="shared" si="2254"/>
        <v>-</v>
      </c>
      <c r="X4141" s="27" t="str">
        <f>IFERROR(W4141*H4141,"-")</f>
        <v>-</v>
      </c>
      <c r="Z4141" s="94" t="s">
        <v>82</v>
      </c>
    </row>
    <row r="4142" spans="1:26" s="25" customFormat="1" ht="6.95" customHeight="1" x14ac:dyDescent="0.3">
      <c r="A4142" s="10"/>
      <c r="B4142" s="168"/>
      <c r="C4142" s="169"/>
      <c r="D4142" s="160"/>
      <c r="E4142" s="161"/>
      <c r="F4142" s="162"/>
      <c r="G4142" s="163"/>
      <c r="H4142" s="164"/>
      <c r="I4142" s="163"/>
      <c r="J4142" s="164"/>
      <c r="K4142" s="163"/>
      <c r="L4142" s="164"/>
      <c r="M4142" s="11"/>
      <c r="N4142" s="39"/>
      <c r="Q4142" s="15" t="str">
        <f>+CONCATENATE(E4141,I4141)</f>
        <v/>
      </c>
      <c r="R4142" s="15">
        <f>+J4141</f>
        <v>0</v>
      </c>
      <c r="S4142" s="16"/>
      <c r="T4142" s="15">
        <f>+E4141</f>
        <v>0</v>
      </c>
      <c r="U4142" s="26" t="str">
        <f>IFERROR(LEFT(I4141,FIND("*",I4141)-1),"-")</f>
        <v>-</v>
      </c>
      <c r="V4142" s="26" t="str">
        <f>IFERROR(RIGHT(I4141,LEN(I4141)-FIND("*",I4141)),"-")</f>
        <v>-</v>
      </c>
      <c r="W4142" s="27" t="str">
        <f t="shared" si="2254"/>
        <v>-</v>
      </c>
      <c r="X4142" s="27" t="str">
        <f>IFERROR(W4142*J4141,"-")</f>
        <v>-</v>
      </c>
      <c r="Z4142" s="94" t="s">
        <v>82</v>
      </c>
    </row>
    <row r="4143" spans="1:26" s="25" customFormat="1" ht="6.95" customHeight="1" x14ac:dyDescent="0.3">
      <c r="A4143" s="10"/>
      <c r="B4143" s="168"/>
      <c r="C4143" s="169"/>
      <c r="D4143" s="160"/>
      <c r="E4143" s="161"/>
      <c r="F4143" s="162"/>
      <c r="G4143" s="163"/>
      <c r="H4143" s="164"/>
      <c r="I4143" s="163"/>
      <c r="J4143" s="164"/>
      <c r="K4143" s="163"/>
      <c r="L4143" s="164"/>
      <c r="M4143" s="11"/>
      <c r="N4143" s="39"/>
      <c r="Q4143" s="15" t="str">
        <f>+CONCATENATE(E4141,K4141)</f>
        <v/>
      </c>
      <c r="R4143" s="15">
        <f>+L4141</f>
        <v>0</v>
      </c>
      <c r="S4143" s="16"/>
      <c r="T4143" s="15">
        <f>+E4141</f>
        <v>0</v>
      </c>
      <c r="U4143" s="26" t="str">
        <f>IFERROR(LEFT(K4141,FIND("*",K4141)-1),"-")</f>
        <v>-</v>
      </c>
      <c r="V4143" s="26" t="str">
        <f>IFERROR(RIGHT(K4141,LEN(K4141)-FIND("*",K4141)),"-")</f>
        <v>-</v>
      </c>
      <c r="W4143" s="27" t="str">
        <f t="shared" si="2254"/>
        <v>-</v>
      </c>
      <c r="X4143" s="27" t="str">
        <f>IFERROR(W4143*L4141,"-")</f>
        <v>-</v>
      </c>
      <c r="Z4143" s="94" t="s">
        <v>82</v>
      </c>
    </row>
    <row r="4144" spans="1:26" s="25" customFormat="1" ht="6.95" customHeight="1" x14ac:dyDescent="0.3">
      <c r="A4144" s="13"/>
      <c r="B4144" s="168"/>
      <c r="C4144" s="169"/>
      <c r="D4144" s="160" t="s">
        <v>39</v>
      </c>
      <c r="E4144" s="161"/>
      <c r="F4144" s="162" t="s">
        <v>40</v>
      </c>
      <c r="G4144" s="163"/>
      <c r="H4144" s="164"/>
      <c r="I4144" s="163"/>
      <c r="J4144" s="164"/>
      <c r="K4144" s="163"/>
      <c r="L4144" s="164"/>
      <c r="M4144" s="11"/>
      <c r="N4144" s="39"/>
      <c r="Q4144" s="15" t="str">
        <f>+CONCATENATE(E4144,G4144)</f>
        <v/>
      </c>
      <c r="R4144" s="15">
        <f>+H4144</f>
        <v>0</v>
      </c>
      <c r="S4144" s="16"/>
      <c r="T4144" s="15">
        <f>+E4144</f>
        <v>0</v>
      </c>
      <c r="U4144" s="26" t="str">
        <f t="shared" ref="U4144" si="2257">IFERROR(LEFT(G4144,FIND("*",G4144)-1),"-")</f>
        <v>-</v>
      </c>
      <c r="V4144" s="26" t="str">
        <f t="shared" ref="V4144" si="2258">IFERROR(RIGHT(G4144,LEN(G4144)-FIND("*",G4144)),"-")</f>
        <v>-</v>
      </c>
      <c r="W4144" s="27" t="str">
        <f t="shared" si="2254"/>
        <v>-</v>
      </c>
      <c r="X4144" s="27" t="str">
        <f>IFERROR(W4144*H4144,"-")</f>
        <v>-</v>
      </c>
      <c r="Z4144" s="94" t="s">
        <v>82</v>
      </c>
    </row>
    <row r="4145" spans="1:26" s="25" customFormat="1" ht="6.95" customHeight="1" x14ac:dyDescent="0.3">
      <c r="A4145" s="10"/>
      <c r="B4145" s="168"/>
      <c r="C4145" s="169"/>
      <c r="D4145" s="160"/>
      <c r="E4145" s="161"/>
      <c r="F4145" s="162"/>
      <c r="G4145" s="163"/>
      <c r="H4145" s="164"/>
      <c r="I4145" s="163"/>
      <c r="J4145" s="164"/>
      <c r="K4145" s="163"/>
      <c r="L4145" s="164"/>
      <c r="M4145" s="11"/>
      <c r="N4145" s="39"/>
      <c r="Q4145" s="15" t="str">
        <f>+CONCATENATE(E4144,I4144)</f>
        <v/>
      </c>
      <c r="R4145" s="15">
        <f>+J4144</f>
        <v>0</v>
      </c>
      <c r="S4145" s="16"/>
      <c r="T4145" s="15">
        <f>+E4144</f>
        <v>0</v>
      </c>
      <c r="U4145" s="26" t="str">
        <f>IFERROR(LEFT(I4144,FIND("*",I4144)-1),"-")</f>
        <v>-</v>
      </c>
      <c r="V4145" s="26" t="str">
        <f>IFERROR(RIGHT(I4144,LEN(I4144)-FIND("*",I4144)),"-")</f>
        <v>-</v>
      </c>
      <c r="W4145" s="27" t="str">
        <f t="shared" si="2254"/>
        <v>-</v>
      </c>
      <c r="X4145" s="27" t="str">
        <f t="shared" ref="X4145" si="2259">IFERROR(W4145*J4144,"-")</f>
        <v>-</v>
      </c>
      <c r="Z4145" s="94" t="s">
        <v>82</v>
      </c>
    </row>
    <row r="4146" spans="1:26" s="25" customFormat="1" ht="6.95" customHeight="1" x14ac:dyDescent="0.3">
      <c r="A4146" s="10"/>
      <c r="B4146" s="168"/>
      <c r="C4146" s="169"/>
      <c r="D4146" s="160"/>
      <c r="E4146" s="161"/>
      <c r="F4146" s="162"/>
      <c r="G4146" s="163"/>
      <c r="H4146" s="164"/>
      <c r="I4146" s="163"/>
      <c r="J4146" s="164"/>
      <c r="K4146" s="163"/>
      <c r="L4146" s="164"/>
      <c r="M4146" s="11"/>
      <c r="N4146" s="39"/>
      <c r="Q4146" s="15" t="str">
        <f>+CONCATENATE(E4144,K4144)</f>
        <v/>
      </c>
      <c r="R4146" s="15">
        <f>+L4144</f>
        <v>0</v>
      </c>
      <c r="S4146" s="16"/>
      <c r="T4146" s="15">
        <f>+E4144</f>
        <v>0</v>
      </c>
      <c r="U4146" s="26" t="str">
        <f>IFERROR(LEFT(K4144,FIND("*",K4144)-1),"-")</f>
        <v>-</v>
      </c>
      <c r="V4146" s="26" t="str">
        <f>IFERROR(RIGHT(K4144,LEN(K4144)-FIND("*",K4144)),"-")</f>
        <v>-</v>
      </c>
      <c r="W4146" s="27" t="str">
        <f t="shared" si="2254"/>
        <v>-</v>
      </c>
      <c r="X4146" s="27" t="str">
        <f>IFERROR(W4146*L4144,"-")</f>
        <v>-</v>
      </c>
      <c r="Z4146" s="94" t="s">
        <v>82</v>
      </c>
    </row>
    <row r="4147" spans="1:26" s="25" customFormat="1" ht="21" customHeight="1" thickBot="1" x14ac:dyDescent="0.35">
      <c r="A4147" s="10"/>
      <c r="B4147" s="170"/>
      <c r="C4147" s="171"/>
      <c r="D4147" s="172" t="s">
        <v>43</v>
      </c>
      <c r="E4147" s="173"/>
      <c r="F4147" s="173"/>
      <c r="G4147" s="174"/>
      <c r="H4147" s="174"/>
      <c r="I4147" s="174"/>
      <c r="J4147" s="174"/>
      <c r="K4147" s="174"/>
      <c r="L4147" s="174"/>
      <c r="M4147" s="12"/>
      <c r="N4147" s="39"/>
      <c r="U4147" s="23"/>
      <c r="V4147" s="23"/>
      <c r="Z4147" s="95" t="s">
        <v>81</v>
      </c>
    </row>
    <row r="4148" spans="1:26" s="25" customFormat="1" ht="9.9499999999999993" customHeight="1" thickBot="1" x14ac:dyDescent="0.35">
      <c r="A4148" s="6"/>
      <c r="B4148" s="14"/>
      <c r="C4148" s="119"/>
      <c r="D4148" s="58"/>
      <c r="E4148" s="17"/>
      <c r="F4148" s="58"/>
      <c r="G4148" s="19"/>
      <c r="H4148" s="19"/>
      <c r="I4148" s="19"/>
      <c r="J4148" s="19"/>
      <c r="K4148" s="19"/>
      <c r="L4148" s="19"/>
      <c r="M4148" s="14"/>
      <c r="N4148" s="39"/>
      <c r="Q4148" s="1"/>
      <c r="R4148" s="1"/>
      <c r="S4148" s="1"/>
      <c r="T4148" s="1"/>
      <c r="U4148" s="24"/>
      <c r="V4148" s="24"/>
      <c r="W4148" s="1"/>
      <c r="X4148" s="1"/>
      <c r="Z4148" s="94" t="s">
        <v>82</v>
      </c>
    </row>
    <row r="4149" spans="1:26" s="25" customFormat="1" ht="6.95" customHeight="1" x14ac:dyDescent="0.3">
      <c r="A4149" s="165">
        <f>+A4138+1</f>
        <v>378</v>
      </c>
      <c r="B4149" s="166"/>
      <c r="C4149" s="167"/>
      <c r="D4149" s="160" t="s">
        <v>39</v>
      </c>
      <c r="E4149" s="161"/>
      <c r="F4149" s="162" t="s">
        <v>40</v>
      </c>
      <c r="G4149" s="163"/>
      <c r="H4149" s="164"/>
      <c r="I4149" s="163"/>
      <c r="J4149" s="164"/>
      <c r="K4149" s="163"/>
      <c r="L4149" s="164"/>
      <c r="M4149" s="11"/>
      <c r="N4149" s="39"/>
      <c r="Q4149" s="15" t="str">
        <f>+CONCATENATE(E4149,G4149)</f>
        <v/>
      </c>
      <c r="R4149" s="15">
        <f>+H4149</f>
        <v>0</v>
      </c>
      <c r="S4149" s="16"/>
      <c r="T4149" s="15">
        <f>+E4149</f>
        <v>0</v>
      </c>
      <c r="U4149" s="26" t="str">
        <f>IFERROR(LEFT(G4149,FIND("*",G4149)-1),"-")</f>
        <v>-</v>
      </c>
      <c r="V4149" s="26" t="str">
        <f>IFERROR(RIGHT(G4149,LEN(G4149)-FIND("*",G4149)),"-")</f>
        <v>-</v>
      </c>
      <c r="W4149" s="27" t="str">
        <f>IFERROR((U4149+V4149)*2/1000,"-")</f>
        <v>-</v>
      </c>
      <c r="X4149" s="27" t="str">
        <f>IFERROR(W4149*H4149,"-")</f>
        <v>-</v>
      </c>
      <c r="Z4149" s="94" t="s">
        <v>82</v>
      </c>
    </row>
    <row r="4150" spans="1:26" s="25" customFormat="1" ht="6.95" customHeight="1" x14ac:dyDescent="0.3">
      <c r="A4150" s="165"/>
      <c r="B4150" s="168"/>
      <c r="C4150" s="169"/>
      <c r="D4150" s="160"/>
      <c r="E4150" s="161"/>
      <c r="F4150" s="162"/>
      <c r="G4150" s="163"/>
      <c r="H4150" s="164"/>
      <c r="I4150" s="163"/>
      <c r="J4150" s="164"/>
      <c r="K4150" s="163"/>
      <c r="L4150" s="164"/>
      <c r="M4150" s="11"/>
      <c r="N4150" s="39"/>
      <c r="Q4150" s="15" t="str">
        <f>+CONCATENATE(E4149,I4149)</f>
        <v/>
      </c>
      <c r="R4150" s="15">
        <f>+J4149</f>
        <v>0</v>
      </c>
      <c r="S4150" s="16"/>
      <c r="T4150" s="15">
        <f>+E4149</f>
        <v>0</v>
      </c>
      <c r="U4150" s="26" t="str">
        <f>IFERROR(LEFT(I4149,FIND("*",I4149)-1),"-")</f>
        <v>-</v>
      </c>
      <c r="V4150" s="26" t="str">
        <f>IFERROR(RIGHT(I4149,LEN(I4149)-FIND("*",I4149)),"-")</f>
        <v>-</v>
      </c>
      <c r="W4150" s="27" t="str">
        <f t="shared" ref="W4150:W4157" si="2260">IFERROR((U4150+V4150)*2/1000,"-")</f>
        <v>-</v>
      </c>
      <c r="X4150" s="27" t="str">
        <f>IFERROR(W4150*J4149,"-")</f>
        <v>-</v>
      </c>
      <c r="Z4150" s="94" t="s">
        <v>82</v>
      </c>
    </row>
    <row r="4151" spans="1:26" s="25" customFormat="1" ht="6.95" customHeight="1" x14ac:dyDescent="0.3">
      <c r="A4151" s="165"/>
      <c r="B4151" s="168"/>
      <c r="C4151" s="169"/>
      <c r="D4151" s="160"/>
      <c r="E4151" s="161"/>
      <c r="F4151" s="162"/>
      <c r="G4151" s="163"/>
      <c r="H4151" s="164"/>
      <c r="I4151" s="163"/>
      <c r="J4151" s="164"/>
      <c r="K4151" s="163"/>
      <c r="L4151" s="164"/>
      <c r="M4151" s="11"/>
      <c r="N4151" s="39"/>
      <c r="Q4151" s="15" t="str">
        <f>+CONCATENATE(E4149,K4149)</f>
        <v/>
      </c>
      <c r="R4151" s="15">
        <f>+L4149</f>
        <v>0</v>
      </c>
      <c r="S4151" s="16"/>
      <c r="T4151" s="15">
        <f>+E4149</f>
        <v>0</v>
      </c>
      <c r="U4151" s="26" t="str">
        <f>IFERROR(LEFT(K4149,FIND("*",K4149)-1),"-")</f>
        <v>-</v>
      </c>
      <c r="V4151" s="26" t="str">
        <f>IFERROR(RIGHT(K4149,LEN(K4149)-FIND("*",K4149)),"-")</f>
        <v>-</v>
      </c>
      <c r="W4151" s="27" t="str">
        <f t="shared" si="2260"/>
        <v>-</v>
      </c>
      <c r="X4151" s="27" t="str">
        <f>IFERROR(W4151*L4149,"-")</f>
        <v>-</v>
      </c>
      <c r="Z4151" s="94" t="s">
        <v>82</v>
      </c>
    </row>
    <row r="4152" spans="1:26" s="25" customFormat="1" ht="6.95" customHeight="1" x14ac:dyDescent="0.3">
      <c r="A4152" s="13"/>
      <c r="B4152" s="168"/>
      <c r="C4152" s="169"/>
      <c r="D4152" s="160" t="s">
        <v>39</v>
      </c>
      <c r="E4152" s="161"/>
      <c r="F4152" s="162" t="s">
        <v>40</v>
      </c>
      <c r="G4152" s="163"/>
      <c r="H4152" s="164"/>
      <c r="I4152" s="163"/>
      <c r="J4152" s="164"/>
      <c r="K4152" s="163"/>
      <c r="L4152" s="164"/>
      <c r="M4152" s="11"/>
      <c r="N4152" s="39"/>
      <c r="Q4152" s="15" t="str">
        <f>+CONCATENATE(E4152,G4152)</f>
        <v/>
      </c>
      <c r="R4152" s="15">
        <f>+H4152</f>
        <v>0</v>
      </c>
      <c r="S4152" s="16"/>
      <c r="T4152" s="15">
        <f>+E4152</f>
        <v>0</v>
      </c>
      <c r="U4152" s="26" t="str">
        <f t="shared" ref="U4152" si="2261">IFERROR(LEFT(G4152,FIND("*",G4152)-1),"-")</f>
        <v>-</v>
      </c>
      <c r="V4152" s="26" t="str">
        <f t="shared" ref="V4152" si="2262">IFERROR(RIGHT(G4152,LEN(G4152)-FIND("*",G4152)),"-")</f>
        <v>-</v>
      </c>
      <c r="W4152" s="27" t="str">
        <f t="shared" si="2260"/>
        <v>-</v>
      </c>
      <c r="X4152" s="27" t="str">
        <f>IFERROR(W4152*H4152,"-")</f>
        <v>-</v>
      </c>
      <c r="Z4152" s="94" t="s">
        <v>82</v>
      </c>
    </row>
    <row r="4153" spans="1:26" s="25" customFormat="1" ht="6.95" customHeight="1" x14ac:dyDescent="0.3">
      <c r="A4153" s="10"/>
      <c r="B4153" s="168"/>
      <c r="C4153" s="169"/>
      <c r="D4153" s="160"/>
      <c r="E4153" s="161"/>
      <c r="F4153" s="162"/>
      <c r="G4153" s="163"/>
      <c r="H4153" s="164"/>
      <c r="I4153" s="163"/>
      <c r="J4153" s="164"/>
      <c r="K4153" s="163"/>
      <c r="L4153" s="164"/>
      <c r="M4153" s="11"/>
      <c r="N4153" s="39"/>
      <c r="Q4153" s="15" t="str">
        <f>+CONCATENATE(E4152,I4152)</f>
        <v/>
      </c>
      <c r="R4153" s="15">
        <f>+J4152</f>
        <v>0</v>
      </c>
      <c r="S4153" s="16"/>
      <c r="T4153" s="15">
        <f>+E4152</f>
        <v>0</v>
      </c>
      <c r="U4153" s="26" t="str">
        <f>IFERROR(LEFT(I4152,FIND("*",I4152)-1),"-")</f>
        <v>-</v>
      </c>
      <c r="V4153" s="26" t="str">
        <f>IFERROR(RIGHT(I4152,LEN(I4152)-FIND("*",I4152)),"-")</f>
        <v>-</v>
      </c>
      <c r="W4153" s="27" t="str">
        <f t="shared" si="2260"/>
        <v>-</v>
      </c>
      <c r="X4153" s="27" t="str">
        <f>IFERROR(W4153*J4152,"-")</f>
        <v>-</v>
      </c>
      <c r="Z4153" s="94" t="s">
        <v>82</v>
      </c>
    </row>
    <row r="4154" spans="1:26" s="25" customFormat="1" ht="6.95" customHeight="1" x14ac:dyDescent="0.3">
      <c r="A4154" s="10"/>
      <c r="B4154" s="168"/>
      <c r="C4154" s="169"/>
      <c r="D4154" s="160"/>
      <c r="E4154" s="161"/>
      <c r="F4154" s="162"/>
      <c r="G4154" s="163"/>
      <c r="H4154" s="164"/>
      <c r="I4154" s="163"/>
      <c r="J4154" s="164"/>
      <c r="K4154" s="163"/>
      <c r="L4154" s="164"/>
      <c r="M4154" s="11"/>
      <c r="N4154" s="39"/>
      <c r="Q4154" s="15" t="str">
        <f>+CONCATENATE(E4152,K4152)</f>
        <v/>
      </c>
      <c r="R4154" s="15">
        <f>+L4152</f>
        <v>0</v>
      </c>
      <c r="S4154" s="16"/>
      <c r="T4154" s="15">
        <f>+E4152</f>
        <v>0</v>
      </c>
      <c r="U4154" s="26" t="str">
        <f>IFERROR(LEFT(K4152,FIND("*",K4152)-1),"-")</f>
        <v>-</v>
      </c>
      <c r="V4154" s="26" t="str">
        <f>IFERROR(RIGHT(K4152,LEN(K4152)-FIND("*",K4152)),"-")</f>
        <v>-</v>
      </c>
      <c r="W4154" s="27" t="str">
        <f t="shared" si="2260"/>
        <v>-</v>
      </c>
      <c r="X4154" s="27" t="str">
        <f>IFERROR(W4154*L4152,"-")</f>
        <v>-</v>
      </c>
      <c r="Z4154" s="94" t="s">
        <v>82</v>
      </c>
    </row>
    <row r="4155" spans="1:26" s="25" customFormat="1" ht="6.95" customHeight="1" x14ac:dyDescent="0.3">
      <c r="A4155" s="13"/>
      <c r="B4155" s="168"/>
      <c r="C4155" s="169"/>
      <c r="D4155" s="160" t="s">
        <v>39</v>
      </c>
      <c r="E4155" s="161"/>
      <c r="F4155" s="162" t="s">
        <v>40</v>
      </c>
      <c r="G4155" s="163"/>
      <c r="H4155" s="164"/>
      <c r="I4155" s="163"/>
      <c r="J4155" s="164"/>
      <c r="K4155" s="163"/>
      <c r="L4155" s="164"/>
      <c r="M4155" s="11"/>
      <c r="N4155" s="39"/>
      <c r="Q4155" s="15" t="str">
        <f>+CONCATENATE(E4155,G4155)</f>
        <v/>
      </c>
      <c r="R4155" s="15">
        <f>+H4155</f>
        <v>0</v>
      </c>
      <c r="S4155" s="16"/>
      <c r="T4155" s="15">
        <f>+E4155</f>
        <v>0</v>
      </c>
      <c r="U4155" s="26" t="str">
        <f t="shared" ref="U4155" si="2263">IFERROR(LEFT(G4155,FIND("*",G4155)-1),"-")</f>
        <v>-</v>
      </c>
      <c r="V4155" s="26" t="str">
        <f t="shared" ref="V4155" si="2264">IFERROR(RIGHT(G4155,LEN(G4155)-FIND("*",G4155)),"-")</f>
        <v>-</v>
      </c>
      <c r="W4155" s="27" t="str">
        <f t="shared" si="2260"/>
        <v>-</v>
      </c>
      <c r="X4155" s="27" t="str">
        <f>IFERROR(W4155*H4155,"-")</f>
        <v>-</v>
      </c>
      <c r="Z4155" s="94" t="s">
        <v>82</v>
      </c>
    </row>
    <row r="4156" spans="1:26" s="25" customFormat="1" ht="6.95" customHeight="1" x14ac:dyDescent="0.3">
      <c r="A4156" s="10"/>
      <c r="B4156" s="168"/>
      <c r="C4156" s="169"/>
      <c r="D4156" s="160"/>
      <c r="E4156" s="161"/>
      <c r="F4156" s="162"/>
      <c r="G4156" s="163"/>
      <c r="H4156" s="164"/>
      <c r="I4156" s="163"/>
      <c r="J4156" s="164"/>
      <c r="K4156" s="163"/>
      <c r="L4156" s="164"/>
      <c r="M4156" s="11"/>
      <c r="N4156" s="39"/>
      <c r="Q4156" s="15" t="str">
        <f>+CONCATENATE(E4155,I4155)</f>
        <v/>
      </c>
      <c r="R4156" s="15">
        <f>+J4155</f>
        <v>0</v>
      </c>
      <c r="S4156" s="16"/>
      <c r="T4156" s="15">
        <f>+E4155</f>
        <v>0</v>
      </c>
      <c r="U4156" s="26" t="str">
        <f>IFERROR(LEFT(I4155,FIND("*",I4155)-1),"-")</f>
        <v>-</v>
      </c>
      <c r="V4156" s="26" t="str">
        <f>IFERROR(RIGHT(I4155,LEN(I4155)-FIND("*",I4155)),"-")</f>
        <v>-</v>
      </c>
      <c r="W4156" s="27" t="str">
        <f t="shared" si="2260"/>
        <v>-</v>
      </c>
      <c r="X4156" s="27" t="str">
        <f t="shared" ref="X4156" si="2265">IFERROR(W4156*J4155,"-")</f>
        <v>-</v>
      </c>
      <c r="Z4156" s="94" t="s">
        <v>82</v>
      </c>
    </row>
    <row r="4157" spans="1:26" s="25" customFormat="1" ht="6.95" customHeight="1" x14ac:dyDescent="0.3">
      <c r="A4157" s="10"/>
      <c r="B4157" s="168"/>
      <c r="C4157" s="169"/>
      <c r="D4157" s="160"/>
      <c r="E4157" s="161"/>
      <c r="F4157" s="162"/>
      <c r="G4157" s="163"/>
      <c r="H4157" s="164"/>
      <c r="I4157" s="163"/>
      <c r="J4157" s="164"/>
      <c r="K4157" s="163"/>
      <c r="L4157" s="164"/>
      <c r="M4157" s="11"/>
      <c r="N4157" s="39"/>
      <c r="Q4157" s="15" t="str">
        <f>+CONCATENATE(E4155,K4155)</f>
        <v/>
      </c>
      <c r="R4157" s="15">
        <f>+L4155</f>
        <v>0</v>
      </c>
      <c r="S4157" s="16"/>
      <c r="T4157" s="15">
        <f>+E4155</f>
        <v>0</v>
      </c>
      <c r="U4157" s="26" t="str">
        <f>IFERROR(LEFT(K4155,FIND("*",K4155)-1),"-")</f>
        <v>-</v>
      </c>
      <c r="V4157" s="26" t="str">
        <f>IFERROR(RIGHT(K4155,LEN(K4155)-FIND("*",K4155)),"-")</f>
        <v>-</v>
      </c>
      <c r="W4157" s="27" t="str">
        <f t="shared" si="2260"/>
        <v>-</v>
      </c>
      <c r="X4157" s="27" t="str">
        <f>IFERROR(W4157*L4155,"-")</f>
        <v>-</v>
      </c>
      <c r="Z4157" s="94" t="s">
        <v>82</v>
      </c>
    </row>
    <row r="4158" spans="1:26" s="25" customFormat="1" ht="21" customHeight="1" thickBot="1" x14ac:dyDescent="0.35">
      <c r="A4158" s="10"/>
      <c r="B4158" s="170"/>
      <c r="C4158" s="171"/>
      <c r="D4158" s="172" t="s">
        <v>43</v>
      </c>
      <c r="E4158" s="173"/>
      <c r="F4158" s="173"/>
      <c r="G4158" s="174"/>
      <c r="H4158" s="174"/>
      <c r="I4158" s="174"/>
      <c r="J4158" s="174"/>
      <c r="K4158" s="174"/>
      <c r="L4158" s="174"/>
      <c r="M4158" s="12"/>
      <c r="N4158" s="39"/>
      <c r="U4158" s="23"/>
      <c r="V4158" s="23"/>
      <c r="Z4158" s="95" t="s">
        <v>81</v>
      </c>
    </row>
    <row r="4159" spans="1:26" s="25" customFormat="1" ht="9.9499999999999993" customHeight="1" thickBot="1" x14ac:dyDescent="0.35">
      <c r="A4159" s="6"/>
      <c r="B4159" s="14"/>
      <c r="C4159" s="119"/>
      <c r="D4159" s="58"/>
      <c r="E4159" s="17"/>
      <c r="F4159" s="58"/>
      <c r="G4159" s="19"/>
      <c r="H4159" s="19"/>
      <c r="I4159" s="19"/>
      <c r="J4159" s="19"/>
      <c r="K4159" s="19"/>
      <c r="L4159" s="19"/>
      <c r="M4159" s="14"/>
      <c r="N4159" s="39"/>
      <c r="Q4159" s="1"/>
      <c r="R4159" s="1"/>
      <c r="S4159" s="1"/>
      <c r="T4159" s="1"/>
      <c r="U4159" s="24"/>
      <c r="V4159" s="24"/>
      <c r="W4159" s="1"/>
      <c r="X4159" s="1"/>
      <c r="Z4159" s="94" t="s">
        <v>82</v>
      </c>
    </row>
    <row r="4160" spans="1:26" s="25" customFormat="1" ht="6.95" customHeight="1" x14ac:dyDescent="0.3">
      <c r="A4160" s="165">
        <f>+A4149+1</f>
        <v>379</v>
      </c>
      <c r="B4160" s="166"/>
      <c r="C4160" s="167"/>
      <c r="D4160" s="160" t="s">
        <v>39</v>
      </c>
      <c r="E4160" s="161"/>
      <c r="F4160" s="162" t="s">
        <v>40</v>
      </c>
      <c r="G4160" s="163"/>
      <c r="H4160" s="164"/>
      <c r="I4160" s="163"/>
      <c r="J4160" s="164"/>
      <c r="K4160" s="163"/>
      <c r="L4160" s="164"/>
      <c r="M4160" s="11"/>
      <c r="N4160" s="39"/>
      <c r="Q4160" s="15" t="str">
        <f>+CONCATENATE(E4160,G4160)</f>
        <v/>
      </c>
      <c r="R4160" s="15">
        <f>+H4160</f>
        <v>0</v>
      </c>
      <c r="S4160" s="16"/>
      <c r="T4160" s="15">
        <f>+E4160</f>
        <v>0</v>
      </c>
      <c r="U4160" s="26" t="str">
        <f>IFERROR(LEFT(G4160,FIND("*",G4160)-1),"-")</f>
        <v>-</v>
      </c>
      <c r="V4160" s="26" t="str">
        <f>IFERROR(RIGHT(G4160,LEN(G4160)-FIND("*",G4160)),"-")</f>
        <v>-</v>
      </c>
      <c r="W4160" s="27" t="str">
        <f>IFERROR((U4160+V4160)*2/1000,"-")</f>
        <v>-</v>
      </c>
      <c r="X4160" s="27" t="str">
        <f>IFERROR(W4160*H4160,"-")</f>
        <v>-</v>
      </c>
      <c r="Z4160" s="94" t="s">
        <v>82</v>
      </c>
    </row>
    <row r="4161" spans="1:26" s="25" customFormat="1" ht="6.95" customHeight="1" x14ac:dyDescent="0.3">
      <c r="A4161" s="165"/>
      <c r="B4161" s="168"/>
      <c r="C4161" s="169"/>
      <c r="D4161" s="160"/>
      <c r="E4161" s="161"/>
      <c r="F4161" s="162"/>
      <c r="G4161" s="163"/>
      <c r="H4161" s="164"/>
      <c r="I4161" s="163"/>
      <c r="J4161" s="164"/>
      <c r="K4161" s="163"/>
      <c r="L4161" s="164"/>
      <c r="M4161" s="11"/>
      <c r="N4161" s="39"/>
      <c r="Q4161" s="15" t="str">
        <f>+CONCATENATE(E4160,I4160)</f>
        <v/>
      </c>
      <c r="R4161" s="15">
        <f>+J4160</f>
        <v>0</v>
      </c>
      <c r="S4161" s="16"/>
      <c r="T4161" s="15">
        <f>+E4160</f>
        <v>0</v>
      </c>
      <c r="U4161" s="26" t="str">
        <f>IFERROR(LEFT(I4160,FIND("*",I4160)-1),"-")</f>
        <v>-</v>
      </c>
      <c r="V4161" s="26" t="str">
        <f>IFERROR(RIGHT(I4160,LEN(I4160)-FIND("*",I4160)),"-")</f>
        <v>-</v>
      </c>
      <c r="W4161" s="27" t="str">
        <f t="shared" ref="W4161:W4168" si="2266">IFERROR((U4161+V4161)*2/1000,"-")</f>
        <v>-</v>
      </c>
      <c r="X4161" s="27" t="str">
        <f>IFERROR(W4161*J4160,"-")</f>
        <v>-</v>
      </c>
      <c r="Z4161" s="94" t="s">
        <v>82</v>
      </c>
    </row>
    <row r="4162" spans="1:26" s="25" customFormat="1" ht="6.95" customHeight="1" x14ac:dyDescent="0.3">
      <c r="A4162" s="165"/>
      <c r="B4162" s="168"/>
      <c r="C4162" s="169"/>
      <c r="D4162" s="160"/>
      <c r="E4162" s="161"/>
      <c r="F4162" s="162"/>
      <c r="G4162" s="163"/>
      <c r="H4162" s="164"/>
      <c r="I4162" s="163"/>
      <c r="J4162" s="164"/>
      <c r="K4162" s="163"/>
      <c r="L4162" s="164"/>
      <c r="M4162" s="11"/>
      <c r="N4162" s="39"/>
      <c r="Q4162" s="15" t="str">
        <f>+CONCATENATE(E4160,K4160)</f>
        <v/>
      </c>
      <c r="R4162" s="15">
        <f>+L4160</f>
        <v>0</v>
      </c>
      <c r="S4162" s="16"/>
      <c r="T4162" s="15">
        <f>+E4160</f>
        <v>0</v>
      </c>
      <c r="U4162" s="26" t="str">
        <f>IFERROR(LEFT(K4160,FIND("*",K4160)-1),"-")</f>
        <v>-</v>
      </c>
      <c r="V4162" s="26" t="str">
        <f>IFERROR(RIGHT(K4160,LEN(K4160)-FIND("*",K4160)),"-")</f>
        <v>-</v>
      </c>
      <c r="W4162" s="27" t="str">
        <f t="shared" si="2266"/>
        <v>-</v>
      </c>
      <c r="X4162" s="27" t="str">
        <f>IFERROR(W4162*L4160,"-")</f>
        <v>-</v>
      </c>
      <c r="Z4162" s="94" t="s">
        <v>82</v>
      </c>
    </row>
    <row r="4163" spans="1:26" s="25" customFormat="1" ht="6.95" customHeight="1" x14ac:dyDescent="0.3">
      <c r="A4163" s="13"/>
      <c r="B4163" s="168"/>
      <c r="C4163" s="169"/>
      <c r="D4163" s="160" t="s">
        <v>39</v>
      </c>
      <c r="E4163" s="161"/>
      <c r="F4163" s="162" t="s">
        <v>40</v>
      </c>
      <c r="G4163" s="163"/>
      <c r="H4163" s="164"/>
      <c r="I4163" s="163"/>
      <c r="J4163" s="164"/>
      <c r="K4163" s="163"/>
      <c r="L4163" s="164"/>
      <c r="M4163" s="11"/>
      <c r="N4163" s="39"/>
      <c r="Q4163" s="15" t="str">
        <f>+CONCATENATE(E4163,G4163)</f>
        <v/>
      </c>
      <c r="R4163" s="15">
        <f>+H4163</f>
        <v>0</v>
      </c>
      <c r="S4163" s="16"/>
      <c r="T4163" s="15">
        <f>+E4163</f>
        <v>0</v>
      </c>
      <c r="U4163" s="26" t="str">
        <f t="shared" ref="U4163" si="2267">IFERROR(LEFT(G4163,FIND("*",G4163)-1),"-")</f>
        <v>-</v>
      </c>
      <c r="V4163" s="26" t="str">
        <f t="shared" ref="V4163" si="2268">IFERROR(RIGHT(G4163,LEN(G4163)-FIND("*",G4163)),"-")</f>
        <v>-</v>
      </c>
      <c r="W4163" s="27" t="str">
        <f t="shared" si="2266"/>
        <v>-</v>
      </c>
      <c r="X4163" s="27" t="str">
        <f>IFERROR(W4163*H4163,"-")</f>
        <v>-</v>
      </c>
      <c r="Z4163" s="94" t="s">
        <v>82</v>
      </c>
    </row>
    <row r="4164" spans="1:26" s="25" customFormat="1" ht="6.95" customHeight="1" x14ac:dyDescent="0.3">
      <c r="A4164" s="10"/>
      <c r="B4164" s="168"/>
      <c r="C4164" s="169"/>
      <c r="D4164" s="160"/>
      <c r="E4164" s="161"/>
      <c r="F4164" s="162"/>
      <c r="G4164" s="163"/>
      <c r="H4164" s="164"/>
      <c r="I4164" s="163"/>
      <c r="J4164" s="164"/>
      <c r="K4164" s="163"/>
      <c r="L4164" s="164"/>
      <c r="M4164" s="11"/>
      <c r="N4164" s="39"/>
      <c r="Q4164" s="15" t="str">
        <f>+CONCATENATE(E4163,I4163)</f>
        <v/>
      </c>
      <c r="R4164" s="15">
        <f>+J4163</f>
        <v>0</v>
      </c>
      <c r="S4164" s="16"/>
      <c r="T4164" s="15">
        <f>+E4163</f>
        <v>0</v>
      </c>
      <c r="U4164" s="26" t="str">
        <f>IFERROR(LEFT(I4163,FIND("*",I4163)-1),"-")</f>
        <v>-</v>
      </c>
      <c r="V4164" s="26" t="str">
        <f>IFERROR(RIGHT(I4163,LEN(I4163)-FIND("*",I4163)),"-")</f>
        <v>-</v>
      </c>
      <c r="W4164" s="27" t="str">
        <f t="shared" si="2266"/>
        <v>-</v>
      </c>
      <c r="X4164" s="27" t="str">
        <f>IFERROR(W4164*J4163,"-")</f>
        <v>-</v>
      </c>
      <c r="Z4164" s="94" t="s">
        <v>82</v>
      </c>
    </row>
    <row r="4165" spans="1:26" s="25" customFormat="1" ht="6.95" customHeight="1" x14ac:dyDescent="0.3">
      <c r="A4165" s="10"/>
      <c r="B4165" s="168"/>
      <c r="C4165" s="169"/>
      <c r="D4165" s="160"/>
      <c r="E4165" s="161"/>
      <c r="F4165" s="162"/>
      <c r="G4165" s="163"/>
      <c r="H4165" s="164"/>
      <c r="I4165" s="163"/>
      <c r="J4165" s="164"/>
      <c r="K4165" s="163"/>
      <c r="L4165" s="164"/>
      <c r="M4165" s="11"/>
      <c r="N4165" s="39"/>
      <c r="Q4165" s="15" t="str">
        <f>+CONCATENATE(E4163,K4163)</f>
        <v/>
      </c>
      <c r="R4165" s="15">
        <f>+L4163</f>
        <v>0</v>
      </c>
      <c r="S4165" s="16"/>
      <c r="T4165" s="15">
        <f>+E4163</f>
        <v>0</v>
      </c>
      <c r="U4165" s="26" t="str">
        <f>IFERROR(LEFT(K4163,FIND("*",K4163)-1),"-")</f>
        <v>-</v>
      </c>
      <c r="V4165" s="26" t="str">
        <f>IFERROR(RIGHT(K4163,LEN(K4163)-FIND("*",K4163)),"-")</f>
        <v>-</v>
      </c>
      <c r="W4165" s="27" t="str">
        <f t="shared" si="2266"/>
        <v>-</v>
      </c>
      <c r="X4165" s="27" t="str">
        <f>IFERROR(W4165*L4163,"-")</f>
        <v>-</v>
      </c>
      <c r="Z4165" s="94" t="s">
        <v>82</v>
      </c>
    </row>
    <row r="4166" spans="1:26" s="25" customFormat="1" ht="6.95" customHeight="1" x14ac:dyDescent="0.3">
      <c r="A4166" s="13"/>
      <c r="B4166" s="168"/>
      <c r="C4166" s="169"/>
      <c r="D4166" s="160" t="s">
        <v>39</v>
      </c>
      <c r="E4166" s="161"/>
      <c r="F4166" s="162" t="s">
        <v>40</v>
      </c>
      <c r="G4166" s="163"/>
      <c r="H4166" s="164"/>
      <c r="I4166" s="163"/>
      <c r="J4166" s="164"/>
      <c r="K4166" s="163"/>
      <c r="L4166" s="164"/>
      <c r="M4166" s="11"/>
      <c r="N4166" s="39"/>
      <c r="Q4166" s="15" t="str">
        <f>+CONCATENATE(E4166,G4166)</f>
        <v/>
      </c>
      <c r="R4166" s="15">
        <f>+H4166</f>
        <v>0</v>
      </c>
      <c r="S4166" s="16"/>
      <c r="T4166" s="15">
        <f>+E4166</f>
        <v>0</v>
      </c>
      <c r="U4166" s="26" t="str">
        <f t="shared" ref="U4166" si="2269">IFERROR(LEFT(G4166,FIND("*",G4166)-1),"-")</f>
        <v>-</v>
      </c>
      <c r="V4166" s="26" t="str">
        <f t="shared" ref="V4166" si="2270">IFERROR(RIGHT(G4166,LEN(G4166)-FIND("*",G4166)),"-")</f>
        <v>-</v>
      </c>
      <c r="W4166" s="27" t="str">
        <f t="shared" si="2266"/>
        <v>-</v>
      </c>
      <c r="X4166" s="27" t="str">
        <f>IFERROR(W4166*H4166,"-")</f>
        <v>-</v>
      </c>
      <c r="Z4166" s="94" t="s">
        <v>82</v>
      </c>
    </row>
    <row r="4167" spans="1:26" s="25" customFormat="1" ht="6.95" customHeight="1" x14ac:dyDescent="0.3">
      <c r="A4167" s="10"/>
      <c r="B4167" s="168"/>
      <c r="C4167" s="169"/>
      <c r="D4167" s="160"/>
      <c r="E4167" s="161"/>
      <c r="F4167" s="162"/>
      <c r="G4167" s="163"/>
      <c r="H4167" s="164"/>
      <c r="I4167" s="163"/>
      <c r="J4167" s="164"/>
      <c r="K4167" s="163"/>
      <c r="L4167" s="164"/>
      <c r="M4167" s="11"/>
      <c r="N4167" s="39"/>
      <c r="Q4167" s="15" t="str">
        <f>+CONCATENATE(E4166,I4166)</f>
        <v/>
      </c>
      <c r="R4167" s="15">
        <f>+J4166</f>
        <v>0</v>
      </c>
      <c r="S4167" s="16"/>
      <c r="T4167" s="15">
        <f>+E4166</f>
        <v>0</v>
      </c>
      <c r="U4167" s="26" t="str">
        <f>IFERROR(LEFT(I4166,FIND("*",I4166)-1),"-")</f>
        <v>-</v>
      </c>
      <c r="V4167" s="26" t="str">
        <f>IFERROR(RIGHT(I4166,LEN(I4166)-FIND("*",I4166)),"-")</f>
        <v>-</v>
      </c>
      <c r="W4167" s="27" t="str">
        <f t="shared" si="2266"/>
        <v>-</v>
      </c>
      <c r="X4167" s="27" t="str">
        <f t="shared" ref="X4167" si="2271">IFERROR(W4167*J4166,"-")</f>
        <v>-</v>
      </c>
      <c r="Z4167" s="94" t="s">
        <v>82</v>
      </c>
    </row>
    <row r="4168" spans="1:26" s="25" customFormat="1" ht="6.95" customHeight="1" x14ac:dyDescent="0.3">
      <c r="A4168" s="10"/>
      <c r="B4168" s="168"/>
      <c r="C4168" s="169"/>
      <c r="D4168" s="160"/>
      <c r="E4168" s="161"/>
      <c r="F4168" s="162"/>
      <c r="G4168" s="163"/>
      <c r="H4168" s="164"/>
      <c r="I4168" s="163"/>
      <c r="J4168" s="164"/>
      <c r="K4168" s="163"/>
      <c r="L4168" s="164"/>
      <c r="M4168" s="11"/>
      <c r="N4168" s="39"/>
      <c r="Q4168" s="15" t="str">
        <f>+CONCATENATE(E4166,K4166)</f>
        <v/>
      </c>
      <c r="R4168" s="15">
        <f>+L4166</f>
        <v>0</v>
      </c>
      <c r="S4168" s="16"/>
      <c r="T4168" s="15">
        <f>+E4166</f>
        <v>0</v>
      </c>
      <c r="U4168" s="26" t="str">
        <f>IFERROR(LEFT(K4166,FIND("*",K4166)-1),"-")</f>
        <v>-</v>
      </c>
      <c r="V4168" s="26" t="str">
        <f>IFERROR(RIGHT(K4166,LEN(K4166)-FIND("*",K4166)),"-")</f>
        <v>-</v>
      </c>
      <c r="W4168" s="27" t="str">
        <f t="shared" si="2266"/>
        <v>-</v>
      </c>
      <c r="X4168" s="27" t="str">
        <f>IFERROR(W4168*L4166,"-")</f>
        <v>-</v>
      </c>
      <c r="Z4168" s="94" t="s">
        <v>82</v>
      </c>
    </row>
    <row r="4169" spans="1:26" s="25" customFormat="1" ht="21" customHeight="1" thickBot="1" x14ac:dyDescent="0.35">
      <c r="A4169" s="10"/>
      <c r="B4169" s="170"/>
      <c r="C4169" s="171"/>
      <c r="D4169" s="172" t="s">
        <v>43</v>
      </c>
      <c r="E4169" s="173"/>
      <c r="F4169" s="173"/>
      <c r="G4169" s="174"/>
      <c r="H4169" s="174"/>
      <c r="I4169" s="174"/>
      <c r="J4169" s="174"/>
      <c r="K4169" s="174"/>
      <c r="L4169" s="174"/>
      <c r="M4169" s="12"/>
      <c r="N4169" s="39"/>
      <c r="U4169" s="23"/>
      <c r="V4169" s="23"/>
      <c r="Z4169" s="95" t="s">
        <v>81</v>
      </c>
    </row>
    <row r="4170" spans="1:26" s="25" customFormat="1" ht="9.9499999999999993" customHeight="1" thickBot="1" x14ac:dyDescent="0.35">
      <c r="A4170" s="6"/>
      <c r="B4170" s="14"/>
      <c r="C4170" s="119"/>
      <c r="D4170" s="58"/>
      <c r="E4170" s="17"/>
      <c r="F4170" s="58"/>
      <c r="G4170" s="19"/>
      <c r="H4170" s="19"/>
      <c r="I4170" s="19"/>
      <c r="J4170" s="19"/>
      <c r="K4170" s="19"/>
      <c r="L4170" s="19"/>
      <c r="M4170" s="14"/>
      <c r="N4170" s="39"/>
      <c r="Q4170" s="1"/>
      <c r="R4170" s="1"/>
      <c r="S4170" s="1"/>
      <c r="T4170" s="1"/>
      <c r="U4170" s="24"/>
      <c r="V4170" s="24"/>
      <c r="W4170" s="1"/>
      <c r="X4170" s="1"/>
      <c r="Z4170" s="94" t="s">
        <v>82</v>
      </c>
    </row>
    <row r="4171" spans="1:26" s="25" customFormat="1" ht="6.95" customHeight="1" x14ac:dyDescent="0.3">
      <c r="A4171" s="165">
        <f>+A4160+1</f>
        <v>380</v>
      </c>
      <c r="B4171" s="166"/>
      <c r="C4171" s="167"/>
      <c r="D4171" s="160" t="s">
        <v>39</v>
      </c>
      <c r="E4171" s="161"/>
      <c r="F4171" s="162" t="s">
        <v>40</v>
      </c>
      <c r="G4171" s="163"/>
      <c r="H4171" s="164"/>
      <c r="I4171" s="163"/>
      <c r="J4171" s="164"/>
      <c r="K4171" s="163"/>
      <c r="L4171" s="164"/>
      <c r="M4171" s="11"/>
      <c r="N4171" s="39"/>
      <c r="Q4171" s="15" t="str">
        <f>+CONCATENATE(E4171,G4171)</f>
        <v/>
      </c>
      <c r="R4171" s="15">
        <f>+H4171</f>
        <v>0</v>
      </c>
      <c r="S4171" s="16"/>
      <c r="T4171" s="15">
        <f>+E4171</f>
        <v>0</v>
      </c>
      <c r="U4171" s="26" t="str">
        <f>IFERROR(LEFT(G4171,FIND("*",G4171)-1),"-")</f>
        <v>-</v>
      </c>
      <c r="V4171" s="26" t="str">
        <f>IFERROR(RIGHT(G4171,LEN(G4171)-FIND("*",G4171)),"-")</f>
        <v>-</v>
      </c>
      <c r="W4171" s="27" t="str">
        <f>IFERROR((U4171+V4171)*2/1000,"-")</f>
        <v>-</v>
      </c>
      <c r="X4171" s="27" t="str">
        <f>IFERROR(W4171*H4171,"-")</f>
        <v>-</v>
      </c>
      <c r="Z4171" s="94" t="s">
        <v>82</v>
      </c>
    </row>
    <row r="4172" spans="1:26" s="25" customFormat="1" ht="6.95" customHeight="1" x14ac:dyDescent="0.3">
      <c r="A4172" s="165"/>
      <c r="B4172" s="168"/>
      <c r="C4172" s="169"/>
      <c r="D4172" s="160"/>
      <c r="E4172" s="161"/>
      <c r="F4172" s="162"/>
      <c r="G4172" s="163"/>
      <c r="H4172" s="164"/>
      <c r="I4172" s="163"/>
      <c r="J4172" s="164"/>
      <c r="K4172" s="163"/>
      <c r="L4172" s="164"/>
      <c r="M4172" s="11"/>
      <c r="N4172" s="39"/>
      <c r="Q4172" s="15" t="str">
        <f>+CONCATENATE(E4171,I4171)</f>
        <v/>
      </c>
      <c r="R4172" s="15">
        <f>+J4171</f>
        <v>0</v>
      </c>
      <c r="S4172" s="16"/>
      <c r="T4172" s="15">
        <f>+E4171</f>
        <v>0</v>
      </c>
      <c r="U4172" s="26" t="str">
        <f>IFERROR(LEFT(I4171,FIND("*",I4171)-1),"-")</f>
        <v>-</v>
      </c>
      <c r="V4172" s="26" t="str">
        <f>IFERROR(RIGHT(I4171,LEN(I4171)-FIND("*",I4171)),"-")</f>
        <v>-</v>
      </c>
      <c r="W4172" s="27" t="str">
        <f t="shared" ref="W4172:W4179" si="2272">IFERROR((U4172+V4172)*2/1000,"-")</f>
        <v>-</v>
      </c>
      <c r="X4172" s="27" t="str">
        <f>IFERROR(W4172*J4171,"-")</f>
        <v>-</v>
      </c>
      <c r="Z4172" s="94" t="s">
        <v>82</v>
      </c>
    </row>
    <row r="4173" spans="1:26" s="25" customFormat="1" ht="6.95" customHeight="1" x14ac:dyDescent="0.3">
      <c r="A4173" s="165"/>
      <c r="B4173" s="168"/>
      <c r="C4173" s="169"/>
      <c r="D4173" s="160"/>
      <c r="E4173" s="161"/>
      <c r="F4173" s="162"/>
      <c r="G4173" s="163"/>
      <c r="H4173" s="164"/>
      <c r="I4173" s="163"/>
      <c r="J4173" s="164"/>
      <c r="K4173" s="163"/>
      <c r="L4173" s="164"/>
      <c r="M4173" s="11"/>
      <c r="N4173" s="39"/>
      <c r="Q4173" s="15" t="str">
        <f>+CONCATENATE(E4171,K4171)</f>
        <v/>
      </c>
      <c r="R4173" s="15">
        <f>+L4171</f>
        <v>0</v>
      </c>
      <c r="S4173" s="16"/>
      <c r="T4173" s="15">
        <f>+E4171</f>
        <v>0</v>
      </c>
      <c r="U4173" s="26" t="str">
        <f>IFERROR(LEFT(K4171,FIND("*",K4171)-1),"-")</f>
        <v>-</v>
      </c>
      <c r="V4173" s="26" t="str">
        <f>IFERROR(RIGHT(K4171,LEN(K4171)-FIND("*",K4171)),"-")</f>
        <v>-</v>
      </c>
      <c r="W4173" s="27" t="str">
        <f t="shared" si="2272"/>
        <v>-</v>
      </c>
      <c r="X4173" s="27" t="str">
        <f>IFERROR(W4173*L4171,"-")</f>
        <v>-</v>
      </c>
      <c r="Z4173" s="94" t="s">
        <v>82</v>
      </c>
    </row>
    <row r="4174" spans="1:26" s="25" customFormat="1" ht="6.95" customHeight="1" x14ac:dyDescent="0.3">
      <c r="A4174" s="13"/>
      <c r="B4174" s="168"/>
      <c r="C4174" s="169"/>
      <c r="D4174" s="160" t="s">
        <v>39</v>
      </c>
      <c r="E4174" s="161"/>
      <c r="F4174" s="162" t="s">
        <v>40</v>
      </c>
      <c r="G4174" s="163"/>
      <c r="H4174" s="164"/>
      <c r="I4174" s="163"/>
      <c r="J4174" s="164"/>
      <c r="K4174" s="163"/>
      <c r="L4174" s="164"/>
      <c r="M4174" s="11"/>
      <c r="N4174" s="39"/>
      <c r="Q4174" s="15" t="str">
        <f>+CONCATENATE(E4174,G4174)</f>
        <v/>
      </c>
      <c r="R4174" s="15">
        <f>+H4174</f>
        <v>0</v>
      </c>
      <c r="S4174" s="16"/>
      <c r="T4174" s="15">
        <f>+E4174</f>
        <v>0</v>
      </c>
      <c r="U4174" s="26" t="str">
        <f t="shared" ref="U4174" si="2273">IFERROR(LEFT(G4174,FIND("*",G4174)-1),"-")</f>
        <v>-</v>
      </c>
      <c r="V4174" s="26" t="str">
        <f t="shared" ref="V4174" si="2274">IFERROR(RIGHT(G4174,LEN(G4174)-FIND("*",G4174)),"-")</f>
        <v>-</v>
      </c>
      <c r="W4174" s="27" t="str">
        <f t="shared" si="2272"/>
        <v>-</v>
      </c>
      <c r="X4174" s="27" t="str">
        <f>IFERROR(W4174*H4174,"-")</f>
        <v>-</v>
      </c>
      <c r="Z4174" s="94" t="s">
        <v>82</v>
      </c>
    </row>
    <row r="4175" spans="1:26" s="25" customFormat="1" ht="6.95" customHeight="1" x14ac:dyDescent="0.3">
      <c r="A4175" s="10"/>
      <c r="B4175" s="168"/>
      <c r="C4175" s="169"/>
      <c r="D4175" s="160"/>
      <c r="E4175" s="161"/>
      <c r="F4175" s="162"/>
      <c r="G4175" s="163"/>
      <c r="H4175" s="164"/>
      <c r="I4175" s="163"/>
      <c r="J4175" s="164"/>
      <c r="K4175" s="163"/>
      <c r="L4175" s="164"/>
      <c r="M4175" s="11"/>
      <c r="N4175" s="39"/>
      <c r="Q4175" s="15" t="str">
        <f>+CONCATENATE(E4174,I4174)</f>
        <v/>
      </c>
      <c r="R4175" s="15">
        <f>+J4174</f>
        <v>0</v>
      </c>
      <c r="S4175" s="16"/>
      <c r="T4175" s="15">
        <f>+E4174</f>
        <v>0</v>
      </c>
      <c r="U4175" s="26" t="str">
        <f>IFERROR(LEFT(I4174,FIND("*",I4174)-1),"-")</f>
        <v>-</v>
      </c>
      <c r="V4175" s="26" t="str">
        <f>IFERROR(RIGHT(I4174,LEN(I4174)-FIND("*",I4174)),"-")</f>
        <v>-</v>
      </c>
      <c r="W4175" s="27" t="str">
        <f t="shared" si="2272"/>
        <v>-</v>
      </c>
      <c r="X4175" s="27" t="str">
        <f>IFERROR(W4175*J4174,"-")</f>
        <v>-</v>
      </c>
      <c r="Z4175" s="94" t="s">
        <v>82</v>
      </c>
    </row>
    <row r="4176" spans="1:26" s="25" customFormat="1" ht="6.95" customHeight="1" x14ac:dyDescent="0.3">
      <c r="A4176" s="10"/>
      <c r="B4176" s="168"/>
      <c r="C4176" s="169"/>
      <c r="D4176" s="160"/>
      <c r="E4176" s="161"/>
      <c r="F4176" s="162"/>
      <c r="G4176" s="163"/>
      <c r="H4176" s="164"/>
      <c r="I4176" s="163"/>
      <c r="J4176" s="164"/>
      <c r="K4176" s="163"/>
      <c r="L4176" s="164"/>
      <c r="M4176" s="11"/>
      <c r="N4176" s="39"/>
      <c r="Q4176" s="15" t="str">
        <f>+CONCATENATE(E4174,K4174)</f>
        <v/>
      </c>
      <c r="R4176" s="15">
        <f>+L4174</f>
        <v>0</v>
      </c>
      <c r="S4176" s="16"/>
      <c r="T4176" s="15">
        <f>+E4174</f>
        <v>0</v>
      </c>
      <c r="U4176" s="26" t="str">
        <f>IFERROR(LEFT(K4174,FIND("*",K4174)-1),"-")</f>
        <v>-</v>
      </c>
      <c r="V4176" s="26" t="str">
        <f>IFERROR(RIGHT(K4174,LEN(K4174)-FIND("*",K4174)),"-")</f>
        <v>-</v>
      </c>
      <c r="W4176" s="27" t="str">
        <f t="shared" si="2272"/>
        <v>-</v>
      </c>
      <c r="X4176" s="27" t="str">
        <f>IFERROR(W4176*L4174,"-")</f>
        <v>-</v>
      </c>
      <c r="Z4176" s="94" t="s">
        <v>82</v>
      </c>
    </row>
    <row r="4177" spans="1:26" s="25" customFormat="1" ht="6.95" customHeight="1" x14ac:dyDescent="0.3">
      <c r="A4177" s="13"/>
      <c r="B4177" s="168"/>
      <c r="C4177" s="169"/>
      <c r="D4177" s="160" t="s">
        <v>39</v>
      </c>
      <c r="E4177" s="161"/>
      <c r="F4177" s="162" t="s">
        <v>40</v>
      </c>
      <c r="G4177" s="163"/>
      <c r="H4177" s="164"/>
      <c r="I4177" s="163"/>
      <c r="J4177" s="164"/>
      <c r="K4177" s="163"/>
      <c r="L4177" s="164"/>
      <c r="M4177" s="11"/>
      <c r="N4177" s="39"/>
      <c r="Q4177" s="15" t="str">
        <f>+CONCATENATE(E4177,G4177)</f>
        <v/>
      </c>
      <c r="R4177" s="15">
        <f>+H4177</f>
        <v>0</v>
      </c>
      <c r="S4177" s="16"/>
      <c r="T4177" s="15">
        <f>+E4177</f>
        <v>0</v>
      </c>
      <c r="U4177" s="26" t="str">
        <f t="shared" ref="U4177" si="2275">IFERROR(LEFT(G4177,FIND("*",G4177)-1),"-")</f>
        <v>-</v>
      </c>
      <c r="V4177" s="26" t="str">
        <f t="shared" ref="V4177" si="2276">IFERROR(RIGHT(G4177,LEN(G4177)-FIND("*",G4177)),"-")</f>
        <v>-</v>
      </c>
      <c r="W4177" s="27" t="str">
        <f t="shared" si="2272"/>
        <v>-</v>
      </c>
      <c r="X4177" s="27" t="str">
        <f>IFERROR(W4177*H4177,"-")</f>
        <v>-</v>
      </c>
      <c r="Z4177" s="94" t="s">
        <v>82</v>
      </c>
    </row>
    <row r="4178" spans="1:26" s="25" customFormat="1" ht="6.95" customHeight="1" x14ac:dyDescent="0.3">
      <c r="A4178" s="10"/>
      <c r="B4178" s="168"/>
      <c r="C4178" s="169"/>
      <c r="D4178" s="160"/>
      <c r="E4178" s="161"/>
      <c r="F4178" s="162"/>
      <c r="G4178" s="163"/>
      <c r="H4178" s="164"/>
      <c r="I4178" s="163"/>
      <c r="J4178" s="164"/>
      <c r="K4178" s="163"/>
      <c r="L4178" s="164"/>
      <c r="M4178" s="11"/>
      <c r="N4178" s="39"/>
      <c r="Q4178" s="15" t="str">
        <f>+CONCATENATE(E4177,I4177)</f>
        <v/>
      </c>
      <c r="R4178" s="15">
        <f>+J4177</f>
        <v>0</v>
      </c>
      <c r="S4178" s="16"/>
      <c r="T4178" s="15">
        <f>+E4177</f>
        <v>0</v>
      </c>
      <c r="U4178" s="26" t="str">
        <f>IFERROR(LEFT(I4177,FIND("*",I4177)-1),"-")</f>
        <v>-</v>
      </c>
      <c r="V4178" s="26" t="str">
        <f>IFERROR(RIGHT(I4177,LEN(I4177)-FIND("*",I4177)),"-")</f>
        <v>-</v>
      </c>
      <c r="W4178" s="27" t="str">
        <f t="shared" si="2272"/>
        <v>-</v>
      </c>
      <c r="X4178" s="27" t="str">
        <f t="shared" ref="X4178" si="2277">IFERROR(W4178*J4177,"-")</f>
        <v>-</v>
      </c>
      <c r="Z4178" s="94" t="s">
        <v>82</v>
      </c>
    </row>
    <row r="4179" spans="1:26" s="25" customFormat="1" ht="6.95" customHeight="1" x14ac:dyDescent="0.3">
      <c r="A4179" s="10"/>
      <c r="B4179" s="168"/>
      <c r="C4179" s="169"/>
      <c r="D4179" s="160"/>
      <c r="E4179" s="161"/>
      <c r="F4179" s="162"/>
      <c r="G4179" s="163"/>
      <c r="H4179" s="164"/>
      <c r="I4179" s="163"/>
      <c r="J4179" s="164"/>
      <c r="K4179" s="163"/>
      <c r="L4179" s="164"/>
      <c r="M4179" s="11"/>
      <c r="N4179" s="39"/>
      <c r="Q4179" s="15" t="str">
        <f>+CONCATENATE(E4177,K4177)</f>
        <v/>
      </c>
      <c r="R4179" s="15">
        <f>+L4177</f>
        <v>0</v>
      </c>
      <c r="S4179" s="16"/>
      <c r="T4179" s="15">
        <f>+E4177</f>
        <v>0</v>
      </c>
      <c r="U4179" s="26" t="str">
        <f>IFERROR(LEFT(K4177,FIND("*",K4177)-1),"-")</f>
        <v>-</v>
      </c>
      <c r="V4179" s="26" t="str">
        <f>IFERROR(RIGHT(K4177,LEN(K4177)-FIND("*",K4177)),"-")</f>
        <v>-</v>
      </c>
      <c r="W4179" s="27" t="str">
        <f t="shared" si="2272"/>
        <v>-</v>
      </c>
      <c r="X4179" s="27" t="str">
        <f>IFERROR(W4179*L4177,"-")</f>
        <v>-</v>
      </c>
      <c r="Z4179" s="94" t="s">
        <v>82</v>
      </c>
    </row>
    <row r="4180" spans="1:26" s="25" customFormat="1" ht="21" customHeight="1" thickBot="1" x14ac:dyDescent="0.35">
      <c r="A4180" s="10"/>
      <c r="B4180" s="170"/>
      <c r="C4180" s="171"/>
      <c r="D4180" s="172" t="s">
        <v>43</v>
      </c>
      <c r="E4180" s="173"/>
      <c r="F4180" s="173"/>
      <c r="G4180" s="174"/>
      <c r="H4180" s="174"/>
      <c r="I4180" s="174"/>
      <c r="J4180" s="174"/>
      <c r="K4180" s="174"/>
      <c r="L4180" s="174"/>
      <c r="M4180" s="12"/>
      <c r="N4180" s="39"/>
      <c r="U4180" s="23"/>
      <c r="V4180" s="23"/>
      <c r="Z4180" s="95" t="s">
        <v>81</v>
      </c>
    </row>
    <row r="4181" spans="1:26" s="25" customFormat="1" ht="9.9499999999999993" customHeight="1" thickBot="1" x14ac:dyDescent="0.35">
      <c r="A4181" s="6"/>
      <c r="B4181" s="14"/>
      <c r="C4181" s="119"/>
      <c r="D4181" s="58"/>
      <c r="E4181" s="17"/>
      <c r="F4181" s="58"/>
      <c r="G4181" s="19"/>
      <c r="H4181" s="19"/>
      <c r="I4181" s="19"/>
      <c r="J4181" s="19"/>
      <c r="K4181" s="19"/>
      <c r="L4181" s="19"/>
      <c r="M4181" s="14"/>
      <c r="N4181" s="39"/>
      <c r="Q4181" s="1"/>
      <c r="R4181" s="1"/>
      <c r="S4181" s="1"/>
      <c r="T4181" s="1"/>
      <c r="U4181" s="24"/>
      <c r="V4181" s="24"/>
      <c r="W4181" s="1"/>
      <c r="X4181" s="1"/>
      <c r="Z4181" s="94" t="s">
        <v>82</v>
      </c>
    </row>
    <row r="4182" spans="1:26" s="25" customFormat="1" ht="6.95" customHeight="1" x14ac:dyDescent="0.3">
      <c r="A4182" s="165">
        <f>+A4171+1</f>
        <v>381</v>
      </c>
      <c r="B4182" s="166"/>
      <c r="C4182" s="167"/>
      <c r="D4182" s="160" t="s">
        <v>39</v>
      </c>
      <c r="E4182" s="161"/>
      <c r="F4182" s="162" t="s">
        <v>40</v>
      </c>
      <c r="G4182" s="163"/>
      <c r="H4182" s="164"/>
      <c r="I4182" s="163"/>
      <c r="J4182" s="164"/>
      <c r="K4182" s="163"/>
      <c r="L4182" s="164"/>
      <c r="M4182" s="11"/>
      <c r="N4182" s="39"/>
      <c r="Q4182" s="15" t="str">
        <f>+CONCATENATE(E4182,G4182)</f>
        <v/>
      </c>
      <c r="R4182" s="15">
        <f>+H4182</f>
        <v>0</v>
      </c>
      <c r="S4182" s="16"/>
      <c r="T4182" s="15">
        <f>+E4182</f>
        <v>0</v>
      </c>
      <c r="U4182" s="26" t="str">
        <f>IFERROR(LEFT(G4182,FIND("*",G4182)-1),"-")</f>
        <v>-</v>
      </c>
      <c r="V4182" s="26" t="str">
        <f>IFERROR(RIGHT(G4182,LEN(G4182)-FIND("*",G4182)),"-")</f>
        <v>-</v>
      </c>
      <c r="W4182" s="27" t="str">
        <f>IFERROR((U4182+V4182)*2/1000,"-")</f>
        <v>-</v>
      </c>
      <c r="X4182" s="27" t="str">
        <f>IFERROR(W4182*H4182,"-")</f>
        <v>-</v>
      </c>
      <c r="Z4182" s="94" t="s">
        <v>82</v>
      </c>
    </row>
    <row r="4183" spans="1:26" s="25" customFormat="1" ht="6.95" customHeight="1" x14ac:dyDescent="0.3">
      <c r="A4183" s="165"/>
      <c r="B4183" s="168"/>
      <c r="C4183" s="169"/>
      <c r="D4183" s="160"/>
      <c r="E4183" s="161"/>
      <c r="F4183" s="162"/>
      <c r="G4183" s="163"/>
      <c r="H4183" s="164"/>
      <c r="I4183" s="163"/>
      <c r="J4183" s="164"/>
      <c r="K4183" s="163"/>
      <c r="L4183" s="164"/>
      <c r="M4183" s="11"/>
      <c r="N4183" s="39"/>
      <c r="Q4183" s="15" t="str">
        <f>+CONCATENATE(E4182,I4182)</f>
        <v/>
      </c>
      <c r="R4183" s="15">
        <f>+J4182</f>
        <v>0</v>
      </c>
      <c r="S4183" s="16"/>
      <c r="T4183" s="15">
        <f>+E4182</f>
        <v>0</v>
      </c>
      <c r="U4183" s="26" t="str">
        <f>IFERROR(LEFT(I4182,FIND("*",I4182)-1),"-")</f>
        <v>-</v>
      </c>
      <c r="V4183" s="26" t="str">
        <f>IFERROR(RIGHT(I4182,LEN(I4182)-FIND("*",I4182)),"-")</f>
        <v>-</v>
      </c>
      <c r="W4183" s="27" t="str">
        <f t="shared" ref="W4183:W4190" si="2278">IFERROR((U4183+V4183)*2/1000,"-")</f>
        <v>-</v>
      </c>
      <c r="X4183" s="27" t="str">
        <f>IFERROR(W4183*J4182,"-")</f>
        <v>-</v>
      </c>
      <c r="Z4183" s="94" t="s">
        <v>82</v>
      </c>
    </row>
    <row r="4184" spans="1:26" s="25" customFormat="1" ht="6.95" customHeight="1" x14ac:dyDescent="0.3">
      <c r="A4184" s="165"/>
      <c r="B4184" s="168"/>
      <c r="C4184" s="169"/>
      <c r="D4184" s="160"/>
      <c r="E4184" s="161"/>
      <c r="F4184" s="162"/>
      <c r="G4184" s="163"/>
      <c r="H4184" s="164"/>
      <c r="I4184" s="163"/>
      <c r="J4184" s="164"/>
      <c r="K4184" s="163"/>
      <c r="L4184" s="164"/>
      <c r="M4184" s="11"/>
      <c r="N4184" s="39"/>
      <c r="Q4184" s="15" t="str">
        <f>+CONCATENATE(E4182,K4182)</f>
        <v/>
      </c>
      <c r="R4184" s="15">
        <f>+L4182</f>
        <v>0</v>
      </c>
      <c r="S4184" s="16"/>
      <c r="T4184" s="15">
        <f>+E4182</f>
        <v>0</v>
      </c>
      <c r="U4184" s="26" t="str">
        <f>IFERROR(LEFT(K4182,FIND("*",K4182)-1),"-")</f>
        <v>-</v>
      </c>
      <c r="V4184" s="26" t="str">
        <f>IFERROR(RIGHT(K4182,LEN(K4182)-FIND("*",K4182)),"-")</f>
        <v>-</v>
      </c>
      <c r="W4184" s="27" t="str">
        <f t="shared" si="2278"/>
        <v>-</v>
      </c>
      <c r="X4184" s="27" t="str">
        <f>IFERROR(W4184*L4182,"-")</f>
        <v>-</v>
      </c>
      <c r="Z4184" s="94" t="s">
        <v>82</v>
      </c>
    </row>
    <row r="4185" spans="1:26" s="25" customFormat="1" ht="6.95" customHeight="1" x14ac:dyDescent="0.3">
      <c r="A4185" s="13"/>
      <c r="B4185" s="168"/>
      <c r="C4185" s="169"/>
      <c r="D4185" s="160" t="s">
        <v>39</v>
      </c>
      <c r="E4185" s="161"/>
      <c r="F4185" s="162" t="s">
        <v>40</v>
      </c>
      <c r="G4185" s="163"/>
      <c r="H4185" s="164"/>
      <c r="I4185" s="163"/>
      <c r="J4185" s="164"/>
      <c r="K4185" s="163"/>
      <c r="L4185" s="164"/>
      <c r="M4185" s="11"/>
      <c r="N4185" s="39"/>
      <c r="Q4185" s="15" t="str">
        <f>+CONCATENATE(E4185,G4185)</f>
        <v/>
      </c>
      <c r="R4185" s="15">
        <f>+H4185</f>
        <v>0</v>
      </c>
      <c r="S4185" s="16"/>
      <c r="T4185" s="15">
        <f>+E4185</f>
        <v>0</v>
      </c>
      <c r="U4185" s="26" t="str">
        <f t="shared" ref="U4185" si="2279">IFERROR(LEFT(G4185,FIND("*",G4185)-1),"-")</f>
        <v>-</v>
      </c>
      <c r="V4185" s="26" t="str">
        <f t="shared" ref="V4185" si="2280">IFERROR(RIGHT(G4185,LEN(G4185)-FIND("*",G4185)),"-")</f>
        <v>-</v>
      </c>
      <c r="W4185" s="27" t="str">
        <f t="shared" si="2278"/>
        <v>-</v>
      </c>
      <c r="X4185" s="27" t="str">
        <f>IFERROR(W4185*H4185,"-")</f>
        <v>-</v>
      </c>
      <c r="Z4185" s="94" t="s">
        <v>82</v>
      </c>
    </row>
    <row r="4186" spans="1:26" s="25" customFormat="1" ht="6.95" customHeight="1" x14ac:dyDescent="0.3">
      <c r="A4186" s="10"/>
      <c r="B4186" s="168"/>
      <c r="C4186" s="169"/>
      <c r="D4186" s="160"/>
      <c r="E4186" s="161"/>
      <c r="F4186" s="162"/>
      <c r="G4186" s="163"/>
      <c r="H4186" s="164"/>
      <c r="I4186" s="163"/>
      <c r="J4186" s="164"/>
      <c r="K4186" s="163"/>
      <c r="L4186" s="164"/>
      <c r="M4186" s="11"/>
      <c r="N4186" s="39"/>
      <c r="Q4186" s="15" t="str">
        <f>+CONCATENATE(E4185,I4185)</f>
        <v/>
      </c>
      <c r="R4186" s="15">
        <f>+J4185</f>
        <v>0</v>
      </c>
      <c r="S4186" s="16"/>
      <c r="T4186" s="15">
        <f>+E4185</f>
        <v>0</v>
      </c>
      <c r="U4186" s="26" t="str">
        <f>IFERROR(LEFT(I4185,FIND("*",I4185)-1),"-")</f>
        <v>-</v>
      </c>
      <c r="V4186" s="26" t="str">
        <f>IFERROR(RIGHT(I4185,LEN(I4185)-FIND("*",I4185)),"-")</f>
        <v>-</v>
      </c>
      <c r="W4186" s="27" t="str">
        <f t="shared" si="2278"/>
        <v>-</v>
      </c>
      <c r="X4186" s="27" t="str">
        <f>IFERROR(W4186*J4185,"-")</f>
        <v>-</v>
      </c>
      <c r="Z4186" s="94" t="s">
        <v>82</v>
      </c>
    </row>
    <row r="4187" spans="1:26" s="25" customFormat="1" ht="6.95" customHeight="1" x14ac:dyDescent="0.3">
      <c r="A4187" s="10"/>
      <c r="B4187" s="168"/>
      <c r="C4187" s="169"/>
      <c r="D4187" s="160"/>
      <c r="E4187" s="161"/>
      <c r="F4187" s="162"/>
      <c r="G4187" s="163"/>
      <c r="H4187" s="164"/>
      <c r="I4187" s="163"/>
      <c r="J4187" s="164"/>
      <c r="K4187" s="163"/>
      <c r="L4187" s="164"/>
      <c r="M4187" s="11"/>
      <c r="N4187" s="39"/>
      <c r="Q4187" s="15" t="str">
        <f>+CONCATENATE(E4185,K4185)</f>
        <v/>
      </c>
      <c r="R4187" s="15">
        <f>+L4185</f>
        <v>0</v>
      </c>
      <c r="S4187" s="16"/>
      <c r="T4187" s="15">
        <f>+E4185</f>
        <v>0</v>
      </c>
      <c r="U4187" s="26" t="str">
        <f>IFERROR(LEFT(K4185,FIND("*",K4185)-1),"-")</f>
        <v>-</v>
      </c>
      <c r="V4187" s="26" t="str">
        <f>IFERROR(RIGHT(K4185,LEN(K4185)-FIND("*",K4185)),"-")</f>
        <v>-</v>
      </c>
      <c r="W4187" s="27" t="str">
        <f t="shared" si="2278"/>
        <v>-</v>
      </c>
      <c r="X4187" s="27" t="str">
        <f>IFERROR(W4187*L4185,"-")</f>
        <v>-</v>
      </c>
      <c r="Z4187" s="94" t="s">
        <v>82</v>
      </c>
    </row>
    <row r="4188" spans="1:26" s="25" customFormat="1" ht="6.95" customHeight="1" x14ac:dyDescent="0.3">
      <c r="A4188" s="13"/>
      <c r="B4188" s="168"/>
      <c r="C4188" s="169"/>
      <c r="D4188" s="160" t="s">
        <v>39</v>
      </c>
      <c r="E4188" s="161"/>
      <c r="F4188" s="162" t="s">
        <v>40</v>
      </c>
      <c r="G4188" s="163"/>
      <c r="H4188" s="164"/>
      <c r="I4188" s="163"/>
      <c r="J4188" s="164"/>
      <c r="K4188" s="163"/>
      <c r="L4188" s="164"/>
      <c r="M4188" s="11"/>
      <c r="N4188" s="39"/>
      <c r="Q4188" s="15" t="str">
        <f>+CONCATENATE(E4188,G4188)</f>
        <v/>
      </c>
      <c r="R4188" s="15">
        <f>+H4188</f>
        <v>0</v>
      </c>
      <c r="S4188" s="16"/>
      <c r="T4188" s="15">
        <f>+E4188</f>
        <v>0</v>
      </c>
      <c r="U4188" s="26" t="str">
        <f t="shared" ref="U4188" si="2281">IFERROR(LEFT(G4188,FIND("*",G4188)-1),"-")</f>
        <v>-</v>
      </c>
      <c r="V4188" s="26" t="str">
        <f t="shared" ref="V4188" si="2282">IFERROR(RIGHT(G4188,LEN(G4188)-FIND("*",G4188)),"-")</f>
        <v>-</v>
      </c>
      <c r="W4188" s="27" t="str">
        <f t="shared" si="2278"/>
        <v>-</v>
      </c>
      <c r="X4188" s="27" t="str">
        <f>IFERROR(W4188*H4188,"-")</f>
        <v>-</v>
      </c>
      <c r="Z4188" s="94" t="s">
        <v>82</v>
      </c>
    </row>
    <row r="4189" spans="1:26" s="25" customFormat="1" ht="6.95" customHeight="1" x14ac:dyDescent="0.3">
      <c r="A4189" s="10"/>
      <c r="B4189" s="168"/>
      <c r="C4189" s="169"/>
      <c r="D4189" s="160"/>
      <c r="E4189" s="161"/>
      <c r="F4189" s="162"/>
      <c r="G4189" s="163"/>
      <c r="H4189" s="164"/>
      <c r="I4189" s="163"/>
      <c r="J4189" s="164"/>
      <c r="K4189" s="163"/>
      <c r="L4189" s="164"/>
      <c r="M4189" s="11"/>
      <c r="N4189" s="39"/>
      <c r="Q4189" s="15" t="str">
        <f>+CONCATENATE(E4188,I4188)</f>
        <v/>
      </c>
      <c r="R4189" s="15">
        <f>+J4188</f>
        <v>0</v>
      </c>
      <c r="S4189" s="16"/>
      <c r="T4189" s="15">
        <f>+E4188</f>
        <v>0</v>
      </c>
      <c r="U4189" s="26" t="str">
        <f>IFERROR(LEFT(I4188,FIND("*",I4188)-1),"-")</f>
        <v>-</v>
      </c>
      <c r="V4189" s="26" t="str">
        <f>IFERROR(RIGHT(I4188,LEN(I4188)-FIND("*",I4188)),"-")</f>
        <v>-</v>
      </c>
      <c r="W4189" s="27" t="str">
        <f t="shared" si="2278"/>
        <v>-</v>
      </c>
      <c r="X4189" s="27" t="str">
        <f t="shared" ref="X4189" si="2283">IFERROR(W4189*J4188,"-")</f>
        <v>-</v>
      </c>
      <c r="Z4189" s="94" t="s">
        <v>82</v>
      </c>
    </row>
    <row r="4190" spans="1:26" s="25" customFormat="1" ht="6.95" customHeight="1" x14ac:dyDescent="0.3">
      <c r="A4190" s="10"/>
      <c r="B4190" s="168"/>
      <c r="C4190" s="169"/>
      <c r="D4190" s="160"/>
      <c r="E4190" s="161"/>
      <c r="F4190" s="162"/>
      <c r="G4190" s="163"/>
      <c r="H4190" s="164"/>
      <c r="I4190" s="163"/>
      <c r="J4190" s="164"/>
      <c r="K4190" s="163"/>
      <c r="L4190" s="164"/>
      <c r="M4190" s="11"/>
      <c r="N4190" s="39"/>
      <c r="Q4190" s="15" t="str">
        <f>+CONCATENATE(E4188,K4188)</f>
        <v/>
      </c>
      <c r="R4190" s="15">
        <f>+L4188</f>
        <v>0</v>
      </c>
      <c r="S4190" s="16"/>
      <c r="T4190" s="15">
        <f>+E4188</f>
        <v>0</v>
      </c>
      <c r="U4190" s="26" t="str">
        <f>IFERROR(LEFT(K4188,FIND("*",K4188)-1),"-")</f>
        <v>-</v>
      </c>
      <c r="V4190" s="26" t="str">
        <f>IFERROR(RIGHT(K4188,LEN(K4188)-FIND("*",K4188)),"-")</f>
        <v>-</v>
      </c>
      <c r="W4190" s="27" t="str">
        <f t="shared" si="2278"/>
        <v>-</v>
      </c>
      <c r="X4190" s="27" t="str">
        <f>IFERROR(W4190*L4188,"-")</f>
        <v>-</v>
      </c>
      <c r="Z4190" s="94" t="s">
        <v>82</v>
      </c>
    </row>
    <row r="4191" spans="1:26" s="25" customFormat="1" ht="21" customHeight="1" thickBot="1" x14ac:dyDescent="0.35">
      <c r="A4191" s="10"/>
      <c r="B4191" s="170"/>
      <c r="C4191" s="171"/>
      <c r="D4191" s="172" t="s">
        <v>43</v>
      </c>
      <c r="E4191" s="173"/>
      <c r="F4191" s="173"/>
      <c r="G4191" s="174"/>
      <c r="H4191" s="174"/>
      <c r="I4191" s="174"/>
      <c r="J4191" s="174"/>
      <c r="K4191" s="174"/>
      <c r="L4191" s="174"/>
      <c r="M4191" s="12"/>
      <c r="N4191" s="39"/>
      <c r="U4191" s="23"/>
      <c r="V4191" s="23"/>
      <c r="Z4191" s="95" t="s">
        <v>81</v>
      </c>
    </row>
    <row r="4192" spans="1:26" s="25" customFormat="1" ht="9.9499999999999993" customHeight="1" thickBot="1" x14ac:dyDescent="0.35">
      <c r="A4192" s="6"/>
      <c r="B4192" s="14"/>
      <c r="C4192" s="119"/>
      <c r="D4192" s="58"/>
      <c r="E4192" s="17"/>
      <c r="F4192" s="58"/>
      <c r="G4192" s="19"/>
      <c r="H4192" s="19"/>
      <c r="I4192" s="19"/>
      <c r="J4192" s="19"/>
      <c r="K4192" s="19"/>
      <c r="L4192" s="19"/>
      <c r="M4192" s="14"/>
      <c r="N4192" s="39"/>
      <c r="Q4192" s="1"/>
      <c r="R4192" s="1"/>
      <c r="S4192" s="1"/>
      <c r="T4192" s="1"/>
      <c r="U4192" s="24"/>
      <c r="V4192" s="24"/>
      <c r="W4192" s="1"/>
      <c r="X4192" s="1"/>
      <c r="Z4192" s="94" t="s">
        <v>82</v>
      </c>
    </row>
    <row r="4193" spans="1:26" s="25" customFormat="1" ht="6.95" customHeight="1" x14ac:dyDescent="0.3">
      <c r="A4193" s="165">
        <f>+A4182+1</f>
        <v>382</v>
      </c>
      <c r="B4193" s="166"/>
      <c r="C4193" s="167"/>
      <c r="D4193" s="160" t="s">
        <v>39</v>
      </c>
      <c r="E4193" s="161"/>
      <c r="F4193" s="162" t="s">
        <v>40</v>
      </c>
      <c r="G4193" s="163"/>
      <c r="H4193" s="164"/>
      <c r="I4193" s="163"/>
      <c r="J4193" s="164"/>
      <c r="K4193" s="163"/>
      <c r="L4193" s="164"/>
      <c r="M4193" s="11"/>
      <c r="N4193" s="39"/>
      <c r="Q4193" s="15" t="str">
        <f>+CONCATENATE(E4193,G4193)</f>
        <v/>
      </c>
      <c r="R4193" s="15">
        <f>+H4193</f>
        <v>0</v>
      </c>
      <c r="S4193" s="16"/>
      <c r="T4193" s="15">
        <f>+E4193</f>
        <v>0</v>
      </c>
      <c r="U4193" s="26" t="str">
        <f>IFERROR(LEFT(G4193,FIND("*",G4193)-1),"-")</f>
        <v>-</v>
      </c>
      <c r="V4193" s="26" t="str">
        <f>IFERROR(RIGHT(G4193,LEN(G4193)-FIND("*",G4193)),"-")</f>
        <v>-</v>
      </c>
      <c r="W4193" s="27" t="str">
        <f>IFERROR((U4193+V4193)*2/1000,"-")</f>
        <v>-</v>
      </c>
      <c r="X4193" s="27" t="str">
        <f>IFERROR(W4193*H4193,"-")</f>
        <v>-</v>
      </c>
      <c r="Z4193" s="94" t="s">
        <v>82</v>
      </c>
    </row>
    <row r="4194" spans="1:26" s="25" customFormat="1" ht="6.95" customHeight="1" x14ac:dyDescent="0.3">
      <c r="A4194" s="165"/>
      <c r="B4194" s="168"/>
      <c r="C4194" s="169"/>
      <c r="D4194" s="160"/>
      <c r="E4194" s="161"/>
      <c r="F4194" s="162"/>
      <c r="G4194" s="163"/>
      <c r="H4194" s="164"/>
      <c r="I4194" s="163"/>
      <c r="J4194" s="164"/>
      <c r="K4194" s="163"/>
      <c r="L4194" s="164"/>
      <c r="M4194" s="11"/>
      <c r="N4194" s="39"/>
      <c r="Q4194" s="15" t="str">
        <f>+CONCATENATE(E4193,I4193)</f>
        <v/>
      </c>
      <c r="R4194" s="15">
        <f>+J4193</f>
        <v>0</v>
      </c>
      <c r="S4194" s="16"/>
      <c r="T4194" s="15">
        <f>+E4193</f>
        <v>0</v>
      </c>
      <c r="U4194" s="26" t="str">
        <f>IFERROR(LEFT(I4193,FIND("*",I4193)-1),"-")</f>
        <v>-</v>
      </c>
      <c r="V4194" s="26" t="str">
        <f>IFERROR(RIGHT(I4193,LEN(I4193)-FIND("*",I4193)),"-")</f>
        <v>-</v>
      </c>
      <c r="W4194" s="27" t="str">
        <f t="shared" ref="W4194:W4201" si="2284">IFERROR((U4194+V4194)*2/1000,"-")</f>
        <v>-</v>
      </c>
      <c r="X4194" s="27" t="str">
        <f>IFERROR(W4194*J4193,"-")</f>
        <v>-</v>
      </c>
      <c r="Z4194" s="94" t="s">
        <v>82</v>
      </c>
    </row>
    <row r="4195" spans="1:26" s="25" customFormat="1" ht="6.95" customHeight="1" x14ac:dyDescent="0.3">
      <c r="A4195" s="165"/>
      <c r="B4195" s="168"/>
      <c r="C4195" s="169"/>
      <c r="D4195" s="160"/>
      <c r="E4195" s="161"/>
      <c r="F4195" s="162"/>
      <c r="G4195" s="163"/>
      <c r="H4195" s="164"/>
      <c r="I4195" s="163"/>
      <c r="J4195" s="164"/>
      <c r="K4195" s="163"/>
      <c r="L4195" s="164"/>
      <c r="M4195" s="11"/>
      <c r="N4195" s="39"/>
      <c r="Q4195" s="15" t="str">
        <f>+CONCATENATE(E4193,K4193)</f>
        <v/>
      </c>
      <c r="R4195" s="15">
        <f>+L4193</f>
        <v>0</v>
      </c>
      <c r="S4195" s="16"/>
      <c r="T4195" s="15">
        <f>+E4193</f>
        <v>0</v>
      </c>
      <c r="U4195" s="26" t="str">
        <f>IFERROR(LEFT(K4193,FIND("*",K4193)-1),"-")</f>
        <v>-</v>
      </c>
      <c r="V4195" s="26" t="str">
        <f>IFERROR(RIGHT(K4193,LEN(K4193)-FIND("*",K4193)),"-")</f>
        <v>-</v>
      </c>
      <c r="W4195" s="27" t="str">
        <f t="shared" si="2284"/>
        <v>-</v>
      </c>
      <c r="X4195" s="27" t="str">
        <f>IFERROR(W4195*L4193,"-")</f>
        <v>-</v>
      </c>
      <c r="Z4195" s="94" t="s">
        <v>82</v>
      </c>
    </row>
    <row r="4196" spans="1:26" s="25" customFormat="1" ht="6.95" customHeight="1" x14ac:dyDescent="0.3">
      <c r="A4196" s="13"/>
      <c r="B4196" s="168"/>
      <c r="C4196" s="169"/>
      <c r="D4196" s="160" t="s">
        <v>39</v>
      </c>
      <c r="E4196" s="161"/>
      <c r="F4196" s="162" t="s">
        <v>40</v>
      </c>
      <c r="G4196" s="163"/>
      <c r="H4196" s="164"/>
      <c r="I4196" s="163"/>
      <c r="J4196" s="164"/>
      <c r="K4196" s="163"/>
      <c r="L4196" s="164"/>
      <c r="M4196" s="11"/>
      <c r="N4196" s="39"/>
      <c r="Q4196" s="15" t="str">
        <f>+CONCATENATE(E4196,G4196)</f>
        <v/>
      </c>
      <c r="R4196" s="15">
        <f>+H4196</f>
        <v>0</v>
      </c>
      <c r="S4196" s="16"/>
      <c r="T4196" s="15">
        <f>+E4196</f>
        <v>0</v>
      </c>
      <c r="U4196" s="26" t="str">
        <f t="shared" ref="U4196" si="2285">IFERROR(LEFT(G4196,FIND("*",G4196)-1),"-")</f>
        <v>-</v>
      </c>
      <c r="V4196" s="26" t="str">
        <f t="shared" ref="V4196" si="2286">IFERROR(RIGHT(G4196,LEN(G4196)-FIND("*",G4196)),"-")</f>
        <v>-</v>
      </c>
      <c r="W4196" s="27" t="str">
        <f t="shared" si="2284"/>
        <v>-</v>
      </c>
      <c r="X4196" s="27" t="str">
        <f>IFERROR(W4196*H4196,"-")</f>
        <v>-</v>
      </c>
      <c r="Z4196" s="94" t="s">
        <v>82</v>
      </c>
    </row>
    <row r="4197" spans="1:26" s="25" customFormat="1" ht="6.95" customHeight="1" x14ac:dyDescent="0.3">
      <c r="A4197" s="10"/>
      <c r="B4197" s="168"/>
      <c r="C4197" s="169"/>
      <c r="D4197" s="160"/>
      <c r="E4197" s="161"/>
      <c r="F4197" s="162"/>
      <c r="G4197" s="163"/>
      <c r="H4197" s="164"/>
      <c r="I4197" s="163"/>
      <c r="J4197" s="164"/>
      <c r="K4197" s="163"/>
      <c r="L4197" s="164"/>
      <c r="M4197" s="11"/>
      <c r="N4197" s="39"/>
      <c r="Q4197" s="15" t="str">
        <f>+CONCATENATE(E4196,I4196)</f>
        <v/>
      </c>
      <c r="R4197" s="15">
        <f>+J4196</f>
        <v>0</v>
      </c>
      <c r="S4197" s="16"/>
      <c r="T4197" s="15">
        <f>+E4196</f>
        <v>0</v>
      </c>
      <c r="U4197" s="26" t="str">
        <f>IFERROR(LEFT(I4196,FIND("*",I4196)-1),"-")</f>
        <v>-</v>
      </c>
      <c r="V4197" s="26" t="str">
        <f>IFERROR(RIGHT(I4196,LEN(I4196)-FIND("*",I4196)),"-")</f>
        <v>-</v>
      </c>
      <c r="W4197" s="27" t="str">
        <f t="shared" si="2284"/>
        <v>-</v>
      </c>
      <c r="X4197" s="27" t="str">
        <f>IFERROR(W4197*J4196,"-")</f>
        <v>-</v>
      </c>
      <c r="Z4197" s="94" t="s">
        <v>82</v>
      </c>
    </row>
    <row r="4198" spans="1:26" s="25" customFormat="1" ht="6.95" customHeight="1" x14ac:dyDescent="0.3">
      <c r="A4198" s="10"/>
      <c r="B4198" s="168"/>
      <c r="C4198" s="169"/>
      <c r="D4198" s="160"/>
      <c r="E4198" s="161"/>
      <c r="F4198" s="162"/>
      <c r="G4198" s="163"/>
      <c r="H4198" s="164"/>
      <c r="I4198" s="163"/>
      <c r="J4198" s="164"/>
      <c r="K4198" s="163"/>
      <c r="L4198" s="164"/>
      <c r="M4198" s="11"/>
      <c r="N4198" s="39"/>
      <c r="Q4198" s="15" t="str">
        <f>+CONCATENATE(E4196,K4196)</f>
        <v/>
      </c>
      <c r="R4198" s="15">
        <f>+L4196</f>
        <v>0</v>
      </c>
      <c r="S4198" s="16"/>
      <c r="T4198" s="15">
        <f>+E4196</f>
        <v>0</v>
      </c>
      <c r="U4198" s="26" t="str">
        <f>IFERROR(LEFT(K4196,FIND("*",K4196)-1),"-")</f>
        <v>-</v>
      </c>
      <c r="V4198" s="26" t="str">
        <f>IFERROR(RIGHT(K4196,LEN(K4196)-FIND("*",K4196)),"-")</f>
        <v>-</v>
      </c>
      <c r="W4198" s="27" t="str">
        <f t="shared" si="2284"/>
        <v>-</v>
      </c>
      <c r="X4198" s="27" t="str">
        <f>IFERROR(W4198*L4196,"-")</f>
        <v>-</v>
      </c>
      <c r="Z4198" s="94" t="s">
        <v>82</v>
      </c>
    </row>
    <row r="4199" spans="1:26" s="25" customFormat="1" ht="6.95" customHeight="1" x14ac:dyDescent="0.3">
      <c r="A4199" s="13"/>
      <c r="B4199" s="168"/>
      <c r="C4199" s="169"/>
      <c r="D4199" s="160" t="s">
        <v>39</v>
      </c>
      <c r="E4199" s="161"/>
      <c r="F4199" s="162" t="s">
        <v>40</v>
      </c>
      <c r="G4199" s="163"/>
      <c r="H4199" s="164"/>
      <c r="I4199" s="163"/>
      <c r="J4199" s="164"/>
      <c r="K4199" s="163"/>
      <c r="L4199" s="164"/>
      <c r="M4199" s="11"/>
      <c r="N4199" s="39"/>
      <c r="Q4199" s="15" t="str">
        <f>+CONCATENATE(E4199,G4199)</f>
        <v/>
      </c>
      <c r="R4199" s="15">
        <f>+H4199</f>
        <v>0</v>
      </c>
      <c r="S4199" s="16"/>
      <c r="T4199" s="15">
        <f>+E4199</f>
        <v>0</v>
      </c>
      <c r="U4199" s="26" t="str">
        <f t="shared" ref="U4199" si="2287">IFERROR(LEFT(G4199,FIND("*",G4199)-1),"-")</f>
        <v>-</v>
      </c>
      <c r="V4199" s="26" t="str">
        <f t="shared" ref="V4199" si="2288">IFERROR(RIGHT(G4199,LEN(G4199)-FIND("*",G4199)),"-")</f>
        <v>-</v>
      </c>
      <c r="W4199" s="27" t="str">
        <f t="shared" si="2284"/>
        <v>-</v>
      </c>
      <c r="X4199" s="27" t="str">
        <f>IFERROR(W4199*H4199,"-")</f>
        <v>-</v>
      </c>
      <c r="Z4199" s="94" t="s">
        <v>82</v>
      </c>
    </row>
    <row r="4200" spans="1:26" s="25" customFormat="1" ht="6.95" customHeight="1" x14ac:dyDescent="0.3">
      <c r="A4200" s="10"/>
      <c r="B4200" s="168"/>
      <c r="C4200" s="169"/>
      <c r="D4200" s="160"/>
      <c r="E4200" s="161"/>
      <c r="F4200" s="162"/>
      <c r="G4200" s="163"/>
      <c r="H4200" s="164"/>
      <c r="I4200" s="163"/>
      <c r="J4200" s="164"/>
      <c r="K4200" s="163"/>
      <c r="L4200" s="164"/>
      <c r="M4200" s="11"/>
      <c r="N4200" s="39"/>
      <c r="Q4200" s="15" t="str">
        <f>+CONCATENATE(E4199,I4199)</f>
        <v/>
      </c>
      <c r="R4200" s="15">
        <f>+J4199</f>
        <v>0</v>
      </c>
      <c r="S4200" s="16"/>
      <c r="T4200" s="15">
        <f>+E4199</f>
        <v>0</v>
      </c>
      <c r="U4200" s="26" t="str">
        <f>IFERROR(LEFT(I4199,FIND("*",I4199)-1),"-")</f>
        <v>-</v>
      </c>
      <c r="V4200" s="26" t="str">
        <f>IFERROR(RIGHT(I4199,LEN(I4199)-FIND("*",I4199)),"-")</f>
        <v>-</v>
      </c>
      <c r="W4200" s="27" t="str">
        <f t="shared" si="2284"/>
        <v>-</v>
      </c>
      <c r="X4200" s="27" t="str">
        <f t="shared" ref="X4200" si="2289">IFERROR(W4200*J4199,"-")</f>
        <v>-</v>
      </c>
      <c r="Z4200" s="94" t="s">
        <v>82</v>
      </c>
    </row>
    <row r="4201" spans="1:26" s="25" customFormat="1" ht="6.95" customHeight="1" x14ac:dyDescent="0.3">
      <c r="A4201" s="10"/>
      <c r="B4201" s="168"/>
      <c r="C4201" s="169"/>
      <c r="D4201" s="160"/>
      <c r="E4201" s="161"/>
      <c r="F4201" s="162"/>
      <c r="G4201" s="163"/>
      <c r="H4201" s="164"/>
      <c r="I4201" s="163"/>
      <c r="J4201" s="164"/>
      <c r="K4201" s="163"/>
      <c r="L4201" s="164"/>
      <c r="M4201" s="11"/>
      <c r="N4201" s="39"/>
      <c r="Q4201" s="15" t="str">
        <f>+CONCATENATE(E4199,K4199)</f>
        <v/>
      </c>
      <c r="R4201" s="15">
        <f>+L4199</f>
        <v>0</v>
      </c>
      <c r="S4201" s="16"/>
      <c r="T4201" s="15">
        <f>+E4199</f>
        <v>0</v>
      </c>
      <c r="U4201" s="26" t="str">
        <f>IFERROR(LEFT(K4199,FIND("*",K4199)-1),"-")</f>
        <v>-</v>
      </c>
      <c r="V4201" s="26" t="str">
        <f>IFERROR(RIGHT(K4199,LEN(K4199)-FIND("*",K4199)),"-")</f>
        <v>-</v>
      </c>
      <c r="W4201" s="27" t="str">
        <f t="shared" si="2284"/>
        <v>-</v>
      </c>
      <c r="X4201" s="27" t="str">
        <f>IFERROR(W4201*L4199,"-")</f>
        <v>-</v>
      </c>
      <c r="Z4201" s="94" t="s">
        <v>82</v>
      </c>
    </row>
    <row r="4202" spans="1:26" s="25" customFormat="1" ht="21" customHeight="1" thickBot="1" x14ac:dyDescent="0.35">
      <c r="A4202" s="10"/>
      <c r="B4202" s="170"/>
      <c r="C4202" s="171"/>
      <c r="D4202" s="172" t="s">
        <v>43</v>
      </c>
      <c r="E4202" s="173"/>
      <c r="F4202" s="173"/>
      <c r="G4202" s="174"/>
      <c r="H4202" s="174"/>
      <c r="I4202" s="174"/>
      <c r="J4202" s="174"/>
      <c r="K4202" s="174"/>
      <c r="L4202" s="174"/>
      <c r="M4202" s="12"/>
      <c r="N4202" s="39"/>
      <c r="U4202" s="23"/>
      <c r="V4202" s="23"/>
      <c r="Z4202" s="95" t="s">
        <v>81</v>
      </c>
    </row>
    <row r="4203" spans="1:26" s="25" customFormat="1" ht="9.9499999999999993" customHeight="1" thickBot="1" x14ac:dyDescent="0.35">
      <c r="A4203" s="6"/>
      <c r="B4203" s="14"/>
      <c r="C4203" s="119"/>
      <c r="D4203" s="58"/>
      <c r="E4203" s="17"/>
      <c r="F4203" s="58"/>
      <c r="G4203" s="19"/>
      <c r="H4203" s="19"/>
      <c r="I4203" s="19"/>
      <c r="J4203" s="19"/>
      <c r="K4203" s="19"/>
      <c r="L4203" s="19"/>
      <c r="M4203" s="14"/>
      <c r="N4203" s="39"/>
      <c r="Q4203" s="1"/>
      <c r="R4203" s="1"/>
      <c r="S4203" s="1"/>
      <c r="T4203" s="1"/>
      <c r="U4203" s="24"/>
      <c r="V4203" s="24"/>
      <c r="W4203" s="1"/>
      <c r="X4203" s="1"/>
      <c r="Z4203" s="94" t="s">
        <v>82</v>
      </c>
    </row>
    <row r="4204" spans="1:26" s="25" customFormat="1" ht="6.95" customHeight="1" x14ac:dyDescent="0.3">
      <c r="A4204" s="165">
        <f>+A4193+1</f>
        <v>383</v>
      </c>
      <c r="B4204" s="166"/>
      <c r="C4204" s="167"/>
      <c r="D4204" s="160" t="s">
        <v>39</v>
      </c>
      <c r="E4204" s="161"/>
      <c r="F4204" s="162" t="s">
        <v>40</v>
      </c>
      <c r="G4204" s="163"/>
      <c r="H4204" s="164"/>
      <c r="I4204" s="163"/>
      <c r="J4204" s="164"/>
      <c r="K4204" s="163"/>
      <c r="L4204" s="164"/>
      <c r="M4204" s="11"/>
      <c r="N4204" s="39"/>
      <c r="Q4204" s="15" t="str">
        <f>+CONCATENATE(E4204,G4204)</f>
        <v/>
      </c>
      <c r="R4204" s="15">
        <f>+H4204</f>
        <v>0</v>
      </c>
      <c r="S4204" s="16"/>
      <c r="T4204" s="15">
        <f>+E4204</f>
        <v>0</v>
      </c>
      <c r="U4204" s="26" t="str">
        <f>IFERROR(LEFT(G4204,FIND("*",G4204)-1),"-")</f>
        <v>-</v>
      </c>
      <c r="V4204" s="26" t="str">
        <f>IFERROR(RIGHT(G4204,LEN(G4204)-FIND("*",G4204)),"-")</f>
        <v>-</v>
      </c>
      <c r="W4204" s="27" t="str">
        <f>IFERROR((U4204+V4204)*2/1000,"-")</f>
        <v>-</v>
      </c>
      <c r="X4204" s="27" t="str">
        <f>IFERROR(W4204*H4204,"-")</f>
        <v>-</v>
      </c>
      <c r="Z4204" s="94" t="s">
        <v>82</v>
      </c>
    </row>
    <row r="4205" spans="1:26" s="25" customFormat="1" ht="6.95" customHeight="1" x14ac:dyDescent="0.3">
      <c r="A4205" s="165"/>
      <c r="B4205" s="168"/>
      <c r="C4205" s="169"/>
      <c r="D4205" s="160"/>
      <c r="E4205" s="161"/>
      <c r="F4205" s="162"/>
      <c r="G4205" s="163"/>
      <c r="H4205" s="164"/>
      <c r="I4205" s="163"/>
      <c r="J4205" s="164"/>
      <c r="K4205" s="163"/>
      <c r="L4205" s="164"/>
      <c r="M4205" s="11"/>
      <c r="N4205" s="39"/>
      <c r="Q4205" s="15" t="str">
        <f>+CONCATENATE(E4204,I4204)</f>
        <v/>
      </c>
      <c r="R4205" s="15">
        <f>+J4204</f>
        <v>0</v>
      </c>
      <c r="S4205" s="16"/>
      <c r="T4205" s="15">
        <f>+E4204</f>
        <v>0</v>
      </c>
      <c r="U4205" s="26" t="str">
        <f>IFERROR(LEFT(I4204,FIND("*",I4204)-1),"-")</f>
        <v>-</v>
      </c>
      <c r="V4205" s="26" t="str">
        <f>IFERROR(RIGHT(I4204,LEN(I4204)-FIND("*",I4204)),"-")</f>
        <v>-</v>
      </c>
      <c r="W4205" s="27" t="str">
        <f t="shared" ref="W4205:W4212" si="2290">IFERROR((U4205+V4205)*2/1000,"-")</f>
        <v>-</v>
      </c>
      <c r="X4205" s="27" t="str">
        <f>IFERROR(W4205*J4204,"-")</f>
        <v>-</v>
      </c>
      <c r="Z4205" s="94" t="s">
        <v>82</v>
      </c>
    </row>
    <row r="4206" spans="1:26" s="25" customFormat="1" ht="6.95" customHeight="1" x14ac:dyDescent="0.3">
      <c r="A4206" s="165"/>
      <c r="B4206" s="168"/>
      <c r="C4206" s="169"/>
      <c r="D4206" s="160"/>
      <c r="E4206" s="161"/>
      <c r="F4206" s="162"/>
      <c r="G4206" s="163"/>
      <c r="H4206" s="164"/>
      <c r="I4206" s="163"/>
      <c r="J4206" s="164"/>
      <c r="K4206" s="163"/>
      <c r="L4206" s="164"/>
      <c r="M4206" s="11"/>
      <c r="N4206" s="39"/>
      <c r="Q4206" s="15" t="str">
        <f>+CONCATENATE(E4204,K4204)</f>
        <v/>
      </c>
      <c r="R4206" s="15">
        <f>+L4204</f>
        <v>0</v>
      </c>
      <c r="S4206" s="16"/>
      <c r="T4206" s="15">
        <f>+E4204</f>
        <v>0</v>
      </c>
      <c r="U4206" s="26" t="str">
        <f>IFERROR(LEFT(K4204,FIND("*",K4204)-1),"-")</f>
        <v>-</v>
      </c>
      <c r="V4206" s="26" t="str">
        <f>IFERROR(RIGHT(K4204,LEN(K4204)-FIND("*",K4204)),"-")</f>
        <v>-</v>
      </c>
      <c r="W4206" s="27" t="str">
        <f t="shared" si="2290"/>
        <v>-</v>
      </c>
      <c r="X4206" s="27" t="str">
        <f>IFERROR(W4206*L4204,"-")</f>
        <v>-</v>
      </c>
      <c r="Z4206" s="94" t="s">
        <v>82</v>
      </c>
    </row>
    <row r="4207" spans="1:26" s="25" customFormat="1" ht="6.95" customHeight="1" x14ac:dyDescent="0.3">
      <c r="A4207" s="13"/>
      <c r="B4207" s="168"/>
      <c r="C4207" s="169"/>
      <c r="D4207" s="160" t="s">
        <v>39</v>
      </c>
      <c r="E4207" s="161"/>
      <c r="F4207" s="162" t="s">
        <v>40</v>
      </c>
      <c r="G4207" s="163"/>
      <c r="H4207" s="164"/>
      <c r="I4207" s="163"/>
      <c r="J4207" s="164"/>
      <c r="K4207" s="163"/>
      <c r="L4207" s="164"/>
      <c r="M4207" s="11"/>
      <c r="N4207" s="39"/>
      <c r="Q4207" s="15" t="str">
        <f>+CONCATENATE(E4207,G4207)</f>
        <v/>
      </c>
      <c r="R4207" s="15">
        <f>+H4207</f>
        <v>0</v>
      </c>
      <c r="S4207" s="16"/>
      <c r="T4207" s="15">
        <f>+E4207</f>
        <v>0</v>
      </c>
      <c r="U4207" s="26" t="str">
        <f t="shared" ref="U4207" si="2291">IFERROR(LEFT(G4207,FIND("*",G4207)-1),"-")</f>
        <v>-</v>
      </c>
      <c r="V4207" s="26" t="str">
        <f t="shared" ref="V4207" si="2292">IFERROR(RIGHT(G4207,LEN(G4207)-FIND("*",G4207)),"-")</f>
        <v>-</v>
      </c>
      <c r="W4207" s="27" t="str">
        <f t="shared" si="2290"/>
        <v>-</v>
      </c>
      <c r="X4207" s="27" t="str">
        <f>IFERROR(W4207*H4207,"-")</f>
        <v>-</v>
      </c>
      <c r="Z4207" s="94" t="s">
        <v>82</v>
      </c>
    </row>
    <row r="4208" spans="1:26" s="25" customFormat="1" ht="6.95" customHeight="1" x14ac:dyDescent="0.3">
      <c r="A4208" s="10"/>
      <c r="B4208" s="168"/>
      <c r="C4208" s="169"/>
      <c r="D4208" s="160"/>
      <c r="E4208" s="161"/>
      <c r="F4208" s="162"/>
      <c r="G4208" s="163"/>
      <c r="H4208" s="164"/>
      <c r="I4208" s="163"/>
      <c r="J4208" s="164"/>
      <c r="K4208" s="163"/>
      <c r="L4208" s="164"/>
      <c r="M4208" s="11"/>
      <c r="N4208" s="39"/>
      <c r="Q4208" s="15" t="str">
        <f>+CONCATENATE(E4207,I4207)</f>
        <v/>
      </c>
      <c r="R4208" s="15">
        <f>+J4207</f>
        <v>0</v>
      </c>
      <c r="S4208" s="16"/>
      <c r="T4208" s="15">
        <f>+E4207</f>
        <v>0</v>
      </c>
      <c r="U4208" s="26" t="str">
        <f>IFERROR(LEFT(I4207,FIND("*",I4207)-1),"-")</f>
        <v>-</v>
      </c>
      <c r="V4208" s="26" t="str">
        <f>IFERROR(RIGHT(I4207,LEN(I4207)-FIND("*",I4207)),"-")</f>
        <v>-</v>
      </c>
      <c r="W4208" s="27" t="str">
        <f t="shared" si="2290"/>
        <v>-</v>
      </c>
      <c r="X4208" s="27" t="str">
        <f>IFERROR(W4208*J4207,"-")</f>
        <v>-</v>
      </c>
      <c r="Z4208" s="94" t="s">
        <v>82</v>
      </c>
    </row>
    <row r="4209" spans="1:26" s="25" customFormat="1" ht="6.95" customHeight="1" x14ac:dyDescent="0.3">
      <c r="A4209" s="10"/>
      <c r="B4209" s="168"/>
      <c r="C4209" s="169"/>
      <c r="D4209" s="160"/>
      <c r="E4209" s="161"/>
      <c r="F4209" s="162"/>
      <c r="G4209" s="163"/>
      <c r="H4209" s="164"/>
      <c r="I4209" s="163"/>
      <c r="J4209" s="164"/>
      <c r="K4209" s="163"/>
      <c r="L4209" s="164"/>
      <c r="M4209" s="11"/>
      <c r="N4209" s="39"/>
      <c r="Q4209" s="15" t="str">
        <f>+CONCATENATE(E4207,K4207)</f>
        <v/>
      </c>
      <c r="R4209" s="15">
        <f>+L4207</f>
        <v>0</v>
      </c>
      <c r="S4209" s="16"/>
      <c r="T4209" s="15">
        <f>+E4207</f>
        <v>0</v>
      </c>
      <c r="U4209" s="26" t="str">
        <f>IFERROR(LEFT(K4207,FIND("*",K4207)-1),"-")</f>
        <v>-</v>
      </c>
      <c r="V4209" s="26" t="str">
        <f>IFERROR(RIGHT(K4207,LEN(K4207)-FIND("*",K4207)),"-")</f>
        <v>-</v>
      </c>
      <c r="W4209" s="27" t="str">
        <f t="shared" si="2290"/>
        <v>-</v>
      </c>
      <c r="X4209" s="27" t="str">
        <f>IFERROR(W4209*L4207,"-")</f>
        <v>-</v>
      </c>
      <c r="Z4209" s="94" t="s">
        <v>82</v>
      </c>
    </row>
    <row r="4210" spans="1:26" s="25" customFormat="1" ht="6.95" customHeight="1" x14ac:dyDescent="0.3">
      <c r="A4210" s="13"/>
      <c r="B4210" s="168"/>
      <c r="C4210" s="169"/>
      <c r="D4210" s="160" t="s">
        <v>39</v>
      </c>
      <c r="E4210" s="161"/>
      <c r="F4210" s="162" t="s">
        <v>40</v>
      </c>
      <c r="G4210" s="163"/>
      <c r="H4210" s="164"/>
      <c r="I4210" s="163"/>
      <c r="J4210" s="164"/>
      <c r="K4210" s="163"/>
      <c r="L4210" s="164"/>
      <c r="M4210" s="11"/>
      <c r="N4210" s="39"/>
      <c r="Q4210" s="15" t="str">
        <f>+CONCATENATE(E4210,G4210)</f>
        <v/>
      </c>
      <c r="R4210" s="15">
        <f>+H4210</f>
        <v>0</v>
      </c>
      <c r="S4210" s="16"/>
      <c r="T4210" s="15">
        <f>+E4210</f>
        <v>0</v>
      </c>
      <c r="U4210" s="26" t="str">
        <f t="shared" ref="U4210" si="2293">IFERROR(LEFT(G4210,FIND("*",G4210)-1),"-")</f>
        <v>-</v>
      </c>
      <c r="V4210" s="26" t="str">
        <f t="shared" ref="V4210" si="2294">IFERROR(RIGHT(G4210,LEN(G4210)-FIND("*",G4210)),"-")</f>
        <v>-</v>
      </c>
      <c r="W4210" s="27" t="str">
        <f t="shared" si="2290"/>
        <v>-</v>
      </c>
      <c r="X4210" s="27" t="str">
        <f>IFERROR(W4210*H4210,"-")</f>
        <v>-</v>
      </c>
      <c r="Z4210" s="94" t="s">
        <v>82</v>
      </c>
    </row>
    <row r="4211" spans="1:26" s="25" customFormat="1" ht="6.95" customHeight="1" x14ac:dyDescent="0.3">
      <c r="A4211" s="10"/>
      <c r="B4211" s="168"/>
      <c r="C4211" s="169"/>
      <c r="D4211" s="160"/>
      <c r="E4211" s="161"/>
      <c r="F4211" s="162"/>
      <c r="G4211" s="163"/>
      <c r="H4211" s="164"/>
      <c r="I4211" s="163"/>
      <c r="J4211" s="164"/>
      <c r="K4211" s="163"/>
      <c r="L4211" s="164"/>
      <c r="M4211" s="11"/>
      <c r="N4211" s="39"/>
      <c r="Q4211" s="15" t="str">
        <f>+CONCATENATE(E4210,I4210)</f>
        <v/>
      </c>
      <c r="R4211" s="15">
        <f>+J4210</f>
        <v>0</v>
      </c>
      <c r="S4211" s="16"/>
      <c r="T4211" s="15">
        <f>+E4210</f>
        <v>0</v>
      </c>
      <c r="U4211" s="26" t="str">
        <f>IFERROR(LEFT(I4210,FIND("*",I4210)-1),"-")</f>
        <v>-</v>
      </c>
      <c r="V4211" s="26" t="str">
        <f>IFERROR(RIGHT(I4210,LEN(I4210)-FIND("*",I4210)),"-")</f>
        <v>-</v>
      </c>
      <c r="W4211" s="27" t="str">
        <f t="shared" si="2290"/>
        <v>-</v>
      </c>
      <c r="X4211" s="27" t="str">
        <f t="shared" ref="X4211" si="2295">IFERROR(W4211*J4210,"-")</f>
        <v>-</v>
      </c>
      <c r="Z4211" s="94" t="s">
        <v>82</v>
      </c>
    </row>
    <row r="4212" spans="1:26" s="25" customFormat="1" ht="6.95" customHeight="1" x14ac:dyDescent="0.3">
      <c r="A4212" s="10"/>
      <c r="B4212" s="168"/>
      <c r="C4212" s="169"/>
      <c r="D4212" s="160"/>
      <c r="E4212" s="161"/>
      <c r="F4212" s="162"/>
      <c r="G4212" s="163"/>
      <c r="H4212" s="164"/>
      <c r="I4212" s="163"/>
      <c r="J4212" s="164"/>
      <c r="K4212" s="163"/>
      <c r="L4212" s="164"/>
      <c r="M4212" s="11"/>
      <c r="N4212" s="39"/>
      <c r="Q4212" s="15" t="str">
        <f>+CONCATENATE(E4210,K4210)</f>
        <v/>
      </c>
      <c r="R4212" s="15">
        <f>+L4210</f>
        <v>0</v>
      </c>
      <c r="S4212" s="16"/>
      <c r="T4212" s="15">
        <f>+E4210</f>
        <v>0</v>
      </c>
      <c r="U4212" s="26" t="str">
        <f>IFERROR(LEFT(K4210,FIND("*",K4210)-1),"-")</f>
        <v>-</v>
      </c>
      <c r="V4212" s="26" t="str">
        <f>IFERROR(RIGHT(K4210,LEN(K4210)-FIND("*",K4210)),"-")</f>
        <v>-</v>
      </c>
      <c r="W4212" s="27" t="str">
        <f t="shared" si="2290"/>
        <v>-</v>
      </c>
      <c r="X4212" s="27" t="str">
        <f>IFERROR(W4212*L4210,"-")</f>
        <v>-</v>
      </c>
      <c r="Z4212" s="94" t="s">
        <v>82</v>
      </c>
    </row>
    <row r="4213" spans="1:26" s="25" customFormat="1" ht="21" customHeight="1" thickBot="1" x14ac:dyDescent="0.35">
      <c r="A4213" s="10"/>
      <c r="B4213" s="170"/>
      <c r="C4213" s="171"/>
      <c r="D4213" s="172" t="s">
        <v>43</v>
      </c>
      <c r="E4213" s="173"/>
      <c r="F4213" s="173"/>
      <c r="G4213" s="174"/>
      <c r="H4213" s="174"/>
      <c r="I4213" s="174"/>
      <c r="J4213" s="174"/>
      <c r="K4213" s="174"/>
      <c r="L4213" s="174"/>
      <c r="M4213" s="12"/>
      <c r="N4213" s="39"/>
      <c r="U4213" s="23"/>
      <c r="V4213" s="23"/>
      <c r="Z4213" s="95" t="s">
        <v>81</v>
      </c>
    </row>
    <row r="4214" spans="1:26" s="25" customFormat="1" ht="9.9499999999999993" customHeight="1" thickBot="1" x14ac:dyDescent="0.35">
      <c r="A4214" s="6"/>
      <c r="B4214" s="14"/>
      <c r="C4214" s="119"/>
      <c r="D4214" s="58"/>
      <c r="E4214" s="17"/>
      <c r="F4214" s="58"/>
      <c r="G4214" s="19"/>
      <c r="H4214" s="19"/>
      <c r="I4214" s="19"/>
      <c r="J4214" s="19"/>
      <c r="K4214" s="19"/>
      <c r="L4214" s="19"/>
      <c r="M4214" s="14"/>
      <c r="N4214" s="39"/>
      <c r="Q4214" s="1"/>
      <c r="R4214" s="1"/>
      <c r="S4214" s="1"/>
      <c r="T4214" s="1"/>
      <c r="U4214" s="24"/>
      <c r="V4214" s="24"/>
      <c r="W4214" s="1"/>
      <c r="X4214" s="1"/>
      <c r="Z4214" s="94" t="s">
        <v>82</v>
      </c>
    </row>
    <row r="4215" spans="1:26" s="25" customFormat="1" ht="6.95" customHeight="1" x14ac:dyDescent="0.3">
      <c r="A4215" s="165">
        <f>+A4204+1</f>
        <v>384</v>
      </c>
      <c r="B4215" s="166"/>
      <c r="C4215" s="167"/>
      <c r="D4215" s="160" t="s">
        <v>39</v>
      </c>
      <c r="E4215" s="161"/>
      <c r="F4215" s="162" t="s">
        <v>40</v>
      </c>
      <c r="G4215" s="163"/>
      <c r="H4215" s="164"/>
      <c r="I4215" s="163"/>
      <c r="J4215" s="164"/>
      <c r="K4215" s="163"/>
      <c r="L4215" s="164"/>
      <c r="M4215" s="11"/>
      <c r="N4215" s="39"/>
      <c r="Q4215" s="15" t="str">
        <f>+CONCATENATE(E4215,G4215)</f>
        <v/>
      </c>
      <c r="R4215" s="15">
        <f>+H4215</f>
        <v>0</v>
      </c>
      <c r="S4215" s="16"/>
      <c r="T4215" s="15">
        <f>+E4215</f>
        <v>0</v>
      </c>
      <c r="U4215" s="26" t="str">
        <f>IFERROR(LEFT(G4215,FIND("*",G4215)-1),"-")</f>
        <v>-</v>
      </c>
      <c r="V4215" s="26" t="str">
        <f>IFERROR(RIGHT(G4215,LEN(G4215)-FIND("*",G4215)),"-")</f>
        <v>-</v>
      </c>
      <c r="W4215" s="27" t="str">
        <f>IFERROR((U4215+V4215)*2/1000,"-")</f>
        <v>-</v>
      </c>
      <c r="X4215" s="27" t="str">
        <f>IFERROR(W4215*H4215,"-")</f>
        <v>-</v>
      </c>
      <c r="Z4215" s="94" t="s">
        <v>82</v>
      </c>
    </row>
    <row r="4216" spans="1:26" s="25" customFormat="1" ht="6.95" customHeight="1" x14ac:dyDescent="0.3">
      <c r="A4216" s="165"/>
      <c r="B4216" s="168"/>
      <c r="C4216" s="169"/>
      <c r="D4216" s="160"/>
      <c r="E4216" s="161"/>
      <c r="F4216" s="162"/>
      <c r="G4216" s="163"/>
      <c r="H4216" s="164"/>
      <c r="I4216" s="163"/>
      <c r="J4216" s="164"/>
      <c r="K4216" s="163"/>
      <c r="L4216" s="164"/>
      <c r="M4216" s="11"/>
      <c r="N4216" s="39"/>
      <c r="Q4216" s="15" t="str">
        <f>+CONCATENATE(E4215,I4215)</f>
        <v/>
      </c>
      <c r="R4216" s="15">
        <f>+J4215</f>
        <v>0</v>
      </c>
      <c r="S4216" s="16"/>
      <c r="T4216" s="15">
        <f>+E4215</f>
        <v>0</v>
      </c>
      <c r="U4216" s="26" t="str">
        <f>IFERROR(LEFT(I4215,FIND("*",I4215)-1),"-")</f>
        <v>-</v>
      </c>
      <c r="V4216" s="26" t="str">
        <f>IFERROR(RIGHT(I4215,LEN(I4215)-FIND("*",I4215)),"-")</f>
        <v>-</v>
      </c>
      <c r="W4216" s="27" t="str">
        <f t="shared" ref="W4216:W4223" si="2296">IFERROR((U4216+V4216)*2/1000,"-")</f>
        <v>-</v>
      </c>
      <c r="X4216" s="27" t="str">
        <f>IFERROR(W4216*J4215,"-")</f>
        <v>-</v>
      </c>
      <c r="Z4216" s="94" t="s">
        <v>82</v>
      </c>
    </row>
    <row r="4217" spans="1:26" s="25" customFormat="1" ht="6.95" customHeight="1" x14ac:dyDescent="0.3">
      <c r="A4217" s="165"/>
      <c r="B4217" s="168"/>
      <c r="C4217" s="169"/>
      <c r="D4217" s="160"/>
      <c r="E4217" s="161"/>
      <c r="F4217" s="162"/>
      <c r="G4217" s="163"/>
      <c r="H4217" s="164"/>
      <c r="I4217" s="163"/>
      <c r="J4217" s="164"/>
      <c r="K4217" s="163"/>
      <c r="L4217" s="164"/>
      <c r="M4217" s="11"/>
      <c r="N4217" s="39"/>
      <c r="Q4217" s="15" t="str">
        <f>+CONCATENATE(E4215,K4215)</f>
        <v/>
      </c>
      <c r="R4217" s="15">
        <f>+L4215</f>
        <v>0</v>
      </c>
      <c r="S4217" s="16"/>
      <c r="T4217" s="15">
        <f>+E4215</f>
        <v>0</v>
      </c>
      <c r="U4217" s="26" t="str">
        <f>IFERROR(LEFT(K4215,FIND("*",K4215)-1),"-")</f>
        <v>-</v>
      </c>
      <c r="V4217" s="26" t="str">
        <f>IFERROR(RIGHT(K4215,LEN(K4215)-FIND("*",K4215)),"-")</f>
        <v>-</v>
      </c>
      <c r="W4217" s="27" t="str">
        <f t="shared" si="2296"/>
        <v>-</v>
      </c>
      <c r="X4217" s="27" t="str">
        <f>IFERROR(W4217*L4215,"-")</f>
        <v>-</v>
      </c>
      <c r="Z4217" s="94" t="s">
        <v>82</v>
      </c>
    </row>
    <row r="4218" spans="1:26" s="25" customFormat="1" ht="6.95" customHeight="1" x14ac:dyDescent="0.3">
      <c r="A4218" s="13"/>
      <c r="B4218" s="168"/>
      <c r="C4218" s="169"/>
      <c r="D4218" s="160" t="s">
        <v>39</v>
      </c>
      <c r="E4218" s="161"/>
      <c r="F4218" s="162" t="s">
        <v>40</v>
      </c>
      <c r="G4218" s="163"/>
      <c r="H4218" s="164"/>
      <c r="I4218" s="163"/>
      <c r="J4218" s="164"/>
      <c r="K4218" s="163"/>
      <c r="L4218" s="164"/>
      <c r="M4218" s="11"/>
      <c r="N4218" s="39"/>
      <c r="Q4218" s="15" t="str">
        <f>+CONCATENATE(E4218,G4218)</f>
        <v/>
      </c>
      <c r="R4218" s="15">
        <f>+H4218</f>
        <v>0</v>
      </c>
      <c r="S4218" s="16"/>
      <c r="T4218" s="15">
        <f>+E4218</f>
        <v>0</v>
      </c>
      <c r="U4218" s="26" t="str">
        <f t="shared" ref="U4218" si="2297">IFERROR(LEFT(G4218,FIND("*",G4218)-1),"-")</f>
        <v>-</v>
      </c>
      <c r="V4218" s="26" t="str">
        <f t="shared" ref="V4218" si="2298">IFERROR(RIGHT(G4218,LEN(G4218)-FIND("*",G4218)),"-")</f>
        <v>-</v>
      </c>
      <c r="W4218" s="27" t="str">
        <f t="shared" si="2296"/>
        <v>-</v>
      </c>
      <c r="X4218" s="27" t="str">
        <f>IFERROR(W4218*H4218,"-")</f>
        <v>-</v>
      </c>
      <c r="Z4218" s="94" t="s">
        <v>82</v>
      </c>
    </row>
    <row r="4219" spans="1:26" s="25" customFormat="1" ht="6.95" customHeight="1" x14ac:dyDescent="0.3">
      <c r="A4219" s="10"/>
      <c r="B4219" s="168"/>
      <c r="C4219" s="169"/>
      <c r="D4219" s="160"/>
      <c r="E4219" s="161"/>
      <c r="F4219" s="162"/>
      <c r="G4219" s="163"/>
      <c r="H4219" s="164"/>
      <c r="I4219" s="163"/>
      <c r="J4219" s="164"/>
      <c r="K4219" s="163"/>
      <c r="L4219" s="164"/>
      <c r="M4219" s="11"/>
      <c r="N4219" s="39"/>
      <c r="Q4219" s="15" t="str">
        <f>+CONCATENATE(E4218,I4218)</f>
        <v/>
      </c>
      <c r="R4219" s="15">
        <f>+J4218</f>
        <v>0</v>
      </c>
      <c r="S4219" s="16"/>
      <c r="T4219" s="15">
        <f>+E4218</f>
        <v>0</v>
      </c>
      <c r="U4219" s="26" t="str">
        <f>IFERROR(LEFT(I4218,FIND("*",I4218)-1),"-")</f>
        <v>-</v>
      </c>
      <c r="V4219" s="26" t="str">
        <f>IFERROR(RIGHT(I4218,LEN(I4218)-FIND("*",I4218)),"-")</f>
        <v>-</v>
      </c>
      <c r="W4219" s="27" t="str">
        <f t="shared" si="2296"/>
        <v>-</v>
      </c>
      <c r="X4219" s="27" t="str">
        <f>IFERROR(W4219*J4218,"-")</f>
        <v>-</v>
      </c>
      <c r="Z4219" s="94" t="s">
        <v>82</v>
      </c>
    </row>
    <row r="4220" spans="1:26" s="25" customFormat="1" ht="6.95" customHeight="1" x14ac:dyDescent="0.3">
      <c r="A4220" s="10"/>
      <c r="B4220" s="168"/>
      <c r="C4220" s="169"/>
      <c r="D4220" s="160"/>
      <c r="E4220" s="161"/>
      <c r="F4220" s="162"/>
      <c r="G4220" s="163"/>
      <c r="H4220" s="164"/>
      <c r="I4220" s="163"/>
      <c r="J4220" s="164"/>
      <c r="K4220" s="163"/>
      <c r="L4220" s="164"/>
      <c r="M4220" s="11"/>
      <c r="N4220" s="39"/>
      <c r="Q4220" s="15" t="str">
        <f>+CONCATENATE(E4218,K4218)</f>
        <v/>
      </c>
      <c r="R4220" s="15">
        <f>+L4218</f>
        <v>0</v>
      </c>
      <c r="S4220" s="16"/>
      <c r="T4220" s="15">
        <f>+E4218</f>
        <v>0</v>
      </c>
      <c r="U4220" s="26" t="str">
        <f>IFERROR(LEFT(K4218,FIND("*",K4218)-1),"-")</f>
        <v>-</v>
      </c>
      <c r="V4220" s="26" t="str">
        <f>IFERROR(RIGHT(K4218,LEN(K4218)-FIND("*",K4218)),"-")</f>
        <v>-</v>
      </c>
      <c r="W4220" s="27" t="str">
        <f t="shared" si="2296"/>
        <v>-</v>
      </c>
      <c r="X4220" s="27" t="str">
        <f>IFERROR(W4220*L4218,"-")</f>
        <v>-</v>
      </c>
      <c r="Z4220" s="94" t="s">
        <v>82</v>
      </c>
    </row>
    <row r="4221" spans="1:26" s="25" customFormat="1" ht="6.95" customHeight="1" x14ac:dyDescent="0.3">
      <c r="A4221" s="13"/>
      <c r="B4221" s="168"/>
      <c r="C4221" s="169"/>
      <c r="D4221" s="160" t="s">
        <v>39</v>
      </c>
      <c r="E4221" s="161"/>
      <c r="F4221" s="162" t="s">
        <v>40</v>
      </c>
      <c r="G4221" s="163"/>
      <c r="H4221" s="164"/>
      <c r="I4221" s="163"/>
      <c r="J4221" s="164"/>
      <c r="K4221" s="163"/>
      <c r="L4221" s="164"/>
      <c r="M4221" s="11"/>
      <c r="N4221" s="39"/>
      <c r="Q4221" s="15" t="str">
        <f>+CONCATENATE(E4221,G4221)</f>
        <v/>
      </c>
      <c r="R4221" s="15">
        <f>+H4221</f>
        <v>0</v>
      </c>
      <c r="S4221" s="16"/>
      <c r="T4221" s="15">
        <f>+E4221</f>
        <v>0</v>
      </c>
      <c r="U4221" s="26" t="str">
        <f t="shared" ref="U4221" si="2299">IFERROR(LEFT(G4221,FIND("*",G4221)-1),"-")</f>
        <v>-</v>
      </c>
      <c r="V4221" s="26" t="str">
        <f t="shared" ref="V4221" si="2300">IFERROR(RIGHT(G4221,LEN(G4221)-FIND("*",G4221)),"-")</f>
        <v>-</v>
      </c>
      <c r="W4221" s="27" t="str">
        <f t="shared" si="2296"/>
        <v>-</v>
      </c>
      <c r="X4221" s="27" t="str">
        <f>IFERROR(W4221*H4221,"-")</f>
        <v>-</v>
      </c>
      <c r="Z4221" s="94" t="s">
        <v>82</v>
      </c>
    </row>
    <row r="4222" spans="1:26" s="25" customFormat="1" ht="6.95" customHeight="1" x14ac:dyDescent="0.3">
      <c r="A4222" s="10"/>
      <c r="B4222" s="168"/>
      <c r="C4222" s="169"/>
      <c r="D4222" s="160"/>
      <c r="E4222" s="161"/>
      <c r="F4222" s="162"/>
      <c r="G4222" s="163"/>
      <c r="H4222" s="164"/>
      <c r="I4222" s="163"/>
      <c r="J4222" s="164"/>
      <c r="K4222" s="163"/>
      <c r="L4222" s="164"/>
      <c r="M4222" s="11"/>
      <c r="N4222" s="39"/>
      <c r="Q4222" s="15" t="str">
        <f>+CONCATENATE(E4221,I4221)</f>
        <v/>
      </c>
      <c r="R4222" s="15">
        <f>+J4221</f>
        <v>0</v>
      </c>
      <c r="S4222" s="16"/>
      <c r="T4222" s="15">
        <f>+E4221</f>
        <v>0</v>
      </c>
      <c r="U4222" s="26" t="str">
        <f>IFERROR(LEFT(I4221,FIND("*",I4221)-1),"-")</f>
        <v>-</v>
      </c>
      <c r="V4222" s="26" t="str">
        <f>IFERROR(RIGHT(I4221,LEN(I4221)-FIND("*",I4221)),"-")</f>
        <v>-</v>
      </c>
      <c r="W4222" s="27" t="str">
        <f t="shared" si="2296"/>
        <v>-</v>
      </c>
      <c r="X4222" s="27" t="str">
        <f t="shared" ref="X4222" si="2301">IFERROR(W4222*J4221,"-")</f>
        <v>-</v>
      </c>
      <c r="Z4222" s="94" t="s">
        <v>82</v>
      </c>
    </row>
    <row r="4223" spans="1:26" s="25" customFormat="1" ht="6.95" customHeight="1" x14ac:dyDescent="0.3">
      <c r="A4223" s="10"/>
      <c r="B4223" s="168"/>
      <c r="C4223" s="169"/>
      <c r="D4223" s="160"/>
      <c r="E4223" s="161"/>
      <c r="F4223" s="162"/>
      <c r="G4223" s="163"/>
      <c r="H4223" s="164"/>
      <c r="I4223" s="163"/>
      <c r="J4223" s="164"/>
      <c r="K4223" s="163"/>
      <c r="L4223" s="164"/>
      <c r="M4223" s="11"/>
      <c r="N4223" s="39"/>
      <c r="Q4223" s="15" t="str">
        <f>+CONCATENATE(E4221,K4221)</f>
        <v/>
      </c>
      <c r="R4223" s="15">
        <f>+L4221</f>
        <v>0</v>
      </c>
      <c r="S4223" s="16"/>
      <c r="T4223" s="15">
        <f>+E4221</f>
        <v>0</v>
      </c>
      <c r="U4223" s="26" t="str">
        <f>IFERROR(LEFT(K4221,FIND("*",K4221)-1),"-")</f>
        <v>-</v>
      </c>
      <c r="V4223" s="26" t="str">
        <f>IFERROR(RIGHT(K4221,LEN(K4221)-FIND("*",K4221)),"-")</f>
        <v>-</v>
      </c>
      <c r="W4223" s="27" t="str">
        <f t="shared" si="2296"/>
        <v>-</v>
      </c>
      <c r="X4223" s="27" t="str">
        <f>IFERROR(W4223*L4221,"-")</f>
        <v>-</v>
      </c>
      <c r="Z4223" s="94" t="s">
        <v>82</v>
      </c>
    </row>
    <row r="4224" spans="1:26" s="25" customFormat="1" ht="21" customHeight="1" thickBot="1" x14ac:dyDescent="0.35">
      <c r="A4224" s="10"/>
      <c r="B4224" s="170"/>
      <c r="C4224" s="171"/>
      <c r="D4224" s="172" t="s">
        <v>43</v>
      </c>
      <c r="E4224" s="173"/>
      <c r="F4224" s="173"/>
      <c r="G4224" s="174"/>
      <c r="H4224" s="174"/>
      <c r="I4224" s="174"/>
      <c r="J4224" s="174"/>
      <c r="K4224" s="174"/>
      <c r="L4224" s="174"/>
      <c r="M4224" s="12"/>
      <c r="N4224" s="39"/>
      <c r="U4224" s="23"/>
      <c r="V4224" s="23"/>
      <c r="Z4224" s="95" t="s">
        <v>81</v>
      </c>
    </row>
    <row r="4225" spans="1:26" s="25" customFormat="1" ht="9.9499999999999993" customHeight="1" thickBot="1" x14ac:dyDescent="0.35">
      <c r="A4225" s="6"/>
      <c r="B4225" s="14"/>
      <c r="C4225" s="119"/>
      <c r="D4225" s="58"/>
      <c r="E4225" s="17"/>
      <c r="F4225" s="58"/>
      <c r="G4225" s="19"/>
      <c r="H4225" s="19"/>
      <c r="I4225" s="19"/>
      <c r="J4225" s="19"/>
      <c r="K4225" s="19"/>
      <c r="L4225" s="19"/>
      <c r="M4225" s="14"/>
      <c r="N4225" s="39"/>
      <c r="Q4225" s="1"/>
      <c r="R4225" s="1"/>
      <c r="S4225" s="1"/>
      <c r="T4225" s="1"/>
      <c r="U4225" s="24"/>
      <c r="V4225" s="24"/>
      <c r="W4225" s="1"/>
      <c r="X4225" s="1"/>
      <c r="Z4225" s="94" t="s">
        <v>82</v>
      </c>
    </row>
    <row r="4226" spans="1:26" s="25" customFormat="1" ht="6.95" customHeight="1" x14ac:dyDescent="0.3">
      <c r="A4226" s="165">
        <f>+A4215+1</f>
        <v>385</v>
      </c>
      <c r="B4226" s="166"/>
      <c r="C4226" s="167"/>
      <c r="D4226" s="160" t="s">
        <v>39</v>
      </c>
      <c r="E4226" s="161"/>
      <c r="F4226" s="162" t="s">
        <v>40</v>
      </c>
      <c r="G4226" s="163"/>
      <c r="H4226" s="164"/>
      <c r="I4226" s="163"/>
      <c r="J4226" s="164"/>
      <c r="K4226" s="163"/>
      <c r="L4226" s="164"/>
      <c r="M4226" s="11"/>
      <c r="N4226" s="39"/>
      <c r="Q4226" s="15" t="str">
        <f>+CONCATENATE(E4226,G4226)</f>
        <v/>
      </c>
      <c r="R4226" s="15">
        <f>+H4226</f>
        <v>0</v>
      </c>
      <c r="S4226" s="16"/>
      <c r="T4226" s="15">
        <f>+E4226</f>
        <v>0</v>
      </c>
      <c r="U4226" s="26" t="str">
        <f>IFERROR(LEFT(G4226,FIND("*",G4226)-1),"-")</f>
        <v>-</v>
      </c>
      <c r="V4226" s="26" t="str">
        <f>IFERROR(RIGHT(G4226,LEN(G4226)-FIND("*",G4226)),"-")</f>
        <v>-</v>
      </c>
      <c r="W4226" s="27" t="str">
        <f>IFERROR((U4226+V4226)*2/1000,"-")</f>
        <v>-</v>
      </c>
      <c r="X4226" s="27" t="str">
        <f>IFERROR(W4226*H4226,"-")</f>
        <v>-</v>
      </c>
      <c r="Z4226" s="94" t="s">
        <v>82</v>
      </c>
    </row>
    <row r="4227" spans="1:26" s="25" customFormat="1" ht="6.95" customHeight="1" x14ac:dyDescent="0.3">
      <c r="A4227" s="165"/>
      <c r="B4227" s="168"/>
      <c r="C4227" s="169"/>
      <c r="D4227" s="160"/>
      <c r="E4227" s="161"/>
      <c r="F4227" s="162"/>
      <c r="G4227" s="163"/>
      <c r="H4227" s="164"/>
      <c r="I4227" s="163"/>
      <c r="J4227" s="164"/>
      <c r="K4227" s="163"/>
      <c r="L4227" s="164"/>
      <c r="M4227" s="11"/>
      <c r="N4227" s="39"/>
      <c r="Q4227" s="15" t="str">
        <f>+CONCATENATE(E4226,I4226)</f>
        <v/>
      </c>
      <c r="R4227" s="15">
        <f>+J4226</f>
        <v>0</v>
      </c>
      <c r="S4227" s="16"/>
      <c r="T4227" s="15">
        <f>+E4226</f>
        <v>0</v>
      </c>
      <c r="U4227" s="26" t="str">
        <f>IFERROR(LEFT(I4226,FIND("*",I4226)-1),"-")</f>
        <v>-</v>
      </c>
      <c r="V4227" s="26" t="str">
        <f>IFERROR(RIGHT(I4226,LEN(I4226)-FIND("*",I4226)),"-")</f>
        <v>-</v>
      </c>
      <c r="W4227" s="27" t="str">
        <f t="shared" ref="W4227:W4234" si="2302">IFERROR((U4227+V4227)*2/1000,"-")</f>
        <v>-</v>
      </c>
      <c r="X4227" s="27" t="str">
        <f>IFERROR(W4227*J4226,"-")</f>
        <v>-</v>
      </c>
      <c r="Z4227" s="94" t="s">
        <v>82</v>
      </c>
    </row>
    <row r="4228" spans="1:26" s="25" customFormat="1" ht="6.95" customHeight="1" x14ac:dyDescent="0.3">
      <c r="A4228" s="165"/>
      <c r="B4228" s="168"/>
      <c r="C4228" s="169"/>
      <c r="D4228" s="160"/>
      <c r="E4228" s="161"/>
      <c r="F4228" s="162"/>
      <c r="G4228" s="163"/>
      <c r="H4228" s="164"/>
      <c r="I4228" s="163"/>
      <c r="J4228" s="164"/>
      <c r="K4228" s="163"/>
      <c r="L4228" s="164"/>
      <c r="M4228" s="11"/>
      <c r="N4228" s="39"/>
      <c r="Q4228" s="15" t="str">
        <f>+CONCATENATE(E4226,K4226)</f>
        <v/>
      </c>
      <c r="R4228" s="15">
        <f>+L4226</f>
        <v>0</v>
      </c>
      <c r="S4228" s="16"/>
      <c r="T4228" s="15">
        <f>+E4226</f>
        <v>0</v>
      </c>
      <c r="U4228" s="26" t="str">
        <f>IFERROR(LEFT(K4226,FIND("*",K4226)-1),"-")</f>
        <v>-</v>
      </c>
      <c r="V4228" s="26" t="str">
        <f>IFERROR(RIGHT(K4226,LEN(K4226)-FIND("*",K4226)),"-")</f>
        <v>-</v>
      </c>
      <c r="W4228" s="27" t="str">
        <f t="shared" si="2302"/>
        <v>-</v>
      </c>
      <c r="X4228" s="27" t="str">
        <f>IFERROR(W4228*L4226,"-")</f>
        <v>-</v>
      </c>
      <c r="Z4228" s="94" t="s">
        <v>82</v>
      </c>
    </row>
    <row r="4229" spans="1:26" s="25" customFormat="1" ht="6.95" customHeight="1" x14ac:dyDescent="0.3">
      <c r="A4229" s="13"/>
      <c r="B4229" s="168"/>
      <c r="C4229" s="169"/>
      <c r="D4229" s="160" t="s">
        <v>39</v>
      </c>
      <c r="E4229" s="161"/>
      <c r="F4229" s="162" t="s">
        <v>40</v>
      </c>
      <c r="G4229" s="163"/>
      <c r="H4229" s="164"/>
      <c r="I4229" s="163"/>
      <c r="J4229" s="164"/>
      <c r="K4229" s="163"/>
      <c r="L4229" s="164"/>
      <c r="M4229" s="11"/>
      <c r="N4229" s="39"/>
      <c r="Q4229" s="15" t="str">
        <f>+CONCATENATE(E4229,G4229)</f>
        <v/>
      </c>
      <c r="R4229" s="15">
        <f>+H4229</f>
        <v>0</v>
      </c>
      <c r="S4229" s="16"/>
      <c r="T4229" s="15">
        <f>+E4229</f>
        <v>0</v>
      </c>
      <c r="U4229" s="26" t="str">
        <f t="shared" ref="U4229" si="2303">IFERROR(LEFT(G4229,FIND("*",G4229)-1),"-")</f>
        <v>-</v>
      </c>
      <c r="V4229" s="26" t="str">
        <f t="shared" ref="V4229" si="2304">IFERROR(RIGHT(G4229,LEN(G4229)-FIND("*",G4229)),"-")</f>
        <v>-</v>
      </c>
      <c r="W4229" s="27" t="str">
        <f t="shared" si="2302"/>
        <v>-</v>
      </c>
      <c r="X4229" s="27" t="str">
        <f>IFERROR(W4229*H4229,"-")</f>
        <v>-</v>
      </c>
      <c r="Z4229" s="94" t="s">
        <v>82</v>
      </c>
    </row>
    <row r="4230" spans="1:26" s="25" customFormat="1" ht="6.95" customHeight="1" x14ac:dyDescent="0.3">
      <c r="A4230" s="10"/>
      <c r="B4230" s="168"/>
      <c r="C4230" s="169"/>
      <c r="D4230" s="160"/>
      <c r="E4230" s="161"/>
      <c r="F4230" s="162"/>
      <c r="G4230" s="163"/>
      <c r="H4230" s="164"/>
      <c r="I4230" s="163"/>
      <c r="J4230" s="164"/>
      <c r="K4230" s="163"/>
      <c r="L4230" s="164"/>
      <c r="M4230" s="11"/>
      <c r="N4230" s="39"/>
      <c r="Q4230" s="15" t="str">
        <f>+CONCATENATE(E4229,I4229)</f>
        <v/>
      </c>
      <c r="R4230" s="15">
        <f>+J4229</f>
        <v>0</v>
      </c>
      <c r="S4230" s="16"/>
      <c r="T4230" s="15">
        <f>+E4229</f>
        <v>0</v>
      </c>
      <c r="U4230" s="26" t="str">
        <f>IFERROR(LEFT(I4229,FIND("*",I4229)-1),"-")</f>
        <v>-</v>
      </c>
      <c r="V4230" s="26" t="str">
        <f>IFERROR(RIGHT(I4229,LEN(I4229)-FIND("*",I4229)),"-")</f>
        <v>-</v>
      </c>
      <c r="W4230" s="27" t="str">
        <f t="shared" si="2302"/>
        <v>-</v>
      </c>
      <c r="X4230" s="27" t="str">
        <f>IFERROR(W4230*J4229,"-")</f>
        <v>-</v>
      </c>
      <c r="Z4230" s="94" t="s">
        <v>82</v>
      </c>
    </row>
    <row r="4231" spans="1:26" s="25" customFormat="1" ht="6.95" customHeight="1" x14ac:dyDescent="0.3">
      <c r="A4231" s="10"/>
      <c r="B4231" s="168"/>
      <c r="C4231" s="169"/>
      <c r="D4231" s="160"/>
      <c r="E4231" s="161"/>
      <c r="F4231" s="162"/>
      <c r="G4231" s="163"/>
      <c r="H4231" s="164"/>
      <c r="I4231" s="163"/>
      <c r="J4231" s="164"/>
      <c r="K4231" s="163"/>
      <c r="L4231" s="164"/>
      <c r="M4231" s="11"/>
      <c r="N4231" s="39"/>
      <c r="Q4231" s="15" t="str">
        <f>+CONCATENATE(E4229,K4229)</f>
        <v/>
      </c>
      <c r="R4231" s="15">
        <f>+L4229</f>
        <v>0</v>
      </c>
      <c r="S4231" s="16"/>
      <c r="T4231" s="15">
        <f>+E4229</f>
        <v>0</v>
      </c>
      <c r="U4231" s="26" t="str">
        <f>IFERROR(LEFT(K4229,FIND("*",K4229)-1),"-")</f>
        <v>-</v>
      </c>
      <c r="V4231" s="26" t="str">
        <f>IFERROR(RIGHT(K4229,LEN(K4229)-FIND("*",K4229)),"-")</f>
        <v>-</v>
      </c>
      <c r="W4231" s="27" t="str">
        <f t="shared" si="2302"/>
        <v>-</v>
      </c>
      <c r="X4231" s="27" t="str">
        <f>IFERROR(W4231*L4229,"-")</f>
        <v>-</v>
      </c>
      <c r="Z4231" s="94" t="s">
        <v>82</v>
      </c>
    </row>
    <row r="4232" spans="1:26" s="25" customFormat="1" ht="6.95" customHeight="1" x14ac:dyDescent="0.3">
      <c r="A4232" s="13"/>
      <c r="B4232" s="168"/>
      <c r="C4232" s="169"/>
      <c r="D4232" s="160" t="s">
        <v>39</v>
      </c>
      <c r="E4232" s="161"/>
      <c r="F4232" s="162" t="s">
        <v>40</v>
      </c>
      <c r="G4232" s="163"/>
      <c r="H4232" s="164"/>
      <c r="I4232" s="163"/>
      <c r="J4232" s="164"/>
      <c r="K4232" s="163"/>
      <c r="L4232" s="164"/>
      <c r="M4232" s="11"/>
      <c r="N4232" s="39"/>
      <c r="Q4232" s="15" t="str">
        <f>+CONCATENATE(E4232,G4232)</f>
        <v/>
      </c>
      <c r="R4232" s="15">
        <f>+H4232</f>
        <v>0</v>
      </c>
      <c r="S4232" s="16"/>
      <c r="T4232" s="15">
        <f>+E4232</f>
        <v>0</v>
      </c>
      <c r="U4232" s="26" t="str">
        <f t="shared" ref="U4232" si="2305">IFERROR(LEFT(G4232,FIND("*",G4232)-1),"-")</f>
        <v>-</v>
      </c>
      <c r="V4232" s="26" t="str">
        <f t="shared" ref="V4232" si="2306">IFERROR(RIGHT(G4232,LEN(G4232)-FIND("*",G4232)),"-")</f>
        <v>-</v>
      </c>
      <c r="W4232" s="27" t="str">
        <f t="shared" si="2302"/>
        <v>-</v>
      </c>
      <c r="X4232" s="27" t="str">
        <f>IFERROR(W4232*H4232,"-")</f>
        <v>-</v>
      </c>
      <c r="Z4232" s="94" t="s">
        <v>82</v>
      </c>
    </row>
    <row r="4233" spans="1:26" s="25" customFormat="1" ht="6.95" customHeight="1" x14ac:dyDescent="0.3">
      <c r="A4233" s="10"/>
      <c r="B4233" s="168"/>
      <c r="C4233" s="169"/>
      <c r="D4233" s="160"/>
      <c r="E4233" s="161"/>
      <c r="F4233" s="162"/>
      <c r="G4233" s="163"/>
      <c r="H4233" s="164"/>
      <c r="I4233" s="163"/>
      <c r="J4233" s="164"/>
      <c r="K4233" s="163"/>
      <c r="L4233" s="164"/>
      <c r="M4233" s="11"/>
      <c r="N4233" s="39"/>
      <c r="Q4233" s="15" t="str">
        <f>+CONCATENATE(E4232,I4232)</f>
        <v/>
      </c>
      <c r="R4233" s="15">
        <f>+J4232</f>
        <v>0</v>
      </c>
      <c r="S4233" s="16"/>
      <c r="T4233" s="15">
        <f>+E4232</f>
        <v>0</v>
      </c>
      <c r="U4233" s="26" t="str">
        <f>IFERROR(LEFT(I4232,FIND("*",I4232)-1),"-")</f>
        <v>-</v>
      </c>
      <c r="V4233" s="26" t="str">
        <f>IFERROR(RIGHT(I4232,LEN(I4232)-FIND("*",I4232)),"-")</f>
        <v>-</v>
      </c>
      <c r="W4233" s="27" t="str">
        <f t="shared" si="2302"/>
        <v>-</v>
      </c>
      <c r="X4233" s="27" t="str">
        <f t="shared" ref="X4233" si="2307">IFERROR(W4233*J4232,"-")</f>
        <v>-</v>
      </c>
      <c r="Z4233" s="94" t="s">
        <v>82</v>
      </c>
    </row>
    <row r="4234" spans="1:26" s="25" customFormat="1" ht="6.95" customHeight="1" x14ac:dyDescent="0.3">
      <c r="A4234" s="10"/>
      <c r="B4234" s="168"/>
      <c r="C4234" s="169"/>
      <c r="D4234" s="160"/>
      <c r="E4234" s="161"/>
      <c r="F4234" s="162"/>
      <c r="G4234" s="163"/>
      <c r="H4234" s="164"/>
      <c r="I4234" s="163"/>
      <c r="J4234" s="164"/>
      <c r="K4234" s="163"/>
      <c r="L4234" s="164"/>
      <c r="M4234" s="11"/>
      <c r="N4234" s="39"/>
      <c r="Q4234" s="15" t="str">
        <f>+CONCATENATE(E4232,K4232)</f>
        <v/>
      </c>
      <c r="R4234" s="15">
        <f>+L4232</f>
        <v>0</v>
      </c>
      <c r="S4234" s="16"/>
      <c r="T4234" s="15">
        <f>+E4232</f>
        <v>0</v>
      </c>
      <c r="U4234" s="26" t="str">
        <f>IFERROR(LEFT(K4232,FIND("*",K4232)-1),"-")</f>
        <v>-</v>
      </c>
      <c r="V4234" s="26" t="str">
        <f>IFERROR(RIGHT(K4232,LEN(K4232)-FIND("*",K4232)),"-")</f>
        <v>-</v>
      </c>
      <c r="W4234" s="27" t="str">
        <f t="shared" si="2302"/>
        <v>-</v>
      </c>
      <c r="X4234" s="27" t="str">
        <f>IFERROR(W4234*L4232,"-")</f>
        <v>-</v>
      </c>
      <c r="Z4234" s="94" t="s">
        <v>82</v>
      </c>
    </row>
    <row r="4235" spans="1:26" s="25" customFormat="1" ht="21" customHeight="1" thickBot="1" x14ac:dyDescent="0.35">
      <c r="A4235" s="10"/>
      <c r="B4235" s="170"/>
      <c r="C4235" s="171"/>
      <c r="D4235" s="172" t="s">
        <v>43</v>
      </c>
      <c r="E4235" s="173"/>
      <c r="F4235" s="173"/>
      <c r="G4235" s="174"/>
      <c r="H4235" s="174"/>
      <c r="I4235" s="174"/>
      <c r="J4235" s="174"/>
      <c r="K4235" s="174"/>
      <c r="L4235" s="174"/>
      <c r="M4235" s="12"/>
      <c r="N4235" s="39"/>
      <c r="U4235" s="23"/>
      <c r="V4235" s="23"/>
      <c r="Z4235" s="95" t="s">
        <v>81</v>
      </c>
    </row>
    <row r="4236" spans="1:26" s="25" customFormat="1" ht="9.9499999999999993" customHeight="1" thickBot="1" x14ac:dyDescent="0.35">
      <c r="A4236" s="6"/>
      <c r="B4236" s="14"/>
      <c r="C4236" s="119"/>
      <c r="D4236" s="58"/>
      <c r="E4236" s="17"/>
      <c r="F4236" s="58"/>
      <c r="G4236" s="19"/>
      <c r="H4236" s="19"/>
      <c r="I4236" s="19"/>
      <c r="J4236" s="19"/>
      <c r="K4236" s="19"/>
      <c r="L4236" s="19"/>
      <c r="M4236" s="14"/>
      <c r="N4236" s="39"/>
      <c r="Q4236" s="1"/>
      <c r="R4236" s="1"/>
      <c r="S4236" s="1"/>
      <c r="T4236" s="1"/>
      <c r="U4236" s="24"/>
      <c r="V4236" s="24"/>
      <c r="W4236" s="1"/>
      <c r="X4236" s="1"/>
      <c r="Z4236" s="94" t="s">
        <v>82</v>
      </c>
    </row>
    <row r="4237" spans="1:26" s="25" customFormat="1" ht="6.95" customHeight="1" x14ac:dyDescent="0.3">
      <c r="A4237" s="165">
        <f>+A4226+1</f>
        <v>386</v>
      </c>
      <c r="B4237" s="166"/>
      <c r="C4237" s="167"/>
      <c r="D4237" s="160" t="s">
        <v>39</v>
      </c>
      <c r="E4237" s="161"/>
      <c r="F4237" s="162" t="s">
        <v>40</v>
      </c>
      <c r="G4237" s="163"/>
      <c r="H4237" s="164"/>
      <c r="I4237" s="163"/>
      <c r="J4237" s="164"/>
      <c r="K4237" s="163"/>
      <c r="L4237" s="164"/>
      <c r="M4237" s="11"/>
      <c r="N4237" s="39"/>
      <c r="Q4237" s="15" t="str">
        <f>+CONCATENATE(E4237,G4237)</f>
        <v/>
      </c>
      <c r="R4237" s="15">
        <f>+H4237</f>
        <v>0</v>
      </c>
      <c r="S4237" s="16"/>
      <c r="T4237" s="15">
        <f>+E4237</f>
        <v>0</v>
      </c>
      <c r="U4237" s="26" t="str">
        <f>IFERROR(LEFT(G4237,FIND("*",G4237)-1),"-")</f>
        <v>-</v>
      </c>
      <c r="V4237" s="26" t="str">
        <f>IFERROR(RIGHT(G4237,LEN(G4237)-FIND("*",G4237)),"-")</f>
        <v>-</v>
      </c>
      <c r="W4237" s="27" t="str">
        <f>IFERROR((U4237+V4237)*2/1000,"-")</f>
        <v>-</v>
      </c>
      <c r="X4237" s="27" t="str">
        <f>IFERROR(W4237*H4237,"-")</f>
        <v>-</v>
      </c>
      <c r="Z4237" s="94" t="s">
        <v>82</v>
      </c>
    </row>
    <row r="4238" spans="1:26" s="25" customFormat="1" ht="6.95" customHeight="1" x14ac:dyDescent="0.3">
      <c r="A4238" s="165"/>
      <c r="B4238" s="168"/>
      <c r="C4238" s="169"/>
      <c r="D4238" s="160"/>
      <c r="E4238" s="161"/>
      <c r="F4238" s="162"/>
      <c r="G4238" s="163"/>
      <c r="H4238" s="164"/>
      <c r="I4238" s="163"/>
      <c r="J4238" s="164"/>
      <c r="K4238" s="163"/>
      <c r="L4238" s="164"/>
      <c r="M4238" s="11"/>
      <c r="N4238" s="39"/>
      <c r="Q4238" s="15" t="str">
        <f>+CONCATENATE(E4237,I4237)</f>
        <v/>
      </c>
      <c r="R4238" s="15">
        <f>+J4237</f>
        <v>0</v>
      </c>
      <c r="S4238" s="16"/>
      <c r="T4238" s="15">
        <f>+E4237</f>
        <v>0</v>
      </c>
      <c r="U4238" s="26" t="str">
        <f>IFERROR(LEFT(I4237,FIND("*",I4237)-1),"-")</f>
        <v>-</v>
      </c>
      <c r="V4238" s="26" t="str">
        <f>IFERROR(RIGHT(I4237,LEN(I4237)-FIND("*",I4237)),"-")</f>
        <v>-</v>
      </c>
      <c r="W4238" s="27" t="str">
        <f t="shared" ref="W4238:W4245" si="2308">IFERROR((U4238+V4238)*2/1000,"-")</f>
        <v>-</v>
      </c>
      <c r="X4238" s="27" t="str">
        <f>IFERROR(W4238*J4237,"-")</f>
        <v>-</v>
      </c>
      <c r="Z4238" s="94" t="s">
        <v>82</v>
      </c>
    </row>
    <row r="4239" spans="1:26" s="25" customFormat="1" ht="6.95" customHeight="1" x14ac:dyDescent="0.3">
      <c r="A4239" s="165"/>
      <c r="B4239" s="168"/>
      <c r="C4239" s="169"/>
      <c r="D4239" s="160"/>
      <c r="E4239" s="161"/>
      <c r="F4239" s="162"/>
      <c r="G4239" s="163"/>
      <c r="H4239" s="164"/>
      <c r="I4239" s="163"/>
      <c r="J4239" s="164"/>
      <c r="K4239" s="163"/>
      <c r="L4239" s="164"/>
      <c r="M4239" s="11"/>
      <c r="N4239" s="39"/>
      <c r="Q4239" s="15" t="str">
        <f>+CONCATENATE(E4237,K4237)</f>
        <v/>
      </c>
      <c r="R4239" s="15">
        <f>+L4237</f>
        <v>0</v>
      </c>
      <c r="S4239" s="16"/>
      <c r="T4239" s="15">
        <f>+E4237</f>
        <v>0</v>
      </c>
      <c r="U4239" s="26" t="str">
        <f>IFERROR(LEFT(K4237,FIND("*",K4237)-1),"-")</f>
        <v>-</v>
      </c>
      <c r="V4239" s="26" t="str">
        <f>IFERROR(RIGHT(K4237,LEN(K4237)-FIND("*",K4237)),"-")</f>
        <v>-</v>
      </c>
      <c r="W4239" s="27" t="str">
        <f t="shared" si="2308"/>
        <v>-</v>
      </c>
      <c r="X4239" s="27" t="str">
        <f>IFERROR(W4239*L4237,"-")</f>
        <v>-</v>
      </c>
      <c r="Z4239" s="94" t="s">
        <v>82</v>
      </c>
    </row>
    <row r="4240" spans="1:26" s="25" customFormat="1" ht="6.95" customHeight="1" x14ac:dyDescent="0.3">
      <c r="A4240" s="13"/>
      <c r="B4240" s="168"/>
      <c r="C4240" s="169"/>
      <c r="D4240" s="160" t="s">
        <v>39</v>
      </c>
      <c r="E4240" s="161"/>
      <c r="F4240" s="162" t="s">
        <v>40</v>
      </c>
      <c r="G4240" s="163"/>
      <c r="H4240" s="164"/>
      <c r="I4240" s="163"/>
      <c r="J4240" s="164"/>
      <c r="K4240" s="163"/>
      <c r="L4240" s="164"/>
      <c r="M4240" s="11"/>
      <c r="N4240" s="39"/>
      <c r="Q4240" s="15" t="str">
        <f>+CONCATENATE(E4240,G4240)</f>
        <v/>
      </c>
      <c r="R4240" s="15">
        <f>+H4240</f>
        <v>0</v>
      </c>
      <c r="S4240" s="16"/>
      <c r="T4240" s="15">
        <f>+E4240</f>
        <v>0</v>
      </c>
      <c r="U4240" s="26" t="str">
        <f t="shared" ref="U4240" si="2309">IFERROR(LEFT(G4240,FIND("*",G4240)-1),"-")</f>
        <v>-</v>
      </c>
      <c r="V4240" s="26" t="str">
        <f t="shared" ref="V4240" si="2310">IFERROR(RIGHT(G4240,LEN(G4240)-FIND("*",G4240)),"-")</f>
        <v>-</v>
      </c>
      <c r="W4240" s="27" t="str">
        <f t="shared" si="2308"/>
        <v>-</v>
      </c>
      <c r="X4240" s="27" t="str">
        <f>IFERROR(W4240*H4240,"-")</f>
        <v>-</v>
      </c>
      <c r="Z4240" s="94" t="s">
        <v>82</v>
      </c>
    </row>
    <row r="4241" spans="1:26" s="25" customFormat="1" ht="6.95" customHeight="1" x14ac:dyDescent="0.3">
      <c r="A4241" s="10"/>
      <c r="B4241" s="168"/>
      <c r="C4241" s="169"/>
      <c r="D4241" s="160"/>
      <c r="E4241" s="161"/>
      <c r="F4241" s="162"/>
      <c r="G4241" s="163"/>
      <c r="H4241" s="164"/>
      <c r="I4241" s="163"/>
      <c r="J4241" s="164"/>
      <c r="K4241" s="163"/>
      <c r="L4241" s="164"/>
      <c r="M4241" s="11"/>
      <c r="N4241" s="39"/>
      <c r="Q4241" s="15" t="str">
        <f>+CONCATENATE(E4240,I4240)</f>
        <v/>
      </c>
      <c r="R4241" s="15">
        <f>+J4240</f>
        <v>0</v>
      </c>
      <c r="S4241" s="16"/>
      <c r="T4241" s="15">
        <f>+E4240</f>
        <v>0</v>
      </c>
      <c r="U4241" s="26" t="str">
        <f>IFERROR(LEFT(I4240,FIND("*",I4240)-1),"-")</f>
        <v>-</v>
      </c>
      <c r="V4241" s="26" t="str">
        <f>IFERROR(RIGHT(I4240,LEN(I4240)-FIND("*",I4240)),"-")</f>
        <v>-</v>
      </c>
      <c r="W4241" s="27" t="str">
        <f t="shared" si="2308"/>
        <v>-</v>
      </c>
      <c r="X4241" s="27" t="str">
        <f>IFERROR(W4241*J4240,"-")</f>
        <v>-</v>
      </c>
      <c r="Z4241" s="94" t="s">
        <v>82</v>
      </c>
    </row>
    <row r="4242" spans="1:26" s="25" customFormat="1" ht="6.95" customHeight="1" x14ac:dyDescent="0.3">
      <c r="A4242" s="10"/>
      <c r="B4242" s="168"/>
      <c r="C4242" s="169"/>
      <c r="D4242" s="160"/>
      <c r="E4242" s="161"/>
      <c r="F4242" s="162"/>
      <c r="G4242" s="163"/>
      <c r="H4242" s="164"/>
      <c r="I4242" s="163"/>
      <c r="J4242" s="164"/>
      <c r="K4242" s="163"/>
      <c r="L4242" s="164"/>
      <c r="M4242" s="11"/>
      <c r="N4242" s="39"/>
      <c r="Q4242" s="15" t="str">
        <f>+CONCATENATE(E4240,K4240)</f>
        <v/>
      </c>
      <c r="R4242" s="15">
        <f>+L4240</f>
        <v>0</v>
      </c>
      <c r="S4242" s="16"/>
      <c r="T4242" s="15">
        <f>+E4240</f>
        <v>0</v>
      </c>
      <c r="U4242" s="26" t="str">
        <f>IFERROR(LEFT(K4240,FIND("*",K4240)-1),"-")</f>
        <v>-</v>
      </c>
      <c r="V4242" s="26" t="str">
        <f>IFERROR(RIGHT(K4240,LEN(K4240)-FIND("*",K4240)),"-")</f>
        <v>-</v>
      </c>
      <c r="W4242" s="27" t="str">
        <f t="shared" si="2308"/>
        <v>-</v>
      </c>
      <c r="X4242" s="27" t="str">
        <f>IFERROR(W4242*L4240,"-")</f>
        <v>-</v>
      </c>
      <c r="Z4242" s="94" t="s">
        <v>82</v>
      </c>
    </row>
    <row r="4243" spans="1:26" s="25" customFormat="1" ht="6.95" customHeight="1" x14ac:dyDescent="0.3">
      <c r="A4243" s="13"/>
      <c r="B4243" s="168"/>
      <c r="C4243" s="169"/>
      <c r="D4243" s="160" t="s">
        <v>39</v>
      </c>
      <c r="E4243" s="161"/>
      <c r="F4243" s="162" t="s">
        <v>40</v>
      </c>
      <c r="G4243" s="163"/>
      <c r="H4243" s="164"/>
      <c r="I4243" s="163"/>
      <c r="J4243" s="164"/>
      <c r="K4243" s="163"/>
      <c r="L4243" s="164"/>
      <c r="M4243" s="11"/>
      <c r="N4243" s="39"/>
      <c r="Q4243" s="15" t="str">
        <f>+CONCATENATE(E4243,G4243)</f>
        <v/>
      </c>
      <c r="R4243" s="15">
        <f>+H4243</f>
        <v>0</v>
      </c>
      <c r="S4243" s="16"/>
      <c r="T4243" s="15">
        <f>+E4243</f>
        <v>0</v>
      </c>
      <c r="U4243" s="26" t="str">
        <f t="shared" ref="U4243" si="2311">IFERROR(LEFT(G4243,FIND("*",G4243)-1),"-")</f>
        <v>-</v>
      </c>
      <c r="V4243" s="26" t="str">
        <f t="shared" ref="V4243" si="2312">IFERROR(RIGHT(G4243,LEN(G4243)-FIND("*",G4243)),"-")</f>
        <v>-</v>
      </c>
      <c r="W4243" s="27" t="str">
        <f t="shared" si="2308"/>
        <v>-</v>
      </c>
      <c r="X4243" s="27" t="str">
        <f>IFERROR(W4243*H4243,"-")</f>
        <v>-</v>
      </c>
      <c r="Z4243" s="94" t="s">
        <v>82</v>
      </c>
    </row>
    <row r="4244" spans="1:26" s="25" customFormat="1" ht="6.95" customHeight="1" x14ac:dyDescent="0.3">
      <c r="A4244" s="10"/>
      <c r="B4244" s="168"/>
      <c r="C4244" s="169"/>
      <c r="D4244" s="160"/>
      <c r="E4244" s="161"/>
      <c r="F4244" s="162"/>
      <c r="G4244" s="163"/>
      <c r="H4244" s="164"/>
      <c r="I4244" s="163"/>
      <c r="J4244" s="164"/>
      <c r="K4244" s="163"/>
      <c r="L4244" s="164"/>
      <c r="M4244" s="11"/>
      <c r="N4244" s="39"/>
      <c r="Q4244" s="15" t="str">
        <f>+CONCATENATE(E4243,I4243)</f>
        <v/>
      </c>
      <c r="R4244" s="15">
        <f>+J4243</f>
        <v>0</v>
      </c>
      <c r="S4244" s="16"/>
      <c r="T4244" s="15">
        <f>+E4243</f>
        <v>0</v>
      </c>
      <c r="U4244" s="26" t="str">
        <f>IFERROR(LEFT(I4243,FIND("*",I4243)-1),"-")</f>
        <v>-</v>
      </c>
      <c r="V4244" s="26" t="str">
        <f>IFERROR(RIGHT(I4243,LEN(I4243)-FIND("*",I4243)),"-")</f>
        <v>-</v>
      </c>
      <c r="W4244" s="27" t="str">
        <f t="shared" si="2308"/>
        <v>-</v>
      </c>
      <c r="X4244" s="27" t="str">
        <f t="shared" ref="X4244" si="2313">IFERROR(W4244*J4243,"-")</f>
        <v>-</v>
      </c>
      <c r="Z4244" s="94" t="s">
        <v>82</v>
      </c>
    </row>
    <row r="4245" spans="1:26" s="25" customFormat="1" ht="6.95" customHeight="1" x14ac:dyDescent="0.3">
      <c r="A4245" s="10"/>
      <c r="B4245" s="168"/>
      <c r="C4245" s="169"/>
      <c r="D4245" s="160"/>
      <c r="E4245" s="161"/>
      <c r="F4245" s="162"/>
      <c r="G4245" s="163"/>
      <c r="H4245" s="164"/>
      <c r="I4245" s="163"/>
      <c r="J4245" s="164"/>
      <c r="K4245" s="163"/>
      <c r="L4245" s="164"/>
      <c r="M4245" s="11"/>
      <c r="N4245" s="39"/>
      <c r="Q4245" s="15" t="str">
        <f>+CONCATENATE(E4243,K4243)</f>
        <v/>
      </c>
      <c r="R4245" s="15">
        <f>+L4243</f>
        <v>0</v>
      </c>
      <c r="S4245" s="16"/>
      <c r="T4245" s="15">
        <f>+E4243</f>
        <v>0</v>
      </c>
      <c r="U4245" s="26" t="str">
        <f>IFERROR(LEFT(K4243,FIND("*",K4243)-1),"-")</f>
        <v>-</v>
      </c>
      <c r="V4245" s="26" t="str">
        <f>IFERROR(RIGHT(K4243,LEN(K4243)-FIND("*",K4243)),"-")</f>
        <v>-</v>
      </c>
      <c r="W4245" s="27" t="str">
        <f t="shared" si="2308"/>
        <v>-</v>
      </c>
      <c r="X4245" s="27" t="str">
        <f>IFERROR(W4245*L4243,"-")</f>
        <v>-</v>
      </c>
      <c r="Z4245" s="94" t="s">
        <v>82</v>
      </c>
    </row>
    <row r="4246" spans="1:26" s="25" customFormat="1" ht="21" customHeight="1" thickBot="1" x14ac:dyDescent="0.35">
      <c r="A4246" s="10"/>
      <c r="B4246" s="170"/>
      <c r="C4246" s="171"/>
      <c r="D4246" s="172" t="s">
        <v>43</v>
      </c>
      <c r="E4246" s="173"/>
      <c r="F4246" s="173"/>
      <c r="G4246" s="174"/>
      <c r="H4246" s="174"/>
      <c r="I4246" s="174"/>
      <c r="J4246" s="174"/>
      <c r="K4246" s="174"/>
      <c r="L4246" s="174"/>
      <c r="M4246" s="12"/>
      <c r="N4246" s="39"/>
      <c r="U4246" s="23"/>
      <c r="V4246" s="23"/>
      <c r="Z4246" s="95" t="s">
        <v>81</v>
      </c>
    </row>
    <row r="4247" spans="1:26" s="25" customFormat="1" ht="9.9499999999999993" customHeight="1" thickBot="1" x14ac:dyDescent="0.35">
      <c r="A4247" s="6"/>
      <c r="B4247" s="14"/>
      <c r="C4247" s="119"/>
      <c r="D4247" s="58"/>
      <c r="E4247" s="17"/>
      <c r="F4247" s="58"/>
      <c r="G4247" s="19"/>
      <c r="H4247" s="19"/>
      <c r="I4247" s="19"/>
      <c r="J4247" s="19"/>
      <c r="K4247" s="19"/>
      <c r="L4247" s="19"/>
      <c r="M4247" s="14"/>
      <c r="N4247" s="39"/>
      <c r="Q4247" s="1"/>
      <c r="R4247" s="1"/>
      <c r="S4247" s="1"/>
      <c r="T4247" s="1"/>
      <c r="U4247" s="24"/>
      <c r="V4247" s="24"/>
      <c r="W4247" s="1"/>
      <c r="X4247" s="1"/>
      <c r="Z4247" s="94" t="s">
        <v>82</v>
      </c>
    </row>
    <row r="4248" spans="1:26" s="25" customFormat="1" ht="6.95" customHeight="1" x14ac:dyDescent="0.3">
      <c r="A4248" s="165">
        <f>+A4237+1</f>
        <v>387</v>
      </c>
      <c r="B4248" s="166"/>
      <c r="C4248" s="167"/>
      <c r="D4248" s="160" t="s">
        <v>39</v>
      </c>
      <c r="E4248" s="161"/>
      <c r="F4248" s="162" t="s">
        <v>40</v>
      </c>
      <c r="G4248" s="163"/>
      <c r="H4248" s="164"/>
      <c r="I4248" s="163"/>
      <c r="J4248" s="164"/>
      <c r="K4248" s="163"/>
      <c r="L4248" s="164"/>
      <c r="M4248" s="11"/>
      <c r="N4248" s="39"/>
      <c r="Q4248" s="15" t="str">
        <f>+CONCATENATE(E4248,G4248)</f>
        <v/>
      </c>
      <c r="R4248" s="15">
        <f>+H4248</f>
        <v>0</v>
      </c>
      <c r="S4248" s="16"/>
      <c r="T4248" s="15">
        <f>+E4248</f>
        <v>0</v>
      </c>
      <c r="U4248" s="26" t="str">
        <f>IFERROR(LEFT(G4248,FIND("*",G4248)-1),"-")</f>
        <v>-</v>
      </c>
      <c r="V4248" s="26" t="str">
        <f>IFERROR(RIGHT(G4248,LEN(G4248)-FIND("*",G4248)),"-")</f>
        <v>-</v>
      </c>
      <c r="W4248" s="27" t="str">
        <f>IFERROR((U4248+V4248)*2/1000,"-")</f>
        <v>-</v>
      </c>
      <c r="X4248" s="27" t="str">
        <f>IFERROR(W4248*H4248,"-")</f>
        <v>-</v>
      </c>
      <c r="Z4248" s="94" t="s">
        <v>82</v>
      </c>
    </row>
    <row r="4249" spans="1:26" s="25" customFormat="1" ht="6.95" customHeight="1" x14ac:dyDescent="0.3">
      <c r="A4249" s="165"/>
      <c r="B4249" s="168"/>
      <c r="C4249" s="169"/>
      <c r="D4249" s="160"/>
      <c r="E4249" s="161"/>
      <c r="F4249" s="162"/>
      <c r="G4249" s="163"/>
      <c r="H4249" s="164"/>
      <c r="I4249" s="163"/>
      <c r="J4249" s="164"/>
      <c r="K4249" s="163"/>
      <c r="L4249" s="164"/>
      <c r="M4249" s="11"/>
      <c r="N4249" s="39"/>
      <c r="Q4249" s="15" t="str">
        <f>+CONCATENATE(E4248,I4248)</f>
        <v/>
      </c>
      <c r="R4249" s="15">
        <f>+J4248</f>
        <v>0</v>
      </c>
      <c r="S4249" s="16"/>
      <c r="T4249" s="15">
        <f>+E4248</f>
        <v>0</v>
      </c>
      <c r="U4249" s="26" t="str">
        <f>IFERROR(LEFT(I4248,FIND("*",I4248)-1),"-")</f>
        <v>-</v>
      </c>
      <c r="V4249" s="26" t="str">
        <f>IFERROR(RIGHT(I4248,LEN(I4248)-FIND("*",I4248)),"-")</f>
        <v>-</v>
      </c>
      <c r="W4249" s="27" t="str">
        <f t="shared" ref="W4249:W4256" si="2314">IFERROR((U4249+V4249)*2/1000,"-")</f>
        <v>-</v>
      </c>
      <c r="X4249" s="27" t="str">
        <f>IFERROR(W4249*J4248,"-")</f>
        <v>-</v>
      </c>
      <c r="Z4249" s="94" t="s">
        <v>82</v>
      </c>
    </row>
    <row r="4250" spans="1:26" s="25" customFormat="1" ht="6.95" customHeight="1" x14ac:dyDescent="0.3">
      <c r="A4250" s="165"/>
      <c r="B4250" s="168"/>
      <c r="C4250" s="169"/>
      <c r="D4250" s="160"/>
      <c r="E4250" s="161"/>
      <c r="F4250" s="162"/>
      <c r="G4250" s="163"/>
      <c r="H4250" s="164"/>
      <c r="I4250" s="163"/>
      <c r="J4250" s="164"/>
      <c r="K4250" s="163"/>
      <c r="L4250" s="164"/>
      <c r="M4250" s="11"/>
      <c r="N4250" s="39"/>
      <c r="Q4250" s="15" t="str">
        <f>+CONCATENATE(E4248,K4248)</f>
        <v/>
      </c>
      <c r="R4250" s="15">
        <f>+L4248</f>
        <v>0</v>
      </c>
      <c r="S4250" s="16"/>
      <c r="T4250" s="15">
        <f>+E4248</f>
        <v>0</v>
      </c>
      <c r="U4250" s="26" t="str">
        <f>IFERROR(LEFT(K4248,FIND("*",K4248)-1),"-")</f>
        <v>-</v>
      </c>
      <c r="V4250" s="26" t="str">
        <f>IFERROR(RIGHT(K4248,LEN(K4248)-FIND("*",K4248)),"-")</f>
        <v>-</v>
      </c>
      <c r="W4250" s="27" t="str">
        <f t="shared" si="2314"/>
        <v>-</v>
      </c>
      <c r="X4250" s="27" t="str">
        <f>IFERROR(W4250*L4248,"-")</f>
        <v>-</v>
      </c>
      <c r="Z4250" s="94" t="s">
        <v>82</v>
      </c>
    </row>
    <row r="4251" spans="1:26" s="25" customFormat="1" ht="6.95" customHeight="1" x14ac:dyDescent="0.3">
      <c r="A4251" s="13"/>
      <c r="B4251" s="168"/>
      <c r="C4251" s="169"/>
      <c r="D4251" s="160" t="s">
        <v>39</v>
      </c>
      <c r="E4251" s="161"/>
      <c r="F4251" s="162" t="s">
        <v>40</v>
      </c>
      <c r="G4251" s="163"/>
      <c r="H4251" s="164"/>
      <c r="I4251" s="163"/>
      <c r="J4251" s="164"/>
      <c r="K4251" s="163"/>
      <c r="L4251" s="164"/>
      <c r="M4251" s="11"/>
      <c r="N4251" s="39"/>
      <c r="Q4251" s="15" t="str">
        <f>+CONCATENATE(E4251,G4251)</f>
        <v/>
      </c>
      <c r="R4251" s="15">
        <f>+H4251</f>
        <v>0</v>
      </c>
      <c r="S4251" s="16"/>
      <c r="T4251" s="15">
        <f>+E4251</f>
        <v>0</v>
      </c>
      <c r="U4251" s="26" t="str">
        <f t="shared" ref="U4251" si="2315">IFERROR(LEFT(G4251,FIND("*",G4251)-1),"-")</f>
        <v>-</v>
      </c>
      <c r="V4251" s="26" t="str">
        <f t="shared" ref="V4251" si="2316">IFERROR(RIGHT(G4251,LEN(G4251)-FIND("*",G4251)),"-")</f>
        <v>-</v>
      </c>
      <c r="W4251" s="27" t="str">
        <f t="shared" si="2314"/>
        <v>-</v>
      </c>
      <c r="X4251" s="27" t="str">
        <f>IFERROR(W4251*H4251,"-")</f>
        <v>-</v>
      </c>
      <c r="Z4251" s="94" t="s">
        <v>82</v>
      </c>
    </row>
    <row r="4252" spans="1:26" s="25" customFormat="1" ht="6.95" customHeight="1" x14ac:dyDescent="0.3">
      <c r="A4252" s="10"/>
      <c r="B4252" s="168"/>
      <c r="C4252" s="169"/>
      <c r="D4252" s="160"/>
      <c r="E4252" s="161"/>
      <c r="F4252" s="162"/>
      <c r="G4252" s="163"/>
      <c r="H4252" s="164"/>
      <c r="I4252" s="163"/>
      <c r="J4252" s="164"/>
      <c r="K4252" s="163"/>
      <c r="L4252" s="164"/>
      <c r="M4252" s="11"/>
      <c r="N4252" s="39"/>
      <c r="Q4252" s="15" t="str">
        <f>+CONCATENATE(E4251,I4251)</f>
        <v/>
      </c>
      <c r="R4252" s="15">
        <f>+J4251</f>
        <v>0</v>
      </c>
      <c r="S4252" s="16"/>
      <c r="T4252" s="15">
        <f>+E4251</f>
        <v>0</v>
      </c>
      <c r="U4252" s="26" t="str">
        <f>IFERROR(LEFT(I4251,FIND("*",I4251)-1),"-")</f>
        <v>-</v>
      </c>
      <c r="V4252" s="26" t="str">
        <f>IFERROR(RIGHT(I4251,LEN(I4251)-FIND("*",I4251)),"-")</f>
        <v>-</v>
      </c>
      <c r="W4252" s="27" t="str">
        <f t="shared" si="2314"/>
        <v>-</v>
      </c>
      <c r="X4252" s="27" t="str">
        <f>IFERROR(W4252*J4251,"-")</f>
        <v>-</v>
      </c>
      <c r="Z4252" s="94" t="s">
        <v>82</v>
      </c>
    </row>
    <row r="4253" spans="1:26" s="25" customFormat="1" ht="6.95" customHeight="1" x14ac:dyDescent="0.3">
      <c r="A4253" s="10"/>
      <c r="B4253" s="168"/>
      <c r="C4253" s="169"/>
      <c r="D4253" s="160"/>
      <c r="E4253" s="161"/>
      <c r="F4253" s="162"/>
      <c r="G4253" s="163"/>
      <c r="H4253" s="164"/>
      <c r="I4253" s="163"/>
      <c r="J4253" s="164"/>
      <c r="K4253" s="163"/>
      <c r="L4253" s="164"/>
      <c r="M4253" s="11"/>
      <c r="N4253" s="39"/>
      <c r="Q4253" s="15" t="str">
        <f>+CONCATENATE(E4251,K4251)</f>
        <v/>
      </c>
      <c r="R4253" s="15">
        <f>+L4251</f>
        <v>0</v>
      </c>
      <c r="S4253" s="16"/>
      <c r="T4253" s="15">
        <f>+E4251</f>
        <v>0</v>
      </c>
      <c r="U4253" s="26" t="str">
        <f>IFERROR(LEFT(K4251,FIND("*",K4251)-1),"-")</f>
        <v>-</v>
      </c>
      <c r="V4253" s="26" t="str">
        <f>IFERROR(RIGHT(K4251,LEN(K4251)-FIND("*",K4251)),"-")</f>
        <v>-</v>
      </c>
      <c r="W4253" s="27" t="str">
        <f t="shared" si="2314"/>
        <v>-</v>
      </c>
      <c r="X4253" s="27" t="str">
        <f>IFERROR(W4253*L4251,"-")</f>
        <v>-</v>
      </c>
      <c r="Z4253" s="94" t="s">
        <v>82</v>
      </c>
    </row>
    <row r="4254" spans="1:26" s="25" customFormat="1" ht="6.95" customHeight="1" x14ac:dyDescent="0.3">
      <c r="A4254" s="13"/>
      <c r="B4254" s="168"/>
      <c r="C4254" s="169"/>
      <c r="D4254" s="160" t="s">
        <v>39</v>
      </c>
      <c r="E4254" s="161"/>
      <c r="F4254" s="162" t="s">
        <v>40</v>
      </c>
      <c r="G4254" s="163"/>
      <c r="H4254" s="164"/>
      <c r="I4254" s="163"/>
      <c r="J4254" s="164"/>
      <c r="K4254" s="163"/>
      <c r="L4254" s="164"/>
      <c r="M4254" s="11"/>
      <c r="N4254" s="39"/>
      <c r="Q4254" s="15" t="str">
        <f>+CONCATENATE(E4254,G4254)</f>
        <v/>
      </c>
      <c r="R4254" s="15">
        <f>+H4254</f>
        <v>0</v>
      </c>
      <c r="S4254" s="16"/>
      <c r="T4254" s="15">
        <f>+E4254</f>
        <v>0</v>
      </c>
      <c r="U4254" s="26" t="str">
        <f t="shared" ref="U4254" si="2317">IFERROR(LEFT(G4254,FIND("*",G4254)-1),"-")</f>
        <v>-</v>
      </c>
      <c r="V4254" s="26" t="str">
        <f t="shared" ref="V4254" si="2318">IFERROR(RIGHT(G4254,LEN(G4254)-FIND("*",G4254)),"-")</f>
        <v>-</v>
      </c>
      <c r="W4254" s="27" t="str">
        <f t="shared" si="2314"/>
        <v>-</v>
      </c>
      <c r="X4254" s="27" t="str">
        <f>IFERROR(W4254*H4254,"-")</f>
        <v>-</v>
      </c>
      <c r="Z4254" s="94" t="s">
        <v>82</v>
      </c>
    </row>
    <row r="4255" spans="1:26" s="25" customFormat="1" ht="6.95" customHeight="1" x14ac:dyDescent="0.3">
      <c r="A4255" s="10"/>
      <c r="B4255" s="168"/>
      <c r="C4255" s="169"/>
      <c r="D4255" s="160"/>
      <c r="E4255" s="161"/>
      <c r="F4255" s="162"/>
      <c r="G4255" s="163"/>
      <c r="H4255" s="164"/>
      <c r="I4255" s="163"/>
      <c r="J4255" s="164"/>
      <c r="K4255" s="163"/>
      <c r="L4255" s="164"/>
      <c r="M4255" s="11"/>
      <c r="N4255" s="39"/>
      <c r="Q4255" s="15" t="str">
        <f>+CONCATENATE(E4254,I4254)</f>
        <v/>
      </c>
      <c r="R4255" s="15">
        <f>+J4254</f>
        <v>0</v>
      </c>
      <c r="S4255" s="16"/>
      <c r="T4255" s="15">
        <f>+E4254</f>
        <v>0</v>
      </c>
      <c r="U4255" s="26" t="str">
        <f>IFERROR(LEFT(I4254,FIND("*",I4254)-1),"-")</f>
        <v>-</v>
      </c>
      <c r="V4255" s="26" t="str">
        <f>IFERROR(RIGHT(I4254,LEN(I4254)-FIND("*",I4254)),"-")</f>
        <v>-</v>
      </c>
      <c r="W4255" s="27" t="str">
        <f t="shared" si="2314"/>
        <v>-</v>
      </c>
      <c r="X4255" s="27" t="str">
        <f t="shared" ref="X4255" si="2319">IFERROR(W4255*J4254,"-")</f>
        <v>-</v>
      </c>
      <c r="Z4255" s="94" t="s">
        <v>82</v>
      </c>
    </row>
    <row r="4256" spans="1:26" s="25" customFormat="1" ht="6.95" customHeight="1" x14ac:dyDescent="0.3">
      <c r="A4256" s="10"/>
      <c r="B4256" s="168"/>
      <c r="C4256" s="169"/>
      <c r="D4256" s="160"/>
      <c r="E4256" s="161"/>
      <c r="F4256" s="162"/>
      <c r="G4256" s="163"/>
      <c r="H4256" s="164"/>
      <c r="I4256" s="163"/>
      <c r="J4256" s="164"/>
      <c r="K4256" s="163"/>
      <c r="L4256" s="164"/>
      <c r="M4256" s="11"/>
      <c r="N4256" s="39"/>
      <c r="Q4256" s="15" t="str">
        <f>+CONCATENATE(E4254,K4254)</f>
        <v/>
      </c>
      <c r="R4256" s="15">
        <f>+L4254</f>
        <v>0</v>
      </c>
      <c r="S4256" s="16"/>
      <c r="T4256" s="15">
        <f>+E4254</f>
        <v>0</v>
      </c>
      <c r="U4256" s="26" t="str">
        <f>IFERROR(LEFT(K4254,FIND("*",K4254)-1),"-")</f>
        <v>-</v>
      </c>
      <c r="V4256" s="26" t="str">
        <f>IFERROR(RIGHT(K4254,LEN(K4254)-FIND("*",K4254)),"-")</f>
        <v>-</v>
      </c>
      <c r="W4256" s="27" t="str">
        <f t="shared" si="2314"/>
        <v>-</v>
      </c>
      <c r="X4256" s="27" t="str">
        <f>IFERROR(W4256*L4254,"-")</f>
        <v>-</v>
      </c>
      <c r="Z4256" s="94" t="s">
        <v>82</v>
      </c>
    </row>
    <row r="4257" spans="1:26" s="25" customFormat="1" ht="21" customHeight="1" thickBot="1" x14ac:dyDescent="0.35">
      <c r="A4257" s="10"/>
      <c r="B4257" s="170"/>
      <c r="C4257" s="171"/>
      <c r="D4257" s="172" t="s">
        <v>43</v>
      </c>
      <c r="E4257" s="173"/>
      <c r="F4257" s="173"/>
      <c r="G4257" s="174"/>
      <c r="H4257" s="174"/>
      <c r="I4257" s="174"/>
      <c r="J4257" s="174"/>
      <c r="K4257" s="174"/>
      <c r="L4257" s="174"/>
      <c r="M4257" s="12"/>
      <c r="N4257" s="39"/>
      <c r="U4257" s="23"/>
      <c r="V4257" s="23"/>
      <c r="Z4257" s="95" t="s">
        <v>81</v>
      </c>
    </row>
    <row r="4258" spans="1:26" s="25" customFormat="1" ht="9.9499999999999993" customHeight="1" thickBot="1" x14ac:dyDescent="0.35">
      <c r="A4258" s="6"/>
      <c r="B4258" s="14"/>
      <c r="C4258" s="119"/>
      <c r="D4258" s="58"/>
      <c r="E4258" s="17"/>
      <c r="F4258" s="58"/>
      <c r="G4258" s="19"/>
      <c r="H4258" s="19"/>
      <c r="I4258" s="19"/>
      <c r="J4258" s="19"/>
      <c r="K4258" s="19"/>
      <c r="L4258" s="19"/>
      <c r="M4258" s="14"/>
      <c r="N4258" s="39"/>
      <c r="Q4258" s="1"/>
      <c r="R4258" s="1"/>
      <c r="S4258" s="1"/>
      <c r="T4258" s="1"/>
      <c r="U4258" s="24"/>
      <c r="V4258" s="24"/>
      <c r="W4258" s="1"/>
      <c r="X4258" s="1"/>
      <c r="Z4258" s="94" t="s">
        <v>82</v>
      </c>
    </row>
    <row r="4259" spans="1:26" s="25" customFormat="1" ht="6.95" customHeight="1" x14ac:dyDescent="0.3">
      <c r="A4259" s="165">
        <f>+A4248+1</f>
        <v>388</v>
      </c>
      <c r="B4259" s="166"/>
      <c r="C4259" s="167"/>
      <c r="D4259" s="160" t="s">
        <v>39</v>
      </c>
      <c r="E4259" s="161"/>
      <c r="F4259" s="162" t="s">
        <v>40</v>
      </c>
      <c r="G4259" s="163"/>
      <c r="H4259" s="164"/>
      <c r="I4259" s="163"/>
      <c r="J4259" s="164"/>
      <c r="K4259" s="163"/>
      <c r="L4259" s="164"/>
      <c r="M4259" s="11"/>
      <c r="N4259" s="39"/>
      <c r="Q4259" s="15" t="str">
        <f>+CONCATENATE(E4259,G4259)</f>
        <v/>
      </c>
      <c r="R4259" s="15">
        <f>+H4259</f>
        <v>0</v>
      </c>
      <c r="S4259" s="16"/>
      <c r="T4259" s="15">
        <f>+E4259</f>
        <v>0</v>
      </c>
      <c r="U4259" s="26" t="str">
        <f>IFERROR(LEFT(G4259,FIND("*",G4259)-1),"-")</f>
        <v>-</v>
      </c>
      <c r="V4259" s="26" t="str">
        <f>IFERROR(RIGHT(G4259,LEN(G4259)-FIND("*",G4259)),"-")</f>
        <v>-</v>
      </c>
      <c r="W4259" s="27" t="str">
        <f>IFERROR((U4259+V4259)*2/1000,"-")</f>
        <v>-</v>
      </c>
      <c r="X4259" s="27" t="str">
        <f>IFERROR(W4259*H4259,"-")</f>
        <v>-</v>
      </c>
      <c r="Z4259" s="94" t="s">
        <v>82</v>
      </c>
    </row>
    <row r="4260" spans="1:26" s="25" customFormat="1" ht="6.95" customHeight="1" x14ac:dyDescent="0.3">
      <c r="A4260" s="165"/>
      <c r="B4260" s="168"/>
      <c r="C4260" s="169"/>
      <c r="D4260" s="160"/>
      <c r="E4260" s="161"/>
      <c r="F4260" s="162"/>
      <c r="G4260" s="163"/>
      <c r="H4260" s="164"/>
      <c r="I4260" s="163"/>
      <c r="J4260" s="164"/>
      <c r="K4260" s="163"/>
      <c r="L4260" s="164"/>
      <c r="M4260" s="11"/>
      <c r="N4260" s="39"/>
      <c r="Q4260" s="15" t="str">
        <f>+CONCATENATE(E4259,I4259)</f>
        <v/>
      </c>
      <c r="R4260" s="15">
        <f>+J4259</f>
        <v>0</v>
      </c>
      <c r="S4260" s="16"/>
      <c r="T4260" s="15">
        <f>+E4259</f>
        <v>0</v>
      </c>
      <c r="U4260" s="26" t="str">
        <f>IFERROR(LEFT(I4259,FIND("*",I4259)-1),"-")</f>
        <v>-</v>
      </c>
      <c r="V4260" s="26" t="str">
        <f>IFERROR(RIGHT(I4259,LEN(I4259)-FIND("*",I4259)),"-")</f>
        <v>-</v>
      </c>
      <c r="W4260" s="27" t="str">
        <f t="shared" ref="W4260:W4267" si="2320">IFERROR((U4260+V4260)*2/1000,"-")</f>
        <v>-</v>
      </c>
      <c r="X4260" s="27" t="str">
        <f>IFERROR(W4260*J4259,"-")</f>
        <v>-</v>
      </c>
      <c r="Z4260" s="94" t="s">
        <v>82</v>
      </c>
    </row>
    <row r="4261" spans="1:26" s="25" customFormat="1" ht="6.95" customHeight="1" x14ac:dyDescent="0.3">
      <c r="A4261" s="165"/>
      <c r="B4261" s="168"/>
      <c r="C4261" s="169"/>
      <c r="D4261" s="160"/>
      <c r="E4261" s="161"/>
      <c r="F4261" s="162"/>
      <c r="G4261" s="163"/>
      <c r="H4261" s="164"/>
      <c r="I4261" s="163"/>
      <c r="J4261" s="164"/>
      <c r="K4261" s="163"/>
      <c r="L4261" s="164"/>
      <c r="M4261" s="11"/>
      <c r="N4261" s="39"/>
      <c r="Q4261" s="15" t="str">
        <f>+CONCATENATE(E4259,K4259)</f>
        <v/>
      </c>
      <c r="R4261" s="15">
        <f>+L4259</f>
        <v>0</v>
      </c>
      <c r="S4261" s="16"/>
      <c r="T4261" s="15">
        <f>+E4259</f>
        <v>0</v>
      </c>
      <c r="U4261" s="26" t="str">
        <f>IFERROR(LEFT(K4259,FIND("*",K4259)-1),"-")</f>
        <v>-</v>
      </c>
      <c r="V4261" s="26" t="str">
        <f>IFERROR(RIGHT(K4259,LEN(K4259)-FIND("*",K4259)),"-")</f>
        <v>-</v>
      </c>
      <c r="W4261" s="27" t="str">
        <f t="shared" si="2320"/>
        <v>-</v>
      </c>
      <c r="X4261" s="27" t="str">
        <f>IFERROR(W4261*L4259,"-")</f>
        <v>-</v>
      </c>
      <c r="Z4261" s="94" t="s">
        <v>82</v>
      </c>
    </row>
    <row r="4262" spans="1:26" s="25" customFormat="1" ht="6.95" customHeight="1" x14ac:dyDescent="0.3">
      <c r="A4262" s="13"/>
      <c r="B4262" s="168"/>
      <c r="C4262" s="169"/>
      <c r="D4262" s="160" t="s">
        <v>39</v>
      </c>
      <c r="E4262" s="161"/>
      <c r="F4262" s="162" t="s">
        <v>40</v>
      </c>
      <c r="G4262" s="163"/>
      <c r="H4262" s="164"/>
      <c r="I4262" s="163"/>
      <c r="J4262" s="164"/>
      <c r="K4262" s="163"/>
      <c r="L4262" s="164"/>
      <c r="M4262" s="11"/>
      <c r="N4262" s="39"/>
      <c r="Q4262" s="15" t="str">
        <f>+CONCATENATE(E4262,G4262)</f>
        <v/>
      </c>
      <c r="R4262" s="15">
        <f>+H4262</f>
        <v>0</v>
      </c>
      <c r="S4262" s="16"/>
      <c r="T4262" s="15">
        <f>+E4262</f>
        <v>0</v>
      </c>
      <c r="U4262" s="26" t="str">
        <f t="shared" ref="U4262" si="2321">IFERROR(LEFT(G4262,FIND("*",G4262)-1),"-")</f>
        <v>-</v>
      </c>
      <c r="V4262" s="26" t="str">
        <f t="shared" ref="V4262" si="2322">IFERROR(RIGHT(G4262,LEN(G4262)-FIND("*",G4262)),"-")</f>
        <v>-</v>
      </c>
      <c r="W4262" s="27" t="str">
        <f t="shared" si="2320"/>
        <v>-</v>
      </c>
      <c r="X4262" s="27" t="str">
        <f>IFERROR(W4262*H4262,"-")</f>
        <v>-</v>
      </c>
      <c r="Z4262" s="94" t="s">
        <v>82</v>
      </c>
    </row>
    <row r="4263" spans="1:26" s="25" customFormat="1" ht="6.95" customHeight="1" x14ac:dyDescent="0.3">
      <c r="A4263" s="10"/>
      <c r="B4263" s="168"/>
      <c r="C4263" s="169"/>
      <c r="D4263" s="160"/>
      <c r="E4263" s="161"/>
      <c r="F4263" s="162"/>
      <c r="G4263" s="163"/>
      <c r="H4263" s="164"/>
      <c r="I4263" s="163"/>
      <c r="J4263" s="164"/>
      <c r="K4263" s="163"/>
      <c r="L4263" s="164"/>
      <c r="M4263" s="11"/>
      <c r="N4263" s="39"/>
      <c r="Q4263" s="15" t="str">
        <f>+CONCATENATE(E4262,I4262)</f>
        <v/>
      </c>
      <c r="R4263" s="15">
        <f>+J4262</f>
        <v>0</v>
      </c>
      <c r="S4263" s="16"/>
      <c r="T4263" s="15">
        <f>+E4262</f>
        <v>0</v>
      </c>
      <c r="U4263" s="26" t="str">
        <f>IFERROR(LEFT(I4262,FIND("*",I4262)-1),"-")</f>
        <v>-</v>
      </c>
      <c r="V4263" s="26" t="str">
        <f>IFERROR(RIGHT(I4262,LEN(I4262)-FIND("*",I4262)),"-")</f>
        <v>-</v>
      </c>
      <c r="W4263" s="27" t="str">
        <f t="shared" si="2320"/>
        <v>-</v>
      </c>
      <c r="X4263" s="27" t="str">
        <f>IFERROR(W4263*J4262,"-")</f>
        <v>-</v>
      </c>
      <c r="Z4263" s="94" t="s">
        <v>82</v>
      </c>
    </row>
    <row r="4264" spans="1:26" s="25" customFormat="1" ht="6.95" customHeight="1" x14ac:dyDescent="0.3">
      <c r="A4264" s="10"/>
      <c r="B4264" s="168"/>
      <c r="C4264" s="169"/>
      <c r="D4264" s="160"/>
      <c r="E4264" s="161"/>
      <c r="F4264" s="162"/>
      <c r="G4264" s="163"/>
      <c r="H4264" s="164"/>
      <c r="I4264" s="163"/>
      <c r="J4264" s="164"/>
      <c r="K4264" s="163"/>
      <c r="L4264" s="164"/>
      <c r="M4264" s="11"/>
      <c r="N4264" s="39"/>
      <c r="Q4264" s="15" t="str">
        <f>+CONCATENATE(E4262,K4262)</f>
        <v/>
      </c>
      <c r="R4264" s="15">
        <f>+L4262</f>
        <v>0</v>
      </c>
      <c r="S4264" s="16"/>
      <c r="T4264" s="15">
        <f>+E4262</f>
        <v>0</v>
      </c>
      <c r="U4264" s="26" t="str">
        <f>IFERROR(LEFT(K4262,FIND("*",K4262)-1),"-")</f>
        <v>-</v>
      </c>
      <c r="V4264" s="26" t="str">
        <f>IFERROR(RIGHT(K4262,LEN(K4262)-FIND("*",K4262)),"-")</f>
        <v>-</v>
      </c>
      <c r="W4264" s="27" t="str">
        <f t="shared" si="2320"/>
        <v>-</v>
      </c>
      <c r="X4264" s="27" t="str">
        <f>IFERROR(W4264*L4262,"-")</f>
        <v>-</v>
      </c>
      <c r="Z4264" s="94" t="s">
        <v>82</v>
      </c>
    </row>
    <row r="4265" spans="1:26" s="25" customFormat="1" ht="6.95" customHeight="1" x14ac:dyDescent="0.3">
      <c r="A4265" s="13"/>
      <c r="B4265" s="168"/>
      <c r="C4265" s="169"/>
      <c r="D4265" s="160" t="s">
        <v>39</v>
      </c>
      <c r="E4265" s="161"/>
      <c r="F4265" s="162" t="s">
        <v>40</v>
      </c>
      <c r="G4265" s="163"/>
      <c r="H4265" s="164"/>
      <c r="I4265" s="163"/>
      <c r="J4265" s="164"/>
      <c r="K4265" s="163"/>
      <c r="L4265" s="164"/>
      <c r="M4265" s="11"/>
      <c r="N4265" s="39"/>
      <c r="Q4265" s="15" t="str">
        <f>+CONCATENATE(E4265,G4265)</f>
        <v/>
      </c>
      <c r="R4265" s="15">
        <f>+H4265</f>
        <v>0</v>
      </c>
      <c r="S4265" s="16"/>
      <c r="T4265" s="15">
        <f>+E4265</f>
        <v>0</v>
      </c>
      <c r="U4265" s="26" t="str">
        <f t="shared" ref="U4265" si="2323">IFERROR(LEFT(G4265,FIND("*",G4265)-1),"-")</f>
        <v>-</v>
      </c>
      <c r="V4265" s="26" t="str">
        <f t="shared" ref="V4265" si="2324">IFERROR(RIGHT(G4265,LEN(G4265)-FIND("*",G4265)),"-")</f>
        <v>-</v>
      </c>
      <c r="W4265" s="27" t="str">
        <f t="shared" si="2320"/>
        <v>-</v>
      </c>
      <c r="X4265" s="27" t="str">
        <f>IFERROR(W4265*H4265,"-")</f>
        <v>-</v>
      </c>
      <c r="Z4265" s="94" t="s">
        <v>82</v>
      </c>
    </row>
    <row r="4266" spans="1:26" s="25" customFormat="1" ht="6.95" customHeight="1" x14ac:dyDescent="0.3">
      <c r="A4266" s="10"/>
      <c r="B4266" s="168"/>
      <c r="C4266" s="169"/>
      <c r="D4266" s="160"/>
      <c r="E4266" s="161"/>
      <c r="F4266" s="162"/>
      <c r="G4266" s="163"/>
      <c r="H4266" s="164"/>
      <c r="I4266" s="163"/>
      <c r="J4266" s="164"/>
      <c r="K4266" s="163"/>
      <c r="L4266" s="164"/>
      <c r="M4266" s="11"/>
      <c r="N4266" s="39"/>
      <c r="Q4266" s="15" t="str">
        <f>+CONCATENATE(E4265,I4265)</f>
        <v/>
      </c>
      <c r="R4266" s="15">
        <f>+J4265</f>
        <v>0</v>
      </c>
      <c r="S4266" s="16"/>
      <c r="T4266" s="15">
        <f>+E4265</f>
        <v>0</v>
      </c>
      <c r="U4266" s="26" t="str">
        <f>IFERROR(LEFT(I4265,FIND("*",I4265)-1),"-")</f>
        <v>-</v>
      </c>
      <c r="V4266" s="26" t="str">
        <f>IFERROR(RIGHT(I4265,LEN(I4265)-FIND("*",I4265)),"-")</f>
        <v>-</v>
      </c>
      <c r="W4266" s="27" t="str">
        <f t="shared" si="2320"/>
        <v>-</v>
      </c>
      <c r="X4266" s="27" t="str">
        <f t="shared" ref="X4266" si="2325">IFERROR(W4266*J4265,"-")</f>
        <v>-</v>
      </c>
      <c r="Z4266" s="94" t="s">
        <v>82</v>
      </c>
    </row>
    <row r="4267" spans="1:26" s="25" customFormat="1" ht="6.95" customHeight="1" x14ac:dyDescent="0.3">
      <c r="A4267" s="10"/>
      <c r="B4267" s="168"/>
      <c r="C4267" s="169"/>
      <c r="D4267" s="160"/>
      <c r="E4267" s="161"/>
      <c r="F4267" s="162"/>
      <c r="G4267" s="163"/>
      <c r="H4267" s="164"/>
      <c r="I4267" s="163"/>
      <c r="J4267" s="164"/>
      <c r="K4267" s="163"/>
      <c r="L4267" s="164"/>
      <c r="M4267" s="11"/>
      <c r="N4267" s="39"/>
      <c r="Q4267" s="15" t="str">
        <f>+CONCATENATE(E4265,K4265)</f>
        <v/>
      </c>
      <c r="R4267" s="15">
        <f>+L4265</f>
        <v>0</v>
      </c>
      <c r="S4267" s="16"/>
      <c r="T4267" s="15">
        <f>+E4265</f>
        <v>0</v>
      </c>
      <c r="U4267" s="26" t="str">
        <f>IFERROR(LEFT(K4265,FIND("*",K4265)-1),"-")</f>
        <v>-</v>
      </c>
      <c r="V4267" s="26" t="str">
        <f>IFERROR(RIGHT(K4265,LEN(K4265)-FIND("*",K4265)),"-")</f>
        <v>-</v>
      </c>
      <c r="W4267" s="27" t="str">
        <f t="shared" si="2320"/>
        <v>-</v>
      </c>
      <c r="X4267" s="27" t="str">
        <f>IFERROR(W4267*L4265,"-")</f>
        <v>-</v>
      </c>
      <c r="Z4267" s="94" t="s">
        <v>82</v>
      </c>
    </row>
    <row r="4268" spans="1:26" s="25" customFormat="1" ht="21" customHeight="1" thickBot="1" x14ac:dyDescent="0.35">
      <c r="A4268" s="10"/>
      <c r="B4268" s="170"/>
      <c r="C4268" s="171"/>
      <c r="D4268" s="172" t="s">
        <v>43</v>
      </c>
      <c r="E4268" s="173"/>
      <c r="F4268" s="173"/>
      <c r="G4268" s="174"/>
      <c r="H4268" s="174"/>
      <c r="I4268" s="174"/>
      <c r="J4268" s="174"/>
      <c r="K4268" s="174"/>
      <c r="L4268" s="174"/>
      <c r="M4268" s="12"/>
      <c r="N4268" s="39"/>
      <c r="U4268" s="23"/>
      <c r="V4268" s="23"/>
      <c r="Z4268" s="95" t="s">
        <v>81</v>
      </c>
    </row>
    <row r="4269" spans="1:26" s="25" customFormat="1" ht="9.9499999999999993" customHeight="1" thickBot="1" x14ac:dyDescent="0.35">
      <c r="A4269" s="6"/>
      <c r="B4269" s="14"/>
      <c r="C4269" s="119"/>
      <c r="D4269" s="58"/>
      <c r="E4269" s="17"/>
      <c r="F4269" s="58"/>
      <c r="G4269" s="19"/>
      <c r="H4269" s="19"/>
      <c r="I4269" s="19"/>
      <c r="J4269" s="19"/>
      <c r="K4269" s="19"/>
      <c r="L4269" s="19"/>
      <c r="M4269" s="14"/>
      <c r="N4269" s="39"/>
      <c r="Q4269" s="1"/>
      <c r="R4269" s="1"/>
      <c r="S4269" s="1"/>
      <c r="T4269" s="1"/>
      <c r="U4269" s="24"/>
      <c r="V4269" s="24"/>
      <c r="W4269" s="1"/>
      <c r="X4269" s="1"/>
      <c r="Z4269" s="94" t="s">
        <v>82</v>
      </c>
    </row>
    <row r="4270" spans="1:26" s="25" customFormat="1" ht="6.95" customHeight="1" x14ac:dyDescent="0.3">
      <c r="A4270" s="165">
        <f>+A4259+1</f>
        <v>389</v>
      </c>
      <c r="B4270" s="166"/>
      <c r="C4270" s="167"/>
      <c r="D4270" s="160" t="s">
        <v>39</v>
      </c>
      <c r="E4270" s="161"/>
      <c r="F4270" s="162" t="s">
        <v>40</v>
      </c>
      <c r="G4270" s="163"/>
      <c r="H4270" s="164"/>
      <c r="I4270" s="163"/>
      <c r="J4270" s="164"/>
      <c r="K4270" s="163"/>
      <c r="L4270" s="164"/>
      <c r="M4270" s="11"/>
      <c r="N4270" s="39"/>
      <c r="Q4270" s="15" t="str">
        <f>+CONCATENATE(E4270,G4270)</f>
        <v/>
      </c>
      <c r="R4270" s="15">
        <f>+H4270</f>
        <v>0</v>
      </c>
      <c r="S4270" s="16"/>
      <c r="T4270" s="15">
        <f>+E4270</f>
        <v>0</v>
      </c>
      <c r="U4270" s="26" t="str">
        <f>IFERROR(LEFT(G4270,FIND("*",G4270)-1),"-")</f>
        <v>-</v>
      </c>
      <c r="V4270" s="26" t="str">
        <f>IFERROR(RIGHT(G4270,LEN(G4270)-FIND("*",G4270)),"-")</f>
        <v>-</v>
      </c>
      <c r="W4270" s="27" t="str">
        <f>IFERROR((U4270+V4270)*2/1000,"-")</f>
        <v>-</v>
      </c>
      <c r="X4270" s="27" t="str">
        <f>IFERROR(W4270*H4270,"-")</f>
        <v>-</v>
      </c>
      <c r="Z4270" s="94" t="s">
        <v>82</v>
      </c>
    </row>
    <row r="4271" spans="1:26" s="25" customFormat="1" ht="6.95" customHeight="1" x14ac:dyDescent="0.3">
      <c r="A4271" s="165"/>
      <c r="B4271" s="168"/>
      <c r="C4271" s="169"/>
      <c r="D4271" s="160"/>
      <c r="E4271" s="161"/>
      <c r="F4271" s="162"/>
      <c r="G4271" s="163"/>
      <c r="H4271" s="164"/>
      <c r="I4271" s="163"/>
      <c r="J4271" s="164"/>
      <c r="K4271" s="163"/>
      <c r="L4271" s="164"/>
      <c r="M4271" s="11"/>
      <c r="N4271" s="39"/>
      <c r="Q4271" s="15" t="str">
        <f>+CONCATENATE(E4270,I4270)</f>
        <v/>
      </c>
      <c r="R4271" s="15">
        <f>+J4270</f>
        <v>0</v>
      </c>
      <c r="S4271" s="16"/>
      <c r="T4271" s="15">
        <f>+E4270</f>
        <v>0</v>
      </c>
      <c r="U4271" s="26" t="str">
        <f>IFERROR(LEFT(I4270,FIND("*",I4270)-1),"-")</f>
        <v>-</v>
      </c>
      <c r="V4271" s="26" t="str">
        <f>IFERROR(RIGHT(I4270,LEN(I4270)-FIND("*",I4270)),"-")</f>
        <v>-</v>
      </c>
      <c r="W4271" s="27" t="str">
        <f t="shared" ref="W4271:W4278" si="2326">IFERROR((U4271+V4271)*2/1000,"-")</f>
        <v>-</v>
      </c>
      <c r="X4271" s="27" t="str">
        <f>IFERROR(W4271*J4270,"-")</f>
        <v>-</v>
      </c>
      <c r="Z4271" s="94" t="s">
        <v>82</v>
      </c>
    </row>
    <row r="4272" spans="1:26" s="25" customFormat="1" ht="6.95" customHeight="1" x14ac:dyDescent="0.3">
      <c r="A4272" s="165"/>
      <c r="B4272" s="168"/>
      <c r="C4272" s="169"/>
      <c r="D4272" s="160"/>
      <c r="E4272" s="161"/>
      <c r="F4272" s="162"/>
      <c r="G4272" s="163"/>
      <c r="H4272" s="164"/>
      <c r="I4272" s="163"/>
      <c r="J4272" s="164"/>
      <c r="K4272" s="163"/>
      <c r="L4272" s="164"/>
      <c r="M4272" s="11"/>
      <c r="N4272" s="39"/>
      <c r="Q4272" s="15" t="str">
        <f>+CONCATENATE(E4270,K4270)</f>
        <v/>
      </c>
      <c r="R4272" s="15">
        <f>+L4270</f>
        <v>0</v>
      </c>
      <c r="S4272" s="16"/>
      <c r="T4272" s="15">
        <f>+E4270</f>
        <v>0</v>
      </c>
      <c r="U4272" s="26" t="str">
        <f>IFERROR(LEFT(K4270,FIND("*",K4270)-1),"-")</f>
        <v>-</v>
      </c>
      <c r="V4272" s="26" t="str">
        <f>IFERROR(RIGHT(K4270,LEN(K4270)-FIND("*",K4270)),"-")</f>
        <v>-</v>
      </c>
      <c r="W4272" s="27" t="str">
        <f t="shared" si="2326"/>
        <v>-</v>
      </c>
      <c r="X4272" s="27" t="str">
        <f>IFERROR(W4272*L4270,"-")</f>
        <v>-</v>
      </c>
      <c r="Z4272" s="94" t="s">
        <v>82</v>
      </c>
    </row>
    <row r="4273" spans="1:26" s="25" customFormat="1" ht="6.95" customHeight="1" x14ac:dyDescent="0.3">
      <c r="A4273" s="13"/>
      <c r="B4273" s="168"/>
      <c r="C4273" s="169"/>
      <c r="D4273" s="160" t="s">
        <v>39</v>
      </c>
      <c r="E4273" s="161"/>
      <c r="F4273" s="162" t="s">
        <v>40</v>
      </c>
      <c r="G4273" s="163"/>
      <c r="H4273" s="164"/>
      <c r="I4273" s="163"/>
      <c r="J4273" s="164"/>
      <c r="K4273" s="163"/>
      <c r="L4273" s="164"/>
      <c r="M4273" s="11"/>
      <c r="N4273" s="39"/>
      <c r="Q4273" s="15" t="str">
        <f>+CONCATENATE(E4273,G4273)</f>
        <v/>
      </c>
      <c r="R4273" s="15">
        <f>+H4273</f>
        <v>0</v>
      </c>
      <c r="S4273" s="16"/>
      <c r="T4273" s="15">
        <f>+E4273</f>
        <v>0</v>
      </c>
      <c r="U4273" s="26" t="str">
        <f t="shared" ref="U4273" si="2327">IFERROR(LEFT(G4273,FIND("*",G4273)-1),"-")</f>
        <v>-</v>
      </c>
      <c r="V4273" s="26" t="str">
        <f t="shared" ref="V4273" si="2328">IFERROR(RIGHT(G4273,LEN(G4273)-FIND("*",G4273)),"-")</f>
        <v>-</v>
      </c>
      <c r="W4273" s="27" t="str">
        <f t="shared" si="2326"/>
        <v>-</v>
      </c>
      <c r="X4273" s="27" t="str">
        <f>IFERROR(W4273*H4273,"-")</f>
        <v>-</v>
      </c>
      <c r="Z4273" s="94" t="s">
        <v>82</v>
      </c>
    </row>
    <row r="4274" spans="1:26" s="25" customFormat="1" ht="6.95" customHeight="1" x14ac:dyDescent="0.3">
      <c r="A4274" s="10"/>
      <c r="B4274" s="168"/>
      <c r="C4274" s="169"/>
      <c r="D4274" s="160"/>
      <c r="E4274" s="161"/>
      <c r="F4274" s="162"/>
      <c r="G4274" s="163"/>
      <c r="H4274" s="164"/>
      <c r="I4274" s="163"/>
      <c r="J4274" s="164"/>
      <c r="K4274" s="163"/>
      <c r="L4274" s="164"/>
      <c r="M4274" s="11"/>
      <c r="N4274" s="39"/>
      <c r="Q4274" s="15" t="str">
        <f>+CONCATENATE(E4273,I4273)</f>
        <v/>
      </c>
      <c r="R4274" s="15">
        <f>+J4273</f>
        <v>0</v>
      </c>
      <c r="S4274" s="16"/>
      <c r="T4274" s="15">
        <f>+E4273</f>
        <v>0</v>
      </c>
      <c r="U4274" s="26" t="str">
        <f>IFERROR(LEFT(I4273,FIND("*",I4273)-1),"-")</f>
        <v>-</v>
      </c>
      <c r="V4274" s="26" t="str">
        <f>IFERROR(RIGHT(I4273,LEN(I4273)-FIND("*",I4273)),"-")</f>
        <v>-</v>
      </c>
      <c r="W4274" s="27" t="str">
        <f t="shared" si="2326"/>
        <v>-</v>
      </c>
      <c r="X4274" s="27" t="str">
        <f>IFERROR(W4274*J4273,"-")</f>
        <v>-</v>
      </c>
      <c r="Z4274" s="94" t="s">
        <v>82</v>
      </c>
    </row>
    <row r="4275" spans="1:26" s="25" customFormat="1" ht="6.95" customHeight="1" x14ac:dyDescent="0.3">
      <c r="A4275" s="10"/>
      <c r="B4275" s="168"/>
      <c r="C4275" s="169"/>
      <c r="D4275" s="160"/>
      <c r="E4275" s="161"/>
      <c r="F4275" s="162"/>
      <c r="G4275" s="163"/>
      <c r="H4275" s="164"/>
      <c r="I4275" s="163"/>
      <c r="J4275" s="164"/>
      <c r="K4275" s="163"/>
      <c r="L4275" s="164"/>
      <c r="M4275" s="11"/>
      <c r="N4275" s="39"/>
      <c r="Q4275" s="15" t="str">
        <f>+CONCATENATE(E4273,K4273)</f>
        <v/>
      </c>
      <c r="R4275" s="15">
        <f>+L4273</f>
        <v>0</v>
      </c>
      <c r="S4275" s="16"/>
      <c r="T4275" s="15">
        <f>+E4273</f>
        <v>0</v>
      </c>
      <c r="U4275" s="26" t="str">
        <f>IFERROR(LEFT(K4273,FIND("*",K4273)-1),"-")</f>
        <v>-</v>
      </c>
      <c r="V4275" s="26" t="str">
        <f>IFERROR(RIGHT(K4273,LEN(K4273)-FIND("*",K4273)),"-")</f>
        <v>-</v>
      </c>
      <c r="W4275" s="27" t="str">
        <f t="shared" si="2326"/>
        <v>-</v>
      </c>
      <c r="X4275" s="27" t="str">
        <f>IFERROR(W4275*L4273,"-")</f>
        <v>-</v>
      </c>
      <c r="Z4275" s="94" t="s">
        <v>82</v>
      </c>
    </row>
    <row r="4276" spans="1:26" s="25" customFormat="1" ht="6.95" customHeight="1" x14ac:dyDescent="0.3">
      <c r="A4276" s="13"/>
      <c r="B4276" s="168"/>
      <c r="C4276" s="169"/>
      <c r="D4276" s="160" t="s">
        <v>39</v>
      </c>
      <c r="E4276" s="161"/>
      <c r="F4276" s="162" t="s">
        <v>40</v>
      </c>
      <c r="G4276" s="163"/>
      <c r="H4276" s="164"/>
      <c r="I4276" s="163"/>
      <c r="J4276" s="164"/>
      <c r="K4276" s="163"/>
      <c r="L4276" s="164"/>
      <c r="M4276" s="11"/>
      <c r="N4276" s="39"/>
      <c r="Q4276" s="15" t="str">
        <f>+CONCATENATE(E4276,G4276)</f>
        <v/>
      </c>
      <c r="R4276" s="15">
        <f>+H4276</f>
        <v>0</v>
      </c>
      <c r="S4276" s="16"/>
      <c r="T4276" s="15">
        <f>+E4276</f>
        <v>0</v>
      </c>
      <c r="U4276" s="26" t="str">
        <f t="shared" ref="U4276" si="2329">IFERROR(LEFT(G4276,FIND("*",G4276)-1),"-")</f>
        <v>-</v>
      </c>
      <c r="V4276" s="26" t="str">
        <f t="shared" ref="V4276" si="2330">IFERROR(RIGHT(G4276,LEN(G4276)-FIND("*",G4276)),"-")</f>
        <v>-</v>
      </c>
      <c r="W4276" s="27" t="str">
        <f t="shared" si="2326"/>
        <v>-</v>
      </c>
      <c r="X4276" s="27" t="str">
        <f>IFERROR(W4276*H4276,"-")</f>
        <v>-</v>
      </c>
      <c r="Z4276" s="94" t="s">
        <v>82</v>
      </c>
    </row>
    <row r="4277" spans="1:26" s="25" customFormat="1" ht="6.95" customHeight="1" x14ac:dyDescent="0.3">
      <c r="A4277" s="10"/>
      <c r="B4277" s="168"/>
      <c r="C4277" s="169"/>
      <c r="D4277" s="160"/>
      <c r="E4277" s="161"/>
      <c r="F4277" s="162"/>
      <c r="G4277" s="163"/>
      <c r="H4277" s="164"/>
      <c r="I4277" s="163"/>
      <c r="J4277" s="164"/>
      <c r="K4277" s="163"/>
      <c r="L4277" s="164"/>
      <c r="M4277" s="11"/>
      <c r="N4277" s="39"/>
      <c r="Q4277" s="15" t="str">
        <f>+CONCATENATE(E4276,I4276)</f>
        <v/>
      </c>
      <c r="R4277" s="15">
        <f>+J4276</f>
        <v>0</v>
      </c>
      <c r="S4277" s="16"/>
      <c r="T4277" s="15">
        <f>+E4276</f>
        <v>0</v>
      </c>
      <c r="U4277" s="26" t="str">
        <f>IFERROR(LEFT(I4276,FIND("*",I4276)-1),"-")</f>
        <v>-</v>
      </c>
      <c r="V4277" s="26" t="str">
        <f>IFERROR(RIGHT(I4276,LEN(I4276)-FIND("*",I4276)),"-")</f>
        <v>-</v>
      </c>
      <c r="W4277" s="27" t="str">
        <f t="shared" si="2326"/>
        <v>-</v>
      </c>
      <c r="X4277" s="27" t="str">
        <f t="shared" ref="X4277" si="2331">IFERROR(W4277*J4276,"-")</f>
        <v>-</v>
      </c>
      <c r="Z4277" s="94" t="s">
        <v>82</v>
      </c>
    </row>
    <row r="4278" spans="1:26" s="25" customFormat="1" ht="6.95" customHeight="1" x14ac:dyDescent="0.3">
      <c r="A4278" s="10"/>
      <c r="B4278" s="168"/>
      <c r="C4278" s="169"/>
      <c r="D4278" s="160"/>
      <c r="E4278" s="161"/>
      <c r="F4278" s="162"/>
      <c r="G4278" s="163"/>
      <c r="H4278" s="164"/>
      <c r="I4278" s="163"/>
      <c r="J4278" s="164"/>
      <c r="K4278" s="163"/>
      <c r="L4278" s="164"/>
      <c r="M4278" s="11"/>
      <c r="N4278" s="39"/>
      <c r="Q4278" s="15" t="str">
        <f>+CONCATENATE(E4276,K4276)</f>
        <v/>
      </c>
      <c r="R4278" s="15">
        <f>+L4276</f>
        <v>0</v>
      </c>
      <c r="S4278" s="16"/>
      <c r="T4278" s="15">
        <f>+E4276</f>
        <v>0</v>
      </c>
      <c r="U4278" s="26" t="str">
        <f>IFERROR(LEFT(K4276,FIND("*",K4276)-1),"-")</f>
        <v>-</v>
      </c>
      <c r="V4278" s="26" t="str">
        <f>IFERROR(RIGHT(K4276,LEN(K4276)-FIND("*",K4276)),"-")</f>
        <v>-</v>
      </c>
      <c r="W4278" s="27" t="str">
        <f t="shared" si="2326"/>
        <v>-</v>
      </c>
      <c r="X4278" s="27" t="str">
        <f>IFERROR(W4278*L4276,"-")</f>
        <v>-</v>
      </c>
      <c r="Z4278" s="94" t="s">
        <v>82</v>
      </c>
    </row>
    <row r="4279" spans="1:26" s="25" customFormat="1" ht="21" customHeight="1" thickBot="1" x14ac:dyDescent="0.35">
      <c r="A4279" s="10"/>
      <c r="B4279" s="170"/>
      <c r="C4279" s="171"/>
      <c r="D4279" s="172" t="s">
        <v>43</v>
      </c>
      <c r="E4279" s="173"/>
      <c r="F4279" s="173"/>
      <c r="G4279" s="174"/>
      <c r="H4279" s="174"/>
      <c r="I4279" s="174"/>
      <c r="J4279" s="174"/>
      <c r="K4279" s="174"/>
      <c r="L4279" s="174"/>
      <c r="M4279" s="12"/>
      <c r="N4279" s="39"/>
      <c r="U4279" s="23"/>
      <c r="V4279" s="23"/>
      <c r="Z4279" s="95" t="s">
        <v>81</v>
      </c>
    </row>
    <row r="4280" spans="1:26" s="25" customFormat="1" ht="9.9499999999999993" customHeight="1" thickBot="1" x14ac:dyDescent="0.35">
      <c r="A4280" s="6"/>
      <c r="B4280" s="14"/>
      <c r="C4280" s="119"/>
      <c r="D4280" s="58"/>
      <c r="E4280" s="17"/>
      <c r="F4280" s="58"/>
      <c r="G4280" s="19"/>
      <c r="H4280" s="19"/>
      <c r="I4280" s="19"/>
      <c r="J4280" s="19"/>
      <c r="K4280" s="19"/>
      <c r="L4280" s="19"/>
      <c r="M4280" s="14"/>
      <c r="N4280" s="39"/>
      <c r="Q4280" s="1"/>
      <c r="R4280" s="1"/>
      <c r="S4280" s="1"/>
      <c r="T4280" s="1"/>
      <c r="U4280" s="24"/>
      <c r="V4280" s="24"/>
      <c r="W4280" s="1"/>
      <c r="X4280" s="1"/>
      <c r="Z4280" s="94" t="s">
        <v>82</v>
      </c>
    </row>
    <row r="4281" spans="1:26" s="25" customFormat="1" ht="6.95" customHeight="1" x14ac:dyDescent="0.3">
      <c r="A4281" s="165">
        <f>+A4270+1</f>
        <v>390</v>
      </c>
      <c r="B4281" s="166"/>
      <c r="C4281" s="167"/>
      <c r="D4281" s="160" t="s">
        <v>39</v>
      </c>
      <c r="E4281" s="161"/>
      <c r="F4281" s="162" t="s">
        <v>40</v>
      </c>
      <c r="G4281" s="163"/>
      <c r="H4281" s="164"/>
      <c r="I4281" s="163"/>
      <c r="J4281" s="164"/>
      <c r="K4281" s="163"/>
      <c r="L4281" s="164"/>
      <c r="M4281" s="11"/>
      <c r="N4281" s="39"/>
      <c r="Q4281" s="15" t="str">
        <f>+CONCATENATE(E4281,G4281)</f>
        <v/>
      </c>
      <c r="R4281" s="15">
        <f>+H4281</f>
        <v>0</v>
      </c>
      <c r="S4281" s="16"/>
      <c r="T4281" s="15">
        <f>+E4281</f>
        <v>0</v>
      </c>
      <c r="U4281" s="26" t="str">
        <f>IFERROR(LEFT(G4281,FIND("*",G4281)-1),"-")</f>
        <v>-</v>
      </c>
      <c r="V4281" s="26" t="str">
        <f>IFERROR(RIGHT(G4281,LEN(G4281)-FIND("*",G4281)),"-")</f>
        <v>-</v>
      </c>
      <c r="W4281" s="27" t="str">
        <f>IFERROR((U4281+V4281)*2/1000,"-")</f>
        <v>-</v>
      </c>
      <c r="X4281" s="27" t="str">
        <f>IFERROR(W4281*H4281,"-")</f>
        <v>-</v>
      </c>
      <c r="Z4281" s="94" t="s">
        <v>82</v>
      </c>
    </row>
    <row r="4282" spans="1:26" s="25" customFormat="1" ht="6.95" customHeight="1" x14ac:dyDescent="0.3">
      <c r="A4282" s="165"/>
      <c r="B4282" s="168"/>
      <c r="C4282" s="169"/>
      <c r="D4282" s="160"/>
      <c r="E4282" s="161"/>
      <c r="F4282" s="162"/>
      <c r="G4282" s="163"/>
      <c r="H4282" s="164"/>
      <c r="I4282" s="163"/>
      <c r="J4282" s="164"/>
      <c r="K4282" s="163"/>
      <c r="L4282" s="164"/>
      <c r="M4282" s="11"/>
      <c r="N4282" s="39"/>
      <c r="Q4282" s="15" t="str">
        <f>+CONCATENATE(E4281,I4281)</f>
        <v/>
      </c>
      <c r="R4282" s="15">
        <f>+J4281</f>
        <v>0</v>
      </c>
      <c r="S4282" s="16"/>
      <c r="T4282" s="15">
        <f>+E4281</f>
        <v>0</v>
      </c>
      <c r="U4282" s="26" t="str">
        <f>IFERROR(LEFT(I4281,FIND("*",I4281)-1),"-")</f>
        <v>-</v>
      </c>
      <c r="V4282" s="26" t="str">
        <f>IFERROR(RIGHT(I4281,LEN(I4281)-FIND("*",I4281)),"-")</f>
        <v>-</v>
      </c>
      <c r="W4282" s="27" t="str">
        <f t="shared" ref="W4282:W4289" si="2332">IFERROR((U4282+V4282)*2/1000,"-")</f>
        <v>-</v>
      </c>
      <c r="X4282" s="27" t="str">
        <f>IFERROR(W4282*J4281,"-")</f>
        <v>-</v>
      </c>
      <c r="Z4282" s="94" t="s">
        <v>82</v>
      </c>
    </row>
    <row r="4283" spans="1:26" s="25" customFormat="1" ht="6.95" customHeight="1" x14ac:dyDescent="0.3">
      <c r="A4283" s="165"/>
      <c r="B4283" s="168"/>
      <c r="C4283" s="169"/>
      <c r="D4283" s="160"/>
      <c r="E4283" s="161"/>
      <c r="F4283" s="162"/>
      <c r="G4283" s="163"/>
      <c r="H4283" s="164"/>
      <c r="I4283" s="163"/>
      <c r="J4283" s="164"/>
      <c r="K4283" s="163"/>
      <c r="L4283" s="164"/>
      <c r="M4283" s="11"/>
      <c r="N4283" s="39"/>
      <c r="Q4283" s="15" t="str">
        <f>+CONCATENATE(E4281,K4281)</f>
        <v/>
      </c>
      <c r="R4283" s="15">
        <f>+L4281</f>
        <v>0</v>
      </c>
      <c r="S4283" s="16"/>
      <c r="T4283" s="15">
        <f>+E4281</f>
        <v>0</v>
      </c>
      <c r="U4283" s="26" t="str">
        <f>IFERROR(LEFT(K4281,FIND("*",K4281)-1),"-")</f>
        <v>-</v>
      </c>
      <c r="V4283" s="26" t="str">
        <f>IFERROR(RIGHT(K4281,LEN(K4281)-FIND("*",K4281)),"-")</f>
        <v>-</v>
      </c>
      <c r="W4283" s="27" t="str">
        <f t="shared" si="2332"/>
        <v>-</v>
      </c>
      <c r="X4283" s="27" t="str">
        <f>IFERROR(W4283*L4281,"-")</f>
        <v>-</v>
      </c>
      <c r="Z4283" s="94" t="s">
        <v>82</v>
      </c>
    </row>
    <row r="4284" spans="1:26" s="25" customFormat="1" ht="6.95" customHeight="1" x14ac:dyDescent="0.3">
      <c r="A4284" s="13"/>
      <c r="B4284" s="168"/>
      <c r="C4284" s="169"/>
      <c r="D4284" s="160" t="s">
        <v>39</v>
      </c>
      <c r="E4284" s="161"/>
      <c r="F4284" s="162" t="s">
        <v>40</v>
      </c>
      <c r="G4284" s="163"/>
      <c r="H4284" s="164"/>
      <c r="I4284" s="163"/>
      <c r="J4284" s="164"/>
      <c r="K4284" s="163"/>
      <c r="L4284" s="164"/>
      <c r="M4284" s="11"/>
      <c r="N4284" s="39"/>
      <c r="Q4284" s="15" t="str">
        <f>+CONCATENATE(E4284,G4284)</f>
        <v/>
      </c>
      <c r="R4284" s="15">
        <f>+H4284</f>
        <v>0</v>
      </c>
      <c r="S4284" s="16"/>
      <c r="T4284" s="15">
        <f>+E4284</f>
        <v>0</v>
      </c>
      <c r="U4284" s="26" t="str">
        <f t="shared" ref="U4284" si="2333">IFERROR(LEFT(G4284,FIND("*",G4284)-1),"-")</f>
        <v>-</v>
      </c>
      <c r="V4284" s="26" t="str">
        <f t="shared" ref="V4284" si="2334">IFERROR(RIGHT(G4284,LEN(G4284)-FIND("*",G4284)),"-")</f>
        <v>-</v>
      </c>
      <c r="W4284" s="27" t="str">
        <f t="shared" si="2332"/>
        <v>-</v>
      </c>
      <c r="X4284" s="27" t="str">
        <f>IFERROR(W4284*H4284,"-")</f>
        <v>-</v>
      </c>
      <c r="Z4284" s="94" t="s">
        <v>82</v>
      </c>
    </row>
    <row r="4285" spans="1:26" s="25" customFormat="1" ht="6.95" customHeight="1" x14ac:dyDescent="0.3">
      <c r="A4285" s="10"/>
      <c r="B4285" s="168"/>
      <c r="C4285" s="169"/>
      <c r="D4285" s="160"/>
      <c r="E4285" s="161"/>
      <c r="F4285" s="162"/>
      <c r="G4285" s="163"/>
      <c r="H4285" s="164"/>
      <c r="I4285" s="163"/>
      <c r="J4285" s="164"/>
      <c r="K4285" s="163"/>
      <c r="L4285" s="164"/>
      <c r="M4285" s="11"/>
      <c r="N4285" s="39"/>
      <c r="Q4285" s="15" t="str">
        <f>+CONCATENATE(E4284,I4284)</f>
        <v/>
      </c>
      <c r="R4285" s="15">
        <f>+J4284</f>
        <v>0</v>
      </c>
      <c r="S4285" s="16"/>
      <c r="T4285" s="15">
        <f>+E4284</f>
        <v>0</v>
      </c>
      <c r="U4285" s="26" t="str">
        <f>IFERROR(LEFT(I4284,FIND("*",I4284)-1),"-")</f>
        <v>-</v>
      </c>
      <c r="V4285" s="26" t="str">
        <f>IFERROR(RIGHT(I4284,LEN(I4284)-FIND("*",I4284)),"-")</f>
        <v>-</v>
      </c>
      <c r="W4285" s="27" t="str">
        <f t="shared" si="2332"/>
        <v>-</v>
      </c>
      <c r="X4285" s="27" t="str">
        <f>IFERROR(W4285*J4284,"-")</f>
        <v>-</v>
      </c>
      <c r="Z4285" s="94" t="s">
        <v>82</v>
      </c>
    </row>
    <row r="4286" spans="1:26" s="25" customFormat="1" ht="6.95" customHeight="1" x14ac:dyDescent="0.3">
      <c r="A4286" s="10"/>
      <c r="B4286" s="168"/>
      <c r="C4286" s="169"/>
      <c r="D4286" s="160"/>
      <c r="E4286" s="161"/>
      <c r="F4286" s="162"/>
      <c r="G4286" s="163"/>
      <c r="H4286" s="164"/>
      <c r="I4286" s="163"/>
      <c r="J4286" s="164"/>
      <c r="K4286" s="163"/>
      <c r="L4286" s="164"/>
      <c r="M4286" s="11"/>
      <c r="N4286" s="39"/>
      <c r="Q4286" s="15" t="str">
        <f>+CONCATENATE(E4284,K4284)</f>
        <v/>
      </c>
      <c r="R4286" s="15">
        <f>+L4284</f>
        <v>0</v>
      </c>
      <c r="S4286" s="16"/>
      <c r="T4286" s="15">
        <f>+E4284</f>
        <v>0</v>
      </c>
      <c r="U4286" s="26" t="str">
        <f>IFERROR(LEFT(K4284,FIND("*",K4284)-1),"-")</f>
        <v>-</v>
      </c>
      <c r="V4286" s="26" t="str">
        <f>IFERROR(RIGHT(K4284,LEN(K4284)-FIND("*",K4284)),"-")</f>
        <v>-</v>
      </c>
      <c r="W4286" s="27" t="str">
        <f t="shared" si="2332"/>
        <v>-</v>
      </c>
      <c r="X4286" s="27" t="str">
        <f>IFERROR(W4286*L4284,"-")</f>
        <v>-</v>
      </c>
      <c r="Z4286" s="94" t="s">
        <v>82</v>
      </c>
    </row>
    <row r="4287" spans="1:26" s="25" customFormat="1" ht="6.95" customHeight="1" x14ac:dyDescent="0.3">
      <c r="A4287" s="13"/>
      <c r="B4287" s="168"/>
      <c r="C4287" s="169"/>
      <c r="D4287" s="160" t="s">
        <v>39</v>
      </c>
      <c r="E4287" s="161"/>
      <c r="F4287" s="162" t="s">
        <v>40</v>
      </c>
      <c r="G4287" s="163"/>
      <c r="H4287" s="164"/>
      <c r="I4287" s="163"/>
      <c r="J4287" s="164"/>
      <c r="K4287" s="163"/>
      <c r="L4287" s="164"/>
      <c r="M4287" s="11"/>
      <c r="N4287" s="39"/>
      <c r="Q4287" s="15" t="str">
        <f>+CONCATENATE(E4287,G4287)</f>
        <v/>
      </c>
      <c r="R4287" s="15">
        <f>+H4287</f>
        <v>0</v>
      </c>
      <c r="S4287" s="16"/>
      <c r="T4287" s="15">
        <f>+E4287</f>
        <v>0</v>
      </c>
      <c r="U4287" s="26" t="str">
        <f t="shared" ref="U4287" si="2335">IFERROR(LEFT(G4287,FIND("*",G4287)-1),"-")</f>
        <v>-</v>
      </c>
      <c r="V4287" s="26" t="str">
        <f t="shared" ref="V4287" si="2336">IFERROR(RIGHT(G4287,LEN(G4287)-FIND("*",G4287)),"-")</f>
        <v>-</v>
      </c>
      <c r="W4287" s="27" t="str">
        <f t="shared" si="2332"/>
        <v>-</v>
      </c>
      <c r="X4287" s="27" t="str">
        <f>IFERROR(W4287*H4287,"-")</f>
        <v>-</v>
      </c>
      <c r="Z4287" s="94" t="s">
        <v>82</v>
      </c>
    </row>
    <row r="4288" spans="1:26" s="25" customFormat="1" ht="6.95" customHeight="1" x14ac:dyDescent="0.3">
      <c r="A4288" s="10"/>
      <c r="B4288" s="168"/>
      <c r="C4288" s="169"/>
      <c r="D4288" s="160"/>
      <c r="E4288" s="161"/>
      <c r="F4288" s="162"/>
      <c r="G4288" s="163"/>
      <c r="H4288" s="164"/>
      <c r="I4288" s="163"/>
      <c r="J4288" s="164"/>
      <c r="K4288" s="163"/>
      <c r="L4288" s="164"/>
      <c r="M4288" s="11"/>
      <c r="N4288" s="39"/>
      <c r="Q4288" s="15" t="str">
        <f>+CONCATENATE(E4287,I4287)</f>
        <v/>
      </c>
      <c r="R4288" s="15">
        <f>+J4287</f>
        <v>0</v>
      </c>
      <c r="S4288" s="16"/>
      <c r="T4288" s="15">
        <f>+E4287</f>
        <v>0</v>
      </c>
      <c r="U4288" s="26" t="str">
        <f>IFERROR(LEFT(I4287,FIND("*",I4287)-1),"-")</f>
        <v>-</v>
      </c>
      <c r="V4288" s="26" t="str">
        <f>IFERROR(RIGHT(I4287,LEN(I4287)-FIND("*",I4287)),"-")</f>
        <v>-</v>
      </c>
      <c r="W4288" s="27" t="str">
        <f t="shared" si="2332"/>
        <v>-</v>
      </c>
      <c r="X4288" s="27" t="str">
        <f t="shared" ref="X4288" si="2337">IFERROR(W4288*J4287,"-")</f>
        <v>-</v>
      </c>
      <c r="Z4288" s="94" t="s">
        <v>82</v>
      </c>
    </row>
    <row r="4289" spans="1:26" s="25" customFormat="1" ht="6.95" customHeight="1" x14ac:dyDescent="0.3">
      <c r="A4289" s="10"/>
      <c r="B4289" s="168"/>
      <c r="C4289" s="169"/>
      <c r="D4289" s="160"/>
      <c r="E4289" s="161"/>
      <c r="F4289" s="162"/>
      <c r="G4289" s="163"/>
      <c r="H4289" s="164"/>
      <c r="I4289" s="163"/>
      <c r="J4289" s="164"/>
      <c r="K4289" s="163"/>
      <c r="L4289" s="164"/>
      <c r="M4289" s="11"/>
      <c r="N4289" s="39"/>
      <c r="Q4289" s="15" t="str">
        <f>+CONCATENATE(E4287,K4287)</f>
        <v/>
      </c>
      <c r="R4289" s="15">
        <f>+L4287</f>
        <v>0</v>
      </c>
      <c r="S4289" s="16"/>
      <c r="T4289" s="15">
        <f>+E4287</f>
        <v>0</v>
      </c>
      <c r="U4289" s="26" t="str">
        <f>IFERROR(LEFT(K4287,FIND("*",K4287)-1),"-")</f>
        <v>-</v>
      </c>
      <c r="V4289" s="26" t="str">
        <f>IFERROR(RIGHT(K4287,LEN(K4287)-FIND("*",K4287)),"-")</f>
        <v>-</v>
      </c>
      <c r="W4289" s="27" t="str">
        <f t="shared" si="2332"/>
        <v>-</v>
      </c>
      <c r="X4289" s="27" t="str">
        <f>IFERROR(W4289*L4287,"-")</f>
        <v>-</v>
      </c>
      <c r="Z4289" s="94" t="s">
        <v>82</v>
      </c>
    </row>
    <row r="4290" spans="1:26" s="25" customFormat="1" ht="21" customHeight="1" thickBot="1" x14ac:dyDescent="0.35">
      <c r="A4290" s="10"/>
      <c r="B4290" s="170"/>
      <c r="C4290" s="171"/>
      <c r="D4290" s="172" t="s">
        <v>43</v>
      </c>
      <c r="E4290" s="173"/>
      <c r="F4290" s="173"/>
      <c r="G4290" s="174"/>
      <c r="H4290" s="174"/>
      <c r="I4290" s="174"/>
      <c r="J4290" s="174"/>
      <c r="K4290" s="174"/>
      <c r="L4290" s="174"/>
      <c r="M4290" s="12"/>
      <c r="N4290" s="39"/>
      <c r="U4290" s="23"/>
      <c r="V4290" s="23"/>
      <c r="Z4290" s="95" t="s">
        <v>81</v>
      </c>
    </row>
    <row r="4291" spans="1:26" s="25" customFormat="1" ht="9.9499999999999993" customHeight="1" thickBot="1" x14ac:dyDescent="0.35">
      <c r="A4291" s="6"/>
      <c r="B4291" s="14"/>
      <c r="C4291" s="119"/>
      <c r="D4291" s="58"/>
      <c r="E4291" s="17"/>
      <c r="F4291" s="58"/>
      <c r="G4291" s="19"/>
      <c r="H4291" s="19"/>
      <c r="I4291" s="19"/>
      <c r="J4291" s="19"/>
      <c r="K4291" s="19"/>
      <c r="L4291" s="19"/>
      <c r="M4291" s="14"/>
      <c r="N4291" s="39"/>
      <c r="Q4291" s="1"/>
      <c r="R4291" s="1"/>
      <c r="S4291" s="1"/>
      <c r="T4291" s="1"/>
      <c r="U4291" s="24"/>
      <c r="V4291" s="24"/>
      <c r="W4291" s="1"/>
      <c r="X4291" s="1"/>
      <c r="Z4291" s="94" t="s">
        <v>82</v>
      </c>
    </row>
    <row r="4292" spans="1:26" s="25" customFormat="1" ht="6.95" customHeight="1" x14ac:dyDescent="0.3">
      <c r="A4292" s="165">
        <f>+A4281+1</f>
        <v>391</v>
      </c>
      <c r="B4292" s="166"/>
      <c r="C4292" s="167"/>
      <c r="D4292" s="160" t="s">
        <v>39</v>
      </c>
      <c r="E4292" s="161"/>
      <c r="F4292" s="162" t="s">
        <v>40</v>
      </c>
      <c r="G4292" s="163"/>
      <c r="H4292" s="164"/>
      <c r="I4292" s="163"/>
      <c r="J4292" s="164"/>
      <c r="K4292" s="163"/>
      <c r="L4292" s="164"/>
      <c r="M4292" s="11"/>
      <c r="N4292" s="39"/>
      <c r="Q4292" s="15" t="str">
        <f>+CONCATENATE(E4292,G4292)</f>
        <v/>
      </c>
      <c r="R4292" s="15">
        <f>+H4292</f>
        <v>0</v>
      </c>
      <c r="S4292" s="16"/>
      <c r="T4292" s="15">
        <f>+E4292</f>
        <v>0</v>
      </c>
      <c r="U4292" s="26" t="str">
        <f>IFERROR(LEFT(G4292,FIND("*",G4292)-1),"-")</f>
        <v>-</v>
      </c>
      <c r="V4292" s="26" t="str">
        <f>IFERROR(RIGHT(G4292,LEN(G4292)-FIND("*",G4292)),"-")</f>
        <v>-</v>
      </c>
      <c r="W4292" s="27" t="str">
        <f>IFERROR((U4292+V4292)*2/1000,"-")</f>
        <v>-</v>
      </c>
      <c r="X4292" s="27" t="str">
        <f>IFERROR(W4292*H4292,"-")</f>
        <v>-</v>
      </c>
      <c r="Z4292" s="94" t="s">
        <v>82</v>
      </c>
    </row>
    <row r="4293" spans="1:26" s="25" customFormat="1" ht="6.95" customHeight="1" x14ac:dyDescent="0.3">
      <c r="A4293" s="165"/>
      <c r="B4293" s="168"/>
      <c r="C4293" s="169"/>
      <c r="D4293" s="160"/>
      <c r="E4293" s="161"/>
      <c r="F4293" s="162"/>
      <c r="G4293" s="163"/>
      <c r="H4293" s="164"/>
      <c r="I4293" s="163"/>
      <c r="J4293" s="164"/>
      <c r="K4293" s="163"/>
      <c r="L4293" s="164"/>
      <c r="M4293" s="11"/>
      <c r="N4293" s="39"/>
      <c r="Q4293" s="15" t="str">
        <f>+CONCATENATE(E4292,I4292)</f>
        <v/>
      </c>
      <c r="R4293" s="15">
        <f>+J4292</f>
        <v>0</v>
      </c>
      <c r="S4293" s="16"/>
      <c r="T4293" s="15">
        <f>+E4292</f>
        <v>0</v>
      </c>
      <c r="U4293" s="26" t="str">
        <f>IFERROR(LEFT(I4292,FIND("*",I4292)-1),"-")</f>
        <v>-</v>
      </c>
      <c r="V4293" s="26" t="str">
        <f>IFERROR(RIGHT(I4292,LEN(I4292)-FIND("*",I4292)),"-")</f>
        <v>-</v>
      </c>
      <c r="W4293" s="27" t="str">
        <f t="shared" ref="W4293:W4300" si="2338">IFERROR((U4293+V4293)*2/1000,"-")</f>
        <v>-</v>
      </c>
      <c r="X4293" s="27" t="str">
        <f>IFERROR(W4293*J4292,"-")</f>
        <v>-</v>
      </c>
      <c r="Z4293" s="94" t="s">
        <v>82</v>
      </c>
    </row>
    <row r="4294" spans="1:26" s="25" customFormat="1" ht="6.95" customHeight="1" x14ac:dyDescent="0.3">
      <c r="A4294" s="165"/>
      <c r="B4294" s="168"/>
      <c r="C4294" s="169"/>
      <c r="D4294" s="160"/>
      <c r="E4294" s="161"/>
      <c r="F4294" s="162"/>
      <c r="G4294" s="163"/>
      <c r="H4294" s="164"/>
      <c r="I4294" s="163"/>
      <c r="J4294" s="164"/>
      <c r="K4294" s="163"/>
      <c r="L4294" s="164"/>
      <c r="M4294" s="11"/>
      <c r="N4294" s="39"/>
      <c r="Q4294" s="15" t="str">
        <f>+CONCATENATE(E4292,K4292)</f>
        <v/>
      </c>
      <c r="R4294" s="15">
        <f>+L4292</f>
        <v>0</v>
      </c>
      <c r="S4294" s="16"/>
      <c r="T4294" s="15">
        <f>+E4292</f>
        <v>0</v>
      </c>
      <c r="U4294" s="26" t="str">
        <f>IFERROR(LEFT(K4292,FIND("*",K4292)-1),"-")</f>
        <v>-</v>
      </c>
      <c r="V4294" s="26" t="str">
        <f>IFERROR(RIGHT(K4292,LEN(K4292)-FIND("*",K4292)),"-")</f>
        <v>-</v>
      </c>
      <c r="W4294" s="27" t="str">
        <f t="shared" si="2338"/>
        <v>-</v>
      </c>
      <c r="X4294" s="27" t="str">
        <f>IFERROR(W4294*L4292,"-")</f>
        <v>-</v>
      </c>
      <c r="Z4294" s="94" t="s">
        <v>82</v>
      </c>
    </row>
    <row r="4295" spans="1:26" s="25" customFormat="1" ht="6.95" customHeight="1" x14ac:dyDescent="0.3">
      <c r="A4295" s="13"/>
      <c r="B4295" s="168"/>
      <c r="C4295" s="169"/>
      <c r="D4295" s="160" t="s">
        <v>39</v>
      </c>
      <c r="E4295" s="161"/>
      <c r="F4295" s="162" t="s">
        <v>40</v>
      </c>
      <c r="G4295" s="163"/>
      <c r="H4295" s="164"/>
      <c r="I4295" s="163"/>
      <c r="J4295" s="164"/>
      <c r="K4295" s="163"/>
      <c r="L4295" s="164"/>
      <c r="M4295" s="11"/>
      <c r="N4295" s="39"/>
      <c r="Q4295" s="15" t="str">
        <f>+CONCATENATE(E4295,G4295)</f>
        <v/>
      </c>
      <c r="R4295" s="15">
        <f>+H4295</f>
        <v>0</v>
      </c>
      <c r="S4295" s="16"/>
      <c r="T4295" s="15">
        <f>+E4295</f>
        <v>0</v>
      </c>
      <c r="U4295" s="26" t="str">
        <f t="shared" ref="U4295" si="2339">IFERROR(LEFT(G4295,FIND("*",G4295)-1),"-")</f>
        <v>-</v>
      </c>
      <c r="V4295" s="26" t="str">
        <f t="shared" ref="V4295" si="2340">IFERROR(RIGHT(G4295,LEN(G4295)-FIND("*",G4295)),"-")</f>
        <v>-</v>
      </c>
      <c r="W4295" s="27" t="str">
        <f t="shared" si="2338"/>
        <v>-</v>
      </c>
      <c r="X4295" s="27" t="str">
        <f>IFERROR(W4295*H4295,"-")</f>
        <v>-</v>
      </c>
      <c r="Z4295" s="94" t="s">
        <v>82</v>
      </c>
    </row>
    <row r="4296" spans="1:26" s="25" customFormat="1" ht="6.95" customHeight="1" x14ac:dyDescent="0.3">
      <c r="A4296" s="10"/>
      <c r="B4296" s="168"/>
      <c r="C4296" s="169"/>
      <c r="D4296" s="160"/>
      <c r="E4296" s="161"/>
      <c r="F4296" s="162"/>
      <c r="G4296" s="163"/>
      <c r="H4296" s="164"/>
      <c r="I4296" s="163"/>
      <c r="J4296" s="164"/>
      <c r="K4296" s="163"/>
      <c r="L4296" s="164"/>
      <c r="M4296" s="11"/>
      <c r="N4296" s="39"/>
      <c r="Q4296" s="15" t="str">
        <f>+CONCATENATE(E4295,I4295)</f>
        <v/>
      </c>
      <c r="R4296" s="15">
        <f>+J4295</f>
        <v>0</v>
      </c>
      <c r="S4296" s="16"/>
      <c r="T4296" s="15">
        <f>+E4295</f>
        <v>0</v>
      </c>
      <c r="U4296" s="26" t="str">
        <f>IFERROR(LEFT(I4295,FIND("*",I4295)-1),"-")</f>
        <v>-</v>
      </c>
      <c r="V4296" s="26" t="str">
        <f>IFERROR(RIGHT(I4295,LEN(I4295)-FIND("*",I4295)),"-")</f>
        <v>-</v>
      </c>
      <c r="W4296" s="27" t="str">
        <f t="shared" si="2338"/>
        <v>-</v>
      </c>
      <c r="X4296" s="27" t="str">
        <f>IFERROR(W4296*J4295,"-")</f>
        <v>-</v>
      </c>
      <c r="Z4296" s="94" t="s">
        <v>82</v>
      </c>
    </row>
    <row r="4297" spans="1:26" s="25" customFormat="1" ht="6.95" customHeight="1" x14ac:dyDescent="0.3">
      <c r="A4297" s="10"/>
      <c r="B4297" s="168"/>
      <c r="C4297" s="169"/>
      <c r="D4297" s="160"/>
      <c r="E4297" s="161"/>
      <c r="F4297" s="162"/>
      <c r="G4297" s="163"/>
      <c r="H4297" s="164"/>
      <c r="I4297" s="163"/>
      <c r="J4297" s="164"/>
      <c r="K4297" s="163"/>
      <c r="L4297" s="164"/>
      <c r="M4297" s="11"/>
      <c r="N4297" s="39"/>
      <c r="Q4297" s="15" t="str">
        <f>+CONCATENATE(E4295,K4295)</f>
        <v/>
      </c>
      <c r="R4297" s="15">
        <f>+L4295</f>
        <v>0</v>
      </c>
      <c r="S4297" s="16"/>
      <c r="T4297" s="15">
        <f>+E4295</f>
        <v>0</v>
      </c>
      <c r="U4297" s="26" t="str">
        <f>IFERROR(LEFT(K4295,FIND("*",K4295)-1),"-")</f>
        <v>-</v>
      </c>
      <c r="V4297" s="26" t="str">
        <f>IFERROR(RIGHT(K4295,LEN(K4295)-FIND("*",K4295)),"-")</f>
        <v>-</v>
      </c>
      <c r="W4297" s="27" t="str">
        <f t="shared" si="2338"/>
        <v>-</v>
      </c>
      <c r="X4297" s="27" t="str">
        <f>IFERROR(W4297*L4295,"-")</f>
        <v>-</v>
      </c>
      <c r="Z4297" s="94" t="s">
        <v>82</v>
      </c>
    </row>
    <row r="4298" spans="1:26" s="25" customFormat="1" ht="6.95" customHeight="1" x14ac:dyDescent="0.3">
      <c r="A4298" s="13"/>
      <c r="B4298" s="168"/>
      <c r="C4298" s="169"/>
      <c r="D4298" s="160" t="s">
        <v>39</v>
      </c>
      <c r="E4298" s="161"/>
      <c r="F4298" s="162" t="s">
        <v>40</v>
      </c>
      <c r="G4298" s="163"/>
      <c r="H4298" s="164"/>
      <c r="I4298" s="163"/>
      <c r="J4298" s="164"/>
      <c r="K4298" s="163"/>
      <c r="L4298" s="164"/>
      <c r="M4298" s="11"/>
      <c r="N4298" s="39"/>
      <c r="Q4298" s="15" t="str">
        <f>+CONCATENATE(E4298,G4298)</f>
        <v/>
      </c>
      <c r="R4298" s="15">
        <f>+H4298</f>
        <v>0</v>
      </c>
      <c r="S4298" s="16"/>
      <c r="T4298" s="15">
        <f>+E4298</f>
        <v>0</v>
      </c>
      <c r="U4298" s="26" t="str">
        <f t="shared" ref="U4298" si="2341">IFERROR(LEFT(G4298,FIND("*",G4298)-1),"-")</f>
        <v>-</v>
      </c>
      <c r="V4298" s="26" t="str">
        <f t="shared" ref="V4298" si="2342">IFERROR(RIGHT(G4298,LEN(G4298)-FIND("*",G4298)),"-")</f>
        <v>-</v>
      </c>
      <c r="W4298" s="27" t="str">
        <f t="shared" si="2338"/>
        <v>-</v>
      </c>
      <c r="X4298" s="27" t="str">
        <f>IFERROR(W4298*H4298,"-")</f>
        <v>-</v>
      </c>
      <c r="Z4298" s="94" t="s">
        <v>82</v>
      </c>
    </row>
    <row r="4299" spans="1:26" s="25" customFormat="1" ht="6.95" customHeight="1" x14ac:dyDescent="0.3">
      <c r="A4299" s="10"/>
      <c r="B4299" s="168"/>
      <c r="C4299" s="169"/>
      <c r="D4299" s="160"/>
      <c r="E4299" s="161"/>
      <c r="F4299" s="162"/>
      <c r="G4299" s="163"/>
      <c r="H4299" s="164"/>
      <c r="I4299" s="163"/>
      <c r="J4299" s="164"/>
      <c r="K4299" s="163"/>
      <c r="L4299" s="164"/>
      <c r="M4299" s="11"/>
      <c r="N4299" s="39"/>
      <c r="Q4299" s="15" t="str">
        <f>+CONCATENATE(E4298,I4298)</f>
        <v/>
      </c>
      <c r="R4299" s="15">
        <f>+J4298</f>
        <v>0</v>
      </c>
      <c r="S4299" s="16"/>
      <c r="T4299" s="15">
        <f>+E4298</f>
        <v>0</v>
      </c>
      <c r="U4299" s="26" t="str">
        <f>IFERROR(LEFT(I4298,FIND("*",I4298)-1),"-")</f>
        <v>-</v>
      </c>
      <c r="V4299" s="26" t="str">
        <f>IFERROR(RIGHT(I4298,LEN(I4298)-FIND("*",I4298)),"-")</f>
        <v>-</v>
      </c>
      <c r="W4299" s="27" t="str">
        <f t="shared" si="2338"/>
        <v>-</v>
      </c>
      <c r="X4299" s="27" t="str">
        <f t="shared" ref="X4299" si="2343">IFERROR(W4299*J4298,"-")</f>
        <v>-</v>
      </c>
      <c r="Z4299" s="94" t="s">
        <v>82</v>
      </c>
    </row>
    <row r="4300" spans="1:26" s="25" customFormat="1" ht="6.95" customHeight="1" x14ac:dyDescent="0.3">
      <c r="A4300" s="10"/>
      <c r="B4300" s="168"/>
      <c r="C4300" s="169"/>
      <c r="D4300" s="160"/>
      <c r="E4300" s="161"/>
      <c r="F4300" s="162"/>
      <c r="G4300" s="163"/>
      <c r="H4300" s="164"/>
      <c r="I4300" s="163"/>
      <c r="J4300" s="164"/>
      <c r="K4300" s="163"/>
      <c r="L4300" s="164"/>
      <c r="M4300" s="11"/>
      <c r="N4300" s="39"/>
      <c r="Q4300" s="15" t="str">
        <f>+CONCATENATE(E4298,K4298)</f>
        <v/>
      </c>
      <c r="R4300" s="15">
        <f>+L4298</f>
        <v>0</v>
      </c>
      <c r="S4300" s="16"/>
      <c r="T4300" s="15">
        <f>+E4298</f>
        <v>0</v>
      </c>
      <c r="U4300" s="26" t="str">
        <f>IFERROR(LEFT(K4298,FIND("*",K4298)-1),"-")</f>
        <v>-</v>
      </c>
      <c r="V4300" s="26" t="str">
        <f>IFERROR(RIGHT(K4298,LEN(K4298)-FIND("*",K4298)),"-")</f>
        <v>-</v>
      </c>
      <c r="W4300" s="27" t="str">
        <f t="shared" si="2338"/>
        <v>-</v>
      </c>
      <c r="X4300" s="27" t="str">
        <f>IFERROR(W4300*L4298,"-")</f>
        <v>-</v>
      </c>
      <c r="Z4300" s="94" t="s">
        <v>82</v>
      </c>
    </row>
    <row r="4301" spans="1:26" s="25" customFormat="1" ht="21" customHeight="1" thickBot="1" x14ac:dyDescent="0.35">
      <c r="A4301" s="10"/>
      <c r="B4301" s="170"/>
      <c r="C4301" s="171"/>
      <c r="D4301" s="172" t="s">
        <v>43</v>
      </c>
      <c r="E4301" s="173"/>
      <c r="F4301" s="173"/>
      <c r="G4301" s="174"/>
      <c r="H4301" s="174"/>
      <c r="I4301" s="174"/>
      <c r="J4301" s="174"/>
      <c r="K4301" s="174"/>
      <c r="L4301" s="174"/>
      <c r="M4301" s="12"/>
      <c r="N4301" s="39"/>
      <c r="U4301" s="23"/>
      <c r="V4301" s="23"/>
      <c r="Z4301" s="95" t="s">
        <v>81</v>
      </c>
    </row>
    <row r="4302" spans="1:26" s="25" customFormat="1" ht="9.9499999999999993" customHeight="1" thickBot="1" x14ac:dyDescent="0.35">
      <c r="A4302" s="6"/>
      <c r="B4302" s="14"/>
      <c r="C4302" s="119"/>
      <c r="D4302" s="58"/>
      <c r="E4302" s="17"/>
      <c r="F4302" s="58"/>
      <c r="G4302" s="19"/>
      <c r="H4302" s="19"/>
      <c r="I4302" s="19"/>
      <c r="J4302" s="19"/>
      <c r="K4302" s="19"/>
      <c r="L4302" s="19"/>
      <c r="M4302" s="14"/>
      <c r="N4302" s="39"/>
      <c r="Q4302" s="1"/>
      <c r="R4302" s="1"/>
      <c r="S4302" s="1"/>
      <c r="T4302" s="1"/>
      <c r="U4302" s="24"/>
      <c r="V4302" s="24"/>
      <c r="W4302" s="1"/>
      <c r="X4302" s="1"/>
      <c r="Z4302" s="94" t="s">
        <v>82</v>
      </c>
    </row>
    <row r="4303" spans="1:26" s="25" customFormat="1" ht="6.95" customHeight="1" x14ac:dyDescent="0.3">
      <c r="A4303" s="165">
        <f>+A4292+1</f>
        <v>392</v>
      </c>
      <c r="B4303" s="166"/>
      <c r="C4303" s="167"/>
      <c r="D4303" s="160" t="s">
        <v>39</v>
      </c>
      <c r="E4303" s="161"/>
      <c r="F4303" s="162" t="s">
        <v>40</v>
      </c>
      <c r="G4303" s="163"/>
      <c r="H4303" s="164"/>
      <c r="I4303" s="163"/>
      <c r="J4303" s="164"/>
      <c r="K4303" s="163"/>
      <c r="L4303" s="164"/>
      <c r="M4303" s="11"/>
      <c r="N4303" s="39"/>
      <c r="Q4303" s="15" t="str">
        <f>+CONCATENATE(E4303,G4303)</f>
        <v/>
      </c>
      <c r="R4303" s="15">
        <f>+H4303</f>
        <v>0</v>
      </c>
      <c r="S4303" s="16"/>
      <c r="T4303" s="15">
        <f>+E4303</f>
        <v>0</v>
      </c>
      <c r="U4303" s="26" t="str">
        <f>IFERROR(LEFT(G4303,FIND("*",G4303)-1),"-")</f>
        <v>-</v>
      </c>
      <c r="V4303" s="26" t="str">
        <f>IFERROR(RIGHT(G4303,LEN(G4303)-FIND("*",G4303)),"-")</f>
        <v>-</v>
      </c>
      <c r="W4303" s="27" t="str">
        <f>IFERROR((U4303+V4303)*2/1000,"-")</f>
        <v>-</v>
      </c>
      <c r="X4303" s="27" t="str">
        <f>IFERROR(W4303*H4303,"-")</f>
        <v>-</v>
      </c>
      <c r="Z4303" s="94" t="s">
        <v>82</v>
      </c>
    </row>
    <row r="4304" spans="1:26" s="25" customFormat="1" ht="6.95" customHeight="1" x14ac:dyDescent="0.3">
      <c r="A4304" s="165"/>
      <c r="B4304" s="168"/>
      <c r="C4304" s="169"/>
      <c r="D4304" s="160"/>
      <c r="E4304" s="161"/>
      <c r="F4304" s="162"/>
      <c r="G4304" s="163"/>
      <c r="H4304" s="164"/>
      <c r="I4304" s="163"/>
      <c r="J4304" s="164"/>
      <c r="K4304" s="163"/>
      <c r="L4304" s="164"/>
      <c r="M4304" s="11"/>
      <c r="N4304" s="39"/>
      <c r="Q4304" s="15" t="str">
        <f>+CONCATENATE(E4303,I4303)</f>
        <v/>
      </c>
      <c r="R4304" s="15">
        <f>+J4303</f>
        <v>0</v>
      </c>
      <c r="S4304" s="16"/>
      <c r="T4304" s="15">
        <f>+E4303</f>
        <v>0</v>
      </c>
      <c r="U4304" s="26" t="str">
        <f>IFERROR(LEFT(I4303,FIND("*",I4303)-1),"-")</f>
        <v>-</v>
      </c>
      <c r="V4304" s="26" t="str">
        <f>IFERROR(RIGHT(I4303,LEN(I4303)-FIND("*",I4303)),"-")</f>
        <v>-</v>
      </c>
      <c r="W4304" s="27" t="str">
        <f t="shared" ref="W4304:W4311" si="2344">IFERROR((U4304+V4304)*2/1000,"-")</f>
        <v>-</v>
      </c>
      <c r="X4304" s="27" t="str">
        <f>IFERROR(W4304*J4303,"-")</f>
        <v>-</v>
      </c>
      <c r="Z4304" s="94" t="s">
        <v>82</v>
      </c>
    </row>
    <row r="4305" spans="1:26" s="25" customFormat="1" ht="6.95" customHeight="1" x14ac:dyDescent="0.3">
      <c r="A4305" s="165"/>
      <c r="B4305" s="168"/>
      <c r="C4305" s="169"/>
      <c r="D4305" s="160"/>
      <c r="E4305" s="161"/>
      <c r="F4305" s="162"/>
      <c r="G4305" s="163"/>
      <c r="H4305" s="164"/>
      <c r="I4305" s="163"/>
      <c r="J4305" s="164"/>
      <c r="K4305" s="163"/>
      <c r="L4305" s="164"/>
      <c r="M4305" s="11"/>
      <c r="N4305" s="39"/>
      <c r="Q4305" s="15" t="str">
        <f>+CONCATENATE(E4303,K4303)</f>
        <v/>
      </c>
      <c r="R4305" s="15">
        <f>+L4303</f>
        <v>0</v>
      </c>
      <c r="S4305" s="16"/>
      <c r="T4305" s="15">
        <f>+E4303</f>
        <v>0</v>
      </c>
      <c r="U4305" s="26" t="str">
        <f>IFERROR(LEFT(K4303,FIND("*",K4303)-1),"-")</f>
        <v>-</v>
      </c>
      <c r="V4305" s="26" t="str">
        <f>IFERROR(RIGHT(K4303,LEN(K4303)-FIND("*",K4303)),"-")</f>
        <v>-</v>
      </c>
      <c r="W4305" s="27" t="str">
        <f t="shared" si="2344"/>
        <v>-</v>
      </c>
      <c r="X4305" s="27" t="str">
        <f>IFERROR(W4305*L4303,"-")</f>
        <v>-</v>
      </c>
      <c r="Z4305" s="94" t="s">
        <v>82</v>
      </c>
    </row>
    <row r="4306" spans="1:26" s="25" customFormat="1" ht="6.95" customHeight="1" x14ac:dyDescent="0.3">
      <c r="A4306" s="13"/>
      <c r="B4306" s="168"/>
      <c r="C4306" s="169"/>
      <c r="D4306" s="160" t="s">
        <v>39</v>
      </c>
      <c r="E4306" s="161"/>
      <c r="F4306" s="162" t="s">
        <v>40</v>
      </c>
      <c r="G4306" s="163"/>
      <c r="H4306" s="164"/>
      <c r="I4306" s="163"/>
      <c r="J4306" s="164"/>
      <c r="K4306" s="163"/>
      <c r="L4306" s="164"/>
      <c r="M4306" s="11"/>
      <c r="N4306" s="39"/>
      <c r="Q4306" s="15" t="str">
        <f>+CONCATENATE(E4306,G4306)</f>
        <v/>
      </c>
      <c r="R4306" s="15">
        <f>+H4306</f>
        <v>0</v>
      </c>
      <c r="S4306" s="16"/>
      <c r="T4306" s="15">
        <f>+E4306</f>
        <v>0</v>
      </c>
      <c r="U4306" s="26" t="str">
        <f t="shared" ref="U4306" si="2345">IFERROR(LEFT(G4306,FIND("*",G4306)-1),"-")</f>
        <v>-</v>
      </c>
      <c r="V4306" s="26" t="str">
        <f t="shared" ref="V4306" si="2346">IFERROR(RIGHT(G4306,LEN(G4306)-FIND("*",G4306)),"-")</f>
        <v>-</v>
      </c>
      <c r="W4306" s="27" t="str">
        <f t="shared" si="2344"/>
        <v>-</v>
      </c>
      <c r="X4306" s="27" t="str">
        <f>IFERROR(W4306*H4306,"-")</f>
        <v>-</v>
      </c>
      <c r="Z4306" s="94" t="s">
        <v>82</v>
      </c>
    </row>
    <row r="4307" spans="1:26" s="25" customFormat="1" ht="6.95" customHeight="1" x14ac:dyDescent="0.3">
      <c r="A4307" s="10"/>
      <c r="B4307" s="168"/>
      <c r="C4307" s="169"/>
      <c r="D4307" s="160"/>
      <c r="E4307" s="161"/>
      <c r="F4307" s="162"/>
      <c r="G4307" s="163"/>
      <c r="H4307" s="164"/>
      <c r="I4307" s="163"/>
      <c r="J4307" s="164"/>
      <c r="K4307" s="163"/>
      <c r="L4307" s="164"/>
      <c r="M4307" s="11"/>
      <c r="N4307" s="39"/>
      <c r="Q4307" s="15" t="str">
        <f>+CONCATENATE(E4306,I4306)</f>
        <v/>
      </c>
      <c r="R4307" s="15">
        <f>+J4306</f>
        <v>0</v>
      </c>
      <c r="S4307" s="16"/>
      <c r="T4307" s="15">
        <f>+E4306</f>
        <v>0</v>
      </c>
      <c r="U4307" s="26" t="str">
        <f>IFERROR(LEFT(I4306,FIND("*",I4306)-1),"-")</f>
        <v>-</v>
      </c>
      <c r="V4307" s="26" t="str">
        <f>IFERROR(RIGHT(I4306,LEN(I4306)-FIND("*",I4306)),"-")</f>
        <v>-</v>
      </c>
      <c r="W4307" s="27" t="str">
        <f t="shared" si="2344"/>
        <v>-</v>
      </c>
      <c r="X4307" s="27" t="str">
        <f>IFERROR(W4307*J4306,"-")</f>
        <v>-</v>
      </c>
      <c r="Z4307" s="94" t="s">
        <v>82</v>
      </c>
    </row>
    <row r="4308" spans="1:26" s="25" customFormat="1" ht="6.95" customHeight="1" x14ac:dyDescent="0.3">
      <c r="A4308" s="10"/>
      <c r="B4308" s="168"/>
      <c r="C4308" s="169"/>
      <c r="D4308" s="160"/>
      <c r="E4308" s="161"/>
      <c r="F4308" s="162"/>
      <c r="G4308" s="163"/>
      <c r="H4308" s="164"/>
      <c r="I4308" s="163"/>
      <c r="J4308" s="164"/>
      <c r="K4308" s="163"/>
      <c r="L4308" s="164"/>
      <c r="M4308" s="11"/>
      <c r="N4308" s="39"/>
      <c r="Q4308" s="15" t="str">
        <f>+CONCATENATE(E4306,K4306)</f>
        <v/>
      </c>
      <c r="R4308" s="15">
        <f>+L4306</f>
        <v>0</v>
      </c>
      <c r="S4308" s="16"/>
      <c r="T4308" s="15">
        <f>+E4306</f>
        <v>0</v>
      </c>
      <c r="U4308" s="26" t="str">
        <f>IFERROR(LEFT(K4306,FIND("*",K4306)-1),"-")</f>
        <v>-</v>
      </c>
      <c r="V4308" s="26" t="str">
        <f>IFERROR(RIGHT(K4306,LEN(K4306)-FIND("*",K4306)),"-")</f>
        <v>-</v>
      </c>
      <c r="W4308" s="27" t="str">
        <f t="shared" si="2344"/>
        <v>-</v>
      </c>
      <c r="X4308" s="27" t="str">
        <f>IFERROR(W4308*L4306,"-")</f>
        <v>-</v>
      </c>
      <c r="Z4308" s="94" t="s">
        <v>82</v>
      </c>
    </row>
    <row r="4309" spans="1:26" s="25" customFormat="1" ht="6.95" customHeight="1" x14ac:dyDescent="0.3">
      <c r="A4309" s="13"/>
      <c r="B4309" s="168"/>
      <c r="C4309" s="169"/>
      <c r="D4309" s="160" t="s">
        <v>39</v>
      </c>
      <c r="E4309" s="161"/>
      <c r="F4309" s="162" t="s">
        <v>40</v>
      </c>
      <c r="G4309" s="163"/>
      <c r="H4309" s="164"/>
      <c r="I4309" s="163"/>
      <c r="J4309" s="164"/>
      <c r="K4309" s="163"/>
      <c r="L4309" s="164"/>
      <c r="M4309" s="11"/>
      <c r="N4309" s="39"/>
      <c r="Q4309" s="15" t="str">
        <f>+CONCATENATE(E4309,G4309)</f>
        <v/>
      </c>
      <c r="R4309" s="15">
        <f>+H4309</f>
        <v>0</v>
      </c>
      <c r="S4309" s="16"/>
      <c r="T4309" s="15">
        <f>+E4309</f>
        <v>0</v>
      </c>
      <c r="U4309" s="26" t="str">
        <f t="shared" ref="U4309" si="2347">IFERROR(LEFT(G4309,FIND("*",G4309)-1),"-")</f>
        <v>-</v>
      </c>
      <c r="V4309" s="26" t="str">
        <f t="shared" ref="V4309" si="2348">IFERROR(RIGHT(G4309,LEN(G4309)-FIND("*",G4309)),"-")</f>
        <v>-</v>
      </c>
      <c r="W4309" s="27" t="str">
        <f t="shared" si="2344"/>
        <v>-</v>
      </c>
      <c r="X4309" s="27" t="str">
        <f>IFERROR(W4309*H4309,"-")</f>
        <v>-</v>
      </c>
      <c r="Z4309" s="94" t="s">
        <v>82</v>
      </c>
    </row>
    <row r="4310" spans="1:26" s="25" customFormat="1" ht="6.95" customHeight="1" x14ac:dyDescent="0.3">
      <c r="A4310" s="10"/>
      <c r="B4310" s="168"/>
      <c r="C4310" s="169"/>
      <c r="D4310" s="160"/>
      <c r="E4310" s="161"/>
      <c r="F4310" s="162"/>
      <c r="G4310" s="163"/>
      <c r="H4310" s="164"/>
      <c r="I4310" s="163"/>
      <c r="J4310" s="164"/>
      <c r="K4310" s="163"/>
      <c r="L4310" s="164"/>
      <c r="M4310" s="11"/>
      <c r="N4310" s="39"/>
      <c r="Q4310" s="15" t="str">
        <f>+CONCATENATE(E4309,I4309)</f>
        <v/>
      </c>
      <c r="R4310" s="15">
        <f>+J4309</f>
        <v>0</v>
      </c>
      <c r="S4310" s="16"/>
      <c r="T4310" s="15">
        <f>+E4309</f>
        <v>0</v>
      </c>
      <c r="U4310" s="26" t="str">
        <f>IFERROR(LEFT(I4309,FIND("*",I4309)-1),"-")</f>
        <v>-</v>
      </c>
      <c r="V4310" s="26" t="str">
        <f>IFERROR(RIGHT(I4309,LEN(I4309)-FIND("*",I4309)),"-")</f>
        <v>-</v>
      </c>
      <c r="W4310" s="27" t="str">
        <f t="shared" si="2344"/>
        <v>-</v>
      </c>
      <c r="X4310" s="27" t="str">
        <f t="shared" ref="X4310" si="2349">IFERROR(W4310*J4309,"-")</f>
        <v>-</v>
      </c>
      <c r="Z4310" s="94" t="s">
        <v>82</v>
      </c>
    </row>
    <row r="4311" spans="1:26" s="25" customFormat="1" ht="6.95" customHeight="1" x14ac:dyDescent="0.3">
      <c r="A4311" s="10"/>
      <c r="B4311" s="168"/>
      <c r="C4311" s="169"/>
      <c r="D4311" s="160"/>
      <c r="E4311" s="161"/>
      <c r="F4311" s="162"/>
      <c r="G4311" s="163"/>
      <c r="H4311" s="164"/>
      <c r="I4311" s="163"/>
      <c r="J4311" s="164"/>
      <c r="K4311" s="163"/>
      <c r="L4311" s="164"/>
      <c r="M4311" s="11"/>
      <c r="N4311" s="39"/>
      <c r="Q4311" s="15" t="str">
        <f>+CONCATENATE(E4309,K4309)</f>
        <v/>
      </c>
      <c r="R4311" s="15">
        <f>+L4309</f>
        <v>0</v>
      </c>
      <c r="S4311" s="16"/>
      <c r="T4311" s="15">
        <f>+E4309</f>
        <v>0</v>
      </c>
      <c r="U4311" s="26" t="str">
        <f>IFERROR(LEFT(K4309,FIND("*",K4309)-1),"-")</f>
        <v>-</v>
      </c>
      <c r="V4311" s="26" t="str">
        <f>IFERROR(RIGHT(K4309,LEN(K4309)-FIND("*",K4309)),"-")</f>
        <v>-</v>
      </c>
      <c r="W4311" s="27" t="str">
        <f t="shared" si="2344"/>
        <v>-</v>
      </c>
      <c r="X4311" s="27" t="str">
        <f>IFERROR(W4311*L4309,"-")</f>
        <v>-</v>
      </c>
      <c r="Z4311" s="94" t="s">
        <v>82</v>
      </c>
    </row>
    <row r="4312" spans="1:26" s="25" customFormat="1" ht="21" customHeight="1" thickBot="1" x14ac:dyDescent="0.35">
      <c r="A4312" s="10"/>
      <c r="B4312" s="170"/>
      <c r="C4312" s="171"/>
      <c r="D4312" s="172" t="s">
        <v>43</v>
      </c>
      <c r="E4312" s="173"/>
      <c r="F4312" s="173"/>
      <c r="G4312" s="174"/>
      <c r="H4312" s="174"/>
      <c r="I4312" s="174"/>
      <c r="J4312" s="174"/>
      <c r="K4312" s="174"/>
      <c r="L4312" s="174"/>
      <c r="M4312" s="12"/>
      <c r="N4312" s="39"/>
      <c r="U4312" s="23"/>
      <c r="V4312" s="23"/>
      <c r="Z4312" s="95" t="s">
        <v>81</v>
      </c>
    </row>
    <row r="4313" spans="1:26" s="25" customFormat="1" ht="9.9499999999999993" customHeight="1" thickBot="1" x14ac:dyDescent="0.35">
      <c r="A4313" s="6"/>
      <c r="B4313" s="14"/>
      <c r="C4313" s="119"/>
      <c r="D4313" s="58"/>
      <c r="E4313" s="17"/>
      <c r="F4313" s="58"/>
      <c r="G4313" s="19"/>
      <c r="H4313" s="19"/>
      <c r="I4313" s="19"/>
      <c r="J4313" s="19"/>
      <c r="K4313" s="19"/>
      <c r="L4313" s="19"/>
      <c r="M4313" s="14"/>
      <c r="N4313" s="39"/>
      <c r="Q4313" s="1"/>
      <c r="R4313" s="1"/>
      <c r="S4313" s="1"/>
      <c r="T4313" s="1"/>
      <c r="U4313" s="24"/>
      <c r="V4313" s="24"/>
      <c r="W4313" s="1"/>
      <c r="X4313" s="1"/>
      <c r="Z4313" s="94" t="s">
        <v>82</v>
      </c>
    </row>
    <row r="4314" spans="1:26" s="25" customFormat="1" ht="6.95" customHeight="1" x14ac:dyDescent="0.3">
      <c r="A4314" s="165">
        <f>+A4303+1</f>
        <v>393</v>
      </c>
      <c r="B4314" s="166"/>
      <c r="C4314" s="167"/>
      <c r="D4314" s="160" t="s">
        <v>39</v>
      </c>
      <c r="E4314" s="161"/>
      <c r="F4314" s="162" t="s">
        <v>40</v>
      </c>
      <c r="G4314" s="163"/>
      <c r="H4314" s="164"/>
      <c r="I4314" s="163"/>
      <c r="J4314" s="164"/>
      <c r="K4314" s="163"/>
      <c r="L4314" s="164"/>
      <c r="M4314" s="11"/>
      <c r="N4314" s="39"/>
      <c r="Q4314" s="15" t="str">
        <f>+CONCATENATE(E4314,G4314)</f>
        <v/>
      </c>
      <c r="R4314" s="15">
        <f>+H4314</f>
        <v>0</v>
      </c>
      <c r="S4314" s="16"/>
      <c r="T4314" s="15">
        <f>+E4314</f>
        <v>0</v>
      </c>
      <c r="U4314" s="26" t="str">
        <f>IFERROR(LEFT(G4314,FIND("*",G4314)-1),"-")</f>
        <v>-</v>
      </c>
      <c r="V4314" s="26" t="str">
        <f>IFERROR(RIGHT(G4314,LEN(G4314)-FIND("*",G4314)),"-")</f>
        <v>-</v>
      </c>
      <c r="W4314" s="27" t="str">
        <f>IFERROR((U4314+V4314)*2/1000,"-")</f>
        <v>-</v>
      </c>
      <c r="X4314" s="27" t="str">
        <f>IFERROR(W4314*H4314,"-")</f>
        <v>-</v>
      </c>
      <c r="Z4314" s="94" t="s">
        <v>82</v>
      </c>
    </row>
    <row r="4315" spans="1:26" s="25" customFormat="1" ht="6.95" customHeight="1" x14ac:dyDescent="0.3">
      <c r="A4315" s="165"/>
      <c r="B4315" s="168"/>
      <c r="C4315" s="169"/>
      <c r="D4315" s="160"/>
      <c r="E4315" s="161"/>
      <c r="F4315" s="162"/>
      <c r="G4315" s="163"/>
      <c r="H4315" s="164"/>
      <c r="I4315" s="163"/>
      <c r="J4315" s="164"/>
      <c r="K4315" s="163"/>
      <c r="L4315" s="164"/>
      <c r="M4315" s="11"/>
      <c r="N4315" s="39"/>
      <c r="Q4315" s="15" t="str">
        <f>+CONCATENATE(E4314,I4314)</f>
        <v/>
      </c>
      <c r="R4315" s="15">
        <f>+J4314</f>
        <v>0</v>
      </c>
      <c r="S4315" s="16"/>
      <c r="T4315" s="15">
        <f>+E4314</f>
        <v>0</v>
      </c>
      <c r="U4315" s="26" t="str">
        <f>IFERROR(LEFT(I4314,FIND("*",I4314)-1),"-")</f>
        <v>-</v>
      </c>
      <c r="V4315" s="26" t="str">
        <f>IFERROR(RIGHT(I4314,LEN(I4314)-FIND("*",I4314)),"-")</f>
        <v>-</v>
      </c>
      <c r="W4315" s="27" t="str">
        <f t="shared" ref="W4315:W4322" si="2350">IFERROR((U4315+V4315)*2/1000,"-")</f>
        <v>-</v>
      </c>
      <c r="X4315" s="27" t="str">
        <f>IFERROR(W4315*J4314,"-")</f>
        <v>-</v>
      </c>
      <c r="Z4315" s="94" t="s">
        <v>82</v>
      </c>
    </row>
    <row r="4316" spans="1:26" s="25" customFormat="1" ht="6.95" customHeight="1" x14ac:dyDescent="0.3">
      <c r="A4316" s="165"/>
      <c r="B4316" s="168"/>
      <c r="C4316" s="169"/>
      <c r="D4316" s="160"/>
      <c r="E4316" s="161"/>
      <c r="F4316" s="162"/>
      <c r="G4316" s="163"/>
      <c r="H4316" s="164"/>
      <c r="I4316" s="163"/>
      <c r="J4316" s="164"/>
      <c r="K4316" s="163"/>
      <c r="L4316" s="164"/>
      <c r="M4316" s="11"/>
      <c r="N4316" s="39"/>
      <c r="Q4316" s="15" t="str">
        <f>+CONCATENATE(E4314,K4314)</f>
        <v/>
      </c>
      <c r="R4316" s="15">
        <f>+L4314</f>
        <v>0</v>
      </c>
      <c r="S4316" s="16"/>
      <c r="T4316" s="15">
        <f>+E4314</f>
        <v>0</v>
      </c>
      <c r="U4316" s="26" t="str">
        <f>IFERROR(LEFT(K4314,FIND("*",K4314)-1),"-")</f>
        <v>-</v>
      </c>
      <c r="V4316" s="26" t="str">
        <f>IFERROR(RIGHT(K4314,LEN(K4314)-FIND("*",K4314)),"-")</f>
        <v>-</v>
      </c>
      <c r="W4316" s="27" t="str">
        <f t="shared" si="2350"/>
        <v>-</v>
      </c>
      <c r="X4316" s="27" t="str">
        <f>IFERROR(W4316*L4314,"-")</f>
        <v>-</v>
      </c>
      <c r="Z4316" s="94" t="s">
        <v>82</v>
      </c>
    </row>
    <row r="4317" spans="1:26" s="25" customFormat="1" ht="6.95" customHeight="1" x14ac:dyDescent="0.3">
      <c r="A4317" s="13"/>
      <c r="B4317" s="168"/>
      <c r="C4317" s="169"/>
      <c r="D4317" s="160" t="s">
        <v>39</v>
      </c>
      <c r="E4317" s="161"/>
      <c r="F4317" s="162" t="s">
        <v>40</v>
      </c>
      <c r="G4317" s="163"/>
      <c r="H4317" s="164"/>
      <c r="I4317" s="163"/>
      <c r="J4317" s="164"/>
      <c r="K4317" s="163"/>
      <c r="L4317" s="164"/>
      <c r="M4317" s="11"/>
      <c r="N4317" s="39"/>
      <c r="Q4317" s="15" t="str">
        <f>+CONCATENATE(E4317,G4317)</f>
        <v/>
      </c>
      <c r="R4317" s="15">
        <f>+H4317</f>
        <v>0</v>
      </c>
      <c r="S4317" s="16"/>
      <c r="T4317" s="15">
        <f>+E4317</f>
        <v>0</v>
      </c>
      <c r="U4317" s="26" t="str">
        <f t="shared" ref="U4317" si="2351">IFERROR(LEFT(G4317,FIND("*",G4317)-1),"-")</f>
        <v>-</v>
      </c>
      <c r="V4317" s="26" t="str">
        <f t="shared" ref="V4317" si="2352">IFERROR(RIGHT(G4317,LEN(G4317)-FIND("*",G4317)),"-")</f>
        <v>-</v>
      </c>
      <c r="W4317" s="27" t="str">
        <f t="shared" si="2350"/>
        <v>-</v>
      </c>
      <c r="X4317" s="27" t="str">
        <f>IFERROR(W4317*H4317,"-")</f>
        <v>-</v>
      </c>
      <c r="Z4317" s="94" t="s">
        <v>82</v>
      </c>
    </row>
    <row r="4318" spans="1:26" s="25" customFormat="1" ht="6.95" customHeight="1" x14ac:dyDescent="0.3">
      <c r="A4318" s="10"/>
      <c r="B4318" s="168"/>
      <c r="C4318" s="169"/>
      <c r="D4318" s="160"/>
      <c r="E4318" s="161"/>
      <c r="F4318" s="162"/>
      <c r="G4318" s="163"/>
      <c r="H4318" s="164"/>
      <c r="I4318" s="163"/>
      <c r="J4318" s="164"/>
      <c r="K4318" s="163"/>
      <c r="L4318" s="164"/>
      <c r="M4318" s="11"/>
      <c r="N4318" s="39"/>
      <c r="Q4318" s="15" t="str">
        <f>+CONCATENATE(E4317,I4317)</f>
        <v/>
      </c>
      <c r="R4318" s="15">
        <f>+J4317</f>
        <v>0</v>
      </c>
      <c r="S4318" s="16"/>
      <c r="T4318" s="15">
        <f>+E4317</f>
        <v>0</v>
      </c>
      <c r="U4318" s="26" t="str">
        <f>IFERROR(LEFT(I4317,FIND("*",I4317)-1),"-")</f>
        <v>-</v>
      </c>
      <c r="V4318" s="26" t="str">
        <f>IFERROR(RIGHT(I4317,LEN(I4317)-FIND("*",I4317)),"-")</f>
        <v>-</v>
      </c>
      <c r="W4318" s="27" t="str">
        <f t="shared" si="2350"/>
        <v>-</v>
      </c>
      <c r="X4318" s="27" t="str">
        <f>IFERROR(W4318*J4317,"-")</f>
        <v>-</v>
      </c>
      <c r="Z4318" s="94" t="s">
        <v>82</v>
      </c>
    </row>
    <row r="4319" spans="1:26" s="25" customFormat="1" ht="6.95" customHeight="1" x14ac:dyDescent="0.3">
      <c r="A4319" s="10"/>
      <c r="B4319" s="168"/>
      <c r="C4319" s="169"/>
      <c r="D4319" s="160"/>
      <c r="E4319" s="161"/>
      <c r="F4319" s="162"/>
      <c r="G4319" s="163"/>
      <c r="H4319" s="164"/>
      <c r="I4319" s="163"/>
      <c r="J4319" s="164"/>
      <c r="K4319" s="163"/>
      <c r="L4319" s="164"/>
      <c r="M4319" s="11"/>
      <c r="N4319" s="39"/>
      <c r="Q4319" s="15" t="str">
        <f>+CONCATENATE(E4317,K4317)</f>
        <v/>
      </c>
      <c r="R4319" s="15">
        <f>+L4317</f>
        <v>0</v>
      </c>
      <c r="S4319" s="16"/>
      <c r="T4319" s="15">
        <f>+E4317</f>
        <v>0</v>
      </c>
      <c r="U4319" s="26" t="str">
        <f>IFERROR(LEFT(K4317,FIND("*",K4317)-1),"-")</f>
        <v>-</v>
      </c>
      <c r="V4319" s="26" t="str">
        <f>IFERROR(RIGHT(K4317,LEN(K4317)-FIND("*",K4317)),"-")</f>
        <v>-</v>
      </c>
      <c r="W4319" s="27" t="str">
        <f t="shared" si="2350"/>
        <v>-</v>
      </c>
      <c r="X4319" s="27" t="str">
        <f>IFERROR(W4319*L4317,"-")</f>
        <v>-</v>
      </c>
      <c r="Z4319" s="94" t="s">
        <v>82</v>
      </c>
    </row>
    <row r="4320" spans="1:26" s="25" customFormat="1" ht="6.95" customHeight="1" x14ac:dyDescent="0.3">
      <c r="A4320" s="13"/>
      <c r="B4320" s="168"/>
      <c r="C4320" s="169"/>
      <c r="D4320" s="160" t="s">
        <v>39</v>
      </c>
      <c r="E4320" s="161"/>
      <c r="F4320" s="162" t="s">
        <v>40</v>
      </c>
      <c r="G4320" s="163"/>
      <c r="H4320" s="164"/>
      <c r="I4320" s="163"/>
      <c r="J4320" s="164"/>
      <c r="K4320" s="163"/>
      <c r="L4320" s="164"/>
      <c r="M4320" s="11"/>
      <c r="N4320" s="39"/>
      <c r="Q4320" s="15" t="str">
        <f>+CONCATENATE(E4320,G4320)</f>
        <v/>
      </c>
      <c r="R4320" s="15">
        <f>+H4320</f>
        <v>0</v>
      </c>
      <c r="S4320" s="16"/>
      <c r="T4320" s="15">
        <f>+E4320</f>
        <v>0</v>
      </c>
      <c r="U4320" s="26" t="str">
        <f t="shared" ref="U4320" si="2353">IFERROR(LEFT(G4320,FIND("*",G4320)-1),"-")</f>
        <v>-</v>
      </c>
      <c r="V4320" s="26" t="str">
        <f t="shared" ref="V4320" si="2354">IFERROR(RIGHT(G4320,LEN(G4320)-FIND("*",G4320)),"-")</f>
        <v>-</v>
      </c>
      <c r="W4320" s="27" t="str">
        <f t="shared" si="2350"/>
        <v>-</v>
      </c>
      <c r="X4320" s="27" t="str">
        <f>IFERROR(W4320*H4320,"-")</f>
        <v>-</v>
      </c>
      <c r="Z4320" s="94" t="s">
        <v>82</v>
      </c>
    </row>
    <row r="4321" spans="1:26" s="25" customFormat="1" ht="6.95" customHeight="1" x14ac:dyDescent="0.3">
      <c r="A4321" s="10"/>
      <c r="B4321" s="168"/>
      <c r="C4321" s="169"/>
      <c r="D4321" s="160"/>
      <c r="E4321" s="161"/>
      <c r="F4321" s="162"/>
      <c r="G4321" s="163"/>
      <c r="H4321" s="164"/>
      <c r="I4321" s="163"/>
      <c r="J4321" s="164"/>
      <c r="K4321" s="163"/>
      <c r="L4321" s="164"/>
      <c r="M4321" s="11"/>
      <c r="N4321" s="39"/>
      <c r="Q4321" s="15" t="str">
        <f>+CONCATENATE(E4320,I4320)</f>
        <v/>
      </c>
      <c r="R4321" s="15">
        <f>+J4320</f>
        <v>0</v>
      </c>
      <c r="S4321" s="16"/>
      <c r="T4321" s="15">
        <f>+E4320</f>
        <v>0</v>
      </c>
      <c r="U4321" s="26" t="str">
        <f>IFERROR(LEFT(I4320,FIND("*",I4320)-1),"-")</f>
        <v>-</v>
      </c>
      <c r="V4321" s="26" t="str">
        <f>IFERROR(RIGHT(I4320,LEN(I4320)-FIND("*",I4320)),"-")</f>
        <v>-</v>
      </c>
      <c r="W4321" s="27" t="str">
        <f t="shared" si="2350"/>
        <v>-</v>
      </c>
      <c r="X4321" s="27" t="str">
        <f t="shared" ref="X4321" si="2355">IFERROR(W4321*J4320,"-")</f>
        <v>-</v>
      </c>
      <c r="Z4321" s="94" t="s">
        <v>82</v>
      </c>
    </row>
    <row r="4322" spans="1:26" s="25" customFormat="1" ht="6.95" customHeight="1" x14ac:dyDescent="0.3">
      <c r="A4322" s="10"/>
      <c r="B4322" s="168"/>
      <c r="C4322" s="169"/>
      <c r="D4322" s="160"/>
      <c r="E4322" s="161"/>
      <c r="F4322" s="162"/>
      <c r="G4322" s="163"/>
      <c r="H4322" s="164"/>
      <c r="I4322" s="163"/>
      <c r="J4322" s="164"/>
      <c r="K4322" s="163"/>
      <c r="L4322" s="164"/>
      <c r="M4322" s="11"/>
      <c r="N4322" s="39"/>
      <c r="Q4322" s="15" t="str">
        <f>+CONCATENATE(E4320,K4320)</f>
        <v/>
      </c>
      <c r="R4322" s="15">
        <f>+L4320</f>
        <v>0</v>
      </c>
      <c r="S4322" s="16"/>
      <c r="T4322" s="15">
        <f>+E4320</f>
        <v>0</v>
      </c>
      <c r="U4322" s="26" t="str">
        <f>IFERROR(LEFT(K4320,FIND("*",K4320)-1),"-")</f>
        <v>-</v>
      </c>
      <c r="V4322" s="26" t="str">
        <f>IFERROR(RIGHT(K4320,LEN(K4320)-FIND("*",K4320)),"-")</f>
        <v>-</v>
      </c>
      <c r="W4322" s="27" t="str">
        <f t="shared" si="2350"/>
        <v>-</v>
      </c>
      <c r="X4322" s="27" t="str">
        <f>IFERROR(W4322*L4320,"-")</f>
        <v>-</v>
      </c>
      <c r="Z4322" s="94" t="s">
        <v>82</v>
      </c>
    </row>
    <row r="4323" spans="1:26" s="25" customFormat="1" ht="21" customHeight="1" thickBot="1" x14ac:dyDescent="0.35">
      <c r="A4323" s="10"/>
      <c r="B4323" s="170"/>
      <c r="C4323" s="171"/>
      <c r="D4323" s="172" t="s">
        <v>43</v>
      </c>
      <c r="E4323" s="173"/>
      <c r="F4323" s="173"/>
      <c r="G4323" s="174"/>
      <c r="H4323" s="174"/>
      <c r="I4323" s="174"/>
      <c r="J4323" s="174"/>
      <c r="K4323" s="174"/>
      <c r="L4323" s="174"/>
      <c r="M4323" s="12"/>
      <c r="N4323" s="39"/>
      <c r="U4323" s="23"/>
      <c r="V4323" s="23"/>
      <c r="Z4323" s="95" t="s">
        <v>81</v>
      </c>
    </row>
    <row r="4324" spans="1:26" s="25" customFormat="1" ht="9.9499999999999993" customHeight="1" thickBot="1" x14ac:dyDescent="0.35">
      <c r="A4324" s="6"/>
      <c r="B4324" s="14"/>
      <c r="C4324" s="119"/>
      <c r="D4324" s="58"/>
      <c r="E4324" s="17"/>
      <c r="F4324" s="58"/>
      <c r="G4324" s="19"/>
      <c r="H4324" s="19"/>
      <c r="I4324" s="19"/>
      <c r="J4324" s="19"/>
      <c r="K4324" s="19"/>
      <c r="L4324" s="19"/>
      <c r="M4324" s="14"/>
      <c r="N4324" s="39"/>
      <c r="Q4324" s="1"/>
      <c r="R4324" s="1"/>
      <c r="S4324" s="1"/>
      <c r="T4324" s="1"/>
      <c r="U4324" s="24"/>
      <c r="V4324" s="24"/>
      <c r="W4324" s="1"/>
      <c r="X4324" s="1"/>
      <c r="Z4324" s="94" t="s">
        <v>82</v>
      </c>
    </row>
    <row r="4325" spans="1:26" s="25" customFormat="1" ht="6.95" customHeight="1" x14ac:dyDescent="0.3">
      <c r="A4325" s="165">
        <f>+A4314+1</f>
        <v>394</v>
      </c>
      <c r="B4325" s="166"/>
      <c r="C4325" s="167"/>
      <c r="D4325" s="160" t="s">
        <v>39</v>
      </c>
      <c r="E4325" s="161"/>
      <c r="F4325" s="162" t="s">
        <v>40</v>
      </c>
      <c r="G4325" s="163"/>
      <c r="H4325" s="164"/>
      <c r="I4325" s="163"/>
      <c r="J4325" s="164"/>
      <c r="K4325" s="163"/>
      <c r="L4325" s="164"/>
      <c r="M4325" s="11"/>
      <c r="N4325" s="39"/>
      <c r="Q4325" s="15" t="str">
        <f>+CONCATENATE(E4325,G4325)</f>
        <v/>
      </c>
      <c r="R4325" s="15">
        <f>+H4325</f>
        <v>0</v>
      </c>
      <c r="S4325" s="16"/>
      <c r="T4325" s="15">
        <f>+E4325</f>
        <v>0</v>
      </c>
      <c r="U4325" s="26" t="str">
        <f>IFERROR(LEFT(G4325,FIND("*",G4325)-1),"-")</f>
        <v>-</v>
      </c>
      <c r="V4325" s="26" t="str">
        <f>IFERROR(RIGHT(G4325,LEN(G4325)-FIND("*",G4325)),"-")</f>
        <v>-</v>
      </c>
      <c r="W4325" s="27" t="str">
        <f>IFERROR((U4325+V4325)*2/1000,"-")</f>
        <v>-</v>
      </c>
      <c r="X4325" s="27" t="str">
        <f>IFERROR(W4325*H4325,"-")</f>
        <v>-</v>
      </c>
      <c r="Z4325" s="94" t="s">
        <v>82</v>
      </c>
    </row>
    <row r="4326" spans="1:26" s="25" customFormat="1" ht="6.95" customHeight="1" x14ac:dyDescent="0.3">
      <c r="A4326" s="165"/>
      <c r="B4326" s="168"/>
      <c r="C4326" s="169"/>
      <c r="D4326" s="160"/>
      <c r="E4326" s="161"/>
      <c r="F4326" s="162"/>
      <c r="G4326" s="163"/>
      <c r="H4326" s="164"/>
      <c r="I4326" s="163"/>
      <c r="J4326" s="164"/>
      <c r="K4326" s="163"/>
      <c r="L4326" s="164"/>
      <c r="M4326" s="11"/>
      <c r="N4326" s="39"/>
      <c r="Q4326" s="15" t="str">
        <f>+CONCATENATE(E4325,I4325)</f>
        <v/>
      </c>
      <c r="R4326" s="15">
        <f>+J4325</f>
        <v>0</v>
      </c>
      <c r="S4326" s="16"/>
      <c r="T4326" s="15">
        <f>+E4325</f>
        <v>0</v>
      </c>
      <c r="U4326" s="26" t="str">
        <f>IFERROR(LEFT(I4325,FIND("*",I4325)-1),"-")</f>
        <v>-</v>
      </c>
      <c r="V4326" s="26" t="str">
        <f>IFERROR(RIGHT(I4325,LEN(I4325)-FIND("*",I4325)),"-")</f>
        <v>-</v>
      </c>
      <c r="W4326" s="27" t="str">
        <f t="shared" ref="W4326:W4333" si="2356">IFERROR((U4326+V4326)*2/1000,"-")</f>
        <v>-</v>
      </c>
      <c r="X4326" s="27" t="str">
        <f>IFERROR(W4326*J4325,"-")</f>
        <v>-</v>
      </c>
      <c r="Z4326" s="94" t="s">
        <v>82</v>
      </c>
    </row>
    <row r="4327" spans="1:26" s="25" customFormat="1" ht="6.95" customHeight="1" x14ac:dyDescent="0.3">
      <c r="A4327" s="165"/>
      <c r="B4327" s="168"/>
      <c r="C4327" s="169"/>
      <c r="D4327" s="160"/>
      <c r="E4327" s="161"/>
      <c r="F4327" s="162"/>
      <c r="G4327" s="163"/>
      <c r="H4327" s="164"/>
      <c r="I4327" s="163"/>
      <c r="J4327" s="164"/>
      <c r="K4327" s="163"/>
      <c r="L4327" s="164"/>
      <c r="M4327" s="11"/>
      <c r="N4327" s="39"/>
      <c r="Q4327" s="15" t="str">
        <f>+CONCATENATE(E4325,K4325)</f>
        <v/>
      </c>
      <c r="R4327" s="15">
        <f>+L4325</f>
        <v>0</v>
      </c>
      <c r="S4327" s="16"/>
      <c r="T4327" s="15">
        <f>+E4325</f>
        <v>0</v>
      </c>
      <c r="U4327" s="26" t="str">
        <f>IFERROR(LEFT(K4325,FIND("*",K4325)-1),"-")</f>
        <v>-</v>
      </c>
      <c r="V4327" s="26" t="str">
        <f>IFERROR(RIGHT(K4325,LEN(K4325)-FIND("*",K4325)),"-")</f>
        <v>-</v>
      </c>
      <c r="W4327" s="27" t="str">
        <f t="shared" si="2356"/>
        <v>-</v>
      </c>
      <c r="X4327" s="27" t="str">
        <f>IFERROR(W4327*L4325,"-")</f>
        <v>-</v>
      </c>
      <c r="Z4327" s="94" t="s">
        <v>82</v>
      </c>
    </row>
    <row r="4328" spans="1:26" s="25" customFormat="1" ht="6.95" customHeight="1" x14ac:dyDescent="0.3">
      <c r="A4328" s="13"/>
      <c r="B4328" s="168"/>
      <c r="C4328" s="169"/>
      <c r="D4328" s="160" t="s">
        <v>39</v>
      </c>
      <c r="E4328" s="161"/>
      <c r="F4328" s="162" t="s">
        <v>40</v>
      </c>
      <c r="G4328" s="163"/>
      <c r="H4328" s="164"/>
      <c r="I4328" s="163"/>
      <c r="J4328" s="164"/>
      <c r="K4328" s="163"/>
      <c r="L4328" s="164"/>
      <c r="M4328" s="11"/>
      <c r="N4328" s="39"/>
      <c r="Q4328" s="15" t="str">
        <f>+CONCATENATE(E4328,G4328)</f>
        <v/>
      </c>
      <c r="R4328" s="15">
        <f>+H4328</f>
        <v>0</v>
      </c>
      <c r="S4328" s="16"/>
      <c r="T4328" s="15">
        <f>+E4328</f>
        <v>0</v>
      </c>
      <c r="U4328" s="26" t="str">
        <f t="shared" ref="U4328" si="2357">IFERROR(LEFT(G4328,FIND("*",G4328)-1),"-")</f>
        <v>-</v>
      </c>
      <c r="V4328" s="26" t="str">
        <f t="shared" ref="V4328" si="2358">IFERROR(RIGHT(G4328,LEN(G4328)-FIND("*",G4328)),"-")</f>
        <v>-</v>
      </c>
      <c r="W4328" s="27" t="str">
        <f t="shared" si="2356"/>
        <v>-</v>
      </c>
      <c r="X4328" s="27" t="str">
        <f>IFERROR(W4328*H4328,"-")</f>
        <v>-</v>
      </c>
      <c r="Z4328" s="94" t="s">
        <v>82</v>
      </c>
    </row>
    <row r="4329" spans="1:26" s="25" customFormat="1" ht="6.95" customHeight="1" x14ac:dyDescent="0.3">
      <c r="A4329" s="10"/>
      <c r="B4329" s="168"/>
      <c r="C4329" s="169"/>
      <c r="D4329" s="160"/>
      <c r="E4329" s="161"/>
      <c r="F4329" s="162"/>
      <c r="G4329" s="163"/>
      <c r="H4329" s="164"/>
      <c r="I4329" s="163"/>
      <c r="J4329" s="164"/>
      <c r="K4329" s="163"/>
      <c r="L4329" s="164"/>
      <c r="M4329" s="11"/>
      <c r="N4329" s="39"/>
      <c r="Q4329" s="15" t="str">
        <f>+CONCATENATE(E4328,I4328)</f>
        <v/>
      </c>
      <c r="R4329" s="15">
        <f>+J4328</f>
        <v>0</v>
      </c>
      <c r="S4329" s="16"/>
      <c r="T4329" s="15">
        <f>+E4328</f>
        <v>0</v>
      </c>
      <c r="U4329" s="26" t="str">
        <f>IFERROR(LEFT(I4328,FIND("*",I4328)-1),"-")</f>
        <v>-</v>
      </c>
      <c r="V4329" s="26" t="str">
        <f>IFERROR(RIGHT(I4328,LEN(I4328)-FIND("*",I4328)),"-")</f>
        <v>-</v>
      </c>
      <c r="W4329" s="27" t="str">
        <f t="shared" si="2356"/>
        <v>-</v>
      </c>
      <c r="X4329" s="27" t="str">
        <f>IFERROR(W4329*J4328,"-")</f>
        <v>-</v>
      </c>
      <c r="Z4329" s="94" t="s">
        <v>82</v>
      </c>
    </row>
    <row r="4330" spans="1:26" s="25" customFormat="1" ht="6.95" customHeight="1" x14ac:dyDescent="0.3">
      <c r="A4330" s="10"/>
      <c r="B4330" s="168"/>
      <c r="C4330" s="169"/>
      <c r="D4330" s="160"/>
      <c r="E4330" s="161"/>
      <c r="F4330" s="162"/>
      <c r="G4330" s="163"/>
      <c r="H4330" s="164"/>
      <c r="I4330" s="163"/>
      <c r="J4330" s="164"/>
      <c r="K4330" s="163"/>
      <c r="L4330" s="164"/>
      <c r="M4330" s="11"/>
      <c r="N4330" s="39"/>
      <c r="Q4330" s="15" t="str">
        <f>+CONCATENATE(E4328,K4328)</f>
        <v/>
      </c>
      <c r="R4330" s="15">
        <f>+L4328</f>
        <v>0</v>
      </c>
      <c r="S4330" s="16"/>
      <c r="T4330" s="15">
        <f>+E4328</f>
        <v>0</v>
      </c>
      <c r="U4330" s="26" t="str">
        <f>IFERROR(LEFT(K4328,FIND("*",K4328)-1),"-")</f>
        <v>-</v>
      </c>
      <c r="V4330" s="26" t="str">
        <f>IFERROR(RIGHT(K4328,LEN(K4328)-FIND("*",K4328)),"-")</f>
        <v>-</v>
      </c>
      <c r="W4330" s="27" t="str">
        <f t="shared" si="2356"/>
        <v>-</v>
      </c>
      <c r="X4330" s="27" t="str">
        <f>IFERROR(W4330*L4328,"-")</f>
        <v>-</v>
      </c>
      <c r="Z4330" s="94" t="s">
        <v>82</v>
      </c>
    </row>
    <row r="4331" spans="1:26" s="25" customFormat="1" ht="6.95" customHeight="1" x14ac:dyDescent="0.3">
      <c r="A4331" s="13"/>
      <c r="B4331" s="168"/>
      <c r="C4331" s="169"/>
      <c r="D4331" s="160" t="s">
        <v>39</v>
      </c>
      <c r="E4331" s="161"/>
      <c r="F4331" s="162" t="s">
        <v>40</v>
      </c>
      <c r="G4331" s="163"/>
      <c r="H4331" s="164"/>
      <c r="I4331" s="163"/>
      <c r="J4331" s="164"/>
      <c r="K4331" s="163"/>
      <c r="L4331" s="164"/>
      <c r="M4331" s="11"/>
      <c r="N4331" s="39"/>
      <c r="Q4331" s="15" t="str">
        <f>+CONCATENATE(E4331,G4331)</f>
        <v/>
      </c>
      <c r="R4331" s="15">
        <f>+H4331</f>
        <v>0</v>
      </c>
      <c r="S4331" s="16"/>
      <c r="T4331" s="15">
        <f>+E4331</f>
        <v>0</v>
      </c>
      <c r="U4331" s="26" t="str">
        <f t="shared" ref="U4331" si="2359">IFERROR(LEFT(G4331,FIND("*",G4331)-1),"-")</f>
        <v>-</v>
      </c>
      <c r="V4331" s="26" t="str">
        <f t="shared" ref="V4331" si="2360">IFERROR(RIGHT(G4331,LEN(G4331)-FIND("*",G4331)),"-")</f>
        <v>-</v>
      </c>
      <c r="W4331" s="27" t="str">
        <f t="shared" si="2356"/>
        <v>-</v>
      </c>
      <c r="X4331" s="27" t="str">
        <f>IFERROR(W4331*H4331,"-")</f>
        <v>-</v>
      </c>
      <c r="Z4331" s="94" t="s">
        <v>82</v>
      </c>
    </row>
    <row r="4332" spans="1:26" s="25" customFormat="1" ht="6.95" customHeight="1" x14ac:dyDescent="0.3">
      <c r="A4332" s="10"/>
      <c r="B4332" s="168"/>
      <c r="C4332" s="169"/>
      <c r="D4332" s="160"/>
      <c r="E4332" s="161"/>
      <c r="F4332" s="162"/>
      <c r="G4332" s="163"/>
      <c r="H4332" s="164"/>
      <c r="I4332" s="163"/>
      <c r="J4332" s="164"/>
      <c r="K4332" s="163"/>
      <c r="L4332" s="164"/>
      <c r="M4332" s="11"/>
      <c r="N4332" s="39"/>
      <c r="Q4332" s="15" t="str">
        <f>+CONCATENATE(E4331,I4331)</f>
        <v/>
      </c>
      <c r="R4332" s="15">
        <f>+J4331</f>
        <v>0</v>
      </c>
      <c r="S4332" s="16"/>
      <c r="T4332" s="15">
        <f>+E4331</f>
        <v>0</v>
      </c>
      <c r="U4332" s="26" t="str">
        <f>IFERROR(LEFT(I4331,FIND("*",I4331)-1),"-")</f>
        <v>-</v>
      </c>
      <c r="V4332" s="26" t="str">
        <f>IFERROR(RIGHT(I4331,LEN(I4331)-FIND("*",I4331)),"-")</f>
        <v>-</v>
      </c>
      <c r="W4332" s="27" t="str">
        <f t="shared" si="2356"/>
        <v>-</v>
      </c>
      <c r="X4332" s="27" t="str">
        <f t="shared" ref="X4332" si="2361">IFERROR(W4332*J4331,"-")</f>
        <v>-</v>
      </c>
      <c r="Z4332" s="94" t="s">
        <v>82</v>
      </c>
    </row>
    <row r="4333" spans="1:26" s="25" customFormat="1" ht="6.95" customHeight="1" x14ac:dyDescent="0.3">
      <c r="A4333" s="10"/>
      <c r="B4333" s="168"/>
      <c r="C4333" s="169"/>
      <c r="D4333" s="160"/>
      <c r="E4333" s="161"/>
      <c r="F4333" s="162"/>
      <c r="G4333" s="163"/>
      <c r="H4333" s="164"/>
      <c r="I4333" s="163"/>
      <c r="J4333" s="164"/>
      <c r="K4333" s="163"/>
      <c r="L4333" s="164"/>
      <c r="M4333" s="11"/>
      <c r="N4333" s="39"/>
      <c r="Q4333" s="15" t="str">
        <f>+CONCATENATE(E4331,K4331)</f>
        <v/>
      </c>
      <c r="R4333" s="15">
        <f>+L4331</f>
        <v>0</v>
      </c>
      <c r="S4333" s="16"/>
      <c r="T4333" s="15">
        <f>+E4331</f>
        <v>0</v>
      </c>
      <c r="U4333" s="26" t="str">
        <f>IFERROR(LEFT(K4331,FIND("*",K4331)-1),"-")</f>
        <v>-</v>
      </c>
      <c r="V4333" s="26" t="str">
        <f>IFERROR(RIGHT(K4331,LEN(K4331)-FIND("*",K4331)),"-")</f>
        <v>-</v>
      </c>
      <c r="W4333" s="27" t="str">
        <f t="shared" si="2356"/>
        <v>-</v>
      </c>
      <c r="X4333" s="27" t="str">
        <f>IFERROR(W4333*L4331,"-")</f>
        <v>-</v>
      </c>
      <c r="Z4333" s="94" t="s">
        <v>82</v>
      </c>
    </row>
    <row r="4334" spans="1:26" s="25" customFormat="1" ht="21" customHeight="1" thickBot="1" x14ac:dyDescent="0.35">
      <c r="A4334" s="10"/>
      <c r="B4334" s="170"/>
      <c r="C4334" s="171"/>
      <c r="D4334" s="172" t="s">
        <v>43</v>
      </c>
      <c r="E4334" s="173"/>
      <c r="F4334" s="173"/>
      <c r="G4334" s="174"/>
      <c r="H4334" s="174"/>
      <c r="I4334" s="174"/>
      <c r="J4334" s="174"/>
      <c r="K4334" s="174"/>
      <c r="L4334" s="174"/>
      <c r="M4334" s="12"/>
      <c r="N4334" s="39"/>
      <c r="U4334" s="23"/>
      <c r="V4334" s="23"/>
      <c r="Z4334" s="95" t="s">
        <v>81</v>
      </c>
    </row>
    <row r="4335" spans="1:26" s="25" customFormat="1" ht="9.9499999999999993" customHeight="1" thickBot="1" x14ac:dyDescent="0.35">
      <c r="A4335" s="6"/>
      <c r="B4335" s="14"/>
      <c r="C4335" s="119"/>
      <c r="D4335" s="58"/>
      <c r="E4335" s="17"/>
      <c r="F4335" s="58"/>
      <c r="G4335" s="19"/>
      <c r="H4335" s="19"/>
      <c r="I4335" s="19"/>
      <c r="J4335" s="19"/>
      <c r="K4335" s="19"/>
      <c r="L4335" s="19"/>
      <c r="M4335" s="14"/>
      <c r="N4335" s="39"/>
      <c r="Q4335" s="1"/>
      <c r="R4335" s="1"/>
      <c r="S4335" s="1"/>
      <c r="T4335" s="1"/>
      <c r="U4335" s="24"/>
      <c r="V4335" s="24"/>
      <c r="W4335" s="1"/>
      <c r="X4335" s="1"/>
      <c r="Z4335" s="94" t="s">
        <v>82</v>
      </c>
    </row>
    <row r="4336" spans="1:26" s="25" customFormat="1" ht="6.95" customHeight="1" x14ac:dyDescent="0.3">
      <c r="A4336" s="165">
        <f>+A4325+1</f>
        <v>395</v>
      </c>
      <c r="B4336" s="166"/>
      <c r="C4336" s="167"/>
      <c r="D4336" s="160" t="s">
        <v>39</v>
      </c>
      <c r="E4336" s="161"/>
      <c r="F4336" s="162" t="s">
        <v>40</v>
      </c>
      <c r="G4336" s="163"/>
      <c r="H4336" s="164"/>
      <c r="I4336" s="163"/>
      <c r="J4336" s="164"/>
      <c r="K4336" s="163"/>
      <c r="L4336" s="164"/>
      <c r="M4336" s="11"/>
      <c r="N4336" s="39"/>
      <c r="Q4336" s="15" t="str">
        <f>+CONCATENATE(E4336,G4336)</f>
        <v/>
      </c>
      <c r="R4336" s="15">
        <f>+H4336</f>
        <v>0</v>
      </c>
      <c r="S4336" s="16"/>
      <c r="T4336" s="15">
        <f>+E4336</f>
        <v>0</v>
      </c>
      <c r="U4336" s="26" t="str">
        <f>IFERROR(LEFT(G4336,FIND("*",G4336)-1),"-")</f>
        <v>-</v>
      </c>
      <c r="V4336" s="26" t="str">
        <f>IFERROR(RIGHT(G4336,LEN(G4336)-FIND("*",G4336)),"-")</f>
        <v>-</v>
      </c>
      <c r="W4336" s="27" t="str">
        <f>IFERROR((U4336+V4336)*2/1000,"-")</f>
        <v>-</v>
      </c>
      <c r="X4336" s="27" t="str">
        <f>IFERROR(W4336*H4336,"-")</f>
        <v>-</v>
      </c>
      <c r="Z4336" s="94" t="s">
        <v>82</v>
      </c>
    </row>
    <row r="4337" spans="1:26" s="25" customFormat="1" ht="6.95" customHeight="1" x14ac:dyDescent="0.3">
      <c r="A4337" s="165"/>
      <c r="B4337" s="168"/>
      <c r="C4337" s="169"/>
      <c r="D4337" s="160"/>
      <c r="E4337" s="161"/>
      <c r="F4337" s="162"/>
      <c r="G4337" s="163"/>
      <c r="H4337" s="164"/>
      <c r="I4337" s="163"/>
      <c r="J4337" s="164"/>
      <c r="K4337" s="163"/>
      <c r="L4337" s="164"/>
      <c r="M4337" s="11"/>
      <c r="N4337" s="39"/>
      <c r="Q4337" s="15" t="str">
        <f>+CONCATENATE(E4336,I4336)</f>
        <v/>
      </c>
      <c r="R4337" s="15">
        <f>+J4336</f>
        <v>0</v>
      </c>
      <c r="S4337" s="16"/>
      <c r="T4337" s="15">
        <f>+E4336</f>
        <v>0</v>
      </c>
      <c r="U4337" s="26" t="str">
        <f>IFERROR(LEFT(I4336,FIND("*",I4336)-1),"-")</f>
        <v>-</v>
      </c>
      <c r="V4337" s="26" t="str">
        <f>IFERROR(RIGHT(I4336,LEN(I4336)-FIND("*",I4336)),"-")</f>
        <v>-</v>
      </c>
      <c r="W4337" s="27" t="str">
        <f t="shared" ref="W4337:W4344" si="2362">IFERROR((U4337+V4337)*2/1000,"-")</f>
        <v>-</v>
      </c>
      <c r="X4337" s="27" t="str">
        <f>IFERROR(W4337*J4336,"-")</f>
        <v>-</v>
      </c>
      <c r="Z4337" s="94" t="s">
        <v>82</v>
      </c>
    </row>
    <row r="4338" spans="1:26" s="25" customFormat="1" ht="6.95" customHeight="1" x14ac:dyDescent="0.3">
      <c r="A4338" s="165"/>
      <c r="B4338" s="168"/>
      <c r="C4338" s="169"/>
      <c r="D4338" s="160"/>
      <c r="E4338" s="161"/>
      <c r="F4338" s="162"/>
      <c r="G4338" s="163"/>
      <c r="H4338" s="164"/>
      <c r="I4338" s="163"/>
      <c r="J4338" s="164"/>
      <c r="K4338" s="163"/>
      <c r="L4338" s="164"/>
      <c r="M4338" s="11"/>
      <c r="N4338" s="39"/>
      <c r="Q4338" s="15" t="str">
        <f>+CONCATENATE(E4336,K4336)</f>
        <v/>
      </c>
      <c r="R4338" s="15">
        <f>+L4336</f>
        <v>0</v>
      </c>
      <c r="S4338" s="16"/>
      <c r="T4338" s="15">
        <f>+E4336</f>
        <v>0</v>
      </c>
      <c r="U4338" s="26" t="str">
        <f>IFERROR(LEFT(K4336,FIND("*",K4336)-1),"-")</f>
        <v>-</v>
      </c>
      <c r="V4338" s="26" t="str">
        <f>IFERROR(RIGHT(K4336,LEN(K4336)-FIND("*",K4336)),"-")</f>
        <v>-</v>
      </c>
      <c r="W4338" s="27" t="str">
        <f t="shared" si="2362"/>
        <v>-</v>
      </c>
      <c r="X4338" s="27" t="str">
        <f>IFERROR(W4338*L4336,"-")</f>
        <v>-</v>
      </c>
      <c r="Z4338" s="94" t="s">
        <v>82</v>
      </c>
    </row>
    <row r="4339" spans="1:26" s="25" customFormat="1" ht="6.95" customHeight="1" x14ac:dyDescent="0.3">
      <c r="A4339" s="13"/>
      <c r="B4339" s="168"/>
      <c r="C4339" s="169"/>
      <c r="D4339" s="160" t="s">
        <v>39</v>
      </c>
      <c r="E4339" s="161"/>
      <c r="F4339" s="162" t="s">
        <v>40</v>
      </c>
      <c r="G4339" s="163"/>
      <c r="H4339" s="164"/>
      <c r="I4339" s="163"/>
      <c r="J4339" s="164"/>
      <c r="K4339" s="163"/>
      <c r="L4339" s="164"/>
      <c r="M4339" s="11"/>
      <c r="N4339" s="39"/>
      <c r="Q4339" s="15" t="str">
        <f>+CONCATENATE(E4339,G4339)</f>
        <v/>
      </c>
      <c r="R4339" s="15">
        <f>+H4339</f>
        <v>0</v>
      </c>
      <c r="S4339" s="16"/>
      <c r="T4339" s="15">
        <f>+E4339</f>
        <v>0</v>
      </c>
      <c r="U4339" s="26" t="str">
        <f t="shared" ref="U4339" si="2363">IFERROR(LEFT(G4339,FIND("*",G4339)-1),"-")</f>
        <v>-</v>
      </c>
      <c r="V4339" s="26" t="str">
        <f t="shared" ref="V4339" si="2364">IFERROR(RIGHT(G4339,LEN(G4339)-FIND("*",G4339)),"-")</f>
        <v>-</v>
      </c>
      <c r="W4339" s="27" t="str">
        <f t="shared" si="2362"/>
        <v>-</v>
      </c>
      <c r="X4339" s="27" t="str">
        <f>IFERROR(W4339*H4339,"-")</f>
        <v>-</v>
      </c>
      <c r="Z4339" s="94" t="s">
        <v>82</v>
      </c>
    </row>
    <row r="4340" spans="1:26" s="25" customFormat="1" ht="6.95" customHeight="1" x14ac:dyDescent="0.3">
      <c r="A4340" s="10"/>
      <c r="B4340" s="168"/>
      <c r="C4340" s="169"/>
      <c r="D4340" s="160"/>
      <c r="E4340" s="161"/>
      <c r="F4340" s="162"/>
      <c r="G4340" s="163"/>
      <c r="H4340" s="164"/>
      <c r="I4340" s="163"/>
      <c r="J4340" s="164"/>
      <c r="K4340" s="163"/>
      <c r="L4340" s="164"/>
      <c r="M4340" s="11"/>
      <c r="N4340" s="39"/>
      <c r="Q4340" s="15" t="str">
        <f>+CONCATENATE(E4339,I4339)</f>
        <v/>
      </c>
      <c r="R4340" s="15">
        <f>+J4339</f>
        <v>0</v>
      </c>
      <c r="S4340" s="16"/>
      <c r="T4340" s="15">
        <f>+E4339</f>
        <v>0</v>
      </c>
      <c r="U4340" s="26" t="str">
        <f>IFERROR(LEFT(I4339,FIND("*",I4339)-1),"-")</f>
        <v>-</v>
      </c>
      <c r="V4340" s="26" t="str">
        <f>IFERROR(RIGHT(I4339,LEN(I4339)-FIND("*",I4339)),"-")</f>
        <v>-</v>
      </c>
      <c r="W4340" s="27" t="str">
        <f t="shared" si="2362"/>
        <v>-</v>
      </c>
      <c r="X4340" s="27" t="str">
        <f>IFERROR(W4340*J4339,"-")</f>
        <v>-</v>
      </c>
      <c r="Z4340" s="94" t="s">
        <v>82</v>
      </c>
    </row>
    <row r="4341" spans="1:26" s="25" customFormat="1" ht="6.95" customHeight="1" x14ac:dyDescent="0.3">
      <c r="A4341" s="10"/>
      <c r="B4341" s="168"/>
      <c r="C4341" s="169"/>
      <c r="D4341" s="160"/>
      <c r="E4341" s="161"/>
      <c r="F4341" s="162"/>
      <c r="G4341" s="163"/>
      <c r="H4341" s="164"/>
      <c r="I4341" s="163"/>
      <c r="J4341" s="164"/>
      <c r="K4341" s="163"/>
      <c r="L4341" s="164"/>
      <c r="M4341" s="11"/>
      <c r="N4341" s="39"/>
      <c r="Q4341" s="15" t="str">
        <f>+CONCATENATE(E4339,K4339)</f>
        <v/>
      </c>
      <c r="R4341" s="15">
        <f>+L4339</f>
        <v>0</v>
      </c>
      <c r="S4341" s="16"/>
      <c r="T4341" s="15">
        <f>+E4339</f>
        <v>0</v>
      </c>
      <c r="U4341" s="26" t="str">
        <f>IFERROR(LEFT(K4339,FIND("*",K4339)-1),"-")</f>
        <v>-</v>
      </c>
      <c r="V4341" s="26" t="str">
        <f>IFERROR(RIGHT(K4339,LEN(K4339)-FIND("*",K4339)),"-")</f>
        <v>-</v>
      </c>
      <c r="W4341" s="27" t="str">
        <f t="shared" si="2362"/>
        <v>-</v>
      </c>
      <c r="X4341" s="27" t="str">
        <f>IFERROR(W4341*L4339,"-")</f>
        <v>-</v>
      </c>
      <c r="Z4341" s="94" t="s">
        <v>82</v>
      </c>
    </row>
    <row r="4342" spans="1:26" s="25" customFormat="1" ht="6.95" customHeight="1" x14ac:dyDescent="0.3">
      <c r="A4342" s="13"/>
      <c r="B4342" s="168"/>
      <c r="C4342" s="169"/>
      <c r="D4342" s="160" t="s">
        <v>39</v>
      </c>
      <c r="E4342" s="161"/>
      <c r="F4342" s="162" t="s">
        <v>40</v>
      </c>
      <c r="G4342" s="163"/>
      <c r="H4342" s="164"/>
      <c r="I4342" s="163"/>
      <c r="J4342" s="164"/>
      <c r="K4342" s="163"/>
      <c r="L4342" s="164"/>
      <c r="M4342" s="11"/>
      <c r="N4342" s="39"/>
      <c r="Q4342" s="15" t="str">
        <f>+CONCATENATE(E4342,G4342)</f>
        <v/>
      </c>
      <c r="R4342" s="15">
        <f>+H4342</f>
        <v>0</v>
      </c>
      <c r="S4342" s="16"/>
      <c r="T4342" s="15">
        <f>+E4342</f>
        <v>0</v>
      </c>
      <c r="U4342" s="26" t="str">
        <f t="shared" ref="U4342" si="2365">IFERROR(LEFT(G4342,FIND("*",G4342)-1),"-")</f>
        <v>-</v>
      </c>
      <c r="V4342" s="26" t="str">
        <f t="shared" ref="V4342" si="2366">IFERROR(RIGHT(G4342,LEN(G4342)-FIND("*",G4342)),"-")</f>
        <v>-</v>
      </c>
      <c r="W4342" s="27" t="str">
        <f t="shared" si="2362"/>
        <v>-</v>
      </c>
      <c r="X4342" s="27" t="str">
        <f>IFERROR(W4342*H4342,"-")</f>
        <v>-</v>
      </c>
      <c r="Z4342" s="94" t="s">
        <v>82</v>
      </c>
    </row>
    <row r="4343" spans="1:26" s="25" customFormat="1" ht="6.95" customHeight="1" x14ac:dyDescent="0.3">
      <c r="A4343" s="10"/>
      <c r="B4343" s="168"/>
      <c r="C4343" s="169"/>
      <c r="D4343" s="160"/>
      <c r="E4343" s="161"/>
      <c r="F4343" s="162"/>
      <c r="G4343" s="163"/>
      <c r="H4343" s="164"/>
      <c r="I4343" s="163"/>
      <c r="J4343" s="164"/>
      <c r="K4343" s="163"/>
      <c r="L4343" s="164"/>
      <c r="M4343" s="11"/>
      <c r="N4343" s="39"/>
      <c r="Q4343" s="15" t="str">
        <f>+CONCATENATE(E4342,I4342)</f>
        <v/>
      </c>
      <c r="R4343" s="15">
        <f>+J4342</f>
        <v>0</v>
      </c>
      <c r="S4343" s="16"/>
      <c r="T4343" s="15">
        <f>+E4342</f>
        <v>0</v>
      </c>
      <c r="U4343" s="26" t="str">
        <f>IFERROR(LEFT(I4342,FIND("*",I4342)-1),"-")</f>
        <v>-</v>
      </c>
      <c r="V4343" s="26" t="str">
        <f>IFERROR(RIGHT(I4342,LEN(I4342)-FIND("*",I4342)),"-")</f>
        <v>-</v>
      </c>
      <c r="W4343" s="27" t="str">
        <f t="shared" si="2362"/>
        <v>-</v>
      </c>
      <c r="X4343" s="27" t="str">
        <f t="shared" ref="X4343" si="2367">IFERROR(W4343*J4342,"-")</f>
        <v>-</v>
      </c>
      <c r="Z4343" s="94" t="s">
        <v>82</v>
      </c>
    </row>
    <row r="4344" spans="1:26" s="25" customFormat="1" ht="6.95" customHeight="1" x14ac:dyDescent="0.3">
      <c r="A4344" s="10"/>
      <c r="B4344" s="168"/>
      <c r="C4344" s="169"/>
      <c r="D4344" s="160"/>
      <c r="E4344" s="161"/>
      <c r="F4344" s="162"/>
      <c r="G4344" s="163"/>
      <c r="H4344" s="164"/>
      <c r="I4344" s="163"/>
      <c r="J4344" s="164"/>
      <c r="K4344" s="163"/>
      <c r="L4344" s="164"/>
      <c r="M4344" s="11"/>
      <c r="N4344" s="39"/>
      <c r="Q4344" s="15" t="str">
        <f>+CONCATENATE(E4342,K4342)</f>
        <v/>
      </c>
      <c r="R4344" s="15">
        <f>+L4342</f>
        <v>0</v>
      </c>
      <c r="S4344" s="16"/>
      <c r="T4344" s="15">
        <f>+E4342</f>
        <v>0</v>
      </c>
      <c r="U4344" s="26" t="str">
        <f>IFERROR(LEFT(K4342,FIND("*",K4342)-1),"-")</f>
        <v>-</v>
      </c>
      <c r="V4344" s="26" t="str">
        <f>IFERROR(RIGHT(K4342,LEN(K4342)-FIND("*",K4342)),"-")</f>
        <v>-</v>
      </c>
      <c r="W4344" s="27" t="str">
        <f t="shared" si="2362"/>
        <v>-</v>
      </c>
      <c r="X4344" s="27" t="str">
        <f>IFERROR(W4344*L4342,"-")</f>
        <v>-</v>
      </c>
      <c r="Z4344" s="94" t="s">
        <v>82</v>
      </c>
    </row>
    <row r="4345" spans="1:26" s="25" customFormat="1" ht="21" customHeight="1" thickBot="1" x14ac:dyDescent="0.35">
      <c r="A4345" s="10"/>
      <c r="B4345" s="170"/>
      <c r="C4345" s="171"/>
      <c r="D4345" s="172" t="s">
        <v>43</v>
      </c>
      <c r="E4345" s="173"/>
      <c r="F4345" s="173"/>
      <c r="G4345" s="174"/>
      <c r="H4345" s="174"/>
      <c r="I4345" s="174"/>
      <c r="J4345" s="174"/>
      <c r="K4345" s="174"/>
      <c r="L4345" s="174"/>
      <c r="M4345" s="12"/>
      <c r="N4345" s="39"/>
      <c r="U4345" s="23"/>
      <c r="V4345" s="23"/>
      <c r="Z4345" s="95" t="s">
        <v>81</v>
      </c>
    </row>
    <row r="4346" spans="1:26" s="25" customFormat="1" ht="9.9499999999999993" customHeight="1" thickBot="1" x14ac:dyDescent="0.35">
      <c r="A4346" s="6"/>
      <c r="B4346" s="14"/>
      <c r="C4346" s="119"/>
      <c r="D4346" s="58"/>
      <c r="E4346" s="17"/>
      <c r="F4346" s="58"/>
      <c r="G4346" s="19"/>
      <c r="H4346" s="19"/>
      <c r="I4346" s="19"/>
      <c r="J4346" s="19"/>
      <c r="K4346" s="19"/>
      <c r="L4346" s="19"/>
      <c r="M4346" s="14"/>
      <c r="N4346" s="39"/>
      <c r="Q4346" s="1"/>
      <c r="R4346" s="1"/>
      <c r="S4346" s="1"/>
      <c r="T4346" s="1"/>
      <c r="U4346" s="24"/>
      <c r="V4346" s="24"/>
      <c r="W4346" s="1"/>
      <c r="X4346" s="1"/>
      <c r="Z4346" s="94" t="s">
        <v>82</v>
      </c>
    </row>
    <row r="4347" spans="1:26" s="25" customFormat="1" ht="6.95" customHeight="1" x14ac:dyDescent="0.3">
      <c r="A4347" s="165">
        <f>+A4336+1</f>
        <v>396</v>
      </c>
      <c r="B4347" s="166"/>
      <c r="C4347" s="167"/>
      <c r="D4347" s="160" t="s">
        <v>39</v>
      </c>
      <c r="E4347" s="161"/>
      <c r="F4347" s="162" t="s">
        <v>40</v>
      </c>
      <c r="G4347" s="163"/>
      <c r="H4347" s="164"/>
      <c r="I4347" s="163"/>
      <c r="J4347" s="164"/>
      <c r="K4347" s="163"/>
      <c r="L4347" s="164"/>
      <c r="M4347" s="11"/>
      <c r="N4347" s="39"/>
      <c r="Q4347" s="15" t="str">
        <f>+CONCATENATE(E4347,G4347)</f>
        <v/>
      </c>
      <c r="R4347" s="15">
        <f>+H4347</f>
        <v>0</v>
      </c>
      <c r="S4347" s="16"/>
      <c r="T4347" s="15">
        <f>+E4347</f>
        <v>0</v>
      </c>
      <c r="U4347" s="26" t="str">
        <f>IFERROR(LEFT(G4347,FIND("*",G4347)-1),"-")</f>
        <v>-</v>
      </c>
      <c r="V4347" s="26" t="str">
        <f>IFERROR(RIGHT(G4347,LEN(G4347)-FIND("*",G4347)),"-")</f>
        <v>-</v>
      </c>
      <c r="W4347" s="27" t="str">
        <f>IFERROR((U4347+V4347)*2/1000,"-")</f>
        <v>-</v>
      </c>
      <c r="X4347" s="27" t="str">
        <f>IFERROR(W4347*H4347,"-")</f>
        <v>-</v>
      </c>
      <c r="Z4347" s="94" t="s">
        <v>82</v>
      </c>
    </row>
    <row r="4348" spans="1:26" s="25" customFormat="1" ht="6.95" customHeight="1" x14ac:dyDescent="0.3">
      <c r="A4348" s="165"/>
      <c r="B4348" s="168"/>
      <c r="C4348" s="169"/>
      <c r="D4348" s="160"/>
      <c r="E4348" s="161"/>
      <c r="F4348" s="162"/>
      <c r="G4348" s="163"/>
      <c r="H4348" s="164"/>
      <c r="I4348" s="163"/>
      <c r="J4348" s="164"/>
      <c r="K4348" s="163"/>
      <c r="L4348" s="164"/>
      <c r="M4348" s="11"/>
      <c r="N4348" s="39"/>
      <c r="Q4348" s="15" t="str">
        <f>+CONCATENATE(E4347,I4347)</f>
        <v/>
      </c>
      <c r="R4348" s="15">
        <f>+J4347</f>
        <v>0</v>
      </c>
      <c r="S4348" s="16"/>
      <c r="T4348" s="15">
        <f>+E4347</f>
        <v>0</v>
      </c>
      <c r="U4348" s="26" t="str">
        <f>IFERROR(LEFT(I4347,FIND("*",I4347)-1),"-")</f>
        <v>-</v>
      </c>
      <c r="V4348" s="26" t="str">
        <f>IFERROR(RIGHT(I4347,LEN(I4347)-FIND("*",I4347)),"-")</f>
        <v>-</v>
      </c>
      <c r="W4348" s="27" t="str">
        <f t="shared" ref="W4348:W4355" si="2368">IFERROR((U4348+V4348)*2/1000,"-")</f>
        <v>-</v>
      </c>
      <c r="X4348" s="27" t="str">
        <f>IFERROR(W4348*J4347,"-")</f>
        <v>-</v>
      </c>
      <c r="Z4348" s="94" t="s">
        <v>82</v>
      </c>
    </row>
    <row r="4349" spans="1:26" s="25" customFormat="1" ht="6.95" customHeight="1" x14ac:dyDescent="0.3">
      <c r="A4349" s="165"/>
      <c r="B4349" s="168"/>
      <c r="C4349" s="169"/>
      <c r="D4349" s="160"/>
      <c r="E4349" s="161"/>
      <c r="F4349" s="162"/>
      <c r="G4349" s="163"/>
      <c r="H4349" s="164"/>
      <c r="I4349" s="163"/>
      <c r="J4349" s="164"/>
      <c r="K4349" s="163"/>
      <c r="L4349" s="164"/>
      <c r="M4349" s="11"/>
      <c r="N4349" s="39"/>
      <c r="Q4349" s="15" t="str">
        <f>+CONCATENATE(E4347,K4347)</f>
        <v/>
      </c>
      <c r="R4349" s="15">
        <f>+L4347</f>
        <v>0</v>
      </c>
      <c r="S4349" s="16"/>
      <c r="T4349" s="15">
        <f>+E4347</f>
        <v>0</v>
      </c>
      <c r="U4349" s="26" t="str">
        <f>IFERROR(LEFT(K4347,FIND("*",K4347)-1),"-")</f>
        <v>-</v>
      </c>
      <c r="V4349" s="26" t="str">
        <f>IFERROR(RIGHT(K4347,LEN(K4347)-FIND("*",K4347)),"-")</f>
        <v>-</v>
      </c>
      <c r="W4349" s="27" t="str">
        <f t="shared" si="2368"/>
        <v>-</v>
      </c>
      <c r="X4349" s="27" t="str">
        <f>IFERROR(W4349*L4347,"-")</f>
        <v>-</v>
      </c>
      <c r="Z4349" s="94" t="s">
        <v>82</v>
      </c>
    </row>
    <row r="4350" spans="1:26" s="25" customFormat="1" ht="6.95" customHeight="1" x14ac:dyDescent="0.3">
      <c r="A4350" s="13"/>
      <c r="B4350" s="168"/>
      <c r="C4350" s="169"/>
      <c r="D4350" s="160" t="s">
        <v>39</v>
      </c>
      <c r="E4350" s="161"/>
      <c r="F4350" s="162" t="s">
        <v>40</v>
      </c>
      <c r="G4350" s="163"/>
      <c r="H4350" s="164"/>
      <c r="I4350" s="163"/>
      <c r="J4350" s="164"/>
      <c r="K4350" s="163"/>
      <c r="L4350" s="164"/>
      <c r="M4350" s="11"/>
      <c r="N4350" s="39"/>
      <c r="Q4350" s="15" t="str">
        <f>+CONCATENATE(E4350,G4350)</f>
        <v/>
      </c>
      <c r="R4350" s="15">
        <f>+H4350</f>
        <v>0</v>
      </c>
      <c r="S4350" s="16"/>
      <c r="T4350" s="15">
        <f>+E4350</f>
        <v>0</v>
      </c>
      <c r="U4350" s="26" t="str">
        <f t="shared" ref="U4350" si="2369">IFERROR(LEFT(G4350,FIND("*",G4350)-1),"-")</f>
        <v>-</v>
      </c>
      <c r="V4350" s="26" t="str">
        <f t="shared" ref="V4350" si="2370">IFERROR(RIGHT(G4350,LEN(G4350)-FIND("*",G4350)),"-")</f>
        <v>-</v>
      </c>
      <c r="W4350" s="27" t="str">
        <f t="shared" si="2368"/>
        <v>-</v>
      </c>
      <c r="X4350" s="27" t="str">
        <f>IFERROR(W4350*H4350,"-")</f>
        <v>-</v>
      </c>
      <c r="Z4350" s="94" t="s">
        <v>82</v>
      </c>
    </row>
    <row r="4351" spans="1:26" s="25" customFormat="1" ht="6.95" customHeight="1" x14ac:dyDescent="0.3">
      <c r="A4351" s="10"/>
      <c r="B4351" s="168"/>
      <c r="C4351" s="169"/>
      <c r="D4351" s="160"/>
      <c r="E4351" s="161"/>
      <c r="F4351" s="162"/>
      <c r="G4351" s="163"/>
      <c r="H4351" s="164"/>
      <c r="I4351" s="163"/>
      <c r="J4351" s="164"/>
      <c r="K4351" s="163"/>
      <c r="L4351" s="164"/>
      <c r="M4351" s="11"/>
      <c r="N4351" s="39"/>
      <c r="Q4351" s="15" t="str">
        <f>+CONCATENATE(E4350,I4350)</f>
        <v/>
      </c>
      <c r="R4351" s="15">
        <f>+J4350</f>
        <v>0</v>
      </c>
      <c r="S4351" s="16"/>
      <c r="T4351" s="15">
        <f>+E4350</f>
        <v>0</v>
      </c>
      <c r="U4351" s="26" t="str">
        <f>IFERROR(LEFT(I4350,FIND("*",I4350)-1),"-")</f>
        <v>-</v>
      </c>
      <c r="V4351" s="26" t="str">
        <f>IFERROR(RIGHT(I4350,LEN(I4350)-FIND("*",I4350)),"-")</f>
        <v>-</v>
      </c>
      <c r="W4351" s="27" t="str">
        <f t="shared" si="2368"/>
        <v>-</v>
      </c>
      <c r="X4351" s="27" t="str">
        <f>IFERROR(W4351*J4350,"-")</f>
        <v>-</v>
      </c>
      <c r="Z4351" s="94" t="s">
        <v>82</v>
      </c>
    </row>
    <row r="4352" spans="1:26" s="25" customFormat="1" ht="6.95" customHeight="1" x14ac:dyDescent="0.3">
      <c r="A4352" s="10"/>
      <c r="B4352" s="168"/>
      <c r="C4352" s="169"/>
      <c r="D4352" s="160"/>
      <c r="E4352" s="161"/>
      <c r="F4352" s="162"/>
      <c r="G4352" s="163"/>
      <c r="H4352" s="164"/>
      <c r="I4352" s="163"/>
      <c r="J4352" s="164"/>
      <c r="K4352" s="163"/>
      <c r="L4352" s="164"/>
      <c r="M4352" s="11"/>
      <c r="N4352" s="39"/>
      <c r="Q4352" s="15" t="str">
        <f>+CONCATENATE(E4350,K4350)</f>
        <v/>
      </c>
      <c r="R4352" s="15">
        <f>+L4350</f>
        <v>0</v>
      </c>
      <c r="S4352" s="16"/>
      <c r="T4352" s="15">
        <f>+E4350</f>
        <v>0</v>
      </c>
      <c r="U4352" s="26" t="str">
        <f>IFERROR(LEFT(K4350,FIND("*",K4350)-1),"-")</f>
        <v>-</v>
      </c>
      <c r="V4352" s="26" t="str">
        <f>IFERROR(RIGHT(K4350,LEN(K4350)-FIND("*",K4350)),"-")</f>
        <v>-</v>
      </c>
      <c r="W4352" s="27" t="str">
        <f t="shared" si="2368"/>
        <v>-</v>
      </c>
      <c r="X4352" s="27" t="str">
        <f>IFERROR(W4352*L4350,"-")</f>
        <v>-</v>
      </c>
      <c r="Z4352" s="94" t="s">
        <v>82</v>
      </c>
    </row>
    <row r="4353" spans="1:26" s="25" customFormat="1" ht="6.95" customHeight="1" x14ac:dyDescent="0.3">
      <c r="A4353" s="13"/>
      <c r="B4353" s="168"/>
      <c r="C4353" s="169"/>
      <c r="D4353" s="160" t="s">
        <v>39</v>
      </c>
      <c r="E4353" s="161"/>
      <c r="F4353" s="162" t="s">
        <v>40</v>
      </c>
      <c r="G4353" s="163"/>
      <c r="H4353" s="164"/>
      <c r="I4353" s="163"/>
      <c r="J4353" s="164"/>
      <c r="K4353" s="163"/>
      <c r="L4353" s="164"/>
      <c r="M4353" s="11"/>
      <c r="N4353" s="39"/>
      <c r="Q4353" s="15" t="str">
        <f>+CONCATENATE(E4353,G4353)</f>
        <v/>
      </c>
      <c r="R4353" s="15">
        <f>+H4353</f>
        <v>0</v>
      </c>
      <c r="S4353" s="16"/>
      <c r="T4353" s="15">
        <f>+E4353</f>
        <v>0</v>
      </c>
      <c r="U4353" s="26" t="str">
        <f t="shared" ref="U4353" si="2371">IFERROR(LEFT(G4353,FIND("*",G4353)-1),"-")</f>
        <v>-</v>
      </c>
      <c r="V4353" s="26" t="str">
        <f t="shared" ref="V4353" si="2372">IFERROR(RIGHT(G4353,LEN(G4353)-FIND("*",G4353)),"-")</f>
        <v>-</v>
      </c>
      <c r="W4353" s="27" t="str">
        <f t="shared" si="2368"/>
        <v>-</v>
      </c>
      <c r="X4353" s="27" t="str">
        <f>IFERROR(W4353*H4353,"-")</f>
        <v>-</v>
      </c>
      <c r="Z4353" s="94" t="s">
        <v>82</v>
      </c>
    </row>
    <row r="4354" spans="1:26" s="25" customFormat="1" ht="6.95" customHeight="1" x14ac:dyDescent="0.3">
      <c r="A4354" s="10"/>
      <c r="B4354" s="168"/>
      <c r="C4354" s="169"/>
      <c r="D4354" s="160"/>
      <c r="E4354" s="161"/>
      <c r="F4354" s="162"/>
      <c r="G4354" s="163"/>
      <c r="H4354" s="164"/>
      <c r="I4354" s="163"/>
      <c r="J4354" s="164"/>
      <c r="K4354" s="163"/>
      <c r="L4354" s="164"/>
      <c r="M4354" s="11"/>
      <c r="N4354" s="39"/>
      <c r="Q4354" s="15" t="str">
        <f>+CONCATENATE(E4353,I4353)</f>
        <v/>
      </c>
      <c r="R4354" s="15">
        <f>+J4353</f>
        <v>0</v>
      </c>
      <c r="S4354" s="16"/>
      <c r="T4354" s="15">
        <f>+E4353</f>
        <v>0</v>
      </c>
      <c r="U4354" s="26" t="str">
        <f>IFERROR(LEFT(I4353,FIND("*",I4353)-1),"-")</f>
        <v>-</v>
      </c>
      <c r="V4354" s="26" t="str">
        <f>IFERROR(RIGHT(I4353,LEN(I4353)-FIND("*",I4353)),"-")</f>
        <v>-</v>
      </c>
      <c r="W4354" s="27" t="str">
        <f t="shared" si="2368"/>
        <v>-</v>
      </c>
      <c r="X4354" s="27" t="str">
        <f t="shared" ref="X4354" si="2373">IFERROR(W4354*J4353,"-")</f>
        <v>-</v>
      </c>
      <c r="Z4354" s="94" t="s">
        <v>82</v>
      </c>
    </row>
    <row r="4355" spans="1:26" s="25" customFormat="1" ht="6.95" customHeight="1" x14ac:dyDescent="0.3">
      <c r="A4355" s="10"/>
      <c r="B4355" s="168"/>
      <c r="C4355" s="169"/>
      <c r="D4355" s="160"/>
      <c r="E4355" s="161"/>
      <c r="F4355" s="162"/>
      <c r="G4355" s="163"/>
      <c r="H4355" s="164"/>
      <c r="I4355" s="163"/>
      <c r="J4355" s="164"/>
      <c r="K4355" s="163"/>
      <c r="L4355" s="164"/>
      <c r="M4355" s="11"/>
      <c r="N4355" s="39"/>
      <c r="Q4355" s="15" t="str">
        <f>+CONCATENATE(E4353,K4353)</f>
        <v/>
      </c>
      <c r="R4355" s="15">
        <f>+L4353</f>
        <v>0</v>
      </c>
      <c r="S4355" s="16"/>
      <c r="T4355" s="15">
        <f>+E4353</f>
        <v>0</v>
      </c>
      <c r="U4355" s="26" t="str">
        <f>IFERROR(LEFT(K4353,FIND("*",K4353)-1),"-")</f>
        <v>-</v>
      </c>
      <c r="V4355" s="26" t="str">
        <f>IFERROR(RIGHT(K4353,LEN(K4353)-FIND("*",K4353)),"-")</f>
        <v>-</v>
      </c>
      <c r="W4355" s="27" t="str">
        <f t="shared" si="2368"/>
        <v>-</v>
      </c>
      <c r="X4355" s="27" t="str">
        <f>IFERROR(W4355*L4353,"-")</f>
        <v>-</v>
      </c>
      <c r="Z4355" s="94" t="s">
        <v>82</v>
      </c>
    </row>
    <row r="4356" spans="1:26" s="25" customFormat="1" ht="21" customHeight="1" thickBot="1" x14ac:dyDescent="0.35">
      <c r="A4356" s="10"/>
      <c r="B4356" s="170"/>
      <c r="C4356" s="171"/>
      <c r="D4356" s="172" t="s">
        <v>43</v>
      </c>
      <c r="E4356" s="173"/>
      <c r="F4356" s="173"/>
      <c r="G4356" s="174"/>
      <c r="H4356" s="174"/>
      <c r="I4356" s="174"/>
      <c r="J4356" s="174"/>
      <c r="K4356" s="174"/>
      <c r="L4356" s="174"/>
      <c r="M4356" s="12"/>
      <c r="N4356" s="39"/>
      <c r="U4356" s="23"/>
      <c r="V4356" s="23"/>
      <c r="Z4356" s="95" t="s">
        <v>81</v>
      </c>
    </row>
    <row r="4357" spans="1:26" s="25" customFormat="1" ht="9.9499999999999993" customHeight="1" thickBot="1" x14ac:dyDescent="0.35">
      <c r="A4357" s="6"/>
      <c r="B4357" s="14"/>
      <c r="C4357" s="119"/>
      <c r="D4357" s="58"/>
      <c r="E4357" s="17"/>
      <c r="F4357" s="58"/>
      <c r="G4357" s="19"/>
      <c r="H4357" s="19"/>
      <c r="I4357" s="19"/>
      <c r="J4357" s="19"/>
      <c r="K4357" s="19"/>
      <c r="L4357" s="19"/>
      <c r="M4357" s="14"/>
      <c r="N4357" s="39"/>
      <c r="Q4357" s="1"/>
      <c r="R4357" s="1"/>
      <c r="S4357" s="1"/>
      <c r="T4357" s="1"/>
      <c r="U4357" s="24"/>
      <c r="V4357" s="24"/>
      <c r="W4357" s="1"/>
      <c r="X4357" s="1"/>
      <c r="Z4357" s="94" t="s">
        <v>82</v>
      </c>
    </row>
    <row r="4358" spans="1:26" s="25" customFormat="1" ht="6.95" customHeight="1" x14ac:dyDescent="0.3">
      <c r="A4358" s="165">
        <f>+A4347+1</f>
        <v>397</v>
      </c>
      <c r="B4358" s="166"/>
      <c r="C4358" s="167"/>
      <c r="D4358" s="160" t="s">
        <v>39</v>
      </c>
      <c r="E4358" s="161"/>
      <c r="F4358" s="162" t="s">
        <v>40</v>
      </c>
      <c r="G4358" s="163"/>
      <c r="H4358" s="164"/>
      <c r="I4358" s="163"/>
      <c r="J4358" s="164"/>
      <c r="K4358" s="163"/>
      <c r="L4358" s="164"/>
      <c r="M4358" s="11"/>
      <c r="N4358" s="39"/>
      <c r="Q4358" s="15" t="str">
        <f>+CONCATENATE(E4358,G4358)</f>
        <v/>
      </c>
      <c r="R4358" s="15">
        <f>+H4358</f>
        <v>0</v>
      </c>
      <c r="S4358" s="16"/>
      <c r="T4358" s="15">
        <f>+E4358</f>
        <v>0</v>
      </c>
      <c r="U4358" s="26" t="str">
        <f>IFERROR(LEFT(G4358,FIND("*",G4358)-1),"-")</f>
        <v>-</v>
      </c>
      <c r="V4358" s="26" t="str">
        <f>IFERROR(RIGHT(G4358,LEN(G4358)-FIND("*",G4358)),"-")</f>
        <v>-</v>
      </c>
      <c r="W4358" s="27" t="str">
        <f>IFERROR((U4358+V4358)*2/1000,"-")</f>
        <v>-</v>
      </c>
      <c r="X4358" s="27" t="str">
        <f>IFERROR(W4358*H4358,"-")</f>
        <v>-</v>
      </c>
      <c r="Z4358" s="94" t="s">
        <v>82</v>
      </c>
    </row>
    <row r="4359" spans="1:26" s="25" customFormat="1" ht="6.95" customHeight="1" x14ac:dyDescent="0.3">
      <c r="A4359" s="165"/>
      <c r="B4359" s="168"/>
      <c r="C4359" s="169"/>
      <c r="D4359" s="160"/>
      <c r="E4359" s="161"/>
      <c r="F4359" s="162"/>
      <c r="G4359" s="163"/>
      <c r="H4359" s="164"/>
      <c r="I4359" s="163"/>
      <c r="J4359" s="164"/>
      <c r="K4359" s="163"/>
      <c r="L4359" s="164"/>
      <c r="M4359" s="11"/>
      <c r="N4359" s="39"/>
      <c r="Q4359" s="15" t="str">
        <f>+CONCATENATE(E4358,I4358)</f>
        <v/>
      </c>
      <c r="R4359" s="15">
        <f>+J4358</f>
        <v>0</v>
      </c>
      <c r="S4359" s="16"/>
      <c r="T4359" s="15">
        <f>+E4358</f>
        <v>0</v>
      </c>
      <c r="U4359" s="26" t="str">
        <f>IFERROR(LEFT(I4358,FIND("*",I4358)-1),"-")</f>
        <v>-</v>
      </c>
      <c r="V4359" s="26" t="str">
        <f>IFERROR(RIGHT(I4358,LEN(I4358)-FIND("*",I4358)),"-")</f>
        <v>-</v>
      </c>
      <c r="W4359" s="27" t="str">
        <f t="shared" ref="W4359:W4366" si="2374">IFERROR((U4359+V4359)*2/1000,"-")</f>
        <v>-</v>
      </c>
      <c r="X4359" s="27" t="str">
        <f>IFERROR(W4359*J4358,"-")</f>
        <v>-</v>
      </c>
      <c r="Z4359" s="94" t="s">
        <v>82</v>
      </c>
    </row>
    <row r="4360" spans="1:26" s="25" customFormat="1" ht="6.95" customHeight="1" x14ac:dyDescent="0.3">
      <c r="A4360" s="165"/>
      <c r="B4360" s="168"/>
      <c r="C4360" s="169"/>
      <c r="D4360" s="160"/>
      <c r="E4360" s="161"/>
      <c r="F4360" s="162"/>
      <c r="G4360" s="163"/>
      <c r="H4360" s="164"/>
      <c r="I4360" s="163"/>
      <c r="J4360" s="164"/>
      <c r="K4360" s="163"/>
      <c r="L4360" s="164"/>
      <c r="M4360" s="11"/>
      <c r="N4360" s="39"/>
      <c r="Q4360" s="15" t="str">
        <f>+CONCATENATE(E4358,K4358)</f>
        <v/>
      </c>
      <c r="R4360" s="15">
        <f>+L4358</f>
        <v>0</v>
      </c>
      <c r="S4360" s="16"/>
      <c r="T4360" s="15">
        <f>+E4358</f>
        <v>0</v>
      </c>
      <c r="U4360" s="26" t="str">
        <f>IFERROR(LEFT(K4358,FIND("*",K4358)-1),"-")</f>
        <v>-</v>
      </c>
      <c r="V4360" s="26" t="str">
        <f>IFERROR(RIGHT(K4358,LEN(K4358)-FIND("*",K4358)),"-")</f>
        <v>-</v>
      </c>
      <c r="W4360" s="27" t="str">
        <f t="shared" si="2374"/>
        <v>-</v>
      </c>
      <c r="X4360" s="27" t="str">
        <f>IFERROR(W4360*L4358,"-")</f>
        <v>-</v>
      </c>
      <c r="Z4360" s="94" t="s">
        <v>82</v>
      </c>
    </row>
    <row r="4361" spans="1:26" s="25" customFormat="1" ht="6.95" customHeight="1" x14ac:dyDescent="0.3">
      <c r="A4361" s="13"/>
      <c r="B4361" s="168"/>
      <c r="C4361" s="169"/>
      <c r="D4361" s="160" t="s">
        <v>39</v>
      </c>
      <c r="E4361" s="161"/>
      <c r="F4361" s="162" t="s">
        <v>40</v>
      </c>
      <c r="G4361" s="163"/>
      <c r="H4361" s="164"/>
      <c r="I4361" s="163"/>
      <c r="J4361" s="164"/>
      <c r="K4361" s="163"/>
      <c r="L4361" s="164"/>
      <c r="M4361" s="11"/>
      <c r="N4361" s="39"/>
      <c r="Q4361" s="15" t="str">
        <f>+CONCATENATE(E4361,G4361)</f>
        <v/>
      </c>
      <c r="R4361" s="15">
        <f>+H4361</f>
        <v>0</v>
      </c>
      <c r="S4361" s="16"/>
      <c r="T4361" s="15">
        <f>+E4361</f>
        <v>0</v>
      </c>
      <c r="U4361" s="26" t="str">
        <f t="shared" ref="U4361" si="2375">IFERROR(LEFT(G4361,FIND("*",G4361)-1),"-")</f>
        <v>-</v>
      </c>
      <c r="V4361" s="26" t="str">
        <f t="shared" ref="V4361" si="2376">IFERROR(RIGHT(G4361,LEN(G4361)-FIND("*",G4361)),"-")</f>
        <v>-</v>
      </c>
      <c r="W4361" s="27" t="str">
        <f t="shared" si="2374"/>
        <v>-</v>
      </c>
      <c r="X4361" s="27" t="str">
        <f>IFERROR(W4361*H4361,"-")</f>
        <v>-</v>
      </c>
      <c r="Z4361" s="94" t="s">
        <v>82</v>
      </c>
    </row>
    <row r="4362" spans="1:26" s="25" customFormat="1" ht="6.95" customHeight="1" x14ac:dyDescent="0.3">
      <c r="A4362" s="10"/>
      <c r="B4362" s="168"/>
      <c r="C4362" s="169"/>
      <c r="D4362" s="160"/>
      <c r="E4362" s="161"/>
      <c r="F4362" s="162"/>
      <c r="G4362" s="163"/>
      <c r="H4362" s="164"/>
      <c r="I4362" s="163"/>
      <c r="J4362" s="164"/>
      <c r="K4362" s="163"/>
      <c r="L4362" s="164"/>
      <c r="M4362" s="11"/>
      <c r="N4362" s="39"/>
      <c r="Q4362" s="15" t="str">
        <f>+CONCATENATE(E4361,I4361)</f>
        <v/>
      </c>
      <c r="R4362" s="15">
        <f>+J4361</f>
        <v>0</v>
      </c>
      <c r="S4362" s="16"/>
      <c r="T4362" s="15">
        <f>+E4361</f>
        <v>0</v>
      </c>
      <c r="U4362" s="26" t="str">
        <f>IFERROR(LEFT(I4361,FIND("*",I4361)-1),"-")</f>
        <v>-</v>
      </c>
      <c r="V4362" s="26" t="str">
        <f>IFERROR(RIGHT(I4361,LEN(I4361)-FIND("*",I4361)),"-")</f>
        <v>-</v>
      </c>
      <c r="W4362" s="27" t="str">
        <f t="shared" si="2374"/>
        <v>-</v>
      </c>
      <c r="X4362" s="27" t="str">
        <f>IFERROR(W4362*J4361,"-")</f>
        <v>-</v>
      </c>
      <c r="Z4362" s="94" t="s">
        <v>82</v>
      </c>
    </row>
    <row r="4363" spans="1:26" s="25" customFormat="1" ht="6.95" customHeight="1" x14ac:dyDescent="0.3">
      <c r="A4363" s="10"/>
      <c r="B4363" s="168"/>
      <c r="C4363" s="169"/>
      <c r="D4363" s="160"/>
      <c r="E4363" s="161"/>
      <c r="F4363" s="162"/>
      <c r="G4363" s="163"/>
      <c r="H4363" s="164"/>
      <c r="I4363" s="163"/>
      <c r="J4363" s="164"/>
      <c r="K4363" s="163"/>
      <c r="L4363" s="164"/>
      <c r="M4363" s="11"/>
      <c r="N4363" s="39"/>
      <c r="Q4363" s="15" t="str">
        <f>+CONCATENATE(E4361,K4361)</f>
        <v/>
      </c>
      <c r="R4363" s="15">
        <f>+L4361</f>
        <v>0</v>
      </c>
      <c r="S4363" s="16"/>
      <c r="T4363" s="15">
        <f>+E4361</f>
        <v>0</v>
      </c>
      <c r="U4363" s="26" t="str">
        <f>IFERROR(LEFT(K4361,FIND("*",K4361)-1),"-")</f>
        <v>-</v>
      </c>
      <c r="V4363" s="26" t="str">
        <f>IFERROR(RIGHT(K4361,LEN(K4361)-FIND("*",K4361)),"-")</f>
        <v>-</v>
      </c>
      <c r="W4363" s="27" t="str">
        <f t="shared" si="2374"/>
        <v>-</v>
      </c>
      <c r="X4363" s="27" t="str">
        <f>IFERROR(W4363*L4361,"-")</f>
        <v>-</v>
      </c>
      <c r="Z4363" s="94" t="s">
        <v>82</v>
      </c>
    </row>
    <row r="4364" spans="1:26" s="25" customFormat="1" ht="6.95" customHeight="1" x14ac:dyDescent="0.3">
      <c r="A4364" s="13"/>
      <c r="B4364" s="168"/>
      <c r="C4364" s="169"/>
      <c r="D4364" s="160" t="s">
        <v>39</v>
      </c>
      <c r="E4364" s="161"/>
      <c r="F4364" s="162" t="s">
        <v>40</v>
      </c>
      <c r="G4364" s="163"/>
      <c r="H4364" s="164"/>
      <c r="I4364" s="163"/>
      <c r="J4364" s="164"/>
      <c r="K4364" s="163"/>
      <c r="L4364" s="164"/>
      <c r="M4364" s="11"/>
      <c r="N4364" s="39"/>
      <c r="Q4364" s="15" t="str">
        <f>+CONCATENATE(E4364,G4364)</f>
        <v/>
      </c>
      <c r="R4364" s="15">
        <f>+H4364</f>
        <v>0</v>
      </c>
      <c r="S4364" s="16"/>
      <c r="T4364" s="15">
        <f>+E4364</f>
        <v>0</v>
      </c>
      <c r="U4364" s="26" t="str">
        <f t="shared" ref="U4364" si="2377">IFERROR(LEFT(G4364,FIND("*",G4364)-1),"-")</f>
        <v>-</v>
      </c>
      <c r="V4364" s="26" t="str">
        <f t="shared" ref="V4364" si="2378">IFERROR(RIGHT(G4364,LEN(G4364)-FIND("*",G4364)),"-")</f>
        <v>-</v>
      </c>
      <c r="W4364" s="27" t="str">
        <f t="shared" si="2374"/>
        <v>-</v>
      </c>
      <c r="X4364" s="27" t="str">
        <f>IFERROR(W4364*H4364,"-")</f>
        <v>-</v>
      </c>
      <c r="Z4364" s="94" t="s">
        <v>82</v>
      </c>
    </row>
    <row r="4365" spans="1:26" s="25" customFormat="1" ht="6.95" customHeight="1" x14ac:dyDescent="0.3">
      <c r="A4365" s="10"/>
      <c r="B4365" s="168"/>
      <c r="C4365" s="169"/>
      <c r="D4365" s="160"/>
      <c r="E4365" s="161"/>
      <c r="F4365" s="162"/>
      <c r="G4365" s="163"/>
      <c r="H4365" s="164"/>
      <c r="I4365" s="163"/>
      <c r="J4365" s="164"/>
      <c r="K4365" s="163"/>
      <c r="L4365" s="164"/>
      <c r="M4365" s="11"/>
      <c r="N4365" s="39"/>
      <c r="Q4365" s="15" t="str">
        <f>+CONCATENATE(E4364,I4364)</f>
        <v/>
      </c>
      <c r="R4365" s="15">
        <f>+J4364</f>
        <v>0</v>
      </c>
      <c r="S4365" s="16"/>
      <c r="T4365" s="15">
        <f>+E4364</f>
        <v>0</v>
      </c>
      <c r="U4365" s="26" t="str">
        <f>IFERROR(LEFT(I4364,FIND("*",I4364)-1),"-")</f>
        <v>-</v>
      </c>
      <c r="V4365" s="26" t="str">
        <f>IFERROR(RIGHT(I4364,LEN(I4364)-FIND("*",I4364)),"-")</f>
        <v>-</v>
      </c>
      <c r="W4365" s="27" t="str">
        <f t="shared" si="2374"/>
        <v>-</v>
      </c>
      <c r="X4365" s="27" t="str">
        <f t="shared" ref="X4365" si="2379">IFERROR(W4365*J4364,"-")</f>
        <v>-</v>
      </c>
      <c r="Z4365" s="94" t="s">
        <v>82</v>
      </c>
    </row>
    <row r="4366" spans="1:26" s="25" customFormat="1" ht="6.95" customHeight="1" x14ac:dyDescent="0.3">
      <c r="A4366" s="10"/>
      <c r="B4366" s="168"/>
      <c r="C4366" s="169"/>
      <c r="D4366" s="160"/>
      <c r="E4366" s="161"/>
      <c r="F4366" s="162"/>
      <c r="G4366" s="163"/>
      <c r="H4366" s="164"/>
      <c r="I4366" s="163"/>
      <c r="J4366" s="164"/>
      <c r="K4366" s="163"/>
      <c r="L4366" s="164"/>
      <c r="M4366" s="11"/>
      <c r="N4366" s="39"/>
      <c r="Q4366" s="15" t="str">
        <f>+CONCATENATE(E4364,K4364)</f>
        <v/>
      </c>
      <c r="R4366" s="15">
        <f>+L4364</f>
        <v>0</v>
      </c>
      <c r="S4366" s="16"/>
      <c r="T4366" s="15">
        <f>+E4364</f>
        <v>0</v>
      </c>
      <c r="U4366" s="26" t="str">
        <f>IFERROR(LEFT(K4364,FIND("*",K4364)-1),"-")</f>
        <v>-</v>
      </c>
      <c r="V4366" s="26" t="str">
        <f>IFERROR(RIGHT(K4364,LEN(K4364)-FIND("*",K4364)),"-")</f>
        <v>-</v>
      </c>
      <c r="W4366" s="27" t="str">
        <f t="shared" si="2374"/>
        <v>-</v>
      </c>
      <c r="X4366" s="27" t="str">
        <f>IFERROR(W4366*L4364,"-")</f>
        <v>-</v>
      </c>
      <c r="Z4366" s="94" t="s">
        <v>82</v>
      </c>
    </row>
    <row r="4367" spans="1:26" s="25" customFormat="1" ht="21" customHeight="1" thickBot="1" x14ac:dyDescent="0.35">
      <c r="A4367" s="10"/>
      <c r="B4367" s="170"/>
      <c r="C4367" s="171"/>
      <c r="D4367" s="172" t="s">
        <v>43</v>
      </c>
      <c r="E4367" s="173"/>
      <c r="F4367" s="173"/>
      <c r="G4367" s="174"/>
      <c r="H4367" s="174"/>
      <c r="I4367" s="174"/>
      <c r="J4367" s="174"/>
      <c r="K4367" s="174"/>
      <c r="L4367" s="174"/>
      <c r="M4367" s="12"/>
      <c r="N4367" s="39"/>
      <c r="U4367" s="23"/>
      <c r="V4367" s="23"/>
      <c r="Z4367" s="95" t="s">
        <v>81</v>
      </c>
    </row>
    <row r="4368" spans="1:26" s="25" customFormat="1" ht="9.9499999999999993" customHeight="1" thickBot="1" x14ac:dyDescent="0.35">
      <c r="A4368" s="6"/>
      <c r="B4368" s="14"/>
      <c r="C4368" s="119"/>
      <c r="D4368" s="58"/>
      <c r="E4368" s="17"/>
      <c r="F4368" s="58"/>
      <c r="G4368" s="19"/>
      <c r="H4368" s="19"/>
      <c r="I4368" s="19"/>
      <c r="J4368" s="19"/>
      <c r="K4368" s="19"/>
      <c r="L4368" s="19"/>
      <c r="M4368" s="14"/>
      <c r="N4368" s="39"/>
      <c r="Q4368" s="1"/>
      <c r="R4368" s="1"/>
      <c r="S4368" s="1"/>
      <c r="T4368" s="1"/>
      <c r="U4368" s="24"/>
      <c r="V4368" s="24"/>
      <c r="W4368" s="1"/>
      <c r="X4368" s="1"/>
      <c r="Z4368" s="94" t="s">
        <v>82</v>
      </c>
    </row>
    <row r="4369" spans="1:26" s="25" customFormat="1" ht="6.95" customHeight="1" x14ac:dyDescent="0.3">
      <c r="A4369" s="165">
        <f>+A4358+1</f>
        <v>398</v>
      </c>
      <c r="B4369" s="166"/>
      <c r="C4369" s="167"/>
      <c r="D4369" s="160" t="s">
        <v>39</v>
      </c>
      <c r="E4369" s="161"/>
      <c r="F4369" s="162" t="s">
        <v>40</v>
      </c>
      <c r="G4369" s="163"/>
      <c r="H4369" s="164"/>
      <c r="I4369" s="163"/>
      <c r="J4369" s="164"/>
      <c r="K4369" s="163"/>
      <c r="L4369" s="164"/>
      <c r="M4369" s="11"/>
      <c r="N4369" s="39"/>
      <c r="Q4369" s="15" t="str">
        <f>+CONCATENATE(E4369,G4369)</f>
        <v/>
      </c>
      <c r="R4369" s="15">
        <f>+H4369</f>
        <v>0</v>
      </c>
      <c r="S4369" s="16"/>
      <c r="T4369" s="15">
        <f>+E4369</f>
        <v>0</v>
      </c>
      <c r="U4369" s="26" t="str">
        <f>IFERROR(LEFT(G4369,FIND("*",G4369)-1),"-")</f>
        <v>-</v>
      </c>
      <c r="V4369" s="26" t="str">
        <f>IFERROR(RIGHT(G4369,LEN(G4369)-FIND("*",G4369)),"-")</f>
        <v>-</v>
      </c>
      <c r="W4369" s="27" t="str">
        <f>IFERROR((U4369+V4369)*2/1000,"-")</f>
        <v>-</v>
      </c>
      <c r="X4369" s="27" t="str">
        <f>IFERROR(W4369*H4369,"-")</f>
        <v>-</v>
      </c>
      <c r="Z4369" s="94" t="s">
        <v>82</v>
      </c>
    </row>
    <row r="4370" spans="1:26" s="25" customFormat="1" ht="6.95" customHeight="1" x14ac:dyDescent="0.3">
      <c r="A4370" s="165"/>
      <c r="B4370" s="168"/>
      <c r="C4370" s="169"/>
      <c r="D4370" s="160"/>
      <c r="E4370" s="161"/>
      <c r="F4370" s="162"/>
      <c r="G4370" s="163"/>
      <c r="H4370" s="164"/>
      <c r="I4370" s="163"/>
      <c r="J4370" s="164"/>
      <c r="K4370" s="163"/>
      <c r="L4370" s="164"/>
      <c r="M4370" s="11"/>
      <c r="N4370" s="39"/>
      <c r="Q4370" s="15" t="str">
        <f>+CONCATENATE(E4369,I4369)</f>
        <v/>
      </c>
      <c r="R4370" s="15">
        <f>+J4369</f>
        <v>0</v>
      </c>
      <c r="S4370" s="16"/>
      <c r="T4370" s="15">
        <f>+E4369</f>
        <v>0</v>
      </c>
      <c r="U4370" s="26" t="str">
        <f>IFERROR(LEFT(I4369,FIND("*",I4369)-1),"-")</f>
        <v>-</v>
      </c>
      <c r="V4370" s="26" t="str">
        <f>IFERROR(RIGHT(I4369,LEN(I4369)-FIND("*",I4369)),"-")</f>
        <v>-</v>
      </c>
      <c r="W4370" s="27" t="str">
        <f t="shared" ref="W4370:W4377" si="2380">IFERROR((U4370+V4370)*2/1000,"-")</f>
        <v>-</v>
      </c>
      <c r="X4370" s="27" t="str">
        <f>IFERROR(W4370*J4369,"-")</f>
        <v>-</v>
      </c>
      <c r="Z4370" s="94" t="s">
        <v>82</v>
      </c>
    </row>
    <row r="4371" spans="1:26" s="25" customFormat="1" ht="6.95" customHeight="1" x14ac:dyDescent="0.3">
      <c r="A4371" s="165"/>
      <c r="B4371" s="168"/>
      <c r="C4371" s="169"/>
      <c r="D4371" s="160"/>
      <c r="E4371" s="161"/>
      <c r="F4371" s="162"/>
      <c r="G4371" s="163"/>
      <c r="H4371" s="164"/>
      <c r="I4371" s="163"/>
      <c r="J4371" s="164"/>
      <c r="K4371" s="163"/>
      <c r="L4371" s="164"/>
      <c r="M4371" s="11"/>
      <c r="N4371" s="39"/>
      <c r="Q4371" s="15" t="str">
        <f>+CONCATENATE(E4369,K4369)</f>
        <v/>
      </c>
      <c r="R4371" s="15">
        <f>+L4369</f>
        <v>0</v>
      </c>
      <c r="S4371" s="16"/>
      <c r="T4371" s="15">
        <f>+E4369</f>
        <v>0</v>
      </c>
      <c r="U4371" s="26" t="str">
        <f>IFERROR(LEFT(K4369,FIND("*",K4369)-1),"-")</f>
        <v>-</v>
      </c>
      <c r="V4371" s="26" t="str">
        <f>IFERROR(RIGHT(K4369,LEN(K4369)-FIND("*",K4369)),"-")</f>
        <v>-</v>
      </c>
      <c r="W4371" s="27" t="str">
        <f t="shared" si="2380"/>
        <v>-</v>
      </c>
      <c r="X4371" s="27" t="str">
        <f>IFERROR(W4371*L4369,"-")</f>
        <v>-</v>
      </c>
      <c r="Z4371" s="94" t="s">
        <v>82</v>
      </c>
    </row>
    <row r="4372" spans="1:26" s="25" customFormat="1" ht="6.95" customHeight="1" x14ac:dyDescent="0.3">
      <c r="A4372" s="13"/>
      <c r="B4372" s="168"/>
      <c r="C4372" s="169"/>
      <c r="D4372" s="160" t="s">
        <v>39</v>
      </c>
      <c r="E4372" s="161"/>
      <c r="F4372" s="162" t="s">
        <v>40</v>
      </c>
      <c r="G4372" s="163"/>
      <c r="H4372" s="164"/>
      <c r="I4372" s="163"/>
      <c r="J4372" s="164"/>
      <c r="K4372" s="163"/>
      <c r="L4372" s="164"/>
      <c r="M4372" s="11"/>
      <c r="N4372" s="39"/>
      <c r="Q4372" s="15" t="str">
        <f>+CONCATENATE(E4372,G4372)</f>
        <v/>
      </c>
      <c r="R4372" s="15">
        <f>+H4372</f>
        <v>0</v>
      </c>
      <c r="S4372" s="16"/>
      <c r="T4372" s="15">
        <f>+E4372</f>
        <v>0</v>
      </c>
      <c r="U4372" s="26" t="str">
        <f t="shared" ref="U4372" si="2381">IFERROR(LEFT(G4372,FIND("*",G4372)-1),"-")</f>
        <v>-</v>
      </c>
      <c r="V4372" s="26" t="str">
        <f t="shared" ref="V4372" si="2382">IFERROR(RIGHT(G4372,LEN(G4372)-FIND("*",G4372)),"-")</f>
        <v>-</v>
      </c>
      <c r="W4372" s="27" t="str">
        <f t="shared" si="2380"/>
        <v>-</v>
      </c>
      <c r="X4372" s="27" t="str">
        <f>IFERROR(W4372*H4372,"-")</f>
        <v>-</v>
      </c>
      <c r="Z4372" s="94" t="s">
        <v>82</v>
      </c>
    </row>
    <row r="4373" spans="1:26" s="25" customFormat="1" ht="6.95" customHeight="1" x14ac:dyDescent="0.3">
      <c r="A4373" s="10"/>
      <c r="B4373" s="168"/>
      <c r="C4373" s="169"/>
      <c r="D4373" s="160"/>
      <c r="E4373" s="161"/>
      <c r="F4373" s="162"/>
      <c r="G4373" s="163"/>
      <c r="H4373" s="164"/>
      <c r="I4373" s="163"/>
      <c r="J4373" s="164"/>
      <c r="K4373" s="163"/>
      <c r="L4373" s="164"/>
      <c r="M4373" s="11"/>
      <c r="N4373" s="39"/>
      <c r="Q4373" s="15" t="str">
        <f>+CONCATENATE(E4372,I4372)</f>
        <v/>
      </c>
      <c r="R4373" s="15">
        <f>+J4372</f>
        <v>0</v>
      </c>
      <c r="S4373" s="16"/>
      <c r="T4373" s="15">
        <f>+E4372</f>
        <v>0</v>
      </c>
      <c r="U4373" s="26" t="str">
        <f>IFERROR(LEFT(I4372,FIND("*",I4372)-1),"-")</f>
        <v>-</v>
      </c>
      <c r="V4373" s="26" t="str">
        <f>IFERROR(RIGHT(I4372,LEN(I4372)-FIND("*",I4372)),"-")</f>
        <v>-</v>
      </c>
      <c r="W4373" s="27" t="str">
        <f t="shared" si="2380"/>
        <v>-</v>
      </c>
      <c r="X4373" s="27" t="str">
        <f>IFERROR(W4373*J4372,"-")</f>
        <v>-</v>
      </c>
      <c r="Z4373" s="94" t="s">
        <v>82</v>
      </c>
    </row>
    <row r="4374" spans="1:26" s="25" customFormat="1" ht="6.95" customHeight="1" x14ac:dyDescent="0.3">
      <c r="A4374" s="10"/>
      <c r="B4374" s="168"/>
      <c r="C4374" s="169"/>
      <c r="D4374" s="160"/>
      <c r="E4374" s="161"/>
      <c r="F4374" s="162"/>
      <c r="G4374" s="163"/>
      <c r="H4374" s="164"/>
      <c r="I4374" s="163"/>
      <c r="J4374" s="164"/>
      <c r="K4374" s="163"/>
      <c r="L4374" s="164"/>
      <c r="M4374" s="11"/>
      <c r="N4374" s="39"/>
      <c r="Q4374" s="15" t="str">
        <f>+CONCATENATE(E4372,K4372)</f>
        <v/>
      </c>
      <c r="R4374" s="15">
        <f>+L4372</f>
        <v>0</v>
      </c>
      <c r="S4374" s="16"/>
      <c r="T4374" s="15">
        <f>+E4372</f>
        <v>0</v>
      </c>
      <c r="U4374" s="26" t="str">
        <f>IFERROR(LEFT(K4372,FIND("*",K4372)-1),"-")</f>
        <v>-</v>
      </c>
      <c r="V4374" s="26" t="str">
        <f>IFERROR(RIGHT(K4372,LEN(K4372)-FIND("*",K4372)),"-")</f>
        <v>-</v>
      </c>
      <c r="W4374" s="27" t="str">
        <f t="shared" si="2380"/>
        <v>-</v>
      </c>
      <c r="X4374" s="27" t="str">
        <f>IFERROR(W4374*L4372,"-")</f>
        <v>-</v>
      </c>
      <c r="Z4374" s="94" t="s">
        <v>82</v>
      </c>
    </row>
    <row r="4375" spans="1:26" s="25" customFormat="1" ht="6.95" customHeight="1" x14ac:dyDescent="0.3">
      <c r="A4375" s="13"/>
      <c r="B4375" s="168"/>
      <c r="C4375" s="169"/>
      <c r="D4375" s="160" t="s">
        <v>39</v>
      </c>
      <c r="E4375" s="161"/>
      <c r="F4375" s="162" t="s">
        <v>40</v>
      </c>
      <c r="G4375" s="163"/>
      <c r="H4375" s="164"/>
      <c r="I4375" s="163"/>
      <c r="J4375" s="164"/>
      <c r="K4375" s="163"/>
      <c r="L4375" s="164"/>
      <c r="M4375" s="11"/>
      <c r="N4375" s="39"/>
      <c r="Q4375" s="15" t="str">
        <f>+CONCATENATE(E4375,G4375)</f>
        <v/>
      </c>
      <c r="R4375" s="15">
        <f>+H4375</f>
        <v>0</v>
      </c>
      <c r="S4375" s="16"/>
      <c r="T4375" s="15">
        <f>+E4375</f>
        <v>0</v>
      </c>
      <c r="U4375" s="26" t="str">
        <f t="shared" ref="U4375" si="2383">IFERROR(LEFT(G4375,FIND("*",G4375)-1),"-")</f>
        <v>-</v>
      </c>
      <c r="V4375" s="26" t="str">
        <f t="shared" ref="V4375" si="2384">IFERROR(RIGHT(G4375,LEN(G4375)-FIND("*",G4375)),"-")</f>
        <v>-</v>
      </c>
      <c r="W4375" s="27" t="str">
        <f t="shared" si="2380"/>
        <v>-</v>
      </c>
      <c r="X4375" s="27" t="str">
        <f>IFERROR(W4375*H4375,"-")</f>
        <v>-</v>
      </c>
      <c r="Z4375" s="94" t="s">
        <v>82</v>
      </c>
    </row>
    <row r="4376" spans="1:26" s="25" customFormat="1" ht="6.95" customHeight="1" x14ac:dyDescent="0.3">
      <c r="A4376" s="10"/>
      <c r="B4376" s="168"/>
      <c r="C4376" s="169"/>
      <c r="D4376" s="160"/>
      <c r="E4376" s="161"/>
      <c r="F4376" s="162"/>
      <c r="G4376" s="163"/>
      <c r="H4376" s="164"/>
      <c r="I4376" s="163"/>
      <c r="J4376" s="164"/>
      <c r="K4376" s="163"/>
      <c r="L4376" s="164"/>
      <c r="M4376" s="11"/>
      <c r="N4376" s="39"/>
      <c r="Q4376" s="15" t="str">
        <f>+CONCATENATE(E4375,I4375)</f>
        <v/>
      </c>
      <c r="R4376" s="15">
        <f>+J4375</f>
        <v>0</v>
      </c>
      <c r="S4376" s="16"/>
      <c r="T4376" s="15">
        <f>+E4375</f>
        <v>0</v>
      </c>
      <c r="U4376" s="26" t="str">
        <f>IFERROR(LEFT(I4375,FIND("*",I4375)-1),"-")</f>
        <v>-</v>
      </c>
      <c r="V4376" s="26" t="str">
        <f>IFERROR(RIGHT(I4375,LEN(I4375)-FIND("*",I4375)),"-")</f>
        <v>-</v>
      </c>
      <c r="W4376" s="27" t="str">
        <f t="shared" si="2380"/>
        <v>-</v>
      </c>
      <c r="X4376" s="27" t="str">
        <f t="shared" ref="X4376" si="2385">IFERROR(W4376*J4375,"-")</f>
        <v>-</v>
      </c>
      <c r="Z4376" s="94" t="s">
        <v>82</v>
      </c>
    </row>
    <row r="4377" spans="1:26" s="25" customFormat="1" ht="6.95" customHeight="1" x14ac:dyDescent="0.3">
      <c r="A4377" s="10"/>
      <c r="B4377" s="168"/>
      <c r="C4377" s="169"/>
      <c r="D4377" s="160"/>
      <c r="E4377" s="161"/>
      <c r="F4377" s="162"/>
      <c r="G4377" s="163"/>
      <c r="H4377" s="164"/>
      <c r="I4377" s="163"/>
      <c r="J4377" s="164"/>
      <c r="K4377" s="163"/>
      <c r="L4377" s="164"/>
      <c r="M4377" s="11"/>
      <c r="N4377" s="39"/>
      <c r="Q4377" s="15" t="str">
        <f>+CONCATENATE(E4375,K4375)</f>
        <v/>
      </c>
      <c r="R4377" s="15">
        <f>+L4375</f>
        <v>0</v>
      </c>
      <c r="S4377" s="16"/>
      <c r="T4377" s="15">
        <f>+E4375</f>
        <v>0</v>
      </c>
      <c r="U4377" s="26" t="str">
        <f>IFERROR(LEFT(K4375,FIND("*",K4375)-1),"-")</f>
        <v>-</v>
      </c>
      <c r="V4377" s="26" t="str">
        <f>IFERROR(RIGHT(K4375,LEN(K4375)-FIND("*",K4375)),"-")</f>
        <v>-</v>
      </c>
      <c r="W4377" s="27" t="str">
        <f t="shared" si="2380"/>
        <v>-</v>
      </c>
      <c r="X4377" s="27" t="str">
        <f>IFERROR(W4377*L4375,"-")</f>
        <v>-</v>
      </c>
      <c r="Z4377" s="94" t="s">
        <v>82</v>
      </c>
    </row>
    <row r="4378" spans="1:26" s="25" customFormat="1" ht="21" customHeight="1" thickBot="1" x14ac:dyDescent="0.35">
      <c r="A4378" s="10"/>
      <c r="B4378" s="170"/>
      <c r="C4378" s="171"/>
      <c r="D4378" s="172" t="s">
        <v>43</v>
      </c>
      <c r="E4378" s="173"/>
      <c r="F4378" s="173"/>
      <c r="G4378" s="174"/>
      <c r="H4378" s="174"/>
      <c r="I4378" s="174"/>
      <c r="J4378" s="174"/>
      <c r="K4378" s="174"/>
      <c r="L4378" s="174"/>
      <c r="M4378" s="12"/>
      <c r="N4378" s="39"/>
      <c r="U4378" s="23"/>
      <c r="V4378" s="23"/>
      <c r="Z4378" s="95" t="s">
        <v>81</v>
      </c>
    </row>
    <row r="4379" spans="1:26" s="25" customFormat="1" ht="9.9499999999999993" customHeight="1" thickBot="1" x14ac:dyDescent="0.35">
      <c r="A4379" s="6"/>
      <c r="B4379" s="14"/>
      <c r="C4379" s="119"/>
      <c r="D4379" s="58"/>
      <c r="E4379" s="17"/>
      <c r="F4379" s="58"/>
      <c r="G4379" s="19"/>
      <c r="H4379" s="19"/>
      <c r="I4379" s="19"/>
      <c r="J4379" s="19"/>
      <c r="K4379" s="19"/>
      <c r="L4379" s="19"/>
      <c r="M4379" s="14"/>
      <c r="N4379" s="39"/>
      <c r="Q4379" s="1"/>
      <c r="R4379" s="1"/>
      <c r="S4379" s="1"/>
      <c r="T4379" s="1"/>
      <c r="U4379" s="24"/>
      <c r="V4379" s="24"/>
      <c r="W4379" s="1"/>
      <c r="X4379" s="1"/>
      <c r="Z4379" s="94" t="s">
        <v>82</v>
      </c>
    </row>
    <row r="4380" spans="1:26" s="25" customFormat="1" ht="6.95" customHeight="1" x14ac:dyDescent="0.3">
      <c r="A4380" s="165">
        <f>+A4369+1</f>
        <v>399</v>
      </c>
      <c r="B4380" s="166"/>
      <c r="C4380" s="167"/>
      <c r="D4380" s="160" t="s">
        <v>39</v>
      </c>
      <c r="E4380" s="161"/>
      <c r="F4380" s="162" t="s">
        <v>40</v>
      </c>
      <c r="G4380" s="163"/>
      <c r="H4380" s="164"/>
      <c r="I4380" s="163"/>
      <c r="J4380" s="164"/>
      <c r="K4380" s="163"/>
      <c r="L4380" s="164"/>
      <c r="M4380" s="11"/>
      <c r="N4380" s="39"/>
      <c r="Q4380" s="15" t="str">
        <f>+CONCATENATE(E4380,G4380)</f>
        <v/>
      </c>
      <c r="R4380" s="15">
        <f>+H4380</f>
        <v>0</v>
      </c>
      <c r="S4380" s="16"/>
      <c r="T4380" s="15">
        <f>+E4380</f>
        <v>0</v>
      </c>
      <c r="U4380" s="26" t="str">
        <f>IFERROR(LEFT(G4380,FIND("*",G4380)-1),"-")</f>
        <v>-</v>
      </c>
      <c r="V4380" s="26" t="str">
        <f>IFERROR(RIGHT(G4380,LEN(G4380)-FIND("*",G4380)),"-")</f>
        <v>-</v>
      </c>
      <c r="W4380" s="27" t="str">
        <f>IFERROR((U4380+V4380)*2/1000,"-")</f>
        <v>-</v>
      </c>
      <c r="X4380" s="27" t="str">
        <f>IFERROR(W4380*H4380,"-")</f>
        <v>-</v>
      </c>
      <c r="Z4380" s="94" t="s">
        <v>82</v>
      </c>
    </row>
    <row r="4381" spans="1:26" s="25" customFormat="1" ht="6.95" customHeight="1" x14ac:dyDescent="0.3">
      <c r="A4381" s="165"/>
      <c r="B4381" s="168"/>
      <c r="C4381" s="169"/>
      <c r="D4381" s="160"/>
      <c r="E4381" s="161"/>
      <c r="F4381" s="162"/>
      <c r="G4381" s="163"/>
      <c r="H4381" s="164"/>
      <c r="I4381" s="163"/>
      <c r="J4381" s="164"/>
      <c r="K4381" s="163"/>
      <c r="L4381" s="164"/>
      <c r="M4381" s="11"/>
      <c r="N4381" s="39"/>
      <c r="Q4381" s="15" t="str">
        <f>+CONCATENATE(E4380,I4380)</f>
        <v/>
      </c>
      <c r="R4381" s="15">
        <f>+J4380</f>
        <v>0</v>
      </c>
      <c r="S4381" s="16"/>
      <c r="T4381" s="15">
        <f>+E4380</f>
        <v>0</v>
      </c>
      <c r="U4381" s="26" t="str">
        <f>IFERROR(LEFT(I4380,FIND("*",I4380)-1),"-")</f>
        <v>-</v>
      </c>
      <c r="V4381" s="26" t="str">
        <f>IFERROR(RIGHT(I4380,LEN(I4380)-FIND("*",I4380)),"-")</f>
        <v>-</v>
      </c>
      <c r="W4381" s="27" t="str">
        <f t="shared" ref="W4381:W4388" si="2386">IFERROR((U4381+V4381)*2/1000,"-")</f>
        <v>-</v>
      </c>
      <c r="X4381" s="27" t="str">
        <f>IFERROR(W4381*J4380,"-")</f>
        <v>-</v>
      </c>
      <c r="Z4381" s="94" t="s">
        <v>82</v>
      </c>
    </row>
    <row r="4382" spans="1:26" s="25" customFormat="1" ht="6.95" customHeight="1" x14ac:dyDescent="0.3">
      <c r="A4382" s="165"/>
      <c r="B4382" s="168"/>
      <c r="C4382" s="169"/>
      <c r="D4382" s="160"/>
      <c r="E4382" s="161"/>
      <c r="F4382" s="162"/>
      <c r="G4382" s="163"/>
      <c r="H4382" s="164"/>
      <c r="I4382" s="163"/>
      <c r="J4382" s="164"/>
      <c r="K4382" s="163"/>
      <c r="L4382" s="164"/>
      <c r="M4382" s="11"/>
      <c r="N4382" s="39"/>
      <c r="Q4382" s="15" t="str">
        <f>+CONCATENATE(E4380,K4380)</f>
        <v/>
      </c>
      <c r="R4382" s="15">
        <f>+L4380</f>
        <v>0</v>
      </c>
      <c r="S4382" s="16"/>
      <c r="T4382" s="15">
        <f>+E4380</f>
        <v>0</v>
      </c>
      <c r="U4382" s="26" t="str">
        <f>IFERROR(LEFT(K4380,FIND("*",K4380)-1),"-")</f>
        <v>-</v>
      </c>
      <c r="V4382" s="26" t="str">
        <f>IFERROR(RIGHT(K4380,LEN(K4380)-FIND("*",K4380)),"-")</f>
        <v>-</v>
      </c>
      <c r="W4382" s="27" t="str">
        <f t="shared" si="2386"/>
        <v>-</v>
      </c>
      <c r="X4382" s="27" t="str">
        <f>IFERROR(W4382*L4380,"-")</f>
        <v>-</v>
      </c>
      <c r="Z4382" s="94" t="s">
        <v>82</v>
      </c>
    </row>
    <row r="4383" spans="1:26" s="25" customFormat="1" ht="6.95" customHeight="1" x14ac:dyDescent="0.3">
      <c r="A4383" s="13"/>
      <c r="B4383" s="168"/>
      <c r="C4383" s="169"/>
      <c r="D4383" s="160" t="s">
        <v>39</v>
      </c>
      <c r="E4383" s="161"/>
      <c r="F4383" s="162" t="s">
        <v>40</v>
      </c>
      <c r="G4383" s="163"/>
      <c r="H4383" s="164"/>
      <c r="I4383" s="163"/>
      <c r="J4383" s="164"/>
      <c r="K4383" s="163"/>
      <c r="L4383" s="164"/>
      <c r="M4383" s="11"/>
      <c r="N4383" s="39"/>
      <c r="Q4383" s="15" t="str">
        <f>+CONCATENATE(E4383,G4383)</f>
        <v/>
      </c>
      <c r="R4383" s="15">
        <f>+H4383</f>
        <v>0</v>
      </c>
      <c r="S4383" s="16"/>
      <c r="T4383" s="15">
        <f>+E4383</f>
        <v>0</v>
      </c>
      <c r="U4383" s="26" t="str">
        <f t="shared" ref="U4383" si="2387">IFERROR(LEFT(G4383,FIND("*",G4383)-1),"-")</f>
        <v>-</v>
      </c>
      <c r="V4383" s="26" t="str">
        <f t="shared" ref="V4383" si="2388">IFERROR(RIGHT(G4383,LEN(G4383)-FIND("*",G4383)),"-")</f>
        <v>-</v>
      </c>
      <c r="W4383" s="27" t="str">
        <f t="shared" si="2386"/>
        <v>-</v>
      </c>
      <c r="X4383" s="27" t="str">
        <f>IFERROR(W4383*H4383,"-")</f>
        <v>-</v>
      </c>
      <c r="Z4383" s="94" t="s">
        <v>82</v>
      </c>
    </row>
    <row r="4384" spans="1:26" s="25" customFormat="1" ht="6.95" customHeight="1" x14ac:dyDescent="0.3">
      <c r="A4384" s="10"/>
      <c r="B4384" s="168"/>
      <c r="C4384" s="169"/>
      <c r="D4384" s="160"/>
      <c r="E4384" s="161"/>
      <c r="F4384" s="162"/>
      <c r="G4384" s="163"/>
      <c r="H4384" s="164"/>
      <c r="I4384" s="163"/>
      <c r="J4384" s="164"/>
      <c r="K4384" s="163"/>
      <c r="L4384" s="164"/>
      <c r="M4384" s="11"/>
      <c r="N4384" s="39"/>
      <c r="Q4384" s="15" t="str">
        <f>+CONCATENATE(E4383,I4383)</f>
        <v/>
      </c>
      <c r="R4384" s="15">
        <f>+J4383</f>
        <v>0</v>
      </c>
      <c r="S4384" s="16"/>
      <c r="T4384" s="15">
        <f>+E4383</f>
        <v>0</v>
      </c>
      <c r="U4384" s="26" t="str">
        <f>IFERROR(LEFT(I4383,FIND("*",I4383)-1),"-")</f>
        <v>-</v>
      </c>
      <c r="V4384" s="26" t="str">
        <f>IFERROR(RIGHT(I4383,LEN(I4383)-FIND("*",I4383)),"-")</f>
        <v>-</v>
      </c>
      <c r="W4384" s="27" t="str">
        <f t="shared" si="2386"/>
        <v>-</v>
      </c>
      <c r="X4384" s="27" t="str">
        <f>IFERROR(W4384*J4383,"-")</f>
        <v>-</v>
      </c>
      <c r="Z4384" s="94" t="s">
        <v>82</v>
      </c>
    </row>
    <row r="4385" spans="1:26" s="25" customFormat="1" ht="6.95" customHeight="1" x14ac:dyDescent="0.3">
      <c r="A4385" s="10"/>
      <c r="B4385" s="168"/>
      <c r="C4385" s="169"/>
      <c r="D4385" s="160"/>
      <c r="E4385" s="161"/>
      <c r="F4385" s="162"/>
      <c r="G4385" s="163"/>
      <c r="H4385" s="164"/>
      <c r="I4385" s="163"/>
      <c r="J4385" s="164"/>
      <c r="K4385" s="163"/>
      <c r="L4385" s="164"/>
      <c r="M4385" s="11"/>
      <c r="N4385" s="39"/>
      <c r="Q4385" s="15" t="str">
        <f>+CONCATENATE(E4383,K4383)</f>
        <v/>
      </c>
      <c r="R4385" s="15">
        <f>+L4383</f>
        <v>0</v>
      </c>
      <c r="S4385" s="16"/>
      <c r="T4385" s="15">
        <f>+E4383</f>
        <v>0</v>
      </c>
      <c r="U4385" s="26" t="str">
        <f>IFERROR(LEFT(K4383,FIND("*",K4383)-1),"-")</f>
        <v>-</v>
      </c>
      <c r="V4385" s="26" t="str">
        <f>IFERROR(RIGHT(K4383,LEN(K4383)-FIND("*",K4383)),"-")</f>
        <v>-</v>
      </c>
      <c r="W4385" s="27" t="str">
        <f t="shared" si="2386"/>
        <v>-</v>
      </c>
      <c r="X4385" s="27" t="str">
        <f>IFERROR(W4385*L4383,"-")</f>
        <v>-</v>
      </c>
      <c r="Z4385" s="94" t="s">
        <v>82</v>
      </c>
    </row>
    <row r="4386" spans="1:26" s="25" customFormat="1" ht="6.95" customHeight="1" x14ac:dyDescent="0.3">
      <c r="A4386" s="13"/>
      <c r="B4386" s="168"/>
      <c r="C4386" s="169"/>
      <c r="D4386" s="160" t="s">
        <v>39</v>
      </c>
      <c r="E4386" s="161"/>
      <c r="F4386" s="162" t="s">
        <v>40</v>
      </c>
      <c r="G4386" s="163"/>
      <c r="H4386" s="164"/>
      <c r="I4386" s="163"/>
      <c r="J4386" s="164"/>
      <c r="K4386" s="163"/>
      <c r="L4386" s="164"/>
      <c r="M4386" s="11"/>
      <c r="N4386" s="39"/>
      <c r="Q4386" s="15" t="str">
        <f>+CONCATENATE(E4386,G4386)</f>
        <v/>
      </c>
      <c r="R4386" s="15">
        <f>+H4386</f>
        <v>0</v>
      </c>
      <c r="S4386" s="16"/>
      <c r="T4386" s="15">
        <f>+E4386</f>
        <v>0</v>
      </c>
      <c r="U4386" s="26" t="str">
        <f t="shared" ref="U4386" si="2389">IFERROR(LEFT(G4386,FIND("*",G4386)-1),"-")</f>
        <v>-</v>
      </c>
      <c r="V4386" s="26" t="str">
        <f t="shared" ref="V4386" si="2390">IFERROR(RIGHT(G4386,LEN(G4386)-FIND("*",G4386)),"-")</f>
        <v>-</v>
      </c>
      <c r="W4386" s="27" t="str">
        <f t="shared" si="2386"/>
        <v>-</v>
      </c>
      <c r="X4386" s="27" t="str">
        <f>IFERROR(W4386*H4386,"-")</f>
        <v>-</v>
      </c>
      <c r="Z4386" s="94" t="s">
        <v>82</v>
      </c>
    </row>
    <row r="4387" spans="1:26" s="25" customFormat="1" ht="6.95" customHeight="1" x14ac:dyDescent="0.3">
      <c r="A4387" s="10"/>
      <c r="B4387" s="168"/>
      <c r="C4387" s="169"/>
      <c r="D4387" s="160"/>
      <c r="E4387" s="161"/>
      <c r="F4387" s="162"/>
      <c r="G4387" s="163"/>
      <c r="H4387" s="164"/>
      <c r="I4387" s="163"/>
      <c r="J4387" s="164"/>
      <c r="K4387" s="163"/>
      <c r="L4387" s="164"/>
      <c r="M4387" s="11"/>
      <c r="N4387" s="39"/>
      <c r="Q4387" s="15" t="str">
        <f>+CONCATENATE(E4386,I4386)</f>
        <v/>
      </c>
      <c r="R4387" s="15">
        <f>+J4386</f>
        <v>0</v>
      </c>
      <c r="S4387" s="16"/>
      <c r="T4387" s="15">
        <f>+E4386</f>
        <v>0</v>
      </c>
      <c r="U4387" s="26" t="str">
        <f>IFERROR(LEFT(I4386,FIND("*",I4386)-1),"-")</f>
        <v>-</v>
      </c>
      <c r="V4387" s="26" t="str">
        <f>IFERROR(RIGHT(I4386,LEN(I4386)-FIND("*",I4386)),"-")</f>
        <v>-</v>
      </c>
      <c r="W4387" s="27" t="str">
        <f t="shared" si="2386"/>
        <v>-</v>
      </c>
      <c r="X4387" s="27" t="str">
        <f t="shared" ref="X4387" si="2391">IFERROR(W4387*J4386,"-")</f>
        <v>-</v>
      </c>
      <c r="Z4387" s="94" t="s">
        <v>82</v>
      </c>
    </row>
    <row r="4388" spans="1:26" s="25" customFormat="1" ht="6.95" customHeight="1" x14ac:dyDescent="0.3">
      <c r="A4388" s="10"/>
      <c r="B4388" s="168"/>
      <c r="C4388" s="169"/>
      <c r="D4388" s="160"/>
      <c r="E4388" s="161"/>
      <c r="F4388" s="162"/>
      <c r="G4388" s="163"/>
      <c r="H4388" s="164"/>
      <c r="I4388" s="163"/>
      <c r="J4388" s="164"/>
      <c r="K4388" s="163"/>
      <c r="L4388" s="164"/>
      <c r="M4388" s="11"/>
      <c r="N4388" s="39"/>
      <c r="Q4388" s="15" t="str">
        <f>+CONCATENATE(E4386,K4386)</f>
        <v/>
      </c>
      <c r="R4388" s="15">
        <f>+L4386</f>
        <v>0</v>
      </c>
      <c r="S4388" s="16"/>
      <c r="T4388" s="15">
        <f>+E4386</f>
        <v>0</v>
      </c>
      <c r="U4388" s="26" t="str">
        <f>IFERROR(LEFT(K4386,FIND("*",K4386)-1),"-")</f>
        <v>-</v>
      </c>
      <c r="V4388" s="26" t="str">
        <f>IFERROR(RIGHT(K4386,LEN(K4386)-FIND("*",K4386)),"-")</f>
        <v>-</v>
      </c>
      <c r="W4388" s="27" t="str">
        <f t="shared" si="2386"/>
        <v>-</v>
      </c>
      <c r="X4388" s="27" t="str">
        <f>IFERROR(W4388*L4386,"-")</f>
        <v>-</v>
      </c>
      <c r="Z4388" s="94" t="s">
        <v>82</v>
      </c>
    </row>
    <row r="4389" spans="1:26" s="25" customFormat="1" ht="21" customHeight="1" thickBot="1" x14ac:dyDescent="0.35">
      <c r="A4389" s="10"/>
      <c r="B4389" s="170"/>
      <c r="C4389" s="171"/>
      <c r="D4389" s="172" t="s">
        <v>43</v>
      </c>
      <c r="E4389" s="173"/>
      <c r="F4389" s="173"/>
      <c r="G4389" s="174"/>
      <c r="H4389" s="174"/>
      <c r="I4389" s="174"/>
      <c r="J4389" s="174"/>
      <c r="K4389" s="174"/>
      <c r="L4389" s="174"/>
      <c r="M4389" s="12"/>
      <c r="N4389" s="39"/>
      <c r="U4389" s="23"/>
      <c r="V4389" s="23"/>
      <c r="Z4389" s="95" t="s">
        <v>81</v>
      </c>
    </row>
    <row r="4390" spans="1:26" s="25" customFormat="1" ht="9.9499999999999993" customHeight="1" thickBot="1" x14ac:dyDescent="0.35">
      <c r="A4390" s="6"/>
      <c r="B4390" s="14"/>
      <c r="C4390" s="119"/>
      <c r="D4390" s="58"/>
      <c r="E4390" s="17"/>
      <c r="F4390" s="58"/>
      <c r="G4390" s="19"/>
      <c r="H4390" s="19"/>
      <c r="I4390" s="19"/>
      <c r="J4390" s="19"/>
      <c r="K4390" s="19"/>
      <c r="L4390" s="19"/>
      <c r="M4390" s="14"/>
      <c r="N4390" s="39"/>
      <c r="Q4390" s="1"/>
      <c r="R4390" s="1"/>
      <c r="S4390" s="1"/>
      <c r="T4390" s="1"/>
      <c r="U4390" s="24"/>
      <c r="V4390" s="24"/>
      <c r="W4390" s="1"/>
      <c r="X4390" s="1"/>
      <c r="Z4390" s="94" t="s">
        <v>82</v>
      </c>
    </row>
    <row r="4391" spans="1:26" s="25" customFormat="1" ht="6.95" customHeight="1" x14ac:dyDescent="0.3">
      <c r="A4391" s="165">
        <f>+A4380+1</f>
        <v>400</v>
      </c>
      <c r="B4391" s="166"/>
      <c r="C4391" s="167"/>
      <c r="D4391" s="160" t="s">
        <v>39</v>
      </c>
      <c r="E4391" s="161"/>
      <c r="F4391" s="162" t="s">
        <v>40</v>
      </c>
      <c r="G4391" s="163"/>
      <c r="H4391" s="164"/>
      <c r="I4391" s="163"/>
      <c r="J4391" s="164"/>
      <c r="K4391" s="163"/>
      <c r="L4391" s="164"/>
      <c r="M4391" s="11"/>
      <c r="N4391" s="39"/>
      <c r="Q4391" s="15" t="str">
        <f>+CONCATENATE(E4391,G4391)</f>
        <v/>
      </c>
      <c r="R4391" s="15">
        <f>+H4391</f>
        <v>0</v>
      </c>
      <c r="S4391" s="16"/>
      <c r="T4391" s="15">
        <f>+E4391</f>
        <v>0</v>
      </c>
      <c r="U4391" s="26" t="str">
        <f>IFERROR(LEFT(G4391,FIND("*",G4391)-1),"-")</f>
        <v>-</v>
      </c>
      <c r="V4391" s="26" t="str">
        <f>IFERROR(RIGHT(G4391,LEN(G4391)-FIND("*",G4391)),"-")</f>
        <v>-</v>
      </c>
      <c r="W4391" s="27" t="str">
        <f>IFERROR((U4391+V4391)*2/1000,"-")</f>
        <v>-</v>
      </c>
      <c r="X4391" s="27" t="str">
        <f>IFERROR(W4391*H4391,"-")</f>
        <v>-</v>
      </c>
      <c r="Z4391" s="94" t="s">
        <v>82</v>
      </c>
    </row>
    <row r="4392" spans="1:26" s="25" customFormat="1" ht="6.95" customHeight="1" x14ac:dyDescent="0.3">
      <c r="A4392" s="165"/>
      <c r="B4392" s="168"/>
      <c r="C4392" s="169"/>
      <c r="D4392" s="160"/>
      <c r="E4392" s="161"/>
      <c r="F4392" s="162"/>
      <c r="G4392" s="163"/>
      <c r="H4392" s="164"/>
      <c r="I4392" s="163"/>
      <c r="J4392" s="164"/>
      <c r="K4392" s="163"/>
      <c r="L4392" s="164"/>
      <c r="M4392" s="11"/>
      <c r="N4392" s="39"/>
      <c r="Q4392" s="15" t="str">
        <f>+CONCATENATE(E4391,I4391)</f>
        <v/>
      </c>
      <c r="R4392" s="15">
        <f>+J4391</f>
        <v>0</v>
      </c>
      <c r="S4392" s="16"/>
      <c r="T4392" s="15">
        <f>+E4391</f>
        <v>0</v>
      </c>
      <c r="U4392" s="26" t="str">
        <f>IFERROR(LEFT(I4391,FIND("*",I4391)-1),"-")</f>
        <v>-</v>
      </c>
      <c r="V4392" s="26" t="str">
        <f>IFERROR(RIGHT(I4391,LEN(I4391)-FIND("*",I4391)),"-")</f>
        <v>-</v>
      </c>
      <c r="W4392" s="27" t="str">
        <f t="shared" ref="W4392:W4399" si="2392">IFERROR((U4392+V4392)*2/1000,"-")</f>
        <v>-</v>
      </c>
      <c r="X4392" s="27" t="str">
        <f>IFERROR(W4392*J4391,"-")</f>
        <v>-</v>
      </c>
      <c r="Z4392" s="94" t="s">
        <v>82</v>
      </c>
    </row>
    <row r="4393" spans="1:26" s="25" customFormat="1" ht="6.95" customHeight="1" x14ac:dyDescent="0.3">
      <c r="A4393" s="165"/>
      <c r="B4393" s="168"/>
      <c r="C4393" s="169"/>
      <c r="D4393" s="160"/>
      <c r="E4393" s="161"/>
      <c r="F4393" s="162"/>
      <c r="G4393" s="163"/>
      <c r="H4393" s="164"/>
      <c r="I4393" s="163"/>
      <c r="J4393" s="164"/>
      <c r="K4393" s="163"/>
      <c r="L4393" s="164"/>
      <c r="M4393" s="11"/>
      <c r="N4393" s="39"/>
      <c r="Q4393" s="15" t="str">
        <f>+CONCATENATE(E4391,K4391)</f>
        <v/>
      </c>
      <c r="R4393" s="15">
        <f>+L4391</f>
        <v>0</v>
      </c>
      <c r="S4393" s="16"/>
      <c r="T4393" s="15">
        <f>+E4391</f>
        <v>0</v>
      </c>
      <c r="U4393" s="26" t="str">
        <f>IFERROR(LEFT(K4391,FIND("*",K4391)-1),"-")</f>
        <v>-</v>
      </c>
      <c r="V4393" s="26" t="str">
        <f>IFERROR(RIGHT(K4391,LEN(K4391)-FIND("*",K4391)),"-")</f>
        <v>-</v>
      </c>
      <c r="W4393" s="27" t="str">
        <f t="shared" si="2392"/>
        <v>-</v>
      </c>
      <c r="X4393" s="27" t="str">
        <f>IFERROR(W4393*L4391,"-")</f>
        <v>-</v>
      </c>
      <c r="Z4393" s="94" t="s">
        <v>82</v>
      </c>
    </row>
    <row r="4394" spans="1:26" s="25" customFormat="1" ht="6.95" customHeight="1" x14ac:dyDescent="0.3">
      <c r="A4394" s="13"/>
      <c r="B4394" s="168"/>
      <c r="C4394" s="169"/>
      <c r="D4394" s="160" t="s">
        <v>39</v>
      </c>
      <c r="E4394" s="161"/>
      <c r="F4394" s="162" t="s">
        <v>40</v>
      </c>
      <c r="G4394" s="163"/>
      <c r="H4394" s="164"/>
      <c r="I4394" s="163"/>
      <c r="J4394" s="164"/>
      <c r="K4394" s="163"/>
      <c r="L4394" s="164"/>
      <c r="M4394" s="11"/>
      <c r="N4394" s="39"/>
      <c r="Q4394" s="15" t="str">
        <f>+CONCATENATE(E4394,G4394)</f>
        <v/>
      </c>
      <c r="R4394" s="15">
        <f>+H4394</f>
        <v>0</v>
      </c>
      <c r="S4394" s="16"/>
      <c r="T4394" s="15">
        <f>+E4394</f>
        <v>0</v>
      </c>
      <c r="U4394" s="26" t="str">
        <f t="shared" ref="U4394" si="2393">IFERROR(LEFT(G4394,FIND("*",G4394)-1),"-")</f>
        <v>-</v>
      </c>
      <c r="V4394" s="26" t="str">
        <f t="shared" ref="V4394" si="2394">IFERROR(RIGHT(G4394,LEN(G4394)-FIND("*",G4394)),"-")</f>
        <v>-</v>
      </c>
      <c r="W4394" s="27" t="str">
        <f t="shared" si="2392"/>
        <v>-</v>
      </c>
      <c r="X4394" s="27" t="str">
        <f>IFERROR(W4394*H4394,"-")</f>
        <v>-</v>
      </c>
      <c r="Z4394" s="94" t="s">
        <v>82</v>
      </c>
    </row>
    <row r="4395" spans="1:26" s="25" customFormat="1" ht="6.95" customHeight="1" x14ac:dyDescent="0.3">
      <c r="A4395" s="10"/>
      <c r="B4395" s="168"/>
      <c r="C4395" s="169"/>
      <c r="D4395" s="160"/>
      <c r="E4395" s="161"/>
      <c r="F4395" s="162"/>
      <c r="G4395" s="163"/>
      <c r="H4395" s="164"/>
      <c r="I4395" s="163"/>
      <c r="J4395" s="164"/>
      <c r="K4395" s="163"/>
      <c r="L4395" s="164"/>
      <c r="M4395" s="11"/>
      <c r="N4395" s="39"/>
      <c r="Q4395" s="15" t="str">
        <f>+CONCATENATE(E4394,I4394)</f>
        <v/>
      </c>
      <c r="R4395" s="15">
        <f>+J4394</f>
        <v>0</v>
      </c>
      <c r="S4395" s="16"/>
      <c r="T4395" s="15">
        <f>+E4394</f>
        <v>0</v>
      </c>
      <c r="U4395" s="26" t="str">
        <f>IFERROR(LEFT(I4394,FIND("*",I4394)-1),"-")</f>
        <v>-</v>
      </c>
      <c r="V4395" s="26" t="str">
        <f>IFERROR(RIGHT(I4394,LEN(I4394)-FIND("*",I4394)),"-")</f>
        <v>-</v>
      </c>
      <c r="W4395" s="27" t="str">
        <f t="shared" si="2392"/>
        <v>-</v>
      </c>
      <c r="X4395" s="27" t="str">
        <f>IFERROR(W4395*J4394,"-")</f>
        <v>-</v>
      </c>
      <c r="Z4395" s="94" t="s">
        <v>82</v>
      </c>
    </row>
    <row r="4396" spans="1:26" s="25" customFormat="1" ht="6.95" customHeight="1" x14ac:dyDescent="0.3">
      <c r="A4396" s="10"/>
      <c r="B4396" s="168"/>
      <c r="C4396" s="169"/>
      <c r="D4396" s="160"/>
      <c r="E4396" s="161"/>
      <c r="F4396" s="162"/>
      <c r="G4396" s="163"/>
      <c r="H4396" s="164"/>
      <c r="I4396" s="163"/>
      <c r="J4396" s="164"/>
      <c r="K4396" s="163"/>
      <c r="L4396" s="164"/>
      <c r="M4396" s="11"/>
      <c r="N4396" s="39"/>
      <c r="Q4396" s="15" t="str">
        <f>+CONCATENATE(E4394,K4394)</f>
        <v/>
      </c>
      <c r="R4396" s="15">
        <f>+L4394</f>
        <v>0</v>
      </c>
      <c r="S4396" s="16"/>
      <c r="T4396" s="15">
        <f>+E4394</f>
        <v>0</v>
      </c>
      <c r="U4396" s="26" t="str">
        <f>IFERROR(LEFT(K4394,FIND("*",K4394)-1),"-")</f>
        <v>-</v>
      </c>
      <c r="V4396" s="26" t="str">
        <f>IFERROR(RIGHT(K4394,LEN(K4394)-FIND("*",K4394)),"-")</f>
        <v>-</v>
      </c>
      <c r="W4396" s="27" t="str">
        <f t="shared" si="2392"/>
        <v>-</v>
      </c>
      <c r="X4396" s="27" t="str">
        <f>IFERROR(W4396*L4394,"-")</f>
        <v>-</v>
      </c>
      <c r="Z4396" s="94" t="s">
        <v>82</v>
      </c>
    </row>
    <row r="4397" spans="1:26" s="25" customFormat="1" ht="6.95" customHeight="1" x14ac:dyDescent="0.3">
      <c r="A4397" s="13"/>
      <c r="B4397" s="168"/>
      <c r="C4397" s="169"/>
      <c r="D4397" s="160" t="s">
        <v>39</v>
      </c>
      <c r="E4397" s="161"/>
      <c r="F4397" s="162" t="s">
        <v>40</v>
      </c>
      <c r="G4397" s="163"/>
      <c r="H4397" s="164"/>
      <c r="I4397" s="163"/>
      <c r="J4397" s="164"/>
      <c r="K4397" s="163"/>
      <c r="L4397" s="164"/>
      <c r="M4397" s="11"/>
      <c r="N4397" s="39"/>
      <c r="Q4397" s="15" t="str">
        <f>+CONCATENATE(E4397,G4397)</f>
        <v/>
      </c>
      <c r="R4397" s="15">
        <f>+H4397</f>
        <v>0</v>
      </c>
      <c r="S4397" s="16"/>
      <c r="T4397" s="15">
        <f>+E4397</f>
        <v>0</v>
      </c>
      <c r="U4397" s="26" t="str">
        <f t="shared" ref="U4397" si="2395">IFERROR(LEFT(G4397,FIND("*",G4397)-1),"-")</f>
        <v>-</v>
      </c>
      <c r="V4397" s="26" t="str">
        <f t="shared" ref="V4397" si="2396">IFERROR(RIGHT(G4397,LEN(G4397)-FIND("*",G4397)),"-")</f>
        <v>-</v>
      </c>
      <c r="W4397" s="27" t="str">
        <f t="shared" si="2392"/>
        <v>-</v>
      </c>
      <c r="X4397" s="27" t="str">
        <f>IFERROR(W4397*H4397,"-")</f>
        <v>-</v>
      </c>
      <c r="Z4397" s="94" t="s">
        <v>82</v>
      </c>
    </row>
    <row r="4398" spans="1:26" s="25" customFormat="1" ht="6.95" customHeight="1" x14ac:dyDescent="0.3">
      <c r="A4398" s="10"/>
      <c r="B4398" s="168"/>
      <c r="C4398" s="169"/>
      <c r="D4398" s="160"/>
      <c r="E4398" s="161"/>
      <c r="F4398" s="162"/>
      <c r="G4398" s="163"/>
      <c r="H4398" s="164"/>
      <c r="I4398" s="163"/>
      <c r="J4398" s="164"/>
      <c r="K4398" s="163"/>
      <c r="L4398" s="164"/>
      <c r="M4398" s="11"/>
      <c r="N4398" s="39"/>
      <c r="Q4398" s="15" t="str">
        <f>+CONCATENATE(E4397,I4397)</f>
        <v/>
      </c>
      <c r="R4398" s="15">
        <f>+J4397</f>
        <v>0</v>
      </c>
      <c r="S4398" s="16"/>
      <c r="T4398" s="15">
        <f>+E4397</f>
        <v>0</v>
      </c>
      <c r="U4398" s="26" t="str">
        <f>IFERROR(LEFT(I4397,FIND("*",I4397)-1),"-")</f>
        <v>-</v>
      </c>
      <c r="V4398" s="26" t="str">
        <f>IFERROR(RIGHT(I4397,LEN(I4397)-FIND("*",I4397)),"-")</f>
        <v>-</v>
      </c>
      <c r="W4398" s="27" t="str">
        <f t="shared" si="2392"/>
        <v>-</v>
      </c>
      <c r="X4398" s="27" t="str">
        <f t="shared" ref="X4398" si="2397">IFERROR(W4398*J4397,"-")</f>
        <v>-</v>
      </c>
      <c r="Z4398" s="94" t="s">
        <v>82</v>
      </c>
    </row>
    <row r="4399" spans="1:26" s="25" customFormat="1" ht="6.95" customHeight="1" x14ac:dyDescent="0.3">
      <c r="A4399" s="10"/>
      <c r="B4399" s="168"/>
      <c r="C4399" s="169"/>
      <c r="D4399" s="160"/>
      <c r="E4399" s="161"/>
      <c r="F4399" s="162"/>
      <c r="G4399" s="163"/>
      <c r="H4399" s="164"/>
      <c r="I4399" s="163"/>
      <c r="J4399" s="164"/>
      <c r="K4399" s="163"/>
      <c r="L4399" s="164"/>
      <c r="M4399" s="11"/>
      <c r="N4399" s="39"/>
      <c r="Q4399" s="15" t="str">
        <f>+CONCATENATE(E4397,K4397)</f>
        <v/>
      </c>
      <c r="R4399" s="15">
        <f>+L4397</f>
        <v>0</v>
      </c>
      <c r="S4399" s="16"/>
      <c r="T4399" s="15">
        <f>+E4397</f>
        <v>0</v>
      </c>
      <c r="U4399" s="26" t="str">
        <f>IFERROR(LEFT(K4397,FIND("*",K4397)-1),"-")</f>
        <v>-</v>
      </c>
      <c r="V4399" s="26" t="str">
        <f>IFERROR(RIGHT(K4397,LEN(K4397)-FIND("*",K4397)),"-")</f>
        <v>-</v>
      </c>
      <c r="W4399" s="27" t="str">
        <f t="shared" si="2392"/>
        <v>-</v>
      </c>
      <c r="X4399" s="27" t="str">
        <f>IFERROR(W4399*L4397,"-")</f>
        <v>-</v>
      </c>
      <c r="Z4399" s="94" t="s">
        <v>82</v>
      </c>
    </row>
    <row r="4400" spans="1:26" s="25" customFormat="1" ht="21" customHeight="1" thickBot="1" x14ac:dyDescent="0.35">
      <c r="A4400" s="10"/>
      <c r="B4400" s="170"/>
      <c r="C4400" s="171"/>
      <c r="D4400" s="172" t="s">
        <v>43</v>
      </c>
      <c r="E4400" s="173"/>
      <c r="F4400" s="173"/>
      <c r="G4400" s="174"/>
      <c r="H4400" s="174"/>
      <c r="I4400" s="174"/>
      <c r="J4400" s="174"/>
      <c r="K4400" s="174"/>
      <c r="L4400" s="174"/>
      <c r="M4400" s="12"/>
      <c r="N4400" s="39"/>
      <c r="U4400" s="23"/>
      <c r="V4400" s="23"/>
      <c r="Z4400" s="95" t="s">
        <v>81</v>
      </c>
    </row>
    <row r="4401" spans="1:26" s="25" customFormat="1" ht="9.9499999999999993" customHeight="1" thickBot="1" x14ac:dyDescent="0.35">
      <c r="A4401" s="6"/>
      <c r="B4401" s="14"/>
      <c r="C4401" s="119"/>
      <c r="D4401" s="58"/>
      <c r="E4401" s="17"/>
      <c r="F4401" s="58"/>
      <c r="G4401" s="19"/>
      <c r="H4401" s="19"/>
      <c r="I4401" s="19"/>
      <c r="J4401" s="19"/>
      <c r="K4401" s="19"/>
      <c r="L4401" s="19"/>
      <c r="M4401" s="14"/>
      <c r="N4401" s="39"/>
      <c r="Q4401" s="1"/>
      <c r="R4401" s="1"/>
      <c r="S4401" s="1"/>
      <c r="T4401" s="1"/>
      <c r="U4401" s="24"/>
      <c r="V4401" s="24"/>
      <c r="W4401" s="1"/>
      <c r="X4401" s="1"/>
      <c r="Z4401" s="94" t="s">
        <v>82</v>
      </c>
    </row>
    <row r="4402" spans="1:26" s="25" customFormat="1" ht="6.95" customHeight="1" x14ac:dyDescent="0.3">
      <c r="A4402" s="165">
        <f>+A4391+1</f>
        <v>401</v>
      </c>
      <c r="B4402" s="166"/>
      <c r="C4402" s="167"/>
      <c r="D4402" s="160" t="s">
        <v>39</v>
      </c>
      <c r="E4402" s="161"/>
      <c r="F4402" s="162" t="s">
        <v>40</v>
      </c>
      <c r="G4402" s="163"/>
      <c r="H4402" s="164"/>
      <c r="I4402" s="163"/>
      <c r="J4402" s="164"/>
      <c r="K4402" s="163"/>
      <c r="L4402" s="164"/>
      <c r="M4402" s="11"/>
      <c r="N4402" s="39"/>
      <c r="Q4402" s="15" t="str">
        <f>+CONCATENATE(E4402,G4402)</f>
        <v/>
      </c>
      <c r="R4402" s="15">
        <f>+H4402</f>
        <v>0</v>
      </c>
      <c r="S4402" s="16"/>
      <c r="T4402" s="15">
        <f>+E4402</f>
        <v>0</v>
      </c>
      <c r="U4402" s="26" t="str">
        <f>IFERROR(LEFT(G4402,FIND("*",G4402)-1),"-")</f>
        <v>-</v>
      </c>
      <c r="V4402" s="26" t="str">
        <f>IFERROR(RIGHT(G4402,LEN(G4402)-FIND("*",G4402)),"-")</f>
        <v>-</v>
      </c>
      <c r="W4402" s="27" t="str">
        <f>IFERROR((U4402+V4402)*2/1000,"-")</f>
        <v>-</v>
      </c>
      <c r="X4402" s="27" t="str">
        <f>IFERROR(W4402*H4402,"-")</f>
        <v>-</v>
      </c>
      <c r="Z4402" s="94" t="s">
        <v>82</v>
      </c>
    </row>
    <row r="4403" spans="1:26" s="25" customFormat="1" ht="6.95" customHeight="1" x14ac:dyDescent="0.3">
      <c r="A4403" s="165"/>
      <c r="B4403" s="168"/>
      <c r="C4403" s="169"/>
      <c r="D4403" s="160"/>
      <c r="E4403" s="161"/>
      <c r="F4403" s="162"/>
      <c r="G4403" s="163"/>
      <c r="H4403" s="164"/>
      <c r="I4403" s="163"/>
      <c r="J4403" s="164"/>
      <c r="K4403" s="163"/>
      <c r="L4403" s="164"/>
      <c r="M4403" s="11"/>
      <c r="N4403" s="39"/>
      <c r="Q4403" s="15" t="str">
        <f>+CONCATENATE(E4402,I4402)</f>
        <v/>
      </c>
      <c r="R4403" s="15">
        <f>+J4402</f>
        <v>0</v>
      </c>
      <c r="S4403" s="16"/>
      <c r="T4403" s="15">
        <f>+E4402</f>
        <v>0</v>
      </c>
      <c r="U4403" s="26" t="str">
        <f>IFERROR(LEFT(I4402,FIND("*",I4402)-1),"-")</f>
        <v>-</v>
      </c>
      <c r="V4403" s="26" t="str">
        <f>IFERROR(RIGHT(I4402,LEN(I4402)-FIND("*",I4402)),"-")</f>
        <v>-</v>
      </c>
      <c r="W4403" s="27" t="str">
        <f t="shared" ref="W4403:W4410" si="2398">IFERROR((U4403+V4403)*2/1000,"-")</f>
        <v>-</v>
      </c>
      <c r="X4403" s="27" t="str">
        <f>IFERROR(W4403*J4402,"-")</f>
        <v>-</v>
      </c>
      <c r="Z4403" s="94" t="s">
        <v>82</v>
      </c>
    </row>
    <row r="4404" spans="1:26" s="25" customFormat="1" ht="6.95" customHeight="1" x14ac:dyDescent="0.3">
      <c r="A4404" s="165"/>
      <c r="B4404" s="168"/>
      <c r="C4404" s="169"/>
      <c r="D4404" s="160"/>
      <c r="E4404" s="161"/>
      <c r="F4404" s="162"/>
      <c r="G4404" s="163"/>
      <c r="H4404" s="164"/>
      <c r="I4404" s="163"/>
      <c r="J4404" s="164"/>
      <c r="K4404" s="163"/>
      <c r="L4404" s="164"/>
      <c r="M4404" s="11"/>
      <c r="N4404" s="39"/>
      <c r="Q4404" s="15" t="str">
        <f>+CONCATENATE(E4402,K4402)</f>
        <v/>
      </c>
      <c r="R4404" s="15">
        <f>+L4402</f>
        <v>0</v>
      </c>
      <c r="S4404" s="16"/>
      <c r="T4404" s="15">
        <f>+E4402</f>
        <v>0</v>
      </c>
      <c r="U4404" s="26" t="str">
        <f>IFERROR(LEFT(K4402,FIND("*",K4402)-1),"-")</f>
        <v>-</v>
      </c>
      <c r="V4404" s="26" t="str">
        <f>IFERROR(RIGHT(K4402,LEN(K4402)-FIND("*",K4402)),"-")</f>
        <v>-</v>
      </c>
      <c r="W4404" s="27" t="str">
        <f t="shared" si="2398"/>
        <v>-</v>
      </c>
      <c r="X4404" s="27" t="str">
        <f>IFERROR(W4404*L4402,"-")</f>
        <v>-</v>
      </c>
      <c r="Z4404" s="94" t="s">
        <v>82</v>
      </c>
    </row>
    <row r="4405" spans="1:26" s="25" customFormat="1" ht="6.95" customHeight="1" x14ac:dyDescent="0.3">
      <c r="A4405" s="13"/>
      <c r="B4405" s="168"/>
      <c r="C4405" s="169"/>
      <c r="D4405" s="160" t="s">
        <v>39</v>
      </c>
      <c r="E4405" s="161"/>
      <c r="F4405" s="162" t="s">
        <v>40</v>
      </c>
      <c r="G4405" s="163"/>
      <c r="H4405" s="164"/>
      <c r="I4405" s="163"/>
      <c r="J4405" s="164"/>
      <c r="K4405" s="163"/>
      <c r="L4405" s="164"/>
      <c r="M4405" s="11"/>
      <c r="N4405" s="39"/>
      <c r="Q4405" s="15" t="str">
        <f>+CONCATENATE(E4405,G4405)</f>
        <v/>
      </c>
      <c r="R4405" s="15">
        <f>+H4405</f>
        <v>0</v>
      </c>
      <c r="S4405" s="16"/>
      <c r="T4405" s="15">
        <f>+E4405</f>
        <v>0</v>
      </c>
      <c r="U4405" s="26" t="str">
        <f t="shared" ref="U4405" si="2399">IFERROR(LEFT(G4405,FIND("*",G4405)-1),"-")</f>
        <v>-</v>
      </c>
      <c r="V4405" s="26" t="str">
        <f t="shared" ref="V4405" si="2400">IFERROR(RIGHT(G4405,LEN(G4405)-FIND("*",G4405)),"-")</f>
        <v>-</v>
      </c>
      <c r="W4405" s="27" t="str">
        <f t="shared" si="2398"/>
        <v>-</v>
      </c>
      <c r="X4405" s="27" t="str">
        <f>IFERROR(W4405*H4405,"-")</f>
        <v>-</v>
      </c>
      <c r="Z4405" s="94" t="s">
        <v>82</v>
      </c>
    </row>
    <row r="4406" spans="1:26" s="25" customFormat="1" ht="6.95" customHeight="1" x14ac:dyDescent="0.3">
      <c r="A4406" s="10"/>
      <c r="B4406" s="168"/>
      <c r="C4406" s="169"/>
      <c r="D4406" s="160"/>
      <c r="E4406" s="161"/>
      <c r="F4406" s="162"/>
      <c r="G4406" s="163"/>
      <c r="H4406" s="164"/>
      <c r="I4406" s="163"/>
      <c r="J4406" s="164"/>
      <c r="K4406" s="163"/>
      <c r="L4406" s="164"/>
      <c r="M4406" s="11"/>
      <c r="N4406" s="39"/>
      <c r="Q4406" s="15" t="str">
        <f>+CONCATENATE(E4405,I4405)</f>
        <v/>
      </c>
      <c r="R4406" s="15">
        <f>+J4405</f>
        <v>0</v>
      </c>
      <c r="S4406" s="16"/>
      <c r="T4406" s="15">
        <f>+E4405</f>
        <v>0</v>
      </c>
      <c r="U4406" s="26" t="str">
        <f>IFERROR(LEFT(I4405,FIND("*",I4405)-1),"-")</f>
        <v>-</v>
      </c>
      <c r="V4406" s="26" t="str">
        <f>IFERROR(RIGHT(I4405,LEN(I4405)-FIND("*",I4405)),"-")</f>
        <v>-</v>
      </c>
      <c r="W4406" s="27" t="str">
        <f t="shared" si="2398"/>
        <v>-</v>
      </c>
      <c r="X4406" s="27" t="str">
        <f>IFERROR(W4406*J4405,"-")</f>
        <v>-</v>
      </c>
      <c r="Z4406" s="94" t="s">
        <v>82</v>
      </c>
    </row>
    <row r="4407" spans="1:26" s="25" customFormat="1" ht="6.95" customHeight="1" x14ac:dyDescent="0.3">
      <c r="A4407" s="10"/>
      <c r="B4407" s="168"/>
      <c r="C4407" s="169"/>
      <c r="D4407" s="160"/>
      <c r="E4407" s="161"/>
      <c r="F4407" s="162"/>
      <c r="G4407" s="163"/>
      <c r="H4407" s="164"/>
      <c r="I4407" s="163"/>
      <c r="J4407" s="164"/>
      <c r="K4407" s="163"/>
      <c r="L4407" s="164"/>
      <c r="M4407" s="11"/>
      <c r="N4407" s="39"/>
      <c r="Q4407" s="15" t="str">
        <f>+CONCATENATE(E4405,K4405)</f>
        <v/>
      </c>
      <c r="R4407" s="15">
        <f>+L4405</f>
        <v>0</v>
      </c>
      <c r="S4407" s="16"/>
      <c r="T4407" s="15">
        <f>+E4405</f>
        <v>0</v>
      </c>
      <c r="U4407" s="26" t="str">
        <f>IFERROR(LEFT(K4405,FIND("*",K4405)-1),"-")</f>
        <v>-</v>
      </c>
      <c r="V4407" s="26" t="str">
        <f>IFERROR(RIGHT(K4405,LEN(K4405)-FIND("*",K4405)),"-")</f>
        <v>-</v>
      </c>
      <c r="W4407" s="27" t="str">
        <f t="shared" si="2398"/>
        <v>-</v>
      </c>
      <c r="X4407" s="27" t="str">
        <f>IFERROR(W4407*L4405,"-")</f>
        <v>-</v>
      </c>
      <c r="Z4407" s="94" t="s">
        <v>82</v>
      </c>
    </row>
    <row r="4408" spans="1:26" s="25" customFormat="1" ht="6.95" customHeight="1" x14ac:dyDescent="0.3">
      <c r="A4408" s="13"/>
      <c r="B4408" s="168"/>
      <c r="C4408" s="169"/>
      <c r="D4408" s="160" t="s">
        <v>39</v>
      </c>
      <c r="E4408" s="161"/>
      <c r="F4408" s="162" t="s">
        <v>40</v>
      </c>
      <c r="G4408" s="163"/>
      <c r="H4408" s="164"/>
      <c r="I4408" s="163"/>
      <c r="J4408" s="164"/>
      <c r="K4408" s="163"/>
      <c r="L4408" s="164"/>
      <c r="M4408" s="11"/>
      <c r="N4408" s="39"/>
      <c r="Q4408" s="15" t="str">
        <f>+CONCATENATE(E4408,G4408)</f>
        <v/>
      </c>
      <c r="R4408" s="15">
        <f>+H4408</f>
        <v>0</v>
      </c>
      <c r="S4408" s="16"/>
      <c r="T4408" s="15">
        <f>+E4408</f>
        <v>0</v>
      </c>
      <c r="U4408" s="26" t="str">
        <f t="shared" ref="U4408" si="2401">IFERROR(LEFT(G4408,FIND("*",G4408)-1),"-")</f>
        <v>-</v>
      </c>
      <c r="V4408" s="26" t="str">
        <f t="shared" ref="V4408" si="2402">IFERROR(RIGHT(G4408,LEN(G4408)-FIND("*",G4408)),"-")</f>
        <v>-</v>
      </c>
      <c r="W4408" s="27" t="str">
        <f t="shared" si="2398"/>
        <v>-</v>
      </c>
      <c r="X4408" s="27" t="str">
        <f>IFERROR(W4408*H4408,"-")</f>
        <v>-</v>
      </c>
      <c r="Z4408" s="94" t="s">
        <v>82</v>
      </c>
    </row>
    <row r="4409" spans="1:26" s="25" customFormat="1" ht="6.95" customHeight="1" x14ac:dyDescent="0.3">
      <c r="A4409" s="10"/>
      <c r="B4409" s="168"/>
      <c r="C4409" s="169"/>
      <c r="D4409" s="160"/>
      <c r="E4409" s="161"/>
      <c r="F4409" s="162"/>
      <c r="G4409" s="163"/>
      <c r="H4409" s="164"/>
      <c r="I4409" s="163"/>
      <c r="J4409" s="164"/>
      <c r="K4409" s="163"/>
      <c r="L4409" s="164"/>
      <c r="M4409" s="11"/>
      <c r="N4409" s="39"/>
      <c r="Q4409" s="15" t="str">
        <f>+CONCATENATE(E4408,I4408)</f>
        <v/>
      </c>
      <c r="R4409" s="15">
        <f>+J4408</f>
        <v>0</v>
      </c>
      <c r="S4409" s="16"/>
      <c r="T4409" s="15">
        <f>+E4408</f>
        <v>0</v>
      </c>
      <c r="U4409" s="26" t="str">
        <f>IFERROR(LEFT(I4408,FIND("*",I4408)-1),"-")</f>
        <v>-</v>
      </c>
      <c r="V4409" s="26" t="str">
        <f>IFERROR(RIGHT(I4408,LEN(I4408)-FIND("*",I4408)),"-")</f>
        <v>-</v>
      </c>
      <c r="W4409" s="27" t="str">
        <f t="shared" si="2398"/>
        <v>-</v>
      </c>
      <c r="X4409" s="27" t="str">
        <f t="shared" ref="X4409" si="2403">IFERROR(W4409*J4408,"-")</f>
        <v>-</v>
      </c>
      <c r="Z4409" s="94" t="s">
        <v>82</v>
      </c>
    </row>
    <row r="4410" spans="1:26" s="25" customFormat="1" ht="6.95" customHeight="1" x14ac:dyDescent="0.3">
      <c r="A4410" s="10"/>
      <c r="B4410" s="168"/>
      <c r="C4410" s="169"/>
      <c r="D4410" s="160"/>
      <c r="E4410" s="161"/>
      <c r="F4410" s="162"/>
      <c r="G4410" s="163"/>
      <c r="H4410" s="164"/>
      <c r="I4410" s="163"/>
      <c r="J4410" s="164"/>
      <c r="K4410" s="163"/>
      <c r="L4410" s="164"/>
      <c r="M4410" s="11"/>
      <c r="N4410" s="39"/>
      <c r="Q4410" s="15" t="str">
        <f>+CONCATENATE(E4408,K4408)</f>
        <v/>
      </c>
      <c r="R4410" s="15">
        <f>+L4408</f>
        <v>0</v>
      </c>
      <c r="S4410" s="16"/>
      <c r="T4410" s="15">
        <f>+E4408</f>
        <v>0</v>
      </c>
      <c r="U4410" s="26" t="str">
        <f>IFERROR(LEFT(K4408,FIND("*",K4408)-1),"-")</f>
        <v>-</v>
      </c>
      <c r="V4410" s="26" t="str">
        <f>IFERROR(RIGHT(K4408,LEN(K4408)-FIND("*",K4408)),"-")</f>
        <v>-</v>
      </c>
      <c r="W4410" s="27" t="str">
        <f t="shared" si="2398"/>
        <v>-</v>
      </c>
      <c r="X4410" s="27" t="str">
        <f>IFERROR(W4410*L4408,"-")</f>
        <v>-</v>
      </c>
      <c r="Z4410" s="94" t="s">
        <v>82</v>
      </c>
    </row>
    <row r="4411" spans="1:26" s="25" customFormat="1" ht="21" customHeight="1" thickBot="1" x14ac:dyDescent="0.35">
      <c r="A4411" s="10"/>
      <c r="B4411" s="170"/>
      <c r="C4411" s="171"/>
      <c r="D4411" s="172" t="s">
        <v>43</v>
      </c>
      <c r="E4411" s="173"/>
      <c r="F4411" s="173"/>
      <c r="G4411" s="174"/>
      <c r="H4411" s="174"/>
      <c r="I4411" s="174"/>
      <c r="J4411" s="174"/>
      <c r="K4411" s="174"/>
      <c r="L4411" s="174"/>
      <c r="M4411" s="12"/>
      <c r="N4411" s="39"/>
      <c r="U4411" s="23"/>
      <c r="V4411" s="23"/>
      <c r="Z4411" s="95" t="s">
        <v>81</v>
      </c>
    </row>
    <row r="4412" spans="1:26" s="25" customFormat="1" ht="9.9499999999999993" customHeight="1" thickBot="1" x14ac:dyDescent="0.35">
      <c r="A4412" s="6"/>
      <c r="B4412" s="14"/>
      <c r="C4412" s="119"/>
      <c r="D4412" s="58"/>
      <c r="E4412" s="17"/>
      <c r="F4412" s="58"/>
      <c r="G4412" s="19"/>
      <c r="H4412" s="19"/>
      <c r="I4412" s="19"/>
      <c r="J4412" s="19"/>
      <c r="K4412" s="19"/>
      <c r="L4412" s="19"/>
      <c r="M4412" s="14"/>
      <c r="N4412" s="39"/>
      <c r="Q4412" s="1"/>
      <c r="R4412" s="1"/>
      <c r="S4412" s="1"/>
      <c r="T4412" s="1"/>
      <c r="U4412" s="24"/>
      <c r="V4412" s="24"/>
      <c r="W4412" s="1"/>
      <c r="X4412" s="1"/>
      <c r="Z4412" s="94" t="s">
        <v>82</v>
      </c>
    </row>
    <row r="4413" spans="1:26" s="25" customFormat="1" ht="6.95" customHeight="1" x14ac:dyDescent="0.3">
      <c r="A4413" s="165">
        <f>+A4402+1</f>
        <v>402</v>
      </c>
      <c r="B4413" s="166"/>
      <c r="C4413" s="167"/>
      <c r="D4413" s="160" t="s">
        <v>39</v>
      </c>
      <c r="E4413" s="161"/>
      <c r="F4413" s="162" t="s">
        <v>40</v>
      </c>
      <c r="G4413" s="163"/>
      <c r="H4413" s="164"/>
      <c r="I4413" s="163"/>
      <c r="J4413" s="164"/>
      <c r="K4413" s="163"/>
      <c r="L4413" s="164"/>
      <c r="M4413" s="11"/>
      <c r="N4413" s="39"/>
      <c r="Q4413" s="15" t="str">
        <f>+CONCATENATE(E4413,G4413)</f>
        <v/>
      </c>
      <c r="R4413" s="15">
        <f>+H4413</f>
        <v>0</v>
      </c>
      <c r="S4413" s="16"/>
      <c r="T4413" s="15">
        <f>+E4413</f>
        <v>0</v>
      </c>
      <c r="U4413" s="26" t="str">
        <f>IFERROR(LEFT(G4413,FIND("*",G4413)-1),"-")</f>
        <v>-</v>
      </c>
      <c r="V4413" s="26" t="str">
        <f>IFERROR(RIGHT(G4413,LEN(G4413)-FIND("*",G4413)),"-")</f>
        <v>-</v>
      </c>
      <c r="W4413" s="27" t="str">
        <f>IFERROR((U4413+V4413)*2/1000,"-")</f>
        <v>-</v>
      </c>
      <c r="X4413" s="27" t="str">
        <f>IFERROR(W4413*H4413,"-")</f>
        <v>-</v>
      </c>
      <c r="Z4413" s="94" t="s">
        <v>82</v>
      </c>
    </row>
    <row r="4414" spans="1:26" s="25" customFormat="1" ht="6.95" customHeight="1" x14ac:dyDescent="0.3">
      <c r="A4414" s="165"/>
      <c r="B4414" s="168"/>
      <c r="C4414" s="169"/>
      <c r="D4414" s="160"/>
      <c r="E4414" s="161"/>
      <c r="F4414" s="162"/>
      <c r="G4414" s="163"/>
      <c r="H4414" s="164"/>
      <c r="I4414" s="163"/>
      <c r="J4414" s="164"/>
      <c r="K4414" s="163"/>
      <c r="L4414" s="164"/>
      <c r="M4414" s="11"/>
      <c r="N4414" s="39"/>
      <c r="Q4414" s="15" t="str">
        <f>+CONCATENATE(E4413,I4413)</f>
        <v/>
      </c>
      <c r="R4414" s="15">
        <f>+J4413</f>
        <v>0</v>
      </c>
      <c r="S4414" s="16"/>
      <c r="T4414" s="15">
        <f>+E4413</f>
        <v>0</v>
      </c>
      <c r="U4414" s="26" t="str">
        <f>IFERROR(LEFT(I4413,FIND("*",I4413)-1),"-")</f>
        <v>-</v>
      </c>
      <c r="V4414" s="26" t="str">
        <f>IFERROR(RIGHT(I4413,LEN(I4413)-FIND("*",I4413)),"-")</f>
        <v>-</v>
      </c>
      <c r="W4414" s="27" t="str">
        <f t="shared" ref="W4414:W4421" si="2404">IFERROR((U4414+V4414)*2/1000,"-")</f>
        <v>-</v>
      </c>
      <c r="X4414" s="27" t="str">
        <f>IFERROR(W4414*J4413,"-")</f>
        <v>-</v>
      </c>
      <c r="Z4414" s="94" t="s">
        <v>82</v>
      </c>
    </row>
    <row r="4415" spans="1:26" s="25" customFormat="1" ht="6.95" customHeight="1" x14ac:dyDescent="0.3">
      <c r="A4415" s="165"/>
      <c r="B4415" s="168"/>
      <c r="C4415" s="169"/>
      <c r="D4415" s="160"/>
      <c r="E4415" s="161"/>
      <c r="F4415" s="162"/>
      <c r="G4415" s="163"/>
      <c r="H4415" s="164"/>
      <c r="I4415" s="163"/>
      <c r="J4415" s="164"/>
      <c r="K4415" s="163"/>
      <c r="L4415" s="164"/>
      <c r="M4415" s="11"/>
      <c r="N4415" s="39"/>
      <c r="Q4415" s="15" t="str">
        <f>+CONCATENATE(E4413,K4413)</f>
        <v/>
      </c>
      <c r="R4415" s="15">
        <f>+L4413</f>
        <v>0</v>
      </c>
      <c r="S4415" s="16"/>
      <c r="T4415" s="15">
        <f>+E4413</f>
        <v>0</v>
      </c>
      <c r="U4415" s="26" t="str">
        <f>IFERROR(LEFT(K4413,FIND("*",K4413)-1),"-")</f>
        <v>-</v>
      </c>
      <c r="V4415" s="26" t="str">
        <f>IFERROR(RIGHT(K4413,LEN(K4413)-FIND("*",K4413)),"-")</f>
        <v>-</v>
      </c>
      <c r="W4415" s="27" t="str">
        <f t="shared" si="2404"/>
        <v>-</v>
      </c>
      <c r="X4415" s="27" t="str">
        <f>IFERROR(W4415*L4413,"-")</f>
        <v>-</v>
      </c>
      <c r="Z4415" s="94" t="s">
        <v>82</v>
      </c>
    </row>
    <row r="4416" spans="1:26" s="25" customFormat="1" ht="6.95" customHeight="1" x14ac:dyDescent="0.3">
      <c r="A4416" s="13"/>
      <c r="B4416" s="168"/>
      <c r="C4416" s="169"/>
      <c r="D4416" s="160" t="s">
        <v>39</v>
      </c>
      <c r="E4416" s="161"/>
      <c r="F4416" s="162" t="s">
        <v>40</v>
      </c>
      <c r="G4416" s="163"/>
      <c r="H4416" s="164"/>
      <c r="I4416" s="163"/>
      <c r="J4416" s="164"/>
      <c r="K4416" s="163"/>
      <c r="L4416" s="164"/>
      <c r="M4416" s="11"/>
      <c r="N4416" s="39"/>
      <c r="Q4416" s="15" t="str">
        <f>+CONCATENATE(E4416,G4416)</f>
        <v/>
      </c>
      <c r="R4416" s="15">
        <f>+H4416</f>
        <v>0</v>
      </c>
      <c r="S4416" s="16"/>
      <c r="T4416" s="15">
        <f>+E4416</f>
        <v>0</v>
      </c>
      <c r="U4416" s="26" t="str">
        <f t="shared" ref="U4416" si="2405">IFERROR(LEFT(G4416,FIND("*",G4416)-1),"-")</f>
        <v>-</v>
      </c>
      <c r="V4416" s="26" t="str">
        <f t="shared" ref="V4416" si="2406">IFERROR(RIGHT(G4416,LEN(G4416)-FIND("*",G4416)),"-")</f>
        <v>-</v>
      </c>
      <c r="W4416" s="27" t="str">
        <f t="shared" si="2404"/>
        <v>-</v>
      </c>
      <c r="X4416" s="27" t="str">
        <f>IFERROR(W4416*H4416,"-")</f>
        <v>-</v>
      </c>
      <c r="Z4416" s="94" t="s">
        <v>82</v>
      </c>
    </row>
    <row r="4417" spans="1:26" s="25" customFormat="1" ht="6.95" customHeight="1" x14ac:dyDescent="0.3">
      <c r="A4417" s="10"/>
      <c r="B4417" s="168"/>
      <c r="C4417" s="169"/>
      <c r="D4417" s="160"/>
      <c r="E4417" s="161"/>
      <c r="F4417" s="162"/>
      <c r="G4417" s="163"/>
      <c r="H4417" s="164"/>
      <c r="I4417" s="163"/>
      <c r="J4417" s="164"/>
      <c r="K4417" s="163"/>
      <c r="L4417" s="164"/>
      <c r="M4417" s="11"/>
      <c r="N4417" s="39"/>
      <c r="Q4417" s="15" t="str">
        <f>+CONCATENATE(E4416,I4416)</f>
        <v/>
      </c>
      <c r="R4417" s="15">
        <f>+J4416</f>
        <v>0</v>
      </c>
      <c r="S4417" s="16"/>
      <c r="T4417" s="15">
        <f>+E4416</f>
        <v>0</v>
      </c>
      <c r="U4417" s="26" t="str">
        <f>IFERROR(LEFT(I4416,FIND("*",I4416)-1),"-")</f>
        <v>-</v>
      </c>
      <c r="V4417" s="26" t="str">
        <f>IFERROR(RIGHT(I4416,LEN(I4416)-FIND("*",I4416)),"-")</f>
        <v>-</v>
      </c>
      <c r="W4417" s="27" t="str">
        <f t="shared" si="2404"/>
        <v>-</v>
      </c>
      <c r="X4417" s="27" t="str">
        <f>IFERROR(W4417*J4416,"-")</f>
        <v>-</v>
      </c>
      <c r="Z4417" s="94" t="s">
        <v>82</v>
      </c>
    </row>
    <row r="4418" spans="1:26" s="25" customFormat="1" ht="6.95" customHeight="1" x14ac:dyDescent="0.3">
      <c r="A4418" s="10"/>
      <c r="B4418" s="168"/>
      <c r="C4418" s="169"/>
      <c r="D4418" s="160"/>
      <c r="E4418" s="161"/>
      <c r="F4418" s="162"/>
      <c r="G4418" s="163"/>
      <c r="H4418" s="164"/>
      <c r="I4418" s="163"/>
      <c r="J4418" s="164"/>
      <c r="K4418" s="163"/>
      <c r="L4418" s="164"/>
      <c r="M4418" s="11"/>
      <c r="N4418" s="39"/>
      <c r="Q4418" s="15" t="str">
        <f>+CONCATENATE(E4416,K4416)</f>
        <v/>
      </c>
      <c r="R4418" s="15">
        <f>+L4416</f>
        <v>0</v>
      </c>
      <c r="S4418" s="16"/>
      <c r="T4418" s="15">
        <f>+E4416</f>
        <v>0</v>
      </c>
      <c r="U4418" s="26" t="str">
        <f>IFERROR(LEFT(K4416,FIND("*",K4416)-1),"-")</f>
        <v>-</v>
      </c>
      <c r="V4418" s="26" t="str">
        <f>IFERROR(RIGHT(K4416,LEN(K4416)-FIND("*",K4416)),"-")</f>
        <v>-</v>
      </c>
      <c r="W4418" s="27" t="str">
        <f t="shared" si="2404"/>
        <v>-</v>
      </c>
      <c r="X4418" s="27" t="str">
        <f>IFERROR(W4418*L4416,"-")</f>
        <v>-</v>
      </c>
      <c r="Z4418" s="94" t="s">
        <v>82</v>
      </c>
    </row>
    <row r="4419" spans="1:26" s="25" customFormat="1" ht="6.95" customHeight="1" x14ac:dyDescent="0.3">
      <c r="A4419" s="13"/>
      <c r="B4419" s="168"/>
      <c r="C4419" s="169"/>
      <c r="D4419" s="160" t="s">
        <v>39</v>
      </c>
      <c r="E4419" s="161"/>
      <c r="F4419" s="162" t="s">
        <v>40</v>
      </c>
      <c r="G4419" s="163"/>
      <c r="H4419" s="164"/>
      <c r="I4419" s="163"/>
      <c r="J4419" s="164"/>
      <c r="K4419" s="163"/>
      <c r="L4419" s="164"/>
      <c r="M4419" s="11"/>
      <c r="N4419" s="39"/>
      <c r="Q4419" s="15" t="str">
        <f>+CONCATENATE(E4419,G4419)</f>
        <v/>
      </c>
      <c r="R4419" s="15">
        <f>+H4419</f>
        <v>0</v>
      </c>
      <c r="S4419" s="16"/>
      <c r="T4419" s="15">
        <f>+E4419</f>
        <v>0</v>
      </c>
      <c r="U4419" s="26" t="str">
        <f t="shared" ref="U4419" si="2407">IFERROR(LEFT(G4419,FIND("*",G4419)-1),"-")</f>
        <v>-</v>
      </c>
      <c r="V4419" s="26" t="str">
        <f t="shared" ref="V4419" si="2408">IFERROR(RIGHT(G4419,LEN(G4419)-FIND("*",G4419)),"-")</f>
        <v>-</v>
      </c>
      <c r="W4419" s="27" t="str">
        <f t="shared" si="2404"/>
        <v>-</v>
      </c>
      <c r="X4419" s="27" t="str">
        <f>IFERROR(W4419*H4419,"-")</f>
        <v>-</v>
      </c>
      <c r="Z4419" s="94" t="s">
        <v>82</v>
      </c>
    </row>
    <row r="4420" spans="1:26" s="25" customFormat="1" ht="6.95" customHeight="1" x14ac:dyDescent="0.3">
      <c r="A4420" s="10"/>
      <c r="B4420" s="168"/>
      <c r="C4420" s="169"/>
      <c r="D4420" s="160"/>
      <c r="E4420" s="161"/>
      <c r="F4420" s="162"/>
      <c r="G4420" s="163"/>
      <c r="H4420" s="164"/>
      <c r="I4420" s="163"/>
      <c r="J4420" s="164"/>
      <c r="K4420" s="163"/>
      <c r="L4420" s="164"/>
      <c r="M4420" s="11"/>
      <c r="N4420" s="39"/>
      <c r="Q4420" s="15" t="str">
        <f>+CONCATENATE(E4419,I4419)</f>
        <v/>
      </c>
      <c r="R4420" s="15">
        <f>+J4419</f>
        <v>0</v>
      </c>
      <c r="S4420" s="16"/>
      <c r="T4420" s="15">
        <f>+E4419</f>
        <v>0</v>
      </c>
      <c r="U4420" s="26" t="str">
        <f>IFERROR(LEFT(I4419,FIND("*",I4419)-1),"-")</f>
        <v>-</v>
      </c>
      <c r="V4420" s="26" t="str">
        <f>IFERROR(RIGHT(I4419,LEN(I4419)-FIND("*",I4419)),"-")</f>
        <v>-</v>
      </c>
      <c r="W4420" s="27" t="str">
        <f t="shared" si="2404"/>
        <v>-</v>
      </c>
      <c r="X4420" s="27" t="str">
        <f t="shared" ref="X4420" si="2409">IFERROR(W4420*J4419,"-")</f>
        <v>-</v>
      </c>
      <c r="Z4420" s="94" t="s">
        <v>82</v>
      </c>
    </row>
    <row r="4421" spans="1:26" s="25" customFormat="1" ht="6.95" customHeight="1" x14ac:dyDescent="0.3">
      <c r="A4421" s="10"/>
      <c r="B4421" s="168"/>
      <c r="C4421" s="169"/>
      <c r="D4421" s="160"/>
      <c r="E4421" s="161"/>
      <c r="F4421" s="162"/>
      <c r="G4421" s="163"/>
      <c r="H4421" s="164"/>
      <c r="I4421" s="163"/>
      <c r="J4421" s="164"/>
      <c r="K4421" s="163"/>
      <c r="L4421" s="164"/>
      <c r="M4421" s="11"/>
      <c r="N4421" s="39"/>
      <c r="Q4421" s="15" t="str">
        <f>+CONCATENATE(E4419,K4419)</f>
        <v/>
      </c>
      <c r="R4421" s="15">
        <f>+L4419</f>
        <v>0</v>
      </c>
      <c r="S4421" s="16"/>
      <c r="T4421" s="15">
        <f>+E4419</f>
        <v>0</v>
      </c>
      <c r="U4421" s="26" t="str">
        <f>IFERROR(LEFT(K4419,FIND("*",K4419)-1),"-")</f>
        <v>-</v>
      </c>
      <c r="V4421" s="26" t="str">
        <f>IFERROR(RIGHT(K4419,LEN(K4419)-FIND("*",K4419)),"-")</f>
        <v>-</v>
      </c>
      <c r="W4421" s="27" t="str">
        <f t="shared" si="2404"/>
        <v>-</v>
      </c>
      <c r="X4421" s="27" t="str">
        <f>IFERROR(W4421*L4419,"-")</f>
        <v>-</v>
      </c>
      <c r="Z4421" s="94" t="s">
        <v>82</v>
      </c>
    </row>
    <row r="4422" spans="1:26" s="25" customFormat="1" ht="21" customHeight="1" thickBot="1" x14ac:dyDescent="0.35">
      <c r="A4422" s="10"/>
      <c r="B4422" s="170"/>
      <c r="C4422" s="171"/>
      <c r="D4422" s="172" t="s">
        <v>43</v>
      </c>
      <c r="E4422" s="173"/>
      <c r="F4422" s="173"/>
      <c r="G4422" s="174"/>
      <c r="H4422" s="174"/>
      <c r="I4422" s="174"/>
      <c r="J4422" s="174"/>
      <c r="K4422" s="174"/>
      <c r="L4422" s="174"/>
      <c r="M4422" s="12"/>
      <c r="N4422" s="39"/>
      <c r="U4422" s="23"/>
      <c r="V4422" s="23"/>
      <c r="Z4422" s="95" t="s">
        <v>81</v>
      </c>
    </row>
    <row r="4423" spans="1:26" s="25" customFormat="1" ht="9.9499999999999993" customHeight="1" thickBot="1" x14ac:dyDescent="0.35">
      <c r="A4423" s="6"/>
      <c r="B4423" s="14"/>
      <c r="C4423" s="119"/>
      <c r="D4423" s="58"/>
      <c r="E4423" s="17"/>
      <c r="F4423" s="58"/>
      <c r="G4423" s="19"/>
      <c r="H4423" s="19"/>
      <c r="I4423" s="19"/>
      <c r="J4423" s="19"/>
      <c r="K4423" s="19"/>
      <c r="L4423" s="19"/>
      <c r="M4423" s="14"/>
      <c r="N4423" s="39"/>
      <c r="Q4423" s="1"/>
      <c r="R4423" s="1"/>
      <c r="S4423" s="1"/>
      <c r="T4423" s="1"/>
      <c r="U4423" s="24"/>
      <c r="V4423" s="24"/>
      <c r="W4423" s="1"/>
      <c r="X4423" s="1"/>
      <c r="Z4423" s="94" t="s">
        <v>82</v>
      </c>
    </row>
    <row r="4424" spans="1:26" s="25" customFormat="1" ht="6.95" customHeight="1" x14ac:dyDescent="0.3">
      <c r="A4424" s="165">
        <f>+A4413+1</f>
        <v>403</v>
      </c>
      <c r="B4424" s="166"/>
      <c r="C4424" s="167"/>
      <c r="D4424" s="160" t="s">
        <v>39</v>
      </c>
      <c r="E4424" s="161"/>
      <c r="F4424" s="162" t="s">
        <v>40</v>
      </c>
      <c r="G4424" s="163"/>
      <c r="H4424" s="164"/>
      <c r="I4424" s="163"/>
      <c r="J4424" s="164"/>
      <c r="K4424" s="163"/>
      <c r="L4424" s="164"/>
      <c r="M4424" s="11"/>
      <c r="N4424" s="39"/>
      <c r="Q4424" s="15" t="str">
        <f>+CONCATENATE(E4424,G4424)</f>
        <v/>
      </c>
      <c r="R4424" s="15">
        <f>+H4424</f>
        <v>0</v>
      </c>
      <c r="S4424" s="16"/>
      <c r="T4424" s="15">
        <f>+E4424</f>
        <v>0</v>
      </c>
      <c r="U4424" s="26" t="str">
        <f>IFERROR(LEFT(G4424,FIND("*",G4424)-1),"-")</f>
        <v>-</v>
      </c>
      <c r="V4424" s="26" t="str">
        <f>IFERROR(RIGHT(G4424,LEN(G4424)-FIND("*",G4424)),"-")</f>
        <v>-</v>
      </c>
      <c r="W4424" s="27" t="str">
        <f>IFERROR((U4424+V4424)*2/1000,"-")</f>
        <v>-</v>
      </c>
      <c r="X4424" s="27" t="str">
        <f>IFERROR(W4424*H4424,"-")</f>
        <v>-</v>
      </c>
      <c r="Z4424" s="94" t="s">
        <v>82</v>
      </c>
    </row>
    <row r="4425" spans="1:26" s="25" customFormat="1" ht="6.95" customHeight="1" x14ac:dyDescent="0.3">
      <c r="A4425" s="165"/>
      <c r="B4425" s="168"/>
      <c r="C4425" s="169"/>
      <c r="D4425" s="160"/>
      <c r="E4425" s="161"/>
      <c r="F4425" s="162"/>
      <c r="G4425" s="163"/>
      <c r="H4425" s="164"/>
      <c r="I4425" s="163"/>
      <c r="J4425" s="164"/>
      <c r="K4425" s="163"/>
      <c r="L4425" s="164"/>
      <c r="M4425" s="11"/>
      <c r="N4425" s="39"/>
      <c r="Q4425" s="15" t="str">
        <f>+CONCATENATE(E4424,I4424)</f>
        <v/>
      </c>
      <c r="R4425" s="15">
        <f>+J4424</f>
        <v>0</v>
      </c>
      <c r="S4425" s="16"/>
      <c r="T4425" s="15">
        <f>+E4424</f>
        <v>0</v>
      </c>
      <c r="U4425" s="26" t="str">
        <f>IFERROR(LEFT(I4424,FIND("*",I4424)-1),"-")</f>
        <v>-</v>
      </c>
      <c r="V4425" s="26" t="str">
        <f>IFERROR(RIGHT(I4424,LEN(I4424)-FIND("*",I4424)),"-")</f>
        <v>-</v>
      </c>
      <c r="W4425" s="27" t="str">
        <f t="shared" ref="W4425:W4432" si="2410">IFERROR((U4425+V4425)*2/1000,"-")</f>
        <v>-</v>
      </c>
      <c r="X4425" s="27" t="str">
        <f>IFERROR(W4425*J4424,"-")</f>
        <v>-</v>
      </c>
      <c r="Z4425" s="94" t="s">
        <v>82</v>
      </c>
    </row>
    <row r="4426" spans="1:26" s="25" customFormat="1" ht="6.95" customHeight="1" x14ac:dyDescent="0.3">
      <c r="A4426" s="165"/>
      <c r="B4426" s="168"/>
      <c r="C4426" s="169"/>
      <c r="D4426" s="160"/>
      <c r="E4426" s="161"/>
      <c r="F4426" s="162"/>
      <c r="G4426" s="163"/>
      <c r="H4426" s="164"/>
      <c r="I4426" s="163"/>
      <c r="J4426" s="164"/>
      <c r="K4426" s="163"/>
      <c r="L4426" s="164"/>
      <c r="M4426" s="11"/>
      <c r="N4426" s="39"/>
      <c r="Q4426" s="15" t="str">
        <f>+CONCATENATE(E4424,K4424)</f>
        <v/>
      </c>
      <c r="R4426" s="15">
        <f>+L4424</f>
        <v>0</v>
      </c>
      <c r="S4426" s="16"/>
      <c r="T4426" s="15">
        <f>+E4424</f>
        <v>0</v>
      </c>
      <c r="U4426" s="26" t="str">
        <f>IFERROR(LEFT(K4424,FIND("*",K4424)-1),"-")</f>
        <v>-</v>
      </c>
      <c r="V4426" s="26" t="str">
        <f>IFERROR(RIGHT(K4424,LEN(K4424)-FIND("*",K4424)),"-")</f>
        <v>-</v>
      </c>
      <c r="W4426" s="27" t="str">
        <f t="shared" si="2410"/>
        <v>-</v>
      </c>
      <c r="X4426" s="27" t="str">
        <f>IFERROR(W4426*L4424,"-")</f>
        <v>-</v>
      </c>
      <c r="Z4426" s="94" t="s">
        <v>82</v>
      </c>
    </row>
    <row r="4427" spans="1:26" s="25" customFormat="1" ht="6.95" customHeight="1" x14ac:dyDescent="0.3">
      <c r="A4427" s="13"/>
      <c r="B4427" s="168"/>
      <c r="C4427" s="169"/>
      <c r="D4427" s="160" t="s">
        <v>39</v>
      </c>
      <c r="E4427" s="161"/>
      <c r="F4427" s="162" t="s">
        <v>40</v>
      </c>
      <c r="G4427" s="163"/>
      <c r="H4427" s="164"/>
      <c r="I4427" s="163"/>
      <c r="J4427" s="164"/>
      <c r="K4427" s="163"/>
      <c r="L4427" s="164"/>
      <c r="M4427" s="11"/>
      <c r="N4427" s="39"/>
      <c r="Q4427" s="15" t="str">
        <f>+CONCATENATE(E4427,G4427)</f>
        <v/>
      </c>
      <c r="R4427" s="15">
        <f>+H4427</f>
        <v>0</v>
      </c>
      <c r="S4427" s="16"/>
      <c r="T4427" s="15">
        <f>+E4427</f>
        <v>0</v>
      </c>
      <c r="U4427" s="26" t="str">
        <f t="shared" ref="U4427" si="2411">IFERROR(LEFT(G4427,FIND("*",G4427)-1),"-")</f>
        <v>-</v>
      </c>
      <c r="V4427" s="26" t="str">
        <f t="shared" ref="V4427" si="2412">IFERROR(RIGHT(G4427,LEN(G4427)-FIND("*",G4427)),"-")</f>
        <v>-</v>
      </c>
      <c r="W4427" s="27" t="str">
        <f t="shared" si="2410"/>
        <v>-</v>
      </c>
      <c r="X4427" s="27" t="str">
        <f>IFERROR(W4427*H4427,"-")</f>
        <v>-</v>
      </c>
      <c r="Z4427" s="94" t="s">
        <v>82</v>
      </c>
    </row>
    <row r="4428" spans="1:26" s="25" customFormat="1" ht="6.95" customHeight="1" x14ac:dyDescent="0.3">
      <c r="A4428" s="10"/>
      <c r="B4428" s="168"/>
      <c r="C4428" s="169"/>
      <c r="D4428" s="160"/>
      <c r="E4428" s="161"/>
      <c r="F4428" s="162"/>
      <c r="G4428" s="163"/>
      <c r="H4428" s="164"/>
      <c r="I4428" s="163"/>
      <c r="J4428" s="164"/>
      <c r="K4428" s="163"/>
      <c r="L4428" s="164"/>
      <c r="M4428" s="11"/>
      <c r="N4428" s="39"/>
      <c r="Q4428" s="15" t="str">
        <f>+CONCATENATE(E4427,I4427)</f>
        <v/>
      </c>
      <c r="R4428" s="15">
        <f>+J4427</f>
        <v>0</v>
      </c>
      <c r="S4428" s="16"/>
      <c r="T4428" s="15">
        <f>+E4427</f>
        <v>0</v>
      </c>
      <c r="U4428" s="26" t="str">
        <f>IFERROR(LEFT(I4427,FIND("*",I4427)-1),"-")</f>
        <v>-</v>
      </c>
      <c r="V4428" s="26" t="str">
        <f>IFERROR(RIGHT(I4427,LEN(I4427)-FIND("*",I4427)),"-")</f>
        <v>-</v>
      </c>
      <c r="W4428" s="27" t="str">
        <f t="shared" si="2410"/>
        <v>-</v>
      </c>
      <c r="X4428" s="27" t="str">
        <f>IFERROR(W4428*J4427,"-")</f>
        <v>-</v>
      </c>
      <c r="Z4428" s="94" t="s">
        <v>82</v>
      </c>
    </row>
    <row r="4429" spans="1:26" s="25" customFormat="1" ht="6.95" customHeight="1" x14ac:dyDescent="0.3">
      <c r="A4429" s="10"/>
      <c r="B4429" s="168"/>
      <c r="C4429" s="169"/>
      <c r="D4429" s="160"/>
      <c r="E4429" s="161"/>
      <c r="F4429" s="162"/>
      <c r="G4429" s="163"/>
      <c r="H4429" s="164"/>
      <c r="I4429" s="163"/>
      <c r="J4429" s="164"/>
      <c r="K4429" s="163"/>
      <c r="L4429" s="164"/>
      <c r="M4429" s="11"/>
      <c r="N4429" s="39"/>
      <c r="Q4429" s="15" t="str">
        <f>+CONCATENATE(E4427,K4427)</f>
        <v/>
      </c>
      <c r="R4429" s="15">
        <f>+L4427</f>
        <v>0</v>
      </c>
      <c r="S4429" s="16"/>
      <c r="T4429" s="15">
        <f>+E4427</f>
        <v>0</v>
      </c>
      <c r="U4429" s="26" t="str">
        <f>IFERROR(LEFT(K4427,FIND("*",K4427)-1),"-")</f>
        <v>-</v>
      </c>
      <c r="V4429" s="26" t="str">
        <f>IFERROR(RIGHT(K4427,LEN(K4427)-FIND("*",K4427)),"-")</f>
        <v>-</v>
      </c>
      <c r="W4429" s="27" t="str">
        <f t="shared" si="2410"/>
        <v>-</v>
      </c>
      <c r="X4429" s="27" t="str">
        <f>IFERROR(W4429*L4427,"-")</f>
        <v>-</v>
      </c>
      <c r="Z4429" s="94" t="s">
        <v>82</v>
      </c>
    </row>
    <row r="4430" spans="1:26" s="25" customFormat="1" ht="6.95" customHeight="1" x14ac:dyDescent="0.3">
      <c r="A4430" s="13"/>
      <c r="B4430" s="168"/>
      <c r="C4430" s="169"/>
      <c r="D4430" s="160" t="s">
        <v>39</v>
      </c>
      <c r="E4430" s="161"/>
      <c r="F4430" s="162" t="s">
        <v>40</v>
      </c>
      <c r="G4430" s="163"/>
      <c r="H4430" s="164"/>
      <c r="I4430" s="163"/>
      <c r="J4430" s="164"/>
      <c r="K4430" s="163"/>
      <c r="L4430" s="164"/>
      <c r="M4430" s="11"/>
      <c r="N4430" s="39"/>
      <c r="Q4430" s="15" t="str">
        <f>+CONCATENATE(E4430,G4430)</f>
        <v/>
      </c>
      <c r="R4430" s="15">
        <f>+H4430</f>
        <v>0</v>
      </c>
      <c r="S4430" s="16"/>
      <c r="T4430" s="15">
        <f>+E4430</f>
        <v>0</v>
      </c>
      <c r="U4430" s="26" t="str">
        <f t="shared" ref="U4430" si="2413">IFERROR(LEFT(G4430,FIND("*",G4430)-1),"-")</f>
        <v>-</v>
      </c>
      <c r="V4430" s="26" t="str">
        <f t="shared" ref="V4430" si="2414">IFERROR(RIGHT(G4430,LEN(G4430)-FIND("*",G4430)),"-")</f>
        <v>-</v>
      </c>
      <c r="W4430" s="27" t="str">
        <f t="shared" si="2410"/>
        <v>-</v>
      </c>
      <c r="X4430" s="27" t="str">
        <f>IFERROR(W4430*H4430,"-")</f>
        <v>-</v>
      </c>
      <c r="Z4430" s="94" t="s">
        <v>82</v>
      </c>
    </row>
    <row r="4431" spans="1:26" s="25" customFormat="1" ht="6.95" customHeight="1" x14ac:dyDescent="0.3">
      <c r="A4431" s="10"/>
      <c r="B4431" s="168"/>
      <c r="C4431" s="169"/>
      <c r="D4431" s="160"/>
      <c r="E4431" s="161"/>
      <c r="F4431" s="162"/>
      <c r="G4431" s="163"/>
      <c r="H4431" s="164"/>
      <c r="I4431" s="163"/>
      <c r="J4431" s="164"/>
      <c r="K4431" s="163"/>
      <c r="L4431" s="164"/>
      <c r="M4431" s="11"/>
      <c r="N4431" s="39"/>
      <c r="Q4431" s="15" t="str">
        <f>+CONCATENATE(E4430,I4430)</f>
        <v/>
      </c>
      <c r="R4431" s="15">
        <f>+J4430</f>
        <v>0</v>
      </c>
      <c r="S4431" s="16"/>
      <c r="T4431" s="15">
        <f>+E4430</f>
        <v>0</v>
      </c>
      <c r="U4431" s="26" t="str">
        <f>IFERROR(LEFT(I4430,FIND("*",I4430)-1),"-")</f>
        <v>-</v>
      </c>
      <c r="V4431" s="26" t="str">
        <f>IFERROR(RIGHT(I4430,LEN(I4430)-FIND("*",I4430)),"-")</f>
        <v>-</v>
      </c>
      <c r="W4431" s="27" t="str">
        <f t="shared" si="2410"/>
        <v>-</v>
      </c>
      <c r="X4431" s="27" t="str">
        <f t="shared" ref="X4431" si="2415">IFERROR(W4431*J4430,"-")</f>
        <v>-</v>
      </c>
      <c r="Z4431" s="94" t="s">
        <v>82</v>
      </c>
    </row>
    <row r="4432" spans="1:26" s="25" customFormat="1" ht="6.95" customHeight="1" x14ac:dyDescent="0.3">
      <c r="A4432" s="10"/>
      <c r="B4432" s="168"/>
      <c r="C4432" s="169"/>
      <c r="D4432" s="160"/>
      <c r="E4432" s="161"/>
      <c r="F4432" s="162"/>
      <c r="G4432" s="163"/>
      <c r="H4432" s="164"/>
      <c r="I4432" s="163"/>
      <c r="J4432" s="164"/>
      <c r="K4432" s="163"/>
      <c r="L4432" s="164"/>
      <c r="M4432" s="11"/>
      <c r="N4432" s="39"/>
      <c r="Q4432" s="15" t="str">
        <f>+CONCATENATE(E4430,K4430)</f>
        <v/>
      </c>
      <c r="R4432" s="15">
        <f>+L4430</f>
        <v>0</v>
      </c>
      <c r="S4432" s="16"/>
      <c r="T4432" s="15">
        <f>+E4430</f>
        <v>0</v>
      </c>
      <c r="U4432" s="26" t="str">
        <f>IFERROR(LEFT(K4430,FIND("*",K4430)-1),"-")</f>
        <v>-</v>
      </c>
      <c r="V4432" s="26" t="str">
        <f>IFERROR(RIGHT(K4430,LEN(K4430)-FIND("*",K4430)),"-")</f>
        <v>-</v>
      </c>
      <c r="W4432" s="27" t="str">
        <f t="shared" si="2410"/>
        <v>-</v>
      </c>
      <c r="X4432" s="27" t="str">
        <f>IFERROR(W4432*L4430,"-")</f>
        <v>-</v>
      </c>
      <c r="Z4432" s="94" t="s">
        <v>82</v>
      </c>
    </row>
    <row r="4433" spans="1:26" s="25" customFormat="1" ht="21" customHeight="1" thickBot="1" x14ac:dyDescent="0.35">
      <c r="A4433" s="10"/>
      <c r="B4433" s="170"/>
      <c r="C4433" s="171"/>
      <c r="D4433" s="172" t="s">
        <v>43</v>
      </c>
      <c r="E4433" s="173"/>
      <c r="F4433" s="173"/>
      <c r="G4433" s="174"/>
      <c r="H4433" s="174"/>
      <c r="I4433" s="174"/>
      <c r="J4433" s="174"/>
      <c r="K4433" s="174"/>
      <c r="L4433" s="174"/>
      <c r="M4433" s="12"/>
      <c r="N4433" s="39"/>
      <c r="U4433" s="23"/>
      <c r="V4433" s="23"/>
      <c r="Z4433" s="95" t="s">
        <v>81</v>
      </c>
    </row>
    <row r="4434" spans="1:26" s="25" customFormat="1" ht="9.9499999999999993" customHeight="1" thickBot="1" x14ac:dyDescent="0.35">
      <c r="A4434" s="6"/>
      <c r="B4434" s="14"/>
      <c r="C4434" s="119"/>
      <c r="D4434" s="58"/>
      <c r="E4434" s="17"/>
      <c r="F4434" s="58"/>
      <c r="G4434" s="19"/>
      <c r="H4434" s="19"/>
      <c r="I4434" s="19"/>
      <c r="J4434" s="19"/>
      <c r="K4434" s="19"/>
      <c r="L4434" s="19"/>
      <c r="M4434" s="14"/>
      <c r="N4434" s="39"/>
      <c r="Q4434" s="1"/>
      <c r="R4434" s="1"/>
      <c r="S4434" s="1"/>
      <c r="T4434" s="1"/>
      <c r="U4434" s="24"/>
      <c r="V4434" s="24"/>
      <c r="W4434" s="1"/>
      <c r="X4434" s="1"/>
      <c r="Z4434" s="94" t="s">
        <v>82</v>
      </c>
    </row>
    <row r="4435" spans="1:26" s="25" customFormat="1" ht="6.95" customHeight="1" x14ac:dyDescent="0.3">
      <c r="A4435" s="165">
        <f>+A4424+1</f>
        <v>404</v>
      </c>
      <c r="B4435" s="166"/>
      <c r="C4435" s="167"/>
      <c r="D4435" s="160" t="s">
        <v>39</v>
      </c>
      <c r="E4435" s="161"/>
      <c r="F4435" s="162" t="s">
        <v>40</v>
      </c>
      <c r="G4435" s="163"/>
      <c r="H4435" s="164"/>
      <c r="I4435" s="163"/>
      <c r="J4435" s="164"/>
      <c r="K4435" s="163"/>
      <c r="L4435" s="164"/>
      <c r="M4435" s="11"/>
      <c r="N4435" s="39"/>
      <c r="Q4435" s="15" t="str">
        <f>+CONCATENATE(E4435,G4435)</f>
        <v/>
      </c>
      <c r="R4435" s="15">
        <f>+H4435</f>
        <v>0</v>
      </c>
      <c r="S4435" s="16"/>
      <c r="T4435" s="15">
        <f>+E4435</f>
        <v>0</v>
      </c>
      <c r="U4435" s="26" t="str">
        <f>IFERROR(LEFT(G4435,FIND("*",G4435)-1),"-")</f>
        <v>-</v>
      </c>
      <c r="V4435" s="26" t="str">
        <f>IFERROR(RIGHT(G4435,LEN(G4435)-FIND("*",G4435)),"-")</f>
        <v>-</v>
      </c>
      <c r="W4435" s="27" t="str">
        <f>IFERROR((U4435+V4435)*2/1000,"-")</f>
        <v>-</v>
      </c>
      <c r="X4435" s="27" t="str">
        <f>IFERROR(W4435*H4435,"-")</f>
        <v>-</v>
      </c>
      <c r="Z4435" s="94" t="s">
        <v>82</v>
      </c>
    </row>
    <row r="4436" spans="1:26" s="25" customFormat="1" ht="6.95" customHeight="1" x14ac:dyDescent="0.3">
      <c r="A4436" s="165"/>
      <c r="B4436" s="168"/>
      <c r="C4436" s="169"/>
      <c r="D4436" s="160"/>
      <c r="E4436" s="161"/>
      <c r="F4436" s="162"/>
      <c r="G4436" s="163"/>
      <c r="H4436" s="164"/>
      <c r="I4436" s="163"/>
      <c r="J4436" s="164"/>
      <c r="K4436" s="163"/>
      <c r="L4436" s="164"/>
      <c r="M4436" s="11"/>
      <c r="N4436" s="39"/>
      <c r="Q4436" s="15" t="str">
        <f>+CONCATENATE(E4435,I4435)</f>
        <v/>
      </c>
      <c r="R4436" s="15">
        <f>+J4435</f>
        <v>0</v>
      </c>
      <c r="S4436" s="16"/>
      <c r="T4436" s="15">
        <f>+E4435</f>
        <v>0</v>
      </c>
      <c r="U4436" s="26" t="str">
        <f>IFERROR(LEFT(I4435,FIND("*",I4435)-1),"-")</f>
        <v>-</v>
      </c>
      <c r="V4436" s="26" t="str">
        <f>IFERROR(RIGHT(I4435,LEN(I4435)-FIND("*",I4435)),"-")</f>
        <v>-</v>
      </c>
      <c r="W4436" s="27" t="str">
        <f t="shared" ref="W4436:W4443" si="2416">IFERROR((U4436+V4436)*2/1000,"-")</f>
        <v>-</v>
      </c>
      <c r="X4436" s="27" t="str">
        <f>IFERROR(W4436*J4435,"-")</f>
        <v>-</v>
      </c>
      <c r="Z4436" s="94" t="s">
        <v>82</v>
      </c>
    </row>
    <row r="4437" spans="1:26" s="25" customFormat="1" ht="6.95" customHeight="1" x14ac:dyDescent="0.3">
      <c r="A4437" s="165"/>
      <c r="B4437" s="168"/>
      <c r="C4437" s="169"/>
      <c r="D4437" s="160"/>
      <c r="E4437" s="161"/>
      <c r="F4437" s="162"/>
      <c r="G4437" s="163"/>
      <c r="H4437" s="164"/>
      <c r="I4437" s="163"/>
      <c r="J4437" s="164"/>
      <c r="K4437" s="163"/>
      <c r="L4437" s="164"/>
      <c r="M4437" s="11"/>
      <c r="N4437" s="39"/>
      <c r="Q4437" s="15" t="str">
        <f>+CONCATENATE(E4435,K4435)</f>
        <v/>
      </c>
      <c r="R4437" s="15">
        <f>+L4435</f>
        <v>0</v>
      </c>
      <c r="S4437" s="16"/>
      <c r="T4437" s="15">
        <f>+E4435</f>
        <v>0</v>
      </c>
      <c r="U4437" s="26" t="str">
        <f>IFERROR(LEFT(K4435,FIND("*",K4435)-1),"-")</f>
        <v>-</v>
      </c>
      <c r="V4437" s="26" t="str">
        <f>IFERROR(RIGHT(K4435,LEN(K4435)-FIND("*",K4435)),"-")</f>
        <v>-</v>
      </c>
      <c r="W4437" s="27" t="str">
        <f t="shared" si="2416"/>
        <v>-</v>
      </c>
      <c r="X4437" s="27" t="str">
        <f>IFERROR(W4437*L4435,"-")</f>
        <v>-</v>
      </c>
      <c r="Z4437" s="94" t="s">
        <v>82</v>
      </c>
    </row>
    <row r="4438" spans="1:26" s="25" customFormat="1" ht="6.95" customHeight="1" x14ac:dyDescent="0.3">
      <c r="A4438" s="13"/>
      <c r="B4438" s="168"/>
      <c r="C4438" s="169"/>
      <c r="D4438" s="160" t="s">
        <v>39</v>
      </c>
      <c r="E4438" s="161"/>
      <c r="F4438" s="162" t="s">
        <v>40</v>
      </c>
      <c r="G4438" s="163"/>
      <c r="H4438" s="164"/>
      <c r="I4438" s="163"/>
      <c r="J4438" s="164"/>
      <c r="K4438" s="163"/>
      <c r="L4438" s="164"/>
      <c r="M4438" s="11"/>
      <c r="N4438" s="39"/>
      <c r="Q4438" s="15" t="str">
        <f>+CONCATENATE(E4438,G4438)</f>
        <v/>
      </c>
      <c r="R4438" s="15">
        <f>+H4438</f>
        <v>0</v>
      </c>
      <c r="S4438" s="16"/>
      <c r="T4438" s="15">
        <f>+E4438</f>
        <v>0</v>
      </c>
      <c r="U4438" s="26" t="str">
        <f t="shared" ref="U4438" si="2417">IFERROR(LEFT(G4438,FIND("*",G4438)-1),"-")</f>
        <v>-</v>
      </c>
      <c r="V4438" s="26" t="str">
        <f t="shared" ref="V4438" si="2418">IFERROR(RIGHT(G4438,LEN(G4438)-FIND("*",G4438)),"-")</f>
        <v>-</v>
      </c>
      <c r="W4438" s="27" t="str">
        <f t="shared" si="2416"/>
        <v>-</v>
      </c>
      <c r="X4438" s="27" t="str">
        <f>IFERROR(W4438*H4438,"-")</f>
        <v>-</v>
      </c>
      <c r="Z4438" s="94" t="s">
        <v>82</v>
      </c>
    </row>
    <row r="4439" spans="1:26" s="25" customFormat="1" ht="6.95" customHeight="1" x14ac:dyDescent="0.3">
      <c r="A4439" s="10"/>
      <c r="B4439" s="168"/>
      <c r="C4439" s="169"/>
      <c r="D4439" s="160"/>
      <c r="E4439" s="161"/>
      <c r="F4439" s="162"/>
      <c r="G4439" s="163"/>
      <c r="H4439" s="164"/>
      <c r="I4439" s="163"/>
      <c r="J4439" s="164"/>
      <c r="K4439" s="163"/>
      <c r="L4439" s="164"/>
      <c r="M4439" s="11"/>
      <c r="N4439" s="39"/>
      <c r="Q4439" s="15" t="str">
        <f>+CONCATENATE(E4438,I4438)</f>
        <v/>
      </c>
      <c r="R4439" s="15">
        <f>+J4438</f>
        <v>0</v>
      </c>
      <c r="S4439" s="16"/>
      <c r="T4439" s="15">
        <f>+E4438</f>
        <v>0</v>
      </c>
      <c r="U4439" s="26" t="str">
        <f>IFERROR(LEFT(I4438,FIND("*",I4438)-1),"-")</f>
        <v>-</v>
      </c>
      <c r="V4439" s="26" t="str">
        <f>IFERROR(RIGHT(I4438,LEN(I4438)-FIND("*",I4438)),"-")</f>
        <v>-</v>
      </c>
      <c r="W4439" s="27" t="str">
        <f t="shared" si="2416"/>
        <v>-</v>
      </c>
      <c r="X4439" s="27" t="str">
        <f>IFERROR(W4439*J4438,"-")</f>
        <v>-</v>
      </c>
      <c r="Z4439" s="94" t="s">
        <v>82</v>
      </c>
    </row>
    <row r="4440" spans="1:26" s="25" customFormat="1" ht="6.95" customHeight="1" x14ac:dyDescent="0.3">
      <c r="A4440" s="10"/>
      <c r="B4440" s="168"/>
      <c r="C4440" s="169"/>
      <c r="D4440" s="160"/>
      <c r="E4440" s="161"/>
      <c r="F4440" s="162"/>
      <c r="G4440" s="163"/>
      <c r="H4440" s="164"/>
      <c r="I4440" s="163"/>
      <c r="J4440" s="164"/>
      <c r="K4440" s="163"/>
      <c r="L4440" s="164"/>
      <c r="M4440" s="11"/>
      <c r="N4440" s="39"/>
      <c r="Q4440" s="15" t="str">
        <f>+CONCATENATE(E4438,K4438)</f>
        <v/>
      </c>
      <c r="R4440" s="15">
        <f>+L4438</f>
        <v>0</v>
      </c>
      <c r="S4440" s="16"/>
      <c r="T4440" s="15">
        <f>+E4438</f>
        <v>0</v>
      </c>
      <c r="U4440" s="26" t="str">
        <f>IFERROR(LEFT(K4438,FIND("*",K4438)-1),"-")</f>
        <v>-</v>
      </c>
      <c r="V4440" s="26" t="str">
        <f>IFERROR(RIGHT(K4438,LEN(K4438)-FIND("*",K4438)),"-")</f>
        <v>-</v>
      </c>
      <c r="W4440" s="27" t="str">
        <f t="shared" si="2416"/>
        <v>-</v>
      </c>
      <c r="X4440" s="27" t="str">
        <f>IFERROR(W4440*L4438,"-")</f>
        <v>-</v>
      </c>
      <c r="Z4440" s="94" t="s">
        <v>82</v>
      </c>
    </row>
    <row r="4441" spans="1:26" s="25" customFormat="1" ht="6.95" customHeight="1" x14ac:dyDescent="0.3">
      <c r="A4441" s="13"/>
      <c r="B4441" s="168"/>
      <c r="C4441" s="169"/>
      <c r="D4441" s="160" t="s">
        <v>39</v>
      </c>
      <c r="E4441" s="161"/>
      <c r="F4441" s="162" t="s">
        <v>40</v>
      </c>
      <c r="G4441" s="163"/>
      <c r="H4441" s="164"/>
      <c r="I4441" s="163"/>
      <c r="J4441" s="164"/>
      <c r="K4441" s="163"/>
      <c r="L4441" s="164"/>
      <c r="M4441" s="11"/>
      <c r="N4441" s="39"/>
      <c r="Q4441" s="15" t="str">
        <f>+CONCATENATE(E4441,G4441)</f>
        <v/>
      </c>
      <c r="R4441" s="15">
        <f>+H4441</f>
        <v>0</v>
      </c>
      <c r="S4441" s="16"/>
      <c r="T4441" s="15">
        <f>+E4441</f>
        <v>0</v>
      </c>
      <c r="U4441" s="26" t="str">
        <f t="shared" ref="U4441" si="2419">IFERROR(LEFT(G4441,FIND("*",G4441)-1),"-")</f>
        <v>-</v>
      </c>
      <c r="V4441" s="26" t="str">
        <f t="shared" ref="V4441" si="2420">IFERROR(RIGHT(G4441,LEN(G4441)-FIND("*",G4441)),"-")</f>
        <v>-</v>
      </c>
      <c r="W4441" s="27" t="str">
        <f t="shared" si="2416"/>
        <v>-</v>
      </c>
      <c r="X4441" s="27" t="str">
        <f>IFERROR(W4441*H4441,"-")</f>
        <v>-</v>
      </c>
      <c r="Z4441" s="94" t="s">
        <v>82</v>
      </c>
    </row>
    <row r="4442" spans="1:26" s="25" customFormat="1" ht="6.95" customHeight="1" x14ac:dyDescent="0.3">
      <c r="A4442" s="10"/>
      <c r="B4442" s="168"/>
      <c r="C4442" s="169"/>
      <c r="D4442" s="160"/>
      <c r="E4442" s="161"/>
      <c r="F4442" s="162"/>
      <c r="G4442" s="163"/>
      <c r="H4442" s="164"/>
      <c r="I4442" s="163"/>
      <c r="J4442" s="164"/>
      <c r="K4442" s="163"/>
      <c r="L4442" s="164"/>
      <c r="M4442" s="11"/>
      <c r="N4442" s="39"/>
      <c r="Q4442" s="15" t="str">
        <f>+CONCATENATE(E4441,I4441)</f>
        <v/>
      </c>
      <c r="R4442" s="15">
        <f>+J4441</f>
        <v>0</v>
      </c>
      <c r="S4442" s="16"/>
      <c r="T4442" s="15">
        <f>+E4441</f>
        <v>0</v>
      </c>
      <c r="U4442" s="26" t="str">
        <f>IFERROR(LEFT(I4441,FIND("*",I4441)-1),"-")</f>
        <v>-</v>
      </c>
      <c r="V4442" s="26" t="str">
        <f>IFERROR(RIGHT(I4441,LEN(I4441)-FIND("*",I4441)),"-")</f>
        <v>-</v>
      </c>
      <c r="W4442" s="27" t="str">
        <f t="shared" si="2416"/>
        <v>-</v>
      </c>
      <c r="X4442" s="27" t="str">
        <f t="shared" ref="X4442" si="2421">IFERROR(W4442*J4441,"-")</f>
        <v>-</v>
      </c>
      <c r="Z4442" s="94" t="s">
        <v>82</v>
      </c>
    </row>
    <row r="4443" spans="1:26" s="25" customFormat="1" ht="6.95" customHeight="1" x14ac:dyDescent="0.3">
      <c r="A4443" s="10"/>
      <c r="B4443" s="168"/>
      <c r="C4443" s="169"/>
      <c r="D4443" s="160"/>
      <c r="E4443" s="161"/>
      <c r="F4443" s="162"/>
      <c r="G4443" s="163"/>
      <c r="H4443" s="164"/>
      <c r="I4443" s="163"/>
      <c r="J4443" s="164"/>
      <c r="K4443" s="163"/>
      <c r="L4443" s="164"/>
      <c r="M4443" s="11"/>
      <c r="N4443" s="39"/>
      <c r="Q4443" s="15" t="str">
        <f>+CONCATENATE(E4441,K4441)</f>
        <v/>
      </c>
      <c r="R4443" s="15">
        <f>+L4441</f>
        <v>0</v>
      </c>
      <c r="S4443" s="16"/>
      <c r="T4443" s="15">
        <f>+E4441</f>
        <v>0</v>
      </c>
      <c r="U4443" s="26" t="str">
        <f>IFERROR(LEFT(K4441,FIND("*",K4441)-1),"-")</f>
        <v>-</v>
      </c>
      <c r="V4443" s="26" t="str">
        <f>IFERROR(RIGHT(K4441,LEN(K4441)-FIND("*",K4441)),"-")</f>
        <v>-</v>
      </c>
      <c r="W4443" s="27" t="str">
        <f t="shared" si="2416"/>
        <v>-</v>
      </c>
      <c r="X4443" s="27" t="str">
        <f>IFERROR(W4443*L4441,"-")</f>
        <v>-</v>
      </c>
      <c r="Z4443" s="94" t="s">
        <v>82</v>
      </c>
    </row>
    <row r="4444" spans="1:26" s="25" customFormat="1" ht="21" customHeight="1" thickBot="1" x14ac:dyDescent="0.35">
      <c r="A4444" s="10"/>
      <c r="B4444" s="170"/>
      <c r="C4444" s="171"/>
      <c r="D4444" s="172" t="s">
        <v>43</v>
      </c>
      <c r="E4444" s="173"/>
      <c r="F4444" s="173"/>
      <c r="G4444" s="174"/>
      <c r="H4444" s="174"/>
      <c r="I4444" s="174"/>
      <c r="J4444" s="174"/>
      <c r="K4444" s="174"/>
      <c r="L4444" s="174"/>
      <c r="M4444" s="12"/>
      <c r="N4444" s="39"/>
      <c r="U4444" s="23"/>
      <c r="V4444" s="23"/>
      <c r="Z4444" s="95" t="s">
        <v>81</v>
      </c>
    </row>
    <row r="4445" spans="1:26" s="25" customFormat="1" ht="9.9499999999999993" customHeight="1" thickBot="1" x14ac:dyDescent="0.35">
      <c r="A4445" s="6"/>
      <c r="B4445" s="14"/>
      <c r="C4445" s="119"/>
      <c r="D4445" s="58"/>
      <c r="E4445" s="17"/>
      <c r="F4445" s="58"/>
      <c r="G4445" s="19"/>
      <c r="H4445" s="19"/>
      <c r="I4445" s="19"/>
      <c r="J4445" s="19"/>
      <c r="K4445" s="19"/>
      <c r="L4445" s="19"/>
      <c r="M4445" s="14"/>
      <c r="N4445" s="39"/>
      <c r="Q4445" s="1"/>
      <c r="R4445" s="1"/>
      <c r="S4445" s="1"/>
      <c r="T4445" s="1"/>
      <c r="U4445" s="24"/>
      <c r="V4445" s="24"/>
      <c r="W4445" s="1"/>
      <c r="X4445" s="1"/>
      <c r="Z4445" s="94" t="s">
        <v>82</v>
      </c>
    </row>
    <row r="4446" spans="1:26" s="25" customFormat="1" ht="6.95" customHeight="1" x14ac:dyDescent="0.3">
      <c r="A4446" s="165">
        <f>+A4435+1</f>
        <v>405</v>
      </c>
      <c r="B4446" s="166"/>
      <c r="C4446" s="167"/>
      <c r="D4446" s="160" t="s">
        <v>39</v>
      </c>
      <c r="E4446" s="161"/>
      <c r="F4446" s="162" t="s">
        <v>40</v>
      </c>
      <c r="G4446" s="163"/>
      <c r="H4446" s="164"/>
      <c r="I4446" s="163"/>
      <c r="J4446" s="164"/>
      <c r="K4446" s="163"/>
      <c r="L4446" s="164"/>
      <c r="M4446" s="11"/>
      <c r="N4446" s="39"/>
      <c r="Q4446" s="15" t="str">
        <f>+CONCATENATE(E4446,G4446)</f>
        <v/>
      </c>
      <c r="R4446" s="15">
        <f>+H4446</f>
        <v>0</v>
      </c>
      <c r="S4446" s="16"/>
      <c r="T4446" s="15">
        <f>+E4446</f>
        <v>0</v>
      </c>
      <c r="U4446" s="26" t="str">
        <f>IFERROR(LEFT(G4446,FIND("*",G4446)-1),"-")</f>
        <v>-</v>
      </c>
      <c r="V4446" s="26" t="str">
        <f>IFERROR(RIGHT(G4446,LEN(G4446)-FIND("*",G4446)),"-")</f>
        <v>-</v>
      </c>
      <c r="W4446" s="27" t="str">
        <f>IFERROR((U4446+V4446)*2/1000,"-")</f>
        <v>-</v>
      </c>
      <c r="X4446" s="27" t="str">
        <f>IFERROR(W4446*H4446,"-")</f>
        <v>-</v>
      </c>
      <c r="Z4446" s="94" t="s">
        <v>82</v>
      </c>
    </row>
    <row r="4447" spans="1:26" s="25" customFormat="1" ht="6.95" customHeight="1" x14ac:dyDescent="0.3">
      <c r="A4447" s="165"/>
      <c r="B4447" s="168"/>
      <c r="C4447" s="169"/>
      <c r="D4447" s="160"/>
      <c r="E4447" s="161"/>
      <c r="F4447" s="162"/>
      <c r="G4447" s="163"/>
      <c r="H4447" s="164"/>
      <c r="I4447" s="163"/>
      <c r="J4447" s="164"/>
      <c r="K4447" s="163"/>
      <c r="L4447" s="164"/>
      <c r="M4447" s="11"/>
      <c r="N4447" s="39"/>
      <c r="Q4447" s="15" t="str">
        <f>+CONCATENATE(E4446,I4446)</f>
        <v/>
      </c>
      <c r="R4447" s="15">
        <f>+J4446</f>
        <v>0</v>
      </c>
      <c r="S4447" s="16"/>
      <c r="T4447" s="15">
        <f>+E4446</f>
        <v>0</v>
      </c>
      <c r="U4447" s="26" t="str">
        <f>IFERROR(LEFT(I4446,FIND("*",I4446)-1),"-")</f>
        <v>-</v>
      </c>
      <c r="V4447" s="26" t="str">
        <f>IFERROR(RIGHT(I4446,LEN(I4446)-FIND("*",I4446)),"-")</f>
        <v>-</v>
      </c>
      <c r="W4447" s="27" t="str">
        <f t="shared" ref="W4447:W4454" si="2422">IFERROR((U4447+V4447)*2/1000,"-")</f>
        <v>-</v>
      </c>
      <c r="X4447" s="27" t="str">
        <f>IFERROR(W4447*J4446,"-")</f>
        <v>-</v>
      </c>
      <c r="Z4447" s="94" t="s">
        <v>82</v>
      </c>
    </row>
    <row r="4448" spans="1:26" s="25" customFormat="1" ht="6.95" customHeight="1" x14ac:dyDescent="0.3">
      <c r="A4448" s="165"/>
      <c r="B4448" s="168"/>
      <c r="C4448" s="169"/>
      <c r="D4448" s="160"/>
      <c r="E4448" s="161"/>
      <c r="F4448" s="162"/>
      <c r="G4448" s="163"/>
      <c r="H4448" s="164"/>
      <c r="I4448" s="163"/>
      <c r="J4448" s="164"/>
      <c r="K4448" s="163"/>
      <c r="L4448" s="164"/>
      <c r="M4448" s="11"/>
      <c r="N4448" s="39"/>
      <c r="Q4448" s="15" t="str">
        <f>+CONCATENATE(E4446,K4446)</f>
        <v/>
      </c>
      <c r="R4448" s="15">
        <f>+L4446</f>
        <v>0</v>
      </c>
      <c r="S4448" s="16"/>
      <c r="T4448" s="15">
        <f>+E4446</f>
        <v>0</v>
      </c>
      <c r="U4448" s="26" t="str">
        <f>IFERROR(LEFT(K4446,FIND("*",K4446)-1),"-")</f>
        <v>-</v>
      </c>
      <c r="V4448" s="26" t="str">
        <f>IFERROR(RIGHT(K4446,LEN(K4446)-FIND("*",K4446)),"-")</f>
        <v>-</v>
      </c>
      <c r="W4448" s="27" t="str">
        <f t="shared" si="2422"/>
        <v>-</v>
      </c>
      <c r="X4448" s="27" t="str">
        <f>IFERROR(W4448*L4446,"-")</f>
        <v>-</v>
      </c>
      <c r="Z4448" s="94" t="s">
        <v>82</v>
      </c>
    </row>
    <row r="4449" spans="1:26" s="25" customFormat="1" ht="6.95" customHeight="1" x14ac:dyDescent="0.3">
      <c r="A4449" s="13"/>
      <c r="B4449" s="168"/>
      <c r="C4449" s="169"/>
      <c r="D4449" s="160" t="s">
        <v>39</v>
      </c>
      <c r="E4449" s="161"/>
      <c r="F4449" s="162" t="s">
        <v>40</v>
      </c>
      <c r="G4449" s="163"/>
      <c r="H4449" s="164"/>
      <c r="I4449" s="163"/>
      <c r="J4449" s="164"/>
      <c r="K4449" s="163"/>
      <c r="L4449" s="164"/>
      <c r="M4449" s="11"/>
      <c r="N4449" s="39"/>
      <c r="Q4449" s="15" t="str">
        <f>+CONCATENATE(E4449,G4449)</f>
        <v/>
      </c>
      <c r="R4449" s="15">
        <f>+H4449</f>
        <v>0</v>
      </c>
      <c r="S4449" s="16"/>
      <c r="T4449" s="15">
        <f>+E4449</f>
        <v>0</v>
      </c>
      <c r="U4449" s="26" t="str">
        <f t="shared" ref="U4449" si="2423">IFERROR(LEFT(G4449,FIND("*",G4449)-1),"-")</f>
        <v>-</v>
      </c>
      <c r="V4449" s="26" t="str">
        <f t="shared" ref="V4449" si="2424">IFERROR(RIGHT(G4449,LEN(G4449)-FIND("*",G4449)),"-")</f>
        <v>-</v>
      </c>
      <c r="W4449" s="27" t="str">
        <f t="shared" si="2422"/>
        <v>-</v>
      </c>
      <c r="X4449" s="27" t="str">
        <f>IFERROR(W4449*H4449,"-")</f>
        <v>-</v>
      </c>
      <c r="Z4449" s="94" t="s">
        <v>82</v>
      </c>
    </row>
    <row r="4450" spans="1:26" s="25" customFormat="1" ht="6.95" customHeight="1" x14ac:dyDescent="0.3">
      <c r="A4450" s="10"/>
      <c r="B4450" s="168"/>
      <c r="C4450" s="169"/>
      <c r="D4450" s="160"/>
      <c r="E4450" s="161"/>
      <c r="F4450" s="162"/>
      <c r="G4450" s="163"/>
      <c r="H4450" s="164"/>
      <c r="I4450" s="163"/>
      <c r="J4450" s="164"/>
      <c r="K4450" s="163"/>
      <c r="L4450" s="164"/>
      <c r="M4450" s="11"/>
      <c r="N4450" s="39"/>
      <c r="Q4450" s="15" t="str">
        <f>+CONCATENATE(E4449,I4449)</f>
        <v/>
      </c>
      <c r="R4450" s="15">
        <f>+J4449</f>
        <v>0</v>
      </c>
      <c r="S4450" s="16"/>
      <c r="T4450" s="15">
        <f>+E4449</f>
        <v>0</v>
      </c>
      <c r="U4450" s="26" t="str">
        <f>IFERROR(LEFT(I4449,FIND("*",I4449)-1),"-")</f>
        <v>-</v>
      </c>
      <c r="V4450" s="26" t="str">
        <f>IFERROR(RIGHT(I4449,LEN(I4449)-FIND("*",I4449)),"-")</f>
        <v>-</v>
      </c>
      <c r="W4450" s="27" t="str">
        <f t="shared" si="2422"/>
        <v>-</v>
      </c>
      <c r="X4450" s="27" t="str">
        <f>IFERROR(W4450*J4449,"-")</f>
        <v>-</v>
      </c>
      <c r="Z4450" s="94" t="s">
        <v>82</v>
      </c>
    </row>
    <row r="4451" spans="1:26" s="25" customFormat="1" ht="6.95" customHeight="1" x14ac:dyDescent="0.3">
      <c r="A4451" s="10"/>
      <c r="B4451" s="168"/>
      <c r="C4451" s="169"/>
      <c r="D4451" s="160"/>
      <c r="E4451" s="161"/>
      <c r="F4451" s="162"/>
      <c r="G4451" s="163"/>
      <c r="H4451" s="164"/>
      <c r="I4451" s="163"/>
      <c r="J4451" s="164"/>
      <c r="K4451" s="163"/>
      <c r="L4451" s="164"/>
      <c r="M4451" s="11"/>
      <c r="N4451" s="39"/>
      <c r="Q4451" s="15" t="str">
        <f>+CONCATENATE(E4449,K4449)</f>
        <v/>
      </c>
      <c r="R4451" s="15">
        <f>+L4449</f>
        <v>0</v>
      </c>
      <c r="S4451" s="16"/>
      <c r="T4451" s="15">
        <f>+E4449</f>
        <v>0</v>
      </c>
      <c r="U4451" s="26" t="str">
        <f>IFERROR(LEFT(K4449,FIND("*",K4449)-1),"-")</f>
        <v>-</v>
      </c>
      <c r="V4451" s="26" t="str">
        <f>IFERROR(RIGHT(K4449,LEN(K4449)-FIND("*",K4449)),"-")</f>
        <v>-</v>
      </c>
      <c r="W4451" s="27" t="str">
        <f t="shared" si="2422"/>
        <v>-</v>
      </c>
      <c r="X4451" s="27" t="str">
        <f>IFERROR(W4451*L4449,"-")</f>
        <v>-</v>
      </c>
      <c r="Z4451" s="94" t="s">
        <v>82</v>
      </c>
    </row>
    <row r="4452" spans="1:26" s="25" customFormat="1" ht="6.95" customHeight="1" x14ac:dyDescent="0.3">
      <c r="A4452" s="13"/>
      <c r="B4452" s="168"/>
      <c r="C4452" s="169"/>
      <c r="D4452" s="160" t="s">
        <v>39</v>
      </c>
      <c r="E4452" s="161"/>
      <c r="F4452" s="162" t="s">
        <v>40</v>
      </c>
      <c r="G4452" s="163"/>
      <c r="H4452" s="164"/>
      <c r="I4452" s="163"/>
      <c r="J4452" s="164"/>
      <c r="K4452" s="163"/>
      <c r="L4452" s="164"/>
      <c r="M4452" s="11"/>
      <c r="N4452" s="39"/>
      <c r="Q4452" s="15" t="str">
        <f>+CONCATENATE(E4452,G4452)</f>
        <v/>
      </c>
      <c r="R4452" s="15">
        <f>+H4452</f>
        <v>0</v>
      </c>
      <c r="S4452" s="16"/>
      <c r="T4452" s="15">
        <f>+E4452</f>
        <v>0</v>
      </c>
      <c r="U4452" s="26" t="str">
        <f t="shared" ref="U4452" si="2425">IFERROR(LEFT(G4452,FIND("*",G4452)-1),"-")</f>
        <v>-</v>
      </c>
      <c r="V4452" s="26" t="str">
        <f t="shared" ref="V4452" si="2426">IFERROR(RIGHT(G4452,LEN(G4452)-FIND("*",G4452)),"-")</f>
        <v>-</v>
      </c>
      <c r="W4452" s="27" t="str">
        <f t="shared" si="2422"/>
        <v>-</v>
      </c>
      <c r="X4452" s="27" t="str">
        <f>IFERROR(W4452*H4452,"-")</f>
        <v>-</v>
      </c>
      <c r="Z4452" s="94" t="s">
        <v>82</v>
      </c>
    </row>
    <row r="4453" spans="1:26" s="25" customFormat="1" ht="6.95" customHeight="1" x14ac:dyDescent="0.3">
      <c r="A4453" s="10"/>
      <c r="B4453" s="168"/>
      <c r="C4453" s="169"/>
      <c r="D4453" s="160"/>
      <c r="E4453" s="161"/>
      <c r="F4453" s="162"/>
      <c r="G4453" s="163"/>
      <c r="H4453" s="164"/>
      <c r="I4453" s="163"/>
      <c r="J4453" s="164"/>
      <c r="K4453" s="163"/>
      <c r="L4453" s="164"/>
      <c r="M4453" s="11"/>
      <c r="N4453" s="39"/>
      <c r="Q4453" s="15" t="str">
        <f>+CONCATENATE(E4452,I4452)</f>
        <v/>
      </c>
      <c r="R4453" s="15">
        <f>+J4452</f>
        <v>0</v>
      </c>
      <c r="S4453" s="16"/>
      <c r="T4453" s="15">
        <f>+E4452</f>
        <v>0</v>
      </c>
      <c r="U4453" s="26" t="str">
        <f>IFERROR(LEFT(I4452,FIND("*",I4452)-1),"-")</f>
        <v>-</v>
      </c>
      <c r="V4453" s="26" t="str">
        <f>IFERROR(RIGHT(I4452,LEN(I4452)-FIND("*",I4452)),"-")</f>
        <v>-</v>
      </c>
      <c r="W4453" s="27" t="str">
        <f t="shared" si="2422"/>
        <v>-</v>
      </c>
      <c r="X4453" s="27" t="str">
        <f t="shared" ref="X4453" si="2427">IFERROR(W4453*J4452,"-")</f>
        <v>-</v>
      </c>
      <c r="Z4453" s="94" t="s">
        <v>82</v>
      </c>
    </row>
    <row r="4454" spans="1:26" s="25" customFormat="1" ht="6.95" customHeight="1" x14ac:dyDescent="0.3">
      <c r="A4454" s="10"/>
      <c r="B4454" s="168"/>
      <c r="C4454" s="169"/>
      <c r="D4454" s="160"/>
      <c r="E4454" s="161"/>
      <c r="F4454" s="162"/>
      <c r="G4454" s="163"/>
      <c r="H4454" s="164"/>
      <c r="I4454" s="163"/>
      <c r="J4454" s="164"/>
      <c r="K4454" s="163"/>
      <c r="L4454" s="164"/>
      <c r="M4454" s="11"/>
      <c r="N4454" s="39"/>
      <c r="Q4454" s="15" t="str">
        <f>+CONCATENATE(E4452,K4452)</f>
        <v/>
      </c>
      <c r="R4454" s="15">
        <f>+L4452</f>
        <v>0</v>
      </c>
      <c r="S4454" s="16"/>
      <c r="T4454" s="15">
        <f>+E4452</f>
        <v>0</v>
      </c>
      <c r="U4454" s="26" t="str">
        <f>IFERROR(LEFT(K4452,FIND("*",K4452)-1),"-")</f>
        <v>-</v>
      </c>
      <c r="V4454" s="26" t="str">
        <f>IFERROR(RIGHT(K4452,LEN(K4452)-FIND("*",K4452)),"-")</f>
        <v>-</v>
      </c>
      <c r="W4454" s="27" t="str">
        <f t="shared" si="2422"/>
        <v>-</v>
      </c>
      <c r="X4454" s="27" t="str">
        <f>IFERROR(W4454*L4452,"-")</f>
        <v>-</v>
      </c>
      <c r="Z4454" s="94" t="s">
        <v>82</v>
      </c>
    </row>
    <row r="4455" spans="1:26" s="25" customFormat="1" ht="21" customHeight="1" thickBot="1" x14ac:dyDescent="0.35">
      <c r="A4455" s="10"/>
      <c r="B4455" s="170"/>
      <c r="C4455" s="171"/>
      <c r="D4455" s="172" t="s">
        <v>43</v>
      </c>
      <c r="E4455" s="173"/>
      <c r="F4455" s="173"/>
      <c r="G4455" s="174"/>
      <c r="H4455" s="174"/>
      <c r="I4455" s="174"/>
      <c r="J4455" s="174"/>
      <c r="K4455" s="174"/>
      <c r="L4455" s="174"/>
      <c r="M4455" s="12"/>
      <c r="N4455" s="39"/>
      <c r="U4455" s="23"/>
      <c r="V4455" s="23"/>
      <c r="Z4455" s="95" t="s">
        <v>81</v>
      </c>
    </row>
    <row r="4456" spans="1:26" s="25" customFormat="1" ht="9.9499999999999993" customHeight="1" thickBot="1" x14ac:dyDescent="0.35">
      <c r="A4456" s="6"/>
      <c r="B4456" s="14"/>
      <c r="C4456" s="119"/>
      <c r="D4456" s="58"/>
      <c r="E4456" s="17"/>
      <c r="F4456" s="58"/>
      <c r="G4456" s="19"/>
      <c r="H4456" s="19"/>
      <c r="I4456" s="19"/>
      <c r="J4456" s="19"/>
      <c r="K4456" s="19"/>
      <c r="L4456" s="19"/>
      <c r="M4456" s="14"/>
      <c r="N4456" s="39"/>
      <c r="Q4456" s="1"/>
      <c r="R4456" s="1"/>
      <c r="S4456" s="1"/>
      <c r="T4456" s="1"/>
      <c r="U4456" s="24"/>
      <c r="V4456" s="24"/>
      <c r="W4456" s="1"/>
      <c r="X4456" s="1"/>
      <c r="Z4456" s="94" t="s">
        <v>82</v>
      </c>
    </row>
    <row r="4457" spans="1:26" s="25" customFormat="1" ht="6.95" customHeight="1" x14ac:dyDescent="0.3">
      <c r="A4457" s="165">
        <f>+A4446+1</f>
        <v>406</v>
      </c>
      <c r="B4457" s="166"/>
      <c r="C4457" s="167"/>
      <c r="D4457" s="160" t="s">
        <v>39</v>
      </c>
      <c r="E4457" s="161"/>
      <c r="F4457" s="162" t="s">
        <v>40</v>
      </c>
      <c r="G4457" s="163"/>
      <c r="H4457" s="164"/>
      <c r="I4457" s="163"/>
      <c r="J4457" s="164"/>
      <c r="K4457" s="163"/>
      <c r="L4457" s="164"/>
      <c r="M4457" s="11"/>
      <c r="N4457" s="39"/>
      <c r="Q4457" s="15" t="str">
        <f>+CONCATENATE(E4457,G4457)</f>
        <v/>
      </c>
      <c r="R4457" s="15">
        <f>+H4457</f>
        <v>0</v>
      </c>
      <c r="S4457" s="16"/>
      <c r="T4457" s="15">
        <f>+E4457</f>
        <v>0</v>
      </c>
      <c r="U4457" s="26" t="str">
        <f>IFERROR(LEFT(G4457,FIND("*",G4457)-1),"-")</f>
        <v>-</v>
      </c>
      <c r="V4457" s="26" t="str">
        <f>IFERROR(RIGHT(G4457,LEN(G4457)-FIND("*",G4457)),"-")</f>
        <v>-</v>
      </c>
      <c r="W4457" s="27" t="str">
        <f>IFERROR((U4457+V4457)*2/1000,"-")</f>
        <v>-</v>
      </c>
      <c r="X4457" s="27" t="str">
        <f>IFERROR(W4457*H4457,"-")</f>
        <v>-</v>
      </c>
      <c r="Z4457" s="94" t="s">
        <v>82</v>
      </c>
    </row>
    <row r="4458" spans="1:26" s="25" customFormat="1" ht="6.95" customHeight="1" x14ac:dyDescent="0.3">
      <c r="A4458" s="165"/>
      <c r="B4458" s="168"/>
      <c r="C4458" s="169"/>
      <c r="D4458" s="160"/>
      <c r="E4458" s="161"/>
      <c r="F4458" s="162"/>
      <c r="G4458" s="163"/>
      <c r="H4458" s="164"/>
      <c r="I4458" s="163"/>
      <c r="J4458" s="164"/>
      <c r="K4458" s="163"/>
      <c r="L4458" s="164"/>
      <c r="M4458" s="11"/>
      <c r="N4458" s="39"/>
      <c r="Q4458" s="15" t="str">
        <f>+CONCATENATE(E4457,I4457)</f>
        <v/>
      </c>
      <c r="R4458" s="15">
        <f>+J4457</f>
        <v>0</v>
      </c>
      <c r="S4458" s="16"/>
      <c r="T4458" s="15">
        <f>+E4457</f>
        <v>0</v>
      </c>
      <c r="U4458" s="26" t="str">
        <f>IFERROR(LEFT(I4457,FIND("*",I4457)-1),"-")</f>
        <v>-</v>
      </c>
      <c r="V4458" s="26" t="str">
        <f>IFERROR(RIGHT(I4457,LEN(I4457)-FIND("*",I4457)),"-")</f>
        <v>-</v>
      </c>
      <c r="W4458" s="27" t="str">
        <f t="shared" ref="W4458:W4465" si="2428">IFERROR((U4458+V4458)*2/1000,"-")</f>
        <v>-</v>
      </c>
      <c r="X4458" s="27" t="str">
        <f>IFERROR(W4458*J4457,"-")</f>
        <v>-</v>
      </c>
      <c r="Z4458" s="94" t="s">
        <v>82</v>
      </c>
    </row>
    <row r="4459" spans="1:26" s="25" customFormat="1" ht="6.95" customHeight="1" x14ac:dyDescent="0.3">
      <c r="A4459" s="165"/>
      <c r="B4459" s="168"/>
      <c r="C4459" s="169"/>
      <c r="D4459" s="160"/>
      <c r="E4459" s="161"/>
      <c r="F4459" s="162"/>
      <c r="G4459" s="163"/>
      <c r="H4459" s="164"/>
      <c r="I4459" s="163"/>
      <c r="J4459" s="164"/>
      <c r="K4459" s="163"/>
      <c r="L4459" s="164"/>
      <c r="M4459" s="11"/>
      <c r="N4459" s="39"/>
      <c r="Q4459" s="15" t="str">
        <f>+CONCATENATE(E4457,K4457)</f>
        <v/>
      </c>
      <c r="R4459" s="15">
        <f>+L4457</f>
        <v>0</v>
      </c>
      <c r="S4459" s="16"/>
      <c r="T4459" s="15">
        <f>+E4457</f>
        <v>0</v>
      </c>
      <c r="U4459" s="26" t="str">
        <f>IFERROR(LEFT(K4457,FIND("*",K4457)-1),"-")</f>
        <v>-</v>
      </c>
      <c r="V4459" s="26" t="str">
        <f>IFERROR(RIGHT(K4457,LEN(K4457)-FIND("*",K4457)),"-")</f>
        <v>-</v>
      </c>
      <c r="W4459" s="27" t="str">
        <f t="shared" si="2428"/>
        <v>-</v>
      </c>
      <c r="X4459" s="27" t="str">
        <f>IFERROR(W4459*L4457,"-")</f>
        <v>-</v>
      </c>
      <c r="Z4459" s="94" t="s">
        <v>82</v>
      </c>
    </row>
    <row r="4460" spans="1:26" s="25" customFormat="1" ht="6.95" customHeight="1" x14ac:dyDescent="0.3">
      <c r="A4460" s="13"/>
      <c r="B4460" s="168"/>
      <c r="C4460" s="169"/>
      <c r="D4460" s="160" t="s">
        <v>39</v>
      </c>
      <c r="E4460" s="161"/>
      <c r="F4460" s="162" t="s">
        <v>40</v>
      </c>
      <c r="G4460" s="163"/>
      <c r="H4460" s="164"/>
      <c r="I4460" s="163"/>
      <c r="J4460" s="164"/>
      <c r="K4460" s="163"/>
      <c r="L4460" s="164"/>
      <c r="M4460" s="11"/>
      <c r="N4460" s="39"/>
      <c r="Q4460" s="15" t="str">
        <f>+CONCATENATE(E4460,G4460)</f>
        <v/>
      </c>
      <c r="R4460" s="15">
        <f>+H4460</f>
        <v>0</v>
      </c>
      <c r="S4460" s="16"/>
      <c r="T4460" s="15">
        <f>+E4460</f>
        <v>0</v>
      </c>
      <c r="U4460" s="26" t="str">
        <f t="shared" ref="U4460" si="2429">IFERROR(LEFT(G4460,FIND("*",G4460)-1),"-")</f>
        <v>-</v>
      </c>
      <c r="V4460" s="26" t="str">
        <f t="shared" ref="V4460" si="2430">IFERROR(RIGHT(G4460,LEN(G4460)-FIND("*",G4460)),"-")</f>
        <v>-</v>
      </c>
      <c r="W4460" s="27" t="str">
        <f t="shared" si="2428"/>
        <v>-</v>
      </c>
      <c r="X4460" s="27" t="str">
        <f>IFERROR(W4460*H4460,"-")</f>
        <v>-</v>
      </c>
      <c r="Z4460" s="94" t="s">
        <v>82</v>
      </c>
    </row>
    <row r="4461" spans="1:26" s="25" customFormat="1" ht="6.95" customHeight="1" x14ac:dyDescent="0.3">
      <c r="A4461" s="10"/>
      <c r="B4461" s="168"/>
      <c r="C4461" s="169"/>
      <c r="D4461" s="160"/>
      <c r="E4461" s="161"/>
      <c r="F4461" s="162"/>
      <c r="G4461" s="163"/>
      <c r="H4461" s="164"/>
      <c r="I4461" s="163"/>
      <c r="J4461" s="164"/>
      <c r="K4461" s="163"/>
      <c r="L4461" s="164"/>
      <c r="M4461" s="11"/>
      <c r="N4461" s="39"/>
      <c r="Q4461" s="15" t="str">
        <f>+CONCATENATE(E4460,I4460)</f>
        <v/>
      </c>
      <c r="R4461" s="15">
        <f>+J4460</f>
        <v>0</v>
      </c>
      <c r="S4461" s="16"/>
      <c r="T4461" s="15">
        <f>+E4460</f>
        <v>0</v>
      </c>
      <c r="U4461" s="26" t="str">
        <f>IFERROR(LEFT(I4460,FIND("*",I4460)-1),"-")</f>
        <v>-</v>
      </c>
      <c r="V4461" s="26" t="str">
        <f>IFERROR(RIGHT(I4460,LEN(I4460)-FIND("*",I4460)),"-")</f>
        <v>-</v>
      </c>
      <c r="W4461" s="27" t="str">
        <f t="shared" si="2428"/>
        <v>-</v>
      </c>
      <c r="X4461" s="27" t="str">
        <f>IFERROR(W4461*J4460,"-")</f>
        <v>-</v>
      </c>
      <c r="Z4461" s="94" t="s">
        <v>82</v>
      </c>
    </row>
    <row r="4462" spans="1:26" s="25" customFormat="1" ht="6.95" customHeight="1" x14ac:dyDescent="0.3">
      <c r="A4462" s="10"/>
      <c r="B4462" s="168"/>
      <c r="C4462" s="169"/>
      <c r="D4462" s="160"/>
      <c r="E4462" s="161"/>
      <c r="F4462" s="162"/>
      <c r="G4462" s="163"/>
      <c r="H4462" s="164"/>
      <c r="I4462" s="163"/>
      <c r="J4462" s="164"/>
      <c r="K4462" s="163"/>
      <c r="L4462" s="164"/>
      <c r="M4462" s="11"/>
      <c r="N4462" s="39"/>
      <c r="Q4462" s="15" t="str">
        <f>+CONCATENATE(E4460,K4460)</f>
        <v/>
      </c>
      <c r="R4462" s="15">
        <f>+L4460</f>
        <v>0</v>
      </c>
      <c r="S4462" s="16"/>
      <c r="T4462" s="15">
        <f>+E4460</f>
        <v>0</v>
      </c>
      <c r="U4462" s="26" t="str">
        <f>IFERROR(LEFT(K4460,FIND("*",K4460)-1),"-")</f>
        <v>-</v>
      </c>
      <c r="V4462" s="26" t="str">
        <f>IFERROR(RIGHT(K4460,LEN(K4460)-FIND("*",K4460)),"-")</f>
        <v>-</v>
      </c>
      <c r="W4462" s="27" t="str">
        <f t="shared" si="2428"/>
        <v>-</v>
      </c>
      <c r="X4462" s="27" t="str">
        <f>IFERROR(W4462*L4460,"-")</f>
        <v>-</v>
      </c>
      <c r="Z4462" s="94" t="s">
        <v>82</v>
      </c>
    </row>
    <row r="4463" spans="1:26" s="25" customFormat="1" ht="6.95" customHeight="1" x14ac:dyDescent="0.3">
      <c r="A4463" s="13"/>
      <c r="B4463" s="168"/>
      <c r="C4463" s="169"/>
      <c r="D4463" s="160" t="s">
        <v>39</v>
      </c>
      <c r="E4463" s="161"/>
      <c r="F4463" s="162" t="s">
        <v>40</v>
      </c>
      <c r="G4463" s="163"/>
      <c r="H4463" s="164"/>
      <c r="I4463" s="163"/>
      <c r="J4463" s="164"/>
      <c r="K4463" s="163"/>
      <c r="L4463" s="164"/>
      <c r="M4463" s="11"/>
      <c r="N4463" s="39"/>
      <c r="Q4463" s="15" t="str">
        <f>+CONCATENATE(E4463,G4463)</f>
        <v/>
      </c>
      <c r="R4463" s="15">
        <f>+H4463</f>
        <v>0</v>
      </c>
      <c r="S4463" s="16"/>
      <c r="T4463" s="15">
        <f>+E4463</f>
        <v>0</v>
      </c>
      <c r="U4463" s="26" t="str">
        <f t="shared" ref="U4463" si="2431">IFERROR(LEFT(G4463,FIND("*",G4463)-1),"-")</f>
        <v>-</v>
      </c>
      <c r="V4463" s="26" t="str">
        <f t="shared" ref="V4463" si="2432">IFERROR(RIGHT(G4463,LEN(G4463)-FIND("*",G4463)),"-")</f>
        <v>-</v>
      </c>
      <c r="W4463" s="27" t="str">
        <f t="shared" si="2428"/>
        <v>-</v>
      </c>
      <c r="X4463" s="27" t="str">
        <f>IFERROR(W4463*H4463,"-")</f>
        <v>-</v>
      </c>
      <c r="Z4463" s="94" t="s">
        <v>82</v>
      </c>
    </row>
    <row r="4464" spans="1:26" s="25" customFormat="1" ht="6.95" customHeight="1" x14ac:dyDescent="0.3">
      <c r="A4464" s="10"/>
      <c r="B4464" s="168"/>
      <c r="C4464" s="169"/>
      <c r="D4464" s="160"/>
      <c r="E4464" s="161"/>
      <c r="F4464" s="162"/>
      <c r="G4464" s="163"/>
      <c r="H4464" s="164"/>
      <c r="I4464" s="163"/>
      <c r="J4464" s="164"/>
      <c r="K4464" s="163"/>
      <c r="L4464" s="164"/>
      <c r="M4464" s="11"/>
      <c r="N4464" s="39"/>
      <c r="Q4464" s="15" t="str">
        <f>+CONCATENATE(E4463,I4463)</f>
        <v/>
      </c>
      <c r="R4464" s="15">
        <f>+J4463</f>
        <v>0</v>
      </c>
      <c r="S4464" s="16"/>
      <c r="T4464" s="15">
        <f>+E4463</f>
        <v>0</v>
      </c>
      <c r="U4464" s="26" t="str">
        <f>IFERROR(LEFT(I4463,FIND("*",I4463)-1),"-")</f>
        <v>-</v>
      </c>
      <c r="V4464" s="26" t="str">
        <f>IFERROR(RIGHT(I4463,LEN(I4463)-FIND("*",I4463)),"-")</f>
        <v>-</v>
      </c>
      <c r="W4464" s="27" t="str">
        <f t="shared" si="2428"/>
        <v>-</v>
      </c>
      <c r="X4464" s="27" t="str">
        <f t="shared" ref="X4464" si="2433">IFERROR(W4464*J4463,"-")</f>
        <v>-</v>
      </c>
      <c r="Z4464" s="94" t="s">
        <v>82</v>
      </c>
    </row>
    <row r="4465" spans="1:26" s="25" customFormat="1" ht="6.95" customHeight="1" x14ac:dyDescent="0.3">
      <c r="A4465" s="10"/>
      <c r="B4465" s="168"/>
      <c r="C4465" s="169"/>
      <c r="D4465" s="160"/>
      <c r="E4465" s="161"/>
      <c r="F4465" s="162"/>
      <c r="G4465" s="163"/>
      <c r="H4465" s="164"/>
      <c r="I4465" s="163"/>
      <c r="J4465" s="164"/>
      <c r="K4465" s="163"/>
      <c r="L4465" s="164"/>
      <c r="M4465" s="11"/>
      <c r="N4465" s="39"/>
      <c r="Q4465" s="15" t="str">
        <f>+CONCATENATE(E4463,K4463)</f>
        <v/>
      </c>
      <c r="R4465" s="15">
        <f>+L4463</f>
        <v>0</v>
      </c>
      <c r="S4465" s="16"/>
      <c r="T4465" s="15">
        <f>+E4463</f>
        <v>0</v>
      </c>
      <c r="U4465" s="26" t="str">
        <f>IFERROR(LEFT(K4463,FIND("*",K4463)-1),"-")</f>
        <v>-</v>
      </c>
      <c r="V4465" s="26" t="str">
        <f>IFERROR(RIGHT(K4463,LEN(K4463)-FIND("*",K4463)),"-")</f>
        <v>-</v>
      </c>
      <c r="W4465" s="27" t="str">
        <f t="shared" si="2428"/>
        <v>-</v>
      </c>
      <c r="X4465" s="27" t="str">
        <f>IFERROR(W4465*L4463,"-")</f>
        <v>-</v>
      </c>
      <c r="Z4465" s="94" t="s">
        <v>82</v>
      </c>
    </row>
    <row r="4466" spans="1:26" s="25" customFormat="1" ht="21" customHeight="1" thickBot="1" x14ac:dyDescent="0.35">
      <c r="A4466" s="10"/>
      <c r="B4466" s="170"/>
      <c r="C4466" s="171"/>
      <c r="D4466" s="172" t="s">
        <v>43</v>
      </c>
      <c r="E4466" s="173"/>
      <c r="F4466" s="173"/>
      <c r="G4466" s="174"/>
      <c r="H4466" s="174"/>
      <c r="I4466" s="174"/>
      <c r="J4466" s="174"/>
      <c r="K4466" s="174"/>
      <c r="L4466" s="174"/>
      <c r="M4466" s="12"/>
      <c r="N4466" s="39"/>
      <c r="U4466" s="23"/>
      <c r="V4466" s="23"/>
      <c r="Z4466" s="95" t="s">
        <v>81</v>
      </c>
    </row>
    <row r="4467" spans="1:26" s="25" customFormat="1" ht="9.9499999999999993" customHeight="1" thickBot="1" x14ac:dyDescent="0.35">
      <c r="A4467" s="6"/>
      <c r="B4467" s="14"/>
      <c r="C4467" s="119"/>
      <c r="D4467" s="58"/>
      <c r="E4467" s="17"/>
      <c r="F4467" s="58"/>
      <c r="G4467" s="19"/>
      <c r="H4467" s="19"/>
      <c r="I4467" s="19"/>
      <c r="J4467" s="19"/>
      <c r="K4467" s="19"/>
      <c r="L4467" s="19"/>
      <c r="M4467" s="14"/>
      <c r="N4467" s="39"/>
      <c r="Q4467" s="1"/>
      <c r="R4467" s="1"/>
      <c r="S4467" s="1"/>
      <c r="T4467" s="1"/>
      <c r="U4467" s="24"/>
      <c r="V4467" s="24"/>
      <c r="W4467" s="1"/>
      <c r="X4467" s="1"/>
      <c r="Z4467" s="94" t="s">
        <v>82</v>
      </c>
    </row>
    <row r="4468" spans="1:26" s="25" customFormat="1" ht="6.95" customHeight="1" x14ac:dyDescent="0.3">
      <c r="A4468" s="165">
        <f>+A4457+1</f>
        <v>407</v>
      </c>
      <c r="B4468" s="166"/>
      <c r="C4468" s="167"/>
      <c r="D4468" s="160" t="s">
        <v>39</v>
      </c>
      <c r="E4468" s="161"/>
      <c r="F4468" s="162" t="s">
        <v>40</v>
      </c>
      <c r="G4468" s="163"/>
      <c r="H4468" s="164"/>
      <c r="I4468" s="163"/>
      <c r="J4468" s="164"/>
      <c r="K4468" s="163"/>
      <c r="L4468" s="164"/>
      <c r="M4468" s="11"/>
      <c r="N4468" s="39"/>
      <c r="Q4468" s="15" t="str">
        <f>+CONCATENATE(E4468,G4468)</f>
        <v/>
      </c>
      <c r="R4468" s="15">
        <f>+H4468</f>
        <v>0</v>
      </c>
      <c r="S4468" s="16"/>
      <c r="T4468" s="15">
        <f>+E4468</f>
        <v>0</v>
      </c>
      <c r="U4468" s="26" t="str">
        <f>IFERROR(LEFT(G4468,FIND("*",G4468)-1),"-")</f>
        <v>-</v>
      </c>
      <c r="V4468" s="26" t="str">
        <f>IFERROR(RIGHT(G4468,LEN(G4468)-FIND("*",G4468)),"-")</f>
        <v>-</v>
      </c>
      <c r="W4468" s="27" t="str">
        <f>IFERROR((U4468+V4468)*2/1000,"-")</f>
        <v>-</v>
      </c>
      <c r="X4468" s="27" t="str">
        <f>IFERROR(W4468*H4468,"-")</f>
        <v>-</v>
      </c>
      <c r="Z4468" s="94" t="s">
        <v>82</v>
      </c>
    </row>
    <row r="4469" spans="1:26" s="25" customFormat="1" ht="6.95" customHeight="1" x14ac:dyDescent="0.3">
      <c r="A4469" s="165"/>
      <c r="B4469" s="168"/>
      <c r="C4469" s="169"/>
      <c r="D4469" s="160"/>
      <c r="E4469" s="161"/>
      <c r="F4469" s="162"/>
      <c r="G4469" s="163"/>
      <c r="H4469" s="164"/>
      <c r="I4469" s="163"/>
      <c r="J4469" s="164"/>
      <c r="K4469" s="163"/>
      <c r="L4469" s="164"/>
      <c r="M4469" s="11"/>
      <c r="N4469" s="39"/>
      <c r="Q4469" s="15" t="str">
        <f>+CONCATENATE(E4468,I4468)</f>
        <v/>
      </c>
      <c r="R4469" s="15">
        <f>+J4468</f>
        <v>0</v>
      </c>
      <c r="S4469" s="16"/>
      <c r="T4469" s="15">
        <f>+E4468</f>
        <v>0</v>
      </c>
      <c r="U4469" s="26" t="str">
        <f>IFERROR(LEFT(I4468,FIND("*",I4468)-1),"-")</f>
        <v>-</v>
      </c>
      <c r="V4469" s="26" t="str">
        <f>IFERROR(RIGHT(I4468,LEN(I4468)-FIND("*",I4468)),"-")</f>
        <v>-</v>
      </c>
      <c r="W4469" s="27" t="str">
        <f t="shared" ref="W4469:W4476" si="2434">IFERROR((U4469+V4469)*2/1000,"-")</f>
        <v>-</v>
      </c>
      <c r="X4469" s="27" t="str">
        <f>IFERROR(W4469*J4468,"-")</f>
        <v>-</v>
      </c>
      <c r="Z4469" s="94" t="s">
        <v>82</v>
      </c>
    </row>
    <row r="4470" spans="1:26" s="25" customFormat="1" ht="6.95" customHeight="1" x14ac:dyDescent="0.3">
      <c r="A4470" s="165"/>
      <c r="B4470" s="168"/>
      <c r="C4470" s="169"/>
      <c r="D4470" s="160"/>
      <c r="E4470" s="161"/>
      <c r="F4470" s="162"/>
      <c r="G4470" s="163"/>
      <c r="H4470" s="164"/>
      <c r="I4470" s="163"/>
      <c r="J4470" s="164"/>
      <c r="K4470" s="163"/>
      <c r="L4470" s="164"/>
      <c r="M4470" s="11"/>
      <c r="N4470" s="39"/>
      <c r="Q4470" s="15" t="str">
        <f>+CONCATENATE(E4468,K4468)</f>
        <v/>
      </c>
      <c r="R4470" s="15">
        <f>+L4468</f>
        <v>0</v>
      </c>
      <c r="S4470" s="16"/>
      <c r="T4470" s="15">
        <f>+E4468</f>
        <v>0</v>
      </c>
      <c r="U4470" s="26" t="str">
        <f>IFERROR(LEFT(K4468,FIND("*",K4468)-1),"-")</f>
        <v>-</v>
      </c>
      <c r="V4470" s="26" t="str">
        <f>IFERROR(RIGHT(K4468,LEN(K4468)-FIND("*",K4468)),"-")</f>
        <v>-</v>
      </c>
      <c r="W4470" s="27" t="str">
        <f t="shared" si="2434"/>
        <v>-</v>
      </c>
      <c r="X4470" s="27" t="str">
        <f>IFERROR(W4470*L4468,"-")</f>
        <v>-</v>
      </c>
      <c r="Z4470" s="94" t="s">
        <v>82</v>
      </c>
    </row>
    <row r="4471" spans="1:26" s="25" customFormat="1" ht="6.95" customHeight="1" x14ac:dyDescent="0.3">
      <c r="A4471" s="13"/>
      <c r="B4471" s="168"/>
      <c r="C4471" s="169"/>
      <c r="D4471" s="160" t="s">
        <v>39</v>
      </c>
      <c r="E4471" s="161"/>
      <c r="F4471" s="162" t="s">
        <v>40</v>
      </c>
      <c r="G4471" s="163"/>
      <c r="H4471" s="164"/>
      <c r="I4471" s="163"/>
      <c r="J4471" s="164"/>
      <c r="K4471" s="163"/>
      <c r="L4471" s="164"/>
      <c r="M4471" s="11"/>
      <c r="N4471" s="39"/>
      <c r="Q4471" s="15" t="str">
        <f>+CONCATENATE(E4471,G4471)</f>
        <v/>
      </c>
      <c r="R4471" s="15">
        <f>+H4471</f>
        <v>0</v>
      </c>
      <c r="S4471" s="16"/>
      <c r="T4471" s="15">
        <f>+E4471</f>
        <v>0</v>
      </c>
      <c r="U4471" s="26" t="str">
        <f t="shared" ref="U4471" si="2435">IFERROR(LEFT(G4471,FIND("*",G4471)-1),"-")</f>
        <v>-</v>
      </c>
      <c r="V4471" s="26" t="str">
        <f t="shared" ref="V4471" si="2436">IFERROR(RIGHT(G4471,LEN(G4471)-FIND("*",G4471)),"-")</f>
        <v>-</v>
      </c>
      <c r="W4471" s="27" t="str">
        <f t="shared" si="2434"/>
        <v>-</v>
      </c>
      <c r="X4471" s="27" t="str">
        <f>IFERROR(W4471*H4471,"-")</f>
        <v>-</v>
      </c>
      <c r="Z4471" s="94" t="s">
        <v>82</v>
      </c>
    </row>
    <row r="4472" spans="1:26" s="25" customFormat="1" ht="6.95" customHeight="1" x14ac:dyDescent="0.3">
      <c r="A4472" s="10"/>
      <c r="B4472" s="168"/>
      <c r="C4472" s="169"/>
      <c r="D4472" s="160"/>
      <c r="E4472" s="161"/>
      <c r="F4472" s="162"/>
      <c r="G4472" s="163"/>
      <c r="H4472" s="164"/>
      <c r="I4472" s="163"/>
      <c r="J4472" s="164"/>
      <c r="K4472" s="163"/>
      <c r="L4472" s="164"/>
      <c r="M4472" s="11"/>
      <c r="N4472" s="39"/>
      <c r="Q4472" s="15" t="str">
        <f>+CONCATENATE(E4471,I4471)</f>
        <v/>
      </c>
      <c r="R4472" s="15">
        <f>+J4471</f>
        <v>0</v>
      </c>
      <c r="S4472" s="16"/>
      <c r="T4472" s="15">
        <f>+E4471</f>
        <v>0</v>
      </c>
      <c r="U4472" s="26" t="str">
        <f>IFERROR(LEFT(I4471,FIND("*",I4471)-1),"-")</f>
        <v>-</v>
      </c>
      <c r="V4472" s="26" t="str">
        <f>IFERROR(RIGHT(I4471,LEN(I4471)-FIND("*",I4471)),"-")</f>
        <v>-</v>
      </c>
      <c r="W4472" s="27" t="str">
        <f t="shared" si="2434"/>
        <v>-</v>
      </c>
      <c r="X4472" s="27" t="str">
        <f>IFERROR(W4472*J4471,"-")</f>
        <v>-</v>
      </c>
      <c r="Z4472" s="94" t="s">
        <v>82</v>
      </c>
    </row>
    <row r="4473" spans="1:26" s="25" customFormat="1" ht="6.95" customHeight="1" x14ac:dyDescent="0.3">
      <c r="A4473" s="10"/>
      <c r="B4473" s="168"/>
      <c r="C4473" s="169"/>
      <c r="D4473" s="160"/>
      <c r="E4473" s="161"/>
      <c r="F4473" s="162"/>
      <c r="G4473" s="163"/>
      <c r="H4473" s="164"/>
      <c r="I4473" s="163"/>
      <c r="J4473" s="164"/>
      <c r="K4473" s="163"/>
      <c r="L4473" s="164"/>
      <c r="M4473" s="11"/>
      <c r="N4473" s="39"/>
      <c r="Q4473" s="15" t="str">
        <f>+CONCATENATE(E4471,K4471)</f>
        <v/>
      </c>
      <c r="R4473" s="15">
        <f>+L4471</f>
        <v>0</v>
      </c>
      <c r="S4473" s="16"/>
      <c r="T4473" s="15">
        <f>+E4471</f>
        <v>0</v>
      </c>
      <c r="U4473" s="26" t="str">
        <f>IFERROR(LEFT(K4471,FIND("*",K4471)-1),"-")</f>
        <v>-</v>
      </c>
      <c r="V4473" s="26" t="str">
        <f>IFERROR(RIGHT(K4471,LEN(K4471)-FIND("*",K4471)),"-")</f>
        <v>-</v>
      </c>
      <c r="W4473" s="27" t="str">
        <f t="shared" si="2434"/>
        <v>-</v>
      </c>
      <c r="X4473" s="27" t="str">
        <f>IFERROR(W4473*L4471,"-")</f>
        <v>-</v>
      </c>
      <c r="Z4473" s="94" t="s">
        <v>82</v>
      </c>
    </row>
    <row r="4474" spans="1:26" s="25" customFormat="1" ht="6.95" customHeight="1" x14ac:dyDescent="0.3">
      <c r="A4474" s="13"/>
      <c r="B4474" s="168"/>
      <c r="C4474" s="169"/>
      <c r="D4474" s="160" t="s">
        <v>39</v>
      </c>
      <c r="E4474" s="161"/>
      <c r="F4474" s="162" t="s">
        <v>40</v>
      </c>
      <c r="G4474" s="163"/>
      <c r="H4474" s="164"/>
      <c r="I4474" s="163"/>
      <c r="J4474" s="164"/>
      <c r="K4474" s="163"/>
      <c r="L4474" s="164"/>
      <c r="M4474" s="11"/>
      <c r="N4474" s="39"/>
      <c r="Q4474" s="15" t="str">
        <f>+CONCATENATE(E4474,G4474)</f>
        <v/>
      </c>
      <c r="R4474" s="15">
        <f>+H4474</f>
        <v>0</v>
      </c>
      <c r="S4474" s="16"/>
      <c r="T4474" s="15">
        <f>+E4474</f>
        <v>0</v>
      </c>
      <c r="U4474" s="26" t="str">
        <f t="shared" ref="U4474" si="2437">IFERROR(LEFT(G4474,FIND("*",G4474)-1),"-")</f>
        <v>-</v>
      </c>
      <c r="V4474" s="26" t="str">
        <f t="shared" ref="V4474" si="2438">IFERROR(RIGHT(G4474,LEN(G4474)-FIND("*",G4474)),"-")</f>
        <v>-</v>
      </c>
      <c r="W4474" s="27" t="str">
        <f t="shared" si="2434"/>
        <v>-</v>
      </c>
      <c r="X4474" s="27" t="str">
        <f>IFERROR(W4474*H4474,"-")</f>
        <v>-</v>
      </c>
      <c r="Z4474" s="94" t="s">
        <v>82</v>
      </c>
    </row>
    <row r="4475" spans="1:26" s="25" customFormat="1" ht="6.95" customHeight="1" x14ac:dyDescent="0.3">
      <c r="A4475" s="10"/>
      <c r="B4475" s="168"/>
      <c r="C4475" s="169"/>
      <c r="D4475" s="160"/>
      <c r="E4475" s="161"/>
      <c r="F4475" s="162"/>
      <c r="G4475" s="163"/>
      <c r="H4475" s="164"/>
      <c r="I4475" s="163"/>
      <c r="J4475" s="164"/>
      <c r="K4475" s="163"/>
      <c r="L4475" s="164"/>
      <c r="M4475" s="11"/>
      <c r="N4475" s="39"/>
      <c r="Q4475" s="15" t="str">
        <f>+CONCATENATE(E4474,I4474)</f>
        <v/>
      </c>
      <c r="R4475" s="15">
        <f>+J4474</f>
        <v>0</v>
      </c>
      <c r="S4475" s="16"/>
      <c r="T4475" s="15">
        <f>+E4474</f>
        <v>0</v>
      </c>
      <c r="U4475" s="26" t="str">
        <f>IFERROR(LEFT(I4474,FIND("*",I4474)-1),"-")</f>
        <v>-</v>
      </c>
      <c r="V4475" s="26" t="str">
        <f>IFERROR(RIGHT(I4474,LEN(I4474)-FIND("*",I4474)),"-")</f>
        <v>-</v>
      </c>
      <c r="W4475" s="27" t="str">
        <f t="shared" si="2434"/>
        <v>-</v>
      </c>
      <c r="X4475" s="27" t="str">
        <f t="shared" ref="X4475" si="2439">IFERROR(W4475*J4474,"-")</f>
        <v>-</v>
      </c>
      <c r="Z4475" s="94" t="s">
        <v>82</v>
      </c>
    </row>
    <row r="4476" spans="1:26" s="25" customFormat="1" ht="6.95" customHeight="1" x14ac:dyDescent="0.3">
      <c r="A4476" s="10"/>
      <c r="B4476" s="168"/>
      <c r="C4476" s="169"/>
      <c r="D4476" s="160"/>
      <c r="E4476" s="161"/>
      <c r="F4476" s="162"/>
      <c r="G4476" s="163"/>
      <c r="H4476" s="164"/>
      <c r="I4476" s="163"/>
      <c r="J4476" s="164"/>
      <c r="K4476" s="163"/>
      <c r="L4476" s="164"/>
      <c r="M4476" s="11"/>
      <c r="N4476" s="39"/>
      <c r="Q4476" s="15" t="str">
        <f>+CONCATENATE(E4474,K4474)</f>
        <v/>
      </c>
      <c r="R4476" s="15">
        <f>+L4474</f>
        <v>0</v>
      </c>
      <c r="S4476" s="16"/>
      <c r="T4476" s="15">
        <f>+E4474</f>
        <v>0</v>
      </c>
      <c r="U4476" s="26" t="str">
        <f>IFERROR(LEFT(K4474,FIND("*",K4474)-1),"-")</f>
        <v>-</v>
      </c>
      <c r="V4476" s="26" t="str">
        <f>IFERROR(RIGHT(K4474,LEN(K4474)-FIND("*",K4474)),"-")</f>
        <v>-</v>
      </c>
      <c r="W4476" s="27" t="str">
        <f t="shared" si="2434"/>
        <v>-</v>
      </c>
      <c r="X4476" s="27" t="str">
        <f>IFERROR(W4476*L4474,"-")</f>
        <v>-</v>
      </c>
      <c r="Z4476" s="94" t="s">
        <v>82</v>
      </c>
    </row>
    <row r="4477" spans="1:26" s="25" customFormat="1" ht="21" customHeight="1" thickBot="1" x14ac:dyDescent="0.35">
      <c r="A4477" s="10"/>
      <c r="B4477" s="170"/>
      <c r="C4477" s="171"/>
      <c r="D4477" s="172" t="s">
        <v>43</v>
      </c>
      <c r="E4477" s="173"/>
      <c r="F4477" s="173"/>
      <c r="G4477" s="174"/>
      <c r="H4477" s="174"/>
      <c r="I4477" s="174"/>
      <c r="J4477" s="174"/>
      <c r="K4477" s="174"/>
      <c r="L4477" s="174"/>
      <c r="M4477" s="12"/>
      <c r="N4477" s="39"/>
      <c r="U4477" s="23"/>
      <c r="V4477" s="23"/>
      <c r="Z4477" s="95" t="s">
        <v>81</v>
      </c>
    </row>
    <row r="4478" spans="1:26" s="25" customFormat="1" ht="9.9499999999999993" customHeight="1" thickBot="1" x14ac:dyDescent="0.35">
      <c r="A4478" s="6"/>
      <c r="B4478" s="14"/>
      <c r="C4478" s="119"/>
      <c r="D4478" s="58"/>
      <c r="E4478" s="17"/>
      <c r="F4478" s="58"/>
      <c r="G4478" s="19"/>
      <c r="H4478" s="19"/>
      <c r="I4478" s="19"/>
      <c r="J4478" s="19"/>
      <c r="K4478" s="19"/>
      <c r="L4478" s="19"/>
      <c r="M4478" s="14"/>
      <c r="N4478" s="39"/>
      <c r="Q4478" s="1"/>
      <c r="R4478" s="1"/>
      <c r="S4478" s="1"/>
      <c r="T4478" s="1"/>
      <c r="U4478" s="24"/>
      <c r="V4478" s="24"/>
      <c r="W4478" s="1"/>
      <c r="X4478" s="1"/>
      <c r="Z4478" s="94" t="s">
        <v>82</v>
      </c>
    </row>
    <row r="4479" spans="1:26" s="25" customFormat="1" ht="6.95" customHeight="1" x14ac:dyDescent="0.3">
      <c r="A4479" s="165">
        <f>+A4468+1</f>
        <v>408</v>
      </c>
      <c r="B4479" s="166"/>
      <c r="C4479" s="167"/>
      <c r="D4479" s="160" t="s">
        <v>39</v>
      </c>
      <c r="E4479" s="161"/>
      <c r="F4479" s="162" t="s">
        <v>40</v>
      </c>
      <c r="G4479" s="163"/>
      <c r="H4479" s="164"/>
      <c r="I4479" s="163"/>
      <c r="J4479" s="164"/>
      <c r="K4479" s="163"/>
      <c r="L4479" s="164"/>
      <c r="M4479" s="11"/>
      <c r="N4479" s="39"/>
      <c r="Q4479" s="15" t="str">
        <f>+CONCATENATE(E4479,G4479)</f>
        <v/>
      </c>
      <c r="R4479" s="15">
        <f>+H4479</f>
        <v>0</v>
      </c>
      <c r="S4479" s="16"/>
      <c r="T4479" s="15">
        <f>+E4479</f>
        <v>0</v>
      </c>
      <c r="U4479" s="26" t="str">
        <f>IFERROR(LEFT(G4479,FIND("*",G4479)-1),"-")</f>
        <v>-</v>
      </c>
      <c r="V4479" s="26" t="str">
        <f>IFERROR(RIGHT(G4479,LEN(G4479)-FIND("*",G4479)),"-")</f>
        <v>-</v>
      </c>
      <c r="W4479" s="27" t="str">
        <f>IFERROR((U4479+V4479)*2/1000,"-")</f>
        <v>-</v>
      </c>
      <c r="X4479" s="27" t="str">
        <f>IFERROR(W4479*H4479,"-")</f>
        <v>-</v>
      </c>
      <c r="Z4479" s="94" t="s">
        <v>82</v>
      </c>
    </row>
    <row r="4480" spans="1:26" s="25" customFormat="1" ht="6.95" customHeight="1" x14ac:dyDescent="0.3">
      <c r="A4480" s="165"/>
      <c r="B4480" s="168"/>
      <c r="C4480" s="169"/>
      <c r="D4480" s="160"/>
      <c r="E4480" s="161"/>
      <c r="F4480" s="162"/>
      <c r="G4480" s="163"/>
      <c r="H4480" s="164"/>
      <c r="I4480" s="163"/>
      <c r="J4480" s="164"/>
      <c r="K4480" s="163"/>
      <c r="L4480" s="164"/>
      <c r="M4480" s="11"/>
      <c r="N4480" s="39"/>
      <c r="Q4480" s="15" t="str">
        <f>+CONCATENATE(E4479,I4479)</f>
        <v/>
      </c>
      <c r="R4480" s="15">
        <f>+J4479</f>
        <v>0</v>
      </c>
      <c r="S4480" s="16"/>
      <c r="T4480" s="15">
        <f>+E4479</f>
        <v>0</v>
      </c>
      <c r="U4480" s="26" t="str">
        <f>IFERROR(LEFT(I4479,FIND("*",I4479)-1),"-")</f>
        <v>-</v>
      </c>
      <c r="V4480" s="26" t="str">
        <f>IFERROR(RIGHT(I4479,LEN(I4479)-FIND("*",I4479)),"-")</f>
        <v>-</v>
      </c>
      <c r="W4480" s="27" t="str">
        <f t="shared" ref="W4480:W4487" si="2440">IFERROR((U4480+V4480)*2/1000,"-")</f>
        <v>-</v>
      </c>
      <c r="X4480" s="27" t="str">
        <f>IFERROR(W4480*J4479,"-")</f>
        <v>-</v>
      </c>
      <c r="Z4480" s="94" t="s">
        <v>82</v>
      </c>
    </row>
    <row r="4481" spans="1:26" s="25" customFormat="1" ht="6.95" customHeight="1" x14ac:dyDescent="0.3">
      <c r="A4481" s="165"/>
      <c r="B4481" s="168"/>
      <c r="C4481" s="169"/>
      <c r="D4481" s="160"/>
      <c r="E4481" s="161"/>
      <c r="F4481" s="162"/>
      <c r="G4481" s="163"/>
      <c r="H4481" s="164"/>
      <c r="I4481" s="163"/>
      <c r="J4481" s="164"/>
      <c r="K4481" s="163"/>
      <c r="L4481" s="164"/>
      <c r="M4481" s="11"/>
      <c r="N4481" s="39"/>
      <c r="Q4481" s="15" t="str">
        <f>+CONCATENATE(E4479,K4479)</f>
        <v/>
      </c>
      <c r="R4481" s="15">
        <f>+L4479</f>
        <v>0</v>
      </c>
      <c r="S4481" s="16"/>
      <c r="T4481" s="15">
        <f>+E4479</f>
        <v>0</v>
      </c>
      <c r="U4481" s="26" t="str">
        <f>IFERROR(LEFT(K4479,FIND("*",K4479)-1),"-")</f>
        <v>-</v>
      </c>
      <c r="V4481" s="26" t="str">
        <f>IFERROR(RIGHT(K4479,LEN(K4479)-FIND("*",K4479)),"-")</f>
        <v>-</v>
      </c>
      <c r="W4481" s="27" t="str">
        <f t="shared" si="2440"/>
        <v>-</v>
      </c>
      <c r="X4481" s="27" t="str">
        <f>IFERROR(W4481*L4479,"-")</f>
        <v>-</v>
      </c>
      <c r="Z4481" s="94" t="s">
        <v>82</v>
      </c>
    </row>
    <row r="4482" spans="1:26" s="25" customFormat="1" ht="6.95" customHeight="1" x14ac:dyDescent="0.3">
      <c r="A4482" s="13"/>
      <c r="B4482" s="168"/>
      <c r="C4482" s="169"/>
      <c r="D4482" s="160" t="s">
        <v>39</v>
      </c>
      <c r="E4482" s="161"/>
      <c r="F4482" s="162" t="s">
        <v>40</v>
      </c>
      <c r="G4482" s="163"/>
      <c r="H4482" s="164"/>
      <c r="I4482" s="163"/>
      <c r="J4482" s="164"/>
      <c r="K4482" s="163"/>
      <c r="L4482" s="164"/>
      <c r="M4482" s="11"/>
      <c r="N4482" s="39"/>
      <c r="Q4482" s="15" t="str">
        <f>+CONCATENATE(E4482,G4482)</f>
        <v/>
      </c>
      <c r="R4482" s="15">
        <f>+H4482</f>
        <v>0</v>
      </c>
      <c r="S4482" s="16"/>
      <c r="T4482" s="15">
        <f>+E4482</f>
        <v>0</v>
      </c>
      <c r="U4482" s="26" t="str">
        <f t="shared" ref="U4482" si="2441">IFERROR(LEFT(G4482,FIND("*",G4482)-1),"-")</f>
        <v>-</v>
      </c>
      <c r="V4482" s="26" t="str">
        <f t="shared" ref="V4482" si="2442">IFERROR(RIGHT(G4482,LEN(G4482)-FIND("*",G4482)),"-")</f>
        <v>-</v>
      </c>
      <c r="W4482" s="27" t="str">
        <f t="shared" si="2440"/>
        <v>-</v>
      </c>
      <c r="X4482" s="27" t="str">
        <f>IFERROR(W4482*H4482,"-")</f>
        <v>-</v>
      </c>
      <c r="Z4482" s="94" t="s">
        <v>82</v>
      </c>
    </row>
    <row r="4483" spans="1:26" s="25" customFormat="1" ht="6.95" customHeight="1" x14ac:dyDescent="0.3">
      <c r="A4483" s="10"/>
      <c r="B4483" s="168"/>
      <c r="C4483" s="169"/>
      <c r="D4483" s="160"/>
      <c r="E4483" s="161"/>
      <c r="F4483" s="162"/>
      <c r="G4483" s="163"/>
      <c r="H4483" s="164"/>
      <c r="I4483" s="163"/>
      <c r="J4483" s="164"/>
      <c r="K4483" s="163"/>
      <c r="L4483" s="164"/>
      <c r="M4483" s="11"/>
      <c r="N4483" s="39"/>
      <c r="Q4483" s="15" t="str">
        <f>+CONCATENATE(E4482,I4482)</f>
        <v/>
      </c>
      <c r="R4483" s="15">
        <f>+J4482</f>
        <v>0</v>
      </c>
      <c r="S4483" s="16"/>
      <c r="T4483" s="15">
        <f>+E4482</f>
        <v>0</v>
      </c>
      <c r="U4483" s="26" t="str">
        <f>IFERROR(LEFT(I4482,FIND("*",I4482)-1),"-")</f>
        <v>-</v>
      </c>
      <c r="V4483" s="26" t="str">
        <f>IFERROR(RIGHT(I4482,LEN(I4482)-FIND("*",I4482)),"-")</f>
        <v>-</v>
      </c>
      <c r="W4483" s="27" t="str">
        <f t="shared" si="2440"/>
        <v>-</v>
      </c>
      <c r="X4483" s="27" t="str">
        <f>IFERROR(W4483*J4482,"-")</f>
        <v>-</v>
      </c>
      <c r="Z4483" s="94" t="s">
        <v>82</v>
      </c>
    </row>
    <row r="4484" spans="1:26" s="25" customFormat="1" ht="6.95" customHeight="1" x14ac:dyDescent="0.3">
      <c r="A4484" s="10"/>
      <c r="B4484" s="168"/>
      <c r="C4484" s="169"/>
      <c r="D4484" s="160"/>
      <c r="E4484" s="161"/>
      <c r="F4484" s="162"/>
      <c r="G4484" s="163"/>
      <c r="H4484" s="164"/>
      <c r="I4484" s="163"/>
      <c r="J4484" s="164"/>
      <c r="K4484" s="163"/>
      <c r="L4484" s="164"/>
      <c r="M4484" s="11"/>
      <c r="N4484" s="39"/>
      <c r="Q4484" s="15" t="str">
        <f>+CONCATENATE(E4482,K4482)</f>
        <v/>
      </c>
      <c r="R4484" s="15">
        <f>+L4482</f>
        <v>0</v>
      </c>
      <c r="S4484" s="16"/>
      <c r="T4484" s="15">
        <f>+E4482</f>
        <v>0</v>
      </c>
      <c r="U4484" s="26" t="str">
        <f>IFERROR(LEFT(K4482,FIND("*",K4482)-1),"-")</f>
        <v>-</v>
      </c>
      <c r="V4484" s="26" t="str">
        <f>IFERROR(RIGHT(K4482,LEN(K4482)-FIND("*",K4482)),"-")</f>
        <v>-</v>
      </c>
      <c r="W4484" s="27" t="str">
        <f t="shared" si="2440"/>
        <v>-</v>
      </c>
      <c r="X4484" s="27" t="str">
        <f>IFERROR(W4484*L4482,"-")</f>
        <v>-</v>
      </c>
      <c r="Z4484" s="94" t="s">
        <v>82</v>
      </c>
    </row>
    <row r="4485" spans="1:26" s="25" customFormat="1" ht="6.95" customHeight="1" x14ac:dyDescent="0.3">
      <c r="A4485" s="13"/>
      <c r="B4485" s="168"/>
      <c r="C4485" s="169"/>
      <c r="D4485" s="160" t="s">
        <v>39</v>
      </c>
      <c r="E4485" s="161"/>
      <c r="F4485" s="162" t="s">
        <v>40</v>
      </c>
      <c r="G4485" s="163"/>
      <c r="H4485" s="164"/>
      <c r="I4485" s="163"/>
      <c r="J4485" s="164"/>
      <c r="K4485" s="163"/>
      <c r="L4485" s="164"/>
      <c r="M4485" s="11"/>
      <c r="N4485" s="39"/>
      <c r="Q4485" s="15" t="str">
        <f>+CONCATENATE(E4485,G4485)</f>
        <v/>
      </c>
      <c r="R4485" s="15">
        <f>+H4485</f>
        <v>0</v>
      </c>
      <c r="S4485" s="16"/>
      <c r="T4485" s="15">
        <f>+E4485</f>
        <v>0</v>
      </c>
      <c r="U4485" s="26" t="str">
        <f t="shared" ref="U4485" si="2443">IFERROR(LEFT(G4485,FIND("*",G4485)-1),"-")</f>
        <v>-</v>
      </c>
      <c r="V4485" s="26" t="str">
        <f t="shared" ref="V4485" si="2444">IFERROR(RIGHT(G4485,LEN(G4485)-FIND("*",G4485)),"-")</f>
        <v>-</v>
      </c>
      <c r="W4485" s="27" t="str">
        <f t="shared" si="2440"/>
        <v>-</v>
      </c>
      <c r="X4485" s="27" t="str">
        <f>IFERROR(W4485*H4485,"-")</f>
        <v>-</v>
      </c>
      <c r="Z4485" s="94" t="s">
        <v>82</v>
      </c>
    </row>
    <row r="4486" spans="1:26" s="25" customFormat="1" ht="6.95" customHeight="1" x14ac:dyDescent="0.3">
      <c r="A4486" s="10"/>
      <c r="B4486" s="168"/>
      <c r="C4486" s="169"/>
      <c r="D4486" s="160"/>
      <c r="E4486" s="161"/>
      <c r="F4486" s="162"/>
      <c r="G4486" s="163"/>
      <c r="H4486" s="164"/>
      <c r="I4486" s="163"/>
      <c r="J4486" s="164"/>
      <c r="K4486" s="163"/>
      <c r="L4486" s="164"/>
      <c r="M4486" s="11"/>
      <c r="N4486" s="39"/>
      <c r="Q4486" s="15" t="str">
        <f>+CONCATENATE(E4485,I4485)</f>
        <v/>
      </c>
      <c r="R4486" s="15">
        <f>+J4485</f>
        <v>0</v>
      </c>
      <c r="S4486" s="16"/>
      <c r="T4486" s="15">
        <f>+E4485</f>
        <v>0</v>
      </c>
      <c r="U4486" s="26" t="str">
        <f>IFERROR(LEFT(I4485,FIND("*",I4485)-1),"-")</f>
        <v>-</v>
      </c>
      <c r="V4486" s="26" t="str">
        <f>IFERROR(RIGHT(I4485,LEN(I4485)-FIND("*",I4485)),"-")</f>
        <v>-</v>
      </c>
      <c r="W4486" s="27" t="str">
        <f t="shared" si="2440"/>
        <v>-</v>
      </c>
      <c r="X4486" s="27" t="str">
        <f t="shared" ref="X4486" si="2445">IFERROR(W4486*J4485,"-")</f>
        <v>-</v>
      </c>
      <c r="Z4486" s="94" t="s">
        <v>82</v>
      </c>
    </row>
    <row r="4487" spans="1:26" s="25" customFormat="1" ht="6.95" customHeight="1" x14ac:dyDescent="0.3">
      <c r="A4487" s="10"/>
      <c r="B4487" s="168"/>
      <c r="C4487" s="169"/>
      <c r="D4487" s="160"/>
      <c r="E4487" s="161"/>
      <c r="F4487" s="162"/>
      <c r="G4487" s="163"/>
      <c r="H4487" s="164"/>
      <c r="I4487" s="163"/>
      <c r="J4487" s="164"/>
      <c r="K4487" s="163"/>
      <c r="L4487" s="164"/>
      <c r="M4487" s="11"/>
      <c r="N4487" s="39"/>
      <c r="Q4487" s="15" t="str">
        <f>+CONCATENATE(E4485,K4485)</f>
        <v/>
      </c>
      <c r="R4487" s="15">
        <f>+L4485</f>
        <v>0</v>
      </c>
      <c r="S4487" s="16"/>
      <c r="T4487" s="15">
        <f>+E4485</f>
        <v>0</v>
      </c>
      <c r="U4487" s="26" t="str">
        <f>IFERROR(LEFT(K4485,FIND("*",K4485)-1),"-")</f>
        <v>-</v>
      </c>
      <c r="V4487" s="26" t="str">
        <f>IFERROR(RIGHT(K4485,LEN(K4485)-FIND("*",K4485)),"-")</f>
        <v>-</v>
      </c>
      <c r="W4487" s="27" t="str">
        <f t="shared" si="2440"/>
        <v>-</v>
      </c>
      <c r="X4487" s="27" t="str">
        <f>IFERROR(W4487*L4485,"-")</f>
        <v>-</v>
      </c>
      <c r="Z4487" s="94" t="s">
        <v>82</v>
      </c>
    </row>
    <row r="4488" spans="1:26" s="25" customFormat="1" ht="21" customHeight="1" thickBot="1" x14ac:dyDescent="0.35">
      <c r="A4488" s="10"/>
      <c r="B4488" s="170"/>
      <c r="C4488" s="171"/>
      <c r="D4488" s="172" t="s">
        <v>43</v>
      </c>
      <c r="E4488" s="173"/>
      <c r="F4488" s="173"/>
      <c r="G4488" s="174"/>
      <c r="H4488" s="174"/>
      <c r="I4488" s="174"/>
      <c r="J4488" s="174"/>
      <c r="K4488" s="174"/>
      <c r="L4488" s="174"/>
      <c r="M4488" s="12"/>
      <c r="N4488" s="39"/>
      <c r="U4488" s="23"/>
      <c r="V4488" s="23"/>
      <c r="Z4488" s="95" t="s">
        <v>81</v>
      </c>
    </row>
    <row r="4489" spans="1:26" s="25" customFormat="1" ht="9.9499999999999993" customHeight="1" thickBot="1" x14ac:dyDescent="0.35">
      <c r="A4489" s="6"/>
      <c r="B4489" s="14"/>
      <c r="C4489" s="119"/>
      <c r="D4489" s="58"/>
      <c r="E4489" s="17"/>
      <c r="F4489" s="58"/>
      <c r="G4489" s="19"/>
      <c r="H4489" s="19"/>
      <c r="I4489" s="19"/>
      <c r="J4489" s="19"/>
      <c r="K4489" s="19"/>
      <c r="L4489" s="19"/>
      <c r="M4489" s="14"/>
      <c r="N4489" s="39"/>
      <c r="Q4489" s="1"/>
      <c r="R4489" s="1"/>
      <c r="S4489" s="1"/>
      <c r="T4489" s="1"/>
      <c r="U4489" s="24"/>
      <c r="V4489" s="24"/>
      <c r="W4489" s="1"/>
      <c r="X4489" s="1"/>
      <c r="Z4489" s="94" t="s">
        <v>82</v>
      </c>
    </row>
    <row r="4490" spans="1:26" s="25" customFormat="1" ht="6.95" customHeight="1" x14ac:dyDescent="0.3">
      <c r="A4490" s="165">
        <f>+A4479+1</f>
        <v>409</v>
      </c>
      <c r="B4490" s="166"/>
      <c r="C4490" s="167"/>
      <c r="D4490" s="160" t="s">
        <v>39</v>
      </c>
      <c r="E4490" s="161"/>
      <c r="F4490" s="162" t="s">
        <v>40</v>
      </c>
      <c r="G4490" s="163"/>
      <c r="H4490" s="164"/>
      <c r="I4490" s="163"/>
      <c r="J4490" s="164"/>
      <c r="K4490" s="163"/>
      <c r="L4490" s="164"/>
      <c r="M4490" s="11"/>
      <c r="N4490" s="39"/>
      <c r="Q4490" s="15" t="str">
        <f>+CONCATENATE(E4490,G4490)</f>
        <v/>
      </c>
      <c r="R4490" s="15">
        <f>+H4490</f>
        <v>0</v>
      </c>
      <c r="S4490" s="16"/>
      <c r="T4490" s="15">
        <f>+E4490</f>
        <v>0</v>
      </c>
      <c r="U4490" s="26" t="str">
        <f>IFERROR(LEFT(G4490,FIND("*",G4490)-1),"-")</f>
        <v>-</v>
      </c>
      <c r="V4490" s="26" t="str">
        <f>IFERROR(RIGHT(G4490,LEN(G4490)-FIND("*",G4490)),"-")</f>
        <v>-</v>
      </c>
      <c r="W4490" s="27" t="str">
        <f>IFERROR((U4490+V4490)*2/1000,"-")</f>
        <v>-</v>
      </c>
      <c r="X4490" s="27" t="str">
        <f>IFERROR(W4490*H4490,"-")</f>
        <v>-</v>
      </c>
      <c r="Z4490" s="94" t="s">
        <v>82</v>
      </c>
    </row>
    <row r="4491" spans="1:26" s="25" customFormat="1" ht="6.95" customHeight="1" x14ac:dyDescent="0.3">
      <c r="A4491" s="165"/>
      <c r="B4491" s="168"/>
      <c r="C4491" s="169"/>
      <c r="D4491" s="160"/>
      <c r="E4491" s="161"/>
      <c r="F4491" s="162"/>
      <c r="G4491" s="163"/>
      <c r="H4491" s="164"/>
      <c r="I4491" s="163"/>
      <c r="J4491" s="164"/>
      <c r="K4491" s="163"/>
      <c r="L4491" s="164"/>
      <c r="M4491" s="11"/>
      <c r="N4491" s="39"/>
      <c r="Q4491" s="15" t="str">
        <f>+CONCATENATE(E4490,I4490)</f>
        <v/>
      </c>
      <c r="R4491" s="15">
        <f>+J4490</f>
        <v>0</v>
      </c>
      <c r="S4491" s="16"/>
      <c r="T4491" s="15">
        <f>+E4490</f>
        <v>0</v>
      </c>
      <c r="U4491" s="26" t="str">
        <f>IFERROR(LEFT(I4490,FIND("*",I4490)-1),"-")</f>
        <v>-</v>
      </c>
      <c r="V4491" s="26" t="str">
        <f>IFERROR(RIGHT(I4490,LEN(I4490)-FIND("*",I4490)),"-")</f>
        <v>-</v>
      </c>
      <c r="W4491" s="27" t="str">
        <f t="shared" ref="W4491:W4498" si="2446">IFERROR((U4491+V4491)*2/1000,"-")</f>
        <v>-</v>
      </c>
      <c r="X4491" s="27" t="str">
        <f>IFERROR(W4491*J4490,"-")</f>
        <v>-</v>
      </c>
      <c r="Z4491" s="94" t="s">
        <v>82</v>
      </c>
    </row>
    <row r="4492" spans="1:26" s="25" customFormat="1" ht="6.95" customHeight="1" x14ac:dyDescent="0.3">
      <c r="A4492" s="165"/>
      <c r="B4492" s="168"/>
      <c r="C4492" s="169"/>
      <c r="D4492" s="160"/>
      <c r="E4492" s="161"/>
      <c r="F4492" s="162"/>
      <c r="G4492" s="163"/>
      <c r="H4492" s="164"/>
      <c r="I4492" s="163"/>
      <c r="J4492" s="164"/>
      <c r="K4492" s="163"/>
      <c r="L4492" s="164"/>
      <c r="M4492" s="11"/>
      <c r="N4492" s="39"/>
      <c r="Q4492" s="15" t="str">
        <f>+CONCATENATE(E4490,K4490)</f>
        <v/>
      </c>
      <c r="R4492" s="15">
        <f>+L4490</f>
        <v>0</v>
      </c>
      <c r="S4492" s="16"/>
      <c r="T4492" s="15">
        <f>+E4490</f>
        <v>0</v>
      </c>
      <c r="U4492" s="26" t="str">
        <f>IFERROR(LEFT(K4490,FIND("*",K4490)-1),"-")</f>
        <v>-</v>
      </c>
      <c r="V4492" s="26" t="str">
        <f>IFERROR(RIGHT(K4490,LEN(K4490)-FIND("*",K4490)),"-")</f>
        <v>-</v>
      </c>
      <c r="W4492" s="27" t="str">
        <f t="shared" si="2446"/>
        <v>-</v>
      </c>
      <c r="X4492" s="27" t="str">
        <f>IFERROR(W4492*L4490,"-")</f>
        <v>-</v>
      </c>
      <c r="Z4492" s="94" t="s">
        <v>82</v>
      </c>
    </row>
    <row r="4493" spans="1:26" s="25" customFormat="1" ht="6.95" customHeight="1" x14ac:dyDescent="0.3">
      <c r="A4493" s="13"/>
      <c r="B4493" s="168"/>
      <c r="C4493" s="169"/>
      <c r="D4493" s="160" t="s">
        <v>39</v>
      </c>
      <c r="E4493" s="161"/>
      <c r="F4493" s="162" t="s">
        <v>40</v>
      </c>
      <c r="G4493" s="163"/>
      <c r="H4493" s="164"/>
      <c r="I4493" s="163"/>
      <c r="J4493" s="164"/>
      <c r="K4493" s="163"/>
      <c r="L4493" s="164"/>
      <c r="M4493" s="11"/>
      <c r="N4493" s="39"/>
      <c r="Q4493" s="15" t="str">
        <f>+CONCATENATE(E4493,G4493)</f>
        <v/>
      </c>
      <c r="R4493" s="15">
        <f>+H4493</f>
        <v>0</v>
      </c>
      <c r="S4493" s="16"/>
      <c r="T4493" s="15">
        <f>+E4493</f>
        <v>0</v>
      </c>
      <c r="U4493" s="26" t="str">
        <f t="shared" ref="U4493" si="2447">IFERROR(LEFT(G4493,FIND("*",G4493)-1),"-")</f>
        <v>-</v>
      </c>
      <c r="V4493" s="26" t="str">
        <f t="shared" ref="V4493" si="2448">IFERROR(RIGHT(G4493,LEN(G4493)-FIND("*",G4493)),"-")</f>
        <v>-</v>
      </c>
      <c r="W4493" s="27" t="str">
        <f t="shared" si="2446"/>
        <v>-</v>
      </c>
      <c r="X4493" s="27" t="str">
        <f>IFERROR(W4493*H4493,"-")</f>
        <v>-</v>
      </c>
      <c r="Z4493" s="94" t="s">
        <v>82</v>
      </c>
    </row>
    <row r="4494" spans="1:26" s="25" customFormat="1" ht="6.95" customHeight="1" x14ac:dyDescent="0.3">
      <c r="A4494" s="10"/>
      <c r="B4494" s="168"/>
      <c r="C4494" s="169"/>
      <c r="D4494" s="160"/>
      <c r="E4494" s="161"/>
      <c r="F4494" s="162"/>
      <c r="G4494" s="163"/>
      <c r="H4494" s="164"/>
      <c r="I4494" s="163"/>
      <c r="J4494" s="164"/>
      <c r="K4494" s="163"/>
      <c r="L4494" s="164"/>
      <c r="M4494" s="11"/>
      <c r="N4494" s="39"/>
      <c r="Q4494" s="15" t="str">
        <f>+CONCATENATE(E4493,I4493)</f>
        <v/>
      </c>
      <c r="R4494" s="15">
        <f>+J4493</f>
        <v>0</v>
      </c>
      <c r="S4494" s="16"/>
      <c r="T4494" s="15">
        <f>+E4493</f>
        <v>0</v>
      </c>
      <c r="U4494" s="26" t="str">
        <f>IFERROR(LEFT(I4493,FIND("*",I4493)-1),"-")</f>
        <v>-</v>
      </c>
      <c r="V4494" s="26" t="str">
        <f>IFERROR(RIGHT(I4493,LEN(I4493)-FIND("*",I4493)),"-")</f>
        <v>-</v>
      </c>
      <c r="W4494" s="27" t="str">
        <f t="shared" si="2446"/>
        <v>-</v>
      </c>
      <c r="X4494" s="27" t="str">
        <f>IFERROR(W4494*J4493,"-")</f>
        <v>-</v>
      </c>
      <c r="Z4494" s="94" t="s">
        <v>82</v>
      </c>
    </row>
    <row r="4495" spans="1:26" s="25" customFormat="1" ht="6.95" customHeight="1" x14ac:dyDescent="0.3">
      <c r="A4495" s="10"/>
      <c r="B4495" s="168"/>
      <c r="C4495" s="169"/>
      <c r="D4495" s="160"/>
      <c r="E4495" s="161"/>
      <c r="F4495" s="162"/>
      <c r="G4495" s="163"/>
      <c r="H4495" s="164"/>
      <c r="I4495" s="163"/>
      <c r="J4495" s="164"/>
      <c r="K4495" s="163"/>
      <c r="L4495" s="164"/>
      <c r="M4495" s="11"/>
      <c r="N4495" s="39"/>
      <c r="Q4495" s="15" t="str">
        <f>+CONCATENATE(E4493,K4493)</f>
        <v/>
      </c>
      <c r="R4495" s="15">
        <f>+L4493</f>
        <v>0</v>
      </c>
      <c r="S4495" s="16"/>
      <c r="T4495" s="15">
        <f>+E4493</f>
        <v>0</v>
      </c>
      <c r="U4495" s="26" t="str">
        <f>IFERROR(LEFT(K4493,FIND("*",K4493)-1),"-")</f>
        <v>-</v>
      </c>
      <c r="V4495" s="26" t="str">
        <f>IFERROR(RIGHT(K4493,LEN(K4493)-FIND("*",K4493)),"-")</f>
        <v>-</v>
      </c>
      <c r="W4495" s="27" t="str">
        <f t="shared" si="2446"/>
        <v>-</v>
      </c>
      <c r="X4495" s="27" t="str">
        <f>IFERROR(W4495*L4493,"-")</f>
        <v>-</v>
      </c>
      <c r="Z4495" s="94" t="s">
        <v>82</v>
      </c>
    </row>
    <row r="4496" spans="1:26" s="25" customFormat="1" ht="6.95" customHeight="1" x14ac:dyDescent="0.3">
      <c r="A4496" s="13"/>
      <c r="B4496" s="168"/>
      <c r="C4496" s="169"/>
      <c r="D4496" s="160" t="s">
        <v>39</v>
      </c>
      <c r="E4496" s="161"/>
      <c r="F4496" s="162" t="s">
        <v>40</v>
      </c>
      <c r="G4496" s="163"/>
      <c r="H4496" s="164"/>
      <c r="I4496" s="163"/>
      <c r="J4496" s="164"/>
      <c r="K4496" s="163"/>
      <c r="L4496" s="164"/>
      <c r="M4496" s="11"/>
      <c r="N4496" s="39"/>
      <c r="Q4496" s="15" t="str">
        <f>+CONCATENATE(E4496,G4496)</f>
        <v/>
      </c>
      <c r="R4496" s="15">
        <f>+H4496</f>
        <v>0</v>
      </c>
      <c r="S4496" s="16"/>
      <c r="T4496" s="15">
        <f>+E4496</f>
        <v>0</v>
      </c>
      <c r="U4496" s="26" t="str">
        <f t="shared" ref="U4496" si="2449">IFERROR(LEFT(G4496,FIND("*",G4496)-1),"-")</f>
        <v>-</v>
      </c>
      <c r="V4496" s="26" t="str">
        <f t="shared" ref="V4496" si="2450">IFERROR(RIGHT(G4496,LEN(G4496)-FIND("*",G4496)),"-")</f>
        <v>-</v>
      </c>
      <c r="W4496" s="27" t="str">
        <f t="shared" si="2446"/>
        <v>-</v>
      </c>
      <c r="X4496" s="27" t="str">
        <f>IFERROR(W4496*H4496,"-")</f>
        <v>-</v>
      </c>
      <c r="Z4496" s="94" t="s">
        <v>82</v>
      </c>
    </row>
    <row r="4497" spans="1:26" s="25" customFormat="1" ht="6.95" customHeight="1" x14ac:dyDescent="0.3">
      <c r="A4497" s="10"/>
      <c r="B4497" s="168"/>
      <c r="C4497" s="169"/>
      <c r="D4497" s="160"/>
      <c r="E4497" s="161"/>
      <c r="F4497" s="162"/>
      <c r="G4497" s="163"/>
      <c r="H4497" s="164"/>
      <c r="I4497" s="163"/>
      <c r="J4497" s="164"/>
      <c r="K4497" s="163"/>
      <c r="L4497" s="164"/>
      <c r="M4497" s="11"/>
      <c r="N4497" s="39"/>
      <c r="Q4497" s="15" t="str">
        <f>+CONCATENATE(E4496,I4496)</f>
        <v/>
      </c>
      <c r="R4497" s="15">
        <f>+J4496</f>
        <v>0</v>
      </c>
      <c r="S4497" s="16"/>
      <c r="T4497" s="15">
        <f>+E4496</f>
        <v>0</v>
      </c>
      <c r="U4497" s="26" t="str">
        <f>IFERROR(LEFT(I4496,FIND("*",I4496)-1),"-")</f>
        <v>-</v>
      </c>
      <c r="V4497" s="26" t="str">
        <f>IFERROR(RIGHT(I4496,LEN(I4496)-FIND("*",I4496)),"-")</f>
        <v>-</v>
      </c>
      <c r="W4497" s="27" t="str">
        <f t="shared" si="2446"/>
        <v>-</v>
      </c>
      <c r="X4497" s="27" t="str">
        <f t="shared" ref="X4497" si="2451">IFERROR(W4497*J4496,"-")</f>
        <v>-</v>
      </c>
      <c r="Z4497" s="94" t="s">
        <v>82</v>
      </c>
    </row>
    <row r="4498" spans="1:26" s="25" customFormat="1" ht="6.95" customHeight="1" x14ac:dyDescent="0.3">
      <c r="A4498" s="10"/>
      <c r="B4498" s="168"/>
      <c r="C4498" s="169"/>
      <c r="D4498" s="160"/>
      <c r="E4498" s="161"/>
      <c r="F4498" s="162"/>
      <c r="G4498" s="163"/>
      <c r="H4498" s="164"/>
      <c r="I4498" s="163"/>
      <c r="J4498" s="164"/>
      <c r="K4498" s="163"/>
      <c r="L4498" s="164"/>
      <c r="M4498" s="11"/>
      <c r="N4498" s="39"/>
      <c r="Q4498" s="15" t="str">
        <f>+CONCATENATE(E4496,K4496)</f>
        <v/>
      </c>
      <c r="R4498" s="15">
        <f>+L4496</f>
        <v>0</v>
      </c>
      <c r="S4498" s="16"/>
      <c r="T4498" s="15">
        <f>+E4496</f>
        <v>0</v>
      </c>
      <c r="U4498" s="26" t="str">
        <f>IFERROR(LEFT(K4496,FIND("*",K4496)-1),"-")</f>
        <v>-</v>
      </c>
      <c r="V4498" s="26" t="str">
        <f>IFERROR(RIGHT(K4496,LEN(K4496)-FIND("*",K4496)),"-")</f>
        <v>-</v>
      </c>
      <c r="W4498" s="27" t="str">
        <f t="shared" si="2446"/>
        <v>-</v>
      </c>
      <c r="X4498" s="27" t="str">
        <f>IFERROR(W4498*L4496,"-")</f>
        <v>-</v>
      </c>
      <c r="Z4498" s="94" t="s">
        <v>82</v>
      </c>
    </row>
    <row r="4499" spans="1:26" s="25" customFormat="1" ht="21" customHeight="1" thickBot="1" x14ac:dyDescent="0.35">
      <c r="A4499" s="10"/>
      <c r="B4499" s="170"/>
      <c r="C4499" s="171"/>
      <c r="D4499" s="172" t="s">
        <v>43</v>
      </c>
      <c r="E4499" s="173"/>
      <c r="F4499" s="173"/>
      <c r="G4499" s="174"/>
      <c r="H4499" s="174"/>
      <c r="I4499" s="174"/>
      <c r="J4499" s="174"/>
      <c r="K4499" s="174"/>
      <c r="L4499" s="174"/>
      <c r="M4499" s="12"/>
      <c r="N4499" s="39"/>
      <c r="U4499" s="23"/>
      <c r="V4499" s="23"/>
      <c r="Z4499" s="95" t="s">
        <v>81</v>
      </c>
    </row>
    <row r="4500" spans="1:26" s="25" customFormat="1" ht="9.9499999999999993" customHeight="1" thickBot="1" x14ac:dyDescent="0.35">
      <c r="A4500" s="6"/>
      <c r="B4500" s="14"/>
      <c r="C4500" s="119"/>
      <c r="D4500" s="58"/>
      <c r="E4500" s="17"/>
      <c r="F4500" s="58"/>
      <c r="G4500" s="19"/>
      <c r="H4500" s="19"/>
      <c r="I4500" s="19"/>
      <c r="J4500" s="19"/>
      <c r="K4500" s="19"/>
      <c r="L4500" s="19"/>
      <c r="M4500" s="14"/>
      <c r="N4500" s="39"/>
      <c r="Q4500" s="1"/>
      <c r="R4500" s="1"/>
      <c r="S4500" s="1"/>
      <c r="T4500" s="1"/>
      <c r="U4500" s="24"/>
      <c r="V4500" s="24"/>
      <c r="W4500" s="1"/>
      <c r="X4500" s="1"/>
      <c r="Z4500" s="94" t="s">
        <v>82</v>
      </c>
    </row>
    <row r="4501" spans="1:26" s="25" customFormat="1" ht="6.95" customHeight="1" x14ac:dyDescent="0.3">
      <c r="A4501" s="165">
        <f>+A4490+1</f>
        <v>410</v>
      </c>
      <c r="B4501" s="166"/>
      <c r="C4501" s="167"/>
      <c r="D4501" s="160" t="s">
        <v>39</v>
      </c>
      <c r="E4501" s="161"/>
      <c r="F4501" s="162" t="s">
        <v>40</v>
      </c>
      <c r="G4501" s="163"/>
      <c r="H4501" s="164"/>
      <c r="I4501" s="163"/>
      <c r="J4501" s="164"/>
      <c r="K4501" s="163"/>
      <c r="L4501" s="164"/>
      <c r="M4501" s="11"/>
      <c r="N4501" s="39"/>
      <c r="Q4501" s="15" t="str">
        <f>+CONCATENATE(E4501,G4501)</f>
        <v/>
      </c>
      <c r="R4501" s="15">
        <f>+H4501</f>
        <v>0</v>
      </c>
      <c r="S4501" s="16"/>
      <c r="T4501" s="15">
        <f>+E4501</f>
        <v>0</v>
      </c>
      <c r="U4501" s="26" t="str">
        <f>IFERROR(LEFT(G4501,FIND("*",G4501)-1),"-")</f>
        <v>-</v>
      </c>
      <c r="V4501" s="26" t="str">
        <f>IFERROR(RIGHT(G4501,LEN(G4501)-FIND("*",G4501)),"-")</f>
        <v>-</v>
      </c>
      <c r="W4501" s="27" t="str">
        <f>IFERROR((U4501+V4501)*2/1000,"-")</f>
        <v>-</v>
      </c>
      <c r="X4501" s="27" t="str">
        <f>IFERROR(W4501*H4501,"-")</f>
        <v>-</v>
      </c>
      <c r="Z4501" s="94" t="s">
        <v>82</v>
      </c>
    </row>
    <row r="4502" spans="1:26" s="25" customFormat="1" ht="6.95" customHeight="1" x14ac:dyDescent="0.3">
      <c r="A4502" s="165"/>
      <c r="B4502" s="168"/>
      <c r="C4502" s="169"/>
      <c r="D4502" s="160"/>
      <c r="E4502" s="161"/>
      <c r="F4502" s="162"/>
      <c r="G4502" s="163"/>
      <c r="H4502" s="164"/>
      <c r="I4502" s="163"/>
      <c r="J4502" s="164"/>
      <c r="K4502" s="163"/>
      <c r="L4502" s="164"/>
      <c r="M4502" s="11"/>
      <c r="N4502" s="39"/>
      <c r="Q4502" s="15" t="str">
        <f>+CONCATENATE(E4501,I4501)</f>
        <v/>
      </c>
      <c r="R4502" s="15">
        <f>+J4501</f>
        <v>0</v>
      </c>
      <c r="S4502" s="16"/>
      <c r="T4502" s="15">
        <f>+E4501</f>
        <v>0</v>
      </c>
      <c r="U4502" s="26" t="str">
        <f>IFERROR(LEFT(I4501,FIND("*",I4501)-1),"-")</f>
        <v>-</v>
      </c>
      <c r="V4502" s="26" t="str">
        <f>IFERROR(RIGHT(I4501,LEN(I4501)-FIND("*",I4501)),"-")</f>
        <v>-</v>
      </c>
      <c r="W4502" s="27" t="str">
        <f t="shared" ref="W4502:W4509" si="2452">IFERROR((U4502+V4502)*2/1000,"-")</f>
        <v>-</v>
      </c>
      <c r="X4502" s="27" t="str">
        <f>IFERROR(W4502*J4501,"-")</f>
        <v>-</v>
      </c>
      <c r="Z4502" s="94" t="s">
        <v>82</v>
      </c>
    </row>
    <row r="4503" spans="1:26" s="25" customFormat="1" ht="6.95" customHeight="1" x14ac:dyDescent="0.3">
      <c r="A4503" s="165"/>
      <c r="B4503" s="168"/>
      <c r="C4503" s="169"/>
      <c r="D4503" s="160"/>
      <c r="E4503" s="161"/>
      <c r="F4503" s="162"/>
      <c r="G4503" s="163"/>
      <c r="H4503" s="164"/>
      <c r="I4503" s="163"/>
      <c r="J4503" s="164"/>
      <c r="K4503" s="163"/>
      <c r="L4503" s="164"/>
      <c r="M4503" s="11"/>
      <c r="N4503" s="39"/>
      <c r="Q4503" s="15" t="str">
        <f>+CONCATENATE(E4501,K4501)</f>
        <v/>
      </c>
      <c r="R4503" s="15">
        <f>+L4501</f>
        <v>0</v>
      </c>
      <c r="S4503" s="16"/>
      <c r="T4503" s="15">
        <f>+E4501</f>
        <v>0</v>
      </c>
      <c r="U4503" s="26" t="str">
        <f>IFERROR(LEFT(K4501,FIND("*",K4501)-1),"-")</f>
        <v>-</v>
      </c>
      <c r="V4503" s="26" t="str">
        <f>IFERROR(RIGHT(K4501,LEN(K4501)-FIND("*",K4501)),"-")</f>
        <v>-</v>
      </c>
      <c r="W4503" s="27" t="str">
        <f t="shared" si="2452"/>
        <v>-</v>
      </c>
      <c r="X4503" s="27" t="str">
        <f>IFERROR(W4503*L4501,"-")</f>
        <v>-</v>
      </c>
      <c r="Z4503" s="94" t="s">
        <v>82</v>
      </c>
    </row>
    <row r="4504" spans="1:26" s="25" customFormat="1" ht="6.95" customHeight="1" x14ac:dyDescent="0.3">
      <c r="A4504" s="13"/>
      <c r="B4504" s="168"/>
      <c r="C4504" s="169"/>
      <c r="D4504" s="160" t="s">
        <v>39</v>
      </c>
      <c r="E4504" s="161"/>
      <c r="F4504" s="162" t="s">
        <v>40</v>
      </c>
      <c r="G4504" s="163"/>
      <c r="H4504" s="164"/>
      <c r="I4504" s="163"/>
      <c r="J4504" s="164"/>
      <c r="K4504" s="163"/>
      <c r="L4504" s="164"/>
      <c r="M4504" s="11"/>
      <c r="N4504" s="39"/>
      <c r="Q4504" s="15" t="str">
        <f>+CONCATENATE(E4504,G4504)</f>
        <v/>
      </c>
      <c r="R4504" s="15">
        <f>+H4504</f>
        <v>0</v>
      </c>
      <c r="S4504" s="16"/>
      <c r="T4504" s="15">
        <f>+E4504</f>
        <v>0</v>
      </c>
      <c r="U4504" s="26" t="str">
        <f t="shared" ref="U4504" si="2453">IFERROR(LEFT(G4504,FIND("*",G4504)-1),"-")</f>
        <v>-</v>
      </c>
      <c r="V4504" s="26" t="str">
        <f t="shared" ref="V4504" si="2454">IFERROR(RIGHT(G4504,LEN(G4504)-FIND("*",G4504)),"-")</f>
        <v>-</v>
      </c>
      <c r="W4504" s="27" t="str">
        <f t="shared" si="2452"/>
        <v>-</v>
      </c>
      <c r="X4504" s="27" t="str">
        <f>IFERROR(W4504*H4504,"-")</f>
        <v>-</v>
      </c>
      <c r="Z4504" s="94" t="s">
        <v>82</v>
      </c>
    </row>
    <row r="4505" spans="1:26" s="25" customFormat="1" ht="6.95" customHeight="1" x14ac:dyDescent="0.3">
      <c r="A4505" s="10"/>
      <c r="B4505" s="168"/>
      <c r="C4505" s="169"/>
      <c r="D4505" s="160"/>
      <c r="E4505" s="161"/>
      <c r="F4505" s="162"/>
      <c r="G4505" s="163"/>
      <c r="H4505" s="164"/>
      <c r="I4505" s="163"/>
      <c r="J4505" s="164"/>
      <c r="K4505" s="163"/>
      <c r="L4505" s="164"/>
      <c r="M4505" s="11"/>
      <c r="N4505" s="39"/>
      <c r="Q4505" s="15" t="str">
        <f>+CONCATENATE(E4504,I4504)</f>
        <v/>
      </c>
      <c r="R4505" s="15">
        <f>+J4504</f>
        <v>0</v>
      </c>
      <c r="S4505" s="16"/>
      <c r="T4505" s="15">
        <f>+E4504</f>
        <v>0</v>
      </c>
      <c r="U4505" s="26" t="str">
        <f>IFERROR(LEFT(I4504,FIND("*",I4504)-1),"-")</f>
        <v>-</v>
      </c>
      <c r="V4505" s="26" t="str">
        <f>IFERROR(RIGHT(I4504,LEN(I4504)-FIND("*",I4504)),"-")</f>
        <v>-</v>
      </c>
      <c r="W4505" s="27" t="str">
        <f t="shared" si="2452"/>
        <v>-</v>
      </c>
      <c r="X4505" s="27" t="str">
        <f>IFERROR(W4505*J4504,"-")</f>
        <v>-</v>
      </c>
      <c r="Z4505" s="94" t="s">
        <v>82</v>
      </c>
    </row>
    <row r="4506" spans="1:26" s="25" customFormat="1" ht="6.95" customHeight="1" x14ac:dyDescent="0.3">
      <c r="A4506" s="10"/>
      <c r="B4506" s="168"/>
      <c r="C4506" s="169"/>
      <c r="D4506" s="160"/>
      <c r="E4506" s="161"/>
      <c r="F4506" s="162"/>
      <c r="G4506" s="163"/>
      <c r="H4506" s="164"/>
      <c r="I4506" s="163"/>
      <c r="J4506" s="164"/>
      <c r="K4506" s="163"/>
      <c r="L4506" s="164"/>
      <c r="M4506" s="11"/>
      <c r="N4506" s="39"/>
      <c r="Q4506" s="15" t="str">
        <f>+CONCATENATE(E4504,K4504)</f>
        <v/>
      </c>
      <c r="R4506" s="15">
        <f>+L4504</f>
        <v>0</v>
      </c>
      <c r="S4506" s="16"/>
      <c r="T4506" s="15">
        <f>+E4504</f>
        <v>0</v>
      </c>
      <c r="U4506" s="26" t="str">
        <f>IFERROR(LEFT(K4504,FIND("*",K4504)-1),"-")</f>
        <v>-</v>
      </c>
      <c r="V4506" s="26" t="str">
        <f>IFERROR(RIGHT(K4504,LEN(K4504)-FIND("*",K4504)),"-")</f>
        <v>-</v>
      </c>
      <c r="W4506" s="27" t="str">
        <f t="shared" si="2452"/>
        <v>-</v>
      </c>
      <c r="X4506" s="27" t="str">
        <f>IFERROR(W4506*L4504,"-")</f>
        <v>-</v>
      </c>
      <c r="Z4506" s="94" t="s">
        <v>82</v>
      </c>
    </row>
    <row r="4507" spans="1:26" s="25" customFormat="1" ht="6.95" customHeight="1" x14ac:dyDescent="0.3">
      <c r="A4507" s="13"/>
      <c r="B4507" s="168"/>
      <c r="C4507" s="169"/>
      <c r="D4507" s="160" t="s">
        <v>39</v>
      </c>
      <c r="E4507" s="161"/>
      <c r="F4507" s="162" t="s">
        <v>40</v>
      </c>
      <c r="G4507" s="163"/>
      <c r="H4507" s="164"/>
      <c r="I4507" s="163"/>
      <c r="J4507" s="164"/>
      <c r="K4507" s="163"/>
      <c r="L4507" s="164"/>
      <c r="M4507" s="11"/>
      <c r="N4507" s="39"/>
      <c r="Q4507" s="15" t="str">
        <f>+CONCATENATE(E4507,G4507)</f>
        <v/>
      </c>
      <c r="R4507" s="15">
        <f>+H4507</f>
        <v>0</v>
      </c>
      <c r="S4507" s="16"/>
      <c r="T4507" s="15">
        <f>+E4507</f>
        <v>0</v>
      </c>
      <c r="U4507" s="26" t="str">
        <f t="shared" ref="U4507" si="2455">IFERROR(LEFT(G4507,FIND("*",G4507)-1),"-")</f>
        <v>-</v>
      </c>
      <c r="V4507" s="26" t="str">
        <f t="shared" ref="V4507" si="2456">IFERROR(RIGHT(G4507,LEN(G4507)-FIND("*",G4507)),"-")</f>
        <v>-</v>
      </c>
      <c r="W4507" s="27" t="str">
        <f t="shared" si="2452"/>
        <v>-</v>
      </c>
      <c r="X4507" s="27" t="str">
        <f>IFERROR(W4507*H4507,"-")</f>
        <v>-</v>
      </c>
      <c r="Z4507" s="94" t="s">
        <v>82</v>
      </c>
    </row>
    <row r="4508" spans="1:26" s="25" customFormat="1" ht="6.95" customHeight="1" x14ac:dyDescent="0.3">
      <c r="A4508" s="10"/>
      <c r="B4508" s="168"/>
      <c r="C4508" s="169"/>
      <c r="D4508" s="160"/>
      <c r="E4508" s="161"/>
      <c r="F4508" s="162"/>
      <c r="G4508" s="163"/>
      <c r="H4508" s="164"/>
      <c r="I4508" s="163"/>
      <c r="J4508" s="164"/>
      <c r="K4508" s="163"/>
      <c r="L4508" s="164"/>
      <c r="M4508" s="11"/>
      <c r="N4508" s="39"/>
      <c r="Q4508" s="15" t="str">
        <f>+CONCATENATE(E4507,I4507)</f>
        <v/>
      </c>
      <c r="R4508" s="15">
        <f>+J4507</f>
        <v>0</v>
      </c>
      <c r="S4508" s="16"/>
      <c r="T4508" s="15">
        <f>+E4507</f>
        <v>0</v>
      </c>
      <c r="U4508" s="26" t="str">
        <f>IFERROR(LEFT(I4507,FIND("*",I4507)-1),"-")</f>
        <v>-</v>
      </c>
      <c r="V4508" s="26" t="str">
        <f>IFERROR(RIGHT(I4507,LEN(I4507)-FIND("*",I4507)),"-")</f>
        <v>-</v>
      </c>
      <c r="W4508" s="27" t="str">
        <f t="shared" si="2452"/>
        <v>-</v>
      </c>
      <c r="X4508" s="27" t="str">
        <f t="shared" ref="X4508" si="2457">IFERROR(W4508*J4507,"-")</f>
        <v>-</v>
      </c>
      <c r="Z4508" s="94" t="s">
        <v>82</v>
      </c>
    </row>
    <row r="4509" spans="1:26" s="25" customFormat="1" ht="6.95" customHeight="1" x14ac:dyDescent="0.3">
      <c r="A4509" s="10"/>
      <c r="B4509" s="168"/>
      <c r="C4509" s="169"/>
      <c r="D4509" s="160"/>
      <c r="E4509" s="161"/>
      <c r="F4509" s="162"/>
      <c r="G4509" s="163"/>
      <c r="H4509" s="164"/>
      <c r="I4509" s="163"/>
      <c r="J4509" s="164"/>
      <c r="K4509" s="163"/>
      <c r="L4509" s="164"/>
      <c r="M4509" s="11"/>
      <c r="N4509" s="39"/>
      <c r="Q4509" s="15" t="str">
        <f>+CONCATENATE(E4507,K4507)</f>
        <v/>
      </c>
      <c r="R4509" s="15">
        <f>+L4507</f>
        <v>0</v>
      </c>
      <c r="S4509" s="16"/>
      <c r="T4509" s="15">
        <f>+E4507</f>
        <v>0</v>
      </c>
      <c r="U4509" s="26" t="str">
        <f>IFERROR(LEFT(K4507,FIND("*",K4507)-1),"-")</f>
        <v>-</v>
      </c>
      <c r="V4509" s="26" t="str">
        <f>IFERROR(RIGHT(K4507,LEN(K4507)-FIND("*",K4507)),"-")</f>
        <v>-</v>
      </c>
      <c r="W4509" s="27" t="str">
        <f t="shared" si="2452"/>
        <v>-</v>
      </c>
      <c r="X4509" s="27" t="str">
        <f>IFERROR(W4509*L4507,"-")</f>
        <v>-</v>
      </c>
      <c r="Z4509" s="94" t="s">
        <v>82</v>
      </c>
    </row>
    <row r="4510" spans="1:26" s="25" customFormat="1" ht="21" customHeight="1" thickBot="1" x14ac:dyDescent="0.35">
      <c r="A4510" s="10"/>
      <c r="B4510" s="170"/>
      <c r="C4510" s="171"/>
      <c r="D4510" s="172" t="s">
        <v>43</v>
      </c>
      <c r="E4510" s="173"/>
      <c r="F4510" s="173"/>
      <c r="G4510" s="174"/>
      <c r="H4510" s="174"/>
      <c r="I4510" s="174"/>
      <c r="J4510" s="174"/>
      <c r="K4510" s="174"/>
      <c r="L4510" s="174"/>
      <c r="M4510" s="12"/>
      <c r="N4510" s="39"/>
      <c r="U4510" s="23"/>
      <c r="V4510" s="23"/>
      <c r="Z4510" s="95" t="s">
        <v>81</v>
      </c>
    </row>
    <row r="4511" spans="1:26" s="25" customFormat="1" ht="9.9499999999999993" customHeight="1" thickBot="1" x14ac:dyDescent="0.35">
      <c r="A4511" s="6"/>
      <c r="B4511" s="14"/>
      <c r="C4511" s="119"/>
      <c r="D4511" s="58"/>
      <c r="E4511" s="17"/>
      <c r="F4511" s="58"/>
      <c r="G4511" s="19"/>
      <c r="H4511" s="19"/>
      <c r="I4511" s="19"/>
      <c r="J4511" s="19"/>
      <c r="K4511" s="19"/>
      <c r="L4511" s="19"/>
      <c r="M4511" s="14"/>
      <c r="N4511" s="39"/>
      <c r="Q4511" s="1"/>
      <c r="R4511" s="1"/>
      <c r="S4511" s="1"/>
      <c r="T4511" s="1"/>
      <c r="U4511" s="24"/>
      <c r="V4511" s="24"/>
      <c r="W4511" s="1"/>
      <c r="X4511" s="1"/>
      <c r="Z4511" s="94" t="s">
        <v>82</v>
      </c>
    </row>
    <row r="4512" spans="1:26" s="25" customFormat="1" ht="6.95" customHeight="1" x14ac:dyDescent="0.3">
      <c r="A4512" s="165">
        <f>+A4501+1</f>
        <v>411</v>
      </c>
      <c r="B4512" s="166"/>
      <c r="C4512" s="167"/>
      <c r="D4512" s="160" t="s">
        <v>39</v>
      </c>
      <c r="E4512" s="161"/>
      <c r="F4512" s="162" t="s">
        <v>40</v>
      </c>
      <c r="G4512" s="163"/>
      <c r="H4512" s="164"/>
      <c r="I4512" s="163"/>
      <c r="J4512" s="164"/>
      <c r="K4512" s="163"/>
      <c r="L4512" s="164"/>
      <c r="M4512" s="11"/>
      <c r="N4512" s="39"/>
      <c r="Q4512" s="15" t="str">
        <f>+CONCATENATE(E4512,G4512)</f>
        <v/>
      </c>
      <c r="R4512" s="15">
        <f>+H4512</f>
        <v>0</v>
      </c>
      <c r="S4512" s="16"/>
      <c r="T4512" s="15">
        <f>+E4512</f>
        <v>0</v>
      </c>
      <c r="U4512" s="26" t="str">
        <f>IFERROR(LEFT(G4512,FIND("*",G4512)-1),"-")</f>
        <v>-</v>
      </c>
      <c r="V4512" s="26" t="str">
        <f>IFERROR(RIGHT(G4512,LEN(G4512)-FIND("*",G4512)),"-")</f>
        <v>-</v>
      </c>
      <c r="W4512" s="27" t="str">
        <f>IFERROR((U4512+V4512)*2/1000,"-")</f>
        <v>-</v>
      </c>
      <c r="X4512" s="27" t="str">
        <f>IFERROR(W4512*H4512,"-")</f>
        <v>-</v>
      </c>
      <c r="Z4512" s="94" t="s">
        <v>82</v>
      </c>
    </row>
    <row r="4513" spans="1:26" s="25" customFormat="1" ht="6.95" customHeight="1" x14ac:dyDescent="0.3">
      <c r="A4513" s="165"/>
      <c r="B4513" s="168"/>
      <c r="C4513" s="169"/>
      <c r="D4513" s="160"/>
      <c r="E4513" s="161"/>
      <c r="F4513" s="162"/>
      <c r="G4513" s="163"/>
      <c r="H4513" s="164"/>
      <c r="I4513" s="163"/>
      <c r="J4513" s="164"/>
      <c r="K4513" s="163"/>
      <c r="L4513" s="164"/>
      <c r="M4513" s="11"/>
      <c r="N4513" s="39"/>
      <c r="Q4513" s="15" t="str">
        <f>+CONCATENATE(E4512,I4512)</f>
        <v/>
      </c>
      <c r="R4513" s="15">
        <f>+J4512</f>
        <v>0</v>
      </c>
      <c r="S4513" s="16"/>
      <c r="T4513" s="15">
        <f>+E4512</f>
        <v>0</v>
      </c>
      <c r="U4513" s="26" t="str">
        <f>IFERROR(LEFT(I4512,FIND("*",I4512)-1),"-")</f>
        <v>-</v>
      </c>
      <c r="V4513" s="26" t="str">
        <f>IFERROR(RIGHT(I4512,LEN(I4512)-FIND("*",I4512)),"-")</f>
        <v>-</v>
      </c>
      <c r="W4513" s="27" t="str">
        <f t="shared" ref="W4513:W4520" si="2458">IFERROR((U4513+V4513)*2/1000,"-")</f>
        <v>-</v>
      </c>
      <c r="X4513" s="27" t="str">
        <f>IFERROR(W4513*J4512,"-")</f>
        <v>-</v>
      </c>
      <c r="Z4513" s="94" t="s">
        <v>82</v>
      </c>
    </row>
    <row r="4514" spans="1:26" s="25" customFormat="1" ht="6.95" customHeight="1" x14ac:dyDescent="0.3">
      <c r="A4514" s="165"/>
      <c r="B4514" s="168"/>
      <c r="C4514" s="169"/>
      <c r="D4514" s="160"/>
      <c r="E4514" s="161"/>
      <c r="F4514" s="162"/>
      <c r="G4514" s="163"/>
      <c r="H4514" s="164"/>
      <c r="I4514" s="163"/>
      <c r="J4514" s="164"/>
      <c r="K4514" s="163"/>
      <c r="L4514" s="164"/>
      <c r="M4514" s="11"/>
      <c r="N4514" s="39"/>
      <c r="Q4514" s="15" t="str">
        <f>+CONCATENATE(E4512,K4512)</f>
        <v/>
      </c>
      <c r="R4514" s="15">
        <f>+L4512</f>
        <v>0</v>
      </c>
      <c r="S4514" s="16"/>
      <c r="T4514" s="15">
        <f>+E4512</f>
        <v>0</v>
      </c>
      <c r="U4514" s="26" t="str">
        <f>IFERROR(LEFT(K4512,FIND("*",K4512)-1),"-")</f>
        <v>-</v>
      </c>
      <c r="V4514" s="26" t="str">
        <f>IFERROR(RIGHT(K4512,LEN(K4512)-FIND("*",K4512)),"-")</f>
        <v>-</v>
      </c>
      <c r="W4514" s="27" t="str">
        <f t="shared" si="2458"/>
        <v>-</v>
      </c>
      <c r="X4514" s="27" t="str">
        <f>IFERROR(W4514*L4512,"-")</f>
        <v>-</v>
      </c>
      <c r="Z4514" s="94" t="s">
        <v>82</v>
      </c>
    </row>
    <row r="4515" spans="1:26" s="25" customFormat="1" ht="6.95" customHeight="1" x14ac:dyDescent="0.3">
      <c r="A4515" s="13"/>
      <c r="B4515" s="168"/>
      <c r="C4515" s="169"/>
      <c r="D4515" s="160" t="s">
        <v>39</v>
      </c>
      <c r="E4515" s="161"/>
      <c r="F4515" s="162" t="s">
        <v>40</v>
      </c>
      <c r="G4515" s="163"/>
      <c r="H4515" s="164"/>
      <c r="I4515" s="163"/>
      <c r="J4515" s="164"/>
      <c r="K4515" s="163"/>
      <c r="L4515" s="164"/>
      <c r="M4515" s="11"/>
      <c r="N4515" s="39"/>
      <c r="Q4515" s="15" t="str">
        <f>+CONCATENATE(E4515,G4515)</f>
        <v/>
      </c>
      <c r="R4515" s="15">
        <f>+H4515</f>
        <v>0</v>
      </c>
      <c r="S4515" s="16"/>
      <c r="T4515" s="15">
        <f>+E4515</f>
        <v>0</v>
      </c>
      <c r="U4515" s="26" t="str">
        <f t="shared" ref="U4515" si="2459">IFERROR(LEFT(G4515,FIND("*",G4515)-1),"-")</f>
        <v>-</v>
      </c>
      <c r="V4515" s="26" t="str">
        <f t="shared" ref="V4515" si="2460">IFERROR(RIGHT(G4515,LEN(G4515)-FIND("*",G4515)),"-")</f>
        <v>-</v>
      </c>
      <c r="W4515" s="27" t="str">
        <f t="shared" si="2458"/>
        <v>-</v>
      </c>
      <c r="X4515" s="27" t="str">
        <f>IFERROR(W4515*H4515,"-")</f>
        <v>-</v>
      </c>
      <c r="Z4515" s="94" t="s">
        <v>82</v>
      </c>
    </row>
    <row r="4516" spans="1:26" s="25" customFormat="1" ht="6.95" customHeight="1" x14ac:dyDescent="0.3">
      <c r="A4516" s="10"/>
      <c r="B4516" s="168"/>
      <c r="C4516" s="169"/>
      <c r="D4516" s="160"/>
      <c r="E4516" s="161"/>
      <c r="F4516" s="162"/>
      <c r="G4516" s="163"/>
      <c r="H4516" s="164"/>
      <c r="I4516" s="163"/>
      <c r="J4516" s="164"/>
      <c r="K4516" s="163"/>
      <c r="L4516" s="164"/>
      <c r="M4516" s="11"/>
      <c r="N4516" s="39"/>
      <c r="Q4516" s="15" t="str">
        <f>+CONCATENATE(E4515,I4515)</f>
        <v/>
      </c>
      <c r="R4516" s="15">
        <f>+J4515</f>
        <v>0</v>
      </c>
      <c r="S4516" s="16"/>
      <c r="T4516" s="15">
        <f>+E4515</f>
        <v>0</v>
      </c>
      <c r="U4516" s="26" t="str">
        <f>IFERROR(LEFT(I4515,FIND("*",I4515)-1),"-")</f>
        <v>-</v>
      </c>
      <c r="V4516" s="26" t="str">
        <f>IFERROR(RIGHT(I4515,LEN(I4515)-FIND("*",I4515)),"-")</f>
        <v>-</v>
      </c>
      <c r="W4516" s="27" t="str">
        <f t="shared" si="2458"/>
        <v>-</v>
      </c>
      <c r="X4516" s="27" t="str">
        <f>IFERROR(W4516*J4515,"-")</f>
        <v>-</v>
      </c>
      <c r="Z4516" s="94" t="s">
        <v>82</v>
      </c>
    </row>
    <row r="4517" spans="1:26" s="25" customFormat="1" ht="6.95" customHeight="1" x14ac:dyDescent="0.3">
      <c r="A4517" s="10"/>
      <c r="B4517" s="168"/>
      <c r="C4517" s="169"/>
      <c r="D4517" s="160"/>
      <c r="E4517" s="161"/>
      <c r="F4517" s="162"/>
      <c r="G4517" s="163"/>
      <c r="H4517" s="164"/>
      <c r="I4517" s="163"/>
      <c r="J4517" s="164"/>
      <c r="K4517" s="163"/>
      <c r="L4517" s="164"/>
      <c r="M4517" s="11"/>
      <c r="N4517" s="39"/>
      <c r="Q4517" s="15" t="str">
        <f>+CONCATENATE(E4515,K4515)</f>
        <v/>
      </c>
      <c r="R4517" s="15">
        <f>+L4515</f>
        <v>0</v>
      </c>
      <c r="S4517" s="16"/>
      <c r="T4517" s="15">
        <f>+E4515</f>
        <v>0</v>
      </c>
      <c r="U4517" s="26" t="str">
        <f>IFERROR(LEFT(K4515,FIND("*",K4515)-1),"-")</f>
        <v>-</v>
      </c>
      <c r="V4517" s="26" t="str">
        <f>IFERROR(RIGHT(K4515,LEN(K4515)-FIND("*",K4515)),"-")</f>
        <v>-</v>
      </c>
      <c r="W4517" s="27" t="str">
        <f t="shared" si="2458"/>
        <v>-</v>
      </c>
      <c r="X4517" s="27" t="str">
        <f>IFERROR(W4517*L4515,"-")</f>
        <v>-</v>
      </c>
      <c r="Z4517" s="94" t="s">
        <v>82</v>
      </c>
    </row>
    <row r="4518" spans="1:26" s="25" customFormat="1" ht="6.95" customHeight="1" x14ac:dyDescent="0.3">
      <c r="A4518" s="13"/>
      <c r="B4518" s="168"/>
      <c r="C4518" s="169"/>
      <c r="D4518" s="160" t="s">
        <v>39</v>
      </c>
      <c r="E4518" s="161"/>
      <c r="F4518" s="162" t="s">
        <v>40</v>
      </c>
      <c r="G4518" s="163"/>
      <c r="H4518" s="164"/>
      <c r="I4518" s="163"/>
      <c r="J4518" s="164"/>
      <c r="K4518" s="163"/>
      <c r="L4518" s="164"/>
      <c r="M4518" s="11"/>
      <c r="N4518" s="39"/>
      <c r="Q4518" s="15" t="str">
        <f>+CONCATENATE(E4518,G4518)</f>
        <v/>
      </c>
      <c r="R4518" s="15">
        <f>+H4518</f>
        <v>0</v>
      </c>
      <c r="S4518" s="16"/>
      <c r="T4518" s="15">
        <f>+E4518</f>
        <v>0</v>
      </c>
      <c r="U4518" s="26" t="str">
        <f t="shared" ref="U4518" si="2461">IFERROR(LEFT(G4518,FIND("*",G4518)-1),"-")</f>
        <v>-</v>
      </c>
      <c r="V4518" s="26" t="str">
        <f t="shared" ref="V4518" si="2462">IFERROR(RIGHT(G4518,LEN(G4518)-FIND("*",G4518)),"-")</f>
        <v>-</v>
      </c>
      <c r="W4518" s="27" t="str">
        <f t="shared" si="2458"/>
        <v>-</v>
      </c>
      <c r="X4518" s="27" t="str">
        <f>IFERROR(W4518*H4518,"-")</f>
        <v>-</v>
      </c>
      <c r="Z4518" s="94" t="s">
        <v>82</v>
      </c>
    </row>
    <row r="4519" spans="1:26" s="25" customFormat="1" ht="6.95" customHeight="1" x14ac:dyDescent="0.3">
      <c r="A4519" s="10"/>
      <c r="B4519" s="168"/>
      <c r="C4519" s="169"/>
      <c r="D4519" s="160"/>
      <c r="E4519" s="161"/>
      <c r="F4519" s="162"/>
      <c r="G4519" s="163"/>
      <c r="H4519" s="164"/>
      <c r="I4519" s="163"/>
      <c r="J4519" s="164"/>
      <c r="K4519" s="163"/>
      <c r="L4519" s="164"/>
      <c r="M4519" s="11"/>
      <c r="N4519" s="39"/>
      <c r="Q4519" s="15" t="str">
        <f>+CONCATENATE(E4518,I4518)</f>
        <v/>
      </c>
      <c r="R4519" s="15">
        <f>+J4518</f>
        <v>0</v>
      </c>
      <c r="S4519" s="16"/>
      <c r="T4519" s="15">
        <f>+E4518</f>
        <v>0</v>
      </c>
      <c r="U4519" s="26" t="str">
        <f>IFERROR(LEFT(I4518,FIND("*",I4518)-1),"-")</f>
        <v>-</v>
      </c>
      <c r="V4519" s="26" t="str">
        <f>IFERROR(RIGHT(I4518,LEN(I4518)-FIND("*",I4518)),"-")</f>
        <v>-</v>
      </c>
      <c r="W4519" s="27" t="str">
        <f t="shared" si="2458"/>
        <v>-</v>
      </c>
      <c r="X4519" s="27" t="str">
        <f t="shared" ref="X4519" si="2463">IFERROR(W4519*J4518,"-")</f>
        <v>-</v>
      </c>
      <c r="Z4519" s="94" t="s">
        <v>82</v>
      </c>
    </row>
    <row r="4520" spans="1:26" s="25" customFormat="1" ht="6.95" customHeight="1" x14ac:dyDescent="0.3">
      <c r="A4520" s="10"/>
      <c r="B4520" s="168"/>
      <c r="C4520" s="169"/>
      <c r="D4520" s="160"/>
      <c r="E4520" s="161"/>
      <c r="F4520" s="162"/>
      <c r="G4520" s="163"/>
      <c r="H4520" s="164"/>
      <c r="I4520" s="163"/>
      <c r="J4520" s="164"/>
      <c r="K4520" s="163"/>
      <c r="L4520" s="164"/>
      <c r="M4520" s="11"/>
      <c r="N4520" s="39"/>
      <c r="Q4520" s="15" t="str">
        <f>+CONCATENATE(E4518,K4518)</f>
        <v/>
      </c>
      <c r="R4520" s="15">
        <f>+L4518</f>
        <v>0</v>
      </c>
      <c r="S4520" s="16"/>
      <c r="T4520" s="15">
        <f>+E4518</f>
        <v>0</v>
      </c>
      <c r="U4520" s="26" t="str">
        <f>IFERROR(LEFT(K4518,FIND("*",K4518)-1),"-")</f>
        <v>-</v>
      </c>
      <c r="V4520" s="26" t="str">
        <f>IFERROR(RIGHT(K4518,LEN(K4518)-FIND("*",K4518)),"-")</f>
        <v>-</v>
      </c>
      <c r="W4520" s="27" t="str">
        <f t="shared" si="2458"/>
        <v>-</v>
      </c>
      <c r="X4520" s="27" t="str">
        <f>IFERROR(W4520*L4518,"-")</f>
        <v>-</v>
      </c>
      <c r="Z4520" s="94" t="s">
        <v>82</v>
      </c>
    </row>
    <row r="4521" spans="1:26" s="25" customFormat="1" ht="21" customHeight="1" thickBot="1" x14ac:dyDescent="0.35">
      <c r="A4521" s="10"/>
      <c r="B4521" s="170"/>
      <c r="C4521" s="171"/>
      <c r="D4521" s="172" t="s">
        <v>43</v>
      </c>
      <c r="E4521" s="173"/>
      <c r="F4521" s="173"/>
      <c r="G4521" s="174"/>
      <c r="H4521" s="174"/>
      <c r="I4521" s="174"/>
      <c r="J4521" s="174"/>
      <c r="K4521" s="174"/>
      <c r="L4521" s="174"/>
      <c r="M4521" s="12"/>
      <c r="N4521" s="39"/>
      <c r="U4521" s="23"/>
      <c r="V4521" s="23"/>
      <c r="Z4521" s="95" t="s">
        <v>81</v>
      </c>
    </row>
    <row r="4522" spans="1:26" s="25" customFormat="1" ht="9.9499999999999993" customHeight="1" thickBot="1" x14ac:dyDescent="0.35">
      <c r="A4522" s="6"/>
      <c r="B4522" s="14"/>
      <c r="C4522" s="119"/>
      <c r="D4522" s="58"/>
      <c r="E4522" s="17"/>
      <c r="F4522" s="58"/>
      <c r="G4522" s="19"/>
      <c r="H4522" s="19"/>
      <c r="I4522" s="19"/>
      <c r="J4522" s="19"/>
      <c r="K4522" s="19"/>
      <c r="L4522" s="19"/>
      <c r="M4522" s="14"/>
      <c r="N4522" s="39"/>
      <c r="Q4522" s="1"/>
      <c r="R4522" s="1"/>
      <c r="S4522" s="1"/>
      <c r="T4522" s="1"/>
      <c r="U4522" s="24"/>
      <c r="V4522" s="24"/>
      <c r="W4522" s="1"/>
      <c r="X4522" s="1"/>
      <c r="Z4522" s="94" t="s">
        <v>82</v>
      </c>
    </row>
    <row r="4523" spans="1:26" s="25" customFormat="1" ht="6.95" customHeight="1" x14ac:dyDescent="0.3">
      <c r="A4523" s="165">
        <f>+A4512+1</f>
        <v>412</v>
      </c>
      <c r="B4523" s="166"/>
      <c r="C4523" s="167"/>
      <c r="D4523" s="160" t="s">
        <v>39</v>
      </c>
      <c r="E4523" s="161"/>
      <c r="F4523" s="162" t="s">
        <v>40</v>
      </c>
      <c r="G4523" s="163"/>
      <c r="H4523" s="164"/>
      <c r="I4523" s="163"/>
      <c r="J4523" s="164"/>
      <c r="K4523" s="163"/>
      <c r="L4523" s="164"/>
      <c r="M4523" s="11"/>
      <c r="N4523" s="39"/>
      <c r="Q4523" s="15" t="str">
        <f>+CONCATENATE(E4523,G4523)</f>
        <v/>
      </c>
      <c r="R4523" s="15">
        <f>+H4523</f>
        <v>0</v>
      </c>
      <c r="S4523" s="16"/>
      <c r="T4523" s="15">
        <f>+E4523</f>
        <v>0</v>
      </c>
      <c r="U4523" s="26" t="str">
        <f>IFERROR(LEFT(G4523,FIND("*",G4523)-1),"-")</f>
        <v>-</v>
      </c>
      <c r="V4523" s="26" t="str">
        <f>IFERROR(RIGHT(G4523,LEN(G4523)-FIND("*",G4523)),"-")</f>
        <v>-</v>
      </c>
      <c r="W4523" s="27" t="str">
        <f>IFERROR((U4523+V4523)*2/1000,"-")</f>
        <v>-</v>
      </c>
      <c r="X4523" s="27" t="str">
        <f>IFERROR(W4523*H4523,"-")</f>
        <v>-</v>
      </c>
      <c r="Z4523" s="94" t="s">
        <v>82</v>
      </c>
    </row>
    <row r="4524" spans="1:26" s="25" customFormat="1" ht="6.95" customHeight="1" x14ac:dyDescent="0.3">
      <c r="A4524" s="165"/>
      <c r="B4524" s="168"/>
      <c r="C4524" s="169"/>
      <c r="D4524" s="160"/>
      <c r="E4524" s="161"/>
      <c r="F4524" s="162"/>
      <c r="G4524" s="163"/>
      <c r="H4524" s="164"/>
      <c r="I4524" s="163"/>
      <c r="J4524" s="164"/>
      <c r="K4524" s="163"/>
      <c r="L4524" s="164"/>
      <c r="M4524" s="11"/>
      <c r="N4524" s="39"/>
      <c r="Q4524" s="15" t="str">
        <f>+CONCATENATE(E4523,I4523)</f>
        <v/>
      </c>
      <c r="R4524" s="15">
        <f>+J4523</f>
        <v>0</v>
      </c>
      <c r="S4524" s="16"/>
      <c r="T4524" s="15">
        <f>+E4523</f>
        <v>0</v>
      </c>
      <c r="U4524" s="26" t="str">
        <f>IFERROR(LEFT(I4523,FIND("*",I4523)-1),"-")</f>
        <v>-</v>
      </c>
      <c r="V4524" s="26" t="str">
        <f>IFERROR(RIGHT(I4523,LEN(I4523)-FIND("*",I4523)),"-")</f>
        <v>-</v>
      </c>
      <c r="W4524" s="27" t="str">
        <f t="shared" ref="W4524:W4531" si="2464">IFERROR((U4524+V4524)*2/1000,"-")</f>
        <v>-</v>
      </c>
      <c r="X4524" s="27" t="str">
        <f>IFERROR(W4524*J4523,"-")</f>
        <v>-</v>
      </c>
      <c r="Z4524" s="94" t="s">
        <v>82</v>
      </c>
    </row>
    <row r="4525" spans="1:26" s="25" customFormat="1" ht="6.95" customHeight="1" x14ac:dyDescent="0.3">
      <c r="A4525" s="165"/>
      <c r="B4525" s="168"/>
      <c r="C4525" s="169"/>
      <c r="D4525" s="160"/>
      <c r="E4525" s="161"/>
      <c r="F4525" s="162"/>
      <c r="G4525" s="163"/>
      <c r="H4525" s="164"/>
      <c r="I4525" s="163"/>
      <c r="J4525" s="164"/>
      <c r="K4525" s="163"/>
      <c r="L4525" s="164"/>
      <c r="M4525" s="11"/>
      <c r="N4525" s="39"/>
      <c r="Q4525" s="15" t="str">
        <f>+CONCATENATE(E4523,K4523)</f>
        <v/>
      </c>
      <c r="R4525" s="15">
        <f>+L4523</f>
        <v>0</v>
      </c>
      <c r="S4525" s="16"/>
      <c r="T4525" s="15">
        <f>+E4523</f>
        <v>0</v>
      </c>
      <c r="U4525" s="26" t="str">
        <f>IFERROR(LEFT(K4523,FIND("*",K4523)-1),"-")</f>
        <v>-</v>
      </c>
      <c r="V4525" s="26" t="str">
        <f>IFERROR(RIGHT(K4523,LEN(K4523)-FIND("*",K4523)),"-")</f>
        <v>-</v>
      </c>
      <c r="W4525" s="27" t="str">
        <f t="shared" si="2464"/>
        <v>-</v>
      </c>
      <c r="X4525" s="27" t="str">
        <f>IFERROR(W4525*L4523,"-")</f>
        <v>-</v>
      </c>
      <c r="Z4525" s="94" t="s">
        <v>82</v>
      </c>
    </row>
    <row r="4526" spans="1:26" s="25" customFormat="1" ht="6.95" customHeight="1" x14ac:dyDescent="0.3">
      <c r="A4526" s="13"/>
      <c r="B4526" s="168"/>
      <c r="C4526" s="169"/>
      <c r="D4526" s="160" t="s">
        <v>39</v>
      </c>
      <c r="E4526" s="161"/>
      <c r="F4526" s="162" t="s">
        <v>40</v>
      </c>
      <c r="G4526" s="163"/>
      <c r="H4526" s="164"/>
      <c r="I4526" s="163"/>
      <c r="J4526" s="164"/>
      <c r="K4526" s="163"/>
      <c r="L4526" s="164"/>
      <c r="M4526" s="11"/>
      <c r="N4526" s="39"/>
      <c r="Q4526" s="15" t="str">
        <f>+CONCATENATE(E4526,G4526)</f>
        <v/>
      </c>
      <c r="R4526" s="15">
        <f>+H4526</f>
        <v>0</v>
      </c>
      <c r="S4526" s="16"/>
      <c r="T4526" s="15">
        <f>+E4526</f>
        <v>0</v>
      </c>
      <c r="U4526" s="26" t="str">
        <f t="shared" ref="U4526" si="2465">IFERROR(LEFT(G4526,FIND("*",G4526)-1),"-")</f>
        <v>-</v>
      </c>
      <c r="V4526" s="26" t="str">
        <f t="shared" ref="V4526" si="2466">IFERROR(RIGHT(G4526,LEN(G4526)-FIND("*",G4526)),"-")</f>
        <v>-</v>
      </c>
      <c r="W4526" s="27" t="str">
        <f t="shared" si="2464"/>
        <v>-</v>
      </c>
      <c r="X4526" s="27" t="str">
        <f>IFERROR(W4526*H4526,"-")</f>
        <v>-</v>
      </c>
      <c r="Z4526" s="94" t="s">
        <v>82</v>
      </c>
    </row>
    <row r="4527" spans="1:26" s="25" customFormat="1" ht="6.95" customHeight="1" x14ac:dyDescent="0.3">
      <c r="A4527" s="10"/>
      <c r="B4527" s="168"/>
      <c r="C4527" s="169"/>
      <c r="D4527" s="160"/>
      <c r="E4527" s="161"/>
      <c r="F4527" s="162"/>
      <c r="G4527" s="163"/>
      <c r="H4527" s="164"/>
      <c r="I4527" s="163"/>
      <c r="J4527" s="164"/>
      <c r="K4527" s="163"/>
      <c r="L4527" s="164"/>
      <c r="M4527" s="11"/>
      <c r="N4527" s="39"/>
      <c r="Q4527" s="15" t="str">
        <f>+CONCATENATE(E4526,I4526)</f>
        <v/>
      </c>
      <c r="R4527" s="15">
        <f>+J4526</f>
        <v>0</v>
      </c>
      <c r="S4527" s="16"/>
      <c r="T4527" s="15">
        <f>+E4526</f>
        <v>0</v>
      </c>
      <c r="U4527" s="26" t="str">
        <f>IFERROR(LEFT(I4526,FIND("*",I4526)-1),"-")</f>
        <v>-</v>
      </c>
      <c r="V4527" s="26" t="str">
        <f>IFERROR(RIGHT(I4526,LEN(I4526)-FIND("*",I4526)),"-")</f>
        <v>-</v>
      </c>
      <c r="W4527" s="27" t="str">
        <f t="shared" si="2464"/>
        <v>-</v>
      </c>
      <c r="X4527" s="27" t="str">
        <f>IFERROR(W4527*J4526,"-")</f>
        <v>-</v>
      </c>
      <c r="Z4527" s="94" t="s">
        <v>82</v>
      </c>
    </row>
    <row r="4528" spans="1:26" s="25" customFormat="1" ht="6.95" customHeight="1" x14ac:dyDescent="0.3">
      <c r="A4528" s="10"/>
      <c r="B4528" s="168"/>
      <c r="C4528" s="169"/>
      <c r="D4528" s="160"/>
      <c r="E4528" s="161"/>
      <c r="F4528" s="162"/>
      <c r="G4528" s="163"/>
      <c r="H4528" s="164"/>
      <c r="I4528" s="163"/>
      <c r="J4528" s="164"/>
      <c r="K4528" s="163"/>
      <c r="L4528" s="164"/>
      <c r="M4528" s="11"/>
      <c r="N4528" s="39"/>
      <c r="Q4528" s="15" t="str">
        <f>+CONCATENATE(E4526,K4526)</f>
        <v/>
      </c>
      <c r="R4528" s="15">
        <f>+L4526</f>
        <v>0</v>
      </c>
      <c r="S4528" s="16"/>
      <c r="T4528" s="15">
        <f>+E4526</f>
        <v>0</v>
      </c>
      <c r="U4528" s="26" t="str">
        <f>IFERROR(LEFT(K4526,FIND("*",K4526)-1),"-")</f>
        <v>-</v>
      </c>
      <c r="V4528" s="26" t="str">
        <f>IFERROR(RIGHT(K4526,LEN(K4526)-FIND("*",K4526)),"-")</f>
        <v>-</v>
      </c>
      <c r="W4528" s="27" t="str">
        <f t="shared" si="2464"/>
        <v>-</v>
      </c>
      <c r="X4528" s="27" t="str">
        <f>IFERROR(W4528*L4526,"-")</f>
        <v>-</v>
      </c>
      <c r="Z4528" s="94" t="s">
        <v>82</v>
      </c>
    </row>
    <row r="4529" spans="1:26" s="25" customFormat="1" ht="6.95" customHeight="1" x14ac:dyDescent="0.3">
      <c r="A4529" s="13"/>
      <c r="B4529" s="168"/>
      <c r="C4529" s="169"/>
      <c r="D4529" s="160" t="s">
        <v>39</v>
      </c>
      <c r="E4529" s="161"/>
      <c r="F4529" s="162" t="s">
        <v>40</v>
      </c>
      <c r="G4529" s="163"/>
      <c r="H4529" s="164"/>
      <c r="I4529" s="163"/>
      <c r="J4529" s="164"/>
      <c r="K4529" s="163"/>
      <c r="L4529" s="164"/>
      <c r="M4529" s="11"/>
      <c r="N4529" s="39"/>
      <c r="Q4529" s="15" t="str">
        <f>+CONCATENATE(E4529,G4529)</f>
        <v/>
      </c>
      <c r="R4529" s="15">
        <f>+H4529</f>
        <v>0</v>
      </c>
      <c r="S4529" s="16"/>
      <c r="T4529" s="15">
        <f>+E4529</f>
        <v>0</v>
      </c>
      <c r="U4529" s="26" t="str">
        <f t="shared" ref="U4529" si="2467">IFERROR(LEFT(G4529,FIND("*",G4529)-1),"-")</f>
        <v>-</v>
      </c>
      <c r="V4529" s="26" t="str">
        <f t="shared" ref="V4529" si="2468">IFERROR(RIGHT(G4529,LEN(G4529)-FIND("*",G4529)),"-")</f>
        <v>-</v>
      </c>
      <c r="W4529" s="27" t="str">
        <f t="shared" si="2464"/>
        <v>-</v>
      </c>
      <c r="X4529" s="27" t="str">
        <f>IFERROR(W4529*H4529,"-")</f>
        <v>-</v>
      </c>
      <c r="Z4529" s="94" t="s">
        <v>82</v>
      </c>
    </row>
    <row r="4530" spans="1:26" s="25" customFormat="1" ht="6.95" customHeight="1" x14ac:dyDescent="0.3">
      <c r="A4530" s="10"/>
      <c r="B4530" s="168"/>
      <c r="C4530" s="169"/>
      <c r="D4530" s="160"/>
      <c r="E4530" s="161"/>
      <c r="F4530" s="162"/>
      <c r="G4530" s="163"/>
      <c r="H4530" s="164"/>
      <c r="I4530" s="163"/>
      <c r="J4530" s="164"/>
      <c r="K4530" s="163"/>
      <c r="L4530" s="164"/>
      <c r="M4530" s="11"/>
      <c r="N4530" s="39"/>
      <c r="Q4530" s="15" t="str">
        <f>+CONCATENATE(E4529,I4529)</f>
        <v/>
      </c>
      <c r="R4530" s="15">
        <f>+J4529</f>
        <v>0</v>
      </c>
      <c r="S4530" s="16"/>
      <c r="T4530" s="15">
        <f>+E4529</f>
        <v>0</v>
      </c>
      <c r="U4530" s="26" t="str">
        <f>IFERROR(LEFT(I4529,FIND("*",I4529)-1),"-")</f>
        <v>-</v>
      </c>
      <c r="V4530" s="26" t="str">
        <f>IFERROR(RIGHT(I4529,LEN(I4529)-FIND("*",I4529)),"-")</f>
        <v>-</v>
      </c>
      <c r="W4530" s="27" t="str">
        <f t="shared" si="2464"/>
        <v>-</v>
      </c>
      <c r="X4530" s="27" t="str">
        <f t="shared" ref="X4530" si="2469">IFERROR(W4530*J4529,"-")</f>
        <v>-</v>
      </c>
      <c r="Z4530" s="94" t="s">
        <v>82</v>
      </c>
    </row>
    <row r="4531" spans="1:26" s="25" customFormat="1" ht="6.95" customHeight="1" x14ac:dyDescent="0.3">
      <c r="A4531" s="10"/>
      <c r="B4531" s="168"/>
      <c r="C4531" s="169"/>
      <c r="D4531" s="160"/>
      <c r="E4531" s="161"/>
      <c r="F4531" s="162"/>
      <c r="G4531" s="163"/>
      <c r="H4531" s="164"/>
      <c r="I4531" s="163"/>
      <c r="J4531" s="164"/>
      <c r="K4531" s="163"/>
      <c r="L4531" s="164"/>
      <c r="M4531" s="11"/>
      <c r="N4531" s="39"/>
      <c r="Q4531" s="15" t="str">
        <f>+CONCATENATE(E4529,K4529)</f>
        <v/>
      </c>
      <c r="R4531" s="15">
        <f>+L4529</f>
        <v>0</v>
      </c>
      <c r="S4531" s="16"/>
      <c r="T4531" s="15">
        <f>+E4529</f>
        <v>0</v>
      </c>
      <c r="U4531" s="26" t="str">
        <f>IFERROR(LEFT(K4529,FIND("*",K4529)-1),"-")</f>
        <v>-</v>
      </c>
      <c r="V4531" s="26" t="str">
        <f>IFERROR(RIGHT(K4529,LEN(K4529)-FIND("*",K4529)),"-")</f>
        <v>-</v>
      </c>
      <c r="W4531" s="27" t="str">
        <f t="shared" si="2464"/>
        <v>-</v>
      </c>
      <c r="X4531" s="27" t="str">
        <f>IFERROR(W4531*L4529,"-")</f>
        <v>-</v>
      </c>
      <c r="Z4531" s="94" t="s">
        <v>82</v>
      </c>
    </row>
    <row r="4532" spans="1:26" s="25" customFormat="1" ht="21" customHeight="1" thickBot="1" x14ac:dyDescent="0.35">
      <c r="A4532" s="10"/>
      <c r="B4532" s="170"/>
      <c r="C4532" s="171"/>
      <c r="D4532" s="172" t="s">
        <v>43</v>
      </c>
      <c r="E4532" s="173"/>
      <c r="F4532" s="173"/>
      <c r="G4532" s="174"/>
      <c r="H4532" s="174"/>
      <c r="I4532" s="174"/>
      <c r="J4532" s="174"/>
      <c r="K4532" s="174"/>
      <c r="L4532" s="174"/>
      <c r="M4532" s="12"/>
      <c r="N4532" s="39"/>
      <c r="U4532" s="23"/>
      <c r="V4532" s="23"/>
      <c r="Z4532" s="95" t="s">
        <v>81</v>
      </c>
    </row>
    <row r="4533" spans="1:26" s="25" customFormat="1" ht="9.9499999999999993" customHeight="1" thickBot="1" x14ac:dyDescent="0.35">
      <c r="A4533" s="6"/>
      <c r="B4533" s="14"/>
      <c r="C4533" s="119"/>
      <c r="D4533" s="58"/>
      <c r="E4533" s="17"/>
      <c r="F4533" s="58"/>
      <c r="G4533" s="19"/>
      <c r="H4533" s="19"/>
      <c r="I4533" s="19"/>
      <c r="J4533" s="19"/>
      <c r="K4533" s="19"/>
      <c r="L4533" s="19"/>
      <c r="M4533" s="14"/>
      <c r="N4533" s="39"/>
      <c r="Q4533" s="1"/>
      <c r="R4533" s="1"/>
      <c r="S4533" s="1"/>
      <c r="T4533" s="1"/>
      <c r="U4533" s="24"/>
      <c r="V4533" s="24"/>
      <c r="W4533" s="1"/>
      <c r="X4533" s="1"/>
      <c r="Z4533" s="94" t="s">
        <v>82</v>
      </c>
    </row>
    <row r="4534" spans="1:26" s="25" customFormat="1" ht="6.95" customHeight="1" x14ac:dyDescent="0.3">
      <c r="A4534" s="165">
        <f>+A4523+1</f>
        <v>413</v>
      </c>
      <c r="B4534" s="166"/>
      <c r="C4534" s="167"/>
      <c r="D4534" s="160" t="s">
        <v>39</v>
      </c>
      <c r="E4534" s="161"/>
      <c r="F4534" s="162" t="s">
        <v>40</v>
      </c>
      <c r="G4534" s="163"/>
      <c r="H4534" s="164"/>
      <c r="I4534" s="163"/>
      <c r="J4534" s="164"/>
      <c r="K4534" s="163"/>
      <c r="L4534" s="164"/>
      <c r="M4534" s="11"/>
      <c r="N4534" s="39"/>
      <c r="Q4534" s="15" t="str">
        <f>+CONCATENATE(E4534,G4534)</f>
        <v/>
      </c>
      <c r="R4534" s="15">
        <f>+H4534</f>
        <v>0</v>
      </c>
      <c r="S4534" s="16"/>
      <c r="T4534" s="15">
        <f>+E4534</f>
        <v>0</v>
      </c>
      <c r="U4534" s="26" t="str">
        <f>IFERROR(LEFT(G4534,FIND("*",G4534)-1),"-")</f>
        <v>-</v>
      </c>
      <c r="V4534" s="26" t="str">
        <f>IFERROR(RIGHT(G4534,LEN(G4534)-FIND("*",G4534)),"-")</f>
        <v>-</v>
      </c>
      <c r="W4534" s="27" t="str">
        <f>IFERROR((U4534+V4534)*2/1000,"-")</f>
        <v>-</v>
      </c>
      <c r="X4534" s="27" t="str">
        <f>IFERROR(W4534*H4534,"-")</f>
        <v>-</v>
      </c>
      <c r="Z4534" s="94" t="s">
        <v>82</v>
      </c>
    </row>
    <row r="4535" spans="1:26" s="25" customFormat="1" ht="6.95" customHeight="1" x14ac:dyDescent="0.3">
      <c r="A4535" s="165"/>
      <c r="B4535" s="168"/>
      <c r="C4535" s="169"/>
      <c r="D4535" s="160"/>
      <c r="E4535" s="161"/>
      <c r="F4535" s="162"/>
      <c r="G4535" s="163"/>
      <c r="H4535" s="164"/>
      <c r="I4535" s="163"/>
      <c r="J4535" s="164"/>
      <c r="K4535" s="163"/>
      <c r="L4535" s="164"/>
      <c r="M4535" s="11"/>
      <c r="N4535" s="39"/>
      <c r="Q4535" s="15" t="str">
        <f>+CONCATENATE(E4534,I4534)</f>
        <v/>
      </c>
      <c r="R4535" s="15">
        <f>+J4534</f>
        <v>0</v>
      </c>
      <c r="S4535" s="16"/>
      <c r="T4535" s="15">
        <f>+E4534</f>
        <v>0</v>
      </c>
      <c r="U4535" s="26" t="str">
        <f>IFERROR(LEFT(I4534,FIND("*",I4534)-1),"-")</f>
        <v>-</v>
      </c>
      <c r="V4535" s="26" t="str">
        <f>IFERROR(RIGHT(I4534,LEN(I4534)-FIND("*",I4534)),"-")</f>
        <v>-</v>
      </c>
      <c r="W4535" s="27" t="str">
        <f t="shared" ref="W4535:W4542" si="2470">IFERROR((U4535+V4535)*2/1000,"-")</f>
        <v>-</v>
      </c>
      <c r="X4535" s="27" t="str">
        <f>IFERROR(W4535*J4534,"-")</f>
        <v>-</v>
      </c>
      <c r="Z4535" s="94" t="s">
        <v>82</v>
      </c>
    </row>
    <row r="4536" spans="1:26" s="25" customFormat="1" ht="6.95" customHeight="1" x14ac:dyDescent="0.3">
      <c r="A4536" s="165"/>
      <c r="B4536" s="168"/>
      <c r="C4536" s="169"/>
      <c r="D4536" s="160"/>
      <c r="E4536" s="161"/>
      <c r="F4536" s="162"/>
      <c r="G4536" s="163"/>
      <c r="H4536" s="164"/>
      <c r="I4536" s="163"/>
      <c r="J4536" s="164"/>
      <c r="K4536" s="163"/>
      <c r="L4536" s="164"/>
      <c r="M4536" s="11"/>
      <c r="N4536" s="39"/>
      <c r="Q4536" s="15" t="str">
        <f>+CONCATENATE(E4534,K4534)</f>
        <v/>
      </c>
      <c r="R4536" s="15">
        <f>+L4534</f>
        <v>0</v>
      </c>
      <c r="S4536" s="16"/>
      <c r="T4536" s="15">
        <f>+E4534</f>
        <v>0</v>
      </c>
      <c r="U4536" s="26" t="str">
        <f>IFERROR(LEFT(K4534,FIND("*",K4534)-1),"-")</f>
        <v>-</v>
      </c>
      <c r="V4536" s="26" t="str">
        <f>IFERROR(RIGHT(K4534,LEN(K4534)-FIND("*",K4534)),"-")</f>
        <v>-</v>
      </c>
      <c r="W4536" s="27" t="str">
        <f t="shared" si="2470"/>
        <v>-</v>
      </c>
      <c r="X4536" s="27" t="str">
        <f>IFERROR(W4536*L4534,"-")</f>
        <v>-</v>
      </c>
      <c r="Z4536" s="94" t="s">
        <v>82</v>
      </c>
    </row>
    <row r="4537" spans="1:26" s="25" customFormat="1" ht="6.95" customHeight="1" x14ac:dyDescent="0.3">
      <c r="A4537" s="13"/>
      <c r="B4537" s="168"/>
      <c r="C4537" s="169"/>
      <c r="D4537" s="160" t="s">
        <v>39</v>
      </c>
      <c r="E4537" s="161"/>
      <c r="F4537" s="162" t="s">
        <v>40</v>
      </c>
      <c r="G4537" s="163"/>
      <c r="H4537" s="164"/>
      <c r="I4537" s="163"/>
      <c r="J4537" s="164"/>
      <c r="K4537" s="163"/>
      <c r="L4537" s="164"/>
      <c r="M4537" s="11"/>
      <c r="N4537" s="39"/>
      <c r="Q4537" s="15" t="str">
        <f>+CONCATENATE(E4537,G4537)</f>
        <v/>
      </c>
      <c r="R4537" s="15">
        <f>+H4537</f>
        <v>0</v>
      </c>
      <c r="S4537" s="16"/>
      <c r="T4537" s="15">
        <f>+E4537</f>
        <v>0</v>
      </c>
      <c r="U4537" s="26" t="str">
        <f t="shared" ref="U4537" si="2471">IFERROR(LEFT(G4537,FIND("*",G4537)-1),"-")</f>
        <v>-</v>
      </c>
      <c r="V4537" s="26" t="str">
        <f t="shared" ref="V4537" si="2472">IFERROR(RIGHT(G4537,LEN(G4537)-FIND("*",G4537)),"-")</f>
        <v>-</v>
      </c>
      <c r="W4537" s="27" t="str">
        <f t="shared" si="2470"/>
        <v>-</v>
      </c>
      <c r="X4537" s="27" t="str">
        <f>IFERROR(W4537*H4537,"-")</f>
        <v>-</v>
      </c>
      <c r="Z4537" s="94" t="s">
        <v>82</v>
      </c>
    </row>
    <row r="4538" spans="1:26" s="25" customFormat="1" ht="6.95" customHeight="1" x14ac:dyDescent="0.3">
      <c r="A4538" s="10"/>
      <c r="B4538" s="168"/>
      <c r="C4538" s="169"/>
      <c r="D4538" s="160"/>
      <c r="E4538" s="161"/>
      <c r="F4538" s="162"/>
      <c r="G4538" s="163"/>
      <c r="H4538" s="164"/>
      <c r="I4538" s="163"/>
      <c r="J4538" s="164"/>
      <c r="K4538" s="163"/>
      <c r="L4538" s="164"/>
      <c r="M4538" s="11"/>
      <c r="N4538" s="39"/>
      <c r="Q4538" s="15" t="str">
        <f>+CONCATENATE(E4537,I4537)</f>
        <v/>
      </c>
      <c r="R4538" s="15">
        <f>+J4537</f>
        <v>0</v>
      </c>
      <c r="S4538" s="16"/>
      <c r="T4538" s="15">
        <f>+E4537</f>
        <v>0</v>
      </c>
      <c r="U4538" s="26" t="str">
        <f>IFERROR(LEFT(I4537,FIND("*",I4537)-1),"-")</f>
        <v>-</v>
      </c>
      <c r="V4538" s="26" t="str">
        <f>IFERROR(RIGHT(I4537,LEN(I4537)-FIND("*",I4537)),"-")</f>
        <v>-</v>
      </c>
      <c r="W4538" s="27" t="str">
        <f t="shared" si="2470"/>
        <v>-</v>
      </c>
      <c r="X4538" s="27" t="str">
        <f>IFERROR(W4538*J4537,"-")</f>
        <v>-</v>
      </c>
      <c r="Z4538" s="94" t="s">
        <v>82</v>
      </c>
    </row>
    <row r="4539" spans="1:26" s="25" customFormat="1" ht="6.95" customHeight="1" x14ac:dyDescent="0.3">
      <c r="A4539" s="10"/>
      <c r="B4539" s="168"/>
      <c r="C4539" s="169"/>
      <c r="D4539" s="160"/>
      <c r="E4539" s="161"/>
      <c r="F4539" s="162"/>
      <c r="G4539" s="163"/>
      <c r="H4539" s="164"/>
      <c r="I4539" s="163"/>
      <c r="J4539" s="164"/>
      <c r="K4539" s="163"/>
      <c r="L4539" s="164"/>
      <c r="M4539" s="11"/>
      <c r="N4539" s="39"/>
      <c r="Q4539" s="15" t="str">
        <f>+CONCATENATE(E4537,K4537)</f>
        <v/>
      </c>
      <c r="R4539" s="15">
        <f>+L4537</f>
        <v>0</v>
      </c>
      <c r="S4539" s="16"/>
      <c r="T4539" s="15">
        <f>+E4537</f>
        <v>0</v>
      </c>
      <c r="U4539" s="26" t="str">
        <f>IFERROR(LEFT(K4537,FIND("*",K4537)-1),"-")</f>
        <v>-</v>
      </c>
      <c r="V4539" s="26" t="str">
        <f>IFERROR(RIGHT(K4537,LEN(K4537)-FIND("*",K4537)),"-")</f>
        <v>-</v>
      </c>
      <c r="W4539" s="27" t="str">
        <f t="shared" si="2470"/>
        <v>-</v>
      </c>
      <c r="X4539" s="27" t="str">
        <f>IFERROR(W4539*L4537,"-")</f>
        <v>-</v>
      </c>
      <c r="Z4539" s="94" t="s">
        <v>82</v>
      </c>
    </row>
    <row r="4540" spans="1:26" s="25" customFormat="1" ht="6.95" customHeight="1" x14ac:dyDescent="0.3">
      <c r="A4540" s="13"/>
      <c r="B4540" s="168"/>
      <c r="C4540" s="169"/>
      <c r="D4540" s="160" t="s">
        <v>39</v>
      </c>
      <c r="E4540" s="161"/>
      <c r="F4540" s="162" t="s">
        <v>40</v>
      </c>
      <c r="G4540" s="163"/>
      <c r="H4540" s="164"/>
      <c r="I4540" s="163"/>
      <c r="J4540" s="164"/>
      <c r="K4540" s="163"/>
      <c r="L4540" s="164"/>
      <c r="M4540" s="11"/>
      <c r="N4540" s="39"/>
      <c r="Q4540" s="15" t="str">
        <f>+CONCATENATE(E4540,G4540)</f>
        <v/>
      </c>
      <c r="R4540" s="15">
        <f>+H4540</f>
        <v>0</v>
      </c>
      <c r="S4540" s="16"/>
      <c r="T4540" s="15">
        <f>+E4540</f>
        <v>0</v>
      </c>
      <c r="U4540" s="26" t="str">
        <f t="shared" ref="U4540" si="2473">IFERROR(LEFT(G4540,FIND("*",G4540)-1),"-")</f>
        <v>-</v>
      </c>
      <c r="V4540" s="26" t="str">
        <f t="shared" ref="V4540" si="2474">IFERROR(RIGHT(G4540,LEN(G4540)-FIND("*",G4540)),"-")</f>
        <v>-</v>
      </c>
      <c r="W4540" s="27" t="str">
        <f t="shared" si="2470"/>
        <v>-</v>
      </c>
      <c r="X4540" s="27" t="str">
        <f>IFERROR(W4540*H4540,"-")</f>
        <v>-</v>
      </c>
      <c r="Z4540" s="94" t="s">
        <v>82</v>
      </c>
    </row>
    <row r="4541" spans="1:26" s="25" customFormat="1" ht="6.95" customHeight="1" x14ac:dyDescent="0.3">
      <c r="A4541" s="10"/>
      <c r="B4541" s="168"/>
      <c r="C4541" s="169"/>
      <c r="D4541" s="160"/>
      <c r="E4541" s="161"/>
      <c r="F4541" s="162"/>
      <c r="G4541" s="163"/>
      <c r="H4541" s="164"/>
      <c r="I4541" s="163"/>
      <c r="J4541" s="164"/>
      <c r="K4541" s="163"/>
      <c r="L4541" s="164"/>
      <c r="M4541" s="11"/>
      <c r="N4541" s="39"/>
      <c r="Q4541" s="15" t="str">
        <f>+CONCATENATE(E4540,I4540)</f>
        <v/>
      </c>
      <c r="R4541" s="15">
        <f>+J4540</f>
        <v>0</v>
      </c>
      <c r="S4541" s="16"/>
      <c r="T4541" s="15">
        <f>+E4540</f>
        <v>0</v>
      </c>
      <c r="U4541" s="26" t="str">
        <f>IFERROR(LEFT(I4540,FIND("*",I4540)-1),"-")</f>
        <v>-</v>
      </c>
      <c r="V4541" s="26" t="str">
        <f>IFERROR(RIGHT(I4540,LEN(I4540)-FIND("*",I4540)),"-")</f>
        <v>-</v>
      </c>
      <c r="W4541" s="27" t="str">
        <f t="shared" si="2470"/>
        <v>-</v>
      </c>
      <c r="X4541" s="27" t="str">
        <f t="shared" ref="X4541" si="2475">IFERROR(W4541*J4540,"-")</f>
        <v>-</v>
      </c>
      <c r="Z4541" s="94" t="s">
        <v>82</v>
      </c>
    </row>
    <row r="4542" spans="1:26" s="25" customFormat="1" ht="6.95" customHeight="1" x14ac:dyDescent="0.3">
      <c r="A4542" s="10"/>
      <c r="B4542" s="168"/>
      <c r="C4542" s="169"/>
      <c r="D4542" s="160"/>
      <c r="E4542" s="161"/>
      <c r="F4542" s="162"/>
      <c r="G4542" s="163"/>
      <c r="H4542" s="164"/>
      <c r="I4542" s="163"/>
      <c r="J4542" s="164"/>
      <c r="K4542" s="163"/>
      <c r="L4542" s="164"/>
      <c r="M4542" s="11"/>
      <c r="N4542" s="39"/>
      <c r="Q4542" s="15" t="str">
        <f>+CONCATENATE(E4540,K4540)</f>
        <v/>
      </c>
      <c r="R4542" s="15">
        <f>+L4540</f>
        <v>0</v>
      </c>
      <c r="S4542" s="16"/>
      <c r="T4542" s="15">
        <f>+E4540</f>
        <v>0</v>
      </c>
      <c r="U4542" s="26" t="str">
        <f>IFERROR(LEFT(K4540,FIND("*",K4540)-1),"-")</f>
        <v>-</v>
      </c>
      <c r="V4542" s="26" t="str">
        <f>IFERROR(RIGHT(K4540,LEN(K4540)-FIND("*",K4540)),"-")</f>
        <v>-</v>
      </c>
      <c r="W4542" s="27" t="str">
        <f t="shared" si="2470"/>
        <v>-</v>
      </c>
      <c r="X4542" s="27" t="str">
        <f>IFERROR(W4542*L4540,"-")</f>
        <v>-</v>
      </c>
      <c r="Z4542" s="94" t="s">
        <v>82</v>
      </c>
    </row>
    <row r="4543" spans="1:26" s="25" customFormat="1" ht="21" customHeight="1" thickBot="1" x14ac:dyDescent="0.35">
      <c r="A4543" s="10"/>
      <c r="B4543" s="170"/>
      <c r="C4543" s="171"/>
      <c r="D4543" s="172" t="s">
        <v>43</v>
      </c>
      <c r="E4543" s="173"/>
      <c r="F4543" s="173"/>
      <c r="G4543" s="174"/>
      <c r="H4543" s="174"/>
      <c r="I4543" s="174"/>
      <c r="J4543" s="174"/>
      <c r="K4543" s="174"/>
      <c r="L4543" s="174"/>
      <c r="M4543" s="12"/>
      <c r="N4543" s="39"/>
      <c r="U4543" s="23"/>
      <c r="V4543" s="23"/>
      <c r="Z4543" s="95" t="s">
        <v>81</v>
      </c>
    </row>
    <row r="4544" spans="1:26" s="25" customFormat="1" ht="9.9499999999999993" customHeight="1" thickBot="1" x14ac:dyDescent="0.35">
      <c r="A4544" s="6"/>
      <c r="B4544" s="14"/>
      <c r="C4544" s="119"/>
      <c r="D4544" s="58"/>
      <c r="E4544" s="17"/>
      <c r="F4544" s="58"/>
      <c r="G4544" s="19"/>
      <c r="H4544" s="19"/>
      <c r="I4544" s="19"/>
      <c r="J4544" s="19"/>
      <c r="K4544" s="19"/>
      <c r="L4544" s="19"/>
      <c r="M4544" s="14"/>
      <c r="N4544" s="39"/>
      <c r="Q4544" s="1"/>
      <c r="R4544" s="1"/>
      <c r="S4544" s="1"/>
      <c r="T4544" s="1"/>
      <c r="U4544" s="24"/>
      <c r="V4544" s="24"/>
      <c r="W4544" s="1"/>
      <c r="X4544" s="1"/>
      <c r="Z4544" s="94" t="s">
        <v>82</v>
      </c>
    </row>
    <row r="4545" spans="1:26" s="25" customFormat="1" ht="6.95" customHeight="1" x14ac:dyDescent="0.3">
      <c r="A4545" s="165">
        <f>+A4534+1</f>
        <v>414</v>
      </c>
      <c r="B4545" s="166"/>
      <c r="C4545" s="167"/>
      <c r="D4545" s="160" t="s">
        <v>39</v>
      </c>
      <c r="E4545" s="161"/>
      <c r="F4545" s="162" t="s">
        <v>40</v>
      </c>
      <c r="G4545" s="163"/>
      <c r="H4545" s="164"/>
      <c r="I4545" s="163"/>
      <c r="J4545" s="164"/>
      <c r="K4545" s="163"/>
      <c r="L4545" s="164"/>
      <c r="M4545" s="11"/>
      <c r="N4545" s="39"/>
      <c r="Q4545" s="15" t="str">
        <f>+CONCATENATE(E4545,G4545)</f>
        <v/>
      </c>
      <c r="R4545" s="15">
        <f>+H4545</f>
        <v>0</v>
      </c>
      <c r="S4545" s="16"/>
      <c r="T4545" s="15">
        <f>+E4545</f>
        <v>0</v>
      </c>
      <c r="U4545" s="26" t="str">
        <f>IFERROR(LEFT(G4545,FIND("*",G4545)-1),"-")</f>
        <v>-</v>
      </c>
      <c r="V4545" s="26" t="str">
        <f>IFERROR(RIGHT(G4545,LEN(G4545)-FIND("*",G4545)),"-")</f>
        <v>-</v>
      </c>
      <c r="W4545" s="27" t="str">
        <f>IFERROR((U4545+V4545)*2/1000,"-")</f>
        <v>-</v>
      </c>
      <c r="X4545" s="27" t="str">
        <f>IFERROR(W4545*H4545,"-")</f>
        <v>-</v>
      </c>
      <c r="Z4545" s="94" t="s">
        <v>82</v>
      </c>
    </row>
    <row r="4546" spans="1:26" s="25" customFormat="1" ht="6.95" customHeight="1" x14ac:dyDescent="0.3">
      <c r="A4546" s="165"/>
      <c r="B4546" s="168"/>
      <c r="C4546" s="169"/>
      <c r="D4546" s="160"/>
      <c r="E4546" s="161"/>
      <c r="F4546" s="162"/>
      <c r="G4546" s="163"/>
      <c r="H4546" s="164"/>
      <c r="I4546" s="163"/>
      <c r="J4546" s="164"/>
      <c r="K4546" s="163"/>
      <c r="L4546" s="164"/>
      <c r="M4546" s="11"/>
      <c r="N4546" s="39"/>
      <c r="Q4546" s="15" t="str">
        <f>+CONCATENATE(E4545,I4545)</f>
        <v/>
      </c>
      <c r="R4546" s="15">
        <f>+J4545</f>
        <v>0</v>
      </c>
      <c r="S4546" s="16"/>
      <c r="T4546" s="15">
        <f>+E4545</f>
        <v>0</v>
      </c>
      <c r="U4546" s="26" t="str">
        <f>IFERROR(LEFT(I4545,FIND("*",I4545)-1),"-")</f>
        <v>-</v>
      </c>
      <c r="V4546" s="26" t="str">
        <f>IFERROR(RIGHT(I4545,LEN(I4545)-FIND("*",I4545)),"-")</f>
        <v>-</v>
      </c>
      <c r="W4546" s="27" t="str">
        <f t="shared" ref="W4546:W4553" si="2476">IFERROR((U4546+V4546)*2/1000,"-")</f>
        <v>-</v>
      </c>
      <c r="X4546" s="27" t="str">
        <f>IFERROR(W4546*J4545,"-")</f>
        <v>-</v>
      </c>
      <c r="Z4546" s="94" t="s">
        <v>82</v>
      </c>
    </row>
    <row r="4547" spans="1:26" s="25" customFormat="1" ht="6.95" customHeight="1" x14ac:dyDescent="0.3">
      <c r="A4547" s="165"/>
      <c r="B4547" s="168"/>
      <c r="C4547" s="169"/>
      <c r="D4547" s="160"/>
      <c r="E4547" s="161"/>
      <c r="F4547" s="162"/>
      <c r="G4547" s="163"/>
      <c r="H4547" s="164"/>
      <c r="I4547" s="163"/>
      <c r="J4547" s="164"/>
      <c r="K4547" s="163"/>
      <c r="L4547" s="164"/>
      <c r="M4547" s="11"/>
      <c r="N4547" s="39"/>
      <c r="Q4547" s="15" t="str">
        <f>+CONCATENATE(E4545,K4545)</f>
        <v/>
      </c>
      <c r="R4547" s="15">
        <f>+L4545</f>
        <v>0</v>
      </c>
      <c r="S4547" s="16"/>
      <c r="T4547" s="15">
        <f>+E4545</f>
        <v>0</v>
      </c>
      <c r="U4547" s="26" t="str">
        <f>IFERROR(LEFT(K4545,FIND("*",K4545)-1),"-")</f>
        <v>-</v>
      </c>
      <c r="V4547" s="26" t="str">
        <f>IFERROR(RIGHT(K4545,LEN(K4545)-FIND("*",K4545)),"-")</f>
        <v>-</v>
      </c>
      <c r="W4547" s="27" t="str">
        <f t="shared" si="2476"/>
        <v>-</v>
      </c>
      <c r="X4547" s="27" t="str">
        <f>IFERROR(W4547*L4545,"-")</f>
        <v>-</v>
      </c>
      <c r="Z4547" s="94" t="s">
        <v>82</v>
      </c>
    </row>
    <row r="4548" spans="1:26" s="25" customFormat="1" ht="6.95" customHeight="1" x14ac:dyDescent="0.3">
      <c r="A4548" s="13"/>
      <c r="B4548" s="168"/>
      <c r="C4548" s="169"/>
      <c r="D4548" s="160" t="s">
        <v>39</v>
      </c>
      <c r="E4548" s="161"/>
      <c r="F4548" s="162" t="s">
        <v>40</v>
      </c>
      <c r="G4548" s="163"/>
      <c r="H4548" s="164"/>
      <c r="I4548" s="163"/>
      <c r="J4548" s="164"/>
      <c r="K4548" s="163"/>
      <c r="L4548" s="164"/>
      <c r="M4548" s="11"/>
      <c r="N4548" s="39"/>
      <c r="Q4548" s="15" t="str">
        <f>+CONCATENATE(E4548,G4548)</f>
        <v/>
      </c>
      <c r="R4548" s="15">
        <f>+H4548</f>
        <v>0</v>
      </c>
      <c r="S4548" s="16"/>
      <c r="T4548" s="15">
        <f>+E4548</f>
        <v>0</v>
      </c>
      <c r="U4548" s="26" t="str">
        <f t="shared" ref="U4548" si="2477">IFERROR(LEFT(G4548,FIND("*",G4548)-1),"-")</f>
        <v>-</v>
      </c>
      <c r="V4548" s="26" t="str">
        <f t="shared" ref="V4548" si="2478">IFERROR(RIGHT(G4548,LEN(G4548)-FIND("*",G4548)),"-")</f>
        <v>-</v>
      </c>
      <c r="W4548" s="27" t="str">
        <f t="shared" si="2476"/>
        <v>-</v>
      </c>
      <c r="X4548" s="27" t="str">
        <f>IFERROR(W4548*H4548,"-")</f>
        <v>-</v>
      </c>
      <c r="Z4548" s="94" t="s">
        <v>82</v>
      </c>
    </row>
    <row r="4549" spans="1:26" s="25" customFormat="1" ht="6.95" customHeight="1" x14ac:dyDescent="0.3">
      <c r="A4549" s="10"/>
      <c r="B4549" s="168"/>
      <c r="C4549" s="169"/>
      <c r="D4549" s="160"/>
      <c r="E4549" s="161"/>
      <c r="F4549" s="162"/>
      <c r="G4549" s="163"/>
      <c r="H4549" s="164"/>
      <c r="I4549" s="163"/>
      <c r="J4549" s="164"/>
      <c r="K4549" s="163"/>
      <c r="L4549" s="164"/>
      <c r="M4549" s="11"/>
      <c r="N4549" s="39"/>
      <c r="Q4549" s="15" t="str">
        <f>+CONCATENATE(E4548,I4548)</f>
        <v/>
      </c>
      <c r="R4549" s="15">
        <f>+J4548</f>
        <v>0</v>
      </c>
      <c r="S4549" s="16"/>
      <c r="T4549" s="15">
        <f>+E4548</f>
        <v>0</v>
      </c>
      <c r="U4549" s="26" t="str">
        <f>IFERROR(LEFT(I4548,FIND("*",I4548)-1),"-")</f>
        <v>-</v>
      </c>
      <c r="V4549" s="26" t="str">
        <f>IFERROR(RIGHT(I4548,LEN(I4548)-FIND("*",I4548)),"-")</f>
        <v>-</v>
      </c>
      <c r="W4549" s="27" t="str">
        <f t="shared" si="2476"/>
        <v>-</v>
      </c>
      <c r="X4549" s="27" t="str">
        <f>IFERROR(W4549*J4548,"-")</f>
        <v>-</v>
      </c>
      <c r="Z4549" s="94" t="s">
        <v>82</v>
      </c>
    </row>
    <row r="4550" spans="1:26" s="25" customFormat="1" ht="6.95" customHeight="1" x14ac:dyDescent="0.3">
      <c r="A4550" s="10"/>
      <c r="B4550" s="168"/>
      <c r="C4550" s="169"/>
      <c r="D4550" s="160"/>
      <c r="E4550" s="161"/>
      <c r="F4550" s="162"/>
      <c r="G4550" s="163"/>
      <c r="H4550" s="164"/>
      <c r="I4550" s="163"/>
      <c r="J4550" s="164"/>
      <c r="K4550" s="163"/>
      <c r="L4550" s="164"/>
      <c r="M4550" s="11"/>
      <c r="N4550" s="39"/>
      <c r="Q4550" s="15" t="str">
        <f>+CONCATENATE(E4548,K4548)</f>
        <v/>
      </c>
      <c r="R4550" s="15">
        <f>+L4548</f>
        <v>0</v>
      </c>
      <c r="S4550" s="16"/>
      <c r="T4550" s="15">
        <f>+E4548</f>
        <v>0</v>
      </c>
      <c r="U4550" s="26" t="str">
        <f>IFERROR(LEFT(K4548,FIND("*",K4548)-1),"-")</f>
        <v>-</v>
      </c>
      <c r="V4550" s="26" t="str">
        <f>IFERROR(RIGHT(K4548,LEN(K4548)-FIND("*",K4548)),"-")</f>
        <v>-</v>
      </c>
      <c r="W4550" s="27" t="str">
        <f t="shared" si="2476"/>
        <v>-</v>
      </c>
      <c r="X4550" s="27" t="str">
        <f>IFERROR(W4550*L4548,"-")</f>
        <v>-</v>
      </c>
      <c r="Z4550" s="94" t="s">
        <v>82</v>
      </c>
    </row>
    <row r="4551" spans="1:26" s="25" customFormat="1" ht="6.95" customHeight="1" x14ac:dyDescent="0.3">
      <c r="A4551" s="13"/>
      <c r="B4551" s="168"/>
      <c r="C4551" s="169"/>
      <c r="D4551" s="160" t="s">
        <v>39</v>
      </c>
      <c r="E4551" s="161"/>
      <c r="F4551" s="162" t="s">
        <v>40</v>
      </c>
      <c r="G4551" s="163"/>
      <c r="H4551" s="164"/>
      <c r="I4551" s="163"/>
      <c r="J4551" s="164"/>
      <c r="K4551" s="163"/>
      <c r="L4551" s="164"/>
      <c r="M4551" s="11"/>
      <c r="N4551" s="39"/>
      <c r="Q4551" s="15" t="str">
        <f>+CONCATENATE(E4551,G4551)</f>
        <v/>
      </c>
      <c r="R4551" s="15">
        <f>+H4551</f>
        <v>0</v>
      </c>
      <c r="S4551" s="16"/>
      <c r="T4551" s="15">
        <f>+E4551</f>
        <v>0</v>
      </c>
      <c r="U4551" s="26" t="str">
        <f t="shared" ref="U4551" si="2479">IFERROR(LEFT(G4551,FIND("*",G4551)-1),"-")</f>
        <v>-</v>
      </c>
      <c r="V4551" s="26" t="str">
        <f t="shared" ref="V4551" si="2480">IFERROR(RIGHT(G4551,LEN(G4551)-FIND("*",G4551)),"-")</f>
        <v>-</v>
      </c>
      <c r="W4551" s="27" t="str">
        <f t="shared" si="2476"/>
        <v>-</v>
      </c>
      <c r="X4551" s="27" t="str">
        <f>IFERROR(W4551*H4551,"-")</f>
        <v>-</v>
      </c>
      <c r="Z4551" s="94" t="s">
        <v>82</v>
      </c>
    </row>
    <row r="4552" spans="1:26" s="25" customFormat="1" ht="6.95" customHeight="1" x14ac:dyDescent="0.3">
      <c r="A4552" s="10"/>
      <c r="B4552" s="168"/>
      <c r="C4552" s="169"/>
      <c r="D4552" s="160"/>
      <c r="E4552" s="161"/>
      <c r="F4552" s="162"/>
      <c r="G4552" s="163"/>
      <c r="H4552" s="164"/>
      <c r="I4552" s="163"/>
      <c r="J4552" s="164"/>
      <c r="K4552" s="163"/>
      <c r="L4552" s="164"/>
      <c r="M4552" s="11"/>
      <c r="N4552" s="39"/>
      <c r="Q4552" s="15" t="str">
        <f>+CONCATENATE(E4551,I4551)</f>
        <v/>
      </c>
      <c r="R4552" s="15">
        <f>+J4551</f>
        <v>0</v>
      </c>
      <c r="S4552" s="16"/>
      <c r="T4552" s="15">
        <f>+E4551</f>
        <v>0</v>
      </c>
      <c r="U4552" s="26" t="str">
        <f>IFERROR(LEFT(I4551,FIND("*",I4551)-1),"-")</f>
        <v>-</v>
      </c>
      <c r="V4552" s="26" t="str">
        <f>IFERROR(RIGHT(I4551,LEN(I4551)-FIND("*",I4551)),"-")</f>
        <v>-</v>
      </c>
      <c r="W4552" s="27" t="str">
        <f t="shared" si="2476"/>
        <v>-</v>
      </c>
      <c r="X4552" s="27" t="str">
        <f t="shared" ref="X4552" si="2481">IFERROR(W4552*J4551,"-")</f>
        <v>-</v>
      </c>
      <c r="Z4552" s="94" t="s">
        <v>82</v>
      </c>
    </row>
    <row r="4553" spans="1:26" s="25" customFormat="1" ht="6.95" customHeight="1" x14ac:dyDescent="0.3">
      <c r="A4553" s="10"/>
      <c r="B4553" s="168"/>
      <c r="C4553" s="169"/>
      <c r="D4553" s="160"/>
      <c r="E4553" s="161"/>
      <c r="F4553" s="162"/>
      <c r="G4553" s="163"/>
      <c r="H4553" s="164"/>
      <c r="I4553" s="163"/>
      <c r="J4553" s="164"/>
      <c r="K4553" s="163"/>
      <c r="L4553" s="164"/>
      <c r="M4553" s="11"/>
      <c r="N4553" s="39"/>
      <c r="Q4553" s="15" t="str">
        <f>+CONCATENATE(E4551,K4551)</f>
        <v/>
      </c>
      <c r="R4553" s="15">
        <f>+L4551</f>
        <v>0</v>
      </c>
      <c r="S4553" s="16"/>
      <c r="T4553" s="15">
        <f>+E4551</f>
        <v>0</v>
      </c>
      <c r="U4553" s="26" t="str">
        <f>IFERROR(LEFT(K4551,FIND("*",K4551)-1),"-")</f>
        <v>-</v>
      </c>
      <c r="V4553" s="26" t="str">
        <f>IFERROR(RIGHT(K4551,LEN(K4551)-FIND("*",K4551)),"-")</f>
        <v>-</v>
      </c>
      <c r="W4553" s="27" t="str">
        <f t="shared" si="2476"/>
        <v>-</v>
      </c>
      <c r="X4553" s="27" t="str">
        <f>IFERROR(W4553*L4551,"-")</f>
        <v>-</v>
      </c>
      <c r="Z4553" s="94" t="s">
        <v>82</v>
      </c>
    </row>
    <row r="4554" spans="1:26" s="25" customFormat="1" ht="21" customHeight="1" thickBot="1" x14ac:dyDescent="0.35">
      <c r="A4554" s="10"/>
      <c r="B4554" s="170"/>
      <c r="C4554" s="171"/>
      <c r="D4554" s="172" t="s">
        <v>43</v>
      </c>
      <c r="E4554" s="173"/>
      <c r="F4554" s="173"/>
      <c r="G4554" s="174"/>
      <c r="H4554" s="174"/>
      <c r="I4554" s="174"/>
      <c r="J4554" s="174"/>
      <c r="K4554" s="174"/>
      <c r="L4554" s="174"/>
      <c r="M4554" s="12"/>
      <c r="N4554" s="39"/>
      <c r="U4554" s="23"/>
      <c r="V4554" s="23"/>
      <c r="Z4554" s="95" t="s">
        <v>81</v>
      </c>
    </row>
    <row r="4555" spans="1:26" s="25" customFormat="1" ht="9.9499999999999993" customHeight="1" thickBot="1" x14ac:dyDescent="0.35">
      <c r="A4555" s="6"/>
      <c r="B4555" s="14"/>
      <c r="C4555" s="119"/>
      <c r="D4555" s="58"/>
      <c r="E4555" s="17"/>
      <c r="F4555" s="58"/>
      <c r="G4555" s="19"/>
      <c r="H4555" s="19"/>
      <c r="I4555" s="19"/>
      <c r="J4555" s="19"/>
      <c r="K4555" s="19"/>
      <c r="L4555" s="19"/>
      <c r="M4555" s="14"/>
      <c r="N4555" s="39"/>
      <c r="Q4555" s="1"/>
      <c r="R4555" s="1"/>
      <c r="S4555" s="1"/>
      <c r="T4555" s="1"/>
      <c r="U4555" s="24"/>
      <c r="V4555" s="24"/>
      <c r="W4555" s="1"/>
      <c r="X4555" s="1"/>
      <c r="Z4555" s="94" t="s">
        <v>82</v>
      </c>
    </row>
    <row r="4556" spans="1:26" s="25" customFormat="1" ht="6.95" customHeight="1" x14ac:dyDescent="0.3">
      <c r="A4556" s="165">
        <f>+A4545+1</f>
        <v>415</v>
      </c>
      <c r="B4556" s="166"/>
      <c r="C4556" s="167"/>
      <c r="D4556" s="160" t="s">
        <v>39</v>
      </c>
      <c r="E4556" s="161"/>
      <c r="F4556" s="162" t="s">
        <v>40</v>
      </c>
      <c r="G4556" s="163"/>
      <c r="H4556" s="164"/>
      <c r="I4556" s="163"/>
      <c r="J4556" s="164"/>
      <c r="K4556" s="163"/>
      <c r="L4556" s="164"/>
      <c r="M4556" s="11"/>
      <c r="N4556" s="39"/>
      <c r="Q4556" s="15" t="str">
        <f>+CONCATENATE(E4556,G4556)</f>
        <v/>
      </c>
      <c r="R4556" s="15">
        <f>+H4556</f>
        <v>0</v>
      </c>
      <c r="S4556" s="16"/>
      <c r="T4556" s="15">
        <f>+E4556</f>
        <v>0</v>
      </c>
      <c r="U4556" s="26" t="str">
        <f>IFERROR(LEFT(G4556,FIND("*",G4556)-1),"-")</f>
        <v>-</v>
      </c>
      <c r="V4556" s="26" t="str">
        <f>IFERROR(RIGHT(G4556,LEN(G4556)-FIND("*",G4556)),"-")</f>
        <v>-</v>
      </c>
      <c r="W4556" s="27" t="str">
        <f>IFERROR((U4556+V4556)*2/1000,"-")</f>
        <v>-</v>
      </c>
      <c r="X4556" s="27" t="str">
        <f>IFERROR(W4556*H4556,"-")</f>
        <v>-</v>
      </c>
      <c r="Z4556" s="94" t="s">
        <v>82</v>
      </c>
    </row>
    <row r="4557" spans="1:26" s="25" customFormat="1" ht="6.95" customHeight="1" x14ac:dyDescent="0.3">
      <c r="A4557" s="165"/>
      <c r="B4557" s="168"/>
      <c r="C4557" s="169"/>
      <c r="D4557" s="160"/>
      <c r="E4557" s="161"/>
      <c r="F4557" s="162"/>
      <c r="G4557" s="163"/>
      <c r="H4557" s="164"/>
      <c r="I4557" s="163"/>
      <c r="J4557" s="164"/>
      <c r="K4557" s="163"/>
      <c r="L4557" s="164"/>
      <c r="M4557" s="11"/>
      <c r="N4557" s="39"/>
      <c r="Q4557" s="15" t="str">
        <f>+CONCATENATE(E4556,I4556)</f>
        <v/>
      </c>
      <c r="R4557" s="15">
        <f>+J4556</f>
        <v>0</v>
      </c>
      <c r="S4557" s="16"/>
      <c r="T4557" s="15">
        <f>+E4556</f>
        <v>0</v>
      </c>
      <c r="U4557" s="26" t="str">
        <f>IFERROR(LEFT(I4556,FIND("*",I4556)-1),"-")</f>
        <v>-</v>
      </c>
      <c r="V4557" s="26" t="str">
        <f>IFERROR(RIGHT(I4556,LEN(I4556)-FIND("*",I4556)),"-")</f>
        <v>-</v>
      </c>
      <c r="W4557" s="27" t="str">
        <f t="shared" ref="W4557:W4564" si="2482">IFERROR((U4557+V4557)*2/1000,"-")</f>
        <v>-</v>
      </c>
      <c r="X4557" s="27" t="str">
        <f>IFERROR(W4557*J4556,"-")</f>
        <v>-</v>
      </c>
      <c r="Z4557" s="94" t="s">
        <v>82</v>
      </c>
    </row>
    <row r="4558" spans="1:26" s="25" customFormat="1" ht="6.95" customHeight="1" x14ac:dyDescent="0.3">
      <c r="A4558" s="165"/>
      <c r="B4558" s="168"/>
      <c r="C4558" s="169"/>
      <c r="D4558" s="160"/>
      <c r="E4558" s="161"/>
      <c r="F4558" s="162"/>
      <c r="G4558" s="163"/>
      <c r="H4558" s="164"/>
      <c r="I4558" s="163"/>
      <c r="J4558" s="164"/>
      <c r="K4558" s="163"/>
      <c r="L4558" s="164"/>
      <c r="M4558" s="11"/>
      <c r="N4558" s="39"/>
      <c r="Q4558" s="15" t="str">
        <f>+CONCATENATE(E4556,K4556)</f>
        <v/>
      </c>
      <c r="R4558" s="15">
        <f>+L4556</f>
        <v>0</v>
      </c>
      <c r="S4558" s="16"/>
      <c r="T4558" s="15">
        <f>+E4556</f>
        <v>0</v>
      </c>
      <c r="U4558" s="26" t="str">
        <f>IFERROR(LEFT(K4556,FIND("*",K4556)-1),"-")</f>
        <v>-</v>
      </c>
      <c r="V4558" s="26" t="str">
        <f>IFERROR(RIGHT(K4556,LEN(K4556)-FIND("*",K4556)),"-")</f>
        <v>-</v>
      </c>
      <c r="W4558" s="27" t="str">
        <f t="shared" si="2482"/>
        <v>-</v>
      </c>
      <c r="X4558" s="27" t="str">
        <f>IFERROR(W4558*L4556,"-")</f>
        <v>-</v>
      </c>
      <c r="Z4558" s="94" t="s">
        <v>82</v>
      </c>
    </row>
    <row r="4559" spans="1:26" s="25" customFormat="1" ht="6.95" customHeight="1" x14ac:dyDescent="0.3">
      <c r="A4559" s="13"/>
      <c r="B4559" s="168"/>
      <c r="C4559" s="169"/>
      <c r="D4559" s="160" t="s">
        <v>39</v>
      </c>
      <c r="E4559" s="161"/>
      <c r="F4559" s="162" t="s">
        <v>40</v>
      </c>
      <c r="G4559" s="163"/>
      <c r="H4559" s="164"/>
      <c r="I4559" s="163"/>
      <c r="J4559" s="164"/>
      <c r="K4559" s="163"/>
      <c r="L4559" s="164"/>
      <c r="M4559" s="11"/>
      <c r="N4559" s="39"/>
      <c r="Q4559" s="15" t="str">
        <f>+CONCATENATE(E4559,G4559)</f>
        <v/>
      </c>
      <c r="R4559" s="15">
        <f>+H4559</f>
        <v>0</v>
      </c>
      <c r="S4559" s="16"/>
      <c r="T4559" s="15">
        <f>+E4559</f>
        <v>0</v>
      </c>
      <c r="U4559" s="26" t="str">
        <f t="shared" ref="U4559" si="2483">IFERROR(LEFT(G4559,FIND("*",G4559)-1),"-")</f>
        <v>-</v>
      </c>
      <c r="V4559" s="26" t="str">
        <f t="shared" ref="V4559" si="2484">IFERROR(RIGHT(G4559,LEN(G4559)-FIND("*",G4559)),"-")</f>
        <v>-</v>
      </c>
      <c r="W4559" s="27" t="str">
        <f t="shared" si="2482"/>
        <v>-</v>
      </c>
      <c r="X4559" s="27" t="str">
        <f>IFERROR(W4559*H4559,"-")</f>
        <v>-</v>
      </c>
      <c r="Z4559" s="94" t="s">
        <v>82</v>
      </c>
    </row>
    <row r="4560" spans="1:26" s="25" customFormat="1" ht="6.95" customHeight="1" x14ac:dyDescent="0.3">
      <c r="A4560" s="10"/>
      <c r="B4560" s="168"/>
      <c r="C4560" s="169"/>
      <c r="D4560" s="160"/>
      <c r="E4560" s="161"/>
      <c r="F4560" s="162"/>
      <c r="G4560" s="163"/>
      <c r="H4560" s="164"/>
      <c r="I4560" s="163"/>
      <c r="J4560" s="164"/>
      <c r="K4560" s="163"/>
      <c r="L4560" s="164"/>
      <c r="M4560" s="11"/>
      <c r="N4560" s="39"/>
      <c r="Q4560" s="15" t="str">
        <f>+CONCATENATE(E4559,I4559)</f>
        <v/>
      </c>
      <c r="R4560" s="15">
        <f>+J4559</f>
        <v>0</v>
      </c>
      <c r="S4560" s="16"/>
      <c r="T4560" s="15">
        <f>+E4559</f>
        <v>0</v>
      </c>
      <c r="U4560" s="26" t="str">
        <f>IFERROR(LEFT(I4559,FIND("*",I4559)-1),"-")</f>
        <v>-</v>
      </c>
      <c r="V4560" s="26" t="str">
        <f>IFERROR(RIGHT(I4559,LEN(I4559)-FIND("*",I4559)),"-")</f>
        <v>-</v>
      </c>
      <c r="W4560" s="27" t="str">
        <f t="shared" si="2482"/>
        <v>-</v>
      </c>
      <c r="X4560" s="27" t="str">
        <f>IFERROR(W4560*J4559,"-")</f>
        <v>-</v>
      </c>
      <c r="Z4560" s="94" t="s">
        <v>82</v>
      </c>
    </row>
    <row r="4561" spans="1:26" s="25" customFormat="1" ht="6.95" customHeight="1" x14ac:dyDescent="0.3">
      <c r="A4561" s="10"/>
      <c r="B4561" s="168"/>
      <c r="C4561" s="169"/>
      <c r="D4561" s="160"/>
      <c r="E4561" s="161"/>
      <c r="F4561" s="162"/>
      <c r="G4561" s="163"/>
      <c r="H4561" s="164"/>
      <c r="I4561" s="163"/>
      <c r="J4561" s="164"/>
      <c r="K4561" s="163"/>
      <c r="L4561" s="164"/>
      <c r="M4561" s="11"/>
      <c r="N4561" s="39"/>
      <c r="Q4561" s="15" t="str">
        <f>+CONCATENATE(E4559,K4559)</f>
        <v/>
      </c>
      <c r="R4561" s="15">
        <f>+L4559</f>
        <v>0</v>
      </c>
      <c r="S4561" s="16"/>
      <c r="T4561" s="15">
        <f>+E4559</f>
        <v>0</v>
      </c>
      <c r="U4561" s="26" t="str">
        <f>IFERROR(LEFT(K4559,FIND("*",K4559)-1),"-")</f>
        <v>-</v>
      </c>
      <c r="V4561" s="26" t="str">
        <f>IFERROR(RIGHT(K4559,LEN(K4559)-FIND("*",K4559)),"-")</f>
        <v>-</v>
      </c>
      <c r="W4561" s="27" t="str">
        <f t="shared" si="2482"/>
        <v>-</v>
      </c>
      <c r="X4561" s="27" t="str">
        <f>IFERROR(W4561*L4559,"-")</f>
        <v>-</v>
      </c>
      <c r="Z4561" s="94" t="s">
        <v>82</v>
      </c>
    </row>
    <row r="4562" spans="1:26" s="25" customFormat="1" ht="6.95" customHeight="1" x14ac:dyDescent="0.3">
      <c r="A4562" s="13"/>
      <c r="B4562" s="168"/>
      <c r="C4562" s="169"/>
      <c r="D4562" s="160" t="s">
        <v>39</v>
      </c>
      <c r="E4562" s="161"/>
      <c r="F4562" s="162" t="s">
        <v>40</v>
      </c>
      <c r="G4562" s="163"/>
      <c r="H4562" s="164"/>
      <c r="I4562" s="163"/>
      <c r="J4562" s="164"/>
      <c r="K4562" s="163"/>
      <c r="L4562" s="164"/>
      <c r="M4562" s="11"/>
      <c r="N4562" s="39"/>
      <c r="Q4562" s="15" t="str">
        <f>+CONCATENATE(E4562,G4562)</f>
        <v/>
      </c>
      <c r="R4562" s="15">
        <f>+H4562</f>
        <v>0</v>
      </c>
      <c r="S4562" s="16"/>
      <c r="T4562" s="15">
        <f>+E4562</f>
        <v>0</v>
      </c>
      <c r="U4562" s="26" t="str">
        <f t="shared" ref="U4562" si="2485">IFERROR(LEFT(G4562,FIND("*",G4562)-1),"-")</f>
        <v>-</v>
      </c>
      <c r="V4562" s="26" t="str">
        <f t="shared" ref="V4562" si="2486">IFERROR(RIGHT(G4562,LEN(G4562)-FIND("*",G4562)),"-")</f>
        <v>-</v>
      </c>
      <c r="W4562" s="27" t="str">
        <f t="shared" si="2482"/>
        <v>-</v>
      </c>
      <c r="X4562" s="27" t="str">
        <f>IFERROR(W4562*H4562,"-")</f>
        <v>-</v>
      </c>
      <c r="Z4562" s="94" t="s">
        <v>82</v>
      </c>
    </row>
    <row r="4563" spans="1:26" s="25" customFormat="1" ht="6.95" customHeight="1" x14ac:dyDescent="0.3">
      <c r="A4563" s="10"/>
      <c r="B4563" s="168"/>
      <c r="C4563" s="169"/>
      <c r="D4563" s="160"/>
      <c r="E4563" s="161"/>
      <c r="F4563" s="162"/>
      <c r="G4563" s="163"/>
      <c r="H4563" s="164"/>
      <c r="I4563" s="163"/>
      <c r="J4563" s="164"/>
      <c r="K4563" s="163"/>
      <c r="L4563" s="164"/>
      <c r="M4563" s="11"/>
      <c r="N4563" s="39"/>
      <c r="Q4563" s="15" t="str">
        <f>+CONCATENATE(E4562,I4562)</f>
        <v/>
      </c>
      <c r="R4563" s="15">
        <f>+J4562</f>
        <v>0</v>
      </c>
      <c r="S4563" s="16"/>
      <c r="T4563" s="15">
        <f>+E4562</f>
        <v>0</v>
      </c>
      <c r="U4563" s="26" t="str">
        <f>IFERROR(LEFT(I4562,FIND("*",I4562)-1),"-")</f>
        <v>-</v>
      </c>
      <c r="V4563" s="26" t="str">
        <f>IFERROR(RIGHT(I4562,LEN(I4562)-FIND("*",I4562)),"-")</f>
        <v>-</v>
      </c>
      <c r="W4563" s="27" t="str">
        <f t="shared" si="2482"/>
        <v>-</v>
      </c>
      <c r="X4563" s="27" t="str">
        <f t="shared" ref="X4563" si="2487">IFERROR(W4563*J4562,"-")</f>
        <v>-</v>
      </c>
      <c r="Z4563" s="94" t="s">
        <v>82</v>
      </c>
    </row>
    <row r="4564" spans="1:26" s="25" customFormat="1" ht="6.95" customHeight="1" x14ac:dyDescent="0.3">
      <c r="A4564" s="10"/>
      <c r="B4564" s="168"/>
      <c r="C4564" s="169"/>
      <c r="D4564" s="160"/>
      <c r="E4564" s="161"/>
      <c r="F4564" s="162"/>
      <c r="G4564" s="163"/>
      <c r="H4564" s="164"/>
      <c r="I4564" s="163"/>
      <c r="J4564" s="164"/>
      <c r="K4564" s="163"/>
      <c r="L4564" s="164"/>
      <c r="M4564" s="11"/>
      <c r="N4564" s="39"/>
      <c r="Q4564" s="15" t="str">
        <f>+CONCATENATE(E4562,K4562)</f>
        <v/>
      </c>
      <c r="R4564" s="15">
        <f>+L4562</f>
        <v>0</v>
      </c>
      <c r="S4564" s="16"/>
      <c r="T4564" s="15">
        <f>+E4562</f>
        <v>0</v>
      </c>
      <c r="U4564" s="26" t="str">
        <f>IFERROR(LEFT(K4562,FIND("*",K4562)-1),"-")</f>
        <v>-</v>
      </c>
      <c r="V4564" s="26" t="str">
        <f>IFERROR(RIGHT(K4562,LEN(K4562)-FIND("*",K4562)),"-")</f>
        <v>-</v>
      </c>
      <c r="W4564" s="27" t="str">
        <f t="shared" si="2482"/>
        <v>-</v>
      </c>
      <c r="X4564" s="27" t="str">
        <f>IFERROR(W4564*L4562,"-")</f>
        <v>-</v>
      </c>
      <c r="Z4564" s="94" t="s">
        <v>82</v>
      </c>
    </row>
    <row r="4565" spans="1:26" s="25" customFormat="1" ht="21" customHeight="1" thickBot="1" x14ac:dyDescent="0.35">
      <c r="A4565" s="10"/>
      <c r="B4565" s="170"/>
      <c r="C4565" s="171"/>
      <c r="D4565" s="172" t="s">
        <v>43</v>
      </c>
      <c r="E4565" s="173"/>
      <c r="F4565" s="173"/>
      <c r="G4565" s="174"/>
      <c r="H4565" s="174"/>
      <c r="I4565" s="174"/>
      <c r="J4565" s="174"/>
      <c r="K4565" s="174"/>
      <c r="L4565" s="174"/>
      <c r="M4565" s="12"/>
      <c r="N4565" s="39"/>
      <c r="U4565" s="23"/>
      <c r="V4565" s="23"/>
      <c r="Z4565" s="95" t="s">
        <v>81</v>
      </c>
    </row>
    <row r="4566" spans="1:26" s="25" customFormat="1" ht="9.9499999999999993" customHeight="1" thickBot="1" x14ac:dyDescent="0.35">
      <c r="A4566" s="6"/>
      <c r="B4566" s="14"/>
      <c r="C4566" s="119"/>
      <c r="D4566" s="58"/>
      <c r="E4566" s="17"/>
      <c r="F4566" s="58"/>
      <c r="G4566" s="19"/>
      <c r="H4566" s="19"/>
      <c r="I4566" s="19"/>
      <c r="J4566" s="19"/>
      <c r="K4566" s="19"/>
      <c r="L4566" s="19"/>
      <c r="M4566" s="14"/>
      <c r="N4566" s="39"/>
      <c r="Q4566" s="1"/>
      <c r="R4566" s="1"/>
      <c r="S4566" s="1"/>
      <c r="T4566" s="1"/>
      <c r="U4566" s="24"/>
      <c r="V4566" s="24"/>
      <c r="W4566" s="1"/>
      <c r="X4566" s="1"/>
      <c r="Z4566" s="94" t="s">
        <v>82</v>
      </c>
    </row>
    <row r="4567" spans="1:26" s="25" customFormat="1" ht="6.95" customHeight="1" x14ac:dyDescent="0.3">
      <c r="A4567" s="165">
        <f>+A4556+1</f>
        <v>416</v>
      </c>
      <c r="B4567" s="166"/>
      <c r="C4567" s="167"/>
      <c r="D4567" s="160" t="s">
        <v>39</v>
      </c>
      <c r="E4567" s="161"/>
      <c r="F4567" s="162" t="s">
        <v>40</v>
      </c>
      <c r="G4567" s="163"/>
      <c r="H4567" s="164"/>
      <c r="I4567" s="163"/>
      <c r="J4567" s="164"/>
      <c r="K4567" s="163"/>
      <c r="L4567" s="164"/>
      <c r="M4567" s="11"/>
      <c r="N4567" s="39"/>
      <c r="Q4567" s="15" t="str">
        <f>+CONCATENATE(E4567,G4567)</f>
        <v/>
      </c>
      <c r="R4567" s="15">
        <f>+H4567</f>
        <v>0</v>
      </c>
      <c r="S4567" s="16"/>
      <c r="T4567" s="15">
        <f>+E4567</f>
        <v>0</v>
      </c>
      <c r="U4567" s="26" t="str">
        <f>IFERROR(LEFT(G4567,FIND("*",G4567)-1),"-")</f>
        <v>-</v>
      </c>
      <c r="V4567" s="26" t="str">
        <f>IFERROR(RIGHT(G4567,LEN(G4567)-FIND("*",G4567)),"-")</f>
        <v>-</v>
      </c>
      <c r="W4567" s="27" t="str">
        <f>IFERROR((U4567+V4567)*2/1000,"-")</f>
        <v>-</v>
      </c>
      <c r="X4567" s="27" t="str">
        <f>IFERROR(W4567*H4567,"-")</f>
        <v>-</v>
      </c>
      <c r="Z4567" s="94" t="s">
        <v>82</v>
      </c>
    </row>
    <row r="4568" spans="1:26" s="25" customFormat="1" ht="6.95" customHeight="1" x14ac:dyDescent="0.3">
      <c r="A4568" s="165"/>
      <c r="B4568" s="168"/>
      <c r="C4568" s="169"/>
      <c r="D4568" s="160"/>
      <c r="E4568" s="161"/>
      <c r="F4568" s="162"/>
      <c r="G4568" s="163"/>
      <c r="H4568" s="164"/>
      <c r="I4568" s="163"/>
      <c r="J4568" s="164"/>
      <c r="K4568" s="163"/>
      <c r="L4568" s="164"/>
      <c r="M4568" s="11"/>
      <c r="N4568" s="39"/>
      <c r="Q4568" s="15" t="str">
        <f>+CONCATENATE(E4567,I4567)</f>
        <v/>
      </c>
      <c r="R4568" s="15">
        <f>+J4567</f>
        <v>0</v>
      </c>
      <c r="S4568" s="16"/>
      <c r="T4568" s="15">
        <f>+E4567</f>
        <v>0</v>
      </c>
      <c r="U4568" s="26" t="str">
        <f>IFERROR(LEFT(I4567,FIND("*",I4567)-1),"-")</f>
        <v>-</v>
      </c>
      <c r="V4568" s="26" t="str">
        <f>IFERROR(RIGHT(I4567,LEN(I4567)-FIND("*",I4567)),"-")</f>
        <v>-</v>
      </c>
      <c r="W4568" s="27" t="str">
        <f t="shared" ref="W4568:W4575" si="2488">IFERROR((U4568+V4568)*2/1000,"-")</f>
        <v>-</v>
      </c>
      <c r="X4568" s="27" t="str">
        <f>IFERROR(W4568*J4567,"-")</f>
        <v>-</v>
      </c>
      <c r="Z4568" s="94" t="s">
        <v>82</v>
      </c>
    </row>
    <row r="4569" spans="1:26" s="25" customFormat="1" ht="6.95" customHeight="1" x14ac:dyDescent="0.3">
      <c r="A4569" s="165"/>
      <c r="B4569" s="168"/>
      <c r="C4569" s="169"/>
      <c r="D4569" s="160"/>
      <c r="E4569" s="161"/>
      <c r="F4569" s="162"/>
      <c r="G4569" s="163"/>
      <c r="H4569" s="164"/>
      <c r="I4569" s="163"/>
      <c r="J4569" s="164"/>
      <c r="K4569" s="163"/>
      <c r="L4569" s="164"/>
      <c r="M4569" s="11"/>
      <c r="N4569" s="39"/>
      <c r="Q4569" s="15" t="str">
        <f>+CONCATENATE(E4567,K4567)</f>
        <v/>
      </c>
      <c r="R4569" s="15">
        <f>+L4567</f>
        <v>0</v>
      </c>
      <c r="S4569" s="16"/>
      <c r="T4569" s="15">
        <f>+E4567</f>
        <v>0</v>
      </c>
      <c r="U4569" s="26" t="str">
        <f>IFERROR(LEFT(K4567,FIND("*",K4567)-1),"-")</f>
        <v>-</v>
      </c>
      <c r="V4569" s="26" t="str">
        <f>IFERROR(RIGHT(K4567,LEN(K4567)-FIND("*",K4567)),"-")</f>
        <v>-</v>
      </c>
      <c r="W4569" s="27" t="str">
        <f t="shared" si="2488"/>
        <v>-</v>
      </c>
      <c r="X4569" s="27" t="str">
        <f>IFERROR(W4569*L4567,"-")</f>
        <v>-</v>
      </c>
      <c r="Z4569" s="94" t="s">
        <v>82</v>
      </c>
    </row>
    <row r="4570" spans="1:26" s="25" customFormat="1" ht="6.95" customHeight="1" x14ac:dyDescent="0.3">
      <c r="A4570" s="13"/>
      <c r="B4570" s="168"/>
      <c r="C4570" s="169"/>
      <c r="D4570" s="160" t="s">
        <v>39</v>
      </c>
      <c r="E4570" s="161"/>
      <c r="F4570" s="162" t="s">
        <v>40</v>
      </c>
      <c r="G4570" s="163"/>
      <c r="H4570" s="164"/>
      <c r="I4570" s="163"/>
      <c r="J4570" s="164"/>
      <c r="K4570" s="163"/>
      <c r="L4570" s="164"/>
      <c r="M4570" s="11"/>
      <c r="N4570" s="39"/>
      <c r="Q4570" s="15" t="str">
        <f>+CONCATENATE(E4570,G4570)</f>
        <v/>
      </c>
      <c r="R4570" s="15">
        <f>+H4570</f>
        <v>0</v>
      </c>
      <c r="S4570" s="16"/>
      <c r="T4570" s="15">
        <f>+E4570</f>
        <v>0</v>
      </c>
      <c r="U4570" s="26" t="str">
        <f t="shared" ref="U4570" si="2489">IFERROR(LEFT(G4570,FIND("*",G4570)-1),"-")</f>
        <v>-</v>
      </c>
      <c r="V4570" s="26" t="str">
        <f t="shared" ref="V4570" si="2490">IFERROR(RIGHT(G4570,LEN(G4570)-FIND("*",G4570)),"-")</f>
        <v>-</v>
      </c>
      <c r="W4570" s="27" t="str">
        <f t="shared" si="2488"/>
        <v>-</v>
      </c>
      <c r="X4570" s="27" t="str">
        <f>IFERROR(W4570*H4570,"-")</f>
        <v>-</v>
      </c>
      <c r="Z4570" s="94" t="s">
        <v>82</v>
      </c>
    </row>
    <row r="4571" spans="1:26" s="25" customFormat="1" ht="6.95" customHeight="1" x14ac:dyDescent="0.3">
      <c r="A4571" s="10"/>
      <c r="B4571" s="168"/>
      <c r="C4571" s="169"/>
      <c r="D4571" s="160"/>
      <c r="E4571" s="161"/>
      <c r="F4571" s="162"/>
      <c r="G4571" s="163"/>
      <c r="H4571" s="164"/>
      <c r="I4571" s="163"/>
      <c r="J4571" s="164"/>
      <c r="K4571" s="163"/>
      <c r="L4571" s="164"/>
      <c r="M4571" s="11"/>
      <c r="N4571" s="39"/>
      <c r="Q4571" s="15" t="str">
        <f>+CONCATENATE(E4570,I4570)</f>
        <v/>
      </c>
      <c r="R4571" s="15">
        <f>+J4570</f>
        <v>0</v>
      </c>
      <c r="S4571" s="16"/>
      <c r="T4571" s="15">
        <f>+E4570</f>
        <v>0</v>
      </c>
      <c r="U4571" s="26" t="str">
        <f>IFERROR(LEFT(I4570,FIND("*",I4570)-1),"-")</f>
        <v>-</v>
      </c>
      <c r="V4571" s="26" t="str">
        <f>IFERROR(RIGHT(I4570,LEN(I4570)-FIND("*",I4570)),"-")</f>
        <v>-</v>
      </c>
      <c r="W4571" s="27" t="str">
        <f t="shared" si="2488"/>
        <v>-</v>
      </c>
      <c r="X4571" s="27" t="str">
        <f>IFERROR(W4571*J4570,"-")</f>
        <v>-</v>
      </c>
      <c r="Z4571" s="94" t="s">
        <v>82</v>
      </c>
    </row>
    <row r="4572" spans="1:26" s="25" customFormat="1" ht="6.95" customHeight="1" x14ac:dyDescent="0.3">
      <c r="A4572" s="10"/>
      <c r="B4572" s="168"/>
      <c r="C4572" s="169"/>
      <c r="D4572" s="160"/>
      <c r="E4572" s="161"/>
      <c r="F4572" s="162"/>
      <c r="G4572" s="163"/>
      <c r="H4572" s="164"/>
      <c r="I4572" s="163"/>
      <c r="J4572" s="164"/>
      <c r="K4572" s="163"/>
      <c r="L4572" s="164"/>
      <c r="M4572" s="11"/>
      <c r="N4572" s="39"/>
      <c r="Q4572" s="15" t="str">
        <f>+CONCATENATE(E4570,K4570)</f>
        <v/>
      </c>
      <c r="R4572" s="15">
        <f>+L4570</f>
        <v>0</v>
      </c>
      <c r="S4572" s="16"/>
      <c r="T4572" s="15">
        <f>+E4570</f>
        <v>0</v>
      </c>
      <c r="U4572" s="26" t="str">
        <f>IFERROR(LEFT(K4570,FIND("*",K4570)-1),"-")</f>
        <v>-</v>
      </c>
      <c r="V4572" s="26" t="str">
        <f>IFERROR(RIGHT(K4570,LEN(K4570)-FIND("*",K4570)),"-")</f>
        <v>-</v>
      </c>
      <c r="W4572" s="27" t="str">
        <f t="shared" si="2488"/>
        <v>-</v>
      </c>
      <c r="X4572" s="27" t="str">
        <f>IFERROR(W4572*L4570,"-")</f>
        <v>-</v>
      </c>
      <c r="Z4572" s="94" t="s">
        <v>82</v>
      </c>
    </row>
    <row r="4573" spans="1:26" s="25" customFormat="1" ht="6.95" customHeight="1" x14ac:dyDescent="0.3">
      <c r="A4573" s="13"/>
      <c r="B4573" s="168"/>
      <c r="C4573" s="169"/>
      <c r="D4573" s="160" t="s">
        <v>39</v>
      </c>
      <c r="E4573" s="161"/>
      <c r="F4573" s="162" t="s">
        <v>40</v>
      </c>
      <c r="G4573" s="163"/>
      <c r="H4573" s="164"/>
      <c r="I4573" s="163"/>
      <c r="J4573" s="164"/>
      <c r="K4573" s="163"/>
      <c r="L4573" s="164"/>
      <c r="M4573" s="11"/>
      <c r="N4573" s="39"/>
      <c r="Q4573" s="15" t="str">
        <f>+CONCATENATE(E4573,G4573)</f>
        <v/>
      </c>
      <c r="R4573" s="15">
        <f>+H4573</f>
        <v>0</v>
      </c>
      <c r="S4573" s="16"/>
      <c r="T4573" s="15">
        <f>+E4573</f>
        <v>0</v>
      </c>
      <c r="U4573" s="26" t="str">
        <f t="shared" ref="U4573" si="2491">IFERROR(LEFT(G4573,FIND("*",G4573)-1),"-")</f>
        <v>-</v>
      </c>
      <c r="V4573" s="26" t="str">
        <f t="shared" ref="V4573" si="2492">IFERROR(RIGHT(G4573,LEN(G4573)-FIND("*",G4573)),"-")</f>
        <v>-</v>
      </c>
      <c r="W4573" s="27" t="str">
        <f t="shared" si="2488"/>
        <v>-</v>
      </c>
      <c r="X4573" s="27" t="str">
        <f>IFERROR(W4573*H4573,"-")</f>
        <v>-</v>
      </c>
      <c r="Z4573" s="94" t="s">
        <v>82</v>
      </c>
    </row>
    <row r="4574" spans="1:26" s="25" customFormat="1" ht="6.95" customHeight="1" x14ac:dyDescent="0.3">
      <c r="A4574" s="10"/>
      <c r="B4574" s="168"/>
      <c r="C4574" s="169"/>
      <c r="D4574" s="160"/>
      <c r="E4574" s="161"/>
      <c r="F4574" s="162"/>
      <c r="G4574" s="163"/>
      <c r="H4574" s="164"/>
      <c r="I4574" s="163"/>
      <c r="J4574" s="164"/>
      <c r="K4574" s="163"/>
      <c r="L4574" s="164"/>
      <c r="M4574" s="11"/>
      <c r="N4574" s="39"/>
      <c r="Q4574" s="15" t="str">
        <f>+CONCATENATE(E4573,I4573)</f>
        <v/>
      </c>
      <c r="R4574" s="15">
        <f>+J4573</f>
        <v>0</v>
      </c>
      <c r="S4574" s="16"/>
      <c r="T4574" s="15">
        <f>+E4573</f>
        <v>0</v>
      </c>
      <c r="U4574" s="26" t="str">
        <f>IFERROR(LEFT(I4573,FIND("*",I4573)-1),"-")</f>
        <v>-</v>
      </c>
      <c r="V4574" s="26" t="str">
        <f>IFERROR(RIGHT(I4573,LEN(I4573)-FIND("*",I4573)),"-")</f>
        <v>-</v>
      </c>
      <c r="W4574" s="27" t="str">
        <f t="shared" si="2488"/>
        <v>-</v>
      </c>
      <c r="X4574" s="27" t="str">
        <f t="shared" ref="X4574" si="2493">IFERROR(W4574*J4573,"-")</f>
        <v>-</v>
      </c>
      <c r="Z4574" s="94" t="s">
        <v>82</v>
      </c>
    </row>
    <row r="4575" spans="1:26" s="25" customFormat="1" ht="6.95" customHeight="1" x14ac:dyDescent="0.3">
      <c r="A4575" s="10"/>
      <c r="B4575" s="168"/>
      <c r="C4575" s="169"/>
      <c r="D4575" s="160"/>
      <c r="E4575" s="161"/>
      <c r="F4575" s="162"/>
      <c r="G4575" s="163"/>
      <c r="H4575" s="164"/>
      <c r="I4575" s="163"/>
      <c r="J4575" s="164"/>
      <c r="K4575" s="163"/>
      <c r="L4575" s="164"/>
      <c r="M4575" s="11"/>
      <c r="N4575" s="39"/>
      <c r="Q4575" s="15" t="str">
        <f>+CONCATENATE(E4573,K4573)</f>
        <v/>
      </c>
      <c r="R4575" s="15">
        <f>+L4573</f>
        <v>0</v>
      </c>
      <c r="S4575" s="16"/>
      <c r="T4575" s="15">
        <f>+E4573</f>
        <v>0</v>
      </c>
      <c r="U4575" s="26" t="str">
        <f>IFERROR(LEFT(K4573,FIND("*",K4573)-1),"-")</f>
        <v>-</v>
      </c>
      <c r="V4575" s="26" t="str">
        <f>IFERROR(RIGHT(K4573,LEN(K4573)-FIND("*",K4573)),"-")</f>
        <v>-</v>
      </c>
      <c r="W4575" s="27" t="str">
        <f t="shared" si="2488"/>
        <v>-</v>
      </c>
      <c r="X4575" s="27" t="str">
        <f>IFERROR(W4575*L4573,"-")</f>
        <v>-</v>
      </c>
      <c r="Z4575" s="94" t="s">
        <v>82</v>
      </c>
    </row>
    <row r="4576" spans="1:26" s="25" customFormat="1" ht="21" customHeight="1" thickBot="1" x14ac:dyDescent="0.35">
      <c r="A4576" s="10"/>
      <c r="B4576" s="170"/>
      <c r="C4576" s="171"/>
      <c r="D4576" s="172" t="s">
        <v>43</v>
      </c>
      <c r="E4576" s="173"/>
      <c r="F4576" s="173"/>
      <c r="G4576" s="174"/>
      <c r="H4576" s="174"/>
      <c r="I4576" s="174"/>
      <c r="J4576" s="174"/>
      <c r="K4576" s="174"/>
      <c r="L4576" s="174"/>
      <c r="M4576" s="12"/>
      <c r="N4576" s="39"/>
      <c r="U4576" s="23"/>
      <c r="V4576" s="23"/>
      <c r="Z4576" s="95" t="s">
        <v>81</v>
      </c>
    </row>
    <row r="4577" spans="1:26" s="25" customFormat="1" ht="9.9499999999999993" customHeight="1" thickBot="1" x14ac:dyDescent="0.35">
      <c r="A4577" s="6"/>
      <c r="B4577" s="14"/>
      <c r="C4577" s="119"/>
      <c r="D4577" s="58"/>
      <c r="E4577" s="17"/>
      <c r="F4577" s="58"/>
      <c r="G4577" s="19"/>
      <c r="H4577" s="19"/>
      <c r="I4577" s="19"/>
      <c r="J4577" s="19"/>
      <c r="K4577" s="19"/>
      <c r="L4577" s="19"/>
      <c r="M4577" s="14"/>
      <c r="N4577" s="39"/>
      <c r="Q4577" s="1"/>
      <c r="R4577" s="1"/>
      <c r="S4577" s="1"/>
      <c r="T4577" s="1"/>
      <c r="U4577" s="24"/>
      <c r="V4577" s="24"/>
      <c r="W4577" s="1"/>
      <c r="X4577" s="1"/>
      <c r="Z4577" s="94" t="s">
        <v>82</v>
      </c>
    </row>
    <row r="4578" spans="1:26" s="25" customFormat="1" ht="6.95" customHeight="1" x14ac:dyDescent="0.3">
      <c r="A4578" s="165">
        <f>+A4567+1</f>
        <v>417</v>
      </c>
      <c r="B4578" s="166"/>
      <c r="C4578" s="167"/>
      <c r="D4578" s="160" t="s">
        <v>39</v>
      </c>
      <c r="E4578" s="161"/>
      <c r="F4578" s="162" t="s">
        <v>40</v>
      </c>
      <c r="G4578" s="163"/>
      <c r="H4578" s="164"/>
      <c r="I4578" s="163"/>
      <c r="J4578" s="164"/>
      <c r="K4578" s="163"/>
      <c r="L4578" s="164"/>
      <c r="M4578" s="11"/>
      <c r="N4578" s="39"/>
      <c r="Q4578" s="15" t="str">
        <f>+CONCATENATE(E4578,G4578)</f>
        <v/>
      </c>
      <c r="R4578" s="15">
        <f>+H4578</f>
        <v>0</v>
      </c>
      <c r="S4578" s="16"/>
      <c r="T4578" s="15">
        <f>+E4578</f>
        <v>0</v>
      </c>
      <c r="U4578" s="26" t="str">
        <f>IFERROR(LEFT(G4578,FIND("*",G4578)-1),"-")</f>
        <v>-</v>
      </c>
      <c r="V4578" s="26" t="str">
        <f>IFERROR(RIGHT(G4578,LEN(G4578)-FIND("*",G4578)),"-")</f>
        <v>-</v>
      </c>
      <c r="W4578" s="27" t="str">
        <f>IFERROR((U4578+V4578)*2/1000,"-")</f>
        <v>-</v>
      </c>
      <c r="X4578" s="27" t="str">
        <f>IFERROR(W4578*H4578,"-")</f>
        <v>-</v>
      </c>
      <c r="Z4578" s="94" t="s">
        <v>82</v>
      </c>
    </row>
    <row r="4579" spans="1:26" s="25" customFormat="1" ht="6.95" customHeight="1" x14ac:dyDescent="0.3">
      <c r="A4579" s="165"/>
      <c r="B4579" s="168"/>
      <c r="C4579" s="169"/>
      <c r="D4579" s="160"/>
      <c r="E4579" s="161"/>
      <c r="F4579" s="162"/>
      <c r="G4579" s="163"/>
      <c r="H4579" s="164"/>
      <c r="I4579" s="163"/>
      <c r="J4579" s="164"/>
      <c r="K4579" s="163"/>
      <c r="L4579" s="164"/>
      <c r="M4579" s="11"/>
      <c r="N4579" s="39"/>
      <c r="Q4579" s="15" t="str">
        <f>+CONCATENATE(E4578,I4578)</f>
        <v/>
      </c>
      <c r="R4579" s="15">
        <f>+J4578</f>
        <v>0</v>
      </c>
      <c r="S4579" s="16"/>
      <c r="T4579" s="15">
        <f>+E4578</f>
        <v>0</v>
      </c>
      <c r="U4579" s="26" t="str">
        <f>IFERROR(LEFT(I4578,FIND("*",I4578)-1),"-")</f>
        <v>-</v>
      </c>
      <c r="V4579" s="26" t="str">
        <f>IFERROR(RIGHT(I4578,LEN(I4578)-FIND("*",I4578)),"-")</f>
        <v>-</v>
      </c>
      <c r="W4579" s="27" t="str">
        <f t="shared" ref="W4579:W4586" si="2494">IFERROR((U4579+V4579)*2/1000,"-")</f>
        <v>-</v>
      </c>
      <c r="X4579" s="27" t="str">
        <f>IFERROR(W4579*J4578,"-")</f>
        <v>-</v>
      </c>
      <c r="Z4579" s="94" t="s">
        <v>82</v>
      </c>
    </row>
    <row r="4580" spans="1:26" s="25" customFormat="1" ht="6.95" customHeight="1" x14ac:dyDescent="0.3">
      <c r="A4580" s="165"/>
      <c r="B4580" s="168"/>
      <c r="C4580" s="169"/>
      <c r="D4580" s="160"/>
      <c r="E4580" s="161"/>
      <c r="F4580" s="162"/>
      <c r="G4580" s="163"/>
      <c r="H4580" s="164"/>
      <c r="I4580" s="163"/>
      <c r="J4580" s="164"/>
      <c r="K4580" s="163"/>
      <c r="L4580" s="164"/>
      <c r="M4580" s="11"/>
      <c r="N4580" s="39"/>
      <c r="Q4580" s="15" t="str">
        <f>+CONCATENATE(E4578,K4578)</f>
        <v/>
      </c>
      <c r="R4580" s="15">
        <f>+L4578</f>
        <v>0</v>
      </c>
      <c r="S4580" s="16"/>
      <c r="T4580" s="15">
        <f>+E4578</f>
        <v>0</v>
      </c>
      <c r="U4580" s="26" t="str">
        <f>IFERROR(LEFT(K4578,FIND("*",K4578)-1),"-")</f>
        <v>-</v>
      </c>
      <c r="V4580" s="26" t="str">
        <f>IFERROR(RIGHT(K4578,LEN(K4578)-FIND("*",K4578)),"-")</f>
        <v>-</v>
      </c>
      <c r="W4580" s="27" t="str">
        <f t="shared" si="2494"/>
        <v>-</v>
      </c>
      <c r="X4580" s="27" t="str">
        <f>IFERROR(W4580*L4578,"-")</f>
        <v>-</v>
      </c>
      <c r="Z4580" s="94" t="s">
        <v>82</v>
      </c>
    </row>
    <row r="4581" spans="1:26" s="25" customFormat="1" ht="6.95" customHeight="1" x14ac:dyDescent="0.3">
      <c r="A4581" s="13"/>
      <c r="B4581" s="168"/>
      <c r="C4581" s="169"/>
      <c r="D4581" s="160" t="s">
        <v>39</v>
      </c>
      <c r="E4581" s="161"/>
      <c r="F4581" s="162" t="s">
        <v>40</v>
      </c>
      <c r="G4581" s="163"/>
      <c r="H4581" s="164"/>
      <c r="I4581" s="163"/>
      <c r="J4581" s="164"/>
      <c r="K4581" s="163"/>
      <c r="L4581" s="164"/>
      <c r="M4581" s="11"/>
      <c r="N4581" s="39"/>
      <c r="Q4581" s="15" t="str">
        <f>+CONCATENATE(E4581,G4581)</f>
        <v/>
      </c>
      <c r="R4581" s="15">
        <f>+H4581</f>
        <v>0</v>
      </c>
      <c r="S4581" s="16"/>
      <c r="T4581" s="15">
        <f>+E4581</f>
        <v>0</v>
      </c>
      <c r="U4581" s="26" t="str">
        <f t="shared" ref="U4581" si="2495">IFERROR(LEFT(G4581,FIND("*",G4581)-1),"-")</f>
        <v>-</v>
      </c>
      <c r="V4581" s="26" t="str">
        <f t="shared" ref="V4581" si="2496">IFERROR(RIGHT(G4581,LEN(G4581)-FIND("*",G4581)),"-")</f>
        <v>-</v>
      </c>
      <c r="W4581" s="27" t="str">
        <f t="shared" si="2494"/>
        <v>-</v>
      </c>
      <c r="X4581" s="27" t="str">
        <f>IFERROR(W4581*H4581,"-")</f>
        <v>-</v>
      </c>
      <c r="Z4581" s="94" t="s">
        <v>82</v>
      </c>
    </row>
    <row r="4582" spans="1:26" s="25" customFormat="1" ht="6.95" customHeight="1" x14ac:dyDescent="0.3">
      <c r="A4582" s="10"/>
      <c r="B4582" s="168"/>
      <c r="C4582" s="169"/>
      <c r="D4582" s="160"/>
      <c r="E4582" s="161"/>
      <c r="F4582" s="162"/>
      <c r="G4582" s="163"/>
      <c r="H4582" s="164"/>
      <c r="I4582" s="163"/>
      <c r="J4582" s="164"/>
      <c r="K4582" s="163"/>
      <c r="L4582" s="164"/>
      <c r="M4582" s="11"/>
      <c r="N4582" s="39"/>
      <c r="Q4582" s="15" t="str">
        <f>+CONCATENATE(E4581,I4581)</f>
        <v/>
      </c>
      <c r="R4582" s="15">
        <f>+J4581</f>
        <v>0</v>
      </c>
      <c r="S4582" s="16"/>
      <c r="T4582" s="15">
        <f>+E4581</f>
        <v>0</v>
      </c>
      <c r="U4582" s="26" t="str">
        <f>IFERROR(LEFT(I4581,FIND("*",I4581)-1),"-")</f>
        <v>-</v>
      </c>
      <c r="V4582" s="26" t="str">
        <f>IFERROR(RIGHT(I4581,LEN(I4581)-FIND("*",I4581)),"-")</f>
        <v>-</v>
      </c>
      <c r="W4582" s="27" t="str">
        <f t="shared" si="2494"/>
        <v>-</v>
      </c>
      <c r="X4582" s="27" t="str">
        <f>IFERROR(W4582*J4581,"-")</f>
        <v>-</v>
      </c>
      <c r="Z4582" s="94" t="s">
        <v>82</v>
      </c>
    </row>
    <row r="4583" spans="1:26" s="25" customFormat="1" ht="6.95" customHeight="1" x14ac:dyDescent="0.3">
      <c r="A4583" s="10"/>
      <c r="B4583" s="168"/>
      <c r="C4583" s="169"/>
      <c r="D4583" s="160"/>
      <c r="E4583" s="161"/>
      <c r="F4583" s="162"/>
      <c r="G4583" s="163"/>
      <c r="H4583" s="164"/>
      <c r="I4583" s="163"/>
      <c r="J4583" s="164"/>
      <c r="K4583" s="163"/>
      <c r="L4583" s="164"/>
      <c r="M4583" s="11"/>
      <c r="N4583" s="39"/>
      <c r="Q4583" s="15" t="str">
        <f>+CONCATENATE(E4581,K4581)</f>
        <v/>
      </c>
      <c r="R4583" s="15">
        <f>+L4581</f>
        <v>0</v>
      </c>
      <c r="S4583" s="16"/>
      <c r="T4583" s="15">
        <f>+E4581</f>
        <v>0</v>
      </c>
      <c r="U4583" s="26" t="str">
        <f>IFERROR(LEFT(K4581,FIND("*",K4581)-1),"-")</f>
        <v>-</v>
      </c>
      <c r="V4583" s="26" t="str">
        <f>IFERROR(RIGHT(K4581,LEN(K4581)-FIND("*",K4581)),"-")</f>
        <v>-</v>
      </c>
      <c r="W4583" s="27" t="str">
        <f t="shared" si="2494"/>
        <v>-</v>
      </c>
      <c r="X4583" s="27" t="str">
        <f>IFERROR(W4583*L4581,"-")</f>
        <v>-</v>
      </c>
      <c r="Z4583" s="94" t="s">
        <v>82</v>
      </c>
    </row>
    <row r="4584" spans="1:26" s="25" customFormat="1" ht="6.95" customHeight="1" x14ac:dyDescent="0.3">
      <c r="A4584" s="13"/>
      <c r="B4584" s="168"/>
      <c r="C4584" s="169"/>
      <c r="D4584" s="160" t="s">
        <v>39</v>
      </c>
      <c r="E4584" s="161"/>
      <c r="F4584" s="162" t="s">
        <v>40</v>
      </c>
      <c r="G4584" s="163"/>
      <c r="H4584" s="164"/>
      <c r="I4584" s="163"/>
      <c r="J4584" s="164"/>
      <c r="K4584" s="163"/>
      <c r="L4584" s="164"/>
      <c r="M4584" s="11"/>
      <c r="N4584" s="39"/>
      <c r="Q4584" s="15" t="str">
        <f>+CONCATENATE(E4584,G4584)</f>
        <v/>
      </c>
      <c r="R4584" s="15">
        <f>+H4584</f>
        <v>0</v>
      </c>
      <c r="S4584" s="16"/>
      <c r="T4584" s="15">
        <f>+E4584</f>
        <v>0</v>
      </c>
      <c r="U4584" s="26" t="str">
        <f t="shared" ref="U4584" si="2497">IFERROR(LEFT(G4584,FIND("*",G4584)-1),"-")</f>
        <v>-</v>
      </c>
      <c r="V4584" s="26" t="str">
        <f t="shared" ref="V4584" si="2498">IFERROR(RIGHT(G4584,LEN(G4584)-FIND("*",G4584)),"-")</f>
        <v>-</v>
      </c>
      <c r="W4584" s="27" t="str">
        <f t="shared" si="2494"/>
        <v>-</v>
      </c>
      <c r="X4584" s="27" t="str">
        <f>IFERROR(W4584*H4584,"-")</f>
        <v>-</v>
      </c>
      <c r="Z4584" s="94" t="s">
        <v>82</v>
      </c>
    </row>
    <row r="4585" spans="1:26" s="25" customFormat="1" ht="6.95" customHeight="1" x14ac:dyDescent="0.3">
      <c r="A4585" s="10"/>
      <c r="B4585" s="168"/>
      <c r="C4585" s="169"/>
      <c r="D4585" s="160"/>
      <c r="E4585" s="161"/>
      <c r="F4585" s="162"/>
      <c r="G4585" s="163"/>
      <c r="H4585" s="164"/>
      <c r="I4585" s="163"/>
      <c r="J4585" s="164"/>
      <c r="K4585" s="163"/>
      <c r="L4585" s="164"/>
      <c r="M4585" s="11"/>
      <c r="N4585" s="39"/>
      <c r="Q4585" s="15" t="str">
        <f>+CONCATENATE(E4584,I4584)</f>
        <v/>
      </c>
      <c r="R4585" s="15">
        <f>+J4584</f>
        <v>0</v>
      </c>
      <c r="S4585" s="16"/>
      <c r="T4585" s="15">
        <f>+E4584</f>
        <v>0</v>
      </c>
      <c r="U4585" s="26" t="str">
        <f>IFERROR(LEFT(I4584,FIND("*",I4584)-1),"-")</f>
        <v>-</v>
      </c>
      <c r="V4585" s="26" t="str">
        <f>IFERROR(RIGHT(I4584,LEN(I4584)-FIND("*",I4584)),"-")</f>
        <v>-</v>
      </c>
      <c r="W4585" s="27" t="str">
        <f t="shared" si="2494"/>
        <v>-</v>
      </c>
      <c r="X4585" s="27" t="str">
        <f t="shared" ref="X4585" si="2499">IFERROR(W4585*J4584,"-")</f>
        <v>-</v>
      </c>
      <c r="Z4585" s="94" t="s">
        <v>82</v>
      </c>
    </row>
    <row r="4586" spans="1:26" s="25" customFormat="1" ht="6.95" customHeight="1" x14ac:dyDescent="0.3">
      <c r="A4586" s="10"/>
      <c r="B4586" s="168"/>
      <c r="C4586" s="169"/>
      <c r="D4586" s="160"/>
      <c r="E4586" s="161"/>
      <c r="F4586" s="162"/>
      <c r="G4586" s="163"/>
      <c r="H4586" s="164"/>
      <c r="I4586" s="163"/>
      <c r="J4586" s="164"/>
      <c r="K4586" s="163"/>
      <c r="L4586" s="164"/>
      <c r="M4586" s="11"/>
      <c r="N4586" s="39"/>
      <c r="Q4586" s="15" t="str">
        <f>+CONCATENATE(E4584,K4584)</f>
        <v/>
      </c>
      <c r="R4586" s="15">
        <f>+L4584</f>
        <v>0</v>
      </c>
      <c r="S4586" s="16"/>
      <c r="T4586" s="15">
        <f>+E4584</f>
        <v>0</v>
      </c>
      <c r="U4586" s="26" t="str">
        <f>IFERROR(LEFT(K4584,FIND("*",K4584)-1),"-")</f>
        <v>-</v>
      </c>
      <c r="V4586" s="26" t="str">
        <f>IFERROR(RIGHT(K4584,LEN(K4584)-FIND("*",K4584)),"-")</f>
        <v>-</v>
      </c>
      <c r="W4586" s="27" t="str">
        <f t="shared" si="2494"/>
        <v>-</v>
      </c>
      <c r="X4586" s="27" t="str">
        <f>IFERROR(W4586*L4584,"-")</f>
        <v>-</v>
      </c>
      <c r="Z4586" s="94" t="s">
        <v>82</v>
      </c>
    </row>
    <row r="4587" spans="1:26" s="25" customFormat="1" ht="21" customHeight="1" thickBot="1" x14ac:dyDescent="0.35">
      <c r="A4587" s="10"/>
      <c r="B4587" s="170"/>
      <c r="C4587" s="171"/>
      <c r="D4587" s="172" t="s">
        <v>43</v>
      </c>
      <c r="E4587" s="173"/>
      <c r="F4587" s="173"/>
      <c r="G4587" s="174"/>
      <c r="H4587" s="174"/>
      <c r="I4587" s="174"/>
      <c r="J4587" s="174"/>
      <c r="K4587" s="174"/>
      <c r="L4587" s="174"/>
      <c r="M4587" s="12"/>
      <c r="N4587" s="39"/>
      <c r="U4587" s="23"/>
      <c r="V4587" s="23"/>
      <c r="Z4587" s="95" t="s">
        <v>81</v>
      </c>
    </row>
    <row r="4588" spans="1:26" s="25" customFormat="1" ht="9.9499999999999993" customHeight="1" thickBot="1" x14ac:dyDescent="0.35">
      <c r="A4588" s="6"/>
      <c r="B4588" s="14"/>
      <c r="C4588" s="119"/>
      <c r="D4588" s="58"/>
      <c r="E4588" s="17"/>
      <c r="F4588" s="58"/>
      <c r="G4588" s="19"/>
      <c r="H4588" s="19"/>
      <c r="I4588" s="19"/>
      <c r="J4588" s="19"/>
      <c r="K4588" s="19"/>
      <c r="L4588" s="19"/>
      <c r="M4588" s="14"/>
      <c r="N4588" s="39"/>
      <c r="Q4588" s="1"/>
      <c r="R4588" s="1"/>
      <c r="S4588" s="1"/>
      <c r="T4588" s="1"/>
      <c r="U4588" s="24"/>
      <c r="V4588" s="24"/>
      <c r="W4588" s="1"/>
      <c r="X4588" s="1"/>
      <c r="Z4588" s="94" t="s">
        <v>82</v>
      </c>
    </row>
    <row r="4589" spans="1:26" s="25" customFormat="1" ht="6.95" customHeight="1" x14ac:dyDescent="0.3">
      <c r="A4589" s="165">
        <f>+A4578+1</f>
        <v>418</v>
      </c>
      <c r="B4589" s="166"/>
      <c r="C4589" s="167"/>
      <c r="D4589" s="160" t="s">
        <v>39</v>
      </c>
      <c r="E4589" s="161"/>
      <c r="F4589" s="162" t="s">
        <v>40</v>
      </c>
      <c r="G4589" s="163"/>
      <c r="H4589" s="164"/>
      <c r="I4589" s="163"/>
      <c r="J4589" s="164"/>
      <c r="K4589" s="163"/>
      <c r="L4589" s="164"/>
      <c r="M4589" s="11"/>
      <c r="N4589" s="39"/>
      <c r="Q4589" s="15" t="str">
        <f>+CONCATENATE(E4589,G4589)</f>
        <v/>
      </c>
      <c r="R4589" s="15">
        <f>+H4589</f>
        <v>0</v>
      </c>
      <c r="S4589" s="16"/>
      <c r="T4589" s="15">
        <f>+E4589</f>
        <v>0</v>
      </c>
      <c r="U4589" s="26" t="str">
        <f>IFERROR(LEFT(G4589,FIND("*",G4589)-1),"-")</f>
        <v>-</v>
      </c>
      <c r="V4589" s="26" t="str">
        <f>IFERROR(RIGHT(G4589,LEN(G4589)-FIND("*",G4589)),"-")</f>
        <v>-</v>
      </c>
      <c r="W4589" s="27" t="str">
        <f>IFERROR((U4589+V4589)*2/1000,"-")</f>
        <v>-</v>
      </c>
      <c r="X4589" s="27" t="str">
        <f>IFERROR(W4589*H4589,"-")</f>
        <v>-</v>
      </c>
      <c r="Z4589" s="94" t="s">
        <v>82</v>
      </c>
    </row>
    <row r="4590" spans="1:26" s="25" customFormat="1" ht="6.95" customHeight="1" x14ac:dyDescent="0.3">
      <c r="A4590" s="165"/>
      <c r="B4590" s="168"/>
      <c r="C4590" s="169"/>
      <c r="D4590" s="160"/>
      <c r="E4590" s="161"/>
      <c r="F4590" s="162"/>
      <c r="G4590" s="163"/>
      <c r="H4590" s="164"/>
      <c r="I4590" s="163"/>
      <c r="J4590" s="164"/>
      <c r="K4590" s="163"/>
      <c r="L4590" s="164"/>
      <c r="M4590" s="11"/>
      <c r="N4590" s="39"/>
      <c r="Q4590" s="15" t="str">
        <f>+CONCATENATE(E4589,I4589)</f>
        <v/>
      </c>
      <c r="R4590" s="15">
        <f>+J4589</f>
        <v>0</v>
      </c>
      <c r="S4590" s="16"/>
      <c r="T4590" s="15">
        <f>+E4589</f>
        <v>0</v>
      </c>
      <c r="U4590" s="26" t="str">
        <f>IFERROR(LEFT(I4589,FIND("*",I4589)-1),"-")</f>
        <v>-</v>
      </c>
      <c r="V4590" s="26" t="str">
        <f>IFERROR(RIGHT(I4589,LEN(I4589)-FIND("*",I4589)),"-")</f>
        <v>-</v>
      </c>
      <c r="W4590" s="27" t="str">
        <f t="shared" ref="W4590:W4597" si="2500">IFERROR((U4590+V4590)*2/1000,"-")</f>
        <v>-</v>
      </c>
      <c r="X4590" s="27" t="str">
        <f>IFERROR(W4590*J4589,"-")</f>
        <v>-</v>
      </c>
      <c r="Z4590" s="94" t="s">
        <v>82</v>
      </c>
    </row>
    <row r="4591" spans="1:26" s="25" customFormat="1" ht="6.95" customHeight="1" x14ac:dyDescent="0.3">
      <c r="A4591" s="165"/>
      <c r="B4591" s="168"/>
      <c r="C4591" s="169"/>
      <c r="D4591" s="160"/>
      <c r="E4591" s="161"/>
      <c r="F4591" s="162"/>
      <c r="G4591" s="163"/>
      <c r="H4591" s="164"/>
      <c r="I4591" s="163"/>
      <c r="J4591" s="164"/>
      <c r="K4591" s="163"/>
      <c r="L4591" s="164"/>
      <c r="M4591" s="11"/>
      <c r="N4591" s="39"/>
      <c r="Q4591" s="15" t="str">
        <f>+CONCATENATE(E4589,K4589)</f>
        <v/>
      </c>
      <c r="R4591" s="15">
        <f>+L4589</f>
        <v>0</v>
      </c>
      <c r="S4591" s="16"/>
      <c r="T4591" s="15">
        <f>+E4589</f>
        <v>0</v>
      </c>
      <c r="U4591" s="26" t="str">
        <f>IFERROR(LEFT(K4589,FIND("*",K4589)-1),"-")</f>
        <v>-</v>
      </c>
      <c r="V4591" s="26" t="str">
        <f>IFERROR(RIGHT(K4589,LEN(K4589)-FIND("*",K4589)),"-")</f>
        <v>-</v>
      </c>
      <c r="W4591" s="27" t="str">
        <f t="shared" si="2500"/>
        <v>-</v>
      </c>
      <c r="X4591" s="27" t="str">
        <f>IFERROR(W4591*L4589,"-")</f>
        <v>-</v>
      </c>
      <c r="Z4591" s="94" t="s">
        <v>82</v>
      </c>
    </row>
    <row r="4592" spans="1:26" s="25" customFormat="1" ht="6.95" customHeight="1" x14ac:dyDescent="0.3">
      <c r="A4592" s="13"/>
      <c r="B4592" s="168"/>
      <c r="C4592" s="169"/>
      <c r="D4592" s="160" t="s">
        <v>39</v>
      </c>
      <c r="E4592" s="161"/>
      <c r="F4592" s="162" t="s">
        <v>40</v>
      </c>
      <c r="G4592" s="163"/>
      <c r="H4592" s="164"/>
      <c r="I4592" s="163"/>
      <c r="J4592" s="164"/>
      <c r="K4592" s="163"/>
      <c r="L4592" s="164"/>
      <c r="M4592" s="11"/>
      <c r="N4592" s="39"/>
      <c r="Q4592" s="15" t="str">
        <f>+CONCATENATE(E4592,G4592)</f>
        <v/>
      </c>
      <c r="R4592" s="15">
        <f>+H4592</f>
        <v>0</v>
      </c>
      <c r="S4592" s="16"/>
      <c r="T4592" s="15">
        <f>+E4592</f>
        <v>0</v>
      </c>
      <c r="U4592" s="26" t="str">
        <f t="shared" ref="U4592" si="2501">IFERROR(LEFT(G4592,FIND("*",G4592)-1),"-")</f>
        <v>-</v>
      </c>
      <c r="V4592" s="26" t="str">
        <f t="shared" ref="V4592" si="2502">IFERROR(RIGHT(G4592,LEN(G4592)-FIND("*",G4592)),"-")</f>
        <v>-</v>
      </c>
      <c r="W4592" s="27" t="str">
        <f t="shared" si="2500"/>
        <v>-</v>
      </c>
      <c r="X4592" s="27" t="str">
        <f>IFERROR(W4592*H4592,"-")</f>
        <v>-</v>
      </c>
      <c r="Z4592" s="94" t="s">
        <v>82</v>
      </c>
    </row>
    <row r="4593" spans="1:26" s="25" customFormat="1" ht="6.95" customHeight="1" x14ac:dyDescent="0.3">
      <c r="A4593" s="10"/>
      <c r="B4593" s="168"/>
      <c r="C4593" s="169"/>
      <c r="D4593" s="160"/>
      <c r="E4593" s="161"/>
      <c r="F4593" s="162"/>
      <c r="G4593" s="163"/>
      <c r="H4593" s="164"/>
      <c r="I4593" s="163"/>
      <c r="J4593" s="164"/>
      <c r="K4593" s="163"/>
      <c r="L4593" s="164"/>
      <c r="M4593" s="11"/>
      <c r="N4593" s="39"/>
      <c r="Q4593" s="15" t="str">
        <f>+CONCATENATE(E4592,I4592)</f>
        <v/>
      </c>
      <c r="R4593" s="15">
        <f>+J4592</f>
        <v>0</v>
      </c>
      <c r="S4593" s="16"/>
      <c r="T4593" s="15">
        <f>+E4592</f>
        <v>0</v>
      </c>
      <c r="U4593" s="26" t="str">
        <f>IFERROR(LEFT(I4592,FIND("*",I4592)-1),"-")</f>
        <v>-</v>
      </c>
      <c r="V4593" s="26" t="str">
        <f>IFERROR(RIGHT(I4592,LEN(I4592)-FIND("*",I4592)),"-")</f>
        <v>-</v>
      </c>
      <c r="W4593" s="27" t="str">
        <f t="shared" si="2500"/>
        <v>-</v>
      </c>
      <c r="X4593" s="27" t="str">
        <f>IFERROR(W4593*J4592,"-")</f>
        <v>-</v>
      </c>
      <c r="Z4593" s="94" t="s">
        <v>82</v>
      </c>
    </row>
    <row r="4594" spans="1:26" s="25" customFormat="1" ht="6.95" customHeight="1" x14ac:dyDescent="0.3">
      <c r="A4594" s="10"/>
      <c r="B4594" s="168"/>
      <c r="C4594" s="169"/>
      <c r="D4594" s="160"/>
      <c r="E4594" s="161"/>
      <c r="F4594" s="162"/>
      <c r="G4594" s="163"/>
      <c r="H4594" s="164"/>
      <c r="I4594" s="163"/>
      <c r="J4594" s="164"/>
      <c r="K4594" s="163"/>
      <c r="L4594" s="164"/>
      <c r="M4594" s="11"/>
      <c r="N4594" s="39"/>
      <c r="Q4594" s="15" t="str">
        <f>+CONCATENATE(E4592,K4592)</f>
        <v/>
      </c>
      <c r="R4594" s="15">
        <f>+L4592</f>
        <v>0</v>
      </c>
      <c r="S4594" s="16"/>
      <c r="T4594" s="15">
        <f>+E4592</f>
        <v>0</v>
      </c>
      <c r="U4594" s="26" t="str">
        <f>IFERROR(LEFT(K4592,FIND("*",K4592)-1),"-")</f>
        <v>-</v>
      </c>
      <c r="V4594" s="26" t="str">
        <f>IFERROR(RIGHT(K4592,LEN(K4592)-FIND("*",K4592)),"-")</f>
        <v>-</v>
      </c>
      <c r="W4594" s="27" t="str">
        <f t="shared" si="2500"/>
        <v>-</v>
      </c>
      <c r="X4594" s="27" t="str">
        <f>IFERROR(W4594*L4592,"-")</f>
        <v>-</v>
      </c>
      <c r="Z4594" s="94" t="s">
        <v>82</v>
      </c>
    </row>
    <row r="4595" spans="1:26" s="25" customFormat="1" ht="6.95" customHeight="1" x14ac:dyDescent="0.3">
      <c r="A4595" s="13"/>
      <c r="B4595" s="168"/>
      <c r="C4595" s="169"/>
      <c r="D4595" s="160" t="s">
        <v>39</v>
      </c>
      <c r="E4595" s="161"/>
      <c r="F4595" s="162" t="s">
        <v>40</v>
      </c>
      <c r="G4595" s="163"/>
      <c r="H4595" s="164"/>
      <c r="I4595" s="163"/>
      <c r="J4595" s="164"/>
      <c r="K4595" s="163"/>
      <c r="L4595" s="164"/>
      <c r="M4595" s="11"/>
      <c r="N4595" s="39"/>
      <c r="Q4595" s="15" t="str">
        <f>+CONCATENATE(E4595,G4595)</f>
        <v/>
      </c>
      <c r="R4595" s="15">
        <f>+H4595</f>
        <v>0</v>
      </c>
      <c r="S4595" s="16"/>
      <c r="T4595" s="15">
        <f>+E4595</f>
        <v>0</v>
      </c>
      <c r="U4595" s="26" t="str">
        <f t="shared" ref="U4595" si="2503">IFERROR(LEFT(G4595,FIND("*",G4595)-1),"-")</f>
        <v>-</v>
      </c>
      <c r="V4595" s="26" t="str">
        <f t="shared" ref="V4595" si="2504">IFERROR(RIGHT(G4595,LEN(G4595)-FIND("*",G4595)),"-")</f>
        <v>-</v>
      </c>
      <c r="W4595" s="27" t="str">
        <f t="shared" si="2500"/>
        <v>-</v>
      </c>
      <c r="X4595" s="27" t="str">
        <f>IFERROR(W4595*H4595,"-")</f>
        <v>-</v>
      </c>
      <c r="Z4595" s="94" t="s">
        <v>82</v>
      </c>
    </row>
    <row r="4596" spans="1:26" s="25" customFormat="1" ht="6.95" customHeight="1" x14ac:dyDescent="0.3">
      <c r="A4596" s="10"/>
      <c r="B4596" s="168"/>
      <c r="C4596" s="169"/>
      <c r="D4596" s="160"/>
      <c r="E4596" s="161"/>
      <c r="F4596" s="162"/>
      <c r="G4596" s="163"/>
      <c r="H4596" s="164"/>
      <c r="I4596" s="163"/>
      <c r="J4596" s="164"/>
      <c r="K4596" s="163"/>
      <c r="L4596" s="164"/>
      <c r="M4596" s="11"/>
      <c r="N4596" s="39"/>
      <c r="Q4596" s="15" t="str">
        <f>+CONCATENATE(E4595,I4595)</f>
        <v/>
      </c>
      <c r="R4596" s="15">
        <f>+J4595</f>
        <v>0</v>
      </c>
      <c r="S4596" s="16"/>
      <c r="T4596" s="15">
        <f>+E4595</f>
        <v>0</v>
      </c>
      <c r="U4596" s="26" t="str">
        <f>IFERROR(LEFT(I4595,FIND("*",I4595)-1),"-")</f>
        <v>-</v>
      </c>
      <c r="V4596" s="26" t="str">
        <f>IFERROR(RIGHT(I4595,LEN(I4595)-FIND("*",I4595)),"-")</f>
        <v>-</v>
      </c>
      <c r="W4596" s="27" t="str">
        <f t="shared" si="2500"/>
        <v>-</v>
      </c>
      <c r="X4596" s="27" t="str">
        <f t="shared" ref="X4596" si="2505">IFERROR(W4596*J4595,"-")</f>
        <v>-</v>
      </c>
      <c r="Z4596" s="94" t="s">
        <v>82</v>
      </c>
    </row>
    <row r="4597" spans="1:26" s="25" customFormat="1" ht="6.95" customHeight="1" x14ac:dyDescent="0.3">
      <c r="A4597" s="10"/>
      <c r="B4597" s="168"/>
      <c r="C4597" s="169"/>
      <c r="D4597" s="160"/>
      <c r="E4597" s="161"/>
      <c r="F4597" s="162"/>
      <c r="G4597" s="163"/>
      <c r="H4597" s="164"/>
      <c r="I4597" s="163"/>
      <c r="J4597" s="164"/>
      <c r="K4597" s="163"/>
      <c r="L4597" s="164"/>
      <c r="M4597" s="11"/>
      <c r="N4597" s="39"/>
      <c r="Q4597" s="15" t="str">
        <f>+CONCATENATE(E4595,K4595)</f>
        <v/>
      </c>
      <c r="R4597" s="15">
        <f>+L4595</f>
        <v>0</v>
      </c>
      <c r="S4597" s="16"/>
      <c r="T4597" s="15">
        <f>+E4595</f>
        <v>0</v>
      </c>
      <c r="U4597" s="26" t="str">
        <f>IFERROR(LEFT(K4595,FIND("*",K4595)-1),"-")</f>
        <v>-</v>
      </c>
      <c r="V4597" s="26" t="str">
        <f>IFERROR(RIGHT(K4595,LEN(K4595)-FIND("*",K4595)),"-")</f>
        <v>-</v>
      </c>
      <c r="W4597" s="27" t="str">
        <f t="shared" si="2500"/>
        <v>-</v>
      </c>
      <c r="X4597" s="27" t="str">
        <f>IFERROR(W4597*L4595,"-")</f>
        <v>-</v>
      </c>
      <c r="Z4597" s="94" t="s">
        <v>82</v>
      </c>
    </row>
    <row r="4598" spans="1:26" s="25" customFormat="1" ht="21" customHeight="1" thickBot="1" x14ac:dyDescent="0.35">
      <c r="A4598" s="10"/>
      <c r="B4598" s="170"/>
      <c r="C4598" s="171"/>
      <c r="D4598" s="172" t="s">
        <v>43</v>
      </c>
      <c r="E4598" s="173"/>
      <c r="F4598" s="173"/>
      <c r="G4598" s="174"/>
      <c r="H4598" s="174"/>
      <c r="I4598" s="174"/>
      <c r="J4598" s="174"/>
      <c r="K4598" s="174"/>
      <c r="L4598" s="174"/>
      <c r="M4598" s="12"/>
      <c r="N4598" s="39"/>
      <c r="U4598" s="23"/>
      <c r="V4598" s="23"/>
      <c r="Z4598" s="95" t="s">
        <v>81</v>
      </c>
    </row>
    <row r="4599" spans="1:26" s="25" customFormat="1" ht="9.9499999999999993" customHeight="1" thickBot="1" x14ac:dyDescent="0.35">
      <c r="A4599" s="6"/>
      <c r="B4599" s="14"/>
      <c r="C4599" s="119"/>
      <c r="D4599" s="58"/>
      <c r="E4599" s="17"/>
      <c r="F4599" s="58"/>
      <c r="G4599" s="19"/>
      <c r="H4599" s="19"/>
      <c r="I4599" s="19"/>
      <c r="J4599" s="19"/>
      <c r="K4599" s="19"/>
      <c r="L4599" s="19"/>
      <c r="M4599" s="14"/>
      <c r="N4599" s="39"/>
      <c r="Q4599" s="1"/>
      <c r="R4599" s="1"/>
      <c r="S4599" s="1"/>
      <c r="T4599" s="1"/>
      <c r="U4599" s="24"/>
      <c r="V4599" s="24"/>
      <c r="W4599" s="1"/>
      <c r="X4599" s="1"/>
      <c r="Z4599" s="94" t="s">
        <v>82</v>
      </c>
    </row>
    <row r="4600" spans="1:26" s="25" customFormat="1" ht="6.95" customHeight="1" x14ac:dyDescent="0.3">
      <c r="A4600" s="165">
        <f>+A4589+1</f>
        <v>419</v>
      </c>
      <c r="B4600" s="166"/>
      <c r="C4600" s="167"/>
      <c r="D4600" s="160" t="s">
        <v>39</v>
      </c>
      <c r="E4600" s="161"/>
      <c r="F4600" s="162" t="s">
        <v>40</v>
      </c>
      <c r="G4600" s="163"/>
      <c r="H4600" s="164"/>
      <c r="I4600" s="163"/>
      <c r="J4600" s="164"/>
      <c r="K4600" s="163"/>
      <c r="L4600" s="164"/>
      <c r="M4600" s="11"/>
      <c r="N4600" s="39"/>
      <c r="Q4600" s="15" t="str">
        <f>+CONCATENATE(E4600,G4600)</f>
        <v/>
      </c>
      <c r="R4600" s="15">
        <f>+H4600</f>
        <v>0</v>
      </c>
      <c r="S4600" s="16"/>
      <c r="T4600" s="15">
        <f>+E4600</f>
        <v>0</v>
      </c>
      <c r="U4600" s="26" t="str">
        <f>IFERROR(LEFT(G4600,FIND("*",G4600)-1),"-")</f>
        <v>-</v>
      </c>
      <c r="V4600" s="26" t="str">
        <f>IFERROR(RIGHT(G4600,LEN(G4600)-FIND("*",G4600)),"-")</f>
        <v>-</v>
      </c>
      <c r="W4600" s="27" t="str">
        <f>IFERROR((U4600+V4600)*2/1000,"-")</f>
        <v>-</v>
      </c>
      <c r="X4600" s="27" t="str">
        <f>IFERROR(W4600*H4600,"-")</f>
        <v>-</v>
      </c>
      <c r="Z4600" s="94" t="s">
        <v>82</v>
      </c>
    </row>
    <row r="4601" spans="1:26" s="25" customFormat="1" ht="6.95" customHeight="1" x14ac:dyDescent="0.3">
      <c r="A4601" s="165"/>
      <c r="B4601" s="168"/>
      <c r="C4601" s="169"/>
      <c r="D4601" s="160"/>
      <c r="E4601" s="161"/>
      <c r="F4601" s="162"/>
      <c r="G4601" s="163"/>
      <c r="H4601" s="164"/>
      <c r="I4601" s="163"/>
      <c r="J4601" s="164"/>
      <c r="K4601" s="163"/>
      <c r="L4601" s="164"/>
      <c r="M4601" s="11"/>
      <c r="N4601" s="39"/>
      <c r="Q4601" s="15" t="str">
        <f>+CONCATENATE(E4600,I4600)</f>
        <v/>
      </c>
      <c r="R4601" s="15">
        <f>+J4600</f>
        <v>0</v>
      </c>
      <c r="S4601" s="16"/>
      <c r="T4601" s="15">
        <f>+E4600</f>
        <v>0</v>
      </c>
      <c r="U4601" s="26" t="str">
        <f>IFERROR(LEFT(I4600,FIND("*",I4600)-1),"-")</f>
        <v>-</v>
      </c>
      <c r="V4601" s="26" t="str">
        <f>IFERROR(RIGHT(I4600,LEN(I4600)-FIND("*",I4600)),"-")</f>
        <v>-</v>
      </c>
      <c r="W4601" s="27" t="str">
        <f t="shared" ref="W4601:W4608" si="2506">IFERROR((U4601+V4601)*2/1000,"-")</f>
        <v>-</v>
      </c>
      <c r="X4601" s="27" t="str">
        <f>IFERROR(W4601*J4600,"-")</f>
        <v>-</v>
      </c>
      <c r="Z4601" s="94" t="s">
        <v>82</v>
      </c>
    </row>
    <row r="4602" spans="1:26" s="25" customFormat="1" ht="6.95" customHeight="1" x14ac:dyDescent="0.3">
      <c r="A4602" s="165"/>
      <c r="B4602" s="168"/>
      <c r="C4602" s="169"/>
      <c r="D4602" s="160"/>
      <c r="E4602" s="161"/>
      <c r="F4602" s="162"/>
      <c r="G4602" s="163"/>
      <c r="H4602" s="164"/>
      <c r="I4602" s="163"/>
      <c r="J4602" s="164"/>
      <c r="K4602" s="163"/>
      <c r="L4602" s="164"/>
      <c r="M4602" s="11"/>
      <c r="N4602" s="39"/>
      <c r="Q4602" s="15" t="str">
        <f>+CONCATENATE(E4600,K4600)</f>
        <v/>
      </c>
      <c r="R4602" s="15">
        <f>+L4600</f>
        <v>0</v>
      </c>
      <c r="S4602" s="16"/>
      <c r="T4602" s="15">
        <f>+E4600</f>
        <v>0</v>
      </c>
      <c r="U4602" s="26" t="str">
        <f>IFERROR(LEFT(K4600,FIND("*",K4600)-1),"-")</f>
        <v>-</v>
      </c>
      <c r="V4602" s="26" t="str">
        <f>IFERROR(RIGHT(K4600,LEN(K4600)-FIND("*",K4600)),"-")</f>
        <v>-</v>
      </c>
      <c r="W4602" s="27" t="str">
        <f t="shared" si="2506"/>
        <v>-</v>
      </c>
      <c r="X4602" s="27" t="str">
        <f>IFERROR(W4602*L4600,"-")</f>
        <v>-</v>
      </c>
      <c r="Z4602" s="94" t="s">
        <v>82</v>
      </c>
    </row>
    <row r="4603" spans="1:26" s="25" customFormat="1" ht="6.95" customHeight="1" x14ac:dyDescent="0.3">
      <c r="A4603" s="13"/>
      <c r="B4603" s="168"/>
      <c r="C4603" s="169"/>
      <c r="D4603" s="160" t="s">
        <v>39</v>
      </c>
      <c r="E4603" s="161"/>
      <c r="F4603" s="162" t="s">
        <v>40</v>
      </c>
      <c r="G4603" s="163"/>
      <c r="H4603" s="164"/>
      <c r="I4603" s="163"/>
      <c r="J4603" s="164"/>
      <c r="K4603" s="163"/>
      <c r="L4603" s="164"/>
      <c r="M4603" s="11"/>
      <c r="N4603" s="39"/>
      <c r="Q4603" s="15" t="str">
        <f>+CONCATENATE(E4603,G4603)</f>
        <v/>
      </c>
      <c r="R4603" s="15">
        <f>+H4603</f>
        <v>0</v>
      </c>
      <c r="S4603" s="16"/>
      <c r="T4603" s="15">
        <f>+E4603</f>
        <v>0</v>
      </c>
      <c r="U4603" s="26" t="str">
        <f t="shared" ref="U4603" si="2507">IFERROR(LEFT(G4603,FIND("*",G4603)-1),"-")</f>
        <v>-</v>
      </c>
      <c r="V4603" s="26" t="str">
        <f t="shared" ref="V4603" si="2508">IFERROR(RIGHT(G4603,LEN(G4603)-FIND("*",G4603)),"-")</f>
        <v>-</v>
      </c>
      <c r="W4603" s="27" t="str">
        <f t="shared" si="2506"/>
        <v>-</v>
      </c>
      <c r="X4603" s="27" t="str">
        <f>IFERROR(W4603*H4603,"-")</f>
        <v>-</v>
      </c>
      <c r="Z4603" s="94" t="s">
        <v>82</v>
      </c>
    </row>
    <row r="4604" spans="1:26" s="25" customFormat="1" ht="6.95" customHeight="1" x14ac:dyDescent="0.3">
      <c r="A4604" s="10"/>
      <c r="B4604" s="168"/>
      <c r="C4604" s="169"/>
      <c r="D4604" s="160"/>
      <c r="E4604" s="161"/>
      <c r="F4604" s="162"/>
      <c r="G4604" s="163"/>
      <c r="H4604" s="164"/>
      <c r="I4604" s="163"/>
      <c r="J4604" s="164"/>
      <c r="K4604" s="163"/>
      <c r="L4604" s="164"/>
      <c r="M4604" s="11"/>
      <c r="N4604" s="39"/>
      <c r="Q4604" s="15" t="str">
        <f>+CONCATENATE(E4603,I4603)</f>
        <v/>
      </c>
      <c r="R4604" s="15">
        <f>+J4603</f>
        <v>0</v>
      </c>
      <c r="S4604" s="16"/>
      <c r="T4604" s="15">
        <f>+E4603</f>
        <v>0</v>
      </c>
      <c r="U4604" s="26" t="str">
        <f>IFERROR(LEFT(I4603,FIND("*",I4603)-1),"-")</f>
        <v>-</v>
      </c>
      <c r="V4604" s="26" t="str">
        <f>IFERROR(RIGHT(I4603,LEN(I4603)-FIND("*",I4603)),"-")</f>
        <v>-</v>
      </c>
      <c r="W4604" s="27" t="str">
        <f t="shared" si="2506"/>
        <v>-</v>
      </c>
      <c r="X4604" s="27" t="str">
        <f>IFERROR(W4604*J4603,"-")</f>
        <v>-</v>
      </c>
      <c r="Z4604" s="94" t="s">
        <v>82</v>
      </c>
    </row>
    <row r="4605" spans="1:26" s="25" customFormat="1" ht="6.95" customHeight="1" x14ac:dyDescent="0.3">
      <c r="A4605" s="10"/>
      <c r="B4605" s="168"/>
      <c r="C4605" s="169"/>
      <c r="D4605" s="160"/>
      <c r="E4605" s="161"/>
      <c r="F4605" s="162"/>
      <c r="G4605" s="163"/>
      <c r="H4605" s="164"/>
      <c r="I4605" s="163"/>
      <c r="J4605" s="164"/>
      <c r="K4605" s="163"/>
      <c r="L4605" s="164"/>
      <c r="M4605" s="11"/>
      <c r="N4605" s="39"/>
      <c r="Q4605" s="15" t="str">
        <f>+CONCATENATE(E4603,K4603)</f>
        <v/>
      </c>
      <c r="R4605" s="15">
        <f>+L4603</f>
        <v>0</v>
      </c>
      <c r="S4605" s="16"/>
      <c r="T4605" s="15">
        <f>+E4603</f>
        <v>0</v>
      </c>
      <c r="U4605" s="26" t="str">
        <f>IFERROR(LEFT(K4603,FIND("*",K4603)-1),"-")</f>
        <v>-</v>
      </c>
      <c r="V4605" s="26" t="str">
        <f>IFERROR(RIGHT(K4603,LEN(K4603)-FIND("*",K4603)),"-")</f>
        <v>-</v>
      </c>
      <c r="W4605" s="27" t="str">
        <f t="shared" si="2506"/>
        <v>-</v>
      </c>
      <c r="X4605" s="27" t="str">
        <f>IFERROR(W4605*L4603,"-")</f>
        <v>-</v>
      </c>
      <c r="Z4605" s="94" t="s">
        <v>82</v>
      </c>
    </row>
    <row r="4606" spans="1:26" s="25" customFormat="1" ht="6.95" customHeight="1" x14ac:dyDescent="0.3">
      <c r="A4606" s="13"/>
      <c r="B4606" s="168"/>
      <c r="C4606" s="169"/>
      <c r="D4606" s="160" t="s">
        <v>39</v>
      </c>
      <c r="E4606" s="161"/>
      <c r="F4606" s="162" t="s">
        <v>40</v>
      </c>
      <c r="G4606" s="163"/>
      <c r="H4606" s="164"/>
      <c r="I4606" s="163"/>
      <c r="J4606" s="164"/>
      <c r="K4606" s="163"/>
      <c r="L4606" s="164"/>
      <c r="M4606" s="11"/>
      <c r="N4606" s="39"/>
      <c r="Q4606" s="15" t="str">
        <f>+CONCATENATE(E4606,G4606)</f>
        <v/>
      </c>
      <c r="R4606" s="15">
        <f>+H4606</f>
        <v>0</v>
      </c>
      <c r="S4606" s="16"/>
      <c r="T4606" s="15">
        <f>+E4606</f>
        <v>0</v>
      </c>
      <c r="U4606" s="26" t="str">
        <f t="shared" ref="U4606" si="2509">IFERROR(LEFT(G4606,FIND("*",G4606)-1),"-")</f>
        <v>-</v>
      </c>
      <c r="V4606" s="26" t="str">
        <f t="shared" ref="V4606" si="2510">IFERROR(RIGHT(G4606,LEN(G4606)-FIND("*",G4606)),"-")</f>
        <v>-</v>
      </c>
      <c r="W4606" s="27" t="str">
        <f t="shared" si="2506"/>
        <v>-</v>
      </c>
      <c r="X4606" s="27" t="str">
        <f>IFERROR(W4606*H4606,"-")</f>
        <v>-</v>
      </c>
      <c r="Z4606" s="94" t="s">
        <v>82</v>
      </c>
    </row>
    <row r="4607" spans="1:26" s="25" customFormat="1" ht="6.95" customHeight="1" x14ac:dyDescent="0.3">
      <c r="A4607" s="10"/>
      <c r="B4607" s="168"/>
      <c r="C4607" s="169"/>
      <c r="D4607" s="160"/>
      <c r="E4607" s="161"/>
      <c r="F4607" s="162"/>
      <c r="G4607" s="163"/>
      <c r="H4607" s="164"/>
      <c r="I4607" s="163"/>
      <c r="J4607" s="164"/>
      <c r="K4607" s="163"/>
      <c r="L4607" s="164"/>
      <c r="M4607" s="11"/>
      <c r="N4607" s="39"/>
      <c r="Q4607" s="15" t="str">
        <f>+CONCATENATE(E4606,I4606)</f>
        <v/>
      </c>
      <c r="R4607" s="15">
        <f>+J4606</f>
        <v>0</v>
      </c>
      <c r="S4607" s="16"/>
      <c r="T4607" s="15">
        <f>+E4606</f>
        <v>0</v>
      </c>
      <c r="U4607" s="26" t="str">
        <f>IFERROR(LEFT(I4606,FIND("*",I4606)-1),"-")</f>
        <v>-</v>
      </c>
      <c r="V4607" s="26" t="str">
        <f>IFERROR(RIGHT(I4606,LEN(I4606)-FIND("*",I4606)),"-")</f>
        <v>-</v>
      </c>
      <c r="W4607" s="27" t="str">
        <f t="shared" si="2506"/>
        <v>-</v>
      </c>
      <c r="X4607" s="27" t="str">
        <f t="shared" ref="X4607" si="2511">IFERROR(W4607*J4606,"-")</f>
        <v>-</v>
      </c>
      <c r="Z4607" s="94" t="s">
        <v>82</v>
      </c>
    </row>
    <row r="4608" spans="1:26" s="25" customFormat="1" ht="6.95" customHeight="1" x14ac:dyDescent="0.3">
      <c r="A4608" s="10"/>
      <c r="B4608" s="168"/>
      <c r="C4608" s="169"/>
      <c r="D4608" s="160"/>
      <c r="E4608" s="161"/>
      <c r="F4608" s="162"/>
      <c r="G4608" s="163"/>
      <c r="H4608" s="164"/>
      <c r="I4608" s="163"/>
      <c r="J4608" s="164"/>
      <c r="K4608" s="163"/>
      <c r="L4608" s="164"/>
      <c r="M4608" s="11"/>
      <c r="N4608" s="39"/>
      <c r="Q4608" s="15" t="str">
        <f>+CONCATENATE(E4606,K4606)</f>
        <v/>
      </c>
      <c r="R4608" s="15">
        <f>+L4606</f>
        <v>0</v>
      </c>
      <c r="S4608" s="16"/>
      <c r="T4608" s="15">
        <f>+E4606</f>
        <v>0</v>
      </c>
      <c r="U4608" s="26" t="str">
        <f>IFERROR(LEFT(K4606,FIND("*",K4606)-1),"-")</f>
        <v>-</v>
      </c>
      <c r="V4608" s="26" t="str">
        <f>IFERROR(RIGHT(K4606,LEN(K4606)-FIND("*",K4606)),"-")</f>
        <v>-</v>
      </c>
      <c r="W4608" s="27" t="str">
        <f t="shared" si="2506"/>
        <v>-</v>
      </c>
      <c r="X4608" s="27" t="str">
        <f>IFERROR(W4608*L4606,"-")</f>
        <v>-</v>
      </c>
      <c r="Z4608" s="94" t="s">
        <v>82</v>
      </c>
    </row>
    <row r="4609" spans="1:26" s="25" customFormat="1" ht="21" customHeight="1" thickBot="1" x14ac:dyDescent="0.35">
      <c r="A4609" s="10"/>
      <c r="B4609" s="170"/>
      <c r="C4609" s="171"/>
      <c r="D4609" s="172" t="s">
        <v>43</v>
      </c>
      <c r="E4609" s="173"/>
      <c r="F4609" s="173"/>
      <c r="G4609" s="174"/>
      <c r="H4609" s="174"/>
      <c r="I4609" s="174"/>
      <c r="J4609" s="174"/>
      <c r="K4609" s="174"/>
      <c r="L4609" s="174"/>
      <c r="M4609" s="12"/>
      <c r="N4609" s="39"/>
      <c r="U4609" s="23"/>
      <c r="V4609" s="23"/>
      <c r="Z4609" s="95" t="s">
        <v>81</v>
      </c>
    </row>
    <row r="4610" spans="1:26" s="25" customFormat="1" ht="9.9499999999999993" customHeight="1" thickBot="1" x14ac:dyDescent="0.35">
      <c r="A4610" s="6"/>
      <c r="B4610" s="14"/>
      <c r="C4610" s="119"/>
      <c r="D4610" s="58"/>
      <c r="E4610" s="17"/>
      <c r="F4610" s="58"/>
      <c r="G4610" s="19"/>
      <c r="H4610" s="19"/>
      <c r="I4610" s="19"/>
      <c r="J4610" s="19"/>
      <c r="K4610" s="19"/>
      <c r="L4610" s="19"/>
      <c r="M4610" s="14"/>
      <c r="N4610" s="39"/>
      <c r="Q4610" s="1"/>
      <c r="R4610" s="1"/>
      <c r="S4610" s="1"/>
      <c r="T4610" s="1"/>
      <c r="U4610" s="24"/>
      <c r="V4610" s="24"/>
      <c r="W4610" s="1"/>
      <c r="X4610" s="1"/>
      <c r="Z4610" s="94" t="s">
        <v>82</v>
      </c>
    </row>
    <row r="4611" spans="1:26" s="25" customFormat="1" ht="6.95" customHeight="1" x14ac:dyDescent="0.3">
      <c r="A4611" s="165">
        <f>+A4600+1</f>
        <v>420</v>
      </c>
      <c r="B4611" s="166"/>
      <c r="C4611" s="167"/>
      <c r="D4611" s="160" t="s">
        <v>39</v>
      </c>
      <c r="E4611" s="161"/>
      <c r="F4611" s="162" t="s">
        <v>40</v>
      </c>
      <c r="G4611" s="163"/>
      <c r="H4611" s="164"/>
      <c r="I4611" s="163"/>
      <c r="J4611" s="164"/>
      <c r="K4611" s="163"/>
      <c r="L4611" s="164"/>
      <c r="M4611" s="11"/>
      <c r="N4611" s="39"/>
      <c r="Q4611" s="15" t="str">
        <f>+CONCATENATE(E4611,G4611)</f>
        <v/>
      </c>
      <c r="R4611" s="15">
        <f>+H4611</f>
        <v>0</v>
      </c>
      <c r="S4611" s="16"/>
      <c r="T4611" s="15">
        <f>+E4611</f>
        <v>0</v>
      </c>
      <c r="U4611" s="26" t="str">
        <f>IFERROR(LEFT(G4611,FIND("*",G4611)-1),"-")</f>
        <v>-</v>
      </c>
      <c r="V4611" s="26" t="str">
        <f>IFERROR(RIGHT(G4611,LEN(G4611)-FIND("*",G4611)),"-")</f>
        <v>-</v>
      </c>
      <c r="W4611" s="27" t="str">
        <f>IFERROR((U4611+V4611)*2/1000,"-")</f>
        <v>-</v>
      </c>
      <c r="X4611" s="27" t="str">
        <f>IFERROR(W4611*H4611,"-")</f>
        <v>-</v>
      </c>
      <c r="Z4611" s="94" t="s">
        <v>82</v>
      </c>
    </row>
    <row r="4612" spans="1:26" s="25" customFormat="1" ht="6.95" customHeight="1" x14ac:dyDescent="0.3">
      <c r="A4612" s="165"/>
      <c r="B4612" s="168"/>
      <c r="C4612" s="169"/>
      <c r="D4612" s="160"/>
      <c r="E4612" s="161"/>
      <c r="F4612" s="162"/>
      <c r="G4612" s="163"/>
      <c r="H4612" s="164"/>
      <c r="I4612" s="163"/>
      <c r="J4612" s="164"/>
      <c r="K4612" s="163"/>
      <c r="L4612" s="164"/>
      <c r="M4612" s="11"/>
      <c r="N4612" s="39"/>
      <c r="Q4612" s="15" t="str">
        <f>+CONCATENATE(E4611,I4611)</f>
        <v/>
      </c>
      <c r="R4612" s="15">
        <f>+J4611</f>
        <v>0</v>
      </c>
      <c r="S4612" s="16"/>
      <c r="T4612" s="15">
        <f>+E4611</f>
        <v>0</v>
      </c>
      <c r="U4612" s="26" t="str">
        <f>IFERROR(LEFT(I4611,FIND("*",I4611)-1),"-")</f>
        <v>-</v>
      </c>
      <c r="V4612" s="26" t="str">
        <f>IFERROR(RIGHT(I4611,LEN(I4611)-FIND("*",I4611)),"-")</f>
        <v>-</v>
      </c>
      <c r="W4612" s="27" t="str">
        <f t="shared" ref="W4612:W4619" si="2512">IFERROR((U4612+V4612)*2/1000,"-")</f>
        <v>-</v>
      </c>
      <c r="X4612" s="27" t="str">
        <f>IFERROR(W4612*J4611,"-")</f>
        <v>-</v>
      </c>
      <c r="Z4612" s="94" t="s">
        <v>82</v>
      </c>
    </row>
    <row r="4613" spans="1:26" s="25" customFormat="1" ht="6.95" customHeight="1" x14ac:dyDescent="0.3">
      <c r="A4613" s="165"/>
      <c r="B4613" s="168"/>
      <c r="C4613" s="169"/>
      <c r="D4613" s="160"/>
      <c r="E4613" s="161"/>
      <c r="F4613" s="162"/>
      <c r="G4613" s="163"/>
      <c r="H4613" s="164"/>
      <c r="I4613" s="163"/>
      <c r="J4613" s="164"/>
      <c r="K4613" s="163"/>
      <c r="L4613" s="164"/>
      <c r="M4613" s="11"/>
      <c r="N4613" s="39"/>
      <c r="Q4613" s="15" t="str">
        <f>+CONCATENATE(E4611,K4611)</f>
        <v/>
      </c>
      <c r="R4613" s="15">
        <f>+L4611</f>
        <v>0</v>
      </c>
      <c r="S4613" s="16"/>
      <c r="T4613" s="15">
        <f>+E4611</f>
        <v>0</v>
      </c>
      <c r="U4613" s="26" t="str">
        <f>IFERROR(LEFT(K4611,FIND("*",K4611)-1),"-")</f>
        <v>-</v>
      </c>
      <c r="V4613" s="26" t="str">
        <f>IFERROR(RIGHT(K4611,LEN(K4611)-FIND("*",K4611)),"-")</f>
        <v>-</v>
      </c>
      <c r="W4613" s="27" t="str">
        <f t="shared" si="2512"/>
        <v>-</v>
      </c>
      <c r="X4613" s="27" t="str">
        <f>IFERROR(W4613*L4611,"-")</f>
        <v>-</v>
      </c>
      <c r="Z4613" s="94" t="s">
        <v>82</v>
      </c>
    </row>
    <row r="4614" spans="1:26" s="25" customFormat="1" ht="6.95" customHeight="1" x14ac:dyDescent="0.3">
      <c r="A4614" s="13"/>
      <c r="B4614" s="168"/>
      <c r="C4614" s="169"/>
      <c r="D4614" s="160" t="s">
        <v>39</v>
      </c>
      <c r="E4614" s="161"/>
      <c r="F4614" s="162" t="s">
        <v>40</v>
      </c>
      <c r="G4614" s="163"/>
      <c r="H4614" s="164"/>
      <c r="I4614" s="163"/>
      <c r="J4614" s="164"/>
      <c r="K4614" s="163"/>
      <c r="L4614" s="164"/>
      <c r="M4614" s="11"/>
      <c r="N4614" s="39"/>
      <c r="Q4614" s="15" t="str">
        <f>+CONCATENATE(E4614,G4614)</f>
        <v/>
      </c>
      <c r="R4614" s="15">
        <f>+H4614</f>
        <v>0</v>
      </c>
      <c r="S4614" s="16"/>
      <c r="T4614" s="15">
        <f>+E4614</f>
        <v>0</v>
      </c>
      <c r="U4614" s="26" t="str">
        <f t="shared" ref="U4614" si="2513">IFERROR(LEFT(G4614,FIND("*",G4614)-1),"-")</f>
        <v>-</v>
      </c>
      <c r="V4614" s="26" t="str">
        <f t="shared" ref="V4614" si="2514">IFERROR(RIGHT(G4614,LEN(G4614)-FIND("*",G4614)),"-")</f>
        <v>-</v>
      </c>
      <c r="W4614" s="27" t="str">
        <f t="shared" si="2512"/>
        <v>-</v>
      </c>
      <c r="X4614" s="27" t="str">
        <f>IFERROR(W4614*H4614,"-")</f>
        <v>-</v>
      </c>
      <c r="Z4614" s="94" t="s">
        <v>82</v>
      </c>
    </row>
    <row r="4615" spans="1:26" s="25" customFormat="1" ht="6.95" customHeight="1" x14ac:dyDescent="0.3">
      <c r="A4615" s="10"/>
      <c r="B4615" s="168"/>
      <c r="C4615" s="169"/>
      <c r="D4615" s="160"/>
      <c r="E4615" s="161"/>
      <c r="F4615" s="162"/>
      <c r="G4615" s="163"/>
      <c r="H4615" s="164"/>
      <c r="I4615" s="163"/>
      <c r="J4615" s="164"/>
      <c r="K4615" s="163"/>
      <c r="L4615" s="164"/>
      <c r="M4615" s="11"/>
      <c r="N4615" s="39"/>
      <c r="Q4615" s="15" t="str">
        <f>+CONCATENATE(E4614,I4614)</f>
        <v/>
      </c>
      <c r="R4615" s="15">
        <f>+J4614</f>
        <v>0</v>
      </c>
      <c r="S4615" s="16"/>
      <c r="T4615" s="15">
        <f>+E4614</f>
        <v>0</v>
      </c>
      <c r="U4615" s="26" t="str">
        <f>IFERROR(LEFT(I4614,FIND("*",I4614)-1),"-")</f>
        <v>-</v>
      </c>
      <c r="V4615" s="26" t="str">
        <f>IFERROR(RIGHT(I4614,LEN(I4614)-FIND("*",I4614)),"-")</f>
        <v>-</v>
      </c>
      <c r="W4615" s="27" t="str">
        <f t="shared" si="2512"/>
        <v>-</v>
      </c>
      <c r="X4615" s="27" t="str">
        <f>IFERROR(W4615*J4614,"-")</f>
        <v>-</v>
      </c>
      <c r="Z4615" s="94" t="s">
        <v>82</v>
      </c>
    </row>
    <row r="4616" spans="1:26" s="25" customFormat="1" ht="6.95" customHeight="1" x14ac:dyDescent="0.3">
      <c r="A4616" s="10"/>
      <c r="B4616" s="168"/>
      <c r="C4616" s="169"/>
      <c r="D4616" s="160"/>
      <c r="E4616" s="161"/>
      <c r="F4616" s="162"/>
      <c r="G4616" s="163"/>
      <c r="H4616" s="164"/>
      <c r="I4616" s="163"/>
      <c r="J4616" s="164"/>
      <c r="K4616" s="163"/>
      <c r="L4616" s="164"/>
      <c r="M4616" s="11"/>
      <c r="N4616" s="39"/>
      <c r="Q4616" s="15" t="str">
        <f>+CONCATENATE(E4614,K4614)</f>
        <v/>
      </c>
      <c r="R4616" s="15">
        <f>+L4614</f>
        <v>0</v>
      </c>
      <c r="S4616" s="16"/>
      <c r="T4616" s="15">
        <f>+E4614</f>
        <v>0</v>
      </c>
      <c r="U4616" s="26" t="str">
        <f>IFERROR(LEFT(K4614,FIND("*",K4614)-1),"-")</f>
        <v>-</v>
      </c>
      <c r="V4616" s="26" t="str">
        <f>IFERROR(RIGHT(K4614,LEN(K4614)-FIND("*",K4614)),"-")</f>
        <v>-</v>
      </c>
      <c r="W4616" s="27" t="str">
        <f t="shared" si="2512"/>
        <v>-</v>
      </c>
      <c r="X4616" s="27" t="str">
        <f>IFERROR(W4616*L4614,"-")</f>
        <v>-</v>
      </c>
      <c r="Z4616" s="94" t="s">
        <v>82</v>
      </c>
    </row>
    <row r="4617" spans="1:26" s="25" customFormat="1" ht="6.95" customHeight="1" x14ac:dyDescent="0.3">
      <c r="A4617" s="13"/>
      <c r="B4617" s="168"/>
      <c r="C4617" s="169"/>
      <c r="D4617" s="160" t="s">
        <v>39</v>
      </c>
      <c r="E4617" s="161"/>
      <c r="F4617" s="162" t="s">
        <v>40</v>
      </c>
      <c r="G4617" s="163"/>
      <c r="H4617" s="164"/>
      <c r="I4617" s="163"/>
      <c r="J4617" s="164"/>
      <c r="K4617" s="163"/>
      <c r="L4617" s="164"/>
      <c r="M4617" s="11"/>
      <c r="N4617" s="39"/>
      <c r="Q4617" s="15" t="str">
        <f>+CONCATENATE(E4617,G4617)</f>
        <v/>
      </c>
      <c r="R4617" s="15">
        <f>+H4617</f>
        <v>0</v>
      </c>
      <c r="S4617" s="16"/>
      <c r="T4617" s="15">
        <f>+E4617</f>
        <v>0</v>
      </c>
      <c r="U4617" s="26" t="str">
        <f t="shared" ref="U4617" si="2515">IFERROR(LEFT(G4617,FIND("*",G4617)-1),"-")</f>
        <v>-</v>
      </c>
      <c r="V4617" s="26" t="str">
        <f t="shared" ref="V4617" si="2516">IFERROR(RIGHT(G4617,LEN(G4617)-FIND("*",G4617)),"-")</f>
        <v>-</v>
      </c>
      <c r="W4617" s="27" t="str">
        <f t="shared" si="2512"/>
        <v>-</v>
      </c>
      <c r="X4617" s="27" t="str">
        <f>IFERROR(W4617*H4617,"-")</f>
        <v>-</v>
      </c>
      <c r="Z4617" s="94" t="s">
        <v>82</v>
      </c>
    </row>
    <row r="4618" spans="1:26" s="25" customFormat="1" ht="6.95" customHeight="1" x14ac:dyDescent="0.3">
      <c r="A4618" s="10"/>
      <c r="B4618" s="168"/>
      <c r="C4618" s="169"/>
      <c r="D4618" s="160"/>
      <c r="E4618" s="161"/>
      <c r="F4618" s="162"/>
      <c r="G4618" s="163"/>
      <c r="H4618" s="164"/>
      <c r="I4618" s="163"/>
      <c r="J4618" s="164"/>
      <c r="K4618" s="163"/>
      <c r="L4618" s="164"/>
      <c r="M4618" s="11"/>
      <c r="N4618" s="39"/>
      <c r="Q4618" s="15" t="str">
        <f>+CONCATENATE(E4617,I4617)</f>
        <v/>
      </c>
      <c r="R4618" s="15">
        <f>+J4617</f>
        <v>0</v>
      </c>
      <c r="S4618" s="16"/>
      <c r="T4618" s="15">
        <f>+E4617</f>
        <v>0</v>
      </c>
      <c r="U4618" s="26" t="str">
        <f>IFERROR(LEFT(I4617,FIND("*",I4617)-1),"-")</f>
        <v>-</v>
      </c>
      <c r="V4618" s="26" t="str">
        <f>IFERROR(RIGHT(I4617,LEN(I4617)-FIND("*",I4617)),"-")</f>
        <v>-</v>
      </c>
      <c r="W4618" s="27" t="str">
        <f t="shared" si="2512"/>
        <v>-</v>
      </c>
      <c r="X4618" s="27" t="str">
        <f t="shared" ref="X4618" si="2517">IFERROR(W4618*J4617,"-")</f>
        <v>-</v>
      </c>
      <c r="Z4618" s="94" t="s">
        <v>82</v>
      </c>
    </row>
    <row r="4619" spans="1:26" s="25" customFormat="1" ht="6.95" customHeight="1" x14ac:dyDescent="0.3">
      <c r="A4619" s="10"/>
      <c r="B4619" s="168"/>
      <c r="C4619" s="169"/>
      <c r="D4619" s="160"/>
      <c r="E4619" s="161"/>
      <c r="F4619" s="162"/>
      <c r="G4619" s="163"/>
      <c r="H4619" s="164"/>
      <c r="I4619" s="163"/>
      <c r="J4619" s="164"/>
      <c r="K4619" s="163"/>
      <c r="L4619" s="164"/>
      <c r="M4619" s="11"/>
      <c r="N4619" s="39"/>
      <c r="Q4619" s="15" t="str">
        <f>+CONCATENATE(E4617,K4617)</f>
        <v/>
      </c>
      <c r="R4619" s="15">
        <f>+L4617</f>
        <v>0</v>
      </c>
      <c r="S4619" s="16"/>
      <c r="T4619" s="15">
        <f>+E4617</f>
        <v>0</v>
      </c>
      <c r="U4619" s="26" t="str">
        <f>IFERROR(LEFT(K4617,FIND("*",K4617)-1),"-")</f>
        <v>-</v>
      </c>
      <c r="V4619" s="26" t="str">
        <f>IFERROR(RIGHT(K4617,LEN(K4617)-FIND("*",K4617)),"-")</f>
        <v>-</v>
      </c>
      <c r="W4619" s="27" t="str">
        <f t="shared" si="2512"/>
        <v>-</v>
      </c>
      <c r="X4619" s="27" t="str">
        <f>IFERROR(W4619*L4617,"-")</f>
        <v>-</v>
      </c>
      <c r="Z4619" s="94" t="s">
        <v>82</v>
      </c>
    </row>
    <row r="4620" spans="1:26" s="25" customFormat="1" ht="21" customHeight="1" thickBot="1" x14ac:dyDescent="0.35">
      <c r="A4620" s="10"/>
      <c r="B4620" s="170"/>
      <c r="C4620" s="171"/>
      <c r="D4620" s="172" t="s">
        <v>43</v>
      </c>
      <c r="E4620" s="173"/>
      <c r="F4620" s="173"/>
      <c r="G4620" s="174"/>
      <c r="H4620" s="174"/>
      <c r="I4620" s="174"/>
      <c r="J4620" s="174"/>
      <c r="K4620" s="174"/>
      <c r="L4620" s="174"/>
      <c r="M4620" s="12"/>
      <c r="N4620" s="39"/>
      <c r="U4620" s="23"/>
      <c r="V4620" s="23"/>
      <c r="Z4620" s="95" t="s">
        <v>81</v>
      </c>
    </row>
    <row r="4621" spans="1:26" s="25" customFormat="1" ht="9.9499999999999993" customHeight="1" thickBot="1" x14ac:dyDescent="0.35">
      <c r="A4621" s="6"/>
      <c r="B4621" s="14"/>
      <c r="C4621" s="119"/>
      <c r="D4621" s="58"/>
      <c r="E4621" s="17"/>
      <c r="F4621" s="58"/>
      <c r="G4621" s="19"/>
      <c r="H4621" s="19"/>
      <c r="I4621" s="19"/>
      <c r="J4621" s="19"/>
      <c r="K4621" s="19"/>
      <c r="L4621" s="19"/>
      <c r="M4621" s="14"/>
      <c r="N4621" s="39"/>
      <c r="Q4621" s="1"/>
      <c r="R4621" s="1"/>
      <c r="S4621" s="1"/>
      <c r="T4621" s="1"/>
      <c r="U4621" s="24"/>
      <c r="V4621" s="24"/>
      <c r="W4621" s="1"/>
      <c r="X4621" s="1"/>
      <c r="Z4621" s="94" t="s">
        <v>82</v>
      </c>
    </row>
    <row r="4622" spans="1:26" s="25" customFormat="1" ht="6.95" customHeight="1" x14ac:dyDescent="0.3">
      <c r="A4622" s="165">
        <f>+A4611+1</f>
        <v>421</v>
      </c>
      <c r="B4622" s="166"/>
      <c r="C4622" s="167"/>
      <c r="D4622" s="160" t="s">
        <v>39</v>
      </c>
      <c r="E4622" s="161"/>
      <c r="F4622" s="162" t="s">
        <v>40</v>
      </c>
      <c r="G4622" s="163"/>
      <c r="H4622" s="164"/>
      <c r="I4622" s="163"/>
      <c r="J4622" s="164"/>
      <c r="K4622" s="163"/>
      <c r="L4622" s="164"/>
      <c r="M4622" s="11"/>
      <c r="N4622" s="39"/>
      <c r="Q4622" s="15" t="str">
        <f>+CONCATENATE(E4622,G4622)</f>
        <v/>
      </c>
      <c r="R4622" s="15">
        <f>+H4622</f>
        <v>0</v>
      </c>
      <c r="S4622" s="16"/>
      <c r="T4622" s="15">
        <f>+E4622</f>
        <v>0</v>
      </c>
      <c r="U4622" s="26" t="str">
        <f>IFERROR(LEFT(G4622,FIND("*",G4622)-1),"-")</f>
        <v>-</v>
      </c>
      <c r="V4622" s="26" t="str">
        <f>IFERROR(RIGHT(G4622,LEN(G4622)-FIND("*",G4622)),"-")</f>
        <v>-</v>
      </c>
      <c r="W4622" s="27" t="str">
        <f>IFERROR((U4622+V4622)*2/1000,"-")</f>
        <v>-</v>
      </c>
      <c r="X4622" s="27" t="str">
        <f>IFERROR(W4622*H4622,"-")</f>
        <v>-</v>
      </c>
      <c r="Z4622" s="94" t="s">
        <v>82</v>
      </c>
    </row>
    <row r="4623" spans="1:26" s="25" customFormat="1" ht="6.95" customHeight="1" x14ac:dyDescent="0.3">
      <c r="A4623" s="165"/>
      <c r="B4623" s="168"/>
      <c r="C4623" s="169"/>
      <c r="D4623" s="160"/>
      <c r="E4623" s="161"/>
      <c r="F4623" s="162"/>
      <c r="G4623" s="163"/>
      <c r="H4623" s="164"/>
      <c r="I4623" s="163"/>
      <c r="J4623" s="164"/>
      <c r="K4623" s="163"/>
      <c r="L4623" s="164"/>
      <c r="M4623" s="11"/>
      <c r="N4623" s="39"/>
      <c r="Q4623" s="15" t="str">
        <f>+CONCATENATE(E4622,I4622)</f>
        <v/>
      </c>
      <c r="R4623" s="15">
        <f>+J4622</f>
        <v>0</v>
      </c>
      <c r="S4623" s="16"/>
      <c r="T4623" s="15">
        <f>+E4622</f>
        <v>0</v>
      </c>
      <c r="U4623" s="26" t="str">
        <f>IFERROR(LEFT(I4622,FIND("*",I4622)-1),"-")</f>
        <v>-</v>
      </c>
      <c r="V4623" s="26" t="str">
        <f>IFERROR(RIGHT(I4622,LEN(I4622)-FIND("*",I4622)),"-")</f>
        <v>-</v>
      </c>
      <c r="W4623" s="27" t="str">
        <f t="shared" ref="W4623:W4630" si="2518">IFERROR((U4623+V4623)*2/1000,"-")</f>
        <v>-</v>
      </c>
      <c r="X4623" s="27" t="str">
        <f>IFERROR(W4623*J4622,"-")</f>
        <v>-</v>
      </c>
      <c r="Z4623" s="94" t="s">
        <v>82</v>
      </c>
    </row>
    <row r="4624" spans="1:26" s="25" customFormat="1" ht="6.95" customHeight="1" x14ac:dyDescent="0.3">
      <c r="A4624" s="165"/>
      <c r="B4624" s="168"/>
      <c r="C4624" s="169"/>
      <c r="D4624" s="160"/>
      <c r="E4624" s="161"/>
      <c r="F4624" s="162"/>
      <c r="G4624" s="163"/>
      <c r="H4624" s="164"/>
      <c r="I4624" s="163"/>
      <c r="J4624" s="164"/>
      <c r="K4624" s="163"/>
      <c r="L4624" s="164"/>
      <c r="M4624" s="11"/>
      <c r="N4624" s="39"/>
      <c r="Q4624" s="15" t="str">
        <f>+CONCATENATE(E4622,K4622)</f>
        <v/>
      </c>
      <c r="R4624" s="15">
        <f>+L4622</f>
        <v>0</v>
      </c>
      <c r="S4624" s="16"/>
      <c r="T4624" s="15">
        <f>+E4622</f>
        <v>0</v>
      </c>
      <c r="U4624" s="26" t="str">
        <f>IFERROR(LEFT(K4622,FIND("*",K4622)-1),"-")</f>
        <v>-</v>
      </c>
      <c r="V4624" s="26" t="str">
        <f>IFERROR(RIGHT(K4622,LEN(K4622)-FIND("*",K4622)),"-")</f>
        <v>-</v>
      </c>
      <c r="W4624" s="27" t="str">
        <f t="shared" si="2518"/>
        <v>-</v>
      </c>
      <c r="X4624" s="27" t="str">
        <f>IFERROR(W4624*L4622,"-")</f>
        <v>-</v>
      </c>
      <c r="Z4624" s="94" t="s">
        <v>82</v>
      </c>
    </row>
    <row r="4625" spans="1:26" s="25" customFormat="1" ht="6.95" customHeight="1" x14ac:dyDescent="0.3">
      <c r="A4625" s="13"/>
      <c r="B4625" s="168"/>
      <c r="C4625" s="169"/>
      <c r="D4625" s="160" t="s">
        <v>39</v>
      </c>
      <c r="E4625" s="161"/>
      <c r="F4625" s="162" t="s">
        <v>40</v>
      </c>
      <c r="G4625" s="163"/>
      <c r="H4625" s="164"/>
      <c r="I4625" s="163"/>
      <c r="J4625" s="164"/>
      <c r="K4625" s="163"/>
      <c r="L4625" s="164"/>
      <c r="M4625" s="11"/>
      <c r="N4625" s="39"/>
      <c r="Q4625" s="15" t="str">
        <f>+CONCATENATE(E4625,G4625)</f>
        <v/>
      </c>
      <c r="R4625" s="15">
        <f>+H4625</f>
        <v>0</v>
      </c>
      <c r="S4625" s="16"/>
      <c r="T4625" s="15">
        <f>+E4625</f>
        <v>0</v>
      </c>
      <c r="U4625" s="26" t="str">
        <f t="shared" ref="U4625" si="2519">IFERROR(LEFT(G4625,FIND("*",G4625)-1),"-")</f>
        <v>-</v>
      </c>
      <c r="V4625" s="26" t="str">
        <f t="shared" ref="V4625" si="2520">IFERROR(RIGHT(G4625,LEN(G4625)-FIND("*",G4625)),"-")</f>
        <v>-</v>
      </c>
      <c r="W4625" s="27" t="str">
        <f t="shared" si="2518"/>
        <v>-</v>
      </c>
      <c r="X4625" s="27" t="str">
        <f>IFERROR(W4625*H4625,"-")</f>
        <v>-</v>
      </c>
      <c r="Z4625" s="94" t="s">
        <v>82</v>
      </c>
    </row>
    <row r="4626" spans="1:26" s="25" customFormat="1" ht="6.95" customHeight="1" x14ac:dyDescent="0.3">
      <c r="A4626" s="10"/>
      <c r="B4626" s="168"/>
      <c r="C4626" s="169"/>
      <c r="D4626" s="160"/>
      <c r="E4626" s="161"/>
      <c r="F4626" s="162"/>
      <c r="G4626" s="163"/>
      <c r="H4626" s="164"/>
      <c r="I4626" s="163"/>
      <c r="J4626" s="164"/>
      <c r="K4626" s="163"/>
      <c r="L4626" s="164"/>
      <c r="M4626" s="11"/>
      <c r="N4626" s="39"/>
      <c r="Q4626" s="15" t="str">
        <f>+CONCATENATE(E4625,I4625)</f>
        <v/>
      </c>
      <c r="R4626" s="15">
        <f>+J4625</f>
        <v>0</v>
      </c>
      <c r="S4626" s="16"/>
      <c r="T4626" s="15">
        <f>+E4625</f>
        <v>0</v>
      </c>
      <c r="U4626" s="26" t="str">
        <f>IFERROR(LEFT(I4625,FIND("*",I4625)-1),"-")</f>
        <v>-</v>
      </c>
      <c r="V4626" s="26" t="str">
        <f>IFERROR(RIGHT(I4625,LEN(I4625)-FIND("*",I4625)),"-")</f>
        <v>-</v>
      </c>
      <c r="W4626" s="27" t="str">
        <f t="shared" si="2518"/>
        <v>-</v>
      </c>
      <c r="X4626" s="27" t="str">
        <f>IFERROR(W4626*J4625,"-")</f>
        <v>-</v>
      </c>
      <c r="Z4626" s="94" t="s">
        <v>82</v>
      </c>
    </row>
    <row r="4627" spans="1:26" s="25" customFormat="1" ht="6.95" customHeight="1" x14ac:dyDescent="0.3">
      <c r="A4627" s="10"/>
      <c r="B4627" s="168"/>
      <c r="C4627" s="169"/>
      <c r="D4627" s="160"/>
      <c r="E4627" s="161"/>
      <c r="F4627" s="162"/>
      <c r="G4627" s="163"/>
      <c r="H4627" s="164"/>
      <c r="I4627" s="163"/>
      <c r="J4627" s="164"/>
      <c r="K4627" s="163"/>
      <c r="L4627" s="164"/>
      <c r="M4627" s="11"/>
      <c r="N4627" s="39"/>
      <c r="Q4627" s="15" t="str">
        <f>+CONCATENATE(E4625,K4625)</f>
        <v/>
      </c>
      <c r="R4627" s="15">
        <f>+L4625</f>
        <v>0</v>
      </c>
      <c r="S4627" s="16"/>
      <c r="T4627" s="15">
        <f>+E4625</f>
        <v>0</v>
      </c>
      <c r="U4627" s="26" t="str">
        <f>IFERROR(LEFT(K4625,FIND("*",K4625)-1),"-")</f>
        <v>-</v>
      </c>
      <c r="V4627" s="26" t="str">
        <f>IFERROR(RIGHT(K4625,LEN(K4625)-FIND("*",K4625)),"-")</f>
        <v>-</v>
      </c>
      <c r="W4627" s="27" t="str">
        <f t="shared" si="2518"/>
        <v>-</v>
      </c>
      <c r="X4627" s="27" t="str">
        <f>IFERROR(W4627*L4625,"-")</f>
        <v>-</v>
      </c>
      <c r="Z4627" s="94" t="s">
        <v>82</v>
      </c>
    </row>
    <row r="4628" spans="1:26" s="25" customFormat="1" ht="6.95" customHeight="1" x14ac:dyDescent="0.3">
      <c r="A4628" s="13"/>
      <c r="B4628" s="168"/>
      <c r="C4628" s="169"/>
      <c r="D4628" s="160" t="s">
        <v>39</v>
      </c>
      <c r="E4628" s="161"/>
      <c r="F4628" s="162" t="s">
        <v>40</v>
      </c>
      <c r="G4628" s="163"/>
      <c r="H4628" s="164"/>
      <c r="I4628" s="163"/>
      <c r="J4628" s="164"/>
      <c r="K4628" s="163"/>
      <c r="L4628" s="164"/>
      <c r="M4628" s="11"/>
      <c r="N4628" s="39"/>
      <c r="Q4628" s="15" t="str">
        <f>+CONCATENATE(E4628,G4628)</f>
        <v/>
      </c>
      <c r="R4628" s="15">
        <f>+H4628</f>
        <v>0</v>
      </c>
      <c r="S4628" s="16"/>
      <c r="T4628" s="15">
        <f>+E4628</f>
        <v>0</v>
      </c>
      <c r="U4628" s="26" t="str">
        <f t="shared" ref="U4628" si="2521">IFERROR(LEFT(G4628,FIND("*",G4628)-1),"-")</f>
        <v>-</v>
      </c>
      <c r="V4628" s="26" t="str">
        <f t="shared" ref="V4628" si="2522">IFERROR(RIGHT(G4628,LEN(G4628)-FIND("*",G4628)),"-")</f>
        <v>-</v>
      </c>
      <c r="W4628" s="27" t="str">
        <f t="shared" si="2518"/>
        <v>-</v>
      </c>
      <c r="X4628" s="27" t="str">
        <f>IFERROR(W4628*H4628,"-")</f>
        <v>-</v>
      </c>
      <c r="Z4628" s="94" t="s">
        <v>82</v>
      </c>
    </row>
    <row r="4629" spans="1:26" s="25" customFormat="1" ht="6.95" customHeight="1" x14ac:dyDescent="0.3">
      <c r="A4629" s="10"/>
      <c r="B4629" s="168"/>
      <c r="C4629" s="169"/>
      <c r="D4629" s="160"/>
      <c r="E4629" s="161"/>
      <c r="F4629" s="162"/>
      <c r="G4629" s="163"/>
      <c r="H4629" s="164"/>
      <c r="I4629" s="163"/>
      <c r="J4629" s="164"/>
      <c r="K4629" s="163"/>
      <c r="L4629" s="164"/>
      <c r="M4629" s="11"/>
      <c r="N4629" s="39"/>
      <c r="Q4629" s="15" t="str">
        <f>+CONCATENATE(E4628,I4628)</f>
        <v/>
      </c>
      <c r="R4629" s="15">
        <f>+J4628</f>
        <v>0</v>
      </c>
      <c r="S4629" s="16"/>
      <c r="T4629" s="15">
        <f>+E4628</f>
        <v>0</v>
      </c>
      <c r="U4629" s="26" t="str">
        <f>IFERROR(LEFT(I4628,FIND("*",I4628)-1),"-")</f>
        <v>-</v>
      </c>
      <c r="V4629" s="26" t="str">
        <f>IFERROR(RIGHT(I4628,LEN(I4628)-FIND("*",I4628)),"-")</f>
        <v>-</v>
      </c>
      <c r="W4629" s="27" t="str">
        <f t="shared" si="2518"/>
        <v>-</v>
      </c>
      <c r="X4629" s="27" t="str">
        <f t="shared" ref="X4629" si="2523">IFERROR(W4629*J4628,"-")</f>
        <v>-</v>
      </c>
      <c r="Z4629" s="94" t="s">
        <v>82</v>
      </c>
    </row>
    <row r="4630" spans="1:26" s="25" customFormat="1" ht="6.95" customHeight="1" x14ac:dyDescent="0.3">
      <c r="A4630" s="10"/>
      <c r="B4630" s="168"/>
      <c r="C4630" s="169"/>
      <c r="D4630" s="160"/>
      <c r="E4630" s="161"/>
      <c r="F4630" s="162"/>
      <c r="G4630" s="163"/>
      <c r="H4630" s="164"/>
      <c r="I4630" s="163"/>
      <c r="J4630" s="164"/>
      <c r="K4630" s="163"/>
      <c r="L4630" s="164"/>
      <c r="M4630" s="11"/>
      <c r="N4630" s="39"/>
      <c r="Q4630" s="15" t="str">
        <f>+CONCATENATE(E4628,K4628)</f>
        <v/>
      </c>
      <c r="R4630" s="15">
        <f>+L4628</f>
        <v>0</v>
      </c>
      <c r="S4630" s="16"/>
      <c r="T4630" s="15">
        <f>+E4628</f>
        <v>0</v>
      </c>
      <c r="U4630" s="26" t="str">
        <f>IFERROR(LEFT(K4628,FIND("*",K4628)-1),"-")</f>
        <v>-</v>
      </c>
      <c r="V4630" s="26" t="str">
        <f>IFERROR(RIGHT(K4628,LEN(K4628)-FIND("*",K4628)),"-")</f>
        <v>-</v>
      </c>
      <c r="W4630" s="27" t="str">
        <f t="shared" si="2518"/>
        <v>-</v>
      </c>
      <c r="X4630" s="27" t="str">
        <f>IFERROR(W4630*L4628,"-")</f>
        <v>-</v>
      </c>
      <c r="Z4630" s="94" t="s">
        <v>82</v>
      </c>
    </row>
    <row r="4631" spans="1:26" s="25" customFormat="1" ht="21" customHeight="1" thickBot="1" x14ac:dyDescent="0.35">
      <c r="A4631" s="10"/>
      <c r="B4631" s="170"/>
      <c r="C4631" s="171"/>
      <c r="D4631" s="172" t="s">
        <v>43</v>
      </c>
      <c r="E4631" s="173"/>
      <c r="F4631" s="173"/>
      <c r="G4631" s="174"/>
      <c r="H4631" s="174"/>
      <c r="I4631" s="174"/>
      <c r="J4631" s="174"/>
      <c r="K4631" s="174"/>
      <c r="L4631" s="174"/>
      <c r="M4631" s="12"/>
      <c r="N4631" s="39"/>
      <c r="U4631" s="23"/>
      <c r="V4631" s="23"/>
      <c r="Z4631" s="95" t="s">
        <v>81</v>
      </c>
    </row>
    <row r="4632" spans="1:26" s="25" customFormat="1" ht="9.9499999999999993" customHeight="1" thickBot="1" x14ac:dyDescent="0.35">
      <c r="A4632" s="6"/>
      <c r="B4632" s="14"/>
      <c r="C4632" s="119"/>
      <c r="D4632" s="58"/>
      <c r="E4632" s="17"/>
      <c r="F4632" s="58"/>
      <c r="G4632" s="19"/>
      <c r="H4632" s="19"/>
      <c r="I4632" s="19"/>
      <c r="J4632" s="19"/>
      <c r="K4632" s="19"/>
      <c r="L4632" s="19"/>
      <c r="M4632" s="14"/>
      <c r="N4632" s="39"/>
      <c r="Q4632" s="1"/>
      <c r="R4632" s="1"/>
      <c r="S4632" s="1"/>
      <c r="T4632" s="1"/>
      <c r="U4632" s="24"/>
      <c r="V4632" s="24"/>
      <c r="W4632" s="1"/>
      <c r="X4632" s="1"/>
      <c r="Z4632" s="94" t="s">
        <v>82</v>
      </c>
    </row>
    <row r="4633" spans="1:26" s="25" customFormat="1" ht="6.95" customHeight="1" x14ac:dyDescent="0.3">
      <c r="A4633" s="165">
        <f>+A4622+1</f>
        <v>422</v>
      </c>
      <c r="B4633" s="166"/>
      <c r="C4633" s="167"/>
      <c r="D4633" s="160" t="s">
        <v>39</v>
      </c>
      <c r="E4633" s="161"/>
      <c r="F4633" s="162" t="s">
        <v>40</v>
      </c>
      <c r="G4633" s="163"/>
      <c r="H4633" s="164"/>
      <c r="I4633" s="163"/>
      <c r="J4633" s="164"/>
      <c r="K4633" s="163"/>
      <c r="L4633" s="164"/>
      <c r="M4633" s="11"/>
      <c r="N4633" s="39"/>
      <c r="Q4633" s="15" t="str">
        <f>+CONCATENATE(E4633,G4633)</f>
        <v/>
      </c>
      <c r="R4633" s="15">
        <f>+H4633</f>
        <v>0</v>
      </c>
      <c r="S4633" s="16"/>
      <c r="T4633" s="15">
        <f>+E4633</f>
        <v>0</v>
      </c>
      <c r="U4633" s="26" t="str">
        <f>IFERROR(LEFT(G4633,FIND("*",G4633)-1),"-")</f>
        <v>-</v>
      </c>
      <c r="V4633" s="26" t="str">
        <f>IFERROR(RIGHT(G4633,LEN(G4633)-FIND("*",G4633)),"-")</f>
        <v>-</v>
      </c>
      <c r="W4633" s="27" t="str">
        <f>IFERROR((U4633+V4633)*2/1000,"-")</f>
        <v>-</v>
      </c>
      <c r="X4633" s="27" t="str">
        <f>IFERROR(W4633*H4633,"-")</f>
        <v>-</v>
      </c>
      <c r="Z4633" s="94" t="s">
        <v>82</v>
      </c>
    </row>
    <row r="4634" spans="1:26" s="25" customFormat="1" ht="6.95" customHeight="1" x14ac:dyDescent="0.3">
      <c r="A4634" s="165"/>
      <c r="B4634" s="168"/>
      <c r="C4634" s="169"/>
      <c r="D4634" s="160"/>
      <c r="E4634" s="161"/>
      <c r="F4634" s="162"/>
      <c r="G4634" s="163"/>
      <c r="H4634" s="164"/>
      <c r="I4634" s="163"/>
      <c r="J4634" s="164"/>
      <c r="K4634" s="163"/>
      <c r="L4634" s="164"/>
      <c r="M4634" s="11"/>
      <c r="N4634" s="39"/>
      <c r="Q4634" s="15" t="str">
        <f>+CONCATENATE(E4633,I4633)</f>
        <v/>
      </c>
      <c r="R4634" s="15">
        <f>+J4633</f>
        <v>0</v>
      </c>
      <c r="S4634" s="16"/>
      <c r="T4634" s="15">
        <f>+E4633</f>
        <v>0</v>
      </c>
      <c r="U4634" s="26" t="str">
        <f>IFERROR(LEFT(I4633,FIND("*",I4633)-1),"-")</f>
        <v>-</v>
      </c>
      <c r="V4634" s="26" t="str">
        <f>IFERROR(RIGHT(I4633,LEN(I4633)-FIND("*",I4633)),"-")</f>
        <v>-</v>
      </c>
      <c r="W4634" s="27" t="str">
        <f t="shared" ref="W4634:W4641" si="2524">IFERROR((U4634+V4634)*2/1000,"-")</f>
        <v>-</v>
      </c>
      <c r="X4634" s="27" t="str">
        <f>IFERROR(W4634*J4633,"-")</f>
        <v>-</v>
      </c>
      <c r="Z4634" s="94" t="s">
        <v>82</v>
      </c>
    </row>
    <row r="4635" spans="1:26" s="25" customFormat="1" ht="6.95" customHeight="1" x14ac:dyDescent="0.3">
      <c r="A4635" s="165"/>
      <c r="B4635" s="168"/>
      <c r="C4635" s="169"/>
      <c r="D4635" s="160"/>
      <c r="E4635" s="161"/>
      <c r="F4635" s="162"/>
      <c r="G4635" s="163"/>
      <c r="H4635" s="164"/>
      <c r="I4635" s="163"/>
      <c r="J4635" s="164"/>
      <c r="K4635" s="163"/>
      <c r="L4635" s="164"/>
      <c r="M4635" s="11"/>
      <c r="N4635" s="39"/>
      <c r="Q4635" s="15" t="str">
        <f>+CONCATENATE(E4633,K4633)</f>
        <v/>
      </c>
      <c r="R4635" s="15">
        <f>+L4633</f>
        <v>0</v>
      </c>
      <c r="S4635" s="16"/>
      <c r="T4635" s="15">
        <f>+E4633</f>
        <v>0</v>
      </c>
      <c r="U4635" s="26" t="str">
        <f>IFERROR(LEFT(K4633,FIND("*",K4633)-1),"-")</f>
        <v>-</v>
      </c>
      <c r="V4635" s="26" t="str">
        <f>IFERROR(RIGHT(K4633,LEN(K4633)-FIND("*",K4633)),"-")</f>
        <v>-</v>
      </c>
      <c r="W4635" s="27" t="str">
        <f t="shared" si="2524"/>
        <v>-</v>
      </c>
      <c r="X4635" s="27" t="str">
        <f>IFERROR(W4635*L4633,"-")</f>
        <v>-</v>
      </c>
      <c r="Z4635" s="94" t="s">
        <v>82</v>
      </c>
    </row>
    <row r="4636" spans="1:26" s="25" customFormat="1" ht="6.95" customHeight="1" x14ac:dyDescent="0.3">
      <c r="A4636" s="13"/>
      <c r="B4636" s="168"/>
      <c r="C4636" s="169"/>
      <c r="D4636" s="160" t="s">
        <v>39</v>
      </c>
      <c r="E4636" s="161"/>
      <c r="F4636" s="162" t="s">
        <v>40</v>
      </c>
      <c r="G4636" s="163"/>
      <c r="H4636" s="164"/>
      <c r="I4636" s="163"/>
      <c r="J4636" s="164"/>
      <c r="K4636" s="163"/>
      <c r="L4636" s="164"/>
      <c r="M4636" s="11"/>
      <c r="N4636" s="39"/>
      <c r="Q4636" s="15" t="str">
        <f>+CONCATENATE(E4636,G4636)</f>
        <v/>
      </c>
      <c r="R4636" s="15">
        <f>+H4636</f>
        <v>0</v>
      </c>
      <c r="S4636" s="16"/>
      <c r="T4636" s="15">
        <f>+E4636</f>
        <v>0</v>
      </c>
      <c r="U4636" s="26" t="str">
        <f t="shared" ref="U4636" si="2525">IFERROR(LEFT(G4636,FIND("*",G4636)-1),"-")</f>
        <v>-</v>
      </c>
      <c r="V4636" s="26" t="str">
        <f t="shared" ref="V4636" si="2526">IFERROR(RIGHT(G4636,LEN(G4636)-FIND("*",G4636)),"-")</f>
        <v>-</v>
      </c>
      <c r="W4636" s="27" t="str">
        <f t="shared" si="2524"/>
        <v>-</v>
      </c>
      <c r="X4636" s="27" t="str">
        <f>IFERROR(W4636*H4636,"-")</f>
        <v>-</v>
      </c>
      <c r="Z4636" s="94" t="s">
        <v>82</v>
      </c>
    </row>
    <row r="4637" spans="1:26" s="25" customFormat="1" ht="6.95" customHeight="1" x14ac:dyDescent="0.3">
      <c r="A4637" s="10"/>
      <c r="B4637" s="168"/>
      <c r="C4637" s="169"/>
      <c r="D4637" s="160"/>
      <c r="E4637" s="161"/>
      <c r="F4637" s="162"/>
      <c r="G4637" s="163"/>
      <c r="H4637" s="164"/>
      <c r="I4637" s="163"/>
      <c r="J4637" s="164"/>
      <c r="K4637" s="163"/>
      <c r="L4637" s="164"/>
      <c r="M4637" s="11"/>
      <c r="N4637" s="39"/>
      <c r="Q4637" s="15" t="str">
        <f>+CONCATENATE(E4636,I4636)</f>
        <v/>
      </c>
      <c r="R4637" s="15">
        <f>+J4636</f>
        <v>0</v>
      </c>
      <c r="S4637" s="16"/>
      <c r="T4637" s="15">
        <f>+E4636</f>
        <v>0</v>
      </c>
      <c r="U4637" s="26" t="str">
        <f>IFERROR(LEFT(I4636,FIND("*",I4636)-1),"-")</f>
        <v>-</v>
      </c>
      <c r="V4637" s="26" t="str">
        <f>IFERROR(RIGHT(I4636,LEN(I4636)-FIND("*",I4636)),"-")</f>
        <v>-</v>
      </c>
      <c r="W4637" s="27" t="str">
        <f t="shared" si="2524"/>
        <v>-</v>
      </c>
      <c r="X4637" s="27" t="str">
        <f>IFERROR(W4637*J4636,"-")</f>
        <v>-</v>
      </c>
      <c r="Z4637" s="94" t="s">
        <v>82</v>
      </c>
    </row>
    <row r="4638" spans="1:26" s="25" customFormat="1" ht="6.95" customHeight="1" x14ac:dyDescent="0.3">
      <c r="A4638" s="10"/>
      <c r="B4638" s="168"/>
      <c r="C4638" s="169"/>
      <c r="D4638" s="160"/>
      <c r="E4638" s="161"/>
      <c r="F4638" s="162"/>
      <c r="G4638" s="163"/>
      <c r="H4638" s="164"/>
      <c r="I4638" s="163"/>
      <c r="J4638" s="164"/>
      <c r="K4638" s="163"/>
      <c r="L4638" s="164"/>
      <c r="M4638" s="11"/>
      <c r="N4638" s="39"/>
      <c r="Q4638" s="15" t="str">
        <f>+CONCATENATE(E4636,K4636)</f>
        <v/>
      </c>
      <c r="R4638" s="15">
        <f>+L4636</f>
        <v>0</v>
      </c>
      <c r="S4638" s="16"/>
      <c r="T4638" s="15">
        <f>+E4636</f>
        <v>0</v>
      </c>
      <c r="U4638" s="26" t="str">
        <f>IFERROR(LEFT(K4636,FIND("*",K4636)-1),"-")</f>
        <v>-</v>
      </c>
      <c r="V4638" s="26" t="str">
        <f>IFERROR(RIGHT(K4636,LEN(K4636)-FIND("*",K4636)),"-")</f>
        <v>-</v>
      </c>
      <c r="W4638" s="27" t="str">
        <f t="shared" si="2524"/>
        <v>-</v>
      </c>
      <c r="X4638" s="27" t="str">
        <f>IFERROR(W4638*L4636,"-")</f>
        <v>-</v>
      </c>
      <c r="Z4638" s="94" t="s">
        <v>82</v>
      </c>
    </row>
    <row r="4639" spans="1:26" s="25" customFormat="1" ht="6.95" customHeight="1" x14ac:dyDescent="0.3">
      <c r="A4639" s="13"/>
      <c r="B4639" s="168"/>
      <c r="C4639" s="169"/>
      <c r="D4639" s="160" t="s">
        <v>39</v>
      </c>
      <c r="E4639" s="161"/>
      <c r="F4639" s="162" t="s">
        <v>40</v>
      </c>
      <c r="G4639" s="163"/>
      <c r="H4639" s="164"/>
      <c r="I4639" s="163"/>
      <c r="J4639" s="164"/>
      <c r="K4639" s="163"/>
      <c r="L4639" s="164"/>
      <c r="M4639" s="11"/>
      <c r="N4639" s="39"/>
      <c r="Q4639" s="15" t="str">
        <f>+CONCATENATE(E4639,G4639)</f>
        <v/>
      </c>
      <c r="R4639" s="15">
        <f>+H4639</f>
        <v>0</v>
      </c>
      <c r="S4639" s="16"/>
      <c r="T4639" s="15">
        <f>+E4639</f>
        <v>0</v>
      </c>
      <c r="U4639" s="26" t="str">
        <f t="shared" ref="U4639" si="2527">IFERROR(LEFT(G4639,FIND("*",G4639)-1),"-")</f>
        <v>-</v>
      </c>
      <c r="V4639" s="26" t="str">
        <f t="shared" ref="V4639" si="2528">IFERROR(RIGHT(G4639,LEN(G4639)-FIND("*",G4639)),"-")</f>
        <v>-</v>
      </c>
      <c r="W4639" s="27" t="str">
        <f t="shared" si="2524"/>
        <v>-</v>
      </c>
      <c r="X4639" s="27" t="str">
        <f>IFERROR(W4639*H4639,"-")</f>
        <v>-</v>
      </c>
      <c r="Z4639" s="94" t="s">
        <v>82</v>
      </c>
    </row>
    <row r="4640" spans="1:26" s="25" customFormat="1" ht="6.95" customHeight="1" x14ac:dyDescent="0.3">
      <c r="A4640" s="10"/>
      <c r="B4640" s="168"/>
      <c r="C4640" s="169"/>
      <c r="D4640" s="160"/>
      <c r="E4640" s="161"/>
      <c r="F4640" s="162"/>
      <c r="G4640" s="163"/>
      <c r="H4640" s="164"/>
      <c r="I4640" s="163"/>
      <c r="J4640" s="164"/>
      <c r="K4640" s="163"/>
      <c r="L4640" s="164"/>
      <c r="M4640" s="11"/>
      <c r="N4640" s="39"/>
      <c r="Q4640" s="15" t="str">
        <f>+CONCATENATE(E4639,I4639)</f>
        <v/>
      </c>
      <c r="R4640" s="15">
        <f>+J4639</f>
        <v>0</v>
      </c>
      <c r="S4640" s="16"/>
      <c r="T4640" s="15">
        <f>+E4639</f>
        <v>0</v>
      </c>
      <c r="U4640" s="26" t="str">
        <f>IFERROR(LEFT(I4639,FIND("*",I4639)-1),"-")</f>
        <v>-</v>
      </c>
      <c r="V4640" s="26" t="str">
        <f>IFERROR(RIGHT(I4639,LEN(I4639)-FIND("*",I4639)),"-")</f>
        <v>-</v>
      </c>
      <c r="W4640" s="27" t="str">
        <f t="shared" si="2524"/>
        <v>-</v>
      </c>
      <c r="X4640" s="27" t="str">
        <f t="shared" ref="X4640" si="2529">IFERROR(W4640*J4639,"-")</f>
        <v>-</v>
      </c>
      <c r="Z4640" s="94" t="s">
        <v>82</v>
      </c>
    </row>
    <row r="4641" spans="1:26" s="25" customFormat="1" ht="6.95" customHeight="1" x14ac:dyDescent="0.3">
      <c r="A4641" s="10"/>
      <c r="B4641" s="168"/>
      <c r="C4641" s="169"/>
      <c r="D4641" s="160"/>
      <c r="E4641" s="161"/>
      <c r="F4641" s="162"/>
      <c r="G4641" s="163"/>
      <c r="H4641" s="164"/>
      <c r="I4641" s="163"/>
      <c r="J4641" s="164"/>
      <c r="K4641" s="163"/>
      <c r="L4641" s="164"/>
      <c r="M4641" s="11"/>
      <c r="N4641" s="39"/>
      <c r="Q4641" s="15" t="str">
        <f>+CONCATENATE(E4639,K4639)</f>
        <v/>
      </c>
      <c r="R4641" s="15">
        <f>+L4639</f>
        <v>0</v>
      </c>
      <c r="S4641" s="16"/>
      <c r="T4641" s="15">
        <f>+E4639</f>
        <v>0</v>
      </c>
      <c r="U4641" s="26" t="str">
        <f>IFERROR(LEFT(K4639,FIND("*",K4639)-1),"-")</f>
        <v>-</v>
      </c>
      <c r="V4641" s="26" t="str">
        <f>IFERROR(RIGHT(K4639,LEN(K4639)-FIND("*",K4639)),"-")</f>
        <v>-</v>
      </c>
      <c r="W4641" s="27" t="str">
        <f t="shared" si="2524"/>
        <v>-</v>
      </c>
      <c r="X4641" s="27" t="str">
        <f>IFERROR(W4641*L4639,"-")</f>
        <v>-</v>
      </c>
      <c r="Z4641" s="94" t="s">
        <v>82</v>
      </c>
    </row>
    <row r="4642" spans="1:26" s="25" customFormat="1" ht="21" customHeight="1" thickBot="1" x14ac:dyDescent="0.35">
      <c r="A4642" s="10"/>
      <c r="B4642" s="170"/>
      <c r="C4642" s="171"/>
      <c r="D4642" s="172" t="s">
        <v>43</v>
      </c>
      <c r="E4642" s="173"/>
      <c r="F4642" s="173"/>
      <c r="G4642" s="174"/>
      <c r="H4642" s="174"/>
      <c r="I4642" s="174"/>
      <c r="J4642" s="174"/>
      <c r="K4642" s="174"/>
      <c r="L4642" s="174"/>
      <c r="M4642" s="12"/>
      <c r="N4642" s="39"/>
      <c r="U4642" s="23"/>
      <c r="V4642" s="23"/>
      <c r="Z4642" s="95" t="s">
        <v>81</v>
      </c>
    </row>
    <row r="4643" spans="1:26" s="25" customFormat="1" ht="9.9499999999999993" customHeight="1" thickBot="1" x14ac:dyDescent="0.35">
      <c r="A4643" s="6"/>
      <c r="B4643" s="14"/>
      <c r="C4643" s="119"/>
      <c r="D4643" s="58"/>
      <c r="E4643" s="17"/>
      <c r="F4643" s="58"/>
      <c r="G4643" s="19"/>
      <c r="H4643" s="19"/>
      <c r="I4643" s="19"/>
      <c r="J4643" s="19"/>
      <c r="K4643" s="19"/>
      <c r="L4643" s="19"/>
      <c r="M4643" s="14"/>
      <c r="N4643" s="39"/>
      <c r="Q4643" s="1"/>
      <c r="R4643" s="1"/>
      <c r="S4643" s="1"/>
      <c r="T4643" s="1"/>
      <c r="U4643" s="24"/>
      <c r="V4643" s="24"/>
      <c r="W4643" s="1"/>
      <c r="X4643" s="1"/>
      <c r="Z4643" s="94" t="s">
        <v>82</v>
      </c>
    </row>
    <row r="4644" spans="1:26" s="25" customFormat="1" ht="6.95" customHeight="1" x14ac:dyDescent="0.3">
      <c r="A4644" s="165">
        <f>+A4633+1</f>
        <v>423</v>
      </c>
      <c r="B4644" s="166"/>
      <c r="C4644" s="167"/>
      <c r="D4644" s="160" t="s">
        <v>39</v>
      </c>
      <c r="E4644" s="161"/>
      <c r="F4644" s="162" t="s">
        <v>40</v>
      </c>
      <c r="G4644" s="163"/>
      <c r="H4644" s="164"/>
      <c r="I4644" s="163"/>
      <c r="J4644" s="164"/>
      <c r="K4644" s="163"/>
      <c r="L4644" s="164"/>
      <c r="M4644" s="11"/>
      <c r="N4644" s="39"/>
      <c r="Q4644" s="15" t="str">
        <f>+CONCATENATE(E4644,G4644)</f>
        <v/>
      </c>
      <c r="R4644" s="15">
        <f>+H4644</f>
        <v>0</v>
      </c>
      <c r="S4644" s="16"/>
      <c r="T4644" s="15">
        <f>+E4644</f>
        <v>0</v>
      </c>
      <c r="U4644" s="26" t="str">
        <f>IFERROR(LEFT(G4644,FIND("*",G4644)-1),"-")</f>
        <v>-</v>
      </c>
      <c r="V4644" s="26" t="str">
        <f>IFERROR(RIGHT(G4644,LEN(G4644)-FIND("*",G4644)),"-")</f>
        <v>-</v>
      </c>
      <c r="W4644" s="27" t="str">
        <f>IFERROR((U4644+V4644)*2/1000,"-")</f>
        <v>-</v>
      </c>
      <c r="X4644" s="27" t="str">
        <f>IFERROR(W4644*H4644,"-")</f>
        <v>-</v>
      </c>
      <c r="Z4644" s="94" t="s">
        <v>82</v>
      </c>
    </row>
    <row r="4645" spans="1:26" s="25" customFormat="1" ht="6.95" customHeight="1" x14ac:dyDescent="0.3">
      <c r="A4645" s="165"/>
      <c r="B4645" s="168"/>
      <c r="C4645" s="169"/>
      <c r="D4645" s="160"/>
      <c r="E4645" s="161"/>
      <c r="F4645" s="162"/>
      <c r="G4645" s="163"/>
      <c r="H4645" s="164"/>
      <c r="I4645" s="163"/>
      <c r="J4645" s="164"/>
      <c r="K4645" s="163"/>
      <c r="L4645" s="164"/>
      <c r="M4645" s="11"/>
      <c r="N4645" s="39"/>
      <c r="Q4645" s="15" t="str">
        <f>+CONCATENATE(E4644,I4644)</f>
        <v/>
      </c>
      <c r="R4645" s="15">
        <f>+J4644</f>
        <v>0</v>
      </c>
      <c r="S4645" s="16"/>
      <c r="T4645" s="15">
        <f>+E4644</f>
        <v>0</v>
      </c>
      <c r="U4645" s="26" t="str">
        <f>IFERROR(LEFT(I4644,FIND("*",I4644)-1),"-")</f>
        <v>-</v>
      </c>
      <c r="V4645" s="26" t="str">
        <f>IFERROR(RIGHT(I4644,LEN(I4644)-FIND("*",I4644)),"-")</f>
        <v>-</v>
      </c>
      <c r="W4645" s="27" t="str">
        <f t="shared" ref="W4645:W4652" si="2530">IFERROR((U4645+V4645)*2/1000,"-")</f>
        <v>-</v>
      </c>
      <c r="X4645" s="27" t="str">
        <f>IFERROR(W4645*J4644,"-")</f>
        <v>-</v>
      </c>
      <c r="Z4645" s="94" t="s">
        <v>82</v>
      </c>
    </row>
    <row r="4646" spans="1:26" s="25" customFormat="1" ht="6.95" customHeight="1" x14ac:dyDescent="0.3">
      <c r="A4646" s="165"/>
      <c r="B4646" s="168"/>
      <c r="C4646" s="169"/>
      <c r="D4646" s="160"/>
      <c r="E4646" s="161"/>
      <c r="F4646" s="162"/>
      <c r="G4646" s="163"/>
      <c r="H4646" s="164"/>
      <c r="I4646" s="163"/>
      <c r="J4646" s="164"/>
      <c r="K4646" s="163"/>
      <c r="L4646" s="164"/>
      <c r="M4646" s="11"/>
      <c r="N4646" s="39"/>
      <c r="Q4646" s="15" t="str">
        <f>+CONCATENATE(E4644,K4644)</f>
        <v/>
      </c>
      <c r="R4646" s="15">
        <f>+L4644</f>
        <v>0</v>
      </c>
      <c r="S4646" s="16"/>
      <c r="T4646" s="15">
        <f>+E4644</f>
        <v>0</v>
      </c>
      <c r="U4646" s="26" t="str">
        <f>IFERROR(LEFT(K4644,FIND("*",K4644)-1),"-")</f>
        <v>-</v>
      </c>
      <c r="V4646" s="26" t="str">
        <f>IFERROR(RIGHT(K4644,LEN(K4644)-FIND("*",K4644)),"-")</f>
        <v>-</v>
      </c>
      <c r="W4646" s="27" t="str">
        <f t="shared" si="2530"/>
        <v>-</v>
      </c>
      <c r="X4646" s="27" t="str">
        <f>IFERROR(W4646*L4644,"-")</f>
        <v>-</v>
      </c>
      <c r="Z4646" s="94" t="s">
        <v>82</v>
      </c>
    </row>
    <row r="4647" spans="1:26" s="25" customFormat="1" ht="6.95" customHeight="1" x14ac:dyDescent="0.3">
      <c r="A4647" s="13"/>
      <c r="B4647" s="168"/>
      <c r="C4647" s="169"/>
      <c r="D4647" s="160" t="s">
        <v>39</v>
      </c>
      <c r="E4647" s="161"/>
      <c r="F4647" s="162" t="s">
        <v>40</v>
      </c>
      <c r="G4647" s="163"/>
      <c r="H4647" s="164"/>
      <c r="I4647" s="163"/>
      <c r="J4647" s="164"/>
      <c r="K4647" s="163"/>
      <c r="L4647" s="164"/>
      <c r="M4647" s="11"/>
      <c r="N4647" s="39"/>
      <c r="Q4647" s="15" t="str">
        <f>+CONCATENATE(E4647,G4647)</f>
        <v/>
      </c>
      <c r="R4647" s="15">
        <f>+H4647</f>
        <v>0</v>
      </c>
      <c r="S4647" s="16"/>
      <c r="T4647" s="15">
        <f>+E4647</f>
        <v>0</v>
      </c>
      <c r="U4647" s="26" t="str">
        <f t="shared" ref="U4647" si="2531">IFERROR(LEFT(G4647,FIND("*",G4647)-1),"-")</f>
        <v>-</v>
      </c>
      <c r="V4647" s="26" t="str">
        <f t="shared" ref="V4647" si="2532">IFERROR(RIGHT(G4647,LEN(G4647)-FIND("*",G4647)),"-")</f>
        <v>-</v>
      </c>
      <c r="W4647" s="27" t="str">
        <f t="shared" si="2530"/>
        <v>-</v>
      </c>
      <c r="X4647" s="27" t="str">
        <f>IFERROR(W4647*H4647,"-")</f>
        <v>-</v>
      </c>
      <c r="Z4647" s="94" t="s">
        <v>82</v>
      </c>
    </row>
    <row r="4648" spans="1:26" s="25" customFormat="1" ht="6.95" customHeight="1" x14ac:dyDescent="0.3">
      <c r="A4648" s="10"/>
      <c r="B4648" s="168"/>
      <c r="C4648" s="169"/>
      <c r="D4648" s="160"/>
      <c r="E4648" s="161"/>
      <c r="F4648" s="162"/>
      <c r="G4648" s="163"/>
      <c r="H4648" s="164"/>
      <c r="I4648" s="163"/>
      <c r="J4648" s="164"/>
      <c r="K4648" s="163"/>
      <c r="L4648" s="164"/>
      <c r="M4648" s="11"/>
      <c r="N4648" s="39"/>
      <c r="Q4648" s="15" t="str">
        <f>+CONCATENATE(E4647,I4647)</f>
        <v/>
      </c>
      <c r="R4648" s="15">
        <f>+J4647</f>
        <v>0</v>
      </c>
      <c r="S4648" s="16"/>
      <c r="T4648" s="15">
        <f>+E4647</f>
        <v>0</v>
      </c>
      <c r="U4648" s="26" t="str">
        <f>IFERROR(LEFT(I4647,FIND("*",I4647)-1),"-")</f>
        <v>-</v>
      </c>
      <c r="V4648" s="26" t="str">
        <f>IFERROR(RIGHT(I4647,LEN(I4647)-FIND("*",I4647)),"-")</f>
        <v>-</v>
      </c>
      <c r="W4648" s="27" t="str">
        <f t="shared" si="2530"/>
        <v>-</v>
      </c>
      <c r="X4648" s="27" t="str">
        <f>IFERROR(W4648*J4647,"-")</f>
        <v>-</v>
      </c>
      <c r="Z4648" s="94" t="s">
        <v>82</v>
      </c>
    </row>
    <row r="4649" spans="1:26" s="25" customFormat="1" ht="6.95" customHeight="1" x14ac:dyDescent="0.3">
      <c r="A4649" s="10"/>
      <c r="B4649" s="168"/>
      <c r="C4649" s="169"/>
      <c r="D4649" s="160"/>
      <c r="E4649" s="161"/>
      <c r="F4649" s="162"/>
      <c r="G4649" s="163"/>
      <c r="H4649" s="164"/>
      <c r="I4649" s="163"/>
      <c r="J4649" s="164"/>
      <c r="K4649" s="163"/>
      <c r="L4649" s="164"/>
      <c r="M4649" s="11"/>
      <c r="N4649" s="39"/>
      <c r="Q4649" s="15" t="str">
        <f>+CONCATENATE(E4647,K4647)</f>
        <v/>
      </c>
      <c r="R4649" s="15">
        <f>+L4647</f>
        <v>0</v>
      </c>
      <c r="S4649" s="16"/>
      <c r="T4649" s="15">
        <f>+E4647</f>
        <v>0</v>
      </c>
      <c r="U4649" s="26" t="str">
        <f>IFERROR(LEFT(K4647,FIND("*",K4647)-1),"-")</f>
        <v>-</v>
      </c>
      <c r="V4649" s="26" t="str">
        <f>IFERROR(RIGHT(K4647,LEN(K4647)-FIND("*",K4647)),"-")</f>
        <v>-</v>
      </c>
      <c r="W4649" s="27" t="str">
        <f t="shared" si="2530"/>
        <v>-</v>
      </c>
      <c r="X4649" s="27" t="str">
        <f>IFERROR(W4649*L4647,"-")</f>
        <v>-</v>
      </c>
      <c r="Z4649" s="94" t="s">
        <v>82</v>
      </c>
    </row>
    <row r="4650" spans="1:26" s="25" customFormat="1" ht="6.95" customHeight="1" x14ac:dyDescent="0.3">
      <c r="A4650" s="13"/>
      <c r="B4650" s="168"/>
      <c r="C4650" s="169"/>
      <c r="D4650" s="160" t="s">
        <v>39</v>
      </c>
      <c r="E4650" s="161"/>
      <c r="F4650" s="162" t="s">
        <v>40</v>
      </c>
      <c r="G4650" s="163"/>
      <c r="H4650" s="164"/>
      <c r="I4650" s="163"/>
      <c r="J4650" s="164"/>
      <c r="K4650" s="163"/>
      <c r="L4650" s="164"/>
      <c r="M4650" s="11"/>
      <c r="N4650" s="39"/>
      <c r="Q4650" s="15" t="str">
        <f>+CONCATENATE(E4650,G4650)</f>
        <v/>
      </c>
      <c r="R4650" s="15">
        <f>+H4650</f>
        <v>0</v>
      </c>
      <c r="S4650" s="16"/>
      <c r="T4650" s="15">
        <f>+E4650</f>
        <v>0</v>
      </c>
      <c r="U4650" s="26" t="str">
        <f t="shared" ref="U4650" si="2533">IFERROR(LEFT(G4650,FIND("*",G4650)-1),"-")</f>
        <v>-</v>
      </c>
      <c r="V4650" s="26" t="str">
        <f t="shared" ref="V4650" si="2534">IFERROR(RIGHT(G4650,LEN(G4650)-FIND("*",G4650)),"-")</f>
        <v>-</v>
      </c>
      <c r="W4650" s="27" t="str">
        <f t="shared" si="2530"/>
        <v>-</v>
      </c>
      <c r="X4650" s="27" t="str">
        <f>IFERROR(W4650*H4650,"-")</f>
        <v>-</v>
      </c>
      <c r="Z4650" s="94" t="s">
        <v>82</v>
      </c>
    </row>
    <row r="4651" spans="1:26" s="25" customFormat="1" ht="6.95" customHeight="1" x14ac:dyDescent="0.3">
      <c r="A4651" s="10"/>
      <c r="B4651" s="168"/>
      <c r="C4651" s="169"/>
      <c r="D4651" s="160"/>
      <c r="E4651" s="161"/>
      <c r="F4651" s="162"/>
      <c r="G4651" s="163"/>
      <c r="H4651" s="164"/>
      <c r="I4651" s="163"/>
      <c r="J4651" s="164"/>
      <c r="K4651" s="163"/>
      <c r="L4651" s="164"/>
      <c r="M4651" s="11"/>
      <c r="N4651" s="39"/>
      <c r="Q4651" s="15" t="str">
        <f>+CONCATENATE(E4650,I4650)</f>
        <v/>
      </c>
      <c r="R4651" s="15">
        <f>+J4650</f>
        <v>0</v>
      </c>
      <c r="S4651" s="16"/>
      <c r="T4651" s="15">
        <f>+E4650</f>
        <v>0</v>
      </c>
      <c r="U4651" s="26" t="str">
        <f>IFERROR(LEFT(I4650,FIND("*",I4650)-1),"-")</f>
        <v>-</v>
      </c>
      <c r="V4651" s="26" t="str">
        <f>IFERROR(RIGHT(I4650,LEN(I4650)-FIND("*",I4650)),"-")</f>
        <v>-</v>
      </c>
      <c r="W4651" s="27" t="str">
        <f t="shared" si="2530"/>
        <v>-</v>
      </c>
      <c r="X4651" s="27" t="str">
        <f t="shared" ref="X4651" si="2535">IFERROR(W4651*J4650,"-")</f>
        <v>-</v>
      </c>
      <c r="Z4651" s="94" t="s">
        <v>82</v>
      </c>
    </row>
    <row r="4652" spans="1:26" s="25" customFormat="1" ht="6.95" customHeight="1" x14ac:dyDescent="0.3">
      <c r="A4652" s="10"/>
      <c r="B4652" s="168"/>
      <c r="C4652" s="169"/>
      <c r="D4652" s="160"/>
      <c r="E4652" s="161"/>
      <c r="F4652" s="162"/>
      <c r="G4652" s="163"/>
      <c r="H4652" s="164"/>
      <c r="I4652" s="163"/>
      <c r="J4652" s="164"/>
      <c r="K4652" s="163"/>
      <c r="L4652" s="164"/>
      <c r="M4652" s="11"/>
      <c r="N4652" s="39"/>
      <c r="Q4652" s="15" t="str">
        <f>+CONCATENATE(E4650,K4650)</f>
        <v/>
      </c>
      <c r="R4652" s="15">
        <f>+L4650</f>
        <v>0</v>
      </c>
      <c r="S4652" s="16"/>
      <c r="T4652" s="15">
        <f>+E4650</f>
        <v>0</v>
      </c>
      <c r="U4652" s="26" t="str">
        <f>IFERROR(LEFT(K4650,FIND("*",K4650)-1),"-")</f>
        <v>-</v>
      </c>
      <c r="V4652" s="26" t="str">
        <f>IFERROR(RIGHT(K4650,LEN(K4650)-FIND("*",K4650)),"-")</f>
        <v>-</v>
      </c>
      <c r="W4652" s="27" t="str">
        <f t="shared" si="2530"/>
        <v>-</v>
      </c>
      <c r="X4652" s="27" t="str">
        <f>IFERROR(W4652*L4650,"-")</f>
        <v>-</v>
      </c>
      <c r="Z4652" s="94" t="s">
        <v>82</v>
      </c>
    </row>
    <row r="4653" spans="1:26" s="25" customFormat="1" ht="21" customHeight="1" thickBot="1" x14ac:dyDescent="0.35">
      <c r="A4653" s="10"/>
      <c r="B4653" s="170"/>
      <c r="C4653" s="171"/>
      <c r="D4653" s="172" t="s">
        <v>43</v>
      </c>
      <c r="E4653" s="173"/>
      <c r="F4653" s="173"/>
      <c r="G4653" s="174"/>
      <c r="H4653" s="174"/>
      <c r="I4653" s="174"/>
      <c r="J4653" s="174"/>
      <c r="K4653" s="174"/>
      <c r="L4653" s="174"/>
      <c r="M4653" s="12"/>
      <c r="N4653" s="39"/>
      <c r="U4653" s="23"/>
      <c r="V4653" s="23"/>
      <c r="Z4653" s="95" t="s">
        <v>81</v>
      </c>
    </row>
    <row r="4654" spans="1:26" s="25" customFormat="1" ht="9.9499999999999993" customHeight="1" thickBot="1" x14ac:dyDescent="0.35">
      <c r="A4654" s="6"/>
      <c r="B4654" s="14"/>
      <c r="C4654" s="119"/>
      <c r="D4654" s="58"/>
      <c r="E4654" s="17"/>
      <c r="F4654" s="58"/>
      <c r="G4654" s="19"/>
      <c r="H4654" s="19"/>
      <c r="I4654" s="19"/>
      <c r="J4654" s="19"/>
      <c r="K4654" s="19"/>
      <c r="L4654" s="19"/>
      <c r="M4654" s="14"/>
      <c r="N4654" s="39"/>
      <c r="Q4654" s="1"/>
      <c r="R4654" s="1"/>
      <c r="S4654" s="1"/>
      <c r="T4654" s="1"/>
      <c r="U4654" s="24"/>
      <c r="V4654" s="24"/>
      <c r="W4654" s="1"/>
      <c r="X4654" s="1"/>
      <c r="Z4654" s="94" t="s">
        <v>82</v>
      </c>
    </row>
    <row r="4655" spans="1:26" s="25" customFormat="1" ht="6.95" customHeight="1" x14ac:dyDescent="0.3">
      <c r="A4655" s="165">
        <f>+A4644+1</f>
        <v>424</v>
      </c>
      <c r="B4655" s="166"/>
      <c r="C4655" s="167"/>
      <c r="D4655" s="160" t="s">
        <v>39</v>
      </c>
      <c r="E4655" s="161"/>
      <c r="F4655" s="162" t="s">
        <v>40</v>
      </c>
      <c r="G4655" s="163"/>
      <c r="H4655" s="164"/>
      <c r="I4655" s="163"/>
      <c r="J4655" s="164"/>
      <c r="K4655" s="163"/>
      <c r="L4655" s="164"/>
      <c r="M4655" s="11"/>
      <c r="N4655" s="39"/>
      <c r="Q4655" s="15" t="str">
        <f>+CONCATENATE(E4655,G4655)</f>
        <v/>
      </c>
      <c r="R4655" s="15">
        <f>+H4655</f>
        <v>0</v>
      </c>
      <c r="S4655" s="16"/>
      <c r="T4655" s="15">
        <f>+E4655</f>
        <v>0</v>
      </c>
      <c r="U4655" s="26" t="str">
        <f>IFERROR(LEFT(G4655,FIND("*",G4655)-1),"-")</f>
        <v>-</v>
      </c>
      <c r="V4655" s="26" t="str">
        <f>IFERROR(RIGHT(G4655,LEN(G4655)-FIND("*",G4655)),"-")</f>
        <v>-</v>
      </c>
      <c r="W4655" s="27" t="str">
        <f>IFERROR((U4655+V4655)*2/1000,"-")</f>
        <v>-</v>
      </c>
      <c r="X4655" s="27" t="str">
        <f>IFERROR(W4655*H4655,"-")</f>
        <v>-</v>
      </c>
      <c r="Z4655" s="94" t="s">
        <v>82</v>
      </c>
    </row>
    <row r="4656" spans="1:26" s="25" customFormat="1" ht="6.95" customHeight="1" x14ac:dyDescent="0.3">
      <c r="A4656" s="165"/>
      <c r="B4656" s="168"/>
      <c r="C4656" s="169"/>
      <c r="D4656" s="160"/>
      <c r="E4656" s="161"/>
      <c r="F4656" s="162"/>
      <c r="G4656" s="163"/>
      <c r="H4656" s="164"/>
      <c r="I4656" s="163"/>
      <c r="J4656" s="164"/>
      <c r="K4656" s="163"/>
      <c r="L4656" s="164"/>
      <c r="M4656" s="11"/>
      <c r="N4656" s="39"/>
      <c r="Q4656" s="15" t="str">
        <f>+CONCATENATE(E4655,I4655)</f>
        <v/>
      </c>
      <c r="R4656" s="15">
        <f>+J4655</f>
        <v>0</v>
      </c>
      <c r="S4656" s="16"/>
      <c r="T4656" s="15">
        <f>+E4655</f>
        <v>0</v>
      </c>
      <c r="U4656" s="26" t="str">
        <f>IFERROR(LEFT(I4655,FIND("*",I4655)-1),"-")</f>
        <v>-</v>
      </c>
      <c r="V4656" s="26" t="str">
        <f>IFERROR(RIGHT(I4655,LEN(I4655)-FIND("*",I4655)),"-")</f>
        <v>-</v>
      </c>
      <c r="W4656" s="27" t="str">
        <f t="shared" ref="W4656:W4663" si="2536">IFERROR((U4656+V4656)*2/1000,"-")</f>
        <v>-</v>
      </c>
      <c r="X4656" s="27" t="str">
        <f>IFERROR(W4656*J4655,"-")</f>
        <v>-</v>
      </c>
      <c r="Z4656" s="94" t="s">
        <v>82</v>
      </c>
    </row>
    <row r="4657" spans="1:26" s="25" customFormat="1" ht="6.95" customHeight="1" x14ac:dyDescent="0.3">
      <c r="A4657" s="165"/>
      <c r="B4657" s="168"/>
      <c r="C4657" s="169"/>
      <c r="D4657" s="160"/>
      <c r="E4657" s="161"/>
      <c r="F4657" s="162"/>
      <c r="G4657" s="163"/>
      <c r="H4657" s="164"/>
      <c r="I4657" s="163"/>
      <c r="J4657" s="164"/>
      <c r="K4657" s="163"/>
      <c r="L4657" s="164"/>
      <c r="M4657" s="11"/>
      <c r="N4657" s="39"/>
      <c r="Q4657" s="15" t="str">
        <f>+CONCATENATE(E4655,K4655)</f>
        <v/>
      </c>
      <c r="R4657" s="15">
        <f>+L4655</f>
        <v>0</v>
      </c>
      <c r="S4657" s="16"/>
      <c r="T4657" s="15">
        <f>+E4655</f>
        <v>0</v>
      </c>
      <c r="U4657" s="26" t="str">
        <f>IFERROR(LEFT(K4655,FIND("*",K4655)-1),"-")</f>
        <v>-</v>
      </c>
      <c r="V4657" s="26" t="str">
        <f>IFERROR(RIGHT(K4655,LEN(K4655)-FIND("*",K4655)),"-")</f>
        <v>-</v>
      </c>
      <c r="W4657" s="27" t="str">
        <f t="shared" si="2536"/>
        <v>-</v>
      </c>
      <c r="X4657" s="27" t="str">
        <f>IFERROR(W4657*L4655,"-")</f>
        <v>-</v>
      </c>
      <c r="Z4657" s="94" t="s">
        <v>82</v>
      </c>
    </row>
    <row r="4658" spans="1:26" s="25" customFormat="1" ht="6.95" customHeight="1" x14ac:dyDescent="0.3">
      <c r="A4658" s="13"/>
      <c r="B4658" s="168"/>
      <c r="C4658" s="169"/>
      <c r="D4658" s="160" t="s">
        <v>39</v>
      </c>
      <c r="E4658" s="161"/>
      <c r="F4658" s="162" t="s">
        <v>40</v>
      </c>
      <c r="G4658" s="163"/>
      <c r="H4658" s="164"/>
      <c r="I4658" s="163"/>
      <c r="J4658" s="164"/>
      <c r="K4658" s="163"/>
      <c r="L4658" s="164"/>
      <c r="M4658" s="11"/>
      <c r="N4658" s="39"/>
      <c r="Q4658" s="15" t="str">
        <f>+CONCATENATE(E4658,G4658)</f>
        <v/>
      </c>
      <c r="R4658" s="15">
        <f>+H4658</f>
        <v>0</v>
      </c>
      <c r="S4658" s="16"/>
      <c r="T4658" s="15">
        <f>+E4658</f>
        <v>0</v>
      </c>
      <c r="U4658" s="26" t="str">
        <f t="shared" ref="U4658" si="2537">IFERROR(LEFT(G4658,FIND("*",G4658)-1),"-")</f>
        <v>-</v>
      </c>
      <c r="V4658" s="26" t="str">
        <f t="shared" ref="V4658" si="2538">IFERROR(RIGHT(G4658,LEN(G4658)-FIND("*",G4658)),"-")</f>
        <v>-</v>
      </c>
      <c r="W4658" s="27" t="str">
        <f t="shared" si="2536"/>
        <v>-</v>
      </c>
      <c r="X4658" s="27" t="str">
        <f>IFERROR(W4658*H4658,"-")</f>
        <v>-</v>
      </c>
      <c r="Z4658" s="94" t="s">
        <v>82</v>
      </c>
    </row>
    <row r="4659" spans="1:26" s="25" customFormat="1" ht="6.95" customHeight="1" x14ac:dyDescent="0.3">
      <c r="A4659" s="10"/>
      <c r="B4659" s="168"/>
      <c r="C4659" s="169"/>
      <c r="D4659" s="160"/>
      <c r="E4659" s="161"/>
      <c r="F4659" s="162"/>
      <c r="G4659" s="163"/>
      <c r="H4659" s="164"/>
      <c r="I4659" s="163"/>
      <c r="J4659" s="164"/>
      <c r="K4659" s="163"/>
      <c r="L4659" s="164"/>
      <c r="M4659" s="11"/>
      <c r="N4659" s="39"/>
      <c r="Q4659" s="15" t="str">
        <f>+CONCATENATE(E4658,I4658)</f>
        <v/>
      </c>
      <c r="R4659" s="15">
        <f>+J4658</f>
        <v>0</v>
      </c>
      <c r="S4659" s="16"/>
      <c r="T4659" s="15">
        <f>+E4658</f>
        <v>0</v>
      </c>
      <c r="U4659" s="26" t="str">
        <f>IFERROR(LEFT(I4658,FIND("*",I4658)-1),"-")</f>
        <v>-</v>
      </c>
      <c r="V4659" s="26" t="str">
        <f>IFERROR(RIGHT(I4658,LEN(I4658)-FIND("*",I4658)),"-")</f>
        <v>-</v>
      </c>
      <c r="W4659" s="27" t="str">
        <f t="shared" si="2536"/>
        <v>-</v>
      </c>
      <c r="X4659" s="27" t="str">
        <f>IFERROR(W4659*J4658,"-")</f>
        <v>-</v>
      </c>
      <c r="Z4659" s="94" t="s">
        <v>82</v>
      </c>
    </row>
    <row r="4660" spans="1:26" s="25" customFormat="1" ht="6.95" customHeight="1" x14ac:dyDescent="0.3">
      <c r="A4660" s="10"/>
      <c r="B4660" s="168"/>
      <c r="C4660" s="169"/>
      <c r="D4660" s="160"/>
      <c r="E4660" s="161"/>
      <c r="F4660" s="162"/>
      <c r="G4660" s="163"/>
      <c r="H4660" s="164"/>
      <c r="I4660" s="163"/>
      <c r="J4660" s="164"/>
      <c r="K4660" s="163"/>
      <c r="L4660" s="164"/>
      <c r="M4660" s="11"/>
      <c r="N4660" s="39"/>
      <c r="Q4660" s="15" t="str">
        <f>+CONCATENATE(E4658,K4658)</f>
        <v/>
      </c>
      <c r="R4660" s="15">
        <f>+L4658</f>
        <v>0</v>
      </c>
      <c r="S4660" s="16"/>
      <c r="T4660" s="15">
        <f>+E4658</f>
        <v>0</v>
      </c>
      <c r="U4660" s="26" t="str">
        <f>IFERROR(LEFT(K4658,FIND("*",K4658)-1),"-")</f>
        <v>-</v>
      </c>
      <c r="V4660" s="26" t="str">
        <f>IFERROR(RIGHT(K4658,LEN(K4658)-FIND("*",K4658)),"-")</f>
        <v>-</v>
      </c>
      <c r="W4660" s="27" t="str">
        <f t="shared" si="2536"/>
        <v>-</v>
      </c>
      <c r="X4660" s="27" t="str">
        <f>IFERROR(W4660*L4658,"-")</f>
        <v>-</v>
      </c>
      <c r="Z4660" s="94" t="s">
        <v>82</v>
      </c>
    </row>
    <row r="4661" spans="1:26" s="25" customFormat="1" ht="6.95" customHeight="1" x14ac:dyDescent="0.3">
      <c r="A4661" s="13"/>
      <c r="B4661" s="168"/>
      <c r="C4661" s="169"/>
      <c r="D4661" s="160" t="s">
        <v>39</v>
      </c>
      <c r="E4661" s="161"/>
      <c r="F4661" s="162" t="s">
        <v>40</v>
      </c>
      <c r="G4661" s="163"/>
      <c r="H4661" s="164"/>
      <c r="I4661" s="163"/>
      <c r="J4661" s="164"/>
      <c r="K4661" s="163"/>
      <c r="L4661" s="164"/>
      <c r="M4661" s="11"/>
      <c r="N4661" s="39"/>
      <c r="Q4661" s="15" t="str">
        <f>+CONCATENATE(E4661,G4661)</f>
        <v/>
      </c>
      <c r="R4661" s="15">
        <f>+H4661</f>
        <v>0</v>
      </c>
      <c r="S4661" s="16"/>
      <c r="T4661" s="15">
        <f>+E4661</f>
        <v>0</v>
      </c>
      <c r="U4661" s="26" t="str">
        <f t="shared" ref="U4661" si="2539">IFERROR(LEFT(G4661,FIND("*",G4661)-1),"-")</f>
        <v>-</v>
      </c>
      <c r="V4661" s="26" t="str">
        <f t="shared" ref="V4661" si="2540">IFERROR(RIGHT(G4661,LEN(G4661)-FIND("*",G4661)),"-")</f>
        <v>-</v>
      </c>
      <c r="W4661" s="27" t="str">
        <f t="shared" si="2536"/>
        <v>-</v>
      </c>
      <c r="X4661" s="27" t="str">
        <f>IFERROR(W4661*H4661,"-")</f>
        <v>-</v>
      </c>
      <c r="Z4661" s="94" t="s">
        <v>82</v>
      </c>
    </row>
    <row r="4662" spans="1:26" s="25" customFormat="1" ht="6.95" customHeight="1" x14ac:dyDescent="0.3">
      <c r="A4662" s="10"/>
      <c r="B4662" s="168"/>
      <c r="C4662" s="169"/>
      <c r="D4662" s="160"/>
      <c r="E4662" s="161"/>
      <c r="F4662" s="162"/>
      <c r="G4662" s="163"/>
      <c r="H4662" s="164"/>
      <c r="I4662" s="163"/>
      <c r="J4662" s="164"/>
      <c r="K4662" s="163"/>
      <c r="L4662" s="164"/>
      <c r="M4662" s="11"/>
      <c r="N4662" s="39"/>
      <c r="Q4662" s="15" t="str">
        <f>+CONCATENATE(E4661,I4661)</f>
        <v/>
      </c>
      <c r="R4662" s="15">
        <f>+J4661</f>
        <v>0</v>
      </c>
      <c r="S4662" s="16"/>
      <c r="T4662" s="15">
        <f>+E4661</f>
        <v>0</v>
      </c>
      <c r="U4662" s="26" t="str">
        <f>IFERROR(LEFT(I4661,FIND("*",I4661)-1),"-")</f>
        <v>-</v>
      </c>
      <c r="V4662" s="26" t="str">
        <f>IFERROR(RIGHT(I4661,LEN(I4661)-FIND("*",I4661)),"-")</f>
        <v>-</v>
      </c>
      <c r="W4662" s="27" t="str">
        <f t="shared" si="2536"/>
        <v>-</v>
      </c>
      <c r="X4662" s="27" t="str">
        <f t="shared" ref="X4662" si="2541">IFERROR(W4662*J4661,"-")</f>
        <v>-</v>
      </c>
      <c r="Z4662" s="94" t="s">
        <v>82</v>
      </c>
    </row>
    <row r="4663" spans="1:26" s="25" customFormat="1" ht="6.95" customHeight="1" x14ac:dyDescent="0.3">
      <c r="A4663" s="10"/>
      <c r="B4663" s="168"/>
      <c r="C4663" s="169"/>
      <c r="D4663" s="160"/>
      <c r="E4663" s="161"/>
      <c r="F4663" s="162"/>
      <c r="G4663" s="163"/>
      <c r="H4663" s="164"/>
      <c r="I4663" s="163"/>
      <c r="J4663" s="164"/>
      <c r="K4663" s="163"/>
      <c r="L4663" s="164"/>
      <c r="M4663" s="11"/>
      <c r="N4663" s="39"/>
      <c r="Q4663" s="15" t="str">
        <f>+CONCATENATE(E4661,K4661)</f>
        <v/>
      </c>
      <c r="R4663" s="15">
        <f>+L4661</f>
        <v>0</v>
      </c>
      <c r="S4663" s="16"/>
      <c r="T4663" s="15">
        <f>+E4661</f>
        <v>0</v>
      </c>
      <c r="U4663" s="26" t="str">
        <f>IFERROR(LEFT(K4661,FIND("*",K4661)-1),"-")</f>
        <v>-</v>
      </c>
      <c r="V4663" s="26" t="str">
        <f>IFERROR(RIGHT(K4661,LEN(K4661)-FIND("*",K4661)),"-")</f>
        <v>-</v>
      </c>
      <c r="W4663" s="27" t="str">
        <f t="shared" si="2536"/>
        <v>-</v>
      </c>
      <c r="X4663" s="27" t="str">
        <f>IFERROR(W4663*L4661,"-")</f>
        <v>-</v>
      </c>
      <c r="Z4663" s="94" t="s">
        <v>82</v>
      </c>
    </row>
    <row r="4664" spans="1:26" s="25" customFormat="1" ht="21" customHeight="1" thickBot="1" x14ac:dyDescent="0.35">
      <c r="A4664" s="10"/>
      <c r="B4664" s="170"/>
      <c r="C4664" s="171"/>
      <c r="D4664" s="172" t="s">
        <v>43</v>
      </c>
      <c r="E4664" s="173"/>
      <c r="F4664" s="173"/>
      <c r="G4664" s="174"/>
      <c r="H4664" s="174"/>
      <c r="I4664" s="174"/>
      <c r="J4664" s="174"/>
      <c r="K4664" s="174"/>
      <c r="L4664" s="174"/>
      <c r="M4664" s="12"/>
      <c r="N4664" s="39"/>
      <c r="U4664" s="23"/>
      <c r="V4664" s="23"/>
      <c r="Z4664" s="95" t="s">
        <v>81</v>
      </c>
    </row>
    <row r="4665" spans="1:26" s="25" customFormat="1" ht="9.9499999999999993" customHeight="1" thickBot="1" x14ac:dyDescent="0.35">
      <c r="A4665" s="6"/>
      <c r="B4665" s="14"/>
      <c r="C4665" s="119"/>
      <c r="D4665" s="58"/>
      <c r="E4665" s="17"/>
      <c r="F4665" s="58"/>
      <c r="G4665" s="19"/>
      <c r="H4665" s="19"/>
      <c r="I4665" s="19"/>
      <c r="J4665" s="19"/>
      <c r="K4665" s="19"/>
      <c r="L4665" s="19"/>
      <c r="M4665" s="14"/>
      <c r="N4665" s="39"/>
      <c r="Q4665" s="1"/>
      <c r="R4665" s="1"/>
      <c r="S4665" s="1"/>
      <c r="T4665" s="1"/>
      <c r="U4665" s="24"/>
      <c r="V4665" s="24"/>
      <c r="W4665" s="1"/>
      <c r="X4665" s="1"/>
      <c r="Z4665" s="94" t="s">
        <v>82</v>
      </c>
    </row>
    <row r="4666" spans="1:26" s="25" customFormat="1" ht="6.95" customHeight="1" x14ac:dyDescent="0.3">
      <c r="A4666" s="165">
        <f>+A4655+1</f>
        <v>425</v>
      </c>
      <c r="B4666" s="166"/>
      <c r="C4666" s="167"/>
      <c r="D4666" s="160" t="s">
        <v>39</v>
      </c>
      <c r="E4666" s="161"/>
      <c r="F4666" s="162" t="s">
        <v>40</v>
      </c>
      <c r="G4666" s="163"/>
      <c r="H4666" s="164"/>
      <c r="I4666" s="163"/>
      <c r="J4666" s="164"/>
      <c r="K4666" s="163"/>
      <c r="L4666" s="164"/>
      <c r="M4666" s="11"/>
      <c r="N4666" s="39"/>
      <c r="Q4666" s="15" t="str">
        <f>+CONCATENATE(E4666,G4666)</f>
        <v/>
      </c>
      <c r="R4666" s="15">
        <f>+H4666</f>
        <v>0</v>
      </c>
      <c r="S4666" s="16"/>
      <c r="T4666" s="15">
        <f>+E4666</f>
        <v>0</v>
      </c>
      <c r="U4666" s="26" t="str">
        <f>IFERROR(LEFT(G4666,FIND("*",G4666)-1),"-")</f>
        <v>-</v>
      </c>
      <c r="V4666" s="26" t="str">
        <f>IFERROR(RIGHT(G4666,LEN(G4666)-FIND("*",G4666)),"-")</f>
        <v>-</v>
      </c>
      <c r="W4666" s="27" t="str">
        <f>IFERROR((U4666+V4666)*2/1000,"-")</f>
        <v>-</v>
      </c>
      <c r="X4666" s="27" t="str">
        <f>IFERROR(W4666*H4666,"-")</f>
        <v>-</v>
      </c>
      <c r="Z4666" s="94" t="s">
        <v>82</v>
      </c>
    </row>
    <row r="4667" spans="1:26" s="25" customFormat="1" ht="6.95" customHeight="1" x14ac:dyDescent="0.3">
      <c r="A4667" s="165"/>
      <c r="B4667" s="168"/>
      <c r="C4667" s="169"/>
      <c r="D4667" s="160"/>
      <c r="E4667" s="161"/>
      <c r="F4667" s="162"/>
      <c r="G4667" s="163"/>
      <c r="H4667" s="164"/>
      <c r="I4667" s="163"/>
      <c r="J4667" s="164"/>
      <c r="K4667" s="163"/>
      <c r="L4667" s="164"/>
      <c r="M4667" s="11"/>
      <c r="N4667" s="39"/>
      <c r="Q4667" s="15" t="str">
        <f>+CONCATENATE(E4666,I4666)</f>
        <v/>
      </c>
      <c r="R4667" s="15">
        <f>+J4666</f>
        <v>0</v>
      </c>
      <c r="S4667" s="16"/>
      <c r="T4667" s="15">
        <f>+E4666</f>
        <v>0</v>
      </c>
      <c r="U4667" s="26" t="str">
        <f>IFERROR(LEFT(I4666,FIND("*",I4666)-1),"-")</f>
        <v>-</v>
      </c>
      <c r="V4667" s="26" t="str">
        <f>IFERROR(RIGHT(I4666,LEN(I4666)-FIND("*",I4666)),"-")</f>
        <v>-</v>
      </c>
      <c r="W4667" s="27" t="str">
        <f t="shared" ref="W4667:W4674" si="2542">IFERROR((U4667+V4667)*2/1000,"-")</f>
        <v>-</v>
      </c>
      <c r="X4667" s="27" t="str">
        <f>IFERROR(W4667*J4666,"-")</f>
        <v>-</v>
      </c>
      <c r="Z4667" s="94" t="s">
        <v>82</v>
      </c>
    </row>
    <row r="4668" spans="1:26" s="25" customFormat="1" ht="6.95" customHeight="1" x14ac:dyDescent="0.3">
      <c r="A4668" s="165"/>
      <c r="B4668" s="168"/>
      <c r="C4668" s="169"/>
      <c r="D4668" s="160"/>
      <c r="E4668" s="161"/>
      <c r="F4668" s="162"/>
      <c r="G4668" s="163"/>
      <c r="H4668" s="164"/>
      <c r="I4668" s="163"/>
      <c r="J4668" s="164"/>
      <c r="K4668" s="163"/>
      <c r="L4668" s="164"/>
      <c r="M4668" s="11"/>
      <c r="N4668" s="39"/>
      <c r="Q4668" s="15" t="str">
        <f>+CONCATENATE(E4666,K4666)</f>
        <v/>
      </c>
      <c r="R4668" s="15">
        <f>+L4666</f>
        <v>0</v>
      </c>
      <c r="S4668" s="16"/>
      <c r="T4668" s="15">
        <f>+E4666</f>
        <v>0</v>
      </c>
      <c r="U4668" s="26" t="str">
        <f>IFERROR(LEFT(K4666,FIND("*",K4666)-1),"-")</f>
        <v>-</v>
      </c>
      <c r="V4668" s="26" t="str">
        <f>IFERROR(RIGHT(K4666,LEN(K4666)-FIND("*",K4666)),"-")</f>
        <v>-</v>
      </c>
      <c r="W4668" s="27" t="str">
        <f t="shared" si="2542"/>
        <v>-</v>
      </c>
      <c r="X4668" s="27" t="str">
        <f>IFERROR(W4668*L4666,"-")</f>
        <v>-</v>
      </c>
      <c r="Z4668" s="94" t="s">
        <v>82</v>
      </c>
    </row>
    <row r="4669" spans="1:26" s="25" customFormat="1" ht="6.95" customHeight="1" x14ac:dyDescent="0.3">
      <c r="A4669" s="13"/>
      <c r="B4669" s="168"/>
      <c r="C4669" s="169"/>
      <c r="D4669" s="160" t="s">
        <v>39</v>
      </c>
      <c r="E4669" s="161"/>
      <c r="F4669" s="162" t="s">
        <v>40</v>
      </c>
      <c r="G4669" s="163"/>
      <c r="H4669" s="164"/>
      <c r="I4669" s="163"/>
      <c r="J4669" s="164"/>
      <c r="K4669" s="163"/>
      <c r="L4669" s="164"/>
      <c r="M4669" s="11"/>
      <c r="N4669" s="39"/>
      <c r="Q4669" s="15" t="str">
        <f>+CONCATENATE(E4669,G4669)</f>
        <v/>
      </c>
      <c r="R4669" s="15">
        <f>+H4669</f>
        <v>0</v>
      </c>
      <c r="S4669" s="16"/>
      <c r="T4669" s="15">
        <f>+E4669</f>
        <v>0</v>
      </c>
      <c r="U4669" s="26" t="str">
        <f t="shared" ref="U4669" si="2543">IFERROR(LEFT(G4669,FIND("*",G4669)-1),"-")</f>
        <v>-</v>
      </c>
      <c r="V4669" s="26" t="str">
        <f t="shared" ref="V4669" si="2544">IFERROR(RIGHT(G4669,LEN(G4669)-FIND("*",G4669)),"-")</f>
        <v>-</v>
      </c>
      <c r="W4669" s="27" t="str">
        <f t="shared" si="2542"/>
        <v>-</v>
      </c>
      <c r="X4669" s="27" t="str">
        <f>IFERROR(W4669*H4669,"-")</f>
        <v>-</v>
      </c>
      <c r="Z4669" s="94" t="s">
        <v>82</v>
      </c>
    </row>
    <row r="4670" spans="1:26" s="25" customFormat="1" ht="6.95" customHeight="1" x14ac:dyDescent="0.3">
      <c r="A4670" s="10"/>
      <c r="B4670" s="168"/>
      <c r="C4670" s="169"/>
      <c r="D4670" s="160"/>
      <c r="E4670" s="161"/>
      <c r="F4670" s="162"/>
      <c r="G4670" s="163"/>
      <c r="H4670" s="164"/>
      <c r="I4670" s="163"/>
      <c r="J4670" s="164"/>
      <c r="K4670" s="163"/>
      <c r="L4670" s="164"/>
      <c r="M4670" s="11"/>
      <c r="N4670" s="39"/>
      <c r="Q4670" s="15" t="str">
        <f>+CONCATENATE(E4669,I4669)</f>
        <v/>
      </c>
      <c r="R4670" s="15">
        <f>+J4669</f>
        <v>0</v>
      </c>
      <c r="S4670" s="16"/>
      <c r="T4670" s="15">
        <f>+E4669</f>
        <v>0</v>
      </c>
      <c r="U4670" s="26" t="str">
        <f>IFERROR(LEFT(I4669,FIND("*",I4669)-1),"-")</f>
        <v>-</v>
      </c>
      <c r="V4670" s="26" t="str">
        <f>IFERROR(RIGHT(I4669,LEN(I4669)-FIND("*",I4669)),"-")</f>
        <v>-</v>
      </c>
      <c r="W4670" s="27" t="str">
        <f t="shared" si="2542"/>
        <v>-</v>
      </c>
      <c r="X4670" s="27" t="str">
        <f>IFERROR(W4670*J4669,"-")</f>
        <v>-</v>
      </c>
      <c r="Z4670" s="94" t="s">
        <v>82</v>
      </c>
    </row>
    <row r="4671" spans="1:26" s="25" customFormat="1" ht="6.95" customHeight="1" x14ac:dyDescent="0.3">
      <c r="A4671" s="10"/>
      <c r="B4671" s="168"/>
      <c r="C4671" s="169"/>
      <c r="D4671" s="160"/>
      <c r="E4671" s="161"/>
      <c r="F4671" s="162"/>
      <c r="G4671" s="163"/>
      <c r="H4671" s="164"/>
      <c r="I4671" s="163"/>
      <c r="J4671" s="164"/>
      <c r="K4671" s="163"/>
      <c r="L4671" s="164"/>
      <c r="M4671" s="11"/>
      <c r="N4671" s="39"/>
      <c r="Q4671" s="15" t="str">
        <f>+CONCATENATE(E4669,K4669)</f>
        <v/>
      </c>
      <c r="R4671" s="15">
        <f>+L4669</f>
        <v>0</v>
      </c>
      <c r="S4671" s="16"/>
      <c r="T4671" s="15">
        <f>+E4669</f>
        <v>0</v>
      </c>
      <c r="U4671" s="26" t="str">
        <f>IFERROR(LEFT(K4669,FIND("*",K4669)-1),"-")</f>
        <v>-</v>
      </c>
      <c r="V4671" s="26" t="str">
        <f>IFERROR(RIGHT(K4669,LEN(K4669)-FIND("*",K4669)),"-")</f>
        <v>-</v>
      </c>
      <c r="W4671" s="27" t="str">
        <f t="shared" si="2542"/>
        <v>-</v>
      </c>
      <c r="X4671" s="27" t="str">
        <f>IFERROR(W4671*L4669,"-")</f>
        <v>-</v>
      </c>
      <c r="Z4671" s="94" t="s">
        <v>82</v>
      </c>
    </row>
    <row r="4672" spans="1:26" s="25" customFormat="1" ht="6.95" customHeight="1" x14ac:dyDescent="0.3">
      <c r="A4672" s="13"/>
      <c r="B4672" s="168"/>
      <c r="C4672" s="169"/>
      <c r="D4672" s="160" t="s">
        <v>39</v>
      </c>
      <c r="E4672" s="161"/>
      <c r="F4672" s="162" t="s">
        <v>40</v>
      </c>
      <c r="G4672" s="163"/>
      <c r="H4672" s="164"/>
      <c r="I4672" s="163"/>
      <c r="J4672" s="164"/>
      <c r="K4672" s="163"/>
      <c r="L4672" s="164"/>
      <c r="M4672" s="11"/>
      <c r="N4672" s="39"/>
      <c r="Q4672" s="15" t="str">
        <f>+CONCATENATE(E4672,G4672)</f>
        <v/>
      </c>
      <c r="R4672" s="15">
        <f>+H4672</f>
        <v>0</v>
      </c>
      <c r="S4672" s="16"/>
      <c r="T4672" s="15">
        <f>+E4672</f>
        <v>0</v>
      </c>
      <c r="U4672" s="26" t="str">
        <f t="shared" ref="U4672" si="2545">IFERROR(LEFT(G4672,FIND("*",G4672)-1),"-")</f>
        <v>-</v>
      </c>
      <c r="V4672" s="26" t="str">
        <f t="shared" ref="V4672" si="2546">IFERROR(RIGHT(G4672,LEN(G4672)-FIND("*",G4672)),"-")</f>
        <v>-</v>
      </c>
      <c r="W4672" s="27" t="str">
        <f t="shared" si="2542"/>
        <v>-</v>
      </c>
      <c r="X4672" s="27" t="str">
        <f>IFERROR(W4672*H4672,"-")</f>
        <v>-</v>
      </c>
      <c r="Z4672" s="94" t="s">
        <v>82</v>
      </c>
    </row>
    <row r="4673" spans="1:26" s="25" customFormat="1" ht="6.95" customHeight="1" x14ac:dyDescent="0.3">
      <c r="A4673" s="10"/>
      <c r="B4673" s="168"/>
      <c r="C4673" s="169"/>
      <c r="D4673" s="160"/>
      <c r="E4673" s="161"/>
      <c r="F4673" s="162"/>
      <c r="G4673" s="163"/>
      <c r="H4673" s="164"/>
      <c r="I4673" s="163"/>
      <c r="J4673" s="164"/>
      <c r="K4673" s="163"/>
      <c r="L4673" s="164"/>
      <c r="M4673" s="11"/>
      <c r="N4673" s="39"/>
      <c r="Q4673" s="15" t="str">
        <f>+CONCATENATE(E4672,I4672)</f>
        <v/>
      </c>
      <c r="R4673" s="15">
        <f>+J4672</f>
        <v>0</v>
      </c>
      <c r="S4673" s="16"/>
      <c r="T4673" s="15">
        <f>+E4672</f>
        <v>0</v>
      </c>
      <c r="U4673" s="26" t="str">
        <f>IFERROR(LEFT(I4672,FIND("*",I4672)-1),"-")</f>
        <v>-</v>
      </c>
      <c r="V4673" s="26" t="str">
        <f>IFERROR(RIGHT(I4672,LEN(I4672)-FIND("*",I4672)),"-")</f>
        <v>-</v>
      </c>
      <c r="W4673" s="27" t="str">
        <f t="shared" si="2542"/>
        <v>-</v>
      </c>
      <c r="X4673" s="27" t="str">
        <f t="shared" ref="X4673" si="2547">IFERROR(W4673*J4672,"-")</f>
        <v>-</v>
      </c>
      <c r="Z4673" s="94" t="s">
        <v>82</v>
      </c>
    </row>
    <row r="4674" spans="1:26" s="25" customFormat="1" ht="6.95" customHeight="1" x14ac:dyDescent="0.3">
      <c r="A4674" s="10"/>
      <c r="B4674" s="168"/>
      <c r="C4674" s="169"/>
      <c r="D4674" s="160"/>
      <c r="E4674" s="161"/>
      <c r="F4674" s="162"/>
      <c r="G4674" s="163"/>
      <c r="H4674" s="164"/>
      <c r="I4674" s="163"/>
      <c r="J4674" s="164"/>
      <c r="K4674" s="163"/>
      <c r="L4674" s="164"/>
      <c r="M4674" s="11"/>
      <c r="N4674" s="39"/>
      <c r="Q4674" s="15" t="str">
        <f>+CONCATENATE(E4672,K4672)</f>
        <v/>
      </c>
      <c r="R4674" s="15">
        <f>+L4672</f>
        <v>0</v>
      </c>
      <c r="S4674" s="16"/>
      <c r="T4674" s="15">
        <f>+E4672</f>
        <v>0</v>
      </c>
      <c r="U4674" s="26" t="str">
        <f>IFERROR(LEFT(K4672,FIND("*",K4672)-1),"-")</f>
        <v>-</v>
      </c>
      <c r="V4674" s="26" t="str">
        <f>IFERROR(RIGHT(K4672,LEN(K4672)-FIND("*",K4672)),"-")</f>
        <v>-</v>
      </c>
      <c r="W4674" s="27" t="str">
        <f t="shared" si="2542"/>
        <v>-</v>
      </c>
      <c r="X4674" s="27" t="str">
        <f>IFERROR(W4674*L4672,"-")</f>
        <v>-</v>
      </c>
      <c r="Z4674" s="94" t="s">
        <v>82</v>
      </c>
    </row>
    <row r="4675" spans="1:26" s="25" customFormat="1" ht="21" customHeight="1" thickBot="1" x14ac:dyDescent="0.35">
      <c r="A4675" s="10"/>
      <c r="B4675" s="170"/>
      <c r="C4675" s="171"/>
      <c r="D4675" s="172" t="s">
        <v>43</v>
      </c>
      <c r="E4675" s="173"/>
      <c r="F4675" s="173"/>
      <c r="G4675" s="174"/>
      <c r="H4675" s="174"/>
      <c r="I4675" s="174"/>
      <c r="J4675" s="174"/>
      <c r="K4675" s="174"/>
      <c r="L4675" s="174"/>
      <c r="M4675" s="12"/>
      <c r="N4675" s="39"/>
      <c r="U4675" s="23"/>
      <c r="V4675" s="23"/>
      <c r="Z4675" s="95" t="s">
        <v>81</v>
      </c>
    </row>
    <row r="4676" spans="1:26" s="25" customFormat="1" ht="9.9499999999999993" customHeight="1" thickBot="1" x14ac:dyDescent="0.35">
      <c r="A4676" s="6"/>
      <c r="B4676" s="14"/>
      <c r="C4676" s="119"/>
      <c r="D4676" s="58"/>
      <c r="E4676" s="17"/>
      <c r="F4676" s="58"/>
      <c r="G4676" s="19"/>
      <c r="H4676" s="19"/>
      <c r="I4676" s="19"/>
      <c r="J4676" s="19"/>
      <c r="K4676" s="19"/>
      <c r="L4676" s="19"/>
      <c r="M4676" s="14"/>
      <c r="N4676" s="39"/>
      <c r="Q4676" s="1"/>
      <c r="R4676" s="1"/>
      <c r="S4676" s="1"/>
      <c r="T4676" s="1"/>
      <c r="U4676" s="24"/>
      <c r="V4676" s="24"/>
      <c r="W4676" s="1"/>
      <c r="X4676" s="1"/>
      <c r="Z4676" s="94" t="s">
        <v>82</v>
      </c>
    </row>
    <row r="4677" spans="1:26" s="25" customFormat="1" ht="6.95" customHeight="1" x14ac:dyDescent="0.3">
      <c r="A4677" s="165">
        <f>+A4666+1</f>
        <v>426</v>
      </c>
      <c r="B4677" s="166"/>
      <c r="C4677" s="167"/>
      <c r="D4677" s="160" t="s">
        <v>39</v>
      </c>
      <c r="E4677" s="161"/>
      <c r="F4677" s="162" t="s">
        <v>40</v>
      </c>
      <c r="G4677" s="163"/>
      <c r="H4677" s="164"/>
      <c r="I4677" s="163"/>
      <c r="J4677" s="164"/>
      <c r="K4677" s="163"/>
      <c r="L4677" s="164"/>
      <c r="M4677" s="11"/>
      <c r="N4677" s="39"/>
      <c r="Q4677" s="15" t="str">
        <f>+CONCATENATE(E4677,G4677)</f>
        <v/>
      </c>
      <c r="R4677" s="15">
        <f>+H4677</f>
        <v>0</v>
      </c>
      <c r="S4677" s="16"/>
      <c r="T4677" s="15">
        <f>+E4677</f>
        <v>0</v>
      </c>
      <c r="U4677" s="26" t="str">
        <f>IFERROR(LEFT(G4677,FIND("*",G4677)-1),"-")</f>
        <v>-</v>
      </c>
      <c r="V4677" s="26" t="str">
        <f>IFERROR(RIGHT(G4677,LEN(G4677)-FIND("*",G4677)),"-")</f>
        <v>-</v>
      </c>
      <c r="W4677" s="27" t="str">
        <f>IFERROR((U4677+V4677)*2/1000,"-")</f>
        <v>-</v>
      </c>
      <c r="X4677" s="27" t="str">
        <f>IFERROR(W4677*H4677,"-")</f>
        <v>-</v>
      </c>
      <c r="Z4677" s="94" t="s">
        <v>82</v>
      </c>
    </row>
    <row r="4678" spans="1:26" s="25" customFormat="1" ht="6.95" customHeight="1" x14ac:dyDescent="0.3">
      <c r="A4678" s="165"/>
      <c r="B4678" s="168"/>
      <c r="C4678" s="169"/>
      <c r="D4678" s="160"/>
      <c r="E4678" s="161"/>
      <c r="F4678" s="162"/>
      <c r="G4678" s="163"/>
      <c r="H4678" s="164"/>
      <c r="I4678" s="163"/>
      <c r="J4678" s="164"/>
      <c r="K4678" s="163"/>
      <c r="L4678" s="164"/>
      <c r="M4678" s="11"/>
      <c r="N4678" s="39"/>
      <c r="Q4678" s="15" t="str">
        <f>+CONCATENATE(E4677,I4677)</f>
        <v/>
      </c>
      <c r="R4678" s="15">
        <f>+J4677</f>
        <v>0</v>
      </c>
      <c r="S4678" s="16"/>
      <c r="T4678" s="15">
        <f>+E4677</f>
        <v>0</v>
      </c>
      <c r="U4678" s="26" t="str">
        <f>IFERROR(LEFT(I4677,FIND("*",I4677)-1),"-")</f>
        <v>-</v>
      </c>
      <c r="V4678" s="26" t="str">
        <f>IFERROR(RIGHT(I4677,LEN(I4677)-FIND("*",I4677)),"-")</f>
        <v>-</v>
      </c>
      <c r="W4678" s="27" t="str">
        <f t="shared" ref="W4678:W4685" si="2548">IFERROR((U4678+V4678)*2/1000,"-")</f>
        <v>-</v>
      </c>
      <c r="X4678" s="27" t="str">
        <f>IFERROR(W4678*J4677,"-")</f>
        <v>-</v>
      </c>
      <c r="Z4678" s="94" t="s">
        <v>82</v>
      </c>
    </row>
    <row r="4679" spans="1:26" s="25" customFormat="1" ht="6.95" customHeight="1" x14ac:dyDescent="0.3">
      <c r="A4679" s="165"/>
      <c r="B4679" s="168"/>
      <c r="C4679" s="169"/>
      <c r="D4679" s="160"/>
      <c r="E4679" s="161"/>
      <c r="F4679" s="162"/>
      <c r="G4679" s="163"/>
      <c r="H4679" s="164"/>
      <c r="I4679" s="163"/>
      <c r="J4679" s="164"/>
      <c r="K4679" s="163"/>
      <c r="L4679" s="164"/>
      <c r="M4679" s="11"/>
      <c r="N4679" s="39"/>
      <c r="Q4679" s="15" t="str">
        <f>+CONCATENATE(E4677,K4677)</f>
        <v/>
      </c>
      <c r="R4679" s="15">
        <f>+L4677</f>
        <v>0</v>
      </c>
      <c r="S4679" s="16"/>
      <c r="T4679" s="15">
        <f>+E4677</f>
        <v>0</v>
      </c>
      <c r="U4679" s="26" t="str">
        <f>IFERROR(LEFT(K4677,FIND("*",K4677)-1),"-")</f>
        <v>-</v>
      </c>
      <c r="V4679" s="26" t="str">
        <f>IFERROR(RIGHT(K4677,LEN(K4677)-FIND("*",K4677)),"-")</f>
        <v>-</v>
      </c>
      <c r="W4679" s="27" t="str">
        <f t="shared" si="2548"/>
        <v>-</v>
      </c>
      <c r="X4679" s="27" t="str">
        <f>IFERROR(W4679*L4677,"-")</f>
        <v>-</v>
      </c>
      <c r="Z4679" s="94" t="s">
        <v>82</v>
      </c>
    </row>
    <row r="4680" spans="1:26" s="25" customFormat="1" ht="6.95" customHeight="1" x14ac:dyDescent="0.3">
      <c r="A4680" s="13"/>
      <c r="B4680" s="168"/>
      <c r="C4680" s="169"/>
      <c r="D4680" s="160" t="s">
        <v>39</v>
      </c>
      <c r="E4680" s="161"/>
      <c r="F4680" s="162" t="s">
        <v>40</v>
      </c>
      <c r="G4680" s="163"/>
      <c r="H4680" s="164"/>
      <c r="I4680" s="163"/>
      <c r="J4680" s="164"/>
      <c r="K4680" s="163"/>
      <c r="L4680" s="164"/>
      <c r="M4680" s="11"/>
      <c r="N4680" s="39"/>
      <c r="Q4680" s="15" t="str">
        <f>+CONCATENATE(E4680,G4680)</f>
        <v/>
      </c>
      <c r="R4680" s="15">
        <f>+H4680</f>
        <v>0</v>
      </c>
      <c r="S4680" s="16"/>
      <c r="T4680" s="15">
        <f>+E4680</f>
        <v>0</v>
      </c>
      <c r="U4680" s="26" t="str">
        <f t="shared" ref="U4680" si="2549">IFERROR(LEFT(G4680,FIND("*",G4680)-1),"-")</f>
        <v>-</v>
      </c>
      <c r="V4680" s="26" t="str">
        <f t="shared" ref="V4680" si="2550">IFERROR(RIGHT(G4680,LEN(G4680)-FIND("*",G4680)),"-")</f>
        <v>-</v>
      </c>
      <c r="W4680" s="27" t="str">
        <f t="shared" si="2548"/>
        <v>-</v>
      </c>
      <c r="X4680" s="27" t="str">
        <f>IFERROR(W4680*H4680,"-")</f>
        <v>-</v>
      </c>
      <c r="Z4680" s="94" t="s">
        <v>82</v>
      </c>
    </row>
    <row r="4681" spans="1:26" s="25" customFormat="1" ht="6.95" customHeight="1" x14ac:dyDescent="0.3">
      <c r="A4681" s="10"/>
      <c r="B4681" s="168"/>
      <c r="C4681" s="169"/>
      <c r="D4681" s="160"/>
      <c r="E4681" s="161"/>
      <c r="F4681" s="162"/>
      <c r="G4681" s="163"/>
      <c r="H4681" s="164"/>
      <c r="I4681" s="163"/>
      <c r="J4681" s="164"/>
      <c r="K4681" s="163"/>
      <c r="L4681" s="164"/>
      <c r="M4681" s="11"/>
      <c r="N4681" s="39"/>
      <c r="Q4681" s="15" t="str">
        <f>+CONCATENATE(E4680,I4680)</f>
        <v/>
      </c>
      <c r="R4681" s="15">
        <f>+J4680</f>
        <v>0</v>
      </c>
      <c r="S4681" s="16"/>
      <c r="T4681" s="15">
        <f>+E4680</f>
        <v>0</v>
      </c>
      <c r="U4681" s="26" t="str">
        <f>IFERROR(LEFT(I4680,FIND("*",I4680)-1),"-")</f>
        <v>-</v>
      </c>
      <c r="V4681" s="26" t="str">
        <f>IFERROR(RIGHT(I4680,LEN(I4680)-FIND("*",I4680)),"-")</f>
        <v>-</v>
      </c>
      <c r="W4681" s="27" t="str">
        <f t="shared" si="2548"/>
        <v>-</v>
      </c>
      <c r="X4681" s="27" t="str">
        <f>IFERROR(W4681*J4680,"-")</f>
        <v>-</v>
      </c>
      <c r="Z4681" s="94" t="s">
        <v>82</v>
      </c>
    </row>
    <row r="4682" spans="1:26" s="25" customFormat="1" ht="6.95" customHeight="1" x14ac:dyDescent="0.3">
      <c r="A4682" s="10"/>
      <c r="B4682" s="168"/>
      <c r="C4682" s="169"/>
      <c r="D4682" s="160"/>
      <c r="E4682" s="161"/>
      <c r="F4682" s="162"/>
      <c r="G4682" s="163"/>
      <c r="H4682" s="164"/>
      <c r="I4682" s="163"/>
      <c r="J4682" s="164"/>
      <c r="K4682" s="163"/>
      <c r="L4682" s="164"/>
      <c r="M4682" s="11"/>
      <c r="N4682" s="39"/>
      <c r="Q4682" s="15" t="str">
        <f>+CONCATENATE(E4680,K4680)</f>
        <v/>
      </c>
      <c r="R4682" s="15">
        <f>+L4680</f>
        <v>0</v>
      </c>
      <c r="S4682" s="16"/>
      <c r="T4682" s="15">
        <f>+E4680</f>
        <v>0</v>
      </c>
      <c r="U4682" s="26" t="str">
        <f>IFERROR(LEFT(K4680,FIND("*",K4680)-1),"-")</f>
        <v>-</v>
      </c>
      <c r="V4682" s="26" t="str">
        <f>IFERROR(RIGHT(K4680,LEN(K4680)-FIND("*",K4680)),"-")</f>
        <v>-</v>
      </c>
      <c r="W4682" s="27" t="str">
        <f t="shared" si="2548"/>
        <v>-</v>
      </c>
      <c r="X4682" s="27" t="str">
        <f>IFERROR(W4682*L4680,"-")</f>
        <v>-</v>
      </c>
      <c r="Z4682" s="94" t="s">
        <v>82</v>
      </c>
    </row>
    <row r="4683" spans="1:26" s="25" customFormat="1" ht="6.95" customHeight="1" x14ac:dyDescent="0.3">
      <c r="A4683" s="13"/>
      <c r="B4683" s="168"/>
      <c r="C4683" s="169"/>
      <c r="D4683" s="160" t="s">
        <v>39</v>
      </c>
      <c r="E4683" s="161"/>
      <c r="F4683" s="162" t="s">
        <v>40</v>
      </c>
      <c r="G4683" s="163"/>
      <c r="H4683" s="164"/>
      <c r="I4683" s="163"/>
      <c r="J4683" s="164"/>
      <c r="K4683" s="163"/>
      <c r="L4683" s="164"/>
      <c r="M4683" s="11"/>
      <c r="N4683" s="39"/>
      <c r="Q4683" s="15" t="str">
        <f>+CONCATENATE(E4683,G4683)</f>
        <v/>
      </c>
      <c r="R4683" s="15">
        <f>+H4683</f>
        <v>0</v>
      </c>
      <c r="S4683" s="16"/>
      <c r="T4683" s="15">
        <f>+E4683</f>
        <v>0</v>
      </c>
      <c r="U4683" s="26" t="str">
        <f t="shared" ref="U4683" si="2551">IFERROR(LEFT(G4683,FIND("*",G4683)-1),"-")</f>
        <v>-</v>
      </c>
      <c r="V4683" s="26" t="str">
        <f t="shared" ref="V4683" si="2552">IFERROR(RIGHT(G4683,LEN(G4683)-FIND("*",G4683)),"-")</f>
        <v>-</v>
      </c>
      <c r="W4683" s="27" t="str">
        <f t="shared" si="2548"/>
        <v>-</v>
      </c>
      <c r="X4683" s="27" t="str">
        <f>IFERROR(W4683*H4683,"-")</f>
        <v>-</v>
      </c>
      <c r="Z4683" s="94" t="s">
        <v>82</v>
      </c>
    </row>
    <row r="4684" spans="1:26" s="25" customFormat="1" ht="6.95" customHeight="1" x14ac:dyDescent="0.3">
      <c r="A4684" s="10"/>
      <c r="B4684" s="168"/>
      <c r="C4684" s="169"/>
      <c r="D4684" s="160"/>
      <c r="E4684" s="161"/>
      <c r="F4684" s="162"/>
      <c r="G4684" s="163"/>
      <c r="H4684" s="164"/>
      <c r="I4684" s="163"/>
      <c r="J4684" s="164"/>
      <c r="K4684" s="163"/>
      <c r="L4684" s="164"/>
      <c r="M4684" s="11"/>
      <c r="N4684" s="39"/>
      <c r="Q4684" s="15" t="str">
        <f>+CONCATENATE(E4683,I4683)</f>
        <v/>
      </c>
      <c r="R4684" s="15">
        <f>+J4683</f>
        <v>0</v>
      </c>
      <c r="S4684" s="16"/>
      <c r="T4684" s="15">
        <f>+E4683</f>
        <v>0</v>
      </c>
      <c r="U4684" s="26" t="str">
        <f>IFERROR(LEFT(I4683,FIND("*",I4683)-1),"-")</f>
        <v>-</v>
      </c>
      <c r="V4684" s="26" t="str">
        <f>IFERROR(RIGHT(I4683,LEN(I4683)-FIND("*",I4683)),"-")</f>
        <v>-</v>
      </c>
      <c r="W4684" s="27" t="str">
        <f t="shared" si="2548"/>
        <v>-</v>
      </c>
      <c r="X4684" s="27" t="str">
        <f t="shared" ref="X4684" si="2553">IFERROR(W4684*J4683,"-")</f>
        <v>-</v>
      </c>
      <c r="Z4684" s="94" t="s">
        <v>82</v>
      </c>
    </row>
    <row r="4685" spans="1:26" s="25" customFormat="1" ht="6.95" customHeight="1" x14ac:dyDescent="0.3">
      <c r="A4685" s="10"/>
      <c r="B4685" s="168"/>
      <c r="C4685" s="169"/>
      <c r="D4685" s="160"/>
      <c r="E4685" s="161"/>
      <c r="F4685" s="162"/>
      <c r="G4685" s="163"/>
      <c r="H4685" s="164"/>
      <c r="I4685" s="163"/>
      <c r="J4685" s="164"/>
      <c r="K4685" s="163"/>
      <c r="L4685" s="164"/>
      <c r="M4685" s="11"/>
      <c r="N4685" s="39"/>
      <c r="Q4685" s="15" t="str">
        <f>+CONCATENATE(E4683,K4683)</f>
        <v/>
      </c>
      <c r="R4685" s="15">
        <f>+L4683</f>
        <v>0</v>
      </c>
      <c r="S4685" s="16"/>
      <c r="T4685" s="15">
        <f>+E4683</f>
        <v>0</v>
      </c>
      <c r="U4685" s="26" t="str">
        <f>IFERROR(LEFT(K4683,FIND("*",K4683)-1),"-")</f>
        <v>-</v>
      </c>
      <c r="V4685" s="26" t="str">
        <f>IFERROR(RIGHT(K4683,LEN(K4683)-FIND("*",K4683)),"-")</f>
        <v>-</v>
      </c>
      <c r="W4685" s="27" t="str">
        <f t="shared" si="2548"/>
        <v>-</v>
      </c>
      <c r="X4685" s="27" t="str">
        <f>IFERROR(W4685*L4683,"-")</f>
        <v>-</v>
      </c>
      <c r="Z4685" s="94" t="s">
        <v>82</v>
      </c>
    </row>
    <row r="4686" spans="1:26" s="25" customFormat="1" ht="21" customHeight="1" thickBot="1" x14ac:dyDescent="0.35">
      <c r="A4686" s="10"/>
      <c r="B4686" s="170"/>
      <c r="C4686" s="171"/>
      <c r="D4686" s="172" t="s">
        <v>43</v>
      </c>
      <c r="E4686" s="173"/>
      <c r="F4686" s="173"/>
      <c r="G4686" s="174"/>
      <c r="H4686" s="174"/>
      <c r="I4686" s="174"/>
      <c r="J4686" s="174"/>
      <c r="K4686" s="174"/>
      <c r="L4686" s="174"/>
      <c r="M4686" s="12"/>
      <c r="N4686" s="39"/>
      <c r="U4686" s="23"/>
      <c r="V4686" s="23"/>
      <c r="Z4686" s="95" t="s">
        <v>81</v>
      </c>
    </row>
    <row r="4687" spans="1:26" s="25" customFormat="1" ht="9.9499999999999993" customHeight="1" thickBot="1" x14ac:dyDescent="0.35">
      <c r="A4687" s="6"/>
      <c r="B4687" s="14"/>
      <c r="C4687" s="119"/>
      <c r="D4687" s="58"/>
      <c r="E4687" s="17"/>
      <c r="F4687" s="58"/>
      <c r="G4687" s="19"/>
      <c r="H4687" s="19"/>
      <c r="I4687" s="19"/>
      <c r="J4687" s="19"/>
      <c r="K4687" s="19"/>
      <c r="L4687" s="19"/>
      <c r="M4687" s="14"/>
      <c r="N4687" s="39"/>
      <c r="Q4687" s="1"/>
      <c r="R4687" s="1"/>
      <c r="S4687" s="1"/>
      <c r="T4687" s="1"/>
      <c r="U4687" s="24"/>
      <c r="V4687" s="24"/>
      <c r="W4687" s="1"/>
      <c r="X4687" s="1"/>
      <c r="Z4687" s="94" t="s">
        <v>82</v>
      </c>
    </row>
    <row r="4688" spans="1:26" s="25" customFormat="1" ht="6.95" customHeight="1" x14ac:dyDescent="0.3">
      <c r="A4688" s="165">
        <f>+A4677+1</f>
        <v>427</v>
      </c>
      <c r="B4688" s="166"/>
      <c r="C4688" s="167"/>
      <c r="D4688" s="160" t="s">
        <v>39</v>
      </c>
      <c r="E4688" s="161"/>
      <c r="F4688" s="162" t="s">
        <v>40</v>
      </c>
      <c r="G4688" s="163"/>
      <c r="H4688" s="164"/>
      <c r="I4688" s="163"/>
      <c r="J4688" s="164"/>
      <c r="K4688" s="163"/>
      <c r="L4688" s="164"/>
      <c r="M4688" s="11"/>
      <c r="N4688" s="39"/>
      <c r="Q4688" s="15" t="str">
        <f>+CONCATENATE(E4688,G4688)</f>
        <v/>
      </c>
      <c r="R4688" s="15">
        <f>+H4688</f>
        <v>0</v>
      </c>
      <c r="S4688" s="16"/>
      <c r="T4688" s="15">
        <f>+E4688</f>
        <v>0</v>
      </c>
      <c r="U4688" s="26" t="str">
        <f>IFERROR(LEFT(G4688,FIND("*",G4688)-1),"-")</f>
        <v>-</v>
      </c>
      <c r="V4688" s="26" t="str">
        <f>IFERROR(RIGHT(G4688,LEN(G4688)-FIND("*",G4688)),"-")</f>
        <v>-</v>
      </c>
      <c r="W4688" s="27" t="str">
        <f>IFERROR((U4688+V4688)*2/1000,"-")</f>
        <v>-</v>
      </c>
      <c r="X4688" s="27" t="str">
        <f>IFERROR(W4688*H4688,"-")</f>
        <v>-</v>
      </c>
      <c r="Z4688" s="94" t="s">
        <v>82</v>
      </c>
    </row>
    <row r="4689" spans="1:26" s="25" customFormat="1" ht="6.95" customHeight="1" x14ac:dyDescent="0.3">
      <c r="A4689" s="165"/>
      <c r="B4689" s="168"/>
      <c r="C4689" s="169"/>
      <c r="D4689" s="160"/>
      <c r="E4689" s="161"/>
      <c r="F4689" s="162"/>
      <c r="G4689" s="163"/>
      <c r="H4689" s="164"/>
      <c r="I4689" s="163"/>
      <c r="J4689" s="164"/>
      <c r="K4689" s="163"/>
      <c r="L4689" s="164"/>
      <c r="M4689" s="11"/>
      <c r="N4689" s="39"/>
      <c r="Q4689" s="15" t="str">
        <f>+CONCATENATE(E4688,I4688)</f>
        <v/>
      </c>
      <c r="R4689" s="15">
        <f>+J4688</f>
        <v>0</v>
      </c>
      <c r="S4689" s="16"/>
      <c r="T4689" s="15">
        <f>+E4688</f>
        <v>0</v>
      </c>
      <c r="U4689" s="26" t="str">
        <f>IFERROR(LEFT(I4688,FIND("*",I4688)-1),"-")</f>
        <v>-</v>
      </c>
      <c r="V4689" s="26" t="str">
        <f>IFERROR(RIGHT(I4688,LEN(I4688)-FIND("*",I4688)),"-")</f>
        <v>-</v>
      </c>
      <c r="W4689" s="27" t="str">
        <f t="shared" ref="W4689:W4696" si="2554">IFERROR((U4689+V4689)*2/1000,"-")</f>
        <v>-</v>
      </c>
      <c r="X4689" s="27" t="str">
        <f>IFERROR(W4689*J4688,"-")</f>
        <v>-</v>
      </c>
      <c r="Z4689" s="94" t="s">
        <v>82</v>
      </c>
    </row>
    <row r="4690" spans="1:26" s="25" customFormat="1" ht="6.95" customHeight="1" x14ac:dyDescent="0.3">
      <c r="A4690" s="165"/>
      <c r="B4690" s="168"/>
      <c r="C4690" s="169"/>
      <c r="D4690" s="160"/>
      <c r="E4690" s="161"/>
      <c r="F4690" s="162"/>
      <c r="G4690" s="163"/>
      <c r="H4690" s="164"/>
      <c r="I4690" s="163"/>
      <c r="J4690" s="164"/>
      <c r="K4690" s="163"/>
      <c r="L4690" s="164"/>
      <c r="M4690" s="11"/>
      <c r="N4690" s="39"/>
      <c r="Q4690" s="15" t="str">
        <f>+CONCATENATE(E4688,K4688)</f>
        <v/>
      </c>
      <c r="R4690" s="15">
        <f>+L4688</f>
        <v>0</v>
      </c>
      <c r="S4690" s="16"/>
      <c r="T4690" s="15">
        <f>+E4688</f>
        <v>0</v>
      </c>
      <c r="U4690" s="26" t="str">
        <f>IFERROR(LEFT(K4688,FIND("*",K4688)-1),"-")</f>
        <v>-</v>
      </c>
      <c r="V4690" s="26" t="str">
        <f>IFERROR(RIGHT(K4688,LEN(K4688)-FIND("*",K4688)),"-")</f>
        <v>-</v>
      </c>
      <c r="W4690" s="27" t="str">
        <f t="shared" si="2554"/>
        <v>-</v>
      </c>
      <c r="X4690" s="27" t="str">
        <f>IFERROR(W4690*L4688,"-")</f>
        <v>-</v>
      </c>
      <c r="Z4690" s="94" t="s">
        <v>82</v>
      </c>
    </row>
    <row r="4691" spans="1:26" s="25" customFormat="1" ht="6.95" customHeight="1" x14ac:dyDescent="0.3">
      <c r="A4691" s="13"/>
      <c r="B4691" s="168"/>
      <c r="C4691" s="169"/>
      <c r="D4691" s="160" t="s">
        <v>39</v>
      </c>
      <c r="E4691" s="161"/>
      <c r="F4691" s="162" t="s">
        <v>40</v>
      </c>
      <c r="G4691" s="163"/>
      <c r="H4691" s="164"/>
      <c r="I4691" s="163"/>
      <c r="J4691" s="164"/>
      <c r="K4691" s="163"/>
      <c r="L4691" s="164"/>
      <c r="M4691" s="11"/>
      <c r="N4691" s="39"/>
      <c r="Q4691" s="15" t="str">
        <f>+CONCATENATE(E4691,G4691)</f>
        <v/>
      </c>
      <c r="R4691" s="15">
        <f>+H4691</f>
        <v>0</v>
      </c>
      <c r="S4691" s="16"/>
      <c r="T4691" s="15">
        <f>+E4691</f>
        <v>0</v>
      </c>
      <c r="U4691" s="26" t="str">
        <f t="shared" ref="U4691" si="2555">IFERROR(LEFT(G4691,FIND("*",G4691)-1),"-")</f>
        <v>-</v>
      </c>
      <c r="V4691" s="26" t="str">
        <f t="shared" ref="V4691" si="2556">IFERROR(RIGHT(G4691,LEN(G4691)-FIND("*",G4691)),"-")</f>
        <v>-</v>
      </c>
      <c r="W4691" s="27" t="str">
        <f t="shared" si="2554"/>
        <v>-</v>
      </c>
      <c r="X4691" s="27" t="str">
        <f>IFERROR(W4691*H4691,"-")</f>
        <v>-</v>
      </c>
      <c r="Z4691" s="94" t="s">
        <v>82</v>
      </c>
    </row>
    <row r="4692" spans="1:26" s="25" customFormat="1" ht="6.95" customHeight="1" x14ac:dyDescent="0.3">
      <c r="A4692" s="10"/>
      <c r="B4692" s="168"/>
      <c r="C4692" s="169"/>
      <c r="D4692" s="160"/>
      <c r="E4692" s="161"/>
      <c r="F4692" s="162"/>
      <c r="G4692" s="163"/>
      <c r="H4692" s="164"/>
      <c r="I4692" s="163"/>
      <c r="J4692" s="164"/>
      <c r="K4692" s="163"/>
      <c r="L4692" s="164"/>
      <c r="M4692" s="11"/>
      <c r="N4692" s="39"/>
      <c r="Q4692" s="15" t="str">
        <f>+CONCATENATE(E4691,I4691)</f>
        <v/>
      </c>
      <c r="R4692" s="15">
        <f>+J4691</f>
        <v>0</v>
      </c>
      <c r="S4692" s="16"/>
      <c r="T4692" s="15">
        <f>+E4691</f>
        <v>0</v>
      </c>
      <c r="U4692" s="26" t="str">
        <f>IFERROR(LEFT(I4691,FIND("*",I4691)-1),"-")</f>
        <v>-</v>
      </c>
      <c r="V4692" s="26" t="str">
        <f>IFERROR(RIGHT(I4691,LEN(I4691)-FIND("*",I4691)),"-")</f>
        <v>-</v>
      </c>
      <c r="W4692" s="27" t="str">
        <f t="shared" si="2554"/>
        <v>-</v>
      </c>
      <c r="X4692" s="27" t="str">
        <f>IFERROR(W4692*J4691,"-")</f>
        <v>-</v>
      </c>
      <c r="Z4692" s="94" t="s">
        <v>82</v>
      </c>
    </row>
    <row r="4693" spans="1:26" s="25" customFormat="1" ht="6.95" customHeight="1" x14ac:dyDescent="0.3">
      <c r="A4693" s="10"/>
      <c r="B4693" s="168"/>
      <c r="C4693" s="169"/>
      <c r="D4693" s="160"/>
      <c r="E4693" s="161"/>
      <c r="F4693" s="162"/>
      <c r="G4693" s="163"/>
      <c r="H4693" s="164"/>
      <c r="I4693" s="163"/>
      <c r="J4693" s="164"/>
      <c r="K4693" s="163"/>
      <c r="L4693" s="164"/>
      <c r="M4693" s="11"/>
      <c r="N4693" s="39"/>
      <c r="Q4693" s="15" t="str">
        <f>+CONCATENATE(E4691,K4691)</f>
        <v/>
      </c>
      <c r="R4693" s="15">
        <f>+L4691</f>
        <v>0</v>
      </c>
      <c r="S4693" s="16"/>
      <c r="T4693" s="15">
        <f>+E4691</f>
        <v>0</v>
      </c>
      <c r="U4693" s="26" t="str">
        <f>IFERROR(LEFT(K4691,FIND("*",K4691)-1),"-")</f>
        <v>-</v>
      </c>
      <c r="V4693" s="26" t="str">
        <f>IFERROR(RIGHT(K4691,LEN(K4691)-FIND("*",K4691)),"-")</f>
        <v>-</v>
      </c>
      <c r="W4693" s="27" t="str">
        <f t="shared" si="2554"/>
        <v>-</v>
      </c>
      <c r="X4693" s="27" t="str">
        <f>IFERROR(W4693*L4691,"-")</f>
        <v>-</v>
      </c>
      <c r="Z4693" s="94" t="s">
        <v>82</v>
      </c>
    </row>
    <row r="4694" spans="1:26" s="25" customFormat="1" ht="6.95" customHeight="1" x14ac:dyDescent="0.3">
      <c r="A4694" s="13"/>
      <c r="B4694" s="168"/>
      <c r="C4694" s="169"/>
      <c r="D4694" s="160" t="s">
        <v>39</v>
      </c>
      <c r="E4694" s="161"/>
      <c r="F4694" s="162" t="s">
        <v>40</v>
      </c>
      <c r="G4694" s="163"/>
      <c r="H4694" s="164"/>
      <c r="I4694" s="163"/>
      <c r="J4694" s="164"/>
      <c r="K4694" s="163"/>
      <c r="L4694" s="164"/>
      <c r="M4694" s="11"/>
      <c r="N4694" s="39"/>
      <c r="Q4694" s="15" t="str">
        <f>+CONCATENATE(E4694,G4694)</f>
        <v/>
      </c>
      <c r="R4694" s="15">
        <f>+H4694</f>
        <v>0</v>
      </c>
      <c r="S4694" s="16"/>
      <c r="T4694" s="15">
        <f>+E4694</f>
        <v>0</v>
      </c>
      <c r="U4694" s="26" t="str">
        <f t="shared" ref="U4694" si="2557">IFERROR(LEFT(G4694,FIND("*",G4694)-1),"-")</f>
        <v>-</v>
      </c>
      <c r="V4694" s="26" t="str">
        <f t="shared" ref="V4694" si="2558">IFERROR(RIGHT(G4694,LEN(G4694)-FIND("*",G4694)),"-")</f>
        <v>-</v>
      </c>
      <c r="W4694" s="27" t="str">
        <f t="shared" si="2554"/>
        <v>-</v>
      </c>
      <c r="X4694" s="27" t="str">
        <f>IFERROR(W4694*H4694,"-")</f>
        <v>-</v>
      </c>
      <c r="Z4694" s="94" t="s">
        <v>82</v>
      </c>
    </row>
    <row r="4695" spans="1:26" s="25" customFormat="1" ht="6.95" customHeight="1" x14ac:dyDescent="0.3">
      <c r="A4695" s="10"/>
      <c r="B4695" s="168"/>
      <c r="C4695" s="169"/>
      <c r="D4695" s="160"/>
      <c r="E4695" s="161"/>
      <c r="F4695" s="162"/>
      <c r="G4695" s="163"/>
      <c r="H4695" s="164"/>
      <c r="I4695" s="163"/>
      <c r="J4695" s="164"/>
      <c r="K4695" s="163"/>
      <c r="L4695" s="164"/>
      <c r="M4695" s="11"/>
      <c r="N4695" s="39"/>
      <c r="Q4695" s="15" t="str">
        <f>+CONCATENATE(E4694,I4694)</f>
        <v/>
      </c>
      <c r="R4695" s="15">
        <f>+J4694</f>
        <v>0</v>
      </c>
      <c r="S4695" s="16"/>
      <c r="T4695" s="15">
        <f>+E4694</f>
        <v>0</v>
      </c>
      <c r="U4695" s="26" t="str">
        <f>IFERROR(LEFT(I4694,FIND("*",I4694)-1),"-")</f>
        <v>-</v>
      </c>
      <c r="V4695" s="26" t="str">
        <f>IFERROR(RIGHT(I4694,LEN(I4694)-FIND("*",I4694)),"-")</f>
        <v>-</v>
      </c>
      <c r="W4695" s="27" t="str">
        <f t="shared" si="2554"/>
        <v>-</v>
      </c>
      <c r="X4695" s="27" t="str">
        <f t="shared" ref="X4695" si="2559">IFERROR(W4695*J4694,"-")</f>
        <v>-</v>
      </c>
      <c r="Z4695" s="94" t="s">
        <v>82</v>
      </c>
    </row>
    <row r="4696" spans="1:26" s="25" customFormat="1" ht="6.95" customHeight="1" x14ac:dyDescent="0.3">
      <c r="A4696" s="10"/>
      <c r="B4696" s="168"/>
      <c r="C4696" s="169"/>
      <c r="D4696" s="160"/>
      <c r="E4696" s="161"/>
      <c r="F4696" s="162"/>
      <c r="G4696" s="163"/>
      <c r="H4696" s="164"/>
      <c r="I4696" s="163"/>
      <c r="J4696" s="164"/>
      <c r="K4696" s="163"/>
      <c r="L4696" s="164"/>
      <c r="M4696" s="11"/>
      <c r="N4696" s="39"/>
      <c r="Q4696" s="15" t="str">
        <f>+CONCATENATE(E4694,K4694)</f>
        <v/>
      </c>
      <c r="R4696" s="15">
        <f>+L4694</f>
        <v>0</v>
      </c>
      <c r="S4696" s="16"/>
      <c r="T4696" s="15">
        <f>+E4694</f>
        <v>0</v>
      </c>
      <c r="U4696" s="26" t="str">
        <f>IFERROR(LEFT(K4694,FIND("*",K4694)-1),"-")</f>
        <v>-</v>
      </c>
      <c r="V4696" s="26" t="str">
        <f>IFERROR(RIGHT(K4694,LEN(K4694)-FIND("*",K4694)),"-")</f>
        <v>-</v>
      </c>
      <c r="W4696" s="27" t="str">
        <f t="shared" si="2554"/>
        <v>-</v>
      </c>
      <c r="X4696" s="27" t="str">
        <f>IFERROR(W4696*L4694,"-")</f>
        <v>-</v>
      </c>
      <c r="Z4696" s="94" t="s">
        <v>82</v>
      </c>
    </row>
    <row r="4697" spans="1:26" s="25" customFormat="1" ht="21" customHeight="1" thickBot="1" x14ac:dyDescent="0.35">
      <c r="A4697" s="10"/>
      <c r="B4697" s="170"/>
      <c r="C4697" s="171"/>
      <c r="D4697" s="172" t="s">
        <v>43</v>
      </c>
      <c r="E4697" s="173"/>
      <c r="F4697" s="173"/>
      <c r="G4697" s="174"/>
      <c r="H4697" s="174"/>
      <c r="I4697" s="174"/>
      <c r="J4697" s="174"/>
      <c r="K4697" s="174"/>
      <c r="L4697" s="174"/>
      <c r="M4697" s="12"/>
      <c r="N4697" s="39"/>
      <c r="U4697" s="23"/>
      <c r="V4697" s="23"/>
      <c r="Z4697" s="95" t="s">
        <v>81</v>
      </c>
    </row>
    <row r="4698" spans="1:26" s="25" customFormat="1" ht="9.9499999999999993" customHeight="1" thickBot="1" x14ac:dyDescent="0.35">
      <c r="A4698" s="6"/>
      <c r="B4698" s="14"/>
      <c r="C4698" s="119"/>
      <c r="D4698" s="58"/>
      <c r="E4698" s="17"/>
      <c r="F4698" s="58"/>
      <c r="G4698" s="19"/>
      <c r="H4698" s="19"/>
      <c r="I4698" s="19"/>
      <c r="J4698" s="19"/>
      <c r="K4698" s="19"/>
      <c r="L4698" s="19"/>
      <c r="M4698" s="14"/>
      <c r="N4698" s="39"/>
      <c r="Q4698" s="1"/>
      <c r="R4698" s="1"/>
      <c r="S4698" s="1"/>
      <c r="T4698" s="1"/>
      <c r="U4698" s="24"/>
      <c r="V4698" s="24"/>
      <c r="W4698" s="1"/>
      <c r="X4698" s="1"/>
      <c r="Z4698" s="94" t="s">
        <v>82</v>
      </c>
    </row>
    <row r="4699" spans="1:26" s="25" customFormat="1" ht="6.95" customHeight="1" x14ac:dyDescent="0.3">
      <c r="A4699" s="165">
        <f>+A4688+1</f>
        <v>428</v>
      </c>
      <c r="B4699" s="166"/>
      <c r="C4699" s="167"/>
      <c r="D4699" s="160" t="s">
        <v>39</v>
      </c>
      <c r="E4699" s="161"/>
      <c r="F4699" s="162" t="s">
        <v>40</v>
      </c>
      <c r="G4699" s="163"/>
      <c r="H4699" s="164"/>
      <c r="I4699" s="163"/>
      <c r="J4699" s="164"/>
      <c r="K4699" s="163"/>
      <c r="L4699" s="164"/>
      <c r="M4699" s="11"/>
      <c r="N4699" s="39"/>
      <c r="Q4699" s="15" t="str">
        <f>+CONCATENATE(E4699,G4699)</f>
        <v/>
      </c>
      <c r="R4699" s="15">
        <f>+H4699</f>
        <v>0</v>
      </c>
      <c r="S4699" s="16"/>
      <c r="T4699" s="15">
        <f>+E4699</f>
        <v>0</v>
      </c>
      <c r="U4699" s="26" t="str">
        <f>IFERROR(LEFT(G4699,FIND("*",G4699)-1),"-")</f>
        <v>-</v>
      </c>
      <c r="V4699" s="26" t="str">
        <f>IFERROR(RIGHT(G4699,LEN(G4699)-FIND("*",G4699)),"-")</f>
        <v>-</v>
      </c>
      <c r="W4699" s="27" t="str">
        <f>IFERROR((U4699+V4699)*2/1000,"-")</f>
        <v>-</v>
      </c>
      <c r="X4699" s="27" t="str">
        <f>IFERROR(W4699*H4699,"-")</f>
        <v>-</v>
      </c>
      <c r="Z4699" s="94" t="s">
        <v>82</v>
      </c>
    </row>
    <row r="4700" spans="1:26" s="25" customFormat="1" ht="6.95" customHeight="1" x14ac:dyDescent="0.3">
      <c r="A4700" s="165"/>
      <c r="B4700" s="168"/>
      <c r="C4700" s="169"/>
      <c r="D4700" s="160"/>
      <c r="E4700" s="161"/>
      <c r="F4700" s="162"/>
      <c r="G4700" s="163"/>
      <c r="H4700" s="164"/>
      <c r="I4700" s="163"/>
      <c r="J4700" s="164"/>
      <c r="K4700" s="163"/>
      <c r="L4700" s="164"/>
      <c r="M4700" s="11"/>
      <c r="N4700" s="39"/>
      <c r="Q4700" s="15" t="str">
        <f>+CONCATENATE(E4699,I4699)</f>
        <v/>
      </c>
      <c r="R4700" s="15">
        <f>+J4699</f>
        <v>0</v>
      </c>
      <c r="S4700" s="16"/>
      <c r="T4700" s="15">
        <f>+E4699</f>
        <v>0</v>
      </c>
      <c r="U4700" s="26" t="str">
        <f>IFERROR(LEFT(I4699,FIND("*",I4699)-1),"-")</f>
        <v>-</v>
      </c>
      <c r="V4700" s="26" t="str">
        <f>IFERROR(RIGHT(I4699,LEN(I4699)-FIND("*",I4699)),"-")</f>
        <v>-</v>
      </c>
      <c r="W4700" s="27" t="str">
        <f t="shared" ref="W4700:W4707" si="2560">IFERROR((U4700+V4700)*2/1000,"-")</f>
        <v>-</v>
      </c>
      <c r="X4700" s="27" t="str">
        <f>IFERROR(W4700*J4699,"-")</f>
        <v>-</v>
      </c>
      <c r="Z4700" s="94" t="s">
        <v>82</v>
      </c>
    </row>
    <row r="4701" spans="1:26" s="25" customFormat="1" ht="6.95" customHeight="1" x14ac:dyDescent="0.3">
      <c r="A4701" s="165"/>
      <c r="B4701" s="168"/>
      <c r="C4701" s="169"/>
      <c r="D4701" s="160"/>
      <c r="E4701" s="161"/>
      <c r="F4701" s="162"/>
      <c r="G4701" s="163"/>
      <c r="H4701" s="164"/>
      <c r="I4701" s="163"/>
      <c r="J4701" s="164"/>
      <c r="K4701" s="163"/>
      <c r="L4701" s="164"/>
      <c r="M4701" s="11"/>
      <c r="N4701" s="39"/>
      <c r="Q4701" s="15" t="str">
        <f>+CONCATENATE(E4699,K4699)</f>
        <v/>
      </c>
      <c r="R4701" s="15">
        <f>+L4699</f>
        <v>0</v>
      </c>
      <c r="S4701" s="16"/>
      <c r="T4701" s="15">
        <f>+E4699</f>
        <v>0</v>
      </c>
      <c r="U4701" s="26" t="str">
        <f>IFERROR(LEFT(K4699,FIND("*",K4699)-1),"-")</f>
        <v>-</v>
      </c>
      <c r="V4701" s="26" t="str">
        <f>IFERROR(RIGHT(K4699,LEN(K4699)-FIND("*",K4699)),"-")</f>
        <v>-</v>
      </c>
      <c r="W4701" s="27" t="str">
        <f t="shared" si="2560"/>
        <v>-</v>
      </c>
      <c r="X4701" s="27" t="str">
        <f>IFERROR(W4701*L4699,"-")</f>
        <v>-</v>
      </c>
      <c r="Z4701" s="94" t="s">
        <v>82</v>
      </c>
    </row>
    <row r="4702" spans="1:26" s="25" customFormat="1" ht="6.95" customHeight="1" x14ac:dyDescent="0.3">
      <c r="A4702" s="13"/>
      <c r="B4702" s="168"/>
      <c r="C4702" s="169"/>
      <c r="D4702" s="160" t="s">
        <v>39</v>
      </c>
      <c r="E4702" s="161"/>
      <c r="F4702" s="162" t="s">
        <v>40</v>
      </c>
      <c r="G4702" s="163"/>
      <c r="H4702" s="164"/>
      <c r="I4702" s="163"/>
      <c r="J4702" s="164"/>
      <c r="K4702" s="163"/>
      <c r="L4702" s="164"/>
      <c r="M4702" s="11"/>
      <c r="N4702" s="39"/>
      <c r="Q4702" s="15" t="str">
        <f>+CONCATENATE(E4702,G4702)</f>
        <v/>
      </c>
      <c r="R4702" s="15">
        <f>+H4702</f>
        <v>0</v>
      </c>
      <c r="S4702" s="16"/>
      <c r="T4702" s="15">
        <f>+E4702</f>
        <v>0</v>
      </c>
      <c r="U4702" s="26" t="str">
        <f t="shared" ref="U4702" si="2561">IFERROR(LEFT(G4702,FIND("*",G4702)-1),"-")</f>
        <v>-</v>
      </c>
      <c r="V4702" s="26" t="str">
        <f t="shared" ref="V4702" si="2562">IFERROR(RIGHT(G4702,LEN(G4702)-FIND("*",G4702)),"-")</f>
        <v>-</v>
      </c>
      <c r="W4702" s="27" t="str">
        <f t="shared" si="2560"/>
        <v>-</v>
      </c>
      <c r="X4702" s="27" t="str">
        <f>IFERROR(W4702*H4702,"-")</f>
        <v>-</v>
      </c>
      <c r="Z4702" s="94" t="s">
        <v>82</v>
      </c>
    </row>
    <row r="4703" spans="1:26" s="25" customFormat="1" ht="6.95" customHeight="1" x14ac:dyDescent="0.3">
      <c r="A4703" s="10"/>
      <c r="B4703" s="168"/>
      <c r="C4703" s="169"/>
      <c r="D4703" s="160"/>
      <c r="E4703" s="161"/>
      <c r="F4703" s="162"/>
      <c r="G4703" s="163"/>
      <c r="H4703" s="164"/>
      <c r="I4703" s="163"/>
      <c r="J4703" s="164"/>
      <c r="K4703" s="163"/>
      <c r="L4703" s="164"/>
      <c r="M4703" s="11"/>
      <c r="N4703" s="39"/>
      <c r="Q4703" s="15" t="str">
        <f>+CONCATENATE(E4702,I4702)</f>
        <v/>
      </c>
      <c r="R4703" s="15">
        <f>+J4702</f>
        <v>0</v>
      </c>
      <c r="S4703" s="16"/>
      <c r="T4703" s="15">
        <f>+E4702</f>
        <v>0</v>
      </c>
      <c r="U4703" s="26" t="str">
        <f>IFERROR(LEFT(I4702,FIND("*",I4702)-1),"-")</f>
        <v>-</v>
      </c>
      <c r="V4703" s="26" t="str">
        <f>IFERROR(RIGHT(I4702,LEN(I4702)-FIND("*",I4702)),"-")</f>
        <v>-</v>
      </c>
      <c r="W4703" s="27" t="str">
        <f t="shared" si="2560"/>
        <v>-</v>
      </c>
      <c r="X4703" s="27" t="str">
        <f>IFERROR(W4703*J4702,"-")</f>
        <v>-</v>
      </c>
      <c r="Z4703" s="94" t="s">
        <v>82</v>
      </c>
    </row>
    <row r="4704" spans="1:26" s="25" customFormat="1" ht="6.95" customHeight="1" x14ac:dyDescent="0.3">
      <c r="A4704" s="10"/>
      <c r="B4704" s="168"/>
      <c r="C4704" s="169"/>
      <c r="D4704" s="160"/>
      <c r="E4704" s="161"/>
      <c r="F4704" s="162"/>
      <c r="G4704" s="163"/>
      <c r="H4704" s="164"/>
      <c r="I4704" s="163"/>
      <c r="J4704" s="164"/>
      <c r="K4704" s="163"/>
      <c r="L4704" s="164"/>
      <c r="M4704" s="11"/>
      <c r="N4704" s="39"/>
      <c r="Q4704" s="15" t="str">
        <f>+CONCATENATE(E4702,K4702)</f>
        <v/>
      </c>
      <c r="R4704" s="15">
        <f>+L4702</f>
        <v>0</v>
      </c>
      <c r="S4704" s="16"/>
      <c r="T4704" s="15">
        <f>+E4702</f>
        <v>0</v>
      </c>
      <c r="U4704" s="26" t="str">
        <f>IFERROR(LEFT(K4702,FIND("*",K4702)-1),"-")</f>
        <v>-</v>
      </c>
      <c r="V4704" s="26" t="str">
        <f>IFERROR(RIGHT(K4702,LEN(K4702)-FIND("*",K4702)),"-")</f>
        <v>-</v>
      </c>
      <c r="W4704" s="27" t="str">
        <f t="shared" si="2560"/>
        <v>-</v>
      </c>
      <c r="X4704" s="27" t="str">
        <f>IFERROR(W4704*L4702,"-")</f>
        <v>-</v>
      </c>
      <c r="Z4704" s="94" t="s">
        <v>82</v>
      </c>
    </row>
    <row r="4705" spans="1:26" s="25" customFormat="1" ht="6.95" customHeight="1" x14ac:dyDescent="0.3">
      <c r="A4705" s="13"/>
      <c r="B4705" s="168"/>
      <c r="C4705" s="169"/>
      <c r="D4705" s="160" t="s">
        <v>39</v>
      </c>
      <c r="E4705" s="161"/>
      <c r="F4705" s="162" t="s">
        <v>40</v>
      </c>
      <c r="G4705" s="163"/>
      <c r="H4705" s="164"/>
      <c r="I4705" s="163"/>
      <c r="J4705" s="164"/>
      <c r="K4705" s="163"/>
      <c r="L4705" s="164"/>
      <c r="M4705" s="11"/>
      <c r="N4705" s="39"/>
      <c r="Q4705" s="15" t="str">
        <f>+CONCATENATE(E4705,G4705)</f>
        <v/>
      </c>
      <c r="R4705" s="15">
        <f>+H4705</f>
        <v>0</v>
      </c>
      <c r="S4705" s="16"/>
      <c r="T4705" s="15">
        <f>+E4705</f>
        <v>0</v>
      </c>
      <c r="U4705" s="26" t="str">
        <f t="shared" ref="U4705" si="2563">IFERROR(LEFT(G4705,FIND("*",G4705)-1),"-")</f>
        <v>-</v>
      </c>
      <c r="V4705" s="26" t="str">
        <f t="shared" ref="V4705" si="2564">IFERROR(RIGHT(G4705,LEN(G4705)-FIND("*",G4705)),"-")</f>
        <v>-</v>
      </c>
      <c r="W4705" s="27" t="str">
        <f t="shared" si="2560"/>
        <v>-</v>
      </c>
      <c r="X4705" s="27" t="str">
        <f>IFERROR(W4705*H4705,"-")</f>
        <v>-</v>
      </c>
      <c r="Z4705" s="94" t="s">
        <v>82</v>
      </c>
    </row>
    <row r="4706" spans="1:26" s="25" customFormat="1" ht="6.95" customHeight="1" x14ac:dyDescent="0.3">
      <c r="A4706" s="10"/>
      <c r="B4706" s="168"/>
      <c r="C4706" s="169"/>
      <c r="D4706" s="160"/>
      <c r="E4706" s="161"/>
      <c r="F4706" s="162"/>
      <c r="G4706" s="163"/>
      <c r="H4706" s="164"/>
      <c r="I4706" s="163"/>
      <c r="J4706" s="164"/>
      <c r="K4706" s="163"/>
      <c r="L4706" s="164"/>
      <c r="M4706" s="11"/>
      <c r="N4706" s="39"/>
      <c r="Q4706" s="15" t="str">
        <f>+CONCATENATE(E4705,I4705)</f>
        <v/>
      </c>
      <c r="R4706" s="15">
        <f>+J4705</f>
        <v>0</v>
      </c>
      <c r="S4706" s="16"/>
      <c r="T4706" s="15">
        <f>+E4705</f>
        <v>0</v>
      </c>
      <c r="U4706" s="26" t="str">
        <f>IFERROR(LEFT(I4705,FIND("*",I4705)-1),"-")</f>
        <v>-</v>
      </c>
      <c r="V4706" s="26" t="str">
        <f>IFERROR(RIGHT(I4705,LEN(I4705)-FIND("*",I4705)),"-")</f>
        <v>-</v>
      </c>
      <c r="W4706" s="27" t="str">
        <f t="shared" si="2560"/>
        <v>-</v>
      </c>
      <c r="X4706" s="27" t="str">
        <f t="shared" ref="X4706" si="2565">IFERROR(W4706*J4705,"-")</f>
        <v>-</v>
      </c>
      <c r="Z4706" s="94" t="s">
        <v>82</v>
      </c>
    </row>
    <row r="4707" spans="1:26" s="25" customFormat="1" ht="6.95" customHeight="1" x14ac:dyDescent="0.3">
      <c r="A4707" s="10"/>
      <c r="B4707" s="168"/>
      <c r="C4707" s="169"/>
      <c r="D4707" s="160"/>
      <c r="E4707" s="161"/>
      <c r="F4707" s="162"/>
      <c r="G4707" s="163"/>
      <c r="H4707" s="164"/>
      <c r="I4707" s="163"/>
      <c r="J4707" s="164"/>
      <c r="K4707" s="163"/>
      <c r="L4707" s="164"/>
      <c r="M4707" s="11"/>
      <c r="N4707" s="39"/>
      <c r="Q4707" s="15" t="str">
        <f>+CONCATENATE(E4705,K4705)</f>
        <v/>
      </c>
      <c r="R4707" s="15">
        <f>+L4705</f>
        <v>0</v>
      </c>
      <c r="S4707" s="16"/>
      <c r="T4707" s="15">
        <f>+E4705</f>
        <v>0</v>
      </c>
      <c r="U4707" s="26" t="str">
        <f>IFERROR(LEFT(K4705,FIND("*",K4705)-1),"-")</f>
        <v>-</v>
      </c>
      <c r="V4707" s="26" t="str">
        <f>IFERROR(RIGHT(K4705,LEN(K4705)-FIND("*",K4705)),"-")</f>
        <v>-</v>
      </c>
      <c r="W4707" s="27" t="str">
        <f t="shared" si="2560"/>
        <v>-</v>
      </c>
      <c r="X4707" s="27" t="str">
        <f>IFERROR(W4707*L4705,"-")</f>
        <v>-</v>
      </c>
      <c r="Z4707" s="94" t="s">
        <v>82</v>
      </c>
    </row>
    <row r="4708" spans="1:26" s="25" customFormat="1" ht="21" customHeight="1" thickBot="1" x14ac:dyDescent="0.35">
      <c r="A4708" s="10"/>
      <c r="B4708" s="170"/>
      <c r="C4708" s="171"/>
      <c r="D4708" s="172" t="s">
        <v>43</v>
      </c>
      <c r="E4708" s="173"/>
      <c r="F4708" s="173"/>
      <c r="G4708" s="174"/>
      <c r="H4708" s="174"/>
      <c r="I4708" s="174"/>
      <c r="J4708" s="174"/>
      <c r="K4708" s="174"/>
      <c r="L4708" s="174"/>
      <c r="M4708" s="12"/>
      <c r="N4708" s="39"/>
      <c r="U4708" s="23"/>
      <c r="V4708" s="23"/>
      <c r="Z4708" s="95" t="s">
        <v>81</v>
      </c>
    </row>
    <row r="4709" spans="1:26" s="25" customFormat="1" ht="9.9499999999999993" customHeight="1" thickBot="1" x14ac:dyDescent="0.35">
      <c r="A4709" s="6"/>
      <c r="B4709" s="14"/>
      <c r="C4709" s="119"/>
      <c r="D4709" s="58"/>
      <c r="E4709" s="17"/>
      <c r="F4709" s="58"/>
      <c r="G4709" s="19"/>
      <c r="H4709" s="19"/>
      <c r="I4709" s="19"/>
      <c r="J4709" s="19"/>
      <c r="K4709" s="19"/>
      <c r="L4709" s="19"/>
      <c r="M4709" s="14"/>
      <c r="N4709" s="39"/>
      <c r="Q4709" s="1"/>
      <c r="R4709" s="1"/>
      <c r="S4709" s="1"/>
      <c r="T4709" s="1"/>
      <c r="U4709" s="24"/>
      <c r="V4709" s="24"/>
      <c r="W4709" s="1"/>
      <c r="X4709" s="1"/>
      <c r="Z4709" s="94" t="s">
        <v>82</v>
      </c>
    </row>
    <row r="4710" spans="1:26" s="25" customFormat="1" ht="6.95" customHeight="1" x14ac:dyDescent="0.3">
      <c r="A4710" s="165">
        <f>+A4699+1</f>
        <v>429</v>
      </c>
      <c r="B4710" s="166"/>
      <c r="C4710" s="167"/>
      <c r="D4710" s="160" t="s">
        <v>39</v>
      </c>
      <c r="E4710" s="161"/>
      <c r="F4710" s="162" t="s">
        <v>40</v>
      </c>
      <c r="G4710" s="163"/>
      <c r="H4710" s="164"/>
      <c r="I4710" s="163"/>
      <c r="J4710" s="164"/>
      <c r="K4710" s="163"/>
      <c r="L4710" s="164"/>
      <c r="M4710" s="11"/>
      <c r="N4710" s="39"/>
      <c r="Q4710" s="15" t="str">
        <f>+CONCATENATE(E4710,G4710)</f>
        <v/>
      </c>
      <c r="R4710" s="15">
        <f>+H4710</f>
        <v>0</v>
      </c>
      <c r="S4710" s="16"/>
      <c r="T4710" s="15">
        <f>+E4710</f>
        <v>0</v>
      </c>
      <c r="U4710" s="26" t="str">
        <f>IFERROR(LEFT(G4710,FIND("*",G4710)-1),"-")</f>
        <v>-</v>
      </c>
      <c r="V4710" s="26" t="str">
        <f>IFERROR(RIGHT(G4710,LEN(G4710)-FIND("*",G4710)),"-")</f>
        <v>-</v>
      </c>
      <c r="W4710" s="27" t="str">
        <f>IFERROR((U4710+V4710)*2/1000,"-")</f>
        <v>-</v>
      </c>
      <c r="X4710" s="27" t="str">
        <f>IFERROR(W4710*H4710,"-")</f>
        <v>-</v>
      </c>
      <c r="Z4710" s="94" t="s">
        <v>82</v>
      </c>
    </row>
    <row r="4711" spans="1:26" s="25" customFormat="1" ht="6.95" customHeight="1" x14ac:dyDescent="0.3">
      <c r="A4711" s="165"/>
      <c r="B4711" s="168"/>
      <c r="C4711" s="169"/>
      <c r="D4711" s="160"/>
      <c r="E4711" s="161"/>
      <c r="F4711" s="162"/>
      <c r="G4711" s="163"/>
      <c r="H4711" s="164"/>
      <c r="I4711" s="163"/>
      <c r="J4711" s="164"/>
      <c r="K4711" s="163"/>
      <c r="L4711" s="164"/>
      <c r="M4711" s="11"/>
      <c r="N4711" s="39"/>
      <c r="Q4711" s="15" t="str">
        <f>+CONCATENATE(E4710,I4710)</f>
        <v/>
      </c>
      <c r="R4711" s="15">
        <f>+J4710</f>
        <v>0</v>
      </c>
      <c r="S4711" s="16"/>
      <c r="T4711" s="15">
        <f>+E4710</f>
        <v>0</v>
      </c>
      <c r="U4711" s="26" t="str">
        <f>IFERROR(LEFT(I4710,FIND("*",I4710)-1),"-")</f>
        <v>-</v>
      </c>
      <c r="V4711" s="26" t="str">
        <f>IFERROR(RIGHT(I4710,LEN(I4710)-FIND("*",I4710)),"-")</f>
        <v>-</v>
      </c>
      <c r="W4711" s="27" t="str">
        <f t="shared" ref="W4711:W4718" si="2566">IFERROR((U4711+V4711)*2/1000,"-")</f>
        <v>-</v>
      </c>
      <c r="X4711" s="27" t="str">
        <f>IFERROR(W4711*J4710,"-")</f>
        <v>-</v>
      </c>
      <c r="Z4711" s="94" t="s">
        <v>82</v>
      </c>
    </row>
    <row r="4712" spans="1:26" s="25" customFormat="1" ht="6.95" customHeight="1" x14ac:dyDescent="0.3">
      <c r="A4712" s="165"/>
      <c r="B4712" s="168"/>
      <c r="C4712" s="169"/>
      <c r="D4712" s="160"/>
      <c r="E4712" s="161"/>
      <c r="F4712" s="162"/>
      <c r="G4712" s="163"/>
      <c r="H4712" s="164"/>
      <c r="I4712" s="163"/>
      <c r="J4712" s="164"/>
      <c r="K4712" s="163"/>
      <c r="L4712" s="164"/>
      <c r="M4712" s="11"/>
      <c r="N4712" s="39"/>
      <c r="Q4712" s="15" t="str">
        <f>+CONCATENATE(E4710,K4710)</f>
        <v/>
      </c>
      <c r="R4712" s="15">
        <f>+L4710</f>
        <v>0</v>
      </c>
      <c r="S4712" s="16"/>
      <c r="T4712" s="15">
        <f>+E4710</f>
        <v>0</v>
      </c>
      <c r="U4712" s="26" t="str">
        <f>IFERROR(LEFT(K4710,FIND("*",K4710)-1),"-")</f>
        <v>-</v>
      </c>
      <c r="V4712" s="26" t="str">
        <f>IFERROR(RIGHT(K4710,LEN(K4710)-FIND("*",K4710)),"-")</f>
        <v>-</v>
      </c>
      <c r="W4712" s="27" t="str">
        <f t="shared" si="2566"/>
        <v>-</v>
      </c>
      <c r="X4712" s="27" t="str">
        <f>IFERROR(W4712*L4710,"-")</f>
        <v>-</v>
      </c>
      <c r="Z4712" s="94" t="s">
        <v>82</v>
      </c>
    </row>
    <row r="4713" spans="1:26" s="25" customFormat="1" ht="6.95" customHeight="1" x14ac:dyDescent="0.3">
      <c r="A4713" s="13"/>
      <c r="B4713" s="168"/>
      <c r="C4713" s="169"/>
      <c r="D4713" s="160" t="s">
        <v>39</v>
      </c>
      <c r="E4713" s="161"/>
      <c r="F4713" s="162" t="s">
        <v>40</v>
      </c>
      <c r="G4713" s="163"/>
      <c r="H4713" s="164"/>
      <c r="I4713" s="163"/>
      <c r="J4713" s="164"/>
      <c r="K4713" s="163"/>
      <c r="L4713" s="164"/>
      <c r="M4713" s="11"/>
      <c r="N4713" s="39"/>
      <c r="Q4713" s="15" t="str">
        <f>+CONCATENATE(E4713,G4713)</f>
        <v/>
      </c>
      <c r="R4713" s="15">
        <f>+H4713</f>
        <v>0</v>
      </c>
      <c r="S4713" s="16"/>
      <c r="T4713" s="15">
        <f>+E4713</f>
        <v>0</v>
      </c>
      <c r="U4713" s="26" t="str">
        <f t="shared" ref="U4713" si="2567">IFERROR(LEFT(G4713,FIND("*",G4713)-1),"-")</f>
        <v>-</v>
      </c>
      <c r="V4713" s="26" t="str">
        <f t="shared" ref="V4713" si="2568">IFERROR(RIGHT(G4713,LEN(G4713)-FIND("*",G4713)),"-")</f>
        <v>-</v>
      </c>
      <c r="W4713" s="27" t="str">
        <f t="shared" si="2566"/>
        <v>-</v>
      </c>
      <c r="X4713" s="27" t="str">
        <f>IFERROR(W4713*H4713,"-")</f>
        <v>-</v>
      </c>
      <c r="Z4713" s="94" t="s">
        <v>82</v>
      </c>
    </row>
    <row r="4714" spans="1:26" s="25" customFormat="1" ht="6.95" customHeight="1" x14ac:dyDescent="0.3">
      <c r="A4714" s="10"/>
      <c r="B4714" s="168"/>
      <c r="C4714" s="169"/>
      <c r="D4714" s="160"/>
      <c r="E4714" s="161"/>
      <c r="F4714" s="162"/>
      <c r="G4714" s="163"/>
      <c r="H4714" s="164"/>
      <c r="I4714" s="163"/>
      <c r="J4714" s="164"/>
      <c r="K4714" s="163"/>
      <c r="L4714" s="164"/>
      <c r="M4714" s="11"/>
      <c r="N4714" s="39"/>
      <c r="Q4714" s="15" t="str">
        <f>+CONCATENATE(E4713,I4713)</f>
        <v/>
      </c>
      <c r="R4714" s="15">
        <f>+J4713</f>
        <v>0</v>
      </c>
      <c r="S4714" s="16"/>
      <c r="T4714" s="15">
        <f>+E4713</f>
        <v>0</v>
      </c>
      <c r="U4714" s="26" t="str">
        <f>IFERROR(LEFT(I4713,FIND("*",I4713)-1),"-")</f>
        <v>-</v>
      </c>
      <c r="V4714" s="26" t="str">
        <f>IFERROR(RIGHT(I4713,LEN(I4713)-FIND("*",I4713)),"-")</f>
        <v>-</v>
      </c>
      <c r="W4714" s="27" t="str">
        <f t="shared" si="2566"/>
        <v>-</v>
      </c>
      <c r="X4714" s="27" t="str">
        <f>IFERROR(W4714*J4713,"-")</f>
        <v>-</v>
      </c>
      <c r="Z4714" s="94" t="s">
        <v>82</v>
      </c>
    </row>
    <row r="4715" spans="1:26" s="25" customFormat="1" ht="6.95" customHeight="1" x14ac:dyDescent="0.3">
      <c r="A4715" s="10"/>
      <c r="B4715" s="168"/>
      <c r="C4715" s="169"/>
      <c r="D4715" s="160"/>
      <c r="E4715" s="161"/>
      <c r="F4715" s="162"/>
      <c r="G4715" s="163"/>
      <c r="H4715" s="164"/>
      <c r="I4715" s="163"/>
      <c r="J4715" s="164"/>
      <c r="K4715" s="163"/>
      <c r="L4715" s="164"/>
      <c r="M4715" s="11"/>
      <c r="N4715" s="39"/>
      <c r="Q4715" s="15" t="str">
        <f>+CONCATENATE(E4713,K4713)</f>
        <v/>
      </c>
      <c r="R4715" s="15">
        <f>+L4713</f>
        <v>0</v>
      </c>
      <c r="S4715" s="16"/>
      <c r="T4715" s="15">
        <f>+E4713</f>
        <v>0</v>
      </c>
      <c r="U4715" s="26" t="str">
        <f>IFERROR(LEFT(K4713,FIND("*",K4713)-1),"-")</f>
        <v>-</v>
      </c>
      <c r="V4715" s="26" t="str">
        <f>IFERROR(RIGHT(K4713,LEN(K4713)-FIND("*",K4713)),"-")</f>
        <v>-</v>
      </c>
      <c r="W4715" s="27" t="str">
        <f t="shared" si="2566"/>
        <v>-</v>
      </c>
      <c r="X4715" s="27" t="str">
        <f>IFERROR(W4715*L4713,"-")</f>
        <v>-</v>
      </c>
      <c r="Z4715" s="94" t="s">
        <v>82</v>
      </c>
    </row>
    <row r="4716" spans="1:26" s="25" customFormat="1" ht="6.95" customHeight="1" x14ac:dyDescent="0.3">
      <c r="A4716" s="13"/>
      <c r="B4716" s="168"/>
      <c r="C4716" s="169"/>
      <c r="D4716" s="160" t="s">
        <v>39</v>
      </c>
      <c r="E4716" s="161"/>
      <c r="F4716" s="162" t="s">
        <v>40</v>
      </c>
      <c r="G4716" s="163"/>
      <c r="H4716" s="164"/>
      <c r="I4716" s="163"/>
      <c r="J4716" s="164"/>
      <c r="K4716" s="163"/>
      <c r="L4716" s="164"/>
      <c r="M4716" s="11"/>
      <c r="N4716" s="39"/>
      <c r="Q4716" s="15" t="str">
        <f>+CONCATENATE(E4716,G4716)</f>
        <v/>
      </c>
      <c r="R4716" s="15">
        <f>+H4716</f>
        <v>0</v>
      </c>
      <c r="S4716" s="16"/>
      <c r="T4716" s="15">
        <f>+E4716</f>
        <v>0</v>
      </c>
      <c r="U4716" s="26" t="str">
        <f t="shared" ref="U4716" si="2569">IFERROR(LEFT(G4716,FIND("*",G4716)-1),"-")</f>
        <v>-</v>
      </c>
      <c r="V4716" s="26" t="str">
        <f t="shared" ref="V4716" si="2570">IFERROR(RIGHT(G4716,LEN(G4716)-FIND("*",G4716)),"-")</f>
        <v>-</v>
      </c>
      <c r="W4716" s="27" t="str">
        <f t="shared" si="2566"/>
        <v>-</v>
      </c>
      <c r="X4716" s="27" t="str">
        <f>IFERROR(W4716*H4716,"-")</f>
        <v>-</v>
      </c>
      <c r="Z4716" s="94" t="s">
        <v>82</v>
      </c>
    </row>
    <row r="4717" spans="1:26" s="25" customFormat="1" ht="6.95" customHeight="1" x14ac:dyDescent="0.3">
      <c r="A4717" s="10"/>
      <c r="B4717" s="168"/>
      <c r="C4717" s="169"/>
      <c r="D4717" s="160"/>
      <c r="E4717" s="161"/>
      <c r="F4717" s="162"/>
      <c r="G4717" s="163"/>
      <c r="H4717" s="164"/>
      <c r="I4717" s="163"/>
      <c r="J4717" s="164"/>
      <c r="K4717" s="163"/>
      <c r="L4717" s="164"/>
      <c r="M4717" s="11"/>
      <c r="N4717" s="39"/>
      <c r="Q4717" s="15" t="str">
        <f>+CONCATENATE(E4716,I4716)</f>
        <v/>
      </c>
      <c r="R4717" s="15">
        <f>+J4716</f>
        <v>0</v>
      </c>
      <c r="S4717" s="16"/>
      <c r="T4717" s="15">
        <f>+E4716</f>
        <v>0</v>
      </c>
      <c r="U4717" s="26" t="str">
        <f>IFERROR(LEFT(I4716,FIND("*",I4716)-1),"-")</f>
        <v>-</v>
      </c>
      <c r="V4717" s="26" t="str">
        <f>IFERROR(RIGHT(I4716,LEN(I4716)-FIND("*",I4716)),"-")</f>
        <v>-</v>
      </c>
      <c r="W4717" s="27" t="str">
        <f t="shared" si="2566"/>
        <v>-</v>
      </c>
      <c r="X4717" s="27" t="str">
        <f t="shared" ref="X4717" si="2571">IFERROR(W4717*J4716,"-")</f>
        <v>-</v>
      </c>
      <c r="Z4717" s="94" t="s">
        <v>82</v>
      </c>
    </row>
    <row r="4718" spans="1:26" s="25" customFormat="1" ht="6.95" customHeight="1" x14ac:dyDescent="0.3">
      <c r="A4718" s="10"/>
      <c r="B4718" s="168"/>
      <c r="C4718" s="169"/>
      <c r="D4718" s="160"/>
      <c r="E4718" s="161"/>
      <c r="F4718" s="162"/>
      <c r="G4718" s="163"/>
      <c r="H4718" s="164"/>
      <c r="I4718" s="163"/>
      <c r="J4718" s="164"/>
      <c r="K4718" s="163"/>
      <c r="L4718" s="164"/>
      <c r="M4718" s="11"/>
      <c r="N4718" s="39"/>
      <c r="Q4718" s="15" t="str">
        <f>+CONCATENATE(E4716,K4716)</f>
        <v/>
      </c>
      <c r="R4718" s="15">
        <f>+L4716</f>
        <v>0</v>
      </c>
      <c r="S4718" s="16"/>
      <c r="T4718" s="15">
        <f>+E4716</f>
        <v>0</v>
      </c>
      <c r="U4718" s="26" t="str">
        <f>IFERROR(LEFT(K4716,FIND("*",K4716)-1),"-")</f>
        <v>-</v>
      </c>
      <c r="V4718" s="26" t="str">
        <f>IFERROR(RIGHT(K4716,LEN(K4716)-FIND("*",K4716)),"-")</f>
        <v>-</v>
      </c>
      <c r="W4718" s="27" t="str">
        <f t="shared" si="2566"/>
        <v>-</v>
      </c>
      <c r="X4718" s="27" t="str">
        <f>IFERROR(W4718*L4716,"-")</f>
        <v>-</v>
      </c>
      <c r="Z4718" s="94" t="s">
        <v>82</v>
      </c>
    </row>
    <row r="4719" spans="1:26" s="25" customFormat="1" ht="21" customHeight="1" thickBot="1" x14ac:dyDescent="0.35">
      <c r="A4719" s="10"/>
      <c r="B4719" s="170"/>
      <c r="C4719" s="171"/>
      <c r="D4719" s="172" t="s">
        <v>43</v>
      </c>
      <c r="E4719" s="173"/>
      <c r="F4719" s="173"/>
      <c r="G4719" s="174"/>
      <c r="H4719" s="174"/>
      <c r="I4719" s="174"/>
      <c r="J4719" s="174"/>
      <c r="K4719" s="174"/>
      <c r="L4719" s="174"/>
      <c r="M4719" s="12"/>
      <c r="N4719" s="39"/>
      <c r="U4719" s="23"/>
      <c r="V4719" s="23"/>
      <c r="Z4719" s="95" t="s">
        <v>81</v>
      </c>
    </row>
    <row r="4720" spans="1:26" s="25" customFormat="1" ht="9.9499999999999993" customHeight="1" thickBot="1" x14ac:dyDescent="0.35">
      <c r="A4720" s="6"/>
      <c r="B4720" s="14"/>
      <c r="C4720" s="119"/>
      <c r="D4720" s="58"/>
      <c r="E4720" s="17"/>
      <c r="F4720" s="58"/>
      <c r="G4720" s="19"/>
      <c r="H4720" s="19"/>
      <c r="I4720" s="19"/>
      <c r="J4720" s="19"/>
      <c r="K4720" s="19"/>
      <c r="L4720" s="19"/>
      <c r="M4720" s="14"/>
      <c r="N4720" s="39"/>
      <c r="Q4720" s="1"/>
      <c r="R4720" s="1"/>
      <c r="S4720" s="1"/>
      <c r="T4720" s="1"/>
      <c r="U4720" s="24"/>
      <c r="V4720" s="24"/>
      <c r="W4720" s="1"/>
      <c r="X4720" s="1"/>
      <c r="Z4720" s="94" t="s">
        <v>82</v>
      </c>
    </row>
    <row r="4721" spans="1:26" s="25" customFormat="1" ht="6.95" customHeight="1" x14ac:dyDescent="0.3">
      <c r="A4721" s="165">
        <f>+A4710+1</f>
        <v>430</v>
      </c>
      <c r="B4721" s="166"/>
      <c r="C4721" s="167"/>
      <c r="D4721" s="160" t="s">
        <v>39</v>
      </c>
      <c r="E4721" s="161"/>
      <c r="F4721" s="162" t="s">
        <v>40</v>
      </c>
      <c r="G4721" s="163"/>
      <c r="H4721" s="164"/>
      <c r="I4721" s="163"/>
      <c r="J4721" s="164"/>
      <c r="K4721" s="163"/>
      <c r="L4721" s="164"/>
      <c r="M4721" s="11"/>
      <c r="N4721" s="39"/>
      <c r="Q4721" s="15" t="str">
        <f>+CONCATENATE(E4721,G4721)</f>
        <v/>
      </c>
      <c r="R4721" s="15">
        <f>+H4721</f>
        <v>0</v>
      </c>
      <c r="S4721" s="16"/>
      <c r="T4721" s="15">
        <f>+E4721</f>
        <v>0</v>
      </c>
      <c r="U4721" s="26" t="str">
        <f>IFERROR(LEFT(G4721,FIND("*",G4721)-1),"-")</f>
        <v>-</v>
      </c>
      <c r="V4721" s="26" t="str">
        <f>IFERROR(RIGHT(G4721,LEN(G4721)-FIND("*",G4721)),"-")</f>
        <v>-</v>
      </c>
      <c r="W4721" s="27" t="str">
        <f>IFERROR((U4721+V4721)*2/1000,"-")</f>
        <v>-</v>
      </c>
      <c r="X4721" s="27" t="str">
        <f>IFERROR(W4721*H4721,"-")</f>
        <v>-</v>
      </c>
      <c r="Z4721" s="94" t="s">
        <v>82</v>
      </c>
    </row>
    <row r="4722" spans="1:26" s="25" customFormat="1" ht="6.95" customHeight="1" x14ac:dyDescent="0.3">
      <c r="A4722" s="165"/>
      <c r="B4722" s="168"/>
      <c r="C4722" s="169"/>
      <c r="D4722" s="160"/>
      <c r="E4722" s="161"/>
      <c r="F4722" s="162"/>
      <c r="G4722" s="163"/>
      <c r="H4722" s="164"/>
      <c r="I4722" s="163"/>
      <c r="J4722" s="164"/>
      <c r="K4722" s="163"/>
      <c r="L4722" s="164"/>
      <c r="M4722" s="11"/>
      <c r="N4722" s="39"/>
      <c r="Q4722" s="15" t="str">
        <f>+CONCATENATE(E4721,I4721)</f>
        <v/>
      </c>
      <c r="R4722" s="15">
        <f>+J4721</f>
        <v>0</v>
      </c>
      <c r="S4722" s="16"/>
      <c r="T4722" s="15">
        <f>+E4721</f>
        <v>0</v>
      </c>
      <c r="U4722" s="26" t="str">
        <f>IFERROR(LEFT(I4721,FIND("*",I4721)-1),"-")</f>
        <v>-</v>
      </c>
      <c r="V4722" s="26" t="str">
        <f>IFERROR(RIGHT(I4721,LEN(I4721)-FIND("*",I4721)),"-")</f>
        <v>-</v>
      </c>
      <c r="W4722" s="27" t="str">
        <f t="shared" ref="W4722:W4729" si="2572">IFERROR((U4722+V4722)*2/1000,"-")</f>
        <v>-</v>
      </c>
      <c r="X4722" s="27" t="str">
        <f>IFERROR(W4722*J4721,"-")</f>
        <v>-</v>
      </c>
      <c r="Z4722" s="94" t="s">
        <v>82</v>
      </c>
    </row>
    <row r="4723" spans="1:26" s="25" customFormat="1" ht="6.95" customHeight="1" x14ac:dyDescent="0.3">
      <c r="A4723" s="165"/>
      <c r="B4723" s="168"/>
      <c r="C4723" s="169"/>
      <c r="D4723" s="160"/>
      <c r="E4723" s="161"/>
      <c r="F4723" s="162"/>
      <c r="G4723" s="163"/>
      <c r="H4723" s="164"/>
      <c r="I4723" s="163"/>
      <c r="J4723" s="164"/>
      <c r="K4723" s="163"/>
      <c r="L4723" s="164"/>
      <c r="M4723" s="11"/>
      <c r="N4723" s="39"/>
      <c r="Q4723" s="15" t="str">
        <f>+CONCATENATE(E4721,K4721)</f>
        <v/>
      </c>
      <c r="R4723" s="15">
        <f>+L4721</f>
        <v>0</v>
      </c>
      <c r="S4723" s="16"/>
      <c r="T4723" s="15">
        <f>+E4721</f>
        <v>0</v>
      </c>
      <c r="U4723" s="26" t="str">
        <f>IFERROR(LEFT(K4721,FIND("*",K4721)-1),"-")</f>
        <v>-</v>
      </c>
      <c r="V4723" s="26" t="str">
        <f>IFERROR(RIGHT(K4721,LEN(K4721)-FIND("*",K4721)),"-")</f>
        <v>-</v>
      </c>
      <c r="W4723" s="27" t="str">
        <f t="shared" si="2572"/>
        <v>-</v>
      </c>
      <c r="X4723" s="27" t="str">
        <f>IFERROR(W4723*L4721,"-")</f>
        <v>-</v>
      </c>
      <c r="Z4723" s="94" t="s">
        <v>82</v>
      </c>
    </row>
    <row r="4724" spans="1:26" s="25" customFormat="1" ht="6.95" customHeight="1" x14ac:dyDescent="0.3">
      <c r="A4724" s="13"/>
      <c r="B4724" s="168"/>
      <c r="C4724" s="169"/>
      <c r="D4724" s="160" t="s">
        <v>39</v>
      </c>
      <c r="E4724" s="161"/>
      <c r="F4724" s="162" t="s">
        <v>40</v>
      </c>
      <c r="G4724" s="163"/>
      <c r="H4724" s="164"/>
      <c r="I4724" s="163"/>
      <c r="J4724" s="164"/>
      <c r="K4724" s="163"/>
      <c r="L4724" s="164"/>
      <c r="M4724" s="11"/>
      <c r="N4724" s="39"/>
      <c r="Q4724" s="15" t="str">
        <f>+CONCATENATE(E4724,G4724)</f>
        <v/>
      </c>
      <c r="R4724" s="15">
        <f>+H4724</f>
        <v>0</v>
      </c>
      <c r="S4724" s="16"/>
      <c r="T4724" s="15">
        <f>+E4724</f>
        <v>0</v>
      </c>
      <c r="U4724" s="26" t="str">
        <f t="shared" ref="U4724" si="2573">IFERROR(LEFT(G4724,FIND("*",G4724)-1),"-")</f>
        <v>-</v>
      </c>
      <c r="V4724" s="26" t="str">
        <f t="shared" ref="V4724" si="2574">IFERROR(RIGHT(G4724,LEN(G4724)-FIND("*",G4724)),"-")</f>
        <v>-</v>
      </c>
      <c r="W4724" s="27" t="str">
        <f t="shared" si="2572"/>
        <v>-</v>
      </c>
      <c r="X4724" s="27" t="str">
        <f>IFERROR(W4724*H4724,"-")</f>
        <v>-</v>
      </c>
      <c r="Z4724" s="94" t="s">
        <v>82</v>
      </c>
    </row>
    <row r="4725" spans="1:26" s="25" customFormat="1" ht="6.95" customHeight="1" x14ac:dyDescent="0.3">
      <c r="A4725" s="10"/>
      <c r="B4725" s="168"/>
      <c r="C4725" s="169"/>
      <c r="D4725" s="160"/>
      <c r="E4725" s="161"/>
      <c r="F4725" s="162"/>
      <c r="G4725" s="163"/>
      <c r="H4725" s="164"/>
      <c r="I4725" s="163"/>
      <c r="J4725" s="164"/>
      <c r="K4725" s="163"/>
      <c r="L4725" s="164"/>
      <c r="M4725" s="11"/>
      <c r="N4725" s="39"/>
      <c r="Q4725" s="15" t="str">
        <f>+CONCATENATE(E4724,I4724)</f>
        <v/>
      </c>
      <c r="R4725" s="15">
        <f>+J4724</f>
        <v>0</v>
      </c>
      <c r="S4725" s="16"/>
      <c r="T4725" s="15">
        <f>+E4724</f>
        <v>0</v>
      </c>
      <c r="U4725" s="26" t="str">
        <f>IFERROR(LEFT(I4724,FIND("*",I4724)-1),"-")</f>
        <v>-</v>
      </c>
      <c r="V4725" s="26" t="str">
        <f>IFERROR(RIGHT(I4724,LEN(I4724)-FIND("*",I4724)),"-")</f>
        <v>-</v>
      </c>
      <c r="W4725" s="27" t="str">
        <f t="shared" si="2572"/>
        <v>-</v>
      </c>
      <c r="X4725" s="27" t="str">
        <f>IFERROR(W4725*J4724,"-")</f>
        <v>-</v>
      </c>
      <c r="Z4725" s="94" t="s">
        <v>82</v>
      </c>
    </row>
    <row r="4726" spans="1:26" s="25" customFormat="1" ht="6.95" customHeight="1" x14ac:dyDescent="0.3">
      <c r="A4726" s="10"/>
      <c r="B4726" s="168"/>
      <c r="C4726" s="169"/>
      <c r="D4726" s="160"/>
      <c r="E4726" s="161"/>
      <c r="F4726" s="162"/>
      <c r="G4726" s="163"/>
      <c r="H4726" s="164"/>
      <c r="I4726" s="163"/>
      <c r="J4726" s="164"/>
      <c r="K4726" s="163"/>
      <c r="L4726" s="164"/>
      <c r="M4726" s="11"/>
      <c r="N4726" s="39"/>
      <c r="Q4726" s="15" t="str">
        <f>+CONCATENATE(E4724,K4724)</f>
        <v/>
      </c>
      <c r="R4726" s="15">
        <f>+L4724</f>
        <v>0</v>
      </c>
      <c r="S4726" s="16"/>
      <c r="T4726" s="15">
        <f>+E4724</f>
        <v>0</v>
      </c>
      <c r="U4726" s="26" t="str">
        <f>IFERROR(LEFT(K4724,FIND("*",K4724)-1),"-")</f>
        <v>-</v>
      </c>
      <c r="V4726" s="26" t="str">
        <f>IFERROR(RIGHT(K4724,LEN(K4724)-FIND("*",K4724)),"-")</f>
        <v>-</v>
      </c>
      <c r="W4726" s="27" t="str">
        <f t="shared" si="2572"/>
        <v>-</v>
      </c>
      <c r="X4726" s="27" t="str">
        <f>IFERROR(W4726*L4724,"-")</f>
        <v>-</v>
      </c>
      <c r="Z4726" s="94" t="s">
        <v>82</v>
      </c>
    </row>
    <row r="4727" spans="1:26" s="25" customFormat="1" ht="6.95" customHeight="1" x14ac:dyDescent="0.3">
      <c r="A4727" s="13"/>
      <c r="B4727" s="168"/>
      <c r="C4727" s="169"/>
      <c r="D4727" s="160" t="s">
        <v>39</v>
      </c>
      <c r="E4727" s="161"/>
      <c r="F4727" s="162" t="s">
        <v>40</v>
      </c>
      <c r="G4727" s="163"/>
      <c r="H4727" s="164"/>
      <c r="I4727" s="163"/>
      <c r="J4727" s="164"/>
      <c r="K4727" s="163"/>
      <c r="L4727" s="164"/>
      <c r="M4727" s="11"/>
      <c r="N4727" s="39"/>
      <c r="Q4727" s="15" t="str">
        <f>+CONCATENATE(E4727,G4727)</f>
        <v/>
      </c>
      <c r="R4727" s="15">
        <f>+H4727</f>
        <v>0</v>
      </c>
      <c r="S4727" s="16"/>
      <c r="T4727" s="15">
        <f>+E4727</f>
        <v>0</v>
      </c>
      <c r="U4727" s="26" t="str">
        <f t="shared" ref="U4727" si="2575">IFERROR(LEFT(G4727,FIND("*",G4727)-1),"-")</f>
        <v>-</v>
      </c>
      <c r="V4727" s="26" t="str">
        <f t="shared" ref="V4727" si="2576">IFERROR(RIGHT(G4727,LEN(G4727)-FIND("*",G4727)),"-")</f>
        <v>-</v>
      </c>
      <c r="W4727" s="27" t="str">
        <f t="shared" si="2572"/>
        <v>-</v>
      </c>
      <c r="X4727" s="27" t="str">
        <f>IFERROR(W4727*H4727,"-")</f>
        <v>-</v>
      </c>
      <c r="Z4727" s="94" t="s">
        <v>82</v>
      </c>
    </row>
    <row r="4728" spans="1:26" s="25" customFormat="1" ht="6.95" customHeight="1" x14ac:dyDescent="0.3">
      <c r="A4728" s="10"/>
      <c r="B4728" s="168"/>
      <c r="C4728" s="169"/>
      <c r="D4728" s="160"/>
      <c r="E4728" s="161"/>
      <c r="F4728" s="162"/>
      <c r="G4728" s="163"/>
      <c r="H4728" s="164"/>
      <c r="I4728" s="163"/>
      <c r="J4728" s="164"/>
      <c r="K4728" s="163"/>
      <c r="L4728" s="164"/>
      <c r="M4728" s="11"/>
      <c r="N4728" s="39"/>
      <c r="Q4728" s="15" t="str">
        <f>+CONCATENATE(E4727,I4727)</f>
        <v/>
      </c>
      <c r="R4728" s="15">
        <f>+J4727</f>
        <v>0</v>
      </c>
      <c r="S4728" s="16"/>
      <c r="T4728" s="15">
        <f>+E4727</f>
        <v>0</v>
      </c>
      <c r="U4728" s="26" t="str">
        <f>IFERROR(LEFT(I4727,FIND("*",I4727)-1),"-")</f>
        <v>-</v>
      </c>
      <c r="V4728" s="26" t="str">
        <f>IFERROR(RIGHT(I4727,LEN(I4727)-FIND("*",I4727)),"-")</f>
        <v>-</v>
      </c>
      <c r="W4728" s="27" t="str">
        <f t="shared" si="2572"/>
        <v>-</v>
      </c>
      <c r="X4728" s="27" t="str">
        <f t="shared" ref="X4728" si="2577">IFERROR(W4728*J4727,"-")</f>
        <v>-</v>
      </c>
      <c r="Z4728" s="94" t="s">
        <v>82</v>
      </c>
    </row>
    <row r="4729" spans="1:26" s="25" customFormat="1" ht="6.95" customHeight="1" x14ac:dyDescent="0.3">
      <c r="A4729" s="10"/>
      <c r="B4729" s="168"/>
      <c r="C4729" s="169"/>
      <c r="D4729" s="160"/>
      <c r="E4729" s="161"/>
      <c r="F4729" s="162"/>
      <c r="G4729" s="163"/>
      <c r="H4729" s="164"/>
      <c r="I4729" s="163"/>
      <c r="J4729" s="164"/>
      <c r="K4729" s="163"/>
      <c r="L4729" s="164"/>
      <c r="M4729" s="11"/>
      <c r="N4729" s="39"/>
      <c r="Q4729" s="15" t="str">
        <f>+CONCATENATE(E4727,K4727)</f>
        <v/>
      </c>
      <c r="R4729" s="15">
        <f>+L4727</f>
        <v>0</v>
      </c>
      <c r="S4729" s="16"/>
      <c r="T4729" s="15">
        <f>+E4727</f>
        <v>0</v>
      </c>
      <c r="U4729" s="26" t="str">
        <f>IFERROR(LEFT(K4727,FIND("*",K4727)-1),"-")</f>
        <v>-</v>
      </c>
      <c r="V4729" s="26" t="str">
        <f>IFERROR(RIGHT(K4727,LEN(K4727)-FIND("*",K4727)),"-")</f>
        <v>-</v>
      </c>
      <c r="W4729" s="27" t="str">
        <f t="shared" si="2572"/>
        <v>-</v>
      </c>
      <c r="X4729" s="27" t="str">
        <f>IFERROR(W4729*L4727,"-")</f>
        <v>-</v>
      </c>
      <c r="Z4729" s="94" t="s">
        <v>82</v>
      </c>
    </row>
    <row r="4730" spans="1:26" s="25" customFormat="1" ht="21" customHeight="1" thickBot="1" x14ac:dyDescent="0.35">
      <c r="A4730" s="10"/>
      <c r="B4730" s="170"/>
      <c r="C4730" s="171"/>
      <c r="D4730" s="172" t="s">
        <v>43</v>
      </c>
      <c r="E4730" s="173"/>
      <c r="F4730" s="173"/>
      <c r="G4730" s="174"/>
      <c r="H4730" s="174"/>
      <c r="I4730" s="174"/>
      <c r="J4730" s="174"/>
      <c r="K4730" s="174"/>
      <c r="L4730" s="174"/>
      <c r="M4730" s="12"/>
      <c r="N4730" s="39"/>
      <c r="U4730" s="23"/>
      <c r="V4730" s="23"/>
      <c r="Z4730" s="95" t="s">
        <v>81</v>
      </c>
    </row>
    <row r="4731" spans="1:26" s="25" customFormat="1" ht="9.9499999999999993" customHeight="1" thickBot="1" x14ac:dyDescent="0.35">
      <c r="A4731" s="6"/>
      <c r="B4731" s="14"/>
      <c r="C4731" s="119"/>
      <c r="D4731" s="58"/>
      <c r="E4731" s="17"/>
      <c r="F4731" s="58"/>
      <c r="G4731" s="19"/>
      <c r="H4731" s="19"/>
      <c r="I4731" s="19"/>
      <c r="J4731" s="19"/>
      <c r="K4731" s="19"/>
      <c r="L4731" s="19"/>
      <c r="M4731" s="14"/>
      <c r="N4731" s="39"/>
      <c r="Q4731" s="1"/>
      <c r="R4731" s="1"/>
      <c r="S4731" s="1"/>
      <c r="T4731" s="1"/>
      <c r="U4731" s="24"/>
      <c r="V4731" s="24"/>
      <c r="W4731" s="1"/>
      <c r="X4731" s="1"/>
      <c r="Z4731" s="94" t="s">
        <v>82</v>
      </c>
    </row>
    <row r="4732" spans="1:26" s="25" customFormat="1" ht="6.95" customHeight="1" x14ac:dyDescent="0.3">
      <c r="A4732" s="165">
        <f>+A4721+1</f>
        <v>431</v>
      </c>
      <c r="B4732" s="166"/>
      <c r="C4732" s="167"/>
      <c r="D4732" s="160" t="s">
        <v>39</v>
      </c>
      <c r="E4732" s="161"/>
      <c r="F4732" s="162" t="s">
        <v>40</v>
      </c>
      <c r="G4732" s="163"/>
      <c r="H4732" s="164"/>
      <c r="I4732" s="163"/>
      <c r="J4732" s="164"/>
      <c r="K4732" s="163"/>
      <c r="L4732" s="164"/>
      <c r="M4732" s="11"/>
      <c r="N4732" s="39"/>
      <c r="Q4732" s="15" t="str">
        <f>+CONCATENATE(E4732,G4732)</f>
        <v/>
      </c>
      <c r="R4732" s="15">
        <f>+H4732</f>
        <v>0</v>
      </c>
      <c r="S4732" s="16"/>
      <c r="T4732" s="15">
        <f>+E4732</f>
        <v>0</v>
      </c>
      <c r="U4732" s="26" t="str">
        <f>IFERROR(LEFT(G4732,FIND("*",G4732)-1),"-")</f>
        <v>-</v>
      </c>
      <c r="V4732" s="26" t="str">
        <f>IFERROR(RIGHT(G4732,LEN(G4732)-FIND("*",G4732)),"-")</f>
        <v>-</v>
      </c>
      <c r="W4732" s="27" t="str">
        <f>IFERROR((U4732+V4732)*2/1000,"-")</f>
        <v>-</v>
      </c>
      <c r="X4732" s="27" t="str">
        <f>IFERROR(W4732*H4732,"-")</f>
        <v>-</v>
      </c>
      <c r="Z4732" s="94" t="s">
        <v>82</v>
      </c>
    </row>
    <row r="4733" spans="1:26" s="25" customFormat="1" ht="6.95" customHeight="1" x14ac:dyDescent="0.3">
      <c r="A4733" s="165"/>
      <c r="B4733" s="168"/>
      <c r="C4733" s="169"/>
      <c r="D4733" s="160"/>
      <c r="E4733" s="161"/>
      <c r="F4733" s="162"/>
      <c r="G4733" s="163"/>
      <c r="H4733" s="164"/>
      <c r="I4733" s="163"/>
      <c r="J4733" s="164"/>
      <c r="K4733" s="163"/>
      <c r="L4733" s="164"/>
      <c r="M4733" s="11"/>
      <c r="N4733" s="39"/>
      <c r="Q4733" s="15" t="str">
        <f>+CONCATENATE(E4732,I4732)</f>
        <v/>
      </c>
      <c r="R4733" s="15">
        <f>+J4732</f>
        <v>0</v>
      </c>
      <c r="S4733" s="16"/>
      <c r="T4733" s="15">
        <f>+E4732</f>
        <v>0</v>
      </c>
      <c r="U4733" s="26" t="str">
        <f>IFERROR(LEFT(I4732,FIND("*",I4732)-1),"-")</f>
        <v>-</v>
      </c>
      <c r="V4733" s="26" t="str">
        <f>IFERROR(RIGHT(I4732,LEN(I4732)-FIND("*",I4732)),"-")</f>
        <v>-</v>
      </c>
      <c r="W4733" s="27" t="str">
        <f t="shared" ref="W4733:W4740" si="2578">IFERROR((U4733+V4733)*2/1000,"-")</f>
        <v>-</v>
      </c>
      <c r="X4733" s="27" t="str">
        <f>IFERROR(W4733*J4732,"-")</f>
        <v>-</v>
      </c>
      <c r="Z4733" s="94" t="s">
        <v>82</v>
      </c>
    </row>
    <row r="4734" spans="1:26" s="25" customFormat="1" ht="6.95" customHeight="1" x14ac:dyDescent="0.3">
      <c r="A4734" s="165"/>
      <c r="B4734" s="168"/>
      <c r="C4734" s="169"/>
      <c r="D4734" s="160"/>
      <c r="E4734" s="161"/>
      <c r="F4734" s="162"/>
      <c r="G4734" s="163"/>
      <c r="H4734" s="164"/>
      <c r="I4734" s="163"/>
      <c r="J4734" s="164"/>
      <c r="K4734" s="163"/>
      <c r="L4734" s="164"/>
      <c r="M4734" s="11"/>
      <c r="N4734" s="39"/>
      <c r="Q4734" s="15" t="str">
        <f>+CONCATENATE(E4732,K4732)</f>
        <v/>
      </c>
      <c r="R4734" s="15">
        <f>+L4732</f>
        <v>0</v>
      </c>
      <c r="S4734" s="16"/>
      <c r="T4734" s="15">
        <f>+E4732</f>
        <v>0</v>
      </c>
      <c r="U4734" s="26" t="str">
        <f>IFERROR(LEFT(K4732,FIND("*",K4732)-1),"-")</f>
        <v>-</v>
      </c>
      <c r="V4734" s="26" t="str">
        <f>IFERROR(RIGHT(K4732,LEN(K4732)-FIND("*",K4732)),"-")</f>
        <v>-</v>
      </c>
      <c r="W4734" s="27" t="str">
        <f t="shared" si="2578"/>
        <v>-</v>
      </c>
      <c r="X4734" s="27" t="str">
        <f>IFERROR(W4734*L4732,"-")</f>
        <v>-</v>
      </c>
      <c r="Z4734" s="94" t="s">
        <v>82</v>
      </c>
    </row>
    <row r="4735" spans="1:26" s="25" customFormat="1" ht="6.95" customHeight="1" x14ac:dyDescent="0.3">
      <c r="A4735" s="13"/>
      <c r="B4735" s="168"/>
      <c r="C4735" s="169"/>
      <c r="D4735" s="160" t="s">
        <v>39</v>
      </c>
      <c r="E4735" s="161"/>
      <c r="F4735" s="162" t="s">
        <v>40</v>
      </c>
      <c r="G4735" s="163"/>
      <c r="H4735" s="164"/>
      <c r="I4735" s="163"/>
      <c r="J4735" s="164"/>
      <c r="K4735" s="163"/>
      <c r="L4735" s="164"/>
      <c r="M4735" s="11"/>
      <c r="N4735" s="39"/>
      <c r="Q4735" s="15" t="str">
        <f>+CONCATENATE(E4735,G4735)</f>
        <v/>
      </c>
      <c r="R4735" s="15">
        <f>+H4735</f>
        <v>0</v>
      </c>
      <c r="S4735" s="16"/>
      <c r="T4735" s="15">
        <f>+E4735</f>
        <v>0</v>
      </c>
      <c r="U4735" s="26" t="str">
        <f t="shared" ref="U4735" si="2579">IFERROR(LEFT(G4735,FIND("*",G4735)-1),"-")</f>
        <v>-</v>
      </c>
      <c r="V4735" s="26" t="str">
        <f t="shared" ref="V4735" si="2580">IFERROR(RIGHT(G4735,LEN(G4735)-FIND("*",G4735)),"-")</f>
        <v>-</v>
      </c>
      <c r="W4735" s="27" t="str">
        <f t="shared" si="2578"/>
        <v>-</v>
      </c>
      <c r="X4735" s="27" t="str">
        <f>IFERROR(W4735*H4735,"-")</f>
        <v>-</v>
      </c>
      <c r="Z4735" s="94" t="s">
        <v>82</v>
      </c>
    </row>
    <row r="4736" spans="1:26" s="25" customFormat="1" ht="6.95" customHeight="1" x14ac:dyDescent="0.3">
      <c r="A4736" s="10"/>
      <c r="B4736" s="168"/>
      <c r="C4736" s="169"/>
      <c r="D4736" s="160"/>
      <c r="E4736" s="161"/>
      <c r="F4736" s="162"/>
      <c r="G4736" s="163"/>
      <c r="H4736" s="164"/>
      <c r="I4736" s="163"/>
      <c r="J4736" s="164"/>
      <c r="K4736" s="163"/>
      <c r="L4736" s="164"/>
      <c r="M4736" s="11"/>
      <c r="N4736" s="39"/>
      <c r="Q4736" s="15" t="str">
        <f>+CONCATENATE(E4735,I4735)</f>
        <v/>
      </c>
      <c r="R4736" s="15">
        <f>+J4735</f>
        <v>0</v>
      </c>
      <c r="S4736" s="16"/>
      <c r="T4736" s="15">
        <f>+E4735</f>
        <v>0</v>
      </c>
      <c r="U4736" s="26" t="str">
        <f>IFERROR(LEFT(I4735,FIND("*",I4735)-1),"-")</f>
        <v>-</v>
      </c>
      <c r="V4736" s="26" t="str">
        <f>IFERROR(RIGHT(I4735,LEN(I4735)-FIND("*",I4735)),"-")</f>
        <v>-</v>
      </c>
      <c r="W4736" s="27" t="str">
        <f t="shared" si="2578"/>
        <v>-</v>
      </c>
      <c r="X4736" s="27" t="str">
        <f>IFERROR(W4736*J4735,"-")</f>
        <v>-</v>
      </c>
      <c r="Z4736" s="94" t="s">
        <v>82</v>
      </c>
    </row>
    <row r="4737" spans="1:26" s="25" customFormat="1" ht="6.95" customHeight="1" x14ac:dyDescent="0.3">
      <c r="A4737" s="10"/>
      <c r="B4737" s="168"/>
      <c r="C4737" s="169"/>
      <c r="D4737" s="160"/>
      <c r="E4737" s="161"/>
      <c r="F4737" s="162"/>
      <c r="G4737" s="163"/>
      <c r="H4737" s="164"/>
      <c r="I4737" s="163"/>
      <c r="J4737" s="164"/>
      <c r="K4737" s="163"/>
      <c r="L4737" s="164"/>
      <c r="M4737" s="11"/>
      <c r="N4737" s="39"/>
      <c r="Q4737" s="15" t="str">
        <f>+CONCATENATE(E4735,K4735)</f>
        <v/>
      </c>
      <c r="R4737" s="15">
        <f>+L4735</f>
        <v>0</v>
      </c>
      <c r="S4737" s="16"/>
      <c r="T4737" s="15">
        <f>+E4735</f>
        <v>0</v>
      </c>
      <c r="U4737" s="26" t="str">
        <f>IFERROR(LEFT(K4735,FIND("*",K4735)-1),"-")</f>
        <v>-</v>
      </c>
      <c r="V4737" s="26" t="str">
        <f>IFERROR(RIGHT(K4735,LEN(K4735)-FIND("*",K4735)),"-")</f>
        <v>-</v>
      </c>
      <c r="W4737" s="27" t="str">
        <f t="shared" si="2578"/>
        <v>-</v>
      </c>
      <c r="X4737" s="27" t="str">
        <f>IFERROR(W4737*L4735,"-")</f>
        <v>-</v>
      </c>
      <c r="Z4737" s="94" t="s">
        <v>82</v>
      </c>
    </row>
    <row r="4738" spans="1:26" s="25" customFormat="1" ht="6.95" customHeight="1" x14ac:dyDescent="0.3">
      <c r="A4738" s="13"/>
      <c r="B4738" s="168"/>
      <c r="C4738" s="169"/>
      <c r="D4738" s="160" t="s">
        <v>39</v>
      </c>
      <c r="E4738" s="161"/>
      <c r="F4738" s="162" t="s">
        <v>40</v>
      </c>
      <c r="G4738" s="163"/>
      <c r="H4738" s="164"/>
      <c r="I4738" s="163"/>
      <c r="J4738" s="164"/>
      <c r="K4738" s="163"/>
      <c r="L4738" s="164"/>
      <c r="M4738" s="11"/>
      <c r="N4738" s="39"/>
      <c r="Q4738" s="15" t="str">
        <f>+CONCATENATE(E4738,G4738)</f>
        <v/>
      </c>
      <c r="R4738" s="15">
        <f>+H4738</f>
        <v>0</v>
      </c>
      <c r="S4738" s="16"/>
      <c r="T4738" s="15">
        <f>+E4738</f>
        <v>0</v>
      </c>
      <c r="U4738" s="26" t="str">
        <f t="shared" ref="U4738" si="2581">IFERROR(LEFT(G4738,FIND("*",G4738)-1),"-")</f>
        <v>-</v>
      </c>
      <c r="V4738" s="26" t="str">
        <f t="shared" ref="V4738" si="2582">IFERROR(RIGHT(G4738,LEN(G4738)-FIND("*",G4738)),"-")</f>
        <v>-</v>
      </c>
      <c r="W4738" s="27" t="str">
        <f t="shared" si="2578"/>
        <v>-</v>
      </c>
      <c r="X4738" s="27" t="str">
        <f>IFERROR(W4738*H4738,"-")</f>
        <v>-</v>
      </c>
      <c r="Z4738" s="94" t="s">
        <v>82</v>
      </c>
    </row>
    <row r="4739" spans="1:26" s="25" customFormat="1" ht="6.95" customHeight="1" x14ac:dyDescent="0.3">
      <c r="A4739" s="10"/>
      <c r="B4739" s="168"/>
      <c r="C4739" s="169"/>
      <c r="D4739" s="160"/>
      <c r="E4739" s="161"/>
      <c r="F4739" s="162"/>
      <c r="G4739" s="163"/>
      <c r="H4739" s="164"/>
      <c r="I4739" s="163"/>
      <c r="J4739" s="164"/>
      <c r="K4739" s="163"/>
      <c r="L4739" s="164"/>
      <c r="M4739" s="11"/>
      <c r="N4739" s="39"/>
      <c r="Q4739" s="15" t="str">
        <f>+CONCATENATE(E4738,I4738)</f>
        <v/>
      </c>
      <c r="R4739" s="15">
        <f>+J4738</f>
        <v>0</v>
      </c>
      <c r="S4739" s="16"/>
      <c r="T4739" s="15">
        <f>+E4738</f>
        <v>0</v>
      </c>
      <c r="U4739" s="26" t="str">
        <f>IFERROR(LEFT(I4738,FIND("*",I4738)-1),"-")</f>
        <v>-</v>
      </c>
      <c r="V4739" s="26" t="str">
        <f>IFERROR(RIGHT(I4738,LEN(I4738)-FIND("*",I4738)),"-")</f>
        <v>-</v>
      </c>
      <c r="W4739" s="27" t="str">
        <f t="shared" si="2578"/>
        <v>-</v>
      </c>
      <c r="X4739" s="27" t="str">
        <f t="shared" ref="X4739" si="2583">IFERROR(W4739*J4738,"-")</f>
        <v>-</v>
      </c>
      <c r="Z4739" s="94" t="s">
        <v>82</v>
      </c>
    </row>
    <row r="4740" spans="1:26" s="25" customFormat="1" ht="6.95" customHeight="1" x14ac:dyDescent="0.3">
      <c r="A4740" s="10"/>
      <c r="B4740" s="168"/>
      <c r="C4740" s="169"/>
      <c r="D4740" s="160"/>
      <c r="E4740" s="161"/>
      <c r="F4740" s="162"/>
      <c r="G4740" s="163"/>
      <c r="H4740" s="164"/>
      <c r="I4740" s="163"/>
      <c r="J4740" s="164"/>
      <c r="K4740" s="163"/>
      <c r="L4740" s="164"/>
      <c r="M4740" s="11"/>
      <c r="N4740" s="39"/>
      <c r="Q4740" s="15" t="str">
        <f>+CONCATENATE(E4738,K4738)</f>
        <v/>
      </c>
      <c r="R4740" s="15">
        <f>+L4738</f>
        <v>0</v>
      </c>
      <c r="S4740" s="16"/>
      <c r="T4740" s="15">
        <f>+E4738</f>
        <v>0</v>
      </c>
      <c r="U4740" s="26" t="str">
        <f>IFERROR(LEFT(K4738,FIND("*",K4738)-1),"-")</f>
        <v>-</v>
      </c>
      <c r="V4740" s="26" t="str">
        <f>IFERROR(RIGHT(K4738,LEN(K4738)-FIND("*",K4738)),"-")</f>
        <v>-</v>
      </c>
      <c r="W4740" s="27" t="str">
        <f t="shared" si="2578"/>
        <v>-</v>
      </c>
      <c r="X4740" s="27" t="str">
        <f>IFERROR(W4740*L4738,"-")</f>
        <v>-</v>
      </c>
      <c r="Z4740" s="94" t="s">
        <v>82</v>
      </c>
    </row>
    <row r="4741" spans="1:26" s="25" customFormat="1" ht="21" customHeight="1" thickBot="1" x14ac:dyDescent="0.35">
      <c r="A4741" s="10"/>
      <c r="B4741" s="170"/>
      <c r="C4741" s="171"/>
      <c r="D4741" s="172" t="s">
        <v>43</v>
      </c>
      <c r="E4741" s="173"/>
      <c r="F4741" s="173"/>
      <c r="G4741" s="174"/>
      <c r="H4741" s="174"/>
      <c r="I4741" s="174"/>
      <c r="J4741" s="174"/>
      <c r="K4741" s="174"/>
      <c r="L4741" s="174"/>
      <c r="M4741" s="12"/>
      <c r="N4741" s="39"/>
      <c r="U4741" s="23"/>
      <c r="V4741" s="23"/>
      <c r="Z4741" s="95" t="s">
        <v>81</v>
      </c>
    </row>
    <row r="4742" spans="1:26" s="25" customFormat="1" ht="9.9499999999999993" customHeight="1" thickBot="1" x14ac:dyDescent="0.35">
      <c r="A4742" s="6"/>
      <c r="B4742" s="14"/>
      <c r="C4742" s="119"/>
      <c r="D4742" s="58"/>
      <c r="E4742" s="17"/>
      <c r="F4742" s="58"/>
      <c r="G4742" s="19"/>
      <c r="H4742" s="19"/>
      <c r="I4742" s="19"/>
      <c r="J4742" s="19"/>
      <c r="K4742" s="19"/>
      <c r="L4742" s="19"/>
      <c r="M4742" s="14"/>
      <c r="N4742" s="39"/>
      <c r="Q4742" s="1"/>
      <c r="R4742" s="1"/>
      <c r="S4742" s="1"/>
      <c r="T4742" s="1"/>
      <c r="U4742" s="24"/>
      <c r="V4742" s="24"/>
      <c r="W4742" s="1"/>
      <c r="X4742" s="1"/>
      <c r="Z4742" s="94" t="s">
        <v>82</v>
      </c>
    </row>
    <row r="4743" spans="1:26" s="25" customFormat="1" ht="6.95" customHeight="1" x14ac:dyDescent="0.3">
      <c r="A4743" s="165">
        <f>+A4732+1</f>
        <v>432</v>
      </c>
      <c r="B4743" s="166"/>
      <c r="C4743" s="167"/>
      <c r="D4743" s="160" t="s">
        <v>39</v>
      </c>
      <c r="E4743" s="161"/>
      <c r="F4743" s="162" t="s">
        <v>40</v>
      </c>
      <c r="G4743" s="163"/>
      <c r="H4743" s="164"/>
      <c r="I4743" s="163"/>
      <c r="J4743" s="164"/>
      <c r="K4743" s="163"/>
      <c r="L4743" s="164"/>
      <c r="M4743" s="11"/>
      <c r="N4743" s="39"/>
      <c r="Q4743" s="15" t="str">
        <f>+CONCATENATE(E4743,G4743)</f>
        <v/>
      </c>
      <c r="R4743" s="15">
        <f>+H4743</f>
        <v>0</v>
      </c>
      <c r="S4743" s="16"/>
      <c r="T4743" s="15">
        <f>+E4743</f>
        <v>0</v>
      </c>
      <c r="U4743" s="26" t="str">
        <f>IFERROR(LEFT(G4743,FIND("*",G4743)-1),"-")</f>
        <v>-</v>
      </c>
      <c r="V4743" s="26" t="str">
        <f>IFERROR(RIGHT(G4743,LEN(G4743)-FIND("*",G4743)),"-")</f>
        <v>-</v>
      </c>
      <c r="W4743" s="27" t="str">
        <f>IFERROR((U4743+V4743)*2/1000,"-")</f>
        <v>-</v>
      </c>
      <c r="X4743" s="27" t="str">
        <f>IFERROR(W4743*H4743,"-")</f>
        <v>-</v>
      </c>
      <c r="Z4743" s="94" t="s">
        <v>82</v>
      </c>
    </row>
    <row r="4744" spans="1:26" s="25" customFormat="1" ht="6.95" customHeight="1" x14ac:dyDescent="0.3">
      <c r="A4744" s="165"/>
      <c r="B4744" s="168"/>
      <c r="C4744" s="169"/>
      <c r="D4744" s="160"/>
      <c r="E4744" s="161"/>
      <c r="F4744" s="162"/>
      <c r="G4744" s="163"/>
      <c r="H4744" s="164"/>
      <c r="I4744" s="163"/>
      <c r="J4744" s="164"/>
      <c r="K4744" s="163"/>
      <c r="L4744" s="164"/>
      <c r="M4744" s="11"/>
      <c r="N4744" s="39"/>
      <c r="Q4744" s="15" t="str">
        <f>+CONCATENATE(E4743,I4743)</f>
        <v/>
      </c>
      <c r="R4744" s="15">
        <f>+J4743</f>
        <v>0</v>
      </c>
      <c r="S4744" s="16"/>
      <c r="T4744" s="15">
        <f>+E4743</f>
        <v>0</v>
      </c>
      <c r="U4744" s="26" t="str">
        <f>IFERROR(LEFT(I4743,FIND("*",I4743)-1),"-")</f>
        <v>-</v>
      </c>
      <c r="V4744" s="26" t="str">
        <f>IFERROR(RIGHT(I4743,LEN(I4743)-FIND("*",I4743)),"-")</f>
        <v>-</v>
      </c>
      <c r="W4744" s="27" t="str">
        <f t="shared" ref="W4744:W4751" si="2584">IFERROR((U4744+V4744)*2/1000,"-")</f>
        <v>-</v>
      </c>
      <c r="X4744" s="27" t="str">
        <f>IFERROR(W4744*J4743,"-")</f>
        <v>-</v>
      </c>
      <c r="Z4744" s="94" t="s">
        <v>82</v>
      </c>
    </row>
    <row r="4745" spans="1:26" s="25" customFormat="1" ht="6.95" customHeight="1" x14ac:dyDescent="0.3">
      <c r="A4745" s="165"/>
      <c r="B4745" s="168"/>
      <c r="C4745" s="169"/>
      <c r="D4745" s="160"/>
      <c r="E4745" s="161"/>
      <c r="F4745" s="162"/>
      <c r="G4745" s="163"/>
      <c r="H4745" s="164"/>
      <c r="I4745" s="163"/>
      <c r="J4745" s="164"/>
      <c r="K4745" s="163"/>
      <c r="L4745" s="164"/>
      <c r="M4745" s="11"/>
      <c r="N4745" s="39"/>
      <c r="Q4745" s="15" t="str">
        <f>+CONCATENATE(E4743,K4743)</f>
        <v/>
      </c>
      <c r="R4745" s="15">
        <f>+L4743</f>
        <v>0</v>
      </c>
      <c r="S4745" s="16"/>
      <c r="T4745" s="15">
        <f>+E4743</f>
        <v>0</v>
      </c>
      <c r="U4745" s="26" t="str">
        <f>IFERROR(LEFT(K4743,FIND("*",K4743)-1),"-")</f>
        <v>-</v>
      </c>
      <c r="V4745" s="26" t="str">
        <f>IFERROR(RIGHT(K4743,LEN(K4743)-FIND("*",K4743)),"-")</f>
        <v>-</v>
      </c>
      <c r="W4745" s="27" t="str">
        <f t="shared" si="2584"/>
        <v>-</v>
      </c>
      <c r="X4745" s="27" t="str">
        <f>IFERROR(W4745*L4743,"-")</f>
        <v>-</v>
      </c>
      <c r="Z4745" s="94" t="s">
        <v>82</v>
      </c>
    </row>
    <row r="4746" spans="1:26" s="25" customFormat="1" ht="6.95" customHeight="1" x14ac:dyDescent="0.3">
      <c r="A4746" s="13"/>
      <c r="B4746" s="168"/>
      <c r="C4746" s="169"/>
      <c r="D4746" s="160" t="s">
        <v>39</v>
      </c>
      <c r="E4746" s="161"/>
      <c r="F4746" s="162" t="s">
        <v>40</v>
      </c>
      <c r="G4746" s="163"/>
      <c r="H4746" s="164"/>
      <c r="I4746" s="163"/>
      <c r="J4746" s="164"/>
      <c r="K4746" s="163"/>
      <c r="L4746" s="164"/>
      <c r="M4746" s="11"/>
      <c r="N4746" s="39"/>
      <c r="Q4746" s="15" t="str">
        <f>+CONCATENATE(E4746,G4746)</f>
        <v/>
      </c>
      <c r="R4746" s="15">
        <f>+H4746</f>
        <v>0</v>
      </c>
      <c r="S4746" s="16"/>
      <c r="T4746" s="15">
        <f>+E4746</f>
        <v>0</v>
      </c>
      <c r="U4746" s="26" t="str">
        <f t="shared" ref="U4746" si="2585">IFERROR(LEFT(G4746,FIND("*",G4746)-1),"-")</f>
        <v>-</v>
      </c>
      <c r="V4746" s="26" t="str">
        <f t="shared" ref="V4746" si="2586">IFERROR(RIGHT(G4746,LEN(G4746)-FIND("*",G4746)),"-")</f>
        <v>-</v>
      </c>
      <c r="W4746" s="27" t="str">
        <f t="shared" si="2584"/>
        <v>-</v>
      </c>
      <c r="X4746" s="27" t="str">
        <f>IFERROR(W4746*H4746,"-")</f>
        <v>-</v>
      </c>
      <c r="Z4746" s="94" t="s">
        <v>82</v>
      </c>
    </row>
    <row r="4747" spans="1:26" s="25" customFormat="1" ht="6.95" customHeight="1" x14ac:dyDescent="0.3">
      <c r="A4747" s="10"/>
      <c r="B4747" s="168"/>
      <c r="C4747" s="169"/>
      <c r="D4747" s="160"/>
      <c r="E4747" s="161"/>
      <c r="F4747" s="162"/>
      <c r="G4747" s="163"/>
      <c r="H4747" s="164"/>
      <c r="I4747" s="163"/>
      <c r="J4747" s="164"/>
      <c r="K4747" s="163"/>
      <c r="L4747" s="164"/>
      <c r="M4747" s="11"/>
      <c r="N4747" s="39"/>
      <c r="Q4747" s="15" t="str">
        <f>+CONCATENATE(E4746,I4746)</f>
        <v/>
      </c>
      <c r="R4747" s="15">
        <f>+J4746</f>
        <v>0</v>
      </c>
      <c r="S4747" s="16"/>
      <c r="T4747" s="15">
        <f>+E4746</f>
        <v>0</v>
      </c>
      <c r="U4747" s="26" t="str">
        <f>IFERROR(LEFT(I4746,FIND("*",I4746)-1),"-")</f>
        <v>-</v>
      </c>
      <c r="V4747" s="26" t="str">
        <f>IFERROR(RIGHT(I4746,LEN(I4746)-FIND("*",I4746)),"-")</f>
        <v>-</v>
      </c>
      <c r="W4747" s="27" t="str">
        <f t="shared" si="2584"/>
        <v>-</v>
      </c>
      <c r="X4747" s="27" t="str">
        <f>IFERROR(W4747*J4746,"-")</f>
        <v>-</v>
      </c>
      <c r="Z4747" s="94" t="s">
        <v>82</v>
      </c>
    </row>
    <row r="4748" spans="1:26" s="25" customFormat="1" ht="6.95" customHeight="1" x14ac:dyDescent="0.3">
      <c r="A4748" s="10"/>
      <c r="B4748" s="168"/>
      <c r="C4748" s="169"/>
      <c r="D4748" s="160"/>
      <c r="E4748" s="161"/>
      <c r="F4748" s="162"/>
      <c r="G4748" s="163"/>
      <c r="H4748" s="164"/>
      <c r="I4748" s="163"/>
      <c r="J4748" s="164"/>
      <c r="K4748" s="163"/>
      <c r="L4748" s="164"/>
      <c r="M4748" s="11"/>
      <c r="N4748" s="39"/>
      <c r="Q4748" s="15" t="str">
        <f>+CONCATENATE(E4746,K4746)</f>
        <v/>
      </c>
      <c r="R4748" s="15">
        <f>+L4746</f>
        <v>0</v>
      </c>
      <c r="S4748" s="16"/>
      <c r="T4748" s="15">
        <f>+E4746</f>
        <v>0</v>
      </c>
      <c r="U4748" s="26" t="str">
        <f>IFERROR(LEFT(K4746,FIND("*",K4746)-1),"-")</f>
        <v>-</v>
      </c>
      <c r="V4748" s="26" t="str">
        <f>IFERROR(RIGHT(K4746,LEN(K4746)-FIND("*",K4746)),"-")</f>
        <v>-</v>
      </c>
      <c r="W4748" s="27" t="str">
        <f t="shared" si="2584"/>
        <v>-</v>
      </c>
      <c r="X4748" s="27" t="str">
        <f>IFERROR(W4748*L4746,"-")</f>
        <v>-</v>
      </c>
      <c r="Z4748" s="94" t="s">
        <v>82</v>
      </c>
    </row>
    <row r="4749" spans="1:26" s="25" customFormat="1" ht="6.95" customHeight="1" x14ac:dyDescent="0.3">
      <c r="A4749" s="13"/>
      <c r="B4749" s="168"/>
      <c r="C4749" s="169"/>
      <c r="D4749" s="160" t="s">
        <v>39</v>
      </c>
      <c r="E4749" s="161"/>
      <c r="F4749" s="162" t="s">
        <v>40</v>
      </c>
      <c r="G4749" s="163"/>
      <c r="H4749" s="164"/>
      <c r="I4749" s="163"/>
      <c r="J4749" s="164"/>
      <c r="K4749" s="163"/>
      <c r="L4749" s="164"/>
      <c r="M4749" s="11"/>
      <c r="N4749" s="39"/>
      <c r="Q4749" s="15" t="str">
        <f>+CONCATENATE(E4749,G4749)</f>
        <v/>
      </c>
      <c r="R4749" s="15">
        <f>+H4749</f>
        <v>0</v>
      </c>
      <c r="S4749" s="16"/>
      <c r="T4749" s="15">
        <f>+E4749</f>
        <v>0</v>
      </c>
      <c r="U4749" s="26" t="str">
        <f t="shared" ref="U4749" si="2587">IFERROR(LEFT(G4749,FIND("*",G4749)-1),"-")</f>
        <v>-</v>
      </c>
      <c r="V4749" s="26" t="str">
        <f t="shared" ref="V4749" si="2588">IFERROR(RIGHT(G4749,LEN(G4749)-FIND("*",G4749)),"-")</f>
        <v>-</v>
      </c>
      <c r="W4749" s="27" t="str">
        <f t="shared" si="2584"/>
        <v>-</v>
      </c>
      <c r="X4749" s="27" t="str">
        <f>IFERROR(W4749*H4749,"-")</f>
        <v>-</v>
      </c>
      <c r="Z4749" s="94" t="s">
        <v>82</v>
      </c>
    </row>
    <row r="4750" spans="1:26" s="25" customFormat="1" ht="6.95" customHeight="1" x14ac:dyDescent="0.3">
      <c r="A4750" s="10"/>
      <c r="B4750" s="168"/>
      <c r="C4750" s="169"/>
      <c r="D4750" s="160"/>
      <c r="E4750" s="161"/>
      <c r="F4750" s="162"/>
      <c r="G4750" s="163"/>
      <c r="H4750" s="164"/>
      <c r="I4750" s="163"/>
      <c r="J4750" s="164"/>
      <c r="K4750" s="163"/>
      <c r="L4750" s="164"/>
      <c r="M4750" s="11"/>
      <c r="N4750" s="39"/>
      <c r="Q4750" s="15" t="str">
        <f>+CONCATENATE(E4749,I4749)</f>
        <v/>
      </c>
      <c r="R4750" s="15">
        <f>+J4749</f>
        <v>0</v>
      </c>
      <c r="S4750" s="16"/>
      <c r="T4750" s="15">
        <f>+E4749</f>
        <v>0</v>
      </c>
      <c r="U4750" s="26" t="str">
        <f>IFERROR(LEFT(I4749,FIND("*",I4749)-1),"-")</f>
        <v>-</v>
      </c>
      <c r="V4750" s="26" t="str">
        <f>IFERROR(RIGHT(I4749,LEN(I4749)-FIND("*",I4749)),"-")</f>
        <v>-</v>
      </c>
      <c r="W4750" s="27" t="str">
        <f t="shared" si="2584"/>
        <v>-</v>
      </c>
      <c r="X4750" s="27" t="str">
        <f t="shared" ref="X4750" si="2589">IFERROR(W4750*J4749,"-")</f>
        <v>-</v>
      </c>
      <c r="Z4750" s="94" t="s">
        <v>82</v>
      </c>
    </row>
    <row r="4751" spans="1:26" s="25" customFormat="1" ht="6.95" customHeight="1" x14ac:dyDescent="0.3">
      <c r="A4751" s="10"/>
      <c r="B4751" s="168"/>
      <c r="C4751" s="169"/>
      <c r="D4751" s="160"/>
      <c r="E4751" s="161"/>
      <c r="F4751" s="162"/>
      <c r="G4751" s="163"/>
      <c r="H4751" s="164"/>
      <c r="I4751" s="163"/>
      <c r="J4751" s="164"/>
      <c r="K4751" s="163"/>
      <c r="L4751" s="164"/>
      <c r="M4751" s="11"/>
      <c r="N4751" s="39"/>
      <c r="Q4751" s="15" t="str">
        <f>+CONCATENATE(E4749,K4749)</f>
        <v/>
      </c>
      <c r="R4751" s="15">
        <f>+L4749</f>
        <v>0</v>
      </c>
      <c r="S4751" s="16"/>
      <c r="T4751" s="15">
        <f>+E4749</f>
        <v>0</v>
      </c>
      <c r="U4751" s="26" t="str">
        <f>IFERROR(LEFT(K4749,FIND("*",K4749)-1),"-")</f>
        <v>-</v>
      </c>
      <c r="V4751" s="26" t="str">
        <f>IFERROR(RIGHT(K4749,LEN(K4749)-FIND("*",K4749)),"-")</f>
        <v>-</v>
      </c>
      <c r="W4751" s="27" t="str">
        <f t="shared" si="2584"/>
        <v>-</v>
      </c>
      <c r="X4751" s="27" t="str">
        <f>IFERROR(W4751*L4749,"-")</f>
        <v>-</v>
      </c>
      <c r="Z4751" s="94" t="s">
        <v>82</v>
      </c>
    </row>
    <row r="4752" spans="1:26" s="25" customFormat="1" ht="21" customHeight="1" thickBot="1" x14ac:dyDescent="0.35">
      <c r="A4752" s="10"/>
      <c r="B4752" s="170"/>
      <c r="C4752" s="171"/>
      <c r="D4752" s="172" t="s">
        <v>43</v>
      </c>
      <c r="E4752" s="173"/>
      <c r="F4752" s="173"/>
      <c r="G4752" s="174"/>
      <c r="H4752" s="174"/>
      <c r="I4752" s="174"/>
      <c r="J4752" s="174"/>
      <c r="K4752" s="174"/>
      <c r="L4752" s="174"/>
      <c r="M4752" s="12"/>
      <c r="N4752" s="39"/>
      <c r="U4752" s="23"/>
      <c r="V4752" s="23"/>
      <c r="Z4752" s="95" t="s">
        <v>81</v>
      </c>
    </row>
    <row r="4753" spans="1:26" s="25" customFormat="1" ht="9.9499999999999993" customHeight="1" thickBot="1" x14ac:dyDescent="0.35">
      <c r="A4753" s="6"/>
      <c r="B4753" s="14"/>
      <c r="C4753" s="119"/>
      <c r="D4753" s="58"/>
      <c r="E4753" s="17"/>
      <c r="F4753" s="58"/>
      <c r="G4753" s="19"/>
      <c r="H4753" s="19"/>
      <c r="I4753" s="19"/>
      <c r="J4753" s="19"/>
      <c r="K4753" s="19"/>
      <c r="L4753" s="19"/>
      <c r="M4753" s="14"/>
      <c r="N4753" s="39"/>
      <c r="Q4753" s="1"/>
      <c r="R4753" s="1"/>
      <c r="S4753" s="1"/>
      <c r="T4753" s="1"/>
      <c r="U4753" s="24"/>
      <c r="V4753" s="24"/>
      <c r="W4753" s="1"/>
      <c r="X4753" s="1"/>
      <c r="Z4753" s="94" t="s">
        <v>82</v>
      </c>
    </row>
    <row r="4754" spans="1:26" s="25" customFormat="1" ht="6.95" customHeight="1" x14ac:dyDescent="0.3">
      <c r="A4754" s="165">
        <f>+A4743+1</f>
        <v>433</v>
      </c>
      <c r="B4754" s="166"/>
      <c r="C4754" s="167"/>
      <c r="D4754" s="160" t="s">
        <v>39</v>
      </c>
      <c r="E4754" s="161"/>
      <c r="F4754" s="162" t="s">
        <v>40</v>
      </c>
      <c r="G4754" s="163"/>
      <c r="H4754" s="164"/>
      <c r="I4754" s="163"/>
      <c r="J4754" s="164"/>
      <c r="K4754" s="163"/>
      <c r="L4754" s="164"/>
      <c r="M4754" s="11"/>
      <c r="N4754" s="39"/>
      <c r="Q4754" s="15" t="str">
        <f>+CONCATENATE(E4754,G4754)</f>
        <v/>
      </c>
      <c r="R4754" s="15">
        <f>+H4754</f>
        <v>0</v>
      </c>
      <c r="S4754" s="16"/>
      <c r="T4754" s="15">
        <f>+E4754</f>
        <v>0</v>
      </c>
      <c r="U4754" s="26" t="str">
        <f>IFERROR(LEFT(G4754,FIND("*",G4754)-1),"-")</f>
        <v>-</v>
      </c>
      <c r="V4754" s="26" t="str">
        <f>IFERROR(RIGHT(G4754,LEN(G4754)-FIND("*",G4754)),"-")</f>
        <v>-</v>
      </c>
      <c r="W4754" s="27" t="str">
        <f>IFERROR((U4754+V4754)*2/1000,"-")</f>
        <v>-</v>
      </c>
      <c r="X4754" s="27" t="str">
        <f>IFERROR(W4754*H4754,"-")</f>
        <v>-</v>
      </c>
      <c r="Z4754" s="94" t="s">
        <v>82</v>
      </c>
    </row>
    <row r="4755" spans="1:26" s="25" customFormat="1" ht="6.95" customHeight="1" x14ac:dyDescent="0.3">
      <c r="A4755" s="165"/>
      <c r="B4755" s="168"/>
      <c r="C4755" s="169"/>
      <c r="D4755" s="160"/>
      <c r="E4755" s="161"/>
      <c r="F4755" s="162"/>
      <c r="G4755" s="163"/>
      <c r="H4755" s="164"/>
      <c r="I4755" s="163"/>
      <c r="J4755" s="164"/>
      <c r="K4755" s="163"/>
      <c r="L4755" s="164"/>
      <c r="M4755" s="11"/>
      <c r="N4755" s="39"/>
      <c r="Q4755" s="15" t="str">
        <f>+CONCATENATE(E4754,I4754)</f>
        <v/>
      </c>
      <c r="R4755" s="15">
        <f>+J4754</f>
        <v>0</v>
      </c>
      <c r="S4755" s="16"/>
      <c r="T4755" s="15">
        <f>+E4754</f>
        <v>0</v>
      </c>
      <c r="U4755" s="26" t="str">
        <f>IFERROR(LEFT(I4754,FIND("*",I4754)-1),"-")</f>
        <v>-</v>
      </c>
      <c r="V4755" s="26" t="str">
        <f>IFERROR(RIGHT(I4754,LEN(I4754)-FIND("*",I4754)),"-")</f>
        <v>-</v>
      </c>
      <c r="W4755" s="27" t="str">
        <f t="shared" ref="W4755:W4762" si="2590">IFERROR((U4755+V4755)*2/1000,"-")</f>
        <v>-</v>
      </c>
      <c r="X4755" s="27" t="str">
        <f>IFERROR(W4755*J4754,"-")</f>
        <v>-</v>
      </c>
      <c r="Z4755" s="94" t="s">
        <v>82</v>
      </c>
    </row>
    <row r="4756" spans="1:26" s="25" customFormat="1" ht="6.95" customHeight="1" x14ac:dyDescent="0.3">
      <c r="A4756" s="165"/>
      <c r="B4756" s="168"/>
      <c r="C4756" s="169"/>
      <c r="D4756" s="160"/>
      <c r="E4756" s="161"/>
      <c r="F4756" s="162"/>
      <c r="G4756" s="163"/>
      <c r="H4756" s="164"/>
      <c r="I4756" s="163"/>
      <c r="J4756" s="164"/>
      <c r="K4756" s="163"/>
      <c r="L4756" s="164"/>
      <c r="M4756" s="11"/>
      <c r="N4756" s="39"/>
      <c r="Q4756" s="15" t="str">
        <f>+CONCATENATE(E4754,K4754)</f>
        <v/>
      </c>
      <c r="R4756" s="15">
        <f>+L4754</f>
        <v>0</v>
      </c>
      <c r="S4756" s="16"/>
      <c r="T4756" s="15">
        <f>+E4754</f>
        <v>0</v>
      </c>
      <c r="U4756" s="26" t="str">
        <f>IFERROR(LEFT(K4754,FIND("*",K4754)-1),"-")</f>
        <v>-</v>
      </c>
      <c r="V4756" s="26" t="str">
        <f>IFERROR(RIGHT(K4754,LEN(K4754)-FIND("*",K4754)),"-")</f>
        <v>-</v>
      </c>
      <c r="W4756" s="27" t="str">
        <f t="shared" si="2590"/>
        <v>-</v>
      </c>
      <c r="X4756" s="27" t="str">
        <f>IFERROR(W4756*L4754,"-")</f>
        <v>-</v>
      </c>
      <c r="Z4756" s="94" t="s">
        <v>82</v>
      </c>
    </row>
    <row r="4757" spans="1:26" s="25" customFormat="1" ht="6.95" customHeight="1" x14ac:dyDescent="0.3">
      <c r="A4757" s="13"/>
      <c r="B4757" s="168"/>
      <c r="C4757" s="169"/>
      <c r="D4757" s="160" t="s">
        <v>39</v>
      </c>
      <c r="E4757" s="161"/>
      <c r="F4757" s="162" t="s">
        <v>40</v>
      </c>
      <c r="G4757" s="163"/>
      <c r="H4757" s="164"/>
      <c r="I4757" s="163"/>
      <c r="J4757" s="164"/>
      <c r="K4757" s="163"/>
      <c r="L4757" s="164"/>
      <c r="M4757" s="11"/>
      <c r="N4757" s="39"/>
      <c r="Q4757" s="15" t="str">
        <f>+CONCATENATE(E4757,G4757)</f>
        <v/>
      </c>
      <c r="R4757" s="15">
        <f>+H4757</f>
        <v>0</v>
      </c>
      <c r="S4757" s="16"/>
      <c r="T4757" s="15">
        <f>+E4757</f>
        <v>0</v>
      </c>
      <c r="U4757" s="26" t="str">
        <f t="shared" ref="U4757" si="2591">IFERROR(LEFT(G4757,FIND("*",G4757)-1),"-")</f>
        <v>-</v>
      </c>
      <c r="V4757" s="26" t="str">
        <f t="shared" ref="V4757" si="2592">IFERROR(RIGHT(G4757,LEN(G4757)-FIND("*",G4757)),"-")</f>
        <v>-</v>
      </c>
      <c r="W4757" s="27" t="str">
        <f t="shared" si="2590"/>
        <v>-</v>
      </c>
      <c r="X4757" s="27" t="str">
        <f>IFERROR(W4757*H4757,"-")</f>
        <v>-</v>
      </c>
      <c r="Z4757" s="94" t="s">
        <v>82</v>
      </c>
    </row>
    <row r="4758" spans="1:26" s="25" customFormat="1" ht="6.95" customHeight="1" x14ac:dyDescent="0.3">
      <c r="A4758" s="10"/>
      <c r="B4758" s="168"/>
      <c r="C4758" s="169"/>
      <c r="D4758" s="160"/>
      <c r="E4758" s="161"/>
      <c r="F4758" s="162"/>
      <c r="G4758" s="163"/>
      <c r="H4758" s="164"/>
      <c r="I4758" s="163"/>
      <c r="J4758" s="164"/>
      <c r="K4758" s="163"/>
      <c r="L4758" s="164"/>
      <c r="M4758" s="11"/>
      <c r="N4758" s="39"/>
      <c r="Q4758" s="15" t="str">
        <f>+CONCATENATE(E4757,I4757)</f>
        <v/>
      </c>
      <c r="R4758" s="15">
        <f>+J4757</f>
        <v>0</v>
      </c>
      <c r="S4758" s="16"/>
      <c r="T4758" s="15">
        <f>+E4757</f>
        <v>0</v>
      </c>
      <c r="U4758" s="26" t="str">
        <f>IFERROR(LEFT(I4757,FIND("*",I4757)-1),"-")</f>
        <v>-</v>
      </c>
      <c r="V4758" s="26" t="str">
        <f>IFERROR(RIGHT(I4757,LEN(I4757)-FIND("*",I4757)),"-")</f>
        <v>-</v>
      </c>
      <c r="W4758" s="27" t="str">
        <f t="shared" si="2590"/>
        <v>-</v>
      </c>
      <c r="X4758" s="27" t="str">
        <f>IFERROR(W4758*J4757,"-")</f>
        <v>-</v>
      </c>
      <c r="Z4758" s="94" t="s">
        <v>82</v>
      </c>
    </row>
    <row r="4759" spans="1:26" s="25" customFormat="1" ht="6.95" customHeight="1" x14ac:dyDescent="0.3">
      <c r="A4759" s="10"/>
      <c r="B4759" s="168"/>
      <c r="C4759" s="169"/>
      <c r="D4759" s="160"/>
      <c r="E4759" s="161"/>
      <c r="F4759" s="162"/>
      <c r="G4759" s="163"/>
      <c r="H4759" s="164"/>
      <c r="I4759" s="163"/>
      <c r="J4759" s="164"/>
      <c r="K4759" s="163"/>
      <c r="L4759" s="164"/>
      <c r="M4759" s="11"/>
      <c r="N4759" s="39"/>
      <c r="Q4759" s="15" t="str">
        <f>+CONCATENATE(E4757,K4757)</f>
        <v/>
      </c>
      <c r="R4759" s="15">
        <f>+L4757</f>
        <v>0</v>
      </c>
      <c r="S4759" s="16"/>
      <c r="T4759" s="15">
        <f>+E4757</f>
        <v>0</v>
      </c>
      <c r="U4759" s="26" t="str">
        <f>IFERROR(LEFT(K4757,FIND("*",K4757)-1),"-")</f>
        <v>-</v>
      </c>
      <c r="V4759" s="26" t="str">
        <f>IFERROR(RIGHT(K4757,LEN(K4757)-FIND("*",K4757)),"-")</f>
        <v>-</v>
      </c>
      <c r="W4759" s="27" t="str">
        <f t="shared" si="2590"/>
        <v>-</v>
      </c>
      <c r="X4759" s="27" t="str">
        <f>IFERROR(W4759*L4757,"-")</f>
        <v>-</v>
      </c>
      <c r="Z4759" s="94" t="s">
        <v>82</v>
      </c>
    </row>
    <row r="4760" spans="1:26" s="25" customFormat="1" ht="6.95" customHeight="1" x14ac:dyDescent="0.3">
      <c r="A4760" s="13"/>
      <c r="B4760" s="168"/>
      <c r="C4760" s="169"/>
      <c r="D4760" s="160" t="s">
        <v>39</v>
      </c>
      <c r="E4760" s="161"/>
      <c r="F4760" s="162" t="s">
        <v>40</v>
      </c>
      <c r="G4760" s="163"/>
      <c r="H4760" s="164"/>
      <c r="I4760" s="163"/>
      <c r="J4760" s="164"/>
      <c r="K4760" s="163"/>
      <c r="L4760" s="164"/>
      <c r="M4760" s="11"/>
      <c r="N4760" s="39"/>
      <c r="Q4760" s="15" t="str">
        <f>+CONCATENATE(E4760,G4760)</f>
        <v/>
      </c>
      <c r="R4760" s="15">
        <f>+H4760</f>
        <v>0</v>
      </c>
      <c r="S4760" s="16"/>
      <c r="T4760" s="15">
        <f>+E4760</f>
        <v>0</v>
      </c>
      <c r="U4760" s="26" t="str">
        <f t="shared" ref="U4760" si="2593">IFERROR(LEFT(G4760,FIND("*",G4760)-1),"-")</f>
        <v>-</v>
      </c>
      <c r="V4760" s="26" t="str">
        <f t="shared" ref="V4760" si="2594">IFERROR(RIGHT(G4760,LEN(G4760)-FIND("*",G4760)),"-")</f>
        <v>-</v>
      </c>
      <c r="W4760" s="27" t="str">
        <f t="shared" si="2590"/>
        <v>-</v>
      </c>
      <c r="X4760" s="27" t="str">
        <f>IFERROR(W4760*H4760,"-")</f>
        <v>-</v>
      </c>
      <c r="Z4760" s="94" t="s">
        <v>82</v>
      </c>
    </row>
    <row r="4761" spans="1:26" s="25" customFormat="1" ht="6.95" customHeight="1" x14ac:dyDescent="0.3">
      <c r="A4761" s="10"/>
      <c r="B4761" s="168"/>
      <c r="C4761" s="169"/>
      <c r="D4761" s="160"/>
      <c r="E4761" s="161"/>
      <c r="F4761" s="162"/>
      <c r="G4761" s="163"/>
      <c r="H4761" s="164"/>
      <c r="I4761" s="163"/>
      <c r="J4761" s="164"/>
      <c r="K4761" s="163"/>
      <c r="L4761" s="164"/>
      <c r="M4761" s="11"/>
      <c r="N4761" s="39"/>
      <c r="Q4761" s="15" t="str">
        <f>+CONCATENATE(E4760,I4760)</f>
        <v/>
      </c>
      <c r="R4761" s="15">
        <f>+J4760</f>
        <v>0</v>
      </c>
      <c r="S4761" s="16"/>
      <c r="T4761" s="15">
        <f>+E4760</f>
        <v>0</v>
      </c>
      <c r="U4761" s="26" t="str">
        <f>IFERROR(LEFT(I4760,FIND("*",I4760)-1),"-")</f>
        <v>-</v>
      </c>
      <c r="V4761" s="26" t="str">
        <f>IFERROR(RIGHT(I4760,LEN(I4760)-FIND("*",I4760)),"-")</f>
        <v>-</v>
      </c>
      <c r="W4761" s="27" t="str">
        <f t="shared" si="2590"/>
        <v>-</v>
      </c>
      <c r="X4761" s="27" t="str">
        <f t="shared" ref="X4761" si="2595">IFERROR(W4761*J4760,"-")</f>
        <v>-</v>
      </c>
      <c r="Z4761" s="94" t="s">
        <v>82</v>
      </c>
    </row>
    <row r="4762" spans="1:26" s="25" customFormat="1" ht="6.95" customHeight="1" x14ac:dyDescent="0.3">
      <c r="A4762" s="10"/>
      <c r="B4762" s="168"/>
      <c r="C4762" s="169"/>
      <c r="D4762" s="160"/>
      <c r="E4762" s="161"/>
      <c r="F4762" s="162"/>
      <c r="G4762" s="163"/>
      <c r="H4762" s="164"/>
      <c r="I4762" s="163"/>
      <c r="J4762" s="164"/>
      <c r="K4762" s="163"/>
      <c r="L4762" s="164"/>
      <c r="M4762" s="11"/>
      <c r="N4762" s="39"/>
      <c r="Q4762" s="15" t="str">
        <f>+CONCATENATE(E4760,K4760)</f>
        <v/>
      </c>
      <c r="R4762" s="15">
        <f>+L4760</f>
        <v>0</v>
      </c>
      <c r="S4762" s="16"/>
      <c r="T4762" s="15">
        <f>+E4760</f>
        <v>0</v>
      </c>
      <c r="U4762" s="26" t="str">
        <f>IFERROR(LEFT(K4760,FIND("*",K4760)-1),"-")</f>
        <v>-</v>
      </c>
      <c r="V4762" s="26" t="str">
        <f>IFERROR(RIGHT(K4760,LEN(K4760)-FIND("*",K4760)),"-")</f>
        <v>-</v>
      </c>
      <c r="W4762" s="27" t="str">
        <f t="shared" si="2590"/>
        <v>-</v>
      </c>
      <c r="X4762" s="27" t="str">
        <f>IFERROR(W4762*L4760,"-")</f>
        <v>-</v>
      </c>
      <c r="Z4762" s="94" t="s">
        <v>82</v>
      </c>
    </row>
    <row r="4763" spans="1:26" s="25" customFormat="1" ht="21" customHeight="1" thickBot="1" x14ac:dyDescent="0.35">
      <c r="A4763" s="10"/>
      <c r="B4763" s="170"/>
      <c r="C4763" s="171"/>
      <c r="D4763" s="172" t="s">
        <v>43</v>
      </c>
      <c r="E4763" s="173"/>
      <c r="F4763" s="173"/>
      <c r="G4763" s="174"/>
      <c r="H4763" s="174"/>
      <c r="I4763" s="174"/>
      <c r="J4763" s="174"/>
      <c r="K4763" s="174"/>
      <c r="L4763" s="174"/>
      <c r="M4763" s="12"/>
      <c r="N4763" s="39"/>
      <c r="U4763" s="23"/>
      <c r="V4763" s="23"/>
      <c r="Z4763" s="95" t="s">
        <v>81</v>
      </c>
    </row>
    <row r="4764" spans="1:26" s="25" customFormat="1" ht="9.9499999999999993" customHeight="1" thickBot="1" x14ac:dyDescent="0.35">
      <c r="A4764" s="6"/>
      <c r="B4764" s="14"/>
      <c r="C4764" s="119"/>
      <c r="D4764" s="58"/>
      <c r="E4764" s="17"/>
      <c r="F4764" s="58"/>
      <c r="G4764" s="19"/>
      <c r="H4764" s="19"/>
      <c r="I4764" s="19"/>
      <c r="J4764" s="19"/>
      <c r="K4764" s="19"/>
      <c r="L4764" s="19"/>
      <c r="M4764" s="14"/>
      <c r="N4764" s="39"/>
      <c r="Q4764" s="1"/>
      <c r="R4764" s="1"/>
      <c r="S4764" s="1"/>
      <c r="T4764" s="1"/>
      <c r="U4764" s="24"/>
      <c r="V4764" s="24"/>
      <c r="W4764" s="1"/>
      <c r="X4764" s="1"/>
      <c r="Z4764" s="94" t="s">
        <v>82</v>
      </c>
    </row>
    <row r="4765" spans="1:26" s="25" customFormat="1" ht="6.95" customHeight="1" x14ac:dyDescent="0.3">
      <c r="A4765" s="165">
        <f>+A4754+1</f>
        <v>434</v>
      </c>
      <c r="B4765" s="166"/>
      <c r="C4765" s="167"/>
      <c r="D4765" s="160" t="s">
        <v>39</v>
      </c>
      <c r="E4765" s="161"/>
      <c r="F4765" s="162" t="s">
        <v>40</v>
      </c>
      <c r="G4765" s="163"/>
      <c r="H4765" s="164"/>
      <c r="I4765" s="163"/>
      <c r="J4765" s="164"/>
      <c r="K4765" s="163"/>
      <c r="L4765" s="164"/>
      <c r="M4765" s="11"/>
      <c r="N4765" s="39"/>
      <c r="Q4765" s="15" t="str">
        <f>+CONCATENATE(E4765,G4765)</f>
        <v/>
      </c>
      <c r="R4765" s="15">
        <f>+H4765</f>
        <v>0</v>
      </c>
      <c r="S4765" s="16"/>
      <c r="T4765" s="15">
        <f>+E4765</f>
        <v>0</v>
      </c>
      <c r="U4765" s="26" t="str">
        <f>IFERROR(LEFT(G4765,FIND("*",G4765)-1),"-")</f>
        <v>-</v>
      </c>
      <c r="V4765" s="26" t="str">
        <f>IFERROR(RIGHT(G4765,LEN(G4765)-FIND("*",G4765)),"-")</f>
        <v>-</v>
      </c>
      <c r="W4765" s="27" t="str">
        <f>IFERROR((U4765+V4765)*2/1000,"-")</f>
        <v>-</v>
      </c>
      <c r="X4765" s="27" t="str">
        <f>IFERROR(W4765*H4765,"-")</f>
        <v>-</v>
      </c>
      <c r="Z4765" s="94" t="s">
        <v>82</v>
      </c>
    </row>
    <row r="4766" spans="1:26" s="25" customFormat="1" ht="6.95" customHeight="1" x14ac:dyDescent="0.3">
      <c r="A4766" s="165"/>
      <c r="B4766" s="168"/>
      <c r="C4766" s="169"/>
      <c r="D4766" s="160"/>
      <c r="E4766" s="161"/>
      <c r="F4766" s="162"/>
      <c r="G4766" s="163"/>
      <c r="H4766" s="164"/>
      <c r="I4766" s="163"/>
      <c r="J4766" s="164"/>
      <c r="K4766" s="163"/>
      <c r="L4766" s="164"/>
      <c r="M4766" s="11"/>
      <c r="N4766" s="39"/>
      <c r="Q4766" s="15" t="str">
        <f>+CONCATENATE(E4765,I4765)</f>
        <v/>
      </c>
      <c r="R4766" s="15">
        <f>+J4765</f>
        <v>0</v>
      </c>
      <c r="S4766" s="16"/>
      <c r="T4766" s="15">
        <f>+E4765</f>
        <v>0</v>
      </c>
      <c r="U4766" s="26" t="str">
        <f>IFERROR(LEFT(I4765,FIND("*",I4765)-1),"-")</f>
        <v>-</v>
      </c>
      <c r="V4766" s="26" t="str">
        <f>IFERROR(RIGHT(I4765,LEN(I4765)-FIND("*",I4765)),"-")</f>
        <v>-</v>
      </c>
      <c r="W4766" s="27" t="str">
        <f t="shared" ref="W4766:W4773" si="2596">IFERROR((U4766+V4766)*2/1000,"-")</f>
        <v>-</v>
      </c>
      <c r="X4766" s="27" t="str">
        <f>IFERROR(W4766*J4765,"-")</f>
        <v>-</v>
      </c>
      <c r="Z4766" s="94" t="s">
        <v>82</v>
      </c>
    </row>
    <row r="4767" spans="1:26" s="25" customFormat="1" ht="6.95" customHeight="1" x14ac:dyDescent="0.3">
      <c r="A4767" s="165"/>
      <c r="B4767" s="168"/>
      <c r="C4767" s="169"/>
      <c r="D4767" s="160"/>
      <c r="E4767" s="161"/>
      <c r="F4767" s="162"/>
      <c r="G4767" s="163"/>
      <c r="H4767" s="164"/>
      <c r="I4767" s="163"/>
      <c r="J4767" s="164"/>
      <c r="K4767" s="163"/>
      <c r="L4767" s="164"/>
      <c r="M4767" s="11"/>
      <c r="N4767" s="39"/>
      <c r="Q4767" s="15" t="str">
        <f>+CONCATENATE(E4765,K4765)</f>
        <v/>
      </c>
      <c r="R4767" s="15">
        <f>+L4765</f>
        <v>0</v>
      </c>
      <c r="S4767" s="16"/>
      <c r="T4767" s="15">
        <f>+E4765</f>
        <v>0</v>
      </c>
      <c r="U4767" s="26" t="str">
        <f>IFERROR(LEFT(K4765,FIND("*",K4765)-1),"-")</f>
        <v>-</v>
      </c>
      <c r="V4767" s="26" t="str">
        <f>IFERROR(RIGHT(K4765,LEN(K4765)-FIND("*",K4765)),"-")</f>
        <v>-</v>
      </c>
      <c r="W4767" s="27" t="str">
        <f t="shared" si="2596"/>
        <v>-</v>
      </c>
      <c r="X4767" s="27" t="str">
        <f>IFERROR(W4767*L4765,"-")</f>
        <v>-</v>
      </c>
      <c r="Z4767" s="94" t="s">
        <v>82</v>
      </c>
    </row>
    <row r="4768" spans="1:26" s="25" customFormat="1" ht="6.95" customHeight="1" x14ac:dyDescent="0.3">
      <c r="A4768" s="13"/>
      <c r="B4768" s="168"/>
      <c r="C4768" s="169"/>
      <c r="D4768" s="160" t="s">
        <v>39</v>
      </c>
      <c r="E4768" s="161"/>
      <c r="F4768" s="162" t="s">
        <v>40</v>
      </c>
      <c r="G4768" s="163"/>
      <c r="H4768" s="164"/>
      <c r="I4768" s="163"/>
      <c r="J4768" s="164"/>
      <c r="K4768" s="163"/>
      <c r="L4768" s="164"/>
      <c r="M4768" s="11"/>
      <c r="N4768" s="39"/>
      <c r="Q4768" s="15" t="str">
        <f>+CONCATENATE(E4768,G4768)</f>
        <v/>
      </c>
      <c r="R4768" s="15">
        <f>+H4768</f>
        <v>0</v>
      </c>
      <c r="S4768" s="16"/>
      <c r="T4768" s="15">
        <f>+E4768</f>
        <v>0</v>
      </c>
      <c r="U4768" s="26" t="str">
        <f t="shared" ref="U4768" si="2597">IFERROR(LEFT(G4768,FIND("*",G4768)-1),"-")</f>
        <v>-</v>
      </c>
      <c r="V4768" s="26" t="str">
        <f t="shared" ref="V4768" si="2598">IFERROR(RIGHT(G4768,LEN(G4768)-FIND("*",G4768)),"-")</f>
        <v>-</v>
      </c>
      <c r="W4768" s="27" t="str">
        <f t="shared" si="2596"/>
        <v>-</v>
      </c>
      <c r="X4768" s="27" t="str">
        <f>IFERROR(W4768*H4768,"-")</f>
        <v>-</v>
      </c>
      <c r="Z4768" s="94" t="s">
        <v>82</v>
      </c>
    </row>
    <row r="4769" spans="1:26" s="25" customFormat="1" ht="6.95" customHeight="1" x14ac:dyDescent="0.3">
      <c r="A4769" s="10"/>
      <c r="B4769" s="168"/>
      <c r="C4769" s="169"/>
      <c r="D4769" s="160"/>
      <c r="E4769" s="161"/>
      <c r="F4769" s="162"/>
      <c r="G4769" s="163"/>
      <c r="H4769" s="164"/>
      <c r="I4769" s="163"/>
      <c r="J4769" s="164"/>
      <c r="K4769" s="163"/>
      <c r="L4769" s="164"/>
      <c r="M4769" s="11"/>
      <c r="N4769" s="39"/>
      <c r="Q4769" s="15" t="str">
        <f>+CONCATENATE(E4768,I4768)</f>
        <v/>
      </c>
      <c r="R4769" s="15">
        <f>+J4768</f>
        <v>0</v>
      </c>
      <c r="S4769" s="16"/>
      <c r="T4769" s="15">
        <f>+E4768</f>
        <v>0</v>
      </c>
      <c r="U4769" s="26" t="str">
        <f>IFERROR(LEFT(I4768,FIND("*",I4768)-1),"-")</f>
        <v>-</v>
      </c>
      <c r="V4769" s="26" t="str">
        <f>IFERROR(RIGHT(I4768,LEN(I4768)-FIND("*",I4768)),"-")</f>
        <v>-</v>
      </c>
      <c r="W4769" s="27" t="str">
        <f t="shared" si="2596"/>
        <v>-</v>
      </c>
      <c r="X4769" s="27" t="str">
        <f>IFERROR(W4769*J4768,"-")</f>
        <v>-</v>
      </c>
      <c r="Z4769" s="94" t="s">
        <v>82</v>
      </c>
    </row>
    <row r="4770" spans="1:26" s="25" customFormat="1" ht="6.95" customHeight="1" x14ac:dyDescent="0.3">
      <c r="A4770" s="10"/>
      <c r="B4770" s="168"/>
      <c r="C4770" s="169"/>
      <c r="D4770" s="160"/>
      <c r="E4770" s="161"/>
      <c r="F4770" s="162"/>
      <c r="G4770" s="163"/>
      <c r="H4770" s="164"/>
      <c r="I4770" s="163"/>
      <c r="J4770" s="164"/>
      <c r="K4770" s="163"/>
      <c r="L4770" s="164"/>
      <c r="M4770" s="11"/>
      <c r="N4770" s="39"/>
      <c r="Q4770" s="15" t="str">
        <f>+CONCATENATE(E4768,K4768)</f>
        <v/>
      </c>
      <c r="R4770" s="15">
        <f>+L4768</f>
        <v>0</v>
      </c>
      <c r="S4770" s="16"/>
      <c r="T4770" s="15">
        <f>+E4768</f>
        <v>0</v>
      </c>
      <c r="U4770" s="26" t="str">
        <f>IFERROR(LEFT(K4768,FIND("*",K4768)-1),"-")</f>
        <v>-</v>
      </c>
      <c r="V4770" s="26" t="str">
        <f>IFERROR(RIGHT(K4768,LEN(K4768)-FIND("*",K4768)),"-")</f>
        <v>-</v>
      </c>
      <c r="W4770" s="27" t="str">
        <f t="shared" si="2596"/>
        <v>-</v>
      </c>
      <c r="X4770" s="27" t="str">
        <f>IFERROR(W4770*L4768,"-")</f>
        <v>-</v>
      </c>
      <c r="Z4770" s="94" t="s">
        <v>82</v>
      </c>
    </row>
    <row r="4771" spans="1:26" s="25" customFormat="1" ht="6.95" customHeight="1" x14ac:dyDescent="0.3">
      <c r="A4771" s="13"/>
      <c r="B4771" s="168"/>
      <c r="C4771" s="169"/>
      <c r="D4771" s="160" t="s">
        <v>39</v>
      </c>
      <c r="E4771" s="161"/>
      <c r="F4771" s="162" t="s">
        <v>40</v>
      </c>
      <c r="G4771" s="163"/>
      <c r="H4771" s="164"/>
      <c r="I4771" s="163"/>
      <c r="J4771" s="164"/>
      <c r="K4771" s="163"/>
      <c r="L4771" s="164"/>
      <c r="M4771" s="11"/>
      <c r="N4771" s="39"/>
      <c r="Q4771" s="15" t="str">
        <f>+CONCATENATE(E4771,G4771)</f>
        <v/>
      </c>
      <c r="R4771" s="15">
        <f>+H4771</f>
        <v>0</v>
      </c>
      <c r="S4771" s="16"/>
      <c r="T4771" s="15">
        <f>+E4771</f>
        <v>0</v>
      </c>
      <c r="U4771" s="26" t="str">
        <f t="shared" ref="U4771" si="2599">IFERROR(LEFT(G4771,FIND("*",G4771)-1),"-")</f>
        <v>-</v>
      </c>
      <c r="V4771" s="26" t="str">
        <f t="shared" ref="V4771" si="2600">IFERROR(RIGHT(G4771,LEN(G4771)-FIND("*",G4771)),"-")</f>
        <v>-</v>
      </c>
      <c r="W4771" s="27" t="str">
        <f t="shared" si="2596"/>
        <v>-</v>
      </c>
      <c r="X4771" s="27" t="str">
        <f>IFERROR(W4771*H4771,"-")</f>
        <v>-</v>
      </c>
      <c r="Z4771" s="94" t="s">
        <v>82</v>
      </c>
    </row>
    <row r="4772" spans="1:26" s="25" customFormat="1" ht="6.95" customHeight="1" x14ac:dyDescent="0.3">
      <c r="A4772" s="10"/>
      <c r="B4772" s="168"/>
      <c r="C4772" s="169"/>
      <c r="D4772" s="160"/>
      <c r="E4772" s="161"/>
      <c r="F4772" s="162"/>
      <c r="G4772" s="163"/>
      <c r="H4772" s="164"/>
      <c r="I4772" s="163"/>
      <c r="J4772" s="164"/>
      <c r="K4772" s="163"/>
      <c r="L4772" s="164"/>
      <c r="M4772" s="11"/>
      <c r="N4772" s="39"/>
      <c r="Q4772" s="15" t="str">
        <f>+CONCATENATE(E4771,I4771)</f>
        <v/>
      </c>
      <c r="R4772" s="15">
        <f>+J4771</f>
        <v>0</v>
      </c>
      <c r="S4772" s="16"/>
      <c r="T4772" s="15">
        <f>+E4771</f>
        <v>0</v>
      </c>
      <c r="U4772" s="26" t="str">
        <f>IFERROR(LEFT(I4771,FIND("*",I4771)-1),"-")</f>
        <v>-</v>
      </c>
      <c r="V4772" s="26" t="str">
        <f>IFERROR(RIGHT(I4771,LEN(I4771)-FIND("*",I4771)),"-")</f>
        <v>-</v>
      </c>
      <c r="W4772" s="27" t="str">
        <f t="shared" si="2596"/>
        <v>-</v>
      </c>
      <c r="X4772" s="27" t="str">
        <f t="shared" ref="X4772" si="2601">IFERROR(W4772*J4771,"-")</f>
        <v>-</v>
      </c>
      <c r="Z4772" s="94" t="s">
        <v>82</v>
      </c>
    </row>
    <row r="4773" spans="1:26" s="25" customFormat="1" ht="6.95" customHeight="1" x14ac:dyDescent="0.3">
      <c r="A4773" s="10"/>
      <c r="B4773" s="168"/>
      <c r="C4773" s="169"/>
      <c r="D4773" s="160"/>
      <c r="E4773" s="161"/>
      <c r="F4773" s="162"/>
      <c r="G4773" s="163"/>
      <c r="H4773" s="164"/>
      <c r="I4773" s="163"/>
      <c r="J4773" s="164"/>
      <c r="K4773" s="163"/>
      <c r="L4773" s="164"/>
      <c r="M4773" s="11"/>
      <c r="N4773" s="39"/>
      <c r="Q4773" s="15" t="str">
        <f>+CONCATENATE(E4771,K4771)</f>
        <v/>
      </c>
      <c r="R4773" s="15">
        <f>+L4771</f>
        <v>0</v>
      </c>
      <c r="S4773" s="16"/>
      <c r="T4773" s="15">
        <f>+E4771</f>
        <v>0</v>
      </c>
      <c r="U4773" s="26" t="str">
        <f>IFERROR(LEFT(K4771,FIND("*",K4771)-1),"-")</f>
        <v>-</v>
      </c>
      <c r="V4773" s="26" t="str">
        <f>IFERROR(RIGHT(K4771,LEN(K4771)-FIND("*",K4771)),"-")</f>
        <v>-</v>
      </c>
      <c r="W4773" s="27" t="str">
        <f t="shared" si="2596"/>
        <v>-</v>
      </c>
      <c r="X4773" s="27" t="str">
        <f>IFERROR(W4773*L4771,"-")</f>
        <v>-</v>
      </c>
      <c r="Z4773" s="94" t="s">
        <v>82</v>
      </c>
    </row>
    <row r="4774" spans="1:26" s="25" customFormat="1" ht="21" customHeight="1" thickBot="1" x14ac:dyDescent="0.35">
      <c r="A4774" s="10"/>
      <c r="B4774" s="170"/>
      <c r="C4774" s="171"/>
      <c r="D4774" s="172" t="s">
        <v>43</v>
      </c>
      <c r="E4774" s="173"/>
      <c r="F4774" s="173"/>
      <c r="G4774" s="174"/>
      <c r="H4774" s="174"/>
      <c r="I4774" s="174"/>
      <c r="J4774" s="174"/>
      <c r="K4774" s="174"/>
      <c r="L4774" s="174"/>
      <c r="M4774" s="12"/>
      <c r="N4774" s="39"/>
      <c r="U4774" s="23"/>
      <c r="V4774" s="23"/>
      <c r="Z4774" s="95" t="s">
        <v>81</v>
      </c>
    </row>
    <row r="4775" spans="1:26" s="25" customFormat="1" ht="9.9499999999999993" customHeight="1" thickBot="1" x14ac:dyDescent="0.35">
      <c r="A4775" s="6"/>
      <c r="B4775" s="14"/>
      <c r="C4775" s="119"/>
      <c r="D4775" s="58"/>
      <c r="E4775" s="17"/>
      <c r="F4775" s="58"/>
      <c r="G4775" s="19"/>
      <c r="H4775" s="19"/>
      <c r="I4775" s="19"/>
      <c r="J4775" s="19"/>
      <c r="K4775" s="19"/>
      <c r="L4775" s="19"/>
      <c r="M4775" s="14"/>
      <c r="N4775" s="39"/>
      <c r="Q4775" s="1"/>
      <c r="R4775" s="1"/>
      <c r="S4775" s="1"/>
      <c r="T4775" s="1"/>
      <c r="U4775" s="24"/>
      <c r="V4775" s="24"/>
      <c r="W4775" s="1"/>
      <c r="X4775" s="1"/>
      <c r="Z4775" s="94" t="s">
        <v>82</v>
      </c>
    </row>
    <row r="4776" spans="1:26" s="25" customFormat="1" ht="6.95" customHeight="1" x14ac:dyDescent="0.3">
      <c r="A4776" s="165">
        <f>+A4765+1</f>
        <v>435</v>
      </c>
      <c r="B4776" s="166"/>
      <c r="C4776" s="167"/>
      <c r="D4776" s="160" t="s">
        <v>39</v>
      </c>
      <c r="E4776" s="161"/>
      <c r="F4776" s="162" t="s">
        <v>40</v>
      </c>
      <c r="G4776" s="163"/>
      <c r="H4776" s="164"/>
      <c r="I4776" s="163"/>
      <c r="J4776" s="164"/>
      <c r="K4776" s="163"/>
      <c r="L4776" s="164"/>
      <c r="M4776" s="11"/>
      <c r="N4776" s="39"/>
      <c r="Q4776" s="15" t="str">
        <f>+CONCATENATE(E4776,G4776)</f>
        <v/>
      </c>
      <c r="R4776" s="15">
        <f>+H4776</f>
        <v>0</v>
      </c>
      <c r="S4776" s="16"/>
      <c r="T4776" s="15">
        <f>+E4776</f>
        <v>0</v>
      </c>
      <c r="U4776" s="26" t="str">
        <f>IFERROR(LEFT(G4776,FIND("*",G4776)-1),"-")</f>
        <v>-</v>
      </c>
      <c r="V4776" s="26" t="str">
        <f>IFERROR(RIGHT(G4776,LEN(G4776)-FIND("*",G4776)),"-")</f>
        <v>-</v>
      </c>
      <c r="W4776" s="27" t="str">
        <f>IFERROR((U4776+V4776)*2/1000,"-")</f>
        <v>-</v>
      </c>
      <c r="X4776" s="27" t="str">
        <f>IFERROR(W4776*H4776,"-")</f>
        <v>-</v>
      </c>
      <c r="Z4776" s="94" t="s">
        <v>82</v>
      </c>
    </row>
    <row r="4777" spans="1:26" s="25" customFormat="1" ht="6.95" customHeight="1" x14ac:dyDescent="0.3">
      <c r="A4777" s="165"/>
      <c r="B4777" s="168"/>
      <c r="C4777" s="169"/>
      <c r="D4777" s="160"/>
      <c r="E4777" s="161"/>
      <c r="F4777" s="162"/>
      <c r="G4777" s="163"/>
      <c r="H4777" s="164"/>
      <c r="I4777" s="163"/>
      <c r="J4777" s="164"/>
      <c r="K4777" s="163"/>
      <c r="L4777" s="164"/>
      <c r="M4777" s="11"/>
      <c r="N4777" s="39"/>
      <c r="Q4777" s="15" t="str">
        <f>+CONCATENATE(E4776,I4776)</f>
        <v/>
      </c>
      <c r="R4777" s="15">
        <f>+J4776</f>
        <v>0</v>
      </c>
      <c r="S4777" s="16"/>
      <c r="T4777" s="15">
        <f>+E4776</f>
        <v>0</v>
      </c>
      <c r="U4777" s="26" t="str">
        <f>IFERROR(LEFT(I4776,FIND("*",I4776)-1),"-")</f>
        <v>-</v>
      </c>
      <c r="V4777" s="26" t="str">
        <f>IFERROR(RIGHT(I4776,LEN(I4776)-FIND("*",I4776)),"-")</f>
        <v>-</v>
      </c>
      <c r="W4777" s="27" t="str">
        <f t="shared" ref="W4777:W4784" si="2602">IFERROR((U4777+V4777)*2/1000,"-")</f>
        <v>-</v>
      </c>
      <c r="X4777" s="27" t="str">
        <f>IFERROR(W4777*J4776,"-")</f>
        <v>-</v>
      </c>
      <c r="Z4777" s="94" t="s">
        <v>82</v>
      </c>
    </row>
    <row r="4778" spans="1:26" s="25" customFormat="1" ht="6.95" customHeight="1" x14ac:dyDescent="0.3">
      <c r="A4778" s="165"/>
      <c r="B4778" s="168"/>
      <c r="C4778" s="169"/>
      <c r="D4778" s="160"/>
      <c r="E4778" s="161"/>
      <c r="F4778" s="162"/>
      <c r="G4778" s="163"/>
      <c r="H4778" s="164"/>
      <c r="I4778" s="163"/>
      <c r="J4778" s="164"/>
      <c r="K4778" s="163"/>
      <c r="L4778" s="164"/>
      <c r="M4778" s="11"/>
      <c r="N4778" s="39"/>
      <c r="Q4778" s="15" t="str">
        <f>+CONCATENATE(E4776,K4776)</f>
        <v/>
      </c>
      <c r="R4778" s="15">
        <f>+L4776</f>
        <v>0</v>
      </c>
      <c r="S4778" s="16"/>
      <c r="T4778" s="15">
        <f>+E4776</f>
        <v>0</v>
      </c>
      <c r="U4778" s="26" t="str">
        <f>IFERROR(LEFT(K4776,FIND("*",K4776)-1),"-")</f>
        <v>-</v>
      </c>
      <c r="V4778" s="26" t="str">
        <f>IFERROR(RIGHT(K4776,LEN(K4776)-FIND("*",K4776)),"-")</f>
        <v>-</v>
      </c>
      <c r="W4778" s="27" t="str">
        <f t="shared" si="2602"/>
        <v>-</v>
      </c>
      <c r="X4778" s="27" t="str">
        <f>IFERROR(W4778*L4776,"-")</f>
        <v>-</v>
      </c>
      <c r="Z4778" s="94" t="s">
        <v>82</v>
      </c>
    </row>
    <row r="4779" spans="1:26" s="25" customFormat="1" ht="6.95" customHeight="1" x14ac:dyDescent="0.3">
      <c r="A4779" s="13"/>
      <c r="B4779" s="168"/>
      <c r="C4779" s="169"/>
      <c r="D4779" s="160" t="s">
        <v>39</v>
      </c>
      <c r="E4779" s="161"/>
      <c r="F4779" s="162" t="s">
        <v>40</v>
      </c>
      <c r="G4779" s="163"/>
      <c r="H4779" s="164"/>
      <c r="I4779" s="163"/>
      <c r="J4779" s="164"/>
      <c r="K4779" s="163"/>
      <c r="L4779" s="164"/>
      <c r="M4779" s="11"/>
      <c r="N4779" s="39"/>
      <c r="Q4779" s="15" t="str">
        <f>+CONCATENATE(E4779,G4779)</f>
        <v/>
      </c>
      <c r="R4779" s="15">
        <f>+H4779</f>
        <v>0</v>
      </c>
      <c r="S4779" s="16"/>
      <c r="T4779" s="15">
        <f>+E4779</f>
        <v>0</v>
      </c>
      <c r="U4779" s="26" t="str">
        <f t="shared" ref="U4779" si="2603">IFERROR(LEFT(G4779,FIND("*",G4779)-1),"-")</f>
        <v>-</v>
      </c>
      <c r="V4779" s="26" t="str">
        <f t="shared" ref="V4779" si="2604">IFERROR(RIGHT(G4779,LEN(G4779)-FIND("*",G4779)),"-")</f>
        <v>-</v>
      </c>
      <c r="W4779" s="27" t="str">
        <f t="shared" si="2602"/>
        <v>-</v>
      </c>
      <c r="X4779" s="27" t="str">
        <f>IFERROR(W4779*H4779,"-")</f>
        <v>-</v>
      </c>
      <c r="Z4779" s="94" t="s">
        <v>82</v>
      </c>
    </row>
    <row r="4780" spans="1:26" s="25" customFormat="1" ht="6.95" customHeight="1" x14ac:dyDescent="0.3">
      <c r="A4780" s="10"/>
      <c r="B4780" s="168"/>
      <c r="C4780" s="169"/>
      <c r="D4780" s="160"/>
      <c r="E4780" s="161"/>
      <c r="F4780" s="162"/>
      <c r="G4780" s="163"/>
      <c r="H4780" s="164"/>
      <c r="I4780" s="163"/>
      <c r="J4780" s="164"/>
      <c r="K4780" s="163"/>
      <c r="L4780" s="164"/>
      <c r="M4780" s="11"/>
      <c r="N4780" s="39"/>
      <c r="Q4780" s="15" t="str">
        <f>+CONCATENATE(E4779,I4779)</f>
        <v/>
      </c>
      <c r="R4780" s="15">
        <f>+J4779</f>
        <v>0</v>
      </c>
      <c r="S4780" s="16"/>
      <c r="T4780" s="15">
        <f>+E4779</f>
        <v>0</v>
      </c>
      <c r="U4780" s="26" t="str">
        <f>IFERROR(LEFT(I4779,FIND("*",I4779)-1),"-")</f>
        <v>-</v>
      </c>
      <c r="V4780" s="26" t="str">
        <f>IFERROR(RIGHT(I4779,LEN(I4779)-FIND("*",I4779)),"-")</f>
        <v>-</v>
      </c>
      <c r="W4780" s="27" t="str">
        <f t="shared" si="2602"/>
        <v>-</v>
      </c>
      <c r="X4780" s="27" t="str">
        <f>IFERROR(W4780*J4779,"-")</f>
        <v>-</v>
      </c>
      <c r="Z4780" s="94" t="s">
        <v>82</v>
      </c>
    </row>
    <row r="4781" spans="1:26" s="25" customFormat="1" ht="6.95" customHeight="1" x14ac:dyDescent="0.3">
      <c r="A4781" s="10"/>
      <c r="B4781" s="168"/>
      <c r="C4781" s="169"/>
      <c r="D4781" s="160"/>
      <c r="E4781" s="161"/>
      <c r="F4781" s="162"/>
      <c r="G4781" s="163"/>
      <c r="H4781" s="164"/>
      <c r="I4781" s="163"/>
      <c r="J4781" s="164"/>
      <c r="K4781" s="163"/>
      <c r="L4781" s="164"/>
      <c r="M4781" s="11"/>
      <c r="N4781" s="39"/>
      <c r="Q4781" s="15" t="str">
        <f>+CONCATENATE(E4779,K4779)</f>
        <v/>
      </c>
      <c r="R4781" s="15">
        <f>+L4779</f>
        <v>0</v>
      </c>
      <c r="S4781" s="16"/>
      <c r="T4781" s="15">
        <f>+E4779</f>
        <v>0</v>
      </c>
      <c r="U4781" s="26" t="str">
        <f>IFERROR(LEFT(K4779,FIND("*",K4779)-1),"-")</f>
        <v>-</v>
      </c>
      <c r="V4781" s="26" t="str">
        <f>IFERROR(RIGHT(K4779,LEN(K4779)-FIND("*",K4779)),"-")</f>
        <v>-</v>
      </c>
      <c r="W4781" s="27" t="str">
        <f t="shared" si="2602"/>
        <v>-</v>
      </c>
      <c r="X4781" s="27" t="str">
        <f>IFERROR(W4781*L4779,"-")</f>
        <v>-</v>
      </c>
      <c r="Z4781" s="94" t="s">
        <v>82</v>
      </c>
    </row>
    <row r="4782" spans="1:26" s="25" customFormat="1" ht="6.95" customHeight="1" x14ac:dyDescent="0.3">
      <c r="A4782" s="13"/>
      <c r="B4782" s="168"/>
      <c r="C4782" s="169"/>
      <c r="D4782" s="160" t="s">
        <v>39</v>
      </c>
      <c r="E4782" s="161"/>
      <c r="F4782" s="162" t="s">
        <v>40</v>
      </c>
      <c r="G4782" s="163"/>
      <c r="H4782" s="164"/>
      <c r="I4782" s="163"/>
      <c r="J4782" s="164"/>
      <c r="K4782" s="163"/>
      <c r="L4782" s="164"/>
      <c r="M4782" s="11"/>
      <c r="N4782" s="39"/>
      <c r="Q4782" s="15" t="str">
        <f>+CONCATENATE(E4782,G4782)</f>
        <v/>
      </c>
      <c r="R4782" s="15">
        <f>+H4782</f>
        <v>0</v>
      </c>
      <c r="S4782" s="16"/>
      <c r="T4782" s="15">
        <f>+E4782</f>
        <v>0</v>
      </c>
      <c r="U4782" s="26" t="str">
        <f t="shared" ref="U4782" si="2605">IFERROR(LEFT(G4782,FIND("*",G4782)-1),"-")</f>
        <v>-</v>
      </c>
      <c r="V4782" s="26" t="str">
        <f t="shared" ref="V4782" si="2606">IFERROR(RIGHT(G4782,LEN(G4782)-FIND("*",G4782)),"-")</f>
        <v>-</v>
      </c>
      <c r="W4782" s="27" t="str">
        <f t="shared" si="2602"/>
        <v>-</v>
      </c>
      <c r="X4782" s="27" t="str">
        <f>IFERROR(W4782*H4782,"-")</f>
        <v>-</v>
      </c>
      <c r="Z4782" s="94" t="s">
        <v>82</v>
      </c>
    </row>
    <row r="4783" spans="1:26" s="25" customFormat="1" ht="6.95" customHeight="1" x14ac:dyDescent="0.3">
      <c r="A4783" s="10"/>
      <c r="B4783" s="168"/>
      <c r="C4783" s="169"/>
      <c r="D4783" s="160"/>
      <c r="E4783" s="161"/>
      <c r="F4783" s="162"/>
      <c r="G4783" s="163"/>
      <c r="H4783" s="164"/>
      <c r="I4783" s="163"/>
      <c r="J4783" s="164"/>
      <c r="K4783" s="163"/>
      <c r="L4783" s="164"/>
      <c r="M4783" s="11"/>
      <c r="N4783" s="39"/>
      <c r="Q4783" s="15" t="str">
        <f>+CONCATENATE(E4782,I4782)</f>
        <v/>
      </c>
      <c r="R4783" s="15">
        <f>+J4782</f>
        <v>0</v>
      </c>
      <c r="S4783" s="16"/>
      <c r="T4783" s="15">
        <f>+E4782</f>
        <v>0</v>
      </c>
      <c r="U4783" s="26" t="str">
        <f>IFERROR(LEFT(I4782,FIND("*",I4782)-1),"-")</f>
        <v>-</v>
      </c>
      <c r="V4783" s="26" t="str">
        <f>IFERROR(RIGHT(I4782,LEN(I4782)-FIND("*",I4782)),"-")</f>
        <v>-</v>
      </c>
      <c r="W4783" s="27" t="str">
        <f t="shared" si="2602"/>
        <v>-</v>
      </c>
      <c r="X4783" s="27" t="str">
        <f t="shared" ref="X4783" si="2607">IFERROR(W4783*J4782,"-")</f>
        <v>-</v>
      </c>
      <c r="Z4783" s="94" t="s">
        <v>82</v>
      </c>
    </row>
    <row r="4784" spans="1:26" s="25" customFormat="1" ht="6.95" customHeight="1" x14ac:dyDescent="0.3">
      <c r="A4784" s="10"/>
      <c r="B4784" s="168"/>
      <c r="C4784" s="169"/>
      <c r="D4784" s="160"/>
      <c r="E4784" s="161"/>
      <c r="F4784" s="162"/>
      <c r="G4784" s="163"/>
      <c r="H4784" s="164"/>
      <c r="I4784" s="163"/>
      <c r="J4784" s="164"/>
      <c r="K4784" s="163"/>
      <c r="L4784" s="164"/>
      <c r="M4784" s="11"/>
      <c r="N4784" s="39"/>
      <c r="Q4784" s="15" t="str">
        <f>+CONCATENATE(E4782,K4782)</f>
        <v/>
      </c>
      <c r="R4784" s="15">
        <f>+L4782</f>
        <v>0</v>
      </c>
      <c r="S4784" s="16"/>
      <c r="T4784" s="15">
        <f>+E4782</f>
        <v>0</v>
      </c>
      <c r="U4784" s="26" t="str">
        <f>IFERROR(LEFT(K4782,FIND("*",K4782)-1),"-")</f>
        <v>-</v>
      </c>
      <c r="V4784" s="26" t="str">
        <f>IFERROR(RIGHT(K4782,LEN(K4782)-FIND("*",K4782)),"-")</f>
        <v>-</v>
      </c>
      <c r="W4784" s="27" t="str">
        <f t="shared" si="2602"/>
        <v>-</v>
      </c>
      <c r="X4784" s="27" t="str">
        <f>IFERROR(W4784*L4782,"-")</f>
        <v>-</v>
      </c>
      <c r="Z4784" s="94" t="s">
        <v>82</v>
      </c>
    </row>
    <row r="4785" spans="1:26" s="25" customFormat="1" ht="21" customHeight="1" thickBot="1" x14ac:dyDescent="0.35">
      <c r="A4785" s="10"/>
      <c r="B4785" s="170"/>
      <c r="C4785" s="171"/>
      <c r="D4785" s="172" t="s">
        <v>43</v>
      </c>
      <c r="E4785" s="173"/>
      <c r="F4785" s="173"/>
      <c r="G4785" s="174"/>
      <c r="H4785" s="174"/>
      <c r="I4785" s="174"/>
      <c r="J4785" s="174"/>
      <c r="K4785" s="174"/>
      <c r="L4785" s="174"/>
      <c r="M4785" s="12"/>
      <c r="N4785" s="39"/>
      <c r="U4785" s="23"/>
      <c r="V4785" s="23"/>
      <c r="Z4785" s="95" t="s">
        <v>81</v>
      </c>
    </row>
    <row r="4786" spans="1:26" s="25" customFormat="1" ht="9.9499999999999993" customHeight="1" thickBot="1" x14ac:dyDescent="0.35">
      <c r="A4786" s="6"/>
      <c r="B4786" s="14"/>
      <c r="C4786" s="119"/>
      <c r="D4786" s="58"/>
      <c r="E4786" s="17"/>
      <c r="F4786" s="58"/>
      <c r="G4786" s="19"/>
      <c r="H4786" s="19"/>
      <c r="I4786" s="19"/>
      <c r="J4786" s="19"/>
      <c r="K4786" s="19"/>
      <c r="L4786" s="19"/>
      <c r="M4786" s="14"/>
      <c r="N4786" s="39"/>
      <c r="Q4786" s="1"/>
      <c r="R4786" s="1"/>
      <c r="S4786" s="1"/>
      <c r="T4786" s="1"/>
      <c r="U4786" s="24"/>
      <c r="V4786" s="24"/>
      <c r="W4786" s="1"/>
      <c r="X4786" s="1"/>
      <c r="Z4786" s="94" t="s">
        <v>82</v>
      </c>
    </row>
    <row r="4787" spans="1:26" s="25" customFormat="1" ht="6.95" customHeight="1" x14ac:dyDescent="0.3">
      <c r="A4787" s="165">
        <f>+A4776+1</f>
        <v>436</v>
      </c>
      <c r="B4787" s="166"/>
      <c r="C4787" s="167"/>
      <c r="D4787" s="160" t="s">
        <v>39</v>
      </c>
      <c r="E4787" s="161"/>
      <c r="F4787" s="162" t="s">
        <v>40</v>
      </c>
      <c r="G4787" s="163"/>
      <c r="H4787" s="164"/>
      <c r="I4787" s="163"/>
      <c r="J4787" s="164"/>
      <c r="K4787" s="163"/>
      <c r="L4787" s="164"/>
      <c r="M4787" s="11"/>
      <c r="N4787" s="39"/>
      <c r="Q4787" s="15" t="str">
        <f>+CONCATENATE(E4787,G4787)</f>
        <v/>
      </c>
      <c r="R4787" s="15">
        <f>+H4787</f>
        <v>0</v>
      </c>
      <c r="S4787" s="16"/>
      <c r="T4787" s="15">
        <f>+E4787</f>
        <v>0</v>
      </c>
      <c r="U4787" s="26" t="str">
        <f>IFERROR(LEFT(G4787,FIND("*",G4787)-1),"-")</f>
        <v>-</v>
      </c>
      <c r="V4787" s="26" t="str">
        <f>IFERROR(RIGHT(G4787,LEN(G4787)-FIND("*",G4787)),"-")</f>
        <v>-</v>
      </c>
      <c r="W4787" s="27" t="str">
        <f>IFERROR((U4787+V4787)*2/1000,"-")</f>
        <v>-</v>
      </c>
      <c r="X4787" s="27" t="str">
        <f>IFERROR(W4787*H4787,"-")</f>
        <v>-</v>
      </c>
      <c r="Z4787" s="94" t="s">
        <v>82</v>
      </c>
    </row>
    <row r="4788" spans="1:26" s="25" customFormat="1" ht="6.95" customHeight="1" x14ac:dyDescent="0.3">
      <c r="A4788" s="165"/>
      <c r="B4788" s="168"/>
      <c r="C4788" s="169"/>
      <c r="D4788" s="160"/>
      <c r="E4788" s="161"/>
      <c r="F4788" s="162"/>
      <c r="G4788" s="163"/>
      <c r="H4788" s="164"/>
      <c r="I4788" s="163"/>
      <c r="J4788" s="164"/>
      <c r="K4788" s="163"/>
      <c r="L4788" s="164"/>
      <c r="M4788" s="11"/>
      <c r="N4788" s="39"/>
      <c r="Q4788" s="15" t="str">
        <f>+CONCATENATE(E4787,I4787)</f>
        <v/>
      </c>
      <c r="R4788" s="15">
        <f>+J4787</f>
        <v>0</v>
      </c>
      <c r="S4788" s="16"/>
      <c r="T4788" s="15">
        <f>+E4787</f>
        <v>0</v>
      </c>
      <c r="U4788" s="26" t="str">
        <f>IFERROR(LEFT(I4787,FIND("*",I4787)-1),"-")</f>
        <v>-</v>
      </c>
      <c r="V4788" s="26" t="str">
        <f>IFERROR(RIGHT(I4787,LEN(I4787)-FIND("*",I4787)),"-")</f>
        <v>-</v>
      </c>
      <c r="W4788" s="27" t="str">
        <f t="shared" ref="W4788:W4795" si="2608">IFERROR((U4788+V4788)*2/1000,"-")</f>
        <v>-</v>
      </c>
      <c r="X4788" s="27" t="str">
        <f>IFERROR(W4788*J4787,"-")</f>
        <v>-</v>
      </c>
      <c r="Z4788" s="94" t="s">
        <v>82</v>
      </c>
    </row>
    <row r="4789" spans="1:26" s="25" customFormat="1" ht="6.95" customHeight="1" x14ac:dyDescent="0.3">
      <c r="A4789" s="165"/>
      <c r="B4789" s="168"/>
      <c r="C4789" s="169"/>
      <c r="D4789" s="160"/>
      <c r="E4789" s="161"/>
      <c r="F4789" s="162"/>
      <c r="G4789" s="163"/>
      <c r="H4789" s="164"/>
      <c r="I4789" s="163"/>
      <c r="J4789" s="164"/>
      <c r="K4789" s="163"/>
      <c r="L4789" s="164"/>
      <c r="M4789" s="11"/>
      <c r="N4789" s="39"/>
      <c r="Q4789" s="15" t="str">
        <f>+CONCATENATE(E4787,K4787)</f>
        <v/>
      </c>
      <c r="R4789" s="15">
        <f>+L4787</f>
        <v>0</v>
      </c>
      <c r="S4789" s="16"/>
      <c r="T4789" s="15">
        <f>+E4787</f>
        <v>0</v>
      </c>
      <c r="U4789" s="26" t="str">
        <f>IFERROR(LEFT(K4787,FIND("*",K4787)-1),"-")</f>
        <v>-</v>
      </c>
      <c r="V4789" s="26" t="str">
        <f>IFERROR(RIGHT(K4787,LEN(K4787)-FIND("*",K4787)),"-")</f>
        <v>-</v>
      </c>
      <c r="W4789" s="27" t="str">
        <f t="shared" si="2608"/>
        <v>-</v>
      </c>
      <c r="X4789" s="27" t="str">
        <f>IFERROR(W4789*L4787,"-")</f>
        <v>-</v>
      </c>
      <c r="Z4789" s="94" t="s">
        <v>82</v>
      </c>
    </row>
    <row r="4790" spans="1:26" s="25" customFormat="1" ht="6.95" customHeight="1" x14ac:dyDescent="0.3">
      <c r="A4790" s="13"/>
      <c r="B4790" s="168"/>
      <c r="C4790" s="169"/>
      <c r="D4790" s="160" t="s">
        <v>39</v>
      </c>
      <c r="E4790" s="161"/>
      <c r="F4790" s="162" t="s">
        <v>40</v>
      </c>
      <c r="G4790" s="163"/>
      <c r="H4790" s="164"/>
      <c r="I4790" s="163"/>
      <c r="J4790" s="164"/>
      <c r="K4790" s="163"/>
      <c r="L4790" s="164"/>
      <c r="M4790" s="11"/>
      <c r="N4790" s="39"/>
      <c r="Q4790" s="15" t="str">
        <f>+CONCATENATE(E4790,G4790)</f>
        <v/>
      </c>
      <c r="R4790" s="15">
        <f>+H4790</f>
        <v>0</v>
      </c>
      <c r="S4790" s="16"/>
      <c r="T4790" s="15">
        <f>+E4790</f>
        <v>0</v>
      </c>
      <c r="U4790" s="26" t="str">
        <f t="shared" ref="U4790" si="2609">IFERROR(LEFT(G4790,FIND("*",G4790)-1),"-")</f>
        <v>-</v>
      </c>
      <c r="V4790" s="26" t="str">
        <f t="shared" ref="V4790" si="2610">IFERROR(RIGHT(G4790,LEN(G4790)-FIND("*",G4790)),"-")</f>
        <v>-</v>
      </c>
      <c r="W4790" s="27" t="str">
        <f t="shared" si="2608"/>
        <v>-</v>
      </c>
      <c r="X4790" s="27" t="str">
        <f>IFERROR(W4790*H4790,"-")</f>
        <v>-</v>
      </c>
      <c r="Z4790" s="94" t="s">
        <v>82</v>
      </c>
    </row>
    <row r="4791" spans="1:26" s="25" customFormat="1" ht="6.95" customHeight="1" x14ac:dyDescent="0.3">
      <c r="A4791" s="10"/>
      <c r="B4791" s="168"/>
      <c r="C4791" s="169"/>
      <c r="D4791" s="160"/>
      <c r="E4791" s="161"/>
      <c r="F4791" s="162"/>
      <c r="G4791" s="163"/>
      <c r="H4791" s="164"/>
      <c r="I4791" s="163"/>
      <c r="J4791" s="164"/>
      <c r="K4791" s="163"/>
      <c r="L4791" s="164"/>
      <c r="M4791" s="11"/>
      <c r="N4791" s="39"/>
      <c r="Q4791" s="15" t="str">
        <f>+CONCATENATE(E4790,I4790)</f>
        <v/>
      </c>
      <c r="R4791" s="15">
        <f>+J4790</f>
        <v>0</v>
      </c>
      <c r="S4791" s="16"/>
      <c r="T4791" s="15">
        <f>+E4790</f>
        <v>0</v>
      </c>
      <c r="U4791" s="26" t="str">
        <f>IFERROR(LEFT(I4790,FIND("*",I4790)-1),"-")</f>
        <v>-</v>
      </c>
      <c r="V4791" s="26" t="str">
        <f>IFERROR(RIGHT(I4790,LEN(I4790)-FIND("*",I4790)),"-")</f>
        <v>-</v>
      </c>
      <c r="W4791" s="27" t="str">
        <f t="shared" si="2608"/>
        <v>-</v>
      </c>
      <c r="X4791" s="27" t="str">
        <f>IFERROR(W4791*J4790,"-")</f>
        <v>-</v>
      </c>
      <c r="Z4791" s="94" t="s">
        <v>82</v>
      </c>
    </row>
    <row r="4792" spans="1:26" s="25" customFormat="1" ht="6.95" customHeight="1" x14ac:dyDescent="0.3">
      <c r="A4792" s="10"/>
      <c r="B4792" s="168"/>
      <c r="C4792" s="169"/>
      <c r="D4792" s="160"/>
      <c r="E4792" s="161"/>
      <c r="F4792" s="162"/>
      <c r="G4792" s="163"/>
      <c r="H4792" s="164"/>
      <c r="I4792" s="163"/>
      <c r="J4792" s="164"/>
      <c r="K4792" s="163"/>
      <c r="L4792" s="164"/>
      <c r="M4792" s="11"/>
      <c r="N4792" s="39"/>
      <c r="Q4792" s="15" t="str">
        <f>+CONCATENATE(E4790,K4790)</f>
        <v/>
      </c>
      <c r="R4792" s="15">
        <f>+L4790</f>
        <v>0</v>
      </c>
      <c r="S4792" s="16"/>
      <c r="T4792" s="15">
        <f>+E4790</f>
        <v>0</v>
      </c>
      <c r="U4792" s="26" t="str">
        <f>IFERROR(LEFT(K4790,FIND("*",K4790)-1),"-")</f>
        <v>-</v>
      </c>
      <c r="V4792" s="26" t="str">
        <f>IFERROR(RIGHT(K4790,LEN(K4790)-FIND("*",K4790)),"-")</f>
        <v>-</v>
      </c>
      <c r="W4792" s="27" t="str">
        <f t="shared" si="2608"/>
        <v>-</v>
      </c>
      <c r="X4792" s="27" t="str">
        <f>IFERROR(W4792*L4790,"-")</f>
        <v>-</v>
      </c>
      <c r="Z4792" s="94" t="s">
        <v>82</v>
      </c>
    </row>
    <row r="4793" spans="1:26" s="25" customFormat="1" ht="6.95" customHeight="1" x14ac:dyDescent="0.3">
      <c r="A4793" s="13"/>
      <c r="B4793" s="168"/>
      <c r="C4793" s="169"/>
      <c r="D4793" s="160" t="s">
        <v>39</v>
      </c>
      <c r="E4793" s="161"/>
      <c r="F4793" s="162" t="s">
        <v>40</v>
      </c>
      <c r="G4793" s="163"/>
      <c r="H4793" s="164"/>
      <c r="I4793" s="163"/>
      <c r="J4793" s="164"/>
      <c r="K4793" s="163"/>
      <c r="L4793" s="164"/>
      <c r="M4793" s="11"/>
      <c r="N4793" s="39"/>
      <c r="Q4793" s="15" t="str">
        <f>+CONCATENATE(E4793,G4793)</f>
        <v/>
      </c>
      <c r="R4793" s="15">
        <f>+H4793</f>
        <v>0</v>
      </c>
      <c r="S4793" s="16"/>
      <c r="T4793" s="15">
        <f>+E4793</f>
        <v>0</v>
      </c>
      <c r="U4793" s="26" t="str">
        <f t="shared" ref="U4793" si="2611">IFERROR(LEFT(G4793,FIND("*",G4793)-1),"-")</f>
        <v>-</v>
      </c>
      <c r="V4793" s="26" t="str">
        <f t="shared" ref="V4793" si="2612">IFERROR(RIGHT(G4793,LEN(G4793)-FIND("*",G4793)),"-")</f>
        <v>-</v>
      </c>
      <c r="W4793" s="27" t="str">
        <f t="shared" si="2608"/>
        <v>-</v>
      </c>
      <c r="X4793" s="27" t="str">
        <f>IFERROR(W4793*H4793,"-")</f>
        <v>-</v>
      </c>
      <c r="Z4793" s="94" t="s">
        <v>82</v>
      </c>
    </row>
    <row r="4794" spans="1:26" s="25" customFormat="1" ht="6.95" customHeight="1" x14ac:dyDescent="0.3">
      <c r="A4794" s="10"/>
      <c r="B4794" s="168"/>
      <c r="C4794" s="169"/>
      <c r="D4794" s="160"/>
      <c r="E4794" s="161"/>
      <c r="F4794" s="162"/>
      <c r="G4794" s="163"/>
      <c r="H4794" s="164"/>
      <c r="I4794" s="163"/>
      <c r="J4794" s="164"/>
      <c r="K4794" s="163"/>
      <c r="L4794" s="164"/>
      <c r="M4794" s="11"/>
      <c r="N4794" s="39"/>
      <c r="Q4794" s="15" t="str">
        <f>+CONCATENATE(E4793,I4793)</f>
        <v/>
      </c>
      <c r="R4794" s="15">
        <f>+J4793</f>
        <v>0</v>
      </c>
      <c r="S4794" s="16"/>
      <c r="T4794" s="15">
        <f>+E4793</f>
        <v>0</v>
      </c>
      <c r="U4794" s="26" t="str">
        <f>IFERROR(LEFT(I4793,FIND("*",I4793)-1),"-")</f>
        <v>-</v>
      </c>
      <c r="V4794" s="26" t="str">
        <f>IFERROR(RIGHT(I4793,LEN(I4793)-FIND("*",I4793)),"-")</f>
        <v>-</v>
      </c>
      <c r="W4794" s="27" t="str">
        <f t="shared" si="2608"/>
        <v>-</v>
      </c>
      <c r="X4794" s="27" t="str">
        <f t="shared" ref="X4794" si="2613">IFERROR(W4794*J4793,"-")</f>
        <v>-</v>
      </c>
      <c r="Z4794" s="94" t="s">
        <v>82</v>
      </c>
    </row>
    <row r="4795" spans="1:26" s="25" customFormat="1" ht="6.95" customHeight="1" x14ac:dyDescent="0.3">
      <c r="A4795" s="10"/>
      <c r="B4795" s="168"/>
      <c r="C4795" s="169"/>
      <c r="D4795" s="160"/>
      <c r="E4795" s="161"/>
      <c r="F4795" s="162"/>
      <c r="G4795" s="163"/>
      <c r="H4795" s="164"/>
      <c r="I4795" s="163"/>
      <c r="J4795" s="164"/>
      <c r="K4795" s="163"/>
      <c r="L4795" s="164"/>
      <c r="M4795" s="11"/>
      <c r="N4795" s="39"/>
      <c r="Q4795" s="15" t="str">
        <f>+CONCATENATE(E4793,K4793)</f>
        <v/>
      </c>
      <c r="R4795" s="15">
        <f>+L4793</f>
        <v>0</v>
      </c>
      <c r="S4795" s="16"/>
      <c r="T4795" s="15">
        <f>+E4793</f>
        <v>0</v>
      </c>
      <c r="U4795" s="26" t="str">
        <f>IFERROR(LEFT(K4793,FIND("*",K4793)-1),"-")</f>
        <v>-</v>
      </c>
      <c r="V4795" s="26" t="str">
        <f>IFERROR(RIGHT(K4793,LEN(K4793)-FIND("*",K4793)),"-")</f>
        <v>-</v>
      </c>
      <c r="W4795" s="27" t="str">
        <f t="shared" si="2608"/>
        <v>-</v>
      </c>
      <c r="X4795" s="27" t="str">
        <f>IFERROR(W4795*L4793,"-")</f>
        <v>-</v>
      </c>
      <c r="Z4795" s="94" t="s">
        <v>82</v>
      </c>
    </row>
    <row r="4796" spans="1:26" s="25" customFormat="1" ht="21" customHeight="1" thickBot="1" x14ac:dyDescent="0.35">
      <c r="A4796" s="10"/>
      <c r="B4796" s="170"/>
      <c r="C4796" s="171"/>
      <c r="D4796" s="172" t="s">
        <v>43</v>
      </c>
      <c r="E4796" s="173"/>
      <c r="F4796" s="173"/>
      <c r="G4796" s="174"/>
      <c r="H4796" s="174"/>
      <c r="I4796" s="174"/>
      <c r="J4796" s="174"/>
      <c r="K4796" s="174"/>
      <c r="L4796" s="174"/>
      <c r="M4796" s="12"/>
      <c r="N4796" s="39"/>
      <c r="U4796" s="23"/>
      <c r="V4796" s="23"/>
      <c r="Z4796" s="95" t="s">
        <v>81</v>
      </c>
    </row>
    <row r="4797" spans="1:26" s="25" customFormat="1" ht="9.9499999999999993" customHeight="1" thickBot="1" x14ac:dyDescent="0.35">
      <c r="A4797" s="6"/>
      <c r="B4797" s="14"/>
      <c r="C4797" s="119"/>
      <c r="D4797" s="58"/>
      <c r="E4797" s="17"/>
      <c r="F4797" s="58"/>
      <c r="G4797" s="19"/>
      <c r="H4797" s="19"/>
      <c r="I4797" s="19"/>
      <c r="J4797" s="19"/>
      <c r="K4797" s="19"/>
      <c r="L4797" s="19"/>
      <c r="M4797" s="14"/>
      <c r="N4797" s="39"/>
      <c r="Q4797" s="1"/>
      <c r="R4797" s="1"/>
      <c r="S4797" s="1"/>
      <c r="T4797" s="1"/>
      <c r="U4797" s="24"/>
      <c r="V4797" s="24"/>
      <c r="W4797" s="1"/>
      <c r="X4797" s="1"/>
      <c r="Z4797" s="94" t="s">
        <v>82</v>
      </c>
    </row>
    <row r="4798" spans="1:26" s="25" customFormat="1" ht="6.95" customHeight="1" x14ac:dyDescent="0.3">
      <c r="A4798" s="165">
        <f>+A4787+1</f>
        <v>437</v>
      </c>
      <c r="B4798" s="166"/>
      <c r="C4798" s="167"/>
      <c r="D4798" s="160" t="s">
        <v>39</v>
      </c>
      <c r="E4798" s="161"/>
      <c r="F4798" s="162" t="s">
        <v>40</v>
      </c>
      <c r="G4798" s="163"/>
      <c r="H4798" s="164"/>
      <c r="I4798" s="163"/>
      <c r="J4798" s="164"/>
      <c r="K4798" s="163"/>
      <c r="L4798" s="164"/>
      <c r="M4798" s="11"/>
      <c r="N4798" s="39"/>
      <c r="Q4798" s="15" t="str">
        <f>+CONCATENATE(E4798,G4798)</f>
        <v/>
      </c>
      <c r="R4798" s="15">
        <f>+H4798</f>
        <v>0</v>
      </c>
      <c r="S4798" s="16"/>
      <c r="T4798" s="15">
        <f>+E4798</f>
        <v>0</v>
      </c>
      <c r="U4798" s="26" t="str">
        <f>IFERROR(LEFT(G4798,FIND("*",G4798)-1),"-")</f>
        <v>-</v>
      </c>
      <c r="V4798" s="26" t="str">
        <f>IFERROR(RIGHT(G4798,LEN(G4798)-FIND("*",G4798)),"-")</f>
        <v>-</v>
      </c>
      <c r="W4798" s="27" t="str">
        <f>IFERROR((U4798+V4798)*2/1000,"-")</f>
        <v>-</v>
      </c>
      <c r="X4798" s="27" t="str">
        <f>IFERROR(W4798*H4798,"-")</f>
        <v>-</v>
      </c>
      <c r="Z4798" s="94" t="s">
        <v>82</v>
      </c>
    </row>
    <row r="4799" spans="1:26" s="25" customFormat="1" ht="6.95" customHeight="1" x14ac:dyDescent="0.3">
      <c r="A4799" s="165"/>
      <c r="B4799" s="168"/>
      <c r="C4799" s="169"/>
      <c r="D4799" s="160"/>
      <c r="E4799" s="161"/>
      <c r="F4799" s="162"/>
      <c r="G4799" s="163"/>
      <c r="H4799" s="164"/>
      <c r="I4799" s="163"/>
      <c r="J4799" s="164"/>
      <c r="K4799" s="163"/>
      <c r="L4799" s="164"/>
      <c r="M4799" s="11"/>
      <c r="N4799" s="39"/>
      <c r="Q4799" s="15" t="str">
        <f>+CONCATENATE(E4798,I4798)</f>
        <v/>
      </c>
      <c r="R4799" s="15">
        <f>+J4798</f>
        <v>0</v>
      </c>
      <c r="S4799" s="16"/>
      <c r="T4799" s="15">
        <f>+E4798</f>
        <v>0</v>
      </c>
      <c r="U4799" s="26" t="str">
        <f>IFERROR(LEFT(I4798,FIND("*",I4798)-1),"-")</f>
        <v>-</v>
      </c>
      <c r="V4799" s="26" t="str">
        <f>IFERROR(RIGHT(I4798,LEN(I4798)-FIND("*",I4798)),"-")</f>
        <v>-</v>
      </c>
      <c r="W4799" s="27" t="str">
        <f t="shared" ref="W4799:W4806" si="2614">IFERROR((U4799+V4799)*2/1000,"-")</f>
        <v>-</v>
      </c>
      <c r="X4799" s="27" t="str">
        <f>IFERROR(W4799*J4798,"-")</f>
        <v>-</v>
      </c>
      <c r="Z4799" s="94" t="s">
        <v>82</v>
      </c>
    </row>
    <row r="4800" spans="1:26" s="25" customFormat="1" ht="6.95" customHeight="1" x14ac:dyDescent="0.3">
      <c r="A4800" s="165"/>
      <c r="B4800" s="168"/>
      <c r="C4800" s="169"/>
      <c r="D4800" s="160"/>
      <c r="E4800" s="161"/>
      <c r="F4800" s="162"/>
      <c r="G4800" s="163"/>
      <c r="H4800" s="164"/>
      <c r="I4800" s="163"/>
      <c r="J4800" s="164"/>
      <c r="K4800" s="163"/>
      <c r="L4800" s="164"/>
      <c r="M4800" s="11"/>
      <c r="N4800" s="39"/>
      <c r="Q4800" s="15" t="str">
        <f>+CONCATENATE(E4798,K4798)</f>
        <v/>
      </c>
      <c r="R4800" s="15">
        <f>+L4798</f>
        <v>0</v>
      </c>
      <c r="S4800" s="16"/>
      <c r="T4800" s="15">
        <f>+E4798</f>
        <v>0</v>
      </c>
      <c r="U4800" s="26" t="str">
        <f>IFERROR(LEFT(K4798,FIND("*",K4798)-1),"-")</f>
        <v>-</v>
      </c>
      <c r="V4800" s="26" t="str">
        <f>IFERROR(RIGHT(K4798,LEN(K4798)-FIND("*",K4798)),"-")</f>
        <v>-</v>
      </c>
      <c r="W4800" s="27" t="str">
        <f t="shared" si="2614"/>
        <v>-</v>
      </c>
      <c r="X4800" s="27" t="str">
        <f>IFERROR(W4800*L4798,"-")</f>
        <v>-</v>
      </c>
      <c r="Z4800" s="94" t="s">
        <v>82</v>
      </c>
    </row>
    <row r="4801" spans="1:26" s="25" customFormat="1" ht="6.95" customHeight="1" x14ac:dyDescent="0.3">
      <c r="A4801" s="13"/>
      <c r="B4801" s="168"/>
      <c r="C4801" s="169"/>
      <c r="D4801" s="160" t="s">
        <v>39</v>
      </c>
      <c r="E4801" s="161"/>
      <c r="F4801" s="162" t="s">
        <v>40</v>
      </c>
      <c r="G4801" s="163"/>
      <c r="H4801" s="164"/>
      <c r="I4801" s="163"/>
      <c r="J4801" s="164"/>
      <c r="K4801" s="163"/>
      <c r="L4801" s="164"/>
      <c r="M4801" s="11"/>
      <c r="N4801" s="39"/>
      <c r="Q4801" s="15" t="str">
        <f>+CONCATENATE(E4801,G4801)</f>
        <v/>
      </c>
      <c r="R4801" s="15">
        <f>+H4801</f>
        <v>0</v>
      </c>
      <c r="S4801" s="16"/>
      <c r="T4801" s="15">
        <f>+E4801</f>
        <v>0</v>
      </c>
      <c r="U4801" s="26" t="str">
        <f t="shared" ref="U4801" si="2615">IFERROR(LEFT(G4801,FIND("*",G4801)-1),"-")</f>
        <v>-</v>
      </c>
      <c r="V4801" s="26" t="str">
        <f t="shared" ref="V4801" si="2616">IFERROR(RIGHT(G4801,LEN(G4801)-FIND("*",G4801)),"-")</f>
        <v>-</v>
      </c>
      <c r="W4801" s="27" t="str">
        <f t="shared" si="2614"/>
        <v>-</v>
      </c>
      <c r="X4801" s="27" t="str">
        <f>IFERROR(W4801*H4801,"-")</f>
        <v>-</v>
      </c>
      <c r="Z4801" s="94" t="s">
        <v>82</v>
      </c>
    </row>
    <row r="4802" spans="1:26" s="25" customFormat="1" ht="6.95" customHeight="1" x14ac:dyDescent="0.3">
      <c r="A4802" s="10"/>
      <c r="B4802" s="168"/>
      <c r="C4802" s="169"/>
      <c r="D4802" s="160"/>
      <c r="E4802" s="161"/>
      <c r="F4802" s="162"/>
      <c r="G4802" s="163"/>
      <c r="H4802" s="164"/>
      <c r="I4802" s="163"/>
      <c r="J4802" s="164"/>
      <c r="K4802" s="163"/>
      <c r="L4802" s="164"/>
      <c r="M4802" s="11"/>
      <c r="N4802" s="39"/>
      <c r="Q4802" s="15" t="str">
        <f>+CONCATENATE(E4801,I4801)</f>
        <v/>
      </c>
      <c r="R4802" s="15">
        <f>+J4801</f>
        <v>0</v>
      </c>
      <c r="S4802" s="16"/>
      <c r="T4802" s="15">
        <f>+E4801</f>
        <v>0</v>
      </c>
      <c r="U4802" s="26" t="str">
        <f>IFERROR(LEFT(I4801,FIND("*",I4801)-1),"-")</f>
        <v>-</v>
      </c>
      <c r="V4802" s="26" t="str">
        <f>IFERROR(RIGHT(I4801,LEN(I4801)-FIND("*",I4801)),"-")</f>
        <v>-</v>
      </c>
      <c r="W4802" s="27" t="str">
        <f t="shared" si="2614"/>
        <v>-</v>
      </c>
      <c r="X4802" s="27" t="str">
        <f>IFERROR(W4802*J4801,"-")</f>
        <v>-</v>
      </c>
      <c r="Z4802" s="94" t="s">
        <v>82</v>
      </c>
    </row>
    <row r="4803" spans="1:26" s="25" customFormat="1" ht="6.95" customHeight="1" x14ac:dyDescent="0.3">
      <c r="A4803" s="10"/>
      <c r="B4803" s="168"/>
      <c r="C4803" s="169"/>
      <c r="D4803" s="160"/>
      <c r="E4803" s="161"/>
      <c r="F4803" s="162"/>
      <c r="G4803" s="163"/>
      <c r="H4803" s="164"/>
      <c r="I4803" s="163"/>
      <c r="J4803" s="164"/>
      <c r="K4803" s="163"/>
      <c r="L4803" s="164"/>
      <c r="M4803" s="11"/>
      <c r="N4803" s="39"/>
      <c r="Q4803" s="15" t="str">
        <f>+CONCATENATE(E4801,K4801)</f>
        <v/>
      </c>
      <c r="R4803" s="15">
        <f>+L4801</f>
        <v>0</v>
      </c>
      <c r="S4803" s="16"/>
      <c r="T4803" s="15">
        <f>+E4801</f>
        <v>0</v>
      </c>
      <c r="U4803" s="26" t="str">
        <f>IFERROR(LEFT(K4801,FIND("*",K4801)-1),"-")</f>
        <v>-</v>
      </c>
      <c r="V4803" s="26" t="str">
        <f>IFERROR(RIGHT(K4801,LEN(K4801)-FIND("*",K4801)),"-")</f>
        <v>-</v>
      </c>
      <c r="W4803" s="27" t="str">
        <f t="shared" si="2614"/>
        <v>-</v>
      </c>
      <c r="X4803" s="27" t="str">
        <f>IFERROR(W4803*L4801,"-")</f>
        <v>-</v>
      </c>
      <c r="Z4803" s="94" t="s">
        <v>82</v>
      </c>
    </row>
    <row r="4804" spans="1:26" s="25" customFormat="1" ht="6.95" customHeight="1" x14ac:dyDescent="0.3">
      <c r="A4804" s="13"/>
      <c r="B4804" s="168"/>
      <c r="C4804" s="169"/>
      <c r="D4804" s="160" t="s">
        <v>39</v>
      </c>
      <c r="E4804" s="161"/>
      <c r="F4804" s="162" t="s">
        <v>40</v>
      </c>
      <c r="G4804" s="163"/>
      <c r="H4804" s="164"/>
      <c r="I4804" s="163"/>
      <c r="J4804" s="164"/>
      <c r="K4804" s="163"/>
      <c r="L4804" s="164"/>
      <c r="M4804" s="11"/>
      <c r="N4804" s="39"/>
      <c r="Q4804" s="15" t="str">
        <f>+CONCATENATE(E4804,G4804)</f>
        <v/>
      </c>
      <c r="R4804" s="15">
        <f>+H4804</f>
        <v>0</v>
      </c>
      <c r="S4804" s="16"/>
      <c r="T4804" s="15">
        <f>+E4804</f>
        <v>0</v>
      </c>
      <c r="U4804" s="26" t="str">
        <f t="shared" ref="U4804" si="2617">IFERROR(LEFT(G4804,FIND("*",G4804)-1),"-")</f>
        <v>-</v>
      </c>
      <c r="V4804" s="26" t="str">
        <f t="shared" ref="V4804" si="2618">IFERROR(RIGHT(G4804,LEN(G4804)-FIND("*",G4804)),"-")</f>
        <v>-</v>
      </c>
      <c r="W4804" s="27" t="str">
        <f t="shared" si="2614"/>
        <v>-</v>
      </c>
      <c r="X4804" s="27" t="str">
        <f>IFERROR(W4804*H4804,"-")</f>
        <v>-</v>
      </c>
      <c r="Z4804" s="94" t="s">
        <v>82</v>
      </c>
    </row>
    <row r="4805" spans="1:26" s="25" customFormat="1" ht="6.95" customHeight="1" x14ac:dyDescent="0.3">
      <c r="A4805" s="10"/>
      <c r="B4805" s="168"/>
      <c r="C4805" s="169"/>
      <c r="D4805" s="160"/>
      <c r="E4805" s="161"/>
      <c r="F4805" s="162"/>
      <c r="G4805" s="163"/>
      <c r="H4805" s="164"/>
      <c r="I4805" s="163"/>
      <c r="J4805" s="164"/>
      <c r="K4805" s="163"/>
      <c r="L4805" s="164"/>
      <c r="M4805" s="11"/>
      <c r="N4805" s="39"/>
      <c r="Q4805" s="15" t="str">
        <f>+CONCATENATE(E4804,I4804)</f>
        <v/>
      </c>
      <c r="R4805" s="15">
        <f>+J4804</f>
        <v>0</v>
      </c>
      <c r="S4805" s="16"/>
      <c r="T4805" s="15">
        <f>+E4804</f>
        <v>0</v>
      </c>
      <c r="U4805" s="26" t="str">
        <f>IFERROR(LEFT(I4804,FIND("*",I4804)-1),"-")</f>
        <v>-</v>
      </c>
      <c r="V4805" s="26" t="str">
        <f>IFERROR(RIGHT(I4804,LEN(I4804)-FIND("*",I4804)),"-")</f>
        <v>-</v>
      </c>
      <c r="W4805" s="27" t="str">
        <f t="shared" si="2614"/>
        <v>-</v>
      </c>
      <c r="X4805" s="27" t="str">
        <f t="shared" ref="X4805" si="2619">IFERROR(W4805*J4804,"-")</f>
        <v>-</v>
      </c>
      <c r="Z4805" s="94" t="s">
        <v>82</v>
      </c>
    </row>
    <row r="4806" spans="1:26" s="25" customFormat="1" ht="6.95" customHeight="1" x14ac:dyDescent="0.3">
      <c r="A4806" s="10"/>
      <c r="B4806" s="168"/>
      <c r="C4806" s="169"/>
      <c r="D4806" s="160"/>
      <c r="E4806" s="161"/>
      <c r="F4806" s="162"/>
      <c r="G4806" s="163"/>
      <c r="H4806" s="164"/>
      <c r="I4806" s="163"/>
      <c r="J4806" s="164"/>
      <c r="K4806" s="163"/>
      <c r="L4806" s="164"/>
      <c r="M4806" s="11"/>
      <c r="N4806" s="39"/>
      <c r="Q4806" s="15" t="str">
        <f>+CONCATENATE(E4804,K4804)</f>
        <v/>
      </c>
      <c r="R4806" s="15">
        <f>+L4804</f>
        <v>0</v>
      </c>
      <c r="S4806" s="16"/>
      <c r="T4806" s="15">
        <f>+E4804</f>
        <v>0</v>
      </c>
      <c r="U4806" s="26" t="str">
        <f>IFERROR(LEFT(K4804,FIND("*",K4804)-1),"-")</f>
        <v>-</v>
      </c>
      <c r="V4806" s="26" t="str">
        <f>IFERROR(RIGHT(K4804,LEN(K4804)-FIND("*",K4804)),"-")</f>
        <v>-</v>
      </c>
      <c r="W4806" s="27" t="str">
        <f t="shared" si="2614"/>
        <v>-</v>
      </c>
      <c r="X4806" s="27" t="str">
        <f>IFERROR(W4806*L4804,"-")</f>
        <v>-</v>
      </c>
      <c r="Z4806" s="94" t="s">
        <v>82</v>
      </c>
    </row>
    <row r="4807" spans="1:26" s="25" customFormat="1" ht="21" customHeight="1" thickBot="1" x14ac:dyDescent="0.35">
      <c r="A4807" s="10"/>
      <c r="B4807" s="170"/>
      <c r="C4807" s="171"/>
      <c r="D4807" s="172" t="s">
        <v>43</v>
      </c>
      <c r="E4807" s="173"/>
      <c r="F4807" s="173"/>
      <c r="G4807" s="174"/>
      <c r="H4807" s="174"/>
      <c r="I4807" s="174"/>
      <c r="J4807" s="174"/>
      <c r="K4807" s="174"/>
      <c r="L4807" s="174"/>
      <c r="M4807" s="12"/>
      <c r="N4807" s="39"/>
      <c r="U4807" s="23"/>
      <c r="V4807" s="23"/>
      <c r="Z4807" s="95" t="s">
        <v>81</v>
      </c>
    </row>
    <row r="4808" spans="1:26" s="25" customFormat="1" ht="9.9499999999999993" customHeight="1" thickBot="1" x14ac:dyDescent="0.35">
      <c r="A4808" s="6"/>
      <c r="B4808" s="14"/>
      <c r="C4808" s="119"/>
      <c r="D4808" s="58"/>
      <c r="E4808" s="17"/>
      <c r="F4808" s="58"/>
      <c r="G4808" s="19"/>
      <c r="H4808" s="19"/>
      <c r="I4808" s="19"/>
      <c r="J4808" s="19"/>
      <c r="K4808" s="19"/>
      <c r="L4808" s="19"/>
      <c r="M4808" s="14"/>
      <c r="N4808" s="39"/>
      <c r="Q4808" s="1"/>
      <c r="R4808" s="1"/>
      <c r="S4808" s="1"/>
      <c r="T4808" s="1"/>
      <c r="U4808" s="24"/>
      <c r="V4808" s="24"/>
      <c r="W4808" s="1"/>
      <c r="X4808" s="1"/>
      <c r="Z4808" s="94" t="s">
        <v>82</v>
      </c>
    </row>
    <row r="4809" spans="1:26" s="25" customFormat="1" ht="6.95" customHeight="1" x14ac:dyDescent="0.3">
      <c r="A4809" s="165">
        <f>+A4798+1</f>
        <v>438</v>
      </c>
      <c r="B4809" s="166"/>
      <c r="C4809" s="167"/>
      <c r="D4809" s="160" t="s">
        <v>39</v>
      </c>
      <c r="E4809" s="161"/>
      <c r="F4809" s="162" t="s">
        <v>40</v>
      </c>
      <c r="G4809" s="163"/>
      <c r="H4809" s="164"/>
      <c r="I4809" s="163"/>
      <c r="J4809" s="164"/>
      <c r="K4809" s="163"/>
      <c r="L4809" s="164"/>
      <c r="M4809" s="11"/>
      <c r="N4809" s="39"/>
      <c r="Q4809" s="15" t="str">
        <f>+CONCATENATE(E4809,G4809)</f>
        <v/>
      </c>
      <c r="R4809" s="15">
        <f>+H4809</f>
        <v>0</v>
      </c>
      <c r="S4809" s="16"/>
      <c r="T4809" s="15">
        <f>+E4809</f>
        <v>0</v>
      </c>
      <c r="U4809" s="26" t="str">
        <f>IFERROR(LEFT(G4809,FIND("*",G4809)-1),"-")</f>
        <v>-</v>
      </c>
      <c r="V4809" s="26" t="str">
        <f>IFERROR(RIGHT(G4809,LEN(G4809)-FIND("*",G4809)),"-")</f>
        <v>-</v>
      </c>
      <c r="W4809" s="27" t="str">
        <f>IFERROR((U4809+V4809)*2/1000,"-")</f>
        <v>-</v>
      </c>
      <c r="X4809" s="27" t="str">
        <f>IFERROR(W4809*H4809,"-")</f>
        <v>-</v>
      </c>
      <c r="Z4809" s="94" t="s">
        <v>82</v>
      </c>
    </row>
    <row r="4810" spans="1:26" s="25" customFormat="1" ht="6.95" customHeight="1" x14ac:dyDescent="0.3">
      <c r="A4810" s="165"/>
      <c r="B4810" s="168"/>
      <c r="C4810" s="169"/>
      <c r="D4810" s="160"/>
      <c r="E4810" s="161"/>
      <c r="F4810" s="162"/>
      <c r="G4810" s="163"/>
      <c r="H4810" s="164"/>
      <c r="I4810" s="163"/>
      <c r="J4810" s="164"/>
      <c r="K4810" s="163"/>
      <c r="L4810" s="164"/>
      <c r="M4810" s="11"/>
      <c r="N4810" s="39"/>
      <c r="Q4810" s="15" t="str">
        <f>+CONCATENATE(E4809,I4809)</f>
        <v/>
      </c>
      <c r="R4810" s="15">
        <f>+J4809</f>
        <v>0</v>
      </c>
      <c r="S4810" s="16"/>
      <c r="T4810" s="15">
        <f>+E4809</f>
        <v>0</v>
      </c>
      <c r="U4810" s="26" t="str">
        <f>IFERROR(LEFT(I4809,FIND("*",I4809)-1),"-")</f>
        <v>-</v>
      </c>
      <c r="V4810" s="26" t="str">
        <f>IFERROR(RIGHT(I4809,LEN(I4809)-FIND("*",I4809)),"-")</f>
        <v>-</v>
      </c>
      <c r="W4810" s="27" t="str">
        <f t="shared" ref="W4810:W4817" si="2620">IFERROR((U4810+V4810)*2/1000,"-")</f>
        <v>-</v>
      </c>
      <c r="X4810" s="27" t="str">
        <f>IFERROR(W4810*J4809,"-")</f>
        <v>-</v>
      </c>
      <c r="Z4810" s="94" t="s">
        <v>82</v>
      </c>
    </row>
    <row r="4811" spans="1:26" s="25" customFormat="1" ht="6.95" customHeight="1" x14ac:dyDescent="0.3">
      <c r="A4811" s="165"/>
      <c r="B4811" s="168"/>
      <c r="C4811" s="169"/>
      <c r="D4811" s="160"/>
      <c r="E4811" s="161"/>
      <c r="F4811" s="162"/>
      <c r="G4811" s="163"/>
      <c r="H4811" s="164"/>
      <c r="I4811" s="163"/>
      <c r="J4811" s="164"/>
      <c r="K4811" s="163"/>
      <c r="L4811" s="164"/>
      <c r="M4811" s="11"/>
      <c r="N4811" s="39"/>
      <c r="Q4811" s="15" t="str">
        <f>+CONCATENATE(E4809,K4809)</f>
        <v/>
      </c>
      <c r="R4811" s="15">
        <f>+L4809</f>
        <v>0</v>
      </c>
      <c r="S4811" s="16"/>
      <c r="T4811" s="15">
        <f>+E4809</f>
        <v>0</v>
      </c>
      <c r="U4811" s="26" t="str">
        <f>IFERROR(LEFT(K4809,FIND("*",K4809)-1),"-")</f>
        <v>-</v>
      </c>
      <c r="V4811" s="26" t="str">
        <f>IFERROR(RIGHT(K4809,LEN(K4809)-FIND("*",K4809)),"-")</f>
        <v>-</v>
      </c>
      <c r="W4811" s="27" t="str">
        <f t="shared" si="2620"/>
        <v>-</v>
      </c>
      <c r="X4811" s="27" t="str">
        <f>IFERROR(W4811*L4809,"-")</f>
        <v>-</v>
      </c>
      <c r="Z4811" s="94" t="s">
        <v>82</v>
      </c>
    </row>
    <row r="4812" spans="1:26" s="25" customFormat="1" ht="6.95" customHeight="1" x14ac:dyDescent="0.3">
      <c r="A4812" s="13"/>
      <c r="B4812" s="168"/>
      <c r="C4812" s="169"/>
      <c r="D4812" s="160" t="s">
        <v>39</v>
      </c>
      <c r="E4812" s="161"/>
      <c r="F4812" s="162" t="s">
        <v>40</v>
      </c>
      <c r="G4812" s="163"/>
      <c r="H4812" s="164"/>
      <c r="I4812" s="163"/>
      <c r="J4812" s="164"/>
      <c r="K4812" s="163"/>
      <c r="L4812" s="164"/>
      <c r="M4812" s="11"/>
      <c r="N4812" s="39"/>
      <c r="Q4812" s="15" t="str">
        <f>+CONCATENATE(E4812,G4812)</f>
        <v/>
      </c>
      <c r="R4812" s="15">
        <f>+H4812</f>
        <v>0</v>
      </c>
      <c r="S4812" s="16"/>
      <c r="T4812" s="15">
        <f>+E4812</f>
        <v>0</v>
      </c>
      <c r="U4812" s="26" t="str">
        <f t="shared" ref="U4812" si="2621">IFERROR(LEFT(G4812,FIND("*",G4812)-1),"-")</f>
        <v>-</v>
      </c>
      <c r="V4812" s="26" t="str">
        <f t="shared" ref="V4812" si="2622">IFERROR(RIGHT(G4812,LEN(G4812)-FIND("*",G4812)),"-")</f>
        <v>-</v>
      </c>
      <c r="W4812" s="27" t="str">
        <f t="shared" si="2620"/>
        <v>-</v>
      </c>
      <c r="X4812" s="27" t="str">
        <f>IFERROR(W4812*H4812,"-")</f>
        <v>-</v>
      </c>
      <c r="Z4812" s="94" t="s">
        <v>82</v>
      </c>
    </row>
    <row r="4813" spans="1:26" s="25" customFormat="1" ht="6.95" customHeight="1" x14ac:dyDescent="0.3">
      <c r="A4813" s="10"/>
      <c r="B4813" s="168"/>
      <c r="C4813" s="169"/>
      <c r="D4813" s="160"/>
      <c r="E4813" s="161"/>
      <c r="F4813" s="162"/>
      <c r="G4813" s="163"/>
      <c r="H4813" s="164"/>
      <c r="I4813" s="163"/>
      <c r="J4813" s="164"/>
      <c r="K4813" s="163"/>
      <c r="L4813" s="164"/>
      <c r="M4813" s="11"/>
      <c r="N4813" s="39"/>
      <c r="Q4813" s="15" t="str">
        <f>+CONCATENATE(E4812,I4812)</f>
        <v/>
      </c>
      <c r="R4813" s="15">
        <f>+J4812</f>
        <v>0</v>
      </c>
      <c r="S4813" s="16"/>
      <c r="T4813" s="15">
        <f>+E4812</f>
        <v>0</v>
      </c>
      <c r="U4813" s="26" t="str">
        <f>IFERROR(LEFT(I4812,FIND("*",I4812)-1),"-")</f>
        <v>-</v>
      </c>
      <c r="V4813" s="26" t="str">
        <f>IFERROR(RIGHT(I4812,LEN(I4812)-FIND("*",I4812)),"-")</f>
        <v>-</v>
      </c>
      <c r="W4813" s="27" t="str">
        <f t="shared" si="2620"/>
        <v>-</v>
      </c>
      <c r="X4813" s="27" t="str">
        <f>IFERROR(W4813*J4812,"-")</f>
        <v>-</v>
      </c>
      <c r="Z4813" s="94" t="s">
        <v>82</v>
      </c>
    </row>
    <row r="4814" spans="1:26" s="25" customFormat="1" ht="6.95" customHeight="1" x14ac:dyDescent="0.3">
      <c r="A4814" s="10"/>
      <c r="B4814" s="168"/>
      <c r="C4814" s="169"/>
      <c r="D4814" s="160"/>
      <c r="E4814" s="161"/>
      <c r="F4814" s="162"/>
      <c r="G4814" s="163"/>
      <c r="H4814" s="164"/>
      <c r="I4814" s="163"/>
      <c r="J4814" s="164"/>
      <c r="K4814" s="163"/>
      <c r="L4814" s="164"/>
      <c r="M4814" s="11"/>
      <c r="N4814" s="39"/>
      <c r="Q4814" s="15" t="str">
        <f>+CONCATENATE(E4812,K4812)</f>
        <v/>
      </c>
      <c r="R4814" s="15">
        <f>+L4812</f>
        <v>0</v>
      </c>
      <c r="S4814" s="16"/>
      <c r="T4814" s="15">
        <f>+E4812</f>
        <v>0</v>
      </c>
      <c r="U4814" s="26" t="str">
        <f>IFERROR(LEFT(K4812,FIND("*",K4812)-1),"-")</f>
        <v>-</v>
      </c>
      <c r="V4814" s="26" t="str">
        <f>IFERROR(RIGHT(K4812,LEN(K4812)-FIND("*",K4812)),"-")</f>
        <v>-</v>
      </c>
      <c r="W4814" s="27" t="str">
        <f t="shared" si="2620"/>
        <v>-</v>
      </c>
      <c r="X4814" s="27" t="str">
        <f>IFERROR(W4814*L4812,"-")</f>
        <v>-</v>
      </c>
      <c r="Z4814" s="94" t="s">
        <v>82</v>
      </c>
    </row>
    <row r="4815" spans="1:26" s="25" customFormat="1" ht="6.95" customHeight="1" x14ac:dyDescent="0.3">
      <c r="A4815" s="13"/>
      <c r="B4815" s="168"/>
      <c r="C4815" s="169"/>
      <c r="D4815" s="160" t="s">
        <v>39</v>
      </c>
      <c r="E4815" s="161"/>
      <c r="F4815" s="162" t="s">
        <v>40</v>
      </c>
      <c r="G4815" s="163"/>
      <c r="H4815" s="164"/>
      <c r="I4815" s="163"/>
      <c r="J4815" s="164"/>
      <c r="K4815" s="163"/>
      <c r="L4815" s="164"/>
      <c r="M4815" s="11"/>
      <c r="N4815" s="39"/>
      <c r="Q4815" s="15" t="str">
        <f>+CONCATENATE(E4815,G4815)</f>
        <v/>
      </c>
      <c r="R4815" s="15">
        <f>+H4815</f>
        <v>0</v>
      </c>
      <c r="S4815" s="16"/>
      <c r="T4815" s="15">
        <f>+E4815</f>
        <v>0</v>
      </c>
      <c r="U4815" s="26" t="str">
        <f t="shared" ref="U4815" si="2623">IFERROR(LEFT(G4815,FIND("*",G4815)-1),"-")</f>
        <v>-</v>
      </c>
      <c r="V4815" s="26" t="str">
        <f t="shared" ref="V4815" si="2624">IFERROR(RIGHT(G4815,LEN(G4815)-FIND("*",G4815)),"-")</f>
        <v>-</v>
      </c>
      <c r="W4815" s="27" t="str">
        <f t="shared" si="2620"/>
        <v>-</v>
      </c>
      <c r="X4815" s="27" t="str">
        <f>IFERROR(W4815*H4815,"-")</f>
        <v>-</v>
      </c>
      <c r="Z4815" s="94" t="s">
        <v>82</v>
      </c>
    </row>
    <row r="4816" spans="1:26" s="25" customFormat="1" ht="6.95" customHeight="1" x14ac:dyDescent="0.3">
      <c r="A4816" s="10"/>
      <c r="B4816" s="168"/>
      <c r="C4816" s="169"/>
      <c r="D4816" s="160"/>
      <c r="E4816" s="161"/>
      <c r="F4816" s="162"/>
      <c r="G4816" s="163"/>
      <c r="H4816" s="164"/>
      <c r="I4816" s="163"/>
      <c r="J4816" s="164"/>
      <c r="K4816" s="163"/>
      <c r="L4816" s="164"/>
      <c r="M4816" s="11"/>
      <c r="N4816" s="39"/>
      <c r="Q4816" s="15" t="str">
        <f>+CONCATENATE(E4815,I4815)</f>
        <v/>
      </c>
      <c r="R4816" s="15">
        <f>+J4815</f>
        <v>0</v>
      </c>
      <c r="S4816" s="16"/>
      <c r="T4816" s="15">
        <f>+E4815</f>
        <v>0</v>
      </c>
      <c r="U4816" s="26" t="str">
        <f>IFERROR(LEFT(I4815,FIND("*",I4815)-1),"-")</f>
        <v>-</v>
      </c>
      <c r="V4816" s="26" t="str">
        <f>IFERROR(RIGHT(I4815,LEN(I4815)-FIND("*",I4815)),"-")</f>
        <v>-</v>
      </c>
      <c r="W4816" s="27" t="str">
        <f t="shared" si="2620"/>
        <v>-</v>
      </c>
      <c r="X4816" s="27" t="str">
        <f t="shared" ref="X4816" si="2625">IFERROR(W4816*J4815,"-")</f>
        <v>-</v>
      </c>
      <c r="Z4816" s="94" t="s">
        <v>82</v>
      </c>
    </row>
    <row r="4817" spans="1:26" s="25" customFormat="1" ht="6.95" customHeight="1" x14ac:dyDescent="0.3">
      <c r="A4817" s="10"/>
      <c r="B4817" s="168"/>
      <c r="C4817" s="169"/>
      <c r="D4817" s="160"/>
      <c r="E4817" s="161"/>
      <c r="F4817" s="162"/>
      <c r="G4817" s="163"/>
      <c r="H4817" s="164"/>
      <c r="I4817" s="163"/>
      <c r="J4817" s="164"/>
      <c r="K4817" s="163"/>
      <c r="L4817" s="164"/>
      <c r="M4817" s="11"/>
      <c r="N4817" s="39"/>
      <c r="Q4817" s="15" t="str">
        <f>+CONCATENATE(E4815,K4815)</f>
        <v/>
      </c>
      <c r="R4817" s="15">
        <f>+L4815</f>
        <v>0</v>
      </c>
      <c r="S4817" s="16"/>
      <c r="T4817" s="15">
        <f>+E4815</f>
        <v>0</v>
      </c>
      <c r="U4817" s="26" t="str">
        <f>IFERROR(LEFT(K4815,FIND("*",K4815)-1),"-")</f>
        <v>-</v>
      </c>
      <c r="V4817" s="26" t="str">
        <f>IFERROR(RIGHT(K4815,LEN(K4815)-FIND("*",K4815)),"-")</f>
        <v>-</v>
      </c>
      <c r="W4817" s="27" t="str">
        <f t="shared" si="2620"/>
        <v>-</v>
      </c>
      <c r="X4817" s="27" t="str">
        <f>IFERROR(W4817*L4815,"-")</f>
        <v>-</v>
      </c>
      <c r="Z4817" s="94" t="s">
        <v>82</v>
      </c>
    </row>
    <row r="4818" spans="1:26" s="25" customFormat="1" ht="21" customHeight="1" thickBot="1" x14ac:dyDescent="0.35">
      <c r="A4818" s="10"/>
      <c r="B4818" s="170"/>
      <c r="C4818" s="171"/>
      <c r="D4818" s="172" t="s">
        <v>43</v>
      </c>
      <c r="E4818" s="173"/>
      <c r="F4818" s="173"/>
      <c r="G4818" s="174"/>
      <c r="H4818" s="174"/>
      <c r="I4818" s="174"/>
      <c r="J4818" s="174"/>
      <c r="K4818" s="174"/>
      <c r="L4818" s="174"/>
      <c r="M4818" s="12"/>
      <c r="N4818" s="39"/>
      <c r="U4818" s="23"/>
      <c r="V4818" s="23"/>
      <c r="Z4818" s="95" t="s">
        <v>81</v>
      </c>
    </row>
    <row r="4819" spans="1:26" s="25" customFormat="1" ht="9.9499999999999993" customHeight="1" thickBot="1" x14ac:dyDescent="0.35">
      <c r="A4819" s="6"/>
      <c r="B4819" s="14"/>
      <c r="C4819" s="119"/>
      <c r="D4819" s="58"/>
      <c r="E4819" s="17"/>
      <c r="F4819" s="58"/>
      <c r="G4819" s="19"/>
      <c r="H4819" s="19"/>
      <c r="I4819" s="19"/>
      <c r="J4819" s="19"/>
      <c r="K4819" s="19"/>
      <c r="L4819" s="19"/>
      <c r="M4819" s="14"/>
      <c r="N4819" s="39"/>
      <c r="Q4819" s="1"/>
      <c r="R4819" s="1"/>
      <c r="S4819" s="1"/>
      <c r="T4819" s="1"/>
      <c r="U4819" s="24"/>
      <c r="V4819" s="24"/>
      <c r="W4819" s="1"/>
      <c r="X4819" s="1"/>
      <c r="Z4819" s="94" t="s">
        <v>82</v>
      </c>
    </row>
    <row r="4820" spans="1:26" s="25" customFormat="1" ht="6.95" customHeight="1" x14ac:dyDescent="0.3">
      <c r="A4820" s="165">
        <f>+A4809+1</f>
        <v>439</v>
      </c>
      <c r="B4820" s="166"/>
      <c r="C4820" s="167"/>
      <c r="D4820" s="160" t="s">
        <v>39</v>
      </c>
      <c r="E4820" s="161"/>
      <c r="F4820" s="162" t="s">
        <v>40</v>
      </c>
      <c r="G4820" s="163"/>
      <c r="H4820" s="164"/>
      <c r="I4820" s="163"/>
      <c r="J4820" s="164"/>
      <c r="K4820" s="163"/>
      <c r="L4820" s="164"/>
      <c r="M4820" s="11"/>
      <c r="N4820" s="39"/>
      <c r="Q4820" s="15" t="str">
        <f>+CONCATENATE(E4820,G4820)</f>
        <v/>
      </c>
      <c r="R4820" s="15">
        <f>+H4820</f>
        <v>0</v>
      </c>
      <c r="S4820" s="16"/>
      <c r="T4820" s="15">
        <f>+E4820</f>
        <v>0</v>
      </c>
      <c r="U4820" s="26" t="str">
        <f>IFERROR(LEFT(G4820,FIND("*",G4820)-1),"-")</f>
        <v>-</v>
      </c>
      <c r="V4820" s="26" t="str">
        <f>IFERROR(RIGHT(G4820,LEN(G4820)-FIND("*",G4820)),"-")</f>
        <v>-</v>
      </c>
      <c r="W4820" s="27" t="str">
        <f>IFERROR((U4820+V4820)*2/1000,"-")</f>
        <v>-</v>
      </c>
      <c r="X4820" s="27" t="str">
        <f>IFERROR(W4820*H4820,"-")</f>
        <v>-</v>
      </c>
      <c r="Z4820" s="94" t="s">
        <v>82</v>
      </c>
    </row>
    <row r="4821" spans="1:26" s="25" customFormat="1" ht="6.95" customHeight="1" x14ac:dyDescent="0.3">
      <c r="A4821" s="165"/>
      <c r="B4821" s="168"/>
      <c r="C4821" s="169"/>
      <c r="D4821" s="160"/>
      <c r="E4821" s="161"/>
      <c r="F4821" s="162"/>
      <c r="G4821" s="163"/>
      <c r="H4821" s="164"/>
      <c r="I4821" s="163"/>
      <c r="J4821" s="164"/>
      <c r="K4821" s="163"/>
      <c r="L4821" s="164"/>
      <c r="M4821" s="11"/>
      <c r="N4821" s="39"/>
      <c r="Q4821" s="15" t="str">
        <f>+CONCATENATE(E4820,I4820)</f>
        <v/>
      </c>
      <c r="R4821" s="15">
        <f>+J4820</f>
        <v>0</v>
      </c>
      <c r="S4821" s="16"/>
      <c r="T4821" s="15">
        <f>+E4820</f>
        <v>0</v>
      </c>
      <c r="U4821" s="26" t="str">
        <f>IFERROR(LEFT(I4820,FIND("*",I4820)-1),"-")</f>
        <v>-</v>
      </c>
      <c r="V4821" s="26" t="str">
        <f>IFERROR(RIGHT(I4820,LEN(I4820)-FIND("*",I4820)),"-")</f>
        <v>-</v>
      </c>
      <c r="W4821" s="27" t="str">
        <f t="shared" ref="W4821:W4828" si="2626">IFERROR((U4821+V4821)*2/1000,"-")</f>
        <v>-</v>
      </c>
      <c r="X4821" s="27" t="str">
        <f>IFERROR(W4821*J4820,"-")</f>
        <v>-</v>
      </c>
      <c r="Z4821" s="94" t="s">
        <v>82</v>
      </c>
    </row>
    <row r="4822" spans="1:26" s="25" customFormat="1" ht="6.95" customHeight="1" x14ac:dyDescent="0.3">
      <c r="A4822" s="165"/>
      <c r="B4822" s="168"/>
      <c r="C4822" s="169"/>
      <c r="D4822" s="160"/>
      <c r="E4822" s="161"/>
      <c r="F4822" s="162"/>
      <c r="G4822" s="163"/>
      <c r="H4822" s="164"/>
      <c r="I4822" s="163"/>
      <c r="J4822" s="164"/>
      <c r="K4822" s="163"/>
      <c r="L4822" s="164"/>
      <c r="M4822" s="11"/>
      <c r="N4822" s="39"/>
      <c r="Q4822" s="15" t="str">
        <f>+CONCATENATE(E4820,K4820)</f>
        <v/>
      </c>
      <c r="R4822" s="15">
        <f>+L4820</f>
        <v>0</v>
      </c>
      <c r="S4822" s="16"/>
      <c r="T4822" s="15">
        <f>+E4820</f>
        <v>0</v>
      </c>
      <c r="U4822" s="26" t="str">
        <f>IFERROR(LEFT(K4820,FIND("*",K4820)-1),"-")</f>
        <v>-</v>
      </c>
      <c r="V4822" s="26" t="str">
        <f>IFERROR(RIGHT(K4820,LEN(K4820)-FIND("*",K4820)),"-")</f>
        <v>-</v>
      </c>
      <c r="W4822" s="27" t="str">
        <f t="shared" si="2626"/>
        <v>-</v>
      </c>
      <c r="X4822" s="27" t="str">
        <f>IFERROR(W4822*L4820,"-")</f>
        <v>-</v>
      </c>
      <c r="Z4822" s="94" t="s">
        <v>82</v>
      </c>
    </row>
    <row r="4823" spans="1:26" s="25" customFormat="1" ht="6.95" customHeight="1" x14ac:dyDescent="0.3">
      <c r="A4823" s="13"/>
      <c r="B4823" s="168"/>
      <c r="C4823" s="169"/>
      <c r="D4823" s="160" t="s">
        <v>39</v>
      </c>
      <c r="E4823" s="161"/>
      <c r="F4823" s="162" t="s">
        <v>40</v>
      </c>
      <c r="G4823" s="163"/>
      <c r="H4823" s="164"/>
      <c r="I4823" s="163"/>
      <c r="J4823" s="164"/>
      <c r="K4823" s="163"/>
      <c r="L4823" s="164"/>
      <c r="M4823" s="11"/>
      <c r="N4823" s="39"/>
      <c r="Q4823" s="15" t="str">
        <f>+CONCATENATE(E4823,G4823)</f>
        <v/>
      </c>
      <c r="R4823" s="15">
        <f>+H4823</f>
        <v>0</v>
      </c>
      <c r="S4823" s="16"/>
      <c r="T4823" s="15">
        <f>+E4823</f>
        <v>0</v>
      </c>
      <c r="U4823" s="26" t="str">
        <f t="shared" ref="U4823" si="2627">IFERROR(LEFT(G4823,FIND("*",G4823)-1),"-")</f>
        <v>-</v>
      </c>
      <c r="V4823" s="26" t="str">
        <f t="shared" ref="V4823" si="2628">IFERROR(RIGHT(G4823,LEN(G4823)-FIND("*",G4823)),"-")</f>
        <v>-</v>
      </c>
      <c r="W4823" s="27" t="str">
        <f t="shared" si="2626"/>
        <v>-</v>
      </c>
      <c r="X4823" s="27" t="str">
        <f>IFERROR(W4823*H4823,"-")</f>
        <v>-</v>
      </c>
      <c r="Z4823" s="94" t="s">
        <v>82</v>
      </c>
    </row>
    <row r="4824" spans="1:26" s="25" customFormat="1" ht="6.95" customHeight="1" x14ac:dyDescent="0.3">
      <c r="A4824" s="10"/>
      <c r="B4824" s="168"/>
      <c r="C4824" s="169"/>
      <c r="D4824" s="160"/>
      <c r="E4824" s="161"/>
      <c r="F4824" s="162"/>
      <c r="G4824" s="163"/>
      <c r="H4824" s="164"/>
      <c r="I4824" s="163"/>
      <c r="J4824" s="164"/>
      <c r="K4824" s="163"/>
      <c r="L4824" s="164"/>
      <c r="M4824" s="11"/>
      <c r="N4824" s="39"/>
      <c r="Q4824" s="15" t="str">
        <f>+CONCATENATE(E4823,I4823)</f>
        <v/>
      </c>
      <c r="R4824" s="15">
        <f>+J4823</f>
        <v>0</v>
      </c>
      <c r="S4824" s="16"/>
      <c r="T4824" s="15">
        <f>+E4823</f>
        <v>0</v>
      </c>
      <c r="U4824" s="26" t="str">
        <f>IFERROR(LEFT(I4823,FIND("*",I4823)-1),"-")</f>
        <v>-</v>
      </c>
      <c r="V4824" s="26" t="str">
        <f>IFERROR(RIGHT(I4823,LEN(I4823)-FIND("*",I4823)),"-")</f>
        <v>-</v>
      </c>
      <c r="W4824" s="27" t="str">
        <f t="shared" si="2626"/>
        <v>-</v>
      </c>
      <c r="X4824" s="27" t="str">
        <f>IFERROR(W4824*J4823,"-")</f>
        <v>-</v>
      </c>
      <c r="Z4824" s="94" t="s">
        <v>82</v>
      </c>
    </row>
    <row r="4825" spans="1:26" s="25" customFormat="1" ht="6.95" customHeight="1" x14ac:dyDescent="0.3">
      <c r="A4825" s="10"/>
      <c r="B4825" s="168"/>
      <c r="C4825" s="169"/>
      <c r="D4825" s="160"/>
      <c r="E4825" s="161"/>
      <c r="F4825" s="162"/>
      <c r="G4825" s="163"/>
      <c r="H4825" s="164"/>
      <c r="I4825" s="163"/>
      <c r="J4825" s="164"/>
      <c r="K4825" s="163"/>
      <c r="L4825" s="164"/>
      <c r="M4825" s="11"/>
      <c r="N4825" s="39"/>
      <c r="Q4825" s="15" t="str">
        <f>+CONCATENATE(E4823,K4823)</f>
        <v/>
      </c>
      <c r="R4825" s="15">
        <f>+L4823</f>
        <v>0</v>
      </c>
      <c r="S4825" s="16"/>
      <c r="T4825" s="15">
        <f>+E4823</f>
        <v>0</v>
      </c>
      <c r="U4825" s="26" t="str">
        <f>IFERROR(LEFT(K4823,FIND("*",K4823)-1),"-")</f>
        <v>-</v>
      </c>
      <c r="V4825" s="26" t="str">
        <f>IFERROR(RIGHT(K4823,LEN(K4823)-FIND("*",K4823)),"-")</f>
        <v>-</v>
      </c>
      <c r="W4825" s="27" t="str">
        <f t="shared" si="2626"/>
        <v>-</v>
      </c>
      <c r="X4825" s="27" t="str">
        <f>IFERROR(W4825*L4823,"-")</f>
        <v>-</v>
      </c>
      <c r="Z4825" s="94" t="s">
        <v>82</v>
      </c>
    </row>
    <row r="4826" spans="1:26" s="25" customFormat="1" ht="6.95" customHeight="1" x14ac:dyDescent="0.3">
      <c r="A4826" s="13"/>
      <c r="B4826" s="168"/>
      <c r="C4826" s="169"/>
      <c r="D4826" s="160" t="s">
        <v>39</v>
      </c>
      <c r="E4826" s="161"/>
      <c r="F4826" s="162" t="s">
        <v>40</v>
      </c>
      <c r="G4826" s="163"/>
      <c r="H4826" s="164"/>
      <c r="I4826" s="163"/>
      <c r="J4826" s="164"/>
      <c r="K4826" s="163"/>
      <c r="L4826" s="164"/>
      <c r="M4826" s="11"/>
      <c r="N4826" s="39"/>
      <c r="Q4826" s="15" t="str">
        <f>+CONCATENATE(E4826,G4826)</f>
        <v/>
      </c>
      <c r="R4826" s="15">
        <f>+H4826</f>
        <v>0</v>
      </c>
      <c r="S4826" s="16"/>
      <c r="T4826" s="15">
        <f>+E4826</f>
        <v>0</v>
      </c>
      <c r="U4826" s="26" t="str">
        <f t="shared" ref="U4826" si="2629">IFERROR(LEFT(G4826,FIND("*",G4826)-1),"-")</f>
        <v>-</v>
      </c>
      <c r="V4826" s="26" t="str">
        <f t="shared" ref="V4826" si="2630">IFERROR(RIGHT(G4826,LEN(G4826)-FIND("*",G4826)),"-")</f>
        <v>-</v>
      </c>
      <c r="W4826" s="27" t="str">
        <f t="shared" si="2626"/>
        <v>-</v>
      </c>
      <c r="X4826" s="27" t="str">
        <f>IFERROR(W4826*H4826,"-")</f>
        <v>-</v>
      </c>
      <c r="Z4826" s="94" t="s">
        <v>82</v>
      </c>
    </row>
    <row r="4827" spans="1:26" s="25" customFormat="1" ht="6.95" customHeight="1" x14ac:dyDescent="0.3">
      <c r="A4827" s="10"/>
      <c r="B4827" s="168"/>
      <c r="C4827" s="169"/>
      <c r="D4827" s="160"/>
      <c r="E4827" s="161"/>
      <c r="F4827" s="162"/>
      <c r="G4827" s="163"/>
      <c r="H4827" s="164"/>
      <c r="I4827" s="163"/>
      <c r="J4827" s="164"/>
      <c r="K4827" s="163"/>
      <c r="L4827" s="164"/>
      <c r="M4827" s="11"/>
      <c r="N4827" s="39"/>
      <c r="Q4827" s="15" t="str">
        <f>+CONCATENATE(E4826,I4826)</f>
        <v/>
      </c>
      <c r="R4827" s="15">
        <f>+J4826</f>
        <v>0</v>
      </c>
      <c r="S4827" s="16"/>
      <c r="T4827" s="15">
        <f>+E4826</f>
        <v>0</v>
      </c>
      <c r="U4827" s="26" t="str">
        <f>IFERROR(LEFT(I4826,FIND("*",I4826)-1),"-")</f>
        <v>-</v>
      </c>
      <c r="V4827" s="26" t="str">
        <f>IFERROR(RIGHT(I4826,LEN(I4826)-FIND("*",I4826)),"-")</f>
        <v>-</v>
      </c>
      <c r="W4827" s="27" t="str">
        <f t="shared" si="2626"/>
        <v>-</v>
      </c>
      <c r="X4827" s="27" t="str">
        <f t="shared" ref="X4827" si="2631">IFERROR(W4827*J4826,"-")</f>
        <v>-</v>
      </c>
      <c r="Z4827" s="94" t="s">
        <v>82</v>
      </c>
    </row>
    <row r="4828" spans="1:26" s="25" customFormat="1" ht="6.95" customHeight="1" x14ac:dyDescent="0.3">
      <c r="A4828" s="10"/>
      <c r="B4828" s="168"/>
      <c r="C4828" s="169"/>
      <c r="D4828" s="160"/>
      <c r="E4828" s="161"/>
      <c r="F4828" s="162"/>
      <c r="G4828" s="163"/>
      <c r="H4828" s="164"/>
      <c r="I4828" s="163"/>
      <c r="J4828" s="164"/>
      <c r="K4828" s="163"/>
      <c r="L4828" s="164"/>
      <c r="M4828" s="11"/>
      <c r="N4828" s="39"/>
      <c r="Q4828" s="15" t="str">
        <f>+CONCATENATE(E4826,K4826)</f>
        <v/>
      </c>
      <c r="R4828" s="15">
        <f>+L4826</f>
        <v>0</v>
      </c>
      <c r="S4828" s="16"/>
      <c r="T4828" s="15">
        <f>+E4826</f>
        <v>0</v>
      </c>
      <c r="U4828" s="26" t="str">
        <f>IFERROR(LEFT(K4826,FIND("*",K4826)-1),"-")</f>
        <v>-</v>
      </c>
      <c r="V4828" s="26" t="str">
        <f>IFERROR(RIGHT(K4826,LEN(K4826)-FIND("*",K4826)),"-")</f>
        <v>-</v>
      </c>
      <c r="W4828" s="27" t="str">
        <f t="shared" si="2626"/>
        <v>-</v>
      </c>
      <c r="X4828" s="27" t="str">
        <f>IFERROR(W4828*L4826,"-")</f>
        <v>-</v>
      </c>
      <c r="Z4828" s="94" t="s">
        <v>82</v>
      </c>
    </row>
    <row r="4829" spans="1:26" s="25" customFormat="1" ht="21" customHeight="1" thickBot="1" x14ac:dyDescent="0.35">
      <c r="A4829" s="10"/>
      <c r="B4829" s="170"/>
      <c r="C4829" s="171"/>
      <c r="D4829" s="172" t="s">
        <v>43</v>
      </c>
      <c r="E4829" s="173"/>
      <c r="F4829" s="173"/>
      <c r="G4829" s="174"/>
      <c r="H4829" s="174"/>
      <c r="I4829" s="174"/>
      <c r="J4829" s="174"/>
      <c r="K4829" s="174"/>
      <c r="L4829" s="174"/>
      <c r="M4829" s="12"/>
      <c r="N4829" s="39"/>
      <c r="U4829" s="23"/>
      <c r="V4829" s="23"/>
      <c r="Z4829" s="95" t="s">
        <v>81</v>
      </c>
    </row>
    <row r="4830" spans="1:26" s="25" customFormat="1" ht="9.9499999999999993" customHeight="1" thickBot="1" x14ac:dyDescent="0.35">
      <c r="A4830" s="6"/>
      <c r="B4830" s="14"/>
      <c r="C4830" s="119"/>
      <c r="D4830" s="58"/>
      <c r="E4830" s="17"/>
      <c r="F4830" s="58"/>
      <c r="G4830" s="19"/>
      <c r="H4830" s="19"/>
      <c r="I4830" s="19"/>
      <c r="J4830" s="19"/>
      <c r="K4830" s="19"/>
      <c r="L4830" s="19"/>
      <c r="M4830" s="14"/>
      <c r="N4830" s="39"/>
      <c r="Q4830" s="1"/>
      <c r="R4830" s="1"/>
      <c r="S4830" s="1"/>
      <c r="T4830" s="1"/>
      <c r="U4830" s="24"/>
      <c r="V4830" s="24"/>
      <c r="W4830" s="1"/>
      <c r="X4830" s="1"/>
      <c r="Z4830" s="94" t="s">
        <v>82</v>
      </c>
    </row>
    <row r="4831" spans="1:26" s="25" customFormat="1" ht="6.95" customHeight="1" x14ac:dyDescent="0.3">
      <c r="A4831" s="165">
        <f>+A4820+1</f>
        <v>440</v>
      </c>
      <c r="B4831" s="166"/>
      <c r="C4831" s="167"/>
      <c r="D4831" s="160" t="s">
        <v>39</v>
      </c>
      <c r="E4831" s="161"/>
      <c r="F4831" s="162" t="s">
        <v>40</v>
      </c>
      <c r="G4831" s="163"/>
      <c r="H4831" s="164"/>
      <c r="I4831" s="163"/>
      <c r="J4831" s="164"/>
      <c r="K4831" s="163"/>
      <c r="L4831" s="164"/>
      <c r="M4831" s="11"/>
      <c r="N4831" s="39"/>
      <c r="Q4831" s="15" t="str">
        <f>+CONCATENATE(E4831,G4831)</f>
        <v/>
      </c>
      <c r="R4831" s="15">
        <f>+H4831</f>
        <v>0</v>
      </c>
      <c r="S4831" s="16"/>
      <c r="T4831" s="15">
        <f>+E4831</f>
        <v>0</v>
      </c>
      <c r="U4831" s="26" t="str">
        <f>IFERROR(LEFT(G4831,FIND("*",G4831)-1),"-")</f>
        <v>-</v>
      </c>
      <c r="V4831" s="26" t="str">
        <f>IFERROR(RIGHT(G4831,LEN(G4831)-FIND("*",G4831)),"-")</f>
        <v>-</v>
      </c>
      <c r="W4831" s="27" t="str">
        <f>IFERROR((U4831+V4831)*2/1000,"-")</f>
        <v>-</v>
      </c>
      <c r="X4831" s="27" t="str">
        <f>IFERROR(W4831*H4831,"-")</f>
        <v>-</v>
      </c>
      <c r="Z4831" s="94" t="s">
        <v>82</v>
      </c>
    </row>
    <row r="4832" spans="1:26" s="25" customFormat="1" ht="6.95" customHeight="1" x14ac:dyDescent="0.3">
      <c r="A4832" s="165"/>
      <c r="B4832" s="168"/>
      <c r="C4832" s="169"/>
      <c r="D4832" s="160"/>
      <c r="E4832" s="161"/>
      <c r="F4832" s="162"/>
      <c r="G4832" s="163"/>
      <c r="H4832" s="164"/>
      <c r="I4832" s="163"/>
      <c r="J4832" s="164"/>
      <c r="K4832" s="163"/>
      <c r="L4832" s="164"/>
      <c r="M4832" s="11"/>
      <c r="N4832" s="39"/>
      <c r="Q4832" s="15" t="str">
        <f>+CONCATENATE(E4831,I4831)</f>
        <v/>
      </c>
      <c r="R4832" s="15">
        <f>+J4831</f>
        <v>0</v>
      </c>
      <c r="S4832" s="16"/>
      <c r="T4832" s="15">
        <f>+E4831</f>
        <v>0</v>
      </c>
      <c r="U4832" s="26" t="str">
        <f>IFERROR(LEFT(I4831,FIND("*",I4831)-1),"-")</f>
        <v>-</v>
      </c>
      <c r="V4832" s="26" t="str">
        <f>IFERROR(RIGHT(I4831,LEN(I4831)-FIND("*",I4831)),"-")</f>
        <v>-</v>
      </c>
      <c r="W4832" s="27" t="str">
        <f t="shared" ref="W4832:W4839" si="2632">IFERROR((U4832+V4832)*2/1000,"-")</f>
        <v>-</v>
      </c>
      <c r="X4832" s="27" t="str">
        <f>IFERROR(W4832*J4831,"-")</f>
        <v>-</v>
      </c>
      <c r="Z4832" s="94" t="s">
        <v>82</v>
      </c>
    </row>
    <row r="4833" spans="1:26" s="25" customFormat="1" ht="6.95" customHeight="1" x14ac:dyDescent="0.3">
      <c r="A4833" s="165"/>
      <c r="B4833" s="168"/>
      <c r="C4833" s="169"/>
      <c r="D4833" s="160"/>
      <c r="E4833" s="161"/>
      <c r="F4833" s="162"/>
      <c r="G4833" s="163"/>
      <c r="H4833" s="164"/>
      <c r="I4833" s="163"/>
      <c r="J4833" s="164"/>
      <c r="K4833" s="163"/>
      <c r="L4833" s="164"/>
      <c r="M4833" s="11"/>
      <c r="N4833" s="39"/>
      <c r="Q4833" s="15" t="str">
        <f>+CONCATENATE(E4831,K4831)</f>
        <v/>
      </c>
      <c r="R4833" s="15">
        <f>+L4831</f>
        <v>0</v>
      </c>
      <c r="S4833" s="16"/>
      <c r="T4833" s="15">
        <f>+E4831</f>
        <v>0</v>
      </c>
      <c r="U4833" s="26" t="str">
        <f>IFERROR(LEFT(K4831,FIND("*",K4831)-1),"-")</f>
        <v>-</v>
      </c>
      <c r="V4833" s="26" t="str">
        <f>IFERROR(RIGHT(K4831,LEN(K4831)-FIND("*",K4831)),"-")</f>
        <v>-</v>
      </c>
      <c r="W4833" s="27" t="str">
        <f t="shared" si="2632"/>
        <v>-</v>
      </c>
      <c r="X4833" s="27" t="str">
        <f>IFERROR(W4833*L4831,"-")</f>
        <v>-</v>
      </c>
      <c r="Z4833" s="94" t="s">
        <v>82</v>
      </c>
    </row>
    <row r="4834" spans="1:26" s="25" customFormat="1" ht="6.95" customHeight="1" x14ac:dyDescent="0.3">
      <c r="A4834" s="13"/>
      <c r="B4834" s="168"/>
      <c r="C4834" s="169"/>
      <c r="D4834" s="160" t="s">
        <v>39</v>
      </c>
      <c r="E4834" s="161"/>
      <c r="F4834" s="162" t="s">
        <v>40</v>
      </c>
      <c r="G4834" s="163"/>
      <c r="H4834" s="164"/>
      <c r="I4834" s="163"/>
      <c r="J4834" s="164"/>
      <c r="K4834" s="163"/>
      <c r="L4834" s="164"/>
      <c r="M4834" s="11"/>
      <c r="N4834" s="39"/>
      <c r="Q4834" s="15" t="str">
        <f>+CONCATENATE(E4834,G4834)</f>
        <v/>
      </c>
      <c r="R4834" s="15">
        <f>+H4834</f>
        <v>0</v>
      </c>
      <c r="S4834" s="16"/>
      <c r="T4834" s="15">
        <f>+E4834</f>
        <v>0</v>
      </c>
      <c r="U4834" s="26" t="str">
        <f t="shared" ref="U4834" si="2633">IFERROR(LEFT(G4834,FIND("*",G4834)-1),"-")</f>
        <v>-</v>
      </c>
      <c r="V4834" s="26" t="str">
        <f t="shared" ref="V4834" si="2634">IFERROR(RIGHT(G4834,LEN(G4834)-FIND("*",G4834)),"-")</f>
        <v>-</v>
      </c>
      <c r="W4834" s="27" t="str">
        <f t="shared" si="2632"/>
        <v>-</v>
      </c>
      <c r="X4834" s="27" t="str">
        <f>IFERROR(W4834*H4834,"-")</f>
        <v>-</v>
      </c>
      <c r="Z4834" s="94" t="s">
        <v>82</v>
      </c>
    </row>
    <row r="4835" spans="1:26" s="25" customFormat="1" ht="6.95" customHeight="1" x14ac:dyDescent="0.3">
      <c r="A4835" s="10"/>
      <c r="B4835" s="168"/>
      <c r="C4835" s="169"/>
      <c r="D4835" s="160"/>
      <c r="E4835" s="161"/>
      <c r="F4835" s="162"/>
      <c r="G4835" s="163"/>
      <c r="H4835" s="164"/>
      <c r="I4835" s="163"/>
      <c r="J4835" s="164"/>
      <c r="K4835" s="163"/>
      <c r="L4835" s="164"/>
      <c r="M4835" s="11"/>
      <c r="N4835" s="39"/>
      <c r="Q4835" s="15" t="str">
        <f>+CONCATENATE(E4834,I4834)</f>
        <v/>
      </c>
      <c r="R4835" s="15">
        <f>+J4834</f>
        <v>0</v>
      </c>
      <c r="S4835" s="16"/>
      <c r="T4835" s="15">
        <f>+E4834</f>
        <v>0</v>
      </c>
      <c r="U4835" s="26" t="str">
        <f>IFERROR(LEFT(I4834,FIND("*",I4834)-1),"-")</f>
        <v>-</v>
      </c>
      <c r="V4835" s="26" t="str">
        <f>IFERROR(RIGHT(I4834,LEN(I4834)-FIND("*",I4834)),"-")</f>
        <v>-</v>
      </c>
      <c r="W4835" s="27" t="str">
        <f t="shared" si="2632"/>
        <v>-</v>
      </c>
      <c r="X4835" s="27" t="str">
        <f>IFERROR(W4835*J4834,"-")</f>
        <v>-</v>
      </c>
      <c r="Z4835" s="94" t="s">
        <v>82</v>
      </c>
    </row>
    <row r="4836" spans="1:26" s="25" customFormat="1" ht="6.95" customHeight="1" x14ac:dyDescent="0.3">
      <c r="A4836" s="10"/>
      <c r="B4836" s="168"/>
      <c r="C4836" s="169"/>
      <c r="D4836" s="160"/>
      <c r="E4836" s="161"/>
      <c r="F4836" s="162"/>
      <c r="G4836" s="163"/>
      <c r="H4836" s="164"/>
      <c r="I4836" s="163"/>
      <c r="J4836" s="164"/>
      <c r="K4836" s="163"/>
      <c r="L4836" s="164"/>
      <c r="M4836" s="11"/>
      <c r="N4836" s="39"/>
      <c r="Q4836" s="15" t="str">
        <f>+CONCATENATE(E4834,K4834)</f>
        <v/>
      </c>
      <c r="R4836" s="15">
        <f>+L4834</f>
        <v>0</v>
      </c>
      <c r="S4836" s="16"/>
      <c r="T4836" s="15">
        <f>+E4834</f>
        <v>0</v>
      </c>
      <c r="U4836" s="26" t="str">
        <f>IFERROR(LEFT(K4834,FIND("*",K4834)-1),"-")</f>
        <v>-</v>
      </c>
      <c r="V4836" s="26" t="str">
        <f>IFERROR(RIGHT(K4834,LEN(K4834)-FIND("*",K4834)),"-")</f>
        <v>-</v>
      </c>
      <c r="W4836" s="27" t="str">
        <f t="shared" si="2632"/>
        <v>-</v>
      </c>
      <c r="X4836" s="27" t="str">
        <f>IFERROR(W4836*L4834,"-")</f>
        <v>-</v>
      </c>
      <c r="Z4836" s="94" t="s">
        <v>82</v>
      </c>
    </row>
    <row r="4837" spans="1:26" s="25" customFormat="1" ht="6.95" customHeight="1" x14ac:dyDescent="0.3">
      <c r="A4837" s="13"/>
      <c r="B4837" s="168"/>
      <c r="C4837" s="169"/>
      <c r="D4837" s="160" t="s">
        <v>39</v>
      </c>
      <c r="E4837" s="161"/>
      <c r="F4837" s="162" t="s">
        <v>40</v>
      </c>
      <c r="G4837" s="163"/>
      <c r="H4837" s="164"/>
      <c r="I4837" s="163"/>
      <c r="J4837" s="164"/>
      <c r="K4837" s="163"/>
      <c r="L4837" s="164"/>
      <c r="M4837" s="11"/>
      <c r="N4837" s="39"/>
      <c r="Q4837" s="15" t="str">
        <f>+CONCATENATE(E4837,G4837)</f>
        <v/>
      </c>
      <c r="R4837" s="15">
        <f>+H4837</f>
        <v>0</v>
      </c>
      <c r="S4837" s="16"/>
      <c r="T4837" s="15">
        <f>+E4837</f>
        <v>0</v>
      </c>
      <c r="U4837" s="26" t="str">
        <f t="shared" ref="U4837" si="2635">IFERROR(LEFT(G4837,FIND("*",G4837)-1),"-")</f>
        <v>-</v>
      </c>
      <c r="V4837" s="26" t="str">
        <f t="shared" ref="V4837" si="2636">IFERROR(RIGHT(G4837,LEN(G4837)-FIND("*",G4837)),"-")</f>
        <v>-</v>
      </c>
      <c r="W4837" s="27" t="str">
        <f t="shared" si="2632"/>
        <v>-</v>
      </c>
      <c r="X4837" s="27" t="str">
        <f>IFERROR(W4837*H4837,"-")</f>
        <v>-</v>
      </c>
      <c r="Z4837" s="94" t="s">
        <v>82</v>
      </c>
    </row>
    <row r="4838" spans="1:26" s="25" customFormat="1" ht="6.95" customHeight="1" x14ac:dyDescent="0.3">
      <c r="A4838" s="10"/>
      <c r="B4838" s="168"/>
      <c r="C4838" s="169"/>
      <c r="D4838" s="160"/>
      <c r="E4838" s="161"/>
      <c r="F4838" s="162"/>
      <c r="G4838" s="163"/>
      <c r="H4838" s="164"/>
      <c r="I4838" s="163"/>
      <c r="J4838" s="164"/>
      <c r="K4838" s="163"/>
      <c r="L4838" s="164"/>
      <c r="M4838" s="11"/>
      <c r="N4838" s="39"/>
      <c r="Q4838" s="15" t="str">
        <f>+CONCATENATE(E4837,I4837)</f>
        <v/>
      </c>
      <c r="R4838" s="15">
        <f>+J4837</f>
        <v>0</v>
      </c>
      <c r="S4838" s="16"/>
      <c r="T4838" s="15">
        <f>+E4837</f>
        <v>0</v>
      </c>
      <c r="U4838" s="26" t="str">
        <f>IFERROR(LEFT(I4837,FIND("*",I4837)-1),"-")</f>
        <v>-</v>
      </c>
      <c r="V4838" s="26" t="str">
        <f>IFERROR(RIGHT(I4837,LEN(I4837)-FIND("*",I4837)),"-")</f>
        <v>-</v>
      </c>
      <c r="W4838" s="27" t="str">
        <f t="shared" si="2632"/>
        <v>-</v>
      </c>
      <c r="X4838" s="27" t="str">
        <f t="shared" ref="X4838" si="2637">IFERROR(W4838*J4837,"-")</f>
        <v>-</v>
      </c>
      <c r="Z4838" s="94" t="s">
        <v>82</v>
      </c>
    </row>
    <row r="4839" spans="1:26" s="25" customFormat="1" ht="6.95" customHeight="1" x14ac:dyDescent="0.3">
      <c r="A4839" s="10"/>
      <c r="B4839" s="168"/>
      <c r="C4839" s="169"/>
      <c r="D4839" s="160"/>
      <c r="E4839" s="161"/>
      <c r="F4839" s="162"/>
      <c r="G4839" s="163"/>
      <c r="H4839" s="164"/>
      <c r="I4839" s="163"/>
      <c r="J4839" s="164"/>
      <c r="K4839" s="163"/>
      <c r="L4839" s="164"/>
      <c r="M4839" s="11"/>
      <c r="N4839" s="39"/>
      <c r="Q4839" s="15" t="str">
        <f>+CONCATENATE(E4837,K4837)</f>
        <v/>
      </c>
      <c r="R4839" s="15">
        <f>+L4837</f>
        <v>0</v>
      </c>
      <c r="S4839" s="16"/>
      <c r="T4839" s="15">
        <f>+E4837</f>
        <v>0</v>
      </c>
      <c r="U4839" s="26" t="str">
        <f>IFERROR(LEFT(K4837,FIND("*",K4837)-1),"-")</f>
        <v>-</v>
      </c>
      <c r="V4839" s="26" t="str">
        <f>IFERROR(RIGHT(K4837,LEN(K4837)-FIND("*",K4837)),"-")</f>
        <v>-</v>
      </c>
      <c r="W4839" s="27" t="str">
        <f t="shared" si="2632"/>
        <v>-</v>
      </c>
      <c r="X4839" s="27" t="str">
        <f>IFERROR(W4839*L4837,"-")</f>
        <v>-</v>
      </c>
      <c r="Z4839" s="94" t="s">
        <v>82</v>
      </c>
    </row>
    <row r="4840" spans="1:26" s="25" customFormat="1" ht="21" customHeight="1" thickBot="1" x14ac:dyDescent="0.35">
      <c r="A4840" s="10"/>
      <c r="B4840" s="170"/>
      <c r="C4840" s="171"/>
      <c r="D4840" s="172" t="s">
        <v>43</v>
      </c>
      <c r="E4840" s="173"/>
      <c r="F4840" s="173"/>
      <c r="G4840" s="174"/>
      <c r="H4840" s="174"/>
      <c r="I4840" s="174"/>
      <c r="J4840" s="174"/>
      <c r="K4840" s="174"/>
      <c r="L4840" s="174"/>
      <c r="M4840" s="12"/>
      <c r="N4840" s="39"/>
      <c r="U4840" s="23"/>
      <c r="V4840" s="23"/>
      <c r="Z4840" s="95" t="s">
        <v>81</v>
      </c>
    </row>
    <row r="4841" spans="1:26" s="25" customFormat="1" ht="9.9499999999999993" customHeight="1" thickBot="1" x14ac:dyDescent="0.35">
      <c r="A4841" s="6"/>
      <c r="B4841" s="14"/>
      <c r="C4841" s="119"/>
      <c r="D4841" s="58"/>
      <c r="E4841" s="17"/>
      <c r="F4841" s="58"/>
      <c r="G4841" s="19"/>
      <c r="H4841" s="19"/>
      <c r="I4841" s="19"/>
      <c r="J4841" s="19"/>
      <c r="K4841" s="19"/>
      <c r="L4841" s="19"/>
      <c r="M4841" s="14"/>
      <c r="N4841" s="39"/>
      <c r="Q4841" s="1"/>
      <c r="R4841" s="1"/>
      <c r="S4841" s="1"/>
      <c r="T4841" s="1"/>
      <c r="U4841" s="24"/>
      <c r="V4841" s="24"/>
      <c r="W4841" s="1"/>
      <c r="X4841" s="1"/>
      <c r="Z4841" s="94" t="s">
        <v>82</v>
      </c>
    </row>
    <row r="4842" spans="1:26" s="25" customFormat="1" ht="6.95" customHeight="1" x14ac:dyDescent="0.3">
      <c r="A4842" s="165">
        <f>+A4831+1</f>
        <v>441</v>
      </c>
      <c r="B4842" s="166"/>
      <c r="C4842" s="167"/>
      <c r="D4842" s="160" t="s">
        <v>39</v>
      </c>
      <c r="E4842" s="161"/>
      <c r="F4842" s="162" t="s">
        <v>40</v>
      </c>
      <c r="G4842" s="163"/>
      <c r="H4842" s="164"/>
      <c r="I4842" s="163"/>
      <c r="J4842" s="164"/>
      <c r="K4842" s="163"/>
      <c r="L4842" s="164"/>
      <c r="M4842" s="11"/>
      <c r="N4842" s="39"/>
      <c r="Q4842" s="15" t="str">
        <f>+CONCATENATE(E4842,G4842)</f>
        <v/>
      </c>
      <c r="R4842" s="15">
        <f>+H4842</f>
        <v>0</v>
      </c>
      <c r="S4842" s="16"/>
      <c r="T4842" s="15">
        <f>+E4842</f>
        <v>0</v>
      </c>
      <c r="U4842" s="26" t="str">
        <f>IFERROR(LEFT(G4842,FIND("*",G4842)-1),"-")</f>
        <v>-</v>
      </c>
      <c r="V4842" s="26" t="str">
        <f>IFERROR(RIGHT(G4842,LEN(G4842)-FIND("*",G4842)),"-")</f>
        <v>-</v>
      </c>
      <c r="W4842" s="27" t="str">
        <f>IFERROR((U4842+V4842)*2/1000,"-")</f>
        <v>-</v>
      </c>
      <c r="X4842" s="27" t="str">
        <f>IFERROR(W4842*H4842,"-")</f>
        <v>-</v>
      </c>
      <c r="Z4842" s="94" t="s">
        <v>82</v>
      </c>
    </row>
    <row r="4843" spans="1:26" s="25" customFormat="1" ht="6.95" customHeight="1" x14ac:dyDescent="0.3">
      <c r="A4843" s="165"/>
      <c r="B4843" s="168"/>
      <c r="C4843" s="169"/>
      <c r="D4843" s="160"/>
      <c r="E4843" s="161"/>
      <c r="F4843" s="162"/>
      <c r="G4843" s="163"/>
      <c r="H4843" s="164"/>
      <c r="I4843" s="163"/>
      <c r="J4843" s="164"/>
      <c r="K4843" s="163"/>
      <c r="L4843" s="164"/>
      <c r="M4843" s="11"/>
      <c r="N4843" s="39"/>
      <c r="Q4843" s="15" t="str">
        <f>+CONCATENATE(E4842,I4842)</f>
        <v/>
      </c>
      <c r="R4843" s="15">
        <f>+J4842</f>
        <v>0</v>
      </c>
      <c r="S4843" s="16"/>
      <c r="T4843" s="15">
        <f>+E4842</f>
        <v>0</v>
      </c>
      <c r="U4843" s="26" t="str">
        <f>IFERROR(LEFT(I4842,FIND("*",I4842)-1),"-")</f>
        <v>-</v>
      </c>
      <c r="V4843" s="26" t="str">
        <f>IFERROR(RIGHT(I4842,LEN(I4842)-FIND("*",I4842)),"-")</f>
        <v>-</v>
      </c>
      <c r="W4843" s="27" t="str">
        <f t="shared" ref="W4843:W4850" si="2638">IFERROR((U4843+V4843)*2/1000,"-")</f>
        <v>-</v>
      </c>
      <c r="X4843" s="27" t="str">
        <f>IFERROR(W4843*J4842,"-")</f>
        <v>-</v>
      </c>
      <c r="Z4843" s="94" t="s">
        <v>82</v>
      </c>
    </row>
    <row r="4844" spans="1:26" s="25" customFormat="1" ht="6.95" customHeight="1" x14ac:dyDescent="0.3">
      <c r="A4844" s="165"/>
      <c r="B4844" s="168"/>
      <c r="C4844" s="169"/>
      <c r="D4844" s="160"/>
      <c r="E4844" s="161"/>
      <c r="F4844" s="162"/>
      <c r="G4844" s="163"/>
      <c r="H4844" s="164"/>
      <c r="I4844" s="163"/>
      <c r="J4844" s="164"/>
      <c r="K4844" s="163"/>
      <c r="L4844" s="164"/>
      <c r="M4844" s="11"/>
      <c r="N4844" s="39"/>
      <c r="Q4844" s="15" t="str">
        <f>+CONCATENATE(E4842,K4842)</f>
        <v/>
      </c>
      <c r="R4844" s="15">
        <f>+L4842</f>
        <v>0</v>
      </c>
      <c r="S4844" s="16"/>
      <c r="T4844" s="15">
        <f>+E4842</f>
        <v>0</v>
      </c>
      <c r="U4844" s="26" t="str">
        <f>IFERROR(LEFT(K4842,FIND("*",K4842)-1),"-")</f>
        <v>-</v>
      </c>
      <c r="V4844" s="26" t="str">
        <f>IFERROR(RIGHT(K4842,LEN(K4842)-FIND("*",K4842)),"-")</f>
        <v>-</v>
      </c>
      <c r="W4844" s="27" t="str">
        <f t="shared" si="2638"/>
        <v>-</v>
      </c>
      <c r="X4844" s="27" t="str">
        <f>IFERROR(W4844*L4842,"-")</f>
        <v>-</v>
      </c>
      <c r="Z4844" s="94" t="s">
        <v>82</v>
      </c>
    </row>
    <row r="4845" spans="1:26" s="25" customFormat="1" ht="6.95" customHeight="1" x14ac:dyDescent="0.3">
      <c r="A4845" s="13"/>
      <c r="B4845" s="168"/>
      <c r="C4845" s="169"/>
      <c r="D4845" s="160" t="s">
        <v>39</v>
      </c>
      <c r="E4845" s="161"/>
      <c r="F4845" s="162" t="s">
        <v>40</v>
      </c>
      <c r="G4845" s="163"/>
      <c r="H4845" s="164"/>
      <c r="I4845" s="163"/>
      <c r="J4845" s="164"/>
      <c r="K4845" s="163"/>
      <c r="L4845" s="164"/>
      <c r="M4845" s="11"/>
      <c r="N4845" s="39"/>
      <c r="Q4845" s="15" t="str">
        <f>+CONCATENATE(E4845,G4845)</f>
        <v/>
      </c>
      <c r="R4845" s="15">
        <f>+H4845</f>
        <v>0</v>
      </c>
      <c r="S4845" s="16"/>
      <c r="T4845" s="15">
        <f>+E4845</f>
        <v>0</v>
      </c>
      <c r="U4845" s="26" t="str">
        <f t="shared" ref="U4845" si="2639">IFERROR(LEFT(G4845,FIND("*",G4845)-1),"-")</f>
        <v>-</v>
      </c>
      <c r="V4845" s="26" t="str">
        <f t="shared" ref="V4845" si="2640">IFERROR(RIGHT(G4845,LEN(G4845)-FIND("*",G4845)),"-")</f>
        <v>-</v>
      </c>
      <c r="W4845" s="27" t="str">
        <f t="shared" si="2638"/>
        <v>-</v>
      </c>
      <c r="X4845" s="27" t="str">
        <f>IFERROR(W4845*H4845,"-")</f>
        <v>-</v>
      </c>
      <c r="Z4845" s="94" t="s">
        <v>82</v>
      </c>
    </row>
    <row r="4846" spans="1:26" s="25" customFormat="1" ht="6.95" customHeight="1" x14ac:dyDescent="0.3">
      <c r="A4846" s="10"/>
      <c r="B4846" s="168"/>
      <c r="C4846" s="169"/>
      <c r="D4846" s="160"/>
      <c r="E4846" s="161"/>
      <c r="F4846" s="162"/>
      <c r="G4846" s="163"/>
      <c r="H4846" s="164"/>
      <c r="I4846" s="163"/>
      <c r="J4846" s="164"/>
      <c r="K4846" s="163"/>
      <c r="L4846" s="164"/>
      <c r="M4846" s="11"/>
      <c r="N4846" s="39"/>
      <c r="Q4846" s="15" t="str">
        <f>+CONCATENATE(E4845,I4845)</f>
        <v/>
      </c>
      <c r="R4846" s="15">
        <f>+J4845</f>
        <v>0</v>
      </c>
      <c r="S4846" s="16"/>
      <c r="T4846" s="15">
        <f>+E4845</f>
        <v>0</v>
      </c>
      <c r="U4846" s="26" t="str">
        <f>IFERROR(LEFT(I4845,FIND("*",I4845)-1),"-")</f>
        <v>-</v>
      </c>
      <c r="V4846" s="26" t="str">
        <f>IFERROR(RIGHT(I4845,LEN(I4845)-FIND("*",I4845)),"-")</f>
        <v>-</v>
      </c>
      <c r="W4846" s="27" t="str">
        <f t="shared" si="2638"/>
        <v>-</v>
      </c>
      <c r="X4846" s="27" t="str">
        <f>IFERROR(W4846*J4845,"-")</f>
        <v>-</v>
      </c>
      <c r="Z4846" s="94" t="s">
        <v>82</v>
      </c>
    </row>
    <row r="4847" spans="1:26" s="25" customFormat="1" ht="6.95" customHeight="1" x14ac:dyDescent="0.3">
      <c r="A4847" s="10"/>
      <c r="B4847" s="168"/>
      <c r="C4847" s="169"/>
      <c r="D4847" s="160"/>
      <c r="E4847" s="161"/>
      <c r="F4847" s="162"/>
      <c r="G4847" s="163"/>
      <c r="H4847" s="164"/>
      <c r="I4847" s="163"/>
      <c r="J4847" s="164"/>
      <c r="K4847" s="163"/>
      <c r="L4847" s="164"/>
      <c r="M4847" s="11"/>
      <c r="N4847" s="39"/>
      <c r="Q4847" s="15" t="str">
        <f>+CONCATENATE(E4845,K4845)</f>
        <v/>
      </c>
      <c r="R4847" s="15">
        <f>+L4845</f>
        <v>0</v>
      </c>
      <c r="S4847" s="16"/>
      <c r="T4847" s="15">
        <f>+E4845</f>
        <v>0</v>
      </c>
      <c r="U4847" s="26" t="str">
        <f>IFERROR(LEFT(K4845,FIND("*",K4845)-1),"-")</f>
        <v>-</v>
      </c>
      <c r="V4847" s="26" t="str">
        <f>IFERROR(RIGHT(K4845,LEN(K4845)-FIND("*",K4845)),"-")</f>
        <v>-</v>
      </c>
      <c r="W4847" s="27" t="str">
        <f t="shared" si="2638"/>
        <v>-</v>
      </c>
      <c r="X4847" s="27" t="str">
        <f>IFERROR(W4847*L4845,"-")</f>
        <v>-</v>
      </c>
      <c r="Z4847" s="94" t="s">
        <v>82</v>
      </c>
    </row>
    <row r="4848" spans="1:26" s="25" customFormat="1" ht="6.95" customHeight="1" x14ac:dyDescent="0.3">
      <c r="A4848" s="13"/>
      <c r="B4848" s="168"/>
      <c r="C4848" s="169"/>
      <c r="D4848" s="160" t="s">
        <v>39</v>
      </c>
      <c r="E4848" s="161"/>
      <c r="F4848" s="162" t="s">
        <v>40</v>
      </c>
      <c r="G4848" s="163"/>
      <c r="H4848" s="164"/>
      <c r="I4848" s="163"/>
      <c r="J4848" s="164"/>
      <c r="K4848" s="163"/>
      <c r="L4848" s="164"/>
      <c r="M4848" s="11"/>
      <c r="N4848" s="39"/>
      <c r="Q4848" s="15" t="str">
        <f>+CONCATENATE(E4848,G4848)</f>
        <v/>
      </c>
      <c r="R4848" s="15">
        <f>+H4848</f>
        <v>0</v>
      </c>
      <c r="S4848" s="16"/>
      <c r="T4848" s="15">
        <f>+E4848</f>
        <v>0</v>
      </c>
      <c r="U4848" s="26" t="str">
        <f t="shared" ref="U4848" si="2641">IFERROR(LEFT(G4848,FIND("*",G4848)-1),"-")</f>
        <v>-</v>
      </c>
      <c r="V4848" s="26" t="str">
        <f t="shared" ref="V4848" si="2642">IFERROR(RIGHT(G4848,LEN(G4848)-FIND("*",G4848)),"-")</f>
        <v>-</v>
      </c>
      <c r="W4848" s="27" t="str">
        <f t="shared" si="2638"/>
        <v>-</v>
      </c>
      <c r="X4848" s="27" t="str">
        <f>IFERROR(W4848*H4848,"-")</f>
        <v>-</v>
      </c>
      <c r="Z4848" s="94" t="s">
        <v>82</v>
      </c>
    </row>
    <row r="4849" spans="1:26" s="25" customFormat="1" ht="6.95" customHeight="1" x14ac:dyDescent="0.3">
      <c r="A4849" s="10"/>
      <c r="B4849" s="168"/>
      <c r="C4849" s="169"/>
      <c r="D4849" s="160"/>
      <c r="E4849" s="161"/>
      <c r="F4849" s="162"/>
      <c r="G4849" s="163"/>
      <c r="H4849" s="164"/>
      <c r="I4849" s="163"/>
      <c r="J4849" s="164"/>
      <c r="K4849" s="163"/>
      <c r="L4849" s="164"/>
      <c r="M4849" s="11"/>
      <c r="N4849" s="39"/>
      <c r="Q4849" s="15" t="str">
        <f>+CONCATENATE(E4848,I4848)</f>
        <v/>
      </c>
      <c r="R4849" s="15">
        <f>+J4848</f>
        <v>0</v>
      </c>
      <c r="S4849" s="16"/>
      <c r="T4849" s="15">
        <f>+E4848</f>
        <v>0</v>
      </c>
      <c r="U4849" s="26" t="str">
        <f>IFERROR(LEFT(I4848,FIND("*",I4848)-1),"-")</f>
        <v>-</v>
      </c>
      <c r="V4849" s="26" t="str">
        <f>IFERROR(RIGHT(I4848,LEN(I4848)-FIND("*",I4848)),"-")</f>
        <v>-</v>
      </c>
      <c r="W4849" s="27" t="str">
        <f t="shared" si="2638"/>
        <v>-</v>
      </c>
      <c r="X4849" s="27" t="str">
        <f t="shared" ref="X4849" si="2643">IFERROR(W4849*J4848,"-")</f>
        <v>-</v>
      </c>
      <c r="Z4849" s="94" t="s">
        <v>82</v>
      </c>
    </row>
    <row r="4850" spans="1:26" s="25" customFormat="1" ht="6.95" customHeight="1" x14ac:dyDescent="0.3">
      <c r="A4850" s="10"/>
      <c r="B4850" s="168"/>
      <c r="C4850" s="169"/>
      <c r="D4850" s="160"/>
      <c r="E4850" s="161"/>
      <c r="F4850" s="162"/>
      <c r="G4850" s="163"/>
      <c r="H4850" s="164"/>
      <c r="I4850" s="163"/>
      <c r="J4850" s="164"/>
      <c r="K4850" s="163"/>
      <c r="L4850" s="164"/>
      <c r="M4850" s="11"/>
      <c r="N4850" s="39"/>
      <c r="Q4850" s="15" t="str">
        <f>+CONCATENATE(E4848,K4848)</f>
        <v/>
      </c>
      <c r="R4850" s="15">
        <f>+L4848</f>
        <v>0</v>
      </c>
      <c r="S4850" s="16"/>
      <c r="T4850" s="15">
        <f>+E4848</f>
        <v>0</v>
      </c>
      <c r="U4850" s="26" t="str">
        <f>IFERROR(LEFT(K4848,FIND("*",K4848)-1),"-")</f>
        <v>-</v>
      </c>
      <c r="V4850" s="26" t="str">
        <f>IFERROR(RIGHT(K4848,LEN(K4848)-FIND("*",K4848)),"-")</f>
        <v>-</v>
      </c>
      <c r="W4850" s="27" t="str">
        <f t="shared" si="2638"/>
        <v>-</v>
      </c>
      <c r="X4850" s="27" t="str">
        <f>IFERROR(W4850*L4848,"-")</f>
        <v>-</v>
      </c>
      <c r="Z4850" s="94" t="s">
        <v>82</v>
      </c>
    </row>
    <row r="4851" spans="1:26" s="25" customFormat="1" ht="21" customHeight="1" thickBot="1" x14ac:dyDescent="0.35">
      <c r="A4851" s="10"/>
      <c r="B4851" s="170"/>
      <c r="C4851" s="171"/>
      <c r="D4851" s="172" t="s">
        <v>43</v>
      </c>
      <c r="E4851" s="173"/>
      <c r="F4851" s="173"/>
      <c r="G4851" s="174"/>
      <c r="H4851" s="174"/>
      <c r="I4851" s="174"/>
      <c r="J4851" s="174"/>
      <c r="K4851" s="174"/>
      <c r="L4851" s="174"/>
      <c r="M4851" s="12"/>
      <c r="N4851" s="39"/>
      <c r="U4851" s="23"/>
      <c r="V4851" s="23"/>
      <c r="Z4851" s="95" t="s">
        <v>81</v>
      </c>
    </row>
    <row r="4852" spans="1:26" s="25" customFormat="1" ht="9.9499999999999993" customHeight="1" thickBot="1" x14ac:dyDescent="0.35">
      <c r="A4852" s="6"/>
      <c r="B4852" s="14"/>
      <c r="C4852" s="119"/>
      <c r="D4852" s="58"/>
      <c r="E4852" s="17"/>
      <c r="F4852" s="58"/>
      <c r="G4852" s="19"/>
      <c r="H4852" s="19"/>
      <c r="I4852" s="19"/>
      <c r="J4852" s="19"/>
      <c r="K4852" s="19"/>
      <c r="L4852" s="19"/>
      <c r="M4852" s="14"/>
      <c r="N4852" s="39"/>
      <c r="Q4852" s="1"/>
      <c r="R4852" s="1"/>
      <c r="S4852" s="1"/>
      <c r="T4852" s="1"/>
      <c r="U4852" s="24"/>
      <c r="V4852" s="24"/>
      <c r="W4852" s="1"/>
      <c r="X4852" s="1"/>
      <c r="Z4852" s="94" t="s">
        <v>82</v>
      </c>
    </row>
    <row r="4853" spans="1:26" s="25" customFormat="1" ht="6.95" customHeight="1" x14ac:dyDescent="0.3">
      <c r="A4853" s="165">
        <f>+A4842+1</f>
        <v>442</v>
      </c>
      <c r="B4853" s="166"/>
      <c r="C4853" s="167"/>
      <c r="D4853" s="160" t="s">
        <v>39</v>
      </c>
      <c r="E4853" s="161"/>
      <c r="F4853" s="162" t="s">
        <v>40</v>
      </c>
      <c r="G4853" s="163"/>
      <c r="H4853" s="164"/>
      <c r="I4853" s="163"/>
      <c r="J4853" s="164"/>
      <c r="K4853" s="163"/>
      <c r="L4853" s="164"/>
      <c r="M4853" s="11"/>
      <c r="N4853" s="39"/>
      <c r="Q4853" s="15" t="str">
        <f>+CONCATENATE(E4853,G4853)</f>
        <v/>
      </c>
      <c r="R4853" s="15">
        <f>+H4853</f>
        <v>0</v>
      </c>
      <c r="S4853" s="16"/>
      <c r="T4853" s="15">
        <f>+E4853</f>
        <v>0</v>
      </c>
      <c r="U4853" s="26" t="str">
        <f>IFERROR(LEFT(G4853,FIND("*",G4853)-1),"-")</f>
        <v>-</v>
      </c>
      <c r="V4853" s="26" t="str">
        <f>IFERROR(RIGHT(G4853,LEN(G4853)-FIND("*",G4853)),"-")</f>
        <v>-</v>
      </c>
      <c r="W4853" s="27" t="str">
        <f>IFERROR((U4853+V4853)*2/1000,"-")</f>
        <v>-</v>
      </c>
      <c r="X4853" s="27" t="str">
        <f>IFERROR(W4853*H4853,"-")</f>
        <v>-</v>
      </c>
      <c r="Z4853" s="94" t="s">
        <v>82</v>
      </c>
    </row>
    <row r="4854" spans="1:26" s="25" customFormat="1" ht="6.95" customHeight="1" x14ac:dyDescent="0.3">
      <c r="A4854" s="165"/>
      <c r="B4854" s="168"/>
      <c r="C4854" s="169"/>
      <c r="D4854" s="160"/>
      <c r="E4854" s="161"/>
      <c r="F4854" s="162"/>
      <c r="G4854" s="163"/>
      <c r="H4854" s="164"/>
      <c r="I4854" s="163"/>
      <c r="J4854" s="164"/>
      <c r="K4854" s="163"/>
      <c r="L4854" s="164"/>
      <c r="M4854" s="11"/>
      <c r="N4854" s="39"/>
      <c r="Q4854" s="15" t="str">
        <f>+CONCATENATE(E4853,I4853)</f>
        <v/>
      </c>
      <c r="R4854" s="15">
        <f>+J4853</f>
        <v>0</v>
      </c>
      <c r="S4854" s="16"/>
      <c r="T4854" s="15">
        <f>+E4853</f>
        <v>0</v>
      </c>
      <c r="U4854" s="26" t="str">
        <f>IFERROR(LEFT(I4853,FIND("*",I4853)-1),"-")</f>
        <v>-</v>
      </c>
      <c r="V4854" s="26" t="str">
        <f>IFERROR(RIGHT(I4853,LEN(I4853)-FIND("*",I4853)),"-")</f>
        <v>-</v>
      </c>
      <c r="W4854" s="27" t="str">
        <f t="shared" ref="W4854:W4861" si="2644">IFERROR((U4854+V4854)*2/1000,"-")</f>
        <v>-</v>
      </c>
      <c r="X4854" s="27" t="str">
        <f>IFERROR(W4854*J4853,"-")</f>
        <v>-</v>
      </c>
      <c r="Z4854" s="94" t="s">
        <v>82</v>
      </c>
    </row>
    <row r="4855" spans="1:26" s="25" customFormat="1" ht="6.95" customHeight="1" x14ac:dyDescent="0.3">
      <c r="A4855" s="165"/>
      <c r="B4855" s="168"/>
      <c r="C4855" s="169"/>
      <c r="D4855" s="160"/>
      <c r="E4855" s="161"/>
      <c r="F4855" s="162"/>
      <c r="G4855" s="163"/>
      <c r="H4855" s="164"/>
      <c r="I4855" s="163"/>
      <c r="J4855" s="164"/>
      <c r="K4855" s="163"/>
      <c r="L4855" s="164"/>
      <c r="M4855" s="11"/>
      <c r="N4855" s="39"/>
      <c r="Q4855" s="15" t="str">
        <f>+CONCATENATE(E4853,K4853)</f>
        <v/>
      </c>
      <c r="R4855" s="15">
        <f>+L4853</f>
        <v>0</v>
      </c>
      <c r="S4855" s="16"/>
      <c r="T4855" s="15">
        <f>+E4853</f>
        <v>0</v>
      </c>
      <c r="U4855" s="26" t="str">
        <f>IFERROR(LEFT(K4853,FIND("*",K4853)-1),"-")</f>
        <v>-</v>
      </c>
      <c r="V4855" s="26" t="str">
        <f>IFERROR(RIGHT(K4853,LEN(K4853)-FIND("*",K4853)),"-")</f>
        <v>-</v>
      </c>
      <c r="W4855" s="27" t="str">
        <f t="shared" si="2644"/>
        <v>-</v>
      </c>
      <c r="X4855" s="27" t="str">
        <f>IFERROR(W4855*L4853,"-")</f>
        <v>-</v>
      </c>
      <c r="Z4855" s="94" t="s">
        <v>82</v>
      </c>
    </row>
    <row r="4856" spans="1:26" s="25" customFormat="1" ht="6.95" customHeight="1" x14ac:dyDescent="0.3">
      <c r="A4856" s="13"/>
      <c r="B4856" s="168"/>
      <c r="C4856" s="169"/>
      <c r="D4856" s="160" t="s">
        <v>39</v>
      </c>
      <c r="E4856" s="161"/>
      <c r="F4856" s="162" t="s">
        <v>40</v>
      </c>
      <c r="G4856" s="163"/>
      <c r="H4856" s="164"/>
      <c r="I4856" s="163"/>
      <c r="J4856" s="164"/>
      <c r="K4856" s="163"/>
      <c r="L4856" s="164"/>
      <c r="M4856" s="11"/>
      <c r="N4856" s="39"/>
      <c r="Q4856" s="15" t="str">
        <f>+CONCATENATE(E4856,G4856)</f>
        <v/>
      </c>
      <c r="R4856" s="15">
        <f>+H4856</f>
        <v>0</v>
      </c>
      <c r="S4856" s="16"/>
      <c r="T4856" s="15">
        <f>+E4856</f>
        <v>0</v>
      </c>
      <c r="U4856" s="26" t="str">
        <f t="shared" ref="U4856" si="2645">IFERROR(LEFT(G4856,FIND("*",G4856)-1),"-")</f>
        <v>-</v>
      </c>
      <c r="V4856" s="26" t="str">
        <f t="shared" ref="V4856" si="2646">IFERROR(RIGHT(G4856,LEN(G4856)-FIND("*",G4856)),"-")</f>
        <v>-</v>
      </c>
      <c r="W4856" s="27" t="str">
        <f t="shared" si="2644"/>
        <v>-</v>
      </c>
      <c r="X4856" s="27" t="str">
        <f>IFERROR(W4856*H4856,"-")</f>
        <v>-</v>
      </c>
      <c r="Z4856" s="94" t="s">
        <v>82</v>
      </c>
    </row>
    <row r="4857" spans="1:26" s="25" customFormat="1" ht="6.95" customHeight="1" x14ac:dyDescent="0.3">
      <c r="A4857" s="10"/>
      <c r="B4857" s="168"/>
      <c r="C4857" s="169"/>
      <c r="D4857" s="160"/>
      <c r="E4857" s="161"/>
      <c r="F4857" s="162"/>
      <c r="G4857" s="163"/>
      <c r="H4857" s="164"/>
      <c r="I4857" s="163"/>
      <c r="J4857" s="164"/>
      <c r="K4857" s="163"/>
      <c r="L4857" s="164"/>
      <c r="M4857" s="11"/>
      <c r="N4857" s="39"/>
      <c r="Q4857" s="15" t="str">
        <f>+CONCATENATE(E4856,I4856)</f>
        <v/>
      </c>
      <c r="R4857" s="15">
        <f>+J4856</f>
        <v>0</v>
      </c>
      <c r="S4857" s="16"/>
      <c r="T4857" s="15">
        <f>+E4856</f>
        <v>0</v>
      </c>
      <c r="U4857" s="26" t="str">
        <f>IFERROR(LEFT(I4856,FIND("*",I4856)-1),"-")</f>
        <v>-</v>
      </c>
      <c r="V4857" s="26" t="str">
        <f>IFERROR(RIGHT(I4856,LEN(I4856)-FIND("*",I4856)),"-")</f>
        <v>-</v>
      </c>
      <c r="W4857" s="27" t="str">
        <f t="shared" si="2644"/>
        <v>-</v>
      </c>
      <c r="X4857" s="27" t="str">
        <f>IFERROR(W4857*J4856,"-")</f>
        <v>-</v>
      </c>
      <c r="Z4857" s="94" t="s">
        <v>82</v>
      </c>
    </row>
    <row r="4858" spans="1:26" s="25" customFormat="1" ht="6.95" customHeight="1" x14ac:dyDescent="0.3">
      <c r="A4858" s="10"/>
      <c r="B4858" s="168"/>
      <c r="C4858" s="169"/>
      <c r="D4858" s="160"/>
      <c r="E4858" s="161"/>
      <c r="F4858" s="162"/>
      <c r="G4858" s="163"/>
      <c r="H4858" s="164"/>
      <c r="I4858" s="163"/>
      <c r="J4858" s="164"/>
      <c r="K4858" s="163"/>
      <c r="L4858" s="164"/>
      <c r="M4858" s="11"/>
      <c r="N4858" s="39"/>
      <c r="Q4858" s="15" t="str">
        <f>+CONCATENATE(E4856,K4856)</f>
        <v/>
      </c>
      <c r="R4858" s="15">
        <f>+L4856</f>
        <v>0</v>
      </c>
      <c r="S4858" s="16"/>
      <c r="T4858" s="15">
        <f>+E4856</f>
        <v>0</v>
      </c>
      <c r="U4858" s="26" t="str">
        <f>IFERROR(LEFT(K4856,FIND("*",K4856)-1),"-")</f>
        <v>-</v>
      </c>
      <c r="V4858" s="26" t="str">
        <f>IFERROR(RIGHT(K4856,LEN(K4856)-FIND("*",K4856)),"-")</f>
        <v>-</v>
      </c>
      <c r="W4858" s="27" t="str">
        <f t="shared" si="2644"/>
        <v>-</v>
      </c>
      <c r="X4858" s="27" t="str">
        <f>IFERROR(W4858*L4856,"-")</f>
        <v>-</v>
      </c>
      <c r="Z4858" s="94" t="s">
        <v>82</v>
      </c>
    </row>
    <row r="4859" spans="1:26" s="25" customFormat="1" ht="6.95" customHeight="1" x14ac:dyDescent="0.3">
      <c r="A4859" s="13"/>
      <c r="B4859" s="168"/>
      <c r="C4859" s="169"/>
      <c r="D4859" s="160" t="s">
        <v>39</v>
      </c>
      <c r="E4859" s="161"/>
      <c r="F4859" s="162" t="s">
        <v>40</v>
      </c>
      <c r="G4859" s="163"/>
      <c r="H4859" s="164"/>
      <c r="I4859" s="163"/>
      <c r="J4859" s="164"/>
      <c r="K4859" s="163"/>
      <c r="L4859" s="164"/>
      <c r="M4859" s="11"/>
      <c r="N4859" s="39"/>
      <c r="Q4859" s="15" t="str">
        <f>+CONCATENATE(E4859,G4859)</f>
        <v/>
      </c>
      <c r="R4859" s="15">
        <f>+H4859</f>
        <v>0</v>
      </c>
      <c r="S4859" s="16"/>
      <c r="T4859" s="15">
        <f>+E4859</f>
        <v>0</v>
      </c>
      <c r="U4859" s="26" t="str">
        <f t="shared" ref="U4859" si="2647">IFERROR(LEFT(G4859,FIND("*",G4859)-1),"-")</f>
        <v>-</v>
      </c>
      <c r="V4859" s="26" t="str">
        <f t="shared" ref="V4859" si="2648">IFERROR(RIGHT(G4859,LEN(G4859)-FIND("*",G4859)),"-")</f>
        <v>-</v>
      </c>
      <c r="W4859" s="27" t="str">
        <f t="shared" si="2644"/>
        <v>-</v>
      </c>
      <c r="X4859" s="27" t="str">
        <f>IFERROR(W4859*H4859,"-")</f>
        <v>-</v>
      </c>
      <c r="Z4859" s="94" t="s">
        <v>82</v>
      </c>
    </row>
    <row r="4860" spans="1:26" s="25" customFormat="1" ht="6.95" customHeight="1" x14ac:dyDescent="0.3">
      <c r="A4860" s="10"/>
      <c r="B4860" s="168"/>
      <c r="C4860" s="169"/>
      <c r="D4860" s="160"/>
      <c r="E4860" s="161"/>
      <c r="F4860" s="162"/>
      <c r="G4860" s="163"/>
      <c r="H4860" s="164"/>
      <c r="I4860" s="163"/>
      <c r="J4860" s="164"/>
      <c r="K4860" s="163"/>
      <c r="L4860" s="164"/>
      <c r="M4860" s="11"/>
      <c r="N4860" s="39"/>
      <c r="Q4860" s="15" t="str">
        <f>+CONCATENATE(E4859,I4859)</f>
        <v/>
      </c>
      <c r="R4860" s="15">
        <f>+J4859</f>
        <v>0</v>
      </c>
      <c r="S4860" s="16"/>
      <c r="T4860" s="15">
        <f>+E4859</f>
        <v>0</v>
      </c>
      <c r="U4860" s="26" t="str">
        <f>IFERROR(LEFT(I4859,FIND("*",I4859)-1),"-")</f>
        <v>-</v>
      </c>
      <c r="V4860" s="26" t="str">
        <f>IFERROR(RIGHT(I4859,LEN(I4859)-FIND("*",I4859)),"-")</f>
        <v>-</v>
      </c>
      <c r="W4860" s="27" t="str">
        <f t="shared" si="2644"/>
        <v>-</v>
      </c>
      <c r="X4860" s="27" t="str">
        <f t="shared" ref="X4860" si="2649">IFERROR(W4860*J4859,"-")</f>
        <v>-</v>
      </c>
      <c r="Z4860" s="94" t="s">
        <v>82</v>
      </c>
    </row>
    <row r="4861" spans="1:26" s="25" customFormat="1" ht="6.95" customHeight="1" x14ac:dyDescent="0.3">
      <c r="A4861" s="10"/>
      <c r="B4861" s="168"/>
      <c r="C4861" s="169"/>
      <c r="D4861" s="160"/>
      <c r="E4861" s="161"/>
      <c r="F4861" s="162"/>
      <c r="G4861" s="163"/>
      <c r="H4861" s="164"/>
      <c r="I4861" s="163"/>
      <c r="J4861" s="164"/>
      <c r="K4861" s="163"/>
      <c r="L4861" s="164"/>
      <c r="M4861" s="11"/>
      <c r="N4861" s="39"/>
      <c r="Q4861" s="15" t="str">
        <f>+CONCATENATE(E4859,K4859)</f>
        <v/>
      </c>
      <c r="R4861" s="15">
        <f>+L4859</f>
        <v>0</v>
      </c>
      <c r="S4861" s="16"/>
      <c r="T4861" s="15">
        <f>+E4859</f>
        <v>0</v>
      </c>
      <c r="U4861" s="26" t="str">
        <f>IFERROR(LEFT(K4859,FIND("*",K4859)-1),"-")</f>
        <v>-</v>
      </c>
      <c r="V4861" s="26" t="str">
        <f>IFERROR(RIGHT(K4859,LEN(K4859)-FIND("*",K4859)),"-")</f>
        <v>-</v>
      </c>
      <c r="W4861" s="27" t="str">
        <f t="shared" si="2644"/>
        <v>-</v>
      </c>
      <c r="X4861" s="27" t="str">
        <f>IFERROR(W4861*L4859,"-")</f>
        <v>-</v>
      </c>
      <c r="Z4861" s="94" t="s">
        <v>82</v>
      </c>
    </row>
    <row r="4862" spans="1:26" s="25" customFormat="1" ht="21" customHeight="1" thickBot="1" x14ac:dyDescent="0.35">
      <c r="A4862" s="10"/>
      <c r="B4862" s="170"/>
      <c r="C4862" s="171"/>
      <c r="D4862" s="172" t="s">
        <v>43</v>
      </c>
      <c r="E4862" s="173"/>
      <c r="F4862" s="173"/>
      <c r="G4862" s="174"/>
      <c r="H4862" s="174"/>
      <c r="I4862" s="174"/>
      <c r="J4862" s="174"/>
      <c r="K4862" s="174"/>
      <c r="L4862" s="174"/>
      <c r="M4862" s="12"/>
      <c r="N4862" s="39"/>
      <c r="U4862" s="23"/>
      <c r="V4862" s="23"/>
      <c r="Z4862" s="95" t="s">
        <v>81</v>
      </c>
    </row>
    <row r="4863" spans="1:26" s="25" customFormat="1" ht="9.9499999999999993" customHeight="1" thickBot="1" x14ac:dyDescent="0.35">
      <c r="A4863" s="6"/>
      <c r="B4863" s="14"/>
      <c r="C4863" s="119"/>
      <c r="D4863" s="58"/>
      <c r="E4863" s="17"/>
      <c r="F4863" s="58"/>
      <c r="G4863" s="19"/>
      <c r="H4863" s="19"/>
      <c r="I4863" s="19"/>
      <c r="J4863" s="19"/>
      <c r="K4863" s="19"/>
      <c r="L4863" s="19"/>
      <c r="M4863" s="14"/>
      <c r="N4863" s="39"/>
      <c r="Q4863" s="1"/>
      <c r="R4863" s="1"/>
      <c r="S4863" s="1"/>
      <c r="T4863" s="1"/>
      <c r="U4863" s="24"/>
      <c r="V4863" s="24"/>
      <c r="W4863" s="1"/>
      <c r="X4863" s="1"/>
      <c r="Z4863" s="94" t="s">
        <v>82</v>
      </c>
    </row>
    <row r="4864" spans="1:26" s="25" customFormat="1" ht="6.95" customHeight="1" x14ac:dyDescent="0.3">
      <c r="A4864" s="165">
        <f>+A4853+1</f>
        <v>443</v>
      </c>
      <c r="B4864" s="166"/>
      <c r="C4864" s="167"/>
      <c r="D4864" s="160" t="s">
        <v>39</v>
      </c>
      <c r="E4864" s="161"/>
      <c r="F4864" s="162" t="s">
        <v>40</v>
      </c>
      <c r="G4864" s="163"/>
      <c r="H4864" s="164"/>
      <c r="I4864" s="163"/>
      <c r="J4864" s="164"/>
      <c r="K4864" s="163"/>
      <c r="L4864" s="164"/>
      <c r="M4864" s="11"/>
      <c r="N4864" s="39"/>
      <c r="Q4864" s="15" t="str">
        <f>+CONCATENATE(E4864,G4864)</f>
        <v/>
      </c>
      <c r="R4864" s="15">
        <f>+H4864</f>
        <v>0</v>
      </c>
      <c r="S4864" s="16"/>
      <c r="T4864" s="15">
        <f>+E4864</f>
        <v>0</v>
      </c>
      <c r="U4864" s="26" t="str">
        <f>IFERROR(LEFT(G4864,FIND("*",G4864)-1),"-")</f>
        <v>-</v>
      </c>
      <c r="V4864" s="26" t="str">
        <f>IFERROR(RIGHT(G4864,LEN(G4864)-FIND("*",G4864)),"-")</f>
        <v>-</v>
      </c>
      <c r="W4864" s="27" t="str">
        <f>IFERROR((U4864+V4864)*2/1000,"-")</f>
        <v>-</v>
      </c>
      <c r="X4864" s="27" t="str">
        <f>IFERROR(W4864*H4864,"-")</f>
        <v>-</v>
      </c>
      <c r="Z4864" s="94" t="s">
        <v>82</v>
      </c>
    </row>
    <row r="4865" spans="1:26" s="25" customFormat="1" ht="6.95" customHeight="1" x14ac:dyDescent="0.3">
      <c r="A4865" s="165"/>
      <c r="B4865" s="168"/>
      <c r="C4865" s="169"/>
      <c r="D4865" s="160"/>
      <c r="E4865" s="161"/>
      <c r="F4865" s="162"/>
      <c r="G4865" s="163"/>
      <c r="H4865" s="164"/>
      <c r="I4865" s="163"/>
      <c r="J4865" s="164"/>
      <c r="K4865" s="163"/>
      <c r="L4865" s="164"/>
      <c r="M4865" s="11"/>
      <c r="N4865" s="39"/>
      <c r="Q4865" s="15" t="str">
        <f>+CONCATENATE(E4864,I4864)</f>
        <v/>
      </c>
      <c r="R4865" s="15">
        <f>+J4864</f>
        <v>0</v>
      </c>
      <c r="S4865" s="16"/>
      <c r="T4865" s="15">
        <f>+E4864</f>
        <v>0</v>
      </c>
      <c r="U4865" s="26" t="str">
        <f>IFERROR(LEFT(I4864,FIND("*",I4864)-1),"-")</f>
        <v>-</v>
      </c>
      <c r="V4865" s="26" t="str">
        <f>IFERROR(RIGHT(I4864,LEN(I4864)-FIND("*",I4864)),"-")</f>
        <v>-</v>
      </c>
      <c r="W4865" s="27" t="str">
        <f t="shared" ref="W4865:W4872" si="2650">IFERROR((U4865+V4865)*2/1000,"-")</f>
        <v>-</v>
      </c>
      <c r="X4865" s="27" t="str">
        <f>IFERROR(W4865*J4864,"-")</f>
        <v>-</v>
      </c>
      <c r="Z4865" s="94" t="s">
        <v>82</v>
      </c>
    </row>
    <row r="4866" spans="1:26" s="25" customFormat="1" ht="6.95" customHeight="1" x14ac:dyDescent="0.3">
      <c r="A4866" s="165"/>
      <c r="B4866" s="168"/>
      <c r="C4866" s="169"/>
      <c r="D4866" s="160"/>
      <c r="E4866" s="161"/>
      <c r="F4866" s="162"/>
      <c r="G4866" s="163"/>
      <c r="H4866" s="164"/>
      <c r="I4866" s="163"/>
      <c r="J4866" s="164"/>
      <c r="K4866" s="163"/>
      <c r="L4866" s="164"/>
      <c r="M4866" s="11"/>
      <c r="N4866" s="39"/>
      <c r="Q4866" s="15" t="str">
        <f>+CONCATENATE(E4864,K4864)</f>
        <v/>
      </c>
      <c r="R4866" s="15">
        <f>+L4864</f>
        <v>0</v>
      </c>
      <c r="S4866" s="16"/>
      <c r="T4866" s="15">
        <f>+E4864</f>
        <v>0</v>
      </c>
      <c r="U4866" s="26" t="str">
        <f>IFERROR(LEFT(K4864,FIND("*",K4864)-1),"-")</f>
        <v>-</v>
      </c>
      <c r="V4866" s="26" t="str">
        <f>IFERROR(RIGHT(K4864,LEN(K4864)-FIND("*",K4864)),"-")</f>
        <v>-</v>
      </c>
      <c r="W4866" s="27" t="str">
        <f t="shared" si="2650"/>
        <v>-</v>
      </c>
      <c r="X4866" s="27" t="str">
        <f>IFERROR(W4866*L4864,"-")</f>
        <v>-</v>
      </c>
      <c r="Z4866" s="94" t="s">
        <v>82</v>
      </c>
    </row>
    <row r="4867" spans="1:26" s="25" customFormat="1" ht="6.95" customHeight="1" x14ac:dyDescent="0.3">
      <c r="A4867" s="13"/>
      <c r="B4867" s="168"/>
      <c r="C4867" s="169"/>
      <c r="D4867" s="160" t="s">
        <v>39</v>
      </c>
      <c r="E4867" s="161"/>
      <c r="F4867" s="162" t="s">
        <v>40</v>
      </c>
      <c r="G4867" s="163"/>
      <c r="H4867" s="164"/>
      <c r="I4867" s="163"/>
      <c r="J4867" s="164"/>
      <c r="K4867" s="163"/>
      <c r="L4867" s="164"/>
      <c r="M4867" s="11"/>
      <c r="N4867" s="39"/>
      <c r="Q4867" s="15" t="str">
        <f>+CONCATENATE(E4867,G4867)</f>
        <v/>
      </c>
      <c r="R4867" s="15">
        <f>+H4867</f>
        <v>0</v>
      </c>
      <c r="S4867" s="16"/>
      <c r="T4867" s="15">
        <f>+E4867</f>
        <v>0</v>
      </c>
      <c r="U4867" s="26" t="str">
        <f t="shared" ref="U4867" si="2651">IFERROR(LEFT(G4867,FIND("*",G4867)-1),"-")</f>
        <v>-</v>
      </c>
      <c r="V4867" s="26" t="str">
        <f t="shared" ref="V4867" si="2652">IFERROR(RIGHT(G4867,LEN(G4867)-FIND("*",G4867)),"-")</f>
        <v>-</v>
      </c>
      <c r="W4867" s="27" t="str">
        <f t="shared" si="2650"/>
        <v>-</v>
      </c>
      <c r="X4867" s="27" t="str">
        <f>IFERROR(W4867*H4867,"-")</f>
        <v>-</v>
      </c>
      <c r="Z4867" s="94" t="s">
        <v>82</v>
      </c>
    </row>
    <row r="4868" spans="1:26" s="25" customFormat="1" ht="6.95" customHeight="1" x14ac:dyDescent="0.3">
      <c r="A4868" s="10"/>
      <c r="B4868" s="168"/>
      <c r="C4868" s="169"/>
      <c r="D4868" s="160"/>
      <c r="E4868" s="161"/>
      <c r="F4868" s="162"/>
      <c r="G4868" s="163"/>
      <c r="H4868" s="164"/>
      <c r="I4868" s="163"/>
      <c r="J4868" s="164"/>
      <c r="K4868" s="163"/>
      <c r="L4868" s="164"/>
      <c r="M4868" s="11"/>
      <c r="N4868" s="39"/>
      <c r="Q4868" s="15" t="str">
        <f>+CONCATENATE(E4867,I4867)</f>
        <v/>
      </c>
      <c r="R4868" s="15">
        <f>+J4867</f>
        <v>0</v>
      </c>
      <c r="S4868" s="16"/>
      <c r="T4868" s="15">
        <f>+E4867</f>
        <v>0</v>
      </c>
      <c r="U4868" s="26" t="str">
        <f>IFERROR(LEFT(I4867,FIND("*",I4867)-1),"-")</f>
        <v>-</v>
      </c>
      <c r="V4868" s="26" t="str">
        <f>IFERROR(RIGHT(I4867,LEN(I4867)-FIND("*",I4867)),"-")</f>
        <v>-</v>
      </c>
      <c r="W4868" s="27" t="str">
        <f t="shared" si="2650"/>
        <v>-</v>
      </c>
      <c r="X4868" s="27" t="str">
        <f>IFERROR(W4868*J4867,"-")</f>
        <v>-</v>
      </c>
      <c r="Z4868" s="94" t="s">
        <v>82</v>
      </c>
    </row>
    <row r="4869" spans="1:26" s="25" customFormat="1" ht="6.95" customHeight="1" x14ac:dyDescent="0.3">
      <c r="A4869" s="10"/>
      <c r="B4869" s="168"/>
      <c r="C4869" s="169"/>
      <c r="D4869" s="160"/>
      <c r="E4869" s="161"/>
      <c r="F4869" s="162"/>
      <c r="G4869" s="163"/>
      <c r="H4869" s="164"/>
      <c r="I4869" s="163"/>
      <c r="J4869" s="164"/>
      <c r="K4869" s="163"/>
      <c r="L4869" s="164"/>
      <c r="M4869" s="11"/>
      <c r="N4869" s="39"/>
      <c r="Q4869" s="15" t="str">
        <f>+CONCATENATE(E4867,K4867)</f>
        <v/>
      </c>
      <c r="R4869" s="15">
        <f>+L4867</f>
        <v>0</v>
      </c>
      <c r="S4869" s="16"/>
      <c r="T4869" s="15">
        <f>+E4867</f>
        <v>0</v>
      </c>
      <c r="U4869" s="26" t="str">
        <f>IFERROR(LEFT(K4867,FIND("*",K4867)-1),"-")</f>
        <v>-</v>
      </c>
      <c r="V4869" s="26" t="str">
        <f>IFERROR(RIGHT(K4867,LEN(K4867)-FIND("*",K4867)),"-")</f>
        <v>-</v>
      </c>
      <c r="W4869" s="27" t="str">
        <f t="shared" si="2650"/>
        <v>-</v>
      </c>
      <c r="X4869" s="27" t="str">
        <f>IFERROR(W4869*L4867,"-")</f>
        <v>-</v>
      </c>
      <c r="Z4869" s="94" t="s">
        <v>82</v>
      </c>
    </row>
    <row r="4870" spans="1:26" s="25" customFormat="1" ht="6.95" customHeight="1" x14ac:dyDescent="0.3">
      <c r="A4870" s="13"/>
      <c r="B4870" s="168"/>
      <c r="C4870" s="169"/>
      <c r="D4870" s="160" t="s">
        <v>39</v>
      </c>
      <c r="E4870" s="161"/>
      <c r="F4870" s="162" t="s">
        <v>40</v>
      </c>
      <c r="G4870" s="163"/>
      <c r="H4870" s="164"/>
      <c r="I4870" s="163"/>
      <c r="J4870" s="164"/>
      <c r="K4870" s="163"/>
      <c r="L4870" s="164"/>
      <c r="M4870" s="11"/>
      <c r="N4870" s="39"/>
      <c r="Q4870" s="15" t="str">
        <f>+CONCATENATE(E4870,G4870)</f>
        <v/>
      </c>
      <c r="R4870" s="15">
        <f>+H4870</f>
        <v>0</v>
      </c>
      <c r="S4870" s="16"/>
      <c r="T4870" s="15">
        <f>+E4870</f>
        <v>0</v>
      </c>
      <c r="U4870" s="26" t="str">
        <f t="shared" ref="U4870" si="2653">IFERROR(LEFT(G4870,FIND("*",G4870)-1),"-")</f>
        <v>-</v>
      </c>
      <c r="V4870" s="26" t="str">
        <f t="shared" ref="V4870" si="2654">IFERROR(RIGHT(G4870,LEN(G4870)-FIND("*",G4870)),"-")</f>
        <v>-</v>
      </c>
      <c r="W4870" s="27" t="str">
        <f t="shared" si="2650"/>
        <v>-</v>
      </c>
      <c r="X4870" s="27" t="str">
        <f>IFERROR(W4870*H4870,"-")</f>
        <v>-</v>
      </c>
      <c r="Z4870" s="94" t="s">
        <v>82</v>
      </c>
    </row>
    <row r="4871" spans="1:26" s="25" customFormat="1" ht="6.95" customHeight="1" x14ac:dyDescent="0.3">
      <c r="A4871" s="10"/>
      <c r="B4871" s="168"/>
      <c r="C4871" s="169"/>
      <c r="D4871" s="160"/>
      <c r="E4871" s="161"/>
      <c r="F4871" s="162"/>
      <c r="G4871" s="163"/>
      <c r="H4871" s="164"/>
      <c r="I4871" s="163"/>
      <c r="J4871" s="164"/>
      <c r="K4871" s="163"/>
      <c r="L4871" s="164"/>
      <c r="M4871" s="11"/>
      <c r="N4871" s="39"/>
      <c r="Q4871" s="15" t="str">
        <f>+CONCATENATE(E4870,I4870)</f>
        <v/>
      </c>
      <c r="R4871" s="15">
        <f>+J4870</f>
        <v>0</v>
      </c>
      <c r="S4871" s="16"/>
      <c r="T4871" s="15">
        <f>+E4870</f>
        <v>0</v>
      </c>
      <c r="U4871" s="26" t="str">
        <f>IFERROR(LEFT(I4870,FIND("*",I4870)-1),"-")</f>
        <v>-</v>
      </c>
      <c r="V4871" s="26" t="str">
        <f>IFERROR(RIGHT(I4870,LEN(I4870)-FIND("*",I4870)),"-")</f>
        <v>-</v>
      </c>
      <c r="W4871" s="27" t="str">
        <f t="shared" si="2650"/>
        <v>-</v>
      </c>
      <c r="X4871" s="27" t="str">
        <f t="shared" ref="X4871" si="2655">IFERROR(W4871*J4870,"-")</f>
        <v>-</v>
      </c>
      <c r="Z4871" s="94" t="s">
        <v>82</v>
      </c>
    </row>
    <row r="4872" spans="1:26" s="25" customFormat="1" ht="6.95" customHeight="1" x14ac:dyDescent="0.3">
      <c r="A4872" s="10"/>
      <c r="B4872" s="168"/>
      <c r="C4872" s="169"/>
      <c r="D4872" s="160"/>
      <c r="E4872" s="161"/>
      <c r="F4872" s="162"/>
      <c r="G4872" s="163"/>
      <c r="H4872" s="164"/>
      <c r="I4872" s="163"/>
      <c r="J4872" s="164"/>
      <c r="K4872" s="163"/>
      <c r="L4872" s="164"/>
      <c r="M4872" s="11"/>
      <c r="N4872" s="39"/>
      <c r="Q4872" s="15" t="str">
        <f>+CONCATENATE(E4870,K4870)</f>
        <v/>
      </c>
      <c r="R4872" s="15">
        <f>+L4870</f>
        <v>0</v>
      </c>
      <c r="S4872" s="16"/>
      <c r="T4872" s="15">
        <f>+E4870</f>
        <v>0</v>
      </c>
      <c r="U4872" s="26" t="str">
        <f>IFERROR(LEFT(K4870,FIND("*",K4870)-1),"-")</f>
        <v>-</v>
      </c>
      <c r="V4872" s="26" t="str">
        <f>IFERROR(RIGHT(K4870,LEN(K4870)-FIND("*",K4870)),"-")</f>
        <v>-</v>
      </c>
      <c r="W4872" s="27" t="str">
        <f t="shared" si="2650"/>
        <v>-</v>
      </c>
      <c r="X4872" s="27" t="str">
        <f>IFERROR(W4872*L4870,"-")</f>
        <v>-</v>
      </c>
      <c r="Z4872" s="94" t="s">
        <v>82</v>
      </c>
    </row>
    <row r="4873" spans="1:26" s="25" customFormat="1" ht="21" customHeight="1" thickBot="1" x14ac:dyDescent="0.35">
      <c r="A4873" s="10"/>
      <c r="B4873" s="170"/>
      <c r="C4873" s="171"/>
      <c r="D4873" s="172" t="s">
        <v>43</v>
      </c>
      <c r="E4873" s="173"/>
      <c r="F4873" s="173"/>
      <c r="G4873" s="174"/>
      <c r="H4873" s="174"/>
      <c r="I4873" s="174"/>
      <c r="J4873" s="174"/>
      <c r="K4873" s="174"/>
      <c r="L4873" s="174"/>
      <c r="M4873" s="12"/>
      <c r="N4873" s="39"/>
      <c r="U4873" s="23"/>
      <c r="V4873" s="23"/>
      <c r="Z4873" s="95" t="s">
        <v>81</v>
      </c>
    </row>
    <row r="4874" spans="1:26" s="25" customFormat="1" ht="9.9499999999999993" customHeight="1" thickBot="1" x14ac:dyDescent="0.35">
      <c r="A4874" s="6"/>
      <c r="B4874" s="14"/>
      <c r="C4874" s="119"/>
      <c r="D4874" s="58"/>
      <c r="E4874" s="17"/>
      <c r="F4874" s="58"/>
      <c r="G4874" s="19"/>
      <c r="H4874" s="19"/>
      <c r="I4874" s="19"/>
      <c r="J4874" s="19"/>
      <c r="K4874" s="19"/>
      <c r="L4874" s="19"/>
      <c r="M4874" s="14"/>
      <c r="N4874" s="39"/>
      <c r="Q4874" s="1"/>
      <c r="R4874" s="1"/>
      <c r="S4874" s="1"/>
      <c r="T4874" s="1"/>
      <c r="U4874" s="24"/>
      <c r="V4874" s="24"/>
      <c r="W4874" s="1"/>
      <c r="X4874" s="1"/>
      <c r="Z4874" s="94" t="s">
        <v>82</v>
      </c>
    </row>
    <row r="4875" spans="1:26" s="25" customFormat="1" ht="6.95" customHeight="1" x14ac:dyDescent="0.3">
      <c r="A4875" s="165">
        <f>+A4864+1</f>
        <v>444</v>
      </c>
      <c r="B4875" s="166"/>
      <c r="C4875" s="167"/>
      <c r="D4875" s="160" t="s">
        <v>39</v>
      </c>
      <c r="E4875" s="161"/>
      <c r="F4875" s="162" t="s">
        <v>40</v>
      </c>
      <c r="G4875" s="163"/>
      <c r="H4875" s="164"/>
      <c r="I4875" s="163"/>
      <c r="J4875" s="164"/>
      <c r="K4875" s="163"/>
      <c r="L4875" s="164"/>
      <c r="M4875" s="11"/>
      <c r="N4875" s="39"/>
      <c r="Q4875" s="15" t="str">
        <f>+CONCATENATE(E4875,G4875)</f>
        <v/>
      </c>
      <c r="R4875" s="15">
        <f>+H4875</f>
        <v>0</v>
      </c>
      <c r="S4875" s="16"/>
      <c r="T4875" s="15">
        <f>+E4875</f>
        <v>0</v>
      </c>
      <c r="U4875" s="26" t="str">
        <f>IFERROR(LEFT(G4875,FIND("*",G4875)-1),"-")</f>
        <v>-</v>
      </c>
      <c r="V4875" s="26" t="str">
        <f>IFERROR(RIGHT(G4875,LEN(G4875)-FIND("*",G4875)),"-")</f>
        <v>-</v>
      </c>
      <c r="W4875" s="27" t="str">
        <f>IFERROR((U4875+V4875)*2/1000,"-")</f>
        <v>-</v>
      </c>
      <c r="X4875" s="27" t="str">
        <f>IFERROR(W4875*H4875,"-")</f>
        <v>-</v>
      </c>
      <c r="Z4875" s="94" t="s">
        <v>82</v>
      </c>
    </row>
    <row r="4876" spans="1:26" s="25" customFormat="1" ht="6.95" customHeight="1" x14ac:dyDescent="0.3">
      <c r="A4876" s="165"/>
      <c r="B4876" s="168"/>
      <c r="C4876" s="169"/>
      <c r="D4876" s="160"/>
      <c r="E4876" s="161"/>
      <c r="F4876" s="162"/>
      <c r="G4876" s="163"/>
      <c r="H4876" s="164"/>
      <c r="I4876" s="163"/>
      <c r="J4876" s="164"/>
      <c r="K4876" s="163"/>
      <c r="L4876" s="164"/>
      <c r="M4876" s="11"/>
      <c r="N4876" s="39"/>
      <c r="Q4876" s="15" t="str">
        <f>+CONCATENATE(E4875,I4875)</f>
        <v/>
      </c>
      <c r="R4876" s="15">
        <f>+J4875</f>
        <v>0</v>
      </c>
      <c r="S4876" s="16"/>
      <c r="T4876" s="15">
        <f>+E4875</f>
        <v>0</v>
      </c>
      <c r="U4876" s="26" t="str">
        <f>IFERROR(LEFT(I4875,FIND("*",I4875)-1),"-")</f>
        <v>-</v>
      </c>
      <c r="V4876" s="26" t="str">
        <f>IFERROR(RIGHT(I4875,LEN(I4875)-FIND("*",I4875)),"-")</f>
        <v>-</v>
      </c>
      <c r="W4876" s="27" t="str">
        <f t="shared" ref="W4876:W4883" si="2656">IFERROR((U4876+V4876)*2/1000,"-")</f>
        <v>-</v>
      </c>
      <c r="X4876" s="27" t="str">
        <f>IFERROR(W4876*J4875,"-")</f>
        <v>-</v>
      </c>
      <c r="Z4876" s="94" t="s">
        <v>82</v>
      </c>
    </row>
    <row r="4877" spans="1:26" s="25" customFormat="1" ht="6.95" customHeight="1" x14ac:dyDescent="0.3">
      <c r="A4877" s="165"/>
      <c r="B4877" s="168"/>
      <c r="C4877" s="169"/>
      <c r="D4877" s="160"/>
      <c r="E4877" s="161"/>
      <c r="F4877" s="162"/>
      <c r="G4877" s="163"/>
      <c r="H4877" s="164"/>
      <c r="I4877" s="163"/>
      <c r="J4877" s="164"/>
      <c r="K4877" s="163"/>
      <c r="L4877" s="164"/>
      <c r="M4877" s="11"/>
      <c r="N4877" s="39"/>
      <c r="Q4877" s="15" t="str">
        <f>+CONCATENATE(E4875,K4875)</f>
        <v/>
      </c>
      <c r="R4877" s="15">
        <f>+L4875</f>
        <v>0</v>
      </c>
      <c r="S4877" s="16"/>
      <c r="T4877" s="15">
        <f>+E4875</f>
        <v>0</v>
      </c>
      <c r="U4877" s="26" t="str">
        <f>IFERROR(LEFT(K4875,FIND("*",K4875)-1),"-")</f>
        <v>-</v>
      </c>
      <c r="V4877" s="26" t="str">
        <f>IFERROR(RIGHT(K4875,LEN(K4875)-FIND("*",K4875)),"-")</f>
        <v>-</v>
      </c>
      <c r="W4877" s="27" t="str">
        <f t="shared" si="2656"/>
        <v>-</v>
      </c>
      <c r="X4877" s="27" t="str">
        <f>IFERROR(W4877*L4875,"-")</f>
        <v>-</v>
      </c>
      <c r="Z4877" s="94" t="s">
        <v>82</v>
      </c>
    </row>
    <row r="4878" spans="1:26" s="25" customFormat="1" ht="6.95" customHeight="1" x14ac:dyDescent="0.3">
      <c r="A4878" s="13"/>
      <c r="B4878" s="168"/>
      <c r="C4878" s="169"/>
      <c r="D4878" s="160" t="s">
        <v>39</v>
      </c>
      <c r="E4878" s="161"/>
      <c r="F4878" s="162" t="s">
        <v>40</v>
      </c>
      <c r="G4878" s="163"/>
      <c r="H4878" s="164"/>
      <c r="I4878" s="163"/>
      <c r="J4878" s="164"/>
      <c r="K4878" s="163"/>
      <c r="L4878" s="164"/>
      <c r="M4878" s="11"/>
      <c r="N4878" s="39"/>
      <c r="Q4878" s="15" t="str">
        <f>+CONCATENATE(E4878,G4878)</f>
        <v/>
      </c>
      <c r="R4878" s="15">
        <f>+H4878</f>
        <v>0</v>
      </c>
      <c r="S4878" s="16"/>
      <c r="T4878" s="15">
        <f>+E4878</f>
        <v>0</v>
      </c>
      <c r="U4878" s="26" t="str">
        <f t="shared" ref="U4878" si="2657">IFERROR(LEFT(G4878,FIND("*",G4878)-1),"-")</f>
        <v>-</v>
      </c>
      <c r="V4878" s="26" t="str">
        <f t="shared" ref="V4878" si="2658">IFERROR(RIGHT(G4878,LEN(G4878)-FIND("*",G4878)),"-")</f>
        <v>-</v>
      </c>
      <c r="W4878" s="27" t="str">
        <f t="shared" si="2656"/>
        <v>-</v>
      </c>
      <c r="X4878" s="27" t="str">
        <f>IFERROR(W4878*H4878,"-")</f>
        <v>-</v>
      </c>
      <c r="Z4878" s="94" t="s">
        <v>82</v>
      </c>
    </row>
    <row r="4879" spans="1:26" s="25" customFormat="1" ht="6.95" customHeight="1" x14ac:dyDescent="0.3">
      <c r="A4879" s="10"/>
      <c r="B4879" s="168"/>
      <c r="C4879" s="169"/>
      <c r="D4879" s="160"/>
      <c r="E4879" s="161"/>
      <c r="F4879" s="162"/>
      <c r="G4879" s="163"/>
      <c r="H4879" s="164"/>
      <c r="I4879" s="163"/>
      <c r="J4879" s="164"/>
      <c r="K4879" s="163"/>
      <c r="L4879" s="164"/>
      <c r="M4879" s="11"/>
      <c r="N4879" s="39"/>
      <c r="Q4879" s="15" t="str">
        <f>+CONCATENATE(E4878,I4878)</f>
        <v/>
      </c>
      <c r="R4879" s="15">
        <f>+J4878</f>
        <v>0</v>
      </c>
      <c r="S4879" s="16"/>
      <c r="T4879" s="15">
        <f>+E4878</f>
        <v>0</v>
      </c>
      <c r="U4879" s="26" t="str">
        <f>IFERROR(LEFT(I4878,FIND("*",I4878)-1),"-")</f>
        <v>-</v>
      </c>
      <c r="V4879" s="26" t="str">
        <f>IFERROR(RIGHT(I4878,LEN(I4878)-FIND("*",I4878)),"-")</f>
        <v>-</v>
      </c>
      <c r="W4879" s="27" t="str">
        <f t="shared" si="2656"/>
        <v>-</v>
      </c>
      <c r="X4879" s="27" t="str">
        <f>IFERROR(W4879*J4878,"-")</f>
        <v>-</v>
      </c>
      <c r="Z4879" s="94" t="s">
        <v>82</v>
      </c>
    </row>
    <row r="4880" spans="1:26" s="25" customFormat="1" ht="6.95" customHeight="1" x14ac:dyDescent="0.3">
      <c r="A4880" s="10"/>
      <c r="B4880" s="168"/>
      <c r="C4880" s="169"/>
      <c r="D4880" s="160"/>
      <c r="E4880" s="161"/>
      <c r="F4880" s="162"/>
      <c r="G4880" s="163"/>
      <c r="H4880" s="164"/>
      <c r="I4880" s="163"/>
      <c r="J4880" s="164"/>
      <c r="K4880" s="163"/>
      <c r="L4880" s="164"/>
      <c r="M4880" s="11"/>
      <c r="N4880" s="39"/>
      <c r="Q4880" s="15" t="str">
        <f>+CONCATENATE(E4878,K4878)</f>
        <v/>
      </c>
      <c r="R4880" s="15">
        <f>+L4878</f>
        <v>0</v>
      </c>
      <c r="S4880" s="16"/>
      <c r="T4880" s="15">
        <f>+E4878</f>
        <v>0</v>
      </c>
      <c r="U4880" s="26" t="str">
        <f>IFERROR(LEFT(K4878,FIND("*",K4878)-1),"-")</f>
        <v>-</v>
      </c>
      <c r="V4880" s="26" t="str">
        <f>IFERROR(RIGHT(K4878,LEN(K4878)-FIND("*",K4878)),"-")</f>
        <v>-</v>
      </c>
      <c r="W4880" s="27" t="str">
        <f t="shared" si="2656"/>
        <v>-</v>
      </c>
      <c r="X4880" s="27" t="str">
        <f>IFERROR(W4880*L4878,"-")</f>
        <v>-</v>
      </c>
      <c r="Z4880" s="94" t="s">
        <v>82</v>
      </c>
    </row>
    <row r="4881" spans="1:26" s="25" customFormat="1" ht="6.95" customHeight="1" x14ac:dyDescent="0.3">
      <c r="A4881" s="13"/>
      <c r="B4881" s="168"/>
      <c r="C4881" s="169"/>
      <c r="D4881" s="160" t="s">
        <v>39</v>
      </c>
      <c r="E4881" s="161"/>
      <c r="F4881" s="162" t="s">
        <v>40</v>
      </c>
      <c r="G4881" s="163"/>
      <c r="H4881" s="164"/>
      <c r="I4881" s="163"/>
      <c r="J4881" s="164"/>
      <c r="K4881" s="163"/>
      <c r="L4881" s="164"/>
      <c r="M4881" s="11"/>
      <c r="N4881" s="39"/>
      <c r="Q4881" s="15" t="str">
        <f>+CONCATENATE(E4881,G4881)</f>
        <v/>
      </c>
      <c r="R4881" s="15">
        <f>+H4881</f>
        <v>0</v>
      </c>
      <c r="S4881" s="16"/>
      <c r="T4881" s="15">
        <f>+E4881</f>
        <v>0</v>
      </c>
      <c r="U4881" s="26" t="str">
        <f t="shared" ref="U4881" si="2659">IFERROR(LEFT(G4881,FIND("*",G4881)-1),"-")</f>
        <v>-</v>
      </c>
      <c r="V4881" s="26" t="str">
        <f t="shared" ref="V4881" si="2660">IFERROR(RIGHT(G4881,LEN(G4881)-FIND("*",G4881)),"-")</f>
        <v>-</v>
      </c>
      <c r="W4881" s="27" t="str">
        <f t="shared" si="2656"/>
        <v>-</v>
      </c>
      <c r="X4881" s="27" t="str">
        <f>IFERROR(W4881*H4881,"-")</f>
        <v>-</v>
      </c>
      <c r="Z4881" s="94" t="s">
        <v>82</v>
      </c>
    </row>
    <row r="4882" spans="1:26" s="25" customFormat="1" ht="6.95" customHeight="1" x14ac:dyDescent="0.3">
      <c r="A4882" s="10"/>
      <c r="B4882" s="168"/>
      <c r="C4882" s="169"/>
      <c r="D4882" s="160"/>
      <c r="E4882" s="161"/>
      <c r="F4882" s="162"/>
      <c r="G4882" s="163"/>
      <c r="H4882" s="164"/>
      <c r="I4882" s="163"/>
      <c r="J4882" s="164"/>
      <c r="K4882" s="163"/>
      <c r="L4882" s="164"/>
      <c r="M4882" s="11"/>
      <c r="N4882" s="39"/>
      <c r="Q4882" s="15" t="str">
        <f>+CONCATENATE(E4881,I4881)</f>
        <v/>
      </c>
      <c r="R4882" s="15">
        <f>+J4881</f>
        <v>0</v>
      </c>
      <c r="S4882" s="16"/>
      <c r="T4882" s="15">
        <f>+E4881</f>
        <v>0</v>
      </c>
      <c r="U4882" s="26" t="str">
        <f>IFERROR(LEFT(I4881,FIND("*",I4881)-1),"-")</f>
        <v>-</v>
      </c>
      <c r="V4882" s="26" t="str">
        <f>IFERROR(RIGHT(I4881,LEN(I4881)-FIND("*",I4881)),"-")</f>
        <v>-</v>
      </c>
      <c r="W4882" s="27" t="str">
        <f t="shared" si="2656"/>
        <v>-</v>
      </c>
      <c r="X4882" s="27" t="str">
        <f t="shared" ref="X4882" si="2661">IFERROR(W4882*J4881,"-")</f>
        <v>-</v>
      </c>
      <c r="Z4882" s="94" t="s">
        <v>82</v>
      </c>
    </row>
    <row r="4883" spans="1:26" s="25" customFormat="1" ht="6.95" customHeight="1" x14ac:dyDescent="0.3">
      <c r="A4883" s="10"/>
      <c r="B4883" s="168"/>
      <c r="C4883" s="169"/>
      <c r="D4883" s="160"/>
      <c r="E4883" s="161"/>
      <c r="F4883" s="162"/>
      <c r="G4883" s="163"/>
      <c r="H4883" s="164"/>
      <c r="I4883" s="163"/>
      <c r="J4883" s="164"/>
      <c r="K4883" s="163"/>
      <c r="L4883" s="164"/>
      <c r="M4883" s="11"/>
      <c r="N4883" s="39"/>
      <c r="Q4883" s="15" t="str">
        <f>+CONCATENATE(E4881,K4881)</f>
        <v/>
      </c>
      <c r="R4883" s="15">
        <f>+L4881</f>
        <v>0</v>
      </c>
      <c r="S4883" s="16"/>
      <c r="T4883" s="15">
        <f>+E4881</f>
        <v>0</v>
      </c>
      <c r="U4883" s="26" t="str">
        <f>IFERROR(LEFT(K4881,FIND("*",K4881)-1),"-")</f>
        <v>-</v>
      </c>
      <c r="V4883" s="26" t="str">
        <f>IFERROR(RIGHT(K4881,LEN(K4881)-FIND("*",K4881)),"-")</f>
        <v>-</v>
      </c>
      <c r="W4883" s="27" t="str">
        <f t="shared" si="2656"/>
        <v>-</v>
      </c>
      <c r="X4883" s="27" t="str">
        <f>IFERROR(W4883*L4881,"-")</f>
        <v>-</v>
      </c>
      <c r="Z4883" s="94" t="s">
        <v>82</v>
      </c>
    </row>
    <row r="4884" spans="1:26" s="25" customFormat="1" ht="21" customHeight="1" thickBot="1" x14ac:dyDescent="0.35">
      <c r="A4884" s="10"/>
      <c r="B4884" s="170"/>
      <c r="C4884" s="171"/>
      <c r="D4884" s="172" t="s">
        <v>43</v>
      </c>
      <c r="E4884" s="173"/>
      <c r="F4884" s="173"/>
      <c r="G4884" s="174"/>
      <c r="H4884" s="174"/>
      <c r="I4884" s="174"/>
      <c r="J4884" s="174"/>
      <c r="K4884" s="174"/>
      <c r="L4884" s="174"/>
      <c r="M4884" s="12"/>
      <c r="N4884" s="39"/>
      <c r="U4884" s="23"/>
      <c r="V4884" s="23"/>
      <c r="Z4884" s="95" t="s">
        <v>81</v>
      </c>
    </row>
    <row r="4885" spans="1:26" s="25" customFormat="1" ht="9.9499999999999993" customHeight="1" thickBot="1" x14ac:dyDescent="0.35">
      <c r="A4885" s="6"/>
      <c r="B4885" s="14"/>
      <c r="C4885" s="119"/>
      <c r="D4885" s="58"/>
      <c r="E4885" s="17"/>
      <c r="F4885" s="58"/>
      <c r="G4885" s="19"/>
      <c r="H4885" s="19"/>
      <c r="I4885" s="19"/>
      <c r="J4885" s="19"/>
      <c r="K4885" s="19"/>
      <c r="L4885" s="19"/>
      <c r="M4885" s="14"/>
      <c r="N4885" s="39"/>
      <c r="Q4885" s="1"/>
      <c r="R4885" s="1"/>
      <c r="S4885" s="1"/>
      <c r="T4885" s="1"/>
      <c r="U4885" s="24"/>
      <c r="V4885" s="24"/>
      <c r="W4885" s="1"/>
      <c r="X4885" s="1"/>
      <c r="Z4885" s="94" t="s">
        <v>82</v>
      </c>
    </row>
    <row r="4886" spans="1:26" s="25" customFormat="1" ht="6.95" customHeight="1" x14ac:dyDescent="0.3">
      <c r="A4886" s="165">
        <f>+A4875+1</f>
        <v>445</v>
      </c>
      <c r="B4886" s="166"/>
      <c r="C4886" s="167"/>
      <c r="D4886" s="160" t="s">
        <v>39</v>
      </c>
      <c r="E4886" s="161"/>
      <c r="F4886" s="162" t="s">
        <v>40</v>
      </c>
      <c r="G4886" s="163"/>
      <c r="H4886" s="164"/>
      <c r="I4886" s="163"/>
      <c r="J4886" s="164"/>
      <c r="K4886" s="163"/>
      <c r="L4886" s="164"/>
      <c r="M4886" s="11"/>
      <c r="N4886" s="39"/>
      <c r="Q4886" s="15" t="str">
        <f>+CONCATENATE(E4886,G4886)</f>
        <v/>
      </c>
      <c r="R4886" s="15">
        <f>+H4886</f>
        <v>0</v>
      </c>
      <c r="S4886" s="16"/>
      <c r="T4886" s="15">
        <f>+E4886</f>
        <v>0</v>
      </c>
      <c r="U4886" s="26" t="str">
        <f>IFERROR(LEFT(G4886,FIND("*",G4886)-1),"-")</f>
        <v>-</v>
      </c>
      <c r="V4886" s="26" t="str">
        <f>IFERROR(RIGHT(G4886,LEN(G4886)-FIND("*",G4886)),"-")</f>
        <v>-</v>
      </c>
      <c r="W4886" s="27" t="str">
        <f>IFERROR((U4886+V4886)*2/1000,"-")</f>
        <v>-</v>
      </c>
      <c r="X4886" s="27" t="str">
        <f>IFERROR(W4886*H4886,"-")</f>
        <v>-</v>
      </c>
      <c r="Z4886" s="94" t="s">
        <v>82</v>
      </c>
    </row>
    <row r="4887" spans="1:26" s="25" customFormat="1" ht="6.95" customHeight="1" x14ac:dyDescent="0.3">
      <c r="A4887" s="165"/>
      <c r="B4887" s="168"/>
      <c r="C4887" s="169"/>
      <c r="D4887" s="160"/>
      <c r="E4887" s="161"/>
      <c r="F4887" s="162"/>
      <c r="G4887" s="163"/>
      <c r="H4887" s="164"/>
      <c r="I4887" s="163"/>
      <c r="J4887" s="164"/>
      <c r="K4887" s="163"/>
      <c r="L4887" s="164"/>
      <c r="M4887" s="11"/>
      <c r="N4887" s="39"/>
      <c r="Q4887" s="15" t="str">
        <f>+CONCATENATE(E4886,I4886)</f>
        <v/>
      </c>
      <c r="R4887" s="15">
        <f>+J4886</f>
        <v>0</v>
      </c>
      <c r="S4887" s="16"/>
      <c r="T4887" s="15">
        <f>+E4886</f>
        <v>0</v>
      </c>
      <c r="U4887" s="26" t="str">
        <f>IFERROR(LEFT(I4886,FIND("*",I4886)-1),"-")</f>
        <v>-</v>
      </c>
      <c r="V4887" s="26" t="str">
        <f>IFERROR(RIGHT(I4886,LEN(I4886)-FIND("*",I4886)),"-")</f>
        <v>-</v>
      </c>
      <c r="W4887" s="27" t="str">
        <f t="shared" ref="W4887:W4894" si="2662">IFERROR((U4887+V4887)*2/1000,"-")</f>
        <v>-</v>
      </c>
      <c r="X4887" s="27" t="str">
        <f>IFERROR(W4887*J4886,"-")</f>
        <v>-</v>
      </c>
      <c r="Z4887" s="94" t="s">
        <v>82</v>
      </c>
    </row>
    <row r="4888" spans="1:26" s="25" customFormat="1" ht="6.95" customHeight="1" x14ac:dyDescent="0.3">
      <c r="A4888" s="165"/>
      <c r="B4888" s="168"/>
      <c r="C4888" s="169"/>
      <c r="D4888" s="160"/>
      <c r="E4888" s="161"/>
      <c r="F4888" s="162"/>
      <c r="G4888" s="163"/>
      <c r="H4888" s="164"/>
      <c r="I4888" s="163"/>
      <c r="J4888" s="164"/>
      <c r="K4888" s="163"/>
      <c r="L4888" s="164"/>
      <c r="M4888" s="11"/>
      <c r="N4888" s="39"/>
      <c r="Q4888" s="15" t="str">
        <f>+CONCATENATE(E4886,K4886)</f>
        <v/>
      </c>
      <c r="R4888" s="15">
        <f>+L4886</f>
        <v>0</v>
      </c>
      <c r="S4888" s="16"/>
      <c r="T4888" s="15">
        <f>+E4886</f>
        <v>0</v>
      </c>
      <c r="U4888" s="26" t="str">
        <f>IFERROR(LEFT(K4886,FIND("*",K4886)-1),"-")</f>
        <v>-</v>
      </c>
      <c r="V4888" s="26" t="str">
        <f>IFERROR(RIGHT(K4886,LEN(K4886)-FIND("*",K4886)),"-")</f>
        <v>-</v>
      </c>
      <c r="W4888" s="27" t="str">
        <f t="shared" si="2662"/>
        <v>-</v>
      </c>
      <c r="X4888" s="27" t="str">
        <f>IFERROR(W4888*L4886,"-")</f>
        <v>-</v>
      </c>
      <c r="Z4888" s="94" t="s">
        <v>82</v>
      </c>
    </row>
    <row r="4889" spans="1:26" s="25" customFormat="1" ht="6.95" customHeight="1" x14ac:dyDescent="0.3">
      <c r="A4889" s="13"/>
      <c r="B4889" s="168"/>
      <c r="C4889" s="169"/>
      <c r="D4889" s="160" t="s">
        <v>39</v>
      </c>
      <c r="E4889" s="161"/>
      <c r="F4889" s="162" t="s">
        <v>40</v>
      </c>
      <c r="G4889" s="163"/>
      <c r="H4889" s="164"/>
      <c r="I4889" s="163"/>
      <c r="J4889" s="164"/>
      <c r="K4889" s="163"/>
      <c r="L4889" s="164"/>
      <c r="M4889" s="11"/>
      <c r="N4889" s="39"/>
      <c r="Q4889" s="15" t="str">
        <f>+CONCATENATE(E4889,G4889)</f>
        <v/>
      </c>
      <c r="R4889" s="15">
        <f>+H4889</f>
        <v>0</v>
      </c>
      <c r="S4889" s="16"/>
      <c r="T4889" s="15">
        <f>+E4889</f>
        <v>0</v>
      </c>
      <c r="U4889" s="26" t="str">
        <f t="shared" ref="U4889" si="2663">IFERROR(LEFT(G4889,FIND("*",G4889)-1),"-")</f>
        <v>-</v>
      </c>
      <c r="V4889" s="26" t="str">
        <f t="shared" ref="V4889" si="2664">IFERROR(RIGHT(G4889,LEN(G4889)-FIND("*",G4889)),"-")</f>
        <v>-</v>
      </c>
      <c r="W4889" s="27" t="str">
        <f t="shared" si="2662"/>
        <v>-</v>
      </c>
      <c r="X4889" s="27" t="str">
        <f>IFERROR(W4889*H4889,"-")</f>
        <v>-</v>
      </c>
      <c r="Z4889" s="94" t="s">
        <v>82</v>
      </c>
    </row>
    <row r="4890" spans="1:26" s="25" customFormat="1" ht="6.95" customHeight="1" x14ac:dyDescent="0.3">
      <c r="A4890" s="10"/>
      <c r="B4890" s="168"/>
      <c r="C4890" s="169"/>
      <c r="D4890" s="160"/>
      <c r="E4890" s="161"/>
      <c r="F4890" s="162"/>
      <c r="G4890" s="163"/>
      <c r="H4890" s="164"/>
      <c r="I4890" s="163"/>
      <c r="J4890" s="164"/>
      <c r="K4890" s="163"/>
      <c r="L4890" s="164"/>
      <c r="M4890" s="11"/>
      <c r="N4890" s="39"/>
      <c r="Q4890" s="15" t="str">
        <f>+CONCATENATE(E4889,I4889)</f>
        <v/>
      </c>
      <c r="R4890" s="15">
        <f>+J4889</f>
        <v>0</v>
      </c>
      <c r="S4890" s="16"/>
      <c r="T4890" s="15">
        <f>+E4889</f>
        <v>0</v>
      </c>
      <c r="U4890" s="26" t="str">
        <f>IFERROR(LEFT(I4889,FIND("*",I4889)-1),"-")</f>
        <v>-</v>
      </c>
      <c r="V4890" s="26" t="str">
        <f>IFERROR(RIGHT(I4889,LEN(I4889)-FIND("*",I4889)),"-")</f>
        <v>-</v>
      </c>
      <c r="W4890" s="27" t="str">
        <f t="shared" si="2662"/>
        <v>-</v>
      </c>
      <c r="X4890" s="27" t="str">
        <f>IFERROR(W4890*J4889,"-")</f>
        <v>-</v>
      </c>
      <c r="Z4890" s="94" t="s">
        <v>82</v>
      </c>
    </row>
    <row r="4891" spans="1:26" s="25" customFormat="1" ht="6.95" customHeight="1" x14ac:dyDescent="0.3">
      <c r="A4891" s="10"/>
      <c r="B4891" s="168"/>
      <c r="C4891" s="169"/>
      <c r="D4891" s="160"/>
      <c r="E4891" s="161"/>
      <c r="F4891" s="162"/>
      <c r="G4891" s="163"/>
      <c r="H4891" s="164"/>
      <c r="I4891" s="163"/>
      <c r="J4891" s="164"/>
      <c r="K4891" s="163"/>
      <c r="L4891" s="164"/>
      <c r="M4891" s="11"/>
      <c r="N4891" s="39"/>
      <c r="Q4891" s="15" t="str">
        <f>+CONCATENATE(E4889,K4889)</f>
        <v/>
      </c>
      <c r="R4891" s="15">
        <f>+L4889</f>
        <v>0</v>
      </c>
      <c r="S4891" s="16"/>
      <c r="T4891" s="15">
        <f>+E4889</f>
        <v>0</v>
      </c>
      <c r="U4891" s="26" t="str">
        <f>IFERROR(LEFT(K4889,FIND("*",K4889)-1),"-")</f>
        <v>-</v>
      </c>
      <c r="V4891" s="26" t="str">
        <f>IFERROR(RIGHT(K4889,LEN(K4889)-FIND("*",K4889)),"-")</f>
        <v>-</v>
      </c>
      <c r="W4891" s="27" t="str">
        <f t="shared" si="2662"/>
        <v>-</v>
      </c>
      <c r="X4891" s="27" t="str">
        <f>IFERROR(W4891*L4889,"-")</f>
        <v>-</v>
      </c>
      <c r="Z4891" s="94" t="s">
        <v>82</v>
      </c>
    </row>
    <row r="4892" spans="1:26" s="25" customFormat="1" ht="6.95" customHeight="1" x14ac:dyDescent="0.3">
      <c r="A4892" s="13"/>
      <c r="B4892" s="168"/>
      <c r="C4892" s="169"/>
      <c r="D4892" s="160" t="s">
        <v>39</v>
      </c>
      <c r="E4892" s="161"/>
      <c r="F4892" s="162" t="s">
        <v>40</v>
      </c>
      <c r="G4892" s="163"/>
      <c r="H4892" s="164"/>
      <c r="I4892" s="163"/>
      <c r="J4892" s="164"/>
      <c r="K4892" s="163"/>
      <c r="L4892" s="164"/>
      <c r="M4892" s="11"/>
      <c r="N4892" s="39"/>
      <c r="Q4892" s="15" t="str">
        <f>+CONCATENATE(E4892,G4892)</f>
        <v/>
      </c>
      <c r="R4892" s="15">
        <f>+H4892</f>
        <v>0</v>
      </c>
      <c r="S4892" s="16"/>
      <c r="T4892" s="15">
        <f>+E4892</f>
        <v>0</v>
      </c>
      <c r="U4892" s="26" t="str">
        <f t="shared" ref="U4892" si="2665">IFERROR(LEFT(G4892,FIND("*",G4892)-1),"-")</f>
        <v>-</v>
      </c>
      <c r="V4892" s="26" t="str">
        <f t="shared" ref="V4892" si="2666">IFERROR(RIGHT(G4892,LEN(G4892)-FIND("*",G4892)),"-")</f>
        <v>-</v>
      </c>
      <c r="W4892" s="27" t="str">
        <f t="shared" si="2662"/>
        <v>-</v>
      </c>
      <c r="X4892" s="27" t="str">
        <f>IFERROR(W4892*H4892,"-")</f>
        <v>-</v>
      </c>
      <c r="Z4892" s="94" t="s">
        <v>82</v>
      </c>
    </row>
    <row r="4893" spans="1:26" s="25" customFormat="1" ht="6.95" customHeight="1" x14ac:dyDescent="0.3">
      <c r="A4893" s="10"/>
      <c r="B4893" s="168"/>
      <c r="C4893" s="169"/>
      <c r="D4893" s="160"/>
      <c r="E4893" s="161"/>
      <c r="F4893" s="162"/>
      <c r="G4893" s="163"/>
      <c r="H4893" s="164"/>
      <c r="I4893" s="163"/>
      <c r="J4893" s="164"/>
      <c r="K4893" s="163"/>
      <c r="L4893" s="164"/>
      <c r="M4893" s="11"/>
      <c r="N4893" s="39"/>
      <c r="Q4893" s="15" t="str">
        <f>+CONCATENATE(E4892,I4892)</f>
        <v/>
      </c>
      <c r="R4893" s="15">
        <f>+J4892</f>
        <v>0</v>
      </c>
      <c r="S4893" s="16"/>
      <c r="T4893" s="15">
        <f>+E4892</f>
        <v>0</v>
      </c>
      <c r="U4893" s="26" t="str">
        <f>IFERROR(LEFT(I4892,FIND("*",I4892)-1),"-")</f>
        <v>-</v>
      </c>
      <c r="V4893" s="26" t="str">
        <f>IFERROR(RIGHT(I4892,LEN(I4892)-FIND("*",I4892)),"-")</f>
        <v>-</v>
      </c>
      <c r="W4893" s="27" t="str">
        <f t="shared" si="2662"/>
        <v>-</v>
      </c>
      <c r="X4893" s="27" t="str">
        <f t="shared" ref="X4893" si="2667">IFERROR(W4893*J4892,"-")</f>
        <v>-</v>
      </c>
      <c r="Z4893" s="94" t="s">
        <v>82</v>
      </c>
    </row>
    <row r="4894" spans="1:26" s="25" customFormat="1" ht="6.95" customHeight="1" x14ac:dyDescent="0.3">
      <c r="A4894" s="10"/>
      <c r="B4894" s="168"/>
      <c r="C4894" s="169"/>
      <c r="D4894" s="160"/>
      <c r="E4894" s="161"/>
      <c r="F4894" s="162"/>
      <c r="G4894" s="163"/>
      <c r="H4894" s="164"/>
      <c r="I4894" s="163"/>
      <c r="J4894" s="164"/>
      <c r="K4894" s="163"/>
      <c r="L4894" s="164"/>
      <c r="M4894" s="11"/>
      <c r="N4894" s="39"/>
      <c r="Q4894" s="15" t="str">
        <f>+CONCATENATE(E4892,K4892)</f>
        <v/>
      </c>
      <c r="R4894" s="15">
        <f>+L4892</f>
        <v>0</v>
      </c>
      <c r="S4894" s="16"/>
      <c r="T4894" s="15">
        <f>+E4892</f>
        <v>0</v>
      </c>
      <c r="U4894" s="26" t="str">
        <f>IFERROR(LEFT(K4892,FIND("*",K4892)-1),"-")</f>
        <v>-</v>
      </c>
      <c r="V4894" s="26" t="str">
        <f>IFERROR(RIGHT(K4892,LEN(K4892)-FIND("*",K4892)),"-")</f>
        <v>-</v>
      </c>
      <c r="W4894" s="27" t="str">
        <f t="shared" si="2662"/>
        <v>-</v>
      </c>
      <c r="X4894" s="27" t="str">
        <f>IFERROR(W4894*L4892,"-")</f>
        <v>-</v>
      </c>
      <c r="Z4894" s="94" t="s">
        <v>82</v>
      </c>
    </row>
    <row r="4895" spans="1:26" s="25" customFormat="1" ht="21" customHeight="1" thickBot="1" x14ac:dyDescent="0.35">
      <c r="A4895" s="10"/>
      <c r="B4895" s="170"/>
      <c r="C4895" s="171"/>
      <c r="D4895" s="172" t="s">
        <v>43</v>
      </c>
      <c r="E4895" s="173"/>
      <c r="F4895" s="173"/>
      <c r="G4895" s="174"/>
      <c r="H4895" s="174"/>
      <c r="I4895" s="174"/>
      <c r="J4895" s="174"/>
      <c r="K4895" s="174"/>
      <c r="L4895" s="174"/>
      <c r="M4895" s="12"/>
      <c r="N4895" s="39"/>
      <c r="U4895" s="23"/>
      <c r="V4895" s="23"/>
      <c r="Z4895" s="95" t="s">
        <v>81</v>
      </c>
    </row>
    <row r="4896" spans="1:26" s="25" customFormat="1" ht="9.9499999999999993" customHeight="1" thickBot="1" x14ac:dyDescent="0.35">
      <c r="A4896" s="6"/>
      <c r="B4896" s="14"/>
      <c r="C4896" s="119"/>
      <c r="D4896" s="58"/>
      <c r="E4896" s="17"/>
      <c r="F4896" s="58"/>
      <c r="G4896" s="19"/>
      <c r="H4896" s="19"/>
      <c r="I4896" s="19"/>
      <c r="J4896" s="19"/>
      <c r="K4896" s="19"/>
      <c r="L4896" s="19"/>
      <c r="M4896" s="14"/>
      <c r="N4896" s="39"/>
      <c r="Q4896" s="1"/>
      <c r="R4896" s="1"/>
      <c r="S4896" s="1"/>
      <c r="T4896" s="1"/>
      <c r="U4896" s="24"/>
      <c r="V4896" s="24"/>
      <c r="W4896" s="1"/>
      <c r="X4896" s="1"/>
      <c r="Z4896" s="94" t="s">
        <v>82</v>
      </c>
    </row>
    <row r="4897" spans="1:26" s="25" customFormat="1" ht="6.95" customHeight="1" x14ac:dyDescent="0.3">
      <c r="A4897" s="165">
        <f>+A4886+1</f>
        <v>446</v>
      </c>
      <c r="B4897" s="166"/>
      <c r="C4897" s="167"/>
      <c r="D4897" s="160" t="s">
        <v>39</v>
      </c>
      <c r="E4897" s="161"/>
      <c r="F4897" s="162" t="s">
        <v>40</v>
      </c>
      <c r="G4897" s="163"/>
      <c r="H4897" s="164"/>
      <c r="I4897" s="163"/>
      <c r="J4897" s="164"/>
      <c r="K4897" s="163"/>
      <c r="L4897" s="164"/>
      <c r="M4897" s="11"/>
      <c r="N4897" s="39"/>
      <c r="Q4897" s="15" t="str">
        <f>+CONCATENATE(E4897,G4897)</f>
        <v/>
      </c>
      <c r="R4897" s="15">
        <f>+H4897</f>
        <v>0</v>
      </c>
      <c r="S4897" s="16"/>
      <c r="T4897" s="15">
        <f>+E4897</f>
        <v>0</v>
      </c>
      <c r="U4897" s="26" t="str">
        <f>IFERROR(LEFT(G4897,FIND("*",G4897)-1),"-")</f>
        <v>-</v>
      </c>
      <c r="V4897" s="26" t="str">
        <f>IFERROR(RIGHT(G4897,LEN(G4897)-FIND("*",G4897)),"-")</f>
        <v>-</v>
      </c>
      <c r="W4897" s="27" t="str">
        <f>IFERROR((U4897+V4897)*2/1000,"-")</f>
        <v>-</v>
      </c>
      <c r="X4897" s="27" t="str">
        <f>IFERROR(W4897*H4897,"-")</f>
        <v>-</v>
      </c>
      <c r="Z4897" s="94" t="s">
        <v>82</v>
      </c>
    </row>
    <row r="4898" spans="1:26" s="25" customFormat="1" ht="6.95" customHeight="1" x14ac:dyDescent="0.3">
      <c r="A4898" s="165"/>
      <c r="B4898" s="168"/>
      <c r="C4898" s="169"/>
      <c r="D4898" s="160"/>
      <c r="E4898" s="161"/>
      <c r="F4898" s="162"/>
      <c r="G4898" s="163"/>
      <c r="H4898" s="164"/>
      <c r="I4898" s="163"/>
      <c r="J4898" s="164"/>
      <c r="K4898" s="163"/>
      <c r="L4898" s="164"/>
      <c r="M4898" s="11"/>
      <c r="N4898" s="39"/>
      <c r="Q4898" s="15" t="str">
        <f>+CONCATENATE(E4897,I4897)</f>
        <v/>
      </c>
      <c r="R4898" s="15">
        <f>+J4897</f>
        <v>0</v>
      </c>
      <c r="S4898" s="16"/>
      <c r="T4898" s="15">
        <f>+E4897</f>
        <v>0</v>
      </c>
      <c r="U4898" s="26" t="str">
        <f>IFERROR(LEFT(I4897,FIND("*",I4897)-1),"-")</f>
        <v>-</v>
      </c>
      <c r="V4898" s="26" t="str">
        <f>IFERROR(RIGHT(I4897,LEN(I4897)-FIND("*",I4897)),"-")</f>
        <v>-</v>
      </c>
      <c r="W4898" s="27" t="str">
        <f t="shared" ref="W4898:W4905" si="2668">IFERROR((U4898+V4898)*2/1000,"-")</f>
        <v>-</v>
      </c>
      <c r="X4898" s="27" t="str">
        <f>IFERROR(W4898*J4897,"-")</f>
        <v>-</v>
      </c>
      <c r="Z4898" s="94" t="s">
        <v>82</v>
      </c>
    </row>
    <row r="4899" spans="1:26" s="25" customFormat="1" ht="6.95" customHeight="1" x14ac:dyDescent="0.3">
      <c r="A4899" s="165"/>
      <c r="B4899" s="168"/>
      <c r="C4899" s="169"/>
      <c r="D4899" s="160"/>
      <c r="E4899" s="161"/>
      <c r="F4899" s="162"/>
      <c r="G4899" s="163"/>
      <c r="H4899" s="164"/>
      <c r="I4899" s="163"/>
      <c r="J4899" s="164"/>
      <c r="K4899" s="163"/>
      <c r="L4899" s="164"/>
      <c r="M4899" s="11"/>
      <c r="N4899" s="39"/>
      <c r="Q4899" s="15" t="str">
        <f>+CONCATENATE(E4897,K4897)</f>
        <v/>
      </c>
      <c r="R4899" s="15">
        <f>+L4897</f>
        <v>0</v>
      </c>
      <c r="S4899" s="16"/>
      <c r="T4899" s="15">
        <f>+E4897</f>
        <v>0</v>
      </c>
      <c r="U4899" s="26" t="str">
        <f>IFERROR(LEFT(K4897,FIND("*",K4897)-1),"-")</f>
        <v>-</v>
      </c>
      <c r="V4899" s="26" t="str">
        <f>IFERROR(RIGHT(K4897,LEN(K4897)-FIND("*",K4897)),"-")</f>
        <v>-</v>
      </c>
      <c r="W4899" s="27" t="str">
        <f t="shared" si="2668"/>
        <v>-</v>
      </c>
      <c r="X4899" s="27" t="str">
        <f>IFERROR(W4899*L4897,"-")</f>
        <v>-</v>
      </c>
      <c r="Z4899" s="94" t="s">
        <v>82</v>
      </c>
    </row>
    <row r="4900" spans="1:26" s="25" customFormat="1" ht="6.95" customHeight="1" x14ac:dyDescent="0.3">
      <c r="A4900" s="13"/>
      <c r="B4900" s="168"/>
      <c r="C4900" s="169"/>
      <c r="D4900" s="160" t="s">
        <v>39</v>
      </c>
      <c r="E4900" s="161"/>
      <c r="F4900" s="162" t="s">
        <v>40</v>
      </c>
      <c r="G4900" s="163"/>
      <c r="H4900" s="164"/>
      <c r="I4900" s="163"/>
      <c r="J4900" s="164"/>
      <c r="K4900" s="163"/>
      <c r="L4900" s="164"/>
      <c r="M4900" s="11"/>
      <c r="N4900" s="39"/>
      <c r="Q4900" s="15" t="str">
        <f>+CONCATENATE(E4900,G4900)</f>
        <v/>
      </c>
      <c r="R4900" s="15">
        <f>+H4900</f>
        <v>0</v>
      </c>
      <c r="S4900" s="16"/>
      <c r="T4900" s="15">
        <f>+E4900</f>
        <v>0</v>
      </c>
      <c r="U4900" s="26" t="str">
        <f t="shared" ref="U4900" si="2669">IFERROR(LEFT(G4900,FIND("*",G4900)-1),"-")</f>
        <v>-</v>
      </c>
      <c r="V4900" s="26" t="str">
        <f t="shared" ref="V4900" si="2670">IFERROR(RIGHT(G4900,LEN(G4900)-FIND("*",G4900)),"-")</f>
        <v>-</v>
      </c>
      <c r="W4900" s="27" t="str">
        <f t="shared" si="2668"/>
        <v>-</v>
      </c>
      <c r="X4900" s="27" t="str">
        <f>IFERROR(W4900*H4900,"-")</f>
        <v>-</v>
      </c>
      <c r="Z4900" s="94" t="s">
        <v>82</v>
      </c>
    </row>
    <row r="4901" spans="1:26" s="25" customFormat="1" ht="6.95" customHeight="1" x14ac:dyDescent="0.3">
      <c r="A4901" s="10"/>
      <c r="B4901" s="168"/>
      <c r="C4901" s="169"/>
      <c r="D4901" s="160"/>
      <c r="E4901" s="161"/>
      <c r="F4901" s="162"/>
      <c r="G4901" s="163"/>
      <c r="H4901" s="164"/>
      <c r="I4901" s="163"/>
      <c r="J4901" s="164"/>
      <c r="K4901" s="163"/>
      <c r="L4901" s="164"/>
      <c r="M4901" s="11"/>
      <c r="N4901" s="39"/>
      <c r="Q4901" s="15" t="str">
        <f>+CONCATENATE(E4900,I4900)</f>
        <v/>
      </c>
      <c r="R4901" s="15">
        <f>+J4900</f>
        <v>0</v>
      </c>
      <c r="S4901" s="16"/>
      <c r="T4901" s="15">
        <f>+E4900</f>
        <v>0</v>
      </c>
      <c r="U4901" s="26" t="str">
        <f>IFERROR(LEFT(I4900,FIND("*",I4900)-1),"-")</f>
        <v>-</v>
      </c>
      <c r="V4901" s="26" t="str">
        <f>IFERROR(RIGHT(I4900,LEN(I4900)-FIND("*",I4900)),"-")</f>
        <v>-</v>
      </c>
      <c r="W4901" s="27" t="str">
        <f t="shared" si="2668"/>
        <v>-</v>
      </c>
      <c r="X4901" s="27" t="str">
        <f>IFERROR(W4901*J4900,"-")</f>
        <v>-</v>
      </c>
      <c r="Z4901" s="94" t="s">
        <v>82</v>
      </c>
    </row>
    <row r="4902" spans="1:26" s="25" customFormat="1" ht="6.95" customHeight="1" x14ac:dyDescent="0.3">
      <c r="A4902" s="10"/>
      <c r="B4902" s="168"/>
      <c r="C4902" s="169"/>
      <c r="D4902" s="160"/>
      <c r="E4902" s="161"/>
      <c r="F4902" s="162"/>
      <c r="G4902" s="163"/>
      <c r="H4902" s="164"/>
      <c r="I4902" s="163"/>
      <c r="J4902" s="164"/>
      <c r="K4902" s="163"/>
      <c r="L4902" s="164"/>
      <c r="M4902" s="11"/>
      <c r="N4902" s="39"/>
      <c r="Q4902" s="15" t="str">
        <f>+CONCATENATE(E4900,K4900)</f>
        <v/>
      </c>
      <c r="R4902" s="15">
        <f>+L4900</f>
        <v>0</v>
      </c>
      <c r="S4902" s="16"/>
      <c r="T4902" s="15">
        <f>+E4900</f>
        <v>0</v>
      </c>
      <c r="U4902" s="26" t="str">
        <f>IFERROR(LEFT(K4900,FIND("*",K4900)-1),"-")</f>
        <v>-</v>
      </c>
      <c r="V4902" s="26" t="str">
        <f>IFERROR(RIGHT(K4900,LEN(K4900)-FIND("*",K4900)),"-")</f>
        <v>-</v>
      </c>
      <c r="W4902" s="27" t="str">
        <f t="shared" si="2668"/>
        <v>-</v>
      </c>
      <c r="X4902" s="27" t="str">
        <f>IFERROR(W4902*L4900,"-")</f>
        <v>-</v>
      </c>
      <c r="Z4902" s="94" t="s">
        <v>82</v>
      </c>
    </row>
    <row r="4903" spans="1:26" s="25" customFormat="1" ht="6.95" customHeight="1" x14ac:dyDescent="0.3">
      <c r="A4903" s="13"/>
      <c r="B4903" s="168"/>
      <c r="C4903" s="169"/>
      <c r="D4903" s="160" t="s">
        <v>39</v>
      </c>
      <c r="E4903" s="161"/>
      <c r="F4903" s="162" t="s">
        <v>40</v>
      </c>
      <c r="G4903" s="163"/>
      <c r="H4903" s="164"/>
      <c r="I4903" s="163"/>
      <c r="J4903" s="164"/>
      <c r="K4903" s="163"/>
      <c r="L4903" s="164"/>
      <c r="M4903" s="11"/>
      <c r="N4903" s="39"/>
      <c r="Q4903" s="15" t="str">
        <f>+CONCATENATE(E4903,G4903)</f>
        <v/>
      </c>
      <c r="R4903" s="15">
        <f>+H4903</f>
        <v>0</v>
      </c>
      <c r="S4903" s="16"/>
      <c r="T4903" s="15">
        <f>+E4903</f>
        <v>0</v>
      </c>
      <c r="U4903" s="26" t="str">
        <f t="shared" ref="U4903" si="2671">IFERROR(LEFT(G4903,FIND("*",G4903)-1),"-")</f>
        <v>-</v>
      </c>
      <c r="V4903" s="26" t="str">
        <f t="shared" ref="V4903" si="2672">IFERROR(RIGHT(G4903,LEN(G4903)-FIND("*",G4903)),"-")</f>
        <v>-</v>
      </c>
      <c r="W4903" s="27" t="str">
        <f t="shared" si="2668"/>
        <v>-</v>
      </c>
      <c r="X4903" s="27" t="str">
        <f>IFERROR(W4903*H4903,"-")</f>
        <v>-</v>
      </c>
      <c r="Z4903" s="94" t="s">
        <v>82</v>
      </c>
    </row>
    <row r="4904" spans="1:26" s="25" customFormat="1" ht="6.95" customHeight="1" x14ac:dyDescent="0.3">
      <c r="A4904" s="10"/>
      <c r="B4904" s="168"/>
      <c r="C4904" s="169"/>
      <c r="D4904" s="160"/>
      <c r="E4904" s="161"/>
      <c r="F4904" s="162"/>
      <c r="G4904" s="163"/>
      <c r="H4904" s="164"/>
      <c r="I4904" s="163"/>
      <c r="J4904" s="164"/>
      <c r="K4904" s="163"/>
      <c r="L4904" s="164"/>
      <c r="M4904" s="11"/>
      <c r="N4904" s="39"/>
      <c r="Q4904" s="15" t="str">
        <f>+CONCATENATE(E4903,I4903)</f>
        <v/>
      </c>
      <c r="R4904" s="15">
        <f>+J4903</f>
        <v>0</v>
      </c>
      <c r="S4904" s="16"/>
      <c r="T4904" s="15">
        <f>+E4903</f>
        <v>0</v>
      </c>
      <c r="U4904" s="26" t="str">
        <f>IFERROR(LEFT(I4903,FIND("*",I4903)-1),"-")</f>
        <v>-</v>
      </c>
      <c r="V4904" s="26" t="str">
        <f>IFERROR(RIGHT(I4903,LEN(I4903)-FIND("*",I4903)),"-")</f>
        <v>-</v>
      </c>
      <c r="W4904" s="27" t="str">
        <f t="shared" si="2668"/>
        <v>-</v>
      </c>
      <c r="X4904" s="27" t="str">
        <f t="shared" ref="X4904" si="2673">IFERROR(W4904*J4903,"-")</f>
        <v>-</v>
      </c>
      <c r="Z4904" s="94" t="s">
        <v>82</v>
      </c>
    </row>
    <row r="4905" spans="1:26" s="25" customFormat="1" ht="6.95" customHeight="1" x14ac:dyDescent="0.3">
      <c r="A4905" s="10"/>
      <c r="B4905" s="168"/>
      <c r="C4905" s="169"/>
      <c r="D4905" s="160"/>
      <c r="E4905" s="161"/>
      <c r="F4905" s="162"/>
      <c r="G4905" s="163"/>
      <c r="H4905" s="164"/>
      <c r="I4905" s="163"/>
      <c r="J4905" s="164"/>
      <c r="K4905" s="163"/>
      <c r="L4905" s="164"/>
      <c r="M4905" s="11"/>
      <c r="N4905" s="39"/>
      <c r="Q4905" s="15" t="str">
        <f>+CONCATENATE(E4903,K4903)</f>
        <v/>
      </c>
      <c r="R4905" s="15">
        <f>+L4903</f>
        <v>0</v>
      </c>
      <c r="S4905" s="16"/>
      <c r="T4905" s="15">
        <f>+E4903</f>
        <v>0</v>
      </c>
      <c r="U4905" s="26" t="str">
        <f>IFERROR(LEFT(K4903,FIND("*",K4903)-1),"-")</f>
        <v>-</v>
      </c>
      <c r="V4905" s="26" t="str">
        <f>IFERROR(RIGHT(K4903,LEN(K4903)-FIND("*",K4903)),"-")</f>
        <v>-</v>
      </c>
      <c r="W4905" s="27" t="str">
        <f t="shared" si="2668"/>
        <v>-</v>
      </c>
      <c r="X4905" s="27" t="str">
        <f>IFERROR(W4905*L4903,"-")</f>
        <v>-</v>
      </c>
      <c r="Z4905" s="94" t="s">
        <v>82</v>
      </c>
    </row>
    <row r="4906" spans="1:26" s="25" customFormat="1" ht="21" customHeight="1" thickBot="1" x14ac:dyDescent="0.35">
      <c r="A4906" s="10"/>
      <c r="B4906" s="170"/>
      <c r="C4906" s="171"/>
      <c r="D4906" s="172" t="s">
        <v>43</v>
      </c>
      <c r="E4906" s="173"/>
      <c r="F4906" s="173"/>
      <c r="G4906" s="174"/>
      <c r="H4906" s="174"/>
      <c r="I4906" s="174"/>
      <c r="J4906" s="174"/>
      <c r="K4906" s="174"/>
      <c r="L4906" s="174"/>
      <c r="M4906" s="12"/>
      <c r="N4906" s="39"/>
      <c r="U4906" s="23"/>
      <c r="V4906" s="23"/>
      <c r="Z4906" s="95" t="s">
        <v>81</v>
      </c>
    </row>
    <row r="4907" spans="1:26" s="25" customFormat="1" ht="9.9499999999999993" customHeight="1" thickBot="1" x14ac:dyDescent="0.35">
      <c r="A4907" s="6"/>
      <c r="B4907" s="14"/>
      <c r="C4907" s="119"/>
      <c r="D4907" s="58"/>
      <c r="E4907" s="17"/>
      <c r="F4907" s="58"/>
      <c r="G4907" s="19"/>
      <c r="H4907" s="19"/>
      <c r="I4907" s="19"/>
      <c r="J4907" s="19"/>
      <c r="K4907" s="19"/>
      <c r="L4907" s="19"/>
      <c r="M4907" s="14"/>
      <c r="N4907" s="39"/>
      <c r="Q4907" s="1"/>
      <c r="R4907" s="1"/>
      <c r="S4907" s="1"/>
      <c r="T4907" s="1"/>
      <c r="U4907" s="24"/>
      <c r="V4907" s="24"/>
      <c r="W4907" s="1"/>
      <c r="X4907" s="1"/>
      <c r="Z4907" s="94" t="s">
        <v>82</v>
      </c>
    </row>
    <row r="4908" spans="1:26" s="25" customFormat="1" ht="6.95" customHeight="1" x14ac:dyDescent="0.3">
      <c r="A4908" s="165">
        <f>+A4897+1</f>
        <v>447</v>
      </c>
      <c r="B4908" s="166"/>
      <c r="C4908" s="167"/>
      <c r="D4908" s="160" t="s">
        <v>39</v>
      </c>
      <c r="E4908" s="161"/>
      <c r="F4908" s="162" t="s">
        <v>40</v>
      </c>
      <c r="G4908" s="163"/>
      <c r="H4908" s="164"/>
      <c r="I4908" s="163"/>
      <c r="J4908" s="164"/>
      <c r="K4908" s="163"/>
      <c r="L4908" s="164"/>
      <c r="M4908" s="11"/>
      <c r="N4908" s="39"/>
      <c r="Q4908" s="15" t="str">
        <f>+CONCATENATE(E4908,G4908)</f>
        <v/>
      </c>
      <c r="R4908" s="15">
        <f>+H4908</f>
        <v>0</v>
      </c>
      <c r="S4908" s="16"/>
      <c r="T4908" s="15">
        <f>+E4908</f>
        <v>0</v>
      </c>
      <c r="U4908" s="26" t="str">
        <f>IFERROR(LEFT(G4908,FIND("*",G4908)-1),"-")</f>
        <v>-</v>
      </c>
      <c r="V4908" s="26" t="str">
        <f>IFERROR(RIGHT(G4908,LEN(G4908)-FIND("*",G4908)),"-")</f>
        <v>-</v>
      </c>
      <c r="W4908" s="27" t="str">
        <f>IFERROR((U4908+V4908)*2/1000,"-")</f>
        <v>-</v>
      </c>
      <c r="X4908" s="27" t="str">
        <f>IFERROR(W4908*H4908,"-")</f>
        <v>-</v>
      </c>
      <c r="Z4908" s="94" t="s">
        <v>82</v>
      </c>
    </row>
    <row r="4909" spans="1:26" s="25" customFormat="1" ht="6.95" customHeight="1" x14ac:dyDescent="0.3">
      <c r="A4909" s="165"/>
      <c r="B4909" s="168"/>
      <c r="C4909" s="169"/>
      <c r="D4909" s="160"/>
      <c r="E4909" s="161"/>
      <c r="F4909" s="162"/>
      <c r="G4909" s="163"/>
      <c r="H4909" s="164"/>
      <c r="I4909" s="163"/>
      <c r="J4909" s="164"/>
      <c r="K4909" s="163"/>
      <c r="L4909" s="164"/>
      <c r="M4909" s="11"/>
      <c r="N4909" s="39"/>
      <c r="Q4909" s="15" t="str">
        <f>+CONCATENATE(E4908,I4908)</f>
        <v/>
      </c>
      <c r="R4909" s="15">
        <f>+J4908</f>
        <v>0</v>
      </c>
      <c r="S4909" s="16"/>
      <c r="T4909" s="15">
        <f>+E4908</f>
        <v>0</v>
      </c>
      <c r="U4909" s="26" t="str">
        <f>IFERROR(LEFT(I4908,FIND("*",I4908)-1),"-")</f>
        <v>-</v>
      </c>
      <c r="V4909" s="26" t="str">
        <f>IFERROR(RIGHT(I4908,LEN(I4908)-FIND("*",I4908)),"-")</f>
        <v>-</v>
      </c>
      <c r="W4909" s="27" t="str">
        <f t="shared" ref="W4909:W4916" si="2674">IFERROR((U4909+V4909)*2/1000,"-")</f>
        <v>-</v>
      </c>
      <c r="X4909" s="27" t="str">
        <f>IFERROR(W4909*J4908,"-")</f>
        <v>-</v>
      </c>
      <c r="Z4909" s="94" t="s">
        <v>82</v>
      </c>
    </row>
    <row r="4910" spans="1:26" s="25" customFormat="1" ht="6.95" customHeight="1" x14ac:dyDescent="0.3">
      <c r="A4910" s="165"/>
      <c r="B4910" s="168"/>
      <c r="C4910" s="169"/>
      <c r="D4910" s="160"/>
      <c r="E4910" s="161"/>
      <c r="F4910" s="162"/>
      <c r="G4910" s="163"/>
      <c r="H4910" s="164"/>
      <c r="I4910" s="163"/>
      <c r="J4910" s="164"/>
      <c r="K4910" s="163"/>
      <c r="L4910" s="164"/>
      <c r="M4910" s="11"/>
      <c r="N4910" s="39"/>
      <c r="Q4910" s="15" t="str">
        <f>+CONCATENATE(E4908,K4908)</f>
        <v/>
      </c>
      <c r="R4910" s="15">
        <f>+L4908</f>
        <v>0</v>
      </c>
      <c r="S4910" s="16"/>
      <c r="T4910" s="15">
        <f>+E4908</f>
        <v>0</v>
      </c>
      <c r="U4910" s="26" t="str">
        <f>IFERROR(LEFT(K4908,FIND("*",K4908)-1),"-")</f>
        <v>-</v>
      </c>
      <c r="V4910" s="26" t="str">
        <f>IFERROR(RIGHT(K4908,LEN(K4908)-FIND("*",K4908)),"-")</f>
        <v>-</v>
      </c>
      <c r="W4910" s="27" t="str">
        <f t="shared" si="2674"/>
        <v>-</v>
      </c>
      <c r="X4910" s="27" t="str">
        <f>IFERROR(W4910*L4908,"-")</f>
        <v>-</v>
      </c>
      <c r="Z4910" s="94" t="s">
        <v>82</v>
      </c>
    </row>
    <row r="4911" spans="1:26" s="25" customFormat="1" ht="6.95" customHeight="1" x14ac:dyDescent="0.3">
      <c r="A4911" s="13"/>
      <c r="B4911" s="168"/>
      <c r="C4911" s="169"/>
      <c r="D4911" s="160" t="s">
        <v>39</v>
      </c>
      <c r="E4911" s="161"/>
      <c r="F4911" s="162" t="s">
        <v>40</v>
      </c>
      <c r="G4911" s="163"/>
      <c r="H4911" s="164"/>
      <c r="I4911" s="163"/>
      <c r="J4911" s="164"/>
      <c r="K4911" s="163"/>
      <c r="L4911" s="164"/>
      <c r="M4911" s="11"/>
      <c r="N4911" s="39"/>
      <c r="Q4911" s="15" t="str">
        <f>+CONCATENATE(E4911,G4911)</f>
        <v/>
      </c>
      <c r="R4911" s="15">
        <f>+H4911</f>
        <v>0</v>
      </c>
      <c r="S4911" s="16"/>
      <c r="T4911" s="15">
        <f>+E4911</f>
        <v>0</v>
      </c>
      <c r="U4911" s="26" t="str">
        <f t="shared" ref="U4911" si="2675">IFERROR(LEFT(G4911,FIND("*",G4911)-1),"-")</f>
        <v>-</v>
      </c>
      <c r="V4911" s="26" t="str">
        <f t="shared" ref="V4911" si="2676">IFERROR(RIGHT(G4911,LEN(G4911)-FIND("*",G4911)),"-")</f>
        <v>-</v>
      </c>
      <c r="W4911" s="27" t="str">
        <f t="shared" si="2674"/>
        <v>-</v>
      </c>
      <c r="X4911" s="27" t="str">
        <f>IFERROR(W4911*H4911,"-")</f>
        <v>-</v>
      </c>
      <c r="Z4911" s="94" t="s">
        <v>82</v>
      </c>
    </row>
    <row r="4912" spans="1:26" s="25" customFormat="1" ht="6.95" customHeight="1" x14ac:dyDescent="0.3">
      <c r="A4912" s="10"/>
      <c r="B4912" s="168"/>
      <c r="C4912" s="169"/>
      <c r="D4912" s="160"/>
      <c r="E4912" s="161"/>
      <c r="F4912" s="162"/>
      <c r="G4912" s="163"/>
      <c r="H4912" s="164"/>
      <c r="I4912" s="163"/>
      <c r="J4912" s="164"/>
      <c r="K4912" s="163"/>
      <c r="L4912" s="164"/>
      <c r="M4912" s="11"/>
      <c r="N4912" s="39"/>
      <c r="Q4912" s="15" t="str">
        <f>+CONCATENATE(E4911,I4911)</f>
        <v/>
      </c>
      <c r="R4912" s="15">
        <f>+J4911</f>
        <v>0</v>
      </c>
      <c r="S4912" s="16"/>
      <c r="T4912" s="15">
        <f>+E4911</f>
        <v>0</v>
      </c>
      <c r="U4912" s="26" t="str">
        <f>IFERROR(LEFT(I4911,FIND("*",I4911)-1),"-")</f>
        <v>-</v>
      </c>
      <c r="V4912" s="26" t="str">
        <f>IFERROR(RIGHT(I4911,LEN(I4911)-FIND("*",I4911)),"-")</f>
        <v>-</v>
      </c>
      <c r="W4912" s="27" t="str">
        <f t="shared" si="2674"/>
        <v>-</v>
      </c>
      <c r="X4912" s="27" t="str">
        <f>IFERROR(W4912*J4911,"-")</f>
        <v>-</v>
      </c>
      <c r="Z4912" s="94" t="s">
        <v>82</v>
      </c>
    </row>
    <row r="4913" spans="1:26" s="25" customFormat="1" ht="6.95" customHeight="1" x14ac:dyDescent="0.3">
      <c r="A4913" s="10"/>
      <c r="B4913" s="168"/>
      <c r="C4913" s="169"/>
      <c r="D4913" s="160"/>
      <c r="E4913" s="161"/>
      <c r="F4913" s="162"/>
      <c r="G4913" s="163"/>
      <c r="H4913" s="164"/>
      <c r="I4913" s="163"/>
      <c r="J4913" s="164"/>
      <c r="K4913" s="163"/>
      <c r="L4913" s="164"/>
      <c r="M4913" s="11"/>
      <c r="N4913" s="39"/>
      <c r="Q4913" s="15" t="str">
        <f>+CONCATENATE(E4911,K4911)</f>
        <v/>
      </c>
      <c r="R4913" s="15">
        <f>+L4911</f>
        <v>0</v>
      </c>
      <c r="S4913" s="16"/>
      <c r="T4913" s="15">
        <f>+E4911</f>
        <v>0</v>
      </c>
      <c r="U4913" s="26" t="str">
        <f>IFERROR(LEFT(K4911,FIND("*",K4911)-1),"-")</f>
        <v>-</v>
      </c>
      <c r="V4913" s="26" t="str">
        <f>IFERROR(RIGHT(K4911,LEN(K4911)-FIND("*",K4911)),"-")</f>
        <v>-</v>
      </c>
      <c r="W4913" s="27" t="str">
        <f t="shared" si="2674"/>
        <v>-</v>
      </c>
      <c r="X4913" s="27" t="str">
        <f>IFERROR(W4913*L4911,"-")</f>
        <v>-</v>
      </c>
      <c r="Z4913" s="94" t="s">
        <v>82</v>
      </c>
    </row>
    <row r="4914" spans="1:26" s="25" customFormat="1" ht="6.95" customHeight="1" x14ac:dyDescent="0.3">
      <c r="A4914" s="13"/>
      <c r="B4914" s="168"/>
      <c r="C4914" s="169"/>
      <c r="D4914" s="160" t="s">
        <v>39</v>
      </c>
      <c r="E4914" s="161"/>
      <c r="F4914" s="162" t="s">
        <v>40</v>
      </c>
      <c r="G4914" s="163"/>
      <c r="H4914" s="164"/>
      <c r="I4914" s="163"/>
      <c r="J4914" s="164"/>
      <c r="K4914" s="163"/>
      <c r="L4914" s="164"/>
      <c r="M4914" s="11"/>
      <c r="N4914" s="39"/>
      <c r="Q4914" s="15" t="str">
        <f>+CONCATENATE(E4914,G4914)</f>
        <v/>
      </c>
      <c r="R4914" s="15">
        <f>+H4914</f>
        <v>0</v>
      </c>
      <c r="S4914" s="16"/>
      <c r="T4914" s="15">
        <f>+E4914</f>
        <v>0</v>
      </c>
      <c r="U4914" s="26" t="str">
        <f t="shared" ref="U4914" si="2677">IFERROR(LEFT(G4914,FIND("*",G4914)-1),"-")</f>
        <v>-</v>
      </c>
      <c r="V4914" s="26" t="str">
        <f t="shared" ref="V4914" si="2678">IFERROR(RIGHT(G4914,LEN(G4914)-FIND("*",G4914)),"-")</f>
        <v>-</v>
      </c>
      <c r="W4914" s="27" t="str">
        <f t="shared" si="2674"/>
        <v>-</v>
      </c>
      <c r="X4914" s="27" t="str">
        <f>IFERROR(W4914*H4914,"-")</f>
        <v>-</v>
      </c>
      <c r="Z4914" s="94" t="s">
        <v>82</v>
      </c>
    </row>
    <row r="4915" spans="1:26" s="25" customFormat="1" ht="6.95" customHeight="1" x14ac:dyDescent="0.3">
      <c r="A4915" s="10"/>
      <c r="B4915" s="168"/>
      <c r="C4915" s="169"/>
      <c r="D4915" s="160"/>
      <c r="E4915" s="161"/>
      <c r="F4915" s="162"/>
      <c r="G4915" s="163"/>
      <c r="H4915" s="164"/>
      <c r="I4915" s="163"/>
      <c r="J4915" s="164"/>
      <c r="K4915" s="163"/>
      <c r="L4915" s="164"/>
      <c r="M4915" s="11"/>
      <c r="N4915" s="39"/>
      <c r="Q4915" s="15" t="str">
        <f>+CONCATENATE(E4914,I4914)</f>
        <v/>
      </c>
      <c r="R4915" s="15">
        <f>+J4914</f>
        <v>0</v>
      </c>
      <c r="S4915" s="16"/>
      <c r="T4915" s="15">
        <f>+E4914</f>
        <v>0</v>
      </c>
      <c r="U4915" s="26" t="str">
        <f>IFERROR(LEFT(I4914,FIND("*",I4914)-1),"-")</f>
        <v>-</v>
      </c>
      <c r="V4915" s="26" t="str">
        <f>IFERROR(RIGHT(I4914,LEN(I4914)-FIND("*",I4914)),"-")</f>
        <v>-</v>
      </c>
      <c r="W4915" s="27" t="str">
        <f t="shared" si="2674"/>
        <v>-</v>
      </c>
      <c r="X4915" s="27" t="str">
        <f t="shared" ref="X4915" si="2679">IFERROR(W4915*J4914,"-")</f>
        <v>-</v>
      </c>
      <c r="Z4915" s="94" t="s">
        <v>82</v>
      </c>
    </row>
    <row r="4916" spans="1:26" s="25" customFormat="1" ht="6.95" customHeight="1" x14ac:dyDescent="0.3">
      <c r="A4916" s="10"/>
      <c r="B4916" s="168"/>
      <c r="C4916" s="169"/>
      <c r="D4916" s="160"/>
      <c r="E4916" s="161"/>
      <c r="F4916" s="162"/>
      <c r="G4916" s="163"/>
      <c r="H4916" s="164"/>
      <c r="I4916" s="163"/>
      <c r="J4916" s="164"/>
      <c r="K4916" s="163"/>
      <c r="L4916" s="164"/>
      <c r="M4916" s="11"/>
      <c r="N4916" s="39"/>
      <c r="Q4916" s="15" t="str">
        <f>+CONCATENATE(E4914,K4914)</f>
        <v/>
      </c>
      <c r="R4916" s="15">
        <f>+L4914</f>
        <v>0</v>
      </c>
      <c r="S4916" s="16"/>
      <c r="T4916" s="15">
        <f>+E4914</f>
        <v>0</v>
      </c>
      <c r="U4916" s="26" t="str">
        <f>IFERROR(LEFT(K4914,FIND("*",K4914)-1),"-")</f>
        <v>-</v>
      </c>
      <c r="V4916" s="26" t="str">
        <f>IFERROR(RIGHT(K4914,LEN(K4914)-FIND("*",K4914)),"-")</f>
        <v>-</v>
      </c>
      <c r="W4916" s="27" t="str">
        <f t="shared" si="2674"/>
        <v>-</v>
      </c>
      <c r="X4916" s="27" t="str">
        <f>IFERROR(W4916*L4914,"-")</f>
        <v>-</v>
      </c>
      <c r="Z4916" s="94" t="s">
        <v>82</v>
      </c>
    </row>
    <row r="4917" spans="1:26" s="25" customFormat="1" ht="21" customHeight="1" thickBot="1" x14ac:dyDescent="0.35">
      <c r="A4917" s="10"/>
      <c r="B4917" s="170"/>
      <c r="C4917" s="171"/>
      <c r="D4917" s="172" t="s">
        <v>43</v>
      </c>
      <c r="E4917" s="173"/>
      <c r="F4917" s="173"/>
      <c r="G4917" s="174"/>
      <c r="H4917" s="174"/>
      <c r="I4917" s="174"/>
      <c r="J4917" s="174"/>
      <c r="K4917" s="174"/>
      <c r="L4917" s="174"/>
      <c r="M4917" s="12"/>
      <c r="N4917" s="39"/>
      <c r="U4917" s="23"/>
      <c r="V4917" s="23"/>
      <c r="Z4917" s="95" t="s">
        <v>81</v>
      </c>
    </row>
    <row r="4918" spans="1:26" s="25" customFormat="1" ht="9.9499999999999993" customHeight="1" thickBot="1" x14ac:dyDescent="0.35">
      <c r="A4918" s="6"/>
      <c r="B4918" s="14"/>
      <c r="C4918" s="119"/>
      <c r="D4918" s="58"/>
      <c r="E4918" s="17"/>
      <c r="F4918" s="58"/>
      <c r="G4918" s="19"/>
      <c r="H4918" s="19"/>
      <c r="I4918" s="19"/>
      <c r="J4918" s="19"/>
      <c r="K4918" s="19"/>
      <c r="L4918" s="19"/>
      <c r="M4918" s="14"/>
      <c r="N4918" s="39"/>
      <c r="Q4918" s="1"/>
      <c r="R4918" s="1"/>
      <c r="S4918" s="1"/>
      <c r="T4918" s="1"/>
      <c r="U4918" s="24"/>
      <c r="V4918" s="24"/>
      <c r="W4918" s="1"/>
      <c r="X4918" s="1"/>
      <c r="Z4918" s="94" t="s">
        <v>82</v>
      </c>
    </row>
    <row r="4919" spans="1:26" s="25" customFormat="1" ht="6.95" customHeight="1" x14ac:dyDescent="0.3">
      <c r="A4919" s="165">
        <f>+A4908+1</f>
        <v>448</v>
      </c>
      <c r="B4919" s="166"/>
      <c r="C4919" s="167"/>
      <c r="D4919" s="160" t="s">
        <v>39</v>
      </c>
      <c r="E4919" s="161"/>
      <c r="F4919" s="162" t="s">
        <v>40</v>
      </c>
      <c r="G4919" s="163"/>
      <c r="H4919" s="164"/>
      <c r="I4919" s="163"/>
      <c r="J4919" s="164"/>
      <c r="K4919" s="163"/>
      <c r="L4919" s="164"/>
      <c r="M4919" s="11"/>
      <c r="N4919" s="39"/>
      <c r="Q4919" s="15" t="str">
        <f>+CONCATENATE(E4919,G4919)</f>
        <v/>
      </c>
      <c r="R4919" s="15">
        <f>+H4919</f>
        <v>0</v>
      </c>
      <c r="S4919" s="16"/>
      <c r="T4919" s="15">
        <f>+E4919</f>
        <v>0</v>
      </c>
      <c r="U4919" s="26" t="str">
        <f>IFERROR(LEFT(G4919,FIND("*",G4919)-1),"-")</f>
        <v>-</v>
      </c>
      <c r="V4919" s="26" t="str">
        <f>IFERROR(RIGHT(G4919,LEN(G4919)-FIND("*",G4919)),"-")</f>
        <v>-</v>
      </c>
      <c r="W4919" s="27" t="str">
        <f>IFERROR((U4919+V4919)*2/1000,"-")</f>
        <v>-</v>
      </c>
      <c r="X4919" s="27" t="str">
        <f>IFERROR(W4919*H4919,"-")</f>
        <v>-</v>
      </c>
      <c r="Z4919" s="94" t="s">
        <v>82</v>
      </c>
    </row>
    <row r="4920" spans="1:26" s="25" customFormat="1" ht="6.95" customHeight="1" x14ac:dyDescent="0.3">
      <c r="A4920" s="165"/>
      <c r="B4920" s="168"/>
      <c r="C4920" s="169"/>
      <c r="D4920" s="160"/>
      <c r="E4920" s="161"/>
      <c r="F4920" s="162"/>
      <c r="G4920" s="163"/>
      <c r="H4920" s="164"/>
      <c r="I4920" s="163"/>
      <c r="J4920" s="164"/>
      <c r="K4920" s="163"/>
      <c r="L4920" s="164"/>
      <c r="M4920" s="11"/>
      <c r="N4920" s="39"/>
      <c r="Q4920" s="15" t="str">
        <f>+CONCATENATE(E4919,I4919)</f>
        <v/>
      </c>
      <c r="R4920" s="15">
        <f>+J4919</f>
        <v>0</v>
      </c>
      <c r="S4920" s="16"/>
      <c r="T4920" s="15">
        <f>+E4919</f>
        <v>0</v>
      </c>
      <c r="U4920" s="26" t="str">
        <f>IFERROR(LEFT(I4919,FIND("*",I4919)-1),"-")</f>
        <v>-</v>
      </c>
      <c r="V4920" s="26" t="str">
        <f>IFERROR(RIGHT(I4919,LEN(I4919)-FIND("*",I4919)),"-")</f>
        <v>-</v>
      </c>
      <c r="W4920" s="27" t="str">
        <f t="shared" ref="W4920:W4927" si="2680">IFERROR((U4920+V4920)*2/1000,"-")</f>
        <v>-</v>
      </c>
      <c r="X4920" s="27" t="str">
        <f>IFERROR(W4920*J4919,"-")</f>
        <v>-</v>
      </c>
      <c r="Z4920" s="94" t="s">
        <v>82</v>
      </c>
    </row>
    <row r="4921" spans="1:26" s="25" customFormat="1" ht="6.95" customHeight="1" x14ac:dyDescent="0.3">
      <c r="A4921" s="165"/>
      <c r="B4921" s="168"/>
      <c r="C4921" s="169"/>
      <c r="D4921" s="160"/>
      <c r="E4921" s="161"/>
      <c r="F4921" s="162"/>
      <c r="G4921" s="163"/>
      <c r="H4921" s="164"/>
      <c r="I4921" s="163"/>
      <c r="J4921" s="164"/>
      <c r="K4921" s="163"/>
      <c r="L4921" s="164"/>
      <c r="M4921" s="11"/>
      <c r="N4921" s="39"/>
      <c r="Q4921" s="15" t="str">
        <f>+CONCATENATE(E4919,K4919)</f>
        <v/>
      </c>
      <c r="R4921" s="15">
        <f>+L4919</f>
        <v>0</v>
      </c>
      <c r="S4921" s="16"/>
      <c r="T4921" s="15">
        <f>+E4919</f>
        <v>0</v>
      </c>
      <c r="U4921" s="26" t="str">
        <f>IFERROR(LEFT(K4919,FIND("*",K4919)-1),"-")</f>
        <v>-</v>
      </c>
      <c r="V4921" s="26" t="str">
        <f>IFERROR(RIGHT(K4919,LEN(K4919)-FIND("*",K4919)),"-")</f>
        <v>-</v>
      </c>
      <c r="W4921" s="27" t="str">
        <f t="shared" si="2680"/>
        <v>-</v>
      </c>
      <c r="X4921" s="27" t="str">
        <f>IFERROR(W4921*L4919,"-")</f>
        <v>-</v>
      </c>
      <c r="Z4921" s="94" t="s">
        <v>82</v>
      </c>
    </row>
    <row r="4922" spans="1:26" s="25" customFormat="1" ht="6.95" customHeight="1" x14ac:dyDescent="0.3">
      <c r="A4922" s="13"/>
      <c r="B4922" s="168"/>
      <c r="C4922" s="169"/>
      <c r="D4922" s="160" t="s">
        <v>39</v>
      </c>
      <c r="E4922" s="161"/>
      <c r="F4922" s="162" t="s">
        <v>40</v>
      </c>
      <c r="G4922" s="163"/>
      <c r="H4922" s="164"/>
      <c r="I4922" s="163"/>
      <c r="J4922" s="164"/>
      <c r="K4922" s="163"/>
      <c r="L4922" s="164"/>
      <c r="M4922" s="11"/>
      <c r="N4922" s="39"/>
      <c r="Q4922" s="15" t="str">
        <f>+CONCATENATE(E4922,G4922)</f>
        <v/>
      </c>
      <c r="R4922" s="15">
        <f>+H4922</f>
        <v>0</v>
      </c>
      <c r="S4922" s="16"/>
      <c r="T4922" s="15">
        <f>+E4922</f>
        <v>0</v>
      </c>
      <c r="U4922" s="26" t="str">
        <f t="shared" ref="U4922" si="2681">IFERROR(LEFT(G4922,FIND("*",G4922)-1),"-")</f>
        <v>-</v>
      </c>
      <c r="V4922" s="26" t="str">
        <f t="shared" ref="V4922" si="2682">IFERROR(RIGHT(G4922,LEN(G4922)-FIND("*",G4922)),"-")</f>
        <v>-</v>
      </c>
      <c r="W4922" s="27" t="str">
        <f t="shared" si="2680"/>
        <v>-</v>
      </c>
      <c r="X4922" s="27" t="str">
        <f>IFERROR(W4922*H4922,"-")</f>
        <v>-</v>
      </c>
      <c r="Z4922" s="94" t="s">
        <v>82</v>
      </c>
    </row>
    <row r="4923" spans="1:26" s="25" customFormat="1" ht="6.95" customHeight="1" x14ac:dyDescent="0.3">
      <c r="A4923" s="10"/>
      <c r="B4923" s="168"/>
      <c r="C4923" s="169"/>
      <c r="D4923" s="160"/>
      <c r="E4923" s="161"/>
      <c r="F4923" s="162"/>
      <c r="G4923" s="163"/>
      <c r="H4923" s="164"/>
      <c r="I4923" s="163"/>
      <c r="J4923" s="164"/>
      <c r="K4923" s="163"/>
      <c r="L4923" s="164"/>
      <c r="M4923" s="11"/>
      <c r="N4923" s="39"/>
      <c r="Q4923" s="15" t="str">
        <f>+CONCATENATE(E4922,I4922)</f>
        <v/>
      </c>
      <c r="R4923" s="15">
        <f>+J4922</f>
        <v>0</v>
      </c>
      <c r="S4923" s="16"/>
      <c r="T4923" s="15">
        <f>+E4922</f>
        <v>0</v>
      </c>
      <c r="U4923" s="26" t="str">
        <f>IFERROR(LEFT(I4922,FIND("*",I4922)-1),"-")</f>
        <v>-</v>
      </c>
      <c r="V4923" s="26" t="str">
        <f>IFERROR(RIGHT(I4922,LEN(I4922)-FIND("*",I4922)),"-")</f>
        <v>-</v>
      </c>
      <c r="W4923" s="27" t="str">
        <f t="shared" si="2680"/>
        <v>-</v>
      </c>
      <c r="X4923" s="27" t="str">
        <f>IFERROR(W4923*J4922,"-")</f>
        <v>-</v>
      </c>
      <c r="Z4923" s="94" t="s">
        <v>82</v>
      </c>
    </row>
    <row r="4924" spans="1:26" s="25" customFormat="1" ht="6.95" customHeight="1" x14ac:dyDescent="0.3">
      <c r="A4924" s="10"/>
      <c r="B4924" s="168"/>
      <c r="C4924" s="169"/>
      <c r="D4924" s="160"/>
      <c r="E4924" s="161"/>
      <c r="F4924" s="162"/>
      <c r="G4924" s="163"/>
      <c r="H4924" s="164"/>
      <c r="I4924" s="163"/>
      <c r="J4924" s="164"/>
      <c r="K4924" s="163"/>
      <c r="L4924" s="164"/>
      <c r="M4924" s="11"/>
      <c r="N4924" s="39"/>
      <c r="Q4924" s="15" t="str">
        <f>+CONCATENATE(E4922,K4922)</f>
        <v/>
      </c>
      <c r="R4924" s="15">
        <f>+L4922</f>
        <v>0</v>
      </c>
      <c r="S4924" s="16"/>
      <c r="T4924" s="15">
        <f>+E4922</f>
        <v>0</v>
      </c>
      <c r="U4924" s="26" t="str">
        <f>IFERROR(LEFT(K4922,FIND("*",K4922)-1),"-")</f>
        <v>-</v>
      </c>
      <c r="V4924" s="26" t="str">
        <f>IFERROR(RIGHT(K4922,LEN(K4922)-FIND("*",K4922)),"-")</f>
        <v>-</v>
      </c>
      <c r="W4924" s="27" t="str">
        <f t="shared" si="2680"/>
        <v>-</v>
      </c>
      <c r="X4924" s="27" t="str">
        <f>IFERROR(W4924*L4922,"-")</f>
        <v>-</v>
      </c>
      <c r="Z4924" s="94" t="s">
        <v>82</v>
      </c>
    </row>
    <row r="4925" spans="1:26" s="25" customFormat="1" ht="6.95" customHeight="1" x14ac:dyDescent="0.3">
      <c r="A4925" s="13"/>
      <c r="B4925" s="168"/>
      <c r="C4925" s="169"/>
      <c r="D4925" s="160" t="s">
        <v>39</v>
      </c>
      <c r="E4925" s="161"/>
      <c r="F4925" s="162" t="s">
        <v>40</v>
      </c>
      <c r="G4925" s="163"/>
      <c r="H4925" s="164"/>
      <c r="I4925" s="163"/>
      <c r="J4925" s="164"/>
      <c r="K4925" s="163"/>
      <c r="L4925" s="164"/>
      <c r="M4925" s="11"/>
      <c r="N4925" s="39"/>
      <c r="Q4925" s="15" t="str">
        <f>+CONCATENATE(E4925,G4925)</f>
        <v/>
      </c>
      <c r="R4925" s="15">
        <f>+H4925</f>
        <v>0</v>
      </c>
      <c r="S4925" s="16"/>
      <c r="T4925" s="15">
        <f>+E4925</f>
        <v>0</v>
      </c>
      <c r="U4925" s="26" t="str">
        <f t="shared" ref="U4925" si="2683">IFERROR(LEFT(G4925,FIND("*",G4925)-1),"-")</f>
        <v>-</v>
      </c>
      <c r="V4925" s="26" t="str">
        <f t="shared" ref="V4925" si="2684">IFERROR(RIGHT(G4925,LEN(G4925)-FIND("*",G4925)),"-")</f>
        <v>-</v>
      </c>
      <c r="W4925" s="27" t="str">
        <f t="shared" si="2680"/>
        <v>-</v>
      </c>
      <c r="X4925" s="27" t="str">
        <f>IFERROR(W4925*H4925,"-")</f>
        <v>-</v>
      </c>
      <c r="Z4925" s="94" t="s">
        <v>82</v>
      </c>
    </row>
    <row r="4926" spans="1:26" s="25" customFormat="1" ht="6.95" customHeight="1" x14ac:dyDescent="0.3">
      <c r="A4926" s="10"/>
      <c r="B4926" s="168"/>
      <c r="C4926" s="169"/>
      <c r="D4926" s="160"/>
      <c r="E4926" s="161"/>
      <c r="F4926" s="162"/>
      <c r="G4926" s="163"/>
      <c r="H4926" s="164"/>
      <c r="I4926" s="163"/>
      <c r="J4926" s="164"/>
      <c r="K4926" s="163"/>
      <c r="L4926" s="164"/>
      <c r="M4926" s="11"/>
      <c r="N4926" s="39"/>
      <c r="Q4926" s="15" t="str">
        <f>+CONCATENATE(E4925,I4925)</f>
        <v/>
      </c>
      <c r="R4926" s="15">
        <f>+J4925</f>
        <v>0</v>
      </c>
      <c r="S4926" s="16"/>
      <c r="T4926" s="15">
        <f>+E4925</f>
        <v>0</v>
      </c>
      <c r="U4926" s="26" t="str">
        <f>IFERROR(LEFT(I4925,FIND("*",I4925)-1),"-")</f>
        <v>-</v>
      </c>
      <c r="V4926" s="26" t="str">
        <f>IFERROR(RIGHT(I4925,LEN(I4925)-FIND("*",I4925)),"-")</f>
        <v>-</v>
      </c>
      <c r="W4926" s="27" t="str">
        <f t="shared" si="2680"/>
        <v>-</v>
      </c>
      <c r="X4926" s="27" t="str">
        <f t="shared" ref="X4926" si="2685">IFERROR(W4926*J4925,"-")</f>
        <v>-</v>
      </c>
      <c r="Z4926" s="94" t="s">
        <v>82</v>
      </c>
    </row>
    <row r="4927" spans="1:26" s="25" customFormat="1" ht="6.95" customHeight="1" x14ac:dyDescent="0.3">
      <c r="A4927" s="10"/>
      <c r="B4927" s="168"/>
      <c r="C4927" s="169"/>
      <c r="D4927" s="160"/>
      <c r="E4927" s="161"/>
      <c r="F4927" s="162"/>
      <c r="G4927" s="163"/>
      <c r="H4927" s="164"/>
      <c r="I4927" s="163"/>
      <c r="J4927" s="164"/>
      <c r="K4927" s="163"/>
      <c r="L4927" s="164"/>
      <c r="M4927" s="11"/>
      <c r="N4927" s="39"/>
      <c r="Q4927" s="15" t="str">
        <f>+CONCATENATE(E4925,K4925)</f>
        <v/>
      </c>
      <c r="R4927" s="15">
        <f>+L4925</f>
        <v>0</v>
      </c>
      <c r="S4927" s="16"/>
      <c r="T4927" s="15">
        <f>+E4925</f>
        <v>0</v>
      </c>
      <c r="U4927" s="26" t="str">
        <f>IFERROR(LEFT(K4925,FIND("*",K4925)-1),"-")</f>
        <v>-</v>
      </c>
      <c r="V4927" s="26" t="str">
        <f>IFERROR(RIGHT(K4925,LEN(K4925)-FIND("*",K4925)),"-")</f>
        <v>-</v>
      </c>
      <c r="W4927" s="27" t="str">
        <f t="shared" si="2680"/>
        <v>-</v>
      </c>
      <c r="X4927" s="27" t="str">
        <f>IFERROR(W4927*L4925,"-")</f>
        <v>-</v>
      </c>
      <c r="Z4927" s="94" t="s">
        <v>82</v>
      </c>
    </row>
    <row r="4928" spans="1:26" s="25" customFormat="1" ht="21" customHeight="1" thickBot="1" x14ac:dyDescent="0.35">
      <c r="A4928" s="10"/>
      <c r="B4928" s="170"/>
      <c r="C4928" s="171"/>
      <c r="D4928" s="172" t="s">
        <v>43</v>
      </c>
      <c r="E4928" s="173"/>
      <c r="F4928" s="173"/>
      <c r="G4928" s="174"/>
      <c r="H4928" s="174"/>
      <c r="I4928" s="174"/>
      <c r="J4928" s="174"/>
      <c r="K4928" s="174"/>
      <c r="L4928" s="174"/>
      <c r="M4928" s="12"/>
      <c r="N4928" s="39"/>
      <c r="U4928" s="23"/>
      <c r="V4928" s="23"/>
      <c r="Z4928" s="95" t="s">
        <v>81</v>
      </c>
    </row>
    <row r="4929" spans="1:26" s="25" customFormat="1" ht="9.9499999999999993" customHeight="1" thickBot="1" x14ac:dyDescent="0.35">
      <c r="A4929" s="6"/>
      <c r="B4929" s="14"/>
      <c r="C4929" s="119"/>
      <c r="D4929" s="58"/>
      <c r="E4929" s="17"/>
      <c r="F4929" s="58"/>
      <c r="G4929" s="19"/>
      <c r="H4929" s="19"/>
      <c r="I4929" s="19"/>
      <c r="J4929" s="19"/>
      <c r="K4929" s="19"/>
      <c r="L4929" s="19"/>
      <c r="M4929" s="14"/>
      <c r="N4929" s="39"/>
      <c r="Q4929" s="1"/>
      <c r="R4929" s="1"/>
      <c r="S4929" s="1"/>
      <c r="T4929" s="1"/>
      <c r="U4929" s="24"/>
      <c r="V4929" s="24"/>
      <c r="W4929" s="1"/>
      <c r="X4929" s="1"/>
      <c r="Z4929" s="94" t="s">
        <v>82</v>
      </c>
    </row>
    <row r="4930" spans="1:26" s="25" customFormat="1" ht="6.95" customHeight="1" x14ac:dyDescent="0.3">
      <c r="A4930" s="165">
        <f>+A4919+1</f>
        <v>449</v>
      </c>
      <c r="B4930" s="166"/>
      <c r="C4930" s="167"/>
      <c r="D4930" s="160" t="s">
        <v>39</v>
      </c>
      <c r="E4930" s="161"/>
      <c r="F4930" s="162" t="s">
        <v>40</v>
      </c>
      <c r="G4930" s="163"/>
      <c r="H4930" s="164"/>
      <c r="I4930" s="163"/>
      <c r="J4930" s="164"/>
      <c r="K4930" s="163"/>
      <c r="L4930" s="164"/>
      <c r="M4930" s="11"/>
      <c r="N4930" s="39"/>
      <c r="Q4930" s="15" t="str">
        <f>+CONCATENATE(E4930,G4930)</f>
        <v/>
      </c>
      <c r="R4930" s="15">
        <f>+H4930</f>
        <v>0</v>
      </c>
      <c r="S4930" s="16"/>
      <c r="T4930" s="15">
        <f>+E4930</f>
        <v>0</v>
      </c>
      <c r="U4930" s="26" t="str">
        <f>IFERROR(LEFT(G4930,FIND("*",G4930)-1),"-")</f>
        <v>-</v>
      </c>
      <c r="V4930" s="26" t="str">
        <f>IFERROR(RIGHT(G4930,LEN(G4930)-FIND("*",G4930)),"-")</f>
        <v>-</v>
      </c>
      <c r="W4930" s="27" t="str">
        <f>IFERROR((U4930+V4930)*2/1000,"-")</f>
        <v>-</v>
      </c>
      <c r="X4930" s="27" t="str">
        <f>IFERROR(W4930*H4930,"-")</f>
        <v>-</v>
      </c>
      <c r="Z4930" s="94" t="s">
        <v>82</v>
      </c>
    </row>
    <row r="4931" spans="1:26" s="25" customFormat="1" ht="6.95" customHeight="1" x14ac:dyDescent="0.3">
      <c r="A4931" s="165"/>
      <c r="B4931" s="168"/>
      <c r="C4931" s="169"/>
      <c r="D4931" s="160"/>
      <c r="E4931" s="161"/>
      <c r="F4931" s="162"/>
      <c r="G4931" s="163"/>
      <c r="H4931" s="164"/>
      <c r="I4931" s="163"/>
      <c r="J4931" s="164"/>
      <c r="K4931" s="163"/>
      <c r="L4931" s="164"/>
      <c r="M4931" s="11"/>
      <c r="N4931" s="39"/>
      <c r="Q4931" s="15" t="str">
        <f>+CONCATENATE(E4930,I4930)</f>
        <v/>
      </c>
      <c r="R4931" s="15">
        <f>+J4930</f>
        <v>0</v>
      </c>
      <c r="S4931" s="16"/>
      <c r="T4931" s="15">
        <f>+E4930</f>
        <v>0</v>
      </c>
      <c r="U4931" s="26" t="str">
        <f>IFERROR(LEFT(I4930,FIND("*",I4930)-1),"-")</f>
        <v>-</v>
      </c>
      <c r="V4931" s="26" t="str">
        <f>IFERROR(RIGHT(I4930,LEN(I4930)-FIND("*",I4930)),"-")</f>
        <v>-</v>
      </c>
      <c r="W4931" s="27" t="str">
        <f t="shared" ref="W4931:W4938" si="2686">IFERROR((U4931+V4931)*2/1000,"-")</f>
        <v>-</v>
      </c>
      <c r="X4931" s="27" t="str">
        <f>IFERROR(W4931*J4930,"-")</f>
        <v>-</v>
      </c>
      <c r="Z4931" s="94" t="s">
        <v>82</v>
      </c>
    </row>
    <row r="4932" spans="1:26" s="25" customFormat="1" ht="6.95" customHeight="1" x14ac:dyDescent="0.3">
      <c r="A4932" s="165"/>
      <c r="B4932" s="168"/>
      <c r="C4932" s="169"/>
      <c r="D4932" s="160"/>
      <c r="E4932" s="161"/>
      <c r="F4932" s="162"/>
      <c r="G4932" s="163"/>
      <c r="H4932" s="164"/>
      <c r="I4932" s="163"/>
      <c r="J4932" s="164"/>
      <c r="K4932" s="163"/>
      <c r="L4932" s="164"/>
      <c r="M4932" s="11"/>
      <c r="N4932" s="39"/>
      <c r="Q4932" s="15" t="str">
        <f>+CONCATENATE(E4930,K4930)</f>
        <v/>
      </c>
      <c r="R4932" s="15">
        <f>+L4930</f>
        <v>0</v>
      </c>
      <c r="S4932" s="16"/>
      <c r="T4932" s="15">
        <f>+E4930</f>
        <v>0</v>
      </c>
      <c r="U4932" s="26" t="str">
        <f>IFERROR(LEFT(K4930,FIND("*",K4930)-1),"-")</f>
        <v>-</v>
      </c>
      <c r="V4932" s="26" t="str">
        <f>IFERROR(RIGHT(K4930,LEN(K4930)-FIND("*",K4930)),"-")</f>
        <v>-</v>
      </c>
      <c r="W4932" s="27" t="str">
        <f t="shared" si="2686"/>
        <v>-</v>
      </c>
      <c r="X4932" s="27" t="str">
        <f>IFERROR(W4932*L4930,"-")</f>
        <v>-</v>
      </c>
      <c r="Z4932" s="94" t="s">
        <v>82</v>
      </c>
    </row>
    <row r="4933" spans="1:26" s="25" customFormat="1" ht="6.95" customHeight="1" x14ac:dyDescent="0.3">
      <c r="A4933" s="13"/>
      <c r="B4933" s="168"/>
      <c r="C4933" s="169"/>
      <c r="D4933" s="160" t="s">
        <v>39</v>
      </c>
      <c r="E4933" s="161"/>
      <c r="F4933" s="162" t="s">
        <v>40</v>
      </c>
      <c r="G4933" s="163"/>
      <c r="H4933" s="164"/>
      <c r="I4933" s="163"/>
      <c r="J4933" s="164"/>
      <c r="K4933" s="163"/>
      <c r="L4933" s="164"/>
      <c r="M4933" s="11"/>
      <c r="N4933" s="39"/>
      <c r="Q4933" s="15" t="str">
        <f>+CONCATENATE(E4933,G4933)</f>
        <v/>
      </c>
      <c r="R4933" s="15">
        <f>+H4933</f>
        <v>0</v>
      </c>
      <c r="S4933" s="16"/>
      <c r="T4933" s="15">
        <f>+E4933</f>
        <v>0</v>
      </c>
      <c r="U4933" s="26" t="str">
        <f t="shared" ref="U4933" si="2687">IFERROR(LEFT(G4933,FIND("*",G4933)-1),"-")</f>
        <v>-</v>
      </c>
      <c r="V4933" s="26" t="str">
        <f t="shared" ref="V4933" si="2688">IFERROR(RIGHT(G4933,LEN(G4933)-FIND("*",G4933)),"-")</f>
        <v>-</v>
      </c>
      <c r="W4933" s="27" t="str">
        <f t="shared" si="2686"/>
        <v>-</v>
      </c>
      <c r="X4933" s="27" t="str">
        <f>IFERROR(W4933*H4933,"-")</f>
        <v>-</v>
      </c>
      <c r="Z4933" s="94" t="s">
        <v>82</v>
      </c>
    </row>
    <row r="4934" spans="1:26" s="25" customFormat="1" ht="6.95" customHeight="1" x14ac:dyDescent="0.3">
      <c r="A4934" s="10"/>
      <c r="B4934" s="168"/>
      <c r="C4934" s="169"/>
      <c r="D4934" s="160"/>
      <c r="E4934" s="161"/>
      <c r="F4934" s="162"/>
      <c r="G4934" s="163"/>
      <c r="H4934" s="164"/>
      <c r="I4934" s="163"/>
      <c r="J4934" s="164"/>
      <c r="K4934" s="163"/>
      <c r="L4934" s="164"/>
      <c r="M4934" s="11"/>
      <c r="N4934" s="39"/>
      <c r="Q4934" s="15" t="str">
        <f>+CONCATENATE(E4933,I4933)</f>
        <v/>
      </c>
      <c r="R4934" s="15">
        <f>+J4933</f>
        <v>0</v>
      </c>
      <c r="S4934" s="16"/>
      <c r="T4934" s="15">
        <f>+E4933</f>
        <v>0</v>
      </c>
      <c r="U4934" s="26" t="str">
        <f>IFERROR(LEFT(I4933,FIND("*",I4933)-1),"-")</f>
        <v>-</v>
      </c>
      <c r="V4934" s="26" t="str">
        <f>IFERROR(RIGHT(I4933,LEN(I4933)-FIND("*",I4933)),"-")</f>
        <v>-</v>
      </c>
      <c r="W4934" s="27" t="str">
        <f t="shared" si="2686"/>
        <v>-</v>
      </c>
      <c r="X4934" s="27" t="str">
        <f>IFERROR(W4934*J4933,"-")</f>
        <v>-</v>
      </c>
      <c r="Z4934" s="94" t="s">
        <v>82</v>
      </c>
    </row>
    <row r="4935" spans="1:26" s="25" customFormat="1" ht="6.95" customHeight="1" x14ac:dyDescent="0.3">
      <c r="A4935" s="10"/>
      <c r="B4935" s="168"/>
      <c r="C4935" s="169"/>
      <c r="D4935" s="160"/>
      <c r="E4935" s="161"/>
      <c r="F4935" s="162"/>
      <c r="G4935" s="163"/>
      <c r="H4935" s="164"/>
      <c r="I4935" s="163"/>
      <c r="J4935" s="164"/>
      <c r="K4935" s="163"/>
      <c r="L4935" s="164"/>
      <c r="M4935" s="11"/>
      <c r="N4935" s="39"/>
      <c r="Q4935" s="15" t="str">
        <f>+CONCATENATE(E4933,K4933)</f>
        <v/>
      </c>
      <c r="R4935" s="15">
        <f>+L4933</f>
        <v>0</v>
      </c>
      <c r="S4935" s="16"/>
      <c r="T4935" s="15">
        <f>+E4933</f>
        <v>0</v>
      </c>
      <c r="U4935" s="26" t="str">
        <f>IFERROR(LEFT(K4933,FIND("*",K4933)-1),"-")</f>
        <v>-</v>
      </c>
      <c r="V4935" s="26" t="str">
        <f>IFERROR(RIGHT(K4933,LEN(K4933)-FIND("*",K4933)),"-")</f>
        <v>-</v>
      </c>
      <c r="W4935" s="27" t="str">
        <f t="shared" si="2686"/>
        <v>-</v>
      </c>
      <c r="X4935" s="27" t="str">
        <f>IFERROR(W4935*L4933,"-")</f>
        <v>-</v>
      </c>
      <c r="Z4935" s="94" t="s">
        <v>82</v>
      </c>
    </row>
    <row r="4936" spans="1:26" s="25" customFormat="1" ht="6.95" customHeight="1" x14ac:dyDescent="0.3">
      <c r="A4936" s="13"/>
      <c r="B4936" s="168"/>
      <c r="C4936" s="169"/>
      <c r="D4936" s="160" t="s">
        <v>39</v>
      </c>
      <c r="E4936" s="161"/>
      <c r="F4936" s="162" t="s">
        <v>40</v>
      </c>
      <c r="G4936" s="163"/>
      <c r="H4936" s="164"/>
      <c r="I4936" s="163"/>
      <c r="J4936" s="164"/>
      <c r="K4936" s="163"/>
      <c r="L4936" s="164"/>
      <c r="M4936" s="11"/>
      <c r="N4936" s="39"/>
      <c r="Q4936" s="15" t="str">
        <f>+CONCATENATE(E4936,G4936)</f>
        <v/>
      </c>
      <c r="R4936" s="15">
        <f>+H4936</f>
        <v>0</v>
      </c>
      <c r="S4936" s="16"/>
      <c r="T4936" s="15">
        <f>+E4936</f>
        <v>0</v>
      </c>
      <c r="U4936" s="26" t="str">
        <f t="shared" ref="U4936" si="2689">IFERROR(LEFT(G4936,FIND("*",G4936)-1),"-")</f>
        <v>-</v>
      </c>
      <c r="V4936" s="26" t="str">
        <f t="shared" ref="V4936" si="2690">IFERROR(RIGHT(G4936,LEN(G4936)-FIND("*",G4936)),"-")</f>
        <v>-</v>
      </c>
      <c r="W4936" s="27" t="str">
        <f t="shared" si="2686"/>
        <v>-</v>
      </c>
      <c r="X4936" s="27" t="str">
        <f>IFERROR(W4936*H4936,"-")</f>
        <v>-</v>
      </c>
      <c r="Z4936" s="94" t="s">
        <v>82</v>
      </c>
    </row>
    <row r="4937" spans="1:26" s="25" customFormat="1" ht="6.95" customHeight="1" x14ac:dyDescent="0.3">
      <c r="A4937" s="10"/>
      <c r="B4937" s="168"/>
      <c r="C4937" s="169"/>
      <c r="D4937" s="160"/>
      <c r="E4937" s="161"/>
      <c r="F4937" s="162"/>
      <c r="G4937" s="163"/>
      <c r="H4937" s="164"/>
      <c r="I4937" s="163"/>
      <c r="J4937" s="164"/>
      <c r="K4937" s="163"/>
      <c r="L4937" s="164"/>
      <c r="M4937" s="11"/>
      <c r="N4937" s="39"/>
      <c r="Q4937" s="15" t="str">
        <f>+CONCATENATE(E4936,I4936)</f>
        <v/>
      </c>
      <c r="R4937" s="15">
        <f>+J4936</f>
        <v>0</v>
      </c>
      <c r="S4937" s="16"/>
      <c r="T4937" s="15">
        <f>+E4936</f>
        <v>0</v>
      </c>
      <c r="U4937" s="26" t="str">
        <f>IFERROR(LEFT(I4936,FIND("*",I4936)-1),"-")</f>
        <v>-</v>
      </c>
      <c r="V4937" s="26" t="str">
        <f>IFERROR(RIGHT(I4936,LEN(I4936)-FIND("*",I4936)),"-")</f>
        <v>-</v>
      </c>
      <c r="W4937" s="27" t="str">
        <f t="shared" si="2686"/>
        <v>-</v>
      </c>
      <c r="X4937" s="27" t="str">
        <f t="shared" ref="X4937" si="2691">IFERROR(W4937*J4936,"-")</f>
        <v>-</v>
      </c>
      <c r="Z4937" s="94" t="s">
        <v>82</v>
      </c>
    </row>
    <row r="4938" spans="1:26" s="25" customFormat="1" ht="6.95" customHeight="1" x14ac:dyDescent="0.3">
      <c r="A4938" s="10"/>
      <c r="B4938" s="168"/>
      <c r="C4938" s="169"/>
      <c r="D4938" s="160"/>
      <c r="E4938" s="161"/>
      <c r="F4938" s="162"/>
      <c r="G4938" s="163"/>
      <c r="H4938" s="164"/>
      <c r="I4938" s="163"/>
      <c r="J4938" s="164"/>
      <c r="K4938" s="163"/>
      <c r="L4938" s="164"/>
      <c r="M4938" s="11"/>
      <c r="N4938" s="39"/>
      <c r="Q4938" s="15" t="str">
        <f>+CONCATENATE(E4936,K4936)</f>
        <v/>
      </c>
      <c r="R4938" s="15">
        <f>+L4936</f>
        <v>0</v>
      </c>
      <c r="S4938" s="16"/>
      <c r="T4938" s="15">
        <f>+E4936</f>
        <v>0</v>
      </c>
      <c r="U4938" s="26" t="str">
        <f>IFERROR(LEFT(K4936,FIND("*",K4936)-1),"-")</f>
        <v>-</v>
      </c>
      <c r="V4938" s="26" t="str">
        <f>IFERROR(RIGHT(K4936,LEN(K4936)-FIND("*",K4936)),"-")</f>
        <v>-</v>
      </c>
      <c r="W4938" s="27" t="str">
        <f t="shared" si="2686"/>
        <v>-</v>
      </c>
      <c r="X4938" s="27" t="str">
        <f>IFERROR(W4938*L4936,"-")</f>
        <v>-</v>
      </c>
      <c r="Z4938" s="94" t="s">
        <v>82</v>
      </c>
    </row>
    <row r="4939" spans="1:26" s="25" customFormat="1" ht="21" customHeight="1" thickBot="1" x14ac:dyDescent="0.35">
      <c r="A4939" s="10"/>
      <c r="B4939" s="170"/>
      <c r="C4939" s="171"/>
      <c r="D4939" s="172" t="s">
        <v>43</v>
      </c>
      <c r="E4939" s="173"/>
      <c r="F4939" s="173"/>
      <c r="G4939" s="174"/>
      <c r="H4939" s="174"/>
      <c r="I4939" s="174"/>
      <c r="J4939" s="174"/>
      <c r="K4939" s="174"/>
      <c r="L4939" s="174"/>
      <c r="M4939" s="12"/>
      <c r="N4939" s="39"/>
      <c r="U4939" s="23"/>
      <c r="V4939" s="23"/>
      <c r="Z4939" s="95" t="s">
        <v>81</v>
      </c>
    </row>
    <row r="4940" spans="1:26" s="25" customFormat="1" ht="9.9499999999999993" customHeight="1" thickBot="1" x14ac:dyDescent="0.35">
      <c r="A4940" s="6"/>
      <c r="B4940" s="14"/>
      <c r="C4940" s="119"/>
      <c r="D4940" s="58"/>
      <c r="E4940" s="17"/>
      <c r="F4940" s="58"/>
      <c r="G4940" s="19"/>
      <c r="H4940" s="19"/>
      <c r="I4940" s="19"/>
      <c r="J4940" s="19"/>
      <c r="K4940" s="19"/>
      <c r="L4940" s="19"/>
      <c r="M4940" s="14"/>
      <c r="N4940" s="39"/>
      <c r="Q4940" s="1"/>
      <c r="R4940" s="1"/>
      <c r="S4940" s="1"/>
      <c r="T4940" s="1"/>
      <c r="U4940" s="24"/>
      <c r="V4940" s="24"/>
      <c r="W4940" s="1"/>
      <c r="X4940" s="1"/>
      <c r="Z4940" s="94" t="s">
        <v>82</v>
      </c>
    </row>
    <row r="4941" spans="1:26" s="25" customFormat="1" ht="6.95" customHeight="1" x14ac:dyDescent="0.3">
      <c r="A4941" s="165">
        <f>+A4930+1</f>
        <v>450</v>
      </c>
      <c r="B4941" s="166"/>
      <c r="C4941" s="167"/>
      <c r="D4941" s="160" t="s">
        <v>39</v>
      </c>
      <c r="E4941" s="161"/>
      <c r="F4941" s="162" t="s">
        <v>40</v>
      </c>
      <c r="G4941" s="163"/>
      <c r="H4941" s="164"/>
      <c r="I4941" s="163"/>
      <c r="J4941" s="164"/>
      <c r="K4941" s="163"/>
      <c r="L4941" s="164"/>
      <c r="M4941" s="11"/>
      <c r="N4941" s="39"/>
      <c r="Q4941" s="15" t="str">
        <f>+CONCATENATE(E4941,G4941)</f>
        <v/>
      </c>
      <c r="R4941" s="15">
        <f>+H4941</f>
        <v>0</v>
      </c>
      <c r="S4941" s="16"/>
      <c r="T4941" s="15">
        <f>+E4941</f>
        <v>0</v>
      </c>
      <c r="U4941" s="26" t="str">
        <f>IFERROR(LEFT(G4941,FIND("*",G4941)-1),"-")</f>
        <v>-</v>
      </c>
      <c r="V4941" s="26" t="str">
        <f>IFERROR(RIGHT(G4941,LEN(G4941)-FIND("*",G4941)),"-")</f>
        <v>-</v>
      </c>
      <c r="W4941" s="27" t="str">
        <f>IFERROR((U4941+V4941)*2/1000,"-")</f>
        <v>-</v>
      </c>
      <c r="X4941" s="27" t="str">
        <f>IFERROR(W4941*H4941,"-")</f>
        <v>-</v>
      </c>
      <c r="Z4941" s="94" t="s">
        <v>82</v>
      </c>
    </row>
    <row r="4942" spans="1:26" s="25" customFormat="1" ht="6.95" customHeight="1" x14ac:dyDescent="0.3">
      <c r="A4942" s="165"/>
      <c r="B4942" s="168"/>
      <c r="C4942" s="169"/>
      <c r="D4942" s="160"/>
      <c r="E4942" s="161"/>
      <c r="F4942" s="162"/>
      <c r="G4942" s="163"/>
      <c r="H4942" s="164"/>
      <c r="I4942" s="163"/>
      <c r="J4942" s="164"/>
      <c r="K4942" s="163"/>
      <c r="L4942" s="164"/>
      <c r="M4942" s="11"/>
      <c r="N4942" s="39"/>
      <c r="Q4942" s="15" t="str">
        <f>+CONCATENATE(E4941,I4941)</f>
        <v/>
      </c>
      <c r="R4942" s="15">
        <f>+J4941</f>
        <v>0</v>
      </c>
      <c r="S4942" s="16"/>
      <c r="T4942" s="15">
        <f>+E4941</f>
        <v>0</v>
      </c>
      <c r="U4942" s="26" t="str">
        <f>IFERROR(LEFT(I4941,FIND("*",I4941)-1),"-")</f>
        <v>-</v>
      </c>
      <c r="V4942" s="26" t="str">
        <f>IFERROR(RIGHT(I4941,LEN(I4941)-FIND("*",I4941)),"-")</f>
        <v>-</v>
      </c>
      <c r="W4942" s="27" t="str">
        <f t="shared" ref="W4942:W4949" si="2692">IFERROR((U4942+V4942)*2/1000,"-")</f>
        <v>-</v>
      </c>
      <c r="X4942" s="27" t="str">
        <f>IFERROR(W4942*J4941,"-")</f>
        <v>-</v>
      </c>
      <c r="Z4942" s="94" t="s">
        <v>82</v>
      </c>
    </row>
    <row r="4943" spans="1:26" s="25" customFormat="1" ht="6.95" customHeight="1" x14ac:dyDescent="0.3">
      <c r="A4943" s="165"/>
      <c r="B4943" s="168"/>
      <c r="C4943" s="169"/>
      <c r="D4943" s="160"/>
      <c r="E4943" s="161"/>
      <c r="F4943" s="162"/>
      <c r="G4943" s="163"/>
      <c r="H4943" s="164"/>
      <c r="I4943" s="163"/>
      <c r="J4943" s="164"/>
      <c r="K4943" s="163"/>
      <c r="L4943" s="164"/>
      <c r="M4943" s="11"/>
      <c r="N4943" s="39"/>
      <c r="Q4943" s="15" t="str">
        <f>+CONCATENATE(E4941,K4941)</f>
        <v/>
      </c>
      <c r="R4943" s="15">
        <f>+L4941</f>
        <v>0</v>
      </c>
      <c r="S4943" s="16"/>
      <c r="T4943" s="15">
        <f>+E4941</f>
        <v>0</v>
      </c>
      <c r="U4943" s="26" t="str">
        <f>IFERROR(LEFT(K4941,FIND("*",K4941)-1),"-")</f>
        <v>-</v>
      </c>
      <c r="V4943" s="26" t="str">
        <f>IFERROR(RIGHT(K4941,LEN(K4941)-FIND("*",K4941)),"-")</f>
        <v>-</v>
      </c>
      <c r="W4943" s="27" t="str">
        <f t="shared" si="2692"/>
        <v>-</v>
      </c>
      <c r="X4943" s="27" t="str">
        <f>IFERROR(W4943*L4941,"-")</f>
        <v>-</v>
      </c>
      <c r="Z4943" s="94" t="s">
        <v>82</v>
      </c>
    </row>
    <row r="4944" spans="1:26" s="25" customFormat="1" ht="6.95" customHeight="1" x14ac:dyDescent="0.3">
      <c r="A4944" s="13"/>
      <c r="B4944" s="168"/>
      <c r="C4944" s="169"/>
      <c r="D4944" s="160" t="s">
        <v>39</v>
      </c>
      <c r="E4944" s="161"/>
      <c r="F4944" s="162" t="s">
        <v>40</v>
      </c>
      <c r="G4944" s="163"/>
      <c r="H4944" s="164"/>
      <c r="I4944" s="163"/>
      <c r="J4944" s="164"/>
      <c r="K4944" s="163"/>
      <c r="L4944" s="164"/>
      <c r="M4944" s="11"/>
      <c r="N4944" s="39"/>
      <c r="Q4944" s="15" t="str">
        <f>+CONCATENATE(E4944,G4944)</f>
        <v/>
      </c>
      <c r="R4944" s="15">
        <f>+H4944</f>
        <v>0</v>
      </c>
      <c r="S4944" s="16"/>
      <c r="T4944" s="15">
        <f>+E4944</f>
        <v>0</v>
      </c>
      <c r="U4944" s="26" t="str">
        <f t="shared" ref="U4944" si="2693">IFERROR(LEFT(G4944,FIND("*",G4944)-1),"-")</f>
        <v>-</v>
      </c>
      <c r="V4944" s="26" t="str">
        <f t="shared" ref="V4944" si="2694">IFERROR(RIGHT(G4944,LEN(G4944)-FIND("*",G4944)),"-")</f>
        <v>-</v>
      </c>
      <c r="W4944" s="27" t="str">
        <f t="shared" si="2692"/>
        <v>-</v>
      </c>
      <c r="X4944" s="27" t="str">
        <f>IFERROR(W4944*H4944,"-")</f>
        <v>-</v>
      </c>
      <c r="Z4944" s="94" t="s">
        <v>82</v>
      </c>
    </row>
    <row r="4945" spans="1:26" s="25" customFormat="1" ht="6.95" customHeight="1" x14ac:dyDescent="0.3">
      <c r="A4945" s="10"/>
      <c r="B4945" s="168"/>
      <c r="C4945" s="169"/>
      <c r="D4945" s="160"/>
      <c r="E4945" s="161"/>
      <c r="F4945" s="162"/>
      <c r="G4945" s="163"/>
      <c r="H4945" s="164"/>
      <c r="I4945" s="163"/>
      <c r="J4945" s="164"/>
      <c r="K4945" s="163"/>
      <c r="L4945" s="164"/>
      <c r="M4945" s="11"/>
      <c r="N4945" s="39"/>
      <c r="Q4945" s="15" t="str">
        <f>+CONCATENATE(E4944,I4944)</f>
        <v/>
      </c>
      <c r="R4945" s="15">
        <f>+J4944</f>
        <v>0</v>
      </c>
      <c r="S4945" s="16"/>
      <c r="T4945" s="15">
        <f>+E4944</f>
        <v>0</v>
      </c>
      <c r="U4945" s="26" t="str">
        <f>IFERROR(LEFT(I4944,FIND("*",I4944)-1),"-")</f>
        <v>-</v>
      </c>
      <c r="V4945" s="26" t="str">
        <f>IFERROR(RIGHT(I4944,LEN(I4944)-FIND("*",I4944)),"-")</f>
        <v>-</v>
      </c>
      <c r="W4945" s="27" t="str">
        <f t="shared" si="2692"/>
        <v>-</v>
      </c>
      <c r="X4945" s="27" t="str">
        <f>IFERROR(W4945*J4944,"-")</f>
        <v>-</v>
      </c>
      <c r="Z4945" s="94" t="s">
        <v>82</v>
      </c>
    </row>
    <row r="4946" spans="1:26" s="25" customFormat="1" ht="6.95" customHeight="1" x14ac:dyDescent="0.3">
      <c r="A4946" s="10"/>
      <c r="B4946" s="168"/>
      <c r="C4946" s="169"/>
      <c r="D4946" s="160"/>
      <c r="E4946" s="161"/>
      <c r="F4946" s="162"/>
      <c r="G4946" s="163"/>
      <c r="H4946" s="164"/>
      <c r="I4946" s="163"/>
      <c r="J4946" s="164"/>
      <c r="K4946" s="163"/>
      <c r="L4946" s="164"/>
      <c r="M4946" s="11"/>
      <c r="N4946" s="39"/>
      <c r="Q4946" s="15" t="str">
        <f>+CONCATENATE(E4944,K4944)</f>
        <v/>
      </c>
      <c r="R4946" s="15">
        <f>+L4944</f>
        <v>0</v>
      </c>
      <c r="S4946" s="16"/>
      <c r="T4946" s="15">
        <f>+E4944</f>
        <v>0</v>
      </c>
      <c r="U4946" s="26" t="str">
        <f>IFERROR(LEFT(K4944,FIND("*",K4944)-1),"-")</f>
        <v>-</v>
      </c>
      <c r="V4946" s="26" t="str">
        <f>IFERROR(RIGHT(K4944,LEN(K4944)-FIND("*",K4944)),"-")</f>
        <v>-</v>
      </c>
      <c r="W4946" s="27" t="str">
        <f t="shared" si="2692"/>
        <v>-</v>
      </c>
      <c r="X4946" s="27" t="str">
        <f>IFERROR(W4946*L4944,"-")</f>
        <v>-</v>
      </c>
      <c r="Z4946" s="94" t="s">
        <v>82</v>
      </c>
    </row>
    <row r="4947" spans="1:26" s="25" customFormat="1" ht="6.95" customHeight="1" x14ac:dyDescent="0.3">
      <c r="A4947" s="13"/>
      <c r="B4947" s="168"/>
      <c r="C4947" s="169"/>
      <c r="D4947" s="160" t="s">
        <v>39</v>
      </c>
      <c r="E4947" s="161"/>
      <c r="F4947" s="162" t="s">
        <v>40</v>
      </c>
      <c r="G4947" s="163"/>
      <c r="H4947" s="164"/>
      <c r="I4947" s="163"/>
      <c r="J4947" s="164"/>
      <c r="K4947" s="163"/>
      <c r="L4947" s="164"/>
      <c r="M4947" s="11"/>
      <c r="N4947" s="39"/>
      <c r="Q4947" s="15" t="str">
        <f>+CONCATENATE(E4947,G4947)</f>
        <v/>
      </c>
      <c r="R4947" s="15">
        <f>+H4947</f>
        <v>0</v>
      </c>
      <c r="S4947" s="16"/>
      <c r="T4947" s="15">
        <f>+E4947</f>
        <v>0</v>
      </c>
      <c r="U4947" s="26" t="str">
        <f t="shared" ref="U4947" si="2695">IFERROR(LEFT(G4947,FIND("*",G4947)-1),"-")</f>
        <v>-</v>
      </c>
      <c r="V4947" s="26" t="str">
        <f t="shared" ref="V4947" si="2696">IFERROR(RIGHT(G4947,LEN(G4947)-FIND("*",G4947)),"-")</f>
        <v>-</v>
      </c>
      <c r="W4947" s="27" t="str">
        <f t="shared" si="2692"/>
        <v>-</v>
      </c>
      <c r="X4947" s="27" t="str">
        <f>IFERROR(W4947*H4947,"-")</f>
        <v>-</v>
      </c>
      <c r="Z4947" s="94" t="s">
        <v>82</v>
      </c>
    </row>
    <row r="4948" spans="1:26" s="25" customFormat="1" ht="6.95" customHeight="1" x14ac:dyDescent="0.3">
      <c r="A4948" s="10"/>
      <c r="B4948" s="168"/>
      <c r="C4948" s="169"/>
      <c r="D4948" s="160"/>
      <c r="E4948" s="161"/>
      <c r="F4948" s="162"/>
      <c r="G4948" s="163"/>
      <c r="H4948" s="164"/>
      <c r="I4948" s="163"/>
      <c r="J4948" s="164"/>
      <c r="K4948" s="163"/>
      <c r="L4948" s="164"/>
      <c r="M4948" s="11"/>
      <c r="N4948" s="39"/>
      <c r="Q4948" s="15" t="str">
        <f>+CONCATENATE(E4947,I4947)</f>
        <v/>
      </c>
      <c r="R4948" s="15">
        <f>+J4947</f>
        <v>0</v>
      </c>
      <c r="S4948" s="16"/>
      <c r="T4948" s="15">
        <f>+E4947</f>
        <v>0</v>
      </c>
      <c r="U4948" s="26" t="str">
        <f>IFERROR(LEFT(I4947,FIND("*",I4947)-1),"-")</f>
        <v>-</v>
      </c>
      <c r="V4948" s="26" t="str">
        <f>IFERROR(RIGHT(I4947,LEN(I4947)-FIND("*",I4947)),"-")</f>
        <v>-</v>
      </c>
      <c r="W4948" s="27" t="str">
        <f t="shared" si="2692"/>
        <v>-</v>
      </c>
      <c r="X4948" s="27" t="str">
        <f t="shared" ref="X4948" si="2697">IFERROR(W4948*J4947,"-")</f>
        <v>-</v>
      </c>
      <c r="Z4948" s="94" t="s">
        <v>82</v>
      </c>
    </row>
    <row r="4949" spans="1:26" s="25" customFormat="1" ht="6.95" customHeight="1" x14ac:dyDescent="0.3">
      <c r="A4949" s="10"/>
      <c r="B4949" s="168"/>
      <c r="C4949" s="169"/>
      <c r="D4949" s="160"/>
      <c r="E4949" s="161"/>
      <c r="F4949" s="162"/>
      <c r="G4949" s="163"/>
      <c r="H4949" s="164"/>
      <c r="I4949" s="163"/>
      <c r="J4949" s="164"/>
      <c r="K4949" s="163"/>
      <c r="L4949" s="164"/>
      <c r="M4949" s="11"/>
      <c r="N4949" s="39"/>
      <c r="Q4949" s="15" t="str">
        <f>+CONCATENATE(E4947,K4947)</f>
        <v/>
      </c>
      <c r="R4949" s="15">
        <f>+L4947</f>
        <v>0</v>
      </c>
      <c r="S4949" s="16"/>
      <c r="T4949" s="15">
        <f>+E4947</f>
        <v>0</v>
      </c>
      <c r="U4949" s="26" t="str">
        <f>IFERROR(LEFT(K4947,FIND("*",K4947)-1),"-")</f>
        <v>-</v>
      </c>
      <c r="V4949" s="26" t="str">
        <f>IFERROR(RIGHT(K4947,LEN(K4947)-FIND("*",K4947)),"-")</f>
        <v>-</v>
      </c>
      <c r="W4949" s="27" t="str">
        <f t="shared" si="2692"/>
        <v>-</v>
      </c>
      <c r="X4949" s="27" t="str">
        <f>IFERROR(W4949*L4947,"-")</f>
        <v>-</v>
      </c>
      <c r="Z4949" s="94" t="s">
        <v>82</v>
      </c>
    </row>
    <row r="4950" spans="1:26" s="25" customFormat="1" ht="21" customHeight="1" thickBot="1" x14ac:dyDescent="0.35">
      <c r="A4950" s="10"/>
      <c r="B4950" s="170"/>
      <c r="C4950" s="171"/>
      <c r="D4950" s="172" t="s">
        <v>43</v>
      </c>
      <c r="E4950" s="173"/>
      <c r="F4950" s="173"/>
      <c r="G4950" s="174"/>
      <c r="H4950" s="174"/>
      <c r="I4950" s="174"/>
      <c r="J4950" s="174"/>
      <c r="K4950" s="174"/>
      <c r="L4950" s="174"/>
      <c r="M4950" s="12"/>
      <c r="N4950" s="39"/>
      <c r="U4950" s="23"/>
      <c r="V4950" s="23"/>
      <c r="Z4950" s="95" t="s">
        <v>81</v>
      </c>
    </row>
    <row r="4951" spans="1:26" s="25" customFormat="1" ht="9.9499999999999993" customHeight="1" thickBot="1" x14ac:dyDescent="0.35">
      <c r="A4951" s="6"/>
      <c r="B4951" s="14"/>
      <c r="C4951" s="119"/>
      <c r="D4951" s="58"/>
      <c r="E4951" s="17"/>
      <c r="F4951" s="58"/>
      <c r="G4951" s="19"/>
      <c r="H4951" s="19"/>
      <c r="I4951" s="19"/>
      <c r="J4951" s="19"/>
      <c r="K4951" s="19"/>
      <c r="L4951" s="19"/>
      <c r="M4951" s="14"/>
      <c r="N4951" s="39"/>
      <c r="Q4951" s="1"/>
      <c r="R4951" s="1"/>
      <c r="S4951" s="1"/>
      <c r="T4951" s="1"/>
      <c r="U4951" s="24"/>
      <c r="V4951" s="24"/>
      <c r="W4951" s="1"/>
      <c r="X4951" s="1"/>
      <c r="Z4951" s="94" t="s">
        <v>82</v>
      </c>
    </row>
    <row r="4952" spans="1:26" s="25" customFormat="1" ht="6.95" customHeight="1" x14ac:dyDescent="0.3">
      <c r="A4952" s="165">
        <f>+A4941+1</f>
        <v>451</v>
      </c>
      <c r="B4952" s="166"/>
      <c r="C4952" s="167"/>
      <c r="D4952" s="160" t="s">
        <v>39</v>
      </c>
      <c r="E4952" s="161"/>
      <c r="F4952" s="162" t="s">
        <v>40</v>
      </c>
      <c r="G4952" s="163"/>
      <c r="H4952" s="164"/>
      <c r="I4952" s="163"/>
      <c r="J4952" s="164"/>
      <c r="K4952" s="163"/>
      <c r="L4952" s="164"/>
      <c r="M4952" s="11"/>
      <c r="N4952" s="39"/>
      <c r="Q4952" s="15" t="str">
        <f>+CONCATENATE(E4952,G4952)</f>
        <v/>
      </c>
      <c r="R4952" s="15">
        <f>+H4952</f>
        <v>0</v>
      </c>
      <c r="S4952" s="16"/>
      <c r="T4952" s="15">
        <f>+E4952</f>
        <v>0</v>
      </c>
      <c r="U4952" s="26" t="str">
        <f>IFERROR(LEFT(G4952,FIND("*",G4952)-1),"-")</f>
        <v>-</v>
      </c>
      <c r="V4952" s="26" t="str">
        <f>IFERROR(RIGHT(G4952,LEN(G4952)-FIND("*",G4952)),"-")</f>
        <v>-</v>
      </c>
      <c r="W4952" s="27" t="str">
        <f>IFERROR((U4952+V4952)*2/1000,"-")</f>
        <v>-</v>
      </c>
      <c r="X4952" s="27" t="str">
        <f>IFERROR(W4952*H4952,"-")</f>
        <v>-</v>
      </c>
      <c r="Z4952" s="94" t="s">
        <v>82</v>
      </c>
    </row>
    <row r="4953" spans="1:26" s="25" customFormat="1" ht="6.95" customHeight="1" x14ac:dyDescent="0.3">
      <c r="A4953" s="165"/>
      <c r="B4953" s="168"/>
      <c r="C4953" s="169"/>
      <c r="D4953" s="160"/>
      <c r="E4953" s="161"/>
      <c r="F4953" s="162"/>
      <c r="G4953" s="163"/>
      <c r="H4953" s="164"/>
      <c r="I4953" s="163"/>
      <c r="J4953" s="164"/>
      <c r="K4953" s="163"/>
      <c r="L4953" s="164"/>
      <c r="M4953" s="11"/>
      <c r="N4953" s="39"/>
      <c r="Q4953" s="15" t="str">
        <f>+CONCATENATE(E4952,I4952)</f>
        <v/>
      </c>
      <c r="R4953" s="15">
        <f>+J4952</f>
        <v>0</v>
      </c>
      <c r="S4953" s="16"/>
      <c r="T4953" s="15">
        <f>+E4952</f>
        <v>0</v>
      </c>
      <c r="U4953" s="26" t="str">
        <f>IFERROR(LEFT(I4952,FIND("*",I4952)-1),"-")</f>
        <v>-</v>
      </c>
      <c r="V4953" s="26" t="str">
        <f>IFERROR(RIGHT(I4952,LEN(I4952)-FIND("*",I4952)),"-")</f>
        <v>-</v>
      </c>
      <c r="W4953" s="27" t="str">
        <f t="shared" ref="W4953:W4960" si="2698">IFERROR((U4953+V4953)*2/1000,"-")</f>
        <v>-</v>
      </c>
      <c r="X4953" s="27" t="str">
        <f>IFERROR(W4953*J4952,"-")</f>
        <v>-</v>
      </c>
      <c r="Z4953" s="94" t="s">
        <v>82</v>
      </c>
    </row>
    <row r="4954" spans="1:26" s="25" customFormat="1" ht="6.95" customHeight="1" x14ac:dyDescent="0.3">
      <c r="A4954" s="165"/>
      <c r="B4954" s="168"/>
      <c r="C4954" s="169"/>
      <c r="D4954" s="160"/>
      <c r="E4954" s="161"/>
      <c r="F4954" s="162"/>
      <c r="G4954" s="163"/>
      <c r="H4954" s="164"/>
      <c r="I4954" s="163"/>
      <c r="J4954" s="164"/>
      <c r="K4954" s="163"/>
      <c r="L4954" s="164"/>
      <c r="M4954" s="11"/>
      <c r="N4954" s="39"/>
      <c r="Q4954" s="15" t="str">
        <f>+CONCATENATE(E4952,K4952)</f>
        <v/>
      </c>
      <c r="R4954" s="15">
        <f>+L4952</f>
        <v>0</v>
      </c>
      <c r="S4954" s="16"/>
      <c r="T4954" s="15">
        <f>+E4952</f>
        <v>0</v>
      </c>
      <c r="U4954" s="26" t="str">
        <f>IFERROR(LEFT(K4952,FIND("*",K4952)-1),"-")</f>
        <v>-</v>
      </c>
      <c r="V4954" s="26" t="str">
        <f>IFERROR(RIGHT(K4952,LEN(K4952)-FIND("*",K4952)),"-")</f>
        <v>-</v>
      </c>
      <c r="W4954" s="27" t="str">
        <f t="shared" si="2698"/>
        <v>-</v>
      </c>
      <c r="X4954" s="27" t="str">
        <f>IFERROR(W4954*L4952,"-")</f>
        <v>-</v>
      </c>
      <c r="Z4954" s="94" t="s">
        <v>82</v>
      </c>
    </row>
    <row r="4955" spans="1:26" s="25" customFormat="1" ht="6.95" customHeight="1" x14ac:dyDescent="0.3">
      <c r="A4955" s="13"/>
      <c r="B4955" s="168"/>
      <c r="C4955" s="169"/>
      <c r="D4955" s="160" t="s">
        <v>39</v>
      </c>
      <c r="E4955" s="161"/>
      <c r="F4955" s="162" t="s">
        <v>40</v>
      </c>
      <c r="G4955" s="163"/>
      <c r="H4955" s="164"/>
      <c r="I4955" s="163"/>
      <c r="J4955" s="164"/>
      <c r="K4955" s="163"/>
      <c r="L4955" s="164"/>
      <c r="M4955" s="11"/>
      <c r="N4955" s="39"/>
      <c r="Q4955" s="15" t="str">
        <f>+CONCATENATE(E4955,G4955)</f>
        <v/>
      </c>
      <c r="R4955" s="15">
        <f>+H4955</f>
        <v>0</v>
      </c>
      <c r="S4955" s="16"/>
      <c r="T4955" s="15">
        <f>+E4955</f>
        <v>0</v>
      </c>
      <c r="U4955" s="26" t="str">
        <f t="shared" ref="U4955" si="2699">IFERROR(LEFT(G4955,FIND("*",G4955)-1),"-")</f>
        <v>-</v>
      </c>
      <c r="V4955" s="26" t="str">
        <f t="shared" ref="V4955" si="2700">IFERROR(RIGHT(G4955,LEN(G4955)-FIND("*",G4955)),"-")</f>
        <v>-</v>
      </c>
      <c r="W4955" s="27" t="str">
        <f t="shared" si="2698"/>
        <v>-</v>
      </c>
      <c r="X4955" s="27" t="str">
        <f>IFERROR(W4955*H4955,"-")</f>
        <v>-</v>
      </c>
      <c r="Z4955" s="94" t="s">
        <v>82</v>
      </c>
    </row>
    <row r="4956" spans="1:26" s="25" customFormat="1" ht="6.95" customHeight="1" x14ac:dyDescent="0.3">
      <c r="A4956" s="10"/>
      <c r="B4956" s="168"/>
      <c r="C4956" s="169"/>
      <c r="D4956" s="160"/>
      <c r="E4956" s="161"/>
      <c r="F4956" s="162"/>
      <c r="G4956" s="163"/>
      <c r="H4956" s="164"/>
      <c r="I4956" s="163"/>
      <c r="J4956" s="164"/>
      <c r="K4956" s="163"/>
      <c r="L4956" s="164"/>
      <c r="M4956" s="11"/>
      <c r="N4956" s="39"/>
      <c r="Q4956" s="15" t="str">
        <f>+CONCATENATE(E4955,I4955)</f>
        <v/>
      </c>
      <c r="R4956" s="15">
        <f>+J4955</f>
        <v>0</v>
      </c>
      <c r="S4956" s="16"/>
      <c r="T4956" s="15">
        <f>+E4955</f>
        <v>0</v>
      </c>
      <c r="U4956" s="26" t="str">
        <f>IFERROR(LEFT(I4955,FIND("*",I4955)-1),"-")</f>
        <v>-</v>
      </c>
      <c r="V4956" s="26" t="str">
        <f>IFERROR(RIGHT(I4955,LEN(I4955)-FIND("*",I4955)),"-")</f>
        <v>-</v>
      </c>
      <c r="W4956" s="27" t="str">
        <f t="shared" si="2698"/>
        <v>-</v>
      </c>
      <c r="X4956" s="27" t="str">
        <f>IFERROR(W4956*J4955,"-")</f>
        <v>-</v>
      </c>
      <c r="Z4956" s="94" t="s">
        <v>82</v>
      </c>
    </row>
    <row r="4957" spans="1:26" s="25" customFormat="1" ht="6.95" customHeight="1" x14ac:dyDescent="0.3">
      <c r="A4957" s="10"/>
      <c r="B4957" s="168"/>
      <c r="C4957" s="169"/>
      <c r="D4957" s="160"/>
      <c r="E4957" s="161"/>
      <c r="F4957" s="162"/>
      <c r="G4957" s="163"/>
      <c r="H4957" s="164"/>
      <c r="I4957" s="163"/>
      <c r="J4957" s="164"/>
      <c r="K4957" s="163"/>
      <c r="L4957" s="164"/>
      <c r="M4957" s="11"/>
      <c r="N4957" s="39"/>
      <c r="Q4957" s="15" t="str">
        <f>+CONCATENATE(E4955,K4955)</f>
        <v/>
      </c>
      <c r="R4957" s="15">
        <f>+L4955</f>
        <v>0</v>
      </c>
      <c r="S4957" s="16"/>
      <c r="T4957" s="15">
        <f>+E4955</f>
        <v>0</v>
      </c>
      <c r="U4957" s="26" t="str">
        <f>IFERROR(LEFT(K4955,FIND("*",K4955)-1),"-")</f>
        <v>-</v>
      </c>
      <c r="V4957" s="26" t="str">
        <f>IFERROR(RIGHT(K4955,LEN(K4955)-FIND("*",K4955)),"-")</f>
        <v>-</v>
      </c>
      <c r="W4957" s="27" t="str">
        <f t="shared" si="2698"/>
        <v>-</v>
      </c>
      <c r="X4957" s="27" t="str">
        <f>IFERROR(W4957*L4955,"-")</f>
        <v>-</v>
      </c>
      <c r="Z4957" s="94" t="s">
        <v>82</v>
      </c>
    </row>
    <row r="4958" spans="1:26" s="25" customFormat="1" ht="6.95" customHeight="1" x14ac:dyDescent="0.3">
      <c r="A4958" s="13"/>
      <c r="B4958" s="168"/>
      <c r="C4958" s="169"/>
      <c r="D4958" s="160" t="s">
        <v>39</v>
      </c>
      <c r="E4958" s="161"/>
      <c r="F4958" s="162" t="s">
        <v>40</v>
      </c>
      <c r="G4958" s="163"/>
      <c r="H4958" s="164"/>
      <c r="I4958" s="163"/>
      <c r="J4958" s="164"/>
      <c r="K4958" s="163"/>
      <c r="L4958" s="164"/>
      <c r="M4958" s="11"/>
      <c r="N4958" s="39"/>
      <c r="Q4958" s="15" t="str">
        <f>+CONCATENATE(E4958,G4958)</f>
        <v/>
      </c>
      <c r="R4958" s="15">
        <f>+H4958</f>
        <v>0</v>
      </c>
      <c r="S4958" s="16"/>
      <c r="T4958" s="15">
        <f>+E4958</f>
        <v>0</v>
      </c>
      <c r="U4958" s="26" t="str">
        <f t="shared" ref="U4958" si="2701">IFERROR(LEFT(G4958,FIND("*",G4958)-1),"-")</f>
        <v>-</v>
      </c>
      <c r="V4958" s="26" t="str">
        <f t="shared" ref="V4958" si="2702">IFERROR(RIGHT(G4958,LEN(G4958)-FIND("*",G4958)),"-")</f>
        <v>-</v>
      </c>
      <c r="W4958" s="27" t="str">
        <f t="shared" si="2698"/>
        <v>-</v>
      </c>
      <c r="X4958" s="27" t="str">
        <f>IFERROR(W4958*H4958,"-")</f>
        <v>-</v>
      </c>
      <c r="Z4958" s="94" t="s">
        <v>82</v>
      </c>
    </row>
    <row r="4959" spans="1:26" s="25" customFormat="1" ht="6.95" customHeight="1" x14ac:dyDescent="0.3">
      <c r="A4959" s="10"/>
      <c r="B4959" s="168"/>
      <c r="C4959" s="169"/>
      <c r="D4959" s="160"/>
      <c r="E4959" s="161"/>
      <c r="F4959" s="162"/>
      <c r="G4959" s="163"/>
      <c r="H4959" s="164"/>
      <c r="I4959" s="163"/>
      <c r="J4959" s="164"/>
      <c r="K4959" s="163"/>
      <c r="L4959" s="164"/>
      <c r="M4959" s="11"/>
      <c r="N4959" s="39"/>
      <c r="Q4959" s="15" t="str">
        <f>+CONCATENATE(E4958,I4958)</f>
        <v/>
      </c>
      <c r="R4959" s="15">
        <f>+J4958</f>
        <v>0</v>
      </c>
      <c r="S4959" s="16"/>
      <c r="T4959" s="15">
        <f>+E4958</f>
        <v>0</v>
      </c>
      <c r="U4959" s="26" t="str">
        <f>IFERROR(LEFT(I4958,FIND("*",I4958)-1),"-")</f>
        <v>-</v>
      </c>
      <c r="V4959" s="26" t="str">
        <f>IFERROR(RIGHT(I4958,LEN(I4958)-FIND("*",I4958)),"-")</f>
        <v>-</v>
      </c>
      <c r="W4959" s="27" t="str">
        <f t="shared" si="2698"/>
        <v>-</v>
      </c>
      <c r="X4959" s="27" t="str">
        <f t="shared" ref="X4959" si="2703">IFERROR(W4959*J4958,"-")</f>
        <v>-</v>
      </c>
      <c r="Z4959" s="94" t="s">
        <v>82</v>
      </c>
    </row>
    <row r="4960" spans="1:26" s="25" customFormat="1" ht="6.95" customHeight="1" x14ac:dyDescent="0.3">
      <c r="A4960" s="10"/>
      <c r="B4960" s="168"/>
      <c r="C4960" s="169"/>
      <c r="D4960" s="160"/>
      <c r="E4960" s="161"/>
      <c r="F4960" s="162"/>
      <c r="G4960" s="163"/>
      <c r="H4960" s="164"/>
      <c r="I4960" s="163"/>
      <c r="J4960" s="164"/>
      <c r="K4960" s="163"/>
      <c r="L4960" s="164"/>
      <c r="M4960" s="11"/>
      <c r="N4960" s="39"/>
      <c r="Q4960" s="15" t="str">
        <f>+CONCATENATE(E4958,K4958)</f>
        <v/>
      </c>
      <c r="R4960" s="15">
        <f>+L4958</f>
        <v>0</v>
      </c>
      <c r="S4960" s="16"/>
      <c r="T4960" s="15">
        <f>+E4958</f>
        <v>0</v>
      </c>
      <c r="U4960" s="26" t="str">
        <f>IFERROR(LEFT(K4958,FIND("*",K4958)-1),"-")</f>
        <v>-</v>
      </c>
      <c r="V4960" s="26" t="str">
        <f>IFERROR(RIGHT(K4958,LEN(K4958)-FIND("*",K4958)),"-")</f>
        <v>-</v>
      </c>
      <c r="W4960" s="27" t="str">
        <f t="shared" si="2698"/>
        <v>-</v>
      </c>
      <c r="X4960" s="27" t="str">
        <f>IFERROR(W4960*L4958,"-")</f>
        <v>-</v>
      </c>
      <c r="Z4960" s="94" t="s">
        <v>82</v>
      </c>
    </row>
    <row r="4961" spans="1:26" s="25" customFormat="1" ht="21" customHeight="1" thickBot="1" x14ac:dyDescent="0.35">
      <c r="A4961" s="10"/>
      <c r="B4961" s="170"/>
      <c r="C4961" s="171"/>
      <c r="D4961" s="172" t="s">
        <v>43</v>
      </c>
      <c r="E4961" s="173"/>
      <c r="F4961" s="173"/>
      <c r="G4961" s="174"/>
      <c r="H4961" s="174"/>
      <c r="I4961" s="174"/>
      <c r="J4961" s="174"/>
      <c r="K4961" s="174"/>
      <c r="L4961" s="174"/>
      <c r="M4961" s="12"/>
      <c r="N4961" s="39"/>
      <c r="U4961" s="23"/>
      <c r="V4961" s="23"/>
      <c r="Z4961" s="95" t="s">
        <v>81</v>
      </c>
    </row>
    <row r="4962" spans="1:26" s="25" customFormat="1" ht="9.9499999999999993" customHeight="1" thickBot="1" x14ac:dyDescent="0.35">
      <c r="A4962" s="6"/>
      <c r="B4962" s="14"/>
      <c r="C4962" s="119"/>
      <c r="D4962" s="58"/>
      <c r="E4962" s="17"/>
      <c r="F4962" s="58"/>
      <c r="G4962" s="19"/>
      <c r="H4962" s="19"/>
      <c r="I4962" s="19"/>
      <c r="J4962" s="19"/>
      <c r="K4962" s="19"/>
      <c r="L4962" s="19"/>
      <c r="M4962" s="14"/>
      <c r="N4962" s="39"/>
      <c r="Q4962" s="1"/>
      <c r="R4962" s="1"/>
      <c r="S4962" s="1"/>
      <c r="T4962" s="1"/>
      <c r="U4962" s="24"/>
      <c r="V4962" s="24"/>
      <c r="W4962" s="1"/>
      <c r="X4962" s="1"/>
      <c r="Z4962" s="94" t="s">
        <v>82</v>
      </c>
    </row>
    <row r="4963" spans="1:26" s="25" customFormat="1" ht="6.95" customHeight="1" x14ac:dyDescent="0.3">
      <c r="A4963" s="165">
        <f>+A4952+1</f>
        <v>452</v>
      </c>
      <c r="B4963" s="166"/>
      <c r="C4963" s="167"/>
      <c r="D4963" s="160" t="s">
        <v>39</v>
      </c>
      <c r="E4963" s="161"/>
      <c r="F4963" s="162" t="s">
        <v>40</v>
      </c>
      <c r="G4963" s="163"/>
      <c r="H4963" s="164"/>
      <c r="I4963" s="163"/>
      <c r="J4963" s="164"/>
      <c r="K4963" s="163"/>
      <c r="L4963" s="164"/>
      <c r="M4963" s="11"/>
      <c r="N4963" s="39"/>
      <c r="Q4963" s="15" t="str">
        <f>+CONCATENATE(E4963,G4963)</f>
        <v/>
      </c>
      <c r="R4963" s="15">
        <f>+H4963</f>
        <v>0</v>
      </c>
      <c r="S4963" s="16"/>
      <c r="T4963" s="15">
        <f>+E4963</f>
        <v>0</v>
      </c>
      <c r="U4963" s="26" t="str">
        <f>IFERROR(LEFT(G4963,FIND("*",G4963)-1),"-")</f>
        <v>-</v>
      </c>
      <c r="V4963" s="26" t="str">
        <f>IFERROR(RIGHT(G4963,LEN(G4963)-FIND("*",G4963)),"-")</f>
        <v>-</v>
      </c>
      <c r="W4963" s="27" t="str">
        <f>IFERROR((U4963+V4963)*2/1000,"-")</f>
        <v>-</v>
      </c>
      <c r="X4963" s="27" t="str">
        <f>IFERROR(W4963*H4963,"-")</f>
        <v>-</v>
      </c>
      <c r="Z4963" s="94" t="s">
        <v>82</v>
      </c>
    </row>
    <row r="4964" spans="1:26" s="25" customFormat="1" ht="6.95" customHeight="1" x14ac:dyDescent="0.3">
      <c r="A4964" s="165"/>
      <c r="B4964" s="168"/>
      <c r="C4964" s="169"/>
      <c r="D4964" s="160"/>
      <c r="E4964" s="161"/>
      <c r="F4964" s="162"/>
      <c r="G4964" s="163"/>
      <c r="H4964" s="164"/>
      <c r="I4964" s="163"/>
      <c r="J4964" s="164"/>
      <c r="K4964" s="163"/>
      <c r="L4964" s="164"/>
      <c r="M4964" s="11"/>
      <c r="N4964" s="39"/>
      <c r="Q4964" s="15" t="str">
        <f>+CONCATENATE(E4963,I4963)</f>
        <v/>
      </c>
      <c r="R4964" s="15">
        <f>+J4963</f>
        <v>0</v>
      </c>
      <c r="S4964" s="16"/>
      <c r="T4964" s="15">
        <f>+E4963</f>
        <v>0</v>
      </c>
      <c r="U4964" s="26" t="str">
        <f>IFERROR(LEFT(I4963,FIND("*",I4963)-1),"-")</f>
        <v>-</v>
      </c>
      <c r="V4964" s="26" t="str">
        <f>IFERROR(RIGHT(I4963,LEN(I4963)-FIND("*",I4963)),"-")</f>
        <v>-</v>
      </c>
      <c r="W4964" s="27" t="str">
        <f t="shared" ref="W4964:W4971" si="2704">IFERROR((U4964+V4964)*2/1000,"-")</f>
        <v>-</v>
      </c>
      <c r="X4964" s="27" t="str">
        <f>IFERROR(W4964*J4963,"-")</f>
        <v>-</v>
      </c>
      <c r="Z4964" s="94" t="s">
        <v>82</v>
      </c>
    </row>
    <row r="4965" spans="1:26" s="25" customFormat="1" ht="6.95" customHeight="1" x14ac:dyDescent="0.3">
      <c r="A4965" s="165"/>
      <c r="B4965" s="168"/>
      <c r="C4965" s="169"/>
      <c r="D4965" s="160"/>
      <c r="E4965" s="161"/>
      <c r="F4965" s="162"/>
      <c r="G4965" s="163"/>
      <c r="H4965" s="164"/>
      <c r="I4965" s="163"/>
      <c r="J4965" s="164"/>
      <c r="K4965" s="163"/>
      <c r="L4965" s="164"/>
      <c r="M4965" s="11"/>
      <c r="N4965" s="39"/>
      <c r="Q4965" s="15" t="str">
        <f>+CONCATENATE(E4963,K4963)</f>
        <v/>
      </c>
      <c r="R4965" s="15">
        <f>+L4963</f>
        <v>0</v>
      </c>
      <c r="S4965" s="16"/>
      <c r="T4965" s="15">
        <f>+E4963</f>
        <v>0</v>
      </c>
      <c r="U4965" s="26" t="str">
        <f>IFERROR(LEFT(K4963,FIND("*",K4963)-1),"-")</f>
        <v>-</v>
      </c>
      <c r="V4965" s="26" t="str">
        <f>IFERROR(RIGHT(K4963,LEN(K4963)-FIND("*",K4963)),"-")</f>
        <v>-</v>
      </c>
      <c r="W4965" s="27" t="str">
        <f t="shared" si="2704"/>
        <v>-</v>
      </c>
      <c r="X4965" s="27" t="str">
        <f>IFERROR(W4965*L4963,"-")</f>
        <v>-</v>
      </c>
      <c r="Z4965" s="94" t="s">
        <v>82</v>
      </c>
    </row>
    <row r="4966" spans="1:26" s="25" customFormat="1" ht="6.95" customHeight="1" x14ac:dyDescent="0.3">
      <c r="A4966" s="13"/>
      <c r="B4966" s="168"/>
      <c r="C4966" s="169"/>
      <c r="D4966" s="160" t="s">
        <v>39</v>
      </c>
      <c r="E4966" s="161"/>
      <c r="F4966" s="162" t="s">
        <v>40</v>
      </c>
      <c r="G4966" s="163"/>
      <c r="H4966" s="164"/>
      <c r="I4966" s="163"/>
      <c r="J4966" s="164"/>
      <c r="K4966" s="163"/>
      <c r="L4966" s="164"/>
      <c r="M4966" s="11"/>
      <c r="N4966" s="39"/>
      <c r="Q4966" s="15" t="str">
        <f>+CONCATENATE(E4966,G4966)</f>
        <v/>
      </c>
      <c r="R4966" s="15">
        <f>+H4966</f>
        <v>0</v>
      </c>
      <c r="S4966" s="16"/>
      <c r="T4966" s="15">
        <f>+E4966</f>
        <v>0</v>
      </c>
      <c r="U4966" s="26" t="str">
        <f t="shared" ref="U4966" si="2705">IFERROR(LEFT(G4966,FIND("*",G4966)-1),"-")</f>
        <v>-</v>
      </c>
      <c r="V4966" s="26" t="str">
        <f t="shared" ref="V4966" si="2706">IFERROR(RIGHT(G4966,LEN(G4966)-FIND("*",G4966)),"-")</f>
        <v>-</v>
      </c>
      <c r="W4966" s="27" t="str">
        <f t="shared" si="2704"/>
        <v>-</v>
      </c>
      <c r="X4966" s="27" t="str">
        <f>IFERROR(W4966*H4966,"-")</f>
        <v>-</v>
      </c>
      <c r="Z4966" s="94" t="s">
        <v>82</v>
      </c>
    </row>
    <row r="4967" spans="1:26" s="25" customFormat="1" ht="6.95" customHeight="1" x14ac:dyDescent="0.3">
      <c r="A4967" s="10"/>
      <c r="B4967" s="168"/>
      <c r="C4967" s="169"/>
      <c r="D4967" s="160"/>
      <c r="E4967" s="161"/>
      <c r="F4967" s="162"/>
      <c r="G4967" s="163"/>
      <c r="H4967" s="164"/>
      <c r="I4967" s="163"/>
      <c r="J4967" s="164"/>
      <c r="K4967" s="163"/>
      <c r="L4967" s="164"/>
      <c r="M4967" s="11"/>
      <c r="N4967" s="39"/>
      <c r="Q4967" s="15" t="str">
        <f>+CONCATENATE(E4966,I4966)</f>
        <v/>
      </c>
      <c r="R4967" s="15">
        <f>+J4966</f>
        <v>0</v>
      </c>
      <c r="S4967" s="16"/>
      <c r="T4967" s="15">
        <f>+E4966</f>
        <v>0</v>
      </c>
      <c r="U4967" s="26" t="str">
        <f>IFERROR(LEFT(I4966,FIND("*",I4966)-1),"-")</f>
        <v>-</v>
      </c>
      <c r="V4967" s="26" t="str">
        <f>IFERROR(RIGHT(I4966,LEN(I4966)-FIND("*",I4966)),"-")</f>
        <v>-</v>
      </c>
      <c r="W4967" s="27" t="str">
        <f t="shared" si="2704"/>
        <v>-</v>
      </c>
      <c r="X4967" s="27" t="str">
        <f>IFERROR(W4967*J4966,"-")</f>
        <v>-</v>
      </c>
      <c r="Z4967" s="94" t="s">
        <v>82</v>
      </c>
    </row>
    <row r="4968" spans="1:26" s="25" customFormat="1" ht="6.95" customHeight="1" x14ac:dyDescent="0.3">
      <c r="A4968" s="10"/>
      <c r="B4968" s="168"/>
      <c r="C4968" s="169"/>
      <c r="D4968" s="160"/>
      <c r="E4968" s="161"/>
      <c r="F4968" s="162"/>
      <c r="G4968" s="163"/>
      <c r="H4968" s="164"/>
      <c r="I4968" s="163"/>
      <c r="J4968" s="164"/>
      <c r="K4968" s="163"/>
      <c r="L4968" s="164"/>
      <c r="M4968" s="11"/>
      <c r="N4968" s="39"/>
      <c r="Q4968" s="15" t="str">
        <f>+CONCATENATE(E4966,K4966)</f>
        <v/>
      </c>
      <c r="R4968" s="15">
        <f>+L4966</f>
        <v>0</v>
      </c>
      <c r="S4968" s="16"/>
      <c r="T4968" s="15">
        <f>+E4966</f>
        <v>0</v>
      </c>
      <c r="U4968" s="26" t="str">
        <f>IFERROR(LEFT(K4966,FIND("*",K4966)-1),"-")</f>
        <v>-</v>
      </c>
      <c r="V4968" s="26" t="str">
        <f>IFERROR(RIGHT(K4966,LEN(K4966)-FIND("*",K4966)),"-")</f>
        <v>-</v>
      </c>
      <c r="W4968" s="27" t="str">
        <f t="shared" si="2704"/>
        <v>-</v>
      </c>
      <c r="X4968" s="27" t="str">
        <f>IFERROR(W4968*L4966,"-")</f>
        <v>-</v>
      </c>
      <c r="Z4968" s="94" t="s">
        <v>82</v>
      </c>
    </row>
    <row r="4969" spans="1:26" s="25" customFormat="1" ht="6.95" customHeight="1" x14ac:dyDescent="0.3">
      <c r="A4969" s="13"/>
      <c r="B4969" s="168"/>
      <c r="C4969" s="169"/>
      <c r="D4969" s="160" t="s">
        <v>39</v>
      </c>
      <c r="E4969" s="161"/>
      <c r="F4969" s="162" t="s">
        <v>40</v>
      </c>
      <c r="G4969" s="163"/>
      <c r="H4969" s="164"/>
      <c r="I4969" s="163"/>
      <c r="J4969" s="164"/>
      <c r="K4969" s="163"/>
      <c r="L4969" s="164"/>
      <c r="M4969" s="11"/>
      <c r="N4969" s="39"/>
      <c r="Q4969" s="15" t="str">
        <f>+CONCATENATE(E4969,G4969)</f>
        <v/>
      </c>
      <c r="R4969" s="15">
        <f>+H4969</f>
        <v>0</v>
      </c>
      <c r="S4969" s="16"/>
      <c r="T4969" s="15">
        <f>+E4969</f>
        <v>0</v>
      </c>
      <c r="U4969" s="26" t="str">
        <f t="shared" ref="U4969" si="2707">IFERROR(LEFT(G4969,FIND("*",G4969)-1),"-")</f>
        <v>-</v>
      </c>
      <c r="V4969" s="26" t="str">
        <f t="shared" ref="V4969" si="2708">IFERROR(RIGHT(G4969,LEN(G4969)-FIND("*",G4969)),"-")</f>
        <v>-</v>
      </c>
      <c r="W4969" s="27" t="str">
        <f t="shared" si="2704"/>
        <v>-</v>
      </c>
      <c r="X4969" s="27" t="str">
        <f>IFERROR(W4969*H4969,"-")</f>
        <v>-</v>
      </c>
      <c r="Z4969" s="94" t="s">
        <v>82</v>
      </c>
    </row>
    <row r="4970" spans="1:26" s="25" customFormat="1" ht="6.95" customHeight="1" x14ac:dyDescent="0.3">
      <c r="A4970" s="10"/>
      <c r="B4970" s="168"/>
      <c r="C4970" s="169"/>
      <c r="D4970" s="160"/>
      <c r="E4970" s="161"/>
      <c r="F4970" s="162"/>
      <c r="G4970" s="163"/>
      <c r="H4970" s="164"/>
      <c r="I4970" s="163"/>
      <c r="J4970" s="164"/>
      <c r="K4970" s="163"/>
      <c r="L4970" s="164"/>
      <c r="M4970" s="11"/>
      <c r="N4970" s="39"/>
      <c r="Q4970" s="15" t="str">
        <f>+CONCATENATE(E4969,I4969)</f>
        <v/>
      </c>
      <c r="R4970" s="15">
        <f>+J4969</f>
        <v>0</v>
      </c>
      <c r="S4970" s="16"/>
      <c r="T4970" s="15">
        <f>+E4969</f>
        <v>0</v>
      </c>
      <c r="U4970" s="26" t="str">
        <f>IFERROR(LEFT(I4969,FIND("*",I4969)-1),"-")</f>
        <v>-</v>
      </c>
      <c r="V4970" s="26" t="str">
        <f>IFERROR(RIGHT(I4969,LEN(I4969)-FIND("*",I4969)),"-")</f>
        <v>-</v>
      </c>
      <c r="W4970" s="27" t="str">
        <f t="shared" si="2704"/>
        <v>-</v>
      </c>
      <c r="X4970" s="27" t="str">
        <f t="shared" ref="X4970" si="2709">IFERROR(W4970*J4969,"-")</f>
        <v>-</v>
      </c>
      <c r="Z4970" s="94" t="s">
        <v>82</v>
      </c>
    </row>
    <row r="4971" spans="1:26" s="25" customFormat="1" ht="6.95" customHeight="1" x14ac:dyDescent="0.3">
      <c r="A4971" s="10"/>
      <c r="B4971" s="168"/>
      <c r="C4971" s="169"/>
      <c r="D4971" s="160"/>
      <c r="E4971" s="161"/>
      <c r="F4971" s="162"/>
      <c r="G4971" s="163"/>
      <c r="H4971" s="164"/>
      <c r="I4971" s="163"/>
      <c r="J4971" s="164"/>
      <c r="K4971" s="163"/>
      <c r="L4971" s="164"/>
      <c r="M4971" s="11"/>
      <c r="N4971" s="39"/>
      <c r="Q4971" s="15" t="str">
        <f>+CONCATENATE(E4969,K4969)</f>
        <v/>
      </c>
      <c r="R4971" s="15">
        <f>+L4969</f>
        <v>0</v>
      </c>
      <c r="S4971" s="16"/>
      <c r="T4971" s="15">
        <f>+E4969</f>
        <v>0</v>
      </c>
      <c r="U4971" s="26" t="str">
        <f>IFERROR(LEFT(K4969,FIND("*",K4969)-1),"-")</f>
        <v>-</v>
      </c>
      <c r="V4971" s="26" t="str">
        <f>IFERROR(RIGHT(K4969,LEN(K4969)-FIND("*",K4969)),"-")</f>
        <v>-</v>
      </c>
      <c r="W4971" s="27" t="str">
        <f t="shared" si="2704"/>
        <v>-</v>
      </c>
      <c r="X4971" s="27" t="str">
        <f>IFERROR(W4971*L4969,"-")</f>
        <v>-</v>
      </c>
      <c r="Z4971" s="94" t="s">
        <v>82</v>
      </c>
    </row>
    <row r="4972" spans="1:26" s="25" customFormat="1" ht="21" customHeight="1" thickBot="1" x14ac:dyDescent="0.35">
      <c r="A4972" s="10"/>
      <c r="B4972" s="170"/>
      <c r="C4972" s="171"/>
      <c r="D4972" s="172" t="s">
        <v>43</v>
      </c>
      <c r="E4972" s="173"/>
      <c r="F4972" s="173"/>
      <c r="G4972" s="174"/>
      <c r="H4972" s="174"/>
      <c r="I4972" s="174"/>
      <c r="J4972" s="174"/>
      <c r="K4972" s="174"/>
      <c r="L4972" s="174"/>
      <c r="M4972" s="12"/>
      <c r="N4972" s="39"/>
      <c r="U4972" s="23"/>
      <c r="V4972" s="23"/>
      <c r="Z4972" s="95" t="s">
        <v>81</v>
      </c>
    </row>
    <row r="4973" spans="1:26" s="25" customFormat="1" ht="9.9499999999999993" customHeight="1" thickBot="1" x14ac:dyDescent="0.35">
      <c r="A4973" s="6"/>
      <c r="B4973" s="14"/>
      <c r="C4973" s="119"/>
      <c r="D4973" s="58"/>
      <c r="E4973" s="17"/>
      <c r="F4973" s="58"/>
      <c r="G4973" s="19"/>
      <c r="H4973" s="19"/>
      <c r="I4973" s="19"/>
      <c r="J4973" s="19"/>
      <c r="K4973" s="19"/>
      <c r="L4973" s="19"/>
      <c r="M4973" s="14"/>
      <c r="N4973" s="39"/>
      <c r="Q4973" s="1"/>
      <c r="R4973" s="1"/>
      <c r="S4973" s="1"/>
      <c r="T4973" s="1"/>
      <c r="U4973" s="24"/>
      <c r="V4973" s="24"/>
      <c r="W4973" s="1"/>
      <c r="X4973" s="1"/>
      <c r="Z4973" s="94" t="s">
        <v>82</v>
      </c>
    </row>
    <row r="4974" spans="1:26" s="25" customFormat="1" ht="6.95" customHeight="1" x14ac:dyDescent="0.3">
      <c r="A4974" s="165">
        <f>+A4963+1</f>
        <v>453</v>
      </c>
      <c r="B4974" s="166"/>
      <c r="C4974" s="167"/>
      <c r="D4974" s="160" t="s">
        <v>39</v>
      </c>
      <c r="E4974" s="161"/>
      <c r="F4974" s="162" t="s">
        <v>40</v>
      </c>
      <c r="G4974" s="163"/>
      <c r="H4974" s="164"/>
      <c r="I4974" s="163"/>
      <c r="J4974" s="164"/>
      <c r="K4974" s="163"/>
      <c r="L4974" s="164"/>
      <c r="M4974" s="11"/>
      <c r="N4974" s="39"/>
      <c r="Q4974" s="15" t="str">
        <f>+CONCATENATE(E4974,G4974)</f>
        <v/>
      </c>
      <c r="R4974" s="15">
        <f>+H4974</f>
        <v>0</v>
      </c>
      <c r="S4974" s="16"/>
      <c r="T4974" s="15">
        <f>+E4974</f>
        <v>0</v>
      </c>
      <c r="U4974" s="26" t="str">
        <f>IFERROR(LEFT(G4974,FIND("*",G4974)-1),"-")</f>
        <v>-</v>
      </c>
      <c r="V4974" s="26" t="str">
        <f>IFERROR(RIGHT(G4974,LEN(G4974)-FIND("*",G4974)),"-")</f>
        <v>-</v>
      </c>
      <c r="W4974" s="27" t="str">
        <f>IFERROR((U4974+V4974)*2/1000,"-")</f>
        <v>-</v>
      </c>
      <c r="X4974" s="27" t="str">
        <f>IFERROR(W4974*H4974,"-")</f>
        <v>-</v>
      </c>
      <c r="Z4974" s="94" t="s">
        <v>82</v>
      </c>
    </row>
    <row r="4975" spans="1:26" s="25" customFormat="1" ht="6.95" customHeight="1" x14ac:dyDescent="0.3">
      <c r="A4975" s="165"/>
      <c r="B4975" s="168"/>
      <c r="C4975" s="169"/>
      <c r="D4975" s="160"/>
      <c r="E4975" s="161"/>
      <c r="F4975" s="162"/>
      <c r="G4975" s="163"/>
      <c r="H4975" s="164"/>
      <c r="I4975" s="163"/>
      <c r="J4975" s="164"/>
      <c r="K4975" s="163"/>
      <c r="L4975" s="164"/>
      <c r="M4975" s="11"/>
      <c r="N4975" s="39"/>
      <c r="Q4975" s="15" t="str">
        <f>+CONCATENATE(E4974,I4974)</f>
        <v/>
      </c>
      <c r="R4975" s="15">
        <f>+J4974</f>
        <v>0</v>
      </c>
      <c r="S4975" s="16"/>
      <c r="T4975" s="15">
        <f>+E4974</f>
        <v>0</v>
      </c>
      <c r="U4975" s="26" t="str">
        <f>IFERROR(LEFT(I4974,FIND("*",I4974)-1),"-")</f>
        <v>-</v>
      </c>
      <c r="V4975" s="26" t="str">
        <f>IFERROR(RIGHT(I4974,LEN(I4974)-FIND("*",I4974)),"-")</f>
        <v>-</v>
      </c>
      <c r="W4975" s="27" t="str">
        <f t="shared" ref="W4975:W4982" si="2710">IFERROR((U4975+V4975)*2/1000,"-")</f>
        <v>-</v>
      </c>
      <c r="X4975" s="27" t="str">
        <f>IFERROR(W4975*J4974,"-")</f>
        <v>-</v>
      </c>
      <c r="Z4975" s="94" t="s">
        <v>82</v>
      </c>
    </row>
    <row r="4976" spans="1:26" s="25" customFormat="1" ht="6.95" customHeight="1" x14ac:dyDescent="0.3">
      <c r="A4976" s="165"/>
      <c r="B4976" s="168"/>
      <c r="C4976" s="169"/>
      <c r="D4976" s="160"/>
      <c r="E4976" s="161"/>
      <c r="F4976" s="162"/>
      <c r="G4976" s="163"/>
      <c r="H4976" s="164"/>
      <c r="I4976" s="163"/>
      <c r="J4976" s="164"/>
      <c r="K4976" s="163"/>
      <c r="L4976" s="164"/>
      <c r="M4976" s="11"/>
      <c r="N4976" s="39"/>
      <c r="Q4976" s="15" t="str">
        <f>+CONCATENATE(E4974,K4974)</f>
        <v/>
      </c>
      <c r="R4976" s="15">
        <f>+L4974</f>
        <v>0</v>
      </c>
      <c r="S4976" s="16"/>
      <c r="T4976" s="15">
        <f>+E4974</f>
        <v>0</v>
      </c>
      <c r="U4976" s="26" t="str">
        <f>IFERROR(LEFT(K4974,FIND("*",K4974)-1),"-")</f>
        <v>-</v>
      </c>
      <c r="V4976" s="26" t="str">
        <f>IFERROR(RIGHT(K4974,LEN(K4974)-FIND("*",K4974)),"-")</f>
        <v>-</v>
      </c>
      <c r="W4976" s="27" t="str">
        <f t="shared" si="2710"/>
        <v>-</v>
      </c>
      <c r="X4976" s="27" t="str">
        <f>IFERROR(W4976*L4974,"-")</f>
        <v>-</v>
      </c>
      <c r="Z4976" s="94" t="s">
        <v>82</v>
      </c>
    </row>
    <row r="4977" spans="1:26" s="25" customFormat="1" ht="6.95" customHeight="1" x14ac:dyDescent="0.3">
      <c r="A4977" s="13"/>
      <c r="B4977" s="168"/>
      <c r="C4977" s="169"/>
      <c r="D4977" s="160" t="s">
        <v>39</v>
      </c>
      <c r="E4977" s="161"/>
      <c r="F4977" s="162" t="s">
        <v>40</v>
      </c>
      <c r="G4977" s="163"/>
      <c r="H4977" s="164"/>
      <c r="I4977" s="163"/>
      <c r="J4977" s="164"/>
      <c r="K4977" s="163"/>
      <c r="L4977" s="164"/>
      <c r="M4977" s="11"/>
      <c r="N4977" s="39"/>
      <c r="Q4977" s="15" t="str">
        <f>+CONCATENATE(E4977,G4977)</f>
        <v/>
      </c>
      <c r="R4977" s="15">
        <f>+H4977</f>
        <v>0</v>
      </c>
      <c r="S4977" s="16"/>
      <c r="T4977" s="15">
        <f>+E4977</f>
        <v>0</v>
      </c>
      <c r="U4977" s="26" t="str">
        <f t="shared" ref="U4977" si="2711">IFERROR(LEFT(G4977,FIND("*",G4977)-1),"-")</f>
        <v>-</v>
      </c>
      <c r="V4977" s="26" t="str">
        <f t="shared" ref="V4977" si="2712">IFERROR(RIGHT(G4977,LEN(G4977)-FIND("*",G4977)),"-")</f>
        <v>-</v>
      </c>
      <c r="W4977" s="27" t="str">
        <f t="shared" si="2710"/>
        <v>-</v>
      </c>
      <c r="X4977" s="27" t="str">
        <f>IFERROR(W4977*H4977,"-")</f>
        <v>-</v>
      </c>
      <c r="Z4977" s="94" t="s">
        <v>82</v>
      </c>
    </row>
    <row r="4978" spans="1:26" s="25" customFormat="1" ht="6.95" customHeight="1" x14ac:dyDescent="0.3">
      <c r="A4978" s="10"/>
      <c r="B4978" s="168"/>
      <c r="C4978" s="169"/>
      <c r="D4978" s="160"/>
      <c r="E4978" s="161"/>
      <c r="F4978" s="162"/>
      <c r="G4978" s="163"/>
      <c r="H4978" s="164"/>
      <c r="I4978" s="163"/>
      <c r="J4978" s="164"/>
      <c r="K4978" s="163"/>
      <c r="L4978" s="164"/>
      <c r="M4978" s="11"/>
      <c r="N4978" s="39"/>
      <c r="Q4978" s="15" t="str">
        <f>+CONCATENATE(E4977,I4977)</f>
        <v/>
      </c>
      <c r="R4978" s="15">
        <f>+J4977</f>
        <v>0</v>
      </c>
      <c r="S4978" s="16"/>
      <c r="T4978" s="15">
        <f>+E4977</f>
        <v>0</v>
      </c>
      <c r="U4978" s="26" t="str">
        <f>IFERROR(LEFT(I4977,FIND("*",I4977)-1),"-")</f>
        <v>-</v>
      </c>
      <c r="V4978" s="26" t="str">
        <f>IFERROR(RIGHT(I4977,LEN(I4977)-FIND("*",I4977)),"-")</f>
        <v>-</v>
      </c>
      <c r="W4978" s="27" t="str">
        <f t="shared" si="2710"/>
        <v>-</v>
      </c>
      <c r="X4978" s="27" t="str">
        <f>IFERROR(W4978*J4977,"-")</f>
        <v>-</v>
      </c>
      <c r="Z4978" s="94" t="s">
        <v>82</v>
      </c>
    </row>
    <row r="4979" spans="1:26" s="25" customFormat="1" ht="6.95" customHeight="1" x14ac:dyDescent="0.3">
      <c r="A4979" s="10"/>
      <c r="B4979" s="168"/>
      <c r="C4979" s="169"/>
      <c r="D4979" s="160"/>
      <c r="E4979" s="161"/>
      <c r="F4979" s="162"/>
      <c r="G4979" s="163"/>
      <c r="H4979" s="164"/>
      <c r="I4979" s="163"/>
      <c r="J4979" s="164"/>
      <c r="K4979" s="163"/>
      <c r="L4979" s="164"/>
      <c r="M4979" s="11"/>
      <c r="N4979" s="39"/>
      <c r="Q4979" s="15" t="str">
        <f>+CONCATENATE(E4977,K4977)</f>
        <v/>
      </c>
      <c r="R4979" s="15">
        <f>+L4977</f>
        <v>0</v>
      </c>
      <c r="S4979" s="16"/>
      <c r="T4979" s="15">
        <f>+E4977</f>
        <v>0</v>
      </c>
      <c r="U4979" s="26" t="str">
        <f>IFERROR(LEFT(K4977,FIND("*",K4977)-1),"-")</f>
        <v>-</v>
      </c>
      <c r="V4979" s="26" t="str">
        <f>IFERROR(RIGHT(K4977,LEN(K4977)-FIND("*",K4977)),"-")</f>
        <v>-</v>
      </c>
      <c r="W4979" s="27" t="str">
        <f t="shared" si="2710"/>
        <v>-</v>
      </c>
      <c r="X4979" s="27" t="str">
        <f>IFERROR(W4979*L4977,"-")</f>
        <v>-</v>
      </c>
      <c r="Z4979" s="94" t="s">
        <v>82</v>
      </c>
    </row>
    <row r="4980" spans="1:26" s="25" customFormat="1" ht="6.95" customHeight="1" x14ac:dyDescent="0.3">
      <c r="A4980" s="13"/>
      <c r="B4980" s="168"/>
      <c r="C4980" s="169"/>
      <c r="D4980" s="160" t="s">
        <v>39</v>
      </c>
      <c r="E4980" s="161"/>
      <c r="F4980" s="162" t="s">
        <v>40</v>
      </c>
      <c r="G4980" s="163"/>
      <c r="H4980" s="164"/>
      <c r="I4980" s="163"/>
      <c r="J4980" s="164"/>
      <c r="K4980" s="163"/>
      <c r="L4980" s="164"/>
      <c r="M4980" s="11"/>
      <c r="N4980" s="39"/>
      <c r="Q4980" s="15" t="str">
        <f>+CONCATENATE(E4980,G4980)</f>
        <v/>
      </c>
      <c r="R4980" s="15">
        <f>+H4980</f>
        <v>0</v>
      </c>
      <c r="S4980" s="16"/>
      <c r="T4980" s="15">
        <f>+E4980</f>
        <v>0</v>
      </c>
      <c r="U4980" s="26" t="str">
        <f t="shared" ref="U4980" si="2713">IFERROR(LEFT(G4980,FIND("*",G4980)-1),"-")</f>
        <v>-</v>
      </c>
      <c r="V4980" s="26" t="str">
        <f t="shared" ref="V4980" si="2714">IFERROR(RIGHT(G4980,LEN(G4980)-FIND("*",G4980)),"-")</f>
        <v>-</v>
      </c>
      <c r="W4980" s="27" t="str">
        <f t="shared" si="2710"/>
        <v>-</v>
      </c>
      <c r="X4980" s="27" t="str">
        <f>IFERROR(W4980*H4980,"-")</f>
        <v>-</v>
      </c>
      <c r="Z4980" s="94" t="s">
        <v>82</v>
      </c>
    </row>
    <row r="4981" spans="1:26" s="25" customFormat="1" ht="6.95" customHeight="1" x14ac:dyDescent="0.3">
      <c r="A4981" s="10"/>
      <c r="B4981" s="168"/>
      <c r="C4981" s="169"/>
      <c r="D4981" s="160"/>
      <c r="E4981" s="161"/>
      <c r="F4981" s="162"/>
      <c r="G4981" s="163"/>
      <c r="H4981" s="164"/>
      <c r="I4981" s="163"/>
      <c r="J4981" s="164"/>
      <c r="K4981" s="163"/>
      <c r="L4981" s="164"/>
      <c r="M4981" s="11"/>
      <c r="N4981" s="39"/>
      <c r="Q4981" s="15" t="str">
        <f>+CONCATENATE(E4980,I4980)</f>
        <v/>
      </c>
      <c r="R4981" s="15">
        <f>+J4980</f>
        <v>0</v>
      </c>
      <c r="S4981" s="16"/>
      <c r="T4981" s="15">
        <f>+E4980</f>
        <v>0</v>
      </c>
      <c r="U4981" s="26" t="str">
        <f>IFERROR(LEFT(I4980,FIND("*",I4980)-1),"-")</f>
        <v>-</v>
      </c>
      <c r="V4981" s="26" t="str">
        <f>IFERROR(RIGHT(I4980,LEN(I4980)-FIND("*",I4980)),"-")</f>
        <v>-</v>
      </c>
      <c r="W4981" s="27" t="str">
        <f t="shared" si="2710"/>
        <v>-</v>
      </c>
      <c r="X4981" s="27" t="str">
        <f t="shared" ref="X4981" si="2715">IFERROR(W4981*J4980,"-")</f>
        <v>-</v>
      </c>
      <c r="Z4981" s="94" t="s">
        <v>82</v>
      </c>
    </row>
    <row r="4982" spans="1:26" s="25" customFormat="1" ht="6.95" customHeight="1" x14ac:dyDescent="0.3">
      <c r="A4982" s="10"/>
      <c r="B4982" s="168"/>
      <c r="C4982" s="169"/>
      <c r="D4982" s="160"/>
      <c r="E4982" s="161"/>
      <c r="F4982" s="162"/>
      <c r="G4982" s="163"/>
      <c r="H4982" s="164"/>
      <c r="I4982" s="163"/>
      <c r="J4982" s="164"/>
      <c r="K4982" s="163"/>
      <c r="L4982" s="164"/>
      <c r="M4982" s="11"/>
      <c r="N4982" s="39"/>
      <c r="Q4982" s="15" t="str">
        <f>+CONCATENATE(E4980,K4980)</f>
        <v/>
      </c>
      <c r="R4982" s="15">
        <f>+L4980</f>
        <v>0</v>
      </c>
      <c r="S4982" s="16"/>
      <c r="T4982" s="15">
        <f>+E4980</f>
        <v>0</v>
      </c>
      <c r="U4982" s="26" t="str">
        <f>IFERROR(LEFT(K4980,FIND("*",K4980)-1),"-")</f>
        <v>-</v>
      </c>
      <c r="V4982" s="26" t="str">
        <f>IFERROR(RIGHT(K4980,LEN(K4980)-FIND("*",K4980)),"-")</f>
        <v>-</v>
      </c>
      <c r="W4982" s="27" t="str">
        <f t="shared" si="2710"/>
        <v>-</v>
      </c>
      <c r="X4982" s="27" t="str">
        <f>IFERROR(W4982*L4980,"-")</f>
        <v>-</v>
      </c>
      <c r="Z4982" s="94" t="s">
        <v>82</v>
      </c>
    </row>
    <row r="4983" spans="1:26" s="25" customFormat="1" ht="21" customHeight="1" thickBot="1" x14ac:dyDescent="0.35">
      <c r="A4983" s="10"/>
      <c r="B4983" s="170"/>
      <c r="C4983" s="171"/>
      <c r="D4983" s="172" t="s">
        <v>43</v>
      </c>
      <c r="E4983" s="173"/>
      <c r="F4983" s="173"/>
      <c r="G4983" s="174"/>
      <c r="H4983" s="174"/>
      <c r="I4983" s="174"/>
      <c r="J4983" s="174"/>
      <c r="K4983" s="174"/>
      <c r="L4983" s="174"/>
      <c r="M4983" s="12"/>
      <c r="N4983" s="39"/>
      <c r="U4983" s="23"/>
      <c r="V4983" s="23"/>
      <c r="Z4983" s="95" t="s">
        <v>81</v>
      </c>
    </row>
    <row r="4984" spans="1:26" s="25" customFormat="1" ht="9.9499999999999993" customHeight="1" thickBot="1" x14ac:dyDescent="0.35">
      <c r="A4984" s="6"/>
      <c r="B4984" s="14"/>
      <c r="C4984" s="119"/>
      <c r="D4984" s="58"/>
      <c r="E4984" s="17"/>
      <c r="F4984" s="58"/>
      <c r="G4984" s="19"/>
      <c r="H4984" s="19"/>
      <c r="I4984" s="19"/>
      <c r="J4984" s="19"/>
      <c r="K4984" s="19"/>
      <c r="L4984" s="19"/>
      <c r="M4984" s="14"/>
      <c r="N4984" s="39"/>
      <c r="Q4984" s="1"/>
      <c r="R4984" s="1"/>
      <c r="S4984" s="1"/>
      <c r="T4984" s="1"/>
      <c r="U4984" s="24"/>
      <c r="V4984" s="24"/>
      <c r="W4984" s="1"/>
      <c r="X4984" s="1"/>
      <c r="Z4984" s="94" t="s">
        <v>82</v>
      </c>
    </row>
    <row r="4985" spans="1:26" s="25" customFormat="1" ht="6.95" customHeight="1" x14ac:dyDescent="0.3">
      <c r="A4985" s="165">
        <f>+A4974+1</f>
        <v>454</v>
      </c>
      <c r="B4985" s="166"/>
      <c r="C4985" s="167"/>
      <c r="D4985" s="160" t="s">
        <v>39</v>
      </c>
      <c r="E4985" s="161"/>
      <c r="F4985" s="162" t="s">
        <v>40</v>
      </c>
      <c r="G4985" s="163"/>
      <c r="H4985" s="164"/>
      <c r="I4985" s="163"/>
      <c r="J4985" s="164"/>
      <c r="K4985" s="163"/>
      <c r="L4985" s="164"/>
      <c r="M4985" s="11"/>
      <c r="N4985" s="39"/>
      <c r="Q4985" s="15" t="str">
        <f>+CONCATENATE(E4985,G4985)</f>
        <v/>
      </c>
      <c r="R4985" s="15">
        <f>+H4985</f>
        <v>0</v>
      </c>
      <c r="S4985" s="16"/>
      <c r="T4985" s="15">
        <f>+E4985</f>
        <v>0</v>
      </c>
      <c r="U4985" s="26" t="str">
        <f>IFERROR(LEFT(G4985,FIND("*",G4985)-1),"-")</f>
        <v>-</v>
      </c>
      <c r="V4985" s="26" t="str">
        <f>IFERROR(RIGHT(G4985,LEN(G4985)-FIND("*",G4985)),"-")</f>
        <v>-</v>
      </c>
      <c r="W4985" s="27" t="str">
        <f>IFERROR((U4985+V4985)*2/1000,"-")</f>
        <v>-</v>
      </c>
      <c r="X4985" s="27" t="str">
        <f>IFERROR(W4985*H4985,"-")</f>
        <v>-</v>
      </c>
      <c r="Z4985" s="94" t="s">
        <v>82</v>
      </c>
    </row>
    <row r="4986" spans="1:26" s="25" customFormat="1" ht="6.95" customHeight="1" x14ac:dyDescent="0.3">
      <c r="A4986" s="165"/>
      <c r="B4986" s="168"/>
      <c r="C4986" s="169"/>
      <c r="D4986" s="160"/>
      <c r="E4986" s="161"/>
      <c r="F4986" s="162"/>
      <c r="G4986" s="163"/>
      <c r="H4986" s="164"/>
      <c r="I4986" s="163"/>
      <c r="J4986" s="164"/>
      <c r="K4986" s="163"/>
      <c r="L4986" s="164"/>
      <c r="M4986" s="11"/>
      <c r="N4986" s="39"/>
      <c r="Q4986" s="15" t="str">
        <f>+CONCATENATE(E4985,I4985)</f>
        <v/>
      </c>
      <c r="R4986" s="15">
        <f>+J4985</f>
        <v>0</v>
      </c>
      <c r="S4986" s="16"/>
      <c r="T4986" s="15">
        <f>+E4985</f>
        <v>0</v>
      </c>
      <c r="U4986" s="26" t="str">
        <f>IFERROR(LEFT(I4985,FIND("*",I4985)-1),"-")</f>
        <v>-</v>
      </c>
      <c r="V4986" s="26" t="str">
        <f>IFERROR(RIGHT(I4985,LEN(I4985)-FIND("*",I4985)),"-")</f>
        <v>-</v>
      </c>
      <c r="W4986" s="27" t="str">
        <f t="shared" ref="W4986:W4993" si="2716">IFERROR((U4986+V4986)*2/1000,"-")</f>
        <v>-</v>
      </c>
      <c r="X4986" s="27" t="str">
        <f>IFERROR(W4986*J4985,"-")</f>
        <v>-</v>
      </c>
      <c r="Z4986" s="94" t="s">
        <v>82</v>
      </c>
    </row>
    <row r="4987" spans="1:26" s="25" customFormat="1" ht="6.95" customHeight="1" x14ac:dyDescent="0.3">
      <c r="A4987" s="165"/>
      <c r="B4987" s="168"/>
      <c r="C4987" s="169"/>
      <c r="D4987" s="160"/>
      <c r="E4987" s="161"/>
      <c r="F4987" s="162"/>
      <c r="G4987" s="163"/>
      <c r="H4987" s="164"/>
      <c r="I4987" s="163"/>
      <c r="J4987" s="164"/>
      <c r="K4987" s="163"/>
      <c r="L4987" s="164"/>
      <c r="M4987" s="11"/>
      <c r="N4987" s="39"/>
      <c r="Q4987" s="15" t="str">
        <f>+CONCATENATE(E4985,K4985)</f>
        <v/>
      </c>
      <c r="R4987" s="15">
        <f>+L4985</f>
        <v>0</v>
      </c>
      <c r="S4987" s="16"/>
      <c r="T4987" s="15">
        <f>+E4985</f>
        <v>0</v>
      </c>
      <c r="U4987" s="26" t="str">
        <f>IFERROR(LEFT(K4985,FIND("*",K4985)-1),"-")</f>
        <v>-</v>
      </c>
      <c r="V4987" s="26" t="str">
        <f>IFERROR(RIGHT(K4985,LEN(K4985)-FIND("*",K4985)),"-")</f>
        <v>-</v>
      </c>
      <c r="W4987" s="27" t="str">
        <f t="shared" si="2716"/>
        <v>-</v>
      </c>
      <c r="X4987" s="27" t="str">
        <f>IFERROR(W4987*L4985,"-")</f>
        <v>-</v>
      </c>
      <c r="Z4987" s="94" t="s">
        <v>82</v>
      </c>
    </row>
    <row r="4988" spans="1:26" s="25" customFormat="1" ht="6.95" customHeight="1" x14ac:dyDescent="0.3">
      <c r="A4988" s="13"/>
      <c r="B4988" s="168"/>
      <c r="C4988" s="169"/>
      <c r="D4988" s="160" t="s">
        <v>39</v>
      </c>
      <c r="E4988" s="161"/>
      <c r="F4988" s="162" t="s">
        <v>40</v>
      </c>
      <c r="G4988" s="163"/>
      <c r="H4988" s="164"/>
      <c r="I4988" s="163"/>
      <c r="J4988" s="164"/>
      <c r="K4988" s="163"/>
      <c r="L4988" s="164"/>
      <c r="M4988" s="11"/>
      <c r="N4988" s="39"/>
      <c r="Q4988" s="15" t="str">
        <f>+CONCATENATE(E4988,G4988)</f>
        <v/>
      </c>
      <c r="R4988" s="15">
        <f>+H4988</f>
        <v>0</v>
      </c>
      <c r="S4988" s="16"/>
      <c r="T4988" s="15">
        <f>+E4988</f>
        <v>0</v>
      </c>
      <c r="U4988" s="26" t="str">
        <f t="shared" ref="U4988" si="2717">IFERROR(LEFT(G4988,FIND("*",G4988)-1),"-")</f>
        <v>-</v>
      </c>
      <c r="V4988" s="26" t="str">
        <f t="shared" ref="V4988" si="2718">IFERROR(RIGHT(G4988,LEN(G4988)-FIND("*",G4988)),"-")</f>
        <v>-</v>
      </c>
      <c r="W4988" s="27" t="str">
        <f t="shared" si="2716"/>
        <v>-</v>
      </c>
      <c r="X4988" s="27" t="str">
        <f>IFERROR(W4988*H4988,"-")</f>
        <v>-</v>
      </c>
      <c r="Z4988" s="94" t="s">
        <v>82</v>
      </c>
    </row>
    <row r="4989" spans="1:26" s="25" customFormat="1" ht="6.95" customHeight="1" x14ac:dyDescent="0.3">
      <c r="A4989" s="10"/>
      <c r="B4989" s="168"/>
      <c r="C4989" s="169"/>
      <c r="D4989" s="160"/>
      <c r="E4989" s="161"/>
      <c r="F4989" s="162"/>
      <c r="G4989" s="163"/>
      <c r="H4989" s="164"/>
      <c r="I4989" s="163"/>
      <c r="J4989" s="164"/>
      <c r="K4989" s="163"/>
      <c r="L4989" s="164"/>
      <c r="M4989" s="11"/>
      <c r="N4989" s="39"/>
      <c r="Q4989" s="15" t="str">
        <f>+CONCATENATE(E4988,I4988)</f>
        <v/>
      </c>
      <c r="R4989" s="15">
        <f>+J4988</f>
        <v>0</v>
      </c>
      <c r="S4989" s="16"/>
      <c r="T4989" s="15">
        <f>+E4988</f>
        <v>0</v>
      </c>
      <c r="U4989" s="26" t="str">
        <f>IFERROR(LEFT(I4988,FIND("*",I4988)-1),"-")</f>
        <v>-</v>
      </c>
      <c r="V4989" s="26" t="str">
        <f>IFERROR(RIGHT(I4988,LEN(I4988)-FIND("*",I4988)),"-")</f>
        <v>-</v>
      </c>
      <c r="W4989" s="27" t="str">
        <f t="shared" si="2716"/>
        <v>-</v>
      </c>
      <c r="X4989" s="27" t="str">
        <f>IFERROR(W4989*J4988,"-")</f>
        <v>-</v>
      </c>
      <c r="Z4989" s="94" t="s">
        <v>82</v>
      </c>
    </row>
    <row r="4990" spans="1:26" s="25" customFormat="1" ht="6.95" customHeight="1" x14ac:dyDescent="0.3">
      <c r="A4990" s="10"/>
      <c r="B4990" s="168"/>
      <c r="C4990" s="169"/>
      <c r="D4990" s="160"/>
      <c r="E4990" s="161"/>
      <c r="F4990" s="162"/>
      <c r="G4990" s="163"/>
      <c r="H4990" s="164"/>
      <c r="I4990" s="163"/>
      <c r="J4990" s="164"/>
      <c r="K4990" s="163"/>
      <c r="L4990" s="164"/>
      <c r="M4990" s="11"/>
      <c r="N4990" s="39"/>
      <c r="Q4990" s="15" t="str">
        <f>+CONCATENATE(E4988,K4988)</f>
        <v/>
      </c>
      <c r="R4990" s="15">
        <f>+L4988</f>
        <v>0</v>
      </c>
      <c r="S4990" s="16"/>
      <c r="T4990" s="15">
        <f>+E4988</f>
        <v>0</v>
      </c>
      <c r="U4990" s="26" t="str">
        <f>IFERROR(LEFT(K4988,FIND("*",K4988)-1),"-")</f>
        <v>-</v>
      </c>
      <c r="V4990" s="26" t="str">
        <f>IFERROR(RIGHT(K4988,LEN(K4988)-FIND("*",K4988)),"-")</f>
        <v>-</v>
      </c>
      <c r="W4990" s="27" t="str">
        <f t="shared" si="2716"/>
        <v>-</v>
      </c>
      <c r="X4990" s="27" t="str">
        <f>IFERROR(W4990*L4988,"-")</f>
        <v>-</v>
      </c>
      <c r="Z4990" s="94" t="s">
        <v>82</v>
      </c>
    </row>
    <row r="4991" spans="1:26" s="25" customFormat="1" ht="6.95" customHeight="1" x14ac:dyDescent="0.3">
      <c r="A4991" s="13"/>
      <c r="B4991" s="168"/>
      <c r="C4991" s="169"/>
      <c r="D4991" s="160" t="s">
        <v>39</v>
      </c>
      <c r="E4991" s="161"/>
      <c r="F4991" s="162" t="s">
        <v>40</v>
      </c>
      <c r="G4991" s="163"/>
      <c r="H4991" s="164"/>
      <c r="I4991" s="163"/>
      <c r="J4991" s="164"/>
      <c r="K4991" s="163"/>
      <c r="L4991" s="164"/>
      <c r="M4991" s="11"/>
      <c r="N4991" s="39"/>
      <c r="Q4991" s="15" t="str">
        <f>+CONCATENATE(E4991,G4991)</f>
        <v/>
      </c>
      <c r="R4991" s="15">
        <f>+H4991</f>
        <v>0</v>
      </c>
      <c r="S4991" s="16"/>
      <c r="T4991" s="15">
        <f>+E4991</f>
        <v>0</v>
      </c>
      <c r="U4991" s="26" t="str">
        <f t="shared" ref="U4991" si="2719">IFERROR(LEFT(G4991,FIND("*",G4991)-1),"-")</f>
        <v>-</v>
      </c>
      <c r="V4991" s="26" t="str">
        <f t="shared" ref="V4991" si="2720">IFERROR(RIGHT(G4991,LEN(G4991)-FIND("*",G4991)),"-")</f>
        <v>-</v>
      </c>
      <c r="W4991" s="27" t="str">
        <f t="shared" si="2716"/>
        <v>-</v>
      </c>
      <c r="X4991" s="27" t="str">
        <f>IFERROR(W4991*H4991,"-")</f>
        <v>-</v>
      </c>
      <c r="Z4991" s="94" t="s">
        <v>82</v>
      </c>
    </row>
    <row r="4992" spans="1:26" s="25" customFormat="1" ht="6.95" customHeight="1" x14ac:dyDescent="0.3">
      <c r="A4992" s="10"/>
      <c r="B4992" s="168"/>
      <c r="C4992" s="169"/>
      <c r="D4992" s="160"/>
      <c r="E4992" s="161"/>
      <c r="F4992" s="162"/>
      <c r="G4992" s="163"/>
      <c r="H4992" s="164"/>
      <c r="I4992" s="163"/>
      <c r="J4992" s="164"/>
      <c r="K4992" s="163"/>
      <c r="L4992" s="164"/>
      <c r="M4992" s="11"/>
      <c r="N4992" s="39"/>
      <c r="Q4992" s="15" t="str">
        <f>+CONCATENATE(E4991,I4991)</f>
        <v/>
      </c>
      <c r="R4992" s="15">
        <f>+J4991</f>
        <v>0</v>
      </c>
      <c r="S4992" s="16"/>
      <c r="T4992" s="15">
        <f>+E4991</f>
        <v>0</v>
      </c>
      <c r="U4992" s="26" t="str">
        <f>IFERROR(LEFT(I4991,FIND("*",I4991)-1),"-")</f>
        <v>-</v>
      </c>
      <c r="V4992" s="26" t="str">
        <f>IFERROR(RIGHT(I4991,LEN(I4991)-FIND("*",I4991)),"-")</f>
        <v>-</v>
      </c>
      <c r="W4992" s="27" t="str">
        <f t="shared" si="2716"/>
        <v>-</v>
      </c>
      <c r="X4992" s="27" t="str">
        <f t="shared" ref="X4992" si="2721">IFERROR(W4992*J4991,"-")</f>
        <v>-</v>
      </c>
      <c r="Z4992" s="94" t="s">
        <v>82</v>
      </c>
    </row>
    <row r="4993" spans="1:26" s="25" customFormat="1" ht="6.95" customHeight="1" x14ac:dyDescent="0.3">
      <c r="A4993" s="10"/>
      <c r="B4993" s="168"/>
      <c r="C4993" s="169"/>
      <c r="D4993" s="160"/>
      <c r="E4993" s="161"/>
      <c r="F4993" s="162"/>
      <c r="G4993" s="163"/>
      <c r="H4993" s="164"/>
      <c r="I4993" s="163"/>
      <c r="J4993" s="164"/>
      <c r="K4993" s="163"/>
      <c r="L4993" s="164"/>
      <c r="M4993" s="11"/>
      <c r="N4993" s="39"/>
      <c r="Q4993" s="15" t="str">
        <f>+CONCATENATE(E4991,K4991)</f>
        <v/>
      </c>
      <c r="R4993" s="15">
        <f>+L4991</f>
        <v>0</v>
      </c>
      <c r="S4993" s="16"/>
      <c r="T4993" s="15">
        <f>+E4991</f>
        <v>0</v>
      </c>
      <c r="U4993" s="26" t="str">
        <f>IFERROR(LEFT(K4991,FIND("*",K4991)-1),"-")</f>
        <v>-</v>
      </c>
      <c r="V4993" s="26" t="str">
        <f>IFERROR(RIGHT(K4991,LEN(K4991)-FIND("*",K4991)),"-")</f>
        <v>-</v>
      </c>
      <c r="W4993" s="27" t="str">
        <f t="shared" si="2716"/>
        <v>-</v>
      </c>
      <c r="X4993" s="27" t="str">
        <f>IFERROR(W4993*L4991,"-")</f>
        <v>-</v>
      </c>
      <c r="Z4993" s="94" t="s">
        <v>82</v>
      </c>
    </row>
    <row r="4994" spans="1:26" s="25" customFormat="1" ht="21" customHeight="1" thickBot="1" x14ac:dyDescent="0.35">
      <c r="A4994" s="10"/>
      <c r="B4994" s="170"/>
      <c r="C4994" s="171"/>
      <c r="D4994" s="172" t="s">
        <v>43</v>
      </c>
      <c r="E4994" s="173"/>
      <c r="F4994" s="173"/>
      <c r="G4994" s="174"/>
      <c r="H4994" s="174"/>
      <c r="I4994" s="174"/>
      <c r="J4994" s="174"/>
      <c r="K4994" s="174"/>
      <c r="L4994" s="174"/>
      <c r="M4994" s="12"/>
      <c r="N4994" s="39"/>
      <c r="U4994" s="23"/>
      <c r="V4994" s="23"/>
      <c r="Z4994" s="95" t="s">
        <v>81</v>
      </c>
    </row>
    <row r="4995" spans="1:26" s="25" customFormat="1" ht="9.9499999999999993" customHeight="1" thickBot="1" x14ac:dyDescent="0.35">
      <c r="A4995" s="6"/>
      <c r="B4995" s="14"/>
      <c r="C4995" s="119"/>
      <c r="D4995" s="58"/>
      <c r="E4995" s="17"/>
      <c r="F4995" s="58"/>
      <c r="G4995" s="19"/>
      <c r="H4995" s="19"/>
      <c r="I4995" s="19"/>
      <c r="J4995" s="19"/>
      <c r="K4995" s="19"/>
      <c r="L4995" s="19"/>
      <c r="M4995" s="14"/>
      <c r="N4995" s="39"/>
      <c r="Q4995" s="1"/>
      <c r="R4995" s="1"/>
      <c r="S4995" s="1"/>
      <c r="T4995" s="1"/>
      <c r="U4995" s="24"/>
      <c r="V4995" s="24"/>
      <c r="W4995" s="1"/>
      <c r="X4995" s="1"/>
      <c r="Z4995" s="94" t="s">
        <v>82</v>
      </c>
    </row>
    <row r="4996" spans="1:26" s="25" customFormat="1" ht="6.95" customHeight="1" x14ac:dyDescent="0.3">
      <c r="A4996" s="165">
        <f>+A4985+1</f>
        <v>455</v>
      </c>
      <c r="B4996" s="166"/>
      <c r="C4996" s="167"/>
      <c r="D4996" s="160" t="s">
        <v>39</v>
      </c>
      <c r="E4996" s="161"/>
      <c r="F4996" s="162" t="s">
        <v>40</v>
      </c>
      <c r="G4996" s="163"/>
      <c r="H4996" s="164"/>
      <c r="I4996" s="163"/>
      <c r="J4996" s="164"/>
      <c r="K4996" s="163"/>
      <c r="L4996" s="164"/>
      <c r="M4996" s="11"/>
      <c r="N4996" s="39"/>
      <c r="Q4996" s="15" t="str">
        <f>+CONCATENATE(E4996,G4996)</f>
        <v/>
      </c>
      <c r="R4996" s="15">
        <f>+H4996</f>
        <v>0</v>
      </c>
      <c r="S4996" s="16"/>
      <c r="T4996" s="15">
        <f>+E4996</f>
        <v>0</v>
      </c>
      <c r="U4996" s="26" t="str">
        <f>IFERROR(LEFT(G4996,FIND("*",G4996)-1),"-")</f>
        <v>-</v>
      </c>
      <c r="V4996" s="26" t="str">
        <f>IFERROR(RIGHT(G4996,LEN(G4996)-FIND("*",G4996)),"-")</f>
        <v>-</v>
      </c>
      <c r="W4996" s="27" t="str">
        <f>IFERROR((U4996+V4996)*2/1000,"-")</f>
        <v>-</v>
      </c>
      <c r="X4996" s="27" t="str">
        <f>IFERROR(W4996*H4996,"-")</f>
        <v>-</v>
      </c>
      <c r="Z4996" s="94" t="s">
        <v>82</v>
      </c>
    </row>
    <row r="4997" spans="1:26" s="25" customFormat="1" ht="6.95" customHeight="1" x14ac:dyDescent="0.3">
      <c r="A4997" s="165"/>
      <c r="B4997" s="168"/>
      <c r="C4997" s="169"/>
      <c r="D4997" s="160"/>
      <c r="E4997" s="161"/>
      <c r="F4997" s="162"/>
      <c r="G4997" s="163"/>
      <c r="H4997" s="164"/>
      <c r="I4997" s="163"/>
      <c r="J4997" s="164"/>
      <c r="K4997" s="163"/>
      <c r="L4997" s="164"/>
      <c r="M4997" s="11"/>
      <c r="N4997" s="39"/>
      <c r="Q4997" s="15" t="str">
        <f>+CONCATENATE(E4996,I4996)</f>
        <v/>
      </c>
      <c r="R4997" s="15">
        <f>+J4996</f>
        <v>0</v>
      </c>
      <c r="S4997" s="16"/>
      <c r="T4997" s="15">
        <f>+E4996</f>
        <v>0</v>
      </c>
      <c r="U4997" s="26" t="str">
        <f>IFERROR(LEFT(I4996,FIND("*",I4996)-1),"-")</f>
        <v>-</v>
      </c>
      <c r="V4997" s="26" t="str">
        <f>IFERROR(RIGHT(I4996,LEN(I4996)-FIND("*",I4996)),"-")</f>
        <v>-</v>
      </c>
      <c r="W4997" s="27" t="str">
        <f t="shared" ref="W4997:W5004" si="2722">IFERROR((U4997+V4997)*2/1000,"-")</f>
        <v>-</v>
      </c>
      <c r="X4997" s="27" t="str">
        <f>IFERROR(W4997*J4996,"-")</f>
        <v>-</v>
      </c>
      <c r="Z4997" s="94" t="s">
        <v>82</v>
      </c>
    </row>
    <row r="4998" spans="1:26" s="25" customFormat="1" ht="6.95" customHeight="1" x14ac:dyDescent="0.3">
      <c r="A4998" s="165"/>
      <c r="B4998" s="168"/>
      <c r="C4998" s="169"/>
      <c r="D4998" s="160"/>
      <c r="E4998" s="161"/>
      <c r="F4998" s="162"/>
      <c r="G4998" s="163"/>
      <c r="H4998" s="164"/>
      <c r="I4998" s="163"/>
      <c r="J4998" s="164"/>
      <c r="K4998" s="163"/>
      <c r="L4998" s="164"/>
      <c r="M4998" s="11"/>
      <c r="N4998" s="39"/>
      <c r="Q4998" s="15" t="str">
        <f>+CONCATENATE(E4996,K4996)</f>
        <v/>
      </c>
      <c r="R4998" s="15">
        <f>+L4996</f>
        <v>0</v>
      </c>
      <c r="S4998" s="16"/>
      <c r="T4998" s="15">
        <f>+E4996</f>
        <v>0</v>
      </c>
      <c r="U4998" s="26" t="str">
        <f>IFERROR(LEFT(K4996,FIND("*",K4996)-1),"-")</f>
        <v>-</v>
      </c>
      <c r="V4998" s="26" t="str">
        <f>IFERROR(RIGHT(K4996,LEN(K4996)-FIND("*",K4996)),"-")</f>
        <v>-</v>
      </c>
      <c r="W4998" s="27" t="str">
        <f t="shared" si="2722"/>
        <v>-</v>
      </c>
      <c r="X4998" s="27" t="str">
        <f>IFERROR(W4998*L4996,"-")</f>
        <v>-</v>
      </c>
      <c r="Z4998" s="94" t="s">
        <v>82</v>
      </c>
    </row>
    <row r="4999" spans="1:26" s="25" customFormat="1" ht="6.95" customHeight="1" x14ac:dyDescent="0.3">
      <c r="A4999" s="13"/>
      <c r="B4999" s="168"/>
      <c r="C4999" s="169"/>
      <c r="D4999" s="160" t="s">
        <v>39</v>
      </c>
      <c r="E4999" s="161"/>
      <c r="F4999" s="162" t="s">
        <v>40</v>
      </c>
      <c r="G4999" s="163"/>
      <c r="H4999" s="164"/>
      <c r="I4999" s="163"/>
      <c r="J4999" s="164"/>
      <c r="K4999" s="163"/>
      <c r="L4999" s="164"/>
      <c r="M4999" s="11"/>
      <c r="N4999" s="39"/>
      <c r="Q4999" s="15" t="str">
        <f>+CONCATENATE(E4999,G4999)</f>
        <v/>
      </c>
      <c r="R4999" s="15">
        <f>+H4999</f>
        <v>0</v>
      </c>
      <c r="S4999" s="16"/>
      <c r="T4999" s="15">
        <f>+E4999</f>
        <v>0</v>
      </c>
      <c r="U4999" s="26" t="str">
        <f t="shared" ref="U4999" si="2723">IFERROR(LEFT(G4999,FIND("*",G4999)-1),"-")</f>
        <v>-</v>
      </c>
      <c r="V4999" s="26" t="str">
        <f t="shared" ref="V4999" si="2724">IFERROR(RIGHT(G4999,LEN(G4999)-FIND("*",G4999)),"-")</f>
        <v>-</v>
      </c>
      <c r="W4999" s="27" t="str">
        <f t="shared" si="2722"/>
        <v>-</v>
      </c>
      <c r="X4999" s="27" t="str">
        <f>IFERROR(W4999*H4999,"-")</f>
        <v>-</v>
      </c>
      <c r="Z4999" s="94" t="s">
        <v>82</v>
      </c>
    </row>
    <row r="5000" spans="1:26" s="25" customFormat="1" ht="6.95" customHeight="1" x14ac:dyDescent="0.3">
      <c r="A5000" s="10"/>
      <c r="B5000" s="168"/>
      <c r="C5000" s="169"/>
      <c r="D5000" s="160"/>
      <c r="E5000" s="161"/>
      <c r="F5000" s="162"/>
      <c r="G5000" s="163"/>
      <c r="H5000" s="164"/>
      <c r="I5000" s="163"/>
      <c r="J5000" s="164"/>
      <c r="K5000" s="163"/>
      <c r="L5000" s="164"/>
      <c r="M5000" s="11"/>
      <c r="N5000" s="39"/>
      <c r="Q5000" s="15" t="str">
        <f>+CONCATENATE(E4999,I4999)</f>
        <v/>
      </c>
      <c r="R5000" s="15">
        <f>+J4999</f>
        <v>0</v>
      </c>
      <c r="S5000" s="16"/>
      <c r="T5000" s="15">
        <f>+E4999</f>
        <v>0</v>
      </c>
      <c r="U5000" s="26" t="str">
        <f>IFERROR(LEFT(I4999,FIND("*",I4999)-1),"-")</f>
        <v>-</v>
      </c>
      <c r="V5000" s="26" t="str">
        <f>IFERROR(RIGHT(I4999,LEN(I4999)-FIND("*",I4999)),"-")</f>
        <v>-</v>
      </c>
      <c r="W5000" s="27" t="str">
        <f t="shared" si="2722"/>
        <v>-</v>
      </c>
      <c r="X5000" s="27" t="str">
        <f>IFERROR(W5000*J4999,"-")</f>
        <v>-</v>
      </c>
      <c r="Z5000" s="94" t="s">
        <v>82</v>
      </c>
    </row>
    <row r="5001" spans="1:26" s="25" customFormat="1" ht="6.95" customHeight="1" x14ac:dyDescent="0.3">
      <c r="A5001" s="10"/>
      <c r="B5001" s="168"/>
      <c r="C5001" s="169"/>
      <c r="D5001" s="160"/>
      <c r="E5001" s="161"/>
      <c r="F5001" s="162"/>
      <c r="G5001" s="163"/>
      <c r="H5001" s="164"/>
      <c r="I5001" s="163"/>
      <c r="J5001" s="164"/>
      <c r="K5001" s="163"/>
      <c r="L5001" s="164"/>
      <c r="M5001" s="11"/>
      <c r="N5001" s="39"/>
      <c r="Q5001" s="15" t="str">
        <f>+CONCATENATE(E4999,K4999)</f>
        <v/>
      </c>
      <c r="R5001" s="15">
        <f>+L4999</f>
        <v>0</v>
      </c>
      <c r="S5001" s="16"/>
      <c r="T5001" s="15">
        <f>+E4999</f>
        <v>0</v>
      </c>
      <c r="U5001" s="26" t="str">
        <f>IFERROR(LEFT(K4999,FIND("*",K4999)-1),"-")</f>
        <v>-</v>
      </c>
      <c r="V5001" s="26" t="str">
        <f>IFERROR(RIGHT(K4999,LEN(K4999)-FIND("*",K4999)),"-")</f>
        <v>-</v>
      </c>
      <c r="W5001" s="27" t="str">
        <f t="shared" si="2722"/>
        <v>-</v>
      </c>
      <c r="X5001" s="27" t="str">
        <f>IFERROR(W5001*L4999,"-")</f>
        <v>-</v>
      </c>
      <c r="Z5001" s="94" t="s">
        <v>82</v>
      </c>
    </row>
    <row r="5002" spans="1:26" s="25" customFormat="1" ht="6.95" customHeight="1" x14ac:dyDescent="0.3">
      <c r="A5002" s="13"/>
      <c r="B5002" s="168"/>
      <c r="C5002" s="169"/>
      <c r="D5002" s="160" t="s">
        <v>39</v>
      </c>
      <c r="E5002" s="161"/>
      <c r="F5002" s="162" t="s">
        <v>40</v>
      </c>
      <c r="G5002" s="163"/>
      <c r="H5002" s="164"/>
      <c r="I5002" s="163"/>
      <c r="J5002" s="164"/>
      <c r="K5002" s="163"/>
      <c r="L5002" s="164"/>
      <c r="M5002" s="11"/>
      <c r="N5002" s="39"/>
      <c r="Q5002" s="15" t="str">
        <f>+CONCATENATE(E5002,G5002)</f>
        <v/>
      </c>
      <c r="R5002" s="15">
        <f>+H5002</f>
        <v>0</v>
      </c>
      <c r="S5002" s="16"/>
      <c r="T5002" s="15">
        <f>+E5002</f>
        <v>0</v>
      </c>
      <c r="U5002" s="26" t="str">
        <f t="shared" ref="U5002" si="2725">IFERROR(LEFT(G5002,FIND("*",G5002)-1),"-")</f>
        <v>-</v>
      </c>
      <c r="V5002" s="26" t="str">
        <f t="shared" ref="V5002" si="2726">IFERROR(RIGHT(G5002,LEN(G5002)-FIND("*",G5002)),"-")</f>
        <v>-</v>
      </c>
      <c r="W5002" s="27" t="str">
        <f t="shared" si="2722"/>
        <v>-</v>
      </c>
      <c r="X5002" s="27" t="str">
        <f>IFERROR(W5002*H5002,"-")</f>
        <v>-</v>
      </c>
      <c r="Z5002" s="94" t="s">
        <v>82</v>
      </c>
    </row>
    <row r="5003" spans="1:26" s="25" customFormat="1" ht="6.95" customHeight="1" x14ac:dyDescent="0.3">
      <c r="A5003" s="10"/>
      <c r="B5003" s="168"/>
      <c r="C5003" s="169"/>
      <c r="D5003" s="160"/>
      <c r="E5003" s="161"/>
      <c r="F5003" s="162"/>
      <c r="G5003" s="163"/>
      <c r="H5003" s="164"/>
      <c r="I5003" s="163"/>
      <c r="J5003" s="164"/>
      <c r="K5003" s="163"/>
      <c r="L5003" s="164"/>
      <c r="M5003" s="11"/>
      <c r="N5003" s="39"/>
      <c r="Q5003" s="15" t="str">
        <f>+CONCATENATE(E5002,I5002)</f>
        <v/>
      </c>
      <c r="R5003" s="15">
        <f>+J5002</f>
        <v>0</v>
      </c>
      <c r="S5003" s="16"/>
      <c r="T5003" s="15">
        <f>+E5002</f>
        <v>0</v>
      </c>
      <c r="U5003" s="26" t="str">
        <f>IFERROR(LEFT(I5002,FIND("*",I5002)-1),"-")</f>
        <v>-</v>
      </c>
      <c r="V5003" s="26" t="str">
        <f>IFERROR(RIGHT(I5002,LEN(I5002)-FIND("*",I5002)),"-")</f>
        <v>-</v>
      </c>
      <c r="W5003" s="27" t="str">
        <f t="shared" si="2722"/>
        <v>-</v>
      </c>
      <c r="X5003" s="27" t="str">
        <f t="shared" ref="X5003" si="2727">IFERROR(W5003*J5002,"-")</f>
        <v>-</v>
      </c>
      <c r="Z5003" s="94" t="s">
        <v>82</v>
      </c>
    </row>
    <row r="5004" spans="1:26" s="25" customFormat="1" ht="6.95" customHeight="1" x14ac:dyDescent="0.3">
      <c r="A5004" s="10"/>
      <c r="B5004" s="168"/>
      <c r="C5004" s="169"/>
      <c r="D5004" s="160"/>
      <c r="E5004" s="161"/>
      <c r="F5004" s="162"/>
      <c r="G5004" s="163"/>
      <c r="H5004" s="164"/>
      <c r="I5004" s="163"/>
      <c r="J5004" s="164"/>
      <c r="K5004" s="163"/>
      <c r="L5004" s="164"/>
      <c r="M5004" s="11"/>
      <c r="N5004" s="39"/>
      <c r="Q5004" s="15" t="str">
        <f>+CONCATENATE(E5002,K5002)</f>
        <v/>
      </c>
      <c r="R5004" s="15">
        <f>+L5002</f>
        <v>0</v>
      </c>
      <c r="S5004" s="16"/>
      <c r="T5004" s="15">
        <f>+E5002</f>
        <v>0</v>
      </c>
      <c r="U5004" s="26" t="str">
        <f>IFERROR(LEFT(K5002,FIND("*",K5002)-1),"-")</f>
        <v>-</v>
      </c>
      <c r="V5004" s="26" t="str">
        <f>IFERROR(RIGHT(K5002,LEN(K5002)-FIND("*",K5002)),"-")</f>
        <v>-</v>
      </c>
      <c r="W5004" s="27" t="str">
        <f t="shared" si="2722"/>
        <v>-</v>
      </c>
      <c r="X5004" s="27" t="str">
        <f>IFERROR(W5004*L5002,"-")</f>
        <v>-</v>
      </c>
      <c r="Z5004" s="94" t="s">
        <v>82</v>
      </c>
    </row>
    <row r="5005" spans="1:26" s="25" customFormat="1" ht="21" customHeight="1" thickBot="1" x14ac:dyDescent="0.35">
      <c r="A5005" s="10"/>
      <c r="B5005" s="170"/>
      <c r="C5005" s="171"/>
      <c r="D5005" s="172" t="s">
        <v>43</v>
      </c>
      <c r="E5005" s="173"/>
      <c r="F5005" s="173"/>
      <c r="G5005" s="174"/>
      <c r="H5005" s="174"/>
      <c r="I5005" s="174"/>
      <c r="J5005" s="174"/>
      <c r="K5005" s="174"/>
      <c r="L5005" s="174"/>
      <c r="M5005" s="12"/>
      <c r="N5005" s="39"/>
      <c r="U5005" s="23"/>
      <c r="V5005" s="23"/>
      <c r="Z5005" s="95" t="s">
        <v>81</v>
      </c>
    </row>
    <row r="5006" spans="1:26" s="25" customFormat="1" ht="9.9499999999999993" customHeight="1" thickBot="1" x14ac:dyDescent="0.35">
      <c r="A5006" s="6"/>
      <c r="B5006" s="14"/>
      <c r="C5006" s="119"/>
      <c r="D5006" s="58"/>
      <c r="E5006" s="17"/>
      <c r="F5006" s="58"/>
      <c r="G5006" s="19"/>
      <c r="H5006" s="19"/>
      <c r="I5006" s="19"/>
      <c r="J5006" s="19"/>
      <c r="K5006" s="19"/>
      <c r="L5006" s="19"/>
      <c r="M5006" s="14"/>
      <c r="N5006" s="39"/>
      <c r="Q5006" s="1"/>
      <c r="R5006" s="1"/>
      <c r="S5006" s="1"/>
      <c r="T5006" s="1"/>
      <c r="U5006" s="24"/>
      <c r="V5006" s="24"/>
      <c r="W5006" s="1"/>
      <c r="X5006" s="1"/>
      <c r="Z5006" s="94" t="s">
        <v>82</v>
      </c>
    </row>
    <row r="5007" spans="1:26" s="25" customFormat="1" ht="6.95" customHeight="1" x14ac:dyDescent="0.3">
      <c r="A5007" s="165">
        <f>+A4996+1</f>
        <v>456</v>
      </c>
      <c r="B5007" s="166"/>
      <c r="C5007" s="167"/>
      <c r="D5007" s="160" t="s">
        <v>39</v>
      </c>
      <c r="E5007" s="161"/>
      <c r="F5007" s="162" t="s">
        <v>40</v>
      </c>
      <c r="G5007" s="163"/>
      <c r="H5007" s="164"/>
      <c r="I5007" s="163"/>
      <c r="J5007" s="164"/>
      <c r="K5007" s="163"/>
      <c r="L5007" s="164"/>
      <c r="M5007" s="11"/>
      <c r="N5007" s="39"/>
      <c r="Q5007" s="15" t="str">
        <f>+CONCATENATE(E5007,G5007)</f>
        <v/>
      </c>
      <c r="R5007" s="15">
        <f>+H5007</f>
        <v>0</v>
      </c>
      <c r="S5007" s="16"/>
      <c r="T5007" s="15">
        <f>+E5007</f>
        <v>0</v>
      </c>
      <c r="U5007" s="26" t="str">
        <f>IFERROR(LEFT(G5007,FIND("*",G5007)-1),"-")</f>
        <v>-</v>
      </c>
      <c r="V5007" s="26" t="str">
        <f>IFERROR(RIGHT(G5007,LEN(G5007)-FIND("*",G5007)),"-")</f>
        <v>-</v>
      </c>
      <c r="W5007" s="27" t="str">
        <f>IFERROR((U5007+V5007)*2/1000,"-")</f>
        <v>-</v>
      </c>
      <c r="X5007" s="27" t="str">
        <f>IFERROR(W5007*H5007,"-")</f>
        <v>-</v>
      </c>
      <c r="Z5007" s="94" t="s">
        <v>82</v>
      </c>
    </row>
    <row r="5008" spans="1:26" s="25" customFormat="1" ht="6.95" customHeight="1" x14ac:dyDescent="0.3">
      <c r="A5008" s="165"/>
      <c r="B5008" s="168"/>
      <c r="C5008" s="169"/>
      <c r="D5008" s="160"/>
      <c r="E5008" s="161"/>
      <c r="F5008" s="162"/>
      <c r="G5008" s="163"/>
      <c r="H5008" s="164"/>
      <c r="I5008" s="163"/>
      <c r="J5008" s="164"/>
      <c r="K5008" s="163"/>
      <c r="L5008" s="164"/>
      <c r="M5008" s="11"/>
      <c r="N5008" s="39"/>
      <c r="Q5008" s="15" t="str">
        <f>+CONCATENATE(E5007,I5007)</f>
        <v/>
      </c>
      <c r="R5008" s="15">
        <f>+J5007</f>
        <v>0</v>
      </c>
      <c r="S5008" s="16"/>
      <c r="T5008" s="15">
        <f>+E5007</f>
        <v>0</v>
      </c>
      <c r="U5008" s="26" t="str">
        <f>IFERROR(LEFT(I5007,FIND("*",I5007)-1),"-")</f>
        <v>-</v>
      </c>
      <c r="V5008" s="26" t="str">
        <f>IFERROR(RIGHT(I5007,LEN(I5007)-FIND("*",I5007)),"-")</f>
        <v>-</v>
      </c>
      <c r="W5008" s="27" t="str">
        <f t="shared" ref="W5008:W5015" si="2728">IFERROR((U5008+V5008)*2/1000,"-")</f>
        <v>-</v>
      </c>
      <c r="X5008" s="27" t="str">
        <f>IFERROR(W5008*J5007,"-")</f>
        <v>-</v>
      </c>
      <c r="Z5008" s="94" t="s">
        <v>82</v>
      </c>
    </row>
    <row r="5009" spans="1:26" s="25" customFormat="1" ht="6.95" customHeight="1" x14ac:dyDescent="0.3">
      <c r="A5009" s="165"/>
      <c r="B5009" s="168"/>
      <c r="C5009" s="169"/>
      <c r="D5009" s="160"/>
      <c r="E5009" s="161"/>
      <c r="F5009" s="162"/>
      <c r="G5009" s="163"/>
      <c r="H5009" s="164"/>
      <c r="I5009" s="163"/>
      <c r="J5009" s="164"/>
      <c r="K5009" s="163"/>
      <c r="L5009" s="164"/>
      <c r="M5009" s="11"/>
      <c r="N5009" s="39"/>
      <c r="Q5009" s="15" t="str">
        <f>+CONCATENATE(E5007,K5007)</f>
        <v/>
      </c>
      <c r="R5009" s="15">
        <f>+L5007</f>
        <v>0</v>
      </c>
      <c r="S5009" s="16"/>
      <c r="T5009" s="15">
        <f>+E5007</f>
        <v>0</v>
      </c>
      <c r="U5009" s="26" t="str">
        <f>IFERROR(LEFT(K5007,FIND("*",K5007)-1),"-")</f>
        <v>-</v>
      </c>
      <c r="V5009" s="26" t="str">
        <f>IFERROR(RIGHT(K5007,LEN(K5007)-FIND("*",K5007)),"-")</f>
        <v>-</v>
      </c>
      <c r="W5009" s="27" t="str">
        <f t="shared" si="2728"/>
        <v>-</v>
      </c>
      <c r="X5009" s="27" t="str">
        <f>IFERROR(W5009*L5007,"-")</f>
        <v>-</v>
      </c>
      <c r="Z5009" s="94" t="s">
        <v>82</v>
      </c>
    </row>
    <row r="5010" spans="1:26" s="25" customFormat="1" ht="6.95" customHeight="1" x14ac:dyDescent="0.3">
      <c r="A5010" s="13"/>
      <c r="B5010" s="168"/>
      <c r="C5010" s="169"/>
      <c r="D5010" s="160" t="s">
        <v>39</v>
      </c>
      <c r="E5010" s="161"/>
      <c r="F5010" s="162" t="s">
        <v>40</v>
      </c>
      <c r="G5010" s="163"/>
      <c r="H5010" s="164"/>
      <c r="I5010" s="163"/>
      <c r="J5010" s="164"/>
      <c r="K5010" s="163"/>
      <c r="L5010" s="164"/>
      <c r="M5010" s="11"/>
      <c r="N5010" s="39"/>
      <c r="Q5010" s="15" t="str">
        <f>+CONCATENATE(E5010,G5010)</f>
        <v/>
      </c>
      <c r="R5010" s="15">
        <f>+H5010</f>
        <v>0</v>
      </c>
      <c r="S5010" s="16"/>
      <c r="T5010" s="15">
        <f>+E5010</f>
        <v>0</v>
      </c>
      <c r="U5010" s="26" t="str">
        <f t="shared" ref="U5010" si="2729">IFERROR(LEFT(G5010,FIND("*",G5010)-1),"-")</f>
        <v>-</v>
      </c>
      <c r="V5010" s="26" t="str">
        <f t="shared" ref="V5010" si="2730">IFERROR(RIGHT(G5010,LEN(G5010)-FIND("*",G5010)),"-")</f>
        <v>-</v>
      </c>
      <c r="W5010" s="27" t="str">
        <f t="shared" si="2728"/>
        <v>-</v>
      </c>
      <c r="X5010" s="27" t="str">
        <f>IFERROR(W5010*H5010,"-")</f>
        <v>-</v>
      </c>
      <c r="Z5010" s="94" t="s">
        <v>82</v>
      </c>
    </row>
    <row r="5011" spans="1:26" s="25" customFormat="1" ht="6.95" customHeight="1" x14ac:dyDescent="0.3">
      <c r="A5011" s="10"/>
      <c r="B5011" s="168"/>
      <c r="C5011" s="169"/>
      <c r="D5011" s="160"/>
      <c r="E5011" s="161"/>
      <c r="F5011" s="162"/>
      <c r="G5011" s="163"/>
      <c r="H5011" s="164"/>
      <c r="I5011" s="163"/>
      <c r="J5011" s="164"/>
      <c r="K5011" s="163"/>
      <c r="L5011" s="164"/>
      <c r="M5011" s="11"/>
      <c r="N5011" s="39"/>
      <c r="Q5011" s="15" t="str">
        <f>+CONCATENATE(E5010,I5010)</f>
        <v/>
      </c>
      <c r="R5011" s="15">
        <f>+J5010</f>
        <v>0</v>
      </c>
      <c r="S5011" s="16"/>
      <c r="T5011" s="15">
        <f>+E5010</f>
        <v>0</v>
      </c>
      <c r="U5011" s="26" t="str">
        <f>IFERROR(LEFT(I5010,FIND("*",I5010)-1),"-")</f>
        <v>-</v>
      </c>
      <c r="V5011" s="26" t="str">
        <f>IFERROR(RIGHT(I5010,LEN(I5010)-FIND("*",I5010)),"-")</f>
        <v>-</v>
      </c>
      <c r="W5011" s="27" t="str">
        <f t="shared" si="2728"/>
        <v>-</v>
      </c>
      <c r="X5011" s="27" t="str">
        <f>IFERROR(W5011*J5010,"-")</f>
        <v>-</v>
      </c>
      <c r="Z5011" s="94" t="s">
        <v>82</v>
      </c>
    </row>
    <row r="5012" spans="1:26" s="25" customFormat="1" ht="6.95" customHeight="1" x14ac:dyDescent="0.3">
      <c r="A5012" s="10"/>
      <c r="B5012" s="168"/>
      <c r="C5012" s="169"/>
      <c r="D5012" s="160"/>
      <c r="E5012" s="161"/>
      <c r="F5012" s="162"/>
      <c r="G5012" s="163"/>
      <c r="H5012" s="164"/>
      <c r="I5012" s="163"/>
      <c r="J5012" s="164"/>
      <c r="K5012" s="163"/>
      <c r="L5012" s="164"/>
      <c r="M5012" s="11"/>
      <c r="N5012" s="39"/>
      <c r="Q5012" s="15" t="str">
        <f>+CONCATENATE(E5010,K5010)</f>
        <v/>
      </c>
      <c r="R5012" s="15">
        <f>+L5010</f>
        <v>0</v>
      </c>
      <c r="S5012" s="16"/>
      <c r="T5012" s="15">
        <f>+E5010</f>
        <v>0</v>
      </c>
      <c r="U5012" s="26" t="str">
        <f>IFERROR(LEFT(K5010,FIND("*",K5010)-1),"-")</f>
        <v>-</v>
      </c>
      <c r="V5012" s="26" t="str">
        <f>IFERROR(RIGHT(K5010,LEN(K5010)-FIND("*",K5010)),"-")</f>
        <v>-</v>
      </c>
      <c r="W5012" s="27" t="str">
        <f t="shared" si="2728"/>
        <v>-</v>
      </c>
      <c r="X5012" s="27" t="str">
        <f>IFERROR(W5012*L5010,"-")</f>
        <v>-</v>
      </c>
      <c r="Z5012" s="94" t="s">
        <v>82</v>
      </c>
    </row>
    <row r="5013" spans="1:26" s="25" customFormat="1" ht="6.95" customHeight="1" x14ac:dyDescent="0.3">
      <c r="A5013" s="13"/>
      <c r="B5013" s="168"/>
      <c r="C5013" s="169"/>
      <c r="D5013" s="160" t="s">
        <v>39</v>
      </c>
      <c r="E5013" s="161"/>
      <c r="F5013" s="162" t="s">
        <v>40</v>
      </c>
      <c r="G5013" s="163"/>
      <c r="H5013" s="164"/>
      <c r="I5013" s="163"/>
      <c r="J5013" s="164"/>
      <c r="K5013" s="163"/>
      <c r="L5013" s="164"/>
      <c r="M5013" s="11"/>
      <c r="N5013" s="39"/>
      <c r="Q5013" s="15" t="str">
        <f>+CONCATENATE(E5013,G5013)</f>
        <v/>
      </c>
      <c r="R5013" s="15">
        <f>+H5013</f>
        <v>0</v>
      </c>
      <c r="S5013" s="16"/>
      <c r="T5013" s="15">
        <f>+E5013</f>
        <v>0</v>
      </c>
      <c r="U5013" s="26" t="str">
        <f t="shared" ref="U5013" si="2731">IFERROR(LEFT(G5013,FIND("*",G5013)-1),"-")</f>
        <v>-</v>
      </c>
      <c r="V5013" s="26" t="str">
        <f t="shared" ref="V5013" si="2732">IFERROR(RIGHT(G5013,LEN(G5013)-FIND("*",G5013)),"-")</f>
        <v>-</v>
      </c>
      <c r="W5013" s="27" t="str">
        <f t="shared" si="2728"/>
        <v>-</v>
      </c>
      <c r="X5013" s="27" t="str">
        <f>IFERROR(W5013*H5013,"-")</f>
        <v>-</v>
      </c>
      <c r="Z5013" s="94" t="s">
        <v>82</v>
      </c>
    </row>
    <row r="5014" spans="1:26" s="25" customFormat="1" ht="6.95" customHeight="1" x14ac:dyDescent="0.3">
      <c r="A5014" s="10"/>
      <c r="B5014" s="168"/>
      <c r="C5014" s="169"/>
      <c r="D5014" s="160"/>
      <c r="E5014" s="161"/>
      <c r="F5014" s="162"/>
      <c r="G5014" s="163"/>
      <c r="H5014" s="164"/>
      <c r="I5014" s="163"/>
      <c r="J5014" s="164"/>
      <c r="K5014" s="163"/>
      <c r="L5014" s="164"/>
      <c r="M5014" s="11"/>
      <c r="N5014" s="39"/>
      <c r="Q5014" s="15" t="str">
        <f>+CONCATENATE(E5013,I5013)</f>
        <v/>
      </c>
      <c r="R5014" s="15">
        <f>+J5013</f>
        <v>0</v>
      </c>
      <c r="S5014" s="16"/>
      <c r="T5014" s="15">
        <f>+E5013</f>
        <v>0</v>
      </c>
      <c r="U5014" s="26" t="str">
        <f>IFERROR(LEFT(I5013,FIND("*",I5013)-1),"-")</f>
        <v>-</v>
      </c>
      <c r="V5014" s="26" t="str">
        <f>IFERROR(RIGHT(I5013,LEN(I5013)-FIND("*",I5013)),"-")</f>
        <v>-</v>
      </c>
      <c r="W5014" s="27" t="str">
        <f t="shared" si="2728"/>
        <v>-</v>
      </c>
      <c r="X5014" s="27" t="str">
        <f t="shared" ref="X5014" si="2733">IFERROR(W5014*J5013,"-")</f>
        <v>-</v>
      </c>
      <c r="Z5014" s="94" t="s">
        <v>82</v>
      </c>
    </row>
    <row r="5015" spans="1:26" s="25" customFormat="1" ht="6.95" customHeight="1" x14ac:dyDescent="0.3">
      <c r="A5015" s="10"/>
      <c r="B5015" s="168"/>
      <c r="C5015" s="169"/>
      <c r="D5015" s="160"/>
      <c r="E5015" s="161"/>
      <c r="F5015" s="162"/>
      <c r="G5015" s="163"/>
      <c r="H5015" s="164"/>
      <c r="I5015" s="163"/>
      <c r="J5015" s="164"/>
      <c r="K5015" s="163"/>
      <c r="L5015" s="164"/>
      <c r="M5015" s="11"/>
      <c r="N5015" s="39"/>
      <c r="Q5015" s="15" t="str">
        <f>+CONCATENATE(E5013,K5013)</f>
        <v/>
      </c>
      <c r="R5015" s="15">
        <f>+L5013</f>
        <v>0</v>
      </c>
      <c r="S5015" s="16"/>
      <c r="T5015" s="15">
        <f>+E5013</f>
        <v>0</v>
      </c>
      <c r="U5015" s="26" t="str">
        <f>IFERROR(LEFT(K5013,FIND("*",K5013)-1),"-")</f>
        <v>-</v>
      </c>
      <c r="V5015" s="26" t="str">
        <f>IFERROR(RIGHT(K5013,LEN(K5013)-FIND("*",K5013)),"-")</f>
        <v>-</v>
      </c>
      <c r="W5015" s="27" t="str">
        <f t="shared" si="2728"/>
        <v>-</v>
      </c>
      <c r="X5015" s="27" t="str">
        <f>IFERROR(W5015*L5013,"-")</f>
        <v>-</v>
      </c>
      <c r="Z5015" s="94" t="s">
        <v>82</v>
      </c>
    </row>
    <row r="5016" spans="1:26" s="25" customFormat="1" ht="21" customHeight="1" thickBot="1" x14ac:dyDescent="0.35">
      <c r="A5016" s="10"/>
      <c r="B5016" s="170"/>
      <c r="C5016" s="171"/>
      <c r="D5016" s="172" t="s">
        <v>43</v>
      </c>
      <c r="E5016" s="173"/>
      <c r="F5016" s="173"/>
      <c r="G5016" s="174"/>
      <c r="H5016" s="174"/>
      <c r="I5016" s="174"/>
      <c r="J5016" s="174"/>
      <c r="K5016" s="174"/>
      <c r="L5016" s="174"/>
      <c r="M5016" s="12"/>
      <c r="N5016" s="39"/>
      <c r="U5016" s="23"/>
      <c r="V5016" s="23"/>
      <c r="Z5016" s="95" t="s">
        <v>81</v>
      </c>
    </row>
    <row r="5017" spans="1:26" s="25" customFormat="1" ht="9.9499999999999993" customHeight="1" thickBot="1" x14ac:dyDescent="0.35">
      <c r="A5017" s="6"/>
      <c r="B5017" s="14"/>
      <c r="C5017" s="119"/>
      <c r="D5017" s="58"/>
      <c r="E5017" s="17"/>
      <c r="F5017" s="58"/>
      <c r="G5017" s="19"/>
      <c r="H5017" s="19"/>
      <c r="I5017" s="19"/>
      <c r="J5017" s="19"/>
      <c r="K5017" s="19"/>
      <c r="L5017" s="19"/>
      <c r="M5017" s="14"/>
      <c r="N5017" s="39"/>
      <c r="Q5017" s="1"/>
      <c r="R5017" s="1"/>
      <c r="S5017" s="1"/>
      <c r="T5017" s="1"/>
      <c r="U5017" s="24"/>
      <c r="V5017" s="24"/>
      <c r="W5017" s="1"/>
      <c r="X5017" s="1"/>
      <c r="Z5017" s="94" t="s">
        <v>82</v>
      </c>
    </row>
    <row r="5018" spans="1:26" s="25" customFormat="1" ht="6.95" customHeight="1" x14ac:dyDescent="0.3">
      <c r="A5018" s="165">
        <f>+A5007+1</f>
        <v>457</v>
      </c>
      <c r="B5018" s="166"/>
      <c r="C5018" s="167"/>
      <c r="D5018" s="160" t="s">
        <v>39</v>
      </c>
      <c r="E5018" s="161"/>
      <c r="F5018" s="162" t="s">
        <v>40</v>
      </c>
      <c r="G5018" s="163"/>
      <c r="H5018" s="164"/>
      <c r="I5018" s="163"/>
      <c r="J5018" s="164"/>
      <c r="K5018" s="163"/>
      <c r="L5018" s="164"/>
      <c r="M5018" s="11"/>
      <c r="N5018" s="39"/>
      <c r="Q5018" s="15" t="str">
        <f>+CONCATENATE(E5018,G5018)</f>
        <v/>
      </c>
      <c r="R5018" s="15">
        <f>+H5018</f>
        <v>0</v>
      </c>
      <c r="S5018" s="16"/>
      <c r="T5018" s="15">
        <f>+E5018</f>
        <v>0</v>
      </c>
      <c r="U5018" s="26" t="str">
        <f>IFERROR(LEFT(G5018,FIND("*",G5018)-1),"-")</f>
        <v>-</v>
      </c>
      <c r="V5018" s="26" t="str">
        <f>IFERROR(RIGHT(G5018,LEN(G5018)-FIND("*",G5018)),"-")</f>
        <v>-</v>
      </c>
      <c r="W5018" s="27" t="str">
        <f>IFERROR((U5018+V5018)*2/1000,"-")</f>
        <v>-</v>
      </c>
      <c r="X5018" s="27" t="str">
        <f>IFERROR(W5018*H5018,"-")</f>
        <v>-</v>
      </c>
      <c r="Z5018" s="94" t="s">
        <v>82</v>
      </c>
    </row>
    <row r="5019" spans="1:26" s="25" customFormat="1" ht="6.95" customHeight="1" x14ac:dyDescent="0.3">
      <c r="A5019" s="165"/>
      <c r="B5019" s="168"/>
      <c r="C5019" s="169"/>
      <c r="D5019" s="160"/>
      <c r="E5019" s="161"/>
      <c r="F5019" s="162"/>
      <c r="G5019" s="163"/>
      <c r="H5019" s="164"/>
      <c r="I5019" s="163"/>
      <c r="J5019" s="164"/>
      <c r="K5019" s="163"/>
      <c r="L5019" s="164"/>
      <c r="M5019" s="11"/>
      <c r="N5019" s="39"/>
      <c r="Q5019" s="15" t="str">
        <f>+CONCATENATE(E5018,I5018)</f>
        <v/>
      </c>
      <c r="R5019" s="15">
        <f>+J5018</f>
        <v>0</v>
      </c>
      <c r="S5019" s="16"/>
      <c r="T5019" s="15">
        <f>+E5018</f>
        <v>0</v>
      </c>
      <c r="U5019" s="26" t="str">
        <f>IFERROR(LEFT(I5018,FIND("*",I5018)-1),"-")</f>
        <v>-</v>
      </c>
      <c r="V5019" s="26" t="str">
        <f>IFERROR(RIGHT(I5018,LEN(I5018)-FIND("*",I5018)),"-")</f>
        <v>-</v>
      </c>
      <c r="W5019" s="27" t="str">
        <f t="shared" ref="W5019:W5026" si="2734">IFERROR((U5019+V5019)*2/1000,"-")</f>
        <v>-</v>
      </c>
      <c r="X5019" s="27" t="str">
        <f>IFERROR(W5019*J5018,"-")</f>
        <v>-</v>
      </c>
      <c r="Z5019" s="94" t="s">
        <v>82</v>
      </c>
    </row>
    <row r="5020" spans="1:26" s="25" customFormat="1" ht="6.95" customHeight="1" x14ac:dyDescent="0.3">
      <c r="A5020" s="165"/>
      <c r="B5020" s="168"/>
      <c r="C5020" s="169"/>
      <c r="D5020" s="160"/>
      <c r="E5020" s="161"/>
      <c r="F5020" s="162"/>
      <c r="G5020" s="163"/>
      <c r="H5020" s="164"/>
      <c r="I5020" s="163"/>
      <c r="J5020" s="164"/>
      <c r="K5020" s="163"/>
      <c r="L5020" s="164"/>
      <c r="M5020" s="11"/>
      <c r="N5020" s="39"/>
      <c r="Q5020" s="15" t="str">
        <f>+CONCATENATE(E5018,K5018)</f>
        <v/>
      </c>
      <c r="R5020" s="15">
        <f>+L5018</f>
        <v>0</v>
      </c>
      <c r="S5020" s="16"/>
      <c r="T5020" s="15">
        <f>+E5018</f>
        <v>0</v>
      </c>
      <c r="U5020" s="26" t="str">
        <f>IFERROR(LEFT(K5018,FIND("*",K5018)-1),"-")</f>
        <v>-</v>
      </c>
      <c r="V5020" s="26" t="str">
        <f>IFERROR(RIGHT(K5018,LEN(K5018)-FIND("*",K5018)),"-")</f>
        <v>-</v>
      </c>
      <c r="W5020" s="27" t="str">
        <f t="shared" si="2734"/>
        <v>-</v>
      </c>
      <c r="X5020" s="27" t="str">
        <f>IFERROR(W5020*L5018,"-")</f>
        <v>-</v>
      </c>
      <c r="Z5020" s="94" t="s">
        <v>82</v>
      </c>
    </row>
    <row r="5021" spans="1:26" s="25" customFormat="1" ht="6.95" customHeight="1" x14ac:dyDescent="0.3">
      <c r="A5021" s="13"/>
      <c r="B5021" s="168"/>
      <c r="C5021" s="169"/>
      <c r="D5021" s="160" t="s">
        <v>39</v>
      </c>
      <c r="E5021" s="161"/>
      <c r="F5021" s="162" t="s">
        <v>40</v>
      </c>
      <c r="G5021" s="163"/>
      <c r="H5021" s="164"/>
      <c r="I5021" s="163"/>
      <c r="J5021" s="164"/>
      <c r="K5021" s="163"/>
      <c r="L5021" s="164"/>
      <c r="M5021" s="11"/>
      <c r="N5021" s="39"/>
      <c r="Q5021" s="15" t="str">
        <f>+CONCATENATE(E5021,G5021)</f>
        <v/>
      </c>
      <c r="R5021" s="15">
        <f>+H5021</f>
        <v>0</v>
      </c>
      <c r="S5021" s="16"/>
      <c r="T5021" s="15">
        <f>+E5021</f>
        <v>0</v>
      </c>
      <c r="U5021" s="26" t="str">
        <f t="shared" ref="U5021" si="2735">IFERROR(LEFT(G5021,FIND("*",G5021)-1),"-")</f>
        <v>-</v>
      </c>
      <c r="V5021" s="26" t="str">
        <f t="shared" ref="V5021" si="2736">IFERROR(RIGHT(G5021,LEN(G5021)-FIND("*",G5021)),"-")</f>
        <v>-</v>
      </c>
      <c r="W5021" s="27" t="str">
        <f t="shared" si="2734"/>
        <v>-</v>
      </c>
      <c r="X5021" s="27" t="str">
        <f>IFERROR(W5021*H5021,"-")</f>
        <v>-</v>
      </c>
      <c r="Z5021" s="94" t="s">
        <v>82</v>
      </c>
    </row>
    <row r="5022" spans="1:26" s="25" customFormat="1" ht="6.95" customHeight="1" x14ac:dyDescent="0.3">
      <c r="A5022" s="10"/>
      <c r="B5022" s="168"/>
      <c r="C5022" s="169"/>
      <c r="D5022" s="160"/>
      <c r="E5022" s="161"/>
      <c r="F5022" s="162"/>
      <c r="G5022" s="163"/>
      <c r="H5022" s="164"/>
      <c r="I5022" s="163"/>
      <c r="J5022" s="164"/>
      <c r="K5022" s="163"/>
      <c r="L5022" s="164"/>
      <c r="M5022" s="11"/>
      <c r="N5022" s="39"/>
      <c r="Q5022" s="15" t="str">
        <f>+CONCATENATE(E5021,I5021)</f>
        <v/>
      </c>
      <c r="R5022" s="15">
        <f>+J5021</f>
        <v>0</v>
      </c>
      <c r="S5022" s="16"/>
      <c r="T5022" s="15">
        <f>+E5021</f>
        <v>0</v>
      </c>
      <c r="U5022" s="26" t="str">
        <f>IFERROR(LEFT(I5021,FIND("*",I5021)-1),"-")</f>
        <v>-</v>
      </c>
      <c r="V5022" s="26" t="str">
        <f>IFERROR(RIGHT(I5021,LEN(I5021)-FIND("*",I5021)),"-")</f>
        <v>-</v>
      </c>
      <c r="W5022" s="27" t="str">
        <f t="shared" si="2734"/>
        <v>-</v>
      </c>
      <c r="X5022" s="27" t="str">
        <f>IFERROR(W5022*J5021,"-")</f>
        <v>-</v>
      </c>
      <c r="Z5022" s="94" t="s">
        <v>82</v>
      </c>
    </row>
    <row r="5023" spans="1:26" s="25" customFormat="1" ht="6.95" customHeight="1" x14ac:dyDescent="0.3">
      <c r="A5023" s="10"/>
      <c r="B5023" s="168"/>
      <c r="C5023" s="169"/>
      <c r="D5023" s="160"/>
      <c r="E5023" s="161"/>
      <c r="F5023" s="162"/>
      <c r="G5023" s="163"/>
      <c r="H5023" s="164"/>
      <c r="I5023" s="163"/>
      <c r="J5023" s="164"/>
      <c r="K5023" s="163"/>
      <c r="L5023" s="164"/>
      <c r="M5023" s="11"/>
      <c r="N5023" s="39"/>
      <c r="Q5023" s="15" t="str">
        <f>+CONCATENATE(E5021,K5021)</f>
        <v/>
      </c>
      <c r="R5023" s="15">
        <f>+L5021</f>
        <v>0</v>
      </c>
      <c r="S5023" s="16"/>
      <c r="T5023" s="15">
        <f>+E5021</f>
        <v>0</v>
      </c>
      <c r="U5023" s="26" t="str">
        <f>IFERROR(LEFT(K5021,FIND("*",K5021)-1),"-")</f>
        <v>-</v>
      </c>
      <c r="V5023" s="26" t="str">
        <f>IFERROR(RIGHT(K5021,LEN(K5021)-FIND("*",K5021)),"-")</f>
        <v>-</v>
      </c>
      <c r="W5023" s="27" t="str">
        <f t="shared" si="2734"/>
        <v>-</v>
      </c>
      <c r="X5023" s="27" t="str">
        <f>IFERROR(W5023*L5021,"-")</f>
        <v>-</v>
      </c>
      <c r="Z5023" s="94" t="s">
        <v>82</v>
      </c>
    </row>
    <row r="5024" spans="1:26" s="25" customFormat="1" ht="6.95" customHeight="1" x14ac:dyDescent="0.3">
      <c r="A5024" s="13"/>
      <c r="B5024" s="168"/>
      <c r="C5024" s="169"/>
      <c r="D5024" s="160" t="s">
        <v>39</v>
      </c>
      <c r="E5024" s="161"/>
      <c r="F5024" s="162" t="s">
        <v>40</v>
      </c>
      <c r="G5024" s="163"/>
      <c r="H5024" s="164"/>
      <c r="I5024" s="163"/>
      <c r="J5024" s="164"/>
      <c r="K5024" s="163"/>
      <c r="L5024" s="164"/>
      <c r="M5024" s="11"/>
      <c r="N5024" s="39"/>
      <c r="Q5024" s="15" t="str">
        <f>+CONCATENATE(E5024,G5024)</f>
        <v/>
      </c>
      <c r="R5024" s="15">
        <f>+H5024</f>
        <v>0</v>
      </c>
      <c r="S5024" s="16"/>
      <c r="T5024" s="15">
        <f>+E5024</f>
        <v>0</v>
      </c>
      <c r="U5024" s="26" t="str">
        <f t="shared" ref="U5024" si="2737">IFERROR(LEFT(G5024,FIND("*",G5024)-1),"-")</f>
        <v>-</v>
      </c>
      <c r="V5024" s="26" t="str">
        <f t="shared" ref="V5024" si="2738">IFERROR(RIGHT(G5024,LEN(G5024)-FIND("*",G5024)),"-")</f>
        <v>-</v>
      </c>
      <c r="W5024" s="27" t="str">
        <f t="shared" si="2734"/>
        <v>-</v>
      </c>
      <c r="X5024" s="27" t="str">
        <f>IFERROR(W5024*H5024,"-")</f>
        <v>-</v>
      </c>
      <c r="Z5024" s="94" t="s">
        <v>82</v>
      </c>
    </row>
    <row r="5025" spans="1:26" s="25" customFormat="1" ht="6.95" customHeight="1" x14ac:dyDescent="0.3">
      <c r="A5025" s="10"/>
      <c r="B5025" s="168"/>
      <c r="C5025" s="169"/>
      <c r="D5025" s="160"/>
      <c r="E5025" s="161"/>
      <c r="F5025" s="162"/>
      <c r="G5025" s="163"/>
      <c r="H5025" s="164"/>
      <c r="I5025" s="163"/>
      <c r="J5025" s="164"/>
      <c r="K5025" s="163"/>
      <c r="L5025" s="164"/>
      <c r="M5025" s="11"/>
      <c r="N5025" s="39"/>
      <c r="Q5025" s="15" t="str">
        <f>+CONCATENATE(E5024,I5024)</f>
        <v/>
      </c>
      <c r="R5025" s="15">
        <f>+J5024</f>
        <v>0</v>
      </c>
      <c r="S5025" s="16"/>
      <c r="T5025" s="15">
        <f>+E5024</f>
        <v>0</v>
      </c>
      <c r="U5025" s="26" t="str">
        <f>IFERROR(LEFT(I5024,FIND("*",I5024)-1),"-")</f>
        <v>-</v>
      </c>
      <c r="V5025" s="26" t="str">
        <f>IFERROR(RIGHT(I5024,LEN(I5024)-FIND("*",I5024)),"-")</f>
        <v>-</v>
      </c>
      <c r="W5025" s="27" t="str">
        <f t="shared" si="2734"/>
        <v>-</v>
      </c>
      <c r="X5025" s="27" t="str">
        <f t="shared" ref="X5025" si="2739">IFERROR(W5025*J5024,"-")</f>
        <v>-</v>
      </c>
      <c r="Z5025" s="94" t="s">
        <v>82</v>
      </c>
    </row>
    <row r="5026" spans="1:26" s="25" customFormat="1" ht="6.95" customHeight="1" x14ac:dyDescent="0.3">
      <c r="A5026" s="10"/>
      <c r="B5026" s="168"/>
      <c r="C5026" s="169"/>
      <c r="D5026" s="160"/>
      <c r="E5026" s="161"/>
      <c r="F5026" s="162"/>
      <c r="G5026" s="163"/>
      <c r="H5026" s="164"/>
      <c r="I5026" s="163"/>
      <c r="J5026" s="164"/>
      <c r="K5026" s="163"/>
      <c r="L5026" s="164"/>
      <c r="M5026" s="11"/>
      <c r="N5026" s="39"/>
      <c r="Q5026" s="15" t="str">
        <f>+CONCATENATE(E5024,K5024)</f>
        <v/>
      </c>
      <c r="R5026" s="15">
        <f>+L5024</f>
        <v>0</v>
      </c>
      <c r="S5026" s="16"/>
      <c r="T5026" s="15">
        <f>+E5024</f>
        <v>0</v>
      </c>
      <c r="U5026" s="26" t="str">
        <f>IFERROR(LEFT(K5024,FIND("*",K5024)-1),"-")</f>
        <v>-</v>
      </c>
      <c r="V5026" s="26" t="str">
        <f>IFERROR(RIGHT(K5024,LEN(K5024)-FIND("*",K5024)),"-")</f>
        <v>-</v>
      </c>
      <c r="W5026" s="27" t="str">
        <f t="shared" si="2734"/>
        <v>-</v>
      </c>
      <c r="X5026" s="27" t="str">
        <f>IFERROR(W5026*L5024,"-")</f>
        <v>-</v>
      </c>
      <c r="Z5026" s="94" t="s">
        <v>82</v>
      </c>
    </row>
    <row r="5027" spans="1:26" s="25" customFormat="1" ht="21" customHeight="1" thickBot="1" x14ac:dyDescent="0.35">
      <c r="A5027" s="10"/>
      <c r="B5027" s="170"/>
      <c r="C5027" s="171"/>
      <c r="D5027" s="172" t="s">
        <v>43</v>
      </c>
      <c r="E5027" s="173"/>
      <c r="F5027" s="173"/>
      <c r="G5027" s="174"/>
      <c r="H5027" s="174"/>
      <c r="I5027" s="174"/>
      <c r="J5027" s="174"/>
      <c r="K5027" s="174"/>
      <c r="L5027" s="174"/>
      <c r="M5027" s="12"/>
      <c r="N5027" s="39"/>
      <c r="U5027" s="23"/>
      <c r="V5027" s="23"/>
      <c r="Z5027" s="95" t="s">
        <v>81</v>
      </c>
    </row>
    <row r="5028" spans="1:26" s="25" customFormat="1" ht="9.9499999999999993" customHeight="1" thickBot="1" x14ac:dyDescent="0.35">
      <c r="A5028" s="6"/>
      <c r="B5028" s="14"/>
      <c r="C5028" s="119"/>
      <c r="D5028" s="58"/>
      <c r="E5028" s="17"/>
      <c r="F5028" s="58"/>
      <c r="G5028" s="19"/>
      <c r="H5028" s="19"/>
      <c r="I5028" s="19"/>
      <c r="J5028" s="19"/>
      <c r="K5028" s="19"/>
      <c r="L5028" s="19"/>
      <c r="M5028" s="14"/>
      <c r="N5028" s="39"/>
      <c r="Q5028" s="1"/>
      <c r="R5028" s="1"/>
      <c r="S5028" s="1"/>
      <c r="T5028" s="1"/>
      <c r="U5028" s="24"/>
      <c r="V5028" s="24"/>
      <c r="W5028" s="1"/>
      <c r="X5028" s="1"/>
      <c r="Z5028" s="94" t="s">
        <v>82</v>
      </c>
    </row>
    <row r="5029" spans="1:26" s="25" customFormat="1" ht="6.95" customHeight="1" x14ac:dyDescent="0.3">
      <c r="A5029" s="165">
        <f>+A5018+1</f>
        <v>458</v>
      </c>
      <c r="B5029" s="166"/>
      <c r="C5029" s="167"/>
      <c r="D5029" s="160" t="s">
        <v>39</v>
      </c>
      <c r="E5029" s="161"/>
      <c r="F5029" s="162" t="s">
        <v>40</v>
      </c>
      <c r="G5029" s="163"/>
      <c r="H5029" s="164"/>
      <c r="I5029" s="163"/>
      <c r="J5029" s="164"/>
      <c r="K5029" s="163"/>
      <c r="L5029" s="164"/>
      <c r="M5029" s="11"/>
      <c r="N5029" s="39"/>
      <c r="Q5029" s="15" t="str">
        <f>+CONCATENATE(E5029,G5029)</f>
        <v/>
      </c>
      <c r="R5029" s="15">
        <f>+H5029</f>
        <v>0</v>
      </c>
      <c r="S5029" s="16"/>
      <c r="T5029" s="15">
        <f>+E5029</f>
        <v>0</v>
      </c>
      <c r="U5029" s="26" t="str">
        <f>IFERROR(LEFT(G5029,FIND("*",G5029)-1),"-")</f>
        <v>-</v>
      </c>
      <c r="V5029" s="26" t="str">
        <f>IFERROR(RIGHT(G5029,LEN(G5029)-FIND("*",G5029)),"-")</f>
        <v>-</v>
      </c>
      <c r="W5029" s="27" t="str">
        <f>IFERROR((U5029+V5029)*2/1000,"-")</f>
        <v>-</v>
      </c>
      <c r="X5029" s="27" t="str">
        <f>IFERROR(W5029*H5029,"-")</f>
        <v>-</v>
      </c>
      <c r="Z5029" s="94" t="s">
        <v>82</v>
      </c>
    </row>
    <row r="5030" spans="1:26" s="25" customFormat="1" ht="6.95" customHeight="1" x14ac:dyDescent="0.3">
      <c r="A5030" s="165"/>
      <c r="B5030" s="168"/>
      <c r="C5030" s="169"/>
      <c r="D5030" s="160"/>
      <c r="E5030" s="161"/>
      <c r="F5030" s="162"/>
      <c r="G5030" s="163"/>
      <c r="H5030" s="164"/>
      <c r="I5030" s="163"/>
      <c r="J5030" s="164"/>
      <c r="K5030" s="163"/>
      <c r="L5030" s="164"/>
      <c r="M5030" s="11"/>
      <c r="N5030" s="39"/>
      <c r="Q5030" s="15" t="str">
        <f>+CONCATENATE(E5029,I5029)</f>
        <v/>
      </c>
      <c r="R5030" s="15">
        <f>+J5029</f>
        <v>0</v>
      </c>
      <c r="S5030" s="16"/>
      <c r="T5030" s="15">
        <f>+E5029</f>
        <v>0</v>
      </c>
      <c r="U5030" s="26" t="str">
        <f>IFERROR(LEFT(I5029,FIND("*",I5029)-1),"-")</f>
        <v>-</v>
      </c>
      <c r="V5030" s="26" t="str">
        <f>IFERROR(RIGHT(I5029,LEN(I5029)-FIND("*",I5029)),"-")</f>
        <v>-</v>
      </c>
      <c r="W5030" s="27" t="str">
        <f t="shared" ref="W5030:W5037" si="2740">IFERROR((U5030+V5030)*2/1000,"-")</f>
        <v>-</v>
      </c>
      <c r="X5030" s="27" t="str">
        <f>IFERROR(W5030*J5029,"-")</f>
        <v>-</v>
      </c>
      <c r="Z5030" s="94" t="s">
        <v>82</v>
      </c>
    </row>
    <row r="5031" spans="1:26" s="25" customFormat="1" ht="6.95" customHeight="1" x14ac:dyDescent="0.3">
      <c r="A5031" s="165"/>
      <c r="B5031" s="168"/>
      <c r="C5031" s="169"/>
      <c r="D5031" s="160"/>
      <c r="E5031" s="161"/>
      <c r="F5031" s="162"/>
      <c r="G5031" s="163"/>
      <c r="H5031" s="164"/>
      <c r="I5031" s="163"/>
      <c r="J5031" s="164"/>
      <c r="K5031" s="163"/>
      <c r="L5031" s="164"/>
      <c r="M5031" s="11"/>
      <c r="N5031" s="39"/>
      <c r="Q5031" s="15" t="str">
        <f>+CONCATENATE(E5029,K5029)</f>
        <v/>
      </c>
      <c r="R5031" s="15">
        <f>+L5029</f>
        <v>0</v>
      </c>
      <c r="S5031" s="16"/>
      <c r="T5031" s="15">
        <f>+E5029</f>
        <v>0</v>
      </c>
      <c r="U5031" s="26" t="str">
        <f>IFERROR(LEFT(K5029,FIND("*",K5029)-1),"-")</f>
        <v>-</v>
      </c>
      <c r="V5031" s="26" t="str">
        <f>IFERROR(RIGHT(K5029,LEN(K5029)-FIND("*",K5029)),"-")</f>
        <v>-</v>
      </c>
      <c r="W5031" s="27" t="str">
        <f t="shared" si="2740"/>
        <v>-</v>
      </c>
      <c r="X5031" s="27" t="str">
        <f>IFERROR(W5031*L5029,"-")</f>
        <v>-</v>
      </c>
      <c r="Z5031" s="94" t="s">
        <v>82</v>
      </c>
    </row>
    <row r="5032" spans="1:26" s="25" customFormat="1" ht="6.95" customHeight="1" x14ac:dyDescent="0.3">
      <c r="A5032" s="13"/>
      <c r="B5032" s="168"/>
      <c r="C5032" s="169"/>
      <c r="D5032" s="160" t="s">
        <v>39</v>
      </c>
      <c r="E5032" s="161"/>
      <c r="F5032" s="162" t="s">
        <v>40</v>
      </c>
      <c r="G5032" s="163"/>
      <c r="H5032" s="164"/>
      <c r="I5032" s="163"/>
      <c r="J5032" s="164"/>
      <c r="K5032" s="163"/>
      <c r="L5032" s="164"/>
      <c r="M5032" s="11"/>
      <c r="N5032" s="39"/>
      <c r="Q5032" s="15" t="str">
        <f>+CONCATENATE(E5032,G5032)</f>
        <v/>
      </c>
      <c r="R5032" s="15">
        <f>+H5032</f>
        <v>0</v>
      </c>
      <c r="S5032" s="16"/>
      <c r="T5032" s="15">
        <f>+E5032</f>
        <v>0</v>
      </c>
      <c r="U5032" s="26" t="str">
        <f t="shared" ref="U5032" si="2741">IFERROR(LEFT(G5032,FIND("*",G5032)-1),"-")</f>
        <v>-</v>
      </c>
      <c r="V5032" s="26" t="str">
        <f t="shared" ref="V5032" si="2742">IFERROR(RIGHT(G5032,LEN(G5032)-FIND("*",G5032)),"-")</f>
        <v>-</v>
      </c>
      <c r="W5032" s="27" t="str">
        <f t="shared" si="2740"/>
        <v>-</v>
      </c>
      <c r="X5032" s="27" t="str">
        <f>IFERROR(W5032*H5032,"-")</f>
        <v>-</v>
      </c>
      <c r="Z5032" s="94" t="s">
        <v>82</v>
      </c>
    </row>
    <row r="5033" spans="1:26" s="25" customFormat="1" ht="6.95" customHeight="1" x14ac:dyDescent="0.3">
      <c r="A5033" s="10"/>
      <c r="B5033" s="168"/>
      <c r="C5033" s="169"/>
      <c r="D5033" s="160"/>
      <c r="E5033" s="161"/>
      <c r="F5033" s="162"/>
      <c r="G5033" s="163"/>
      <c r="H5033" s="164"/>
      <c r="I5033" s="163"/>
      <c r="J5033" s="164"/>
      <c r="K5033" s="163"/>
      <c r="L5033" s="164"/>
      <c r="M5033" s="11"/>
      <c r="N5033" s="39"/>
      <c r="Q5033" s="15" t="str">
        <f>+CONCATENATE(E5032,I5032)</f>
        <v/>
      </c>
      <c r="R5033" s="15">
        <f>+J5032</f>
        <v>0</v>
      </c>
      <c r="S5033" s="16"/>
      <c r="T5033" s="15">
        <f>+E5032</f>
        <v>0</v>
      </c>
      <c r="U5033" s="26" t="str">
        <f>IFERROR(LEFT(I5032,FIND("*",I5032)-1),"-")</f>
        <v>-</v>
      </c>
      <c r="V5033" s="26" t="str">
        <f>IFERROR(RIGHT(I5032,LEN(I5032)-FIND("*",I5032)),"-")</f>
        <v>-</v>
      </c>
      <c r="W5033" s="27" t="str">
        <f t="shared" si="2740"/>
        <v>-</v>
      </c>
      <c r="X5033" s="27" t="str">
        <f>IFERROR(W5033*J5032,"-")</f>
        <v>-</v>
      </c>
      <c r="Z5033" s="94" t="s">
        <v>82</v>
      </c>
    </row>
    <row r="5034" spans="1:26" s="25" customFormat="1" ht="6.95" customHeight="1" x14ac:dyDescent="0.3">
      <c r="A5034" s="10"/>
      <c r="B5034" s="168"/>
      <c r="C5034" s="169"/>
      <c r="D5034" s="160"/>
      <c r="E5034" s="161"/>
      <c r="F5034" s="162"/>
      <c r="G5034" s="163"/>
      <c r="H5034" s="164"/>
      <c r="I5034" s="163"/>
      <c r="J5034" s="164"/>
      <c r="K5034" s="163"/>
      <c r="L5034" s="164"/>
      <c r="M5034" s="11"/>
      <c r="N5034" s="39"/>
      <c r="Q5034" s="15" t="str">
        <f>+CONCATENATE(E5032,K5032)</f>
        <v/>
      </c>
      <c r="R5034" s="15">
        <f>+L5032</f>
        <v>0</v>
      </c>
      <c r="S5034" s="16"/>
      <c r="T5034" s="15">
        <f>+E5032</f>
        <v>0</v>
      </c>
      <c r="U5034" s="26" t="str">
        <f>IFERROR(LEFT(K5032,FIND("*",K5032)-1),"-")</f>
        <v>-</v>
      </c>
      <c r="V5034" s="26" t="str">
        <f>IFERROR(RIGHT(K5032,LEN(K5032)-FIND("*",K5032)),"-")</f>
        <v>-</v>
      </c>
      <c r="W5034" s="27" t="str">
        <f t="shared" si="2740"/>
        <v>-</v>
      </c>
      <c r="X5034" s="27" t="str">
        <f>IFERROR(W5034*L5032,"-")</f>
        <v>-</v>
      </c>
      <c r="Z5034" s="94" t="s">
        <v>82</v>
      </c>
    </row>
    <row r="5035" spans="1:26" s="25" customFormat="1" ht="6.95" customHeight="1" x14ac:dyDescent="0.3">
      <c r="A5035" s="13"/>
      <c r="B5035" s="168"/>
      <c r="C5035" s="169"/>
      <c r="D5035" s="160" t="s">
        <v>39</v>
      </c>
      <c r="E5035" s="161"/>
      <c r="F5035" s="162" t="s">
        <v>40</v>
      </c>
      <c r="G5035" s="163"/>
      <c r="H5035" s="164"/>
      <c r="I5035" s="163"/>
      <c r="J5035" s="164"/>
      <c r="K5035" s="163"/>
      <c r="L5035" s="164"/>
      <c r="M5035" s="11"/>
      <c r="N5035" s="39"/>
      <c r="Q5035" s="15" t="str">
        <f>+CONCATENATE(E5035,G5035)</f>
        <v/>
      </c>
      <c r="R5035" s="15">
        <f>+H5035</f>
        <v>0</v>
      </c>
      <c r="S5035" s="16"/>
      <c r="T5035" s="15">
        <f>+E5035</f>
        <v>0</v>
      </c>
      <c r="U5035" s="26" t="str">
        <f t="shared" ref="U5035" si="2743">IFERROR(LEFT(G5035,FIND("*",G5035)-1),"-")</f>
        <v>-</v>
      </c>
      <c r="V5035" s="26" t="str">
        <f t="shared" ref="V5035" si="2744">IFERROR(RIGHT(G5035,LEN(G5035)-FIND("*",G5035)),"-")</f>
        <v>-</v>
      </c>
      <c r="W5035" s="27" t="str">
        <f t="shared" si="2740"/>
        <v>-</v>
      </c>
      <c r="X5035" s="27" t="str">
        <f>IFERROR(W5035*H5035,"-")</f>
        <v>-</v>
      </c>
      <c r="Z5035" s="94" t="s">
        <v>82</v>
      </c>
    </row>
    <row r="5036" spans="1:26" s="25" customFormat="1" ht="6.95" customHeight="1" x14ac:dyDescent="0.3">
      <c r="A5036" s="10"/>
      <c r="B5036" s="168"/>
      <c r="C5036" s="169"/>
      <c r="D5036" s="160"/>
      <c r="E5036" s="161"/>
      <c r="F5036" s="162"/>
      <c r="G5036" s="163"/>
      <c r="H5036" s="164"/>
      <c r="I5036" s="163"/>
      <c r="J5036" s="164"/>
      <c r="K5036" s="163"/>
      <c r="L5036" s="164"/>
      <c r="M5036" s="11"/>
      <c r="N5036" s="39"/>
      <c r="Q5036" s="15" t="str">
        <f>+CONCATENATE(E5035,I5035)</f>
        <v/>
      </c>
      <c r="R5036" s="15">
        <f>+J5035</f>
        <v>0</v>
      </c>
      <c r="S5036" s="16"/>
      <c r="T5036" s="15">
        <f>+E5035</f>
        <v>0</v>
      </c>
      <c r="U5036" s="26" t="str">
        <f>IFERROR(LEFT(I5035,FIND("*",I5035)-1),"-")</f>
        <v>-</v>
      </c>
      <c r="V5036" s="26" t="str">
        <f>IFERROR(RIGHT(I5035,LEN(I5035)-FIND("*",I5035)),"-")</f>
        <v>-</v>
      </c>
      <c r="W5036" s="27" t="str">
        <f t="shared" si="2740"/>
        <v>-</v>
      </c>
      <c r="X5036" s="27" t="str">
        <f t="shared" ref="X5036" si="2745">IFERROR(W5036*J5035,"-")</f>
        <v>-</v>
      </c>
      <c r="Z5036" s="94" t="s">
        <v>82</v>
      </c>
    </row>
    <row r="5037" spans="1:26" s="25" customFormat="1" ht="6.95" customHeight="1" x14ac:dyDescent="0.3">
      <c r="A5037" s="10"/>
      <c r="B5037" s="168"/>
      <c r="C5037" s="169"/>
      <c r="D5037" s="160"/>
      <c r="E5037" s="161"/>
      <c r="F5037" s="162"/>
      <c r="G5037" s="163"/>
      <c r="H5037" s="164"/>
      <c r="I5037" s="163"/>
      <c r="J5037" s="164"/>
      <c r="K5037" s="163"/>
      <c r="L5037" s="164"/>
      <c r="M5037" s="11"/>
      <c r="N5037" s="39"/>
      <c r="Q5037" s="15" t="str">
        <f>+CONCATENATE(E5035,K5035)</f>
        <v/>
      </c>
      <c r="R5037" s="15">
        <f>+L5035</f>
        <v>0</v>
      </c>
      <c r="S5037" s="16"/>
      <c r="T5037" s="15">
        <f>+E5035</f>
        <v>0</v>
      </c>
      <c r="U5037" s="26" t="str">
        <f>IFERROR(LEFT(K5035,FIND("*",K5035)-1),"-")</f>
        <v>-</v>
      </c>
      <c r="V5037" s="26" t="str">
        <f>IFERROR(RIGHT(K5035,LEN(K5035)-FIND("*",K5035)),"-")</f>
        <v>-</v>
      </c>
      <c r="W5037" s="27" t="str">
        <f t="shared" si="2740"/>
        <v>-</v>
      </c>
      <c r="X5037" s="27" t="str">
        <f>IFERROR(W5037*L5035,"-")</f>
        <v>-</v>
      </c>
      <c r="Z5037" s="94" t="s">
        <v>82</v>
      </c>
    </row>
    <row r="5038" spans="1:26" s="25" customFormat="1" ht="21" customHeight="1" thickBot="1" x14ac:dyDescent="0.35">
      <c r="A5038" s="10"/>
      <c r="B5038" s="170"/>
      <c r="C5038" s="171"/>
      <c r="D5038" s="172" t="s">
        <v>43</v>
      </c>
      <c r="E5038" s="173"/>
      <c r="F5038" s="173"/>
      <c r="G5038" s="174"/>
      <c r="H5038" s="174"/>
      <c r="I5038" s="174"/>
      <c r="J5038" s="174"/>
      <c r="K5038" s="174"/>
      <c r="L5038" s="174"/>
      <c r="M5038" s="12"/>
      <c r="N5038" s="39"/>
      <c r="U5038" s="23"/>
      <c r="V5038" s="23"/>
      <c r="Z5038" s="95" t="s">
        <v>81</v>
      </c>
    </row>
    <row r="5039" spans="1:26" s="25" customFormat="1" ht="9.9499999999999993" customHeight="1" thickBot="1" x14ac:dyDescent="0.35">
      <c r="A5039" s="6"/>
      <c r="B5039" s="14"/>
      <c r="C5039" s="119"/>
      <c r="D5039" s="58"/>
      <c r="E5039" s="17"/>
      <c r="F5039" s="58"/>
      <c r="G5039" s="19"/>
      <c r="H5039" s="19"/>
      <c r="I5039" s="19"/>
      <c r="J5039" s="19"/>
      <c r="K5039" s="19"/>
      <c r="L5039" s="19"/>
      <c r="M5039" s="14"/>
      <c r="N5039" s="39"/>
      <c r="Q5039" s="1"/>
      <c r="R5039" s="1"/>
      <c r="S5039" s="1"/>
      <c r="T5039" s="1"/>
      <c r="U5039" s="24"/>
      <c r="V5039" s="24"/>
      <c r="W5039" s="1"/>
      <c r="X5039" s="1"/>
      <c r="Z5039" s="94" t="s">
        <v>82</v>
      </c>
    </row>
    <row r="5040" spans="1:26" s="25" customFormat="1" ht="6.95" customHeight="1" x14ac:dyDescent="0.3">
      <c r="A5040" s="165">
        <f>+A5029+1</f>
        <v>459</v>
      </c>
      <c r="B5040" s="166"/>
      <c r="C5040" s="167"/>
      <c r="D5040" s="160" t="s">
        <v>39</v>
      </c>
      <c r="E5040" s="161"/>
      <c r="F5040" s="162" t="s">
        <v>40</v>
      </c>
      <c r="G5040" s="163"/>
      <c r="H5040" s="164"/>
      <c r="I5040" s="163"/>
      <c r="J5040" s="164"/>
      <c r="K5040" s="163"/>
      <c r="L5040" s="164"/>
      <c r="M5040" s="11"/>
      <c r="N5040" s="39"/>
      <c r="Q5040" s="15" t="str">
        <f>+CONCATENATE(E5040,G5040)</f>
        <v/>
      </c>
      <c r="R5040" s="15">
        <f>+H5040</f>
        <v>0</v>
      </c>
      <c r="S5040" s="16"/>
      <c r="T5040" s="15">
        <f>+E5040</f>
        <v>0</v>
      </c>
      <c r="U5040" s="26" t="str">
        <f>IFERROR(LEFT(G5040,FIND("*",G5040)-1),"-")</f>
        <v>-</v>
      </c>
      <c r="V5040" s="26" t="str">
        <f>IFERROR(RIGHT(G5040,LEN(G5040)-FIND("*",G5040)),"-")</f>
        <v>-</v>
      </c>
      <c r="W5040" s="27" t="str">
        <f>IFERROR((U5040+V5040)*2/1000,"-")</f>
        <v>-</v>
      </c>
      <c r="X5040" s="27" t="str">
        <f>IFERROR(W5040*H5040,"-")</f>
        <v>-</v>
      </c>
      <c r="Z5040" s="94" t="s">
        <v>82</v>
      </c>
    </row>
    <row r="5041" spans="1:26" s="25" customFormat="1" ht="6.95" customHeight="1" x14ac:dyDescent="0.3">
      <c r="A5041" s="165"/>
      <c r="B5041" s="168"/>
      <c r="C5041" s="169"/>
      <c r="D5041" s="160"/>
      <c r="E5041" s="161"/>
      <c r="F5041" s="162"/>
      <c r="G5041" s="163"/>
      <c r="H5041" s="164"/>
      <c r="I5041" s="163"/>
      <c r="J5041" s="164"/>
      <c r="K5041" s="163"/>
      <c r="L5041" s="164"/>
      <c r="M5041" s="11"/>
      <c r="N5041" s="39"/>
      <c r="Q5041" s="15" t="str">
        <f>+CONCATENATE(E5040,I5040)</f>
        <v/>
      </c>
      <c r="R5041" s="15">
        <f>+J5040</f>
        <v>0</v>
      </c>
      <c r="S5041" s="16"/>
      <c r="T5041" s="15">
        <f>+E5040</f>
        <v>0</v>
      </c>
      <c r="U5041" s="26" t="str">
        <f>IFERROR(LEFT(I5040,FIND("*",I5040)-1),"-")</f>
        <v>-</v>
      </c>
      <c r="V5041" s="26" t="str">
        <f>IFERROR(RIGHT(I5040,LEN(I5040)-FIND("*",I5040)),"-")</f>
        <v>-</v>
      </c>
      <c r="W5041" s="27" t="str">
        <f t="shared" ref="W5041:W5048" si="2746">IFERROR((U5041+V5041)*2/1000,"-")</f>
        <v>-</v>
      </c>
      <c r="X5041" s="27" t="str">
        <f>IFERROR(W5041*J5040,"-")</f>
        <v>-</v>
      </c>
      <c r="Z5041" s="94" t="s">
        <v>82</v>
      </c>
    </row>
    <row r="5042" spans="1:26" s="25" customFormat="1" ht="6.95" customHeight="1" x14ac:dyDescent="0.3">
      <c r="A5042" s="165"/>
      <c r="B5042" s="168"/>
      <c r="C5042" s="169"/>
      <c r="D5042" s="160"/>
      <c r="E5042" s="161"/>
      <c r="F5042" s="162"/>
      <c r="G5042" s="163"/>
      <c r="H5042" s="164"/>
      <c r="I5042" s="163"/>
      <c r="J5042" s="164"/>
      <c r="K5042" s="163"/>
      <c r="L5042" s="164"/>
      <c r="M5042" s="11"/>
      <c r="N5042" s="39"/>
      <c r="Q5042" s="15" t="str">
        <f>+CONCATENATE(E5040,K5040)</f>
        <v/>
      </c>
      <c r="R5042" s="15">
        <f>+L5040</f>
        <v>0</v>
      </c>
      <c r="S5042" s="16"/>
      <c r="T5042" s="15">
        <f>+E5040</f>
        <v>0</v>
      </c>
      <c r="U5042" s="26" t="str">
        <f>IFERROR(LEFT(K5040,FIND("*",K5040)-1),"-")</f>
        <v>-</v>
      </c>
      <c r="V5042" s="26" t="str">
        <f>IFERROR(RIGHT(K5040,LEN(K5040)-FIND("*",K5040)),"-")</f>
        <v>-</v>
      </c>
      <c r="W5042" s="27" t="str">
        <f t="shared" si="2746"/>
        <v>-</v>
      </c>
      <c r="X5042" s="27" t="str">
        <f>IFERROR(W5042*L5040,"-")</f>
        <v>-</v>
      </c>
      <c r="Z5042" s="94" t="s">
        <v>82</v>
      </c>
    </row>
    <row r="5043" spans="1:26" s="25" customFormat="1" ht="6.95" customHeight="1" x14ac:dyDescent="0.3">
      <c r="A5043" s="13"/>
      <c r="B5043" s="168"/>
      <c r="C5043" s="169"/>
      <c r="D5043" s="160" t="s">
        <v>39</v>
      </c>
      <c r="E5043" s="161"/>
      <c r="F5043" s="162" t="s">
        <v>40</v>
      </c>
      <c r="G5043" s="163"/>
      <c r="H5043" s="164"/>
      <c r="I5043" s="163"/>
      <c r="J5043" s="164"/>
      <c r="K5043" s="163"/>
      <c r="L5043" s="164"/>
      <c r="M5043" s="11"/>
      <c r="N5043" s="39"/>
      <c r="Q5043" s="15" t="str">
        <f>+CONCATENATE(E5043,G5043)</f>
        <v/>
      </c>
      <c r="R5043" s="15">
        <f>+H5043</f>
        <v>0</v>
      </c>
      <c r="S5043" s="16"/>
      <c r="T5043" s="15">
        <f>+E5043</f>
        <v>0</v>
      </c>
      <c r="U5043" s="26" t="str">
        <f t="shared" ref="U5043" si="2747">IFERROR(LEFT(G5043,FIND("*",G5043)-1),"-")</f>
        <v>-</v>
      </c>
      <c r="V5043" s="26" t="str">
        <f t="shared" ref="V5043" si="2748">IFERROR(RIGHT(G5043,LEN(G5043)-FIND("*",G5043)),"-")</f>
        <v>-</v>
      </c>
      <c r="W5043" s="27" t="str">
        <f t="shared" si="2746"/>
        <v>-</v>
      </c>
      <c r="X5043" s="27" t="str">
        <f>IFERROR(W5043*H5043,"-")</f>
        <v>-</v>
      </c>
      <c r="Z5043" s="94" t="s">
        <v>82</v>
      </c>
    </row>
    <row r="5044" spans="1:26" s="25" customFormat="1" ht="6.95" customHeight="1" x14ac:dyDescent="0.3">
      <c r="A5044" s="10"/>
      <c r="B5044" s="168"/>
      <c r="C5044" s="169"/>
      <c r="D5044" s="160"/>
      <c r="E5044" s="161"/>
      <c r="F5044" s="162"/>
      <c r="G5044" s="163"/>
      <c r="H5044" s="164"/>
      <c r="I5044" s="163"/>
      <c r="J5044" s="164"/>
      <c r="K5044" s="163"/>
      <c r="L5044" s="164"/>
      <c r="M5044" s="11"/>
      <c r="N5044" s="39"/>
      <c r="Q5044" s="15" t="str">
        <f>+CONCATENATE(E5043,I5043)</f>
        <v/>
      </c>
      <c r="R5044" s="15">
        <f>+J5043</f>
        <v>0</v>
      </c>
      <c r="S5044" s="16"/>
      <c r="T5044" s="15">
        <f>+E5043</f>
        <v>0</v>
      </c>
      <c r="U5044" s="26" t="str">
        <f>IFERROR(LEFT(I5043,FIND("*",I5043)-1),"-")</f>
        <v>-</v>
      </c>
      <c r="V5044" s="26" t="str">
        <f>IFERROR(RIGHT(I5043,LEN(I5043)-FIND("*",I5043)),"-")</f>
        <v>-</v>
      </c>
      <c r="W5044" s="27" t="str">
        <f t="shared" si="2746"/>
        <v>-</v>
      </c>
      <c r="X5044" s="27" t="str">
        <f>IFERROR(W5044*J5043,"-")</f>
        <v>-</v>
      </c>
      <c r="Z5044" s="94" t="s">
        <v>82</v>
      </c>
    </row>
    <row r="5045" spans="1:26" s="25" customFormat="1" ht="6.95" customHeight="1" x14ac:dyDescent="0.3">
      <c r="A5045" s="10"/>
      <c r="B5045" s="168"/>
      <c r="C5045" s="169"/>
      <c r="D5045" s="160"/>
      <c r="E5045" s="161"/>
      <c r="F5045" s="162"/>
      <c r="G5045" s="163"/>
      <c r="H5045" s="164"/>
      <c r="I5045" s="163"/>
      <c r="J5045" s="164"/>
      <c r="K5045" s="163"/>
      <c r="L5045" s="164"/>
      <c r="M5045" s="11"/>
      <c r="N5045" s="39"/>
      <c r="Q5045" s="15" t="str">
        <f>+CONCATENATE(E5043,K5043)</f>
        <v/>
      </c>
      <c r="R5045" s="15">
        <f>+L5043</f>
        <v>0</v>
      </c>
      <c r="S5045" s="16"/>
      <c r="T5045" s="15">
        <f>+E5043</f>
        <v>0</v>
      </c>
      <c r="U5045" s="26" t="str">
        <f>IFERROR(LEFT(K5043,FIND("*",K5043)-1),"-")</f>
        <v>-</v>
      </c>
      <c r="V5045" s="26" t="str">
        <f>IFERROR(RIGHT(K5043,LEN(K5043)-FIND("*",K5043)),"-")</f>
        <v>-</v>
      </c>
      <c r="W5045" s="27" t="str">
        <f t="shared" si="2746"/>
        <v>-</v>
      </c>
      <c r="X5045" s="27" t="str">
        <f>IFERROR(W5045*L5043,"-")</f>
        <v>-</v>
      </c>
      <c r="Z5045" s="94" t="s">
        <v>82</v>
      </c>
    </row>
    <row r="5046" spans="1:26" s="25" customFormat="1" ht="6.95" customHeight="1" x14ac:dyDescent="0.3">
      <c r="A5046" s="13"/>
      <c r="B5046" s="168"/>
      <c r="C5046" s="169"/>
      <c r="D5046" s="160" t="s">
        <v>39</v>
      </c>
      <c r="E5046" s="161"/>
      <c r="F5046" s="162" t="s">
        <v>40</v>
      </c>
      <c r="G5046" s="163"/>
      <c r="H5046" s="164"/>
      <c r="I5046" s="163"/>
      <c r="J5046" s="164"/>
      <c r="K5046" s="163"/>
      <c r="L5046" s="164"/>
      <c r="M5046" s="11"/>
      <c r="N5046" s="39"/>
      <c r="Q5046" s="15" t="str">
        <f>+CONCATENATE(E5046,G5046)</f>
        <v/>
      </c>
      <c r="R5046" s="15">
        <f>+H5046</f>
        <v>0</v>
      </c>
      <c r="S5046" s="16"/>
      <c r="T5046" s="15">
        <f>+E5046</f>
        <v>0</v>
      </c>
      <c r="U5046" s="26" t="str">
        <f t="shared" ref="U5046" si="2749">IFERROR(LEFT(G5046,FIND("*",G5046)-1),"-")</f>
        <v>-</v>
      </c>
      <c r="V5046" s="26" t="str">
        <f t="shared" ref="V5046" si="2750">IFERROR(RIGHT(G5046,LEN(G5046)-FIND("*",G5046)),"-")</f>
        <v>-</v>
      </c>
      <c r="W5046" s="27" t="str">
        <f t="shared" si="2746"/>
        <v>-</v>
      </c>
      <c r="X5046" s="27" t="str">
        <f>IFERROR(W5046*H5046,"-")</f>
        <v>-</v>
      </c>
      <c r="Z5046" s="94" t="s">
        <v>82</v>
      </c>
    </row>
    <row r="5047" spans="1:26" s="25" customFormat="1" ht="6.95" customHeight="1" x14ac:dyDescent="0.3">
      <c r="A5047" s="10"/>
      <c r="B5047" s="168"/>
      <c r="C5047" s="169"/>
      <c r="D5047" s="160"/>
      <c r="E5047" s="161"/>
      <c r="F5047" s="162"/>
      <c r="G5047" s="163"/>
      <c r="H5047" s="164"/>
      <c r="I5047" s="163"/>
      <c r="J5047" s="164"/>
      <c r="K5047" s="163"/>
      <c r="L5047" s="164"/>
      <c r="M5047" s="11"/>
      <c r="N5047" s="39"/>
      <c r="Q5047" s="15" t="str">
        <f>+CONCATENATE(E5046,I5046)</f>
        <v/>
      </c>
      <c r="R5047" s="15">
        <f>+J5046</f>
        <v>0</v>
      </c>
      <c r="S5047" s="16"/>
      <c r="T5047" s="15">
        <f>+E5046</f>
        <v>0</v>
      </c>
      <c r="U5047" s="26" t="str">
        <f>IFERROR(LEFT(I5046,FIND("*",I5046)-1),"-")</f>
        <v>-</v>
      </c>
      <c r="V5047" s="26" t="str">
        <f>IFERROR(RIGHT(I5046,LEN(I5046)-FIND("*",I5046)),"-")</f>
        <v>-</v>
      </c>
      <c r="W5047" s="27" t="str">
        <f t="shared" si="2746"/>
        <v>-</v>
      </c>
      <c r="X5047" s="27" t="str">
        <f t="shared" ref="X5047" si="2751">IFERROR(W5047*J5046,"-")</f>
        <v>-</v>
      </c>
      <c r="Z5047" s="94" t="s">
        <v>82</v>
      </c>
    </row>
    <row r="5048" spans="1:26" s="25" customFormat="1" ht="6.95" customHeight="1" x14ac:dyDescent="0.3">
      <c r="A5048" s="10"/>
      <c r="B5048" s="168"/>
      <c r="C5048" s="169"/>
      <c r="D5048" s="160"/>
      <c r="E5048" s="161"/>
      <c r="F5048" s="162"/>
      <c r="G5048" s="163"/>
      <c r="H5048" s="164"/>
      <c r="I5048" s="163"/>
      <c r="J5048" s="164"/>
      <c r="K5048" s="163"/>
      <c r="L5048" s="164"/>
      <c r="M5048" s="11"/>
      <c r="N5048" s="39"/>
      <c r="Q5048" s="15" t="str">
        <f>+CONCATENATE(E5046,K5046)</f>
        <v/>
      </c>
      <c r="R5048" s="15">
        <f>+L5046</f>
        <v>0</v>
      </c>
      <c r="S5048" s="16"/>
      <c r="T5048" s="15">
        <f>+E5046</f>
        <v>0</v>
      </c>
      <c r="U5048" s="26" t="str">
        <f>IFERROR(LEFT(K5046,FIND("*",K5046)-1),"-")</f>
        <v>-</v>
      </c>
      <c r="V5048" s="26" t="str">
        <f>IFERROR(RIGHT(K5046,LEN(K5046)-FIND("*",K5046)),"-")</f>
        <v>-</v>
      </c>
      <c r="W5048" s="27" t="str">
        <f t="shared" si="2746"/>
        <v>-</v>
      </c>
      <c r="X5048" s="27" t="str">
        <f>IFERROR(W5048*L5046,"-")</f>
        <v>-</v>
      </c>
      <c r="Z5048" s="94" t="s">
        <v>82</v>
      </c>
    </row>
    <row r="5049" spans="1:26" s="25" customFormat="1" ht="21" customHeight="1" thickBot="1" x14ac:dyDescent="0.35">
      <c r="A5049" s="10"/>
      <c r="B5049" s="170"/>
      <c r="C5049" s="171"/>
      <c r="D5049" s="172" t="s">
        <v>43</v>
      </c>
      <c r="E5049" s="173"/>
      <c r="F5049" s="173"/>
      <c r="G5049" s="174"/>
      <c r="H5049" s="174"/>
      <c r="I5049" s="174"/>
      <c r="J5049" s="174"/>
      <c r="K5049" s="174"/>
      <c r="L5049" s="174"/>
      <c r="M5049" s="12"/>
      <c r="N5049" s="39"/>
      <c r="U5049" s="23"/>
      <c r="V5049" s="23"/>
      <c r="Z5049" s="95" t="s">
        <v>81</v>
      </c>
    </row>
    <row r="5050" spans="1:26" s="25" customFormat="1" ht="9.9499999999999993" customHeight="1" thickBot="1" x14ac:dyDescent="0.35">
      <c r="A5050" s="6"/>
      <c r="B5050" s="14"/>
      <c r="C5050" s="119"/>
      <c r="D5050" s="58"/>
      <c r="E5050" s="17"/>
      <c r="F5050" s="58"/>
      <c r="G5050" s="19"/>
      <c r="H5050" s="19"/>
      <c r="I5050" s="19"/>
      <c r="J5050" s="19"/>
      <c r="K5050" s="19"/>
      <c r="L5050" s="19"/>
      <c r="M5050" s="14"/>
      <c r="N5050" s="39"/>
      <c r="Q5050" s="1"/>
      <c r="R5050" s="1"/>
      <c r="S5050" s="1"/>
      <c r="T5050" s="1"/>
      <c r="U5050" s="24"/>
      <c r="V5050" s="24"/>
      <c r="W5050" s="1"/>
      <c r="X5050" s="1"/>
      <c r="Z5050" s="94" t="s">
        <v>82</v>
      </c>
    </row>
    <row r="5051" spans="1:26" s="25" customFormat="1" ht="6.95" customHeight="1" x14ac:dyDescent="0.3">
      <c r="A5051" s="165">
        <f>+A5040+1</f>
        <v>460</v>
      </c>
      <c r="B5051" s="166"/>
      <c r="C5051" s="167"/>
      <c r="D5051" s="160" t="s">
        <v>39</v>
      </c>
      <c r="E5051" s="161"/>
      <c r="F5051" s="162" t="s">
        <v>40</v>
      </c>
      <c r="G5051" s="163"/>
      <c r="H5051" s="164"/>
      <c r="I5051" s="163"/>
      <c r="J5051" s="164"/>
      <c r="K5051" s="163"/>
      <c r="L5051" s="164"/>
      <c r="M5051" s="11"/>
      <c r="N5051" s="39"/>
      <c r="Q5051" s="15" t="str">
        <f>+CONCATENATE(E5051,G5051)</f>
        <v/>
      </c>
      <c r="R5051" s="15">
        <f>+H5051</f>
        <v>0</v>
      </c>
      <c r="S5051" s="16"/>
      <c r="T5051" s="15">
        <f>+E5051</f>
        <v>0</v>
      </c>
      <c r="U5051" s="26" t="str">
        <f>IFERROR(LEFT(G5051,FIND("*",G5051)-1),"-")</f>
        <v>-</v>
      </c>
      <c r="V5051" s="26" t="str">
        <f>IFERROR(RIGHT(G5051,LEN(G5051)-FIND("*",G5051)),"-")</f>
        <v>-</v>
      </c>
      <c r="W5051" s="27" t="str">
        <f>IFERROR((U5051+V5051)*2/1000,"-")</f>
        <v>-</v>
      </c>
      <c r="X5051" s="27" t="str">
        <f>IFERROR(W5051*H5051,"-")</f>
        <v>-</v>
      </c>
      <c r="Z5051" s="94" t="s">
        <v>82</v>
      </c>
    </row>
    <row r="5052" spans="1:26" s="25" customFormat="1" ht="6.95" customHeight="1" x14ac:dyDescent="0.3">
      <c r="A5052" s="165"/>
      <c r="B5052" s="168"/>
      <c r="C5052" s="169"/>
      <c r="D5052" s="160"/>
      <c r="E5052" s="161"/>
      <c r="F5052" s="162"/>
      <c r="G5052" s="163"/>
      <c r="H5052" s="164"/>
      <c r="I5052" s="163"/>
      <c r="J5052" s="164"/>
      <c r="K5052" s="163"/>
      <c r="L5052" s="164"/>
      <c r="M5052" s="11"/>
      <c r="N5052" s="39"/>
      <c r="Q5052" s="15" t="str">
        <f>+CONCATENATE(E5051,I5051)</f>
        <v/>
      </c>
      <c r="R5052" s="15">
        <f>+J5051</f>
        <v>0</v>
      </c>
      <c r="S5052" s="16"/>
      <c r="T5052" s="15">
        <f>+E5051</f>
        <v>0</v>
      </c>
      <c r="U5052" s="26" t="str">
        <f>IFERROR(LEFT(I5051,FIND("*",I5051)-1),"-")</f>
        <v>-</v>
      </c>
      <c r="V5052" s="26" t="str">
        <f>IFERROR(RIGHT(I5051,LEN(I5051)-FIND("*",I5051)),"-")</f>
        <v>-</v>
      </c>
      <c r="W5052" s="27" t="str">
        <f t="shared" ref="W5052:W5059" si="2752">IFERROR((U5052+V5052)*2/1000,"-")</f>
        <v>-</v>
      </c>
      <c r="X5052" s="27" t="str">
        <f>IFERROR(W5052*J5051,"-")</f>
        <v>-</v>
      </c>
      <c r="Z5052" s="94" t="s">
        <v>82</v>
      </c>
    </row>
    <row r="5053" spans="1:26" s="25" customFormat="1" ht="6.95" customHeight="1" x14ac:dyDescent="0.3">
      <c r="A5053" s="165"/>
      <c r="B5053" s="168"/>
      <c r="C5053" s="169"/>
      <c r="D5053" s="160"/>
      <c r="E5053" s="161"/>
      <c r="F5053" s="162"/>
      <c r="G5053" s="163"/>
      <c r="H5053" s="164"/>
      <c r="I5053" s="163"/>
      <c r="J5053" s="164"/>
      <c r="K5053" s="163"/>
      <c r="L5053" s="164"/>
      <c r="M5053" s="11"/>
      <c r="N5053" s="39"/>
      <c r="Q5053" s="15" t="str">
        <f>+CONCATENATE(E5051,K5051)</f>
        <v/>
      </c>
      <c r="R5053" s="15">
        <f>+L5051</f>
        <v>0</v>
      </c>
      <c r="S5053" s="16"/>
      <c r="T5053" s="15">
        <f>+E5051</f>
        <v>0</v>
      </c>
      <c r="U5053" s="26" t="str">
        <f>IFERROR(LEFT(K5051,FIND("*",K5051)-1),"-")</f>
        <v>-</v>
      </c>
      <c r="V5053" s="26" t="str">
        <f>IFERROR(RIGHT(K5051,LEN(K5051)-FIND("*",K5051)),"-")</f>
        <v>-</v>
      </c>
      <c r="W5053" s="27" t="str">
        <f t="shared" si="2752"/>
        <v>-</v>
      </c>
      <c r="X5053" s="27" t="str">
        <f>IFERROR(W5053*L5051,"-")</f>
        <v>-</v>
      </c>
      <c r="Z5053" s="94" t="s">
        <v>82</v>
      </c>
    </row>
    <row r="5054" spans="1:26" s="25" customFormat="1" ht="6.95" customHeight="1" x14ac:dyDescent="0.3">
      <c r="A5054" s="13"/>
      <c r="B5054" s="168"/>
      <c r="C5054" s="169"/>
      <c r="D5054" s="160" t="s">
        <v>39</v>
      </c>
      <c r="E5054" s="161"/>
      <c r="F5054" s="162" t="s">
        <v>40</v>
      </c>
      <c r="G5054" s="163"/>
      <c r="H5054" s="164"/>
      <c r="I5054" s="163"/>
      <c r="J5054" s="164"/>
      <c r="K5054" s="163"/>
      <c r="L5054" s="164"/>
      <c r="M5054" s="11"/>
      <c r="N5054" s="39"/>
      <c r="Q5054" s="15" t="str">
        <f>+CONCATENATE(E5054,G5054)</f>
        <v/>
      </c>
      <c r="R5054" s="15">
        <f>+H5054</f>
        <v>0</v>
      </c>
      <c r="S5054" s="16"/>
      <c r="T5054" s="15">
        <f>+E5054</f>
        <v>0</v>
      </c>
      <c r="U5054" s="26" t="str">
        <f t="shared" ref="U5054" si="2753">IFERROR(LEFT(G5054,FIND("*",G5054)-1),"-")</f>
        <v>-</v>
      </c>
      <c r="V5054" s="26" t="str">
        <f t="shared" ref="V5054" si="2754">IFERROR(RIGHT(G5054,LEN(G5054)-FIND("*",G5054)),"-")</f>
        <v>-</v>
      </c>
      <c r="W5054" s="27" t="str">
        <f t="shared" si="2752"/>
        <v>-</v>
      </c>
      <c r="X5054" s="27" t="str">
        <f>IFERROR(W5054*H5054,"-")</f>
        <v>-</v>
      </c>
      <c r="Z5054" s="94" t="s">
        <v>82</v>
      </c>
    </row>
    <row r="5055" spans="1:26" s="25" customFormat="1" ht="6.95" customHeight="1" x14ac:dyDescent="0.3">
      <c r="A5055" s="10"/>
      <c r="B5055" s="168"/>
      <c r="C5055" s="169"/>
      <c r="D5055" s="160"/>
      <c r="E5055" s="161"/>
      <c r="F5055" s="162"/>
      <c r="G5055" s="163"/>
      <c r="H5055" s="164"/>
      <c r="I5055" s="163"/>
      <c r="J5055" s="164"/>
      <c r="K5055" s="163"/>
      <c r="L5055" s="164"/>
      <c r="M5055" s="11"/>
      <c r="N5055" s="39"/>
      <c r="Q5055" s="15" t="str">
        <f>+CONCATENATE(E5054,I5054)</f>
        <v/>
      </c>
      <c r="R5055" s="15">
        <f>+J5054</f>
        <v>0</v>
      </c>
      <c r="S5055" s="16"/>
      <c r="T5055" s="15">
        <f>+E5054</f>
        <v>0</v>
      </c>
      <c r="U5055" s="26" t="str">
        <f>IFERROR(LEFT(I5054,FIND("*",I5054)-1),"-")</f>
        <v>-</v>
      </c>
      <c r="V5055" s="26" t="str">
        <f>IFERROR(RIGHT(I5054,LEN(I5054)-FIND("*",I5054)),"-")</f>
        <v>-</v>
      </c>
      <c r="W5055" s="27" t="str">
        <f t="shared" si="2752"/>
        <v>-</v>
      </c>
      <c r="X5055" s="27" t="str">
        <f>IFERROR(W5055*J5054,"-")</f>
        <v>-</v>
      </c>
      <c r="Z5055" s="94" t="s">
        <v>82</v>
      </c>
    </row>
    <row r="5056" spans="1:26" s="25" customFormat="1" ht="6.95" customHeight="1" x14ac:dyDescent="0.3">
      <c r="A5056" s="10"/>
      <c r="B5056" s="168"/>
      <c r="C5056" s="169"/>
      <c r="D5056" s="160"/>
      <c r="E5056" s="161"/>
      <c r="F5056" s="162"/>
      <c r="G5056" s="163"/>
      <c r="H5056" s="164"/>
      <c r="I5056" s="163"/>
      <c r="J5056" s="164"/>
      <c r="K5056" s="163"/>
      <c r="L5056" s="164"/>
      <c r="M5056" s="11"/>
      <c r="N5056" s="39"/>
      <c r="Q5056" s="15" t="str">
        <f>+CONCATENATE(E5054,K5054)</f>
        <v/>
      </c>
      <c r="R5056" s="15">
        <f>+L5054</f>
        <v>0</v>
      </c>
      <c r="S5056" s="16"/>
      <c r="T5056" s="15">
        <f>+E5054</f>
        <v>0</v>
      </c>
      <c r="U5056" s="26" t="str">
        <f>IFERROR(LEFT(K5054,FIND("*",K5054)-1),"-")</f>
        <v>-</v>
      </c>
      <c r="V5056" s="26" t="str">
        <f>IFERROR(RIGHT(K5054,LEN(K5054)-FIND("*",K5054)),"-")</f>
        <v>-</v>
      </c>
      <c r="W5056" s="27" t="str">
        <f t="shared" si="2752"/>
        <v>-</v>
      </c>
      <c r="X5056" s="27" t="str">
        <f>IFERROR(W5056*L5054,"-")</f>
        <v>-</v>
      </c>
      <c r="Z5056" s="94" t="s">
        <v>82</v>
      </c>
    </row>
    <row r="5057" spans="1:26" s="25" customFormat="1" ht="6.95" customHeight="1" x14ac:dyDescent="0.3">
      <c r="A5057" s="13"/>
      <c r="B5057" s="168"/>
      <c r="C5057" s="169"/>
      <c r="D5057" s="160" t="s">
        <v>39</v>
      </c>
      <c r="E5057" s="161"/>
      <c r="F5057" s="162" t="s">
        <v>40</v>
      </c>
      <c r="G5057" s="163"/>
      <c r="H5057" s="164"/>
      <c r="I5057" s="163"/>
      <c r="J5057" s="164"/>
      <c r="K5057" s="163"/>
      <c r="L5057" s="164"/>
      <c r="M5057" s="11"/>
      <c r="N5057" s="39"/>
      <c r="Q5057" s="15" t="str">
        <f>+CONCATENATE(E5057,G5057)</f>
        <v/>
      </c>
      <c r="R5057" s="15">
        <f>+H5057</f>
        <v>0</v>
      </c>
      <c r="S5057" s="16"/>
      <c r="T5057" s="15">
        <f>+E5057</f>
        <v>0</v>
      </c>
      <c r="U5057" s="26" t="str">
        <f t="shared" ref="U5057" si="2755">IFERROR(LEFT(G5057,FIND("*",G5057)-1),"-")</f>
        <v>-</v>
      </c>
      <c r="V5057" s="26" t="str">
        <f t="shared" ref="V5057" si="2756">IFERROR(RIGHT(G5057,LEN(G5057)-FIND("*",G5057)),"-")</f>
        <v>-</v>
      </c>
      <c r="W5057" s="27" t="str">
        <f t="shared" si="2752"/>
        <v>-</v>
      </c>
      <c r="X5057" s="27" t="str">
        <f>IFERROR(W5057*H5057,"-")</f>
        <v>-</v>
      </c>
      <c r="Z5057" s="94" t="s">
        <v>82</v>
      </c>
    </row>
    <row r="5058" spans="1:26" s="25" customFormat="1" ht="6.95" customHeight="1" x14ac:dyDescent="0.3">
      <c r="A5058" s="10"/>
      <c r="B5058" s="168"/>
      <c r="C5058" s="169"/>
      <c r="D5058" s="160"/>
      <c r="E5058" s="161"/>
      <c r="F5058" s="162"/>
      <c r="G5058" s="163"/>
      <c r="H5058" s="164"/>
      <c r="I5058" s="163"/>
      <c r="J5058" s="164"/>
      <c r="K5058" s="163"/>
      <c r="L5058" s="164"/>
      <c r="M5058" s="11"/>
      <c r="N5058" s="39"/>
      <c r="Q5058" s="15" t="str">
        <f>+CONCATENATE(E5057,I5057)</f>
        <v/>
      </c>
      <c r="R5058" s="15">
        <f>+J5057</f>
        <v>0</v>
      </c>
      <c r="S5058" s="16"/>
      <c r="T5058" s="15">
        <f>+E5057</f>
        <v>0</v>
      </c>
      <c r="U5058" s="26" t="str">
        <f>IFERROR(LEFT(I5057,FIND("*",I5057)-1),"-")</f>
        <v>-</v>
      </c>
      <c r="V5058" s="26" t="str">
        <f>IFERROR(RIGHT(I5057,LEN(I5057)-FIND("*",I5057)),"-")</f>
        <v>-</v>
      </c>
      <c r="W5058" s="27" t="str">
        <f t="shared" si="2752"/>
        <v>-</v>
      </c>
      <c r="X5058" s="27" t="str">
        <f t="shared" ref="X5058" si="2757">IFERROR(W5058*J5057,"-")</f>
        <v>-</v>
      </c>
      <c r="Z5058" s="94" t="s">
        <v>82</v>
      </c>
    </row>
    <row r="5059" spans="1:26" s="25" customFormat="1" ht="6.95" customHeight="1" x14ac:dyDescent="0.3">
      <c r="A5059" s="10"/>
      <c r="B5059" s="168"/>
      <c r="C5059" s="169"/>
      <c r="D5059" s="160"/>
      <c r="E5059" s="161"/>
      <c r="F5059" s="162"/>
      <c r="G5059" s="163"/>
      <c r="H5059" s="164"/>
      <c r="I5059" s="163"/>
      <c r="J5059" s="164"/>
      <c r="K5059" s="163"/>
      <c r="L5059" s="164"/>
      <c r="M5059" s="11"/>
      <c r="N5059" s="39"/>
      <c r="Q5059" s="15" t="str">
        <f>+CONCATENATE(E5057,K5057)</f>
        <v/>
      </c>
      <c r="R5059" s="15">
        <f>+L5057</f>
        <v>0</v>
      </c>
      <c r="S5059" s="16"/>
      <c r="T5059" s="15">
        <f>+E5057</f>
        <v>0</v>
      </c>
      <c r="U5059" s="26" t="str">
        <f>IFERROR(LEFT(K5057,FIND("*",K5057)-1),"-")</f>
        <v>-</v>
      </c>
      <c r="V5059" s="26" t="str">
        <f>IFERROR(RIGHT(K5057,LEN(K5057)-FIND("*",K5057)),"-")</f>
        <v>-</v>
      </c>
      <c r="W5059" s="27" t="str">
        <f t="shared" si="2752"/>
        <v>-</v>
      </c>
      <c r="X5059" s="27" t="str">
        <f>IFERROR(W5059*L5057,"-")</f>
        <v>-</v>
      </c>
      <c r="Z5059" s="94" t="s">
        <v>82</v>
      </c>
    </row>
    <row r="5060" spans="1:26" s="25" customFormat="1" ht="21" customHeight="1" thickBot="1" x14ac:dyDescent="0.35">
      <c r="A5060" s="10"/>
      <c r="B5060" s="170"/>
      <c r="C5060" s="171"/>
      <c r="D5060" s="172" t="s">
        <v>43</v>
      </c>
      <c r="E5060" s="173"/>
      <c r="F5060" s="173"/>
      <c r="G5060" s="174"/>
      <c r="H5060" s="174"/>
      <c r="I5060" s="174"/>
      <c r="J5060" s="174"/>
      <c r="K5060" s="174"/>
      <c r="L5060" s="174"/>
      <c r="M5060" s="12"/>
      <c r="N5060" s="39"/>
      <c r="U5060" s="23"/>
      <c r="V5060" s="23"/>
      <c r="Z5060" s="95" t="s">
        <v>81</v>
      </c>
    </row>
    <row r="5061" spans="1:26" s="25" customFormat="1" ht="9.9499999999999993" customHeight="1" thickBot="1" x14ac:dyDescent="0.35">
      <c r="A5061" s="6"/>
      <c r="B5061" s="14"/>
      <c r="C5061" s="119"/>
      <c r="D5061" s="58"/>
      <c r="E5061" s="17"/>
      <c r="F5061" s="58"/>
      <c r="G5061" s="19"/>
      <c r="H5061" s="19"/>
      <c r="I5061" s="19"/>
      <c r="J5061" s="19"/>
      <c r="K5061" s="19"/>
      <c r="L5061" s="19"/>
      <c r="M5061" s="14"/>
      <c r="N5061" s="39"/>
      <c r="Q5061" s="1"/>
      <c r="R5061" s="1"/>
      <c r="S5061" s="1"/>
      <c r="T5061" s="1"/>
      <c r="U5061" s="24"/>
      <c r="V5061" s="24"/>
      <c r="W5061" s="1"/>
      <c r="X5061" s="1"/>
      <c r="Z5061" s="94" t="s">
        <v>82</v>
      </c>
    </row>
    <row r="5062" spans="1:26" s="25" customFormat="1" ht="6.95" customHeight="1" x14ac:dyDescent="0.3">
      <c r="A5062" s="165">
        <f>+A5051+1</f>
        <v>461</v>
      </c>
      <c r="B5062" s="166"/>
      <c r="C5062" s="167"/>
      <c r="D5062" s="160" t="s">
        <v>39</v>
      </c>
      <c r="E5062" s="161"/>
      <c r="F5062" s="162" t="s">
        <v>40</v>
      </c>
      <c r="G5062" s="163"/>
      <c r="H5062" s="164"/>
      <c r="I5062" s="163"/>
      <c r="J5062" s="164"/>
      <c r="K5062" s="163"/>
      <c r="L5062" s="164"/>
      <c r="M5062" s="11"/>
      <c r="N5062" s="39"/>
      <c r="Q5062" s="15" t="str">
        <f>+CONCATENATE(E5062,G5062)</f>
        <v/>
      </c>
      <c r="R5062" s="15">
        <f>+H5062</f>
        <v>0</v>
      </c>
      <c r="S5062" s="16"/>
      <c r="T5062" s="15">
        <f>+E5062</f>
        <v>0</v>
      </c>
      <c r="U5062" s="26" t="str">
        <f>IFERROR(LEFT(G5062,FIND("*",G5062)-1),"-")</f>
        <v>-</v>
      </c>
      <c r="V5062" s="26" t="str">
        <f>IFERROR(RIGHT(G5062,LEN(G5062)-FIND("*",G5062)),"-")</f>
        <v>-</v>
      </c>
      <c r="W5062" s="27" t="str">
        <f>IFERROR((U5062+V5062)*2/1000,"-")</f>
        <v>-</v>
      </c>
      <c r="X5062" s="27" t="str">
        <f>IFERROR(W5062*H5062,"-")</f>
        <v>-</v>
      </c>
      <c r="Z5062" s="94" t="s">
        <v>82</v>
      </c>
    </row>
    <row r="5063" spans="1:26" s="25" customFormat="1" ht="6.95" customHeight="1" x14ac:dyDescent="0.3">
      <c r="A5063" s="165"/>
      <c r="B5063" s="168"/>
      <c r="C5063" s="169"/>
      <c r="D5063" s="160"/>
      <c r="E5063" s="161"/>
      <c r="F5063" s="162"/>
      <c r="G5063" s="163"/>
      <c r="H5063" s="164"/>
      <c r="I5063" s="163"/>
      <c r="J5063" s="164"/>
      <c r="K5063" s="163"/>
      <c r="L5063" s="164"/>
      <c r="M5063" s="11"/>
      <c r="N5063" s="39"/>
      <c r="Q5063" s="15" t="str">
        <f>+CONCATENATE(E5062,I5062)</f>
        <v/>
      </c>
      <c r="R5063" s="15">
        <f>+J5062</f>
        <v>0</v>
      </c>
      <c r="S5063" s="16"/>
      <c r="T5063" s="15">
        <f>+E5062</f>
        <v>0</v>
      </c>
      <c r="U5063" s="26" t="str">
        <f>IFERROR(LEFT(I5062,FIND("*",I5062)-1),"-")</f>
        <v>-</v>
      </c>
      <c r="V5063" s="26" t="str">
        <f>IFERROR(RIGHT(I5062,LEN(I5062)-FIND("*",I5062)),"-")</f>
        <v>-</v>
      </c>
      <c r="W5063" s="27" t="str">
        <f t="shared" ref="W5063:W5070" si="2758">IFERROR((U5063+V5063)*2/1000,"-")</f>
        <v>-</v>
      </c>
      <c r="X5063" s="27" t="str">
        <f>IFERROR(W5063*J5062,"-")</f>
        <v>-</v>
      </c>
      <c r="Z5063" s="94" t="s">
        <v>82</v>
      </c>
    </row>
    <row r="5064" spans="1:26" s="25" customFormat="1" ht="6.95" customHeight="1" x14ac:dyDescent="0.3">
      <c r="A5064" s="165"/>
      <c r="B5064" s="168"/>
      <c r="C5064" s="169"/>
      <c r="D5064" s="160"/>
      <c r="E5064" s="161"/>
      <c r="F5064" s="162"/>
      <c r="G5064" s="163"/>
      <c r="H5064" s="164"/>
      <c r="I5064" s="163"/>
      <c r="J5064" s="164"/>
      <c r="K5064" s="163"/>
      <c r="L5064" s="164"/>
      <c r="M5064" s="11"/>
      <c r="N5064" s="39"/>
      <c r="Q5064" s="15" t="str">
        <f>+CONCATENATE(E5062,K5062)</f>
        <v/>
      </c>
      <c r="R5064" s="15">
        <f>+L5062</f>
        <v>0</v>
      </c>
      <c r="S5064" s="16"/>
      <c r="T5064" s="15">
        <f>+E5062</f>
        <v>0</v>
      </c>
      <c r="U5064" s="26" t="str">
        <f>IFERROR(LEFT(K5062,FIND("*",K5062)-1),"-")</f>
        <v>-</v>
      </c>
      <c r="V5064" s="26" t="str">
        <f>IFERROR(RIGHT(K5062,LEN(K5062)-FIND("*",K5062)),"-")</f>
        <v>-</v>
      </c>
      <c r="W5064" s="27" t="str">
        <f t="shared" si="2758"/>
        <v>-</v>
      </c>
      <c r="X5064" s="27" t="str">
        <f>IFERROR(W5064*L5062,"-")</f>
        <v>-</v>
      </c>
      <c r="Z5064" s="94" t="s">
        <v>82</v>
      </c>
    </row>
    <row r="5065" spans="1:26" s="25" customFormat="1" ht="6.95" customHeight="1" x14ac:dyDescent="0.3">
      <c r="A5065" s="13"/>
      <c r="B5065" s="168"/>
      <c r="C5065" s="169"/>
      <c r="D5065" s="160" t="s">
        <v>39</v>
      </c>
      <c r="E5065" s="161"/>
      <c r="F5065" s="162" t="s">
        <v>40</v>
      </c>
      <c r="G5065" s="163"/>
      <c r="H5065" s="164"/>
      <c r="I5065" s="163"/>
      <c r="J5065" s="164"/>
      <c r="K5065" s="163"/>
      <c r="L5065" s="164"/>
      <c r="M5065" s="11"/>
      <c r="N5065" s="39"/>
      <c r="Q5065" s="15" t="str">
        <f>+CONCATENATE(E5065,G5065)</f>
        <v/>
      </c>
      <c r="R5065" s="15">
        <f>+H5065</f>
        <v>0</v>
      </c>
      <c r="S5065" s="16"/>
      <c r="T5065" s="15">
        <f>+E5065</f>
        <v>0</v>
      </c>
      <c r="U5065" s="26" t="str">
        <f t="shared" ref="U5065" si="2759">IFERROR(LEFT(G5065,FIND("*",G5065)-1),"-")</f>
        <v>-</v>
      </c>
      <c r="V5065" s="26" t="str">
        <f t="shared" ref="V5065" si="2760">IFERROR(RIGHT(G5065,LEN(G5065)-FIND("*",G5065)),"-")</f>
        <v>-</v>
      </c>
      <c r="W5065" s="27" t="str">
        <f t="shared" si="2758"/>
        <v>-</v>
      </c>
      <c r="X5065" s="27" t="str">
        <f>IFERROR(W5065*H5065,"-")</f>
        <v>-</v>
      </c>
      <c r="Z5065" s="94" t="s">
        <v>82</v>
      </c>
    </row>
    <row r="5066" spans="1:26" s="25" customFormat="1" ht="6.95" customHeight="1" x14ac:dyDescent="0.3">
      <c r="A5066" s="10"/>
      <c r="B5066" s="168"/>
      <c r="C5066" s="169"/>
      <c r="D5066" s="160"/>
      <c r="E5066" s="161"/>
      <c r="F5066" s="162"/>
      <c r="G5066" s="163"/>
      <c r="H5066" s="164"/>
      <c r="I5066" s="163"/>
      <c r="J5066" s="164"/>
      <c r="K5066" s="163"/>
      <c r="L5066" s="164"/>
      <c r="M5066" s="11"/>
      <c r="N5066" s="39"/>
      <c r="Q5066" s="15" t="str">
        <f>+CONCATENATE(E5065,I5065)</f>
        <v/>
      </c>
      <c r="R5066" s="15">
        <f>+J5065</f>
        <v>0</v>
      </c>
      <c r="S5066" s="16"/>
      <c r="T5066" s="15">
        <f>+E5065</f>
        <v>0</v>
      </c>
      <c r="U5066" s="26" t="str">
        <f>IFERROR(LEFT(I5065,FIND("*",I5065)-1),"-")</f>
        <v>-</v>
      </c>
      <c r="V5066" s="26" t="str">
        <f>IFERROR(RIGHT(I5065,LEN(I5065)-FIND("*",I5065)),"-")</f>
        <v>-</v>
      </c>
      <c r="W5066" s="27" t="str">
        <f t="shared" si="2758"/>
        <v>-</v>
      </c>
      <c r="X5066" s="27" t="str">
        <f>IFERROR(W5066*J5065,"-")</f>
        <v>-</v>
      </c>
      <c r="Z5066" s="94" t="s">
        <v>82</v>
      </c>
    </row>
    <row r="5067" spans="1:26" s="25" customFormat="1" ht="6.95" customHeight="1" x14ac:dyDescent="0.3">
      <c r="A5067" s="10"/>
      <c r="B5067" s="168"/>
      <c r="C5067" s="169"/>
      <c r="D5067" s="160"/>
      <c r="E5067" s="161"/>
      <c r="F5067" s="162"/>
      <c r="G5067" s="163"/>
      <c r="H5067" s="164"/>
      <c r="I5067" s="163"/>
      <c r="J5067" s="164"/>
      <c r="K5067" s="163"/>
      <c r="L5067" s="164"/>
      <c r="M5067" s="11"/>
      <c r="N5067" s="39"/>
      <c r="Q5067" s="15" t="str">
        <f>+CONCATENATE(E5065,K5065)</f>
        <v/>
      </c>
      <c r="R5067" s="15">
        <f>+L5065</f>
        <v>0</v>
      </c>
      <c r="S5067" s="16"/>
      <c r="T5067" s="15">
        <f>+E5065</f>
        <v>0</v>
      </c>
      <c r="U5067" s="26" t="str">
        <f>IFERROR(LEFT(K5065,FIND("*",K5065)-1),"-")</f>
        <v>-</v>
      </c>
      <c r="V5067" s="26" t="str">
        <f>IFERROR(RIGHT(K5065,LEN(K5065)-FIND("*",K5065)),"-")</f>
        <v>-</v>
      </c>
      <c r="W5067" s="27" t="str">
        <f t="shared" si="2758"/>
        <v>-</v>
      </c>
      <c r="X5067" s="27" t="str">
        <f>IFERROR(W5067*L5065,"-")</f>
        <v>-</v>
      </c>
      <c r="Z5067" s="94" t="s">
        <v>82</v>
      </c>
    </row>
    <row r="5068" spans="1:26" s="25" customFormat="1" ht="6.95" customHeight="1" x14ac:dyDescent="0.3">
      <c r="A5068" s="13"/>
      <c r="B5068" s="168"/>
      <c r="C5068" s="169"/>
      <c r="D5068" s="160" t="s">
        <v>39</v>
      </c>
      <c r="E5068" s="161"/>
      <c r="F5068" s="162" t="s">
        <v>40</v>
      </c>
      <c r="G5068" s="163"/>
      <c r="H5068" s="164"/>
      <c r="I5068" s="163"/>
      <c r="J5068" s="164"/>
      <c r="K5068" s="163"/>
      <c r="L5068" s="164"/>
      <c r="M5068" s="11"/>
      <c r="N5068" s="39"/>
      <c r="Q5068" s="15" t="str">
        <f>+CONCATENATE(E5068,G5068)</f>
        <v/>
      </c>
      <c r="R5068" s="15">
        <f>+H5068</f>
        <v>0</v>
      </c>
      <c r="S5068" s="16"/>
      <c r="T5068" s="15">
        <f>+E5068</f>
        <v>0</v>
      </c>
      <c r="U5068" s="26" t="str">
        <f t="shared" ref="U5068" si="2761">IFERROR(LEFT(G5068,FIND("*",G5068)-1),"-")</f>
        <v>-</v>
      </c>
      <c r="V5068" s="26" t="str">
        <f t="shared" ref="V5068" si="2762">IFERROR(RIGHT(G5068,LEN(G5068)-FIND("*",G5068)),"-")</f>
        <v>-</v>
      </c>
      <c r="W5068" s="27" t="str">
        <f t="shared" si="2758"/>
        <v>-</v>
      </c>
      <c r="X5068" s="27" t="str">
        <f>IFERROR(W5068*H5068,"-")</f>
        <v>-</v>
      </c>
      <c r="Z5068" s="94" t="s">
        <v>82</v>
      </c>
    </row>
    <row r="5069" spans="1:26" s="25" customFormat="1" ht="6.95" customHeight="1" x14ac:dyDescent="0.3">
      <c r="A5069" s="10"/>
      <c r="B5069" s="168"/>
      <c r="C5069" s="169"/>
      <c r="D5069" s="160"/>
      <c r="E5069" s="161"/>
      <c r="F5069" s="162"/>
      <c r="G5069" s="163"/>
      <c r="H5069" s="164"/>
      <c r="I5069" s="163"/>
      <c r="J5069" s="164"/>
      <c r="K5069" s="163"/>
      <c r="L5069" s="164"/>
      <c r="M5069" s="11"/>
      <c r="N5069" s="39"/>
      <c r="Q5069" s="15" t="str">
        <f>+CONCATENATE(E5068,I5068)</f>
        <v/>
      </c>
      <c r="R5069" s="15">
        <f>+J5068</f>
        <v>0</v>
      </c>
      <c r="S5069" s="16"/>
      <c r="T5069" s="15">
        <f>+E5068</f>
        <v>0</v>
      </c>
      <c r="U5069" s="26" t="str">
        <f>IFERROR(LEFT(I5068,FIND("*",I5068)-1),"-")</f>
        <v>-</v>
      </c>
      <c r="V5069" s="26" t="str">
        <f>IFERROR(RIGHT(I5068,LEN(I5068)-FIND("*",I5068)),"-")</f>
        <v>-</v>
      </c>
      <c r="W5069" s="27" t="str">
        <f t="shared" si="2758"/>
        <v>-</v>
      </c>
      <c r="X5069" s="27" t="str">
        <f t="shared" ref="X5069" si="2763">IFERROR(W5069*J5068,"-")</f>
        <v>-</v>
      </c>
      <c r="Z5069" s="94" t="s">
        <v>82</v>
      </c>
    </row>
    <row r="5070" spans="1:26" s="25" customFormat="1" ht="6.95" customHeight="1" x14ac:dyDescent="0.3">
      <c r="A5070" s="10"/>
      <c r="B5070" s="168"/>
      <c r="C5070" s="169"/>
      <c r="D5070" s="160"/>
      <c r="E5070" s="161"/>
      <c r="F5070" s="162"/>
      <c r="G5070" s="163"/>
      <c r="H5070" s="164"/>
      <c r="I5070" s="163"/>
      <c r="J5070" s="164"/>
      <c r="K5070" s="163"/>
      <c r="L5070" s="164"/>
      <c r="M5070" s="11"/>
      <c r="N5070" s="39"/>
      <c r="Q5070" s="15" t="str">
        <f>+CONCATENATE(E5068,K5068)</f>
        <v/>
      </c>
      <c r="R5070" s="15">
        <f>+L5068</f>
        <v>0</v>
      </c>
      <c r="S5070" s="16"/>
      <c r="T5070" s="15">
        <f>+E5068</f>
        <v>0</v>
      </c>
      <c r="U5070" s="26" t="str">
        <f>IFERROR(LEFT(K5068,FIND("*",K5068)-1),"-")</f>
        <v>-</v>
      </c>
      <c r="V5070" s="26" t="str">
        <f>IFERROR(RIGHT(K5068,LEN(K5068)-FIND("*",K5068)),"-")</f>
        <v>-</v>
      </c>
      <c r="W5070" s="27" t="str">
        <f t="shared" si="2758"/>
        <v>-</v>
      </c>
      <c r="X5070" s="27" t="str">
        <f>IFERROR(W5070*L5068,"-")</f>
        <v>-</v>
      </c>
      <c r="Z5070" s="94" t="s">
        <v>82</v>
      </c>
    </row>
    <row r="5071" spans="1:26" s="25" customFormat="1" ht="21" customHeight="1" thickBot="1" x14ac:dyDescent="0.35">
      <c r="A5071" s="10"/>
      <c r="B5071" s="170"/>
      <c r="C5071" s="171"/>
      <c r="D5071" s="172" t="s">
        <v>43</v>
      </c>
      <c r="E5071" s="173"/>
      <c r="F5071" s="173"/>
      <c r="G5071" s="174"/>
      <c r="H5071" s="174"/>
      <c r="I5071" s="174"/>
      <c r="J5071" s="174"/>
      <c r="K5071" s="174"/>
      <c r="L5071" s="174"/>
      <c r="M5071" s="12"/>
      <c r="N5071" s="39"/>
      <c r="U5071" s="23"/>
      <c r="V5071" s="23"/>
      <c r="Z5071" s="95" t="s">
        <v>81</v>
      </c>
    </row>
    <row r="5072" spans="1:26" s="25" customFormat="1" ht="9.9499999999999993" customHeight="1" thickBot="1" x14ac:dyDescent="0.35">
      <c r="A5072" s="6"/>
      <c r="B5072" s="14"/>
      <c r="C5072" s="119"/>
      <c r="D5072" s="58"/>
      <c r="E5072" s="17"/>
      <c r="F5072" s="58"/>
      <c r="G5072" s="19"/>
      <c r="H5072" s="19"/>
      <c r="I5072" s="19"/>
      <c r="J5072" s="19"/>
      <c r="K5072" s="19"/>
      <c r="L5072" s="19"/>
      <c r="M5072" s="14"/>
      <c r="N5072" s="39"/>
      <c r="Q5072" s="1"/>
      <c r="R5072" s="1"/>
      <c r="S5072" s="1"/>
      <c r="T5072" s="1"/>
      <c r="U5072" s="24"/>
      <c r="V5072" s="24"/>
      <c r="W5072" s="1"/>
      <c r="X5072" s="1"/>
      <c r="Z5072" s="94" t="s">
        <v>82</v>
      </c>
    </row>
    <row r="5073" spans="1:26" s="25" customFormat="1" ht="6.95" customHeight="1" x14ac:dyDescent="0.3">
      <c r="A5073" s="165">
        <f>+A5062+1</f>
        <v>462</v>
      </c>
      <c r="B5073" s="166"/>
      <c r="C5073" s="167"/>
      <c r="D5073" s="160" t="s">
        <v>39</v>
      </c>
      <c r="E5073" s="161"/>
      <c r="F5073" s="162" t="s">
        <v>40</v>
      </c>
      <c r="G5073" s="163"/>
      <c r="H5073" s="164"/>
      <c r="I5073" s="163"/>
      <c r="J5073" s="164"/>
      <c r="K5073" s="163"/>
      <c r="L5073" s="164"/>
      <c r="M5073" s="11"/>
      <c r="N5073" s="39"/>
      <c r="Q5073" s="15" t="str">
        <f>+CONCATENATE(E5073,G5073)</f>
        <v/>
      </c>
      <c r="R5073" s="15">
        <f>+H5073</f>
        <v>0</v>
      </c>
      <c r="S5073" s="16"/>
      <c r="T5073" s="15">
        <f>+E5073</f>
        <v>0</v>
      </c>
      <c r="U5073" s="26" t="str">
        <f>IFERROR(LEFT(G5073,FIND("*",G5073)-1),"-")</f>
        <v>-</v>
      </c>
      <c r="V5073" s="26" t="str">
        <f>IFERROR(RIGHT(G5073,LEN(G5073)-FIND("*",G5073)),"-")</f>
        <v>-</v>
      </c>
      <c r="W5073" s="27" t="str">
        <f>IFERROR((U5073+V5073)*2/1000,"-")</f>
        <v>-</v>
      </c>
      <c r="X5073" s="27" t="str">
        <f>IFERROR(W5073*H5073,"-")</f>
        <v>-</v>
      </c>
      <c r="Z5073" s="94" t="s">
        <v>82</v>
      </c>
    </row>
    <row r="5074" spans="1:26" s="25" customFormat="1" ht="6.95" customHeight="1" x14ac:dyDescent="0.3">
      <c r="A5074" s="165"/>
      <c r="B5074" s="168"/>
      <c r="C5074" s="169"/>
      <c r="D5074" s="160"/>
      <c r="E5074" s="161"/>
      <c r="F5074" s="162"/>
      <c r="G5074" s="163"/>
      <c r="H5074" s="164"/>
      <c r="I5074" s="163"/>
      <c r="J5074" s="164"/>
      <c r="K5074" s="163"/>
      <c r="L5074" s="164"/>
      <c r="M5074" s="11"/>
      <c r="N5074" s="39"/>
      <c r="Q5074" s="15" t="str">
        <f>+CONCATENATE(E5073,I5073)</f>
        <v/>
      </c>
      <c r="R5074" s="15">
        <f>+J5073</f>
        <v>0</v>
      </c>
      <c r="S5074" s="16"/>
      <c r="T5074" s="15">
        <f>+E5073</f>
        <v>0</v>
      </c>
      <c r="U5074" s="26" t="str">
        <f>IFERROR(LEFT(I5073,FIND("*",I5073)-1),"-")</f>
        <v>-</v>
      </c>
      <c r="V5074" s="26" t="str">
        <f>IFERROR(RIGHT(I5073,LEN(I5073)-FIND("*",I5073)),"-")</f>
        <v>-</v>
      </c>
      <c r="W5074" s="27" t="str">
        <f t="shared" ref="W5074:W5081" si="2764">IFERROR((U5074+V5074)*2/1000,"-")</f>
        <v>-</v>
      </c>
      <c r="X5074" s="27" t="str">
        <f>IFERROR(W5074*J5073,"-")</f>
        <v>-</v>
      </c>
      <c r="Z5074" s="94" t="s">
        <v>82</v>
      </c>
    </row>
    <row r="5075" spans="1:26" s="25" customFormat="1" ht="6.95" customHeight="1" x14ac:dyDescent="0.3">
      <c r="A5075" s="165"/>
      <c r="B5075" s="168"/>
      <c r="C5075" s="169"/>
      <c r="D5075" s="160"/>
      <c r="E5075" s="161"/>
      <c r="F5075" s="162"/>
      <c r="G5075" s="163"/>
      <c r="H5075" s="164"/>
      <c r="I5075" s="163"/>
      <c r="J5075" s="164"/>
      <c r="K5075" s="163"/>
      <c r="L5075" s="164"/>
      <c r="M5075" s="11"/>
      <c r="N5075" s="39"/>
      <c r="Q5075" s="15" t="str">
        <f>+CONCATENATE(E5073,K5073)</f>
        <v/>
      </c>
      <c r="R5075" s="15">
        <f>+L5073</f>
        <v>0</v>
      </c>
      <c r="S5075" s="16"/>
      <c r="T5075" s="15">
        <f>+E5073</f>
        <v>0</v>
      </c>
      <c r="U5075" s="26" t="str">
        <f>IFERROR(LEFT(K5073,FIND("*",K5073)-1),"-")</f>
        <v>-</v>
      </c>
      <c r="V5075" s="26" t="str">
        <f>IFERROR(RIGHT(K5073,LEN(K5073)-FIND("*",K5073)),"-")</f>
        <v>-</v>
      </c>
      <c r="W5075" s="27" t="str">
        <f t="shared" si="2764"/>
        <v>-</v>
      </c>
      <c r="X5075" s="27" t="str">
        <f>IFERROR(W5075*L5073,"-")</f>
        <v>-</v>
      </c>
      <c r="Z5075" s="94" t="s">
        <v>82</v>
      </c>
    </row>
    <row r="5076" spans="1:26" s="25" customFormat="1" ht="6.95" customHeight="1" x14ac:dyDescent="0.3">
      <c r="A5076" s="13"/>
      <c r="B5076" s="168"/>
      <c r="C5076" s="169"/>
      <c r="D5076" s="160" t="s">
        <v>39</v>
      </c>
      <c r="E5076" s="161"/>
      <c r="F5076" s="162" t="s">
        <v>40</v>
      </c>
      <c r="G5076" s="163"/>
      <c r="H5076" s="164"/>
      <c r="I5076" s="163"/>
      <c r="J5076" s="164"/>
      <c r="K5076" s="163"/>
      <c r="L5076" s="164"/>
      <c r="M5076" s="11"/>
      <c r="N5076" s="39"/>
      <c r="Q5076" s="15" t="str">
        <f>+CONCATENATE(E5076,G5076)</f>
        <v/>
      </c>
      <c r="R5076" s="15">
        <f>+H5076</f>
        <v>0</v>
      </c>
      <c r="S5076" s="16"/>
      <c r="T5076" s="15">
        <f>+E5076</f>
        <v>0</v>
      </c>
      <c r="U5076" s="26" t="str">
        <f t="shared" ref="U5076" si="2765">IFERROR(LEFT(G5076,FIND("*",G5076)-1),"-")</f>
        <v>-</v>
      </c>
      <c r="V5076" s="26" t="str">
        <f t="shared" ref="V5076" si="2766">IFERROR(RIGHT(G5076,LEN(G5076)-FIND("*",G5076)),"-")</f>
        <v>-</v>
      </c>
      <c r="W5076" s="27" t="str">
        <f t="shared" si="2764"/>
        <v>-</v>
      </c>
      <c r="X5076" s="27" t="str">
        <f>IFERROR(W5076*H5076,"-")</f>
        <v>-</v>
      </c>
      <c r="Z5076" s="94" t="s">
        <v>82</v>
      </c>
    </row>
    <row r="5077" spans="1:26" s="25" customFormat="1" ht="6.95" customHeight="1" x14ac:dyDescent="0.3">
      <c r="A5077" s="10"/>
      <c r="B5077" s="168"/>
      <c r="C5077" s="169"/>
      <c r="D5077" s="160"/>
      <c r="E5077" s="161"/>
      <c r="F5077" s="162"/>
      <c r="G5077" s="163"/>
      <c r="H5077" s="164"/>
      <c r="I5077" s="163"/>
      <c r="J5077" s="164"/>
      <c r="K5077" s="163"/>
      <c r="L5077" s="164"/>
      <c r="M5077" s="11"/>
      <c r="N5077" s="39"/>
      <c r="Q5077" s="15" t="str">
        <f>+CONCATENATE(E5076,I5076)</f>
        <v/>
      </c>
      <c r="R5077" s="15">
        <f>+J5076</f>
        <v>0</v>
      </c>
      <c r="S5077" s="16"/>
      <c r="T5077" s="15">
        <f>+E5076</f>
        <v>0</v>
      </c>
      <c r="U5077" s="26" t="str">
        <f>IFERROR(LEFT(I5076,FIND("*",I5076)-1),"-")</f>
        <v>-</v>
      </c>
      <c r="V5077" s="26" t="str">
        <f>IFERROR(RIGHT(I5076,LEN(I5076)-FIND("*",I5076)),"-")</f>
        <v>-</v>
      </c>
      <c r="W5077" s="27" t="str">
        <f t="shared" si="2764"/>
        <v>-</v>
      </c>
      <c r="X5077" s="27" t="str">
        <f>IFERROR(W5077*J5076,"-")</f>
        <v>-</v>
      </c>
      <c r="Z5077" s="94" t="s">
        <v>82</v>
      </c>
    </row>
    <row r="5078" spans="1:26" s="25" customFormat="1" ht="6.95" customHeight="1" x14ac:dyDescent="0.3">
      <c r="A5078" s="10"/>
      <c r="B5078" s="168"/>
      <c r="C5078" s="169"/>
      <c r="D5078" s="160"/>
      <c r="E5078" s="161"/>
      <c r="F5078" s="162"/>
      <c r="G5078" s="163"/>
      <c r="H5078" s="164"/>
      <c r="I5078" s="163"/>
      <c r="J5078" s="164"/>
      <c r="K5078" s="163"/>
      <c r="L5078" s="164"/>
      <c r="M5078" s="11"/>
      <c r="N5078" s="39"/>
      <c r="Q5078" s="15" t="str">
        <f>+CONCATENATE(E5076,K5076)</f>
        <v/>
      </c>
      <c r="R5078" s="15">
        <f>+L5076</f>
        <v>0</v>
      </c>
      <c r="S5078" s="16"/>
      <c r="T5078" s="15">
        <f>+E5076</f>
        <v>0</v>
      </c>
      <c r="U5078" s="26" t="str">
        <f>IFERROR(LEFT(K5076,FIND("*",K5076)-1),"-")</f>
        <v>-</v>
      </c>
      <c r="V5078" s="26" t="str">
        <f>IFERROR(RIGHT(K5076,LEN(K5076)-FIND("*",K5076)),"-")</f>
        <v>-</v>
      </c>
      <c r="W5078" s="27" t="str">
        <f t="shared" si="2764"/>
        <v>-</v>
      </c>
      <c r="X5078" s="27" t="str">
        <f>IFERROR(W5078*L5076,"-")</f>
        <v>-</v>
      </c>
      <c r="Z5078" s="94" t="s">
        <v>82</v>
      </c>
    </row>
    <row r="5079" spans="1:26" s="25" customFormat="1" ht="6.95" customHeight="1" x14ac:dyDescent="0.3">
      <c r="A5079" s="13"/>
      <c r="B5079" s="168"/>
      <c r="C5079" s="169"/>
      <c r="D5079" s="160" t="s">
        <v>39</v>
      </c>
      <c r="E5079" s="161"/>
      <c r="F5079" s="162" t="s">
        <v>40</v>
      </c>
      <c r="G5079" s="163"/>
      <c r="H5079" s="164"/>
      <c r="I5079" s="163"/>
      <c r="J5079" s="164"/>
      <c r="K5079" s="163"/>
      <c r="L5079" s="164"/>
      <c r="M5079" s="11"/>
      <c r="N5079" s="39"/>
      <c r="Q5079" s="15" t="str">
        <f>+CONCATENATE(E5079,G5079)</f>
        <v/>
      </c>
      <c r="R5079" s="15">
        <f>+H5079</f>
        <v>0</v>
      </c>
      <c r="S5079" s="16"/>
      <c r="T5079" s="15">
        <f>+E5079</f>
        <v>0</v>
      </c>
      <c r="U5079" s="26" t="str">
        <f t="shared" ref="U5079" si="2767">IFERROR(LEFT(G5079,FIND("*",G5079)-1),"-")</f>
        <v>-</v>
      </c>
      <c r="V5079" s="26" t="str">
        <f t="shared" ref="V5079" si="2768">IFERROR(RIGHT(G5079,LEN(G5079)-FIND("*",G5079)),"-")</f>
        <v>-</v>
      </c>
      <c r="W5079" s="27" t="str">
        <f t="shared" si="2764"/>
        <v>-</v>
      </c>
      <c r="X5079" s="27" t="str">
        <f>IFERROR(W5079*H5079,"-")</f>
        <v>-</v>
      </c>
      <c r="Z5079" s="94" t="s">
        <v>82</v>
      </c>
    </row>
    <row r="5080" spans="1:26" s="25" customFormat="1" ht="6.95" customHeight="1" x14ac:dyDescent="0.3">
      <c r="A5080" s="10"/>
      <c r="B5080" s="168"/>
      <c r="C5080" s="169"/>
      <c r="D5080" s="160"/>
      <c r="E5080" s="161"/>
      <c r="F5080" s="162"/>
      <c r="G5080" s="163"/>
      <c r="H5080" s="164"/>
      <c r="I5080" s="163"/>
      <c r="J5080" s="164"/>
      <c r="K5080" s="163"/>
      <c r="L5080" s="164"/>
      <c r="M5080" s="11"/>
      <c r="N5080" s="39"/>
      <c r="Q5080" s="15" t="str">
        <f>+CONCATENATE(E5079,I5079)</f>
        <v/>
      </c>
      <c r="R5080" s="15">
        <f>+J5079</f>
        <v>0</v>
      </c>
      <c r="S5080" s="16"/>
      <c r="T5080" s="15">
        <f>+E5079</f>
        <v>0</v>
      </c>
      <c r="U5080" s="26" t="str">
        <f>IFERROR(LEFT(I5079,FIND("*",I5079)-1),"-")</f>
        <v>-</v>
      </c>
      <c r="V5080" s="26" t="str">
        <f>IFERROR(RIGHT(I5079,LEN(I5079)-FIND("*",I5079)),"-")</f>
        <v>-</v>
      </c>
      <c r="W5080" s="27" t="str">
        <f t="shared" si="2764"/>
        <v>-</v>
      </c>
      <c r="X5080" s="27" t="str">
        <f t="shared" ref="X5080" si="2769">IFERROR(W5080*J5079,"-")</f>
        <v>-</v>
      </c>
      <c r="Z5080" s="94" t="s">
        <v>82</v>
      </c>
    </row>
    <row r="5081" spans="1:26" s="25" customFormat="1" ht="6.95" customHeight="1" x14ac:dyDescent="0.3">
      <c r="A5081" s="10"/>
      <c r="B5081" s="168"/>
      <c r="C5081" s="169"/>
      <c r="D5081" s="160"/>
      <c r="E5081" s="161"/>
      <c r="F5081" s="162"/>
      <c r="G5081" s="163"/>
      <c r="H5081" s="164"/>
      <c r="I5081" s="163"/>
      <c r="J5081" s="164"/>
      <c r="K5081" s="163"/>
      <c r="L5081" s="164"/>
      <c r="M5081" s="11"/>
      <c r="N5081" s="39"/>
      <c r="Q5081" s="15" t="str">
        <f>+CONCATENATE(E5079,K5079)</f>
        <v/>
      </c>
      <c r="R5081" s="15">
        <f>+L5079</f>
        <v>0</v>
      </c>
      <c r="S5081" s="16"/>
      <c r="T5081" s="15">
        <f>+E5079</f>
        <v>0</v>
      </c>
      <c r="U5081" s="26" t="str">
        <f>IFERROR(LEFT(K5079,FIND("*",K5079)-1),"-")</f>
        <v>-</v>
      </c>
      <c r="V5081" s="26" t="str">
        <f>IFERROR(RIGHT(K5079,LEN(K5079)-FIND("*",K5079)),"-")</f>
        <v>-</v>
      </c>
      <c r="W5081" s="27" t="str">
        <f t="shared" si="2764"/>
        <v>-</v>
      </c>
      <c r="X5081" s="27" t="str">
        <f>IFERROR(W5081*L5079,"-")</f>
        <v>-</v>
      </c>
      <c r="Z5081" s="94" t="s">
        <v>82</v>
      </c>
    </row>
    <row r="5082" spans="1:26" s="25" customFormat="1" ht="21" customHeight="1" thickBot="1" x14ac:dyDescent="0.35">
      <c r="A5082" s="10"/>
      <c r="B5082" s="170"/>
      <c r="C5082" s="171"/>
      <c r="D5082" s="172" t="s">
        <v>43</v>
      </c>
      <c r="E5082" s="173"/>
      <c r="F5082" s="173"/>
      <c r="G5082" s="174"/>
      <c r="H5082" s="174"/>
      <c r="I5082" s="174"/>
      <c r="J5082" s="174"/>
      <c r="K5082" s="174"/>
      <c r="L5082" s="174"/>
      <c r="M5082" s="12"/>
      <c r="N5082" s="39"/>
      <c r="U5082" s="23"/>
      <c r="V5082" s="23"/>
      <c r="Z5082" s="95" t="s">
        <v>81</v>
      </c>
    </row>
    <row r="5083" spans="1:26" s="25" customFormat="1" ht="9.9499999999999993" customHeight="1" thickBot="1" x14ac:dyDescent="0.35">
      <c r="A5083" s="6"/>
      <c r="B5083" s="14"/>
      <c r="C5083" s="119"/>
      <c r="D5083" s="58"/>
      <c r="E5083" s="17"/>
      <c r="F5083" s="58"/>
      <c r="G5083" s="19"/>
      <c r="H5083" s="19"/>
      <c r="I5083" s="19"/>
      <c r="J5083" s="19"/>
      <c r="K5083" s="19"/>
      <c r="L5083" s="19"/>
      <c r="M5083" s="14"/>
      <c r="N5083" s="39"/>
      <c r="Q5083" s="1"/>
      <c r="R5083" s="1"/>
      <c r="S5083" s="1"/>
      <c r="T5083" s="1"/>
      <c r="U5083" s="24"/>
      <c r="V5083" s="24"/>
      <c r="W5083" s="1"/>
      <c r="X5083" s="1"/>
      <c r="Z5083" s="94" t="s">
        <v>82</v>
      </c>
    </row>
    <row r="5084" spans="1:26" s="25" customFormat="1" ht="6.95" customHeight="1" x14ac:dyDescent="0.3">
      <c r="A5084" s="165">
        <f>+A5073+1</f>
        <v>463</v>
      </c>
      <c r="B5084" s="166"/>
      <c r="C5084" s="167"/>
      <c r="D5084" s="160" t="s">
        <v>39</v>
      </c>
      <c r="E5084" s="161"/>
      <c r="F5084" s="162" t="s">
        <v>40</v>
      </c>
      <c r="G5084" s="163"/>
      <c r="H5084" s="164"/>
      <c r="I5084" s="163"/>
      <c r="J5084" s="164"/>
      <c r="K5084" s="163"/>
      <c r="L5084" s="164"/>
      <c r="M5084" s="11"/>
      <c r="N5084" s="39"/>
      <c r="Q5084" s="15" t="str">
        <f>+CONCATENATE(E5084,G5084)</f>
        <v/>
      </c>
      <c r="R5084" s="15">
        <f>+H5084</f>
        <v>0</v>
      </c>
      <c r="S5084" s="16"/>
      <c r="T5084" s="15">
        <f>+E5084</f>
        <v>0</v>
      </c>
      <c r="U5084" s="26" t="str">
        <f>IFERROR(LEFT(G5084,FIND("*",G5084)-1),"-")</f>
        <v>-</v>
      </c>
      <c r="V5084" s="26" t="str">
        <f>IFERROR(RIGHT(G5084,LEN(G5084)-FIND("*",G5084)),"-")</f>
        <v>-</v>
      </c>
      <c r="W5084" s="27" t="str">
        <f>IFERROR((U5084+V5084)*2/1000,"-")</f>
        <v>-</v>
      </c>
      <c r="X5084" s="27" t="str">
        <f>IFERROR(W5084*H5084,"-")</f>
        <v>-</v>
      </c>
      <c r="Z5084" s="94" t="s">
        <v>82</v>
      </c>
    </row>
    <row r="5085" spans="1:26" s="25" customFormat="1" ht="6.95" customHeight="1" x14ac:dyDescent="0.3">
      <c r="A5085" s="165"/>
      <c r="B5085" s="168"/>
      <c r="C5085" s="169"/>
      <c r="D5085" s="160"/>
      <c r="E5085" s="161"/>
      <c r="F5085" s="162"/>
      <c r="G5085" s="163"/>
      <c r="H5085" s="164"/>
      <c r="I5085" s="163"/>
      <c r="J5085" s="164"/>
      <c r="K5085" s="163"/>
      <c r="L5085" s="164"/>
      <c r="M5085" s="11"/>
      <c r="N5085" s="39"/>
      <c r="Q5085" s="15" t="str">
        <f>+CONCATENATE(E5084,I5084)</f>
        <v/>
      </c>
      <c r="R5085" s="15">
        <f>+J5084</f>
        <v>0</v>
      </c>
      <c r="S5085" s="16"/>
      <c r="T5085" s="15">
        <f>+E5084</f>
        <v>0</v>
      </c>
      <c r="U5085" s="26" t="str">
        <f>IFERROR(LEFT(I5084,FIND("*",I5084)-1),"-")</f>
        <v>-</v>
      </c>
      <c r="V5085" s="26" t="str">
        <f>IFERROR(RIGHT(I5084,LEN(I5084)-FIND("*",I5084)),"-")</f>
        <v>-</v>
      </c>
      <c r="W5085" s="27" t="str">
        <f t="shared" ref="W5085:W5092" si="2770">IFERROR((U5085+V5085)*2/1000,"-")</f>
        <v>-</v>
      </c>
      <c r="X5085" s="27" t="str">
        <f>IFERROR(W5085*J5084,"-")</f>
        <v>-</v>
      </c>
      <c r="Z5085" s="94" t="s">
        <v>82</v>
      </c>
    </row>
    <row r="5086" spans="1:26" s="25" customFormat="1" ht="6.95" customHeight="1" x14ac:dyDescent="0.3">
      <c r="A5086" s="165"/>
      <c r="B5086" s="168"/>
      <c r="C5086" s="169"/>
      <c r="D5086" s="160"/>
      <c r="E5086" s="161"/>
      <c r="F5086" s="162"/>
      <c r="G5086" s="163"/>
      <c r="H5086" s="164"/>
      <c r="I5086" s="163"/>
      <c r="J5086" s="164"/>
      <c r="K5086" s="163"/>
      <c r="L5086" s="164"/>
      <c r="M5086" s="11"/>
      <c r="N5086" s="39"/>
      <c r="Q5086" s="15" t="str">
        <f>+CONCATENATE(E5084,K5084)</f>
        <v/>
      </c>
      <c r="R5086" s="15">
        <f>+L5084</f>
        <v>0</v>
      </c>
      <c r="S5086" s="16"/>
      <c r="T5086" s="15">
        <f>+E5084</f>
        <v>0</v>
      </c>
      <c r="U5086" s="26" t="str">
        <f>IFERROR(LEFT(K5084,FIND("*",K5084)-1),"-")</f>
        <v>-</v>
      </c>
      <c r="V5086" s="26" t="str">
        <f>IFERROR(RIGHT(K5084,LEN(K5084)-FIND("*",K5084)),"-")</f>
        <v>-</v>
      </c>
      <c r="W5086" s="27" t="str">
        <f t="shared" si="2770"/>
        <v>-</v>
      </c>
      <c r="X5086" s="27" t="str">
        <f>IFERROR(W5086*L5084,"-")</f>
        <v>-</v>
      </c>
      <c r="Z5086" s="94" t="s">
        <v>82</v>
      </c>
    </row>
    <row r="5087" spans="1:26" s="25" customFormat="1" ht="6.95" customHeight="1" x14ac:dyDescent="0.3">
      <c r="A5087" s="13"/>
      <c r="B5087" s="168"/>
      <c r="C5087" s="169"/>
      <c r="D5087" s="160" t="s">
        <v>39</v>
      </c>
      <c r="E5087" s="161"/>
      <c r="F5087" s="162" t="s">
        <v>40</v>
      </c>
      <c r="G5087" s="163"/>
      <c r="H5087" s="164"/>
      <c r="I5087" s="163"/>
      <c r="J5087" s="164"/>
      <c r="K5087" s="163"/>
      <c r="L5087" s="164"/>
      <c r="M5087" s="11"/>
      <c r="N5087" s="39"/>
      <c r="Q5087" s="15" t="str">
        <f>+CONCATENATE(E5087,G5087)</f>
        <v/>
      </c>
      <c r="R5087" s="15">
        <f>+H5087</f>
        <v>0</v>
      </c>
      <c r="S5087" s="16"/>
      <c r="T5087" s="15">
        <f>+E5087</f>
        <v>0</v>
      </c>
      <c r="U5087" s="26" t="str">
        <f t="shared" ref="U5087" si="2771">IFERROR(LEFT(G5087,FIND("*",G5087)-1),"-")</f>
        <v>-</v>
      </c>
      <c r="V5087" s="26" t="str">
        <f t="shared" ref="V5087" si="2772">IFERROR(RIGHT(G5087,LEN(G5087)-FIND("*",G5087)),"-")</f>
        <v>-</v>
      </c>
      <c r="W5087" s="27" t="str">
        <f t="shared" si="2770"/>
        <v>-</v>
      </c>
      <c r="X5087" s="27" t="str">
        <f>IFERROR(W5087*H5087,"-")</f>
        <v>-</v>
      </c>
      <c r="Z5087" s="94" t="s">
        <v>82</v>
      </c>
    </row>
    <row r="5088" spans="1:26" s="25" customFormat="1" ht="6.95" customHeight="1" x14ac:dyDescent="0.3">
      <c r="A5088" s="10"/>
      <c r="B5088" s="168"/>
      <c r="C5088" s="169"/>
      <c r="D5088" s="160"/>
      <c r="E5088" s="161"/>
      <c r="F5088" s="162"/>
      <c r="G5088" s="163"/>
      <c r="H5088" s="164"/>
      <c r="I5088" s="163"/>
      <c r="J5088" s="164"/>
      <c r="K5088" s="163"/>
      <c r="L5088" s="164"/>
      <c r="M5088" s="11"/>
      <c r="N5088" s="39"/>
      <c r="Q5088" s="15" t="str">
        <f>+CONCATENATE(E5087,I5087)</f>
        <v/>
      </c>
      <c r="R5088" s="15">
        <f>+J5087</f>
        <v>0</v>
      </c>
      <c r="S5088" s="16"/>
      <c r="T5088" s="15">
        <f>+E5087</f>
        <v>0</v>
      </c>
      <c r="U5088" s="26" t="str">
        <f>IFERROR(LEFT(I5087,FIND("*",I5087)-1),"-")</f>
        <v>-</v>
      </c>
      <c r="V5088" s="26" t="str">
        <f>IFERROR(RIGHT(I5087,LEN(I5087)-FIND("*",I5087)),"-")</f>
        <v>-</v>
      </c>
      <c r="W5088" s="27" t="str">
        <f t="shared" si="2770"/>
        <v>-</v>
      </c>
      <c r="X5088" s="27" t="str">
        <f>IFERROR(W5088*J5087,"-")</f>
        <v>-</v>
      </c>
      <c r="Z5088" s="94" t="s">
        <v>82</v>
      </c>
    </row>
    <row r="5089" spans="1:26" s="25" customFormat="1" ht="6.95" customHeight="1" x14ac:dyDescent="0.3">
      <c r="A5089" s="10"/>
      <c r="B5089" s="168"/>
      <c r="C5089" s="169"/>
      <c r="D5089" s="160"/>
      <c r="E5089" s="161"/>
      <c r="F5089" s="162"/>
      <c r="G5089" s="163"/>
      <c r="H5089" s="164"/>
      <c r="I5089" s="163"/>
      <c r="J5089" s="164"/>
      <c r="K5089" s="163"/>
      <c r="L5089" s="164"/>
      <c r="M5089" s="11"/>
      <c r="N5089" s="39"/>
      <c r="Q5089" s="15" t="str">
        <f>+CONCATENATE(E5087,K5087)</f>
        <v/>
      </c>
      <c r="R5089" s="15">
        <f>+L5087</f>
        <v>0</v>
      </c>
      <c r="S5089" s="16"/>
      <c r="T5089" s="15">
        <f>+E5087</f>
        <v>0</v>
      </c>
      <c r="U5089" s="26" t="str">
        <f>IFERROR(LEFT(K5087,FIND("*",K5087)-1),"-")</f>
        <v>-</v>
      </c>
      <c r="V5089" s="26" t="str">
        <f>IFERROR(RIGHT(K5087,LEN(K5087)-FIND("*",K5087)),"-")</f>
        <v>-</v>
      </c>
      <c r="W5089" s="27" t="str">
        <f t="shared" si="2770"/>
        <v>-</v>
      </c>
      <c r="X5089" s="27" t="str">
        <f>IFERROR(W5089*L5087,"-")</f>
        <v>-</v>
      </c>
      <c r="Z5089" s="94" t="s">
        <v>82</v>
      </c>
    </row>
    <row r="5090" spans="1:26" s="25" customFormat="1" ht="6.95" customHeight="1" x14ac:dyDescent="0.3">
      <c r="A5090" s="13"/>
      <c r="B5090" s="168"/>
      <c r="C5090" s="169"/>
      <c r="D5090" s="160" t="s">
        <v>39</v>
      </c>
      <c r="E5090" s="161"/>
      <c r="F5090" s="162" t="s">
        <v>40</v>
      </c>
      <c r="G5090" s="163"/>
      <c r="H5090" s="164"/>
      <c r="I5090" s="163"/>
      <c r="J5090" s="164"/>
      <c r="K5090" s="163"/>
      <c r="L5090" s="164"/>
      <c r="M5090" s="11"/>
      <c r="N5090" s="39"/>
      <c r="Q5090" s="15" t="str">
        <f>+CONCATENATE(E5090,G5090)</f>
        <v/>
      </c>
      <c r="R5090" s="15">
        <f>+H5090</f>
        <v>0</v>
      </c>
      <c r="S5090" s="16"/>
      <c r="T5090" s="15">
        <f>+E5090</f>
        <v>0</v>
      </c>
      <c r="U5090" s="26" t="str">
        <f t="shared" ref="U5090" si="2773">IFERROR(LEFT(G5090,FIND("*",G5090)-1),"-")</f>
        <v>-</v>
      </c>
      <c r="V5090" s="26" t="str">
        <f t="shared" ref="V5090" si="2774">IFERROR(RIGHT(G5090,LEN(G5090)-FIND("*",G5090)),"-")</f>
        <v>-</v>
      </c>
      <c r="W5090" s="27" t="str">
        <f t="shared" si="2770"/>
        <v>-</v>
      </c>
      <c r="X5090" s="27" t="str">
        <f>IFERROR(W5090*H5090,"-")</f>
        <v>-</v>
      </c>
      <c r="Z5090" s="94" t="s">
        <v>82</v>
      </c>
    </row>
    <row r="5091" spans="1:26" s="25" customFormat="1" ht="6.95" customHeight="1" x14ac:dyDescent="0.3">
      <c r="A5091" s="10"/>
      <c r="B5091" s="168"/>
      <c r="C5091" s="169"/>
      <c r="D5091" s="160"/>
      <c r="E5091" s="161"/>
      <c r="F5091" s="162"/>
      <c r="G5091" s="163"/>
      <c r="H5091" s="164"/>
      <c r="I5091" s="163"/>
      <c r="J5091" s="164"/>
      <c r="K5091" s="163"/>
      <c r="L5091" s="164"/>
      <c r="M5091" s="11"/>
      <c r="N5091" s="39"/>
      <c r="Q5091" s="15" t="str">
        <f>+CONCATENATE(E5090,I5090)</f>
        <v/>
      </c>
      <c r="R5091" s="15">
        <f>+J5090</f>
        <v>0</v>
      </c>
      <c r="S5091" s="16"/>
      <c r="T5091" s="15">
        <f>+E5090</f>
        <v>0</v>
      </c>
      <c r="U5091" s="26" t="str">
        <f>IFERROR(LEFT(I5090,FIND("*",I5090)-1),"-")</f>
        <v>-</v>
      </c>
      <c r="V5091" s="26" t="str">
        <f>IFERROR(RIGHT(I5090,LEN(I5090)-FIND("*",I5090)),"-")</f>
        <v>-</v>
      </c>
      <c r="W5091" s="27" t="str">
        <f t="shared" si="2770"/>
        <v>-</v>
      </c>
      <c r="X5091" s="27" t="str">
        <f t="shared" ref="X5091" si="2775">IFERROR(W5091*J5090,"-")</f>
        <v>-</v>
      </c>
      <c r="Z5091" s="94" t="s">
        <v>82</v>
      </c>
    </row>
    <row r="5092" spans="1:26" s="25" customFormat="1" ht="6.95" customHeight="1" x14ac:dyDescent="0.3">
      <c r="A5092" s="10"/>
      <c r="B5092" s="168"/>
      <c r="C5092" s="169"/>
      <c r="D5092" s="160"/>
      <c r="E5092" s="161"/>
      <c r="F5092" s="162"/>
      <c r="G5092" s="163"/>
      <c r="H5092" s="164"/>
      <c r="I5092" s="163"/>
      <c r="J5092" s="164"/>
      <c r="K5092" s="163"/>
      <c r="L5092" s="164"/>
      <c r="M5092" s="11"/>
      <c r="N5092" s="39"/>
      <c r="Q5092" s="15" t="str">
        <f>+CONCATENATE(E5090,K5090)</f>
        <v/>
      </c>
      <c r="R5092" s="15">
        <f>+L5090</f>
        <v>0</v>
      </c>
      <c r="S5092" s="16"/>
      <c r="T5092" s="15">
        <f>+E5090</f>
        <v>0</v>
      </c>
      <c r="U5092" s="26" t="str">
        <f>IFERROR(LEFT(K5090,FIND("*",K5090)-1),"-")</f>
        <v>-</v>
      </c>
      <c r="V5092" s="26" t="str">
        <f>IFERROR(RIGHT(K5090,LEN(K5090)-FIND("*",K5090)),"-")</f>
        <v>-</v>
      </c>
      <c r="W5092" s="27" t="str">
        <f t="shared" si="2770"/>
        <v>-</v>
      </c>
      <c r="X5092" s="27" t="str">
        <f>IFERROR(W5092*L5090,"-")</f>
        <v>-</v>
      </c>
      <c r="Z5092" s="94" t="s">
        <v>82</v>
      </c>
    </row>
    <row r="5093" spans="1:26" s="25" customFormat="1" ht="21" customHeight="1" thickBot="1" x14ac:dyDescent="0.35">
      <c r="A5093" s="10"/>
      <c r="B5093" s="170"/>
      <c r="C5093" s="171"/>
      <c r="D5093" s="172" t="s">
        <v>43</v>
      </c>
      <c r="E5093" s="173"/>
      <c r="F5093" s="173"/>
      <c r="G5093" s="174"/>
      <c r="H5093" s="174"/>
      <c r="I5093" s="174"/>
      <c r="J5093" s="174"/>
      <c r="K5093" s="174"/>
      <c r="L5093" s="174"/>
      <c r="M5093" s="12"/>
      <c r="N5093" s="39"/>
      <c r="U5093" s="23"/>
      <c r="V5093" s="23"/>
      <c r="Z5093" s="95" t="s">
        <v>81</v>
      </c>
    </row>
    <row r="5094" spans="1:26" s="25" customFormat="1" ht="9.9499999999999993" customHeight="1" thickBot="1" x14ac:dyDescent="0.35">
      <c r="A5094" s="6"/>
      <c r="B5094" s="14"/>
      <c r="C5094" s="119"/>
      <c r="D5094" s="58"/>
      <c r="E5094" s="17"/>
      <c r="F5094" s="58"/>
      <c r="G5094" s="19"/>
      <c r="H5094" s="19"/>
      <c r="I5094" s="19"/>
      <c r="J5094" s="19"/>
      <c r="K5094" s="19"/>
      <c r="L5094" s="19"/>
      <c r="M5094" s="14"/>
      <c r="N5094" s="39"/>
      <c r="Q5094" s="1"/>
      <c r="R5094" s="1"/>
      <c r="S5094" s="1"/>
      <c r="T5094" s="1"/>
      <c r="U5094" s="24"/>
      <c r="V5094" s="24"/>
      <c r="W5094" s="1"/>
      <c r="X5094" s="1"/>
      <c r="Z5094" s="94" t="s">
        <v>82</v>
      </c>
    </row>
    <row r="5095" spans="1:26" s="25" customFormat="1" ht="6.95" customHeight="1" x14ac:dyDescent="0.3">
      <c r="A5095" s="165">
        <f>+A5084+1</f>
        <v>464</v>
      </c>
      <c r="B5095" s="166"/>
      <c r="C5095" s="167"/>
      <c r="D5095" s="160" t="s">
        <v>39</v>
      </c>
      <c r="E5095" s="161"/>
      <c r="F5095" s="162" t="s">
        <v>40</v>
      </c>
      <c r="G5095" s="163"/>
      <c r="H5095" s="164"/>
      <c r="I5095" s="163"/>
      <c r="J5095" s="164"/>
      <c r="K5095" s="163"/>
      <c r="L5095" s="164"/>
      <c r="M5095" s="11"/>
      <c r="N5095" s="39"/>
      <c r="Q5095" s="15" t="str">
        <f>+CONCATENATE(E5095,G5095)</f>
        <v/>
      </c>
      <c r="R5095" s="15">
        <f>+H5095</f>
        <v>0</v>
      </c>
      <c r="S5095" s="16"/>
      <c r="T5095" s="15">
        <f>+E5095</f>
        <v>0</v>
      </c>
      <c r="U5095" s="26" t="str">
        <f>IFERROR(LEFT(G5095,FIND("*",G5095)-1),"-")</f>
        <v>-</v>
      </c>
      <c r="V5095" s="26" t="str">
        <f>IFERROR(RIGHT(G5095,LEN(G5095)-FIND("*",G5095)),"-")</f>
        <v>-</v>
      </c>
      <c r="W5095" s="27" t="str">
        <f>IFERROR((U5095+V5095)*2/1000,"-")</f>
        <v>-</v>
      </c>
      <c r="X5095" s="27" t="str">
        <f>IFERROR(W5095*H5095,"-")</f>
        <v>-</v>
      </c>
      <c r="Z5095" s="94" t="s">
        <v>82</v>
      </c>
    </row>
    <row r="5096" spans="1:26" s="25" customFormat="1" ht="6.95" customHeight="1" x14ac:dyDescent="0.3">
      <c r="A5096" s="165"/>
      <c r="B5096" s="168"/>
      <c r="C5096" s="169"/>
      <c r="D5096" s="160"/>
      <c r="E5096" s="161"/>
      <c r="F5096" s="162"/>
      <c r="G5096" s="163"/>
      <c r="H5096" s="164"/>
      <c r="I5096" s="163"/>
      <c r="J5096" s="164"/>
      <c r="K5096" s="163"/>
      <c r="L5096" s="164"/>
      <c r="M5096" s="11"/>
      <c r="N5096" s="39"/>
      <c r="Q5096" s="15" t="str">
        <f>+CONCATENATE(E5095,I5095)</f>
        <v/>
      </c>
      <c r="R5096" s="15">
        <f>+J5095</f>
        <v>0</v>
      </c>
      <c r="S5096" s="16"/>
      <c r="T5096" s="15">
        <f>+E5095</f>
        <v>0</v>
      </c>
      <c r="U5096" s="26" t="str">
        <f>IFERROR(LEFT(I5095,FIND("*",I5095)-1),"-")</f>
        <v>-</v>
      </c>
      <c r="V5096" s="26" t="str">
        <f>IFERROR(RIGHT(I5095,LEN(I5095)-FIND("*",I5095)),"-")</f>
        <v>-</v>
      </c>
      <c r="W5096" s="27" t="str">
        <f t="shared" ref="W5096:W5103" si="2776">IFERROR((U5096+V5096)*2/1000,"-")</f>
        <v>-</v>
      </c>
      <c r="X5096" s="27" t="str">
        <f>IFERROR(W5096*J5095,"-")</f>
        <v>-</v>
      </c>
      <c r="Z5096" s="94" t="s">
        <v>82</v>
      </c>
    </row>
    <row r="5097" spans="1:26" s="25" customFormat="1" ht="6.95" customHeight="1" x14ac:dyDescent="0.3">
      <c r="A5097" s="165"/>
      <c r="B5097" s="168"/>
      <c r="C5097" s="169"/>
      <c r="D5097" s="160"/>
      <c r="E5097" s="161"/>
      <c r="F5097" s="162"/>
      <c r="G5097" s="163"/>
      <c r="H5097" s="164"/>
      <c r="I5097" s="163"/>
      <c r="J5097" s="164"/>
      <c r="K5097" s="163"/>
      <c r="L5097" s="164"/>
      <c r="M5097" s="11"/>
      <c r="N5097" s="39"/>
      <c r="Q5097" s="15" t="str">
        <f>+CONCATENATE(E5095,K5095)</f>
        <v/>
      </c>
      <c r="R5097" s="15">
        <f>+L5095</f>
        <v>0</v>
      </c>
      <c r="S5097" s="16"/>
      <c r="T5097" s="15">
        <f>+E5095</f>
        <v>0</v>
      </c>
      <c r="U5097" s="26" t="str">
        <f>IFERROR(LEFT(K5095,FIND("*",K5095)-1),"-")</f>
        <v>-</v>
      </c>
      <c r="V5097" s="26" t="str">
        <f>IFERROR(RIGHT(K5095,LEN(K5095)-FIND("*",K5095)),"-")</f>
        <v>-</v>
      </c>
      <c r="W5097" s="27" t="str">
        <f t="shared" si="2776"/>
        <v>-</v>
      </c>
      <c r="X5097" s="27" t="str">
        <f>IFERROR(W5097*L5095,"-")</f>
        <v>-</v>
      </c>
      <c r="Z5097" s="94" t="s">
        <v>82</v>
      </c>
    </row>
    <row r="5098" spans="1:26" s="25" customFormat="1" ht="6.95" customHeight="1" x14ac:dyDescent="0.3">
      <c r="A5098" s="13"/>
      <c r="B5098" s="168"/>
      <c r="C5098" s="169"/>
      <c r="D5098" s="160" t="s">
        <v>39</v>
      </c>
      <c r="E5098" s="161"/>
      <c r="F5098" s="162" t="s">
        <v>40</v>
      </c>
      <c r="G5098" s="163"/>
      <c r="H5098" s="164"/>
      <c r="I5098" s="163"/>
      <c r="J5098" s="164"/>
      <c r="K5098" s="163"/>
      <c r="L5098" s="164"/>
      <c r="M5098" s="11"/>
      <c r="N5098" s="39"/>
      <c r="Q5098" s="15" t="str">
        <f>+CONCATENATE(E5098,G5098)</f>
        <v/>
      </c>
      <c r="R5098" s="15">
        <f>+H5098</f>
        <v>0</v>
      </c>
      <c r="S5098" s="16"/>
      <c r="T5098" s="15">
        <f>+E5098</f>
        <v>0</v>
      </c>
      <c r="U5098" s="26" t="str">
        <f t="shared" ref="U5098" si="2777">IFERROR(LEFT(G5098,FIND("*",G5098)-1),"-")</f>
        <v>-</v>
      </c>
      <c r="V5098" s="26" t="str">
        <f t="shared" ref="V5098" si="2778">IFERROR(RIGHT(G5098,LEN(G5098)-FIND("*",G5098)),"-")</f>
        <v>-</v>
      </c>
      <c r="W5098" s="27" t="str">
        <f t="shared" si="2776"/>
        <v>-</v>
      </c>
      <c r="X5098" s="27" t="str">
        <f>IFERROR(W5098*H5098,"-")</f>
        <v>-</v>
      </c>
      <c r="Z5098" s="94" t="s">
        <v>82</v>
      </c>
    </row>
    <row r="5099" spans="1:26" s="25" customFormat="1" ht="6.95" customHeight="1" x14ac:dyDescent="0.3">
      <c r="A5099" s="10"/>
      <c r="B5099" s="168"/>
      <c r="C5099" s="169"/>
      <c r="D5099" s="160"/>
      <c r="E5099" s="161"/>
      <c r="F5099" s="162"/>
      <c r="G5099" s="163"/>
      <c r="H5099" s="164"/>
      <c r="I5099" s="163"/>
      <c r="J5099" s="164"/>
      <c r="K5099" s="163"/>
      <c r="L5099" s="164"/>
      <c r="M5099" s="11"/>
      <c r="N5099" s="39"/>
      <c r="Q5099" s="15" t="str">
        <f>+CONCATENATE(E5098,I5098)</f>
        <v/>
      </c>
      <c r="R5099" s="15">
        <f>+J5098</f>
        <v>0</v>
      </c>
      <c r="S5099" s="16"/>
      <c r="T5099" s="15">
        <f>+E5098</f>
        <v>0</v>
      </c>
      <c r="U5099" s="26" t="str">
        <f>IFERROR(LEFT(I5098,FIND("*",I5098)-1),"-")</f>
        <v>-</v>
      </c>
      <c r="V5099" s="26" t="str">
        <f>IFERROR(RIGHT(I5098,LEN(I5098)-FIND("*",I5098)),"-")</f>
        <v>-</v>
      </c>
      <c r="W5099" s="27" t="str">
        <f t="shared" si="2776"/>
        <v>-</v>
      </c>
      <c r="X5099" s="27" t="str">
        <f>IFERROR(W5099*J5098,"-")</f>
        <v>-</v>
      </c>
      <c r="Z5099" s="94" t="s">
        <v>82</v>
      </c>
    </row>
    <row r="5100" spans="1:26" s="25" customFormat="1" ht="6.95" customHeight="1" x14ac:dyDescent="0.3">
      <c r="A5100" s="10"/>
      <c r="B5100" s="168"/>
      <c r="C5100" s="169"/>
      <c r="D5100" s="160"/>
      <c r="E5100" s="161"/>
      <c r="F5100" s="162"/>
      <c r="G5100" s="163"/>
      <c r="H5100" s="164"/>
      <c r="I5100" s="163"/>
      <c r="J5100" s="164"/>
      <c r="K5100" s="163"/>
      <c r="L5100" s="164"/>
      <c r="M5100" s="11"/>
      <c r="N5100" s="39"/>
      <c r="Q5100" s="15" t="str">
        <f>+CONCATENATE(E5098,K5098)</f>
        <v/>
      </c>
      <c r="R5100" s="15">
        <f>+L5098</f>
        <v>0</v>
      </c>
      <c r="S5100" s="16"/>
      <c r="T5100" s="15">
        <f>+E5098</f>
        <v>0</v>
      </c>
      <c r="U5100" s="26" t="str">
        <f>IFERROR(LEFT(K5098,FIND("*",K5098)-1),"-")</f>
        <v>-</v>
      </c>
      <c r="V5100" s="26" t="str">
        <f>IFERROR(RIGHT(K5098,LEN(K5098)-FIND("*",K5098)),"-")</f>
        <v>-</v>
      </c>
      <c r="W5100" s="27" t="str">
        <f t="shared" si="2776"/>
        <v>-</v>
      </c>
      <c r="X5100" s="27" t="str">
        <f>IFERROR(W5100*L5098,"-")</f>
        <v>-</v>
      </c>
      <c r="Z5100" s="94" t="s">
        <v>82</v>
      </c>
    </row>
    <row r="5101" spans="1:26" s="25" customFormat="1" ht="6.95" customHeight="1" x14ac:dyDescent="0.3">
      <c r="A5101" s="13"/>
      <c r="B5101" s="168"/>
      <c r="C5101" s="169"/>
      <c r="D5101" s="160" t="s">
        <v>39</v>
      </c>
      <c r="E5101" s="161"/>
      <c r="F5101" s="162" t="s">
        <v>40</v>
      </c>
      <c r="G5101" s="163"/>
      <c r="H5101" s="164"/>
      <c r="I5101" s="163"/>
      <c r="J5101" s="164"/>
      <c r="K5101" s="163"/>
      <c r="L5101" s="164"/>
      <c r="M5101" s="11"/>
      <c r="N5101" s="39"/>
      <c r="Q5101" s="15" t="str">
        <f>+CONCATENATE(E5101,G5101)</f>
        <v/>
      </c>
      <c r="R5101" s="15">
        <f>+H5101</f>
        <v>0</v>
      </c>
      <c r="S5101" s="16"/>
      <c r="T5101" s="15">
        <f>+E5101</f>
        <v>0</v>
      </c>
      <c r="U5101" s="26" t="str">
        <f t="shared" ref="U5101" si="2779">IFERROR(LEFT(G5101,FIND("*",G5101)-1),"-")</f>
        <v>-</v>
      </c>
      <c r="V5101" s="26" t="str">
        <f t="shared" ref="V5101" si="2780">IFERROR(RIGHT(G5101,LEN(G5101)-FIND("*",G5101)),"-")</f>
        <v>-</v>
      </c>
      <c r="W5101" s="27" t="str">
        <f t="shared" si="2776"/>
        <v>-</v>
      </c>
      <c r="X5101" s="27" t="str">
        <f>IFERROR(W5101*H5101,"-")</f>
        <v>-</v>
      </c>
      <c r="Z5101" s="94" t="s">
        <v>82</v>
      </c>
    </row>
    <row r="5102" spans="1:26" s="25" customFormat="1" ht="6.95" customHeight="1" x14ac:dyDescent="0.3">
      <c r="A5102" s="10"/>
      <c r="B5102" s="168"/>
      <c r="C5102" s="169"/>
      <c r="D5102" s="160"/>
      <c r="E5102" s="161"/>
      <c r="F5102" s="162"/>
      <c r="G5102" s="163"/>
      <c r="H5102" s="164"/>
      <c r="I5102" s="163"/>
      <c r="J5102" s="164"/>
      <c r="K5102" s="163"/>
      <c r="L5102" s="164"/>
      <c r="M5102" s="11"/>
      <c r="N5102" s="39"/>
      <c r="Q5102" s="15" t="str">
        <f>+CONCATENATE(E5101,I5101)</f>
        <v/>
      </c>
      <c r="R5102" s="15">
        <f>+J5101</f>
        <v>0</v>
      </c>
      <c r="S5102" s="16"/>
      <c r="T5102" s="15">
        <f>+E5101</f>
        <v>0</v>
      </c>
      <c r="U5102" s="26" t="str">
        <f>IFERROR(LEFT(I5101,FIND("*",I5101)-1),"-")</f>
        <v>-</v>
      </c>
      <c r="V5102" s="26" t="str">
        <f>IFERROR(RIGHT(I5101,LEN(I5101)-FIND("*",I5101)),"-")</f>
        <v>-</v>
      </c>
      <c r="W5102" s="27" t="str">
        <f t="shared" si="2776"/>
        <v>-</v>
      </c>
      <c r="X5102" s="27" t="str">
        <f t="shared" ref="X5102" si="2781">IFERROR(W5102*J5101,"-")</f>
        <v>-</v>
      </c>
      <c r="Z5102" s="94" t="s">
        <v>82</v>
      </c>
    </row>
    <row r="5103" spans="1:26" s="25" customFormat="1" ht="6.95" customHeight="1" x14ac:dyDescent="0.3">
      <c r="A5103" s="10"/>
      <c r="B5103" s="168"/>
      <c r="C5103" s="169"/>
      <c r="D5103" s="160"/>
      <c r="E5103" s="161"/>
      <c r="F5103" s="162"/>
      <c r="G5103" s="163"/>
      <c r="H5103" s="164"/>
      <c r="I5103" s="163"/>
      <c r="J5103" s="164"/>
      <c r="K5103" s="163"/>
      <c r="L5103" s="164"/>
      <c r="M5103" s="11"/>
      <c r="N5103" s="39"/>
      <c r="Q5103" s="15" t="str">
        <f>+CONCATENATE(E5101,K5101)</f>
        <v/>
      </c>
      <c r="R5103" s="15">
        <f>+L5101</f>
        <v>0</v>
      </c>
      <c r="S5103" s="16"/>
      <c r="T5103" s="15">
        <f>+E5101</f>
        <v>0</v>
      </c>
      <c r="U5103" s="26" t="str">
        <f>IFERROR(LEFT(K5101,FIND("*",K5101)-1),"-")</f>
        <v>-</v>
      </c>
      <c r="V5103" s="26" t="str">
        <f>IFERROR(RIGHT(K5101,LEN(K5101)-FIND("*",K5101)),"-")</f>
        <v>-</v>
      </c>
      <c r="W5103" s="27" t="str">
        <f t="shared" si="2776"/>
        <v>-</v>
      </c>
      <c r="X5103" s="27" t="str">
        <f>IFERROR(W5103*L5101,"-")</f>
        <v>-</v>
      </c>
      <c r="Z5103" s="94" t="s">
        <v>82</v>
      </c>
    </row>
    <row r="5104" spans="1:26" s="25" customFormat="1" ht="21" customHeight="1" thickBot="1" x14ac:dyDescent="0.35">
      <c r="A5104" s="10"/>
      <c r="B5104" s="170"/>
      <c r="C5104" s="171"/>
      <c r="D5104" s="172" t="s">
        <v>43</v>
      </c>
      <c r="E5104" s="173"/>
      <c r="F5104" s="173"/>
      <c r="G5104" s="174"/>
      <c r="H5104" s="174"/>
      <c r="I5104" s="174"/>
      <c r="J5104" s="174"/>
      <c r="K5104" s="174"/>
      <c r="L5104" s="174"/>
      <c r="M5104" s="12"/>
      <c r="N5104" s="39"/>
      <c r="U5104" s="23"/>
      <c r="V5104" s="23"/>
      <c r="Z5104" s="95" t="s">
        <v>81</v>
      </c>
    </row>
    <row r="5105" spans="1:26" s="25" customFormat="1" ht="9.9499999999999993" customHeight="1" thickBot="1" x14ac:dyDescent="0.35">
      <c r="A5105" s="6"/>
      <c r="B5105" s="14"/>
      <c r="C5105" s="119"/>
      <c r="D5105" s="58"/>
      <c r="E5105" s="17"/>
      <c r="F5105" s="58"/>
      <c r="G5105" s="19"/>
      <c r="H5105" s="19"/>
      <c r="I5105" s="19"/>
      <c r="J5105" s="19"/>
      <c r="K5105" s="19"/>
      <c r="L5105" s="19"/>
      <c r="M5105" s="14"/>
      <c r="N5105" s="39"/>
      <c r="Q5105" s="1"/>
      <c r="R5105" s="1"/>
      <c r="S5105" s="1"/>
      <c r="T5105" s="1"/>
      <c r="U5105" s="24"/>
      <c r="V5105" s="24"/>
      <c r="W5105" s="1"/>
      <c r="X5105" s="1"/>
      <c r="Z5105" s="94" t="s">
        <v>82</v>
      </c>
    </row>
    <row r="5106" spans="1:26" s="25" customFormat="1" ht="6.95" customHeight="1" x14ac:dyDescent="0.3">
      <c r="A5106" s="165">
        <f>+A5095+1</f>
        <v>465</v>
      </c>
      <c r="B5106" s="166"/>
      <c r="C5106" s="167"/>
      <c r="D5106" s="160" t="s">
        <v>39</v>
      </c>
      <c r="E5106" s="161"/>
      <c r="F5106" s="162" t="s">
        <v>40</v>
      </c>
      <c r="G5106" s="163"/>
      <c r="H5106" s="164"/>
      <c r="I5106" s="163"/>
      <c r="J5106" s="164"/>
      <c r="K5106" s="163"/>
      <c r="L5106" s="164"/>
      <c r="M5106" s="11"/>
      <c r="N5106" s="39"/>
      <c r="Q5106" s="15" t="str">
        <f>+CONCATENATE(E5106,G5106)</f>
        <v/>
      </c>
      <c r="R5106" s="15">
        <f>+H5106</f>
        <v>0</v>
      </c>
      <c r="S5106" s="16"/>
      <c r="T5106" s="15">
        <f>+E5106</f>
        <v>0</v>
      </c>
      <c r="U5106" s="26" t="str">
        <f>IFERROR(LEFT(G5106,FIND("*",G5106)-1),"-")</f>
        <v>-</v>
      </c>
      <c r="V5106" s="26" t="str">
        <f>IFERROR(RIGHT(G5106,LEN(G5106)-FIND("*",G5106)),"-")</f>
        <v>-</v>
      </c>
      <c r="W5106" s="27" t="str">
        <f>IFERROR((U5106+V5106)*2/1000,"-")</f>
        <v>-</v>
      </c>
      <c r="X5106" s="27" t="str">
        <f>IFERROR(W5106*H5106,"-")</f>
        <v>-</v>
      </c>
      <c r="Z5106" s="94" t="s">
        <v>82</v>
      </c>
    </row>
    <row r="5107" spans="1:26" s="25" customFormat="1" ht="6.95" customHeight="1" x14ac:dyDescent="0.3">
      <c r="A5107" s="165"/>
      <c r="B5107" s="168"/>
      <c r="C5107" s="169"/>
      <c r="D5107" s="160"/>
      <c r="E5107" s="161"/>
      <c r="F5107" s="162"/>
      <c r="G5107" s="163"/>
      <c r="H5107" s="164"/>
      <c r="I5107" s="163"/>
      <c r="J5107" s="164"/>
      <c r="K5107" s="163"/>
      <c r="L5107" s="164"/>
      <c r="M5107" s="11"/>
      <c r="N5107" s="39"/>
      <c r="Q5107" s="15" t="str">
        <f>+CONCATENATE(E5106,I5106)</f>
        <v/>
      </c>
      <c r="R5107" s="15">
        <f>+J5106</f>
        <v>0</v>
      </c>
      <c r="S5107" s="16"/>
      <c r="T5107" s="15">
        <f>+E5106</f>
        <v>0</v>
      </c>
      <c r="U5107" s="26" t="str">
        <f>IFERROR(LEFT(I5106,FIND("*",I5106)-1),"-")</f>
        <v>-</v>
      </c>
      <c r="V5107" s="26" t="str">
        <f>IFERROR(RIGHT(I5106,LEN(I5106)-FIND("*",I5106)),"-")</f>
        <v>-</v>
      </c>
      <c r="W5107" s="27" t="str">
        <f t="shared" ref="W5107:W5114" si="2782">IFERROR((U5107+V5107)*2/1000,"-")</f>
        <v>-</v>
      </c>
      <c r="X5107" s="27" t="str">
        <f>IFERROR(W5107*J5106,"-")</f>
        <v>-</v>
      </c>
      <c r="Z5107" s="94" t="s">
        <v>82</v>
      </c>
    </row>
    <row r="5108" spans="1:26" s="25" customFormat="1" ht="6.95" customHeight="1" x14ac:dyDescent="0.3">
      <c r="A5108" s="165"/>
      <c r="B5108" s="168"/>
      <c r="C5108" s="169"/>
      <c r="D5108" s="160"/>
      <c r="E5108" s="161"/>
      <c r="F5108" s="162"/>
      <c r="G5108" s="163"/>
      <c r="H5108" s="164"/>
      <c r="I5108" s="163"/>
      <c r="J5108" s="164"/>
      <c r="K5108" s="163"/>
      <c r="L5108" s="164"/>
      <c r="M5108" s="11"/>
      <c r="N5108" s="39"/>
      <c r="Q5108" s="15" t="str">
        <f>+CONCATENATE(E5106,K5106)</f>
        <v/>
      </c>
      <c r="R5108" s="15">
        <f>+L5106</f>
        <v>0</v>
      </c>
      <c r="S5108" s="16"/>
      <c r="T5108" s="15">
        <f>+E5106</f>
        <v>0</v>
      </c>
      <c r="U5108" s="26" t="str">
        <f>IFERROR(LEFT(K5106,FIND("*",K5106)-1),"-")</f>
        <v>-</v>
      </c>
      <c r="V5108" s="26" t="str">
        <f>IFERROR(RIGHT(K5106,LEN(K5106)-FIND("*",K5106)),"-")</f>
        <v>-</v>
      </c>
      <c r="W5108" s="27" t="str">
        <f t="shared" si="2782"/>
        <v>-</v>
      </c>
      <c r="X5108" s="27" t="str">
        <f>IFERROR(W5108*L5106,"-")</f>
        <v>-</v>
      </c>
      <c r="Z5108" s="94" t="s">
        <v>82</v>
      </c>
    </row>
    <row r="5109" spans="1:26" s="25" customFormat="1" ht="6.95" customHeight="1" x14ac:dyDescent="0.3">
      <c r="A5109" s="13"/>
      <c r="B5109" s="168"/>
      <c r="C5109" s="169"/>
      <c r="D5109" s="160" t="s">
        <v>39</v>
      </c>
      <c r="E5109" s="161"/>
      <c r="F5109" s="162" t="s">
        <v>40</v>
      </c>
      <c r="G5109" s="163"/>
      <c r="H5109" s="164"/>
      <c r="I5109" s="163"/>
      <c r="J5109" s="164"/>
      <c r="K5109" s="163"/>
      <c r="L5109" s="164"/>
      <c r="M5109" s="11"/>
      <c r="N5109" s="39"/>
      <c r="Q5109" s="15" t="str">
        <f>+CONCATENATE(E5109,G5109)</f>
        <v/>
      </c>
      <c r="R5109" s="15">
        <f>+H5109</f>
        <v>0</v>
      </c>
      <c r="S5109" s="16"/>
      <c r="T5109" s="15">
        <f>+E5109</f>
        <v>0</v>
      </c>
      <c r="U5109" s="26" t="str">
        <f t="shared" ref="U5109" si="2783">IFERROR(LEFT(G5109,FIND("*",G5109)-1),"-")</f>
        <v>-</v>
      </c>
      <c r="V5109" s="26" t="str">
        <f t="shared" ref="V5109" si="2784">IFERROR(RIGHT(G5109,LEN(G5109)-FIND("*",G5109)),"-")</f>
        <v>-</v>
      </c>
      <c r="W5109" s="27" t="str">
        <f t="shared" si="2782"/>
        <v>-</v>
      </c>
      <c r="X5109" s="27" t="str">
        <f>IFERROR(W5109*H5109,"-")</f>
        <v>-</v>
      </c>
      <c r="Z5109" s="94" t="s">
        <v>82</v>
      </c>
    </row>
    <row r="5110" spans="1:26" s="25" customFormat="1" ht="6.95" customHeight="1" x14ac:dyDescent="0.3">
      <c r="A5110" s="10"/>
      <c r="B5110" s="168"/>
      <c r="C5110" s="169"/>
      <c r="D5110" s="160"/>
      <c r="E5110" s="161"/>
      <c r="F5110" s="162"/>
      <c r="G5110" s="163"/>
      <c r="H5110" s="164"/>
      <c r="I5110" s="163"/>
      <c r="J5110" s="164"/>
      <c r="K5110" s="163"/>
      <c r="L5110" s="164"/>
      <c r="M5110" s="11"/>
      <c r="N5110" s="39"/>
      <c r="Q5110" s="15" t="str">
        <f>+CONCATENATE(E5109,I5109)</f>
        <v/>
      </c>
      <c r="R5110" s="15">
        <f>+J5109</f>
        <v>0</v>
      </c>
      <c r="S5110" s="16"/>
      <c r="T5110" s="15">
        <f>+E5109</f>
        <v>0</v>
      </c>
      <c r="U5110" s="26" t="str">
        <f>IFERROR(LEFT(I5109,FIND("*",I5109)-1),"-")</f>
        <v>-</v>
      </c>
      <c r="V5110" s="26" t="str">
        <f>IFERROR(RIGHT(I5109,LEN(I5109)-FIND("*",I5109)),"-")</f>
        <v>-</v>
      </c>
      <c r="W5110" s="27" t="str">
        <f t="shared" si="2782"/>
        <v>-</v>
      </c>
      <c r="X5110" s="27" t="str">
        <f>IFERROR(W5110*J5109,"-")</f>
        <v>-</v>
      </c>
      <c r="Z5110" s="94" t="s">
        <v>82</v>
      </c>
    </row>
    <row r="5111" spans="1:26" s="25" customFormat="1" ht="6.95" customHeight="1" x14ac:dyDescent="0.3">
      <c r="A5111" s="10"/>
      <c r="B5111" s="168"/>
      <c r="C5111" s="169"/>
      <c r="D5111" s="160"/>
      <c r="E5111" s="161"/>
      <c r="F5111" s="162"/>
      <c r="G5111" s="163"/>
      <c r="H5111" s="164"/>
      <c r="I5111" s="163"/>
      <c r="J5111" s="164"/>
      <c r="K5111" s="163"/>
      <c r="L5111" s="164"/>
      <c r="M5111" s="11"/>
      <c r="N5111" s="39"/>
      <c r="Q5111" s="15" t="str">
        <f>+CONCATENATE(E5109,K5109)</f>
        <v/>
      </c>
      <c r="R5111" s="15">
        <f>+L5109</f>
        <v>0</v>
      </c>
      <c r="S5111" s="16"/>
      <c r="T5111" s="15">
        <f>+E5109</f>
        <v>0</v>
      </c>
      <c r="U5111" s="26" t="str">
        <f>IFERROR(LEFT(K5109,FIND("*",K5109)-1),"-")</f>
        <v>-</v>
      </c>
      <c r="V5111" s="26" t="str">
        <f>IFERROR(RIGHT(K5109,LEN(K5109)-FIND("*",K5109)),"-")</f>
        <v>-</v>
      </c>
      <c r="W5111" s="27" t="str">
        <f t="shared" si="2782"/>
        <v>-</v>
      </c>
      <c r="X5111" s="27" t="str">
        <f>IFERROR(W5111*L5109,"-")</f>
        <v>-</v>
      </c>
      <c r="Z5111" s="94" t="s">
        <v>82</v>
      </c>
    </row>
    <row r="5112" spans="1:26" s="25" customFormat="1" ht="6.95" customHeight="1" x14ac:dyDescent="0.3">
      <c r="A5112" s="13"/>
      <c r="B5112" s="168"/>
      <c r="C5112" s="169"/>
      <c r="D5112" s="160" t="s">
        <v>39</v>
      </c>
      <c r="E5112" s="161"/>
      <c r="F5112" s="162" t="s">
        <v>40</v>
      </c>
      <c r="G5112" s="163"/>
      <c r="H5112" s="164"/>
      <c r="I5112" s="163"/>
      <c r="J5112" s="164"/>
      <c r="K5112" s="163"/>
      <c r="L5112" s="164"/>
      <c r="M5112" s="11"/>
      <c r="N5112" s="39"/>
      <c r="Q5112" s="15" t="str">
        <f>+CONCATENATE(E5112,G5112)</f>
        <v/>
      </c>
      <c r="R5112" s="15">
        <f>+H5112</f>
        <v>0</v>
      </c>
      <c r="S5112" s="16"/>
      <c r="T5112" s="15">
        <f>+E5112</f>
        <v>0</v>
      </c>
      <c r="U5112" s="26" t="str">
        <f t="shared" ref="U5112" si="2785">IFERROR(LEFT(G5112,FIND("*",G5112)-1),"-")</f>
        <v>-</v>
      </c>
      <c r="V5112" s="26" t="str">
        <f t="shared" ref="V5112" si="2786">IFERROR(RIGHT(G5112,LEN(G5112)-FIND("*",G5112)),"-")</f>
        <v>-</v>
      </c>
      <c r="W5112" s="27" t="str">
        <f t="shared" si="2782"/>
        <v>-</v>
      </c>
      <c r="X5112" s="27" t="str">
        <f>IFERROR(W5112*H5112,"-")</f>
        <v>-</v>
      </c>
      <c r="Z5112" s="94" t="s">
        <v>82</v>
      </c>
    </row>
    <row r="5113" spans="1:26" s="25" customFormat="1" ht="6.95" customHeight="1" x14ac:dyDescent="0.3">
      <c r="A5113" s="10"/>
      <c r="B5113" s="168"/>
      <c r="C5113" s="169"/>
      <c r="D5113" s="160"/>
      <c r="E5113" s="161"/>
      <c r="F5113" s="162"/>
      <c r="G5113" s="163"/>
      <c r="H5113" s="164"/>
      <c r="I5113" s="163"/>
      <c r="J5113" s="164"/>
      <c r="K5113" s="163"/>
      <c r="L5113" s="164"/>
      <c r="M5113" s="11"/>
      <c r="N5113" s="39"/>
      <c r="Q5113" s="15" t="str">
        <f>+CONCATENATE(E5112,I5112)</f>
        <v/>
      </c>
      <c r="R5113" s="15">
        <f>+J5112</f>
        <v>0</v>
      </c>
      <c r="S5113" s="16"/>
      <c r="T5113" s="15">
        <f>+E5112</f>
        <v>0</v>
      </c>
      <c r="U5113" s="26" t="str">
        <f>IFERROR(LEFT(I5112,FIND("*",I5112)-1),"-")</f>
        <v>-</v>
      </c>
      <c r="V5113" s="26" t="str">
        <f>IFERROR(RIGHT(I5112,LEN(I5112)-FIND("*",I5112)),"-")</f>
        <v>-</v>
      </c>
      <c r="W5113" s="27" t="str">
        <f t="shared" si="2782"/>
        <v>-</v>
      </c>
      <c r="X5113" s="27" t="str">
        <f t="shared" ref="X5113" si="2787">IFERROR(W5113*J5112,"-")</f>
        <v>-</v>
      </c>
      <c r="Z5113" s="94" t="s">
        <v>82</v>
      </c>
    </row>
    <row r="5114" spans="1:26" s="25" customFormat="1" ht="6.95" customHeight="1" x14ac:dyDescent="0.3">
      <c r="A5114" s="10"/>
      <c r="B5114" s="168"/>
      <c r="C5114" s="169"/>
      <c r="D5114" s="160"/>
      <c r="E5114" s="161"/>
      <c r="F5114" s="162"/>
      <c r="G5114" s="163"/>
      <c r="H5114" s="164"/>
      <c r="I5114" s="163"/>
      <c r="J5114" s="164"/>
      <c r="K5114" s="163"/>
      <c r="L5114" s="164"/>
      <c r="M5114" s="11"/>
      <c r="N5114" s="39"/>
      <c r="Q5114" s="15" t="str">
        <f>+CONCATENATE(E5112,K5112)</f>
        <v/>
      </c>
      <c r="R5114" s="15">
        <f>+L5112</f>
        <v>0</v>
      </c>
      <c r="S5114" s="16"/>
      <c r="T5114" s="15">
        <f>+E5112</f>
        <v>0</v>
      </c>
      <c r="U5114" s="26" t="str">
        <f>IFERROR(LEFT(K5112,FIND("*",K5112)-1),"-")</f>
        <v>-</v>
      </c>
      <c r="V5114" s="26" t="str">
        <f>IFERROR(RIGHT(K5112,LEN(K5112)-FIND("*",K5112)),"-")</f>
        <v>-</v>
      </c>
      <c r="W5114" s="27" t="str">
        <f t="shared" si="2782"/>
        <v>-</v>
      </c>
      <c r="X5114" s="27" t="str">
        <f>IFERROR(W5114*L5112,"-")</f>
        <v>-</v>
      </c>
      <c r="Z5114" s="94" t="s">
        <v>82</v>
      </c>
    </row>
    <row r="5115" spans="1:26" s="25" customFormat="1" ht="21" customHeight="1" thickBot="1" x14ac:dyDescent="0.35">
      <c r="A5115" s="10"/>
      <c r="B5115" s="170"/>
      <c r="C5115" s="171"/>
      <c r="D5115" s="172" t="s">
        <v>43</v>
      </c>
      <c r="E5115" s="173"/>
      <c r="F5115" s="173"/>
      <c r="G5115" s="174"/>
      <c r="H5115" s="174"/>
      <c r="I5115" s="174"/>
      <c r="J5115" s="174"/>
      <c r="K5115" s="174"/>
      <c r="L5115" s="174"/>
      <c r="M5115" s="12"/>
      <c r="N5115" s="39"/>
      <c r="U5115" s="23"/>
      <c r="V5115" s="23"/>
      <c r="Z5115" s="95" t="s">
        <v>81</v>
      </c>
    </row>
    <row r="5116" spans="1:26" s="25" customFormat="1" ht="9.9499999999999993" customHeight="1" thickBot="1" x14ac:dyDescent="0.35">
      <c r="A5116" s="6"/>
      <c r="B5116" s="14"/>
      <c r="C5116" s="119"/>
      <c r="D5116" s="58"/>
      <c r="E5116" s="17"/>
      <c r="F5116" s="58"/>
      <c r="G5116" s="19"/>
      <c r="H5116" s="19"/>
      <c r="I5116" s="19"/>
      <c r="J5116" s="19"/>
      <c r="K5116" s="19"/>
      <c r="L5116" s="19"/>
      <c r="M5116" s="14"/>
      <c r="N5116" s="39"/>
      <c r="Q5116" s="1"/>
      <c r="R5116" s="1"/>
      <c r="S5116" s="1"/>
      <c r="T5116" s="1"/>
      <c r="U5116" s="24"/>
      <c r="V5116" s="24"/>
      <c r="W5116" s="1"/>
      <c r="X5116" s="1"/>
      <c r="Z5116" s="94" t="s">
        <v>82</v>
      </c>
    </row>
    <row r="5117" spans="1:26" s="25" customFormat="1" ht="6.95" customHeight="1" x14ac:dyDescent="0.3">
      <c r="A5117" s="165">
        <f>+A5106+1</f>
        <v>466</v>
      </c>
      <c r="B5117" s="166"/>
      <c r="C5117" s="167"/>
      <c r="D5117" s="160" t="s">
        <v>39</v>
      </c>
      <c r="E5117" s="161"/>
      <c r="F5117" s="162" t="s">
        <v>40</v>
      </c>
      <c r="G5117" s="163"/>
      <c r="H5117" s="164"/>
      <c r="I5117" s="163"/>
      <c r="J5117" s="164"/>
      <c r="K5117" s="163"/>
      <c r="L5117" s="164"/>
      <c r="M5117" s="11"/>
      <c r="N5117" s="39"/>
      <c r="Q5117" s="15" t="str">
        <f>+CONCATENATE(E5117,G5117)</f>
        <v/>
      </c>
      <c r="R5117" s="15">
        <f>+H5117</f>
        <v>0</v>
      </c>
      <c r="S5117" s="16"/>
      <c r="T5117" s="15">
        <f>+E5117</f>
        <v>0</v>
      </c>
      <c r="U5117" s="26" t="str">
        <f>IFERROR(LEFT(G5117,FIND("*",G5117)-1),"-")</f>
        <v>-</v>
      </c>
      <c r="V5117" s="26" t="str">
        <f>IFERROR(RIGHT(G5117,LEN(G5117)-FIND("*",G5117)),"-")</f>
        <v>-</v>
      </c>
      <c r="W5117" s="27" t="str">
        <f>IFERROR((U5117+V5117)*2/1000,"-")</f>
        <v>-</v>
      </c>
      <c r="X5117" s="27" t="str">
        <f>IFERROR(W5117*H5117,"-")</f>
        <v>-</v>
      </c>
      <c r="Z5117" s="94" t="s">
        <v>82</v>
      </c>
    </row>
    <row r="5118" spans="1:26" s="25" customFormat="1" ht="6.95" customHeight="1" x14ac:dyDescent="0.3">
      <c r="A5118" s="165"/>
      <c r="B5118" s="168"/>
      <c r="C5118" s="169"/>
      <c r="D5118" s="160"/>
      <c r="E5118" s="161"/>
      <c r="F5118" s="162"/>
      <c r="G5118" s="163"/>
      <c r="H5118" s="164"/>
      <c r="I5118" s="163"/>
      <c r="J5118" s="164"/>
      <c r="K5118" s="163"/>
      <c r="L5118" s="164"/>
      <c r="M5118" s="11"/>
      <c r="N5118" s="39"/>
      <c r="Q5118" s="15" t="str">
        <f>+CONCATENATE(E5117,I5117)</f>
        <v/>
      </c>
      <c r="R5118" s="15">
        <f>+J5117</f>
        <v>0</v>
      </c>
      <c r="S5118" s="16"/>
      <c r="T5118" s="15">
        <f>+E5117</f>
        <v>0</v>
      </c>
      <c r="U5118" s="26" t="str">
        <f>IFERROR(LEFT(I5117,FIND("*",I5117)-1),"-")</f>
        <v>-</v>
      </c>
      <c r="V5118" s="26" t="str">
        <f>IFERROR(RIGHT(I5117,LEN(I5117)-FIND("*",I5117)),"-")</f>
        <v>-</v>
      </c>
      <c r="W5118" s="27" t="str">
        <f t="shared" ref="W5118:W5125" si="2788">IFERROR((U5118+V5118)*2/1000,"-")</f>
        <v>-</v>
      </c>
      <c r="X5118" s="27" t="str">
        <f>IFERROR(W5118*J5117,"-")</f>
        <v>-</v>
      </c>
      <c r="Z5118" s="94" t="s">
        <v>82</v>
      </c>
    </row>
    <row r="5119" spans="1:26" s="25" customFormat="1" ht="6.95" customHeight="1" x14ac:dyDescent="0.3">
      <c r="A5119" s="165"/>
      <c r="B5119" s="168"/>
      <c r="C5119" s="169"/>
      <c r="D5119" s="160"/>
      <c r="E5119" s="161"/>
      <c r="F5119" s="162"/>
      <c r="G5119" s="163"/>
      <c r="H5119" s="164"/>
      <c r="I5119" s="163"/>
      <c r="J5119" s="164"/>
      <c r="K5119" s="163"/>
      <c r="L5119" s="164"/>
      <c r="M5119" s="11"/>
      <c r="N5119" s="39"/>
      <c r="Q5119" s="15" t="str">
        <f>+CONCATENATE(E5117,K5117)</f>
        <v/>
      </c>
      <c r="R5119" s="15">
        <f>+L5117</f>
        <v>0</v>
      </c>
      <c r="S5119" s="16"/>
      <c r="T5119" s="15">
        <f>+E5117</f>
        <v>0</v>
      </c>
      <c r="U5119" s="26" t="str">
        <f>IFERROR(LEFT(K5117,FIND("*",K5117)-1),"-")</f>
        <v>-</v>
      </c>
      <c r="V5119" s="26" t="str">
        <f>IFERROR(RIGHT(K5117,LEN(K5117)-FIND("*",K5117)),"-")</f>
        <v>-</v>
      </c>
      <c r="W5119" s="27" t="str">
        <f t="shared" si="2788"/>
        <v>-</v>
      </c>
      <c r="X5119" s="27" t="str">
        <f>IFERROR(W5119*L5117,"-")</f>
        <v>-</v>
      </c>
      <c r="Z5119" s="94" t="s">
        <v>82</v>
      </c>
    </row>
    <row r="5120" spans="1:26" s="25" customFormat="1" ht="6.95" customHeight="1" x14ac:dyDescent="0.3">
      <c r="A5120" s="13"/>
      <c r="B5120" s="168"/>
      <c r="C5120" s="169"/>
      <c r="D5120" s="160" t="s">
        <v>39</v>
      </c>
      <c r="E5120" s="161"/>
      <c r="F5120" s="162" t="s">
        <v>40</v>
      </c>
      <c r="G5120" s="163"/>
      <c r="H5120" s="164"/>
      <c r="I5120" s="163"/>
      <c r="J5120" s="164"/>
      <c r="K5120" s="163"/>
      <c r="L5120" s="164"/>
      <c r="M5120" s="11"/>
      <c r="N5120" s="39"/>
      <c r="Q5120" s="15" t="str">
        <f>+CONCATENATE(E5120,G5120)</f>
        <v/>
      </c>
      <c r="R5120" s="15">
        <f>+H5120</f>
        <v>0</v>
      </c>
      <c r="S5120" s="16"/>
      <c r="T5120" s="15">
        <f>+E5120</f>
        <v>0</v>
      </c>
      <c r="U5120" s="26" t="str">
        <f t="shared" ref="U5120" si="2789">IFERROR(LEFT(G5120,FIND("*",G5120)-1),"-")</f>
        <v>-</v>
      </c>
      <c r="V5120" s="26" t="str">
        <f t="shared" ref="V5120" si="2790">IFERROR(RIGHT(G5120,LEN(G5120)-FIND("*",G5120)),"-")</f>
        <v>-</v>
      </c>
      <c r="W5120" s="27" t="str">
        <f t="shared" si="2788"/>
        <v>-</v>
      </c>
      <c r="X5120" s="27" t="str">
        <f>IFERROR(W5120*H5120,"-")</f>
        <v>-</v>
      </c>
      <c r="Z5120" s="94" t="s">
        <v>82</v>
      </c>
    </row>
    <row r="5121" spans="1:26" s="25" customFormat="1" ht="6.95" customHeight="1" x14ac:dyDescent="0.3">
      <c r="A5121" s="10"/>
      <c r="B5121" s="168"/>
      <c r="C5121" s="169"/>
      <c r="D5121" s="160"/>
      <c r="E5121" s="161"/>
      <c r="F5121" s="162"/>
      <c r="G5121" s="163"/>
      <c r="H5121" s="164"/>
      <c r="I5121" s="163"/>
      <c r="J5121" s="164"/>
      <c r="K5121" s="163"/>
      <c r="L5121" s="164"/>
      <c r="M5121" s="11"/>
      <c r="N5121" s="39"/>
      <c r="Q5121" s="15" t="str">
        <f>+CONCATENATE(E5120,I5120)</f>
        <v/>
      </c>
      <c r="R5121" s="15">
        <f>+J5120</f>
        <v>0</v>
      </c>
      <c r="S5121" s="16"/>
      <c r="T5121" s="15">
        <f>+E5120</f>
        <v>0</v>
      </c>
      <c r="U5121" s="26" t="str">
        <f>IFERROR(LEFT(I5120,FIND("*",I5120)-1),"-")</f>
        <v>-</v>
      </c>
      <c r="V5121" s="26" t="str">
        <f>IFERROR(RIGHT(I5120,LEN(I5120)-FIND("*",I5120)),"-")</f>
        <v>-</v>
      </c>
      <c r="W5121" s="27" t="str">
        <f t="shared" si="2788"/>
        <v>-</v>
      </c>
      <c r="X5121" s="27" t="str">
        <f>IFERROR(W5121*J5120,"-")</f>
        <v>-</v>
      </c>
      <c r="Z5121" s="94" t="s">
        <v>82</v>
      </c>
    </row>
    <row r="5122" spans="1:26" s="25" customFormat="1" ht="6.95" customHeight="1" x14ac:dyDescent="0.3">
      <c r="A5122" s="10"/>
      <c r="B5122" s="168"/>
      <c r="C5122" s="169"/>
      <c r="D5122" s="160"/>
      <c r="E5122" s="161"/>
      <c r="F5122" s="162"/>
      <c r="G5122" s="163"/>
      <c r="H5122" s="164"/>
      <c r="I5122" s="163"/>
      <c r="J5122" s="164"/>
      <c r="K5122" s="163"/>
      <c r="L5122" s="164"/>
      <c r="M5122" s="11"/>
      <c r="N5122" s="39"/>
      <c r="Q5122" s="15" t="str">
        <f>+CONCATENATE(E5120,K5120)</f>
        <v/>
      </c>
      <c r="R5122" s="15">
        <f>+L5120</f>
        <v>0</v>
      </c>
      <c r="S5122" s="16"/>
      <c r="T5122" s="15">
        <f>+E5120</f>
        <v>0</v>
      </c>
      <c r="U5122" s="26" t="str">
        <f>IFERROR(LEFT(K5120,FIND("*",K5120)-1),"-")</f>
        <v>-</v>
      </c>
      <c r="V5122" s="26" t="str">
        <f>IFERROR(RIGHT(K5120,LEN(K5120)-FIND("*",K5120)),"-")</f>
        <v>-</v>
      </c>
      <c r="W5122" s="27" t="str">
        <f t="shared" si="2788"/>
        <v>-</v>
      </c>
      <c r="X5122" s="27" t="str">
        <f>IFERROR(W5122*L5120,"-")</f>
        <v>-</v>
      </c>
      <c r="Z5122" s="94" t="s">
        <v>82</v>
      </c>
    </row>
    <row r="5123" spans="1:26" s="25" customFormat="1" ht="6.95" customHeight="1" x14ac:dyDescent="0.3">
      <c r="A5123" s="13"/>
      <c r="B5123" s="168"/>
      <c r="C5123" s="169"/>
      <c r="D5123" s="160" t="s">
        <v>39</v>
      </c>
      <c r="E5123" s="161"/>
      <c r="F5123" s="162" t="s">
        <v>40</v>
      </c>
      <c r="G5123" s="163"/>
      <c r="H5123" s="164"/>
      <c r="I5123" s="163"/>
      <c r="J5123" s="164"/>
      <c r="K5123" s="163"/>
      <c r="L5123" s="164"/>
      <c r="M5123" s="11"/>
      <c r="N5123" s="39"/>
      <c r="Q5123" s="15" t="str">
        <f>+CONCATENATE(E5123,G5123)</f>
        <v/>
      </c>
      <c r="R5123" s="15">
        <f>+H5123</f>
        <v>0</v>
      </c>
      <c r="S5123" s="16"/>
      <c r="T5123" s="15">
        <f>+E5123</f>
        <v>0</v>
      </c>
      <c r="U5123" s="26" t="str">
        <f t="shared" ref="U5123" si="2791">IFERROR(LEFT(G5123,FIND("*",G5123)-1),"-")</f>
        <v>-</v>
      </c>
      <c r="V5123" s="26" t="str">
        <f t="shared" ref="V5123" si="2792">IFERROR(RIGHT(G5123,LEN(G5123)-FIND("*",G5123)),"-")</f>
        <v>-</v>
      </c>
      <c r="W5123" s="27" t="str">
        <f t="shared" si="2788"/>
        <v>-</v>
      </c>
      <c r="X5123" s="27" t="str">
        <f>IFERROR(W5123*H5123,"-")</f>
        <v>-</v>
      </c>
      <c r="Z5123" s="94" t="s">
        <v>82</v>
      </c>
    </row>
    <row r="5124" spans="1:26" s="25" customFormat="1" ht="6.95" customHeight="1" x14ac:dyDescent="0.3">
      <c r="A5124" s="10"/>
      <c r="B5124" s="168"/>
      <c r="C5124" s="169"/>
      <c r="D5124" s="160"/>
      <c r="E5124" s="161"/>
      <c r="F5124" s="162"/>
      <c r="G5124" s="163"/>
      <c r="H5124" s="164"/>
      <c r="I5124" s="163"/>
      <c r="J5124" s="164"/>
      <c r="K5124" s="163"/>
      <c r="L5124" s="164"/>
      <c r="M5124" s="11"/>
      <c r="N5124" s="39"/>
      <c r="Q5124" s="15" t="str">
        <f>+CONCATENATE(E5123,I5123)</f>
        <v/>
      </c>
      <c r="R5124" s="15">
        <f>+J5123</f>
        <v>0</v>
      </c>
      <c r="S5124" s="16"/>
      <c r="T5124" s="15">
        <f>+E5123</f>
        <v>0</v>
      </c>
      <c r="U5124" s="26" t="str">
        <f>IFERROR(LEFT(I5123,FIND("*",I5123)-1),"-")</f>
        <v>-</v>
      </c>
      <c r="V5124" s="26" t="str">
        <f>IFERROR(RIGHT(I5123,LEN(I5123)-FIND("*",I5123)),"-")</f>
        <v>-</v>
      </c>
      <c r="W5124" s="27" t="str">
        <f t="shared" si="2788"/>
        <v>-</v>
      </c>
      <c r="X5124" s="27" t="str">
        <f t="shared" ref="X5124" si="2793">IFERROR(W5124*J5123,"-")</f>
        <v>-</v>
      </c>
      <c r="Z5124" s="94" t="s">
        <v>82</v>
      </c>
    </row>
    <row r="5125" spans="1:26" s="25" customFormat="1" ht="6.95" customHeight="1" x14ac:dyDescent="0.3">
      <c r="A5125" s="10"/>
      <c r="B5125" s="168"/>
      <c r="C5125" s="169"/>
      <c r="D5125" s="160"/>
      <c r="E5125" s="161"/>
      <c r="F5125" s="162"/>
      <c r="G5125" s="163"/>
      <c r="H5125" s="164"/>
      <c r="I5125" s="163"/>
      <c r="J5125" s="164"/>
      <c r="K5125" s="163"/>
      <c r="L5125" s="164"/>
      <c r="M5125" s="11"/>
      <c r="N5125" s="39"/>
      <c r="Q5125" s="15" t="str">
        <f>+CONCATENATE(E5123,K5123)</f>
        <v/>
      </c>
      <c r="R5125" s="15">
        <f>+L5123</f>
        <v>0</v>
      </c>
      <c r="S5125" s="16"/>
      <c r="T5125" s="15">
        <f>+E5123</f>
        <v>0</v>
      </c>
      <c r="U5125" s="26" t="str">
        <f>IFERROR(LEFT(K5123,FIND("*",K5123)-1),"-")</f>
        <v>-</v>
      </c>
      <c r="V5125" s="26" t="str">
        <f>IFERROR(RIGHT(K5123,LEN(K5123)-FIND("*",K5123)),"-")</f>
        <v>-</v>
      </c>
      <c r="W5125" s="27" t="str">
        <f t="shared" si="2788"/>
        <v>-</v>
      </c>
      <c r="X5125" s="27" t="str">
        <f>IFERROR(W5125*L5123,"-")</f>
        <v>-</v>
      </c>
      <c r="Z5125" s="94" t="s">
        <v>82</v>
      </c>
    </row>
    <row r="5126" spans="1:26" s="25" customFormat="1" ht="21" customHeight="1" thickBot="1" x14ac:dyDescent="0.35">
      <c r="A5126" s="10"/>
      <c r="B5126" s="170"/>
      <c r="C5126" s="171"/>
      <c r="D5126" s="172" t="s">
        <v>43</v>
      </c>
      <c r="E5126" s="173"/>
      <c r="F5126" s="173"/>
      <c r="G5126" s="174"/>
      <c r="H5126" s="174"/>
      <c r="I5126" s="174"/>
      <c r="J5126" s="174"/>
      <c r="K5126" s="174"/>
      <c r="L5126" s="174"/>
      <c r="M5126" s="12"/>
      <c r="N5126" s="39"/>
      <c r="U5126" s="23"/>
      <c r="V5126" s="23"/>
      <c r="Z5126" s="95" t="s">
        <v>81</v>
      </c>
    </row>
    <row r="5127" spans="1:26" s="25" customFormat="1" ht="9.9499999999999993" customHeight="1" thickBot="1" x14ac:dyDescent="0.35">
      <c r="A5127" s="6"/>
      <c r="B5127" s="14"/>
      <c r="C5127" s="119"/>
      <c r="D5127" s="58"/>
      <c r="E5127" s="17"/>
      <c r="F5127" s="58"/>
      <c r="G5127" s="19"/>
      <c r="H5127" s="19"/>
      <c r="I5127" s="19"/>
      <c r="J5127" s="19"/>
      <c r="K5127" s="19"/>
      <c r="L5127" s="19"/>
      <c r="M5127" s="14"/>
      <c r="N5127" s="39"/>
      <c r="Q5127" s="1"/>
      <c r="R5127" s="1"/>
      <c r="S5127" s="1"/>
      <c r="T5127" s="1"/>
      <c r="U5127" s="24"/>
      <c r="V5127" s="24"/>
      <c r="W5127" s="1"/>
      <c r="X5127" s="1"/>
      <c r="Z5127" s="94" t="s">
        <v>82</v>
      </c>
    </row>
    <row r="5128" spans="1:26" s="25" customFormat="1" ht="6.95" customHeight="1" x14ac:dyDescent="0.3">
      <c r="A5128" s="165">
        <f>+A5117+1</f>
        <v>467</v>
      </c>
      <c r="B5128" s="166"/>
      <c r="C5128" s="167"/>
      <c r="D5128" s="160" t="s">
        <v>39</v>
      </c>
      <c r="E5128" s="161"/>
      <c r="F5128" s="162" t="s">
        <v>40</v>
      </c>
      <c r="G5128" s="163"/>
      <c r="H5128" s="164"/>
      <c r="I5128" s="163"/>
      <c r="J5128" s="164"/>
      <c r="K5128" s="163"/>
      <c r="L5128" s="164"/>
      <c r="M5128" s="11"/>
      <c r="N5128" s="39"/>
      <c r="Q5128" s="15" t="str">
        <f>+CONCATENATE(E5128,G5128)</f>
        <v/>
      </c>
      <c r="R5128" s="15">
        <f>+H5128</f>
        <v>0</v>
      </c>
      <c r="S5128" s="16"/>
      <c r="T5128" s="15">
        <f>+E5128</f>
        <v>0</v>
      </c>
      <c r="U5128" s="26" t="str">
        <f>IFERROR(LEFT(G5128,FIND("*",G5128)-1),"-")</f>
        <v>-</v>
      </c>
      <c r="V5128" s="26" t="str">
        <f>IFERROR(RIGHT(G5128,LEN(G5128)-FIND("*",G5128)),"-")</f>
        <v>-</v>
      </c>
      <c r="W5128" s="27" t="str">
        <f>IFERROR((U5128+V5128)*2/1000,"-")</f>
        <v>-</v>
      </c>
      <c r="X5128" s="27" t="str">
        <f>IFERROR(W5128*H5128,"-")</f>
        <v>-</v>
      </c>
      <c r="Z5128" s="94" t="s">
        <v>82</v>
      </c>
    </row>
    <row r="5129" spans="1:26" s="25" customFormat="1" ht="6.95" customHeight="1" x14ac:dyDescent="0.3">
      <c r="A5129" s="165"/>
      <c r="B5129" s="168"/>
      <c r="C5129" s="169"/>
      <c r="D5129" s="160"/>
      <c r="E5129" s="161"/>
      <c r="F5129" s="162"/>
      <c r="G5129" s="163"/>
      <c r="H5129" s="164"/>
      <c r="I5129" s="163"/>
      <c r="J5129" s="164"/>
      <c r="K5129" s="163"/>
      <c r="L5129" s="164"/>
      <c r="M5129" s="11"/>
      <c r="N5129" s="39"/>
      <c r="Q5129" s="15" t="str">
        <f>+CONCATENATE(E5128,I5128)</f>
        <v/>
      </c>
      <c r="R5129" s="15">
        <f>+J5128</f>
        <v>0</v>
      </c>
      <c r="S5129" s="16"/>
      <c r="T5129" s="15">
        <f>+E5128</f>
        <v>0</v>
      </c>
      <c r="U5129" s="26" t="str">
        <f>IFERROR(LEFT(I5128,FIND("*",I5128)-1),"-")</f>
        <v>-</v>
      </c>
      <c r="V5129" s="26" t="str">
        <f>IFERROR(RIGHT(I5128,LEN(I5128)-FIND("*",I5128)),"-")</f>
        <v>-</v>
      </c>
      <c r="W5129" s="27" t="str">
        <f t="shared" ref="W5129:W5136" si="2794">IFERROR((U5129+V5129)*2/1000,"-")</f>
        <v>-</v>
      </c>
      <c r="X5129" s="27" t="str">
        <f>IFERROR(W5129*J5128,"-")</f>
        <v>-</v>
      </c>
      <c r="Z5129" s="94" t="s">
        <v>82</v>
      </c>
    </row>
    <row r="5130" spans="1:26" s="25" customFormat="1" ht="6.95" customHeight="1" x14ac:dyDescent="0.3">
      <c r="A5130" s="165"/>
      <c r="B5130" s="168"/>
      <c r="C5130" s="169"/>
      <c r="D5130" s="160"/>
      <c r="E5130" s="161"/>
      <c r="F5130" s="162"/>
      <c r="G5130" s="163"/>
      <c r="H5130" s="164"/>
      <c r="I5130" s="163"/>
      <c r="J5130" s="164"/>
      <c r="K5130" s="163"/>
      <c r="L5130" s="164"/>
      <c r="M5130" s="11"/>
      <c r="N5130" s="39"/>
      <c r="Q5130" s="15" t="str">
        <f>+CONCATENATE(E5128,K5128)</f>
        <v/>
      </c>
      <c r="R5130" s="15">
        <f>+L5128</f>
        <v>0</v>
      </c>
      <c r="S5130" s="16"/>
      <c r="T5130" s="15">
        <f>+E5128</f>
        <v>0</v>
      </c>
      <c r="U5130" s="26" t="str">
        <f>IFERROR(LEFT(K5128,FIND("*",K5128)-1),"-")</f>
        <v>-</v>
      </c>
      <c r="V5130" s="26" t="str">
        <f>IFERROR(RIGHT(K5128,LEN(K5128)-FIND("*",K5128)),"-")</f>
        <v>-</v>
      </c>
      <c r="W5130" s="27" t="str">
        <f t="shared" si="2794"/>
        <v>-</v>
      </c>
      <c r="X5130" s="27" t="str">
        <f>IFERROR(W5130*L5128,"-")</f>
        <v>-</v>
      </c>
      <c r="Z5130" s="94" t="s">
        <v>82</v>
      </c>
    </row>
    <row r="5131" spans="1:26" s="25" customFormat="1" ht="6.95" customHeight="1" x14ac:dyDescent="0.3">
      <c r="A5131" s="13"/>
      <c r="B5131" s="168"/>
      <c r="C5131" s="169"/>
      <c r="D5131" s="160" t="s">
        <v>39</v>
      </c>
      <c r="E5131" s="161"/>
      <c r="F5131" s="162" t="s">
        <v>40</v>
      </c>
      <c r="G5131" s="163"/>
      <c r="H5131" s="164"/>
      <c r="I5131" s="163"/>
      <c r="J5131" s="164"/>
      <c r="K5131" s="163"/>
      <c r="L5131" s="164"/>
      <c r="M5131" s="11"/>
      <c r="N5131" s="39"/>
      <c r="Q5131" s="15" t="str">
        <f>+CONCATENATE(E5131,G5131)</f>
        <v/>
      </c>
      <c r="R5131" s="15">
        <f>+H5131</f>
        <v>0</v>
      </c>
      <c r="S5131" s="16"/>
      <c r="T5131" s="15">
        <f>+E5131</f>
        <v>0</v>
      </c>
      <c r="U5131" s="26" t="str">
        <f t="shared" ref="U5131" si="2795">IFERROR(LEFT(G5131,FIND("*",G5131)-1),"-")</f>
        <v>-</v>
      </c>
      <c r="V5131" s="26" t="str">
        <f t="shared" ref="V5131" si="2796">IFERROR(RIGHT(G5131,LEN(G5131)-FIND("*",G5131)),"-")</f>
        <v>-</v>
      </c>
      <c r="W5131" s="27" t="str">
        <f t="shared" si="2794"/>
        <v>-</v>
      </c>
      <c r="X5131" s="27" t="str">
        <f>IFERROR(W5131*H5131,"-")</f>
        <v>-</v>
      </c>
      <c r="Z5131" s="94" t="s">
        <v>82</v>
      </c>
    </row>
    <row r="5132" spans="1:26" s="25" customFormat="1" ht="6.95" customHeight="1" x14ac:dyDescent="0.3">
      <c r="A5132" s="10"/>
      <c r="B5132" s="168"/>
      <c r="C5132" s="169"/>
      <c r="D5132" s="160"/>
      <c r="E5132" s="161"/>
      <c r="F5132" s="162"/>
      <c r="G5132" s="163"/>
      <c r="H5132" s="164"/>
      <c r="I5132" s="163"/>
      <c r="J5132" s="164"/>
      <c r="K5132" s="163"/>
      <c r="L5132" s="164"/>
      <c r="M5132" s="11"/>
      <c r="N5132" s="39"/>
      <c r="Q5132" s="15" t="str">
        <f>+CONCATENATE(E5131,I5131)</f>
        <v/>
      </c>
      <c r="R5132" s="15">
        <f>+J5131</f>
        <v>0</v>
      </c>
      <c r="S5132" s="16"/>
      <c r="T5132" s="15">
        <f>+E5131</f>
        <v>0</v>
      </c>
      <c r="U5132" s="26" t="str">
        <f>IFERROR(LEFT(I5131,FIND("*",I5131)-1),"-")</f>
        <v>-</v>
      </c>
      <c r="V5132" s="26" t="str">
        <f>IFERROR(RIGHT(I5131,LEN(I5131)-FIND("*",I5131)),"-")</f>
        <v>-</v>
      </c>
      <c r="W5132" s="27" t="str">
        <f t="shared" si="2794"/>
        <v>-</v>
      </c>
      <c r="X5132" s="27" t="str">
        <f>IFERROR(W5132*J5131,"-")</f>
        <v>-</v>
      </c>
      <c r="Z5132" s="94" t="s">
        <v>82</v>
      </c>
    </row>
    <row r="5133" spans="1:26" s="25" customFormat="1" ht="6.95" customHeight="1" x14ac:dyDescent="0.3">
      <c r="A5133" s="10"/>
      <c r="B5133" s="168"/>
      <c r="C5133" s="169"/>
      <c r="D5133" s="160"/>
      <c r="E5133" s="161"/>
      <c r="F5133" s="162"/>
      <c r="G5133" s="163"/>
      <c r="H5133" s="164"/>
      <c r="I5133" s="163"/>
      <c r="J5133" s="164"/>
      <c r="K5133" s="163"/>
      <c r="L5133" s="164"/>
      <c r="M5133" s="11"/>
      <c r="N5133" s="39"/>
      <c r="Q5133" s="15" t="str">
        <f>+CONCATENATE(E5131,K5131)</f>
        <v/>
      </c>
      <c r="R5133" s="15">
        <f>+L5131</f>
        <v>0</v>
      </c>
      <c r="S5133" s="16"/>
      <c r="T5133" s="15">
        <f>+E5131</f>
        <v>0</v>
      </c>
      <c r="U5133" s="26" t="str">
        <f>IFERROR(LEFT(K5131,FIND("*",K5131)-1),"-")</f>
        <v>-</v>
      </c>
      <c r="V5133" s="26" t="str">
        <f>IFERROR(RIGHT(K5131,LEN(K5131)-FIND("*",K5131)),"-")</f>
        <v>-</v>
      </c>
      <c r="W5133" s="27" t="str">
        <f t="shared" si="2794"/>
        <v>-</v>
      </c>
      <c r="X5133" s="27" t="str">
        <f>IFERROR(W5133*L5131,"-")</f>
        <v>-</v>
      </c>
      <c r="Z5133" s="94" t="s">
        <v>82</v>
      </c>
    </row>
    <row r="5134" spans="1:26" s="25" customFormat="1" ht="6.95" customHeight="1" x14ac:dyDescent="0.3">
      <c r="A5134" s="13"/>
      <c r="B5134" s="168"/>
      <c r="C5134" s="169"/>
      <c r="D5134" s="160" t="s">
        <v>39</v>
      </c>
      <c r="E5134" s="161"/>
      <c r="F5134" s="162" t="s">
        <v>40</v>
      </c>
      <c r="G5134" s="163"/>
      <c r="H5134" s="164"/>
      <c r="I5134" s="163"/>
      <c r="J5134" s="164"/>
      <c r="K5134" s="163"/>
      <c r="L5134" s="164"/>
      <c r="M5134" s="11"/>
      <c r="N5134" s="39"/>
      <c r="Q5134" s="15" t="str">
        <f>+CONCATENATE(E5134,G5134)</f>
        <v/>
      </c>
      <c r="R5134" s="15">
        <f>+H5134</f>
        <v>0</v>
      </c>
      <c r="S5134" s="16"/>
      <c r="T5134" s="15">
        <f>+E5134</f>
        <v>0</v>
      </c>
      <c r="U5134" s="26" t="str">
        <f t="shared" ref="U5134" si="2797">IFERROR(LEFT(G5134,FIND("*",G5134)-1),"-")</f>
        <v>-</v>
      </c>
      <c r="V5134" s="26" t="str">
        <f t="shared" ref="V5134" si="2798">IFERROR(RIGHT(G5134,LEN(G5134)-FIND("*",G5134)),"-")</f>
        <v>-</v>
      </c>
      <c r="W5134" s="27" t="str">
        <f t="shared" si="2794"/>
        <v>-</v>
      </c>
      <c r="X5134" s="27" t="str">
        <f>IFERROR(W5134*H5134,"-")</f>
        <v>-</v>
      </c>
      <c r="Z5134" s="94" t="s">
        <v>82</v>
      </c>
    </row>
    <row r="5135" spans="1:26" s="25" customFormat="1" ht="6.95" customHeight="1" x14ac:dyDescent="0.3">
      <c r="A5135" s="10"/>
      <c r="B5135" s="168"/>
      <c r="C5135" s="169"/>
      <c r="D5135" s="160"/>
      <c r="E5135" s="161"/>
      <c r="F5135" s="162"/>
      <c r="G5135" s="163"/>
      <c r="H5135" s="164"/>
      <c r="I5135" s="163"/>
      <c r="J5135" s="164"/>
      <c r="K5135" s="163"/>
      <c r="L5135" s="164"/>
      <c r="M5135" s="11"/>
      <c r="N5135" s="39"/>
      <c r="Q5135" s="15" t="str">
        <f>+CONCATENATE(E5134,I5134)</f>
        <v/>
      </c>
      <c r="R5135" s="15">
        <f>+J5134</f>
        <v>0</v>
      </c>
      <c r="S5135" s="16"/>
      <c r="T5135" s="15">
        <f>+E5134</f>
        <v>0</v>
      </c>
      <c r="U5135" s="26" t="str">
        <f>IFERROR(LEFT(I5134,FIND("*",I5134)-1),"-")</f>
        <v>-</v>
      </c>
      <c r="V5135" s="26" t="str">
        <f>IFERROR(RIGHT(I5134,LEN(I5134)-FIND("*",I5134)),"-")</f>
        <v>-</v>
      </c>
      <c r="W5135" s="27" t="str">
        <f t="shared" si="2794"/>
        <v>-</v>
      </c>
      <c r="X5135" s="27" t="str">
        <f t="shared" ref="X5135" si="2799">IFERROR(W5135*J5134,"-")</f>
        <v>-</v>
      </c>
      <c r="Z5135" s="94" t="s">
        <v>82</v>
      </c>
    </row>
    <row r="5136" spans="1:26" s="25" customFormat="1" ht="6.95" customHeight="1" x14ac:dyDescent="0.3">
      <c r="A5136" s="10"/>
      <c r="B5136" s="168"/>
      <c r="C5136" s="169"/>
      <c r="D5136" s="160"/>
      <c r="E5136" s="161"/>
      <c r="F5136" s="162"/>
      <c r="G5136" s="163"/>
      <c r="H5136" s="164"/>
      <c r="I5136" s="163"/>
      <c r="J5136" s="164"/>
      <c r="K5136" s="163"/>
      <c r="L5136" s="164"/>
      <c r="M5136" s="11"/>
      <c r="N5136" s="39"/>
      <c r="Q5136" s="15" t="str">
        <f>+CONCATENATE(E5134,K5134)</f>
        <v/>
      </c>
      <c r="R5136" s="15">
        <f>+L5134</f>
        <v>0</v>
      </c>
      <c r="S5136" s="16"/>
      <c r="T5136" s="15">
        <f>+E5134</f>
        <v>0</v>
      </c>
      <c r="U5136" s="26" t="str">
        <f>IFERROR(LEFT(K5134,FIND("*",K5134)-1),"-")</f>
        <v>-</v>
      </c>
      <c r="V5136" s="26" t="str">
        <f>IFERROR(RIGHT(K5134,LEN(K5134)-FIND("*",K5134)),"-")</f>
        <v>-</v>
      </c>
      <c r="W5136" s="27" t="str">
        <f t="shared" si="2794"/>
        <v>-</v>
      </c>
      <c r="X5136" s="27" t="str">
        <f>IFERROR(W5136*L5134,"-")</f>
        <v>-</v>
      </c>
      <c r="Z5136" s="94" t="s">
        <v>82</v>
      </c>
    </row>
    <row r="5137" spans="1:26" s="25" customFormat="1" ht="21" customHeight="1" thickBot="1" x14ac:dyDescent="0.35">
      <c r="A5137" s="10"/>
      <c r="B5137" s="170"/>
      <c r="C5137" s="171"/>
      <c r="D5137" s="172" t="s">
        <v>43</v>
      </c>
      <c r="E5137" s="173"/>
      <c r="F5137" s="173"/>
      <c r="G5137" s="174"/>
      <c r="H5137" s="174"/>
      <c r="I5137" s="174"/>
      <c r="J5137" s="174"/>
      <c r="K5137" s="174"/>
      <c r="L5137" s="174"/>
      <c r="M5137" s="12"/>
      <c r="N5137" s="39"/>
      <c r="U5137" s="23"/>
      <c r="V5137" s="23"/>
      <c r="Z5137" s="95" t="s">
        <v>81</v>
      </c>
    </row>
    <row r="5138" spans="1:26" s="25" customFormat="1" ht="9.9499999999999993" customHeight="1" thickBot="1" x14ac:dyDescent="0.35">
      <c r="A5138" s="6"/>
      <c r="B5138" s="14"/>
      <c r="C5138" s="119"/>
      <c r="D5138" s="58"/>
      <c r="E5138" s="17"/>
      <c r="F5138" s="58"/>
      <c r="G5138" s="19"/>
      <c r="H5138" s="19"/>
      <c r="I5138" s="19"/>
      <c r="J5138" s="19"/>
      <c r="K5138" s="19"/>
      <c r="L5138" s="19"/>
      <c r="M5138" s="14"/>
      <c r="N5138" s="39"/>
      <c r="Q5138" s="1"/>
      <c r="R5138" s="1"/>
      <c r="S5138" s="1"/>
      <c r="T5138" s="1"/>
      <c r="U5138" s="24"/>
      <c r="V5138" s="24"/>
      <c r="W5138" s="1"/>
      <c r="X5138" s="1"/>
      <c r="Z5138" s="94" t="s">
        <v>82</v>
      </c>
    </row>
    <row r="5139" spans="1:26" s="25" customFormat="1" ht="6.95" customHeight="1" x14ac:dyDescent="0.3">
      <c r="A5139" s="165">
        <f>+A5128+1</f>
        <v>468</v>
      </c>
      <c r="B5139" s="166"/>
      <c r="C5139" s="167"/>
      <c r="D5139" s="160" t="s">
        <v>39</v>
      </c>
      <c r="E5139" s="161"/>
      <c r="F5139" s="162" t="s">
        <v>40</v>
      </c>
      <c r="G5139" s="163"/>
      <c r="H5139" s="164"/>
      <c r="I5139" s="163"/>
      <c r="J5139" s="164"/>
      <c r="K5139" s="163"/>
      <c r="L5139" s="164"/>
      <c r="M5139" s="11"/>
      <c r="N5139" s="39"/>
      <c r="Q5139" s="15" t="str">
        <f>+CONCATENATE(E5139,G5139)</f>
        <v/>
      </c>
      <c r="R5139" s="15">
        <f>+H5139</f>
        <v>0</v>
      </c>
      <c r="S5139" s="16"/>
      <c r="T5139" s="15">
        <f>+E5139</f>
        <v>0</v>
      </c>
      <c r="U5139" s="26" t="str">
        <f>IFERROR(LEFT(G5139,FIND("*",G5139)-1),"-")</f>
        <v>-</v>
      </c>
      <c r="V5139" s="26" t="str">
        <f>IFERROR(RIGHT(G5139,LEN(G5139)-FIND("*",G5139)),"-")</f>
        <v>-</v>
      </c>
      <c r="W5139" s="27" t="str">
        <f>IFERROR((U5139+V5139)*2/1000,"-")</f>
        <v>-</v>
      </c>
      <c r="X5139" s="27" t="str">
        <f>IFERROR(W5139*H5139,"-")</f>
        <v>-</v>
      </c>
      <c r="Z5139" s="94" t="s">
        <v>82</v>
      </c>
    </row>
    <row r="5140" spans="1:26" s="25" customFormat="1" ht="6.95" customHeight="1" x14ac:dyDescent="0.3">
      <c r="A5140" s="165"/>
      <c r="B5140" s="168"/>
      <c r="C5140" s="169"/>
      <c r="D5140" s="160"/>
      <c r="E5140" s="161"/>
      <c r="F5140" s="162"/>
      <c r="G5140" s="163"/>
      <c r="H5140" s="164"/>
      <c r="I5140" s="163"/>
      <c r="J5140" s="164"/>
      <c r="K5140" s="163"/>
      <c r="L5140" s="164"/>
      <c r="M5140" s="11"/>
      <c r="N5140" s="39"/>
      <c r="Q5140" s="15" t="str">
        <f>+CONCATENATE(E5139,I5139)</f>
        <v/>
      </c>
      <c r="R5140" s="15">
        <f>+J5139</f>
        <v>0</v>
      </c>
      <c r="S5140" s="16"/>
      <c r="T5140" s="15">
        <f>+E5139</f>
        <v>0</v>
      </c>
      <c r="U5140" s="26" t="str">
        <f>IFERROR(LEFT(I5139,FIND("*",I5139)-1),"-")</f>
        <v>-</v>
      </c>
      <c r="V5140" s="26" t="str">
        <f>IFERROR(RIGHT(I5139,LEN(I5139)-FIND("*",I5139)),"-")</f>
        <v>-</v>
      </c>
      <c r="W5140" s="27" t="str">
        <f t="shared" ref="W5140:W5147" si="2800">IFERROR((U5140+V5140)*2/1000,"-")</f>
        <v>-</v>
      </c>
      <c r="X5140" s="27" t="str">
        <f>IFERROR(W5140*J5139,"-")</f>
        <v>-</v>
      </c>
      <c r="Z5140" s="94" t="s">
        <v>82</v>
      </c>
    </row>
    <row r="5141" spans="1:26" s="25" customFormat="1" ht="6.95" customHeight="1" x14ac:dyDescent="0.3">
      <c r="A5141" s="165"/>
      <c r="B5141" s="168"/>
      <c r="C5141" s="169"/>
      <c r="D5141" s="160"/>
      <c r="E5141" s="161"/>
      <c r="F5141" s="162"/>
      <c r="G5141" s="163"/>
      <c r="H5141" s="164"/>
      <c r="I5141" s="163"/>
      <c r="J5141" s="164"/>
      <c r="K5141" s="163"/>
      <c r="L5141" s="164"/>
      <c r="M5141" s="11"/>
      <c r="N5141" s="39"/>
      <c r="Q5141" s="15" t="str">
        <f>+CONCATENATE(E5139,K5139)</f>
        <v/>
      </c>
      <c r="R5141" s="15">
        <f>+L5139</f>
        <v>0</v>
      </c>
      <c r="S5141" s="16"/>
      <c r="T5141" s="15">
        <f>+E5139</f>
        <v>0</v>
      </c>
      <c r="U5141" s="26" t="str">
        <f>IFERROR(LEFT(K5139,FIND("*",K5139)-1),"-")</f>
        <v>-</v>
      </c>
      <c r="V5141" s="26" t="str">
        <f>IFERROR(RIGHT(K5139,LEN(K5139)-FIND("*",K5139)),"-")</f>
        <v>-</v>
      </c>
      <c r="W5141" s="27" t="str">
        <f t="shared" si="2800"/>
        <v>-</v>
      </c>
      <c r="X5141" s="27" t="str">
        <f>IFERROR(W5141*L5139,"-")</f>
        <v>-</v>
      </c>
      <c r="Z5141" s="94" t="s">
        <v>82</v>
      </c>
    </row>
    <row r="5142" spans="1:26" s="25" customFormat="1" ht="6.95" customHeight="1" x14ac:dyDescent="0.3">
      <c r="A5142" s="13"/>
      <c r="B5142" s="168"/>
      <c r="C5142" s="169"/>
      <c r="D5142" s="160" t="s">
        <v>39</v>
      </c>
      <c r="E5142" s="161"/>
      <c r="F5142" s="162" t="s">
        <v>40</v>
      </c>
      <c r="G5142" s="163"/>
      <c r="H5142" s="164"/>
      <c r="I5142" s="163"/>
      <c r="J5142" s="164"/>
      <c r="K5142" s="163"/>
      <c r="L5142" s="164"/>
      <c r="M5142" s="11"/>
      <c r="N5142" s="39"/>
      <c r="Q5142" s="15" t="str">
        <f>+CONCATENATE(E5142,G5142)</f>
        <v/>
      </c>
      <c r="R5142" s="15">
        <f>+H5142</f>
        <v>0</v>
      </c>
      <c r="S5142" s="16"/>
      <c r="T5142" s="15">
        <f>+E5142</f>
        <v>0</v>
      </c>
      <c r="U5142" s="26" t="str">
        <f t="shared" ref="U5142" si="2801">IFERROR(LEFT(G5142,FIND("*",G5142)-1),"-")</f>
        <v>-</v>
      </c>
      <c r="V5142" s="26" t="str">
        <f t="shared" ref="V5142" si="2802">IFERROR(RIGHT(G5142,LEN(G5142)-FIND("*",G5142)),"-")</f>
        <v>-</v>
      </c>
      <c r="W5142" s="27" t="str">
        <f t="shared" si="2800"/>
        <v>-</v>
      </c>
      <c r="X5142" s="27" t="str">
        <f>IFERROR(W5142*H5142,"-")</f>
        <v>-</v>
      </c>
      <c r="Z5142" s="94" t="s">
        <v>82</v>
      </c>
    </row>
    <row r="5143" spans="1:26" s="25" customFormat="1" ht="6.95" customHeight="1" x14ac:dyDescent="0.3">
      <c r="A5143" s="10"/>
      <c r="B5143" s="168"/>
      <c r="C5143" s="169"/>
      <c r="D5143" s="160"/>
      <c r="E5143" s="161"/>
      <c r="F5143" s="162"/>
      <c r="G5143" s="163"/>
      <c r="H5143" s="164"/>
      <c r="I5143" s="163"/>
      <c r="J5143" s="164"/>
      <c r="K5143" s="163"/>
      <c r="L5143" s="164"/>
      <c r="M5143" s="11"/>
      <c r="N5143" s="39"/>
      <c r="Q5143" s="15" t="str">
        <f>+CONCATENATE(E5142,I5142)</f>
        <v/>
      </c>
      <c r="R5143" s="15">
        <f>+J5142</f>
        <v>0</v>
      </c>
      <c r="S5143" s="16"/>
      <c r="T5143" s="15">
        <f>+E5142</f>
        <v>0</v>
      </c>
      <c r="U5143" s="26" t="str">
        <f>IFERROR(LEFT(I5142,FIND("*",I5142)-1),"-")</f>
        <v>-</v>
      </c>
      <c r="V5143" s="26" t="str">
        <f>IFERROR(RIGHT(I5142,LEN(I5142)-FIND("*",I5142)),"-")</f>
        <v>-</v>
      </c>
      <c r="W5143" s="27" t="str">
        <f t="shared" si="2800"/>
        <v>-</v>
      </c>
      <c r="X5143" s="27" t="str">
        <f>IFERROR(W5143*J5142,"-")</f>
        <v>-</v>
      </c>
      <c r="Z5143" s="94" t="s">
        <v>82</v>
      </c>
    </row>
    <row r="5144" spans="1:26" s="25" customFormat="1" ht="6.95" customHeight="1" x14ac:dyDescent="0.3">
      <c r="A5144" s="10"/>
      <c r="B5144" s="168"/>
      <c r="C5144" s="169"/>
      <c r="D5144" s="160"/>
      <c r="E5144" s="161"/>
      <c r="F5144" s="162"/>
      <c r="G5144" s="163"/>
      <c r="H5144" s="164"/>
      <c r="I5144" s="163"/>
      <c r="J5144" s="164"/>
      <c r="K5144" s="163"/>
      <c r="L5144" s="164"/>
      <c r="M5144" s="11"/>
      <c r="N5144" s="39"/>
      <c r="Q5144" s="15" t="str">
        <f>+CONCATENATE(E5142,K5142)</f>
        <v/>
      </c>
      <c r="R5144" s="15">
        <f>+L5142</f>
        <v>0</v>
      </c>
      <c r="S5144" s="16"/>
      <c r="T5144" s="15">
        <f>+E5142</f>
        <v>0</v>
      </c>
      <c r="U5144" s="26" t="str">
        <f>IFERROR(LEFT(K5142,FIND("*",K5142)-1),"-")</f>
        <v>-</v>
      </c>
      <c r="V5144" s="26" t="str">
        <f>IFERROR(RIGHT(K5142,LEN(K5142)-FIND("*",K5142)),"-")</f>
        <v>-</v>
      </c>
      <c r="W5144" s="27" t="str">
        <f t="shared" si="2800"/>
        <v>-</v>
      </c>
      <c r="X5144" s="27" t="str">
        <f>IFERROR(W5144*L5142,"-")</f>
        <v>-</v>
      </c>
      <c r="Z5144" s="94" t="s">
        <v>82</v>
      </c>
    </row>
    <row r="5145" spans="1:26" s="25" customFormat="1" ht="6.95" customHeight="1" x14ac:dyDescent="0.3">
      <c r="A5145" s="13"/>
      <c r="B5145" s="168"/>
      <c r="C5145" s="169"/>
      <c r="D5145" s="160" t="s">
        <v>39</v>
      </c>
      <c r="E5145" s="161"/>
      <c r="F5145" s="162" t="s">
        <v>40</v>
      </c>
      <c r="G5145" s="163"/>
      <c r="H5145" s="164"/>
      <c r="I5145" s="163"/>
      <c r="J5145" s="164"/>
      <c r="K5145" s="163"/>
      <c r="L5145" s="164"/>
      <c r="M5145" s="11"/>
      <c r="N5145" s="39"/>
      <c r="Q5145" s="15" t="str">
        <f>+CONCATENATE(E5145,G5145)</f>
        <v/>
      </c>
      <c r="R5145" s="15">
        <f>+H5145</f>
        <v>0</v>
      </c>
      <c r="S5145" s="16"/>
      <c r="T5145" s="15">
        <f>+E5145</f>
        <v>0</v>
      </c>
      <c r="U5145" s="26" t="str">
        <f t="shared" ref="U5145" si="2803">IFERROR(LEFT(G5145,FIND("*",G5145)-1),"-")</f>
        <v>-</v>
      </c>
      <c r="V5145" s="26" t="str">
        <f t="shared" ref="V5145" si="2804">IFERROR(RIGHT(G5145,LEN(G5145)-FIND("*",G5145)),"-")</f>
        <v>-</v>
      </c>
      <c r="W5145" s="27" t="str">
        <f t="shared" si="2800"/>
        <v>-</v>
      </c>
      <c r="X5145" s="27" t="str">
        <f>IFERROR(W5145*H5145,"-")</f>
        <v>-</v>
      </c>
      <c r="Z5145" s="94" t="s">
        <v>82</v>
      </c>
    </row>
    <row r="5146" spans="1:26" s="25" customFormat="1" ht="6.95" customHeight="1" x14ac:dyDescent="0.3">
      <c r="A5146" s="10"/>
      <c r="B5146" s="168"/>
      <c r="C5146" s="169"/>
      <c r="D5146" s="160"/>
      <c r="E5146" s="161"/>
      <c r="F5146" s="162"/>
      <c r="G5146" s="163"/>
      <c r="H5146" s="164"/>
      <c r="I5146" s="163"/>
      <c r="J5146" s="164"/>
      <c r="K5146" s="163"/>
      <c r="L5146" s="164"/>
      <c r="M5146" s="11"/>
      <c r="N5146" s="39"/>
      <c r="Q5146" s="15" t="str">
        <f>+CONCATENATE(E5145,I5145)</f>
        <v/>
      </c>
      <c r="R5146" s="15">
        <f>+J5145</f>
        <v>0</v>
      </c>
      <c r="S5146" s="16"/>
      <c r="T5146" s="15">
        <f>+E5145</f>
        <v>0</v>
      </c>
      <c r="U5146" s="26" t="str">
        <f>IFERROR(LEFT(I5145,FIND("*",I5145)-1),"-")</f>
        <v>-</v>
      </c>
      <c r="V5146" s="26" t="str">
        <f>IFERROR(RIGHT(I5145,LEN(I5145)-FIND("*",I5145)),"-")</f>
        <v>-</v>
      </c>
      <c r="W5146" s="27" t="str">
        <f t="shared" si="2800"/>
        <v>-</v>
      </c>
      <c r="X5146" s="27" t="str">
        <f t="shared" ref="X5146" si="2805">IFERROR(W5146*J5145,"-")</f>
        <v>-</v>
      </c>
      <c r="Z5146" s="94" t="s">
        <v>82</v>
      </c>
    </row>
    <row r="5147" spans="1:26" s="25" customFormat="1" ht="6.95" customHeight="1" x14ac:dyDescent="0.3">
      <c r="A5147" s="10"/>
      <c r="B5147" s="168"/>
      <c r="C5147" s="169"/>
      <c r="D5147" s="160"/>
      <c r="E5147" s="161"/>
      <c r="F5147" s="162"/>
      <c r="G5147" s="163"/>
      <c r="H5147" s="164"/>
      <c r="I5147" s="163"/>
      <c r="J5147" s="164"/>
      <c r="K5147" s="163"/>
      <c r="L5147" s="164"/>
      <c r="M5147" s="11"/>
      <c r="N5147" s="39"/>
      <c r="Q5147" s="15" t="str">
        <f>+CONCATENATE(E5145,K5145)</f>
        <v/>
      </c>
      <c r="R5147" s="15">
        <f>+L5145</f>
        <v>0</v>
      </c>
      <c r="S5147" s="16"/>
      <c r="T5147" s="15">
        <f>+E5145</f>
        <v>0</v>
      </c>
      <c r="U5147" s="26" t="str">
        <f>IFERROR(LEFT(K5145,FIND("*",K5145)-1),"-")</f>
        <v>-</v>
      </c>
      <c r="V5147" s="26" t="str">
        <f>IFERROR(RIGHT(K5145,LEN(K5145)-FIND("*",K5145)),"-")</f>
        <v>-</v>
      </c>
      <c r="W5147" s="27" t="str">
        <f t="shared" si="2800"/>
        <v>-</v>
      </c>
      <c r="X5147" s="27" t="str">
        <f>IFERROR(W5147*L5145,"-")</f>
        <v>-</v>
      </c>
      <c r="Z5147" s="94" t="s">
        <v>82</v>
      </c>
    </row>
    <row r="5148" spans="1:26" s="25" customFormat="1" ht="21" customHeight="1" thickBot="1" x14ac:dyDescent="0.35">
      <c r="A5148" s="10"/>
      <c r="B5148" s="170"/>
      <c r="C5148" s="171"/>
      <c r="D5148" s="172" t="s">
        <v>43</v>
      </c>
      <c r="E5148" s="173"/>
      <c r="F5148" s="173"/>
      <c r="G5148" s="174"/>
      <c r="H5148" s="174"/>
      <c r="I5148" s="174"/>
      <c r="J5148" s="174"/>
      <c r="K5148" s="174"/>
      <c r="L5148" s="174"/>
      <c r="M5148" s="12"/>
      <c r="N5148" s="39"/>
      <c r="U5148" s="23"/>
      <c r="V5148" s="23"/>
      <c r="Z5148" s="95" t="s">
        <v>81</v>
      </c>
    </row>
    <row r="5149" spans="1:26" s="25" customFormat="1" ht="9.9499999999999993" customHeight="1" thickBot="1" x14ac:dyDescent="0.35">
      <c r="A5149" s="6"/>
      <c r="B5149" s="14"/>
      <c r="C5149" s="119"/>
      <c r="D5149" s="58"/>
      <c r="E5149" s="17"/>
      <c r="F5149" s="58"/>
      <c r="G5149" s="19"/>
      <c r="H5149" s="19"/>
      <c r="I5149" s="19"/>
      <c r="J5149" s="19"/>
      <c r="K5149" s="19"/>
      <c r="L5149" s="19"/>
      <c r="M5149" s="14"/>
      <c r="N5149" s="39"/>
      <c r="Q5149" s="1"/>
      <c r="R5149" s="1"/>
      <c r="S5149" s="1"/>
      <c r="T5149" s="1"/>
      <c r="U5149" s="24"/>
      <c r="V5149" s="24"/>
      <c r="W5149" s="1"/>
      <c r="X5149" s="1"/>
      <c r="Z5149" s="94" t="s">
        <v>82</v>
      </c>
    </row>
    <row r="5150" spans="1:26" s="25" customFormat="1" ht="6.95" customHeight="1" x14ac:dyDescent="0.3">
      <c r="A5150" s="165">
        <f>+A5139+1</f>
        <v>469</v>
      </c>
      <c r="B5150" s="166"/>
      <c r="C5150" s="167"/>
      <c r="D5150" s="160" t="s">
        <v>39</v>
      </c>
      <c r="E5150" s="161"/>
      <c r="F5150" s="162" t="s">
        <v>40</v>
      </c>
      <c r="G5150" s="163"/>
      <c r="H5150" s="164"/>
      <c r="I5150" s="163"/>
      <c r="J5150" s="164"/>
      <c r="K5150" s="163"/>
      <c r="L5150" s="164"/>
      <c r="M5150" s="11"/>
      <c r="N5150" s="39"/>
      <c r="Q5150" s="15" t="str">
        <f>+CONCATENATE(E5150,G5150)</f>
        <v/>
      </c>
      <c r="R5150" s="15">
        <f>+H5150</f>
        <v>0</v>
      </c>
      <c r="S5150" s="16"/>
      <c r="T5150" s="15">
        <f>+E5150</f>
        <v>0</v>
      </c>
      <c r="U5150" s="26" t="str">
        <f>IFERROR(LEFT(G5150,FIND("*",G5150)-1),"-")</f>
        <v>-</v>
      </c>
      <c r="V5150" s="26" t="str">
        <f>IFERROR(RIGHT(G5150,LEN(G5150)-FIND("*",G5150)),"-")</f>
        <v>-</v>
      </c>
      <c r="W5150" s="27" t="str">
        <f>IFERROR((U5150+V5150)*2/1000,"-")</f>
        <v>-</v>
      </c>
      <c r="X5150" s="27" t="str">
        <f>IFERROR(W5150*H5150,"-")</f>
        <v>-</v>
      </c>
      <c r="Z5150" s="94" t="s">
        <v>82</v>
      </c>
    </row>
    <row r="5151" spans="1:26" s="25" customFormat="1" ht="6.95" customHeight="1" x14ac:dyDescent="0.3">
      <c r="A5151" s="165"/>
      <c r="B5151" s="168"/>
      <c r="C5151" s="169"/>
      <c r="D5151" s="160"/>
      <c r="E5151" s="161"/>
      <c r="F5151" s="162"/>
      <c r="G5151" s="163"/>
      <c r="H5151" s="164"/>
      <c r="I5151" s="163"/>
      <c r="J5151" s="164"/>
      <c r="K5151" s="163"/>
      <c r="L5151" s="164"/>
      <c r="M5151" s="11"/>
      <c r="N5151" s="39"/>
      <c r="Q5151" s="15" t="str">
        <f>+CONCATENATE(E5150,I5150)</f>
        <v/>
      </c>
      <c r="R5151" s="15">
        <f>+J5150</f>
        <v>0</v>
      </c>
      <c r="S5151" s="16"/>
      <c r="T5151" s="15">
        <f>+E5150</f>
        <v>0</v>
      </c>
      <c r="U5151" s="26" t="str">
        <f>IFERROR(LEFT(I5150,FIND("*",I5150)-1),"-")</f>
        <v>-</v>
      </c>
      <c r="V5151" s="26" t="str">
        <f>IFERROR(RIGHT(I5150,LEN(I5150)-FIND("*",I5150)),"-")</f>
        <v>-</v>
      </c>
      <c r="W5151" s="27" t="str">
        <f t="shared" ref="W5151:W5158" si="2806">IFERROR((U5151+V5151)*2/1000,"-")</f>
        <v>-</v>
      </c>
      <c r="X5151" s="27" t="str">
        <f>IFERROR(W5151*J5150,"-")</f>
        <v>-</v>
      </c>
      <c r="Z5151" s="94" t="s">
        <v>82</v>
      </c>
    </row>
    <row r="5152" spans="1:26" s="25" customFormat="1" ht="6.95" customHeight="1" x14ac:dyDescent="0.3">
      <c r="A5152" s="165"/>
      <c r="B5152" s="168"/>
      <c r="C5152" s="169"/>
      <c r="D5152" s="160"/>
      <c r="E5152" s="161"/>
      <c r="F5152" s="162"/>
      <c r="G5152" s="163"/>
      <c r="H5152" s="164"/>
      <c r="I5152" s="163"/>
      <c r="J5152" s="164"/>
      <c r="K5152" s="163"/>
      <c r="L5152" s="164"/>
      <c r="M5152" s="11"/>
      <c r="N5152" s="39"/>
      <c r="Q5152" s="15" t="str">
        <f>+CONCATENATE(E5150,K5150)</f>
        <v/>
      </c>
      <c r="R5152" s="15">
        <f>+L5150</f>
        <v>0</v>
      </c>
      <c r="S5152" s="16"/>
      <c r="T5152" s="15">
        <f>+E5150</f>
        <v>0</v>
      </c>
      <c r="U5152" s="26" t="str">
        <f>IFERROR(LEFT(K5150,FIND("*",K5150)-1),"-")</f>
        <v>-</v>
      </c>
      <c r="V5152" s="26" t="str">
        <f>IFERROR(RIGHT(K5150,LEN(K5150)-FIND("*",K5150)),"-")</f>
        <v>-</v>
      </c>
      <c r="W5152" s="27" t="str">
        <f t="shared" si="2806"/>
        <v>-</v>
      </c>
      <c r="X5152" s="27" t="str">
        <f>IFERROR(W5152*L5150,"-")</f>
        <v>-</v>
      </c>
      <c r="Z5152" s="94" t="s">
        <v>82</v>
      </c>
    </row>
    <row r="5153" spans="1:26" s="25" customFormat="1" ht="6.95" customHeight="1" x14ac:dyDescent="0.3">
      <c r="A5153" s="13"/>
      <c r="B5153" s="168"/>
      <c r="C5153" s="169"/>
      <c r="D5153" s="160" t="s">
        <v>39</v>
      </c>
      <c r="E5153" s="161"/>
      <c r="F5153" s="162" t="s">
        <v>40</v>
      </c>
      <c r="G5153" s="163"/>
      <c r="H5153" s="164"/>
      <c r="I5153" s="163"/>
      <c r="J5153" s="164"/>
      <c r="K5153" s="163"/>
      <c r="L5153" s="164"/>
      <c r="M5153" s="11"/>
      <c r="N5153" s="39"/>
      <c r="Q5153" s="15" t="str">
        <f>+CONCATENATE(E5153,G5153)</f>
        <v/>
      </c>
      <c r="R5153" s="15">
        <f>+H5153</f>
        <v>0</v>
      </c>
      <c r="S5153" s="16"/>
      <c r="T5153" s="15">
        <f>+E5153</f>
        <v>0</v>
      </c>
      <c r="U5153" s="26" t="str">
        <f t="shared" ref="U5153" si="2807">IFERROR(LEFT(G5153,FIND("*",G5153)-1),"-")</f>
        <v>-</v>
      </c>
      <c r="V5153" s="26" t="str">
        <f t="shared" ref="V5153" si="2808">IFERROR(RIGHT(G5153,LEN(G5153)-FIND("*",G5153)),"-")</f>
        <v>-</v>
      </c>
      <c r="W5153" s="27" t="str">
        <f t="shared" si="2806"/>
        <v>-</v>
      </c>
      <c r="X5153" s="27" t="str">
        <f>IFERROR(W5153*H5153,"-")</f>
        <v>-</v>
      </c>
      <c r="Z5153" s="94" t="s">
        <v>82</v>
      </c>
    </row>
    <row r="5154" spans="1:26" s="25" customFormat="1" ht="6.95" customHeight="1" x14ac:dyDescent="0.3">
      <c r="A5154" s="10"/>
      <c r="B5154" s="168"/>
      <c r="C5154" s="169"/>
      <c r="D5154" s="160"/>
      <c r="E5154" s="161"/>
      <c r="F5154" s="162"/>
      <c r="G5154" s="163"/>
      <c r="H5154" s="164"/>
      <c r="I5154" s="163"/>
      <c r="J5154" s="164"/>
      <c r="K5154" s="163"/>
      <c r="L5154" s="164"/>
      <c r="M5154" s="11"/>
      <c r="N5154" s="39"/>
      <c r="Q5154" s="15" t="str">
        <f>+CONCATENATE(E5153,I5153)</f>
        <v/>
      </c>
      <c r="R5154" s="15">
        <f>+J5153</f>
        <v>0</v>
      </c>
      <c r="S5154" s="16"/>
      <c r="T5154" s="15">
        <f>+E5153</f>
        <v>0</v>
      </c>
      <c r="U5154" s="26" t="str">
        <f>IFERROR(LEFT(I5153,FIND("*",I5153)-1),"-")</f>
        <v>-</v>
      </c>
      <c r="V5154" s="26" t="str">
        <f>IFERROR(RIGHT(I5153,LEN(I5153)-FIND("*",I5153)),"-")</f>
        <v>-</v>
      </c>
      <c r="W5154" s="27" t="str">
        <f t="shared" si="2806"/>
        <v>-</v>
      </c>
      <c r="X5154" s="27" t="str">
        <f>IFERROR(W5154*J5153,"-")</f>
        <v>-</v>
      </c>
      <c r="Z5154" s="94" t="s">
        <v>82</v>
      </c>
    </row>
    <row r="5155" spans="1:26" s="25" customFormat="1" ht="6.95" customHeight="1" x14ac:dyDescent="0.3">
      <c r="A5155" s="10"/>
      <c r="B5155" s="168"/>
      <c r="C5155" s="169"/>
      <c r="D5155" s="160"/>
      <c r="E5155" s="161"/>
      <c r="F5155" s="162"/>
      <c r="G5155" s="163"/>
      <c r="H5155" s="164"/>
      <c r="I5155" s="163"/>
      <c r="J5155" s="164"/>
      <c r="K5155" s="163"/>
      <c r="L5155" s="164"/>
      <c r="M5155" s="11"/>
      <c r="N5155" s="39"/>
      <c r="Q5155" s="15" t="str">
        <f>+CONCATENATE(E5153,K5153)</f>
        <v/>
      </c>
      <c r="R5155" s="15">
        <f>+L5153</f>
        <v>0</v>
      </c>
      <c r="S5155" s="16"/>
      <c r="T5155" s="15">
        <f>+E5153</f>
        <v>0</v>
      </c>
      <c r="U5155" s="26" t="str">
        <f>IFERROR(LEFT(K5153,FIND("*",K5153)-1),"-")</f>
        <v>-</v>
      </c>
      <c r="V5155" s="26" t="str">
        <f>IFERROR(RIGHT(K5153,LEN(K5153)-FIND("*",K5153)),"-")</f>
        <v>-</v>
      </c>
      <c r="W5155" s="27" t="str">
        <f t="shared" si="2806"/>
        <v>-</v>
      </c>
      <c r="X5155" s="27" t="str">
        <f>IFERROR(W5155*L5153,"-")</f>
        <v>-</v>
      </c>
      <c r="Z5155" s="94" t="s">
        <v>82</v>
      </c>
    </row>
    <row r="5156" spans="1:26" s="25" customFormat="1" ht="6.95" customHeight="1" x14ac:dyDescent="0.3">
      <c r="A5156" s="13"/>
      <c r="B5156" s="168"/>
      <c r="C5156" s="169"/>
      <c r="D5156" s="160" t="s">
        <v>39</v>
      </c>
      <c r="E5156" s="161"/>
      <c r="F5156" s="162" t="s">
        <v>40</v>
      </c>
      <c r="G5156" s="163"/>
      <c r="H5156" s="164"/>
      <c r="I5156" s="163"/>
      <c r="J5156" s="164"/>
      <c r="K5156" s="163"/>
      <c r="L5156" s="164"/>
      <c r="M5156" s="11"/>
      <c r="N5156" s="39"/>
      <c r="Q5156" s="15" t="str">
        <f>+CONCATENATE(E5156,G5156)</f>
        <v/>
      </c>
      <c r="R5156" s="15">
        <f>+H5156</f>
        <v>0</v>
      </c>
      <c r="S5156" s="16"/>
      <c r="T5156" s="15">
        <f>+E5156</f>
        <v>0</v>
      </c>
      <c r="U5156" s="26" t="str">
        <f t="shared" ref="U5156" si="2809">IFERROR(LEFT(G5156,FIND("*",G5156)-1),"-")</f>
        <v>-</v>
      </c>
      <c r="V5156" s="26" t="str">
        <f t="shared" ref="V5156" si="2810">IFERROR(RIGHT(G5156,LEN(G5156)-FIND("*",G5156)),"-")</f>
        <v>-</v>
      </c>
      <c r="W5156" s="27" t="str">
        <f t="shared" si="2806"/>
        <v>-</v>
      </c>
      <c r="X5156" s="27" t="str">
        <f>IFERROR(W5156*H5156,"-")</f>
        <v>-</v>
      </c>
      <c r="Z5156" s="94" t="s">
        <v>82</v>
      </c>
    </row>
    <row r="5157" spans="1:26" s="25" customFormat="1" ht="6.95" customHeight="1" x14ac:dyDescent="0.3">
      <c r="A5157" s="10"/>
      <c r="B5157" s="168"/>
      <c r="C5157" s="169"/>
      <c r="D5157" s="160"/>
      <c r="E5157" s="161"/>
      <c r="F5157" s="162"/>
      <c r="G5157" s="163"/>
      <c r="H5157" s="164"/>
      <c r="I5157" s="163"/>
      <c r="J5157" s="164"/>
      <c r="K5157" s="163"/>
      <c r="L5157" s="164"/>
      <c r="M5157" s="11"/>
      <c r="N5157" s="39"/>
      <c r="Q5157" s="15" t="str">
        <f>+CONCATENATE(E5156,I5156)</f>
        <v/>
      </c>
      <c r="R5157" s="15">
        <f>+J5156</f>
        <v>0</v>
      </c>
      <c r="S5157" s="16"/>
      <c r="T5157" s="15">
        <f>+E5156</f>
        <v>0</v>
      </c>
      <c r="U5157" s="26" t="str">
        <f>IFERROR(LEFT(I5156,FIND("*",I5156)-1),"-")</f>
        <v>-</v>
      </c>
      <c r="V5157" s="26" t="str">
        <f>IFERROR(RIGHT(I5156,LEN(I5156)-FIND("*",I5156)),"-")</f>
        <v>-</v>
      </c>
      <c r="W5157" s="27" t="str">
        <f t="shared" si="2806"/>
        <v>-</v>
      </c>
      <c r="X5157" s="27" t="str">
        <f t="shared" ref="X5157" si="2811">IFERROR(W5157*J5156,"-")</f>
        <v>-</v>
      </c>
      <c r="Z5157" s="94" t="s">
        <v>82</v>
      </c>
    </row>
    <row r="5158" spans="1:26" s="25" customFormat="1" ht="6.95" customHeight="1" x14ac:dyDescent="0.3">
      <c r="A5158" s="10"/>
      <c r="B5158" s="168"/>
      <c r="C5158" s="169"/>
      <c r="D5158" s="160"/>
      <c r="E5158" s="161"/>
      <c r="F5158" s="162"/>
      <c r="G5158" s="163"/>
      <c r="H5158" s="164"/>
      <c r="I5158" s="163"/>
      <c r="J5158" s="164"/>
      <c r="K5158" s="163"/>
      <c r="L5158" s="164"/>
      <c r="M5158" s="11"/>
      <c r="N5158" s="39"/>
      <c r="Q5158" s="15" t="str">
        <f>+CONCATENATE(E5156,K5156)</f>
        <v/>
      </c>
      <c r="R5158" s="15">
        <f>+L5156</f>
        <v>0</v>
      </c>
      <c r="S5158" s="16"/>
      <c r="T5158" s="15">
        <f>+E5156</f>
        <v>0</v>
      </c>
      <c r="U5158" s="26" t="str">
        <f>IFERROR(LEFT(K5156,FIND("*",K5156)-1),"-")</f>
        <v>-</v>
      </c>
      <c r="V5158" s="26" t="str">
        <f>IFERROR(RIGHT(K5156,LEN(K5156)-FIND("*",K5156)),"-")</f>
        <v>-</v>
      </c>
      <c r="W5158" s="27" t="str">
        <f t="shared" si="2806"/>
        <v>-</v>
      </c>
      <c r="X5158" s="27" t="str">
        <f>IFERROR(W5158*L5156,"-")</f>
        <v>-</v>
      </c>
      <c r="Z5158" s="94" t="s">
        <v>82</v>
      </c>
    </row>
    <row r="5159" spans="1:26" s="25" customFormat="1" ht="21" customHeight="1" thickBot="1" x14ac:dyDescent="0.35">
      <c r="A5159" s="10"/>
      <c r="B5159" s="170"/>
      <c r="C5159" s="171"/>
      <c r="D5159" s="172" t="s">
        <v>43</v>
      </c>
      <c r="E5159" s="173"/>
      <c r="F5159" s="173"/>
      <c r="G5159" s="174"/>
      <c r="H5159" s="174"/>
      <c r="I5159" s="174"/>
      <c r="J5159" s="174"/>
      <c r="K5159" s="174"/>
      <c r="L5159" s="174"/>
      <c r="M5159" s="12"/>
      <c r="N5159" s="39"/>
      <c r="U5159" s="23"/>
      <c r="V5159" s="23"/>
      <c r="Z5159" s="95" t="s">
        <v>81</v>
      </c>
    </row>
    <row r="5160" spans="1:26" s="25" customFormat="1" ht="9.9499999999999993" customHeight="1" thickBot="1" x14ac:dyDescent="0.35">
      <c r="A5160" s="6"/>
      <c r="B5160" s="14"/>
      <c r="C5160" s="119"/>
      <c r="D5160" s="58"/>
      <c r="E5160" s="17"/>
      <c r="F5160" s="58"/>
      <c r="G5160" s="19"/>
      <c r="H5160" s="19"/>
      <c r="I5160" s="19"/>
      <c r="J5160" s="19"/>
      <c r="K5160" s="19"/>
      <c r="L5160" s="19"/>
      <c r="M5160" s="14"/>
      <c r="N5160" s="39"/>
      <c r="Q5160" s="1"/>
      <c r="R5160" s="1"/>
      <c r="S5160" s="1"/>
      <c r="T5160" s="1"/>
      <c r="U5160" s="24"/>
      <c r="V5160" s="24"/>
      <c r="W5160" s="1"/>
      <c r="X5160" s="1"/>
      <c r="Z5160" s="94" t="s">
        <v>82</v>
      </c>
    </row>
    <row r="5161" spans="1:26" s="25" customFormat="1" ht="6.95" customHeight="1" x14ac:dyDescent="0.3">
      <c r="A5161" s="165">
        <f>+A5150+1</f>
        <v>470</v>
      </c>
      <c r="B5161" s="166"/>
      <c r="C5161" s="167"/>
      <c r="D5161" s="160" t="s">
        <v>39</v>
      </c>
      <c r="E5161" s="161"/>
      <c r="F5161" s="162" t="s">
        <v>40</v>
      </c>
      <c r="G5161" s="163"/>
      <c r="H5161" s="164"/>
      <c r="I5161" s="163"/>
      <c r="J5161" s="164"/>
      <c r="K5161" s="163"/>
      <c r="L5161" s="164"/>
      <c r="M5161" s="11"/>
      <c r="N5161" s="39"/>
      <c r="Q5161" s="15" t="str">
        <f>+CONCATENATE(E5161,G5161)</f>
        <v/>
      </c>
      <c r="R5161" s="15">
        <f>+H5161</f>
        <v>0</v>
      </c>
      <c r="S5161" s="16"/>
      <c r="T5161" s="15">
        <f>+E5161</f>
        <v>0</v>
      </c>
      <c r="U5161" s="26" t="str">
        <f>IFERROR(LEFT(G5161,FIND("*",G5161)-1),"-")</f>
        <v>-</v>
      </c>
      <c r="V5161" s="26" t="str">
        <f>IFERROR(RIGHT(G5161,LEN(G5161)-FIND("*",G5161)),"-")</f>
        <v>-</v>
      </c>
      <c r="W5161" s="27" t="str">
        <f>IFERROR((U5161+V5161)*2/1000,"-")</f>
        <v>-</v>
      </c>
      <c r="X5161" s="27" t="str">
        <f>IFERROR(W5161*H5161,"-")</f>
        <v>-</v>
      </c>
      <c r="Z5161" s="94" t="s">
        <v>82</v>
      </c>
    </row>
    <row r="5162" spans="1:26" s="25" customFormat="1" ht="6.95" customHeight="1" x14ac:dyDescent="0.3">
      <c r="A5162" s="165"/>
      <c r="B5162" s="168"/>
      <c r="C5162" s="169"/>
      <c r="D5162" s="160"/>
      <c r="E5162" s="161"/>
      <c r="F5162" s="162"/>
      <c r="G5162" s="163"/>
      <c r="H5162" s="164"/>
      <c r="I5162" s="163"/>
      <c r="J5162" s="164"/>
      <c r="K5162" s="163"/>
      <c r="L5162" s="164"/>
      <c r="M5162" s="11"/>
      <c r="N5162" s="39"/>
      <c r="Q5162" s="15" t="str">
        <f>+CONCATENATE(E5161,I5161)</f>
        <v/>
      </c>
      <c r="R5162" s="15">
        <f>+J5161</f>
        <v>0</v>
      </c>
      <c r="S5162" s="16"/>
      <c r="T5162" s="15">
        <f>+E5161</f>
        <v>0</v>
      </c>
      <c r="U5162" s="26" t="str">
        <f>IFERROR(LEFT(I5161,FIND("*",I5161)-1),"-")</f>
        <v>-</v>
      </c>
      <c r="V5162" s="26" t="str">
        <f>IFERROR(RIGHT(I5161,LEN(I5161)-FIND("*",I5161)),"-")</f>
        <v>-</v>
      </c>
      <c r="W5162" s="27" t="str">
        <f t="shared" ref="W5162:W5169" si="2812">IFERROR((U5162+V5162)*2/1000,"-")</f>
        <v>-</v>
      </c>
      <c r="X5162" s="27" t="str">
        <f>IFERROR(W5162*J5161,"-")</f>
        <v>-</v>
      </c>
      <c r="Z5162" s="94" t="s">
        <v>82</v>
      </c>
    </row>
    <row r="5163" spans="1:26" s="25" customFormat="1" ht="6.95" customHeight="1" x14ac:dyDescent="0.3">
      <c r="A5163" s="165"/>
      <c r="B5163" s="168"/>
      <c r="C5163" s="169"/>
      <c r="D5163" s="160"/>
      <c r="E5163" s="161"/>
      <c r="F5163" s="162"/>
      <c r="G5163" s="163"/>
      <c r="H5163" s="164"/>
      <c r="I5163" s="163"/>
      <c r="J5163" s="164"/>
      <c r="K5163" s="163"/>
      <c r="L5163" s="164"/>
      <c r="M5163" s="11"/>
      <c r="N5163" s="39"/>
      <c r="Q5163" s="15" t="str">
        <f>+CONCATENATE(E5161,K5161)</f>
        <v/>
      </c>
      <c r="R5163" s="15">
        <f>+L5161</f>
        <v>0</v>
      </c>
      <c r="S5163" s="16"/>
      <c r="T5163" s="15">
        <f>+E5161</f>
        <v>0</v>
      </c>
      <c r="U5163" s="26" t="str">
        <f>IFERROR(LEFT(K5161,FIND("*",K5161)-1),"-")</f>
        <v>-</v>
      </c>
      <c r="V5163" s="26" t="str">
        <f>IFERROR(RIGHT(K5161,LEN(K5161)-FIND("*",K5161)),"-")</f>
        <v>-</v>
      </c>
      <c r="W5163" s="27" t="str">
        <f t="shared" si="2812"/>
        <v>-</v>
      </c>
      <c r="X5163" s="27" t="str">
        <f>IFERROR(W5163*L5161,"-")</f>
        <v>-</v>
      </c>
      <c r="Z5163" s="94" t="s">
        <v>82</v>
      </c>
    </row>
    <row r="5164" spans="1:26" s="25" customFormat="1" ht="6.95" customHeight="1" x14ac:dyDescent="0.3">
      <c r="A5164" s="13"/>
      <c r="B5164" s="168"/>
      <c r="C5164" s="169"/>
      <c r="D5164" s="160" t="s">
        <v>39</v>
      </c>
      <c r="E5164" s="161"/>
      <c r="F5164" s="162" t="s">
        <v>40</v>
      </c>
      <c r="G5164" s="163"/>
      <c r="H5164" s="164"/>
      <c r="I5164" s="163"/>
      <c r="J5164" s="164"/>
      <c r="K5164" s="163"/>
      <c r="L5164" s="164"/>
      <c r="M5164" s="11"/>
      <c r="N5164" s="39"/>
      <c r="Q5164" s="15" t="str">
        <f>+CONCATENATE(E5164,G5164)</f>
        <v/>
      </c>
      <c r="R5164" s="15">
        <f>+H5164</f>
        <v>0</v>
      </c>
      <c r="S5164" s="16"/>
      <c r="T5164" s="15">
        <f>+E5164</f>
        <v>0</v>
      </c>
      <c r="U5164" s="26" t="str">
        <f t="shared" ref="U5164" si="2813">IFERROR(LEFT(G5164,FIND("*",G5164)-1),"-")</f>
        <v>-</v>
      </c>
      <c r="V5164" s="26" t="str">
        <f t="shared" ref="V5164" si="2814">IFERROR(RIGHT(G5164,LEN(G5164)-FIND("*",G5164)),"-")</f>
        <v>-</v>
      </c>
      <c r="W5164" s="27" t="str">
        <f t="shared" si="2812"/>
        <v>-</v>
      </c>
      <c r="X5164" s="27" t="str">
        <f>IFERROR(W5164*H5164,"-")</f>
        <v>-</v>
      </c>
      <c r="Z5164" s="94" t="s">
        <v>82</v>
      </c>
    </row>
    <row r="5165" spans="1:26" s="25" customFormat="1" ht="6.95" customHeight="1" x14ac:dyDescent="0.3">
      <c r="A5165" s="10"/>
      <c r="B5165" s="168"/>
      <c r="C5165" s="169"/>
      <c r="D5165" s="160"/>
      <c r="E5165" s="161"/>
      <c r="F5165" s="162"/>
      <c r="G5165" s="163"/>
      <c r="H5165" s="164"/>
      <c r="I5165" s="163"/>
      <c r="J5165" s="164"/>
      <c r="K5165" s="163"/>
      <c r="L5165" s="164"/>
      <c r="M5165" s="11"/>
      <c r="N5165" s="39"/>
      <c r="Q5165" s="15" t="str">
        <f>+CONCATENATE(E5164,I5164)</f>
        <v/>
      </c>
      <c r="R5165" s="15">
        <f>+J5164</f>
        <v>0</v>
      </c>
      <c r="S5165" s="16"/>
      <c r="T5165" s="15">
        <f>+E5164</f>
        <v>0</v>
      </c>
      <c r="U5165" s="26" t="str">
        <f>IFERROR(LEFT(I5164,FIND("*",I5164)-1),"-")</f>
        <v>-</v>
      </c>
      <c r="V5165" s="26" t="str">
        <f>IFERROR(RIGHT(I5164,LEN(I5164)-FIND("*",I5164)),"-")</f>
        <v>-</v>
      </c>
      <c r="W5165" s="27" t="str">
        <f t="shared" si="2812"/>
        <v>-</v>
      </c>
      <c r="X5165" s="27" t="str">
        <f>IFERROR(W5165*J5164,"-")</f>
        <v>-</v>
      </c>
      <c r="Z5165" s="94" t="s">
        <v>82</v>
      </c>
    </row>
    <row r="5166" spans="1:26" s="25" customFormat="1" ht="6.95" customHeight="1" x14ac:dyDescent="0.3">
      <c r="A5166" s="10"/>
      <c r="B5166" s="168"/>
      <c r="C5166" s="169"/>
      <c r="D5166" s="160"/>
      <c r="E5166" s="161"/>
      <c r="F5166" s="162"/>
      <c r="G5166" s="163"/>
      <c r="H5166" s="164"/>
      <c r="I5166" s="163"/>
      <c r="J5166" s="164"/>
      <c r="K5166" s="163"/>
      <c r="L5166" s="164"/>
      <c r="M5166" s="11"/>
      <c r="N5166" s="39"/>
      <c r="Q5166" s="15" t="str">
        <f>+CONCATENATE(E5164,K5164)</f>
        <v/>
      </c>
      <c r="R5166" s="15">
        <f>+L5164</f>
        <v>0</v>
      </c>
      <c r="S5166" s="16"/>
      <c r="T5166" s="15">
        <f>+E5164</f>
        <v>0</v>
      </c>
      <c r="U5166" s="26" t="str">
        <f>IFERROR(LEFT(K5164,FIND("*",K5164)-1),"-")</f>
        <v>-</v>
      </c>
      <c r="V5166" s="26" t="str">
        <f>IFERROR(RIGHT(K5164,LEN(K5164)-FIND("*",K5164)),"-")</f>
        <v>-</v>
      </c>
      <c r="W5166" s="27" t="str">
        <f t="shared" si="2812"/>
        <v>-</v>
      </c>
      <c r="X5166" s="27" t="str">
        <f>IFERROR(W5166*L5164,"-")</f>
        <v>-</v>
      </c>
      <c r="Z5166" s="94" t="s">
        <v>82</v>
      </c>
    </row>
    <row r="5167" spans="1:26" s="25" customFormat="1" ht="6.95" customHeight="1" x14ac:dyDescent="0.3">
      <c r="A5167" s="13"/>
      <c r="B5167" s="168"/>
      <c r="C5167" s="169"/>
      <c r="D5167" s="160" t="s">
        <v>39</v>
      </c>
      <c r="E5167" s="161"/>
      <c r="F5167" s="162" t="s">
        <v>40</v>
      </c>
      <c r="G5167" s="163"/>
      <c r="H5167" s="164"/>
      <c r="I5167" s="163"/>
      <c r="J5167" s="164"/>
      <c r="K5167" s="163"/>
      <c r="L5167" s="164"/>
      <c r="M5167" s="11"/>
      <c r="N5167" s="39"/>
      <c r="Q5167" s="15" t="str">
        <f>+CONCATENATE(E5167,G5167)</f>
        <v/>
      </c>
      <c r="R5167" s="15">
        <f>+H5167</f>
        <v>0</v>
      </c>
      <c r="S5167" s="16"/>
      <c r="T5167" s="15">
        <f>+E5167</f>
        <v>0</v>
      </c>
      <c r="U5167" s="26" t="str">
        <f t="shared" ref="U5167" si="2815">IFERROR(LEFT(G5167,FIND("*",G5167)-1),"-")</f>
        <v>-</v>
      </c>
      <c r="V5167" s="26" t="str">
        <f t="shared" ref="V5167" si="2816">IFERROR(RIGHT(G5167,LEN(G5167)-FIND("*",G5167)),"-")</f>
        <v>-</v>
      </c>
      <c r="W5167" s="27" t="str">
        <f t="shared" si="2812"/>
        <v>-</v>
      </c>
      <c r="X5167" s="27" t="str">
        <f>IFERROR(W5167*H5167,"-")</f>
        <v>-</v>
      </c>
      <c r="Z5167" s="94" t="s">
        <v>82</v>
      </c>
    </row>
    <row r="5168" spans="1:26" s="25" customFormat="1" ht="6.95" customHeight="1" x14ac:dyDescent="0.3">
      <c r="A5168" s="10"/>
      <c r="B5168" s="168"/>
      <c r="C5168" s="169"/>
      <c r="D5168" s="160"/>
      <c r="E5168" s="161"/>
      <c r="F5168" s="162"/>
      <c r="G5168" s="163"/>
      <c r="H5168" s="164"/>
      <c r="I5168" s="163"/>
      <c r="J5168" s="164"/>
      <c r="K5168" s="163"/>
      <c r="L5168" s="164"/>
      <c r="M5168" s="11"/>
      <c r="N5168" s="39"/>
      <c r="Q5168" s="15" t="str">
        <f>+CONCATENATE(E5167,I5167)</f>
        <v/>
      </c>
      <c r="R5168" s="15">
        <f>+J5167</f>
        <v>0</v>
      </c>
      <c r="S5168" s="16"/>
      <c r="T5168" s="15">
        <f>+E5167</f>
        <v>0</v>
      </c>
      <c r="U5168" s="26" t="str">
        <f>IFERROR(LEFT(I5167,FIND("*",I5167)-1),"-")</f>
        <v>-</v>
      </c>
      <c r="V5168" s="26" t="str">
        <f>IFERROR(RIGHT(I5167,LEN(I5167)-FIND("*",I5167)),"-")</f>
        <v>-</v>
      </c>
      <c r="W5168" s="27" t="str">
        <f t="shared" si="2812"/>
        <v>-</v>
      </c>
      <c r="X5168" s="27" t="str">
        <f t="shared" ref="X5168" si="2817">IFERROR(W5168*J5167,"-")</f>
        <v>-</v>
      </c>
      <c r="Z5168" s="94" t="s">
        <v>82</v>
      </c>
    </row>
    <row r="5169" spans="1:26" s="25" customFormat="1" ht="6.95" customHeight="1" x14ac:dyDescent="0.3">
      <c r="A5169" s="10"/>
      <c r="B5169" s="168"/>
      <c r="C5169" s="169"/>
      <c r="D5169" s="160"/>
      <c r="E5169" s="161"/>
      <c r="F5169" s="162"/>
      <c r="G5169" s="163"/>
      <c r="H5169" s="164"/>
      <c r="I5169" s="163"/>
      <c r="J5169" s="164"/>
      <c r="K5169" s="163"/>
      <c r="L5169" s="164"/>
      <c r="M5169" s="11"/>
      <c r="N5169" s="39"/>
      <c r="Q5169" s="15" t="str">
        <f>+CONCATENATE(E5167,K5167)</f>
        <v/>
      </c>
      <c r="R5169" s="15">
        <f>+L5167</f>
        <v>0</v>
      </c>
      <c r="S5169" s="16"/>
      <c r="T5169" s="15">
        <f>+E5167</f>
        <v>0</v>
      </c>
      <c r="U5169" s="26" t="str">
        <f>IFERROR(LEFT(K5167,FIND("*",K5167)-1),"-")</f>
        <v>-</v>
      </c>
      <c r="V5169" s="26" t="str">
        <f>IFERROR(RIGHT(K5167,LEN(K5167)-FIND("*",K5167)),"-")</f>
        <v>-</v>
      </c>
      <c r="W5169" s="27" t="str">
        <f t="shared" si="2812"/>
        <v>-</v>
      </c>
      <c r="X5169" s="27" t="str">
        <f>IFERROR(W5169*L5167,"-")</f>
        <v>-</v>
      </c>
      <c r="Z5169" s="94" t="s">
        <v>82</v>
      </c>
    </row>
    <row r="5170" spans="1:26" s="25" customFormat="1" ht="21" customHeight="1" thickBot="1" x14ac:dyDescent="0.35">
      <c r="A5170" s="10"/>
      <c r="B5170" s="170"/>
      <c r="C5170" s="171"/>
      <c r="D5170" s="172" t="s">
        <v>43</v>
      </c>
      <c r="E5170" s="173"/>
      <c r="F5170" s="173"/>
      <c r="G5170" s="174"/>
      <c r="H5170" s="174"/>
      <c r="I5170" s="174"/>
      <c r="J5170" s="174"/>
      <c r="K5170" s="174"/>
      <c r="L5170" s="174"/>
      <c r="M5170" s="12"/>
      <c r="N5170" s="39"/>
      <c r="U5170" s="23"/>
      <c r="V5170" s="23"/>
      <c r="Z5170" s="95" t="s">
        <v>81</v>
      </c>
    </row>
    <row r="5171" spans="1:26" s="25" customFormat="1" ht="9.9499999999999993" customHeight="1" thickBot="1" x14ac:dyDescent="0.35">
      <c r="A5171" s="6"/>
      <c r="B5171" s="14"/>
      <c r="C5171" s="119"/>
      <c r="D5171" s="58"/>
      <c r="E5171" s="17"/>
      <c r="F5171" s="58"/>
      <c r="G5171" s="19"/>
      <c r="H5171" s="19"/>
      <c r="I5171" s="19"/>
      <c r="J5171" s="19"/>
      <c r="K5171" s="19"/>
      <c r="L5171" s="19"/>
      <c r="M5171" s="14"/>
      <c r="N5171" s="39"/>
      <c r="Q5171" s="1"/>
      <c r="R5171" s="1"/>
      <c r="S5171" s="1"/>
      <c r="T5171" s="1"/>
      <c r="U5171" s="24"/>
      <c r="V5171" s="24"/>
      <c r="W5171" s="1"/>
      <c r="X5171" s="1"/>
      <c r="Z5171" s="94" t="s">
        <v>82</v>
      </c>
    </row>
    <row r="5172" spans="1:26" s="25" customFormat="1" ht="6.95" customHeight="1" x14ac:dyDescent="0.3">
      <c r="A5172" s="165">
        <f>+A5161+1</f>
        <v>471</v>
      </c>
      <c r="B5172" s="166"/>
      <c r="C5172" s="167"/>
      <c r="D5172" s="160" t="s">
        <v>39</v>
      </c>
      <c r="E5172" s="161"/>
      <c r="F5172" s="162" t="s">
        <v>40</v>
      </c>
      <c r="G5172" s="163"/>
      <c r="H5172" s="164"/>
      <c r="I5172" s="163"/>
      <c r="J5172" s="164"/>
      <c r="K5172" s="163"/>
      <c r="L5172" s="164"/>
      <c r="M5172" s="11"/>
      <c r="N5172" s="39"/>
      <c r="Q5172" s="15" t="str">
        <f>+CONCATENATE(E5172,G5172)</f>
        <v/>
      </c>
      <c r="R5172" s="15">
        <f>+H5172</f>
        <v>0</v>
      </c>
      <c r="S5172" s="16"/>
      <c r="T5172" s="15">
        <f>+E5172</f>
        <v>0</v>
      </c>
      <c r="U5172" s="26" t="str">
        <f>IFERROR(LEFT(G5172,FIND("*",G5172)-1),"-")</f>
        <v>-</v>
      </c>
      <c r="V5172" s="26" t="str">
        <f>IFERROR(RIGHT(G5172,LEN(G5172)-FIND("*",G5172)),"-")</f>
        <v>-</v>
      </c>
      <c r="W5172" s="27" t="str">
        <f>IFERROR((U5172+V5172)*2/1000,"-")</f>
        <v>-</v>
      </c>
      <c r="X5172" s="27" t="str">
        <f>IFERROR(W5172*H5172,"-")</f>
        <v>-</v>
      </c>
      <c r="Z5172" s="94" t="s">
        <v>82</v>
      </c>
    </row>
    <row r="5173" spans="1:26" s="25" customFormat="1" ht="6.95" customHeight="1" x14ac:dyDescent="0.3">
      <c r="A5173" s="165"/>
      <c r="B5173" s="168"/>
      <c r="C5173" s="169"/>
      <c r="D5173" s="160"/>
      <c r="E5173" s="161"/>
      <c r="F5173" s="162"/>
      <c r="G5173" s="163"/>
      <c r="H5173" s="164"/>
      <c r="I5173" s="163"/>
      <c r="J5173" s="164"/>
      <c r="K5173" s="163"/>
      <c r="L5173" s="164"/>
      <c r="M5173" s="11"/>
      <c r="N5173" s="39"/>
      <c r="Q5173" s="15" t="str">
        <f>+CONCATENATE(E5172,I5172)</f>
        <v/>
      </c>
      <c r="R5173" s="15">
        <f>+J5172</f>
        <v>0</v>
      </c>
      <c r="S5173" s="16"/>
      <c r="T5173" s="15">
        <f>+E5172</f>
        <v>0</v>
      </c>
      <c r="U5173" s="26" t="str">
        <f>IFERROR(LEFT(I5172,FIND("*",I5172)-1),"-")</f>
        <v>-</v>
      </c>
      <c r="V5173" s="26" t="str">
        <f>IFERROR(RIGHT(I5172,LEN(I5172)-FIND("*",I5172)),"-")</f>
        <v>-</v>
      </c>
      <c r="W5173" s="27" t="str">
        <f t="shared" ref="W5173:W5180" si="2818">IFERROR((U5173+V5173)*2/1000,"-")</f>
        <v>-</v>
      </c>
      <c r="X5173" s="27" t="str">
        <f>IFERROR(W5173*J5172,"-")</f>
        <v>-</v>
      </c>
      <c r="Z5173" s="94" t="s">
        <v>82</v>
      </c>
    </row>
    <row r="5174" spans="1:26" s="25" customFormat="1" ht="6.95" customHeight="1" x14ac:dyDescent="0.3">
      <c r="A5174" s="165"/>
      <c r="B5174" s="168"/>
      <c r="C5174" s="169"/>
      <c r="D5174" s="160"/>
      <c r="E5174" s="161"/>
      <c r="F5174" s="162"/>
      <c r="G5174" s="163"/>
      <c r="H5174" s="164"/>
      <c r="I5174" s="163"/>
      <c r="J5174" s="164"/>
      <c r="K5174" s="163"/>
      <c r="L5174" s="164"/>
      <c r="M5174" s="11"/>
      <c r="N5174" s="39"/>
      <c r="Q5174" s="15" t="str">
        <f>+CONCATENATE(E5172,K5172)</f>
        <v/>
      </c>
      <c r="R5174" s="15">
        <f>+L5172</f>
        <v>0</v>
      </c>
      <c r="S5174" s="16"/>
      <c r="T5174" s="15">
        <f>+E5172</f>
        <v>0</v>
      </c>
      <c r="U5174" s="26" t="str">
        <f>IFERROR(LEFT(K5172,FIND("*",K5172)-1),"-")</f>
        <v>-</v>
      </c>
      <c r="V5174" s="26" t="str">
        <f>IFERROR(RIGHT(K5172,LEN(K5172)-FIND("*",K5172)),"-")</f>
        <v>-</v>
      </c>
      <c r="W5174" s="27" t="str">
        <f t="shared" si="2818"/>
        <v>-</v>
      </c>
      <c r="X5174" s="27" t="str">
        <f>IFERROR(W5174*L5172,"-")</f>
        <v>-</v>
      </c>
      <c r="Z5174" s="94" t="s">
        <v>82</v>
      </c>
    </row>
    <row r="5175" spans="1:26" s="25" customFormat="1" ht="6.95" customHeight="1" x14ac:dyDescent="0.3">
      <c r="A5175" s="13"/>
      <c r="B5175" s="168"/>
      <c r="C5175" s="169"/>
      <c r="D5175" s="160" t="s">
        <v>39</v>
      </c>
      <c r="E5175" s="161"/>
      <c r="F5175" s="162" t="s">
        <v>40</v>
      </c>
      <c r="G5175" s="163"/>
      <c r="H5175" s="164"/>
      <c r="I5175" s="163"/>
      <c r="J5175" s="164"/>
      <c r="K5175" s="163"/>
      <c r="L5175" s="164"/>
      <c r="M5175" s="11"/>
      <c r="N5175" s="39"/>
      <c r="Q5175" s="15" t="str">
        <f>+CONCATENATE(E5175,G5175)</f>
        <v/>
      </c>
      <c r="R5175" s="15">
        <f>+H5175</f>
        <v>0</v>
      </c>
      <c r="S5175" s="16"/>
      <c r="T5175" s="15">
        <f>+E5175</f>
        <v>0</v>
      </c>
      <c r="U5175" s="26" t="str">
        <f t="shared" ref="U5175" si="2819">IFERROR(LEFT(G5175,FIND("*",G5175)-1),"-")</f>
        <v>-</v>
      </c>
      <c r="V5175" s="26" t="str">
        <f t="shared" ref="V5175" si="2820">IFERROR(RIGHT(G5175,LEN(G5175)-FIND("*",G5175)),"-")</f>
        <v>-</v>
      </c>
      <c r="W5175" s="27" t="str">
        <f t="shared" si="2818"/>
        <v>-</v>
      </c>
      <c r="X5175" s="27" t="str">
        <f>IFERROR(W5175*H5175,"-")</f>
        <v>-</v>
      </c>
      <c r="Z5175" s="94" t="s">
        <v>82</v>
      </c>
    </row>
    <row r="5176" spans="1:26" s="25" customFormat="1" ht="6.95" customHeight="1" x14ac:dyDescent="0.3">
      <c r="A5176" s="10"/>
      <c r="B5176" s="168"/>
      <c r="C5176" s="169"/>
      <c r="D5176" s="160"/>
      <c r="E5176" s="161"/>
      <c r="F5176" s="162"/>
      <c r="G5176" s="163"/>
      <c r="H5176" s="164"/>
      <c r="I5176" s="163"/>
      <c r="J5176" s="164"/>
      <c r="K5176" s="163"/>
      <c r="L5176" s="164"/>
      <c r="M5176" s="11"/>
      <c r="N5176" s="39"/>
      <c r="Q5176" s="15" t="str">
        <f>+CONCATENATE(E5175,I5175)</f>
        <v/>
      </c>
      <c r="R5176" s="15">
        <f>+J5175</f>
        <v>0</v>
      </c>
      <c r="S5176" s="16"/>
      <c r="T5176" s="15">
        <f>+E5175</f>
        <v>0</v>
      </c>
      <c r="U5176" s="26" t="str">
        <f>IFERROR(LEFT(I5175,FIND("*",I5175)-1),"-")</f>
        <v>-</v>
      </c>
      <c r="V5176" s="26" t="str">
        <f>IFERROR(RIGHT(I5175,LEN(I5175)-FIND("*",I5175)),"-")</f>
        <v>-</v>
      </c>
      <c r="W5176" s="27" t="str">
        <f t="shared" si="2818"/>
        <v>-</v>
      </c>
      <c r="X5176" s="27" t="str">
        <f>IFERROR(W5176*J5175,"-")</f>
        <v>-</v>
      </c>
      <c r="Z5176" s="94" t="s">
        <v>82</v>
      </c>
    </row>
    <row r="5177" spans="1:26" s="25" customFormat="1" ht="6.95" customHeight="1" x14ac:dyDescent="0.3">
      <c r="A5177" s="10"/>
      <c r="B5177" s="168"/>
      <c r="C5177" s="169"/>
      <c r="D5177" s="160"/>
      <c r="E5177" s="161"/>
      <c r="F5177" s="162"/>
      <c r="G5177" s="163"/>
      <c r="H5177" s="164"/>
      <c r="I5177" s="163"/>
      <c r="J5177" s="164"/>
      <c r="K5177" s="163"/>
      <c r="L5177" s="164"/>
      <c r="M5177" s="11"/>
      <c r="N5177" s="39"/>
      <c r="Q5177" s="15" t="str">
        <f>+CONCATENATE(E5175,K5175)</f>
        <v/>
      </c>
      <c r="R5177" s="15">
        <f>+L5175</f>
        <v>0</v>
      </c>
      <c r="S5177" s="16"/>
      <c r="T5177" s="15">
        <f>+E5175</f>
        <v>0</v>
      </c>
      <c r="U5177" s="26" t="str">
        <f>IFERROR(LEFT(K5175,FIND("*",K5175)-1),"-")</f>
        <v>-</v>
      </c>
      <c r="V5177" s="26" t="str">
        <f>IFERROR(RIGHT(K5175,LEN(K5175)-FIND("*",K5175)),"-")</f>
        <v>-</v>
      </c>
      <c r="W5177" s="27" t="str">
        <f t="shared" si="2818"/>
        <v>-</v>
      </c>
      <c r="X5177" s="27" t="str">
        <f>IFERROR(W5177*L5175,"-")</f>
        <v>-</v>
      </c>
      <c r="Z5177" s="94" t="s">
        <v>82</v>
      </c>
    </row>
    <row r="5178" spans="1:26" s="25" customFormat="1" ht="6.95" customHeight="1" x14ac:dyDescent="0.3">
      <c r="A5178" s="13"/>
      <c r="B5178" s="168"/>
      <c r="C5178" s="169"/>
      <c r="D5178" s="160" t="s">
        <v>39</v>
      </c>
      <c r="E5178" s="161"/>
      <c r="F5178" s="162" t="s">
        <v>40</v>
      </c>
      <c r="G5178" s="163"/>
      <c r="H5178" s="164"/>
      <c r="I5178" s="163"/>
      <c r="J5178" s="164"/>
      <c r="K5178" s="163"/>
      <c r="L5178" s="164"/>
      <c r="M5178" s="11"/>
      <c r="N5178" s="39"/>
      <c r="Q5178" s="15" t="str">
        <f>+CONCATENATE(E5178,G5178)</f>
        <v/>
      </c>
      <c r="R5178" s="15">
        <f>+H5178</f>
        <v>0</v>
      </c>
      <c r="S5178" s="16"/>
      <c r="T5178" s="15">
        <f>+E5178</f>
        <v>0</v>
      </c>
      <c r="U5178" s="26" t="str">
        <f t="shared" ref="U5178" si="2821">IFERROR(LEFT(G5178,FIND("*",G5178)-1),"-")</f>
        <v>-</v>
      </c>
      <c r="V5178" s="26" t="str">
        <f t="shared" ref="V5178" si="2822">IFERROR(RIGHT(G5178,LEN(G5178)-FIND("*",G5178)),"-")</f>
        <v>-</v>
      </c>
      <c r="W5178" s="27" t="str">
        <f t="shared" si="2818"/>
        <v>-</v>
      </c>
      <c r="X5178" s="27" t="str">
        <f>IFERROR(W5178*H5178,"-")</f>
        <v>-</v>
      </c>
      <c r="Z5178" s="94" t="s">
        <v>82</v>
      </c>
    </row>
    <row r="5179" spans="1:26" s="25" customFormat="1" ht="6.95" customHeight="1" x14ac:dyDescent="0.3">
      <c r="A5179" s="10"/>
      <c r="B5179" s="168"/>
      <c r="C5179" s="169"/>
      <c r="D5179" s="160"/>
      <c r="E5179" s="161"/>
      <c r="F5179" s="162"/>
      <c r="G5179" s="163"/>
      <c r="H5179" s="164"/>
      <c r="I5179" s="163"/>
      <c r="J5179" s="164"/>
      <c r="K5179" s="163"/>
      <c r="L5179" s="164"/>
      <c r="M5179" s="11"/>
      <c r="N5179" s="39"/>
      <c r="Q5179" s="15" t="str">
        <f>+CONCATENATE(E5178,I5178)</f>
        <v/>
      </c>
      <c r="R5179" s="15">
        <f>+J5178</f>
        <v>0</v>
      </c>
      <c r="S5179" s="16"/>
      <c r="T5179" s="15">
        <f>+E5178</f>
        <v>0</v>
      </c>
      <c r="U5179" s="26" t="str">
        <f>IFERROR(LEFT(I5178,FIND("*",I5178)-1),"-")</f>
        <v>-</v>
      </c>
      <c r="V5179" s="26" t="str">
        <f>IFERROR(RIGHT(I5178,LEN(I5178)-FIND("*",I5178)),"-")</f>
        <v>-</v>
      </c>
      <c r="W5179" s="27" t="str">
        <f t="shared" si="2818"/>
        <v>-</v>
      </c>
      <c r="X5179" s="27" t="str">
        <f t="shared" ref="X5179" si="2823">IFERROR(W5179*J5178,"-")</f>
        <v>-</v>
      </c>
      <c r="Z5179" s="94" t="s">
        <v>82</v>
      </c>
    </row>
    <row r="5180" spans="1:26" s="25" customFormat="1" ht="6.95" customHeight="1" x14ac:dyDescent="0.3">
      <c r="A5180" s="10"/>
      <c r="B5180" s="168"/>
      <c r="C5180" s="169"/>
      <c r="D5180" s="160"/>
      <c r="E5180" s="161"/>
      <c r="F5180" s="162"/>
      <c r="G5180" s="163"/>
      <c r="H5180" s="164"/>
      <c r="I5180" s="163"/>
      <c r="J5180" s="164"/>
      <c r="K5180" s="163"/>
      <c r="L5180" s="164"/>
      <c r="M5180" s="11"/>
      <c r="N5180" s="39"/>
      <c r="Q5180" s="15" t="str">
        <f>+CONCATENATE(E5178,K5178)</f>
        <v/>
      </c>
      <c r="R5180" s="15">
        <f>+L5178</f>
        <v>0</v>
      </c>
      <c r="S5180" s="16"/>
      <c r="T5180" s="15">
        <f>+E5178</f>
        <v>0</v>
      </c>
      <c r="U5180" s="26" t="str">
        <f>IFERROR(LEFT(K5178,FIND("*",K5178)-1),"-")</f>
        <v>-</v>
      </c>
      <c r="V5180" s="26" t="str">
        <f>IFERROR(RIGHT(K5178,LEN(K5178)-FIND("*",K5178)),"-")</f>
        <v>-</v>
      </c>
      <c r="W5180" s="27" t="str">
        <f t="shared" si="2818"/>
        <v>-</v>
      </c>
      <c r="X5180" s="27" t="str">
        <f>IFERROR(W5180*L5178,"-")</f>
        <v>-</v>
      </c>
      <c r="Z5180" s="94" t="s">
        <v>82</v>
      </c>
    </row>
    <row r="5181" spans="1:26" s="25" customFormat="1" ht="21" customHeight="1" thickBot="1" x14ac:dyDescent="0.35">
      <c r="A5181" s="10"/>
      <c r="B5181" s="170"/>
      <c r="C5181" s="171"/>
      <c r="D5181" s="172" t="s">
        <v>43</v>
      </c>
      <c r="E5181" s="173"/>
      <c r="F5181" s="173"/>
      <c r="G5181" s="174"/>
      <c r="H5181" s="174"/>
      <c r="I5181" s="174"/>
      <c r="J5181" s="174"/>
      <c r="K5181" s="174"/>
      <c r="L5181" s="174"/>
      <c r="M5181" s="12"/>
      <c r="N5181" s="39"/>
      <c r="U5181" s="23"/>
      <c r="V5181" s="23"/>
      <c r="Z5181" s="95" t="s">
        <v>81</v>
      </c>
    </row>
    <row r="5182" spans="1:26" s="25" customFormat="1" ht="9.9499999999999993" customHeight="1" thickBot="1" x14ac:dyDescent="0.35">
      <c r="A5182" s="6"/>
      <c r="B5182" s="14"/>
      <c r="C5182" s="119"/>
      <c r="D5182" s="58"/>
      <c r="E5182" s="17"/>
      <c r="F5182" s="58"/>
      <c r="G5182" s="19"/>
      <c r="H5182" s="19"/>
      <c r="I5182" s="19"/>
      <c r="J5182" s="19"/>
      <c r="K5182" s="19"/>
      <c r="L5182" s="19"/>
      <c r="M5182" s="14"/>
      <c r="N5182" s="39"/>
      <c r="Q5182" s="1"/>
      <c r="R5182" s="1"/>
      <c r="S5182" s="1"/>
      <c r="T5182" s="1"/>
      <c r="U5182" s="24"/>
      <c r="V5182" s="24"/>
      <c r="W5182" s="1"/>
      <c r="X5182" s="1"/>
      <c r="Z5182" s="94" t="s">
        <v>82</v>
      </c>
    </row>
    <row r="5183" spans="1:26" s="25" customFormat="1" ht="6.95" customHeight="1" x14ac:dyDescent="0.3">
      <c r="A5183" s="165">
        <f>+A5172+1</f>
        <v>472</v>
      </c>
      <c r="B5183" s="166"/>
      <c r="C5183" s="167"/>
      <c r="D5183" s="160" t="s">
        <v>39</v>
      </c>
      <c r="E5183" s="161"/>
      <c r="F5183" s="162" t="s">
        <v>40</v>
      </c>
      <c r="G5183" s="163"/>
      <c r="H5183" s="164"/>
      <c r="I5183" s="163"/>
      <c r="J5183" s="164"/>
      <c r="K5183" s="163"/>
      <c r="L5183" s="164"/>
      <c r="M5183" s="11"/>
      <c r="N5183" s="39"/>
      <c r="Q5183" s="15" t="str">
        <f>+CONCATENATE(E5183,G5183)</f>
        <v/>
      </c>
      <c r="R5183" s="15">
        <f>+H5183</f>
        <v>0</v>
      </c>
      <c r="S5183" s="16"/>
      <c r="T5183" s="15">
        <f>+E5183</f>
        <v>0</v>
      </c>
      <c r="U5183" s="26" t="str">
        <f>IFERROR(LEFT(G5183,FIND("*",G5183)-1),"-")</f>
        <v>-</v>
      </c>
      <c r="V5183" s="26" t="str">
        <f>IFERROR(RIGHT(G5183,LEN(G5183)-FIND("*",G5183)),"-")</f>
        <v>-</v>
      </c>
      <c r="W5183" s="27" t="str">
        <f>IFERROR((U5183+V5183)*2/1000,"-")</f>
        <v>-</v>
      </c>
      <c r="X5183" s="27" t="str">
        <f>IFERROR(W5183*H5183,"-")</f>
        <v>-</v>
      </c>
      <c r="Z5183" s="94" t="s">
        <v>82</v>
      </c>
    </row>
    <row r="5184" spans="1:26" s="25" customFormat="1" ht="6.95" customHeight="1" x14ac:dyDescent="0.3">
      <c r="A5184" s="165"/>
      <c r="B5184" s="168"/>
      <c r="C5184" s="169"/>
      <c r="D5184" s="160"/>
      <c r="E5184" s="161"/>
      <c r="F5184" s="162"/>
      <c r="G5184" s="163"/>
      <c r="H5184" s="164"/>
      <c r="I5184" s="163"/>
      <c r="J5184" s="164"/>
      <c r="K5184" s="163"/>
      <c r="L5184" s="164"/>
      <c r="M5184" s="11"/>
      <c r="N5184" s="39"/>
      <c r="Q5184" s="15" t="str">
        <f>+CONCATENATE(E5183,I5183)</f>
        <v/>
      </c>
      <c r="R5184" s="15">
        <f>+J5183</f>
        <v>0</v>
      </c>
      <c r="S5184" s="16"/>
      <c r="T5184" s="15">
        <f>+E5183</f>
        <v>0</v>
      </c>
      <c r="U5184" s="26" t="str">
        <f>IFERROR(LEFT(I5183,FIND("*",I5183)-1),"-")</f>
        <v>-</v>
      </c>
      <c r="V5184" s="26" t="str">
        <f>IFERROR(RIGHT(I5183,LEN(I5183)-FIND("*",I5183)),"-")</f>
        <v>-</v>
      </c>
      <c r="W5184" s="27" t="str">
        <f t="shared" ref="W5184:W5191" si="2824">IFERROR((U5184+V5184)*2/1000,"-")</f>
        <v>-</v>
      </c>
      <c r="X5184" s="27" t="str">
        <f>IFERROR(W5184*J5183,"-")</f>
        <v>-</v>
      </c>
      <c r="Z5184" s="94" t="s">
        <v>82</v>
      </c>
    </row>
    <row r="5185" spans="1:26" s="25" customFormat="1" ht="6.95" customHeight="1" x14ac:dyDescent="0.3">
      <c r="A5185" s="165"/>
      <c r="B5185" s="168"/>
      <c r="C5185" s="169"/>
      <c r="D5185" s="160"/>
      <c r="E5185" s="161"/>
      <c r="F5185" s="162"/>
      <c r="G5185" s="163"/>
      <c r="H5185" s="164"/>
      <c r="I5185" s="163"/>
      <c r="J5185" s="164"/>
      <c r="K5185" s="163"/>
      <c r="L5185" s="164"/>
      <c r="M5185" s="11"/>
      <c r="N5185" s="39"/>
      <c r="Q5185" s="15" t="str">
        <f>+CONCATENATE(E5183,K5183)</f>
        <v/>
      </c>
      <c r="R5185" s="15">
        <f>+L5183</f>
        <v>0</v>
      </c>
      <c r="S5185" s="16"/>
      <c r="T5185" s="15">
        <f>+E5183</f>
        <v>0</v>
      </c>
      <c r="U5185" s="26" t="str">
        <f>IFERROR(LEFT(K5183,FIND("*",K5183)-1),"-")</f>
        <v>-</v>
      </c>
      <c r="V5185" s="26" t="str">
        <f>IFERROR(RIGHT(K5183,LEN(K5183)-FIND("*",K5183)),"-")</f>
        <v>-</v>
      </c>
      <c r="W5185" s="27" t="str">
        <f t="shared" si="2824"/>
        <v>-</v>
      </c>
      <c r="X5185" s="27" t="str">
        <f>IFERROR(W5185*L5183,"-")</f>
        <v>-</v>
      </c>
      <c r="Z5185" s="94" t="s">
        <v>82</v>
      </c>
    </row>
    <row r="5186" spans="1:26" s="25" customFormat="1" ht="6.95" customHeight="1" x14ac:dyDescent="0.3">
      <c r="A5186" s="13"/>
      <c r="B5186" s="168"/>
      <c r="C5186" s="169"/>
      <c r="D5186" s="160" t="s">
        <v>39</v>
      </c>
      <c r="E5186" s="161"/>
      <c r="F5186" s="162" t="s">
        <v>40</v>
      </c>
      <c r="G5186" s="163"/>
      <c r="H5186" s="164"/>
      <c r="I5186" s="163"/>
      <c r="J5186" s="164"/>
      <c r="K5186" s="163"/>
      <c r="L5186" s="164"/>
      <c r="M5186" s="11"/>
      <c r="N5186" s="39"/>
      <c r="Q5186" s="15" t="str">
        <f>+CONCATENATE(E5186,G5186)</f>
        <v/>
      </c>
      <c r="R5186" s="15">
        <f>+H5186</f>
        <v>0</v>
      </c>
      <c r="S5186" s="16"/>
      <c r="T5186" s="15">
        <f>+E5186</f>
        <v>0</v>
      </c>
      <c r="U5186" s="26" t="str">
        <f t="shared" ref="U5186" si="2825">IFERROR(LEFT(G5186,FIND("*",G5186)-1),"-")</f>
        <v>-</v>
      </c>
      <c r="V5186" s="26" t="str">
        <f t="shared" ref="V5186" si="2826">IFERROR(RIGHT(G5186,LEN(G5186)-FIND("*",G5186)),"-")</f>
        <v>-</v>
      </c>
      <c r="W5186" s="27" t="str">
        <f t="shared" si="2824"/>
        <v>-</v>
      </c>
      <c r="X5186" s="27" t="str">
        <f>IFERROR(W5186*H5186,"-")</f>
        <v>-</v>
      </c>
      <c r="Z5186" s="94" t="s">
        <v>82</v>
      </c>
    </row>
    <row r="5187" spans="1:26" s="25" customFormat="1" ht="6.95" customHeight="1" x14ac:dyDescent="0.3">
      <c r="A5187" s="10"/>
      <c r="B5187" s="168"/>
      <c r="C5187" s="169"/>
      <c r="D5187" s="160"/>
      <c r="E5187" s="161"/>
      <c r="F5187" s="162"/>
      <c r="G5187" s="163"/>
      <c r="H5187" s="164"/>
      <c r="I5187" s="163"/>
      <c r="J5187" s="164"/>
      <c r="K5187" s="163"/>
      <c r="L5187" s="164"/>
      <c r="M5187" s="11"/>
      <c r="N5187" s="39"/>
      <c r="Q5187" s="15" t="str">
        <f>+CONCATENATE(E5186,I5186)</f>
        <v/>
      </c>
      <c r="R5187" s="15">
        <f>+J5186</f>
        <v>0</v>
      </c>
      <c r="S5187" s="16"/>
      <c r="T5187" s="15">
        <f>+E5186</f>
        <v>0</v>
      </c>
      <c r="U5187" s="26" t="str">
        <f>IFERROR(LEFT(I5186,FIND("*",I5186)-1),"-")</f>
        <v>-</v>
      </c>
      <c r="V5187" s="26" t="str">
        <f>IFERROR(RIGHT(I5186,LEN(I5186)-FIND("*",I5186)),"-")</f>
        <v>-</v>
      </c>
      <c r="W5187" s="27" t="str">
        <f t="shared" si="2824"/>
        <v>-</v>
      </c>
      <c r="X5187" s="27" t="str">
        <f>IFERROR(W5187*J5186,"-")</f>
        <v>-</v>
      </c>
      <c r="Z5187" s="94" t="s">
        <v>82</v>
      </c>
    </row>
    <row r="5188" spans="1:26" s="25" customFormat="1" ht="6.95" customHeight="1" x14ac:dyDescent="0.3">
      <c r="A5188" s="10"/>
      <c r="B5188" s="168"/>
      <c r="C5188" s="169"/>
      <c r="D5188" s="160"/>
      <c r="E5188" s="161"/>
      <c r="F5188" s="162"/>
      <c r="G5188" s="163"/>
      <c r="H5188" s="164"/>
      <c r="I5188" s="163"/>
      <c r="J5188" s="164"/>
      <c r="K5188" s="163"/>
      <c r="L5188" s="164"/>
      <c r="M5188" s="11"/>
      <c r="N5188" s="39"/>
      <c r="Q5188" s="15" t="str">
        <f>+CONCATENATE(E5186,K5186)</f>
        <v/>
      </c>
      <c r="R5188" s="15">
        <f>+L5186</f>
        <v>0</v>
      </c>
      <c r="S5188" s="16"/>
      <c r="T5188" s="15">
        <f>+E5186</f>
        <v>0</v>
      </c>
      <c r="U5188" s="26" t="str">
        <f>IFERROR(LEFT(K5186,FIND("*",K5186)-1),"-")</f>
        <v>-</v>
      </c>
      <c r="V5188" s="26" t="str">
        <f>IFERROR(RIGHT(K5186,LEN(K5186)-FIND("*",K5186)),"-")</f>
        <v>-</v>
      </c>
      <c r="W5188" s="27" t="str">
        <f t="shared" si="2824"/>
        <v>-</v>
      </c>
      <c r="X5188" s="27" t="str">
        <f>IFERROR(W5188*L5186,"-")</f>
        <v>-</v>
      </c>
      <c r="Z5188" s="94" t="s">
        <v>82</v>
      </c>
    </row>
    <row r="5189" spans="1:26" s="25" customFormat="1" ht="6.95" customHeight="1" x14ac:dyDescent="0.3">
      <c r="A5189" s="13"/>
      <c r="B5189" s="168"/>
      <c r="C5189" s="169"/>
      <c r="D5189" s="160" t="s">
        <v>39</v>
      </c>
      <c r="E5189" s="161"/>
      <c r="F5189" s="162" t="s">
        <v>40</v>
      </c>
      <c r="G5189" s="163"/>
      <c r="H5189" s="164"/>
      <c r="I5189" s="163"/>
      <c r="J5189" s="164"/>
      <c r="K5189" s="163"/>
      <c r="L5189" s="164"/>
      <c r="M5189" s="11"/>
      <c r="N5189" s="39"/>
      <c r="Q5189" s="15" t="str">
        <f>+CONCATENATE(E5189,G5189)</f>
        <v/>
      </c>
      <c r="R5189" s="15">
        <f>+H5189</f>
        <v>0</v>
      </c>
      <c r="S5189" s="16"/>
      <c r="T5189" s="15">
        <f>+E5189</f>
        <v>0</v>
      </c>
      <c r="U5189" s="26" t="str">
        <f t="shared" ref="U5189" si="2827">IFERROR(LEFT(G5189,FIND("*",G5189)-1),"-")</f>
        <v>-</v>
      </c>
      <c r="V5189" s="26" t="str">
        <f t="shared" ref="V5189" si="2828">IFERROR(RIGHT(G5189,LEN(G5189)-FIND("*",G5189)),"-")</f>
        <v>-</v>
      </c>
      <c r="W5189" s="27" t="str">
        <f t="shared" si="2824"/>
        <v>-</v>
      </c>
      <c r="X5189" s="27" t="str">
        <f>IFERROR(W5189*H5189,"-")</f>
        <v>-</v>
      </c>
      <c r="Z5189" s="94" t="s">
        <v>82</v>
      </c>
    </row>
    <row r="5190" spans="1:26" s="25" customFormat="1" ht="6.95" customHeight="1" x14ac:dyDescent="0.3">
      <c r="A5190" s="10"/>
      <c r="B5190" s="168"/>
      <c r="C5190" s="169"/>
      <c r="D5190" s="160"/>
      <c r="E5190" s="161"/>
      <c r="F5190" s="162"/>
      <c r="G5190" s="163"/>
      <c r="H5190" s="164"/>
      <c r="I5190" s="163"/>
      <c r="J5190" s="164"/>
      <c r="K5190" s="163"/>
      <c r="L5190" s="164"/>
      <c r="M5190" s="11"/>
      <c r="N5190" s="39"/>
      <c r="Q5190" s="15" t="str">
        <f>+CONCATENATE(E5189,I5189)</f>
        <v/>
      </c>
      <c r="R5190" s="15">
        <f>+J5189</f>
        <v>0</v>
      </c>
      <c r="S5190" s="16"/>
      <c r="T5190" s="15">
        <f>+E5189</f>
        <v>0</v>
      </c>
      <c r="U5190" s="26" t="str">
        <f>IFERROR(LEFT(I5189,FIND("*",I5189)-1),"-")</f>
        <v>-</v>
      </c>
      <c r="V5190" s="26" t="str">
        <f>IFERROR(RIGHT(I5189,LEN(I5189)-FIND("*",I5189)),"-")</f>
        <v>-</v>
      </c>
      <c r="W5190" s="27" t="str">
        <f t="shared" si="2824"/>
        <v>-</v>
      </c>
      <c r="X5190" s="27" t="str">
        <f t="shared" ref="X5190" si="2829">IFERROR(W5190*J5189,"-")</f>
        <v>-</v>
      </c>
      <c r="Z5190" s="94" t="s">
        <v>82</v>
      </c>
    </row>
    <row r="5191" spans="1:26" s="25" customFormat="1" ht="6.95" customHeight="1" x14ac:dyDescent="0.3">
      <c r="A5191" s="10"/>
      <c r="B5191" s="168"/>
      <c r="C5191" s="169"/>
      <c r="D5191" s="160"/>
      <c r="E5191" s="161"/>
      <c r="F5191" s="162"/>
      <c r="G5191" s="163"/>
      <c r="H5191" s="164"/>
      <c r="I5191" s="163"/>
      <c r="J5191" s="164"/>
      <c r="K5191" s="163"/>
      <c r="L5191" s="164"/>
      <c r="M5191" s="11"/>
      <c r="N5191" s="39"/>
      <c r="Q5191" s="15" t="str">
        <f>+CONCATENATE(E5189,K5189)</f>
        <v/>
      </c>
      <c r="R5191" s="15">
        <f>+L5189</f>
        <v>0</v>
      </c>
      <c r="S5191" s="16"/>
      <c r="T5191" s="15">
        <f>+E5189</f>
        <v>0</v>
      </c>
      <c r="U5191" s="26" t="str">
        <f>IFERROR(LEFT(K5189,FIND("*",K5189)-1),"-")</f>
        <v>-</v>
      </c>
      <c r="V5191" s="26" t="str">
        <f>IFERROR(RIGHT(K5189,LEN(K5189)-FIND("*",K5189)),"-")</f>
        <v>-</v>
      </c>
      <c r="W5191" s="27" t="str">
        <f t="shared" si="2824"/>
        <v>-</v>
      </c>
      <c r="X5191" s="27" t="str">
        <f>IFERROR(W5191*L5189,"-")</f>
        <v>-</v>
      </c>
      <c r="Z5191" s="94" t="s">
        <v>82</v>
      </c>
    </row>
    <row r="5192" spans="1:26" s="25" customFormat="1" ht="21" customHeight="1" thickBot="1" x14ac:dyDescent="0.35">
      <c r="A5192" s="10"/>
      <c r="B5192" s="170"/>
      <c r="C5192" s="171"/>
      <c r="D5192" s="172" t="s">
        <v>43</v>
      </c>
      <c r="E5192" s="173"/>
      <c r="F5192" s="173"/>
      <c r="G5192" s="174"/>
      <c r="H5192" s="174"/>
      <c r="I5192" s="174"/>
      <c r="J5192" s="174"/>
      <c r="K5192" s="174"/>
      <c r="L5192" s="174"/>
      <c r="M5192" s="12"/>
      <c r="N5192" s="39"/>
      <c r="U5192" s="23"/>
      <c r="V5192" s="23"/>
      <c r="Z5192" s="95" t="s">
        <v>81</v>
      </c>
    </row>
    <row r="5193" spans="1:26" s="25" customFormat="1" ht="9.9499999999999993" customHeight="1" thickBot="1" x14ac:dyDescent="0.35">
      <c r="A5193" s="6"/>
      <c r="B5193" s="14"/>
      <c r="C5193" s="119"/>
      <c r="D5193" s="58"/>
      <c r="E5193" s="17"/>
      <c r="F5193" s="58"/>
      <c r="G5193" s="19"/>
      <c r="H5193" s="19"/>
      <c r="I5193" s="19"/>
      <c r="J5193" s="19"/>
      <c r="K5193" s="19"/>
      <c r="L5193" s="19"/>
      <c r="M5193" s="14"/>
      <c r="N5193" s="39"/>
      <c r="Q5193" s="1"/>
      <c r="R5193" s="1"/>
      <c r="S5193" s="1"/>
      <c r="T5193" s="1"/>
      <c r="U5193" s="24"/>
      <c r="V5193" s="24"/>
      <c r="W5193" s="1"/>
      <c r="X5193" s="1"/>
      <c r="Z5193" s="94" t="s">
        <v>82</v>
      </c>
    </row>
    <row r="5194" spans="1:26" s="25" customFormat="1" ht="6.95" customHeight="1" x14ac:dyDescent="0.3">
      <c r="A5194" s="165">
        <f>+A5183+1</f>
        <v>473</v>
      </c>
      <c r="B5194" s="166"/>
      <c r="C5194" s="167"/>
      <c r="D5194" s="160" t="s">
        <v>39</v>
      </c>
      <c r="E5194" s="161"/>
      <c r="F5194" s="162" t="s">
        <v>40</v>
      </c>
      <c r="G5194" s="163"/>
      <c r="H5194" s="164"/>
      <c r="I5194" s="163"/>
      <c r="J5194" s="164"/>
      <c r="K5194" s="163"/>
      <c r="L5194" s="164"/>
      <c r="M5194" s="11"/>
      <c r="N5194" s="39"/>
      <c r="Q5194" s="15" t="str">
        <f>+CONCATENATE(E5194,G5194)</f>
        <v/>
      </c>
      <c r="R5194" s="15">
        <f>+H5194</f>
        <v>0</v>
      </c>
      <c r="S5194" s="16"/>
      <c r="T5194" s="15">
        <f>+E5194</f>
        <v>0</v>
      </c>
      <c r="U5194" s="26" t="str">
        <f>IFERROR(LEFT(G5194,FIND("*",G5194)-1),"-")</f>
        <v>-</v>
      </c>
      <c r="V5194" s="26" t="str">
        <f>IFERROR(RIGHT(G5194,LEN(G5194)-FIND("*",G5194)),"-")</f>
        <v>-</v>
      </c>
      <c r="W5194" s="27" t="str">
        <f>IFERROR((U5194+V5194)*2/1000,"-")</f>
        <v>-</v>
      </c>
      <c r="X5194" s="27" t="str">
        <f>IFERROR(W5194*H5194,"-")</f>
        <v>-</v>
      </c>
      <c r="Z5194" s="94" t="s">
        <v>82</v>
      </c>
    </row>
    <row r="5195" spans="1:26" s="25" customFormat="1" ht="6.95" customHeight="1" x14ac:dyDescent="0.3">
      <c r="A5195" s="165"/>
      <c r="B5195" s="168"/>
      <c r="C5195" s="169"/>
      <c r="D5195" s="160"/>
      <c r="E5195" s="161"/>
      <c r="F5195" s="162"/>
      <c r="G5195" s="163"/>
      <c r="H5195" s="164"/>
      <c r="I5195" s="163"/>
      <c r="J5195" s="164"/>
      <c r="K5195" s="163"/>
      <c r="L5195" s="164"/>
      <c r="M5195" s="11"/>
      <c r="N5195" s="39"/>
      <c r="Q5195" s="15" t="str">
        <f>+CONCATENATE(E5194,I5194)</f>
        <v/>
      </c>
      <c r="R5195" s="15">
        <f>+J5194</f>
        <v>0</v>
      </c>
      <c r="S5195" s="16"/>
      <c r="T5195" s="15">
        <f>+E5194</f>
        <v>0</v>
      </c>
      <c r="U5195" s="26" t="str">
        <f>IFERROR(LEFT(I5194,FIND("*",I5194)-1),"-")</f>
        <v>-</v>
      </c>
      <c r="V5195" s="26" t="str">
        <f>IFERROR(RIGHT(I5194,LEN(I5194)-FIND("*",I5194)),"-")</f>
        <v>-</v>
      </c>
      <c r="W5195" s="27" t="str">
        <f t="shared" ref="W5195:W5202" si="2830">IFERROR((U5195+V5195)*2/1000,"-")</f>
        <v>-</v>
      </c>
      <c r="X5195" s="27" t="str">
        <f>IFERROR(W5195*J5194,"-")</f>
        <v>-</v>
      </c>
      <c r="Z5195" s="94" t="s">
        <v>82</v>
      </c>
    </row>
    <row r="5196" spans="1:26" s="25" customFormat="1" ht="6.95" customHeight="1" x14ac:dyDescent="0.3">
      <c r="A5196" s="165"/>
      <c r="B5196" s="168"/>
      <c r="C5196" s="169"/>
      <c r="D5196" s="160"/>
      <c r="E5196" s="161"/>
      <c r="F5196" s="162"/>
      <c r="G5196" s="163"/>
      <c r="H5196" s="164"/>
      <c r="I5196" s="163"/>
      <c r="J5196" s="164"/>
      <c r="K5196" s="163"/>
      <c r="L5196" s="164"/>
      <c r="M5196" s="11"/>
      <c r="N5196" s="39"/>
      <c r="Q5196" s="15" t="str">
        <f>+CONCATENATE(E5194,K5194)</f>
        <v/>
      </c>
      <c r="R5196" s="15">
        <f>+L5194</f>
        <v>0</v>
      </c>
      <c r="S5196" s="16"/>
      <c r="T5196" s="15">
        <f>+E5194</f>
        <v>0</v>
      </c>
      <c r="U5196" s="26" t="str">
        <f>IFERROR(LEFT(K5194,FIND("*",K5194)-1),"-")</f>
        <v>-</v>
      </c>
      <c r="V5196" s="26" t="str">
        <f>IFERROR(RIGHT(K5194,LEN(K5194)-FIND("*",K5194)),"-")</f>
        <v>-</v>
      </c>
      <c r="W5196" s="27" t="str">
        <f t="shared" si="2830"/>
        <v>-</v>
      </c>
      <c r="X5196" s="27" t="str">
        <f>IFERROR(W5196*L5194,"-")</f>
        <v>-</v>
      </c>
      <c r="Z5196" s="94" t="s">
        <v>82</v>
      </c>
    </row>
    <row r="5197" spans="1:26" s="25" customFormat="1" ht="6.95" customHeight="1" x14ac:dyDescent="0.3">
      <c r="A5197" s="13"/>
      <c r="B5197" s="168"/>
      <c r="C5197" s="169"/>
      <c r="D5197" s="160" t="s">
        <v>39</v>
      </c>
      <c r="E5197" s="161"/>
      <c r="F5197" s="162" t="s">
        <v>40</v>
      </c>
      <c r="G5197" s="163"/>
      <c r="H5197" s="164"/>
      <c r="I5197" s="163"/>
      <c r="J5197" s="164"/>
      <c r="K5197" s="163"/>
      <c r="L5197" s="164"/>
      <c r="M5197" s="11"/>
      <c r="N5197" s="39"/>
      <c r="Q5197" s="15" t="str">
        <f>+CONCATENATE(E5197,G5197)</f>
        <v/>
      </c>
      <c r="R5197" s="15">
        <f>+H5197</f>
        <v>0</v>
      </c>
      <c r="S5197" s="16"/>
      <c r="T5197" s="15">
        <f>+E5197</f>
        <v>0</v>
      </c>
      <c r="U5197" s="26" t="str">
        <f t="shared" ref="U5197" si="2831">IFERROR(LEFT(G5197,FIND("*",G5197)-1),"-")</f>
        <v>-</v>
      </c>
      <c r="V5197" s="26" t="str">
        <f t="shared" ref="V5197" si="2832">IFERROR(RIGHT(G5197,LEN(G5197)-FIND("*",G5197)),"-")</f>
        <v>-</v>
      </c>
      <c r="W5197" s="27" t="str">
        <f t="shared" si="2830"/>
        <v>-</v>
      </c>
      <c r="X5197" s="27" t="str">
        <f>IFERROR(W5197*H5197,"-")</f>
        <v>-</v>
      </c>
      <c r="Z5197" s="94" t="s">
        <v>82</v>
      </c>
    </row>
    <row r="5198" spans="1:26" s="25" customFormat="1" ht="6.95" customHeight="1" x14ac:dyDescent="0.3">
      <c r="A5198" s="10"/>
      <c r="B5198" s="168"/>
      <c r="C5198" s="169"/>
      <c r="D5198" s="160"/>
      <c r="E5198" s="161"/>
      <c r="F5198" s="162"/>
      <c r="G5198" s="163"/>
      <c r="H5198" s="164"/>
      <c r="I5198" s="163"/>
      <c r="J5198" s="164"/>
      <c r="K5198" s="163"/>
      <c r="L5198" s="164"/>
      <c r="M5198" s="11"/>
      <c r="N5198" s="39"/>
      <c r="Q5198" s="15" t="str">
        <f>+CONCATENATE(E5197,I5197)</f>
        <v/>
      </c>
      <c r="R5198" s="15">
        <f>+J5197</f>
        <v>0</v>
      </c>
      <c r="S5198" s="16"/>
      <c r="T5198" s="15">
        <f>+E5197</f>
        <v>0</v>
      </c>
      <c r="U5198" s="26" t="str">
        <f>IFERROR(LEFT(I5197,FIND("*",I5197)-1),"-")</f>
        <v>-</v>
      </c>
      <c r="V5198" s="26" t="str">
        <f>IFERROR(RIGHT(I5197,LEN(I5197)-FIND("*",I5197)),"-")</f>
        <v>-</v>
      </c>
      <c r="W5198" s="27" t="str">
        <f t="shared" si="2830"/>
        <v>-</v>
      </c>
      <c r="X5198" s="27" t="str">
        <f>IFERROR(W5198*J5197,"-")</f>
        <v>-</v>
      </c>
      <c r="Z5198" s="94" t="s">
        <v>82</v>
      </c>
    </row>
    <row r="5199" spans="1:26" s="25" customFormat="1" ht="6.95" customHeight="1" x14ac:dyDescent="0.3">
      <c r="A5199" s="10"/>
      <c r="B5199" s="168"/>
      <c r="C5199" s="169"/>
      <c r="D5199" s="160"/>
      <c r="E5199" s="161"/>
      <c r="F5199" s="162"/>
      <c r="G5199" s="163"/>
      <c r="H5199" s="164"/>
      <c r="I5199" s="163"/>
      <c r="J5199" s="164"/>
      <c r="K5199" s="163"/>
      <c r="L5199" s="164"/>
      <c r="M5199" s="11"/>
      <c r="N5199" s="39"/>
      <c r="Q5199" s="15" t="str">
        <f>+CONCATENATE(E5197,K5197)</f>
        <v/>
      </c>
      <c r="R5199" s="15">
        <f>+L5197</f>
        <v>0</v>
      </c>
      <c r="S5199" s="16"/>
      <c r="T5199" s="15">
        <f>+E5197</f>
        <v>0</v>
      </c>
      <c r="U5199" s="26" t="str">
        <f>IFERROR(LEFT(K5197,FIND("*",K5197)-1),"-")</f>
        <v>-</v>
      </c>
      <c r="V5199" s="26" t="str">
        <f>IFERROR(RIGHT(K5197,LEN(K5197)-FIND("*",K5197)),"-")</f>
        <v>-</v>
      </c>
      <c r="W5199" s="27" t="str">
        <f t="shared" si="2830"/>
        <v>-</v>
      </c>
      <c r="X5199" s="27" t="str">
        <f>IFERROR(W5199*L5197,"-")</f>
        <v>-</v>
      </c>
      <c r="Z5199" s="94" t="s">
        <v>82</v>
      </c>
    </row>
    <row r="5200" spans="1:26" s="25" customFormat="1" ht="6.95" customHeight="1" x14ac:dyDescent="0.3">
      <c r="A5200" s="13"/>
      <c r="B5200" s="168"/>
      <c r="C5200" s="169"/>
      <c r="D5200" s="160" t="s">
        <v>39</v>
      </c>
      <c r="E5200" s="161"/>
      <c r="F5200" s="162" t="s">
        <v>40</v>
      </c>
      <c r="G5200" s="163"/>
      <c r="H5200" s="164"/>
      <c r="I5200" s="163"/>
      <c r="J5200" s="164"/>
      <c r="K5200" s="163"/>
      <c r="L5200" s="164"/>
      <c r="M5200" s="11"/>
      <c r="N5200" s="39"/>
      <c r="Q5200" s="15" t="str">
        <f>+CONCATENATE(E5200,G5200)</f>
        <v/>
      </c>
      <c r="R5200" s="15">
        <f>+H5200</f>
        <v>0</v>
      </c>
      <c r="S5200" s="16"/>
      <c r="T5200" s="15">
        <f>+E5200</f>
        <v>0</v>
      </c>
      <c r="U5200" s="26" t="str">
        <f t="shared" ref="U5200" si="2833">IFERROR(LEFT(G5200,FIND("*",G5200)-1),"-")</f>
        <v>-</v>
      </c>
      <c r="V5200" s="26" t="str">
        <f t="shared" ref="V5200" si="2834">IFERROR(RIGHT(G5200,LEN(G5200)-FIND("*",G5200)),"-")</f>
        <v>-</v>
      </c>
      <c r="W5200" s="27" t="str">
        <f t="shared" si="2830"/>
        <v>-</v>
      </c>
      <c r="X5200" s="27" t="str">
        <f>IFERROR(W5200*H5200,"-")</f>
        <v>-</v>
      </c>
      <c r="Z5200" s="94" t="s">
        <v>82</v>
      </c>
    </row>
    <row r="5201" spans="1:26" s="25" customFormat="1" ht="6.95" customHeight="1" x14ac:dyDescent="0.3">
      <c r="A5201" s="10"/>
      <c r="B5201" s="168"/>
      <c r="C5201" s="169"/>
      <c r="D5201" s="160"/>
      <c r="E5201" s="161"/>
      <c r="F5201" s="162"/>
      <c r="G5201" s="163"/>
      <c r="H5201" s="164"/>
      <c r="I5201" s="163"/>
      <c r="J5201" s="164"/>
      <c r="K5201" s="163"/>
      <c r="L5201" s="164"/>
      <c r="M5201" s="11"/>
      <c r="N5201" s="39"/>
      <c r="Q5201" s="15" t="str">
        <f>+CONCATENATE(E5200,I5200)</f>
        <v/>
      </c>
      <c r="R5201" s="15">
        <f>+J5200</f>
        <v>0</v>
      </c>
      <c r="S5201" s="16"/>
      <c r="T5201" s="15">
        <f>+E5200</f>
        <v>0</v>
      </c>
      <c r="U5201" s="26" t="str">
        <f>IFERROR(LEFT(I5200,FIND("*",I5200)-1),"-")</f>
        <v>-</v>
      </c>
      <c r="V5201" s="26" t="str">
        <f>IFERROR(RIGHT(I5200,LEN(I5200)-FIND("*",I5200)),"-")</f>
        <v>-</v>
      </c>
      <c r="W5201" s="27" t="str">
        <f t="shared" si="2830"/>
        <v>-</v>
      </c>
      <c r="X5201" s="27" t="str">
        <f t="shared" ref="X5201" si="2835">IFERROR(W5201*J5200,"-")</f>
        <v>-</v>
      </c>
      <c r="Z5201" s="94" t="s">
        <v>82</v>
      </c>
    </row>
    <row r="5202" spans="1:26" s="25" customFormat="1" ht="6.95" customHeight="1" x14ac:dyDescent="0.3">
      <c r="A5202" s="10"/>
      <c r="B5202" s="168"/>
      <c r="C5202" s="169"/>
      <c r="D5202" s="160"/>
      <c r="E5202" s="161"/>
      <c r="F5202" s="162"/>
      <c r="G5202" s="163"/>
      <c r="H5202" s="164"/>
      <c r="I5202" s="163"/>
      <c r="J5202" s="164"/>
      <c r="K5202" s="163"/>
      <c r="L5202" s="164"/>
      <c r="M5202" s="11"/>
      <c r="N5202" s="39"/>
      <c r="Q5202" s="15" t="str">
        <f>+CONCATENATE(E5200,K5200)</f>
        <v/>
      </c>
      <c r="R5202" s="15">
        <f>+L5200</f>
        <v>0</v>
      </c>
      <c r="S5202" s="16"/>
      <c r="T5202" s="15">
        <f>+E5200</f>
        <v>0</v>
      </c>
      <c r="U5202" s="26" t="str">
        <f>IFERROR(LEFT(K5200,FIND("*",K5200)-1),"-")</f>
        <v>-</v>
      </c>
      <c r="V5202" s="26" t="str">
        <f>IFERROR(RIGHT(K5200,LEN(K5200)-FIND("*",K5200)),"-")</f>
        <v>-</v>
      </c>
      <c r="W5202" s="27" t="str">
        <f t="shared" si="2830"/>
        <v>-</v>
      </c>
      <c r="X5202" s="27" t="str">
        <f>IFERROR(W5202*L5200,"-")</f>
        <v>-</v>
      </c>
      <c r="Z5202" s="94" t="s">
        <v>82</v>
      </c>
    </row>
    <row r="5203" spans="1:26" s="25" customFormat="1" ht="21" customHeight="1" thickBot="1" x14ac:dyDescent="0.35">
      <c r="A5203" s="10"/>
      <c r="B5203" s="170"/>
      <c r="C5203" s="171"/>
      <c r="D5203" s="172" t="s">
        <v>43</v>
      </c>
      <c r="E5203" s="173"/>
      <c r="F5203" s="173"/>
      <c r="G5203" s="174"/>
      <c r="H5203" s="174"/>
      <c r="I5203" s="174"/>
      <c r="J5203" s="174"/>
      <c r="K5203" s="174"/>
      <c r="L5203" s="174"/>
      <c r="M5203" s="12"/>
      <c r="N5203" s="39"/>
      <c r="U5203" s="23"/>
      <c r="V5203" s="23"/>
      <c r="Z5203" s="95" t="s">
        <v>81</v>
      </c>
    </row>
    <row r="5204" spans="1:26" s="25" customFormat="1" ht="9.9499999999999993" customHeight="1" thickBot="1" x14ac:dyDescent="0.35">
      <c r="A5204" s="6"/>
      <c r="B5204" s="14"/>
      <c r="C5204" s="119"/>
      <c r="D5204" s="58"/>
      <c r="E5204" s="17"/>
      <c r="F5204" s="58"/>
      <c r="G5204" s="19"/>
      <c r="H5204" s="19"/>
      <c r="I5204" s="19"/>
      <c r="J5204" s="19"/>
      <c r="K5204" s="19"/>
      <c r="L5204" s="19"/>
      <c r="M5204" s="14"/>
      <c r="N5204" s="39"/>
      <c r="Q5204" s="1"/>
      <c r="R5204" s="1"/>
      <c r="S5204" s="1"/>
      <c r="T5204" s="1"/>
      <c r="U5204" s="24"/>
      <c r="V5204" s="24"/>
      <c r="W5204" s="1"/>
      <c r="X5204" s="1"/>
      <c r="Z5204" s="94" t="s">
        <v>82</v>
      </c>
    </row>
    <row r="5205" spans="1:26" s="25" customFormat="1" ht="6.95" customHeight="1" x14ac:dyDescent="0.3">
      <c r="A5205" s="165">
        <f>+A5194+1</f>
        <v>474</v>
      </c>
      <c r="B5205" s="166"/>
      <c r="C5205" s="167"/>
      <c r="D5205" s="160" t="s">
        <v>39</v>
      </c>
      <c r="E5205" s="161"/>
      <c r="F5205" s="162" t="s">
        <v>40</v>
      </c>
      <c r="G5205" s="163"/>
      <c r="H5205" s="164"/>
      <c r="I5205" s="163"/>
      <c r="J5205" s="164"/>
      <c r="K5205" s="163"/>
      <c r="L5205" s="164"/>
      <c r="M5205" s="11"/>
      <c r="N5205" s="39"/>
      <c r="Q5205" s="15" t="str">
        <f>+CONCATENATE(E5205,G5205)</f>
        <v/>
      </c>
      <c r="R5205" s="15">
        <f>+H5205</f>
        <v>0</v>
      </c>
      <c r="S5205" s="16"/>
      <c r="T5205" s="15">
        <f>+E5205</f>
        <v>0</v>
      </c>
      <c r="U5205" s="26" t="str">
        <f>IFERROR(LEFT(G5205,FIND("*",G5205)-1),"-")</f>
        <v>-</v>
      </c>
      <c r="V5205" s="26" t="str">
        <f>IFERROR(RIGHT(G5205,LEN(G5205)-FIND("*",G5205)),"-")</f>
        <v>-</v>
      </c>
      <c r="W5205" s="27" t="str">
        <f>IFERROR((U5205+V5205)*2/1000,"-")</f>
        <v>-</v>
      </c>
      <c r="X5205" s="27" t="str">
        <f>IFERROR(W5205*H5205,"-")</f>
        <v>-</v>
      </c>
      <c r="Z5205" s="94" t="s">
        <v>82</v>
      </c>
    </row>
    <row r="5206" spans="1:26" s="25" customFormat="1" ht="6.95" customHeight="1" x14ac:dyDescent="0.3">
      <c r="A5206" s="165"/>
      <c r="B5206" s="168"/>
      <c r="C5206" s="169"/>
      <c r="D5206" s="160"/>
      <c r="E5206" s="161"/>
      <c r="F5206" s="162"/>
      <c r="G5206" s="163"/>
      <c r="H5206" s="164"/>
      <c r="I5206" s="163"/>
      <c r="J5206" s="164"/>
      <c r="K5206" s="163"/>
      <c r="L5206" s="164"/>
      <c r="M5206" s="11"/>
      <c r="N5206" s="39"/>
      <c r="Q5206" s="15" t="str">
        <f>+CONCATENATE(E5205,I5205)</f>
        <v/>
      </c>
      <c r="R5206" s="15">
        <f>+J5205</f>
        <v>0</v>
      </c>
      <c r="S5206" s="16"/>
      <c r="T5206" s="15">
        <f>+E5205</f>
        <v>0</v>
      </c>
      <c r="U5206" s="26" t="str">
        <f>IFERROR(LEFT(I5205,FIND("*",I5205)-1),"-")</f>
        <v>-</v>
      </c>
      <c r="V5206" s="26" t="str">
        <f>IFERROR(RIGHT(I5205,LEN(I5205)-FIND("*",I5205)),"-")</f>
        <v>-</v>
      </c>
      <c r="W5206" s="27" t="str">
        <f t="shared" ref="W5206:W5213" si="2836">IFERROR((U5206+V5206)*2/1000,"-")</f>
        <v>-</v>
      </c>
      <c r="X5206" s="27" t="str">
        <f>IFERROR(W5206*J5205,"-")</f>
        <v>-</v>
      </c>
      <c r="Z5206" s="94" t="s">
        <v>82</v>
      </c>
    </row>
    <row r="5207" spans="1:26" s="25" customFormat="1" ht="6.95" customHeight="1" x14ac:dyDescent="0.3">
      <c r="A5207" s="165"/>
      <c r="B5207" s="168"/>
      <c r="C5207" s="169"/>
      <c r="D5207" s="160"/>
      <c r="E5207" s="161"/>
      <c r="F5207" s="162"/>
      <c r="G5207" s="163"/>
      <c r="H5207" s="164"/>
      <c r="I5207" s="163"/>
      <c r="J5207" s="164"/>
      <c r="K5207" s="163"/>
      <c r="L5207" s="164"/>
      <c r="M5207" s="11"/>
      <c r="N5207" s="39"/>
      <c r="Q5207" s="15" t="str">
        <f>+CONCATENATE(E5205,K5205)</f>
        <v/>
      </c>
      <c r="R5207" s="15">
        <f>+L5205</f>
        <v>0</v>
      </c>
      <c r="S5207" s="16"/>
      <c r="T5207" s="15">
        <f>+E5205</f>
        <v>0</v>
      </c>
      <c r="U5207" s="26" t="str">
        <f>IFERROR(LEFT(K5205,FIND("*",K5205)-1),"-")</f>
        <v>-</v>
      </c>
      <c r="V5207" s="26" t="str">
        <f>IFERROR(RIGHT(K5205,LEN(K5205)-FIND("*",K5205)),"-")</f>
        <v>-</v>
      </c>
      <c r="W5207" s="27" t="str">
        <f t="shared" si="2836"/>
        <v>-</v>
      </c>
      <c r="X5207" s="27" t="str">
        <f>IFERROR(W5207*L5205,"-")</f>
        <v>-</v>
      </c>
      <c r="Z5207" s="94" t="s">
        <v>82</v>
      </c>
    </row>
    <row r="5208" spans="1:26" s="25" customFormat="1" ht="6.95" customHeight="1" x14ac:dyDescent="0.3">
      <c r="A5208" s="13"/>
      <c r="B5208" s="168"/>
      <c r="C5208" s="169"/>
      <c r="D5208" s="160" t="s">
        <v>39</v>
      </c>
      <c r="E5208" s="161"/>
      <c r="F5208" s="162" t="s">
        <v>40</v>
      </c>
      <c r="G5208" s="163"/>
      <c r="H5208" s="164"/>
      <c r="I5208" s="163"/>
      <c r="J5208" s="164"/>
      <c r="K5208" s="163"/>
      <c r="L5208" s="164"/>
      <c r="M5208" s="11"/>
      <c r="N5208" s="39"/>
      <c r="Q5208" s="15" t="str">
        <f>+CONCATENATE(E5208,G5208)</f>
        <v/>
      </c>
      <c r="R5208" s="15">
        <f>+H5208</f>
        <v>0</v>
      </c>
      <c r="S5208" s="16"/>
      <c r="T5208" s="15">
        <f>+E5208</f>
        <v>0</v>
      </c>
      <c r="U5208" s="26" t="str">
        <f t="shared" ref="U5208" si="2837">IFERROR(LEFT(G5208,FIND("*",G5208)-1),"-")</f>
        <v>-</v>
      </c>
      <c r="V5208" s="26" t="str">
        <f t="shared" ref="V5208" si="2838">IFERROR(RIGHT(G5208,LEN(G5208)-FIND("*",G5208)),"-")</f>
        <v>-</v>
      </c>
      <c r="W5208" s="27" t="str">
        <f t="shared" si="2836"/>
        <v>-</v>
      </c>
      <c r="X5208" s="27" t="str">
        <f>IFERROR(W5208*H5208,"-")</f>
        <v>-</v>
      </c>
      <c r="Z5208" s="94" t="s">
        <v>82</v>
      </c>
    </row>
    <row r="5209" spans="1:26" s="25" customFormat="1" ht="6.95" customHeight="1" x14ac:dyDescent="0.3">
      <c r="A5209" s="10"/>
      <c r="B5209" s="168"/>
      <c r="C5209" s="169"/>
      <c r="D5209" s="160"/>
      <c r="E5209" s="161"/>
      <c r="F5209" s="162"/>
      <c r="G5209" s="163"/>
      <c r="H5209" s="164"/>
      <c r="I5209" s="163"/>
      <c r="J5209" s="164"/>
      <c r="K5209" s="163"/>
      <c r="L5209" s="164"/>
      <c r="M5209" s="11"/>
      <c r="N5209" s="39"/>
      <c r="Q5209" s="15" t="str">
        <f>+CONCATENATE(E5208,I5208)</f>
        <v/>
      </c>
      <c r="R5209" s="15">
        <f>+J5208</f>
        <v>0</v>
      </c>
      <c r="S5209" s="16"/>
      <c r="T5209" s="15">
        <f>+E5208</f>
        <v>0</v>
      </c>
      <c r="U5209" s="26" t="str">
        <f>IFERROR(LEFT(I5208,FIND("*",I5208)-1),"-")</f>
        <v>-</v>
      </c>
      <c r="V5209" s="26" t="str">
        <f>IFERROR(RIGHT(I5208,LEN(I5208)-FIND("*",I5208)),"-")</f>
        <v>-</v>
      </c>
      <c r="W5209" s="27" t="str">
        <f t="shared" si="2836"/>
        <v>-</v>
      </c>
      <c r="X5209" s="27" t="str">
        <f>IFERROR(W5209*J5208,"-")</f>
        <v>-</v>
      </c>
      <c r="Z5209" s="94" t="s">
        <v>82</v>
      </c>
    </row>
    <row r="5210" spans="1:26" s="25" customFormat="1" ht="6.95" customHeight="1" x14ac:dyDescent="0.3">
      <c r="A5210" s="10"/>
      <c r="B5210" s="168"/>
      <c r="C5210" s="169"/>
      <c r="D5210" s="160"/>
      <c r="E5210" s="161"/>
      <c r="F5210" s="162"/>
      <c r="G5210" s="163"/>
      <c r="H5210" s="164"/>
      <c r="I5210" s="163"/>
      <c r="J5210" s="164"/>
      <c r="K5210" s="163"/>
      <c r="L5210" s="164"/>
      <c r="M5210" s="11"/>
      <c r="N5210" s="39"/>
      <c r="Q5210" s="15" t="str">
        <f>+CONCATENATE(E5208,K5208)</f>
        <v/>
      </c>
      <c r="R5210" s="15">
        <f>+L5208</f>
        <v>0</v>
      </c>
      <c r="S5210" s="16"/>
      <c r="T5210" s="15">
        <f>+E5208</f>
        <v>0</v>
      </c>
      <c r="U5210" s="26" t="str">
        <f>IFERROR(LEFT(K5208,FIND("*",K5208)-1),"-")</f>
        <v>-</v>
      </c>
      <c r="V5210" s="26" t="str">
        <f>IFERROR(RIGHT(K5208,LEN(K5208)-FIND("*",K5208)),"-")</f>
        <v>-</v>
      </c>
      <c r="W5210" s="27" t="str">
        <f t="shared" si="2836"/>
        <v>-</v>
      </c>
      <c r="X5210" s="27" t="str">
        <f>IFERROR(W5210*L5208,"-")</f>
        <v>-</v>
      </c>
      <c r="Z5210" s="94" t="s">
        <v>82</v>
      </c>
    </row>
    <row r="5211" spans="1:26" s="25" customFormat="1" ht="6.95" customHeight="1" x14ac:dyDescent="0.3">
      <c r="A5211" s="13"/>
      <c r="B5211" s="168"/>
      <c r="C5211" s="169"/>
      <c r="D5211" s="160" t="s">
        <v>39</v>
      </c>
      <c r="E5211" s="161"/>
      <c r="F5211" s="162" t="s">
        <v>40</v>
      </c>
      <c r="G5211" s="163"/>
      <c r="H5211" s="164"/>
      <c r="I5211" s="163"/>
      <c r="J5211" s="164"/>
      <c r="K5211" s="163"/>
      <c r="L5211" s="164"/>
      <c r="M5211" s="11"/>
      <c r="N5211" s="39"/>
      <c r="Q5211" s="15" t="str">
        <f>+CONCATENATE(E5211,G5211)</f>
        <v/>
      </c>
      <c r="R5211" s="15">
        <f>+H5211</f>
        <v>0</v>
      </c>
      <c r="S5211" s="16"/>
      <c r="T5211" s="15">
        <f>+E5211</f>
        <v>0</v>
      </c>
      <c r="U5211" s="26" t="str">
        <f t="shared" ref="U5211" si="2839">IFERROR(LEFT(G5211,FIND("*",G5211)-1),"-")</f>
        <v>-</v>
      </c>
      <c r="V5211" s="26" t="str">
        <f t="shared" ref="V5211" si="2840">IFERROR(RIGHT(G5211,LEN(G5211)-FIND("*",G5211)),"-")</f>
        <v>-</v>
      </c>
      <c r="W5211" s="27" t="str">
        <f t="shared" si="2836"/>
        <v>-</v>
      </c>
      <c r="X5211" s="27" t="str">
        <f>IFERROR(W5211*H5211,"-")</f>
        <v>-</v>
      </c>
      <c r="Z5211" s="94" t="s">
        <v>82</v>
      </c>
    </row>
    <row r="5212" spans="1:26" s="25" customFormat="1" ht="6.95" customHeight="1" x14ac:dyDescent="0.3">
      <c r="A5212" s="10"/>
      <c r="B5212" s="168"/>
      <c r="C5212" s="169"/>
      <c r="D5212" s="160"/>
      <c r="E5212" s="161"/>
      <c r="F5212" s="162"/>
      <c r="G5212" s="163"/>
      <c r="H5212" s="164"/>
      <c r="I5212" s="163"/>
      <c r="J5212" s="164"/>
      <c r="K5212" s="163"/>
      <c r="L5212" s="164"/>
      <c r="M5212" s="11"/>
      <c r="N5212" s="39"/>
      <c r="Q5212" s="15" t="str">
        <f>+CONCATENATE(E5211,I5211)</f>
        <v/>
      </c>
      <c r="R5212" s="15">
        <f>+J5211</f>
        <v>0</v>
      </c>
      <c r="S5212" s="16"/>
      <c r="T5212" s="15">
        <f>+E5211</f>
        <v>0</v>
      </c>
      <c r="U5212" s="26" t="str">
        <f>IFERROR(LEFT(I5211,FIND("*",I5211)-1),"-")</f>
        <v>-</v>
      </c>
      <c r="V5212" s="26" t="str">
        <f>IFERROR(RIGHT(I5211,LEN(I5211)-FIND("*",I5211)),"-")</f>
        <v>-</v>
      </c>
      <c r="W5212" s="27" t="str">
        <f t="shared" si="2836"/>
        <v>-</v>
      </c>
      <c r="X5212" s="27" t="str">
        <f t="shared" ref="X5212" si="2841">IFERROR(W5212*J5211,"-")</f>
        <v>-</v>
      </c>
      <c r="Z5212" s="94" t="s">
        <v>82</v>
      </c>
    </row>
    <row r="5213" spans="1:26" s="25" customFormat="1" ht="6.95" customHeight="1" x14ac:dyDescent="0.3">
      <c r="A5213" s="10"/>
      <c r="B5213" s="168"/>
      <c r="C5213" s="169"/>
      <c r="D5213" s="160"/>
      <c r="E5213" s="161"/>
      <c r="F5213" s="162"/>
      <c r="G5213" s="163"/>
      <c r="H5213" s="164"/>
      <c r="I5213" s="163"/>
      <c r="J5213" s="164"/>
      <c r="K5213" s="163"/>
      <c r="L5213" s="164"/>
      <c r="M5213" s="11"/>
      <c r="N5213" s="39"/>
      <c r="Q5213" s="15" t="str">
        <f>+CONCATENATE(E5211,K5211)</f>
        <v/>
      </c>
      <c r="R5213" s="15">
        <f>+L5211</f>
        <v>0</v>
      </c>
      <c r="S5213" s="16"/>
      <c r="T5213" s="15">
        <f>+E5211</f>
        <v>0</v>
      </c>
      <c r="U5213" s="26" t="str">
        <f>IFERROR(LEFT(K5211,FIND("*",K5211)-1),"-")</f>
        <v>-</v>
      </c>
      <c r="V5213" s="26" t="str">
        <f>IFERROR(RIGHT(K5211,LEN(K5211)-FIND("*",K5211)),"-")</f>
        <v>-</v>
      </c>
      <c r="W5213" s="27" t="str">
        <f t="shared" si="2836"/>
        <v>-</v>
      </c>
      <c r="X5213" s="27" t="str">
        <f>IFERROR(W5213*L5211,"-")</f>
        <v>-</v>
      </c>
      <c r="Z5213" s="94" t="s">
        <v>82</v>
      </c>
    </row>
    <row r="5214" spans="1:26" s="25" customFormat="1" ht="21" customHeight="1" thickBot="1" x14ac:dyDescent="0.35">
      <c r="A5214" s="10"/>
      <c r="B5214" s="170"/>
      <c r="C5214" s="171"/>
      <c r="D5214" s="172" t="s">
        <v>43</v>
      </c>
      <c r="E5214" s="173"/>
      <c r="F5214" s="173"/>
      <c r="G5214" s="174"/>
      <c r="H5214" s="174"/>
      <c r="I5214" s="174"/>
      <c r="J5214" s="174"/>
      <c r="K5214" s="174"/>
      <c r="L5214" s="174"/>
      <c r="M5214" s="12"/>
      <c r="N5214" s="39"/>
      <c r="U5214" s="23"/>
      <c r="V5214" s="23"/>
      <c r="Z5214" s="95" t="s">
        <v>81</v>
      </c>
    </row>
    <row r="5215" spans="1:26" s="25" customFormat="1" ht="9.9499999999999993" customHeight="1" thickBot="1" x14ac:dyDescent="0.35">
      <c r="A5215" s="6"/>
      <c r="B5215" s="14"/>
      <c r="C5215" s="119"/>
      <c r="D5215" s="58"/>
      <c r="E5215" s="17"/>
      <c r="F5215" s="58"/>
      <c r="G5215" s="19"/>
      <c r="H5215" s="19"/>
      <c r="I5215" s="19"/>
      <c r="J5215" s="19"/>
      <c r="K5215" s="19"/>
      <c r="L5215" s="19"/>
      <c r="M5215" s="14"/>
      <c r="N5215" s="39"/>
      <c r="Q5215" s="1"/>
      <c r="R5215" s="1"/>
      <c r="S5215" s="1"/>
      <c r="T5215" s="1"/>
      <c r="U5215" s="24"/>
      <c r="V5215" s="24"/>
      <c r="W5215" s="1"/>
      <c r="X5215" s="1"/>
      <c r="Z5215" s="94" t="s">
        <v>82</v>
      </c>
    </row>
    <row r="5216" spans="1:26" s="25" customFormat="1" ht="6.95" customHeight="1" x14ac:dyDescent="0.3">
      <c r="A5216" s="165">
        <f>+A5205+1</f>
        <v>475</v>
      </c>
      <c r="B5216" s="166"/>
      <c r="C5216" s="167"/>
      <c r="D5216" s="160" t="s">
        <v>39</v>
      </c>
      <c r="E5216" s="161"/>
      <c r="F5216" s="162" t="s">
        <v>40</v>
      </c>
      <c r="G5216" s="163"/>
      <c r="H5216" s="164"/>
      <c r="I5216" s="163"/>
      <c r="J5216" s="164"/>
      <c r="K5216" s="163"/>
      <c r="L5216" s="164"/>
      <c r="M5216" s="11"/>
      <c r="N5216" s="39"/>
      <c r="Q5216" s="15" t="str">
        <f>+CONCATENATE(E5216,G5216)</f>
        <v/>
      </c>
      <c r="R5216" s="15">
        <f>+H5216</f>
        <v>0</v>
      </c>
      <c r="S5216" s="16"/>
      <c r="T5216" s="15">
        <f>+E5216</f>
        <v>0</v>
      </c>
      <c r="U5216" s="26" t="str">
        <f>IFERROR(LEFT(G5216,FIND("*",G5216)-1),"-")</f>
        <v>-</v>
      </c>
      <c r="V5216" s="26" t="str">
        <f>IFERROR(RIGHT(G5216,LEN(G5216)-FIND("*",G5216)),"-")</f>
        <v>-</v>
      </c>
      <c r="W5216" s="27" t="str">
        <f>IFERROR((U5216+V5216)*2/1000,"-")</f>
        <v>-</v>
      </c>
      <c r="X5216" s="27" t="str">
        <f>IFERROR(W5216*H5216,"-")</f>
        <v>-</v>
      </c>
      <c r="Z5216" s="94" t="s">
        <v>82</v>
      </c>
    </row>
    <row r="5217" spans="1:26" s="25" customFormat="1" ht="6.95" customHeight="1" x14ac:dyDescent="0.3">
      <c r="A5217" s="165"/>
      <c r="B5217" s="168"/>
      <c r="C5217" s="169"/>
      <c r="D5217" s="160"/>
      <c r="E5217" s="161"/>
      <c r="F5217" s="162"/>
      <c r="G5217" s="163"/>
      <c r="H5217" s="164"/>
      <c r="I5217" s="163"/>
      <c r="J5217" s="164"/>
      <c r="K5217" s="163"/>
      <c r="L5217" s="164"/>
      <c r="M5217" s="11"/>
      <c r="N5217" s="39"/>
      <c r="Q5217" s="15" t="str">
        <f>+CONCATENATE(E5216,I5216)</f>
        <v/>
      </c>
      <c r="R5217" s="15">
        <f>+J5216</f>
        <v>0</v>
      </c>
      <c r="S5217" s="16"/>
      <c r="T5217" s="15">
        <f>+E5216</f>
        <v>0</v>
      </c>
      <c r="U5217" s="26" t="str">
        <f>IFERROR(LEFT(I5216,FIND("*",I5216)-1),"-")</f>
        <v>-</v>
      </c>
      <c r="V5217" s="26" t="str">
        <f>IFERROR(RIGHT(I5216,LEN(I5216)-FIND("*",I5216)),"-")</f>
        <v>-</v>
      </c>
      <c r="W5217" s="27" t="str">
        <f t="shared" ref="W5217:W5224" si="2842">IFERROR((U5217+V5217)*2/1000,"-")</f>
        <v>-</v>
      </c>
      <c r="X5217" s="27" t="str">
        <f>IFERROR(W5217*J5216,"-")</f>
        <v>-</v>
      </c>
      <c r="Z5217" s="94" t="s">
        <v>82</v>
      </c>
    </row>
    <row r="5218" spans="1:26" s="25" customFormat="1" ht="6.95" customHeight="1" x14ac:dyDescent="0.3">
      <c r="A5218" s="165"/>
      <c r="B5218" s="168"/>
      <c r="C5218" s="169"/>
      <c r="D5218" s="160"/>
      <c r="E5218" s="161"/>
      <c r="F5218" s="162"/>
      <c r="G5218" s="163"/>
      <c r="H5218" s="164"/>
      <c r="I5218" s="163"/>
      <c r="J5218" s="164"/>
      <c r="K5218" s="163"/>
      <c r="L5218" s="164"/>
      <c r="M5218" s="11"/>
      <c r="N5218" s="39"/>
      <c r="Q5218" s="15" t="str">
        <f>+CONCATENATE(E5216,K5216)</f>
        <v/>
      </c>
      <c r="R5218" s="15">
        <f>+L5216</f>
        <v>0</v>
      </c>
      <c r="S5218" s="16"/>
      <c r="T5218" s="15">
        <f>+E5216</f>
        <v>0</v>
      </c>
      <c r="U5218" s="26" t="str">
        <f>IFERROR(LEFT(K5216,FIND("*",K5216)-1),"-")</f>
        <v>-</v>
      </c>
      <c r="V5218" s="26" t="str">
        <f>IFERROR(RIGHT(K5216,LEN(K5216)-FIND("*",K5216)),"-")</f>
        <v>-</v>
      </c>
      <c r="W5218" s="27" t="str">
        <f t="shared" si="2842"/>
        <v>-</v>
      </c>
      <c r="X5218" s="27" t="str">
        <f>IFERROR(W5218*L5216,"-")</f>
        <v>-</v>
      </c>
      <c r="Z5218" s="94" t="s">
        <v>82</v>
      </c>
    </row>
    <row r="5219" spans="1:26" s="25" customFormat="1" ht="6.95" customHeight="1" x14ac:dyDescent="0.3">
      <c r="A5219" s="13"/>
      <c r="B5219" s="168"/>
      <c r="C5219" s="169"/>
      <c r="D5219" s="160" t="s">
        <v>39</v>
      </c>
      <c r="E5219" s="161"/>
      <c r="F5219" s="162" t="s">
        <v>40</v>
      </c>
      <c r="G5219" s="163"/>
      <c r="H5219" s="164"/>
      <c r="I5219" s="163"/>
      <c r="J5219" s="164"/>
      <c r="K5219" s="163"/>
      <c r="L5219" s="164"/>
      <c r="M5219" s="11"/>
      <c r="N5219" s="39"/>
      <c r="Q5219" s="15" t="str">
        <f>+CONCATENATE(E5219,G5219)</f>
        <v/>
      </c>
      <c r="R5219" s="15">
        <f>+H5219</f>
        <v>0</v>
      </c>
      <c r="S5219" s="16"/>
      <c r="T5219" s="15">
        <f>+E5219</f>
        <v>0</v>
      </c>
      <c r="U5219" s="26" t="str">
        <f t="shared" ref="U5219" si="2843">IFERROR(LEFT(G5219,FIND("*",G5219)-1),"-")</f>
        <v>-</v>
      </c>
      <c r="V5219" s="26" t="str">
        <f t="shared" ref="V5219" si="2844">IFERROR(RIGHT(G5219,LEN(G5219)-FIND("*",G5219)),"-")</f>
        <v>-</v>
      </c>
      <c r="W5219" s="27" t="str">
        <f t="shared" si="2842"/>
        <v>-</v>
      </c>
      <c r="X5219" s="27" t="str">
        <f>IFERROR(W5219*H5219,"-")</f>
        <v>-</v>
      </c>
      <c r="Z5219" s="94" t="s">
        <v>82</v>
      </c>
    </row>
    <row r="5220" spans="1:26" s="25" customFormat="1" ht="6.95" customHeight="1" x14ac:dyDescent="0.3">
      <c r="A5220" s="10"/>
      <c r="B5220" s="168"/>
      <c r="C5220" s="169"/>
      <c r="D5220" s="160"/>
      <c r="E5220" s="161"/>
      <c r="F5220" s="162"/>
      <c r="G5220" s="163"/>
      <c r="H5220" s="164"/>
      <c r="I5220" s="163"/>
      <c r="J5220" s="164"/>
      <c r="K5220" s="163"/>
      <c r="L5220" s="164"/>
      <c r="M5220" s="11"/>
      <c r="N5220" s="39"/>
      <c r="Q5220" s="15" t="str">
        <f>+CONCATENATE(E5219,I5219)</f>
        <v/>
      </c>
      <c r="R5220" s="15">
        <f>+J5219</f>
        <v>0</v>
      </c>
      <c r="S5220" s="16"/>
      <c r="T5220" s="15">
        <f>+E5219</f>
        <v>0</v>
      </c>
      <c r="U5220" s="26" t="str">
        <f>IFERROR(LEFT(I5219,FIND("*",I5219)-1),"-")</f>
        <v>-</v>
      </c>
      <c r="V5220" s="26" t="str">
        <f>IFERROR(RIGHT(I5219,LEN(I5219)-FIND("*",I5219)),"-")</f>
        <v>-</v>
      </c>
      <c r="W5220" s="27" t="str">
        <f t="shared" si="2842"/>
        <v>-</v>
      </c>
      <c r="X5220" s="27" t="str">
        <f>IFERROR(W5220*J5219,"-")</f>
        <v>-</v>
      </c>
      <c r="Z5220" s="94" t="s">
        <v>82</v>
      </c>
    </row>
    <row r="5221" spans="1:26" s="25" customFormat="1" ht="6.95" customHeight="1" x14ac:dyDescent="0.3">
      <c r="A5221" s="10"/>
      <c r="B5221" s="168"/>
      <c r="C5221" s="169"/>
      <c r="D5221" s="160"/>
      <c r="E5221" s="161"/>
      <c r="F5221" s="162"/>
      <c r="G5221" s="163"/>
      <c r="H5221" s="164"/>
      <c r="I5221" s="163"/>
      <c r="J5221" s="164"/>
      <c r="K5221" s="163"/>
      <c r="L5221" s="164"/>
      <c r="M5221" s="11"/>
      <c r="N5221" s="39"/>
      <c r="Q5221" s="15" t="str">
        <f>+CONCATENATE(E5219,K5219)</f>
        <v/>
      </c>
      <c r="R5221" s="15">
        <f>+L5219</f>
        <v>0</v>
      </c>
      <c r="S5221" s="16"/>
      <c r="T5221" s="15">
        <f>+E5219</f>
        <v>0</v>
      </c>
      <c r="U5221" s="26" t="str">
        <f>IFERROR(LEFT(K5219,FIND("*",K5219)-1),"-")</f>
        <v>-</v>
      </c>
      <c r="V5221" s="26" t="str">
        <f>IFERROR(RIGHT(K5219,LEN(K5219)-FIND("*",K5219)),"-")</f>
        <v>-</v>
      </c>
      <c r="W5221" s="27" t="str">
        <f t="shared" si="2842"/>
        <v>-</v>
      </c>
      <c r="X5221" s="27" t="str">
        <f>IFERROR(W5221*L5219,"-")</f>
        <v>-</v>
      </c>
      <c r="Z5221" s="94" t="s">
        <v>82</v>
      </c>
    </row>
    <row r="5222" spans="1:26" s="25" customFormat="1" ht="6.95" customHeight="1" x14ac:dyDescent="0.3">
      <c r="A5222" s="13"/>
      <c r="B5222" s="168"/>
      <c r="C5222" s="169"/>
      <c r="D5222" s="160" t="s">
        <v>39</v>
      </c>
      <c r="E5222" s="161"/>
      <c r="F5222" s="162" t="s">
        <v>40</v>
      </c>
      <c r="G5222" s="163"/>
      <c r="H5222" s="164"/>
      <c r="I5222" s="163"/>
      <c r="J5222" s="164"/>
      <c r="K5222" s="163"/>
      <c r="L5222" s="164"/>
      <c r="M5222" s="11"/>
      <c r="N5222" s="39"/>
      <c r="Q5222" s="15" t="str">
        <f>+CONCATENATE(E5222,G5222)</f>
        <v/>
      </c>
      <c r="R5222" s="15">
        <f>+H5222</f>
        <v>0</v>
      </c>
      <c r="S5222" s="16"/>
      <c r="T5222" s="15">
        <f>+E5222</f>
        <v>0</v>
      </c>
      <c r="U5222" s="26" t="str">
        <f t="shared" ref="U5222" si="2845">IFERROR(LEFT(G5222,FIND("*",G5222)-1),"-")</f>
        <v>-</v>
      </c>
      <c r="V5222" s="26" t="str">
        <f t="shared" ref="V5222" si="2846">IFERROR(RIGHT(G5222,LEN(G5222)-FIND("*",G5222)),"-")</f>
        <v>-</v>
      </c>
      <c r="W5222" s="27" t="str">
        <f t="shared" si="2842"/>
        <v>-</v>
      </c>
      <c r="X5222" s="27" t="str">
        <f>IFERROR(W5222*H5222,"-")</f>
        <v>-</v>
      </c>
      <c r="Z5222" s="94" t="s">
        <v>82</v>
      </c>
    </row>
    <row r="5223" spans="1:26" s="25" customFormat="1" ht="6.95" customHeight="1" x14ac:dyDescent="0.3">
      <c r="A5223" s="10"/>
      <c r="B5223" s="168"/>
      <c r="C5223" s="169"/>
      <c r="D5223" s="160"/>
      <c r="E5223" s="161"/>
      <c r="F5223" s="162"/>
      <c r="G5223" s="163"/>
      <c r="H5223" s="164"/>
      <c r="I5223" s="163"/>
      <c r="J5223" s="164"/>
      <c r="K5223" s="163"/>
      <c r="L5223" s="164"/>
      <c r="M5223" s="11"/>
      <c r="N5223" s="39"/>
      <c r="Q5223" s="15" t="str">
        <f>+CONCATENATE(E5222,I5222)</f>
        <v/>
      </c>
      <c r="R5223" s="15">
        <f>+J5222</f>
        <v>0</v>
      </c>
      <c r="S5223" s="16"/>
      <c r="T5223" s="15">
        <f>+E5222</f>
        <v>0</v>
      </c>
      <c r="U5223" s="26" t="str">
        <f>IFERROR(LEFT(I5222,FIND("*",I5222)-1),"-")</f>
        <v>-</v>
      </c>
      <c r="V5223" s="26" t="str">
        <f>IFERROR(RIGHT(I5222,LEN(I5222)-FIND("*",I5222)),"-")</f>
        <v>-</v>
      </c>
      <c r="W5223" s="27" t="str">
        <f t="shared" si="2842"/>
        <v>-</v>
      </c>
      <c r="X5223" s="27" t="str">
        <f t="shared" ref="X5223" si="2847">IFERROR(W5223*J5222,"-")</f>
        <v>-</v>
      </c>
      <c r="Z5223" s="94" t="s">
        <v>82</v>
      </c>
    </row>
    <row r="5224" spans="1:26" s="25" customFormat="1" ht="6.95" customHeight="1" x14ac:dyDescent="0.3">
      <c r="A5224" s="10"/>
      <c r="B5224" s="168"/>
      <c r="C5224" s="169"/>
      <c r="D5224" s="160"/>
      <c r="E5224" s="161"/>
      <c r="F5224" s="162"/>
      <c r="G5224" s="163"/>
      <c r="H5224" s="164"/>
      <c r="I5224" s="163"/>
      <c r="J5224" s="164"/>
      <c r="K5224" s="163"/>
      <c r="L5224" s="164"/>
      <c r="M5224" s="11"/>
      <c r="N5224" s="39"/>
      <c r="Q5224" s="15" t="str">
        <f>+CONCATENATE(E5222,K5222)</f>
        <v/>
      </c>
      <c r="R5224" s="15">
        <f>+L5222</f>
        <v>0</v>
      </c>
      <c r="S5224" s="16"/>
      <c r="T5224" s="15">
        <f>+E5222</f>
        <v>0</v>
      </c>
      <c r="U5224" s="26" t="str">
        <f>IFERROR(LEFT(K5222,FIND("*",K5222)-1),"-")</f>
        <v>-</v>
      </c>
      <c r="V5224" s="26" t="str">
        <f>IFERROR(RIGHT(K5222,LEN(K5222)-FIND("*",K5222)),"-")</f>
        <v>-</v>
      </c>
      <c r="W5224" s="27" t="str">
        <f t="shared" si="2842"/>
        <v>-</v>
      </c>
      <c r="X5224" s="27" t="str">
        <f>IFERROR(W5224*L5222,"-")</f>
        <v>-</v>
      </c>
      <c r="Z5224" s="94" t="s">
        <v>82</v>
      </c>
    </row>
    <row r="5225" spans="1:26" s="25" customFormat="1" ht="21" customHeight="1" thickBot="1" x14ac:dyDescent="0.35">
      <c r="A5225" s="10"/>
      <c r="B5225" s="170"/>
      <c r="C5225" s="171"/>
      <c r="D5225" s="172" t="s">
        <v>43</v>
      </c>
      <c r="E5225" s="173"/>
      <c r="F5225" s="173"/>
      <c r="G5225" s="174"/>
      <c r="H5225" s="174"/>
      <c r="I5225" s="174"/>
      <c r="J5225" s="174"/>
      <c r="K5225" s="174"/>
      <c r="L5225" s="174"/>
      <c r="M5225" s="12"/>
      <c r="N5225" s="39"/>
      <c r="U5225" s="23"/>
      <c r="V5225" s="23"/>
      <c r="Z5225" s="95" t="s">
        <v>81</v>
      </c>
    </row>
    <row r="5226" spans="1:26" s="25" customFormat="1" ht="9.9499999999999993" customHeight="1" thickBot="1" x14ac:dyDescent="0.35">
      <c r="A5226" s="6"/>
      <c r="B5226" s="14"/>
      <c r="C5226" s="119"/>
      <c r="D5226" s="58"/>
      <c r="E5226" s="17"/>
      <c r="F5226" s="58"/>
      <c r="G5226" s="19"/>
      <c r="H5226" s="19"/>
      <c r="I5226" s="19"/>
      <c r="J5226" s="19"/>
      <c r="K5226" s="19"/>
      <c r="L5226" s="19"/>
      <c r="M5226" s="14"/>
      <c r="N5226" s="39"/>
      <c r="Q5226" s="1"/>
      <c r="R5226" s="1"/>
      <c r="S5226" s="1"/>
      <c r="T5226" s="1"/>
      <c r="U5226" s="24"/>
      <c r="V5226" s="24"/>
      <c r="W5226" s="1"/>
      <c r="X5226" s="1"/>
      <c r="Z5226" s="94" t="s">
        <v>82</v>
      </c>
    </row>
    <row r="5227" spans="1:26" s="25" customFormat="1" ht="6.95" customHeight="1" x14ac:dyDescent="0.3">
      <c r="A5227" s="165">
        <f>+A5216+1</f>
        <v>476</v>
      </c>
      <c r="B5227" s="166"/>
      <c r="C5227" s="167"/>
      <c r="D5227" s="160" t="s">
        <v>39</v>
      </c>
      <c r="E5227" s="161"/>
      <c r="F5227" s="162" t="s">
        <v>40</v>
      </c>
      <c r="G5227" s="163"/>
      <c r="H5227" s="164"/>
      <c r="I5227" s="163"/>
      <c r="J5227" s="164"/>
      <c r="K5227" s="163"/>
      <c r="L5227" s="164"/>
      <c r="M5227" s="11"/>
      <c r="N5227" s="39"/>
      <c r="Q5227" s="15" t="str">
        <f>+CONCATENATE(E5227,G5227)</f>
        <v/>
      </c>
      <c r="R5227" s="15">
        <f>+H5227</f>
        <v>0</v>
      </c>
      <c r="S5227" s="16"/>
      <c r="T5227" s="15">
        <f>+E5227</f>
        <v>0</v>
      </c>
      <c r="U5227" s="26" t="str">
        <f>IFERROR(LEFT(G5227,FIND("*",G5227)-1),"-")</f>
        <v>-</v>
      </c>
      <c r="V5227" s="26" t="str">
        <f>IFERROR(RIGHT(G5227,LEN(G5227)-FIND("*",G5227)),"-")</f>
        <v>-</v>
      </c>
      <c r="W5227" s="27" t="str">
        <f>IFERROR((U5227+V5227)*2/1000,"-")</f>
        <v>-</v>
      </c>
      <c r="X5227" s="27" t="str">
        <f>IFERROR(W5227*H5227,"-")</f>
        <v>-</v>
      </c>
      <c r="Z5227" s="94" t="s">
        <v>82</v>
      </c>
    </row>
    <row r="5228" spans="1:26" s="25" customFormat="1" ht="6.95" customHeight="1" x14ac:dyDescent="0.3">
      <c r="A5228" s="165"/>
      <c r="B5228" s="168"/>
      <c r="C5228" s="169"/>
      <c r="D5228" s="160"/>
      <c r="E5228" s="161"/>
      <c r="F5228" s="162"/>
      <c r="G5228" s="163"/>
      <c r="H5228" s="164"/>
      <c r="I5228" s="163"/>
      <c r="J5228" s="164"/>
      <c r="K5228" s="163"/>
      <c r="L5228" s="164"/>
      <c r="M5228" s="11"/>
      <c r="N5228" s="39"/>
      <c r="Q5228" s="15" t="str">
        <f>+CONCATENATE(E5227,I5227)</f>
        <v/>
      </c>
      <c r="R5228" s="15">
        <f>+J5227</f>
        <v>0</v>
      </c>
      <c r="S5228" s="16"/>
      <c r="T5228" s="15">
        <f>+E5227</f>
        <v>0</v>
      </c>
      <c r="U5228" s="26" t="str">
        <f>IFERROR(LEFT(I5227,FIND("*",I5227)-1),"-")</f>
        <v>-</v>
      </c>
      <c r="V5228" s="26" t="str">
        <f>IFERROR(RIGHT(I5227,LEN(I5227)-FIND("*",I5227)),"-")</f>
        <v>-</v>
      </c>
      <c r="W5228" s="27" t="str">
        <f t="shared" ref="W5228:W5235" si="2848">IFERROR((U5228+V5228)*2/1000,"-")</f>
        <v>-</v>
      </c>
      <c r="X5228" s="27" t="str">
        <f>IFERROR(W5228*J5227,"-")</f>
        <v>-</v>
      </c>
      <c r="Z5228" s="94" t="s">
        <v>82</v>
      </c>
    </row>
    <row r="5229" spans="1:26" s="25" customFormat="1" ht="6.95" customHeight="1" x14ac:dyDescent="0.3">
      <c r="A5229" s="165"/>
      <c r="B5229" s="168"/>
      <c r="C5229" s="169"/>
      <c r="D5229" s="160"/>
      <c r="E5229" s="161"/>
      <c r="F5229" s="162"/>
      <c r="G5229" s="163"/>
      <c r="H5229" s="164"/>
      <c r="I5229" s="163"/>
      <c r="J5229" s="164"/>
      <c r="K5229" s="163"/>
      <c r="L5229" s="164"/>
      <c r="M5229" s="11"/>
      <c r="N5229" s="39"/>
      <c r="Q5229" s="15" t="str">
        <f>+CONCATENATE(E5227,K5227)</f>
        <v/>
      </c>
      <c r="R5229" s="15">
        <f>+L5227</f>
        <v>0</v>
      </c>
      <c r="S5229" s="16"/>
      <c r="T5229" s="15">
        <f>+E5227</f>
        <v>0</v>
      </c>
      <c r="U5229" s="26" t="str">
        <f>IFERROR(LEFT(K5227,FIND("*",K5227)-1),"-")</f>
        <v>-</v>
      </c>
      <c r="V5229" s="26" t="str">
        <f>IFERROR(RIGHT(K5227,LEN(K5227)-FIND("*",K5227)),"-")</f>
        <v>-</v>
      </c>
      <c r="W5229" s="27" t="str">
        <f t="shared" si="2848"/>
        <v>-</v>
      </c>
      <c r="X5229" s="27" t="str">
        <f>IFERROR(W5229*L5227,"-")</f>
        <v>-</v>
      </c>
      <c r="Z5229" s="94" t="s">
        <v>82</v>
      </c>
    </row>
    <row r="5230" spans="1:26" s="25" customFormat="1" ht="6.95" customHeight="1" x14ac:dyDescent="0.3">
      <c r="A5230" s="13"/>
      <c r="B5230" s="168"/>
      <c r="C5230" s="169"/>
      <c r="D5230" s="160" t="s">
        <v>39</v>
      </c>
      <c r="E5230" s="161"/>
      <c r="F5230" s="162" t="s">
        <v>40</v>
      </c>
      <c r="G5230" s="163"/>
      <c r="H5230" s="164"/>
      <c r="I5230" s="163"/>
      <c r="J5230" s="164"/>
      <c r="K5230" s="163"/>
      <c r="L5230" s="164"/>
      <c r="M5230" s="11"/>
      <c r="N5230" s="39"/>
      <c r="Q5230" s="15" t="str">
        <f>+CONCATENATE(E5230,G5230)</f>
        <v/>
      </c>
      <c r="R5230" s="15">
        <f>+H5230</f>
        <v>0</v>
      </c>
      <c r="S5230" s="16"/>
      <c r="T5230" s="15">
        <f>+E5230</f>
        <v>0</v>
      </c>
      <c r="U5230" s="26" t="str">
        <f t="shared" ref="U5230" si="2849">IFERROR(LEFT(G5230,FIND("*",G5230)-1),"-")</f>
        <v>-</v>
      </c>
      <c r="V5230" s="26" t="str">
        <f t="shared" ref="V5230" si="2850">IFERROR(RIGHT(G5230,LEN(G5230)-FIND("*",G5230)),"-")</f>
        <v>-</v>
      </c>
      <c r="W5230" s="27" t="str">
        <f t="shared" si="2848"/>
        <v>-</v>
      </c>
      <c r="X5230" s="27" t="str">
        <f>IFERROR(W5230*H5230,"-")</f>
        <v>-</v>
      </c>
      <c r="Z5230" s="94" t="s">
        <v>82</v>
      </c>
    </row>
    <row r="5231" spans="1:26" s="25" customFormat="1" ht="6.95" customHeight="1" x14ac:dyDescent="0.3">
      <c r="A5231" s="10"/>
      <c r="B5231" s="168"/>
      <c r="C5231" s="169"/>
      <c r="D5231" s="160"/>
      <c r="E5231" s="161"/>
      <c r="F5231" s="162"/>
      <c r="G5231" s="163"/>
      <c r="H5231" s="164"/>
      <c r="I5231" s="163"/>
      <c r="J5231" s="164"/>
      <c r="K5231" s="163"/>
      <c r="L5231" s="164"/>
      <c r="M5231" s="11"/>
      <c r="N5231" s="39"/>
      <c r="Q5231" s="15" t="str">
        <f>+CONCATENATE(E5230,I5230)</f>
        <v/>
      </c>
      <c r="R5231" s="15">
        <f>+J5230</f>
        <v>0</v>
      </c>
      <c r="S5231" s="16"/>
      <c r="T5231" s="15">
        <f>+E5230</f>
        <v>0</v>
      </c>
      <c r="U5231" s="26" t="str">
        <f>IFERROR(LEFT(I5230,FIND("*",I5230)-1),"-")</f>
        <v>-</v>
      </c>
      <c r="V5231" s="26" t="str">
        <f>IFERROR(RIGHT(I5230,LEN(I5230)-FIND("*",I5230)),"-")</f>
        <v>-</v>
      </c>
      <c r="W5231" s="27" t="str">
        <f t="shared" si="2848"/>
        <v>-</v>
      </c>
      <c r="X5231" s="27" t="str">
        <f>IFERROR(W5231*J5230,"-")</f>
        <v>-</v>
      </c>
      <c r="Z5231" s="94" t="s">
        <v>82</v>
      </c>
    </row>
    <row r="5232" spans="1:26" s="25" customFormat="1" ht="6.95" customHeight="1" x14ac:dyDescent="0.3">
      <c r="A5232" s="10"/>
      <c r="B5232" s="168"/>
      <c r="C5232" s="169"/>
      <c r="D5232" s="160"/>
      <c r="E5232" s="161"/>
      <c r="F5232" s="162"/>
      <c r="G5232" s="163"/>
      <c r="H5232" s="164"/>
      <c r="I5232" s="163"/>
      <c r="J5232" s="164"/>
      <c r="K5232" s="163"/>
      <c r="L5232" s="164"/>
      <c r="M5232" s="11"/>
      <c r="N5232" s="39"/>
      <c r="Q5232" s="15" t="str">
        <f>+CONCATENATE(E5230,K5230)</f>
        <v/>
      </c>
      <c r="R5232" s="15">
        <f>+L5230</f>
        <v>0</v>
      </c>
      <c r="S5232" s="16"/>
      <c r="T5232" s="15">
        <f>+E5230</f>
        <v>0</v>
      </c>
      <c r="U5232" s="26" t="str">
        <f>IFERROR(LEFT(K5230,FIND("*",K5230)-1),"-")</f>
        <v>-</v>
      </c>
      <c r="V5232" s="26" t="str">
        <f>IFERROR(RIGHT(K5230,LEN(K5230)-FIND("*",K5230)),"-")</f>
        <v>-</v>
      </c>
      <c r="W5232" s="27" t="str">
        <f t="shared" si="2848"/>
        <v>-</v>
      </c>
      <c r="X5232" s="27" t="str">
        <f>IFERROR(W5232*L5230,"-")</f>
        <v>-</v>
      </c>
      <c r="Z5232" s="94" t="s">
        <v>82</v>
      </c>
    </row>
    <row r="5233" spans="1:26" s="25" customFormat="1" ht="6.95" customHeight="1" x14ac:dyDescent="0.3">
      <c r="A5233" s="13"/>
      <c r="B5233" s="168"/>
      <c r="C5233" s="169"/>
      <c r="D5233" s="160" t="s">
        <v>39</v>
      </c>
      <c r="E5233" s="161"/>
      <c r="F5233" s="162" t="s">
        <v>40</v>
      </c>
      <c r="G5233" s="163"/>
      <c r="H5233" s="164"/>
      <c r="I5233" s="163"/>
      <c r="J5233" s="164"/>
      <c r="K5233" s="163"/>
      <c r="L5233" s="164"/>
      <c r="M5233" s="11"/>
      <c r="N5233" s="39"/>
      <c r="Q5233" s="15" t="str">
        <f>+CONCATENATE(E5233,G5233)</f>
        <v/>
      </c>
      <c r="R5233" s="15">
        <f>+H5233</f>
        <v>0</v>
      </c>
      <c r="S5233" s="16"/>
      <c r="T5233" s="15">
        <f>+E5233</f>
        <v>0</v>
      </c>
      <c r="U5233" s="26" t="str">
        <f t="shared" ref="U5233" si="2851">IFERROR(LEFT(G5233,FIND("*",G5233)-1),"-")</f>
        <v>-</v>
      </c>
      <c r="V5233" s="26" t="str">
        <f t="shared" ref="V5233" si="2852">IFERROR(RIGHT(G5233,LEN(G5233)-FIND("*",G5233)),"-")</f>
        <v>-</v>
      </c>
      <c r="W5233" s="27" t="str">
        <f t="shared" si="2848"/>
        <v>-</v>
      </c>
      <c r="X5233" s="27" t="str">
        <f>IFERROR(W5233*H5233,"-")</f>
        <v>-</v>
      </c>
      <c r="Z5233" s="94" t="s">
        <v>82</v>
      </c>
    </row>
    <row r="5234" spans="1:26" s="25" customFormat="1" ht="6.95" customHeight="1" x14ac:dyDescent="0.3">
      <c r="A5234" s="10"/>
      <c r="B5234" s="168"/>
      <c r="C5234" s="169"/>
      <c r="D5234" s="160"/>
      <c r="E5234" s="161"/>
      <c r="F5234" s="162"/>
      <c r="G5234" s="163"/>
      <c r="H5234" s="164"/>
      <c r="I5234" s="163"/>
      <c r="J5234" s="164"/>
      <c r="K5234" s="163"/>
      <c r="L5234" s="164"/>
      <c r="M5234" s="11"/>
      <c r="N5234" s="39"/>
      <c r="Q5234" s="15" t="str">
        <f>+CONCATENATE(E5233,I5233)</f>
        <v/>
      </c>
      <c r="R5234" s="15">
        <f>+J5233</f>
        <v>0</v>
      </c>
      <c r="S5234" s="16"/>
      <c r="T5234" s="15">
        <f>+E5233</f>
        <v>0</v>
      </c>
      <c r="U5234" s="26" t="str">
        <f>IFERROR(LEFT(I5233,FIND("*",I5233)-1),"-")</f>
        <v>-</v>
      </c>
      <c r="V5234" s="26" t="str">
        <f>IFERROR(RIGHT(I5233,LEN(I5233)-FIND("*",I5233)),"-")</f>
        <v>-</v>
      </c>
      <c r="W5234" s="27" t="str">
        <f t="shared" si="2848"/>
        <v>-</v>
      </c>
      <c r="X5234" s="27" t="str">
        <f t="shared" ref="X5234" si="2853">IFERROR(W5234*J5233,"-")</f>
        <v>-</v>
      </c>
      <c r="Z5234" s="94" t="s">
        <v>82</v>
      </c>
    </row>
    <row r="5235" spans="1:26" s="25" customFormat="1" ht="6.95" customHeight="1" x14ac:dyDescent="0.3">
      <c r="A5235" s="10"/>
      <c r="B5235" s="168"/>
      <c r="C5235" s="169"/>
      <c r="D5235" s="160"/>
      <c r="E5235" s="161"/>
      <c r="F5235" s="162"/>
      <c r="G5235" s="163"/>
      <c r="H5235" s="164"/>
      <c r="I5235" s="163"/>
      <c r="J5235" s="164"/>
      <c r="K5235" s="163"/>
      <c r="L5235" s="164"/>
      <c r="M5235" s="11"/>
      <c r="N5235" s="39"/>
      <c r="Q5235" s="15" t="str">
        <f>+CONCATENATE(E5233,K5233)</f>
        <v/>
      </c>
      <c r="R5235" s="15">
        <f>+L5233</f>
        <v>0</v>
      </c>
      <c r="S5235" s="16"/>
      <c r="T5235" s="15">
        <f>+E5233</f>
        <v>0</v>
      </c>
      <c r="U5235" s="26" t="str">
        <f>IFERROR(LEFT(K5233,FIND("*",K5233)-1),"-")</f>
        <v>-</v>
      </c>
      <c r="V5235" s="26" t="str">
        <f>IFERROR(RIGHT(K5233,LEN(K5233)-FIND("*",K5233)),"-")</f>
        <v>-</v>
      </c>
      <c r="W5235" s="27" t="str">
        <f t="shared" si="2848"/>
        <v>-</v>
      </c>
      <c r="X5235" s="27" t="str">
        <f>IFERROR(W5235*L5233,"-")</f>
        <v>-</v>
      </c>
      <c r="Z5235" s="94" t="s">
        <v>82</v>
      </c>
    </row>
    <row r="5236" spans="1:26" s="25" customFormat="1" ht="21" customHeight="1" thickBot="1" x14ac:dyDescent="0.35">
      <c r="A5236" s="10"/>
      <c r="B5236" s="170"/>
      <c r="C5236" s="171"/>
      <c r="D5236" s="172" t="s">
        <v>43</v>
      </c>
      <c r="E5236" s="173"/>
      <c r="F5236" s="173"/>
      <c r="G5236" s="174"/>
      <c r="H5236" s="174"/>
      <c r="I5236" s="174"/>
      <c r="J5236" s="174"/>
      <c r="K5236" s="174"/>
      <c r="L5236" s="174"/>
      <c r="M5236" s="12"/>
      <c r="N5236" s="39"/>
      <c r="U5236" s="23"/>
      <c r="V5236" s="23"/>
      <c r="Z5236" s="95" t="s">
        <v>81</v>
      </c>
    </row>
    <row r="5237" spans="1:26" s="25" customFormat="1" ht="9.9499999999999993" customHeight="1" thickBot="1" x14ac:dyDescent="0.35">
      <c r="A5237" s="6"/>
      <c r="B5237" s="14"/>
      <c r="C5237" s="119"/>
      <c r="D5237" s="58"/>
      <c r="E5237" s="17"/>
      <c r="F5237" s="58"/>
      <c r="G5237" s="19"/>
      <c r="H5237" s="19"/>
      <c r="I5237" s="19"/>
      <c r="J5237" s="19"/>
      <c r="K5237" s="19"/>
      <c r="L5237" s="19"/>
      <c r="M5237" s="14"/>
      <c r="N5237" s="39"/>
      <c r="Q5237" s="1"/>
      <c r="R5237" s="1"/>
      <c r="S5237" s="1"/>
      <c r="T5237" s="1"/>
      <c r="U5237" s="24"/>
      <c r="V5237" s="24"/>
      <c r="W5237" s="1"/>
      <c r="X5237" s="1"/>
      <c r="Z5237" s="94" t="s">
        <v>82</v>
      </c>
    </row>
    <row r="5238" spans="1:26" s="25" customFormat="1" ht="6.95" customHeight="1" x14ac:dyDescent="0.3">
      <c r="A5238" s="165">
        <f>+A5227+1</f>
        <v>477</v>
      </c>
      <c r="B5238" s="166"/>
      <c r="C5238" s="167"/>
      <c r="D5238" s="160" t="s">
        <v>39</v>
      </c>
      <c r="E5238" s="161"/>
      <c r="F5238" s="162" t="s">
        <v>40</v>
      </c>
      <c r="G5238" s="163"/>
      <c r="H5238" s="164"/>
      <c r="I5238" s="163"/>
      <c r="J5238" s="164"/>
      <c r="K5238" s="163"/>
      <c r="L5238" s="164"/>
      <c r="M5238" s="11"/>
      <c r="N5238" s="39"/>
      <c r="Q5238" s="15" t="str">
        <f>+CONCATENATE(E5238,G5238)</f>
        <v/>
      </c>
      <c r="R5238" s="15">
        <f>+H5238</f>
        <v>0</v>
      </c>
      <c r="S5238" s="16"/>
      <c r="T5238" s="15">
        <f>+E5238</f>
        <v>0</v>
      </c>
      <c r="U5238" s="26" t="str">
        <f>IFERROR(LEFT(G5238,FIND("*",G5238)-1),"-")</f>
        <v>-</v>
      </c>
      <c r="V5238" s="26" t="str">
        <f>IFERROR(RIGHT(G5238,LEN(G5238)-FIND("*",G5238)),"-")</f>
        <v>-</v>
      </c>
      <c r="W5238" s="27" t="str">
        <f>IFERROR((U5238+V5238)*2/1000,"-")</f>
        <v>-</v>
      </c>
      <c r="X5238" s="27" t="str">
        <f>IFERROR(W5238*H5238,"-")</f>
        <v>-</v>
      </c>
      <c r="Z5238" s="94" t="s">
        <v>82</v>
      </c>
    </row>
    <row r="5239" spans="1:26" s="25" customFormat="1" ht="6.95" customHeight="1" x14ac:dyDescent="0.3">
      <c r="A5239" s="165"/>
      <c r="B5239" s="168"/>
      <c r="C5239" s="169"/>
      <c r="D5239" s="160"/>
      <c r="E5239" s="161"/>
      <c r="F5239" s="162"/>
      <c r="G5239" s="163"/>
      <c r="H5239" s="164"/>
      <c r="I5239" s="163"/>
      <c r="J5239" s="164"/>
      <c r="K5239" s="163"/>
      <c r="L5239" s="164"/>
      <c r="M5239" s="11"/>
      <c r="N5239" s="39"/>
      <c r="Q5239" s="15" t="str">
        <f>+CONCATENATE(E5238,I5238)</f>
        <v/>
      </c>
      <c r="R5239" s="15">
        <f>+J5238</f>
        <v>0</v>
      </c>
      <c r="S5239" s="16"/>
      <c r="T5239" s="15">
        <f>+E5238</f>
        <v>0</v>
      </c>
      <c r="U5239" s="26" t="str">
        <f>IFERROR(LEFT(I5238,FIND("*",I5238)-1),"-")</f>
        <v>-</v>
      </c>
      <c r="V5239" s="26" t="str">
        <f>IFERROR(RIGHT(I5238,LEN(I5238)-FIND("*",I5238)),"-")</f>
        <v>-</v>
      </c>
      <c r="W5239" s="27" t="str">
        <f t="shared" ref="W5239:W5246" si="2854">IFERROR((U5239+V5239)*2/1000,"-")</f>
        <v>-</v>
      </c>
      <c r="X5239" s="27" t="str">
        <f>IFERROR(W5239*J5238,"-")</f>
        <v>-</v>
      </c>
      <c r="Z5239" s="94" t="s">
        <v>82</v>
      </c>
    </row>
    <row r="5240" spans="1:26" s="25" customFormat="1" ht="6.95" customHeight="1" x14ac:dyDescent="0.3">
      <c r="A5240" s="165"/>
      <c r="B5240" s="168"/>
      <c r="C5240" s="169"/>
      <c r="D5240" s="160"/>
      <c r="E5240" s="161"/>
      <c r="F5240" s="162"/>
      <c r="G5240" s="163"/>
      <c r="H5240" s="164"/>
      <c r="I5240" s="163"/>
      <c r="J5240" s="164"/>
      <c r="K5240" s="163"/>
      <c r="L5240" s="164"/>
      <c r="M5240" s="11"/>
      <c r="N5240" s="39"/>
      <c r="Q5240" s="15" t="str">
        <f>+CONCATENATE(E5238,K5238)</f>
        <v/>
      </c>
      <c r="R5240" s="15">
        <f>+L5238</f>
        <v>0</v>
      </c>
      <c r="S5240" s="16"/>
      <c r="T5240" s="15">
        <f>+E5238</f>
        <v>0</v>
      </c>
      <c r="U5240" s="26" t="str">
        <f>IFERROR(LEFT(K5238,FIND("*",K5238)-1),"-")</f>
        <v>-</v>
      </c>
      <c r="V5240" s="26" t="str">
        <f>IFERROR(RIGHT(K5238,LEN(K5238)-FIND("*",K5238)),"-")</f>
        <v>-</v>
      </c>
      <c r="W5240" s="27" t="str">
        <f t="shared" si="2854"/>
        <v>-</v>
      </c>
      <c r="X5240" s="27" t="str">
        <f>IFERROR(W5240*L5238,"-")</f>
        <v>-</v>
      </c>
      <c r="Z5240" s="94" t="s">
        <v>82</v>
      </c>
    </row>
    <row r="5241" spans="1:26" s="25" customFormat="1" ht="6.95" customHeight="1" x14ac:dyDescent="0.3">
      <c r="A5241" s="13"/>
      <c r="B5241" s="168"/>
      <c r="C5241" s="169"/>
      <c r="D5241" s="160" t="s">
        <v>39</v>
      </c>
      <c r="E5241" s="161"/>
      <c r="F5241" s="162" t="s">
        <v>40</v>
      </c>
      <c r="G5241" s="163"/>
      <c r="H5241" s="164"/>
      <c r="I5241" s="163"/>
      <c r="J5241" s="164"/>
      <c r="K5241" s="163"/>
      <c r="L5241" s="164"/>
      <c r="M5241" s="11"/>
      <c r="N5241" s="39"/>
      <c r="Q5241" s="15" t="str">
        <f>+CONCATENATE(E5241,G5241)</f>
        <v/>
      </c>
      <c r="R5241" s="15">
        <f>+H5241</f>
        <v>0</v>
      </c>
      <c r="S5241" s="16"/>
      <c r="T5241" s="15">
        <f>+E5241</f>
        <v>0</v>
      </c>
      <c r="U5241" s="26" t="str">
        <f t="shared" ref="U5241" si="2855">IFERROR(LEFT(G5241,FIND("*",G5241)-1),"-")</f>
        <v>-</v>
      </c>
      <c r="V5241" s="26" t="str">
        <f t="shared" ref="V5241" si="2856">IFERROR(RIGHT(G5241,LEN(G5241)-FIND("*",G5241)),"-")</f>
        <v>-</v>
      </c>
      <c r="W5241" s="27" t="str">
        <f t="shared" si="2854"/>
        <v>-</v>
      </c>
      <c r="X5241" s="27" t="str">
        <f>IFERROR(W5241*H5241,"-")</f>
        <v>-</v>
      </c>
      <c r="Z5241" s="94" t="s">
        <v>82</v>
      </c>
    </row>
    <row r="5242" spans="1:26" s="25" customFormat="1" ht="6.95" customHeight="1" x14ac:dyDescent="0.3">
      <c r="A5242" s="10"/>
      <c r="B5242" s="168"/>
      <c r="C5242" s="169"/>
      <c r="D5242" s="160"/>
      <c r="E5242" s="161"/>
      <c r="F5242" s="162"/>
      <c r="G5242" s="163"/>
      <c r="H5242" s="164"/>
      <c r="I5242" s="163"/>
      <c r="J5242" s="164"/>
      <c r="K5242" s="163"/>
      <c r="L5242" s="164"/>
      <c r="M5242" s="11"/>
      <c r="N5242" s="39"/>
      <c r="Q5242" s="15" t="str">
        <f>+CONCATENATE(E5241,I5241)</f>
        <v/>
      </c>
      <c r="R5242" s="15">
        <f>+J5241</f>
        <v>0</v>
      </c>
      <c r="S5242" s="16"/>
      <c r="T5242" s="15">
        <f>+E5241</f>
        <v>0</v>
      </c>
      <c r="U5242" s="26" t="str">
        <f>IFERROR(LEFT(I5241,FIND("*",I5241)-1),"-")</f>
        <v>-</v>
      </c>
      <c r="V5242" s="26" t="str">
        <f>IFERROR(RIGHT(I5241,LEN(I5241)-FIND("*",I5241)),"-")</f>
        <v>-</v>
      </c>
      <c r="W5242" s="27" t="str">
        <f t="shared" si="2854"/>
        <v>-</v>
      </c>
      <c r="X5242" s="27" t="str">
        <f>IFERROR(W5242*J5241,"-")</f>
        <v>-</v>
      </c>
      <c r="Z5242" s="94" t="s">
        <v>82</v>
      </c>
    </row>
    <row r="5243" spans="1:26" s="25" customFormat="1" ht="6.95" customHeight="1" x14ac:dyDescent="0.3">
      <c r="A5243" s="10"/>
      <c r="B5243" s="168"/>
      <c r="C5243" s="169"/>
      <c r="D5243" s="160"/>
      <c r="E5243" s="161"/>
      <c r="F5243" s="162"/>
      <c r="G5243" s="163"/>
      <c r="H5243" s="164"/>
      <c r="I5243" s="163"/>
      <c r="J5243" s="164"/>
      <c r="K5243" s="163"/>
      <c r="L5243" s="164"/>
      <c r="M5243" s="11"/>
      <c r="N5243" s="39"/>
      <c r="Q5243" s="15" t="str">
        <f>+CONCATENATE(E5241,K5241)</f>
        <v/>
      </c>
      <c r="R5243" s="15">
        <f>+L5241</f>
        <v>0</v>
      </c>
      <c r="S5243" s="16"/>
      <c r="T5243" s="15">
        <f>+E5241</f>
        <v>0</v>
      </c>
      <c r="U5243" s="26" t="str">
        <f>IFERROR(LEFT(K5241,FIND("*",K5241)-1),"-")</f>
        <v>-</v>
      </c>
      <c r="V5243" s="26" t="str">
        <f>IFERROR(RIGHT(K5241,LEN(K5241)-FIND("*",K5241)),"-")</f>
        <v>-</v>
      </c>
      <c r="W5243" s="27" t="str">
        <f t="shared" si="2854"/>
        <v>-</v>
      </c>
      <c r="X5243" s="27" t="str">
        <f>IFERROR(W5243*L5241,"-")</f>
        <v>-</v>
      </c>
      <c r="Z5243" s="94" t="s">
        <v>82</v>
      </c>
    </row>
    <row r="5244" spans="1:26" s="25" customFormat="1" ht="6.95" customHeight="1" x14ac:dyDescent="0.3">
      <c r="A5244" s="13"/>
      <c r="B5244" s="168"/>
      <c r="C5244" s="169"/>
      <c r="D5244" s="160" t="s">
        <v>39</v>
      </c>
      <c r="E5244" s="161"/>
      <c r="F5244" s="162" t="s">
        <v>40</v>
      </c>
      <c r="G5244" s="163"/>
      <c r="H5244" s="164"/>
      <c r="I5244" s="163"/>
      <c r="J5244" s="164"/>
      <c r="K5244" s="163"/>
      <c r="L5244" s="164"/>
      <c r="M5244" s="11"/>
      <c r="N5244" s="39"/>
      <c r="Q5244" s="15" t="str">
        <f>+CONCATENATE(E5244,G5244)</f>
        <v/>
      </c>
      <c r="R5244" s="15">
        <f>+H5244</f>
        <v>0</v>
      </c>
      <c r="S5244" s="16"/>
      <c r="T5244" s="15">
        <f>+E5244</f>
        <v>0</v>
      </c>
      <c r="U5244" s="26" t="str">
        <f t="shared" ref="U5244" si="2857">IFERROR(LEFT(G5244,FIND("*",G5244)-1),"-")</f>
        <v>-</v>
      </c>
      <c r="V5244" s="26" t="str">
        <f t="shared" ref="V5244" si="2858">IFERROR(RIGHT(G5244,LEN(G5244)-FIND("*",G5244)),"-")</f>
        <v>-</v>
      </c>
      <c r="W5244" s="27" t="str">
        <f t="shared" si="2854"/>
        <v>-</v>
      </c>
      <c r="X5244" s="27" t="str">
        <f>IFERROR(W5244*H5244,"-")</f>
        <v>-</v>
      </c>
      <c r="Z5244" s="94" t="s">
        <v>82</v>
      </c>
    </row>
    <row r="5245" spans="1:26" s="25" customFormat="1" ht="6.95" customHeight="1" x14ac:dyDescent="0.3">
      <c r="A5245" s="10"/>
      <c r="B5245" s="168"/>
      <c r="C5245" s="169"/>
      <c r="D5245" s="160"/>
      <c r="E5245" s="161"/>
      <c r="F5245" s="162"/>
      <c r="G5245" s="163"/>
      <c r="H5245" s="164"/>
      <c r="I5245" s="163"/>
      <c r="J5245" s="164"/>
      <c r="K5245" s="163"/>
      <c r="L5245" s="164"/>
      <c r="M5245" s="11"/>
      <c r="N5245" s="39"/>
      <c r="Q5245" s="15" t="str">
        <f>+CONCATENATE(E5244,I5244)</f>
        <v/>
      </c>
      <c r="R5245" s="15">
        <f>+J5244</f>
        <v>0</v>
      </c>
      <c r="S5245" s="16"/>
      <c r="T5245" s="15">
        <f>+E5244</f>
        <v>0</v>
      </c>
      <c r="U5245" s="26" t="str">
        <f>IFERROR(LEFT(I5244,FIND("*",I5244)-1),"-")</f>
        <v>-</v>
      </c>
      <c r="V5245" s="26" t="str">
        <f>IFERROR(RIGHT(I5244,LEN(I5244)-FIND("*",I5244)),"-")</f>
        <v>-</v>
      </c>
      <c r="W5245" s="27" t="str">
        <f t="shared" si="2854"/>
        <v>-</v>
      </c>
      <c r="X5245" s="27" t="str">
        <f t="shared" ref="X5245" si="2859">IFERROR(W5245*J5244,"-")</f>
        <v>-</v>
      </c>
      <c r="Z5245" s="94" t="s">
        <v>82</v>
      </c>
    </row>
    <row r="5246" spans="1:26" s="25" customFormat="1" ht="6.95" customHeight="1" x14ac:dyDescent="0.3">
      <c r="A5246" s="10"/>
      <c r="B5246" s="168"/>
      <c r="C5246" s="169"/>
      <c r="D5246" s="160"/>
      <c r="E5246" s="161"/>
      <c r="F5246" s="162"/>
      <c r="G5246" s="163"/>
      <c r="H5246" s="164"/>
      <c r="I5246" s="163"/>
      <c r="J5246" s="164"/>
      <c r="K5246" s="163"/>
      <c r="L5246" s="164"/>
      <c r="M5246" s="11"/>
      <c r="N5246" s="39"/>
      <c r="Q5246" s="15" t="str">
        <f>+CONCATENATE(E5244,K5244)</f>
        <v/>
      </c>
      <c r="R5246" s="15">
        <f>+L5244</f>
        <v>0</v>
      </c>
      <c r="S5246" s="16"/>
      <c r="T5246" s="15">
        <f>+E5244</f>
        <v>0</v>
      </c>
      <c r="U5246" s="26" t="str">
        <f>IFERROR(LEFT(K5244,FIND("*",K5244)-1),"-")</f>
        <v>-</v>
      </c>
      <c r="V5246" s="26" t="str">
        <f>IFERROR(RIGHT(K5244,LEN(K5244)-FIND("*",K5244)),"-")</f>
        <v>-</v>
      </c>
      <c r="W5246" s="27" t="str">
        <f t="shared" si="2854"/>
        <v>-</v>
      </c>
      <c r="X5246" s="27" t="str">
        <f>IFERROR(W5246*L5244,"-")</f>
        <v>-</v>
      </c>
      <c r="Z5246" s="94" t="s">
        <v>82</v>
      </c>
    </row>
    <row r="5247" spans="1:26" s="25" customFormat="1" ht="21" customHeight="1" thickBot="1" x14ac:dyDescent="0.35">
      <c r="A5247" s="10"/>
      <c r="B5247" s="170"/>
      <c r="C5247" s="171"/>
      <c r="D5247" s="172" t="s">
        <v>43</v>
      </c>
      <c r="E5247" s="173"/>
      <c r="F5247" s="173"/>
      <c r="G5247" s="174"/>
      <c r="H5247" s="174"/>
      <c r="I5247" s="174"/>
      <c r="J5247" s="174"/>
      <c r="K5247" s="174"/>
      <c r="L5247" s="174"/>
      <c r="M5247" s="12"/>
      <c r="N5247" s="39"/>
      <c r="U5247" s="23"/>
      <c r="V5247" s="23"/>
      <c r="Z5247" s="95" t="s">
        <v>81</v>
      </c>
    </row>
    <row r="5248" spans="1:26" s="25" customFormat="1" ht="9.9499999999999993" customHeight="1" thickBot="1" x14ac:dyDescent="0.35">
      <c r="A5248" s="6"/>
      <c r="B5248" s="14"/>
      <c r="C5248" s="119"/>
      <c r="D5248" s="58"/>
      <c r="E5248" s="17"/>
      <c r="F5248" s="58"/>
      <c r="G5248" s="19"/>
      <c r="H5248" s="19"/>
      <c r="I5248" s="19"/>
      <c r="J5248" s="19"/>
      <c r="K5248" s="19"/>
      <c r="L5248" s="19"/>
      <c r="M5248" s="14"/>
      <c r="N5248" s="39"/>
      <c r="Q5248" s="1"/>
      <c r="R5248" s="1"/>
      <c r="S5248" s="1"/>
      <c r="T5248" s="1"/>
      <c r="U5248" s="24"/>
      <c r="V5248" s="24"/>
      <c r="W5248" s="1"/>
      <c r="X5248" s="1"/>
      <c r="Z5248" s="94" t="s">
        <v>82</v>
      </c>
    </row>
    <row r="5249" spans="1:26" s="25" customFormat="1" ht="6.95" customHeight="1" x14ac:dyDescent="0.3">
      <c r="A5249" s="165">
        <f>+A5238+1</f>
        <v>478</v>
      </c>
      <c r="B5249" s="166"/>
      <c r="C5249" s="167"/>
      <c r="D5249" s="160" t="s">
        <v>39</v>
      </c>
      <c r="E5249" s="161"/>
      <c r="F5249" s="162" t="s">
        <v>40</v>
      </c>
      <c r="G5249" s="163"/>
      <c r="H5249" s="164"/>
      <c r="I5249" s="163"/>
      <c r="J5249" s="164"/>
      <c r="K5249" s="163"/>
      <c r="L5249" s="164"/>
      <c r="M5249" s="11"/>
      <c r="N5249" s="39"/>
      <c r="Q5249" s="15" t="str">
        <f>+CONCATENATE(E5249,G5249)</f>
        <v/>
      </c>
      <c r="R5249" s="15">
        <f>+H5249</f>
        <v>0</v>
      </c>
      <c r="S5249" s="16"/>
      <c r="T5249" s="15">
        <f>+E5249</f>
        <v>0</v>
      </c>
      <c r="U5249" s="26" t="str">
        <f>IFERROR(LEFT(G5249,FIND("*",G5249)-1),"-")</f>
        <v>-</v>
      </c>
      <c r="V5249" s="26" t="str">
        <f>IFERROR(RIGHT(G5249,LEN(G5249)-FIND("*",G5249)),"-")</f>
        <v>-</v>
      </c>
      <c r="W5249" s="27" t="str">
        <f>IFERROR((U5249+V5249)*2/1000,"-")</f>
        <v>-</v>
      </c>
      <c r="X5249" s="27" t="str">
        <f>IFERROR(W5249*H5249,"-")</f>
        <v>-</v>
      </c>
      <c r="Z5249" s="94" t="s">
        <v>82</v>
      </c>
    </row>
    <row r="5250" spans="1:26" s="25" customFormat="1" ht="6.95" customHeight="1" x14ac:dyDescent="0.3">
      <c r="A5250" s="165"/>
      <c r="B5250" s="168"/>
      <c r="C5250" s="169"/>
      <c r="D5250" s="160"/>
      <c r="E5250" s="161"/>
      <c r="F5250" s="162"/>
      <c r="G5250" s="163"/>
      <c r="H5250" s="164"/>
      <c r="I5250" s="163"/>
      <c r="J5250" s="164"/>
      <c r="K5250" s="163"/>
      <c r="L5250" s="164"/>
      <c r="M5250" s="11"/>
      <c r="N5250" s="39"/>
      <c r="Q5250" s="15" t="str">
        <f>+CONCATENATE(E5249,I5249)</f>
        <v/>
      </c>
      <c r="R5250" s="15">
        <f>+J5249</f>
        <v>0</v>
      </c>
      <c r="S5250" s="16"/>
      <c r="T5250" s="15">
        <f>+E5249</f>
        <v>0</v>
      </c>
      <c r="U5250" s="26" t="str">
        <f>IFERROR(LEFT(I5249,FIND("*",I5249)-1),"-")</f>
        <v>-</v>
      </c>
      <c r="V5250" s="26" t="str">
        <f>IFERROR(RIGHT(I5249,LEN(I5249)-FIND("*",I5249)),"-")</f>
        <v>-</v>
      </c>
      <c r="W5250" s="27" t="str">
        <f t="shared" ref="W5250:W5257" si="2860">IFERROR((U5250+V5250)*2/1000,"-")</f>
        <v>-</v>
      </c>
      <c r="X5250" s="27" t="str">
        <f>IFERROR(W5250*J5249,"-")</f>
        <v>-</v>
      </c>
      <c r="Z5250" s="94" t="s">
        <v>82</v>
      </c>
    </row>
    <row r="5251" spans="1:26" s="25" customFormat="1" ht="6.95" customHeight="1" x14ac:dyDescent="0.3">
      <c r="A5251" s="165"/>
      <c r="B5251" s="168"/>
      <c r="C5251" s="169"/>
      <c r="D5251" s="160"/>
      <c r="E5251" s="161"/>
      <c r="F5251" s="162"/>
      <c r="G5251" s="163"/>
      <c r="H5251" s="164"/>
      <c r="I5251" s="163"/>
      <c r="J5251" s="164"/>
      <c r="K5251" s="163"/>
      <c r="L5251" s="164"/>
      <c r="M5251" s="11"/>
      <c r="N5251" s="39"/>
      <c r="Q5251" s="15" t="str">
        <f>+CONCATENATE(E5249,K5249)</f>
        <v/>
      </c>
      <c r="R5251" s="15">
        <f>+L5249</f>
        <v>0</v>
      </c>
      <c r="S5251" s="16"/>
      <c r="T5251" s="15">
        <f>+E5249</f>
        <v>0</v>
      </c>
      <c r="U5251" s="26" t="str">
        <f>IFERROR(LEFT(K5249,FIND("*",K5249)-1),"-")</f>
        <v>-</v>
      </c>
      <c r="V5251" s="26" t="str">
        <f>IFERROR(RIGHT(K5249,LEN(K5249)-FIND("*",K5249)),"-")</f>
        <v>-</v>
      </c>
      <c r="W5251" s="27" t="str">
        <f t="shared" si="2860"/>
        <v>-</v>
      </c>
      <c r="X5251" s="27" t="str">
        <f>IFERROR(W5251*L5249,"-")</f>
        <v>-</v>
      </c>
      <c r="Z5251" s="94" t="s">
        <v>82</v>
      </c>
    </row>
    <row r="5252" spans="1:26" s="25" customFormat="1" ht="6.95" customHeight="1" x14ac:dyDescent="0.3">
      <c r="A5252" s="13"/>
      <c r="B5252" s="168"/>
      <c r="C5252" s="169"/>
      <c r="D5252" s="160" t="s">
        <v>39</v>
      </c>
      <c r="E5252" s="161"/>
      <c r="F5252" s="162" t="s">
        <v>40</v>
      </c>
      <c r="G5252" s="163"/>
      <c r="H5252" s="164"/>
      <c r="I5252" s="163"/>
      <c r="J5252" s="164"/>
      <c r="K5252" s="163"/>
      <c r="L5252" s="164"/>
      <c r="M5252" s="11"/>
      <c r="N5252" s="39"/>
      <c r="Q5252" s="15" t="str">
        <f>+CONCATENATE(E5252,G5252)</f>
        <v/>
      </c>
      <c r="R5252" s="15">
        <f>+H5252</f>
        <v>0</v>
      </c>
      <c r="S5252" s="16"/>
      <c r="T5252" s="15">
        <f>+E5252</f>
        <v>0</v>
      </c>
      <c r="U5252" s="26" t="str">
        <f t="shared" ref="U5252" si="2861">IFERROR(LEFT(G5252,FIND("*",G5252)-1),"-")</f>
        <v>-</v>
      </c>
      <c r="V5252" s="26" t="str">
        <f t="shared" ref="V5252" si="2862">IFERROR(RIGHT(G5252,LEN(G5252)-FIND("*",G5252)),"-")</f>
        <v>-</v>
      </c>
      <c r="W5252" s="27" t="str">
        <f t="shared" si="2860"/>
        <v>-</v>
      </c>
      <c r="X5252" s="27" t="str">
        <f>IFERROR(W5252*H5252,"-")</f>
        <v>-</v>
      </c>
      <c r="Z5252" s="94" t="s">
        <v>82</v>
      </c>
    </row>
    <row r="5253" spans="1:26" s="25" customFormat="1" ht="6.95" customHeight="1" x14ac:dyDescent="0.3">
      <c r="A5253" s="10"/>
      <c r="B5253" s="168"/>
      <c r="C5253" s="169"/>
      <c r="D5253" s="160"/>
      <c r="E5253" s="161"/>
      <c r="F5253" s="162"/>
      <c r="G5253" s="163"/>
      <c r="H5253" s="164"/>
      <c r="I5253" s="163"/>
      <c r="J5253" s="164"/>
      <c r="K5253" s="163"/>
      <c r="L5253" s="164"/>
      <c r="M5253" s="11"/>
      <c r="N5253" s="39"/>
      <c r="Q5253" s="15" t="str">
        <f>+CONCATENATE(E5252,I5252)</f>
        <v/>
      </c>
      <c r="R5253" s="15">
        <f>+J5252</f>
        <v>0</v>
      </c>
      <c r="S5253" s="16"/>
      <c r="T5253" s="15">
        <f>+E5252</f>
        <v>0</v>
      </c>
      <c r="U5253" s="26" t="str">
        <f>IFERROR(LEFT(I5252,FIND("*",I5252)-1),"-")</f>
        <v>-</v>
      </c>
      <c r="V5253" s="26" t="str">
        <f>IFERROR(RIGHT(I5252,LEN(I5252)-FIND("*",I5252)),"-")</f>
        <v>-</v>
      </c>
      <c r="W5253" s="27" t="str">
        <f t="shared" si="2860"/>
        <v>-</v>
      </c>
      <c r="X5253" s="27" t="str">
        <f>IFERROR(W5253*J5252,"-")</f>
        <v>-</v>
      </c>
      <c r="Z5253" s="94" t="s">
        <v>82</v>
      </c>
    </row>
    <row r="5254" spans="1:26" s="25" customFormat="1" ht="6.95" customHeight="1" x14ac:dyDescent="0.3">
      <c r="A5254" s="10"/>
      <c r="B5254" s="168"/>
      <c r="C5254" s="169"/>
      <c r="D5254" s="160"/>
      <c r="E5254" s="161"/>
      <c r="F5254" s="162"/>
      <c r="G5254" s="163"/>
      <c r="H5254" s="164"/>
      <c r="I5254" s="163"/>
      <c r="J5254" s="164"/>
      <c r="K5254" s="163"/>
      <c r="L5254" s="164"/>
      <c r="M5254" s="11"/>
      <c r="N5254" s="39"/>
      <c r="Q5254" s="15" t="str">
        <f>+CONCATENATE(E5252,K5252)</f>
        <v/>
      </c>
      <c r="R5254" s="15">
        <f>+L5252</f>
        <v>0</v>
      </c>
      <c r="S5254" s="16"/>
      <c r="T5254" s="15">
        <f>+E5252</f>
        <v>0</v>
      </c>
      <c r="U5254" s="26" t="str">
        <f>IFERROR(LEFT(K5252,FIND("*",K5252)-1),"-")</f>
        <v>-</v>
      </c>
      <c r="V5254" s="26" t="str">
        <f>IFERROR(RIGHT(K5252,LEN(K5252)-FIND("*",K5252)),"-")</f>
        <v>-</v>
      </c>
      <c r="W5254" s="27" t="str">
        <f t="shared" si="2860"/>
        <v>-</v>
      </c>
      <c r="X5254" s="27" t="str">
        <f>IFERROR(W5254*L5252,"-")</f>
        <v>-</v>
      </c>
      <c r="Z5254" s="94" t="s">
        <v>82</v>
      </c>
    </row>
    <row r="5255" spans="1:26" s="25" customFormat="1" ht="6.95" customHeight="1" x14ac:dyDescent="0.3">
      <c r="A5255" s="13"/>
      <c r="B5255" s="168"/>
      <c r="C5255" s="169"/>
      <c r="D5255" s="160" t="s">
        <v>39</v>
      </c>
      <c r="E5255" s="161"/>
      <c r="F5255" s="162" t="s">
        <v>40</v>
      </c>
      <c r="G5255" s="163"/>
      <c r="H5255" s="164"/>
      <c r="I5255" s="163"/>
      <c r="J5255" s="164"/>
      <c r="K5255" s="163"/>
      <c r="L5255" s="164"/>
      <c r="M5255" s="11"/>
      <c r="N5255" s="39"/>
      <c r="Q5255" s="15" t="str">
        <f>+CONCATENATE(E5255,G5255)</f>
        <v/>
      </c>
      <c r="R5255" s="15">
        <f>+H5255</f>
        <v>0</v>
      </c>
      <c r="S5255" s="16"/>
      <c r="T5255" s="15">
        <f>+E5255</f>
        <v>0</v>
      </c>
      <c r="U5255" s="26" t="str">
        <f t="shared" ref="U5255" si="2863">IFERROR(LEFT(G5255,FIND("*",G5255)-1),"-")</f>
        <v>-</v>
      </c>
      <c r="V5255" s="26" t="str">
        <f t="shared" ref="V5255" si="2864">IFERROR(RIGHT(G5255,LEN(G5255)-FIND("*",G5255)),"-")</f>
        <v>-</v>
      </c>
      <c r="W5255" s="27" t="str">
        <f t="shared" si="2860"/>
        <v>-</v>
      </c>
      <c r="X5255" s="27" t="str">
        <f>IFERROR(W5255*H5255,"-")</f>
        <v>-</v>
      </c>
      <c r="Z5255" s="94" t="s">
        <v>82</v>
      </c>
    </row>
    <row r="5256" spans="1:26" s="25" customFormat="1" ht="6.95" customHeight="1" x14ac:dyDescent="0.3">
      <c r="A5256" s="10"/>
      <c r="B5256" s="168"/>
      <c r="C5256" s="169"/>
      <c r="D5256" s="160"/>
      <c r="E5256" s="161"/>
      <c r="F5256" s="162"/>
      <c r="G5256" s="163"/>
      <c r="H5256" s="164"/>
      <c r="I5256" s="163"/>
      <c r="J5256" s="164"/>
      <c r="K5256" s="163"/>
      <c r="L5256" s="164"/>
      <c r="M5256" s="11"/>
      <c r="N5256" s="39"/>
      <c r="Q5256" s="15" t="str">
        <f>+CONCATENATE(E5255,I5255)</f>
        <v/>
      </c>
      <c r="R5256" s="15">
        <f>+J5255</f>
        <v>0</v>
      </c>
      <c r="S5256" s="16"/>
      <c r="T5256" s="15">
        <f>+E5255</f>
        <v>0</v>
      </c>
      <c r="U5256" s="26" t="str">
        <f>IFERROR(LEFT(I5255,FIND("*",I5255)-1),"-")</f>
        <v>-</v>
      </c>
      <c r="V5256" s="26" t="str">
        <f>IFERROR(RIGHT(I5255,LEN(I5255)-FIND("*",I5255)),"-")</f>
        <v>-</v>
      </c>
      <c r="W5256" s="27" t="str">
        <f t="shared" si="2860"/>
        <v>-</v>
      </c>
      <c r="X5256" s="27" t="str">
        <f t="shared" ref="X5256" si="2865">IFERROR(W5256*J5255,"-")</f>
        <v>-</v>
      </c>
      <c r="Z5256" s="94" t="s">
        <v>82</v>
      </c>
    </row>
    <row r="5257" spans="1:26" s="25" customFormat="1" ht="6.95" customHeight="1" x14ac:dyDescent="0.3">
      <c r="A5257" s="10"/>
      <c r="B5257" s="168"/>
      <c r="C5257" s="169"/>
      <c r="D5257" s="160"/>
      <c r="E5257" s="161"/>
      <c r="F5257" s="162"/>
      <c r="G5257" s="163"/>
      <c r="H5257" s="164"/>
      <c r="I5257" s="163"/>
      <c r="J5257" s="164"/>
      <c r="K5257" s="163"/>
      <c r="L5257" s="164"/>
      <c r="M5257" s="11"/>
      <c r="N5257" s="39"/>
      <c r="Q5257" s="15" t="str">
        <f>+CONCATENATE(E5255,K5255)</f>
        <v/>
      </c>
      <c r="R5257" s="15">
        <f>+L5255</f>
        <v>0</v>
      </c>
      <c r="S5257" s="16"/>
      <c r="T5257" s="15">
        <f>+E5255</f>
        <v>0</v>
      </c>
      <c r="U5257" s="26" t="str">
        <f>IFERROR(LEFT(K5255,FIND("*",K5255)-1),"-")</f>
        <v>-</v>
      </c>
      <c r="V5257" s="26" t="str">
        <f>IFERROR(RIGHT(K5255,LEN(K5255)-FIND("*",K5255)),"-")</f>
        <v>-</v>
      </c>
      <c r="W5257" s="27" t="str">
        <f t="shared" si="2860"/>
        <v>-</v>
      </c>
      <c r="X5257" s="27" t="str">
        <f>IFERROR(W5257*L5255,"-")</f>
        <v>-</v>
      </c>
      <c r="Z5257" s="94" t="s">
        <v>82</v>
      </c>
    </row>
    <row r="5258" spans="1:26" s="25" customFormat="1" ht="21" customHeight="1" thickBot="1" x14ac:dyDescent="0.35">
      <c r="A5258" s="10"/>
      <c r="B5258" s="170"/>
      <c r="C5258" s="171"/>
      <c r="D5258" s="172" t="s">
        <v>43</v>
      </c>
      <c r="E5258" s="173"/>
      <c r="F5258" s="173"/>
      <c r="G5258" s="174"/>
      <c r="H5258" s="174"/>
      <c r="I5258" s="174"/>
      <c r="J5258" s="174"/>
      <c r="K5258" s="174"/>
      <c r="L5258" s="174"/>
      <c r="M5258" s="12"/>
      <c r="N5258" s="39"/>
      <c r="U5258" s="23"/>
      <c r="V5258" s="23"/>
      <c r="Z5258" s="95" t="s">
        <v>81</v>
      </c>
    </row>
    <row r="5259" spans="1:26" s="25" customFormat="1" ht="9.9499999999999993" customHeight="1" thickBot="1" x14ac:dyDescent="0.35">
      <c r="A5259" s="6"/>
      <c r="B5259" s="14"/>
      <c r="C5259" s="119"/>
      <c r="D5259" s="58"/>
      <c r="E5259" s="17"/>
      <c r="F5259" s="58"/>
      <c r="G5259" s="19"/>
      <c r="H5259" s="19"/>
      <c r="I5259" s="19"/>
      <c r="J5259" s="19"/>
      <c r="K5259" s="19"/>
      <c r="L5259" s="19"/>
      <c r="M5259" s="14"/>
      <c r="N5259" s="39"/>
      <c r="Q5259" s="1"/>
      <c r="R5259" s="1"/>
      <c r="S5259" s="1"/>
      <c r="T5259" s="1"/>
      <c r="U5259" s="24"/>
      <c r="V5259" s="24"/>
      <c r="W5259" s="1"/>
      <c r="X5259" s="1"/>
      <c r="Z5259" s="94" t="s">
        <v>82</v>
      </c>
    </row>
    <row r="5260" spans="1:26" s="25" customFormat="1" ht="6.95" customHeight="1" x14ac:dyDescent="0.3">
      <c r="A5260" s="165">
        <f>+A5249+1</f>
        <v>479</v>
      </c>
      <c r="B5260" s="166"/>
      <c r="C5260" s="167"/>
      <c r="D5260" s="160" t="s">
        <v>39</v>
      </c>
      <c r="E5260" s="161"/>
      <c r="F5260" s="162" t="s">
        <v>40</v>
      </c>
      <c r="G5260" s="163"/>
      <c r="H5260" s="164"/>
      <c r="I5260" s="163"/>
      <c r="J5260" s="164"/>
      <c r="K5260" s="163"/>
      <c r="L5260" s="164"/>
      <c r="M5260" s="11"/>
      <c r="N5260" s="39"/>
      <c r="Q5260" s="15" t="str">
        <f>+CONCATENATE(E5260,G5260)</f>
        <v/>
      </c>
      <c r="R5260" s="15">
        <f>+H5260</f>
        <v>0</v>
      </c>
      <c r="S5260" s="16"/>
      <c r="T5260" s="15">
        <f>+E5260</f>
        <v>0</v>
      </c>
      <c r="U5260" s="26" t="str">
        <f>IFERROR(LEFT(G5260,FIND("*",G5260)-1),"-")</f>
        <v>-</v>
      </c>
      <c r="V5260" s="26" t="str">
        <f>IFERROR(RIGHT(G5260,LEN(G5260)-FIND("*",G5260)),"-")</f>
        <v>-</v>
      </c>
      <c r="W5260" s="27" t="str">
        <f>IFERROR((U5260+V5260)*2/1000,"-")</f>
        <v>-</v>
      </c>
      <c r="X5260" s="27" t="str">
        <f>IFERROR(W5260*H5260,"-")</f>
        <v>-</v>
      </c>
      <c r="Z5260" s="94" t="s">
        <v>82</v>
      </c>
    </row>
    <row r="5261" spans="1:26" s="25" customFormat="1" ht="6.95" customHeight="1" x14ac:dyDescent="0.3">
      <c r="A5261" s="165"/>
      <c r="B5261" s="168"/>
      <c r="C5261" s="169"/>
      <c r="D5261" s="160"/>
      <c r="E5261" s="161"/>
      <c r="F5261" s="162"/>
      <c r="G5261" s="163"/>
      <c r="H5261" s="164"/>
      <c r="I5261" s="163"/>
      <c r="J5261" s="164"/>
      <c r="K5261" s="163"/>
      <c r="L5261" s="164"/>
      <c r="M5261" s="11"/>
      <c r="N5261" s="39"/>
      <c r="Q5261" s="15" t="str">
        <f>+CONCATENATE(E5260,I5260)</f>
        <v/>
      </c>
      <c r="R5261" s="15">
        <f>+J5260</f>
        <v>0</v>
      </c>
      <c r="S5261" s="16"/>
      <c r="T5261" s="15">
        <f>+E5260</f>
        <v>0</v>
      </c>
      <c r="U5261" s="26" t="str">
        <f>IFERROR(LEFT(I5260,FIND("*",I5260)-1),"-")</f>
        <v>-</v>
      </c>
      <c r="V5261" s="26" t="str">
        <f>IFERROR(RIGHT(I5260,LEN(I5260)-FIND("*",I5260)),"-")</f>
        <v>-</v>
      </c>
      <c r="W5261" s="27" t="str">
        <f t="shared" ref="W5261:W5268" si="2866">IFERROR((U5261+V5261)*2/1000,"-")</f>
        <v>-</v>
      </c>
      <c r="X5261" s="27" t="str">
        <f>IFERROR(W5261*J5260,"-")</f>
        <v>-</v>
      </c>
      <c r="Z5261" s="94" t="s">
        <v>82</v>
      </c>
    </row>
    <row r="5262" spans="1:26" s="25" customFormat="1" ht="6.95" customHeight="1" x14ac:dyDescent="0.3">
      <c r="A5262" s="165"/>
      <c r="B5262" s="168"/>
      <c r="C5262" s="169"/>
      <c r="D5262" s="160"/>
      <c r="E5262" s="161"/>
      <c r="F5262" s="162"/>
      <c r="G5262" s="163"/>
      <c r="H5262" s="164"/>
      <c r="I5262" s="163"/>
      <c r="J5262" s="164"/>
      <c r="K5262" s="163"/>
      <c r="L5262" s="164"/>
      <c r="M5262" s="11"/>
      <c r="N5262" s="39"/>
      <c r="Q5262" s="15" t="str">
        <f>+CONCATENATE(E5260,K5260)</f>
        <v/>
      </c>
      <c r="R5262" s="15">
        <f>+L5260</f>
        <v>0</v>
      </c>
      <c r="S5262" s="16"/>
      <c r="T5262" s="15">
        <f>+E5260</f>
        <v>0</v>
      </c>
      <c r="U5262" s="26" t="str">
        <f>IFERROR(LEFT(K5260,FIND("*",K5260)-1),"-")</f>
        <v>-</v>
      </c>
      <c r="V5262" s="26" t="str">
        <f>IFERROR(RIGHT(K5260,LEN(K5260)-FIND("*",K5260)),"-")</f>
        <v>-</v>
      </c>
      <c r="W5262" s="27" t="str">
        <f t="shared" si="2866"/>
        <v>-</v>
      </c>
      <c r="X5262" s="27" t="str">
        <f>IFERROR(W5262*L5260,"-")</f>
        <v>-</v>
      </c>
      <c r="Z5262" s="94" t="s">
        <v>82</v>
      </c>
    </row>
    <row r="5263" spans="1:26" s="25" customFormat="1" ht="6.95" customHeight="1" x14ac:dyDescent="0.3">
      <c r="A5263" s="13"/>
      <c r="B5263" s="168"/>
      <c r="C5263" s="169"/>
      <c r="D5263" s="160" t="s">
        <v>39</v>
      </c>
      <c r="E5263" s="161"/>
      <c r="F5263" s="162" t="s">
        <v>40</v>
      </c>
      <c r="G5263" s="163"/>
      <c r="H5263" s="164"/>
      <c r="I5263" s="163"/>
      <c r="J5263" s="164"/>
      <c r="K5263" s="163"/>
      <c r="L5263" s="164"/>
      <c r="M5263" s="11"/>
      <c r="N5263" s="39"/>
      <c r="Q5263" s="15" t="str">
        <f>+CONCATENATE(E5263,G5263)</f>
        <v/>
      </c>
      <c r="R5263" s="15">
        <f>+H5263</f>
        <v>0</v>
      </c>
      <c r="S5263" s="16"/>
      <c r="T5263" s="15">
        <f>+E5263</f>
        <v>0</v>
      </c>
      <c r="U5263" s="26" t="str">
        <f t="shared" ref="U5263" si="2867">IFERROR(LEFT(G5263,FIND("*",G5263)-1),"-")</f>
        <v>-</v>
      </c>
      <c r="V5263" s="26" t="str">
        <f t="shared" ref="V5263" si="2868">IFERROR(RIGHT(G5263,LEN(G5263)-FIND("*",G5263)),"-")</f>
        <v>-</v>
      </c>
      <c r="W5263" s="27" t="str">
        <f t="shared" si="2866"/>
        <v>-</v>
      </c>
      <c r="X5263" s="27" t="str">
        <f>IFERROR(W5263*H5263,"-")</f>
        <v>-</v>
      </c>
      <c r="Z5263" s="94" t="s">
        <v>82</v>
      </c>
    </row>
    <row r="5264" spans="1:26" s="25" customFormat="1" ht="6.95" customHeight="1" x14ac:dyDescent="0.3">
      <c r="A5264" s="10"/>
      <c r="B5264" s="168"/>
      <c r="C5264" s="169"/>
      <c r="D5264" s="160"/>
      <c r="E5264" s="161"/>
      <c r="F5264" s="162"/>
      <c r="G5264" s="163"/>
      <c r="H5264" s="164"/>
      <c r="I5264" s="163"/>
      <c r="J5264" s="164"/>
      <c r="K5264" s="163"/>
      <c r="L5264" s="164"/>
      <c r="M5264" s="11"/>
      <c r="N5264" s="39"/>
      <c r="Q5264" s="15" t="str">
        <f>+CONCATENATE(E5263,I5263)</f>
        <v/>
      </c>
      <c r="R5264" s="15">
        <f>+J5263</f>
        <v>0</v>
      </c>
      <c r="S5264" s="16"/>
      <c r="T5264" s="15">
        <f>+E5263</f>
        <v>0</v>
      </c>
      <c r="U5264" s="26" t="str">
        <f>IFERROR(LEFT(I5263,FIND("*",I5263)-1),"-")</f>
        <v>-</v>
      </c>
      <c r="V5264" s="26" t="str">
        <f>IFERROR(RIGHT(I5263,LEN(I5263)-FIND("*",I5263)),"-")</f>
        <v>-</v>
      </c>
      <c r="W5264" s="27" t="str">
        <f t="shared" si="2866"/>
        <v>-</v>
      </c>
      <c r="X5264" s="27" t="str">
        <f>IFERROR(W5264*J5263,"-")</f>
        <v>-</v>
      </c>
      <c r="Z5264" s="94" t="s">
        <v>82</v>
      </c>
    </row>
    <row r="5265" spans="1:26" s="25" customFormat="1" ht="6.95" customHeight="1" x14ac:dyDescent="0.3">
      <c r="A5265" s="10"/>
      <c r="B5265" s="168"/>
      <c r="C5265" s="169"/>
      <c r="D5265" s="160"/>
      <c r="E5265" s="161"/>
      <c r="F5265" s="162"/>
      <c r="G5265" s="163"/>
      <c r="H5265" s="164"/>
      <c r="I5265" s="163"/>
      <c r="J5265" s="164"/>
      <c r="K5265" s="163"/>
      <c r="L5265" s="164"/>
      <c r="M5265" s="11"/>
      <c r="N5265" s="39"/>
      <c r="Q5265" s="15" t="str">
        <f>+CONCATENATE(E5263,K5263)</f>
        <v/>
      </c>
      <c r="R5265" s="15">
        <f>+L5263</f>
        <v>0</v>
      </c>
      <c r="S5265" s="16"/>
      <c r="T5265" s="15">
        <f>+E5263</f>
        <v>0</v>
      </c>
      <c r="U5265" s="26" t="str">
        <f>IFERROR(LEFT(K5263,FIND("*",K5263)-1),"-")</f>
        <v>-</v>
      </c>
      <c r="V5265" s="26" t="str">
        <f>IFERROR(RIGHT(K5263,LEN(K5263)-FIND("*",K5263)),"-")</f>
        <v>-</v>
      </c>
      <c r="W5265" s="27" t="str">
        <f t="shared" si="2866"/>
        <v>-</v>
      </c>
      <c r="X5265" s="27" t="str">
        <f>IFERROR(W5265*L5263,"-")</f>
        <v>-</v>
      </c>
      <c r="Z5265" s="94" t="s">
        <v>82</v>
      </c>
    </row>
    <row r="5266" spans="1:26" s="25" customFormat="1" ht="6.95" customHeight="1" x14ac:dyDescent="0.3">
      <c r="A5266" s="13"/>
      <c r="B5266" s="168"/>
      <c r="C5266" s="169"/>
      <c r="D5266" s="160" t="s">
        <v>39</v>
      </c>
      <c r="E5266" s="161"/>
      <c r="F5266" s="162" t="s">
        <v>40</v>
      </c>
      <c r="G5266" s="163"/>
      <c r="H5266" s="164"/>
      <c r="I5266" s="163"/>
      <c r="J5266" s="164"/>
      <c r="K5266" s="163"/>
      <c r="L5266" s="164"/>
      <c r="M5266" s="11"/>
      <c r="N5266" s="39"/>
      <c r="Q5266" s="15" t="str">
        <f>+CONCATENATE(E5266,G5266)</f>
        <v/>
      </c>
      <c r="R5266" s="15">
        <f>+H5266</f>
        <v>0</v>
      </c>
      <c r="S5266" s="16"/>
      <c r="T5266" s="15">
        <f>+E5266</f>
        <v>0</v>
      </c>
      <c r="U5266" s="26" t="str">
        <f t="shared" ref="U5266" si="2869">IFERROR(LEFT(G5266,FIND("*",G5266)-1),"-")</f>
        <v>-</v>
      </c>
      <c r="V5266" s="26" t="str">
        <f t="shared" ref="V5266" si="2870">IFERROR(RIGHT(G5266,LEN(G5266)-FIND("*",G5266)),"-")</f>
        <v>-</v>
      </c>
      <c r="W5266" s="27" t="str">
        <f t="shared" si="2866"/>
        <v>-</v>
      </c>
      <c r="X5266" s="27" t="str">
        <f>IFERROR(W5266*H5266,"-")</f>
        <v>-</v>
      </c>
      <c r="Z5266" s="94" t="s">
        <v>82</v>
      </c>
    </row>
    <row r="5267" spans="1:26" s="25" customFormat="1" ht="6.95" customHeight="1" x14ac:dyDescent="0.3">
      <c r="A5267" s="10"/>
      <c r="B5267" s="168"/>
      <c r="C5267" s="169"/>
      <c r="D5267" s="160"/>
      <c r="E5267" s="161"/>
      <c r="F5267" s="162"/>
      <c r="G5267" s="163"/>
      <c r="H5267" s="164"/>
      <c r="I5267" s="163"/>
      <c r="J5267" s="164"/>
      <c r="K5267" s="163"/>
      <c r="L5267" s="164"/>
      <c r="M5267" s="11"/>
      <c r="N5267" s="39"/>
      <c r="Q5267" s="15" t="str">
        <f>+CONCATENATE(E5266,I5266)</f>
        <v/>
      </c>
      <c r="R5267" s="15">
        <f>+J5266</f>
        <v>0</v>
      </c>
      <c r="S5267" s="16"/>
      <c r="T5267" s="15">
        <f>+E5266</f>
        <v>0</v>
      </c>
      <c r="U5267" s="26" t="str">
        <f>IFERROR(LEFT(I5266,FIND("*",I5266)-1),"-")</f>
        <v>-</v>
      </c>
      <c r="V5267" s="26" t="str">
        <f>IFERROR(RIGHT(I5266,LEN(I5266)-FIND("*",I5266)),"-")</f>
        <v>-</v>
      </c>
      <c r="W5267" s="27" t="str">
        <f t="shared" si="2866"/>
        <v>-</v>
      </c>
      <c r="X5267" s="27" t="str">
        <f t="shared" ref="X5267" si="2871">IFERROR(W5267*J5266,"-")</f>
        <v>-</v>
      </c>
      <c r="Z5267" s="94" t="s">
        <v>82</v>
      </c>
    </row>
    <row r="5268" spans="1:26" s="25" customFormat="1" ht="6.95" customHeight="1" x14ac:dyDescent="0.3">
      <c r="A5268" s="10"/>
      <c r="B5268" s="168"/>
      <c r="C5268" s="169"/>
      <c r="D5268" s="160"/>
      <c r="E5268" s="161"/>
      <c r="F5268" s="162"/>
      <c r="G5268" s="163"/>
      <c r="H5268" s="164"/>
      <c r="I5268" s="163"/>
      <c r="J5268" s="164"/>
      <c r="K5268" s="163"/>
      <c r="L5268" s="164"/>
      <c r="M5268" s="11"/>
      <c r="N5268" s="39"/>
      <c r="Q5268" s="15" t="str">
        <f>+CONCATENATE(E5266,K5266)</f>
        <v/>
      </c>
      <c r="R5268" s="15">
        <f>+L5266</f>
        <v>0</v>
      </c>
      <c r="S5268" s="16"/>
      <c r="T5268" s="15">
        <f>+E5266</f>
        <v>0</v>
      </c>
      <c r="U5268" s="26" t="str">
        <f>IFERROR(LEFT(K5266,FIND("*",K5266)-1),"-")</f>
        <v>-</v>
      </c>
      <c r="V5268" s="26" t="str">
        <f>IFERROR(RIGHT(K5266,LEN(K5266)-FIND("*",K5266)),"-")</f>
        <v>-</v>
      </c>
      <c r="W5268" s="27" t="str">
        <f t="shared" si="2866"/>
        <v>-</v>
      </c>
      <c r="X5268" s="27" t="str">
        <f>IFERROR(W5268*L5266,"-")</f>
        <v>-</v>
      </c>
      <c r="Z5268" s="94" t="s">
        <v>82</v>
      </c>
    </row>
    <row r="5269" spans="1:26" s="25" customFormat="1" ht="21" customHeight="1" thickBot="1" x14ac:dyDescent="0.35">
      <c r="A5269" s="10"/>
      <c r="B5269" s="170"/>
      <c r="C5269" s="171"/>
      <c r="D5269" s="172" t="s">
        <v>43</v>
      </c>
      <c r="E5269" s="173"/>
      <c r="F5269" s="173"/>
      <c r="G5269" s="174"/>
      <c r="H5269" s="174"/>
      <c r="I5269" s="174"/>
      <c r="J5269" s="174"/>
      <c r="K5269" s="174"/>
      <c r="L5269" s="174"/>
      <c r="M5269" s="12"/>
      <c r="N5269" s="39"/>
      <c r="U5269" s="23"/>
      <c r="V5269" s="23"/>
      <c r="Z5269" s="95" t="s">
        <v>81</v>
      </c>
    </row>
    <row r="5270" spans="1:26" s="25" customFormat="1" ht="9.9499999999999993" customHeight="1" thickBot="1" x14ac:dyDescent="0.35">
      <c r="A5270" s="6"/>
      <c r="B5270" s="14"/>
      <c r="C5270" s="119"/>
      <c r="D5270" s="58"/>
      <c r="E5270" s="17"/>
      <c r="F5270" s="58"/>
      <c r="G5270" s="19"/>
      <c r="H5270" s="19"/>
      <c r="I5270" s="19"/>
      <c r="J5270" s="19"/>
      <c r="K5270" s="19"/>
      <c r="L5270" s="19"/>
      <c r="M5270" s="14"/>
      <c r="N5270" s="39"/>
      <c r="Q5270" s="1"/>
      <c r="R5270" s="1"/>
      <c r="S5270" s="1"/>
      <c r="T5270" s="1"/>
      <c r="U5270" s="24"/>
      <c r="V5270" s="24"/>
      <c r="W5270" s="1"/>
      <c r="X5270" s="1"/>
      <c r="Z5270" s="94" t="s">
        <v>82</v>
      </c>
    </row>
    <row r="5271" spans="1:26" s="25" customFormat="1" ht="6.95" customHeight="1" x14ac:dyDescent="0.3">
      <c r="A5271" s="165">
        <f>+A5260+1</f>
        <v>480</v>
      </c>
      <c r="B5271" s="166"/>
      <c r="C5271" s="167"/>
      <c r="D5271" s="160" t="s">
        <v>39</v>
      </c>
      <c r="E5271" s="161"/>
      <c r="F5271" s="162" t="s">
        <v>40</v>
      </c>
      <c r="G5271" s="163"/>
      <c r="H5271" s="164"/>
      <c r="I5271" s="163"/>
      <c r="J5271" s="164"/>
      <c r="K5271" s="163"/>
      <c r="L5271" s="164"/>
      <c r="M5271" s="11"/>
      <c r="N5271" s="39"/>
      <c r="Q5271" s="15" t="str">
        <f>+CONCATENATE(E5271,G5271)</f>
        <v/>
      </c>
      <c r="R5271" s="15">
        <f>+H5271</f>
        <v>0</v>
      </c>
      <c r="S5271" s="16"/>
      <c r="T5271" s="15">
        <f>+E5271</f>
        <v>0</v>
      </c>
      <c r="U5271" s="26" t="str">
        <f>IFERROR(LEFT(G5271,FIND("*",G5271)-1),"-")</f>
        <v>-</v>
      </c>
      <c r="V5271" s="26" t="str">
        <f>IFERROR(RIGHT(G5271,LEN(G5271)-FIND("*",G5271)),"-")</f>
        <v>-</v>
      </c>
      <c r="W5271" s="27" t="str">
        <f>IFERROR((U5271+V5271)*2/1000,"-")</f>
        <v>-</v>
      </c>
      <c r="X5271" s="27" t="str">
        <f>IFERROR(W5271*H5271,"-")</f>
        <v>-</v>
      </c>
      <c r="Z5271" s="94" t="s">
        <v>82</v>
      </c>
    </row>
    <row r="5272" spans="1:26" s="25" customFormat="1" ht="6.95" customHeight="1" x14ac:dyDescent="0.3">
      <c r="A5272" s="165"/>
      <c r="B5272" s="168"/>
      <c r="C5272" s="169"/>
      <c r="D5272" s="160"/>
      <c r="E5272" s="161"/>
      <c r="F5272" s="162"/>
      <c r="G5272" s="163"/>
      <c r="H5272" s="164"/>
      <c r="I5272" s="163"/>
      <c r="J5272" s="164"/>
      <c r="K5272" s="163"/>
      <c r="L5272" s="164"/>
      <c r="M5272" s="11"/>
      <c r="N5272" s="39"/>
      <c r="Q5272" s="15" t="str">
        <f>+CONCATENATE(E5271,I5271)</f>
        <v/>
      </c>
      <c r="R5272" s="15">
        <f>+J5271</f>
        <v>0</v>
      </c>
      <c r="S5272" s="16"/>
      <c r="T5272" s="15">
        <f>+E5271</f>
        <v>0</v>
      </c>
      <c r="U5272" s="26" t="str">
        <f>IFERROR(LEFT(I5271,FIND("*",I5271)-1),"-")</f>
        <v>-</v>
      </c>
      <c r="V5272" s="26" t="str">
        <f>IFERROR(RIGHT(I5271,LEN(I5271)-FIND("*",I5271)),"-")</f>
        <v>-</v>
      </c>
      <c r="W5272" s="27" t="str">
        <f t="shared" ref="W5272:W5279" si="2872">IFERROR((U5272+V5272)*2/1000,"-")</f>
        <v>-</v>
      </c>
      <c r="X5272" s="27" t="str">
        <f>IFERROR(W5272*J5271,"-")</f>
        <v>-</v>
      </c>
      <c r="Z5272" s="94" t="s">
        <v>82</v>
      </c>
    </row>
    <row r="5273" spans="1:26" s="25" customFormat="1" ht="6.95" customHeight="1" x14ac:dyDescent="0.3">
      <c r="A5273" s="165"/>
      <c r="B5273" s="168"/>
      <c r="C5273" s="169"/>
      <c r="D5273" s="160"/>
      <c r="E5273" s="161"/>
      <c r="F5273" s="162"/>
      <c r="G5273" s="163"/>
      <c r="H5273" s="164"/>
      <c r="I5273" s="163"/>
      <c r="J5273" s="164"/>
      <c r="K5273" s="163"/>
      <c r="L5273" s="164"/>
      <c r="M5273" s="11"/>
      <c r="N5273" s="39"/>
      <c r="Q5273" s="15" t="str">
        <f>+CONCATENATE(E5271,K5271)</f>
        <v/>
      </c>
      <c r="R5273" s="15">
        <f>+L5271</f>
        <v>0</v>
      </c>
      <c r="S5273" s="16"/>
      <c r="T5273" s="15">
        <f>+E5271</f>
        <v>0</v>
      </c>
      <c r="U5273" s="26" t="str">
        <f>IFERROR(LEFT(K5271,FIND("*",K5271)-1),"-")</f>
        <v>-</v>
      </c>
      <c r="V5273" s="26" t="str">
        <f>IFERROR(RIGHT(K5271,LEN(K5271)-FIND("*",K5271)),"-")</f>
        <v>-</v>
      </c>
      <c r="W5273" s="27" t="str">
        <f t="shared" si="2872"/>
        <v>-</v>
      </c>
      <c r="X5273" s="27" t="str">
        <f>IFERROR(W5273*L5271,"-")</f>
        <v>-</v>
      </c>
      <c r="Z5273" s="94" t="s">
        <v>82</v>
      </c>
    </row>
    <row r="5274" spans="1:26" s="25" customFormat="1" ht="6.95" customHeight="1" x14ac:dyDescent="0.3">
      <c r="A5274" s="13"/>
      <c r="B5274" s="168"/>
      <c r="C5274" s="169"/>
      <c r="D5274" s="160" t="s">
        <v>39</v>
      </c>
      <c r="E5274" s="161"/>
      <c r="F5274" s="162" t="s">
        <v>40</v>
      </c>
      <c r="G5274" s="163"/>
      <c r="H5274" s="164"/>
      <c r="I5274" s="163"/>
      <c r="J5274" s="164"/>
      <c r="K5274" s="163"/>
      <c r="L5274" s="164"/>
      <c r="M5274" s="11"/>
      <c r="N5274" s="39"/>
      <c r="Q5274" s="15" t="str">
        <f>+CONCATENATE(E5274,G5274)</f>
        <v/>
      </c>
      <c r="R5274" s="15">
        <f>+H5274</f>
        <v>0</v>
      </c>
      <c r="S5274" s="16"/>
      <c r="T5274" s="15">
        <f>+E5274</f>
        <v>0</v>
      </c>
      <c r="U5274" s="26" t="str">
        <f t="shared" ref="U5274" si="2873">IFERROR(LEFT(G5274,FIND("*",G5274)-1),"-")</f>
        <v>-</v>
      </c>
      <c r="V5274" s="26" t="str">
        <f t="shared" ref="V5274" si="2874">IFERROR(RIGHT(G5274,LEN(G5274)-FIND("*",G5274)),"-")</f>
        <v>-</v>
      </c>
      <c r="W5274" s="27" t="str">
        <f t="shared" si="2872"/>
        <v>-</v>
      </c>
      <c r="X5274" s="27" t="str">
        <f>IFERROR(W5274*H5274,"-")</f>
        <v>-</v>
      </c>
      <c r="Z5274" s="94" t="s">
        <v>82</v>
      </c>
    </row>
    <row r="5275" spans="1:26" s="25" customFormat="1" ht="6.95" customHeight="1" x14ac:dyDescent="0.3">
      <c r="A5275" s="10"/>
      <c r="B5275" s="168"/>
      <c r="C5275" s="169"/>
      <c r="D5275" s="160"/>
      <c r="E5275" s="161"/>
      <c r="F5275" s="162"/>
      <c r="G5275" s="163"/>
      <c r="H5275" s="164"/>
      <c r="I5275" s="163"/>
      <c r="J5275" s="164"/>
      <c r="K5275" s="163"/>
      <c r="L5275" s="164"/>
      <c r="M5275" s="11"/>
      <c r="N5275" s="39"/>
      <c r="Q5275" s="15" t="str">
        <f>+CONCATENATE(E5274,I5274)</f>
        <v/>
      </c>
      <c r="R5275" s="15">
        <f>+J5274</f>
        <v>0</v>
      </c>
      <c r="S5275" s="16"/>
      <c r="T5275" s="15">
        <f>+E5274</f>
        <v>0</v>
      </c>
      <c r="U5275" s="26" t="str">
        <f>IFERROR(LEFT(I5274,FIND("*",I5274)-1),"-")</f>
        <v>-</v>
      </c>
      <c r="V5275" s="26" t="str">
        <f>IFERROR(RIGHT(I5274,LEN(I5274)-FIND("*",I5274)),"-")</f>
        <v>-</v>
      </c>
      <c r="W5275" s="27" t="str">
        <f t="shared" si="2872"/>
        <v>-</v>
      </c>
      <c r="X5275" s="27" t="str">
        <f>IFERROR(W5275*J5274,"-")</f>
        <v>-</v>
      </c>
      <c r="Z5275" s="94" t="s">
        <v>82</v>
      </c>
    </row>
    <row r="5276" spans="1:26" s="25" customFormat="1" ht="6.95" customHeight="1" x14ac:dyDescent="0.3">
      <c r="A5276" s="10"/>
      <c r="B5276" s="168"/>
      <c r="C5276" s="169"/>
      <c r="D5276" s="160"/>
      <c r="E5276" s="161"/>
      <c r="F5276" s="162"/>
      <c r="G5276" s="163"/>
      <c r="H5276" s="164"/>
      <c r="I5276" s="163"/>
      <c r="J5276" s="164"/>
      <c r="K5276" s="163"/>
      <c r="L5276" s="164"/>
      <c r="M5276" s="11"/>
      <c r="N5276" s="39"/>
      <c r="Q5276" s="15" t="str">
        <f>+CONCATENATE(E5274,K5274)</f>
        <v/>
      </c>
      <c r="R5276" s="15">
        <f>+L5274</f>
        <v>0</v>
      </c>
      <c r="S5276" s="16"/>
      <c r="T5276" s="15">
        <f>+E5274</f>
        <v>0</v>
      </c>
      <c r="U5276" s="26" t="str">
        <f>IFERROR(LEFT(K5274,FIND("*",K5274)-1),"-")</f>
        <v>-</v>
      </c>
      <c r="V5276" s="26" t="str">
        <f>IFERROR(RIGHT(K5274,LEN(K5274)-FIND("*",K5274)),"-")</f>
        <v>-</v>
      </c>
      <c r="W5276" s="27" t="str">
        <f t="shared" si="2872"/>
        <v>-</v>
      </c>
      <c r="X5276" s="27" t="str">
        <f>IFERROR(W5276*L5274,"-")</f>
        <v>-</v>
      </c>
      <c r="Z5276" s="94" t="s">
        <v>82</v>
      </c>
    </row>
    <row r="5277" spans="1:26" s="25" customFormat="1" ht="6.95" customHeight="1" x14ac:dyDescent="0.3">
      <c r="A5277" s="13"/>
      <c r="B5277" s="168"/>
      <c r="C5277" s="169"/>
      <c r="D5277" s="160" t="s">
        <v>39</v>
      </c>
      <c r="E5277" s="161"/>
      <c r="F5277" s="162" t="s">
        <v>40</v>
      </c>
      <c r="G5277" s="163"/>
      <c r="H5277" s="164"/>
      <c r="I5277" s="163"/>
      <c r="J5277" s="164"/>
      <c r="K5277" s="163"/>
      <c r="L5277" s="164"/>
      <c r="M5277" s="11"/>
      <c r="N5277" s="39"/>
      <c r="Q5277" s="15" t="str">
        <f>+CONCATENATE(E5277,G5277)</f>
        <v/>
      </c>
      <c r="R5277" s="15">
        <f>+H5277</f>
        <v>0</v>
      </c>
      <c r="S5277" s="16"/>
      <c r="T5277" s="15">
        <f>+E5277</f>
        <v>0</v>
      </c>
      <c r="U5277" s="26" t="str">
        <f t="shared" ref="U5277" si="2875">IFERROR(LEFT(G5277,FIND("*",G5277)-1),"-")</f>
        <v>-</v>
      </c>
      <c r="V5277" s="26" t="str">
        <f t="shared" ref="V5277" si="2876">IFERROR(RIGHT(G5277,LEN(G5277)-FIND("*",G5277)),"-")</f>
        <v>-</v>
      </c>
      <c r="W5277" s="27" t="str">
        <f t="shared" si="2872"/>
        <v>-</v>
      </c>
      <c r="X5277" s="27" t="str">
        <f>IFERROR(W5277*H5277,"-")</f>
        <v>-</v>
      </c>
      <c r="Z5277" s="94" t="s">
        <v>82</v>
      </c>
    </row>
    <row r="5278" spans="1:26" s="25" customFormat="1" ht="6.95" customHeight="1" x14ac:dyDescent="0.3">
      <c r="A5278" s="10"/>
      <c r="B5278" s="168"/>
      <c r="C5278" s="169"/>
      <c r="D5278" s="160"/>
      <c r="E5278" s="161"/>
      <c r="F5278" s="162"/>
      <c r="G5278" s="163"/>
      <c r="H5278" s="164"/>
      <c r="I5278" s="163"/>
      <c r="J5278" s="164"/>
      <c r="K5278" s="163"/>
      <c r="L5278" s="164"/>
      <c r="M5278" s="11"/>
      <c r="N5278" s="39"/>
      <c r="Q5278" s="15" t="str">
        <f>+CONCATENATE(E5277,I5277)</f>
        <v/>
      </c>
      <c r="R5278" s="15">
        <f>+J5277</f>
        <v>0</v>
      </c>
      <c r="S5278" s="16"/>
      <c r="T5278" s="15">
        <f>+E5277</f>
        <v>0</v>
      </c>
      <c r="U5278" s="26" t="str">
        <f>IFERROR(LEFT(I5277,FIND("*",I5277)-1),"-")</f>
        <v>-</v>
      </c>
      <c r="V5278" s="26" t="str">
        <f>IFERROR(RIGHT(I5277,LEN(I5277)-FIND("*",I5277)),"-")</f>
        <v>-</v>
      </c>
      <c r="W5278" s="27" t="str">
        <f t="shared" si="2872"/>
        <v>-</v>
      </c>
      <c r="X5278" s="27" t="str">
        <f t="shared" ref="X5278" si="2877">IFERROR(W5278*J5277,"-")</f>
        <v>-</v>
      </c>
      <c r="Z5278" s="94" t="s">
        <v>82</v>
      </c>
    </row>
    <row r="5279" spans="1:26" s="25" customFormat="1" ht="6.95" customHeight="1" x14ac:dyDescent="0.3">
      <c r="A5279" s="10"/>
      <c r="B5279" s="168"/>
      <c r="C5279" s="169"/>
      <c r="D5279" s="160"/>
      <c r="E5279" s="161"/>
      <c r="F5279" s="162"/>
      <c r="G5279" s="163"/>
      <c r="H5279" s="164"/>
      <c r="I5279" s="163"/>
      <c r="J5279" s="164"/>
      <c r="K5279" s="163"/>
      <c r="L5279" s="164"/>
      <c r="M5279" s="11"/>
      <c r="N5279" s="39"/>
      <c r="Q5279" s="15" t="str">
        <f>+CONCATENATE(E5277,K5277)</f>
        <v/>
      </c>
      <c r="R5279" s="15">
        <f>+L5277</f>
        <v>0</v>
      </c>
      <c r="S5279" s="16"/>
      <c r="T5279" s="15">
        <f>+E5277</f>
        <v>0</v>
      </c>
      <c r="U5279" s="26" t="str">
        <f>IFERROR(LEFT(K5277,FIND("*",K5277)-1),"-")</f>
        <v>-</v>
      </c>
      <c r="V5279" s="26" t="str">
        <f>IFERROR(RIGHT(K5277,LEN(K5277)-FIND("*",K5277)),"-")</f>
        <v>-</v>
      </c>
      <c r="W5279" s="27" t="str">
        <f t="shared" si="2872"/>
        <v>-</v>
      </c>
      <c r="X5279" s="27" t="str">
        <f>IFERROR(W5279*L5277,"-")</f>
        <v>-</v>
      </c>
      <c r="Z5279" s="94" t="s">
        <v>82</v>
      </c>
    </row>
    <row r="5280" spans="1:26" s="25" customFormat="1" ht="21" customHeight="1" thickBot="1" x14ac:dyDescent="0.35">
      <c r="A5280" s="10"/>
      <c r="B5280" s="170"/>
      <c r="C5280" s="171"/>
      <c r="D5280" s="172" t="s">
        <v>43</v>
      </c>
      <c r="E5280" s="173"/>
      <c r="F5280" s="173"/>
      <c r="G5280" s="174"/>
      <c r="H5280" s="174"/>
      <c r="I5280" s="174"/>
      <c r="J5280" s="174"/>
      <c r="K5280" s="174"/>
      <c r="L5280" s="174"/>
      <c r="M5280" s="12"/>
      <c r="N5280" s="39"/>
      <c r="U5280" s="23"/>
      <c r="V5280" s="23"/>
      <c r="Z5280" s="95" t="s">
        <v>81</v>
      </c>
    </row>
    <row r="5281" spans="1:26" s="25" customFormat="1" ht="9.9499999999999993" customHeight="1" thickBot="1" x14ac:dyDescent="0.35">
      <c r="A5281" s="6"/>
      <c r="B5281" s="14"/>
      <c r="C5281" s="119"/>
      <c r="D5281" s="58"/>
      <c r="E5281" s="17"/>
      <c r="F5281" s="58"/>
      <c r="G5281" s="19"/>
      <c r="H5281" s="19"/>
      <c r="I5281" s="19"/>
      <c r="J5281" s="19"/>
      <c r="K5281" s="19"/>
      <c r="L5281" s="19"/>
      <c r="M5281" s="14"/>
      <c r="N5281" s="39"/>
      <c r="Q5281" s="1"/>
      <c r="R5281" s="1"/>
      <c r="S5281" s="1"/>
      <c r="T5281" s="1"/>
      <c r="U5281" s="24"/>
      <c r="V5281" s="24"/>
      <c r="W5281" s="1"/>
      <c r="X5281" s="1"/>
      <c r="Z5281" s="94" t="s">
        <v>82</v>
      </c>
    </row>
    <row r="5282" spans="1:26" s="25" customFormat="1" ht="6.95" customHeight="1" x14ac:dyDescent="0.3">
      <c r="A5282" s="165">
        <f>+A5271+1</f>
        <v>481</v>
      </c>
      <c r="B5282" s="166"/>
      <c r="C5282" s="167"/>
      <c r="D5282" s="160" t="s">
        <v>39</v>
      </c>
      <c r="E5282" s="161"/>
      <c r="F5282" s="162" t="s">
        <v>40</v>
      </c>
      <c r="G5282" s="163"/>
      <c r="H5282" s="164"/>
      <c r="I5282" s="163"/>
      <c r="J5282" s="164"/>
      <c r="K5282" s="163"/>
      <c r="L5282" s="164"/>
      <c r="M5282" s="11"/>
      <c r="N5282" s="39"/>
      <c r="Q5282" s="15" t="str">
        <f>+CONCATENATE(E5282,G5282)</f>
        <v/>
      </c>
      <c r="R5282" s="15">
        <f>+H5282</f>
        <v>0</v>
      </c>
      <c r="S5282" s="16"/>
      <c r="T5282" s="15">
        <f>+E5282</f>
        <v>0</v>
      </c>
      <c r="U5282" s="26" t="str">
        <f>IFERROR(LEFT(G5282,FIND("*",G5282)-1),"-")</f>
        <v>-</v>
      </c>
      <c r="V5282" s="26" t="str">
        <f>IFERROR(RIGHT(G5282,LEN(G5282)-FIND("*",G5282)),"-")</f>
        <v>-</v>
      </c>
      <c r="W5282" s="27" t="str">
        <f>IFERROR((U5282+V5282)*2/1000,"-")</f>
        <v>-</v>
      </c>
      <c r="X5282" s="27" t="str">
        <f>IFERROR(W5282*H5282,"-")</f>
        <v>-</v>
      </c>
      <c r="Z5282" s="94" t="s">
        <v>82</v>
      </c>
    </row>
    <row r="5283" spans="1:26" s="25" customFormat="1" ht="6.95" customHeight="1" x14ac:dyDescent="0.3">
      <c r="A5283" s="165"/>
      <c r="B5283" s="168"/>
      <c r="C5283" s="169"/>
      <c r="D5283" s="160"/>
      <c r="E5283" s="161"/>
      <c r="F5283" s="162"/>
      <c r="G5283" s="163"/>
      <c r="H5283" s="164"/>
      <c r="I5283" s="163"/>
      <c r="J5283" s="164"/>
      <c r="K5283" s="163"/>
      <c r="L5283" s="164"/>
      <c r="M5283" s="11"/>
      <c r="N5283" s="39"/>
      <c r="Q5283" s="15" t="str">
        <f>+CONCATENATE(E5282,I5282)</f>
        <v/>
      </c>
      <c r="R5283" s="15">
        <f>+J5282</f>
        <v>0</v>
      </c>
      <c r="S5283" s="16"/>
      <c r="T5283" s="15">
        <f>+E5282</f>
        <v>0</v>
      </c>
      <c r="U5283" s="26" t="str">
        <f>IFERROR(LEFT(I5282,FIND("*",I5282)-1),"-")</f>
        <v>-</v>
      </c>
      <c r="V5283" s="26" t="str">
        <f>IFERROR(RIGHT(I5282,LEN(I5282)-FIND("*",I5282)),"-")</f>
        <v>-</v>
      </c>
      <c r="W5283" s="27" t="str">
        <f t="shared" ref="W5283:W5290" si="2878">IFERROR((U5283+V5283)*2/1000,"-")</f>
        <v>-</v>
      </c>
      <c r="X5283" s="27" t="str">
        <f>IFERROR(W5283*J5282,"-")</f>
        <v>-</v>
      </c>
      <c r="Z5283" s="94" t="s">
        <v>82</v>
      </c>
    </row>
    <row r="5284" spans="1:26" s="25" customFormat="1" ht="6.95" customHeight="1" x14ac:dyDescent="0.3">
      <c r="A5284" s="165"/>
      <c r="B5284" s="168"/>
      <c r="C5284" s="169"/>
      <c r="D5284" s="160"/>
      <c r="E5284" s="161"/>
      <c r="F5284" s="162"/>
      <c r="G5284" s="163"/>
      <c r="H5284" s="164"/>
      <c r="I5284" s="163"/>
      <c r="J5284" s="164"/>
      <c r="K5284" s="163"/>
      <c r="L5284" s="164"/>
      <c r="M5284" s="11"/>
      <c r="N5284" s="39"/>
      <c r="Q5284" s="15" t="str">
        <f>+CONCATENATE(E5282,K5282)</f>
        <v/>
      </c>
      <c r="R5284" s="15">
        <f>+L5282</f>
        <v>0</v>
      </c>
      <c r="S5284" s="16"/>
      <c r="T5284" s="15">
        <f>+E5282</f>
        <v>0</v>
      </c>
      <c r="U5284" s="26" t="str">
        <f>IFERROR(LEFT(K5282,FIND("*",K5282)-1),"-")</f>
        <v>-</v>
      </c>
      <c r="V5284" s="26" t="str">
        <f>IFERROR(RIGHT(K5282,LEN(K5282)-FIND("*",K5282)),"-")</f>
        <v>-</v>
      </c>
      <c r="W5284" s="27" t="str">
        <f t="shared" si="2878"/>
        <v>-</v>
      </c>
      <c r="X5284" s="27" t="str">
        <f>IFERROR(W5284*L5282,"-")</f>
        <v>-</v>
      </c>
      <c r="Z5284" s="94" t="s">
        <v>82</v>
      </c>
    </row>
    <row r="5285" spans="1:26" s="25" customFormat="1" ht="6.95" customHeight="1" x14ac:dyDescent="0.3">
      <c r="A5285" s="13"/>
      <c r="B5285" s="168"/>
      <c r="C5285" s="169"/>
      <c r="D5285" s="160" t="s">
        <v>39</v>
      </c>
      <c r="E5285" s="161"/>
      <c r="F5285" s="162" t="s">
        <v>40</v>
      </c>
      <c r="G5285" s="163"/>
      <c r="H5285" s="164"/>
      <c r="I5285" s="163"/>
      <c r="J5285" s="164"/>
      <c r="K5285" s="163"/>
      <c r="L5285" s="164"/>
      <c r="M5285" s="11"/>
      <c r="N5285" s="39"/>
      <c r="Q5285" s="15" t="str">
        <f>+CONCATENATE(E5285,G5285)</f>
        <v/>
      </c>
      <c r="R5285" s="15">
        <f>+H5285</f>
        <v>0</v>
      </c>
      <c r="S5285" s="16"/>
      <c r="T5285" s="15">
        <f>+E5285</f>
        <v>0</v>
      </c>
      <c r="U5285" s="26" t="str">
        <f t="shared" ref="U5285" si="2879">IFERROR(LEFT(G5285,FIND("*",G5285)-1),"-")</f>
        <v>-</v>
      </c>
      <c r="V5285" s="26" t="str">
        <f t="shared" ref="V5285" si="2880">IFERROR(RIGHT(G5285,LEN(G5285)-FIND("*",G5285)),"-")</f>
        <v>-</v>
      </c>
      <c r="W5285" s="27" t="str">
        <f t="shared" si="2878"/>
        <v>-</v>
      </c>
      <c r="X5285" s="27" t="str">
        <f>IFERROR(W5285*H5285,"-")</f>
        <v>-</v>
      </c>
      <c r="Z5285" s="94" t="s">
        <v>82</v>
      </c>
    </row>
    <row r="5286" spans="1:26" s="25" customFormat="1" ht="6.95" customHeight="1" x14ac:dyDescent="0.3">
      <c r="A5286" s="10"/>
      <c r="B5286" s="168"/>
      <c r="C5286" s="169"/>
      <c r="D5286" s="160"/>
      <c r="E5286" s="161"/>
      <c r="F5286" s="162"/>
      <c r="G5286" s="163"/>
      <c r="H5286" s="164"/>
      <c r="I5286" s="163"/>
      <c r="J5286" s="164"/>
      <c r="K5286" s="163"/>
      <c r="L5286" s="164"/>
      <c r="M5286" s="11"/>
      <c r="N5286" s="39"/>
      <c r="Q5286" s="15" t="str">
        <f>+CONCATENATE(E5285,I5285)</f>
        <v/>
      </c>
      <c r="R5286" s="15">
        <f>+J5285</f>
        <v>0</v>
      </c>
      <c r="S5286" s="16"/>
      <c r="T5286" s="15">
        <f>+E5285</f>
        <v>0</v>
      </c>
      <c r="U5286" s="26" t="str">
        <f>IFERROR(LEFT(I5285,FIND("*",I5285)-1),"-")</f>
        <v>-</v>
      </c>
      <c r="V5286" s="26" t="str">
        <f>IFERROR(RIGHT(I5285,LEN(I5285)-FIND("*",I5285)),"-")</f>
        <v>-</v>
      </c>
      <c r="W5286" s="27" t="str">
        <f t="shared" si="2878"/>
        <v>-</v>
      </c>
      <c r="X5286" s="27" t="str">
        <f>IFERROR(W5286*J5285,"-")</f>
        <v>-</v>
      </c>
      <c r="Z5286" s="94" t="s">
        <v>82</v>
      </c>
    </row>
    <row r="5287" spans="1:26" s="25" customFormat="1" ht="6.95" customHeight="1" x14ac:dyDescent="0.3">
      <c r="A5287" s="10"/>
      <c r="B5287" s="168"/>
      <c r="C5287" s="169"/>
      <c r="D5287" s="160"/>
      <c r="E5287" s="161"/>
      <c r="F5287" s="162"/>
      <c r="G5287" s="163"/>
      <c r="H5287" s="164"/>
      <c r="I5287" s="163"/>
      <c r="J5287" s="164"/>
      <c r="K5287" s="163"/>
      <c r="L5287" s="164"/>
      <c r="M5287" s="11"/>
      <c r="N5287" s="39"/>
      <c r="Q5287" s="15" t="str">
        <f>+CONCATENATE(E5285,K5285)</f>
        <v/>
      </c>
      <c r="R5287" s="15">
        <f>+L5285</f>
        <v>0</v>
      </c>
      <c r="S5287" s="16"/>
      <c r="T5287" s="15">
        <f>+E5285</f>
        <v>0</v>
      </c>
      <c r="U5287" s="26" t="str">
        <f>IFERROR(LEFT(K5285,FIND("*",K5285)-1),"-")</f>
        <v>-</v>
      </c>
      <c r="V5287" s="26" t="str">
        <f>IFERROR(RIGHT(K5285,LEN(K5285)-FIND("*",K5285)),"-")</f>
        <v>-</v>
      </c>
      <c r="W5287" s="27" t="str">
        <f t="shared" si="2878"/>
        <v>-</v>
      </c>
      <c r="X5287" s="27" t="str">
        <f>IFERROR(W5287*L5285,"-")</f>
        <v>-</v>
      </c>
      <c r="Z5287" s="94" t="s">
        <v>82</v>
      </c>
    </row>
    <row r="5288" spans="1:26" s="25" customFormat="1" ht="6.95" customHeight="1" x14ac:dyDescent="0.3">
      <c r="A5288" s="13"/>
      <c r="B5288" s="168"/>
      <c r="C5288" s="169"/>
      <c r="D5288" s="160" t="s">
        <v>39</v>
      </c>
      <c r="E5288" s="161"/>
      <c r="F5288" s="162" t="s">
        <v>40</v>
      </c>
      <c r="G5288" s="163"/>
      <c r="H5288" s="164"/>
      <c r="I5288" s="163"/>
      <c r="J5288" s="164"/>
      <c r="K5288" s="163"/>
      <c r="L5288" s="164"/>
      <c r="M5288" s="11"/>
      <c r="N5288" s="39"/>
      <c r="Q5288" s="15" t="str">
        <f>+CONCATENATE(E5288,G5288)</f>
        <v/>
      </c>
      <c r="R5288" s="15">
        <f>+H5288</f>
        <v>0</v>
      </c>
      <c r="S5288" s="16"/>
      <c r="T5288" s="15">
        <f>+E5288</f>
        <v>0</v>
      </c>
      <c r="U5288" s="26" t="str">
        <f t="shared" ref="U5288" si="2881">IFERROR(LEFT(G5288,FIND("*",G5288)-1),"-")</f>
        <v>-</v>
      </c>
      <c r="V5288" s="26" t="str">
        <f t="shared" ref="V5288" si="2882">IFERROR(RIGHT(G5288,LEN(G5288)-FIND("*",G5288)),"-")</f>
        <v>-</v>
      </c>
      <c r="W5288" s="27" t="str">
        <f t="shared" si="2878"/>
        <v>-</v>
      </c>
      <c r="X5288" s="27" t="str">
        <f>IFERROR(W5288*H5288,"-")</f>
        <v>-</v>
      </c>
      <c r="Z5288" s="94" t="s">
        <v>82</v>
      </c>
    </row>
    <row r="5289" spans="1:26" s="25" customFormat="1" ht="6.95" customHeight="1" x14ac:dyDescent="0.3">
      <c r="A5289" s="10"/>
      <c r="B5289" s="168"/>
      <c r="C5289" s="169"/>
      <c r="D5289" s="160"/>
      <c r="E5289" s="161"/>
      <c r="F5289" s="162"/>
      <c r="G5289" s="163"/>
      <c r="H5289" s="164"/>
      <c r="I5289" s="163"/>
      <c r="J5289" s="164"/>
      <c r="K5289" s="163"/>
      <c r="L5289" s="164"/>
      <c r="M5289" s="11"/>
      <c r="N5289" s="39"/>
      <c r="Q5289" s="15" t="str">
        <f>+CONCATENATE(E5288,I5288)</f>
        <v/>
      </c>
      <c r="R5289" s="15">
        <f>+J5288</f>
        <v>0</v>
      </c>
      <c r="S5289" s="16"/>
      <c r="T5289" s="15">
        <f>+E5288</f>
        <v>0</v>
      </c>
      <c r="U5289" s="26" t="str">
        <f>IFERROR(LEFT(I5288,FIND("*",I5288)-1),"-")</f>
        <v>-</v>
      </c>
      <c r="V5289" s="26" t="str">
        <f>IFERROR(RIGHT(I5288,LEN(I5288)-FIND("*",I5288)),"-")</f>
        <v>-</v>
      </c>
      <c r="W5289" s="27" t="str">
        <f t="shared" si="2878"/>
        <v>-</v>
      </c>
      <c r="X5289" s="27" t="str">
        <f t="shared" ref="X5289" si="2883">IFERROR(W5289*J5288,"-")</f>
        <v>-</v>
      </c>
      <c r="Z5289" s="94" t="s">
        <v>82</v>
      </c>
    </row>
    <row r="5290" spans="1:26" s="25" customFormat="1" ht="6.95" customHeight="1" x14ac:dyDescent="0.3">
      <c r="A5290" s="10"/>
      <c r="B5290" s="168"/>
      <c r="C5290" s="169"/>
      <c r="D5290" s="160"/>
      <c r="E5290" s="161"/>
      <c r="F5290" s="162"/>
      <c r="G5290" s="163"/>
      <c r="H5290" s="164"/>
      <c r="I5290" s="163"/>
      <c r="J5290" s="164"/>
      <c r="K5290" s="163"/>
      <c r="L5290" s="164"/>
      <c r="M5290" s="11"/>
      <c r="N5290" s="39"/>
      <c r="Q5290" s="15" t="str">
        <f>+CONCATENATE(E5288,K5288)</f>
        <v/>
      </c>
      <c r="R5290" s="15">
        <f>+L5288</f>
        <v>0</v>
      </c>
      <c r="S5290" s="16"/>
      <c r="T5290" s="15">
        <f>+E5288</f>
        <v>0</v>
      </c>
      <c r="U5290" s="26" t="str">
        <f>IFERROR(LEFT(K5288,FIND("*",K5288)-1),"-")</f>
        <v>-</v>
      </c>
      <c r="V5290" s="26" t="str">
        <f>IFERROR(RIGHT(K5288,LEN(K5288)-FIND("*",K5288)),"-")</f>
        <v>-</v>
      </c>
      <c r="W5290" s="27" t="str">
        <f t="shared" si="2878"/>
        <v>-</v>
      </c>
      <c r="X5290" s="27" t="str">
        <f>IFERROR(W5290*L5288,"-")</f>
        <v>-</v>
      </c>
      <c r="Z5290" s="94" t="s">
        <v>82</v>
      </c>
    </row>
    <row r="5291" spans="1:26" s="25" customFormat="1" ht="21" customHeight="1" thickBot="1" x14ac:dyDescent="0.35">
      <c r="A5291" s="10"/>
      <c r="B5291" s="170"/>
      <c r="C5291" s="171"/>
      <c r="D5291" s="172" t="s">
        <v>43</v>
      </c>
      <c r="E5291" s="173"/>
      <c r="F5291" s="173"/>
      <c r="G5291" s="174"/>
      <c r="H5291" s="174"/>
      <c r="I5291" s="174"/>
      <c r="J5291" s="174"/>
      <c r="K5291" s="174"/>
      <c r="L5291" s="174"/>
      <c r="M5291" s="12"/>
      <c r="N5291" s="39"/>
      <c r="U5291" s="23"/>
      <c r="V5291" s="23"/>
      <c r="Z5291" s="95" t="s">
        <v>81</v>
      </c>
    </row>
    <row r="5292" spans="1:26" s="25" customFormat="1" ht="9.9499999999999993" customHeight="1" thickBot="1" x14ac:dyDescent="0.35">
      <c r="A5292" s="6"/>
      <c r="B5292" s="14"/>
      <c r="C5292" s="119"/>
      <c r="D5292" s="58"/>
      <c r="E5292" s="17"/>
      <c r="F5292" s="58"/>
      <c r="G5292" s="19"/>
      <c r="H5292" s="19"/>
      <c r="I5292" s="19"/>
      <c r="J5292" s="19"/>
      <c r="K5292" s="19"/>
      <c r="L5292" s="19"/>
      <c r="M5292" s="14"/>
      <c r="N5292" s="39"/>
      <c r="Q5292" s="1"/>
      <c r="R5292" s="1"/>
      <c r="S5292" s="1"/>
      <c r="T5292" s="1"/>
      <c r="U5292" s="24"/>
      <c r="V5292" s="24"/>
      <c r="W5292" s="1"/>
      <c r="X5292" s="1"/>
      <c r="Z5292" s="94" t="s">
        <v>82</v>
      </c>
    </row>
    <row r="5293" spans="1:26" s="25" customFormat="1" ht="6.95" customHeight="1" x14ac:dyDescent="0.3">
      <c r="A5293" s="165">
        <f>+A5282+1</f>
        <v>482</v>
      </c>
      <c r="B5293" s="166"/>
      <c r="C5293" s="167"/>
      <c r="D5293" s="160" t="s">
        <v>39</v>
      </c>
      <c r="E5293" s="161"/>
      <c r="F5293" s="162" t="s">
        <v>40</v>
      </c>
      <c r="G5293" s="163"/>
      <c r="H5293" s="164"/>
      <c r="I5293" s="163"/>
      <c r="J5293" s="164"/>
      <c r="K5293" s="163"/>
      <c r="L5293" s="164"/>
      <c r="M5293" s="11"/>
      <c r="N5293" s="39"/>
      <c r="Q5293" s="15" t="str">
        <f>+CONCATENATE(E5293,G5293)</f>
        <v/>
      </c>
      <c r="R5293" s="15">
        <f>+H5293</f>
        <v>0</v>
      </c>
      <c r="S5293" s="16"/>
      <c r="T5293" s="15">
        <f>+E5293</f>
        <v>0</v>
      </c>
      <c r="U5293" s="26" t="str">
        <f>IFERROR(LEFT(G5293,FIND("*",G5293)-1),"-")</f>
        <v>-</v>
      </c>
      <c r="V5293" s="26" t="str">
        <f>IFERROR(RIGHT(G5293,LEN(G5293)-FIND("*",G5293)),"-")</f>
        <v>-</v>
      </c>
      <c r="W5293" s="27" t="str">
        <f>IFERROR((U5293+V5293)*2/1000,"-")</f>
        <v>-</v>
      </c>
      <c r="X5293" s="27" t="str">
        <f>IFERROR(W5293*H5293,"-")</f>
        <v>-</v>
      </c>
      <c r="Z5293" s="94" t="s">
        <v>82</v>
      </c>
    </row>
    <row r="5294" spans="1:26" s="25" customFormat="1" ht="6.95" customHeight="1" x14ac:dyDescent="0.3">
      <c r="A5294" s="165"/>
      <c r="B5294" s="168"/>
      <c r="C5294" s="169"/>
      <c r="D5294" s="160"/>
      <c r="E5294" s="161"/>
      <c r="F5294" s="162"/>
      <c r="G5294" s="163"/>
      <c r="H5294" s="164"/>
      <c r="I5294" s="163"/>
      <c r="J5294" s="164"/>
      <c r="K5294" s="163"/>
      <c r="L5294" s="164"/>
      <c r="M5294" s="11"/>
      <c r="N5294" s="39"/>
      <c r="Q5294" s="15" t="str">
        <f>+CONCATENATE(E5293,I5293)</f>
        <v/>
      </c>
      <c r="R5294" s="15">
        <f>+J5293</f>
        <v>0</v>
      </c>
      <c r="S5294" s="16"/>
      <c r="T5294" s="15">
        <f>+E5293</f>
        <v>0</v>
      </c>
      <c r="U5294" s="26" t="str">
        <f>IFERROR(LEFT(I5293,FIND("*",I5293)-1),"-")</f>
        <v>-</v>
      </c>
      <c r="V5294" s="26" t="str">
        <f>IFERROR(RIGHT(I5293,LEN(I5293)-FIND("*",I5293)),"-")</f>
        <v>-</v>
      </c>
      <c r="W5294" s="27" t="str">
        <f t="shared" ref="W5294:W5301" si="2884">IFERROR((U5294+V5294)*2/1000,"-")</f>
        <v>-</v>
      </c>
      <c r="X5294" s="27" t="str">
        <f>IFERROR(W5294*J5293,"-")</f>
        <v>-</v>
      </c>
      <c r="Z5294" s="94" t="s">
        <v>82</v>
      </c>
    </row>
    <row r="5295" spans="1:26" s="25" customFormat="1" ht="6.95" customHeight="1" x14ac:dyDescent="0.3">
      <c r="A5295" s="165"/>
      <c r="B5295" s="168"/>
      <c r="C5295" s="169"/>
      <c r="D5295" s="160"/>
      <c r="E5295" s="161"/>
      <c r="F5295" s="162"/>
      <c r="G5295" s="163"/>
      <c r="H5295" s="164"/>
      <c r="I5295" s="163"/>
      <c r="J5295" s="164"/>
      <c r="K5295" s="163"/>
      <c r="L5295" s="164"/>
      <c r="M5295" s="11"/>
      <c r="N5295" s="39"/>
      <c r="Q5295" s="15" t="str">
        <f>+CONCATENATE(E5293,K5293)</f>
        <v/>
      </c>
      <c r="R5295" s="15">
        <f>+L5293</f>
        <v>0</v>
      </c>
      <c r="S5295" s="16"/>
      <c r="T5295" s="15">
        <f>+E5293</f>
        <v>0</v>
      </c>
      <c r="U5295" s="26" t="str">
        <f>IFERROR(LEFT(K5293,FIND("*",K5293)-1),"-")</f>
        <v>-</v>
      </c>
      <c r="V5295" s="26" t="str">
        <f>IFERROR(RIGHT(K5293,LEN(K5293)-FIND("*",K5293)),"-")</f>
        <v>-</v>
      </c>
      <c r="W5295" s="27" t="str">
        <f t="shared" si="2884"/>
        <v>-</v>
      </c>
      <c r="X5295" s="27" t="str">
        <f>IFERROR(W5295*L5293,"-")</f>
        <v>-</v>
      </c>
      <c r="Z5295" s="94" t="s">
        <v>82</v>
      </c>
    </row>
    <row r="5296" spans="1:26" s="25" customFormat="1" ht="6.95" customHeight="1" x14ac:dyDescent="0.3">
      <c r="A5296" s="13"/>
      <c r="B5296" s="168"/>
      <c r="C5296" s="169"/>
      <c r="D5296" s="160" t="s">
        <v>39</v>
      </c>
      <c r="E5296" s="161"/>
      <c r="F5296" s="162" t="s">
        <v>40</v>
      </c>
      <c r="G5296" s="163"/>
      <c r="H5296" s="164"/>
      <c r="I5296" s="163"/>
      <c r="J5296" s="164"/>
      <c r="K5296" s="163"/>
      <c r="L5296" s="164"/>
      <c r="M5296" s="11"/>
      <c r="N5296" s="39"/>
      <c r="Q5296" s="15" t="str">
        <f>+CONCATENATE(E5296,G5296)</f>
        <v/>
      </c>
      <c r="R5296" s="15">
        <f>+H5296</f>
        <v>0</v>
      </c>
      <c r="S5296" s="16"/>
      <c r="T5296" s="15">
        <f>+E5296</f>
        <v>0</v>
      </c>
      <c r="U5296" s="26" t="str">
        <f t="shared" ref="U5296" si="2885">IFERROR(LEFT(G5296,FIND("*",G5296)-1),"-")</f>
        <v>-</v>
      </c>
      <c r="V5296" s="26" t="str">
        <f t="shared" ref="V5296" si="2886">IFERROR(RIGHT(G5296,LEN(G5296)-FIND("*",G5296)),"-")</f>
        <v>-</v>
      </c>
      <c r="W5296" s="27" t="str">
        <f t="shared" si="2884"/>
        <v>-</v>
      </c>
      <c r="X5296" s="27" t="str">
        <f>IFERROR(W5296*H5296,"-")</f>
        <v>-</v>
      </c>
      <c r="Z5296" s="94" t="s">
        <v>82</v>
      </c>
    </row>
    <row r="5297" spans="1:26" s="25" customFormat="1" ht="6.95" customHeight="1" x14ac:dyDescent="0.3">
      <c r="A5297" s="10"/>
      <c r="B5297" s="168"/>
      <c r="C5297" s="169"/>
      <c r="D5297" s="160"/>
      <c r="E5297" s="161"/>
      <c r="F5297" s="162"/>
      <c r="G5297" s="163"/>
      <c r="H5297" s="164"/>
      <c r="I5297" s="163"/>
      <c r="J5297" s="164"/>
      <c r="K5297" s="163"/>
      <c r="L5297" s="164"/>
      <c r="M5297" s="11"/>
      <c r="N5297" s="39"/>
      <c r="Q5297" s="15" t="str">
        <f>+CONCATENATE(E5296,I5296)</f>
        <v/>
      </c>
      <c r="R5297" s="15">
        <f>+J5296</f>
        <v>0</v>
      </c>
      <c r="S5297" s="16"/>
      <c r="T5297" s="15">
        <f>+E5296</f>
        <v>0</v>
      </c>
      <c r="U5297" s="26" t="str">
        <f>IFERROR(LEFT(I5296,FIND("*",I5296)-1),"-")</f>
        <v>-</v>
      </c>
      <c r="V5297" s="26" t="str">
        <f>IFERROR(RIGHT(I5296,LEN(I5296)-FIND("*",I5296)),"-")</f>
        <v>-</v>
      </c>
      <c r="W5297" s="27" t="str">
        <f t="shared" si="2884"/>
        <v>-</v>
      </c>
      <c r="X5297" s="27" t="str">
        <f>IFERROR(W5297*J5296,"-")</f>
        <v>-</v>
      </c>
      <c r="Z5297" s="94" t="s">
        <v>82</v>
      </c>
    </row>
    <row r="5298" spans="1:26" s="25" customFormat="1" ht="6.95" customHeight="1" x14ac:dyDescent="0.3">
      <c r="A5298" s="10"/>
      <c r="B5298" s="168"/>
      <c r="C5298" s="169"/>
      <c r="D5298" s="160"/>
      <c r="E5298" s="161"/>
      <c r="F5298" s="162"/>
      <c r="G5298" s="163"/>
      <c r="H5298" s="164"/>
      <c r="I5298" s="163"/>
      <c r="J5298" s="164"/>
      <c r="K5298" s="163"/>
      <c r="L5298" s="164"/>
      <c r="M5298" s="11"/>
      <c r="N5298" s="39"/>
      <c r="Q5298" s="15" t="str">
        <f>+CONCATENATE(E5296,K5296)</f>
        <v/>
      </c>
      <c r="R5298" s="15">
        <f>+L5296</f>
        <v>0</v>
      </c>
      <c r="S5298" s="16"/>
      <c r="T5298" s="15">
        <f>+E5296</f>
        <v>0</v>
      </c>
      <c r="U5298" s="26" t="str">
        <f>IFERROR(LEFT(K5296,FIND("*",K5296)-1),"-")</f>
        <v>-</v>
      </c>
      <c r="V5298" s="26" t="str">
        <f>IFERROR(RIGHT(K5296,LEN(K5296)-FIND("*",K5296)),"-")</f>
        <v>-</v>
      </c>
      <c r="W5298" s="27" t="str">
        <f t="shared" si="2884"/>
        <v>-</v>
      </c>
      <c r="X5298" s="27" t="str">
        <f>IFERROR(W5298*L5296,"-")</f>
        <v>-</v>
      </c>
      <c r="Z5298" s="94" t="s">
        <v>82</v>
      </c>
    </row>
    <row r="5299" spans="1:26" s="25" customFormat="1" ht="6.95" customHeight="1" x14ac:dyDescent="0.3">
      <c r="A5299" s="13"/>
      <c r="B5299" s="168"/>
      <c r="C5299" s="169"/>
      <c r="D5299" s="160" t="s">
        <v>39</v>
      </c>
      <c r="E5299" s="161"/>
      <c r="F5299" s="162" t="s">
        <v>40</v>
      </c>
      <c r="G5299" s="163"/>
      <c r="H5299" s="164"/>
      <c r="I5299" s="163"/>
      <c r="J5299" s="164"/>
      <c r="K5299" s="163"/>
      <c r="L5299" s="164"/>
      <c r="M5299" s="11"/>
      <c r="N5299" s="39"/>
      <c r="Q5299" s="15" t="str">
        <f>+CONCATENATE(E5299,G5299)</f>
        <v/>
      </c>
      <c r="R5299" s="15">
        <f>+H5299</f>
        <v>0</v>
      </c>
      <c r="S5299" s="16"/>
      <c r="T5299" s="15">
        <f>+E5299</f>
        <v>0</v>
      </c>
      <c r="U5299" s="26" t="str">
        <f t="shared" ref="U5299" si="2887">IFERROR(LEFT(G5299,FIND("*",G5299)-1),"-")</f>
        <v>-</v>
      </c>
      <c r="V5299" s="26" t="str">
        <f t="shared" ref="V5299" si="2888">IFERROR(RIGHT(G5299,LEN(G5299)-FIND("*",G5299)),"-")</f>
        <v>-</v>
      </c>
      <c r="W5299" s="27" t="str">
        <f t="shared" si="2884"/>
        <v>-</v>
      </c>
      <c r="X5299" s="27" t="str">
        <f>IFERROR(W5299*H5299,"-")</f>
        <v>-</v>
      </c>
      <c r="Z5299" s="94" t="s">
        <v>82</v>
      </c>
    </row>
    <row r="5300" spans="1:26" s="25" customFormat="1" ht="6.95" customHeight="1" x14ac:dyDescent="0.3">
      <c r="A5300" s="10"/>
      <c r="B5300" s="168"/>
      <c r="C5300" s="169"/>
      <c r="D5300" s="160"/>
      <c r="E5300" s="161"/>
      <c r="F5300" s="162"/>
      <c r="G5300" s="163"/>
      <c r="H5300" s="164"/>
      <c r="I5300" s="163"/>
      <c r="J5300" s="164"/>
      <c r="K5300" s="163"/>
      <c r="L5300" s="164"/>
      <c r="M5300" s="11"/>
      <c r="N5300" s="39"/>
      <c r="Q5300" s="15" t="str">
        <f>+CONCATENATE(E5299,I5299)</f>
        <v/>
      </c>
      <c r="R5300" s="15">
        <f>+J5299</f>
        <v>0</v>
      </c>
      <c r="S5300" s="16"/>
      <c r="T5300" s="15">
        <f>+E5299</f>
        <v>0</v>
      </c>
      <c r="U5300" s="26" t="str">
        <f>IFERROR(LEFT(I5299,FIND("*",I5299)-1),"-")</f>
        <v>-</v>
      </c>
      <c r="V5300" s="26" t="str">
        <f>IFERROR(RIGHT(I5299,LEN(I5299)-FIND("*",I5299)),"-")</f>
        <v>-</v>
      </c>
      <c r="W5300" s="27" t="str">
        <f t="shared" si="2884"/>
        <v>-</v>
      </c>
      <c r="X5300" s="27" t="str">
        <f t="shared" ref="X5300" si="2889">IFERROR(W5300*J5299,"-")</f>
        <v>-</v>
      </c>
      <c r="Z5300" s="94" t="s">
        <v>82</v>
      </c>
    </row>
    <row r="5301" spans="1:26" s="25" customFormat="1" ht="6.95" customHeight="1" x14ac:dyDescent="0.3">
      <c r="A5301" s="10"/>
      <c r="B5301" s="168"/>
      <c r="C5301" s="169"/>
      <c r="D5301" s="160"/>
      <c r="E5301" s="161"/>
      <c r="F5301" s="162"/>
      <c r="G5301" s="163"/>
      <c r="H5301" s="164"/>
      <c r="I5301" s="163"/>
      <c r="J5301" s="164"/>
      <c r="K5301" s="163"/>
      <c r="L5301" s="164"/>
      <c r="M5301" s="11"/>
      <c r="N5301" s="39"/>
      <c r="Q5301" s="15" t="str">
        <f>+CONCATENATE(E5299,K5299)</f>
        <v/>
      </c>
      <c r="R5301" s="15">
        <f>+L5299</f>
        <v>0</v>
      </c>
      <c r="S5301" s="16"/>
      <c r="T5301" s="15">
        <f>+E5299</f>
        <v>0</v>
      </c>
      <c r="U5301" s="26" t="str">
        <f>IFERROR(LEFT(K5299,FIND("*",K5299)-1),"-")</f>
        <v>-</v>
      </c>
      <c r="V5301" s="26" t="str">
        <f>IFERROR(RIGHT(K5299,LEN(K5299)-FIND("*",K5299)),"-")</f>
        <v>-</v>
      </c>
      <c r="W5301" s="27" t="str">
        <f t="shared" si="2884"/>
        <v>-</v>
      </c>
      <c r="X5301" s="27" t="str">
        <f>IFERROR(W5301*L5299,"-")</f>
        <v>-</v>
      </c>
      <c r="Z5301" s="94" t="s">
        <v>82</v>
      </c>
    </row>
    <row r="5302" spans="1:26" s="25" customFormat="1" ht="21" customHeight="1" thickBot="1" x14ac:dyDescent="0.35">
      <c r="A5302" s="10"/>
      <c r="B5302" s="170"/>
      <c r="C5302" s="171"/>
      <c r="D5302" s="172" t="s">
        <v>43</v>
      </c>
      <c r="E5302" s="173"/>
      <c r="F5302" s="173"/>
      <c r="G5302" s="174"/>
      <c r="H5302" s="174"/>
      <c r="I5302" s="174"/>
      <c r="J5302" s="174"/>
      <c r="K5302" s="174"/>
      <c r="L5302" s="174"/>
      <c r="M5302" s="12"/>
      <c r="N5302" s="39"/>
      <c r="U5302" s="23"/>
      <c r="V5302" s="23"/>
      <c r="Z5302" s="95" t="s">
        <v>81</v>
      </c>
    </row>
    <row r="5303" spans="1:26" s="25" customFormat="1" ht="9.9499999999999993" customHeight="1" thickBot="1" x14ac:dyDescent="0.35">
      <c r="A5303" s="6"/>
      <c r="B5303" s="14"/>
      <c r="C5303" s="119"/>
      <c r="D5303" s="58"/>
      <c r="E5303" s="17"/>
      <c r="F5303" s="58"/>
      <c r="G5303" s="19"/>
      <c r="H5303" s="19"/>
      <c r="I5303" s="19"/>
      <c r="J5303" s="19"/>
      <c r="K5303" s="19"/>
      <c r="L5303" s="19"/>
      <c r="M5303" s="14"/>
      <c r="N5303" s="39"/>
      <c r="Q5303" s="1"/>
      <c r="R5303" s="1"/>
      <c r="S5303" s="1"/>
      <c r="T5303" s="1"/>
      <c r="U5303" s="24"/>
      <c r="V5303" s="24"/>
      <c r="W5303" s="1"/>
      <c r="X5303" s="1"/>
      <c r="Z5303" s="94" t="s">
        <v>82</v>
      </c>
    </row>
    <row r="5304" spans="1:26" s="25" customFormat="1" ht="6.95" customHeight="1" x14ac:dyDescent="0.3">
      <c r="A5304" s="165">
        <f>+A5293+1</f>
        <v>483</v>
      </c>
      <c r="B5304" s="166"/>
      <c r="C5304" s="167"/>
      <c r="D5304" s="160" t="s">
        <v>39</v>
      </c>
      <c r="E5304" s="161"/>
      <c r="F5304" s="162" t="s">
        <v>40</v>
      </c>
      <c r="G5304" s="163"/>
      <c r="H5304" s="164"/>
      <c r="I5304" s="163"/>
      <c r="J5304" s="164"/>
      <c r="K5304" s="163"/>
      <c r="L5304" s="164"/>
      <c r="M5304" s="11"/>
      <c r="N5304" s="39"/>
      <c r="Q5304" s="15" t="str">
        <f>+CONCATENATE(E5304,G5304)</f>
        <v/>
      </c>
      <c r="R5304" s="15">
        <f>+H5304</f>
        <v>0</v>
      </c>
      <c r="S5304" s="16"/>
      <c r="T5304" s="15">
        <f>+E5304</f>
        <v>0</v>
      </c>
      <c r="U5304" s="26" t="str">
        <f>IFERROR(LEFT(G5304,FIND("*",G5304)-1),"-")</f>
        <v>-</v>
      </c>
      <c r="V5304" s="26" t="str">
        <f>IFERROR(RIGHT(G5304,LEN(G5304)-FIND("*",G5304)),"-")</f>
        <v>-</v>
      </c>
      <c r="W5304" s="27" t="str">
        <f>IFERROR((U5304+V5304)*2/1000,"-")</f>
        <v>-</v>
      </c>
      <c r="X5304" s="27" t="str">
        <f>IFERROR(W5304*H5304,"-")</f>
        <v>-</v>
      </c>
      <c r="Z5304" s="94" t="s">
        <v>82</v>
      </c>
    </row>
    <row r="5305" spans="1:26" s="25" customFormat="1" ht="6.95" customHeight="1" x14ac:dyDescent="0.3">
      <c r="A5305" s="165"/>
      <c r="B5305" s="168"/>
      <c r="C5305" s="169"/>
      <c r="D5305" s="160"/>
      <c r="E5305" s="161"/>
      <c r="F5305" s="162"/>
      <c r="G5305" s="163"/>
      <c r="H5305" s="164"/>
      <c r="I5305" s="163"/>
      <c r="J5305" s="164"/>
      <c r="K5305" s="163"/>
      <c r="L5305" s="164"/>
      <c r="M5305" s="11"/>
      <c r="N5305" s="39"/>
      <c r="Q5305" s="15" t="str">
        <f>+CONCATENATE(E5304,I5304)</f>
        <v/>
      </c>
      <c r="R5305" s="15">
        <f>+J5304</f>
        <v>0</v>
      </c>
      <c r="S5305" s="16"/>
      <c r="T5305" s="15">
        <f>+E5304</f>
        <v>0</v>
      </c>
      <c r="U5305" s="26" t="str">
        <f>IFERROR(LEFT(I5304,FIND("*",I5304)-1),"-")</f>
        <v>-</v>
      </c>
      <c r="V5305" s="26" t="str">
        <f>IFERROR(RIGHT(I5304,LEN(I5304)-FIND("*",I5304)),"-")</f>
        <v>-</v>
      </c>
      <c r="W5305" s="27" t="str">
        <f t="shared" ref="W5305:W5312" si="2890">IFERROR((U5305+V5305)*2/1000,"-")</f>
        <v>-</v>
      </c>
      <c r="X5305" s="27" t="str">
        <f>IFERROR(W5305*J5304,"-")</f>
        <v>-</v>
      </c>
      <c r="Z5305" s="94" t="s">
        <v>82</v>
      </c>
    </row>
    <row r="5306" spans="1:26" s="25" customFormat="1" ht="6.95" customHeight="1" x14ac:dyDescent="0.3">
      <c r="A5306" s="165"/>
      <c r="B5306" s="168"/>
      <c r="C5306" s="169"/>
      <c r="D5306" s="160"/>
      <c r="E5306" s="161"/>
      <c r="F5306" s="162"/>
      <c r="G5306" s="163"/>
      <c r="H5306" s="164"/>
      <c r="I5306" s="163"/>
      <c r="J5306" s="164"/>
      <c r="K5306" s="163"/>
      <c r="L5306" s="164"/>
      <c r="M5306" s="11"/>
      <c r="N5306" s="39"/>
      <c r="Q5306" s="15" t="str">
        <f>+CONCATENATE(E5304,K5304)</f>
        <v/>
      </c>
      <c r="R5306" s="15">
        <f>+L5304</f>
        <v>0</v>
      </c>
      <c r="S5306" s="16"/>
      <c r="T5306" s="15">
        <f>+E5304</f>
        <v>0</v>
      </c>
      <c r="U5306" s="26" t="str">
        <f>IFERROR(LEFT(K5304,FIND("*",K5304)-1),"-")</f>
        <v>-</v>
      </c>
      <c r="V5306" s="26" t="str">
        <f>IFERROR(RIGHT(K5304,LEN(K5304)-FIND("*",K5304)),"-")</f>
        <v>-</v>
      </c>
      <c r="W5306" s="27" t="str">
        <f t="shared" si="2890"/>
        <v>-</v>
      </c>
      <c r="X5306" s="27" t="str">
        <f>IFERROR(W5306*L5304,"-")</f>
        <v>-</v>
      </c>
      <c r="Z5306" s="94" t="s">
        <v>82</v>
      </c>
    </row>
    <row r="5307" spans="1:26" s="25" customFormat="1" ht="6.95" customHeight="1" x14ac:dyDescent="0.3">
      <c r="A5307" s="13"/>
      <c r="B5307" s="168"/>
      <c r="C5307" s="169"/>
      <c r="D5307" s="160" t="s">
        <v>39</v>
      </c>
      <c r="E5307" s="161"/>
      <c r="F5307" s="162" t="s">
        <v>40</v>
      </c>
      <c r="G5307" s="163"/>
      <c r="H5307" s="164"/>
      <c r="I5307" s="163"/>
      <c r="J5307" s="164"/>
      <c r="K5307" s="163"/>
      <c r="L5307" s="164"/>
      <c r="M5307" s="11"/>
      <c r="N5307" s="39"/>
      <c r="Q5307" s="15" t="str">
        <f>+CONCATENATE(E5307,G5307)</f>
        <v/>
      </c>
      <c r="R5307" s="15">
        <f>+H5307</f>
        <v>0</v>
      </c>
      <c r="S5307" s="16"/>
      <c r="T5307" s="15">
        <f>+E5307</f>
        <v>0</v>
      </c>
      <c r="U5307" s="26" t="str">
        <f t="shared" ref="U5307" si="2891">IFERROR(LEFT(G5307,FIND("*",G5307)-1),"-")</f>
        <v>-</v>
      </c>
      <c r="V5307" s="26" t="str">
        <f t="shared" ref="V5307" si="2892">IFERROR(RIGHT(G5307,LEN(G5307)-FIND("*",G5307)),"-")</f>
        <v>-</v>
      </c>
      <c r="W5307" s="27" t="str">
        <f t="shared" si="2890"/>
        <v>-</v>
      </c>
      <c r="X5307" s="27" t="str">
        <f>IFERROR(W5307*H5307,"-")</f>
        <v>-</v>
      </c>
      <c r="Z5307" s="94" t="s">
        <v>82</v>
      </c>
    </row>
    <row r="5308" spans="1:26" s="25" customFormat="1" ht="6.95" customHeight="1" x14ac:dyDescent="0.3">
      <c r="A5308" s="10"/>
      <c r="B5308" s="168"/>
      <c r="C5308" s="169"/>
      <c r="D5308" s="160"/>
      <c r="E5308" s="161"/>
      <c r="F5308" s="162"/>
      <c r="G5308" s="163"/>
      <c r="H5308" s="164"/>
      <c r="I5308" s="163"/>
      <c r="J5308" s="164"/>
      <c r="K5308" s="163"/>
      <c r="L5308" s="164"/>
      <c r="M5308" s="11"/>
      <c r="N5308" s="39"/>
      <c r="Q5308" s="15" t="str">
        <f>+CONCATENATE(E5307,I5307)</f>
        <v/>
      </c>
      <c r="R5308" s="15">
        <f>+J5307</f>
        <v>0</v>
      </c>
      <c r="S5308" s="16"/>
      <c r="T5308" s="15">
        <f>+E5307</f>
        <v>0</v>
      </c>
      <c r="U5308" s="26" t="str">
        <f>IFERROR(LEFT(I5307,FIND("*",I5307)-1),"-")</f>
        <v>-</v>
      </c>
      <c r="V5308" s="26" t="str">
        <f>IFERROR(RIGHT(I5307,LEN(I5307)-FIND("*",I5307)),"-")</f>
        <v>-</v>
      </c>
      <c r="W5308" s="27" t="str">
        <f t="shared" si="2890"/>
        <v>-</v>
      </c>
      <c r="X5308" s="27" t="str">
        <f>IFERROR(W5308*J5307,"-")</f>
        <v>-</v>
      </c>
      <c r="Z5308" s="94" t="s">
        <v>82</v>
      </c>
    </row>
    <row r="5309" spans="1:26" s="25" customFormat="1" ht="6.95" customHeight="1" x14ac:dyDescent="0.3">
      <c r="A5309" s="10"/>
      <c r="B5309" s="168"/>
      <c r="C5309" s="169"/>
      <c r="D5309" s="160"/>
      <c r="E5309" s="161"/>
      <c r="F5309" s="162"/>
      <c r="G5309" s="163"/>
      <c r="H5309" s="164"/>
      <c r="I5309" s="163"/>
      <c r="J5309" s="164"/>
      <c r="K5309" s="163"/>
      <c r="L5309" s="164"/>
      <c r="M5309" s="11"/>
      <c r="N5309" s="39"/>
      <c r="Q5309" s="15" t="str">
        <f>+CONCATENATE(E5307,K5307)</f>
        <v/>
      </c>
      <c r="R5309" s="15">
        <f>+L5307</f>
        <v>0</v>
      </c>
      <c r="S5309" s="16"/>
      <c r="T5309" s="15">
        <f>+E5307</f>
        <v>0</v>
      </c>
      <c r="U5309" s="26" t="str">
        <f>IFERROR(LEFT(K5307,FIND("*",K5307)-1),"-")</f>
        <v>-</v>
      </c>
      <c r="V5309" s="26" t="str">
        <f>IFERROR(RIGHT(K5307,LEN(K5307)-FIND("*",K5307)),"-")</f>
        <v>-</v>
      </c>
      <c r="W5309" s="27" t="str">
        <f t="shared" si="2890"/>
        <v>-</v>
      </c>
      <c r="X5309" s="27" t="str">
        <f>IFERROR(W5309*L5307,"-")</f>
        <v>-</v>
      </c>
      <c r="Z5309" s="94" t="s">
        <v>82</v>
      </c>
    </row>
    <row r="5310" spans="1:26" s="25" customFormat="1" ht="6.95" customHeight="1" x14ac:dyDescent="0.3">
      <c r="A5310" s="13"/>
      <c r="B5310" s="168"/>
      <c r="C5310" s="169"/>
      <c r="D5310" s="160" t="s">
        <v>39</v>
      </c>
      <c r="E5310" s="161"/>
      <c r="F5310" s="162" t="s">
        <v>40</v>
      </c>
      <c r="G5310" s="163"/>
      <c r="H5310" s="164"/>
      <c r="I5310" s="163"/>
      <c r="J5310" s="164"/>
      <c r="K5310" s="163"/>
      <c r="L5310" s="164"/>
      <c r="M5310" s="11"/>
      <c r="N5310" s="39"/>
      <c r="Q5310" s="15" t="str">
        <f>+CONCATENATE(E5310,G5310)</f>
        <v/>
      </c>
      <c r="R5310" s="15">
        <f>+H5310</f>
        <v>0</v>
      </c>
      <c r="S5310" s="16"/>
      <c r="T5310" s="15">
        <f>+E5310</f>
        <v>0</v>
      </c>
      <c r="U5310" s="26" t="str">
        <f t="shared" ref="U5310" si="2893">IFERROR(LEFT(G5310,FIND("*",G5310)-1),"-")</f>
        <v>-</v>
      </c>
      <c r="V5310" s="26" t="str">
        <f t="shared" ref="V5310" si="2894">IFERROR(RIGHT(G5310,LEN(G5310)-FIND("*",G5310)),"-")</f>
        <v>-</v>
      </c>
      <c r="W5310" s="27" t="str">
        <f t="shared" si="2890"/>
        <v>-</v>
      </c>
      <c r="X5310" s="27" t="str">
        <f>IFERROR(W5310*H5310,"-")</f>
        <v>-</v>
      </c>
      <c r="Z5310" s="94" t="s">
        <v>82</v>
      </c>
    </row>
    <row r="5311" spans="1:26" s="25" customFormat="1" ht="6.95" customHeight="1" x14ac:dyDescent="0.3">
      <c r="A5311" s="10"/>
      <c r="B5311" s="168"/>
      <c r="C5311" s="169"/>
      <c r="D5311" s="160"/>
      <c r="E5311" s="161"/>
      <c r="F5311" s="162"/>
      <c r="G5311" s="163"/>
      <c r="H5311" s="164"/>
      <c r="I5311" s="163"/>
      <c r="J5311" s="164"/>
      <c r="K5311" s="163"/>
      <c r="L5311" s="164"/>
      <c r="M5311" s="11"/>
      <c r="N5311" s="39"/>
      <c r="Q5311" s="15" t="str">
        <f>+CONCATENATE(E5310,I5310)</f>
        <v/>
      </c>
      <c r="R5311" s="15">
        <f>+J5310</f>
        <v>0</v>
      </c>
      <c r="S5311" s="16"/>
      <c r="T5311" s="15">
        <f>+E5310</f>
        <v>0</v>
      </c>
      <c r="U5311" s="26" t="str">
        <f>IFERROR(LEFT(I5310,FIND("*",I5310)-1),"-")</f>
        <v>-</v>
      </c>
      <c r="V5311" s="26" t="str">
        <f>IFERROR(RIGHT(I5310,LEN(I5310)-FIND("*",I5310)),"-")</f>
        <v>-</v>
      </c>
      <c r="W5311" s="27" t="str">
        <f t="shared" si="2890"/>
        <v>-</v>
      </c>
      <c r="X5311" s="27" t="str">
        <f t="shared" ref="X5311" si="2895">IFERROR(W5311*J5310,"-")</f>
        <v>-</v>
      </c>
      <c r="Z5311" s="94" t="s">
        <v>82</v>
      </c>
    </row>
    <row r="5312" spans="1:26" s="25" customFormat="1" ht="6.95" customHeight="1" x14ac:dyDescent="0.3">
      <c r="A5312" s="10"/>
      <c r="B5312" s="168"/>
      <c r="C5312" s="169"/>
      <c r="D5312" s="160"/>
      <c r="E5312" s="161"/>
      <c r="F5312" s="162"/>
      <c r="G5312" s="163"/>
      <c r="H5312" s="164"/>
      <c r="I5312" s="163"/>
      <c r="J5312" s="164"/>
      <c r="K5312" s="163"/>
      <c r="L5312" s="164"/>
      <c r="M5312" s="11"/>
      <c r="N5312" s="39"/>
      <c r="Q5312" s="15" t="str">
        <f>+CONCATENATE(E5310,K5310)</f>
        <v/>
      </c>
      <c r="R5312" s="15">
        <f>+L5310</f>
        <v>0</v>
      </c>
      <c r="S5312" s="16"/>
      <c r="T5312" s="15">
        <f>+E5310</f>
        <v>0</v>
      </c>
      <c r="U5312" s="26" t="str">
        <f>IFERROR(LEFT(K5310,FIND("*",K5310)-1),"-")</f>
        <v>-</v>
      </c>
      <c r="V5312" s="26" t="str">
        <f>IFERROR(RIGHT(K5310,LEN(K5310)-FIND("*",K5310)),"-")</f>
        <v>-</v>
      </c>
      <c r="W5312" s="27" t="str">
        <f t="shared" si="2890"/>
        <v>-</v>
      </c>
      <c r="X5312" s="27" t="str">
        <f>IFERROR(W5312*L5310,"-")</f>
        <v>-</v>
      </c>
      <c r="Z5312" s="94" t="s">
        <v>82</v>
      </c>
    </row>
    <row r="5313" spans="1:26" s="25" customFormat="1" ht="21" customHeight="1" thickBot="1" x14ac:dyDescent="0.35">
      <c r="A5313" s="10"/>
      <c r="B5313" s="170"/>
      <c r="C5313" s="171"/>
      <c r="D5313" s="172" t="s">
        <v>43</v>
      </c>
      <c r="E5313" s="173"/>
      <c r="F5313" s="173"/>
      <c r="G5313" s="174"/>
      <c r="H5313" s="174"/>
      <c r="I5313" s="174"/>
      <c r="J5313" s="174"/>
      <c r="K5313" s="174"/>
      <c r="L5313" s="174"/>
      <c r="M5313" s="12"/>
      <c r="N5313" s="39"/>
      <c r="U5313" s="23"/>
      <c r="V5313" s="23"/>
      <c r="Z5313" s="95" t="s">
        <v>81</v>
      </c>
    </row>
    <row r="5314" spans="1:26" s="25" customFormat="1" ht="9.9499999999999993" customHeight="1" thickBot="1" x14ac:dyDescent="0.35">
      <c r="A5314" s="6"/>
      <c r="B5314" s="14"/>
      <c r="C5314" s="119"/>
      <c r="D5314" s="58"/>
      <c r="E5314" s="17"/>
      <c r="F5314" s="58"/>
      <c r="G5314" s="19"/>
      <c r="H5314" s="19"/>
      <c r="I5314" s="19"/>
      <c r="J5314" s="19"/>
      <c r="K5314" s="19"/>
      <c r="L5314" s="19"/>
      <c r="M5314" s="14"/>
      <c r="N5314" s="39"/>
      <c r="Q5314" s="1"/>
      <c r="R5314" s="1"/>
      <c r="S5314" s="1"/>
      <c r="T5314" s="1"/>
      <c r="U5314" s="24"/>
      <c r="V5314" s="24"/>
      <c r="W5314" s="1"/>
      <c r="X5314" s="1"/>
      <c r="Z5314" s="94" t="s">
        <v>82</v>
      </c>
    </row>
    <row r="5315" spans="1:26" s="25" customFormat="1" ht="6.95" customHeight="1" x14ac:dyDescent="0.3">
      <c r="A5315" s="165">
        <f>+A5304+1</f>
        <v>484</v>
      </c>
      <c r="B5315" s="166"/>
      <c r="C5315" s="167"/>
      <c r="D5315" s="160" t="s">
        <v>39</v>
      </c>
      <c r="E5315" s="161"/>
      <c r="F5315" s="162" t="s">
        <v>40</v>
      </c>
      <c r="G5315" s="163"/>
      <c r="H5315" s="164"/>
      <c r="I5315" s="163"/>
      <c r="J5315" s="164"/>
      <c r="K5315" s="163"/>
      <c r="L5315" s="164"/>
      <c r="M5315" s="11"/>
      <c r="N5315" s="39"/>
      <c r="Q5315" s="15" t="str">
        <f>+CONCATENATE(E5315,G5315)</f>
        <v/>
      </c>
      <c r="R5315" s="15">
        <f>+H5315</f>
        <v>0</v>
      </c>
      <c r="S5315" s="16"/>
      <c r="T5315" s="15">
        <f>+E5315</f>
        <v>0</v>
      </c>
      <c r="U5315" s="26" t="str">
        <f>IFERROR(LEFT(G5315,FIND("*",G5315)-1),"-")</f>
        <v>-</v>
      </c>
      <c r="V5315" s="26" t="str">
        <f>IFERROR(RIGHT(G5315,LEN(G5315)-FIND("*",G5315)),"-")</f>
        <v>-</v>
      </c>
      <c r="W5315" s="27" t="str">
        <f>IFERROR((U5315+V5315)*2/1000,"-")</f>
        <v>-</v>
      </c>
      <c r="X5315" s="27" t="str">
        <f>IFERROR(W5315*H5315,"-")</f>
        <v>-</v>
      </c>
      <c r="Z5315" s="94" t="s">
        <v>82</v>
      </c>
    </row>
    <row r="5316" spans="1:26" s="25" customFormat="1" ht="6.95" customHeight="1" x14ac:dyDescent="0.3">
      <c r="A5316" s="165"/>
      <c r="B5316" s="168"/>
      <c r="C5316" s="169"/>
      <c r="D5316" s="160"/>
      <c r="E5316" s="161"/>
      <c r="F5316" s="162"/>
      <c r="G5316" s="163"/>
      <c r="H5316" s="164"/>
      <c r="I5316" s="163"/>
      <c r="J5316" s="164"/>
      <c r="K5316" s="163"/>
      <c r="L5316" s="164"/>
      <c r="M5316" s="11"/>
      <c r="N5316" s="39"/>
      <c r="Q5316" s="15" t="str">
        <f>+CONCATENATE(E5315,I5315)</f>
        <v/>
      </c>
      <c r="R5316" s="15">
        <f>+J5315</f>
        <v>0</v>
      </c>
      <c r="S5316" s="16"/>
      <c r="T5316" s="15">
        <f>+E5315</f>
        <v>0</v>
      </c>
      <c r="U5316" s="26" t="str">
        <f>IFERROR(LEFT(I5315,FIND("*",I5315)-1),"-")</f>
        <v>-</v>
      </c>
      <c r="V5316" s="26" t="str">
        <f>IFERROR(RIGHT(I5315,LEN(I5315)-FIND("*",I5315)),"-")</f>
        <v>-</v>
      </c>
      <c r="W5316" s="27" t="str">
        <f t="shared" ref="W5316:W5323" si="2896">IFERROR((U5316+V5316)*2/1000,"-")</f>
        <v>-</v>
      </c>
      <c r="X5316" s="27" t="str">
        <f>IFERROR(W5316*J5315,"-")</f>
        <v>-</v>
      </c>
      <c r="Z5316" s="94" t="s">
        <v>82</v>
      </c>
    </row>
    <row r="5317" spans="1:26" s="25" customFormat="1" ht="6.95" customHeight="1" x14ac:dyDescent="0.3">
      <c r="A5317" s="165"/>
      <c r="B5317" s="168"/>
      <c r="C5317" s="169"/>
      <c r="D5317" s="160"/>
      <c r="E5317" s="161"/>
      <c r="F5317" s="162"/>
      <c r="G5317" s="163"/>
      <c r="H5317" s="164"/>
      <c r="I5317" s="163"/>
      <c r="J5317" s="164"/>
      <c r="K5317" s="163"/>
      <c r="L5317" s="164"/>
      <c r="M5317" s="11"/>
      <c r="N5317" s="39"/>
      <c r="Q5317" s="15" t="str">
        <f>+CONCATENATE(E5315,K5315)</f>
        <v/>
      </c>
      <c r="R5317" s="15">
        <f>+L5315</f>
        <v>0</v>
      </c>
      <c r="S5317" s="16"/>
      <c r="T5317" s="15">
        <f>+E5315</f>
        <v>0</v>
      </c>
      <c r="U5317" s="26" t="str">
        <f>IFERROR(LEFT(K5315,FIND("*",K5315)-1),"-")</f>
        <v>-</v>
      </c>
      <c r="V5317" s="26" t="str">
        <f>IFERROR(RIGHT(K5315,LEN(K5315)-FIND("*",K5315)),"-")</f>
        <v>-</v>
      </c>
      <c r="W5317" s="27" t="str">
        <f t="shared" si="2896"/>
        <v>-</v>
      </c>
      <c r="X5317" s="27" t="str">
        <f>IFERROR(W5317*L5315,"-")</f>
        <v>-</v>
      </c>
      <c r="Z5317" s="94" t="s">
        <v>82</v>
      </c>
    </row>
    <row r="5318" spans="1:26" s="25" customFormat="1" ht="6.95" customHeight="1" x14ac:dyDescent="0.3">
      <c r="A5318" s="13"/>
      <c r="B5318" s="168"/>
      <c r="C5318" s="169"/>
      <c r="D5318" s="160" t="s">
        <v>39</v>
      </c>
      <c r="E5318" s="161"/>
      <c r="F5318" s="162" t="s">
        <v>40</v>
      </c>
      <c r="G5318" s="163"/>
      <c r="H5318" s="164"/>
      <c r="I5318" s="163"/>
      <c r="J5318" s="164"/>
      <c r="K5318" s="163"/>
      <c r="L5318" s="164"/>
      <c r="M5318" s="11"/>
      <c r="N5318" s="39"/>
      <c r="Q5318" s="15" t="str">
        <f>+CONCATENATE(E5318,G5318)</f>
        <v/>
      </c>
      <c r="R5318" s="15">
        <f>+H5318</f>
        <v>0</v>
      </c>
      <c r="S5318" s="16"/>
      <c r="T5318" s="15">
        <f>+E5318</f>
        <v>0</v>
      </c>
      <c r="U5318" s="26" t="str">
        <f t="shared" ref="U5318" si="2897">IFERROR(LEFT(G5318,FIND("*",G5318)-1),"-")</f>
        <v>-</v>
      </c>
      <c r="V5318" s="26" t="str">
        <f t="shared" ref="V5318" si="2898">IFERROR(RIGHT(G5318,LEN(G5318)-FIND("*",G5318)),"-")</f>
        <v>-</v>
      </c>
      <c r="W5318" s="27" t="str">
        <f t="shared" si="2896"/>
        <v>-</v>
      </c>
      <c r="X5318" s="27" t="str">
        <f>IFERROR(W5318*H5318,"-")</f>
        <v>-</v>
      </c>
      <c r="Z5318" s="94" t="s">
        <v>82</v>
      </c>
    </row>
    <row r="5319" spans="1:26" s="25" customFormat="1" ht="6.95" customHeight="1" x14ac:dyDescent="0.3">
      <c r="A5319" s="10"/>
      <c r="B5319" s="168"/>
      <c r="C5319" s="169"/>
      <c r="D5319" s="160"/>
      <c r="E5319" s="161"/>
      <c r="F5319" s="162"/>
      <c r="G5319" s="163"/>
      <c r="H5319" s="164"/>
      <c r="I5319" s="163"/>
      <c r="J5319" s="164"/>
      <c r="K5319" s="163"/>
      <c r="L5319" s="164"/>
      <c r="M5319" s="11"/>
      <c r="N5319" s="39"/>
      <c r="Q5319" s="15" t="str">
        <f>+CONCATENATE(E5318,I5318)</f>
        <v/>
      </c>
      <c r="R5319" s="15">
        <f>+J5318</f>
        <v>0</v>
      </c>
      <c r="S5319" s="16"/>
      <c r="T5319" s="15">
        <f>+E5318</f>
        <v>0</v>
      </c>
      <c r="U5319" s="26" t="str">
        <f>IFERROR(LEFT(I5318,FIND("*",I5318)-1),"-")</f>
        <v>-</v>
      </c>
      <c r="V5319" s="26" t="str">
        <f>IFERROR(RIGHT(I5318,LEN(I5318)-FIND("*",I5318)),"-")</f>
        <v>-</v>
      </c>
      <c r="W5319" s="27" t="str">
        <f t="shared" si="2896"/>
        <v>-</v>
      </c>
      <c r="X5319" s="27" t="str">
        <f>IFERROR(W5319*J5318,"-")</f>
        <v>-</v>
      </c>
      <c r="Z5319" s="94" t="s">
        <v>82</v>
      </c>
    </row>
    <row r="5320" spans="1:26" s="25" customFormat="1" ht="6.95" customHeight="1" x14ac:dyDescent="0.3">
      <c r="A5320" s="10"/>
      <c r="B5320" s="168"/>
      <c r="C5320" s="169"/>
      <c r="D5320" s="160"/>
      <c r="E5320" s="161"/>
      <c r="F5320" s="162"/>
      <c r="G5320" s="163"/>
      <c r="H5320" s="164"/>
      <c r="I5320" s="163"/>
      <c r="J5320" s="164"/>
      <c r="K5320" s="163"/>
      <c r="L5320" s="164"/>
      <c r="M5320" s="11"/>
      <c r="N5320" s="39"/>
      <c r="Q5320" s="15" t="str">
        <f>+CONCATENATE(E5318,K5318)</f>
        <v/>
      </c>
      <c r="R5320" s="15">
        <f>+L5318</f>
        <v>0</v>
      </c>
      <c r="S5320" s="16"/>
      <c r="T5320" s="15">
        <f>+E5318</f>
        <v>0</v>
      </c>
      <c r="U5320" s="26" t="str">
        <f>IFERROR(LEFT(K5318,FIND("*",K5318)-1),"-")</f>
        <v>-</v>
      </c>
      <c r="V5320" s="26" t="str">
        <f>IFERROR(RIGHT(K5318,LEN(K5318)-FIND("*",K5318)),"-")</f>
        <v>-</v>
      </c>
      <c r="W5320" s="27" t="str">
        <f t="shared" si="2896"/>
        <v>-</v>
      </c>
      <c r="X5320" s="27" t="str">
        <f>IFERROR(W5320*L5318,"-")</f>
        <v>-</v>
      </c>
      <c r="Z5320" s="94" t="s">
        <v>82</v>
      </c>
    </row>
    <row r="5321" spans="1:26" s="25" customFormat="1" ht="6.95" customHeight="1" x14ac:dyDescent="0.3">
      <c r="A5321" s="13"/>
      <c r="B5321" s="168"/>
      <c r="C5321" s="169"/>
      <c r="D5321" s="160" t="s">
        <v>39</v>
      </c>
      <c r="E5321" s="161"/>
      <c r="F5321" s="162" t="s">
        <v>40</v>
      </c>
      <c r="G5321" s="163"/>
      <c r="H5321" s="164"/>
      <c r="I5321" s="163"/>
      <c r="J5321" s="164"/>
      <c r="K5321" s="163"/>
      <c r="L5321" s="164"/>
      <c r="M5321" s="11"/>
      <c r="N5321" s="39"/>
      <c r="Q5321" s="15" t="str">
        <f>+CONCATENATE(E5321,G5321)</f>
        <v/>
      </c>
      <c r="R5321" s="15">
        <f>+H5321</f>
        <v>0</v>
      </c>
      <c r="S5321" s="16"/>
      <c r="T5321" s="15">
        <f>+E5321</f>
        <v>0</v>
      </c>
      <c r="U5321" s="26" t="str">
        <f t="shared" ref="U5321" si="2899">IFERROR(LEFT(G5321,FIND("*",G5321)-1),"-")</f>
        <v>-</v>
      </c>
      <c r="V5321" s="26" t="str">
        <f t="shared" ref="V5321" si="2900">IFERROR(RIGHT(G5321,LEN(G5321)-FIND("*",G5321)),"-")</f>
        <v>-</v>
      </c>
      <c r="W5321" s="27" t="str">
        <f t="shared" si="2896"/>
        <v>-</v>
      </c>
      <c r="X5321" s="27" t="str">
        <f>IFERROR(W5321*H5321,"-")</f>
        <v>-</v>
      </c>
      <c r="Z5321" s="94" t="s">
        <v>82</v>
      </c>
    </row>
    <row r="5322" spans="1:26" s="25" customFormat="1" ht="6.95" customHeight="1" x14ac:dyDescent="0.3">
      <c r="A5322" s="10"/>
      <c r="B5322" s="168"/>
      <c r="C5322" s="169"/>
      <c r="D5322" s="160"/>
      <c r="E5322" s="161"/>
      <c r="F5322" s="162"/>
      <c r="G5322" s="163"/>
      <c r="H5322" s="164"/>
      <c r="I5322" s="163"/>
      <c r="J5322" s="164"/>
      <c r="K5322" s="163"/>
      <c r="L5322" s="164"/>
      <c r="M5322" s="11"/>
      <c r="N5322" s="39"/>
      <c r="Q5322" s="15" t="str">
        <f>+CONCATENATE(E5321,I5321)</f>
        <v/>
      </c>
      <c r="R5322" s="15">
        <f>+J5321</f>
        <v>0</v>
      </c>
      <c r="S5322" s="16"/>
      <c r="T5322" s="15">
        <f>+E5321</f>
        <v>0</v>
      </c>
      <c r="U5322" s="26" t="str">
        <f>IFERROR(LEFT(I5321,FIND("*",I5321)-1),"-")</f>
        <v>-</v>
      </c>
      <c r="V5322" s="26" t="str">
        <f>IFERROR(RIGHT(I5321,LEN(I5321)-FIND("*",I5321)),"-")</f>
        <v>-</v>
      </c>
      <c r="W5322" s="27" t="str">
        <f t="shared" si="2896"/>
        <v>-</v>
      </c>
      <c r="X5322" s="27" t="str">
        <f t="shared" ref="X5322" si="2901">IFERROR(W5322*J5321,"-")</f>
        <v>-</v>
      </c>
      <c r="Z5322" s="94" t="s">
        <v>82</v>
      </c>
    </row>
    <row r="5323" spans="1:26" s="25" customFormat="1" ht="6.95" customHeight="1" x14ac:dyDescent="0.3">
      <c r="A5323" s="10"/>
      <c r="B5323" s="168"/>
      <c r="C5323" s="169"/>
      <c r="D5323" s="160"/>
      <c r="E5323" s="161"/>
      <c r="F5323" s="162"/>
      <c r="G5323" s="163"/>
      <c r="H5323" s="164"/>
      <c r="I5323" s="163"/>
      <c r="J5323" s="164"/>
      <c r="K5323" s="163"/>
      <c r="L5323" s="164"/>
      <c r="M5323" s="11"/>
      <c r="N5323" s="39"/>
      <c r="Q5323" s="15" t="str">
        <f>+CONCATENATE(E5321,K5321)</f>
        <v/>
      </c>
      <c r="R5323" s="15">
        <f>+L5321</f>
        <v>0</v>
      </c>
      <c r="S5323" s="16"/>
      <c r="T5323" s="15">
        <f>+E5321</f>
        <v>0</v>
      </c>
      <c r="U5323" s="26" t="str">
        <f>IFERROR(LEFT(K5321,FIND("*",K5321)-1),"-")</f>
        <v>-</v>
      </c>
      <c r="V5323" s="26" t="str">
        <f>IFERROR(RIGHT(K5321,LEN(K5321)-FIND("*",K5321)),"-")</f>
        <v>-</v>
      </c>
      <c r="W5323" s="27" t="str">
        <f t="shared" si="2896"/>
        <v>-</v>
      </c>
      <c r="X5323" s="27" t="str">
        <f>IFERROR(W5323*L5321,"-")</f>
        <v>-</v>
      </c>
      <c r="Z5323" s="94" t="s">
        <v>82</v>
      </c>
    </row>
    <row r="5324" spans="1:26" s="25" customFormat="1" ht="21" customHeight="1" thickBot="1" x14ac:dyDescent="0.35">
      <c r="A5324" s="10"/>
      <c r="B5324" s="170"/>
      <c r="C5324" s="171"/>
      <c r="D5324" s="172" t="s">
        <v>43</v>
      </c>
      <c r="E5324" s="173"/>
      <c r="F5324" s="173"/>
      <c r="G5324" s="174"/>
      <c r="H5324" s="174"/>
      <c r="I5324" s="174"/>
      <c r="J5324" s="174"/>
      <c r="K5324" s="174"/>
      <c r="L5324" s="174"/>
      <c r="M5324" s="12"/>
      <c r="N5324" s="39"/>
      <c r="U5324" s="23"/>
      <c r="V5324" s="23"/>
      <c r="Z5324" s="95" t="s">
        <v>81</v>
      </c>
    </row>
    <row r="5325" spans="1:26" s="25" customFormat="1" ht="9.9499999999999993" customHeight="1" thickBot="1" x14ac:dyDescent="0.35">
      <c r="A5325" s="6"/>
      <c r="B5325" s="14"/>
      <c r="C5325" s="119"/>
      <c r="D5325" s="58"/>
      <c r="E5325" s="17"/>
      <c r="F5325" s="58"/>
      <c r="G5325" s="19"/>
      <c r="H5325" s="19"/>
      <c r="I5325" s="19"/>
      <c r="J5325" s="19"/>
      <c r="K5325" s="19"/>
      <c r="L5325" s="19"/>
      <c r="M5325" s="14"/>
      <c r="N5325" s="39"/>
      <c r="Q5325" s="1"/>
      <c r="R5325" s="1"/>
      <c r="S5325" s="1"/>
      <c r="T5325" s="1"/>
      <c r="U5325" s="24"/>
      <c r="V5325" s="24"/>
      <c r="W5325" s="1"/>
      <c r="X5325" s="1"/>
      <c r="Z5325" s="94" t="s">
        <v>82</v>
      </c>
    </row>
    <row r="5326" spans="1:26" s="25" customFormat="1" ht="6.95" customHeight="1" x14ac:dyDescent="0.3">
      <c r="A5326" s="165">
        <f>+A5315+1</f>
        <v>485</v>
      </c>
      <c r="B5326" s="166"/>
      <c r="C5326" s="167"/>
      <c r="D5326" s="160" t="s">
        <v>39</v>
      </c>
      <c r="E5326" s="161"/>
      <c r="F5326" s="162" t="s">
        <v>40</v>
      </c>
      <c r="G5326" s="163"/>
      <c r="H5326" s="164"/>
      <c r="I5326" s="163"/>
      <c r="J5326" s="164"/>
      <c r="K5326" s="163"/>
      <c r="L5326" s="164"/>
      <c r="M5326" s="11"/>
      <c r="N5326" s="39"/>
      <c r="Q5326" s="15" t="str">
        <f>+CONCATENATE(E5326,G5326)</f>
        <v/>
      </c>
      <c r="R5326" s="15">
        <f>+H5326</f>
        <v>0</v>
      </c>
      <c r="S5326" s="16"/>
      <c r="T5326" s="15">
        <f>+E5326</f>
        <v>0</v>
      </c>
      <c r="U5326" s="26" t="str">
        <f>IFERROR(LEFT(G5326,FIND("*",G5326)-1),"-")</f>
        <v>-</v>
      </c>
      <c r="V5326" s="26" t="str">
        <f>IFERROR(RIGHT(G5326,LEN(G5326)-FIND("*",G5326)),"-")</f>
        <v>-</v>
      </c>
      <c r="W5326" s="27" t="str">
        <f>IFERROR((U5326+V5326)*2/1000,"-")</f>
        <v>-</v>
      </c>
      <c r="X5326" s="27" t="str">
        <f>IFERROR(W5326*H5326,"-")</f>
        <v>-</v>
      </c>
      <c r="Z5326" s="94" t="s">
        <v>82</v>
      </c>
    </row>
    <row r="5327" spans="1:26" s="25" customFormat="1" ht="6.95" customHeight="1" x14ac:dyDescent="0.3">
      <c r="A5327" s="165"/>
      <c r="B5327" s="168"/>
      <c r="C5327" s="169"/>
      <c r="D5327" s="160"/>
      <c r="E5327" s="161"/>
      <c r="F5327" s="162"/>
      <c r="G5327" s="163"/>
      <c r="H5327" s="164"/>
      <c r="I5327" s="163"/>
      <c r="J5327" s="164"/>
      <c r="K5327" s="163"/>
      <c r="L5327" s="164"/>
      <c r="M5327" s="11"/>
      <c r="N5327" s="39"/>
      <c r="Q5327" s="15" t="str">
        <f>+CONCATENATE(E5326,I5326)</f>
        <v/>
      </c>
      <c r="R5327" s="15">
        <f>+J5326</f>
        <v>0</v>
      </c>
      <c r="S5327" s="16"/>
      <c r="T5327" s="15">
        <f>+E5326</f>
        <v>0</v>
      </c>
      <c r="U5327" s="26" t="str">
        <f>IFERROR(LEFT(I5326,FIND("*",I5326)-1),"-")</f>
        <v>-</v>
      </c>
      <c r="V5327" s="26" t="str">
        <f>IFERROR(RIGHT(I5326,LEN(I5326)-FIND("*",I5326)),"-")</f>
        <v>-</v>
      </c>
      <c r="W5327" s="27" t="str">
        <f t="shared" ref="W5327:W5334" si="2902">IFERROR((U5327+V5327)*2/1000,"-")</f>
        <v>-</v>
      </c>
      <c r="X5327" s="27" t="str">
        <f>IFERROR(W5327*J5326,"-")</f>
        <v>-</v>
      </c>
      <c r="Z5327" s="94" t="s">
        <v>82</v>
      </c>
    </row>
    <row r="5328" spans="1:26" s="25" customFormat="1" ht="6.95" customHeight="1" x14ac:dyDescent="0.3">
      <c r="A5328" s="165"/>
      <c r="B5328" s="168"/>
      <c r="C5328" s="169"/>
      <c r="D5328" s="160"/>
      <c r="E5328" s="161"/>
      <c r="F5328" s="162"/>
      <c r="G5328" s="163"/>
      <c r="H5328" s="164"/>
      <c r="I5328" s="163"/>
      <c r="J5328" s="164"/>
      <c r="K5328" s="163"/>
      <c r="L5328" s="164"/>
      <c r="M5328" s="11"/>
      <c r="N5328" s="39"/>
      <c r="Q5328" s="15" t="str">
        <f>+CONCATENATE(E5326,K5326)</f>
        <v/>
      </c>
      <c r="R5328" s="15">
        <f>+L5326</f>
        <v>0</v>
      </c>
      <c r="S5328" s="16"/>
      <c r="T5328" s="15">
        <f>+E5326</f>
        <v>0</v>
      </c>
      <c r="U5328" s="26" t="str">
        <f>IFERROR(LEFT(K5326,FIND("*",K5326)-1),"-")</f>
        <v>-</v>
      </c>
      <c r="V5328" s="26" t="str">
        <f>IFERROR(RIGHT(K5326,LEN(K5326)-FIND("*",K5326)),"-")</f>
        <v>-</v>
      </c>
      <c r="W5328" s="27" t="str">
        <f t="shared" si="2902"/>
        <v>-</v>
      </c>
      <c r="X5328" s="27" t="str">
        <f>IFERROR(W5328*L5326,"-")</f>
        <v>-</v>
      </c>
      <c r="Z5328" s="94" t="s">
        <v>82</v>
      </c>
    </row>
    <row r="5329" spans="1:26" s="25" customFormat="1" ht="6.95" customHeight="1" x14ac:dyDescent="0.3">
      <c r="A5329" s="13"/>
      <c r="B5329" s="168"/>
      <c r="C5329" s="169"/>
      <c r="D5329" s="160" t="s">
        <v>39</v>
      </c>
      <c r="E5329" s="161"/>
      <c r="F5329" s="162" t="s">
        <v>40</v>
      </c>
      <c r="G5329" s="163"/>
      <c r="H5329" s="164"/>
      <c r="I5329" s="163"/>
      <c r="J5329" s="164"/>
      <c r="K5329" s="163"/>
      <c r="L5329" s="164"/>
      <c r="M5329" s="11"/>
      <c r="N5329" s="39"/>
      <c r="Q5329" s="15" t="str">
        <f>+CONCATENATE(E5329,G5329)</f>
        <v/>
      </c>
      <c r="R5329" s="15">
        <f>+H5329</f>
        <v>0</v>
      </c>
      <c r="S5329" s="16"/>
      <c r="T5329" s="15">
        <f>+E5329</f>
        <v>0</v>
      </c>
      <c r="U5329" s="26" t="str">
        <f t="shared" ref="U5329" si="2903">IFERROR(LEFT(G5329,FIND("*",G5329)-1),"-")</f>
        <v>-</v>
      </c>
      <c r="V5329" s="26" t="str">
        <f t="shared" ref="V5329" si="2904">IFERROR(RIGHT(G5329,LEN(G5329)-FIND("*",G5329)),"-")</f>
        <v>-</v>
      </c>
      <c r="W5329" s="27" t="str">
        <f t="shared" si="2902"/>
        <v>-</v>
      </c>
      <c r="X5329" s="27" t="str">
        <f>IFERROR(W5329*H5329,"-")</f>
        <v>-</v>
      </c>
      <c r="Z5329" s="94" t="s">
        <v>82</v>
      </c>
    </row>
    <row r="5330" spans="1:26" s="25" customFormat="1" ht="6.95" customHeight="1" x14ac:dyDescent="0.3">
      <c r="A5330" s="10"/>
      <c r="B5330" s="168"/>
      <c r="C5330" s="169"/>
      <c r="D5330" s="160"/>
      <c r="E5330" s="161"/>
      <c r="F5330" s="162"/>
      <c r="G5330" s="163"/>
      <c r="H5330" s="164"/>
      <c r="I5330" s="163"/>
      <c r="J5330" s="164"/>
      <c r="K5330" s="163"/>
      <c r="L5330" s="164"/>
      <c r="M5330" s="11"/>
      <c r="N5330" s="39"/>
      <c r="Q5330" s="15" t="str">
        <f>+CONCATENATE(E5329,I5329)</f>
        <v/>
      </c>
      <c r="R5330" s="15">
        <f>+J5329</f>
        <v>0</v>
      </c>
      <c r="S5330" s="16"/>
      <c r="T5330" s="15">
        <f>+E5329</f>
        <v>0</v>
      </c>
      <c r="U5330" s="26" t="str">
        <f>IFERROR(LEFT(I5329,FIND("*",I5329)-1),"-")</f>
        <v>-</v>
      </c>
      <c r="V5330" s="26" t="str">
        <f>IFERROR(RIGHT(I5329,LEN(I5329)-FIND("*",I5329)),"-")</f>
        <v>-</v>
      </c>
      <c r="W5330" s="27" t="str">
        <f t="shared" si="2902"/>
        <v>-</v>
      </c>
      <c r="X5330" s="27" t="str">
        <f>IFERROR(W5330*J5329,"-")</f>
        <v>-</v>
      </c>
      <c r="Z5330" s="94" t="s">
        <v>82</v>
      </c>
    </row>
    <row r="5331" spans="1:26" s="25" customFormat="1" ht="6.95" customHeight="1" x14ac:dyDescent="0.3">
      <c r="A5331" s="10"/>
      <c r="B5331" s="168"/>
      <c r="C5331" s="169"/>
      <c r="D5331" s="160"/>
      <c r="E5331" s="161"/>
      <c r="F5331" s="162"/>
      <c r="G5331" s="163"/>
      <c r="H5331" s="164"/>
      <c r="I5331" s="163"/>
      <c r="J5331" s="164"/>
      <c r="K5331" s="163"/>
      <c r="L5331" s="164"/>
      <c r="M5331" s="11"/>
      <c r="N5331" s="39"/>
      <c r="Q5331" s="15" t="str">
        <f>+CONCATENATE(E5329,K5329)</f>
        <v/>
      </c>
      <c r="R5331" s="15">
        <f>+L5329</f>
        <v>0</v>
      </c>
      <c r="S5331" s="16"/>
      <c r="T5331" s="15">
        <f>+E5329</f>
        <v>0</v>
      </c>
      <c r="U5331" s="26" t="str">
        <f>IFERROR(LEFT(K5329,FIND("*",K5329)-1),"-")</f>
        <v>-</v>
      </c>
      <c r="V5331" s="26" t="str">
        <f>IFERROR(RIGHT(K5329,LEN(K5329)-FIND("*",K5329)),"-")</f>
        <v>-</v>
      </c>
      <c r="W5331" s="27" t="str">
        <f t="shared" si="2902"/>
        <v>-</v>
      </c>
      <c r="X5331" s="27" t="str">
        <f>IFERROR(W5331*L5329,"-")</f>
        <v>-</v>
      </c>
      <c r="Z5331" s="94" t="s">
        <v>82</v>
      </c>
    </row>
    <row r="5332" spans="1:26" s="25" customFormat="1" ht="6.95" customHeight="1" x14ac:dyDescent="0.3">
      <c r="A5332" s="13"/>
      <c r="B5332" s="168"/>
      <c r="C5332" s="169"/>
      <c r="D5332" s="160" t="s">
        <v>39</v>
      </c>
      <c r="E5332" s="161"/>
      <c r="F5332" s="162" t="s">
        <v>40</v>
      </c>
      <c r="G5332" s="163"/>
      <c r="H5332" s="164"/>
      <c r="I5332" s="163"/>
      <c r="J5332" s="164"/>
      <c r="K5332" s="163"/>
      <c r="L5332" s="164"/>
      <c r="M5332" s="11"/>
      <c r="N5332" s="39"/>
      <c r="Q5332" s="15" t="str">
        <f>+CONCATENATE(E5332,G5332)</f>
        <v/>
      </c>
      <c r="R5332" s="15">
        <f>+H5332</f>
        <v>0</v>
      </c>
      <c r="S5332" s="16"/>
      <c r="T5332" s="15">
        <f>+E5332</f>
        <v>0</v>
      </c>
      <c r="U5332" s="26" t="str">
        <f t="shared" ref="U5332" si="2905">IFERROR(LEFT(G5332,FIND("*",G5332)-1),"-")</f>
        <v>-</v>
      </c>
      <c r="V5332" s="26" t="str">
        <f t="shared" ref="V5332" si="2906">IFERROR(RIGHT(G5332,LEN(G5332)-FIND("*",G5332)),"-")</f>
        <v>-</v>
      </c>
      <c r="W5332" s="27" t="str">
        <f t="shared" si="2902"/>
        <v>-</v>
      </c>
      <c r="X5332" s="27" t="str">
        <f>IFERROR(W5332*H5332,"-")</f>
        <v>-</v>
      </c>
      <c r="Z5332" s="94" t="s">
        <v>82</v>
      </c>
    </row>
    <row r="5333" spans="1:26" s="25" customFormat="1" ht="6.95" customHeight="1" x14ac:dyDescent="0.3">
      <c r="A5333" s="10"/>
      <c r="B5333" s="168"/>
      <c r="C5333" s="169"/>
      <c r="D5333" s="160"/>
      <c r="E5333" s="161"/>
      <c r="F5333" s="162"/>
      <c r="G5333" s="163"/>
      <c r="H5333" s="164"/>
      <c r="I5333" s="163"/>
      <c r="J5333" s="164"/>
      <c r="K5333" s="163"/>
      <c r="L5333" s="164"/>
      <c r="M5333" s="11"/>
      <c r="N5333" s="39"/>
      <c r="Q5333" s="15" t="str">
        <f>+CONCATENATE(E5332,I5332)</f>
        <v/>
      </c>
      <c r="R5333" s="15">
        <f>+J5332</f>
        <v>0</v>
      </c>
      <c r="S5333" s="16"/>
      <c r="T5333" s="15">
        <f>+E5332</f>
        <v>0</v>
      </c>
      <c r="U5333" s="26" t="str">
        <f>IFERROR(LEFT(I5332,FIND("*",I5332)-1),"-")</f>
        <v>-</v>
      </c>
      <c r="V5333" s="26" t="str">
        <f>IFERROR(RIGHT(I5332,LEN(I5332)-FIND("*",I5332)),"-")</f>
        <v>-</v>
      </c>
      <c r="W5333" s="27" t="str">
        <f t="shared" si="2902"/>
        <v>-</v>
      </c>
      <c r="X5333" s="27" t="str">
        <f t="shared" ref="X5333" si="2907">IFERROR(W5333*J5332,"-")</f>
        <v>-</v>
      </c>
      <c r="Z5333" s="94" t="s">
        <v>82</v>
      </c>
    </row>
    <row r="5334" spans="1:26" s="25" customFormat="1" ht="6.95" customHeight="1" x14ac:dyDescent="0.3">
      <c r="A5334" s="10"/>
      <c r="B5334" s="168"/>
      <c r="C5334" s="169"/>
      <c r="D5334" s="160"/>
      <c r="E5334" s="161"/>
      <c r="F5334" s="162"/>
      <c r="G5334" s="163"/>
      <c r="H5334" s="164"/>
      <c r="I5334" s="163"/>
      <c r="J5334" s="164"/>
      <c r="K5334" s="163"/>
      <c r="L5334" s="164"/>
      <c r="M5334" s="11"/>
      <c r="N5334" s="39"/>
      <c r="Q5334" s="15" t="str">
        <f>+CONCATENATE(E5332,K5332)</f>
        <v/>
      </c>
      <c r="R5334" s="15">
        <f>+L5332</f>
        <v>0</v>
      </c>
      <c r="S5334" s="16"/>
      <c r="T5334" s="15">
        <f>+E5332</f>
        <v>0</v>
      </c>
      <c r="U5334" s="26" t="str">
        <f>IFERROR(LEFT(K5332,FIND("*",K5332)-1),"-")</f>
        <v>-</v>
      </c>
      <c r="V5334" s="26" t="str">
        <f>IFERROR(RIGHT(K5332,LEN(K5332)-FIND("*",K5332)),"-")</f>
        <v>-</v>
      </c>
      <c r="W5334" s="27" t="str">
        <f t="shared" si="2902"/>
        <v>-</v>
      </c>
      <c r="X5334" s="27" t="str">
        <f>IFERROR(W5334*L5332,"-")</f>
        <v>-</v>
      </c>
      <c r="Z5334" s="94" t="s">
        <v>82</v>
      </c>
    </row>
    <row r="5335" spans="1:26" s="25" customFormat="1" ht="21" customHeight="1" thickBot="1" x14ac:dyDescent="0.35">
      <c r="A5335" s="10"/>
      <c r="B5335" s="170"/>
      <c r="C5335" s="171"/>
      <c r="D5335" s="172" t="s">
        <v>43</v>
      </c>
      <c r="E5335" s="173"/>
      <c r="F5335" s="173"/>
      <c r="G5335" s="174"/>
      <c r="H5335" s="174"/>
      <c r="I5335" s="174"/>
      <c r="J5335" s="174"/>
      <c r="K5335" s="174"/>
      <c r="L5335" s="174"/>
      <c r="M5335" s="12"/>
      <c r="N5335" s="39"/>
      <c r="U5335" s="23"/>
      <c r="V5335" s="23"/>
      <c r="Z5335" s="95" t="s">
        <v>81</v>
      </c>
    </row>
    <row r="5336" spans="1:26" s="25" customFormat="1" ht="9.9499999999999993" customHeight="1" thickBot="1" x14ac:dyDescent="0.35">
      <c r="A5336" s="6"/>
      <c r="B5336" s="14"/>
      <c r="C5336" s="119"/>
      <c r="D5336" s="58"/>
      <c r="E5336" s="17"/>
      <c r="F5336" s="58"/>
      <c r="G5336" s="19"/>
      <c r="H5336" s="19"/>
      <c r="I5336" s="19"/>
      <c r="J5336" s="19"/>
      <c r="K5336" s="19"/>
      <c r="L5336" s="19"/>
      <c r="M5336" s="14"/>
      <c r="N5336" s="39"/>
      <c r="Q5336" s="1"/>
      <c r="R5336" s="1"/>
      <c r="S5336" s="1"/>
      <c r="T5336" s="1"/>
      <c r="U5336" s="24"/>
      <c r="V5336" s="24"/>
      <c r="W5336" s="1"/>
      <c r="X5336" s="1"/>
      <c r="Z5336" s="94" t="s">
        <v>82</v>
      </c>
    </row>
    <row r="5337" spans="1:26" s="25" customFormat="1" ht="6.95" customHeight="1" x14ac:dyDescent="0.3">
      <c r="A5337" s="165">
        <f>+A5326+1</f>
        <v>486</v>
      </c>
      <c r="B5337" s="166"/>
      <c r="C5337" s="167"/>
      <c r="D5337" s="160" t="s">
        <v>39</v>
      </c>
      <c r="E5337" s="161"/>
      <c r="F5337" s="162" t="s">
        <v>40</v>
      </c>
      <c r="G5337" s="163"/>
      <c r="H5337" s="164"/>
      <c r="I5337" s="163"/>
      <c r="J5337" s="164"/>
      <c r="K5337" s="163"/>
      <c r="L5337" s="164"/>
      <c r="M5337" s="11"/>
      <c r="N5337" s="39"/>
      <c r="Q5337" s="15" t="str">
        <f>+CONCATENATE(E5337,G5337)</f>
        <v/>
      </c>
      <c r="R5337" s="15">
        <f>+H5337</f>
        <v>0</v>
      </c>
      <c r="S5337" s="16"/>
      <c r="T5337" s="15">
        <f>+E5337</f>
        <v>0</v>
      </c>
      <c r="U5337" s="26" t="str">
        <f>IFERROR(LEFT(G5337,FIND("*",G5337)-1),"-")</f>
        <v>-</v>
      </c>
      <c r="V5337" s="26" t="str">
        <f>IFERROR(RIGHT(G5337,LEN(G5337)-FIND("*",G5337)),"-")</f>
        <v>-</v>
      </c>
      <c r="W5337" s="27" t="str">
        <f>IFERROR((U5337+V5337)*2/1000,"-")</f>
        <v>-</v>
      </c>
      <c r="X5337" s="27" t="str">
        <f>IFERROR(W5337*H5337,"-")</f>
        <v>-</v>
      </c>
      <c r="Z5337" s="94" t="s">
        <v>82</v>
      </c>
    </row>
    <row r="5338" spans="1:26" s="25" customFormat="1" ht="6.95" customHeight="1" x14ac:dyDescent="0.3">
      <c r="A5338" s="165"/>
      <c r="B5338" s="168"/>
      <c r="C5338" s="169"/>
      <c r="D5338" s="160"/>
      <c r="E5338" s="161"/>
      <c r="F5338" s="162"/>
      <c r="G5338" s="163"/>
      <c r="H5338" s="164"/>
      <c r="I5338" s="163"/>
      <c r="J5338" s="164"/>
      <c r="K5338" s="163"/>
      <c r="L5338" s="164"/>
      <c r="M5338" s="11"/>
      <c r="N5338" s="39"/>
      <c r="Q5338" s="15" t="str">
        <f>+CONCATENATE(E5337,I5337)</f>
        <v/>
      </c>
      <c r="R5338" s="15">
        <f>+J5337</f>
        <v>0</v>
      </c>
      <c r="S5338" s="16"/>
      <c r="T5338" s="15">
        <f>+E5337</f>
        <v>0</v>
      </c>
      <c r="U5338" s="26" t="str">
        <f>IFERROR(LEFT(I5337,FIND("*",I5337)-1),"-")</f>
        <v>-</v>
      </c>
      <c r="V5338" s="26" t="str">
        <f>IFERROR(RIGHT(I5337,LEN(I5337)-FIND("*",I5337)),"-")</f>
        <v>-</v>
      </c>
      <c r="W5338" s="27" t="str">
        <f t="shared" ref="W5338:W5345" si="2908">IFERROR((U5338+V5338)*2/1000,"-")</f>
        <v>-</v>
      </c>
      <c r="X5338" s="27" t="str">
        <f>IFERROR(W5338*J5337,"-")</f>
        <v>-</v>
      </c>
      <c r="Z5338" s="94" t="s">
        <v>82</v>
      </c>
    </row>
    <row r="5339" spans="1:26" s="25" customFormat="1" ht="6.95" customHeight="1" x14ac:dyDescent="0.3">
      <c r="A5339" s="165"/>
      <c r="B5339" s="168"/>
      <c r="C5339" s="169"/>
      <c r="D5339" s="160"/>
      <c r="E5339" s="161"/>
      <c r="F5339" s="162"/>
      <c r="G5339" s="163"/>
      <c r="H5339" s="164"/>
      <c r="I5339" s="163"/>
      <c r="J5339" s="164"/>
      <c r="K5339" s="163"/>
      <c r="L5339" s="164"/>
      <c r="M5339" s="11"/>
      <c r="N5339" s="39"/>
      <c r="Q5339" s="15" t="str">
        <f>+CONCATENATE(E5337,K5337)</f>
        <v/>
      </c>
      <c r="R5339" s="15">
        <f>+L5337</f>
        <v>0</v>
      </c>
      <c r="S5339" s="16"/>
      <c r="T5339" s="15">
        <f>+E5337</f>
        <v>0</v>
      </c>
      <c r="U5339" s="26" t="str">
        <f>IFERROR(LEFT(K5337,FIND("*",K5337)-1),"-")</f>
        <v>-</v>
      </c>
      <c r="V5339" s="26" t="str">
        <f>IFERROR(RIGHT(K5337,LEN(K5337)-FIND("*",K5337)),"-")</f>
        <v>-</v>
      </c>
      <c r="W5339" s="27" t="str">
        <f t="shared" si="2908"/>
        <v>-</v>
      </c>
      <c r="X5339" s="27" t="str">
        <f>IFERROR(W5339*L5337,"-")</f>
        <v>-</v>
      </c>
      <c r="Z5339" s="94" t="s">
        <v>82</v>
      </c>
    </row>
    <row r="5340" spans="1:26" s="25" customFormat="1" ht="6.95" customHeight="1" x14ac:dyDescent="0.3">
      <c r="A5340" s="13"/>
      <c r="B5340" s="168"/>
      <c r="C5340" s="169"/>
      <c r="D5340" s="160" t="s">
        <v>39</v>
      </c>
      <c r="E5340" s="161"/>
      <c r="F5340" s="162" t="s">
        <v>40</v>
      </c>
      <c r="G5340" s="163"/>
      <c r="H5340" s="164"/>
      <c r="I5340" s="163"/>
      <c r="J5340" s="164"/>
      <c r="K5340" s="163"/>
      <c r="L5340" s="164"/>
      <c r="M5340" s="11"/>
      <c r="N5340" s="39"/>
      <c r="Q5340" s="15" t="str">
        <f>+CONCATENATE(E5340,G5340)</f>
        <v/>
      </c>
      <c r="R5340" s="15">
        <f>+H5340</f>
        <v>0</v>
      </c>
      <c r="S5340" s="16"/>
      <c r="T5340" s="15">
        <f>+E5340</f>
        <v>0</v>
      </c>
      <c r="U5340" s="26" t="str">
        <f t="shared" ref="U5340" si="2909">IFERROR(LEFT(G5340,FIND("*",G5340)-1),"-")</f>
        <v>-</v>
      </c>
      <c r="V5340" s="26" t="str">
        <f t="shared" ref="V5340" si="2910">IFERROR(RIGHT(G5340,LEN(G5340)-FIND("*",G5340)),"-")</f>
        <v>-</v>
      </c>
      <c r="W5340" s="27" t="str">
        <f t="shared" si="2908"/>
        <v>-</v>
      </c>
      <c r="X5340" s="27" t="str">
        <f>IFERROR(W5340*H5340,"-")</f>
        <v>-</v>
      </c>
      <c r="Z5340" s="94" t="s">
        <v>82</v>
      </c>
    </row>
    <row r="5341" spans="1:26" s="25" customFormat="1" ht="6.95" customHeight="1" x14ac:dyDescent="0.3">
      <c r="A5341" s="10"/>
      <c r="B5341" s="168"/>
      <c r="C5341" s="169"/>
      <c r="D5341" s="160"/>
      <c r="E5341" s="161"/>
      <c r="F5341" s="162"/>
      <c r="G5341" s="163"/>
      <c r="H5341" s="164"/>
      <c r="I5341" s="163"/>
      <c r="J5341" s="164"/>
      <c r="K5341" s="163"/>
      <c r="L5341" s="164"/>
      <c r="M5341" s="11"/>
      <c r="N5341" s="39"/>
      <c r="Q5341" s="15" t="str">
        <f>+CONCATENATE(E5340,I5340)</f>
        <v/>
      </c>
      <c r="R5341" s="15">
        <f>+J5340</f>
        <v>0</v>
      </c>
      <c r="S5341" s="16"/>
      <c r="T5341" s="15">
        <f>+E5340</f>
        <v>0</v>
      </c>
      <c r="U5341" s="26" t="str">
        <f>IFERROR(LEFT(I5340,FIND("*",I5340)-1),"-")</f>
        <v>-</v>
      </c>
      <c r="V5341" s="26" t="str">
        <f>IFERROR(RIGHT(I5340,LEN(I5340)-FIND("*",I5340)),"-")</f>
        <v>-</v>
      </c>
      <c r="W5341" s="27" t="str">
        <f t="shared" si="2908"/>
        <v>-</v>
      </c>
      <c r="X5341" s="27" t="str">
        <f>IFERROR(W5341*J5340,"-")</f>
        <v>-</v>
      </c>
      <c r="Z5341" s="94" t="s">
        <v>82</v>
      </c>
    </row>
    <row r="5342" spans="1:26" s="25" customFormat="1" ht="6.95" customHeight="1" x14ac:dyDescent="0.3">
      <c r="A5342" s="10"/>
      <c r="B5342" s="168"/>
      <c r="C5342" s="169"/>
      <c r="D5342" s="160"/>
      <c r="E5342" s="161"/>
      <c r="F5342" s="162"/>
      <c r="G5342" s="163"/>
      <c r="H5342" s="164"/>
      <c r="I5342" s="163"/>
      <c r="J5342" s="164"/>
      <c r="K5342" s="163"/>
      <c r="L5342" s="164"/>
      <c r="M5342" s="11"/>
      <c r="N5342" s="39"/>
      <c r="Q5342" s="15" t="str">
        <f>+CONCATENATE(E5340,K5340)</f>
        <v/>
      </c>
      <c r="R5342" s="15">
        <f>+L5340</f>
        <v>0</v>
      </c>
      <c r="S5342" s="16"/>
      <c r="T5342" s="15">
        <f>+E5340</f>
        <v>0</v>
      </c>
      <c r="U5342" s="26" t="str">
        <f>IFERROR(LEFT(K5340,FIND("*",K5340)-1),"-")</f>
        <v>-</v>
      </c>
      <c r="V5342" s="26" t="str">
        <f>IFERROR(RIGHT(K5340,LEN(K5340)-FIND("*",K5340)),"-")</f>
        <v>-</v>
      </c>
      <c r="W5342" s="27" t="str">
        <f t="shared" si="2908"/>
        <v>-</v>
      </c>
      <c r="X5342" s="27" t="str">
        <f>IFERROR(W5342*L5340,"-")</f>
        <v>-</v>
      </c>
      <c r="Z5342" s="94" t="s">
        <v>82</v>
      </c>
    </row>
    <row r="5343" spans="1:26" s="25" customFormat="1" ht="6.95" customHeight="1" x14ac:dyDescent="0.3">
      <c r="A5343" s="13"/>
      <c r="B5343" s="168"/>
      <c r="C5343" s="169"/>
      <c r="D5343" s="160" t="s">
        <v>39</v>
      </c>
      <c r="E5343" s="161"/>
      <c r="F5343" s="162" t="s">
        <v>40</v>
      </c>
      <c r="G5343" s="163"/>
      <c r="H5343" s="164"/>
      <c r="I5343" s="163"/>
      <c r="J5343" s="164"/>
      <c r="K5343" s="163"/>
      <c r="L5343" s="164"/>
      <c r="M5343" s="11"/>
      <c r="N5343" s="39"/>
      <c r="Q5343" s="15" t="str">
        <f>+CONCATENATE(E5343,G5343)</f>
        <v/>
      </c>
      <c r="R5343" s="15">
        <f>+H5343</f>
        <v>0</v>
      </c>
      <c r="S5343" s="16"/>
      <c r="T5343" s="15">
        <f>+E5343</f>
        <v>0</v>
      </c>
      <c r="U5343" s="26" t="str">
        <f t="shared" ref="U5343" si="2911">IFERROR(LEFT(G5343,FIND("*",G5343)-1),"-")</f>
        <v>-</v>
      </c>
      <c r="V5343" s="26" t="str">
        <f t="shared" ref="V5343" si="2912">IFERROR(RIGHT(G5343,LEN(G5343)-FIND("*",G5343)),"-")</f>
        <v>-</v>
      </c>
      <c r="W5343" s="27" t="str">
        <f t="shared" si="2908"/>
        <v>-</v>
      </c>
      <c r="X5343" s="27" t="str">
        <f>IFERROR(W5343*H5343,"-")</f>
        <v>-</v>
      </c>
      <c r="Z5343" s="94" t="s">
        <v>82</v>
      </c>
    </row>
    <row r="5344" spans="1:26" s="25" customFormat="1" ht="6.95" customHeight="1" x14ac:dyDescent="0.3">
      <c r="A5344" s="10"/>
      <c r="B5344" s="168"/>
      <c r="C5344" s="169"/>
      <c r="D5344" s="160"/>
      <c r="E5344" s="161"/>
      <c r="F5344" s="162"/>
      <c r="G5344" s="163"/>
      <c r="H5344" s="164"/>
      <c r="I5344" s="163"/>
      <c r="J5344" s="164"/>
      <c r="K5344" s="163"/>
      <c r="L5344" s="164"/>
      <c r="M5344" s="11"/>
      <c r="N5344" s="39"/>
      <c r="Q5344" s="15" t="str">
        <f>+CONCATENATE(E5343,I5343)</f>
        <v/>
      </c>
      <c r="R5344" s="15">
        <f>+J5343</f>
        <v>0</v>
      </c>
      <c r="S5344" s="16"/>
      <c r="T5344" s="15">
        <f>+E5343</f>
        <v>0</v>
      </c>
      <c r="U5344" s="26" t="str">
        <f>IFERROR(LEFT(I5343,FIND("*",I5343)-1),"-")</f>
        <v>-</v>
      </c>
      <c r="V5344" s="26" t="str">
        <f>IFERROR(RIGHT(I5343,LEN(I5343)-FIND("*",I5343)),"-")</f>
        <v>-</v>
      </c>
      <c r="W5344" s="27" t="str">
        <f t="shared" si="2908"/>
        <v>-</v>
      </c>
      <c r="X5344" s="27" t="str">
        <f t="shared" ref="X5344" si="2913">IFERROR(W5344*J5343,"-")</f>
        <v>-</v>
      </c>
      <c r="Z5344" s="94" t="s">
        <v>82</v>
      </c>
    </row>
    <row r="5345" spans="1:26" s="25" customFormat="1" ht="6.95" customHeight="1" x14ac:dyDescent="0.3">
      <c r="A5345" s="10"/>
      <c r="B5345" s="168"/>
      <c r="C5345" s="169"/>
      <c r="D5345" s="160"/>
      <c r="E5345" s="161"/>
      <c r="F5345" s="162"/>
      <c r="G5345" s="163"/>
      <c r="H5345" s="164"/>
      <c r="I5345" s="163"/>
      <c r="J5345" s="164"/>
      <c r="K5345" s="163"/>
      <c r="L5345" s="164"/>
      <c r="M5345" s="11"/>
      <c r="N5345" s="39"/>
      <c r="Q5345" s="15" t="str">
        <f>+CONCATENATE(E5343,K5343)</f>
        <v/>
      </c>
      <c r="R5345" s="15">
        <f>+L5343</f>
        <v>0</v>
      </c>
      <c r="S5345" s="16"/>
      <c r="T5345" s="15">
        <f>+E5343</f>
        <v>0</v>
      </c>
      <c r="U5345" s="26" t="str">
        <f>IFERROR(LEFT(K5343,FIND("*",K5343)-1),"-")</f>
        <v>-</v>
      </c>
      <c r="V5345" s="26" t="str">
        <f>IFERROR(RIGHT(K5343,LEN(K5343)-FIND("*",K5343)),"-")</f>
        <v>-</v>
      </c>
      <c r="W5345" s="27" t="str">
        <f t="shared" si="2908"/>
        <v>-</v>
      </c>
      <c r="X5345" s="27" t="str">
        <f>IFERROR(W5345*L5343,"-")</f>
        <v>-</v>
      </c>
      <c r="Z5345" s="94" t="s">
        <v>82</v>
      </c>
    </row>
    <row r="5346" spans="1:26" s="25" customFormat="1" ht="21" customHeight="1" thickBot="1" x14ac:dyDescent="0.35">
      <c r="A5346" s="10"/>
      <c r="B5346" s="170"/>
      <c r="C5346" s="171"/>
      <c r="D5346" s="172" t="s">
        <v>43</v>
      </c>
      <c r="E5346" s="173"/>
      <c r="F5346" s="173"/>
      <c r="G5346" s="174"/>
      <c r="H5346" s="174"/>
      <c r="I5346" s="174"/>
      <c r="J5346" s="174"/>
      <c r="K5346" s="174"/>
      <c r="L5346" s="174"/>
      <c r="M5346" s="12"/>
      <c r="N5346" s="39"/>
      <c r="U5346" s="23"/>
      <c r="V5346" s="23"/>
      <c r="Z5346" s="95" t="s">
        <v>81</v>
      </c>
    </row>
    <row r="5347" spans="1:26" s="25" customFormat="1" ht="9.9499999999999993" customHeight="1" thickBot="1" x14ac:dyDescent="0.35">
      <c r="A5347" s="6"/>
      <c r="B5347" s="14"/>
      <c r="C5347" s="119"/>
      <c r="D5347" s="58"/>
      <c r="E5347" s="17"/>
      <c r="F5347" s="58"/>
      <c r="G5347" s="19"/>
      <c r="H5347" s="19"/>
      <c r="I5347" s="19"/>
      <c r="J5347" s="19"/>
      <c r="K5347" s="19"/>
      <c r="L5347" s="19"/>
      <c r="M5347" s="14"/>
      <c r="N5347" s="39"/>
      <c r="Q5347" s="1"/>
      <c r="R5347" s="1"/>
      <c r="S5347" s="1"/>
      <c r="T5347" s="1"/>
      <c r="U5347" s="24"/>
      <c r="V5347" s="24"/>
      <c r="W5347" s="1"/>
      <c r="X5347" s="1"/>
      <c r="Z5347" s="94" t="s">
        <v>82</v>
      </c>
    </row>
    <row r="5348" spans="1:26" s="25" customFormat="1" ht="6.95" customHeight="1" x14ac:dyDescent="0.3">
      <c r="A5348" s="165">
        <f>+A5337+1</f>
        <v>487</v>
      </c>
      <c r="B5348" s="166"/>
      <c r="C5348" s="167"/>
      <c r="D5348" s="160" t="s">
        <v>39</v>
      </c>
      <c r="E5348" s="161"/>
      <c r="F5348" s="162" t="s">
        <v>40</v>
      </c>
      <c r="G5348" s="163"/>
      <c r="H5348" s="164"/>
      <c r="I5348" s="163"/>
      <c r="J5348" s="164"/>
      <c r="K5348" s="163"/>
      <c r="L5348" s="164"/>
      <c r="M5348" s="11"/>
      <c r="N5348" s="39"/>
      <c r="Q5348" s="15" t="str">
        <f>+CONCATENATE(E5348,G5348)</f>
        <v/>
      </c>
      <c r="R5348" s="15">
        <f>+H5348</f>
        <v>0</v>
      </c>
      <c r="S5348" s="16"/>
      <c r="T5348" s="15">
        <f>+E5348</f>
        <v>0</v>
      </c>
      <c r="U5348" s="26" t="str">
        <f>IFERROR(LEFT(G5348,FIND("*",G5348)-1),"-")</f>
        <v>-</v>
      </c>
      <c r="V5348" s="26" t="str">
        <f>IFERROR(RIGHT(G5348,LEN(G5348)-FIND("*",G5348)),"-")</f>
        <v>-</v>
      </c>
      <c r="W5348" s="27" t="str">
        <f>IFERROR((U5348+V5348)*2/1000,"-")</f>
        <v>-</v>
      </c>
      <c r="X5348" s="27" t="str">
        <f>IFERROR(W5348*H5348,"-")</f>
        <v>-</v>
      </c>
      <c r="Z5348" s="94" t="s">
        <v>82</v>
      </c>
    </row>
    <row r="5349" spans="1:26" s="25" customFormat="1" ht="6.95" customHeight="1" x14ac:dyDescent="0.3">
      <c r="A5349" s="165"/>
      <c r="B5349" s="168"/>
      <c r="C5349" s="169"/>
      <c r="D5349" s="160"/>
      <c r="E5349" s="161"/>
      <c r="F5349" s="162"/>
      <c r="G5349" s="163"/>
      <c r="H5349" s="164"/>
      <c r="I5349" s="163"/>
      <c r="J5349" s="164"/>
      <c r="K5349" s="163"/>
      <c r="L5349" s="164"/>
      <c r="M5349" s="11"/>
      <c r="N5349" s="39"/>
      <c r="Q5349" s="15" t="str">
        <f>+CONCATENATE(E5348,I5348)</f>
        <v/>
      </c>
      <c r="R5349" s="15">
        <f>+J5348</f>
        <v>0</v>
      </c>
      <c r="S5349" s="16"/>
      <c r="T5349" s="15">
        <f>+E5348</f>
        <v>0</v>
      </c>
      <c r="U5349" s="26" t="str">
        <f>IFERROR(LEFT(I5348,FIND("*",I5348)-1),"-")</f>
        <v>-</v>
      </c>
      <c r="V5349" s="26" t="str">
        <f>IFERROR(RIGHT(I5348,LEN(I5348)-FIND("*",I5348)),"-")</f>
        <v>-</v>
      </c>
      <c r="W5349" s="27" t="str">
        <f t="shared" ref="W5349:W5356" si="2914">IFERROR((U5349+V5349)*2/1000,"-")</f>
        <v>-</v>
      </c>
      <c r="X5349" s="27" t="str">
        <f>IFERROR(W5349*J5348,"-")</f>
        <v>-</v>
      </c>
      <c r="Z5349" s="94" t="s">
        <v>82</v>
      </c>
    </row>
    <row r="5350" spans="1:26" s="25" customFormat="1" ht="6.95" customHeight="1" x14ac:dyDescent="0.3">
      <c r="A5350" s="165"/>
      <c r="B5350" s="168"/>
      <c r="C5350" s="169"/>
      <c r="D5350" s="160"/>
      <c r="E5350" s="161"/>
      <c r="F5350" s="162"/>
      <c r="G5350" s="163"/>
      <c r="H5350" s="164"/>
      <c r="I5350" s="163"/>
      <c r="J5350" s="164"/>
      <c r="K5350" s="163"/>
      <c r="L5350" s="164"/>
      <c r="M5350" s="11"/>
      <c r="N5350" s="39"/>
      <c r="Q5350" s="15" t="str">
        <f>+CONCATENATE(E5348,K5348)</f>
        <v/>
      </c>
      <c r="R5350" s="15">
        <f>+L5348</f>
        <v>0</v>
      </c>
      <c r="S5350" s="16"/>
      <c r="T5350" s="15">
        <f>+E5348</f>
        <v>0</v>
      </c>
      <c r="U5350" s="26" t="str">
        <f>IFERROR(LEFT(K5348,FIND("*",K5348)-1),"-")</f>
        <v>-</v>
      </c>
      <c r="V5350" s="26" t="str">
        <f>IFERROR(RIGHT(K5348,LEN(K5348)-FIND("*",K5348)),"-")</f>
        <v>-</v>
      </c>
      <c r="W5350" s="27" t="str">
        <f t="shared" si="2914"/>
        <v>-</v>
      </c>
      <c r="X5350" s="27" t="str">
        <f>IFERROR(W5350*L5348,"-")</f>
        <v>-</v>
      </c>
      <c r="Z5350" s="94" t="s">
        <v>82</v>
      </c>
    </row>
    <row r="5351" spans="1:26" s="25" customFormat="1" ht="6.95" customHeight="1" x14ac:dyDescent="0.3">
      <c r="A5351" s="13"/>
      <c r="B5351" s="168"/>
      <c r="C5351" s="169"/>
      <c r="D5351" s="160" t="s">
        <v>39</v>
      </c>
      <c r="E5351" s="161"/>
      <c r="F5351" s="162" t="s">
        <v>40</v>
      </c>
      <c r="G5351" s="163"/>
      <c r="H5351" s="164"/>
      <c r="I5351" s="163"/>
      <c r="J5351" s="164"/>
      <c r="K5351" s="163"/>
      <c r="L5351" s="164"/>
      <c r="M5351" s="11"/>
      <c r="N5351" s="39"/>
      <c r="Q5351" s="15" t="str">
        <f>+CONCATENATE(E5351,G5351)</f>
        <v/>
      </c>
      <c r="R5351" s="15">
        <f>+H5351</f>
        <v>0</v>
      </c>
      <c r="S5351" s="16"/>
      <c r="T5351" s="15">
        <f>+E5351</f>
        <v>0</v>
      </c>
      <c r="U5351" s="26" t="str">
        <f t="shared" ref="U5351" si="2915">IFERROR(LEFT(G5351,FIND("*",G5351)-1),"-")</f>
        <v>-</v>
      </c>
      <c r="V5351" s="26" t="str">
        <f t="shared" ref="V5351" si="2916">IFERROR(RIGHT(G5351,LEN(G5351)-FIND("*",G5351)),"-")</f>
        <v>-</v>
      </c>
      <c r="W5351" s="27" t="str">
        <f t="shared" si="2914"/>
        <v>-</v>
      </c>
      <c r="X5351" s="27" t="str">
        <f>IFERROR(W5351*H5351,"-")</f>
        <v>-</v>
      </c>
      <c r="Z5351" s="94" t="s">
        <v>82</v>
      </c>
    </row>
    <row r="5352" spans="1:26" s="25" customFormat="1" ht="6.95" customHeight="1" x14ac:dyDescent="0.3">
      <c r="A5352" s="10"/>
      <c r="B5352" s="168"/>
      <c r="C5352" s="169"/>
      <c r="D5352" s="160"/>
      <c r="E5352" s="161"/>
      <c r="F5352" s="162"/>
      <c r="G5352" s="163"/>
      <c r="H5352" s="164"/>
      <c r="I5352" s="163"/>
      <c r="J5352" s="164"/>
      <c r="K5352" s="163"/>
      <c r="L5352" s="164"/>
      <c r="M5352" s="11"/>
      <c r="N5352" s="39"/>
      <c r="Q5352" s="15" t="str">
        <f>+CONCATENATE(E5351,I5351)</f>
        <v/>
      </c>
      <c r="R5352" s="15">
        <f>+J5351</f>
        <v>0</v>
      </c>
      <c r="S5352" s="16"/>
      <c r="T5352" s="15">
        <f>+E5351</f>
        <v>0</v>
      </c>
      <c r="U5352" s="26" t="str">
        <f>IFERROR(LEFT(I5351,FIND("*",I5351)-1),"-")</f>
        <v>-</v>
      </c>
      <c r="V5352" s="26" t="str">
        <f>IFERROR(RIGHT(I5351,LEN(I5351)-FIND("*",I5351)),"-")</f>
        <v>-</v>
      </c>
      <c r="W5352" s="27" t="str">
        <f t="shared" si="2914"/>
        <v>-</v>
      </c>
      <c r="X5352" s="27" t="str">
        <f>IFERROR(W5352*J5351,"-")</f>
        <v>-</v>
      </c>
      <c r="Z5352" s="94" t="s">
        <v>82</v>
      </c>
    </row>
    <row r="5353" spans="1:26" s="25" customFormat="1" ht="6.95" customHeight="1" x14ac:dyDescent="0.3">
      <c r="A5353" s="10"/>
      <c r="B5353" s="168"/>
      <c r="C5353" s="169"/>
      <c r="D5353" s="160"/>
      <c r="E5353" s="161"/>
      <c r="F5353" s="162"/>
      <c r="G5353" s="163"/>
      <c r="H5353" s="164"/>
      <c r="I5353" s="163"/>
      <c r="J5353" s="164"/>
      <c r="K5353" s="163"/>
      <c r="L5353" s="164"/>
      <c r="M5353" s="11"/>
      <c r="N5353" s="39"/>
      <c r="Q5353" s="15" t="str">
        <f>+CONCATENATE(E5351,K5351)</f>
        <v/>
      </c>
      <c r="R5353" s="15">
        <f>+L5351</f>
        <v>0</v>
      </c>
      <c r="S5353" s="16"/>
      <c r="T5353" s="15">
        <f>+E5351</f>
        <v>0</v>
      </c>
      <c r="U5353" s="26" t="str">
        <f>IFERROR(LEFT(K5351,FIND("*",K5351)-1),"-")</f>
        <v>-</v>
      </c>
      <c r="V5353" s="26" t="str">
        <f>IFERROR(RIGHT(K5351,LEN(K5351)-FIND("*",K5351)),"-")</f>
        <v>-</v>
      </c>
      <c r="W5353" s="27" t="str">
        <f t="shared" si="2914"/>
        <v>-</v>
      </c>
      <c r="X5353" s="27" t="str">
        <f>IFERROR(W5353*L5351,"-")</f>
        <v>-</v>
      </c>
      <c r="Z5353" s="94" t="s">
        <v>82</v>
      </c>
    </row>
    <row r="5354" spans="1:26" s="25" customFormat="1" ht="6.95" customHeight="1" x14ac:dyDescent="0.3">
      <c r="A5354" s="13"/>
      <c r="B5354" s="168"/>
      <c r="C5354" s="169"/>
      <c r="D5354" s="160" t="s">
        <v>39</v>
      </c>
      <c r="E5354" s="161"/>
      <c r="F5354" s="162" t="s">
        <v>40</v>
      </c>
      <c r="G5354" s="163"/>
      <c r="H5354" s="164"/>
      <c r="I5354" s="163"/>
      <c r="J5354" s="164"/>
      <c r="K5354" s="163"/>
      <c r="L5354" s="164"/>
      <c r="M5354" s="11"/>
      <c r="N5354" s="39"/>
      <c r="Q5354" s="15" t="str">
        <f>+CONCATENATE(E5354,G5354)</f>
        <v/>
      </c>
      <c r="R5354" s="15">
        <f>+H5354</f>
        <v>0</v>
      </c>
      <c r="S5354" s="16"/>
      <c r="T5354" s="15">
        <f>+E5354</f>
        <v>0</v>
      </c>
      <c r="U5354" s="26" t="str">
        <f t="shared" ref="U5354" si="2917">IFERROR(LEFT(G5354,FIND("*",G5354)-1),"-")</f>
        <v>-</v>
      </c>
      <c r="V5354" s="26" t="str">
        <f t="shared" ref="V5354" si="2918">IFERROR(RIGHT(G5354,LEN(G5354)-FIND("*",G5354)),"-")</f>
        <v>-</v>
      </c>
      <c r="W5354" s="27" t="str">
        <f t="shared" si="2914"/>
        <v>-</v>
      </c>
      <c r="X5354" s="27" t="str">
        <f>IFERROR(W5354*H5354,"-")</f>
        <v>-</v>
      </c>
      <c r="Z5354" s="94" t="s">
        <v>82</v>
      </c>
    </row>
    <row r="5355" spans="1:26" s="25" customFormat="1" ht="6.95" customHeight="1" x14ac:dyDescent="0.3">
      <c r="A5355" s="10"/>
      <c r="B5355" s="168"/>
      <c r="C5355" s="169"/>
      <c r="D5355" s="160"/>
      <c r="E5355" s="161"/>
      <c r="F5355" s="162"/>
      <c r="G5355" s="163"/>
      <c r="H5355" s="164"/>
      <c r="I5355" s="163"/>
      <c r="J5355" s="164"/>
      <c r="K5355" s="163"/>
      <c r="L5355" s="164"/>
      <c r="M5355" s="11"/>
      <c r="N5355" s="39"/>
      <c r="Q5355" s="15" t="str">
        <f>+CONCATENATE(E5354,I5354)</f>
        <v/>
      </c>
      <c r="R5355" s="15">
        <f>+J5354</f>
        <v>0</v>
      </c>
      <c r="S5355" s="16"/>
      <c r="T5355" s="15">
        <f>+E5354</f>
        <v>0</v>
      </c>
      <c r="U5355" s="26" t="str">
        <f>IFERROR(LEFT(I5354,FIND("*",I5354)-1),"-")</f>
        <v>-</v>
      </c>
      <c r="V5355" s="26" t="str">
        <f>IFERROR(RIGHT(I5354,LEN(I5354)-FIND("*",I5354)),"-")</f>
        <v>-</v>
      </c>
      <c r="W5355" s="27" t="str">
        <f t="shared" si="2914"/>
        <v>-</v>
      </c>
      <c r="X5355" s="27" t="str">
        <f t="shared" ref="X5355" si="2919">IFERROR(W5355*J5354,"-")</f>
        <v>-</v>
      </c>
      <c r="Z5355" s="94" t="s">
        <v>82</v>
      </c>
    </row>
    <row r="5356" spans="1:26" s="25" customFormat="1" ht="6.95" customHeight="1" x14ac:dyDescent="0.3">
      <c r="A5356" s="10"/>
      <c r="B5356" s="168"/>
      <c r="C5356" s="169"/>
      <c r="D5356" s="160"/>
      <c r="E5356" s="161"/>
      <c r="F5356" s="162"/>
      <c r="G5356" s="163"/>
      <c r="H5356" s="164"/>
      <c r="I5356" s="163"/>
      <c r="J5356" s="164"/>
      <c r="K5356" s="163"/>
      <c r="L5356" s="164"/>
      <c r="M5356" s="11"/>
      <c r="N5356" s="39"/>
      <c r="Q5356" s="15" t="str">
        <f>+CONCATENATE(E5354,K5354)</f>
        <v/>
      </c>
      <c r="R5356" s="15">
        <f>+L5354</f>
        <v>0</v>
      </c>
      <c r="S5356" s="16"/>
      <c r="T5356" s="15">
        <f>+E5354</f>
        <v>0</v>
      </c>
      <c r="U5356" s="26" t="str">
        <f>IFERROR(LEFT(K5354,FIND("*",K5354)-1),"-")</f>
        <v>-</v>
      </c>
      <c r="V5356" s="26" t="str">
        <f>IFERROR(RIGHT(K5354,LEN(K5354)-FIND("*",K5354)),"-")</f>
        <v>-</v>
      </c>
      <c r="W5356" s="27" t="str">
        <f t="shared" si="2914"/>
        <v>-</v>
      </c>
      <c r="X5356" s="27" t="str">
        <f>IFERROR(W5356*L5354,"-")</f>
        <v>-</v>
      </c>
      <c r="Z5356" s="94" t="s">
        <v>82</v>
      </c>
    </row>
    <row r="5357" spans="1:26" s="25" customFormat="1" ht="21" customHeight="1" thickBot="1" x14ac:dyDescent="0.35">
      <c r="A5357" s="10"/>
      <c r="B5357" s="170"/>
      <c r="C5357" s="171"/>
      <c r="D5357" s="172" t="s">
        <v>43</v>
      </c>
      <c r="E5357" s="173"/>
      <c r="F5357" s="173"/>
      <c r="G5357" s="174"/>
      <c r="H5357" s="174"/>
      <c r="I5357" s="174"/>
      <c r="J5357" s="174"/>
      <c r="K5357" s="174"/>
      <c r="L5357" s="174"/>
      <c r="M5357" s="12"/>
      <c r="N5357" s="39"/>
      <c r="U5357" s="23"/>
      <c r="V5357" s="23"/>
      <c r="Z5357" s="95" t="s">
        <v>81</v>
      </c>
    </row>
    <row r="5358" spans="1:26" s="25" customFormat="1" ht="9.9499999999999993" customHeight="1" thickBot="1" x14ac:dyDescent="0.35">
      <c r="A5358" s="6"/>
      <c r="B5358" s="14"/>
      <c r="C5358" s="119"/>
      <c r="D5358" s="58"/>
      <c r="E5358" s="17"/>
      <c r="F5358" s="58"/>
      <c r="G5358" s="19"/>
      <c r="H5358" s="19"/>
      <c r="I5358" s="19"/>
      <c r="J5358" s="19"/>
      <c r="K5358" s="19"/>
      <c r="L5358" s="19"/>
      <c r="M5358" s="14"/>
      <c r="N5358" s="39"/>
      <c r="Q5358" s="1"/>
      <c r="R5358" s="1"/>
      <c r="S5358" s="1"/>
      <c r="T5358" s="1"/>
      <c r="U5358" s="24"/>
      <c r="V5358" s="24"/>
      <c r="W5358" s="1"/>
      <c r="X5358" s="1"/>
      <c r="Z5358" s="94" t="s">
        <v>82</v>
      </c>
    </row>
    <row r="5359" spans="1:26" s="25" customFormat="1" ht="6.95" customHeight="1" x14ac:dyDescent="0.3">
      <c r="A5359" s="165">
        <f>+A5348+1</f>
        <v>488</v>
      </c>
      <c r="B5359" s="166"/>
      <c r="C5359" s="167"/>
      <c r="D5359" s="160" t="s">
        <v>39</v>
      </c>
      <c r="E5359" s="161"/>
      <c r="F5359" s="162" t="s">
        <v>40</v>
      </c>
      <c r="G5359" s="163"/>
      <c r="H5359" s="164"/>
      <c r="I5359" s="163"/>
      <c r="J5359" s="164"/>
      <c r="K5359" s="163"/>
      <c r="L5359" s="164"/>
      <c r="M5359" s="11"/>
      <c r="N5359" s="39"/>
      <c r="Q5359" s="15" t="str">
        <f>+CONCATENATE(E5359,G5359)</f>
        <v/>
      </c>
      <c r="R5359" s="15">
        <f>+H5359</f>
        <v>0</v>
      </c>
      <c r="S5359" s="16"/>
      <c r="T5359" s="15">
        <f>+E5359</f>
        <v>0</v>
      </c>
      <c r="U5359" s="26" t="str">
        <f>IFERROR(LEFT(G5359,FIND("*",G5359)-1),"-")</f>
        <v>-</v>
      </c>
      <c r="V5359" s="26" t="str">
        <f>IFERROR(RIGHT(G5359,LEN(G5359)-FIND("*",G5359)),"-")</f>
        <v>-</v>
      </c>
      <c r="W5359" s="27" t="str">
        <f>IFERROR((U5359+V5359)*2/1000,"-")</f>
        <v>-</v>
      </c>
      <c r="X5359" s="27" t="str">
        <f>IFERROR(W5359*H5359,"-")</f>
        <v>-</v>
      </c>
      <c r="Z5359" s="94" t="s">
        <v>82</v>
      </c>
    </row>
    <row r="5360" spans="1:26" s="25" customFormat="1" ht="6.95" customHeight="1" x14ac:dyDescent="0.3">
      <c r="A5360" s="165"/>
      <c r="B5360" s="168"/>
      <c r="C5360" s="169"/>
      <c r="D5360" s="160"/>
      <c r="E5360" s="161"/>
      <c r="F5360" s="162"/>
      <c r="G5360" s="163"/>
      <c r="H5360" s="164"/>
      <c r="I5360" s="163"/>
      <c r="J5360" s="164"/>
      <c r="K5360" s="163"/>
      <c r="L5360" s="164"/>
      <c r="M5360" s="11"/>
      <c r="N5360" s="39"/>
      <c r="Q5360" s="15" t="str">
        <f>+CONCATENATE(E5359,I5359)</f>
        <v/>
      </c>
      <c r="R5360" s="15">
        <f>+J5359</f>
        <v>0</v>
      </c>
      <c r="S5360" s="16"/>
      <c r="T5360" s="15">
        <f>+E5359</f>
        <v>0</v>
      </c>
      <c r="U5360" s="26" t="str">
        <f>IFERROR(LEFT(I5359,FIND("*",I5359)-1),"-")</f>
        <v>-</v>
      </c>
      <c r="V5360" s="26" t="str">
        <f>IFERROR(RIGHT(I5359,LEN(I5359)-FIND("*",I5359)),"-")</f>
        <v>-</v>
      </c>
      <c r="W5360" s="27" t="str">
        <f t="shared" ref="W5360:W5367" si="2920">IFERROR((U5360+V5360)*2/1000,"-")</f>
        <v>-</v>
      </c>
      <c r="X5360" s="27" t="str">
        <f>IFERROR(W5360*J5359,"-")</f>
        <v>-</v>
      </c>
      <c r="Z5360" s="94" t="s">
        <v>82</v>
      </c>
    </row>
    <row r="5361" spans="1:26" s="25" customFormat="1" ht="6.95" customHeight="1" x14ac:dyDescent="0.3">
      <c r="A5361" s="165"/>
      <c r="B5361" s="168"/>
      <c r="C5361" s="169"/>
      <c r="D5361" s="160"/>
      <c r="E5361" s="161"/>
      <c r="F5361" s="162"/>
      <c r="G5361" s="163"/>
      <c r="H5361" s="164"/>
      <c r="I5361" s="163"/>
      <c r="J5361" s="164"/>
      <c r="K5361" s="163"/>
      <c r="L5361" s="164"/>
      <c r="M5361" s="11"/>
      <c r="N5361" s="39"/>
      <c r="Q5361" s="15" t="str">
        <f>+CONCATENATE(E5359,K5359)</f>
        <v/>
      </c>
      <c r="R5361" s="15">
        <f>+L5359</f>
        <v>0</v>
      </c>
      <c r="S5361" s="16"/>
      <c r="T5361" s="15">
        <f>+E5359</f>
        <v>0</v>
      </c>
      <c r="U5361" s="26" t="str">
        <f>IFERROR(LEFT(K5359,FIND("*",K5359)-1),"-")</f>
        <v>-</v>
      </c>
      <c r="V5361" s="26" t="str">
        <f>IFERROR(RIGHT(K5359,LEN(K5359)-FIND("*",K5359)),"-")</f>
        <v>-</v>
      </c>
      <c r="W5361" s="27" t="str">
        <f t="shared" si="2920"/>
        <v>-</v>
      </c>
      <c r="X5361" s="27" t="str">
        <f>IFERROR(W5361*L5359,"-")</f>
        <v>-</v>
      </c>
      <c r="Z5361" s="94" t="s">
        <v>82</v>
      </c>
    </row>
    <row r="5362" spans="1:26" s="25" customFormat="1" ht="6.95" customHeight="1" x14ac:dyDescent="0.3">
      <c r="A5362" s="13"/>
      <c r="B5362" s="168"/>
      <c r="C5362" s="169"/>
      <c r="D5362" s="160" t="s">
        <v>39</v>
      </c>
      <c r="E5362" s="161"/>
      <c r="F5362" s="162" t="s">
        <v>40</v>
      </c>
      <c r="G5362" s="163"/>
      <c r="H5362" s="164"/>
      <c r="I5362" s="163"/>
      <c r="J5362" s="164"/>
      <c r="K5362" s="163"/>
      <c r="L5362" s="164"/>
      <c r="M5362" s="11"/>
      <c r="N5362" s="39"/>
      <c r="Q5362" s="15" t="str">
        <f>+CONCATENATE(E5362,G5362)</f>
        <v/>
      </c>
      <c r="R5362" s="15">
        <f>+H5362</f>
        <v>0</v>
      </c>
      <c r="S5362" s="16"/>
      <c r="T5362" s="15">
        <f>+E5362</f>
        <v>0</v>
      </c>
      <c r="U5362" s="26" t="str">
        <f t="shared" ref="U5362" si="2921">IFERROR(LEFT(G5362,FIND("*",G5362)-1),"-")</f>
        <v>-</v>
      </c>
      <c r="V5362" s="26" t="str">
        <f t="shared" ref="V5362" si="2922">IFERROR(RIGHT(G5362,LEN(G5362)-FIND("*",G5362)),"-")</f>
        <v>-</v>
      </c>
      <c r="W5362" s="27" t="str">
        <f t="shared" si="2920"/>
        <v>-</v>
      </c>
      <c r="X5362" s="27" t="str">
        <f>IFERROR(W5362*H5362,"-")</f>
        <v>-</v>
      </c>
      <c r="Z5362" s="94" t="s">
        <v>82</v>
      </c>
    </row>
    <row r="5363" spans="1:26" s="25" customFormat="1" ht="6.95" customHeight="1" x14ac:dyDescent="0.3">
      <c r="A5363" s="10"/>
      <c r="B5363" s="168"/>
      <c r="C5363" s="169"/>
      <c r="D5363" s="160"/>
      <c r="E5363" s="161"/>
      <c r="F5363" s="162"/>
      <c r="G5363" s="163"/>
      <c r="H5363" s="164"/>
      <c r="I5363" s="163"/>
      <c r="J5363" s="164"/>
      <c r="K5363" s="163"/>
      <c r="L5363" s="164"/>
      <c r="M5363" s="11"/>
      <c r="N5363" s="39"/>
      <c r="Q5363" s="15" t="str">
        <f>+CONCATENATE(E5362,I5362)</f>
        <v/>
      </c>
      <c r="R5363" s="15">
        <f>+J5362</f>
        <v>0</v>
      </c>
      <c r="S5363" s="16"/>
      <c r="T5363" s="15">
        <f>+E5362</f>
        <v>0</v>
      </c>
      <c r="U5363" s="26" t="str">
        <f>IFERROR(LEFT(I5362,FIND("*",I5362)-1),"-")</f>
        <v>-</v>
      </c>
      <c r="V5363" s="26" t="str">
        <f>IFERROR(RIGHT(I5362,LEN(I5362)-FIND("*",I5362)),"-")</f>
        <v>-</v>
      </c>
      <c r="W5363" s="27" t="str">
        <f t="shared" si="2920"/>
        <v>-</v>
      </c>
      <c r="X5363" s="27" t="str">
        <f>IFERROR(W5363*J5362,"-")</f>
        <v>-</v>
      </c>
      <c r="Z5363" s="94" t="s">
        <v>82</v>
      </c>
    </row>
    <row r="5364" spans="1:26" s="25" customFormat="1" ht="6.95" customHeight="1" x14ac:dyDescent="0.3">
      <c r="A5364" s="10"/>
      <c r="B5364" s="168"/>
      <c r="C5364" s="169"/>
      <c r="D5364" s="160"/>
      <c r="E5364" s="161"/>
      <c r="F5364" s="162"/>
      <c r="G5364" s="163"/>
      <c r="H5364" s="164"/>
      <c r="I5364" s="163"/>
      <c r="J5364" s="164"/>
      <c r="K5364" s="163"/>
      <c r="L5364" s="164"/>
      <c r="M5364" s="11"/>
      <c r="N5364" s="39"/>
      <c r="Q5364" s="15" t="str">
        <f>+CONCATENATE(E5362,K5362)</f>
        <v/>
      </c>
      <c r="R5364" s="15">
        <f>+L5362</f>
        <v>0</v>
      </c>
      <c r="S5364" s="16"/>
      <c r="T5364" s="15">
        <f>+E5362</f>
        <v>0</v>
      </c>
      <c r="U5364" s="26" t="str">
        <f>IFERROR(LEFT(K5362,FIND("*",K5362)-1),"-")</f>
        <v>-</v>
      </c>
      <c r="V5364" s="26" t="str">
        <f>IFERROR(RIGHT(K5362,LEN(K5362)-FIND("*",K5362)),"-")</f>
        <v>-</v>
      </c>
      <c r="W5364" s="27" t="str">
        <f t="shared" si="2920"/>
        <v>-</v>
      </c>
      <c r="X5364" s="27" t="str">
        <f>IFERROR(W5364*L5362,"-")</f>
        <v>-</v>
      </c>
      <c r="Z5364" s="94" t="s">
        <v>82</v>
      </c>
    </row>
    <row r="5365" spans="1:26" s="25" customFormat="1" ht="6.95" customHeight="1" x14ac:dyDescent="0.3">
      <c r="A5365" s="13"/>
      <c r="B5365" s="168"/>
      <c r="C5365" s="169"/>
      <c r="D5365" s="160" t="s">
        <v>39</v>
      </c>
      <c r="E5365" s="161"/>
      <c r="F5365" s="162" t="s">
        <v>40</v>
      </c>
      <c r="G5365" s="163"/>
      <c r="H5365" s="164"/>
      <c r="I5365" s="163"/>
      <c r="J5365" s="164"/>
      <c r="K5365" s="163"/>
      <c r="L5365" s="164"/>
      <c r="M5365" s="11"/>
      <c r="N5365" s="39"/>
      <c r="Q5365" s="15" t="str">
        <f>+CONCATENATE(E5365,G5365)</f>
        <v/>
      </c>
      <c r="R5365" s="15">
        <f>+H5365</f>
        <v>0</v>
      </c>
      <c r="S5365" s="16"/>
      <c r="T5365" s="15">
        <f>+E5365</f>
        <v>0</v>
      </c>
      <c r="U5365" s="26" t="str">
        <f t="shared" ref="U5365" si="2923">IFERROR(LEFT(G5365,FIND("*",G5365)-1),"-")</f>
        <v>-</v>
      </c>
      <c r="V5365" s="26" t="str">
        <f t="shared" ref="V5365" si="2924">IFERROR(RIGHT(G5365,LEN(G5365)-FIND("*",G5365)),"-")</f>
        <v>-</v>
      </c>
      <c r="W5365" s="27" t="str">
        <f t="shared" si="2920"/>
        <v>-</v>
      </c>
      <c r="X5365" s="27" t="str">
        <f>IFERROR(W5365*H5365,"-")</f>
        <v>-</v>
      </c>
      <c r="Z5365" s="94" t="s">
        <v>82</v>
      </c>
    </row>
    <row r="5366" spans="1:26" s="25" customFormat="1" ht="6.95" customHeight="1" x14ac:dyDescent="0.3">
      <c r="A5366" s="10"/>
      <c r="B5366" s="168"/>
      <c r="C5366" s="169"/>
      <c r="D5366" s="160"/>
      <c r="E5366" s="161"/>
      <c r="F5366" s="162"/>
      <c r="G5366" s="163"/>
      <c r="H5366" s="164"/>
      <c r="I5366" s="163"/>
      <c r="J5366" s="164"/>
      <c r="K5366" s="163"/>
      <c r="L5366" s="164"/>
      <c r="M5366" s="11"/>
      <c r="N5366" s="39"/>
      <c r="Q5366" s="15" t="str">
        <f>+CONCATENATE(E5365,I5365)</f>
        <v/>
      </c>
      <c r="R5366" s="15">
        <f>+J5365</f>
        <v>0</v>
      </c>
      <c r="S5366" s="16"/>
      <c r="T5366" s="15">
        <f>+E5365</f>
        <v>0</v>
      </c>
      <c r="U5366" s="26" t="str">
        <f>IFERROR(LEFT(I5365,FIND("*",I5365)-1),"-")</f>
        <v>-</v>
      </c>
      <c r="V5366" s="26" t="str">
        <f>IFERROR(RIGHT(I5365,LEN(I5365)-FIND("*",I5365)),"-")</f>
        <v>-</v>
      </c>
      <c r="W5366" s="27" t="str">
        <f t="shared" si="2920"/>
        <v>-</v>
      </c>
      <c r="X5366" s="27" t="str">
        <f t="shared" ref="X5366" si="2925">IFERROR(W5366*J5365,"-")</f>
        <v>-</v>
      </c>
      <c r="Z5366" s="94" t="s">
        <v>82</v>
      </c>
    </row>
    <row r="5367" spans="1:26" s="25" customFormat="1" ht="6.95" customHeight="1" x14ac:dyDescent="0.3">
      <c r="A5367" s="10"/>
      <c r="B5367" s="168"/>
      <c r="C5367" s="169"/>
      <c r="D5367" s="160"/>
      <c r="E5367" s="161"/>
      <c r="F5367" s="162"/>
      <c r="G5367" s="163"/>
      <c r="H5367" s="164"/>
      <c r="I5367" s="163"/>
      <c r="J5367" s="164"/>
      <c r="K5367" s="163"/>
      <c r="L5367" s="164"/>
      <c r="M5367" s="11"/>
      <c r="N5367" s="39"/>
      <c r="Q5367" s="15" t="str">
        <f>+CONCATENATE(E5365,K5365)</f>
        <v/>
      </c>
      <c r="R5367" s="15">
        <f>+L5365</f>
        <v>0</v>
      </c>
      <c r="S5367" s="16"/>
      <c r="T5367" s="15">
        <f>+E5365</f>
        <v>0</v>
      </c>
      <c r="U5367" s="26" t="str">
        <f>IFERROR(LEFT(K5365,FIND("*",K5365)-1),"-")</f>
        <v>-</v>
      </c>
      <c r="V5367" s="26" t="str">
        <f>IFERROR(RIGHT(K5365,LEN(K5365)-FIND("*",K5365)),"-")</f>
        <v>-</v>
      </c>
      <c r="W5367" s="27" t="str">
        <f t="shared" si="2920"/>
        <v>-</v>
      </c>
      <c r="X5367" s="27" t="str">
        <f>IFERROR(W5367*L5365,"-")</f>
        <v>-</v>
      </c>
      <c r="Z5367" s="94" t="s">
        <v>82</v>
      </c>
    </row>
    <row r="5368" spans="1:26" s="25" customFormat="1" ht="21" customHeight="1" thickBot="1" x14ac:dyDescent="0.35">
      <c r="A5368" s="10"/>
      <c r="B5368" s="170"/>
      <c r="C5368" s="171"/>
      <c r="D5368" s="172" t="s">
        <v>43</v>
      </c>
      <c r="E5368" s="173"/>
      <c r="F5368" s="173"/>
      <c r="G5368" s="174"/>
      <c r="H5368" s="174"/>
      <c r="I5368" s="174"/>
      <c r="J5368" s="174"/>
      <c r="K5368" s="174"/>
      <c r="L5368" s="174"/>
      <c r="M5368" s="12"/>
      <c r="N5368" s="39"/>
      <c r="U5368" s="23"/>
      <c r="V5368" s="23"/>
      <c r="Z5368" s="95" t="s">
        <v>81</v>
      </c>
    </row>
    <row r="5369" spans="1:26" s="25" customFormat="1" ht="9.9499999999999993" customHeight="1" thickBot="1" x14ac:dyDescent="0.35">
      <c r="A5369" s="6"/>
      <c r="B5369" s="14"/>
      <c r="C5369" s="119"/>
      <c r="D5369" s="58"/>
      <c r="E5369" s="17"/>
      <c r="F5369" s="58"/>
      <c r="G5369" s="19"/>
      <c r="H5369" s="19"/>
      <c r="I5369" s="19"/>
      <c r="J5369" s="19"/>
      <c r="K5369" s="19"/>
      <c r="L5369" s="19"/>
      <c r="M5369" s="14"/>
      <c r="N5369" s="39"/>
      <c r="Q5369" s="1"/>
      <c r="R5369" s="1"/>
      <c r="S5369" s="1"/>
      <c r="T5369" s="1"/>
      <c r="U5369" s="24"/>
      <c r="V5369" s="24"/>
      <c r="W5369" s="1"/>
      <c r="X5369" s="1"/>
      <c r="Z5369" s="94" t="s">
        <v>82</v>
      </c>
    </row>
    <row r="5370" spans="1:26" s="25" customFormat="1" ht="6.95" customHeight="1" x14ac:dyDescent="0.3">
      <c r="A5370" s="165">
        <f>+A5359+1</f>
        <v>489</v>
      </c>
      <c r="B5370" s="166"/>
      <c r="C5370" s="167"/>
      <c r="D5370" s="160" t="s">
        <v>39</v>
      </c>
      <c r="E5370" s="161"/>
      <c r="F5370" s="162" t="s">
        <v>40</v>
      </c>
      <c r="G5370" s="163"/>
      <c r="H5370" s="164"/>
      <c r="I5370" s="163"/>
      <c r="J5370" s="164"/>
      <c r="K5370" s="163"/>
      <c r="L5370" s="164"/>
      <c r="M5370" s="11"/>
      <c r="N5370" s="39"/>
      <c r="Q5370" s="15" t="str">
        <f>+CONCATENATE(E5370,G5370)</f>
        <v/>
      </c>
      <c r="R5370" s="15">
        <f>+H5370</f>
        <v>0</v>
      </c>
      <c r="S5370" s="16"/>
      <c r="T5370" s="15">
        <f>+E5370</f>
        <v>0</v>
      </c>
      <c r="U5370" s="26" t="str">
        <f>IFERROR(LEFT(G5370,FIND("*",G5370)-1),"-")</f>
        <v>-</v>
      </c>
      <c r="V5370" s="26" t="str">
        <f>IFERROR(RIGHT(G5370,LEN(G5370)-FIND("*",G5370)),"-")</f>
        <v>-</v>
      </c>
      <c r="W5370" s="27" t="str">
        <f>IFERROR((U5370+V5370)*2/1000,"-")</f>
        <v>-</v>
      </c>
      <c r="X5370" s="27" t="str">
        <f>IFERROR(W5370*H5370,"-")</f>
        <v>-</v>
      </c>
      <c r="Z5370" s="94" t="s">
        <v>82</v>
      </c>
    </row>
    <row r="5371" spans="1:26" s="25" customFormat="1" ht="6.95" customHeight="1" x14ac:dyDescent="0.3">
      <c r="A5371" s="165"/>
      <c r="B5371" s="168"/>
      <c r="C5371" s="169"/>
      <c r="D5371" s="160"/>
      <c r="E5371" s="161"/>
      <c r="F5371" s="162"/>
      <c r="G5371" s="163"/>
      <c r="H5371" s="164"/>
      <c r="I5371" s="163"/>
      <c r="J5371" s="164"/>
      <c r="K5371" s="163"/>
      <c r="L5371" s="164"/>
      <c r="M5371" s="11"/>
      <c r="N5371" s="39"/>
      <c r="Q5371" s="15" t="str">
        <f>+CONCATENATE(E5370,I5370)</f>
        <v/>
      </c>
      <c r="R5371" s="15">
        <f>+J5370</f>
        <v>0</v>
      </c>
      <c r="S5371" s="16"/>
      <c r="T5371" s="15">
        <f>+E5370</f>
        <v>0</v>
      </c>
      <c r="U5371" s="26" t="str">
        <f>IFERROR(LEFT(I5370,FIND("*",I5370)-1),"-")</f>
        <v>-</v>
      </c>
      <c r="V5371" s="26" t="str">
        <f>IFERROR(RIGHT(I5370,LEN(I5370)-FIND("*",I5370)),"-")</f>
        <v>-</v>
      </c>
      <c r="W5371" s="27" t="str">
        <f t="shared" ref="W5371:W5378" si="2926">IFERROR((U5371+V5371)*2/1000,"-")</f>
        <v>-</v>
      </c>
      <c r="X5371" s="27" t="str">
        <f>IFERROR(W5371*J5370,"-")</f>
        <v>-</v>
      </c>
      <c r="Z5371" s="94" t="s">
        <v>82</v>
      </c>
    </row>
    <row r="5372" spans="1:26" s="25" customFormat="1" ht="6.95" customHeight="1" x14ac:dyDescent="0.3">
      <c r="A5372" s="165"/>
      <c r="B5372" s="168"/>
      <c r="C5372" s="169"/>
      <c r="D5372" s="160"/>
      <c r="E5372" s="161"/>
      <c r="F5372" s="162"/>
      <c r="G5372" s="163"/>
      <c r="H5372" s="164"/>
      <c r="I5372" s="163"/>
      <c r="J5372" s="164"/>
      <c r="K5372" s="163"/>
      <c r="L5372" s="164"/>
      <c r="M5372" s="11"/>
      <c r="N5372" s="39"/>
      <c r="Q5372" s="15" t="str">
        <f>+CONCATENATE(E5370,K5370)</f>
        <v/>
      </c>
      <c r="R5372" s="15">
        <f>+L5370</f>
        <v>0</v>
      </c>
      <c r="S5372" s="16"/>
      <c r="T5372" s="15">
        <f>+E5370</f>
        <v>0</v>
      </c>
      <c r="U5372" s="26" t="str">
        <f>IFERROR(LEFT(K5370,FIND("*",K5370)-1),"-")</f>
        <v>-</v>
      </c>
      <c r="V5372" s="26" t="str">
        <f>IFERROR(RIGHT(K5370,LEN(K5370)-FIND("*",K5370)),"-")</f>
        <v>-</v>
      </c>
      <c r="W5372" s="27" t="str">
        <f t="shared" si="2926"/>
        <v>-</v>
      </c>
      <c r="X5372" s="27" t="str">
        <f>IFERROR(W5372*L5370,"-")</f>
        <v>-</v>
      </c>
      <c r="Z5372" s="94" t="s">
        <v>82</v>
      </c>
    </row>
    <row r="5373" spans="1:26" s="25" customFormat="1" ht="6.95" customHeight="1" x14ac:dyDescent="0.3">
      <c r="A5373" s="13"/>
      <c r="B5373" s="168"/>
      <c r="C5373" s="169"/>
      <c r="D5373" s="160" t="s">
        <v>39</v>
      </c>
      <c r="E5373" s="161"/>
      <c r="F5373" s="162" t="s">
        <v>40</v>
      </c>
      <c r="G5373" s="163"/>
      <c r="H5373" s="164"/>
      <c r="I5373" s="163"/>
      <c r="J5373" s="164"/>
      <c r="K5373" s="163"/>
      <c r="L5373" s="164"/>
      <c r="M5373" s="11"/>
      <c r="N5373" s="39"/>
      <c r="Q5373" s="15" t="str">
        <f>+CONCATENATE(E5373,G5373)</f>
        <v/>
      </c>
      <c r="R5373" s="15">
        <f>+H5373</f>
        <v>0</v>
      </c>
      <c r="S5373" s="16"/>
      <c r="T5373" s="15">
        <f>+E5373</f>
        <v>0</v>
      </c>
      <c r="U5373" s="26" t="str">
        <f t="shared" ref="U5373" si="2927">IFERROR(LEFT(G5373,FIND("*",G5373)-1),"-")</f>
        <v>-</v>
      </c>
      <c r="V5373" s="26" t="str">
        <f t="shared" ref="V5373" si="2928">IFERROR(RIGHT(G5373,LEN(G5373)-FIND("*",G5373)),"-")</f>
        <v>-</v>
      </c>
      <c r="W5373" s="27" t="str">
        <f t="shared" si="2926"/>
        <v>-</v>
      </c>
      <c r="X5373" s="27" t="str">
        <f>IFERROR(W5373*H5373,"-")</f>
        <v>-</v>
      </c>
      <c r="Z5373" s="94" t="s">
        <v>82</v>
      </c>
    </row>
    <row r="5374" spans="1:26" s="25" customFormat="1" ht="6.95" customHeight="1" x14ac:dyDescent="0.3">
      <c r="A5374" s="10"/>
      <c r="B5374" s="168"/>
      <c r="C5374" s="169"/>
      <c r="D5374" s="160"/>
      <c r="E5374" s="161"/>
      <c r="F5374" s="162"/>
      <c r="G5374" s="163"/>
      <c r="H5374" s="164"/>
      <c r="I5374" s="163"/>
      <c r="J5374" s="164"/>
      <c r="K5374" s="163"/>
      <c r="L5374" s="164"/>
      <c r="M5374" s="11"/>
      <c r="N5374" s="39"/>
      <c r="Q5374" s="15" t="str">
        <f>+CONCATENATE(E5373,I5373)</f>
        <v/>
      </c>
      <c r="R5374" s="15">
        <f>+J5373</f>
        <v>0</v>
      </c>
      <c r="S5374" s="16"/>
      <c r="T5374" s="15">
        <f>+E5373</f>
        <v>0</v>
      </c>
      <c r="U5374" s="26" t="str">
        <f>IFERROR(LEFT(I5373,FIND("*",I5373)-1),"-")</f>
        <v>-</v>
      </c>
      <c r="V5374" s="26" t="str">
        <f>IFERROR(RIGHT(I5373,LEN(I5373)-FIND("*",I5373)),"-")</f>
        <v>-</v>
      </c>
      <c r="W5374" s="27" t="str">
        <f t="shared" si="2926"/>
        <v>-</v>
      </c>
      <c r="X5374" s="27" t="str">
        <f>IFERROR(W5374*J5373,"-")</f>
        <v>-</v>
      </c>
      <c r="Z5374" s="94" t="s">
        <v>82</v>
      </c>
    </row>
    <row r="5375" spans="1:26" s="25" customFormat="1" ht="6.95" customHeight="1" x14ac:dyDescent="0.3">
      <c r="A5375" s="10"/>
      <c r="B5375" s="168"/>
      <c r="C5375" s="169"/>
      <c r="D5375" s="160"/>
      <c r="E5375" s="161"/>
      <c r="F5375" s="162"/>
      <c r="G5375" s="163"/>
      <c r="H5375" s="164"/>
      <c r="I5375" s="163"/>
      <c r="J5375" s="164"/>
      <c r="K5375" s="163"/>
      <c r="L5375" s="164"/>
      <c r="M5375" s="11"/>
      <c r="N5375" s="39"/>
      <c r="Q5375" s="15" t="str">
        <f>+CONCATENATE(E5373,K5373)</f>
        <v/>
      </c>
      <c r="R5375" s="15">
        <f>+L5373</f>
        <v>0</v>
      </c>
      <c r="S5375" s="16"/>
      <c r="T5375" s="15">
        <f>+E5373</f>
        <v>0</v>
      </c>
      <c r="U5375" s="26" t="str">
        <f>IFERROR(LEFT(K5373,FIND("*",K5373)-1),"-")</f>
        <v>-</v>
      </c>
      <c r="V5375" s="26" t="str">
        <f>IFERROR(RIGHT(K5373,LEN(K5373)-FIND("*",K5373)),"-")</f>
        <v>-</v>
      </c>
      <c r="W5375" s="27" t="str">
        <f t="shared" si="2926"/>
        <v>-</v>
      </c>
      <c r="X5375" s="27" t="str">
        <f>IFERROR(W5375*L5373,"-")</f>
        <v>-</v>
      </c>
      <c r="Z5375" s="94" t="s">
        <v>82</v>
      </c>
    </row>
    <row r="5376" spans="1:26" s="25" customFormat="1" ht="6.95" customHeight="1" x14ac:dyDescent="0.3">
      <c r="A5376" s="13"/>
      <c r="B5376" s="168"/>
      <c r="C5376" s="169"/>
      <c r="D5376" s="160" t="s">
        <v>39</v>
      </c>
      <c r="E5376" s="161"/>
      <c r="F5376" s="162" t="s">
        <v>40</v>
      </c>
      <c r="G5376" s="163"/>
      <c r="H5376" s="164"/>
      <c r="I5376" s="163"/>
      <c r="J5376" s="164"/>
      <c r="K5376" s="163"/>
      <c r="L5376" s="164"/>
      <c r="M5376" s="11"/>
      <c r="N5376" s="39"/>
      <c r="Q5376" s="15" t="str">
        <f>+CONCATENATE(E5376,G5376)</f>
        <v/>
      </c>
      <c r="R5376" s="15">
        <f>+H5376</f>
        <v>0</v>
      </c>
      <c r="S5376" s="16"/>
      <c r="T5376" s="15">
        <f>+E5376</f>
        <v>0</v>
      </c>
      <c r="U5376" s="26" t="str">
        <f t="shared" ref="U5376" si="2929">IFERROR(LEFT(G5376,FIND("*",G5376)-1),"-")</f>
        <v>-</v>
      </c>
      <c r="V5376" s="26" t="str">
        <f t="shared" ref="V5376" si="2930">IFERROR(RIGHT(G5376,LEN(G5376)-FIND("*",G5376)),"-")</f>
        <v>-</v>
      </c>
      <c r="W5376" s="27" t="str">
        <f t="shared" si="2926"/>
        <v>-</v>
      </c>
      <c r="X5376" s="27" t="str">
        <f>IFERROR(W5376*H5376,"-")</f>
        <v>-</v>
      </c>
      <c r="Z5376" s="94" t="s">
        <v>82</v>
      </c>
    </row>
    <row r="5377" spans="1:26" s="25" customFormat="1" ht="6.95" customHeight="1" x14ac:dyDescent="0.3">
      <c r="A5377" s="10"/>
      <c r="B5377" s="168"/>
      <c r="C5377" s="169"/>
      <c r="D5377" s="160"/>
      <c r="E5377" s="161"/>
      <c r="F5377" s="162"/>
      <c r="G5377" s="163"/>
      <c r="H5377" s="164"/>
      <c r="I5377" s="163"/>
      <c r="J5377" s="164"/>
      <c r="K5377" s="163"/>
      <c r="L5377" s="164"/>
      <c r="M5377" s="11"/>
      <c r="N5377" s="39"/>
      <c r="Q5377" s="15" t="str">
        <f>+CONCATENATE(E5376,I5376)</f>
        <v/>
      </c>
      <c r="R5377" s="15">
        <f>+J5376</f>
        <v>0</v>
      </c>
      <c r="S5377" s="16"/>
      <c r="T5377" s="15">
        <f>+E5376</f>
        <v>0</v>
      </c>
      <c r="U5377" s="26" t="str">
        <f>IFERROR(LEFT(I5376,FIND("*",I5376)-1),"-")</f>
        <v>-</v>
      </c>
      <c r="V5377" s="26" t="str">
        <f>IFERROR(RIGHT(I5376,LEN(I5376)-FIND("*",I5376)),"-")</f>
        <v>-</v>
      </c>
      <c r="W5377" s="27" t="str">
        <f t="shared" si="2926"/>
        <v>-</v>
      </c>
      <c r="X5377" s="27" t="str">
        <f t="shared" ref="X5377" si="2931">IFERROR(W5377*J5376,"-")</f>
        <v>-</v>
      </c>
      <c r="Z5377" s="94" t="s">
        <v>82</v>
      </c>
    </row>
    <row r="5378" spans="1:26" s="25" customFormat="1" ht="6.95" customHeight="1" x14ac:dyDescent="0.3">
      <c r="A5378" s="10"/>
      <c r="B5378" s="168"/>
      <c r="C5378" s="169"/>
      <c r="D5378" s="160"/>
      <c r="E5378" s="161"/>
      <c r="F5378" s="162"/>
      <c r="G5378" s="163"/>
      <c r="H5378" s="164"/>
      <c r="I5378" s="163"/>
      <c r="J5378" s="164"/>
      <c r="K5378" s="163"/>
      <c r="L5378" s="164"/>
      <c r="M5378" s="11"/>
      <c r="N5378" s="39"/>
      <c r="Q5378" s="15" t="str">
        <f>+CONCATENATE(E5376,K5376)</f>
        <v/>
      </c>
      <c r="R5378" s="15">
        <f>+L5376</f>
        <v>0</v>
      </c>
      <c r="S5378" s="16"/>
      <c r="T5378" s="15">
        <f>+E5376</f>
        <v>0</v>
      </c>
      <c r="U5378" s="26" t="str">
        <f>IFERROR(LEFT(K5376,FIND("*",K5376)-1),"-")</f>
        <v>-</v>
      </c>
      <c r="V5378" s="26" t="str">
        <f>IFERROR(RIGHT(K5376,LEN(K5376)-FIND("*",K5376)),"-")</f>
        <v>-</v>
      </c>
      <c r="W5378" s="27" t="str">
        <f t="shared" si="2926"/>
        <v>-</v>
      </c>
      <c r="X5378" s="27" t="str">
        <f>IFERROR(W5378*L5376,"-")</f>
        <v>-</v>
      </c>
      <c r="Z5378" s="94" t="s">
        <v>82</v>
      </c>
    </row>
    <row r="5379" spans="1:26" s="25" customFormat="1" ht="21" customHeight="1" thickBot="1" x14ac:dyDescent="0.35">
      <c r="A5379" s="10"/>
      <c r="B5379" s="170"/>
      <c r="C5379" s="171"/>
      <c r="D5379" s="172" t="s">
        <v>43</v>
      </c>
      <c r="E5379" s="173"/>
      <c r="F5379" s="173"/>
      <c r="G5379" s="174"/>
      <c r="H5379" s="174"/>
      <c r="I5379" s="174"/>
      <c r="J5379" s="174"/>
      <c r="K5379" s="174"/>
      <c r="L5379" s="174"/>
      <c r="M5379" s="12"/>
      <c r="N5379" s="39"/>
      <c r="U5379" s="23"/>
      <c r="V5379" s="23"/>
      <c r="Z5379" s="95" t="s">
        <v>81</v>
      </c>
    </row>
    <row r="5380" spans="1:26" s="25" customFormat="1" ht="9.9499999999999993" customHeight="1" thickBot="1" x14ac:dyDescent="0.35">
      <c r="A5380" s="6"/>
      <c r="B5380" s="14"/>
      <c r="C5380" s="119"/>
      <c r="D5380" s="58"/>
      <c r="E5380" s="17"/>
      <c r="F5380" s="58"/>
      <c r="G5380" s="19"/>
      <c r="H5380" s="19"/>
      <c r="I5380" s="19"/>
      <c r="J5380" s="19"/>
      <c r="K5380" s="19"/>
      <c r="L5380" s="19"/>
      <c r="M5380" s="14"/>
      <c r="N5380" s="39"/>
      <c r="Q5380" s="1"/>
      <c r="R5380" s="1"/>
      <c r="S5380" s="1"/>
      <c r="T5380" s="1"/>
      <c r="U5380" s="24"/>
      <c r="V5380" s="24"/>
      <c r="W5380" s="1"/>
      <c r="X5380" s="1"/>
      <c r="Z5380" s="94" t="s">
        <v>82</v>
      </c>
    </row>
    <row r="5381" spans="1:26" s="25" customFormat="1" ht="6.95" customHeight="1" x14ac:dyDescent="0.3">
      <c r="A5381" s="165">
        <f>+A5370+1</f>
        <v>490</v>
      </c>
      <c r="B5381" s="166"/>
      <c r="C5381" s="167"/>
      <c r="D5381" s="160" t="s">
        <v>39</v>
      </c>
      <c r="E5381" s="161"/>
      <c r="F5381" s="162" t="s">
        <v>40</v>
      </c>
      <c r="G5381" s="163"/>
      <c r="H5381" s="164"/>
      <c r="I5381" s="163"/>
      <c r="J5381" s="164"/>
      <c r="K5381" s="163"/>
      <c r="L5381" s="164"/>
      <c r="M5381" s="11"/>
      <c r="N5381" s="39"/>
      <c r="Q5381" s="15" t="str">
        <f>+CONCATENATE(E5381,G5381)</f>
        <v/>
      </c>
      <c r="R5381" s="15">
        <f>+H5381</f>
        <v>0</v>
      </c>
      <c r="S5381" s="16"/>
      <c r="T5381" s="15">
        <f>+E5381</f>
        <v>0</v>
      </c>
      <c r="U5381" s="26" t="str">
        <f>IFERROR(LEFT(G5381,FIND("*",G5381)-1),"-")</f>
        <v>-</v>
      </c>
      <c r="V5381" s="26" t="str">
        <f>IFERROR(RIGHT(G5381,LEN(G5381)-FIND("*",G5381)),"-")</f>
        <v>-</v>
      </c>
      <c r="W5381" s="27" t="str">
        <f>IFERROR((U5381+V5381)*2/1000,"-")</f>
        <v>-</v>
      </c>
      <c r="X5381" s="27" t="str">
        <f>IFERROR(W5381*H5381,"-")</f>
        <v>-</v>
      </c>
      <c r="Z5381" s="94" t="s">
        <v>82</v>
      </c>
    </row>
    <row r="5382" spans="1:26" s="25" customFormat="1" ht="6.95" customHeight="1" x14ac:dyDescent="0.3">
      <c r="A5382" s="165"/>
      <c r="B5382" s="168"/>
      <c r="C5382" s="169"/>
      <c r="D5382" s="160"/>
      <c r="E5382" s="161"/>
      <c r="F5382" s="162"/>
      <c r="G5382" s="163"/>
      <c r="H5382" s="164"/>
      <c r="I5382" s="163"/>
      <c r="J5382" s="164"/>
      <c r="K5382" s="163"/>
      <c r="L5382" s="164"/>
      <c r="M5382" s="11"/>
      <c r="N5382" s="39"/>
      <c r="Q5382" s="15" t="str">
        <f>+CONCATENATE(E5381,I5381)</f>
        <v/>
      </c>
      <c r="R5382" s="15">
        <f>+J5381</f>
        <v>0</v>
      </c>
      <c r="S5382" s="16"/>
      <c r="T5382" s="15">
        <f>+E5381</f>
        <v>0</v>
      </c>
      <c r="U5382" s="26" t="str">
        <f>IFERROR(LEFT(I5381,FIND("*",I5381)-1),"-")</f>
        <v>-</v>
      </c>
      <c r="V5382" s="26" t="str">
        <f>IFERROR(RIGHT(I5381,LEN(I5381)-FIND("*",I5381)),"-")</f>
        <v>-</v>
      </c>
      <c r="W5382" s="27" t="str">
        <f t="shared" ref="W5382:W5389" si="2932">IFERROR((U5382+V5382)*2/1000,"-")</f>
        <v>-</v>
      </c>
      <c r="X5382" s="27" t="str">
        <f>IFERROR(W5382*J5381,"-")</f>
        <v>-</v>
      </c>
      <c r="Z5382" s="94" t="s">
        <v>82</v>
      </c>
    </row>
    <row r="5383" spans="1:26" s="25" customFormat="1" ht="6.95" customHeight="1" x14ac:dyDescent="0.3">
      <c r="A5383" s="165"/>
      <c r="B5383" s="168"/>
      <c r="C5383" s="169"/>
      <c r="D5383" s="160"/>
      <c r="E5383" s="161"/>
      <c r="F5383" s="162"/>
      <c r="G5383" s="163"/>
      <c r="H5383" s="164"/>
      <c r="I5383" s="163"/>
      <c r="J5383" s="164"/>
      <c r="K5383" s="163"/>
      <c r="L5383" s="164"/>
      <c r="M5383" s="11"/>
      <c r="N5383" s="39"/>
      <c r="Q5383" s="15" t="str">
        <f>+CONCATENATE(E5381,K5381)</f>
        <v/>
      </c>
      <c r="R5383" s="15">
        <f>+L5381</f>
        <v>0</v>
      </c>
      <c r="S5383" s="16"/>
      <c r="T5383" s="15">
        <f>+E5381</f>
        <v>0</v>
      </c>
      <c r="U5383" s="26" t="str">
        <f>IFERROR(LEFT(K5381,FIND("*",K5381)-1),"-")</f>
        <v>-</v>
      </c>
      <c r="V5383" s="26" t="str">
        <f>IFERROR(RIGHT(K5381,LEN(K5381)-FIND("*",K5381)),"-")</f>
        <v>-</v>
      </c>
      <c r="W5383" s="27" t="str">
        <f t="shared" si="2932"/>
        <v>-</v>
      </c>
      <c r="X5383" s="27" t="str">
        <f>IFERROR(W5383*L5381,"-")</f>
        <v>-</v>
      </c>
      <c r="Z5383" s="94" t="s">
        <v>82</v>
      </c>
    </row>
    <row r="5384" spans="1:26" s="25" customFormat="1" ht="6.95" customHeight="1" x14ac:dyDescent="0.3">
      <c r="A5384" s="13"/>
      <c r="B5384" s="168"/>
      <c r="C5384" s="169"/>
      <c r="D5384" s="160" t="s">
        <v>39</v>
      </c>
      <c r="E5384" s="161"/>
      <c r="F5384" s="162" t="s">
        <v>40</v>
      </c>
      <c r="G5384" s="163"/>
      <c r="H5384" s="164"/>
      <c r="I5384" s="163"/>
      <c r="J5384" s="164"/>
      <c r="K5384" s="163"/>
      <c r="L5384" s="164"/>
      <c r="M5384" s="11"/>
      <c r="N5384" s="39"/>
      <c r="Q5384" s="15" t="str">
        <f>+CONCATENATE(E5384,G5384)</f>
        <v/>
      </c>
      <c r="R5384" s="15">
        <f>+H5384</f>
        <v>0</v>
      </c>
      <c r="S5384" s="16"/>
      <c r="T5384" s="15">
        <f>+E5384</f>
        <v>0</v>
      </c>
      <c r="U5384" s="26" t="str">
        <f t="shared" ref="U5384" si="2933">IFERROR(LEFT(G5384,FIND("*",G5384)-1),"-")</f>
        <v>-</v>
      </c>
      <c r="V5384" s="26" t="str">
        <f t="shared" ref="V5384" si="2934">IFERROR(RIGHT(G5384,LEN(G5384)-FIND("*",G5384)),"-")</f>
        <v>-</v>
      </c>
      <c r="W5384" s="27" t="str">
        <f t="shared" si="2932"/>
        <v>-</v>
      </c>
      <c r="X5384" s="27" t="str">
        <f>IFERROR(W5384*H5384,"-")</f>
        <v>-</v>
      </c>
      <c r="Z5384" s="94" t="s">
        <v>82</v>
      </c>
    </row>
    <row r="5385" spans="1:26" s="25" customFormat="1" ht="6.95" customHeight="1" x14ac:dyDescent="0.3">
      <c r="A5385" s="10"/>
      <c r="B5385" s="168"/>
      <c r="C5385" s="169"/>
      <c r="D5385" s="160"/>
      <c r="E5385" s="161"/>
      <c r="F5385" s="162"/>
      <c r="G5385" s="163"/>
      <c r="H5385" s="164"/>
      <c r="I5385" s="163"/>
      <c r="J5385" s="164"/>
      <c r="K5385" s="163"/>
      <c r="L5385" s="164"/>
      <c r="M5385" s="11"/>
      <c r="N5385" s="39"/>
      <c r="Q5385" s="15" t="str">
        <f>+CONCATENATE(E5384,I5384)</f>
        <v/>
      </c>
      <c r="R5385" s="15">
        <f>+J5384</f>
        <v>0</v>
      </c>
      <c r="S5385" s="16"/>
      <c r="T5385" s="15">
        <f>+E5384</f>
        <v>0</v>
      </c>
      <c r="U5385" s="26" t="str">
        <f>IFERROR(LEFT(I5384,FIND("*",I5384)-1),"-")</f>
        <v>-</v>
      </c>
      <c r="V5385" s="26" t="str">
        <f>IFERROR(RIGHT(I5384,LEN(I5384)-FIND("*",I5384)),"-")</f>
        <v>-</v>
      </c>
      <c r="W5385" s="27" t="str">
        <f t="shared" si="2932"/>
        <v>-</v>
      </c>
      <c r="X5385" s="27" t="str">
        <f>IFERROR(W5385*J5384,"-")</f>
        <v>-</v>
      </c>
      <c r="Z5385" s="94" t="s">
        <v>82</v>
      </c>
    </row>
    <row r="5386" spans="1:26" s="25" customFormat="1" ht="6.95" customHeight="1" x14ac:dyDescent="0.3">
      <c r="A5386" s="10"/>
      <c r="B5386" s="168"/>
      <c r="C5386" s="169"/>
      <c r="D5386" s="160"/>
      <c r="E5386" s="161"/>
      <c r="F5386" s="162"/>
      <c r="G5386" s="163"/>
      <c r="H5386" s="164"/>
      <c r="I5386" s="163"/>
      <c r="J5386" s="164"/>
      <c r="K5386" s="163"/>
      <c r="L5386" s="164"/>
      <c r="M5386" s="11"/>
      <c r="N5386" s="39"/>
      <c r="Q5386" s="15" t="str">
        <f>+CONCATENATE(E5384,K5384)</f>
        <v/>
      </c>
      <c r="R5386" s="15">
        <f>+L5384</f>
        <v>0</v>
      </c>
      <c r="S5386" s="16"/>
      <c r="T5386" s="15">
        <f>+E5384</f>
        <v>0</v>
      </c>
      <c r="U5386" s="26" t="str">
        <f>IFERROR(LEFT(K5384,FIND("*",K5384)-1),"-")</f>
        <v>-</v>
      </c>
      <c r="V5386" s="26" t="str">
        <f>IFERROR(RIGHT(K5384,LEN(K5384)-FIND("*",K5384)),"-")</f>
        <v>-</v>
      </c>
      <c r="W5386" s="27" t="str">
        <f t="shared" si="2932"/>
        <v>-</v>
      </c>
      <c r="X5386" s="27" t="str">
        <f>IFERROR(W5386*L5384,"-")</f>
        <v>-</v>
      </c>
      <c r="Z5386" s="94" t="s">
        <v>82</v>
      </c>
    </row>
    <row r="5387" spans="1:26" s="25" customFormat="1" ht="6.95" customHeight="1" x14ac:dyDescent="0.3">
      <c r="A5387" s="13"/>
      <c r="B5387" s="168"/>
      <c r="C5387" s="169"/>
      <c r="D5387" s="160" t="s">
        <v>39</v>
      </c>
      <c r="E5387" s="161"/>
      <c r="F5387" s="162" t="s">
        <v>40</v>
      </c>
      <c r="G5387" s="163"/>
      <c r="H5387" s="164"/>
      <c r="I5387" s="163"/>
      <c r="J5387" s="164"/>
      <c r="K5387" s="163"/>
      <c r="L5387" s="164"/>
      <c r="M5387" s="11"/>
      <c r="N5387" s="39"/>
      <c r="Q5387" s="15" t="str">
        <f>+CONCATENATE(E5387,G5387)</f>
        <v/>
      </c>
      <c r="R5387" s="15">
        <f>+H5387</f>
        <v>0</v>
      </c>
      <c r="S5387" s="16"/>
      <c r="T5387" s="15">
        <f>+E5387</f>
        <v>0</v>
      </c>
      <c r="U5387" s="26" t="str">
        <f t="shared" ref="U5387" si="2935">IFERROR(LEFT(G5387,FIND("*",G5387)-1),"-")</f>
        <v>-</v>
      </c>
      <c r="V5387" s="26" t="str">
        <f t="shared" ref="V5387" si="2936">IFERROR(RIGHT(G5387,LEN(G5387)-FIND("*",G5387)),"-")</f>
        <v>-</v>
      </c>
      <c r="W5387" s="27" t="str">
        <f t="shared" si="2932"/>
        <v>-</v>
      </c>
      <c r="X5387" s="27" t="str">
        <f>IFERROR(W5387*H5387,"-")</f>
        <v>-</v>
      </c>
      <c r="Z5387" s="94" t="s">
        <v>82</v>
      </c>
    </row>
    <row r="5388" spans="1:26" s="25" customFormat="1" ht="6.95" customHeight="1" x14ac:dyDescent="0.3">
      <c r="A5388" s="10"/>
      <c r="B5388" s="168"/>
      <c r="C5388" s="169"/>
      <c r="D5388" s="160"/>
      <c r="E5388" s="161"/>
      <c r="F5388" s="162"/>
      <c r="G5388" s="163"/>
      <c r="H5388" s="164"/>
      <c r="I5388" s="163"/>
      <c r="J5388" s="164"/>
      <c r="K5388" s="163"/>
      <c r="L5388" s="164"/>
      <c r="M5388" s="11"/>
      <c r="N5388" s="39"/>
      <c r="Q5388" s="15" t="str">
        <f>+CONCATENATE(E5387,I5387)</f>
        <v/>
      </c>
      <c r="R5388" s="15">
        <f>+J5387</f>
        <v>0</v>
      </c>
      <c r="S5388" s="16"/>
      <c r="T5388" s="15">
        <f>+E5387</f>
        <v>0</v>
      </c>
      <c r="U5388" s="26" t="str">
        <f>IFERROR(LEFT(I5387,FIND("*",I5387)-1),"-")</f>
        <v>-</v>
      </c>
      <c r="V5388" s="26" t="str">
        <f>IFERROR(RIGHT(I5387,LEN(I5387)-FIND("*",I5387)),"-")</f>
        <v>-</v>
      </c>
      <c r="W5388" s="27" t="str">
        <f t="shared" si="2932"/>
        <v>-</v>
      </c>
      <c r="X5388" s="27" t="str">
        <f t="shared" ref="X5388" si="2937">IFERROR(W5388*J5387,"-")</f>
        <v>-</v>
      </c>
      <c r="Z5388" s="94" t="s">
        <v>82</v>
      </c>
    </row>
    <row r="5389" spans="1:26" s="25" customFormat="1" ht="6.95" customHeight="1" x14ac:dyDescent="0.3">
      <c r="A5389" s="10"/>
      <c r="B5389" s="168"/>
      <c r="C5389" s="169"/>
      <c r="D5389" s="160"/>
      <c r="E5389" s="161"/>
      <c r="F5389" s="162"/>
      <c r="G5389" s="163"/>
      <c r="H5389" s="164"/>
      <c r="I5389" s="163"/>
      <c r="J5389" s="164"/>
      <c r="K5389" s="163"/>
      <c r="L5389" s="164"/>
      <c r="M5389" s="11"/>
      <c r="N5389" s="39"/>
      <c r="Q5389" s="15" t="str">
        <f>+CONCATENATE(E5387,K5387)</f>
        <v/>
      </c>
      <c r="R5389" s="15">
        <f>+L5387</f>
        <v>0</v>
      </c>
      <c r="S5389" s="16"/>
      <c r="T5389" s="15">
        <f>+E5387</f>
        <v>0</v>
      </c>
      <c r="U5389" s="26" t="str">
        <f>IFERROR(LEFT(K5387,FIND("*",K5387)-1),"-")</f>
        <v>-</v>
      </c>
      <c r="V5389" s="26" t="str">
        <f>IFERROR(RIGHT(K5387,LEN(K5387)-FIND("*",K5387)),"-")</f>
        <v>-</v>
      </c>
      <c r="W5389" s="27" t="str">
        <f t="shared" si="2932"/>
        <v>-</v>
      </c>
      <c r="X5389" s="27" t="str">
        <f>IFERROR(W5389*L5387,"-")</f>
        <v>-</v>
      </c>
      <c r="Z5389" s="94" t="s">
        <v>82</v>
      </c>
    </row>
    <row r="5390" spans="1:26" s="25" customFormat="1" ht="21" customHeight="1" thickBot="1" x14ac:dyDescent="0.35">
      <c r="A5390" s="10"/>
      <c r="B5390" s="170"/>
      <c r="C5390" s="171"/>
      <c r="D5390" s="172" t="s">
        <v>43</v>
      </c>
      <c r="E5390" s="173"/>
      <c r="F5390" s="173"/>
      <c r="G5390" s="174"/>
      <c r="H5390" s="174"/>
      <c r="I5390" s="174"/>
      <c r="J5390" s="174"/>
      <c r="K5390" s="174"/>
      <c r="L5390" s="174"/>
      <c r="M5390" s="12"/>
      <c r="N5390" s="39"/>
      <c r="U5390" s="23"/>
      <c r="V5390" s="23"/>
      <c r="Z5390" s="95" t="s">
        <v>81</v>
      </c>
    </row>
    <row r="5391" spans="1:26" s="25" customFormat="1" ht="9.9499999999999993" customHeight="1" thickBot="1" x14ac:dyDescent="0.35">
      <c r="A5391" s="6"/>
      <c r="B5391" s="14"/>
      <c r="C5391" s="119"/>
      <c r="D5391" s="58"/>
      <c r="E5391" s="17"/>
      <c r="F5391" s="58"/>
      <c r="G5391" s="19"/>
      <c r="H5391" s="19"/>
      <c r="I5391" s="19"/>
      <c r="J5391" s="19"/>
      <c r="K5391" s="19"/>
      <c r="L5391" s="19"/>
      <c r="M5391" s="14"/>
      <c r="N5391" s="39"/>
      <c r="Q5391" s="1"/>
      <c r="R5391" s="1"/>
      <c r="S5391" s="1"/>
      <c r="T5391" s="1"/>
      <c r="U5391" s="24"/>
      <c r="V5391" s="24"/>
      <c r="W5391" s="1"/>
      <c r="X5391" s="1"/>
      <c r="Z5391" s="94" t="s">
        <v>82</v>
      </c>
    </row>
    <row r="5392" spans="1:26" s="25" customFormat="1" ht="6.95" customHeight="1" x14ac:dyDescent="0.3">
      <c r="A5392" s="165">
        <f>+A5381+1</f>
        <v>491</v>
      </c>
      <c r="B5392" s="166"/>
      <c r="C5392" s="167"/>
      <c r="D5392" s="160" t="s">
        <v>39</v>
      </c>
      <c r="E5392" s="161"/>
      <c r="F5392" s="162" t="s">
        <v>40</v>
      </c>
      <c r="G5392" s="163"/>
      <c r="H5392" s="164"/>
      <c r="I5392" s="163"/>
      <c r="J5392" s="164"/>
      <c r="K5392" s="163"/>
      <c r="L5392" s="164"/>
      <c r="M5392" s="11"/>
      <c r="N5392" s="39"/>
      <c r="Q5392" s="15" t="str">
        <f>+CONCATENATE(E5392,G5392)</f>
        <v/>
      </c>
      <c r="R5392" s="15">
        <f>+H5392</f>
        <v>0</v>
      </c>
      <c r="S5392" s="16"/>
      <c r="T5392" s="15">
        <f>+E5392</f>
        <v>0</v>
      </c>
      <c r="U5392" s="26" t="str">
        <f>IFERROR(LEFT(G5392,FIND("*",G5392)-1),"-")</f>
        <v>-</v>
      </c>
      <c r="V5392" s="26" t="str">
        <f>IFERROR(RIGHT(G5392,LEN(G5392)-FIND("*",G5392)),"-")</f>
        <v>-</v>
      </c>
      <c r="W5392" s="27" t="str">
        <f>IFERROR((U5392+V5392)*2/1000,"-")</f>
        <v>-</v>
      </c>
      <c r="X5392" s="27" t="str">
        <f>IFERROR(W5392*H5392,"-")</f>
        <v>-</v>
      </c>
      <c r="Z5392" s="94" t="s">
        <v>82</v>
      </c>
    </row>
    <row r="5393" spans="1:26" s="25" customFormat="1" ht="6.95" customHeight="1" x14ac:dyDescent="0.3">
      <c r="A5393" s="165"/>
      <c r="B5393" s="168"/>
      <c r="C5393" s="169"/>
      <c r="D5393" s="160"/>
      <c r="E5393" s="161"/>
      <c r="F5393" s="162"/>
      <c r="G5393" s="163"/>
      <c r="H5393" s="164"/>
      <c r="I5393" s="163"/>
      <c r="J5393" s="164"/>
      <c r="K5393" s="163"/>
      <c r="L5393" s="164"/>
      <c r="M5393" s="11"/>
      <c r="N5393" s="39"/>
      <c r="Q5393" s="15" t="str">
        <f>+CONCATENATE(E5392,I5392)</f>
        <v/>
      </c>
      <c r="R5393" s="15">
        <f>+J5392</f>
        <v>0</v>
      </c>
      <c r="S5393" s="16"/>
      <c r="T5393" s="15">
        <f>+E5392</f>
        <v>0</v>
      </c>
      <c r="U5393" s="26" t="str">
        <f>IFERROR(LEFT(I5392,FIND("*",I5392)-1),"-")</f>
        <v>-</v>
      </c>
      <c r="V5393" s="26" t="str">
        <f>IFERROR(RIGHT(I5392,LEN(I5392)-FIND("*",I5392)),"-")</f>
        <v>-</v>
      </c>
      <c r="W5393" s="27" t="str">
        <f t="shared" ref="W5393:W5400" si="2938">IFERROR((U5393+V5393)*2/1000,"-")</f>
        <v>-</v>
      </c>
      <c r="X5393" s="27" t="str">
        <f>IFERROR(W5393*J5392,"-")</f>
        <v>-</v>
      </c>
      <c r="Z5393" s="94" t="s">
        <v>82</v>
      </c>
    </row>
    <row r="5394" spans="1:26" s="25" customFormat="1" ht="6.95" customHeight="1" x14ac:dyDescent="0.3">
      <c r="A5394" s="165"/>
      <c r="B5394" s="168"/>
      <c r="C5394" s="169"/>
      <c r="D5394" s="160"/>
      <c r="E5394" s="161"/>
      <c r="F5394" s="162"/>
      <c r="G5394" s="163"/>
      <c r="H5394" s="164"/>
      <c r="I5394" s="163"/>
      <c r="J5394" s="164"/>
      <c r="K5394" s="163"/>
      <c r="L5394" s="164"/>
      <c r="M5394" s="11"/>
      <c r="N5394" s="39"/>
      <c r="Q5394" s="15" t="str">
        <f>+CONCATENATE(E5392,K5392)</f>
        <v/>
      </c>
      <c r="R5394" s="15">
        <f>+L5392</f>
        <v>0</v>
      </c>
      <c r="S5394" s="16"/>
      <c r="T5394" s="15">
        <f>+E5392</f>
        <v>0</v>
      </c>
      <c r="U5394" s="26" t="str">
        <f>IFERROR(LEFT(K5392,FIND("*",K5392)-1),"-")</f>
        <v>-</v>
      </c>
      <c r="V5394" s="26" t="str">
        <f>IFERROR(RIGHT(K5392,LEN(K5392)-FIND("*",K5392)),"-")</f>
        <v>-</v>
      </c>
      <c r="W5394" s="27" t="str">
        <f t="shared" si="2938"/>
        <v>-</v>
      </c>
      <c r="X5394" s="27" t="str">
        <f>IFERROR(W5394*L5392,"-")</f>
        <v>-</v>
      </c>
      <c r="Z5394" s="94" t="s">
        <v>82</v>
      </c>
    </row>
    <row r="5395" spans="1:26" s="25" customFormat="1" ht="6.95" customHeight="1" x14ac:dyDescent="0.3">
      <c r="A5395" s="13"/>
      <c r="B5395" s="168"/>
      <c r="C5395" s="169"/>
      <c r="D5395" s="160" t="s">
        <v>39</v>
      </c>
      <c r="E5395" s="161"/>
      <c r="F5395" s="162" t="s">
        <v>40</v>
      </c>
      <c r="G5395" s="163"/>
      <c r="H5395" s="164"/>
      <c r="I5395" s="163"/>
      <c r="J5395" s="164"/>
      <c r="K5395" s="163"/>
      <c r="L5395" s="164"/>
      <c r="M5395" s="11"/>
      <c r="N5395" s="39"/>
      <c r="Q5395" s="15" t="str">
        <f>+CONCATENATE(E5395,G5395)</f>
        <v/>
      </c>
      <c r="R5395" s="15">
        <f>+H5395</f>
        <v>0</v>
      </c>
      <c r="S5395" s="16"/>
      <c r="T5395" s="15">
        <f>+E5395</f>
        <v>0</v>
      </c>
      <c r="U5395" s="26" t="str">
        <f t="shared" ref="U5395" si="2939">IFERROR(LEFT(G5395,FIND("*",G5395)-1),"-")</f>
        <v>-</v>
      </c>
      <c r="V5395" s="26" t="str">
        <f t="shared" ref="V5395" si="2940">IFERROR(RIGHT(G5395,LEN(G5395)-FIND("*",G5395)),"-")</f>
        <v>-</v>
      </c>
      <c r="W5395" s="27" t="str">
        <f t="shared" si="2938"/>
        <v>-</v>
      </c>
      <c r="X5395" s="27" t="str">
        <f>IFERROR(W5395*H5395,"-")</f>
        <v>-</v>
      </c>
      <c r="Z5395" s="94" t="s">
        <v>82</v>
      </c>
    </row>
    <row r="5396" spans="1:26" s="25" customFormat="1" ht="6.95" customHeight="1" x14ac:dyDescent="0.3">
      <c r="A5396" s="10"/>
      <c r="B5396" s="168"/>
      <c r="C5396" s="169"/>
      <c r="D5396" s="160"/>
      <c r="E5396" s="161"/>
      <c r="F5396" s="162"/>
      <c r="G5396" s="163"/>
      <c r="H5396" s="164"/>
      <c r="I5396" s="163"/>
      <c r="J5396" s="164"/>
      <c r="K5396" s="163"/>
      <c r="L5396" s="164"/>
      <c r="M5396" s="11"/>
      <c r="N5396" s="39"/>
      <c r="Q5396" s="15" t="str">
        <f>+CONCATENATE(E5395,I5395)</f>
        <v/>
      </c>
      <c r="R5396" s="15">
        <f>+J5395</f>
        <v>0</v>
      </c>
      <c r="S5396" s="16"/>
      <c r="T5396" s="15">
        <f>+E5395</f>
        <v>0</v>
      </c>
      <c r="U5396" s="26" t="str">
        <f>IFERROR(LEFT(I5395,FIND("*",I5395)-1),"-")</f>
        <v>-</v>
      </c>
      <c r="V5396" s="26" t="str">
        <f>IFERROR(RIGHT(I5395,LEN(I5395)-FIND("*",I5395)),"-")</f>
        <v>-</v>
      </c>
      <c r="W5396" s="27" t="str">
        <f t="shared" si="2938"/>
        <v>-</v>
      </c>
      <c r="X5396" s="27" t="str">
        <f>IFERROR(W5396*J5395,"-")</f>
        <v>-</v>
      </c>
      <c r="Z5396" s="94" t="s">
        <v>82</v>
      </c>
    </row>
    <row r="5397" spans="1:26" s="25" customFormat="1" ht="6.95" customHeight="1" x14ac:dyDescent="0.3">
      <c r="A5397" s="10"/>
      <c r="B5397" s="168"/>
      <c r="C5397" s="169"/>
      <c r="D5397" s="160"/>
      <c r="E5397" s="161"/>
      <c r="F5397" s="162"/>
      <c r="G5397" s="163"/>
      <c r="H5397" s="164"/>
      <c r="I5397" s="163"/>
      <c r="J5397" s="164"/>
      <c r="K5397" s="163"/>
      <c r="L5397" s="164"/>
      <c r="M5397" s="11"/>
      <c r="N5397" s="39"/>
      <c r="Q5397" s="15" t="str">
        <f>+CONCATENATE(E5395,K5395)</f>
        <v/>
      </c>
      <c r="R5397" s="15">
        <f>+L5395</f>
        <v>0</v>
      </c>
      <c r="S5397" s="16"/>
      <c r="T5397" s="15">
        <f>+E5395</f>
        <v>0</v>
      </c>
      <c r="U5397" s="26" t="str">
        <f>IFERROR(LEFT(K5395,FIND("*",K5395)-1),"-")</f>
        <v>-</v>
      </c>
      <c r="V5397" s="26" t="str">
        <f>IFERROR(RIGHT(K5395,LEN(K5395)-FIND("*",K5395)),"-")</f>
        <v>-</v>
      </c>
      <c r="W5397" s="27" t="str">
        <f t="shared" si="2938"/>
        <v>-</v>
      </c>
      <c r="X5397" s="27" t="str">
        <f>IFERROR(W5397*L5395,"-")</f>
        <v>-</v>
      </c>
      <c r="Z5397" s="94" t="s">
        <v>82</v>
      </c>
    </row>
    <row r="5398" spans="1:26" s="25" customFormat="1" ht="6.95" customHeight="1" x14ac:dyDescent="0.3">
      <c r="A5398" s="13"/>
      <c r="B5398" s="168"/>
      <c r="C5398" s="169"/>
      <c r="D5398" s="160" t="s">
        <v>39</v>
      </c>
      <c r="E5398" s="161"/>
      <c r="F5398" s="162" t="s">
        <v>40</v>
      </c>
      <c r="G5398" s="163"/>
      <c r="H5398" s="164"/>
      <c r="I5398" s="163"/>
      <c r="J5398" s="164"/>
      <c r="K5398" s="163"/>
      <c r="L5398" s="164"/>
      <c r="M5398" s="11"/>
      <c r="N5398" s="39"/>
      <c r="Q5398" s="15" t="str">
        <f>+CONCATENATE(E5398,G5398)</f>
        <v/>
      </c>
      <c r="R5398" s="15">
        <f>+H5398</f>
        <v>0</v>
      </c>
      <c r="S5398" s="16"/>
      <c r="T5398" s="15">
        <f>+E5398</f>
        <v>0</v>
      </c>
      <c r="U5398" s="26" t="str">
        <f t="shared" ref="U5398" si="2941">IFERROR(LEFT(G5398,FIND("*",G5398)-1),"-")</f>
        <v>-</v>
      </c>
      <c r="V5398" s="26" t="str">
        <f t="shared" ref="V5398" si="2942">IFERROR(RIGHT(G5398,LEN(G5398)-FIND("*",G5398)),"-")</f>
        <v>-</v>
      </c>
      <c r="W5398" s="27" t="str">
        <f t="shared" si="2938"/>
        <v>-</v>
      </c>
      <c r="X5398" s="27" t="str">
        <f>IFERROR(W5398*H5398,"-")</f>
        <v>-</v>
      </c>
      <c r="Z5398" s="94" t="s">
        <v>82</v>
      </c>
    </row>
    <row r="5399" spans="1:26" s="25" customFormat="1" ht="6.95" customHeight="1" x14ac:dyDescent="0.3">
      <c r="A5399" s="10"/>
      <c r="B5399" s="168"/>
      <c r="C5399" s="169"/>
      <c r="D5399" s="160"/>
      <c r="E5399" s="161"/>
      <c r="F5399" s="162"/>
      <c r="G5399" s="163"/>
      <c r="H5399" s="164"/>
      <c r="I5399" s="163"/>
      <c r="J5399" s="164"/>
      <c r="K5399" s="163"/>
      <c r="L5399" s="164"/>
      <c r="M5399" s="11"/>
      <c r="N5399" s="39"/>
      <c r="Q5399" s="15" t="str">
        <f>+CONCATENATE(E5398,I5398)</f>
        <v/>
      </c>
      <c r="R5399" s="15">
        <f>+J5398</f>
        <v>0</v>
      </c>
      <c r="S5399" s="16"/>
      <c r="T5399" s="15">
        <f>+E5398</f>
        <v>0</v>
      </c>
      <c r="U5399" s="26" t="str">
        <f>IFERROR(LEFT(I5398,FIND("*",I5398)-1),"-")</f>
        <v>-</v>
      </c>
      <c r="V5399" s="26" t="str">
        <f>IFERROR(RIGHT(I5398,LEN(I5398)-FIND("*",I5398)),"-")</f>
        <v>-</v>
      </c>
      <c r="W5399" s="27" t="str">
        <f t="shared" si="2938"/>
        <v>-</v>
      </c>
      <c r="X5399" s="27" t="str">
        <f t="shared" ref="X5399" si="2943">IFERROR(W5399*J5398,"-")</f>
        <v>-</v>
      </c>
      <c r="Z5399" s="94" t="s">
        <v>82</v>
      </c>
    </row>
    <row r="5400" spans="1:26" s="25" customFormat="1" ht="6.95" customHeight="1" x14ac:dyDescent="0.3">
      <c r="A5400" s="10"/>
      <c r="B5400" s="168"/>
      <c r="C5400" s="169"/>
      <c r="D5400" s="160"/>
      <c r="E5400" s="161"/>
      <c r="F5400" s="162"/>
      <c r="G5400" s="163"/>
      <c r="H5400" s="164"/>
      <c r="I5400" s="163"/>
      <c r="J5400" s="164"/>
      <c r="K5400" s="163"/>
      <c r="L5400" s="164"/>
      <c r="M5400" s="11"/>
      <c r="N5400" s="39"/>
      <c r="Q5400" s="15" t="str">
        <f>+CONCATENATE(E5398,K5398)</f>
        <v/>
      </c>
      <c r="R5400" s="15">
        <f>+L5398</f>
        <v>0</v>
      </c>
      <c r="S5400" s="16"/>
      <c r="T5400" s="15">
        <f>+E5398</f>
        <v>0</v>
      </c>
      <c r="U5400" s="26" t="str">
        <f>IFERROR(LEFT(K5398,FIND("*",K5398)-1),"-")</f>
        <v>-</v>
      </c>
      <c r="V5400" s="26" t="str">
        <f>IFERROR(RIGHT(K5398,LEN(K5398)-FIND("*",K5398)),"-")</f>
        <v>-</v>
      </c>
      <c r="W5400" s="27" t="str">
        <f t="shared" si="2938"/>
        <v>-</v>
      </c>
      <c r="X5400" s="27" t="str">
        <f>IFERROR(W5400*L5398,"-")</f>
        <v>-</v>
      </c>
      <c r="Z5400" s="94" t="s">
        <v>82</v>
      </c>
    </row>
    <row r="5401" spans="1:26" s="25" customFormat="1" ht="21" customHeight="1" thickBot="1" x14ac:dyDescent="0.35">
      <c r="A5401" s="10"/>
      <c r="B5401" s="170"/>
      <c r="C5401" s="171"/>
      <c r="D5401" s="172" t="s">
        <v>43</v>
      </c>
      <c r="E5401" s="173"/>
      <c r="F5401" s="173"/>
      <c r="G5401" s="174"/>
      <c r="H5401" s="174"/>
      <c r="I5401" s="174"/>
      <c r="J5401" s="174"/>
      <c r="K5401" s="174"/>
      <c r="L5401" s="174"/>
      <c r="M5401" s="12"/>
      <c r="N5401" s="39"/>
      <c r="U5401" s="23"/>
      <c r="V5401" s="23"/>
      <c r="Z5401" s="95" t="s">
        <v>81</v>
      </c>
    </row>
    <row r="5402" spans="1:26" s="25" customFormat="1" ht="9.9499999999999993" customHeight="1" thickBot="1" x14ac:dyDescent="0.35">
      <c r="A5402" s="6"/>
      <c r="B5402" s="14"/>
      <c r="C5402" s="119"/>
      <c r="D5402" s="58"/>
      <c r="E5402" s="17"/>
      <c r="F5402" s="58"/>
      <c r="G5402" s="19"/>
      <c r="H5402" s="19"/>
      <c r="I5402" s="19"/>
      <c r="J5402" s="19"/>
      <c r="K5402" s="19"/>
      <c r="L5402" s="19"/>
      <c r="M5402" s="14"/>
      <c r="N5402" s="39"/>
      <c r="Q5402" s="1"/>
      <c r="R5402" s="1"/>
      <c r="S5402" s="1"/>
      <c r="T5402" s="1"/>
      <c r="U5402" s="24"/>
      <c r="V5402" s="24"/>
      <c r="W5402" s="1"/>
      <c r="X5402" s="1"/>
      <c r="Z5402" s="94" t="s">
        <v>82</v>
      </c>
    </row>
    <row r="5403" spans="1:26" s="25" customFormat="1" ht="6.95" customHeight="1" x14ac:dyDescent="0.3">
      <c r="A5403" s="165">
        <f>+A5392+1</f>
        <v>492</v>
      </c>
      <c r="B5403" s="166"/>
      <c r="C5403" s="167"/>
      <c r="D5403" s="160" t="s">
        <v>39</v>
      </c>
      <c r="E5403" s="161"/>
      <c r="F5403" s="162" t="s">
        <v>40</v>
      </c>
      <c r="G5403" s="163"/>
      <c r="H5403" s="164"/>
      <c r="I5403" s="163"/>
      <c r="J5403" s="164"/>
      <c r="K5403" s="163"/>
      <c r="L5403" s="164"/>
      <c r="M5403" s="11"/>
      <c r="N5403" s="39"/>
      <c r="Q5403" s="15" t="str">
        <f>+CONCATENATE(E5403,G5403)</f>
        <v/>
      </c>
      <c r="R5403" s="15">
        <f>+H5403</f>
        <v>0</v>
      </c>
      <c r="S5403" s="16"/>
      <c r="T5403" s="15">
        <f>+E5403</f>
        <v>0</v>
      </c>
      <c r="U5403" s="26" t="str">
        <f>IFERROR(LEFT(G5403,FIND("*",G5403)-1),"-")</f>
        <v>-</v>
      </c>
      <c r="V5403" s="26" t="str">
        <f>IFERROR(RIGHT(G5403,LEN(G5403)-FIND("*",G5403)),"-")</f>
        <v>-</v>
      </c>
      <c r="W5403" s="27" t="str">
        <f>IFERROR((U5403+V5403)*2/1000,"-")</f>
        <v>-</v>
      </c>
      <c r="X5403" s="27" t="str">
        <f>IFERROR(W5403*H5403,"-")</f>
        <v>-</v>
      </c>
      <c r="Z5403" s="94" t="s">
        <v>82</v>
      </c>
    </row>
    <row r="5404" spans="1:26" s="25" customFormat="1" ht="6.95" customHeight="1" x14ac:dyDescent="0.3">
      <c r="A5404" s="165"/>
      <c r="B5404" s="168"/>
      <c r="C5404" s="169"/>
      <c r="D5404" s="160"/>
      <c r="E5404" s="161"/>
      <c r="F5404" s="162"/>
      <c r="G5404" s="163"/>
      <c r="H5404" s="164"/>
      <c r="I5404" s="163"/>
      <c r="J5404" s="164"/>
      <c r="K5404" s="163"/>
      <c r="L5404" s="164"/>
      <c r="M5404" s="11"/>
      <c r="N5404" s="39"/>
      <c r="Q5404" s="15" t="str">
        <f>+CONCATENATE(E5403,I5403)</f>
        <v/>
      </c>
      <c r="R5404" s="15">
        <f>+J5403</f>
        <v>0</v>
      </c>
      <c r="S5404" s="16"/>
      <c r="T5404" s="15">
        <f>+E5403</f>
        <v>0</v>
      </c>
      <c r="U5404" s="26" t="str">
        <f>IFERROR(LEFT(I5403,FIND("*",I5403)-1),"-")</f>
        <v>-</v>
      </c>
      <c r="V5404" s="26" t="str">
        <f>IFERROR(RIGHT(I5403,LEN(I5403)-FIND("*",I5403)),"-")</f>
        <v>-</v>
      </c>
      <c r="W5404" s="27" t="str">
        <f t="shared" ref="W5404:W5411" si="2944">IFERROR((U5404+V5404)*2/1000,"-")</f>
        <v>-</v>
      </c>
      <c r="X5404" s="27" t="str">
        <f>IFERROR(W5404*J5403,"-")</f>
        <v>-</v>
      </c>
      <c r="Z5404" s="94" t="s">
        <v>82</v>
      </c>
    </row>
    <row r="5405" spans="1:26" s="25" customFormat="1" ht="6.95" customHeight="1" x14ac:dyDescent="0.3">
      <c r="A5405" s="165"/>
      <c r="B5405" s="168"/>
      <c r="C5405" s="169"/>
      <c r="D5405" s="160"/>
      <c r="E5405" s="161"/>
      <c r="F5405" s="162"/>
      <c r="G5405" s="163"/>
      <c r="H5405" s="164"/>
      <c r="I5405" s="163"/>
      <c r="J5405" s="164"/>
      <c r="K5405" s="163"/>
      <c r="L5405" s="164"/>
      <c r="M5405" s="11"/>
      <c r="N5405" s="39"/>
      <c r="Q5405" s="15" t="str">
        <f>+CONCATENATE(E5403,K5403)</f>
        <v/>
      </c>
      <c r="R5405" s="15">
        <f>+L5403</f>
        <v>0</v>
      </c>
      <c r="S5405" s="16"/>
      <c r="T5405" s="15">
        <f>+E5403</f>
        <v>0</v>
      </c>
      <c r="U5405" s="26" t="str">
        <f>IFERROR(LEFT(K5403,FIND("*",K5403)-1),"-")</f>
        <v>-</v>
      </c>
      <c r="V5405" s="26" t="str">
        <f>IFERROR(RIGHT(K5403,LEN(K5403)-FIND("*",K5403)),"-")</f>
        <v>-</v>
      </c>
      <c r="W5405" s="27" t="str">
        <f t="shared" si="2944"/>
        <v>-</v>
      </c>
      <c r="X5405" s="27" t="str">
        <f>IFERROR(W5405*L5403,"-")</f>
        <v>-</v>
      </c>
      <c r="Z5405" s="94" t="s">
        <v>82</v>
      </c>
    </row>
    <row r="5406" spans="1:26" s="25" customFormat="1" ht="6.95" customHeight="1" x14ac:dyDescent="0.3">
      <c r="A5406" s="13"/>
      <c r="B5406" s="168"/>
      <c r="C5406" s="169"/>
      <c r="D5406" s="160" t="s">
        <v>39</v>
      </c>
      <c r="E5406" s="161"/>
      <c r="F5406" s="162" t="s">
        <v>40</v>
      </c>
      <c r="G5406" s="163"/>
      <c r="H5406" s="164"/>
      <c r="I5406" s="163"/>
      <c r="J5406" s="164"/>
      <c r="K5406" s="163"/>
      <c r="L5406" s="164"/>
      <c r="M5406" s="11"/>
      <c r="N5406" s="39"/>
      <c r="Q5406" s="15" t="str">
        <f>+CONCATENATE(E5406,G5406)</f>
        <v/>
      </c>
      <c r="R5406" s="15">
        <f>+H5406</f>
        <v>0</v>
      </c>
      <c r="S5406" s="16"/>
      <c r="T5406" s="15">
        <f>+E5406</f>
        <v>0</v>
      </c>
      <c r="U5406" s="26" t="str">
        <f t="shared" ref="U5406" si="2945">IFERROR(LEFT(G5406,FIND("*",G5406)-1),"-")</f>
        <v>-</v>
      </c>
      <c r="V5406" s="26" t="str">
        <f t="shared" ref="V5406" si="2946">IFERROR(RIGHT(G5406,LEN(G5406)-FIND("*",G5406)),"-")</f>
        <v>-</v>
      </c>
      <c r="W5406" s="27" t="str">
        <f t="shared" si="2944"/>
        <v>-</v>
      </c>
      <c r="X5406" s="27" t="str">
        <f>IFERROR(W5406*H5406,"-")</f>
        <v>-</v>
      </c>
      <c r="Z5406" s="94" t="s">
        <v>82</v>
      </c>
    </row>
    <row r="5407" spans="1:26" s="25" customFormat="1" ht="6.95" customHeight="1" x14ac:dyDescent="0.3">
      <c r="A5407" s="10"/>
      <c r="B5407" s="168"/>
      <c r="C5407" s="169"/>
      <c r="D5407" s="160"/>
      <c r="E5407" s="161"/>
      <c r="F5407" s="162"/>
      <c r="G5407" s="163"/>
      <c r="H5407" s="164"/>
      <c r="I5407" s="163"/>
      <c r="J5407" s="164"/>
      <c r="K5407" s="163"/>
      <c r="L5407" s="164"/>
      <c r="M5407" s="11"/>
      <c r="N5407" s="39"/>
      <c r="Q5407" s="15" t="str">
        <f>+CONCATENATE(E5406,I5406)</f>
        <v/>
      </c>
      <c r="R5407" s="15">
        <f>+J5406</f>
        <v>0</v>
      </c>
      <c r="S5407" s="16"/>
      <c r="T5407" s="15">
        <f>+E5406</f>
        <v>0</v>
      </c>
      <c r="U5407" s="26" t="str">
        <f>IFERROR(LEFT(I5406,FIND("*",I5406)-1),"-")</f>
        <v>-</v>
      </c>
      <c r="V5407" s="26" t="str">
        <f>IFERROR(RIGHT(I5406,LEN(I5406)-FIND("*",I5406)),"-")</f>
        <v>-</v>
      </c>
      <c r="W5407" s="27" t="str">
        <f t="shared" si="2944"/>
        <v>-</v>
      </c>
      <c r="X5407" s="27" t="str">
        <f>IFERROR(W5407*J5406,"-")</f>
        <v>-</v>
      </c>
      <c r="Z5407" s="94" t="s">
        <v>82</v>
      </c>
    </row>
    <row r="5408" spans="1:26" s="25" customFormat="1" ht="6.95" customHeight="1" x14ac:dyDescent="0.3">
      <c r="A5408" s="10"/>
      <c r="B5408" s="168"/>
      <c r="C5408" s="169"/>
      <c r="D5408" s="160"/>
      <c r="E5408" s="161"/>
      <c r="F5408" s="162"/>
      <c r="G5408" s="163"/>
      <c r="H5408" s="164"/>
      <c r="I5408" s="163"/>
      <c r="J5408" s="164"/>
      <c r="K5408" s="163"/>
      <c r="L5408" s="164"/>
      <c r="M5408" s="11"/>
      <c r="N5408" s="39"/>
      <c r="Q5408" s="15" t="str">
        <f>+CONCATENATE(E5406,K5406)</f>
        <v/>
      </c>
      <c r="R5408" s="15">
        <f>+L5406</f>
        <v>0</v>
      </c>
      <c r="S5408" s="16"/>
      <c r="T5408" s="15">
        <f>+E5406</f>
        <v>0</v>
      </c>
      <c r="U5408" s="26" t="str">
        <f>IFERROR(LEFT(K5406,FIND("*",K5406)-1),"-")</f>
        <v>-</v>
      </c>
      <c r="V5408" s="26" t="str">
        <f>IFERROR(RIGHT(K5406,LEN(K5406)-FIND("*",K5406)),"-")</f>
        <v>-</v>
      </c>
      <c r="W5408" s="27" t="str">
        <f t="shared" si="2944"/>
        <v>-</v>
      </c>
      <c r="X5408" s="27" t="str">
        <f>IFERROR(W5408*L5406,"-")</f>
        <v>-</v>
      </c>
      <c r="Z5408" s="94" t="s">
        <v>82</v>
      </c>
    </row>
    <row r="5409" spans="1:26" s="25" customFormat="1" ht="6.95" customHeight="1" x14ac:dyDescent="0.3">
      <c r="A5409" s="13"/>
      <c r="B5409" s="168"/>
      <c r="C5409" s="169"/>
      <c r="D5409" s="160" t="s">
        <v>39</v>
      </c>
      <c r="E5409" s="161"/>
      <c r="F5409" s="162" t="s">
        <v>40</v>
      </c>
      <c r="G5409" s="163"/>
      <c r="H5409" s="164"/>
      <c r="I5409" s="163"/>
      <c r="J5409" s="164"/>
      <c r="K5409" s="163"/>
      <c r="L5409" s="164"/>
      <c r="M5409" s="11"/>
      <c r="N5409" s="39"/>
      <c r="Q5409" s="15" t="str">
        <f>+CONCATENATE(E5409,G5409)</f>
        <v/>
      </c>
      <c r="R5409" s="15">
        <f>+H5409</f>
        <v>0</v>
      </c>
      <c r="S5409" s="16"/>
      <c r="T5409" s="15">
        <f>+E5409</f>
        <v>0</v>
      </c>
      <c r="U5409" s="26" t="str">
        <f t="shared" ref="U5409" si="2947">IFERROR(LEFT(G5409,FIND("*",G5409)-1),"-")</f>
        <v>-</v>
      </c>
      <c r="V5409" s="26" t="str">
        <f t="shared" ref="V5409" si="2948">IFERROR(RIGHT(G5409,LEN(G5409)-FIND("*",G5409)),"-")</f>
        <v>-</v>
      </c>
      <c r="W5409" s="27" t="str">
        <f t="shared" si="2944"/>
        <v>-</v>
      </c>
      <c r="X5409" s="27" t="str">
        <f>IFERROR(W5409*H5409,"-")</f>
        <v>-</v>
      </c>
      <c r="Z5409" s="94" t="s">
        <v>82</v>
      </c>
    </row>
    <row r="5410" spans="1:26" s="25" customFormat="1" ht="6.95" customHeight="1" x14ac:dyDescent="0.3">
      <c r="A5410" s="10"/>
      <c r="B5410" s="168"/>
      <c r="C5410" s="169"/>
      <c r="D5410" s="160"/>
      <c r="E5410" s="161"/>
      <c r="F5410" s="162"/>
      <c r="G5410" s="163"/>
      <c r="H5410" s="164"/>
      <c r="I5410" s="163"/>
      <c r="J5410" s="164"/>
      <c r="K5410" s="163"/>
      <c r="L5410" s="164"/>
      <c r="M5410" s="11"/>
      <c r="N5410" s="39"/>
      <c r="Q5410" s="15" t="str">
        <f>+CONCATENATE(E5409,I5409)</f>
        <v/>
      </c>
      <c r="R5410" s="15">
        <f>+J5409</f>
        <v>0</v>
      </c>
      <c r="S5410" s="16"/>
      <c r="T5410" s="15">
        <f>+E5409</f>
        <v>0</v>
      </c>
      <c r="U5410" s="26" t="str">
        <f>IFERROR(LEFT(I5409,FIND("*",I5409)-1),"-")</f>
        <v>-</v>
      </c>
      <c r="V5410" s="26" t="str">
        <f>IFERROR(RIGHT(I5409,LEN(I5409)-FIND("*",I5409)),"-")</f>
        <v>-</v>
      </c>
      <c r="W5410" s="27" t="str">
        <f t="shared" si="2944"/>
        <v>-</v>
      </c>
      <c r="X5410" s="27" t="str">
        <f t="shared" ref="X5410" si="2949">IFERROR(W5410*J5409,"-")</f>
        <v>-</v>
      </c>
      <c r="Z5410" s="94" t="s">
        <v>82</v>
      </c>
    </row>
    <row r="5411" spans="1:26" s="25" customFormat="1" ht="6.95" customHeight="1" x14ac:dyDescent="0.3">
      <c r="A5411" s="10"/>
      <c r="B5411" s="168"/>
      <c r="C5411" s="169"/>
      <c r="D5411" s="160"/>
      <c r="E5411" s="161"/>
      <c r="F5411" s="162"/>
      <c r="G5411" s="163"/>
      <c r="H5411" s="164"/>
      <c r="I5411" s="163"/>
      <c r="J5411" s="164"/>
      <c r="K5411" s="163"/>
      <c r="L5411" s="164"/>
      <c r="M5411" s="11"/>
      <c r="N5411" s="39"/>
      <c r="Q5411" s="15" t="str">
        <f>+CONCATENATE(E5409,K5409)</f>
        <v/>
      </c>
      <c r="R5411" s="15">
        <f>+L5409</f>
        <v>0</v>
      </c>
      <c r="S5411" s="16"/>
      <c r="T5411" s="15">
        <f>+E5409</f>
        <v>0</v>
      </c>
      <c r="U5411" s="26" t="str">
        <f>IFERROR(LEFT(K5409,FIND("*",K5409)-1),"-")</f>
        <v>-</v>
      </c>
      <c r="V5411" s="26" t="str">
        <f>IFERROR(RIGHT(K5409,LEN(K5409)-FIND("*",K5409)),"-")</f>
        <v>-</v>
      </c>
      <c r="W5411" s="27" t="str">
        <f t="shared" si="2944"/>
        <v>-</v>
      </c>
      <c r="X5411" s="27" t="str">
        <f>IFERROR(W5411*L5409,"-")</f>
        <v>-</v>
      </c>
      <c r="Z5411" s="94" t="s">
        <v>82</v>
      </c>
    </row>
    <row r="5412" spans="1:26" s="25" customFormat="1" ht="21" customHeight="1" thickBot="1" x14ac:dyDescent="0.35">
      <c r="A5412" s="10"/>
      <c r="B5412" s="170"/>
      <c r="C5412" s="171"/>
      <c r="D5412" s="172" t="s">
        <v>43</v>
      </c>
      <c r="E5412" s="173"/>
      <c r="F5412" s="173"/>
      <c r="G5412" s="174"/>
      <c r="H5412" s="174"/>
      <c r="I5412" s="174"/>
      <c r="J5412" s="174"/>
      <c r="K5412" s="174"/>
      <c r="L5412" s="174"/>
      <c r="M5412" s="12"/>
      <c r="N5412" s="39"/>
      <c r="U5412" s="23"/>
      <c r="V5412" s="23"/>
      <c r="Z5412" s="95" t="s">
        <v>81</v>
      </c>
    </row>
    <row r="5413" spans="1:26" s="25" customFormat="1" ht="9.9499999999999993" customHeight="1" thickBot="1" x14ac:dyDescent="0.35">
      <c r="A5413" s="6"/>
      <c r="B5413" s="14"/>
      <c r="C5413" s="119"/>
      <c r="D5413" s="58"/>
      <c r="E5413" s="17"/>
      <c r="F5413" s="58"/>
      <c r="G5413" s="19"/>
      <c r="H5413" s="19"/>
      <c r="I5413" s="19"/>
      <c r="J5413" s="19"/>
      <c r="K5413" s="19"/>
      <c r="L5413" s="19"/>
      <c r="M5413" s="14"/>
      <c r="N5413" s="39"/>
      <c r="Q5413" s="1"/>
      <c r="R5413" s="1"/>
      <c r="S5413" s="1"/>
      <c r="T5413" s="1"/>
      <c r="U5413" s="24"/>
      <c r="V5413" s="24"/>
      <c r="W5413" s="1"/>
      <c r="X5413" s="1"/>
      <c r="Z5413" s="94" t="s">
        <v>82</v>
      </c>
    </row>
    <row r="5414" spans="1:26" s="25" customFormat="1" ht="6.95" customHeight="1" x14ac:dyDescent="0.3">
      <c r="A5414" s="165">
        <f>+A5403+1</f>
        <v>493</v>
      </c>
      <c r="B5414" s="166"/>
      <c r="C5414" s="167"/>
      <c r="D5414" s="160" t="s">
        <v>39</v>
      </c>
      <c r="E5414" s="161"/>
      <c r="F5414" s="162" t="s">
        <v>40</v>
      </c>
      <c r="G5414" s="163"/>
      <c r="H5414" s="164"/>
      <c r="I5414" s="163"/>
      <c r="J5414" s="164"/>
      <c r="K5414" s="163"/>
      <c r="L5414" s="164"/>
      <c r="M5414" s="11"/>
      <c r="N5414" s="39"/>
      <c r="Q5414" s="15" t="str">
        <f>+CONCATENATE(E5414,G5414)</f>
        <v/>
      </c>
      <c r="R5414" s="15">
        <f>+H5414</f>
        <v>0</v>
      </c>
      <c r="S5414" s="16"/>
      <c r="T5414" s="15">
        <f>+E5414</f>
        <v>0</v>
      </c>
      <c r="U5414" s="26" t="str">
        <f>IFERROR(LEFT(G5414,FIND("*",G5414)-1),"-")</f>
        <v>-</v>
      </c>
      <c r="V5414" s="26" t="str">
        <f>IFERROR(RIGHT(G5414,LEN(G5414)-FIND("*",G5414)),"-")</f>
        <v>-</v>
      </c>
      <c r="W5414" s="27" t="str">
        <f>IFERROR((U5414+V5414)*2/1000,"-")</f>
        <v>-</v>
      </c>
      <c r="X5414" s="27" t="str">
        <f>IFERROR(W5414*H5414,"-")</f>
        <v>-</v>
      </c>
      <c r="Z5414" s="94" t="s">
        <v>82</v>
      </c>
    </row>
    <row r="5415" spans="1:26" s="25" customFormat="1" ht="6.95" customHeight="1" x14ac:dyDescent="0.3">
      <c r="A5415" s="165"/>
      <c r="B5415" s="168"/>
      <c r="C5415" s="169"/>
      <c r="D5415" s="160"/>
      <c r="E5415" s="161"/>
      <c r="F5415" s="162"/>
      <c r="G5415" s="163"/>
      <c r="H5415" s="164"/>
      <c r="I5415" s="163"/>
      <c r="J5415" s="164"/>
      <c r="K5415" s="163"/>
      <c r="L5415" s="164"/>
      <c r="M5415" s="11"/>
      <c r="N5415" s="39"/>
      <c r="Q5415" s="15" t="str">
        <f>+CONCATENATE(E5414,I5414)</f>
        <v/>
      </c>
      <c r="R5415" s="15">
        <f>+J5414</f>
        <v>0</v>
      </c>
      <c r="S5415" s="16"/>
      <c r="T5415" s="15">
        <f>+E5414</f>
        <v>0</v>
      </c>
      <c r="U5415" s="26" t="str">
        <f>IFERROR(LEFT(I5414,FIND("*",I5414)-1),"-")</f>
        <v>-</v>
      </c>
      <c r="V5415" s="26" t="str">
        <f>IFERROR(RIGHT(I5414,LEN(I5414)-FIND("*",I5414)),"-")</f>
        <v>-</v>
      </c>
      <c r="W5415" s="27" t="str">
        <f t="shared" ref="W5415:W5422" si="2950">IFERROR((U5415+V5415)*2/1000,"-")</f>
        <v>-</v>
      </c>
      <c r="X5415" s="27" t="str">
        <f>IFERROR(W5415*J5414,"-")</f>
        <v>-</v>
      </c>
      <c r="Z5415" s="94" t="s">
        <v>82</v>
      </c>
    </row>
    <row r="5416" spans="1:26" s="25" customFormat="1" ht="6.95" customHeight="1" x14ac:dyDescent="0.3">
      <c r="A5416" s="165"/>
      <c r="B5416" s="168"/>
      <c r="C5416" s="169"/>
      <c r="D5416" s="160"/>
      <c r="E5416" s="161"/>
      <c r="F5416" s="162"/>
      <c r="G5416" s="163"/>
      <c r="H5416" s="164"/>
      <c r="I5416" s="163"/>
      <c r="J5416" s="164"/>
      <c r="K5416" s="163"/>
      <c r="L5416" s="164"/>
      <c r="M5416" s="11"/>
      <c r="N5416" s="39"/>
      <c r="Q5416" s="15" t="str">
        <f>+CONCATENATE(E5414,K5414)</f>
        <v/>
      </c>
      <c r="R5416" s="15">
        <f>+L5414</f>
        <v>0</v>
      </c>
      <c r="S5416" s="16"/>
      <c r="T5416" s="15">
        <f>+E5414</f>
        <v>0</v>
      </c>
      <c r="U5416" s="26" t="str">
        <f>IFERROR(LEFT(K5414,FIND("*",K5414)-1),"-")</f>
        <v>-</v>
      </c>
      <c r="V5416" s="26" t="str">
        <f>IFERROR(RIGHT(K5414,LEN(K5414)-FIND("*",K5414)),"-")</f>
        <v>-</v>
      </c>
      <c r="W5416" s="27" t="str">
        <f t="shared" si="2950"/>
        <v>-</v>
      </c>
      <c r="X5416" s="27" t="str">
        <f>IFERROR(W5416*L5414,"-")</f>
        <v>-</v>
      </c>
      <c r="Z5416" s="94" t="s">
        <v>82</v>
      </c>
    </row>
    <row r="5417" spans="1:26" s="25" customFormat="1" ht="6.95" customHeight="1" x14ac:dyDescent="0.3">
      <c r="A5417" s="13"/>
      <c r="B5417" s="168"/>
      <c r="C5417" s="169"/>
      <c r="D5417" s="160" t="s">
        <v>39</v>
      </c>
      <c r="E5417" s="161"/>
      <c r="F5417" s="162" t="s">
        <v>40</v>
      </c>
      <c r="G5417" s="163"/>
      <c r="H5417" s="164"/>
      <c r="I5417" s="163"/>
      <c r="J5417" s="164"/>
      <c r="K5417" s="163"/>
      <c r="L5417" s="164"/>
      <c r="M5417" s="11"/>
      <c r="N5417" s="39"/>
      <c r="Q5417" s="15" t="str">
        <f>+CONCATENATE(E5417,G5417)</f>
        <v/>
      </c>
      <c r="R5417" s="15">
        <f>+H5417</f>
        <v>0</v>
      </c>
      <c r="S5417" s="16"/>
      <c r="T5417" s="15">
        <f>+E5417</f>
        <v>0</v>
      </c>
      <c r="U5417" s="26" t="str">
        <f t="shared" ref="U5417" si="2951">IFERROR(LEFT(G5417,FIND("*",G5417)-1),"-")</f>
        <v>-</v>
      </c>
      <c r="V5417" s="26" t="str">
        <f t="shared" ref="V5417" si="2952">IFERROR(RIGHT(G5417,LEN(G5417)-FIND("*",G5417)),"-")</f>
        <v>-</v>
      </c>
      <c r="W5417" s="27" t="str">
        <f t="shared" si="2950"/>
        <v>-</v>
      </c>
      <c r="X5417" s="27" t="str">
        <f>IFERROR(W5417*H5417,"-")</f>
        <v>-</v>
      </c>
      <c r="Z5417" s="94" t="s">
        <v>82</v>
      </c>
    </row>
    <row r="5418" spans="1:26" s="25" customFormat="1" ht="6.95" customHeight="1" x14ac:dyDescent="0.3">
      <c r="A5418" s="10"/>
      <c r="B5418" s="168"/>
      <c r="C5418" s="169"/>
      <c r="D5418" s="160"/>
      <c r="E5418" s="161"/>
      <c r="F5418" s="162"/>
      <c r="G5418" s="163"/>
      <c r="H5418" s="164"/>
      <c r="I5418" s="163"/>
      <c r="J5418" s="164"/>
      <c r="K5418" s="163"/>
      <c r="L5418" s="164"/>
      <c r="M5418" s="11"/>
      <c r="N5418" s="39"/>
      <c r="Q5418" s="15" t="str">
        <f>+CONCATENATE(E5417,I5417)</f>
        <v/>
      </c>
      <c r="R5418" s="15">
        <f>+J5417</f>
        <v>0</v>
      </c>
      <c r="S5418" s="16"/>
      <c r="T5418" s="15">
        <f>+E5417</f>
        <v>0</v>
      </c>
      <c r="U5418" s="26" t="str">
        <f>IFERROR(LEFT(I5417,FIND("*",I5417)-1),"-")</f>
        <v>-</v>
      </c>
      <c r="V5418" s="26" t="str">
        <f>IFERROR(RIGHT(I5417,LEN(I5417)-FIND("*",I5417)),"-")</f>
        <v>-</v>
      </c>
      <c r="W5418" s="27" t="str">
        <f t="shared" si="2950"/>
        <v>-</v>
      </c>
      <c r="X5418" s="27" t="str">
        <f>IFERROR(W5418*J5417,"-")</f>
        <v>-</v>
      </c>
      <c r="Z5418" s="94" t="s">
        <v>82</v>
      </c>
    </row>
    <row r="5419" spans="1:26" s="25" customFormat="1" ht="6.95" customHeight="1" x14ac:dyDescent="0.3">
      <c r="A5419" s="10"/>
      <c r="B5419" s="168"/>
      <c r="C5419" s="169"/>
      <c r="D5419" s="160"/>
      <c r="E5419" s="161"/>
      <c r="F5419" s="162"/>
      <c r="G5419" s="163"/>
      <c r="H5419" s="164"/>
      <c r="I5419" s="163"/>
      <c r="J5419" s="164"/>
      <c r="K5419" s="163"/>
      <c r="L5419" s="164"/>
      <c r="M5419" s="11"/>
      <c r="N5419" s="39"/>
      <c r="Q5419" s="15" t="str">
        <f>+CONCATENATE(E5417,K5417)</f>
        <v/>
      </c>
      <c r="R5419" s="15">
        <f>+L5417</f>
        <v>0</v>
      </c>
      <c r="S5419" s="16"/>
      <c r="T5419" s="15">
        <f>+E5417</f>
        <v>0</v>
      </c>
      <c r="U5419" s="26" t="str">
        <f>IFERROR(LEFT(K5417,FIND("*",K5417)-1),"-")</f>
        <v>-</v>
      </c>
      <c r="V5419" s="26" t="str">
        <f>IFERROR(RIGHT(K5417,LEN(K5417)-FIND("*",K5417)),"-")</f>
        <v>-</v>
      </c>
      <c r="W5419" s="27" t="str">
        <f t="shared" si="2950"/>
        <v>-</v>
      </c>
      <c r="X5419" s="27" t="str">
        <f>IFERROR(W5419*L5417,"-")</f>
        <v>-</v>
      </c>
      <c r="Z5419" s="94" t="s">
        <v>82</v>
      </c>
    </row>
    <row r="5420" spans="1:26" s="25" customFormat="1" ht="6.95" customHeight="1" x14ac:dyDescent="0.3">
      <c r="A5420" s="13"/>
      <c r="B5420" s="168"/>
      <c r="C5420" s="169"/>
      <c r="D5420" s="160" t="s">
        <v>39</v>
      </c>
      <c r="E5420" s="161"/>
      <c r="F5420" s="162" t="s">
        <v>40</v>
      </c>
      <c r="G5420" s="163"/>
      <c r="H5420" s="164"/>
      <c r="I5420" s="163"/>
      <c r="J5420" s="164"/>
      <c r="K5420" s="163"/>
      <c r="L5420" s="164"/>
      <c r="M5420" s="11"/>
      <c r="N5420" s="39"/>
      <c r="Q5420" s="15" t="str">
        <f>+CONCATENATE(E5420,G5420)</f>
        <v/>
      </c>
      <c r="R5420" s="15">
        <f>+H5420</f>
        <v>0</v>
      </c>
      <c r="S5420" s="16"/>
      <c r="T5420" s="15">
        <f>+E5420</f>
        <v>0</v>
      </c>
      <c r="U5420" s="26" t="str">
        <f t="shared" ref="U5420" si="2953">IFERROR(LEFT(G5420,FIND("*",G5420)-1),"-")</f>
        <v>-</v>
      </c>
      <c r="V5420" s="26" t="str">
        <f t="shared" ref="V5420" si="2954">IFERROR(RIGHT(G5420,LEN(G5420)-FIND("*",G5420)),"-")</f>
        <v>-</v>
      </c>
      <c r="W5420" s="27" t="str">
        <f t="shared" si="2950"/>
        <v>-</v>
      </c>
      <c r="X5420" s="27" t="str">
        <f>IFERROR(W5420*H5420,"-")</f>
        <v>-</v>
      </c>
      <c r="Z5420" s="94" t="s">
        <v>82</v>
      </c>
    </row>
    <row r="5421" spans="1:26" s="25" customFormat="1" ht="6.95" customHeight="1" x14ac:dyDescent="0.3">
      <c r="A5421" s="10"/>
      <c r="B5421" s="168"/>
      <c r="C5421" s="169"/>
      <c r="D5421" s="160"/>
      <c r="E5421" s="161"/>
      <c r="F5421" s="162"/>
      <c r="G5421" s="163"/>
      <c r="H5421" s="164"/>
      <c r="I5421" s="163"/>
      <c r="J5421" s="164"/>
      <c r="K5421" s="163"/>
      <c r="L5421" s="164"/>
      <c r="M5421" s="11"/>
      <c r="N5421" s="39"/>
      <c r="Q5421" s="15" t="str">
        <f>+CONCATENATE(E5420,I5420)</f>
        <v/>
      </c>
      <c r="R5421" s="15">
        <f>+J5420</f>
        <v>0</v>
      </c>
      <c r="S5421" s="16"/>
      <c r="T5421" s="15">
        <f>+E5420</f>
        <v>0</v>
      </c>
      <c r="U5421" s="26" t="str">
        <f>IFERROR(LEFT(I5420,FIND("*",I5420)-1),"-")</f>
        <v>-</v>
      </c>
      <c r="V5421" s="26" t="str">
        <f>IFERROR(RIGHT(I5420,LEN(I5420)-FIND("*",I5420)),"-")</f>
        <v>-</v>
      </c>
      <c r="W5421" s="27" t="str">
        <f t="shared" si="2950"/>
        <v>-</v>
      </c>
      <c r="X5421" s="27" t="str">
        <f t="shared" ref="X5421" si="2955">IFERROR(W5421*J5420,"-")</f>
        <v>-</v>
      </c>
      <c r="Z5421" s="94" t="s">
        <v>82</v>
      </c>
    </row>
    <row r="5422" spans="1:26" s="25" customFormat="1" ht="6.95" customHeight="1" x14ac:dyDescent="0.3">
      <c r="A5422" s="10"/>
      <c r="B5422" s="168"/>
      <c r="C5422" s="169"/>
      <c r="D5422" s="160"/>
      <c r="E5422" s="161"/>
      <c r="F5422" s="162"/>
      <c r="G5422" s="163"/>
      <c r="H5422" s="164"/>
      <c r="I5422" s="163"/>
      <c r="J5422" s="164"/>
      <c r="K5422" s="163"/>
      <c r="L5422" s="164"/>
      <c r="M5422" s="11"/>
      <c r="N5422" s="39"/>
      <c r="Q5422" s="15" t="str">
        <f>+CONCATENATE(E5420,K5420)</f>
        <v/>
      </c>
      <c r="R5422" s="15">
        <f>+L5420</f>
        <v>0</v>
      </c>
      <c r="S5422" s="16"/>
      <c r="T5422" s="15">
        <f>+E5420</f>
        <v>0</v>
      </c>
      <c r="U5422" s="26" t="str">
        <f>IFERROR(LEFT(K5420,FIND("*",K5420)-1),"-")</f>
        <v>-</v>
      </c>
      <c r="V5422" s="26" t="str">
        <f>IFERROR(RIGHT(K5420,LEN(K5420)-FIND("*",K5420)),"-")</f>
        <v>-</v>
      </c>
      <c r="W5422" s="27" t="str">
        <f t="shared" si="2950"/>
        <v>-</v>
      </c>
      <c r="X5422" s="27" t="str">
        <f>IFERROR(W5422*L5420,"-")</f>
        <v>-</v>
      </c>
      <c r="Z5422" s="94" t="s">
        <v>82</v>
      </c>
    </row>
    <row r="5423" spans="1:26" s="25" customFormat="1" ht="21" customHeight="1" thickBot="1" x14ac:dyDescent="0.35">
      <c r="A5423" s="10"/>
      <c r="B5423" s="170"/>
      <c r="C5423" s="171"/>
      <c r="D5423" s="172" t="s">
        <v>43</v>
      </c>
      <c r="E5423" s="173"/>
      <c r="F5423" s="173"/>
      <c r="G5423" s="174"/>
      <c r="H5423" s="174"/>
      <c r="I5423" s="174"/>
      <c r="J5423" s="174"/>
      <c r="K5423" s="174"/>
      <c r="L5423" s="174"/>
      <c r="M5423" s="12"/>
      <c r="N5423" s="39"/>
      <c r="U5423" s="23"/>
      <c r="V5423" s="23"/>
      <c r="Z5423" s="95" t="s">
        <v>81</v>
      </c>
    </row>
    <row r="5424" spans="1:26" s="25" customFormat="1" ht="9.9499999999999993" customHeight="1" thickBot="1" x14ac:dyDescent="0.35">
      <c r="A5424" s="6"/>
      <c r="B5424" s="14"/>
      <c r="C5424" s="119"/>
      <c r="D5424" s="58"/>
      <c r="E5424" s="17"/>
      <c r="F5424" s="58"/>
      <c r="G5424" s="19"/>
      <c r="H5424" s="19"/>
      <c r="I5424" s="19"/>
      <c r="J5424" s="19"/>
      <c r="K5424" s="19"/>
      <c r="L5424" s="19"/>
      <c r="M5424" s="14"/>
      <c r="N5424" s="39"/>
      <c r="Q5424" s="1"/>
      <c r="R5424" s="1"/>
      <c r="S5424" s="1"/>
      <c r="T5424" s="1"/>
      <c r="U5424" s="24"/>
      <c r="V5424" s="24"/>
      <c r="W5424" s="1"/>
      <c r="X5424" s="1"/>
      <c r="Z5424" s="94" t="s">
        <v>82</v>
      </c>
    </row>
    <row r="5425" spans="1:26" s="25" customFormat="1" ht="6.95" customHeight="1" x14ac:dyDescent="0.3">
      <c r="A5425" s="165">
        <f>+A5414+1</f>
        <v>494</v>
      </c>
      <c r="B5425" s="166"/>
      <c r="C5425" s="167"/>
      <c r="D5425" s="160" t="s">
        <v>39</v>
      </c>
      <c r="E5425" s="161"/>
      <c r="F5425" s="162" t="s">
        <v>40</v>
      </c>
      <c r="G5425" s="163"/>
      <c r="H5425" s="164"/>
      <c r="I5425" s="163"/>
      <c r="J5425" s="164"/>
      <c r="K5425" s="163"/>
      <c r="L5425" s="164"/>
      <c r="M5425" s="11"/>
      <c r="N5425" s="39"/>
      <c r="Q5425" s="15" t="str">
        <f>+CONCATENATE(E5425,G5425)</f>
        <v/>
      </c>
      <c r="R5425" s="15">
        <f>+H5425</f>
        <v>0</v>
      </c>
      <c r="S5425" s="16"/>
      <c r="T5425" s="15">
        <f>+E5425</f>
        <v>0</v>
      </c>
      <c r="U5425" s="26" t="str">
        <f>IFERROR(LEFT(G5425,FIND("*",G5425)-1),"-")</f>
        <v>-</v>
      </c>
      <c r="V5425" s="26" t="str">
        <f>IFERROR(RIGHT(G5425,LEN(G5425)-FIND("*",G5425)),"-")</f>
        <v>-</v>
      </c>
      <c r="W5425" s="27" t="str">
        <f>IFERROR((U5425+V5425)*2/1000,"-")</f>
        <v>-</v>
      </c>
      <c r="X5425" s="27" t="str">
        <f>IFERROR(W5425*H5425,"-")</f>
        <v>-</v>
      </c>
      <c r="Z5425" s="94" t="s">
        <v>82</v>
      </c>
    </row>
    <row r="5426" spans="1:26" s="25" customFormat="1" ht="6.95" customHeight="1" x14ac:dyDescent="0.3">
      <c r="A5426" s="165"/>
      <c r="B5426" s="168"/>
      <c r="C5426" s="169"/>
      <c r="D5426" s="160"/>
      <c r="E5426" s="161"/>
      <c r="F5426" s="162"/>
      <c r="G5426" s="163"/>
      <c r="H5426" s="164"/>
      <c r="I5426" s="163"/>
      <c r="J5426" s="164"/>
      <c r="K5426" s="163"/>
      <c r="L5426" s="164"/>
      <c r="M5426" s="11"/>
      <c r="N5426" s="39"/>
      <c r="Q5426" s="15" t="str">
        <f>+CONCATENATE(E5425,I5425)</f>
        <v/>
      </c>
      <c r="R5426" s="15">
        <f>+J5425</f>
        <v>0</v>
      </c>
      <c r="S5426" s="16"/>
      <c r="T5426" s="15">
        <f>+E5425</f>
        <v>0</v>
      </c>
      <c r="U5426" s="26" t="str">
        <f>IFERROR(LEFT(I5425,FIND("*",I5425)-1),"-")</f>
        <v>-</v>
      </c>
      <c r="V5426" s="26" t="str">
        <f>IFERROR(RIGHT(I5425,LEN(I5425)-FIND("*",I5425)),"-")</f>
        <v>-</v>
      </c>
      <c r="W5426" s="27" t="str">
        <f t="shared" ref="W5426:W5433" si="2956">IFERROR((U5426+V5426)*2/1000,"-")</f>
        <v>-</v>
      </c>
      <c r="X5426" s="27" t="str">
        <f>IFERROR(W5426*J5425,"-")</f>
        <v>-</v>
      </c>
      <c r="Z5426" s="94" t="s">
        <v>82</v>
      </c>
    </row>
    <row r="5427" spans="1:26" s="25" customFormat="1" ht="6.95" customHeight="1" x14ac:dyDescent="0.3">
      <c r="A5427" s="165"/>
      <c r="B5427" s="168"/>
      <c r="C5427" s="169"/>
      <c r="D5427" s="160"/>
      <c r="E5427" s="161"/>
      <c r="F5427" s="162"/>
      <c r="G5427" s="163"/>
      <c r="H5427" s="164"/>
      <c r="I5427" s="163"/>
      <c r="J5427" s="164"/>
      <c r="K5427" s="163"/>
      <c r="L5427" s="164"/>
      <c r="M5427" s="11"/>
      <c r="N5427" s="39"/>
      <c r="Q5427" s="15" t="str">
        <f>+CONCATENATE(E5425,K5425)</f>
        <v/>
      </c>
      <c r="R5427" s="15">
        <f>+L5425</f>
        <v>0</v>
      </c>
      <c r="S5427" s="16"/>
      <c r="T5427" s="15">
        <f>+E5425</f>
        <v>0</v>
      </c>
      <c r="U5427" s="26" t="str">
        <f>IFERROR(LEFT(K5425,FIND("*",K5425)-1),"-")</f>
        <v>-</v>
      </c>
      <c r="V5427" s="26" t="str">
        <f>IFERROR(RIGHT(K5425,LEN(K5425)-FIND("*",K5425)),"-")</f>
        <v>-</v>
      </c>
      <c r="W5427" s="27" t="str">
        <f t="shared" si="2956"/>
        <v>-</v>
      </c>
      <c r="X5427" s="27" t="str">
        <f>IFERROR(W5427*L5425,"-")</f>
        <v>-</v>
      </c>
      <c r="Z5427" s="94" t="s">
        <v>82</v>
      </c>
    </row>
    <row r="5428" spans="1:26" s="25" customFormat="1" ht="6.95" customHeight="1" x14ac:dyDescent="0.3">
      <c r="A5428" s="13"/>
      <c r="B5428" s="168"/>
      <c r="C5428" s="169"/>
      <c r="D5428" s="160" t="s">
        <v>39</v>
      </c>
      <c r="E5428" s="161"/>
      <c r="F5428" s="162" t="s">
        <v>40</v>
      </c>
      <c r="G5428" s="163"/>
      <c r="H5428" s="164"/>
      <c r="I5428" s="163"/>
      <c r="J5428" s="164"/>
      <c r="K5428" s="163"/>
      <c r="L5428" s="164"/>
      <c r="M5428" s="11"/>
      <c r="N5428" s="39"/>
      <c r="Q5428" s="15" t="str">
        <f>+CONCATENATE(E5428,G5428)</f>
        <v/>
      </c>
      <c r="R5428" s="15">
        <f>+H5428</f>
        <v>0</v>
      </c>
      <c r="S5428" s="16"/>
      <c r="T5428" s="15">
        <f>+E5428</f>
        <v>0</v>
      </c>
      <c r="U5428" s="26" t="str">
        <f t="shared" ref="U5428" si="2957">IFERROR(LEFT(G5428,FIND("*",G5428)-1),"-")</f>
        <v>-</v>
      </c>
      <c r="V5428" s="26" t="str">
        <f t="shared" ref="V5428" si="2958">IFERROR(RIGHT(G5428,LEN(G5428)-FIND("*",G5428)),"-")</f>
        <v>-</v>
      </c>
      <c r="W5428" s="27" t="str">
        <f t="shared" si="2956"/>
        <v>-</v>
      </c>
      <c r="X5428" s="27" t="str">
        <f>IFERROR(W5428*H5428,"-")</f>
        <v>-</v>
      </c>
      <c r="Z5428" s="94" t="s">
        <v>82</v>
      </c>
    </row>
    <row r="5429" spans="1:26" s="25" customFormat="1" ht="6.95" customHeight="1" x14ac:dyDescent="0.3">
      <c r="A5429" s="10"/>
      <c r="B5429" s="168"/>
      <c r="C5429" s="169"/>
      <c r="D5429" s="160"/>
      <c r="E5429" s="161"/>
      <c r="F5429" s="162"/>
      <c r="G5429" s="163"/>
      <c r="H5429" s="164"/>
      <c r="I5429" s="163"/>
      <c r="J5429" s="164"/>
      <c r="K5429" s="163"/>
      <c r="L5429" s="164"/>
      <c r="M5429" s="11"/>
      <c r="N5429" s="39"/>
      <c r="Q5429" s="15" t="str">
        <f>+CONCATENATE(E5428,I5428)</f>
        <v/>
      </c>
      <c r="R5429" s="15">
        <f>+J5428</f>
        <v>0</v>
      </c>
      <c r="S5429" s="16"/>
      <c r="T5429" s="15">
        <f>+E5428</f>
        <v>0</v>
      </c>
      <c r="U5429" s="26" t="str">
        <f>IFERROR(LEFT(I5428,FIND("*",I5428)-1),"-")</f>
        <v>-</v>
      </c>
      <c r="V5429" s="26" t="str">
        <f>IFERROR(RIGHT(I5428,LEN(I5428)-FIND("*",I5428)),"-")</f>
        <v>-</v>
      </c>
      <c r="W5429" s="27" t="str">
        <f t="shared" si="2956"/>
        <v>-</v>
      </c>
      <c r="X5429" s="27" t="str">
        <f>IFERROR(W5429*J5428,"-")</f>
        <v>-</v>
      </c>
      <c r="Z5429" s="94" t="s">
        <v>82</v>
      </c>
    </row>
    <row r="5430" spans="1:26" s="25" customFormat="1" ht="6.95" customHeight="1" x14ac:dyDescent="0.3">
      <c r="A5430" s="10"/>
      <c r="B5430" s="168"/>
      <c r="C5430" s="169"/>
      <c r="D5430" s="160"/>
      <c r="E5430" s="161"/>
      <c r="F5430" s="162"/>
      <c r="G5430" s="163"/>
      <c r="H5430" s="164"/>
      <c r="I5430" s="163"/>
      <c r="J5430" s="164"/>
      <c r="K5430" s="163"/>
      <c r="L5430" s="164"/>
      <c r="M5430" s="11"/>
      <c r="N5430" s="39"/>
      <c r="Q5430" s="15" t="str">
        <f>+CONCATENATE(E5428,K5428)</f>
        <v/>
      </c>
      <c r="R5430" s="15">
        <f>+L5428</f>
        <v>0</v>
      </c>
      <c r="S5430" s="16"/>
      <c r="T5430" s="15">
        <f>+E5428</f>
        <v>0</v>
      </c>
      <c r="U5430" s="26" t="str">
        <f>IFERROR(LEFT(K5428,FIND("*",K5428)-1),"-")</f>
        <v>-</v>
      </c>
      <c r="V5430" s="26" t="str">
        <f>IFERROR(RIGHT(K5428,LEN(K5428)-FIND("*",K5428)),"-")</f>
        <v>-</v>
      </c>
      <c r="W5430" s="27" t="str">
        <f t="shared" si="2956"/>
        <v>-</v>
      </c>
      <c r="X5430" s="27" t="str">
        <f>IFERROR(W5430*L5428,"-")</f>
        <v>-</v>
      </c>
      <c r="Z5430" s="94" t="s">
        <v>82</v>
      </c>
    </row>
    <row r="5431" spans="1:26" s="25" customFormat="1" ht="6.95" customHeight="1" x14ac:dyDescent="0.3">
      <c r="A5431" s="13"/>
      <c r="B5431" s="168"/>
      <c r="C5431" s="169"/>
      <c r="D5431" s="160" t="s">
        <v>39</v>
      </c>
      <c r="E5431" s="161"/>
      <c r="F5431" s="162" t="s">
        <v>40</v>
      </c>
      <c r="G5431" s="163"/>
      <c r="H5431" s="164"/>
      <c r="I5431" s="163"/>
      <c r="J5431" s="164"/>
      <c r="K5431" s="163"/>
      <c r="L5431" s="164"/>
      <c r="M5431" s="11"/>
      <c r="N5431" s="39"/>
      <c r="Q5431" s="15" t="str">
        <f>+CONCATENATE(E5431,G5431)</f>
        <v/>
      </c>
      <c r="R5431" s="15">
        <f>+H5431</f>
        <v>0</v>
      </c>
      <c r="S5431" s="16"/>
      <c r="T5431" s="15">
        <f>+E5431</f>
        <v>0</v>
      </c>
      <c r="U5431" s="26" t="str">
        <f t="shared" ref="U5431" si="2959">IFERROR(LEFT(G5431,FIND("*",G5431)-1),"-")</f>
        <v>-</v>
      </c>
      <c r="V5431" s="26" t="str">
        <f t="shared" ref="V5431" si="2960">IFERROR(RIGHT(G5431,LEN(G5431)-FIND("*",G5431)),"-")</f>
        <v>-</v>
      </c>
      <c r="W5431" s="27" t="str">
        <f t="shared" si="2956"/>
        <v>-</v>
      </c>
      <c r="X5431" s="27" t="str">
        <f>IFERROR(W5431*H5431,"-")</f>
        <v>-</v>
      </c>
      <c r="Z5431" s="94" t="s">
        <v>82</v>
      </c>
    </row>
    <row r="5432" spans="1:26" s="25" customFormat="1" ht="6.95" customHeight="1" x14ac:dyDescent="0.3">
      <c r="A5432" s="10"/>
      <c r="B5432" s="168"/>
      <c r="C5432" s="169"/>
      <c r="D5432" s="160"/>
      <c r="E5432" s="161"/>
      <c r="F5432" s="162"/>
      <c r="G5432" s="163"/>
      <c r="H5432" s="164"/>
      <c r="I5432" s="163"/>
      <c r="J5432" s="164"/>
      <c r="K5432" s="163"/>
      <c r="L5432" s="164"/>
      <c r="M5432" s="11"/>
      <c r="N5432" s="39"/>
      <c r="Q5432" s="15" t="str">
        <f>+CONCATENATE(E5431,I5431)</f>
        <v/>
      </c>
      <c r="R5432" s="15">
        <f>+J5431</f>
        <v>0</v>
      </c>
      <c r="S5432" s="16"/>
      <c r="T5432" s="15">
        <f>+E5431</f>
        <v>0</v>
      </c>
      <c r="U5432" s="26" t="str">
        <f>IFERROR(LEFT(I5431,FIND("*",I5431)-1),"-")</f>
        <v>-</v>
      </c>
      <c r="V5432" s="26" t="str">
        <f>IFERROR(RIGHT(I5431,LEN(I5431)-FIND("*",I5431)),"-")</f>
        <v>-</v>
      </c>
      <c r="W5432" s="27" t="str">
        <f t="shared" si="2956"/>
        <v>-</v>
      </c>
      <c r="X5432" s="27" t="str">
        <f t="shared" ref="X5432" si="2961">IFERROR(W5432*J5431,"-")</f>
        <v>-</v>
      </c>
      <c r="Z5432" s="94" t="s">
        <v>82</v>
      </c>
    </row>
    <row r="5433" spans="1:26" s="25" customFormat="1" ht="6.95" customHeight="1" x14ac:dyDescent="0.3">
      <c r="A5433" s="10"/>
      <c r="B5433" s="168"/>
      <c r="C5433" s="169"/>
      <c r="D5433" s="160"/>
      <c r="E5433" s="161"/>
      <c r="F5433" s="162"/>
      <c r="G5433" s="163"/>
      <c r="H5433" s="164"/>
      <c r="I5433" s="163"/>
      <c r="J5433" s="164"/>
      <c r="K5433" s="163"/>
      <c r="L5433" s="164"/>
      <c r="M5433" s="11"/>
      <c r="N5433" s="39"/>
      <c r="Q5433" s="15" t="str">
        <f>+CONCATENATE(E5431,K5431)</f>
        <v/>
      </c>
      <c r="R5433" s="15">
        <f>+L5431</f>
        <v>0</v>
      </c>
      <c r="S5433" s="16"/>
      <c r="T5433" s="15">
        <f>+E5431</f>
        <v>0</v>
      </c>
      <c r="U5433" s="26" t="str">
        <f>IFERROR(LEFT(K5431,FIND("*",K5431)-1),"-")</f>
        <v>-</v>
      </c>
      <c r="V5433" s="26" t="str">
        <f>IFERROR(RIGHT(K5431,LEN(K5431)-FIND("*",K5431)),"-")</f>
        <v>-</v>
      </c>
      <c r="W5433" s="27" t="str">
        <f t="shared" si="2956"/>
        <v>-</v>
      </c>
      <c r="X5433" s="27" t="str">
        <f>IFERROR(W5433*L5431,"-")</f>
        <v>-</v>
      </c>
      <c r="Z5433" s="94" t="s">
        <v>82</v>
      </c>
    </row>
    <row r="5434" spans="1:26" s="25" customFormat="1" ht="21" customHeight="1" thickBot="1" x14ac:dyDescent="0.35">
      <c r="A5434" s="10"/>
      <c r="B5434" s="170"/>
      <c r="C5434" s="171"/>
      <c r="D5434" s="172" t="s">
        <v>43</v>
      </c>
      <c r="E5434" s="173"/>
      <c r="F5434" s="173"/>
      <c r="G5434" s="174"/>
      <c r="H5434" s="174"/>
      <c r="I5434" s="174"/>
      <c r="J5434" s="174"/>
      <c r="K5434" s="174"/>
      <c r="L5434" s="174"/>
      <c r="M5434" s="12"/>
      <c r="N5434" s="39"/>
      <c r="U5434" s="23"/>
      <c r="V5434" s="23"/>
      <c r="Z5434" s="95" t="s">
        <v>81</v>
      </c>
    </row>
    <row r="5435" spans="1:26" s="25" customFormat="1" ht="9.9499999999999993" customHeight="1" thickBot="1" x14ac:dyDescent="0.35">
      <c r="A5435" s="6"/>
      <c r="B5435" s="14"/>
      <c r="C5435" s="119"/>
      <c r="D5435" s="58"/>
      <c r="E5435" s="17"/>
      <c r="F5435" s="58"/>
      <c r="G5435" s="19"/>
      <c r="H5435" s="19"/>
      <c r="I5435" s="19"/>
      <c r="J5435" s="19"/>
      <c r="K5435" s="19"/>
      <c r="L5435" s="19"/>
      <c r="M5435" s="14"/>
      <c r="N5435" s="39"/>
      <c r="Q5435" s="1"/>
      <c r="R5435" s="1"/>
      <c r="S5435" s="1"/>
      <c r="T5435" s="1"/>
      <c r="U5435" s="24"/>
      <c r="V5435" s="24"/>
      <c r="W5435" s="1"/>
      <c r="X5435" s="1"/>
      <c r="Z5435" s="94" t="s">
        <v>82</v>
      </c>
    </row>
    <row r="5436" spans="1:26" s="25" customFormat="1" ht="6.95" customHeight="1" x14ac:dyDescent="0.3">
      <c r="A5436" s="165">
        <f>+A5425+1</f>
        <v>495</v>
      </c>
      <c r="B5436" s="166"/>
      <c r="C5436" s="167"/>
      <c r="D5436" s="160" t="s">
        <v>39</v>
      </c>
      <c r="E5436" s="161"/>
      <c r="F5436" s="162" t="s">
        <v>40</v>
      </c>
      <c r="G5436" s="163"/>
      <c r="H5436" s="164"/>
      <c r="I5436" s="163"/>
      <c r="J5436" s="164"/>
      <c r="K5436" s="163"/>
      <c r="L5436" s="164"/>
      <c r="M5436" s="11"/>
      <c r="N5436" s="39"/>
      <c r="Q5436" s="15" t="str">
        <f>+CONCATENATE(E5436,G5436)</f>
        <v/>
      </c>
      <c r="R5436" s="15">
        <f>+H5436</f>
        <v>0</v>
      </c>
      <c r="S5436" s="16"/>
      <c r="T5436" s="15">
        <f>+E5436</f>
        <v>0</v>
      </c>
      <c r="U5436" s="26" t="str">
        <f>IFERROR(LEFT(G5436,FIND("*",G5436)-1),"-")</f>
        <v>-</v>
      </c>
      <c r="V5436" s="26" t="str">
        <f>IFERROR(RIGHT(G5436,LEN(G5436)-FIND("*",G5436)),"-")</f>
        <v>-</v>
      </c>
      <c r="W5436" s="27" t="str">
        <f>IFERROR((U5436+V5436)*2/1000,"-")</f>
        <v>-</v>
      </c>
      <c r="X5436" s="27" t="str">
        <f>IFERROR(W5436*H5436,"-")</f>
        <v>-</v>
      </c>
      <c r="Z5436" s="94" t="s">
        <v>82</v>
      </c>
    </row>
    <row r="5437" spans="1:26" s="25" customFormat="1" ht="6.95" customHeight="1" x14ac:dyDescent="0.3">
      <c r="A5437" s="165"/>
      <c r="B5437" s="168"/>
      <c r="C5437" s="169"/>
      <c r="D5437" s="160"/>
      <c r="E5437" s="161"/>
      <c r="F5437" s="162"/>
      <c r="G5437" s="163"/>
      <c r="H5437" s="164"/>
      <c r="I5437" s="163"/>
      <c r="J5437" s="164"/>
      <c r="K5437" s="163"/>
      <c r="L5437" s="164"/>
      <c r="M5437" s="11"/>
      <c r="N5437" s="39"/>
      <c r="Q5437" s="15" t="str">
        <f>+CONCATENATE(E5436,I5436)</f>
        <v/>
      </c>
      <c r="R5437" s="15">
        <f>+J5436</f>
        <v>0</v>
      </c>
      <c r="S5437" s="16"/>
      <c r="T5437" s="15">
        <f>+E5436</f>
        <v>0</v>
      </c>
      <c r="U5437" s="26" t="str">
        <f>IFERROR(LEFT(I5436,FIND("*",I5436)-1),"-")</f>
        <v>-</v>
      </c>
      <c r="V5437" s="26" t="str">
        <f>IFERROR(RIGHT(I5436,LEN(I5436)-FIND("*",I5436)),"-")</f>
        <v>-</v>
      </c>
      <c r="W5437" s="27" t="str">
        <f t="shared" ref="W5437:W5444" si="2962">IFERROR((U5437+V5437)*2/1000,"-")</f>
        <v>-</v>
      </c>
      <c r="X5437" s="27" t="str">
        <f>IFERROR(W5437*J5436,"-")</f>
        <v>-</v>
      </c>
      <c r="Z5437" s="94" t="s">
        <v>82</v>
      </c>
    </row>
    <row r="5438" spans="1:26" s="25" customFormat="1" ht="6.95" customHeight="1" x14ac:dyDescent="0.3">
      <c r="A5438" s="165"/>
      <c r="B5438" s="168"/>
      <c r="C5438" s="169"/>
      <c r="D5438" s="160"/>
      <c r="E5438" s="161"/>
      <c r="F5438" s="162"/>
      <c r="G5438" s="163"/>
      <c r="H5438" s="164"/>
      <c r="I5438" s="163"/>
      <c r="J5438" s="164"/>
      <c r="K5438" s="163"/>
      <c r="L5438" s="164"/>
      <c r="M5438" s="11"/>
      <c r="N5438" s="39"/>
      <c r="Q5438" s="15" t="str">
        <f>+CONCATENATE(E5436,K5436)</f>
        <v/>
      </c>
      <c r="R5438" s="15">
        <f>+L5436</f>
        <v>0</v>
      </c>
      <c r="S5438" s="16"/>
      <c r="T5438" s="15">
        <f>+E5436</f>
        <v>0</v>
      </c>
      <c r="U5438" s="26" t="str">
        <f>IFERROR(LEFT(K5436,FIND("*",K5436)-1),"-")</f>
        <v>-</v>
      </c>
      <c r="V5438" s="26" t="str">
        <f>IFERROR(RIGHT(K5436,LEN(K5436)-FIND("*",K5436)),"-")</f>
        <v>-</v>
      </c>
      <c r="W5438" s="27" t="str">
        <f t="shared" si="2962"/>
        <v>-</v>
      </c>
      <c r="X5438" s="27" t="str">
        <f>IFERROR(W5438*L5436,"-")</f>
        <v>-</v>
      </c>
      <c r="Z5438" s="94" t="s">
        <v>82</v>
      </c>
    </row>
    <row r="5439" spans="1:26" s="25" customFormat="1" ht="6.95" customHeight="1" x14ac:dyDescent="0.3">
      <c r="A5439" s="13"/>
      <c r="B5439" s="168"/>
      <c r="C5439" s="169"/>
      <c r="D5439" s="160" t="s">
        <v>39</v>
      </c>
      <c r="E5439" s="161"/>
      <c r="F5439" s="162" t="s">
        <v>40</v>
      </c>
      <c r="G5439" s="163"/>
      <c r="H5439" s="164"/>
      <c r="I5439" s="163"/>
      <c r="J5439" s="164"/>
      <c r="K5439" s="163"/>
      <c r="L5439" s="164"/>
      <c r="M5439" s="11"/>
      <c r="N5439" s="39"/>
      <c r="Q5439" s="15" t="str">
        <f>+CONCATENATE(E5439,G5439)</f>
        <v/>
      </c>
      <c r="R5439" s="15">
        <f>+H5439</f>
        <v>0</v>
      </c>
      <c r="S5439" s="16"/>
      <c r="T5439" s="15">
        <f>+E5439</f>
        <v>0</v>
      </c>
      <c r="U5439" s="26" t="str">
        <f t="shared" ref="U5439" si="2963">IFERROR(LEFT(G5439,FIND("*",G5439)-1),"-")</f>
        <v>-</v>
      </c>
      <c r="V5439" s="26" t="str">
        <f t="shared" ref="V5439" si="2964">IFERROR(RIGHT(G5439,LEN(G5439)-FIND("*",G5439)),"-")</f>
        <v>-</v>
      </c>
      <c r="W5439" s="27" t="str">
        <f t="shared" si="2962"/>
        <v>-</v>
      </c>
      <c r="X5439" s="27" t="str">
        <f>IFERROR(W5439*H5439,"-")</f>
        <v>-</v>
      </c>
      <c r="Z5439" s="94" t="s">
        <v>82</v>
      </c>
    </row>
    <row r="5440" spans="1:26" s="25" customFormat="1" ht="6.95" customHeight="1" x14ac:dyDescent="0.3">
      <c r="A5440" s="10"/>
      <c r="B5440" s="168"/>
      <c r="C5440" s="169"/>
      <c r="D5440" s="160"/>
      <c r="E5440" s="161"/>
      <c r="F5440" s="162"/>
      <c r="G5440" s="163"/>
      <c r="H5440" s="164"/>
      <c r="I5440" s="163"/>
      <c r="J5440" s="164"/>
      <c r="K5440" s="163"/>
      <c r="L5440" s="164"/>
      <c r="M5440" s="11"/>
      <c r="N5440" s="39"/>
      <c r="Q5440" s="15" t="str">
        <f>+CONCATENATE(E5439,I5439)</f>
        <v/>
      </c>
      <c r="R5440" s="15">
        <f>+J5439</f>
        <v>0</v>
      </c>
      <c r="S5440" s="16"/>
      <c r="T5440" s="15">
        <f>+E5439</f>
        <v>0</v>
      </c>
      <c r="U5440" s="26" t="str">
        <f>IFERROR(LEFT(I5439,FIND("*",I5439)-1),"-")</f>
        <v>-</v>
      </c>
      <c r="V5440" s="26" t="str">
        <f>IFERROR(RIGHT(I5439,LEN(I5439)-FIND("*",I5439)),"-")</f>
        <v>-</v>
      </c>
      <c r="W5440" s="27" t="str">
        <f t="shared" si="2962"/>
        <v>-</v>
      </c>
      <c r="X5440" s="27" t="str">
        <f>IFERROR(W5440*J5439,"-")</f>
        <v>-</v>
      </c>
      <c r="Z5440" s="94" t="s">
        <v>82</v>
      </c>
    </row>
    <row r="5441" spans="1:26" s="25" customFormat="1" ht="6.95" customHeight="1" x14ac:dyDescent="0.3">
      <c r="A5441" s="10"/>
      <c r="B5441" s="168"/>
      <c r="C5441" s="169"/>
      <c r="D5441" s="160"/>
      <c r="E5441" s="161"/>
      <c r="F5441" s="162"/>
      <c r="G5441" s="163"/>
      <c r="H5441" s="164"/>
      <c r="I5441" s="163"/>
      <c r="J5441" s="164"/>
      <c r="K5441" s="163"/>
      <c r="L5441" s="164"/>
      <c r="M5441" s="11"/>
      <c r="N5441" s="39"/>
      <c r="Q5441" s="15" t="str">
        <f>+CONCATENATE(E5439,K5439)</f>
        <v/>
      </c>
      <c r="R5441" s="15">
        <f>+L5439</f>
        <v>0</v>
      </c>
      <c r="S5441" s="16"/>
      <c r="T5441" s="15">
        <f>+E5439</f>
        <v>0</v>
      </c>
      <c r="U5441" s="26" t="str">
        <f>IFERROR(LEFT(K5439,FIND("*",K5439)-1),"-")</f>
        <v>-</v>
      </c>
      <c r="V5441" s="26" t="str">
        <f>IFERROR(RIGHT(K5439,LEN(K5439)-FIND("*",K5439)),"-")</f>
        <v>-</v>
      </c>
      <c r="W5441" s="27" t="str">
        <f t="shared" si="2962"/>
        <v>-</v>
      </c>
      <c r="X5441" s="27" t="str">
        <f>IFERROR(W5441*L5439,"-")</f>
        <v>-</v>
      </c>
      <c r="Z5441" s="94" t="s">
        <v>82</v>
      </c>
    </row>
    <row r="5442" spans="1:26" s="25" customFormat="1" ht="6.95" customHeight="1" x14ac:dyDescent="0.3">
      <c r="A5442" s="13"/>
      <c r="B5442" s="168"/>
      <c r="C5442" s="169"/>
      <c r="D5442" s="160" t="s">
        <v>39</v>
      </c>
      <c r="E5442" s="161"/>
      <c r="F5442" s="162" t="s">
        <v>40</v>
      </c>
      <c r="G5442" s="163"/>
      <c r="H5442" s="164"/>
      <c r="I5442" s="163"/>
      <c r="J5442" s="164"/>
      <c r="K5442" s="163"/>
      <c r="L5442" s="164"/>
      <c r="M5442" s="11"/>
      <c r="N5442" s="39"/>
      <c r="Q5442" s="15" t="str">
        <f>+CONCATENATE(E5442,G5442)</f>
        <v/>
      </c>
      <c r="R5442" s="15">
        <f>+H5442</f>
        <v>0</v>
      </c>
      <c r="S5442" s="16"/>
      <c r="T5442" s="15">
        <f>+E5442</f>
        <v>0</v>
      </c>
      <c r="U5442" s="26" t="str">
        <f t="shared" ref="U5442" si="2965">IFERROR(LEFT(G5442,FIND("*",G5442)-1),"-")</f>
        <v>-</v>
      </c>
      <c r="V5442" s="26" t="str">
        <f t="shared" ref="V5442" si="2966">IFERROR(RIGHT(G5442,LEN(G5442)-FIND("*",G5442)),"-")</f>
        <v>-</v>
      </c>
      <c r="W5442" s="27" t="str">
        <f t="shared" si="2962"/>
        <v>-</v>
      </c>
      <c r="X5442" s="27" t="str">
        <f>IFERROR(W5442*H5442,"-")</f>
        <v>-</v>
      </c>
      <c r="Z5442" s="94" t="s">
        <v>82</v>
      </c>
    </row>
    <row r="5443" spans="1:26" s="25" customFormat="1" ht="6.95" customHeight="1" x14ac:dyDescent="0.3">
      <c r="A5443" s="10"/>
      <c r="B5443" s="168"/>
      <c r="C5443" s="169"/>
      <c r="D5443" s="160"/>
      <c r="E5443" s="161"/>
      <c r="F5443" s="162"/>
      <c r="G5443" s="163"/>
      <c r="H5443" s="164"/>
      <c r="I5443" s="163"/>
      <c r="J5443" s="164"/>
      <c r="K5443" s="163"/>
      <c r="L5443" s="164"/>
      <c r="M5443" s="11"/>
      <c r="N5443" s="39"/>
      <c r="Q5443" s="15" t="str">
        <f>+CONCATENATE(E5442,I5442)</f>
        <v/>
      </c>
      <c r="R5443" s="15">
        <f>+J5442</f>
        <v>0</v>
      </c>
      <c r="S5443" s="16"/>
      <c r="T5443" s="15">
        <f>+E5442</f>
        <v>0</v>
      </c>
      <c r="U5443" s="26" t="str">
        <f>IFERROR(LEFT(I5442,FIND("*",I5442)-1),"-")</f>
        <v>-</v>
      </c>
      <c r="V5443" s="26" t="str">
        <f>IFERROR(RIGHT(I5442,LEN(I5442)-FIND("*",I5442)),"-")</f>
        <v>-</v>
      </c>
      <c r="W5443" s="27" t="str">
        <f t="shared" si="2962"/>
        <v>-</v>
      </c>
      <c r="X5443" s="27" t="str">
        <f t="shared" ref="X5443" si="2967">IFERROR(W5443*J5442,"-")</f>
        <v>-</v>
      </c>
      <c r="Z5443" s="94" t="s">
        <v>82</v>
      </c>
    </row>
    <row r="5444" spans="1:26" s="25" customFormat="1" ht="6.95" customHeight="1" x14ac:dyDescent="0.3">
      <c r="A5444" s="10"/>
      <c r="B5444" s="168"/>
      <c r="C5444" s="169"/>
      <c r="D5444" s="160"/>
      <c r="E5444" s="161"/>
      <c r="F5444" s="162"/>
      <c r="G5444" s="163"/>
      <c r="H5444" s="164"/>
      <c r="I5444" s="163"/>
      <c r="J5444" s="164"/>
      <c r="K5444" s="163"/>
      <c r="L5444" s="164"/>
      <c r="M5444" s="11"/>
      <c r="N5444" s="39"/>
      <c r="Q5444" s="15" t="str">
        <f>+CONCATENATE(E5442,K5442)</f>
        <v/>
      </c>
      <c r="R5444" s="15">
        <f>+L5442</f>
        <v>0</v>
      </c>
      <c r="S5444" s="16"/>
      <c r="T5444" s="15">
        <f>+E5442</f>
        <v>0</v>
      </c>
      <c r="U5444" s="26" t="str">
        <f>IFERROR(LEFT(K5442,FIND("*",K5442)-1),"-")</f>
        <v>-</v>
      </c>
      <c r="V5444" s="26" t="str">
        <f>IFERROR(RIGHT(K5442,LEN(K5442)-FIND("*",K5442)),"-")</f>
        <v>-</v>
      </c>
      <c r="W5444" s="27" t="str">
        <f t="shared" si="2962"/>
        <v>-</v>
      </c>
      <c r="X5444" s="27" t="str">
        <f>IFERROR(W5444*L5442,"-")</f>
        <v>-</v>
      </c>
      <c r="Z5444" s="94" t="s">
        <v>82</v>
      </c>
    </row>
    <row r="5445" spans="1:26" s="25" customFormat="1" ht="21" customHeight="1" thickBot="1" x14ac:dyDescent="0.35">
      <c r="A5445" s="10"/>
      <c r="B5445" s="170"/>
      <c r="C5445" s="171"/>
      <c r="D5445" s="172" t="s">
        <v>43</v>
      </c>
      <c r="E5445" s="173"/>
      <c r="F5445" s="173"/>
      <c r="G5445" s="174"/>
      <c r="H5445" s="174"/>
      <c r="I5445" s="174"/>
      <c r="J5445" s="174"/>
      <c r="K5445" s="174"/>
      <c r="L5445" s="174"/>
      <c r="M5445" s="12"/>
      <c r="N5445" s="39"/>
      <c r="U5445" s="23"/>
      <c r="V5445" s="23"/>
      <c r="Z5445" s="95" t="s">
        <v>81</v>
      </c>
    </row>
    <row r="5446" spans="1:26" s="25" customFormat="1" ht="9.9499999999999993" customHeight="1" thickBot="1" x14ac:dyDescent="0.35">
      <c r="A5446" s="6"/>
      <c r="B5446" s="14"/>
      <c r="C5446" s="119"/>
      <c r="D5446" s="58"/>
      <c r="E5446" s="17"/>
      <c r="F5446" s="58"/>
      <c r="G5446" s="19"/>
      <c r="H5446" s="19"/>
      <c r="I5446" s="19"/>
      <c r="J5446" s="19"/>
      <c r="K5446" s="19"/>
      <c r="L5446" s="19"/>
      <c r="M5446" s="14"/>
      <c r="N5446" s="39"/>
      <c r="Q5446" s="1"/>
      <c r="R5446" s="1"/>
      <c r="S5446" s="1"/>
      <c r="T5446" s="1"/>
      <c r="U5446" s="24"/>
      <c r="V5446" s="24"/>
      <c r="W5446" s="1"/>
      <c r="X5446" s="1"/>
      <c r="Z5446" s="94" t="s">
        <v>82</v>
      </c>
    </row>
    <row r="5447" spans="1:26" s="25" customFormat="1" ht="6.95" customHeight="1" x14ac:dyDescent="0.3">
      <c r="A5447" s="165">
        <f>+A5436+1</f>
        <v>496</v>
      </c>
      <c r="B5447" s="166"/>
      <c r="C5447" s="167"/>
      <c r="D5447" s="160" t="s">
        <v>39</v>
      </c>
      <c r="E5447" s="161"/>
      <c r="F5447" s="162" t="s">
        <v>40</v>
      </c>
      <c r="G5447" s="163"/>
      <c r="H5447" s="164"/>
      <c r="I5447" s="163"/>
      <c r="J5447" s="164"/>
      <c r="K5447" s="163"/>
      <c r="L5447" s="164"/>
      <c r="M5447" s="11"/>
      <c r="N5447" s="39"/>
      <c r="Q5447" s="15" t="str">
        <f>+CONCATENATE(E5447,G5447)</f>
        <v/>
      </c>
      <c r="R5447" s="15">
        <f>+H5447</f>
        <v>0</v>
      </c>
      <c r="S5447" s="16"/>
      <c r="T5447" s="15">
        <f>+E5447</f>
        <v>0</v>
      </c>
      <c r="U5447" s="26" t="str">
        <f>IFERROR(LEFT(G5447,FIND("*",G5447)-1),"-")</f>
        <v>-</v>
      </c>
      <c r="V5447" s="26" t="str">
        <f>IFERROR(RIGHT(G5447,LEN(G5447)-FIND("*",G5447)),"-")</f>
        <v>-</v>
      </c>
      <c r="W5447" s="27" t="str">
        <f>IFERROR((U5447+V5447)*2/1000,"-")</f>
        <v>-</v>
      </c>
      <c r="X5447" s="27" t="str">
        <f>IFERROR(W5447*H5447,"-")</f>
        <v>-</v>
      </c>
      <c r="Z5447" s="94" t="s">
        <v>82</v>
      </c>
    </row>
    <row r="5448" spans="1:26" s="25" customFormat="1" ht="6.95" customHeight="1" x14ac:dyDescent="0.3">
      <c r="A5448" s="165"/>
      <c r="B5448" s="168"/>
      <c r="C5448" s="169"/>
      <c r="D5448" s="160"/>
      <c r="E5448" s="161"/>
      <c r="F5448" s="162"/>
      <c r="G5448" s="163"/>
      <c r="H5448" s="164"/>
      <c r="I5448" s="163"/>
      <c r="J5448" s="164"/>
      <c r="K5448" s="163"/>
      <c r="L5448" s="164"/>
      <c r="M5448" s="11"/>
      <c r="N5448" s="39"/>
      <c r="Q5448" s="15" t="str">
        <f>+CONCATENATE(E5447,I5447)</f>
        <v/>
      </c>
      <c r="R5448" s="15">
        <f>+J5447</f>
        <v>0</v>
      </c>
      <c r="S5448" s="16"/>
      <c r="T5448" s="15">
        <f>+E5447</f>
        <v>0</v>
      </c>
      <c r="U5448" s="26" t="str">
        <f>IFERROR(LEFT(I5447,FIND("*",I5447)-1),"-")</f>
        <v>-</v>
      </c>
      <c r="V5448" s="26" t="str">
        <f>IFERROR(RIGHT(I5447,LEN(I5447)-FIND("*",I5447)),"-")</f>
        <v>-</v>
      </c>
      <c r="W5448" s="27" t="str">
        <f t="shared" ref="W5448:W5455" si="2968">IFERROR((U5448+V5448)*2/1000,"-")</f>
        <v>-</v>
      </c>
      <c r="X5448" s="27" t="str">
        <f>IFERROR(W5448*J5447,"-")</f>
        <v>-</v>
      </c>
      <c r="Z5448" s="94" t="s">
        <v>82</v>
      </c>
    </row>
    <row r="5449" spans="1:26" s="25" customFormat="1" ht="6.95" customHeight="1" x14ac:dyDescent="0.3">
      <c r="A5449" s="165"/>
      <c r="B5449" s="168"/>
      <c r="C5449" s="169"/>
      <c r="D5449" s="160"/>
      <c r="E5449" s="161"/>
      <c r="F5449" s="162"/>
      <c r="G5449" s="163"/>
      <c r="H5449" s="164"/>
      <c r="I5449" s="163"/>
      <c r="J5449" s="164"/>
      <c r="K5449" s="163"/>
      <c r="L5449" s="164"/>
      <c r="M5449" s="11"/>
      <c r="N5449" s="39"/>
      <c r="Q5449" s="15" t="str">
        <f>+CONCATENATE(E5447,K5447)</f>
        <v/>
      </c>
      <c r="R5449" s="15">
        <f>+L5447</f>
        <v>0</v>
      </c>
      <c r="S5449" s="16"/>
      <c r="T5449" s="15">
        <f>+E5447</f>
        <v>0</v>
      </c>
      <c r="U5449" s="26" t="str">
        <f>IFERROR(LEFT(K5447,FIND("*",K5447)-1),"-")</f>
        <v>-</v>
      </c>
      <c r="V5449" s="26" t="str">
        <f>IFERROR(RIGHT(K5447,LEN(K5447)-FIND("*",K5447)),"-")</f>
        <v>-</v>
      </c>
      <c r="W5449" s="27" t="str">
        <f t="shared" si="2968"/>
        <v>-</v>
      </c>
      <c r="X5449" s="27" t="str">
        <f>IFERROR(W5449*L5447,"-")</f>
        <v>-</v>
      </c>
      <c r="Z5449" s="94" t="s">
        <v>82</v>
      </c>
    </row>
    <row r="5450" spans="1:26" s="25" customFormat="1" ht="6.95" customHeight="1" x14ac:dyDescent="0.3">
      <c r="A5450" s="13"/>
      <c r="B5450" s="168"/>
      <c r="C5450" s="169"/>
      <c r="D5450" s="160" t="s">
        <v>39</v>
      </c>
      <c r="E5450" s="161"/>
      <c r="F5450" s="162" t="s">
        <v>40</v>
      </c>
      <c r="G5450" s="163"/>
      <c r="H5450" s="164"/>
      <c r="I5450" s="163"/>
      <c r="J5450" s="164"/>
      <c r="K5450" s="163"/>
      <c r="L5450" s="164"/>
      <c r="M5450" s="11"/>
      <c r="N5450" s="39"/>
      <c r="Q5450" s="15" t="str">
        <f>+CONCATENATE(E5450,G5450)</f>
        <v/>
      </c>
      <c r="R5450" s="15">
        <f>+H5450</f>
        <v>0</v>
      </c>
      <c r="S5450" s="16"/>
      <c r="T5450" s="15">
        <f>+E5450</f>
        <v>0</v>
      </c>
      <c r="U5450" s="26" t="str">
        <f t="shared" ref="U5450" si="2969">IFERROR(LEFT(G5450,FIND("*",G5450)-1),"-")</f>
        <v>-</v>
      </c>
      <c r="V5450" s="26" t="str">
        <f t="shared" ref="V5450" si="2970">IFERROR(RIGHT(G5450,LEN(G5450)-FIND("*",G5450)),"-")</f>
        <v>-</v>
      </c>
      <c r="W5450" s="27" t="str">
        <f t="shared" si="2968"/>
        <v>-</v>
      </c>
      <c r="X5450" s="27" t="str">
        <f>IFERROR(W5450*H5450,"-")</f>
        <v>-</v>
      </c>
      <c r="Z5450" s="94" t="s">
        <v>82</v>
      </c>
    </row>
    <row r="5451" spans="1:26" s="25" customFormat="1" ht="6.95" customHeight="1" x14ac:dyDescent="0.3">
      <c r="A5451" s="10"/>
      <c r="B5451" s="168"/>
      <c r="C5451" s="169"/>
      <c r="D5451" s="160"/>
      <c r="E5451" s="161"/>
      <c r="F5451" s="162"/>
      <c r="G5451" s="163"/>
      <c r="H5451" s="164"/>
      <c r="I5451" s="163"/>
      <c r="J5451" s="164"/>
      <c r="K5451" s="163"/>
      <c r="L5451" s="164"/>
      <c r="M5451" s="11"/>
      <c r="N5451" s="39"/>
      <c r="Q5451" s="15" t="str">
        <f>+CONCATENATE(E5450,I5450)</f>
        <v/>
      </c>
      <c r="R5451" s="15">
        <f>+J5450</f>
        <v>0</v>
      </c>
      <c r="S5451" s="16"/>
      <c r="T5451" s="15">
        <f>+E5450</f>
        <v>0</v>
      </c>
      <c r="U5451" s="26" t="str">
        <f>IFERROR(LEFT(I5450,FIND("*",I5450)-1),"-")</f>
        <v>-</v>
      </c>
      <c r="V5451" s="26" t="str">
        <f>IFERROR(RIGHT(I5450,LEN(I5450)-FIND("*",I5450)),"-")</f>
        <v>-</v>
      </c>
      <c r="W5451" s="27" t="str">
        <f t="shared" si="2968"/>
        <v>-</v>
      </c>
      <c r="X5451" s="27" t="str">
        <f>IFERROR(W5451*J5450,"-")</f>
        <v>-</v>
      </c>
      <c r="Z5451" s="94" t="s">
        <v>82</v>
      </c>
    </row>
    <row r="5452" spans="1:26" s="25" customFormat="1" ht="6.95" customHeight="1" x14ac:dyDescent="0.3">
      <c r="A5452" s="10"/>
      <c r="B5452" s="168"/>
      <c r="C5452" s="169"/>
      <c r="D5452" s="160"/>
      <c r="E5452" s="161"/>
      <c r="F5452" s="162"/>
      <c r="G5452" s="163"/>
      <c r="H5452" s="164"/>
      <c r="I5452" s="163"/>
      <c r="J5452" s="164"/>
      <c r="K5452" s="163"/>
      <c r="L5452" s="164"/>
      <c r="M5452" s="11"/>
      <c r="N5452" s="39"/>
      <c r="Q5452" s="15" t="str">
        <f>+CONCATENATE(E5450,K5450)</f>
        <v/>
      </c>
      <c r="R5452" s="15">
        <f>+L5450</f>
        <v>0</v>
      </c>
      <c r="S5452" s="16"/>
      <c r="T5452" s="15">
        <f>+E5450</f>
        <v>0</v>
      </c>
      <c r="U5452" s="26" t="str">
        <f>IFERROR(LEFT(K5450,FIND("*",K5450)-1),"-")</f>
        <v>-</v>
      </c>
      <c r="V5452" s="26" t="str">
        <f>IFERROR(RIGHT(K5450,LEN(K5450)-FIND("*",K5450)),"-")</f>
        <v>-</v>
      </c>
      <c r="W5452" s="27" t="str">
        <f t="shared" si="2968"/>
        <v>-</v>
      </c>
      <c r="X5452" s="27" t="str">
        <f>IFERROR(W5452*L5450,"-")</f>
        <v>-</v>
      </c>
      <c r="Z5452" s="94" t="s">
        <v>82</v>
      </c>
    </row>
    <row r="5453" spans="1:26" s="25" customFormat="1" ht="6.95" customHeight="1" x14ac:dyDescent="0.3">
      <c r="A5453" s="13"/>
      <c r="B5453" s="168"/>
      <c r="C5453" s="169"/>
      <c r="D5453" s="160" t="s">
        <v>39</v>
      </c>
      <c r="E5453" s="161"/>
      <c r="F5453" s="162" t="s">
        <v>40</v>
      </c>
      <c r="G5453" s="163"/>
      <c r="H5453" s="164"/>
      <c r="I5453" s="163"/>
      <c r="J5453" s="164"/>
      <c r="K5453" s="163"/>
      <c r="L5453" s="164"/>
      <c r="M5453" s="11"/>
      <c r="N5453" s="39"/>
      <c r="Q5453" s="15" t="str">
        <f>+CONCATENATE(E5453,G5453)</f>
        <v/>
      </c>
      <c r="R5453" s="15">
        <f>+H5453</f>
        <v>0</v>
      </c>
      <c r="S5453" s="16"/>
      <c r="T5453" s="15">
        <f>+E5453</f>
        <v>0</v>
      </c>
      <c r="U5453" s="26" t="str">
        <f t="shared" ref="U5453" si="2971">IFERROR(LEFT(G5453,FIND("*",G5453)-1),"-")</f>
        <v>-</v>
      </c>
      <c r="V5453" s="26" t="str">
        <f t="shared" ref="V5453" si="2972">IFERROR(RIGHT(G5453,LEN(G5453)-FIND("*",G5453)),"-")</f>
        <v>-</v>
      </c>
      <c r="W5453" s="27" t="str">
        <f t="shared" si="2968"/>
        <v>-</v>
      </c>
      <c r="X5453" s="27" t="str">
        <f>IFERROR(W5453*H5453,"-")</f>
        <v>-</v>
      </c>
      <c r="Z5453" s="94" t="s">
        <v>82</v>
      </c>
    </row>
    <row r="5454" spans="1:26" s="25" customFormat="1" ht="6.95" customHeight="1" x14ac:dyDescent="0.3">
      <c r="A5454" s="10"/>
      <c r="B5454" s="168"/>
      <c r="C5454" s="169"/>
      <c r="D5454" s="160"/>
      <c r="E5454" s="161"/>
      <c r="F5454" s="162"/>
      <c r="G5454" s="163"/>
      <c r="H5454" s="164"/>
      <c r="I5454" s="163"/>
      <c r="J5454" s="164"/>
      <c r="K5454" s="163"/>
      <c r="L5454" s="164"/>
      <c r="M5454" s="11"/>
      <c r="N5454" s="39"/>
      <c r="Q5454" s="15" t="str">
        <f>+CONCATENATE(E5453,I5453)</f>
        <v/>
      </c>
      <c r="R5454" s="15">
        <f>+J5453</f>
        <v>0</v>
      </c>
      <c r="S5454" s="16"/>
      <c r="T5454" s="15">
        <f>+E5453</f>
        <v>0</v>
      </c>
      <c r="U5454" s="26" t="str">
        <f>IFERROR(LEFT(I5453,FIND("*",I5453)-1),"-")</f>
        <v>-</v>
      </c>
      <c r="V5454" s="26" t="str">
        <f>IFERROR(RIGHT(I5453,LEN(I5453)-FIND("*",I5453)),"-")</f>
        <v>-</v>
      </c>
      <c r="W5454" s="27" t="str">
        <f t="shared" si="2968"/>
        <v>-</v>
      </c>
      <c r="X5454" s="27" t="str">
        <f t="shared" ref="X5454" si="2973">IFERROR(W5454*J5453,"-")</f>
        <v>-</v>
      </c>
      <c r="Z5454" s="94" t="s">
        <v>82</v>
      </c>
    </row>
    <row r="5455" spans="1:26" s="25" customFormat="1" ht="6.95" customHeight="1" x14ac:dyDescent="0.3">
      <c r="A5455" s="10"/>
      <c r="B5455" s="168"/>
      <c r="C5455" s="169"/>
      <c r="D5455" s="160"/>
      <c r="E5455" s="161"/>
      <c r="F5455" s="162"/>
      <c r="G5455" s="163"/>
      <c r="H5455" s="164"/>
      <c r="I5455" s="163"/>
      <c r="J5455" s="164"/>
      <c r="K5455" s="163"/>
      <c r="L5455" s="164"/>
      <c r="M5455" s="11"/>
      <c r="N5455" s="39"/>
      <c r="Q5455" s="15" t="str">
        <f>+CONCATENATE(E5453,K5453)</f>
        <v/>
      </c>
      <c r="R5455" s="15">
        <f>+L5453</f>
        <v>0</v>
      </c>
      <c r="S5455" s="16"/>
      <c r="T5455" s="15">
        <f>+E5453</f>
        <v>0</v>
      </c>
      <c r="U5455" s="26" t="str">
        <f>IFERROR(LEFT(K5453,FIND("*",K5453)-1),"-")</f>
        <v>-</v>
      </c>
      <c r="V5455" s="26" t="str">
        <f>IFERROR(RIGHT(K5453,LEN(K5453)-FIND("*",K5453)),"-")</f>
        <v>-</v>
      </c>
      <c r="W5455" s="27" t="str">
        <f t="shared" si="2968"/>
        <v>-</v>
      </c>
      <c r="X5455" s="27" t="str">
        <f>IFERROR(W5455*L5453,"-")</f>
        <v>-</v>
      </c>
      <c r="Z5455" s="94" t="s">
        <v>82</v>
      </c>
    </row>
    <row r="5456" spans="1:26" s="25" customFormat="1" ht="21" customHeight="1" thickBot="1" x14ac:dyDescent="0.35">
      <c r="A5456" s="10"/>
      <c r="B5456" s="170"/>
      <c r="C5456" s="171"/>
      <c r="D5456" s="172" t="s">
        <v>43</v>
      </c>
      <c r="E5456" s="173"/>
      <c r="F5456" s="173"/>
      <c r="G5456" s="174"/>
      <c r="H5456" s="174"/>
      <c r="I5456" s="174"/>
      <c r="J5456" s="174"/>
      <c r="K5456" s="174"/>
      <c r="L5456" s="174"/>
      <c r="M5456" s="12"/>
      <c r="N5456" s="39"/>
      <c r="U5456" s="23"/>
      <c r="V5456" s="23"/>
      <c r="Z5456" s="95" t="s">
        <v>81</v>
      </c>
    </row>
    <row r="5457" spans="1:26" s="25" customFormat="1" ht="9.9499999999999993" customHeight="1" thickBot="1" x14ac:dyDescent="0.35">
      <c r="A5457" s="6"/>
      <c r="B5457" s="14"/>
      <c r="C5457" s="119"/>
      <c r="D5457" s="58"/>
      <c r="E5457" s="17"/>
      <c r="F5457" s="58"/>
      <c r="G5457" s="19"/>
      <c r="H5457" s="19"/>
      <c r="I5457" s="19"/>
      <c r="J5457" s="19"/>
      <c r="K5457" s="19"/>
      <c r="L5457" s="19"/>
      <c r="M5457" s="14"/>
      <c r="N5457" s="39"/>
      <c r="Q5457" s="1"/>
      <c r="R5457" s="1"/>
      <c r="S5457" s="1"/>
      <c r="T5457" s="1"/>
      <c r="U5457" s="24"/>
      <c r="V5457" s="24"/>
      <c r="W5457" s="1"/>
      <c r="X5457" s="1"/>
      <c r="Z5457" s="94" t="s">
        <v>82</v>
      </c>
    </row>
    <row r="5458" spans="1:26" s="25" customFormat="1" ht="6.95" customHeight="1" x14ac:dyDescent="0.3">
      <c r="A5458" s="165">
        <f>+A5447+1</f>
        <v>497</v>
      </c>
      <c r="B5458" s="166"/>
      <c r="C5458" s="167"/>
      <c r="D5458" s="160" t="s">
        <v>39</v>
      </c>
      <c r="E5458" s="161"/>
      <c r="F5458" s="162" t="s">
        <v>40</v>
      </c>
      <c r="G5458" s="163"/>
      <c r="H5458" s="164"/>
      <c r="I5458" s="163"/>
      <c r="J5458" s="164"/>
      <c r="K5458" s="163"/>
      <c r="L5458" s="164"/>
      <c r="M5458" s="11"/>
      <c r="N5458" s="39"/>
      <c r="Q5458" s="15" t="str">
        <f>+CONCATENATE(E5458,G5458)</f>
        <v/>
      </c>
      <c r="R5458" s="15">
        <f>+H5458</f>
        <v>0</v>
      </c>
      <c r="S5458" s="16"/>
      <c r="T5458" s="15">
        <f>+E5458</f>
        <v>0</v>
      </c>
      <c r="U5458" s="26" t="str">
        <f>IFERROR(LEFT(G5458,FIND("*",G5458)-1),"-")</f>
        <v>-</v>
      </c>
      <c r="V5458" s="26" t="str">
        <f>IFERROR(RIGHT(G5458,LEN(G5458)-FIND("*",G5458)),"-")</f>
        <v>-</v>
      </c>
      <c r="W5458" s="27" t="str">
        <f>IFERROR((U5458+V5458)*2/1000,"-")</f>
        <v>-</v>
      </c>
      <c r="X5458" s="27" t="str">
        <f>IFERROR(W5458*H5458,"-")</f>
        <v>-</v>
      </c>
      <c r="Z5458" s="94" t="s">
        <v>82</v>
      </c>
    </row>
    <row r="5459" spans="1:26" s="25" customFormat="1" ht="6.95" customHeight="1" x14ac:dyDescent="0.3">
      <c r="A5459" s="165"/>
      <c r="B5459" s="168"/>
      <c r="C5459" s="169"/>
      <c r="D5459" s="160"/>
      <c r="E5459" s="161"/>
      <c r="F5459" s="162"/>
      <c r="G5459" s="163"/>
      <c r="H5459" s="164"/>
      <c r="I5459" s="163"/>
      <c r="J5459" s="164"/>
      <c r="K5459" s="163"/>
      <c r="L5459" s="164"/>
      <c r="M5459" s="11"/>
      <c r="N5459" s="39"/>
      <c r="Q5459" s="15" t="str">
        <f>+CONCATENATE(E5458,I5458)</f>
        <v/>
      </c>
      <c r="R5459" s="15">
        <f>+J5458</f>
        <v>0</v>
      </c>
      <c r="S5459" s="16"/>
      <c r="T5459" s="15">
        <f>+E5458</f>
        <v>0</v>
      </c>
      <c r="U5459" s="26" t="str">
        <f>IFERROR(LEFT(I5458,FIND("*",I5458)-1),"-")</f>
        <v>-</v>
      </c>
      <c r="V5459" s="26" t="str">
        <f>IFERROR(RIGHT(I5458,LEN(I5458)-FIND("*",I5458)),"-")</f>
        <v>-</v>
      </c>
      <c r="W5459" s="27" t="str">
        <f t="shared" ref="W5459:W5466" si="2974">IFERROR((U5459+V5459)*2/1000,"-")</f>
        <v>-</v>
      </c>
      <c r="X5459" s="27" t="str">
        <f>IFERROR(W5459*J5458,"-")</f>
        <v>-</v>
      </c>
      <c r="Z5459" s="94" t="s">
        <v>82</v>
      </c>
    </row>
    <row r="5460" spans="1:26" s="25" customFormat="1" ht="6.95" customHeight="1" x14ac:dyDescent="0.3">
      <c r="A5460" s="165"/>
      <c r="B5460" s="168"/>
      <c r="C5460" s="169"/>
      <c r="D5460" s="160"/>
      <c r="E5460" s="161"/>
      <c r="F5460" s="162"/>
      <c r="G5460" s="163"/>
      <c r="H5460" s="164"/>
      <c r="I5460" s="163"/>
      <c r="J5460" s="164"/>
      <c r="K5460" s="163"/>
      <c r="L5460" s="164"/>
      <c r="M5460" s="11"/>
      <c r="N5460" s="39"/>
      <c r="Q5460" s="15" t="str">
        <f>+CONCATENATE(E5458,K5458)</f>
        <v/>
      </c>
      <c r="R5460" s="15">
        <f>+L5458</f>
        <v>0</v>
      </c>
      <c r="S5460" s="16"/>
      <c r="T5460" s="15">
        <f>+E5458</f>
        <v>0</v>
      </c>
      <c r="U5460" s="26" t="str">
        <f>IFERROR(LEFT(K5458,FIND("*",K5458)-1),"-")</f>
        <v>-</v>
      </c>
      <c r="V5460" s="26" t="str">
        <f>IFERROR(RIGHT(K5458,LEN(K5458)-FIND("*",K5458)),"-")</f>
        <v>-</v>
      </c>
      <c r="W5460" s="27" t="str">
        <f t="shared" si="2974"/>
        <v>-</v>
      </c>
      <c r="X5460" s="27" t="str">
        <f>IFERROR(W5460*L5458,"-")</f>
        <v>-</v>
      </c>
      <c r="Z5460" s="94" t="s">
        <v>82</v>
      </c>
    </row>
    <row r="5461" spans="1:26" s="25" customFormat="1" ht="6.95" customHeight="1" x14ac:dyDescent="0.3">
      <c r="A5461" s="13"/>
      <c r="B5461" s="168"/>
      <c r="C5461" s="169"/>
      <c r="D5461" s="160" t="s">
        <v>39</v>
      </c>
      <c r="E5461" s="161"/>
      <c r="F5461" s="162" t="s">
        <v>40</v>
      </c>
      <c r="G5461" s="163"/>
      <c r="H5461" s="164"/>
      <c r="I5461" s="163"/>
      <c r="J5461" s="164"/>
      <c r="K5461" s="163"/>
      <c r="L5461" s="164"/>
      <c r="M5461" s="11"/>
      <c r="N5461" s="39"/>
      <c r="Q5461" s="15" t="str">
        <f>+CONCATENATE(E5461,G5461)</f>
        <v/>
      </c>
      <c r="R5461" s="15">
        <f>+H5461</f>
        <v>0</v>
      </c>
      <c r="S5461" s="16"/>
      <c r="T5461" s="15">
        <f>+E5461</f>
        <v>0</v>
      </c>
      <c r="U5461" s="26" t="str">
        <f t="shared" ref="U5461" si="2975">IFERROR(LEFT(G5461,FIND("*",G5461)-1),"-")</f>
        <v>-</v>
      </c>
      <c r="V5461" s="26" t="str">
        <f t="shared" ref="V5461" si="2976">IFERROR(RIGHT(G5461,LEN(G5461)-FIND("*",G5461)),"-")</f>
        <v>-</v>
      </c>
      <c r="W5461" s="27" t="str">
        <f t="shared" si="2974"/>
        <v>-</v>
      </c>
      <c r="X5461" s="27" t="str">
        <f>IFERROR(W5461*H5461,"-")</f>
        <v>-</v>
      </c>
      <c r="Z5461" s="94" t="s">
        <v>82</v>
      </c>
    </row>
    <row r="5462" spans="1:26" s="25" customFormat="1" ht="6.95" customHeight="1" x14ac:dyDescent="0.3">
      <c r="A5462" s="10"/>
      <c r="B5462" s="168"/>
      <c r="C5462" s="169"/>
      <c r="D5462" s="160"/>
      <c r="E5462" s="161"/>
      <c r="F5462" s="162"/>
      <c r="G5462" s="163"/>
      <c r="H5462" s="164"/>
      <c r="I5462" s="163"/>
      <c r="J5462" s="164"/>
      <c r="K5462" s="163"/>
      <c r="L5462" s="164"/>
      <c r="M5462" s="11"/>
      <c r="N5462" s="39"/>
      <c r="Q5462" s="15" t="str">
        <f>+CONCATENATE(E5461,I5461)</f>
        <v/>
      </c>
      <c r="R5462" s="15">
        <f>+J5461</f>
        <v>0</v>
      </c>
      <c r="S5462" s="16"/>
      <c r="T5462" s="15">
        <f>+E5461</f>
        <v>0</v>
      </c>
      <c r="U5462" s="26" t="str">
        <f>IFERROR(LEFT(I5461,FIND("*",I5461)-1),"-")</f>
        <v>-</v>
      </c>
      <c r="V5462" s="26" t="str">
        <f>IFERROR(RIGHT(I5461,LEN(I5461)-FIND("*",I5461)),"-")</f>
        <v>-</v>
      </c>
      <c r="W5462" s="27" t="str">
        <f t="shared" si="2974"/>
        <v>-</v>
      </c>
      <c r="X5462" s="27" t="str">
        <f>IFERROR(W5462*J5461,"-")</f>
        <v>-</v>
      </c>
      <c r="Z5462" s="94" t="s">
        <v>82</v>
      </c>
    </row>
    <row r="5463" spans="1:26" s="25" customFormat="1" ht="6.95" customHeight="1" x14ac:dyDescent="0.3">
      <c r="A5463" s="10"/>
      <c r="B5463" s="168"/>
      <c r="C5463" s="169"/>
      <c r="D5463" s="160"/>
      <c r="E5463" s="161"/>
      <c r="F5463" s="162"/>
      <c r="G5463" s="163"/>
      <c r="H5463" s="164"/>
      <c r="I5463" s="163"/>
      <c r="J5463" s="164"/>
      <c r="K5463" s="163"/>
      <c r="L5463" s="164"/>
      <c r="M5463" s="11"/>
      <c r="N5463" s="39"/>
      <c r="Q5463" s="15" t="str">
        <f>+CONCATENATE(E5461,K5461)</f>
        <v/>
      </c>
      <c r="R5463" s="15">
        <f>+L5461</f>
        <v>0</v>
      </c>
      <c r="S5463" s="16"/>
      <c r="T5463" s="15">
        <f>+E5461</f>
        <v>0</v>
      </c>
      <c r="U5463" s="26" t="str">
        <f>IFERROR(LEFT(K5461,FIND("*",K5461)-1),"-")</f>
        <v>-</v>
      </c>
      <c r="V5463" s="26" t="str">
        <f>IFERROR(RIGHT(K5461,LEN(K5461)-FIND("*",K5461)),"-")</f>
        <v>-</v>
      </c>
      <c r="W5463" s="27" t="str">
        <f t="shared" si="2974"/>
        <v>-</v>
      </c>
      <c r="X5463" s="27" t="str">
        <f>IFERROR(W5463*L5461,"-")</f>
        <v>-</v>
      </c>
      <c r="Z5463" s="94" t="s">
        <v>82</v>
      </c>
    </row>
    <row r="5464" spans="1:26" s="25" customFormat="1" ht="6.95" customHeight="1" x14ac:dyDescent="0.3">
      <c r="A5464" s="13"/>
      <c r="B5464" s="168"/>
      <c r="C5464" s="169"/>
      <c r="D5464" s="160" t="s">
        <v>39</v>
      </c>
      <c r="E5464" s="161"/>
      <c r="F5464" s="162" t="s">
        <v>40</v>
      </c>
      <c r="G5464" s="163"/>
      <c r="H5464" s="164"/>
      <c r="I5464" s="163"/>
      <c r="J5464" s="164"/>
      <c r="K5464" s="163"/>
      <c r="L5464" s="164"/>
      <c r="M5464" s="11"/>
      <c r="N5464" s="39"/>
      <c r="Q5464" s="15" t="str">
        <f>+CONCATENATE(E5464,G5464)</f>
        <v/>
      </c>
      <c r="R5464" s="15">
        <f>+H5464</f>
        <v>0</v>
      </c>
      <c r="S5464" s="16"/>
      <c r="T5464" s="15">
        <f>+E5464</f>
        <v>0</v>
      </c>
      <c r="U5464" s="26" t="str">
        <f t="shared" ref="U5464" si="2977">IFERROR(LEFT(G5464,FIND("*",G5464)-1),"-")</f>
        <v>-</v>
      </c>
      <c r="V5464" s="26" t="str">
        <f t="shared" ref="V5464" si="2978">IFERROR(RIGHT(G5464,LEN(G5464)-FIND("*",G5464)),"-")</f>
        <v>-</v>
      </c>
      <c r="W5464" s="27" t="str">
        <f t="shared" si="2974"/>
        <v>-</v>
      </c>
      <c r="X5464" s="27" t="str">
        <f>IFERROR(W5464*H5464,"-")</f>
        <v>-</v>
      </c>
      <c r="Z5464" s="94" t="s">
        <v>82</v>
      </c>
    </row>
    <row r="5465" spans="1:26" s="25" customFormat="1" ht="6.95" customHeight="1" x14ac:dyDescent="0.3">
      <c r="A5465" s="10"/>
      <c r="B5465" s="168"/>
      <c r="C5465" s="169"/>
      <c r="D5465" s="160"/>
      <c r="E5465" s="161"/>
      <c r="F5465" s="162"/>
      <c r="G5465" s="163"/>
      <c r="H5465" s="164"/>
      <c r="I5465" s="163"/>
      <c r="J5465" s="164"/>
      <c r="K5465" s="163"/>
      <c r="L5465" s="164"/>
      <c r="M5465" s="11"/>
      <c r="N5465" s="39"/>
      <c r="Q5465" s="15" t="str">
        <f>+CONCATENATE(E5464,I5464)</f>
        <v/>
      </c>
      <c r="R5465" s="15">
        <f>+J5464</f>
        <v>0</v>
      </c>
      <c r="S5465" s="16"/>
      <c r="T5465" s="15">
        <f>+E5464</f>
        <v>0</v>
      </c>
      <c r="U5465" s="26" t="str">
        <f>IFERROR(LEFT(I5464,FIND("*",I5464)-1),"-")</f>
        <v>-</v>
      </c>
      <c r="V5465" s="26" t="str">
        <f>IFERROR(RIGHT(I5464,LEN(I5464)-FIND("*",I5464)),"-")</f>
        <v>-</v>
      </c>
      <c r="W5465" s="27" t="str">
        <f t="shared" si="2974"/>
        <v>-</v>
      </c>
      <c r="X5465" s="27" t="str">
        <f t="shared" ref="X5465" si="2979">IFERROR(W5465*J5464,"-")</f>
        <v>-</v>
      </c>
      <c r="Z5465" s="94" t="s">
        <v>82</v>
      </c>
    </row>
    <row r="5466" spans="1:26" s="25" customFormat="1" ht="6.95" customHeight="1" x14ac:dyDescent="0.3">
      <c r="A5466" s="10"/>
      <c r="B5466" s="168"/>
      <c r="C5466" s="169"/>
      <c r="D5466" s="160"/>
      <c r="E5466" s="161"/>
      <c r="F5466" s="162"/>
      <c r="G5466" s="163"/>
      <c r="H5466" s="164"/>
      <c r="I5466" s="163"/>
      <c r="J5466" s="164"/>
      <c r="K5466" s="163"/>
      <c r="L5466" s="164"/>
      <c r="M5466" s="11"/>
      <c r="N5466" s="39"/>
      <c r="Q5466" s="15" t="str">
        <f>+CONCATENATE(E5464,K5464)</f>
        <v/>
      </c>
      <c r="R5466" s="15">
        <f>+L5464</f>
        <v>0</v>
      </c>
      <c r="S5466" s="16"/>
      <c r="T5466" s="15">
        <f>+E5464</f>
        <v>0</v>
      </c>
      <c r="U5466" s="26" t="str">
        <f>IFERROR(LEFT(K5464,FIND("*",K5464)-1),"-")</f>
        <v>-</v>
      </c>
      <c r="V5466" s="26" t="str">
        <f>IFERROR(RIGHT(K5464,LEN(K5464)-FIND("*",K5464)),"-")</f>
        <v>-</v>
      </c>
      <c r="W5466" s="27" t="str">
        <f t="shared" si="2974"/>
        <v>-</v>
      </c>
      <c r="X5466" s="27" t="str">
        <f>IFERROR(W5466*L5464,"-")</f>
        <v>-</v>
      </c>
      <c r="Z5466" s="94" t="s">
        <v>82</v>
      </c>
    </row>
    <row r="5467" spans="1:26" s="25" customFormat="1" ht="21" customHeight="1" thickBot="1" x14ac:dyDescent="0.35">
      <c r="A5467" s="10"/>
      <c r="B5467" s="170"/>
      <c r="C5467" s="171"/>
      <c r="D5467" s="172" t="s">
        <v>43</v>
      </c>
      <c r="E5467" s="173"/>
      <c r="F5467" s="173"/>
      <c r="G5467" s="174"/>
      <c r="H5467" s="174"/>
      <c r="I5467" s="174"/>
      <c r="J5467" s="174"/>
      <c r="K5467" s="174"/>
      <c r="L5467" s="174"/>
      <c r="M5467" s="12"/>
      <c r="N5467" s="39"/>
      <c r="U5467" s="23"/>
      <c r="V5467" s="23"/>
      <c r="Z5467" s="95" t="s">
        <v>81</v>
      </c>
    </row>
    <row r="5468" spans="1:26" s="25" customFormat="1" ht="9.9499999999999993" customHeight="1" thickBot="1" x14ac:dyDescent="0.35">
      <c r="A5468" s="6"/>
      <c r="B5468" s="14"/>
      <c r="C5468" s="119"/>
      <c r="D5468" s="58"/>
      <c r="E5468" s="17"/>
      <c r="F5468" s="58"/>
      <c r="G5468" s="19"/>
      <c r="H5468" s="19"/>
      <c r="I5468" s="19"/>
      <c r="J5468" s="19"/>
      <c r="K5468" s="19"/>
      <c r="L5468" s="19"/>
      <c r="M5468" s="14"/>
      <c r="N5468" s="39"/>
      <c r="Q5468" s="1"/>
      <c r="R5468" s="1"/>
      <c r="S5468" s="1"/>
      <c r="T5468" s="1"/>
      <c r="U5468" s="24"/>
      <c r="V5468" s="24"/>
      <c r="W5468" s="1"/>
      <c r="X5468" s="1"/>
      <c r="Z5468" s="94" t="s">
        <v>82</v>
      </c>
    </row>
    <row r="5469" spans="1:26" s="25" customFormat="1" ht="6.95" customHeight="1" x14ac:dyDescent="0.3">
      <c r="A5469" s="165">
        <f>+A5458+1</f>
        <v>498</v>
      </c>
      <c r="B5469" s="166"/>
      <c r="C5469" s="167"/>
      <c r="D5469" s="160" t="s">
        <v>39</v>
      </c>
      <c r="E5469" s="161"/>
      <c r="F5469" s="162" t="s">
        <v>40</v>
      </c>
      <c r="G5469" s="163"/>
      <c r="H5469" s="164"/>
      <c r="I5469" s="163"/>
      <c r="J5469" s="164"/>
      <c r="K5469" s="163"/>
      <c r="L5469" s="164"/>
      <c r="M5469" s="11"/>
      <c r="N5469" s="39"/>
      <c r="Q5469" s="15" t="str">
        <f>+CONCATENATE(E5469,G5469)</f>
        <v/>
      </c>
      <c r="R5469" s="15">
        <f>+H5469</f>
        <v>0</v>
      </c>
      <c r="S5469" s="16"/>
      <c r="T5469" s="15">
        <f>+E5469</f>
        <v>0</v>
      </c>
      <c r="U5469" s="26" t="str">
        <f>IFERROR(LEFT(G5469,FIND("*",G5469)-1),"-")</f>
        <v>-</v>
      </c>
      <c r="V5469" s="26" t="str">
        <f>IFERROR(RIGHT(G5469,LEN(G5469)-FIND("*",G5469)),"-")</f>
        <v>-</v>
      </c>
      <c r="W5469" s="27" t="str">
        <f>IFERROR((U5469+V5469)*2/1000,"-")</f>
        <v>-</v>
      </c>
      <c r="X5469" s="27" t="str">
        <f>IFERROR(W5469*H5469,"-")</f>
        <v>-</v>
      </c>
      <c r="Z5469" s="94" t="s">
        <v>82</v>
      </c>
    </row>
    <row r="5470" spans="1:26" s="25" customFormat="1" ht="6.95" customHeight="1" x14ac:dyDescent="0.3">
      <c r="A5470" s="165"/>
      <c r="B5470" s="168"/>
      <c r="C5470" s="169"/>
      <c r="D5470" s="160"/>
      <c r="E5470" s="161"/>
      <c r="F5470" s="162"/>
      <c r="G5470" s="163"/>
      <c r="H5470" s="164"/>
      <c r="I5470" s="163"/>
      <c r="J5470" s="164"/>
      <c r="K5470" s="163"/>
      <c r="L5470" s="164"/>
      <c r="M5470" s="11"/>
      <c r="N5470" s="39"/>
      <c r="Q5470" s="15" t="str">
        <f>+CONCATENATE(E5469,I5469)</f>
        <v/>
      </c>
      <c r="R5470" s="15">
        <f>+J5469</f>
        <v>0</v>
      </c>
      <c r="S5470" s="16"/>
      <c r="T5470" s="15">
        <f>+E5469</f>
        <v>0</v>
      </c>
      <c r="U5470" s="26" t="str">
        <f>IFERROR(LEFT(I5469,FIND("*",I5469)-1),"-")</f>
        <v>-</v>
      </c>
      <c r="V5470" s="26" t="str">
        <f>IFERROR(RIGHT(I5469,LEN(I5469)-FIND("*",I5469)),"-")</f>
        <v>-</v>
      </c>
      <c r="W5470" s="27" t="str">
        <f t="shared" ref="W5470:W5477" si="2980">IFERROR((U5470+V5470)*2/1000,"-")</f>
        <v>-</v>
      </c>
      <c r="X5470" s="27" t="str">
        <f>IFERROR(W5470*J5469,"-")</f>
        <v>-</v>
      </c>
      <c r="Z5470" s="94" t="s">
        <v>82</v>
      </c>
    </row>
    <row r="5471" spans="1:26" s="25" customFormat="1" ht="6.95" customHeight="1" x14ac:dyDescent="0.3">
      <c r="A5471" s="165"/>
      <c r="B5471" s="168"/>
      <c r="C5471" s="169"/>
      <c r="D5471" s="160"/>
      <c r="E5471" s="161"/>
      <c r="F5471" s="162"/>
      <c r="G5471" s="163"/>
      <c r="H5471" s="164"/>
      <c r="I5471" s="163"/>
      <c r="J5471" s="164"/>
      <c r="K5471" s="163"/>
      <c r="L5471" s="164"/>
      <c r="M5471" s="11"/>
      <c r="N5471" s="39"/>
      <c r="Q5471" s="15" t="str">
        <f>+CONCATENATE(E5469,K5469)</f>
        <v/>
      </c>
      <c r="R5471" s="15">
        <f>+L5469</f>
        <v>0</v>
      </c>
      <c r="S5471" s="16"/>
      <c r="T5471" s="15">
        <f>+E5469</f>
        <v>0</v>
      </c>
      <c r="U5471" s="26" t="str">
        <f>IFERROR(LEFT(K5469,FIND("*",K5469)-1),"-")</f>
        <v>-</v>
      </c>
      <c r="V5471" s="26" t="str">
        <f>IFERROR(RIGHT(K5469,LEN(K5469)-FIND("*",K5469)),"-")</f>
        <v>-</v>
      </c>
      <c r="W5471" s="27" t="str">
        <f t="shared" si="2980"/>
        <v>-</v>
      </c>
      <c r="X5471" s="27" t="str">
        <f>IFERROR(W5471*L5469,"-")</f>
        <v>-</v>
      </c>
      <c r="Z5471" s="94" t="s">
        <v>82</v>
      </c>
    </row>
    <row r="5472" spans="1:26" s="25" customFormat="1" ht="6.95" customHeight="1" x14ac:dyDescent="0.3">
      <c r="A5472" s="13"/>
      <c r="B5472" s="168"/>
      <c r="C5472" s="169"/>
      <c r="D5472" s="160" t="s">
        <v>39</v>
      </c>
      <c r="E5472" s="161"/>
      <c r="F5472" s="162" t="s">
        <v>40</v>
      </c>
      <c r="G5472" s="163"/>
      <c r="H5472" s="164"/>
      <c r="I5472" s="163"/>
      <c r="J5472" s="164"/>
      <c r="K5472" s="163"/>
      <c r="L5472" s="164"/>
      <c r="M5472" s="11"/>
      <c r="N5472" s="39"/>
      <c r="Q5472" s="15" t="str">
        <f>+CONCATENATE(E5472,G5472)</f>
        <v/>
      </c>
      <c r="R5472" s="15">
        <f>+H5472</f>
        <v>0</v>
      </c>
      <c r="S5472" s="16"/>
      <c r="T5472" s="15">
        <f>+E5472</f>
        <v>0</v>
      </c>
      <c r="U5472" s="26" t="str">
        <f t="shared" ref="U5472" si="2981">IFERROR(LEFT(G5472,FIND("*",G5472)-1),"-")</f>
        <v>-</v>
      </c>
      <c r="V5472" s="26" t="str">
        <f t="shared" ref="V5472" si="2982">IFERROR(RIGHT(G5472,LEN(G5472)-FIND("*",G5472)),"-")</f>
        <v>-</v>
      </c>
      <c r="W5472" s="27" t="str">
        <f t="shared" si="2980"/>
        <v>-</v>
      </c>
      <c r="X5472" s="27" t="str">
        <f>IFERROR(W5472*H5472,"-")</f>
        <v>-</v>
      </c>
      <c r="Z5472" s="94" t="s">
        <v>82</v>
      </c>
    </row>
    <row r="5473" spans="1:26" s="25" customFormat="1" ht="6.95" customHeight="1" x14ac:dyDescent="0.3">
      <c r="A5473" s="10"/>
      <c r="B5473" s="168"/>
      <c r="C5473" s="169"/>
      <c r="D5473" s="160"/>
      <c r="E5473" s="161"/>
      <c r="F5473" s="162"/>
      <c r="G5473" s="163"/>
      <c r="H5473" s="164"/>
      <c r="I5473" s="163"/>
      <c r="J5473" s="164"/>
      <c r="K5473" s="163"/>
      <c r="L5473" s="164"/>
      <c r="M5473" s="11"/>
      <c r="N5473" s="39"/>
      <c r="Q5473" s="15" t="str">
        <f>+CONCATENATE(E5472,I5472)</f>
        <v/>
      </c>
      <c r="R5473" s="15">
        <f>+J5472</f>
        <v>0</v>
      </c>
      <c r="S5473" s="16"/>
      <c r="T5473" s="15">
        <f>+E5472</f>
        <v>0</v>
      </c>
      <c r="U5473" s="26" t="str">
        <f>IFERROR(LEFT(I5472,FIND("*",I5472)-1),"-")</f>
        <v>-</v>
      </c>
      <c r="V5473" s="26" t="str">
        <f>IFERROR(RIGHT(I5472,LEN(I5472)-FIND("*",I5472)),"-")</f>
        <v>-</v>
      </c>
      <c r="W5473" s="27" t="str">
        <f t="shared" si="2980"/>
        <v>-</v>
      </c>
      <c r="X5473" s="27" t="str">
        <f>IFERROR(W5473*J5472,"-")</f>
        <v>-</v>
      </c>
      <c r="Z5473" s="94" t="s">
        <v>82</v>
      </c>
    </row>
    <row r="5474" spans="1:26" s="25" customFormat="1" ht="6.95" customHeight="1" x14ac:dyDescent="0.3">
      <c r="A5474" s="10"/>
      <c r="B5474" s="168"/>
      <c r="C5474" s="169"/>
      <c r="D5474" s="160"/>
      <c r="E5474" s="161"/>
      <c r="F5474" s="162"/>
      <c r="G5474" s="163"/>
      <c r="H5474" s="164"/>
      <c r="I5474" s="163"/>
      <c r="J5474" s="164"/>
      <c r="K5474" s="163"/>
      <c r="L5474" s="164"/>
      <c r="M5474" s="11"/>
      <c r="N5474" s="39"/>
      <c r="Q5474" s="15" t="str">
        <f>+CONCATENATE(E5472,K5472)</f>
        <v/>
      </c>
      <c r="R5474" s="15">
        <f>+L5472</f>
        <v>0</v>
      </c>
      <c r="S5474" s="16"/>
      <c r="T5474" s="15">
        <f>+E5472</f>
        <v>0</v>
      </c>
      <c r="U5474" s="26" t="str">
        <f>IFERROR(LEFT(K5472,FIND("*",K5472)-1),"-")</f>
        <v>-</v>
      </c>
      <c r="V5474" s="26" t="str">
        <f>IFERROR(RIGHT(K5472,LEN(K5472)-FIND("*",K5472)),"-")</f>
        <v>-</v>
      </c>
      <c r="W5474" s="27" t="str">
        <f t="shared" si="2980"/>
        <v>-</v>
      </c>
      <c r="X5474" s="27" t="str">
        <f>IFERROR(W5474*L5472,"-")</f>
        <v>-</v>
      </c>
      <c r="Z5474" s="94" t="s">
        <v>82</v>
      </c>
    </row>
    <row r="5475" spans="1:26" s="25" customFormat="1" ht="6.95" customHeight="1" x14ac:dyDescent="0.3">
      <c r="A5475" s="13"/>
      <c r="B5475" s="168"/>
      <c r="C5475" s="169"/>
      <c r="D5475" s="160" t="s">
        <v>39</v>
      </c>
      <c r="E5475" s="161"/>
      <c r="F5475" s="162" t="s">
        <v>40</v>
      </c>
      <c r="G5475" s="163"/>
      <c r="H5475" s="164"/>
      <c r="I5475" s="163"/>
      <c r="J5475" s="164"/>
      <c r="K5475" s="163"/>
      <c r="L5475" s="164"/>
      <c r="M5475" s="11"/>
      <c r="N5475" s="39"/>
      <c r="Q5475" s="15" t="str">
        <f>+CONCATENATE(E5475,G5475)</f>
        <v/>
      </c>
      <c r="R5475" s="15">
        <f>+H5475</f>
        <v>0</v>
      </c>
      <c r="S5475" s="16"/>
      <c r="T5475" s="15">
        <f>+E5475</f>
        <v>0</v>
      </c>
      <c r="U5475" s="26" t="str">
        <f t="shared" ref="U5475" si="2983">IFERROR(LEFT(G5475,FIND("*",G5475)-1),"-")</f>
        <v>-</v>
      </c>
      <c r="V5475" s="26" t="str">
        <f t="shared" ref="V5475" si="2984">IFERROR(RIGHT(G5475,LEN(G5475)-FIND("*",G5475)),"-")</f>
        <v>-</v>
      </c>
      <c r="W5475" s="27" t="str">
        <f t="shared" si="2980"/>
        <v>-</v>
      </c>
      <c r="X5475" s="27" t="str">
        <f>IFERROR(W5475*H5475,"-")</f>
        <v>-</v>
      </c>
      <c r="Z5475" s="94" t="s">
        <v>82</v>
      </c>
    </row>
    <row r="5476" spans="1:26" s="25" customFormat="1" ht="6.95" customHeight="1" x14ac:dyDescent="0.3">
      <c r="A5476" s="10"/>
      <c r="B5476" s="168"/>
      <c r="C5476" s="169"/>
      <c r="D5476" s="160"/>
      <c r="E5476" s="161"/>
      <c r="F5476" s="162"/>
      <c r="G5476" s="163"/>
      <c r="H5476" s="164"/>
      <c r="I5476" s="163"/>
      <c r="J5476" s="164"/>
      <c r="K5476" s="163"/>
      <c r="L5476" s="164"/>
      <c r="M5476" s="11"/>
      <c r="N5476" s="39"/>
      <c r="Q5476" s="15" t="str">
        <f>+CONCATENATE(E5475,I5475)</f>
        <v/>
      </c>
      <c r="R5476" s="15">
        <f>+J5475</f>
        <v>0</v>
      </c>
      <c r="S5476" s="16"/>
      <c r="T5476" s="15">
        <f>+E5475</f>
        <v>0</v>
      </c>
      <c r="U5476" s="26" t="str">
        <f>IFERROR(LEFT(I5475,FIND("*",I5475)-1),"-")</f>
        <v>-</v>
      </c>
      <c r="V5476" s="26" t="str">
        <f>IFERROR(RIGHT(I5475,LEN(I5475)-FIND("*",I5475)),"-")</f>
        <v>-</v>
      </c>
      <c r="W5476" s="27" t="str">
        <f t="shared" si="2980"/>
        <v>-</v>
      </c>
      <c r="X5476" s="27" t="str">
        <f t="shared" ref="X5476" si="2985">IFERROR(W5476*J5475,"-")</f>
        <v>-</v>
      </c>
      <c r="Z5476" s="94" t="s">
        <v>82</v>
      </c>
    </row>
    <row r="5477" spans="1:26" s="25" customFormat="1" ht="6.95" customHeight="1" x14ac:dyDescent="0.3">
      <c r="A5477" s="10"/>
      <c r="B5477" s="168"/>
      <c r="C5477" s="169"/>
      <c r="D5477" s="160"/>
      <c r="E5477" s="161"/>
      <c r="F5477" s="162"/>
      <c r="G5477" s="163"/>
      <c r="H5477" s="164"/>
      <c r="I5477" s="163"/>
      <c r="J5477" s="164"/>
      <c r="K5477" s="163"/>
      <c r="L5477" s="164"/>
      <c r="M5477" s="11"/>
      <c r="N5477" s="39"/>
      <c r="Q5477" s="15" t="str">
        <f>+CONCATENATE(E5475,K5475)</f>
        <v/>
      </c>
      <c r="R5477" s="15">
        <f>+L5475</f>
        <v>0</v>
      </c>
      <c r="S5477" s="16"/>
      <c r="T5477" s="15">
        <f>+E5475</f>
        <v>0</v>
      </c>
      <c r="U5477" s="26" t="str">
        <f>IFERROR(LEFT(K5475,FIND("*",K5475)-1),"-")</f>
        <v>-</v>
      </c>
      <c r="V5477" s="26" t="str">
        <f>IFERROR(RIGHT(K5475,LEN(K5475)-FIND("*",K5475)),"-")</f>
        <v>-</v>
      </c>
      <c r="W5477" s="27" t="str">
        <f t="shared" si="2980"/>
        <v>-</v>
      </c>
      <c r="X5477" s="27" t="str">
        <f>IFERROR(W5477*L5475,"-")</f>
        <v>-</v>
      </c>
      <c r="Z5477" s="94" t="s">
        <v>82</v>
      </c>
    </row>
    <row r="5478" spans="1:26" s="25" customFormat="1" ht="21" customHeight="1" thickBot="1" x14ac:dyDescent="0.35">
      <c r="A5478" s="10"/>
      <c r="B5478" s="170"/>
      <c r="C5478" s="171"/>
      <c r="D5478" s="172" t="s">
        <v>43</v>
      </c>
      <c r="E5478" s="173"/>
      <c r="F5478" s="173"/>
      <c r="G5478" s="174"/>
      <c r="H5478" s="174"/>
      <c r="I5478" s="174"/>
      <c r="J5478" s="174"/>
      <c r="K5478" s="174"/>
      <c r="L5478" s="174"/>
      <c r="M5478" s="12"/>
      <c r="N5478" s="39"/>
      <c r="U5478" s="23"/>
      <c r="V5478" s="23"/>
      <c r="Z5478" s="95" t="s">
        <v>81</v>
      </c>
    </row>
    <row r="5479" spans="1:26" s="25" customFormat="1" ht="9.9499999999999993" customHeight="1" thickBot="1" x14ac:dyDescent="0.35">
      <c r="A5479" s="6"/>
      <c r="B5479" s="14"/>
      <c r="C5479" s="119"/>
      <c r="D5479" s="58"/>
      <c r="E5479" s="17"/>
      <c r="F5479" s="58"/>
      <c r="G5479" s="19"/>
      <c r="H5479" s="19"/>
      <c r="I5479" s="19"/>
      <c r="J5479" s="19"/>
      <c r="K5479" s="19"/>
      <c r="L5479" s="19"/>
      <c r="M5479" s="14"/>
      <c r="N5479" s="39"/>
      <c r="Q5479" s="1"/>
      <c r="R5479" s="1"/>
      <c r="S5479" s="1"/>
      <c r="T5479" s="1"/>
      <c r="U5479" s="24"/>
      <c r="V5479" s="24"/>
      <c r="W5479" s="1"/>
      <c r="X5479" s="1"/>
      <c r="Z5479" s="94" t="s">
        <v>82</v>
      </c>
    </row>
    <row r="5480" spans="1:26" s="25" customFormat="1" ht="6.95" customHeight="1" x14ac:dyDescent="0.3">
      <c r="A5480" s="165">
        <f>+A5469+1</f>
        <v>499</v>
      </c>
      <c r="B5480" s="166"/>
      <c r="C5480" s="167"/>
      <c r="D5480" s="160" t="s">
        <v>39</v>
      </c>
      <c r="E5480" s="161"/>
      <c r="F5480" s="162" t="s">
        <v>40</v>
      </c>
      <c r="G5480" s="163"/>
      <c r="H5480" s="164"/>
      <c r="I5480" s="163"/>
      <c r="J5480" s="164"/>
      <c r="K5480" s="163"/>
      <c r="L5480" s="164"/>
      <c r="M5480" s="11"/>
      <c r="N5480" s="39"/>
      <c r="Q5480" s="15" t="str">
        <f>+CONCATENATE(E5480,G5480)</f>
        <v/>
      </c>
      <c r="R5480" s="15">
        <f>+H5480</f>
        <v>0</v>
      </c>
      <c r="S5480" s="16"/>
      <c r="T5480" s="15">
        <f>+E5480</f>
        <v>0</v>
      </c>
      <c r="U5480" s="26" t="str">
        <f>IFERROR(LEFT(G5480,FIND("*",G5480)-1),"-")</f>
        <v>-</v>
      </c>
      <c r="V5480" s="26" t="str">
        <f>IFERROR(RIGHT(G5480,LEN(G5480)-FIND("*",G5480)),"-")</f>
        <v>-</v>
      </c>
      <c r="W5480" s="27" t="str">
        <f>IFERROR((U5480+V5480)*2/1000,"-")</f>
        <v>-</v>
      </c>
      <c r="X5480" s="27" t="str">
        <f>IFERROR(W5480*H5480,"-")</f>
        <v>-</v>
      </c>
      <c r="Z5480" s="94" t="s">
        <v>82</v>
      </c>
    </row>
    <row r="5481" spans="1:26" s="25" customFormat="1" ht="6.95" customHeight="1" x14ac:dyDescent="0.3">
      <c r="A5481" s="165"/>
      <c r="B5481" s="168"/>
      <c r="C5481" s="169"/>
      <c r="D5481" s="160"/>
      <c r="E5481" s="161"/>
      <c r="F5481" s="162"/>
      <c r="G5481" s="163"/>
      <c r="H5481" s="164"/>
      <c r="I5481" s="163"/>
      <c r="J5481" s="164"/>
      <c r="K5481" s="163"/>
      <c r="L5481" s="164"/>
      <c r="M5481" s="11"/>
      <c r="N5481" s="39"/>
      <c r="Q5481" s="15" t="str">
        <f>+CONCATENATE(E5480,I5480)</f>
        <v/>
      </c>
      <c r="R5481" s="15">
        <f>+J5480</f>
        <v>0</v>
      </c>
      <c r="S5481" s="16"/>
      <c r="T5481" s="15">
        <f>+E5480</f>
        <v>0</v>
      </c>
      <c r="U5481" s="26" t="str">
        <f>IFERROR(LEFT(I5480,FIND("*",I5480)-1),"-")</f>
        <v>-</v>
      </c>
      <c r="V5481" s="26" t="str">
        <f>IFERROR(RIGHT(I5480,LEN(I5480)-FIND("*",I5480)),"-")</f>
        <v>-</v>
      </c>
      <c r="W5481" s="27" t="str">
        <f t="shared" ref="W5481:W5488" si="2986">IFERROR((U5481+V5481)*2/1000,"-")</f>
        <v>-</v>
      </c>
      <c r="X5481" s="27" t="str">
        <f>IFERROR(W5481*J5480,"-")</f>
        <v>-</v>
      </c>
      <c r="Z5481" s="94" t="s">
        <v>82</v>
      </c>
    </row>
    <row r="5482" spans="1:26" s="25" customFormat="1" ht="6.95" customHeight="1" x14ac:dyDescent="0.3">
      <c r="A5482" s="165"/>
      <c r="B5482" s="168"/>
      <c r="C5482" s="169"/>
      <c r="D5482" s="160"/>
      <c r="E5482" s="161"/>
      <c r="F5482" s="162"/>
      <c r="G5482" s="163"/>
      <c r="H5482" s="164"/>
      <c r="I5482" s="163"/>
      <c r="J5482" s="164"/>
      <c r="K5482" s="163"/>
      <c r="L5482" s="164"/>
      <c r="M5482" s="11"/>
      <c r="N5482" s="39"/>
      <c r="Q5482" s="15" t="str">
        <f>+CONCATENATE(E5480,K5480)</f>
        <v/>
      </c>
      <c r="R5482" s="15">
        <f>+L5480</f>
        <v>0</v>
      </c>
      <c r="S5482" s="16"/>
      <c r="T5482" s="15">
        <f>+E5480</f>
        <v>0</v>
      </c>
      <c r="U5482" s="26" t="str">
        <f>IFERROR(LEFT(K5480,FIND("*",K5480)-1),"-")</f>
        <v>-</v>
      </c>
      <c r="V5482" s="26" t="str">
        <f>IFERROR(RIGHT(K5480,LEN(K5480)-FIND("*",K5480)),"-")</f>
        <v>-</v>
      </c>
      <c r="W5482" s="27" t="str">
        <f t="shared" si="2986"/>
        <v>-</v>
      </c>
      <c r="X5482" s="27" t="str">
        <f>IFERROR(W5482*L5480,"-")</f>
        <v>-</v>
      </c>
      <c r="Z5482" s="94" t="s">
        <v>82</v>
      </c>
    </row>
    <row r="5483" spans="1:26" s="25" customFormat="1" ht="6.95" customHeight="1" x14ac:dyDescent="0.3">
      <c r="A5483" s="13"/>
      <c r="B5483" s="168"/>
      <c r="C5483" s="169"/>
      <c r="D5483" s="160" t="s">
        <v>39</v>
      </c>
      <c r="E5483" s="161"/>
      <c r="F5483" s="162" t="s">
        <v>40</v>
      </c>
      <c r="G5483" s="163"/>
      <c r="H5483" s="164"/>
      <c r="I5483" s="163"/>
      <c r="J5483" s="164"/>
      <c r="K5483" s="163"/>
      <c r="L5483" s="164"/>
      <c r="M5483" s="11"/>
      <c r="N5483" s="39"/>
      <c r="Q5483" s="15" t="str">
        <f>+CONCATENATE(E5483,G5483)</f>
        <v/>
      </c>
      <c r="R5483" s="15">
        <f>+H5483</f>
        <v>0</v>
      </c>
      <c r="S5483" s="16"/>
      <c r="T5483" s="15">
        <f>+E5483</f>
        <v>0</v>
      </c>
      <c r="U5483" s="26" t="str">
        <f t="shared" ref="U5483" si="2987">IFERROR(LEFT(G5483,FIND("*",G5483)-1),"-")</f>
        <v>-</v>
      </c>
      <c r="V5483" s="26" t="str">
        <f t="shared" ref="V5483" si="2988">IFERROR(RIGHT(G5483,LEN(G5483)-FIND("*",G5483)),"-")</f>
        <v>-</v>
      </c>
      <c r="W5483" s="27" t="str">
        <f t="shared" si="2986"/>
        <v>-</v>
      </c>
      <c r="X5483" s="27" t="str">
        <f>IFERROR(W5483*H5483,"-")</f>
        <v>-</v>
      </c>
      <c r="Z5483" s="94" t="s">
        <v>82</v>
      </c>
    </row>
    <row r="5484" spans="1:26" s="25" customFormat="1" ht="6.95" customHeight="1" x14ac:dyDescent="0.3">
      <c r="A5484" s="10"/>
      <c r="B5484" s="168"/>
      <c r="C5484" s="169"/>
      <c r="D5484" s="160"/>
      <c r="E5484" s="161"/>
      <c r="F5484" s="162"/>
      <c r="G5484" s="163"/>
      <c r="H5484" s="164"/>
      <c r="I5484" s="163"/>
      <c r="J5484" s="164"/>
      <c r="K5484" s="163"/>
      <c r="L5484" s="164"/>
      <c r="M5484" s="11"/>
      <c r="N5484" s="39"/>
      <c r="Q5484" s="15" t="str">
        <f>+CONCATENATE(E5483,I5483)</f>
        <v/>
      </c>
      <c r="R5484" s="15">
        <f>+J5483</f>
        <v>0</v>
      </c>
      <c r="S5484" s="16"/>
      <c r="T5484" s="15">
        <f>+E5483</f>
        <v>0</v>
      </c>
      <c r="U5484" s="26" t="str">
        <f>IFERROR(LEFT(I5483,FIND("*",I5483)-1),"-")</f>
        <v>-</v>
      </c>
      <c r="V5484" s="26" t="str">
        <f>IFERROR(RIGHT(I5483,LEN(I5483)-FIND("*",I5483)),"-")</f>
        <v>-</v>
      </c>
      <c r="W5484" s="27" t="str">
        <f t="shared" si="2986"/>
        <v>-</v>
      </c>
      <c r="X5484" s="27" t="str">
        <f>IFERROR(W5484*J5483,"-")</f>
        <v>-</v>
      </c>
      <c r="Z5484" s="94" t="s">
        <v>82</v>
      </c>
    </row>
    <row r="5485" spans="1:26" s="25" customFormat="1" ht="6.95" customHeight="1" x14ac:dyDescent="0.3">
      <c r="A5485" s="10"/>
      <c r="B5485" s="168"/>
      <c r="C5485" s="169"/>
      <c r="D5485" s="160"/>
      <c r="E5485" s="161"/>
      <c r="F5485" s="162"/>
      <c r="G5485" s="163"/>
      <c r="H5485" s="164"/>
      <c r="I5485" s="163"/>
      <c r="J5485" s="164"/>
      <c r="K5485" s="163"/>
      <c r="L5485" s="164"/>
      <c r="M5485" s="11"/>
      <c r="N5485" s="39"/>
      <c r="Q5485" s="15" t="str">
        <f>+CONCATENATE(E5483,K5483)</f>
        <v/>
      </c>
      <c r="R5485" s="15">
        <f>+L5483</f>
        <v>0</v>
      </c>
      <c r="S5485" s="16"/>
      <c r="T5485" s="15">
        <f>+E5483</f>
        <v>0</v>
      </c>
      <c r="U5485" s="26" t="str">
        <f>IFERROR(LEFT(K5483,FIND("*",K5483)-1),"-")</f>
        <v>-</v>
      </c>
      <c r="V5485" s="26" t="str">
        <f>IFERROR(RIGHT(K5483,LEN(K5483)-FIND("*",K5483)),"-")</f>
        <v>-</v>
      </c>
      <c r="W5485" s="27" t="str">
        <f t="shared" si="2986"/>
        <v>-</v>
      </c>
      <c r="X5485" s="27" t="str">
        <f>IFERROR(W5485*L5483,"-")</f>
        <v>-</v>
      </c>
      <c r="Z5485" s="94" t="s">
        <v>82</v>
      </c>
    </row>
    <row r="5486" spans="1:26" s="25" customFormat="1" ht="6.95" customHeight="1" x14ac:dyDescent="0.3">
      <c r="A5486" s="13"/>
      <c r="B5486" s="168"/>
      <c r="C5486" s="169"/>
      <c r="D5486" s="160" t="s">
        <v>39</v>
      </c>
      <c r="E5486" s="161"/>
      <c r="F5486" s="162" t="s">
        <v>40</v>
      </c>
      <c r="G5486" s="163"/>
      <c r="H5486" s="164"/>
      <c r="I5486" s="163"/>
      <c r="J5486" s="164"/>
      <c r="K5486" s="163"/>
      <c r="L5486" s="164"/>
      <c r="M5486" s="11"/>
      <c r="N5486" s="39"/>
      <c r="Q5486" s="15" t="str">
        <f>+CONCATENATE(E5486,G5486)</f>
        <v/>
      </c>
      <c r="R5486" s="15">
        <f>+H5486</f>
        <v>0</v>
      </c>
      <c r="S5486" s="16"/>
      <c r="T5486" s="15">
        <f>+E5486</f>
        <v>0</v>
      </c>
      <c r="U5486" s="26" t="str">
        <f t="shared" ref="U5486" si="2989">IFERROR(LEFT(G5486,FIND("*",G5486)-1),"-")</f>
        <v>-</v>
      </c>
      <c r="V5486" s="26" t="str">
        <f t="shared" ref="V5486" si="2990">IFERROR(RIGHT(G5486,LEN(G5486)-FIND("*",G5486)),"-")</f>
        <v>-</v>
      </c>
      <c r="W5486" s="27" t="str">
        <f t="shared" si="2986"/>
        <v>-</v>
      </c>
      <c r="X5486" s="27" t="str">
        <f>IFERROR(W5486*H5486,"-")</f>
        <v>-</v>
      </c>
      <c r="Z5486" s="94" t="s">
        <v>82</v>
      </c>
    </row>
    <row r="5487" spans="1:26" s="25" customFormat="1" ht="6.95" customHeight="1" x14ac:dyDescent="0.3">
      <c r="A5487" s="10"/>
      <c r="B5487" s="168"/>
      <c r="C5487" s="169"/>
      <c r="D5487" s="160"/>
      <c r="E5487" s="161"/>
      <c r="F5487" s="162"/>
      <c r="G5487" s="163"/>
      <c r="H5487" s="164"/>
      <c r="I5487" s="163"/>
      <c r="J5487" s="164"/>
      <c r="K5487" s="163"/>
      <c r="L5487" s="164"/>
      <c r="M5487" s="11"/>
      <c r="N5487" s="39"/>
      <c r="Q5487" s="15" t="str">
        <f>+CONCATENATE(E5486,I5486)</f>
        <v/>
      </c>
      <c r="R5487" s="15">
        <f>+J5486</f>
        <v>0</v>
      </c>
      <c r="S5487" s="16"/>
      <c r="T5487" s="15">
        <f>+E5486</f>
        <v>0</v>
      </c>
      <c r="U5487" s="26" t="str">
        <f>IFERROR(LEFT(I5486,FIND("*",I5486)-1),"-")</f>
        <v>-</v>
      </c>
      <c r="V5487" s="26" t="str">
        <f>IFERROR(RIGHT(I5486,LEN(I5486)-FIND("*",I5486)),"-")</f>
        <v>-</v>
      </c>
      <c r="W5487" s="27" t="str">
        <f t="shared" si="2986"/>
        <v>-</v>
      </c>
      <c r="X5487" s="27" t="str">
        <f t="shared" ref="X5487" si="2991">IFERROR(W5487*J5486,"-")</f>
        <v>-</v>
      </c>
      <c r="Z5487" s="94" t="s">
        <v>82</v>
      </c>
    </row>
    <row r="5488" spans="1:26" s="25" customFormat="1" ht="6.95" customHeight="1" x14ac:dyDescent="0.3">
      <c r="A5488" s="10"/>
      <c r="B5488" s="168"/>
      <c r="C5488" s="169"/>
      <c r="D5488" s="160"/>
      <c r="E5488" s="161"/>
      <c r="F5488" s="162"/>
      <c r="G5488" s="163"/>
      <c r="H5488" s="164"/>
      <c r="I5488" s="163"/>
      <c r="J5488" s="164"/>
      <c r="K5488" s="163"/>
      <c r="L5488" s="164"/>
      <c r="M5488" s="11"/>
      <c r="N5488" s="39"/>
      <c r="Q5488" s="15" t="str">
        <f>+CONCATENATE(E5486,K5486)</f>
        <v/>
      </c>
      <c r="R5488" s="15">
        <f>+L5486</f>
        <v>0</v>
      </c>
      <c r="S5488" s="16"/>
      <c r="T5488" s="15">
        <f>+E5486</f>
        <v>0</v>
      </c>
      <c r="U5488" s="26" t="str">
        <f>IFERROR(LEFT(K5486,FIND("*",K5486)-1),"-")</f>
        <v>-</v>
      </c>
      <c r="V5488" s="26" t="str">
        <f>IFERROR(RIGHT(K5486,LEN(K5486)-FIND("*",K5486)),"-")</f>
        <v>-</v>
      </c>
      <c r="W5488" s="27" t="str">
        <f t="shared" si="2986"/>
        <v>-</v>
      </c>
      <c r="X5488" s="27" t="str">
        <f>IFERROR(W5488*L5486,"-")</f>
        <v>-</v>
      </c>
      <c r="Z5488" s="94" t="s">
        <v>82</v>
      </c>
    </row>
    <row r="5489" spans="1:26" s="25" customFormat="1" ht="21" customHeight="1" thickBot="1" x14ac:dyDescent="0.35">
      <c r="A5489" s="10"/>
      <c r="B5489" s="170"/>
      <c r="C5489" s="171"/>
      <c r="D5489" s="172" t="s">
        <v>43</v>
      </c>
      <c r="E5489" s="173"/>
      <c r="F5489" s="173"/>
      <c r="G5489" s="174"/>
      <c r="H5489" s="174"/>
      <c r="I5489" s="174"/>
      <c r="J5489" s="174"/>
      <c r="K5489" s="174"/>
      <c r="L5489" s="174"/>
      <c r="M5489" s="12"/>
      <c r="N5489" s="39"/>
      <c r="U5489" s="23"/>
      <c r="V5489" s="23"/>
      <c r="Z5489" s="95" t="s">
        <v>81</v>
      </c>
    </row>
    <row r="5490" spans="1:26" s="25" customFormat="1" ht="9.9499999999999993" customHeight="1" thickBot="1" x14ac:dyDescent="0.35">
      <c r="A5490" s="6"/>
      <c r="B5490" s="14"/>
      <c r="C5490" s="119"/>
      <c r="D5490" s="58"/>
      <c r="E5490" s="17"/>
      <c r="F5490" s="58"/>
      <c r="G5490" s="19"/>
      <c r="H5490" s="19"/>
      <c r="I5490" s="19"/>
      <c r="J5490" s="19"/>
      <c r="K5490" s="19"/>
      <c r="L5490" s="19"/>
      <c r="M5490" s="14"/>
      <c r="N5490" s="39"/>
      <c r="Q5490" s="1"/>
      <c r="R5490" s="1"/>
      <c r="S5490" s="1"/>
      <c r="T5490" s="1"/>
      <c r="U5490" s="24"/>
      <c r="V5490" s="24"/>
      <c r="W5490" s="1"/>
      <c r="X5490" s="1"/>
      <c r="Z5490" s="94" t="s">
        <v>82</v>
      </c>
    </row>
    <row r="5491" spans="1:26" s="25" customFormat="1" ht="6.95" customHeight="1" x14ac:dyDescent="0.3">
      <c r="A5491" s="165">
        <f>+A5480+1</f>
        <v>500</v>
      </c>
      <c r="B5491" s="166"/>
      <c r="C5491" s="167"/>
      <c r="D5491" s="160" t="s">
        <v>39</v>
      </c>
      <c r="E5491" s="161"/>
      <c r="F5491" s="162" t="s">
        <v>40</v>
      </c>
      <c r="G5491" s="163"/>
      <c r="H5491" s="164"/>
      <c r="I5491" s="163"/>
      <c r="J5491" s="164"/>
      <c r="K5491" s="163"/>
      <c r="L5491" s="164"/>
      <c r="M5491" s="11"/>
      <c r="N5491" s="39"/>
      <c r="Q5491" s="15" t="str">
        <f>+CONCATENATE(E5491,G5491)</f>
        <v/>
      </c>
      <c r="R5491" s="15">
        <f>+H5491</f>
        <v>0</v>
      </c>
      <c r="S5491" s="16"/>
      <c r="T5491" s="15">
        <f>+E5491</f>
        <v>0</v>
      </c>
      <c r="U5491" s="26" t="str">
        <f>IFERROR(LEFT(G5491,FIND("*",G5491)-1),"-")</f>
        <v>-</v>
      </c>
      <c r="V5491" s="26" t="str">
        <f>IFERROR(RIGHT(G5491,LEN(G5491)-FIND("*",G5491)),"-")</f>
        <v>-</v>
      </c>
      <c r="W5491" s="27" t="str">
        <f>IFERROR((U5491+V5491)*2/1000,"-")</f>
        <v>-</v>
      </c>
      <c r="X5491" s="27" t="str">
        <f>IFERROR(W5491*H5491,"-")</f>
        <v>-</v>
      </c>
      <c r="Z5491" s="94" t="s">
        <v>82</v>
      </c>
    </row>
    <row r="5492" spans="1:26" s="25" customFormat="1" ht="6.95" customHeight="1" x14ac:dyDescent="0.3">
      <c r="A5492" s="165"/>
      <c r="B5492" s="168"/>
      <c r="C5492" s="169"/>
      <c r="D5492" s="160"/>
      <c r="E5492" s="161"/>
      <c r="F5492" s="162"/>
      <c r="G5492" s="163"/>
      <c r="H5492" s="164"/>
      <c r="I5492" s="163"/>
      <c r="J5492" s="164"/>
      <c r="K5492" s="163"/>
      <c r="L5492" s="164"/>
      <c r="M5492" s="11"/>
      <c r="N5492" s="39"/>
      <c r="Q5492" s="15" t="str">
        <f>+CONCATENATE(E5491,I5491)</f>
        <v/>
      </c>
      <c r="R5492" s="15">
        <f>+J5491</f>
        <v>0</v>
      </c>
      <c r="S5492" s="16"/>
      <c r="T5492" s="15">
        <f>+E5491</f>
        <v>0</v>
      </c>
      <c r="U5492" s="26" t="str">
        <f>IFERROR(LEFT(I5491,FIND("*",I5491)-1),"-")</f>
        <v>-</v>
      </c>
      <c r="V5492" s="26" t="str">
        <f>IFERROR(RIGHT(I5491,LEN(I5491)-FIND("*",I5491)),"-")</f>
        <v>-</v>
      </c>
      <c r="W5492" s="27" t="str">
        <f t="shared" ref="W5492:W5499" si="2992">IFERROR((U5492+V5492)*2/1000,"-")</f>
        <v>-</v>
      </c>
      <c r="X5492" s="27" t="str">
        <f>IFERROR(W5492*J5491,"-")</f>
        <v>-</v>
      </c>
      <c r="Z5492" s="94" t="s">
        <v>82</v>
      </c>
    </row>
    <row r="5493" spans="1:26" s="25" customFormat="1" ht="6.95" customHeight="1" x14ac:dyDescent="0.3">
      <c r="A5493" s="165"/>
      <c r="B5493" s="168"/>
      <c r="C5493" s="169"/>
      <c r="D5493" s="160"/>
      <c r="E5493" s="161"/>
      <c r="F5493" s="162"/>
      <c r="G5493" s="163"/>
      <c r="H5493" s="164"/>
      <c r="I5493" s="163"/>
      <c r="J5493" s="164"/>
      <c r="K5493" s="163"/>
      <c r="L5493" s="164"/>
      <c r="M5493" s="11"/>
      <c r="N5493" s="39"/>
      <c r="Q5493" s="15" t="str">
        <f>+CONCATENATE(E5491,K5491)</f>
        <v/>
      </c>
      <c r="R5493" s="15">
        <f>+L5491</f>
        <v>0</v>
      </c>
      <c r="S5493" s="16"/>
      <c r="T5493" s="15">
        <f>+E5491</f>
        <v>0</v>
      </c>
      <c r="U5493" s="26" t="str">
        <f>IFERROR(LEFT(K5491,FIND("*",K5491)-1),"-")</f>
        <v>-</v>
      </c>
      <c r="V5493" s="26" t="str">
        <f>IFERROR(RIGHT(K5491,LEN(K5491)-FIND("*",K5491)),"-")</f>
        <v>-</v>
      </c>
      <c r="W5493" s="27" t="str">
        <f t="shared" si="2992"/>
        <v>-</v>
      </c>
      <c r="X5493" s="27" t="str">
        <f>IFERROR(W5493*L5491,"-")</f>
        <v>-</v>
      </c>
      <c r="Z5493" s="94" t="s">
        <v>82</v>
      </c>
    </row>
    <row r="5494" spans="1:26" s="25" customFormat="1" ht="6.95" customHeight="1" x14ac:dyDescent="0.3">
      <c r="A5494" s="13"/>
      <c r="B5494" s="168"/>
      <c r="C5494" s="169"/>
      <c r="D5494" s="160" t="s">
        <v>39</v>
      </c>
      <c r="E5494" s="161"/>
      <c r="F5494" s="162" t="s">
        <v>40</v>
      </c>
      <c r="G5494" s="163"/>
      <c r="H5494" s="164"/>
      <c r="I5494" s="163"/>
      <c r="J5494" s="164"/>
      <c r="K5494" s="163"/>
      <c r="L5494" s="164"/>
      <c r="M5494" s="11"/>
      <c r="N5494" s="39"/>
      <c r="Q5494" s="15" t="str">
        <f>+CONCATENATE(E5494,G5494)</f>
        <v/>
      </c>
      <c r="R5494" s="15">
        <f>+H5494</f>
        <v>0</v>
      </c>
      <c r="S5494" s="16"/>
      <c r="T5494" s="15">
        <f>+E5494</f>
        <v>0</v>
      </c>
      <c r="U5494" s="26" t="str">
        <f t="shared" ref="U5494" si="2993">IFERROR(LEFT(G5494,FIND("*",G5494)-1),"-")</f>
        <v>-</v>
      </c>
      <c r="V5494" s="26" t="str">
        <f t="shared" ref="V5494" si="2994">IFERROR(RIGHT(G5494,LEN(G5494)-FIND("*",G5494)),"-")</f>
        <v>-</v>
      </c>
      <c r="W5494" s="27" t="str">
        <f t="shared" si="2992"/>
        <v>-</v>
      </c>
      <c r="X5494" s="27" t="str">
        <f>IFERROR(W5494*H5494,"-")</f>
        <v>-</v>
      </c>
      <c r="Z5494" s="94" t="s">
        <v>82</v>
      </c>
    </row>
    <row r="5495" spans="1:26" s="25" customFormat="1" ht="6.95" customHeight="1" x14ac:dyDescent="0.3">
      <c r="A5495" s="10"/>
      <c r="B5495" s="168"/>
      <c r="C5495" s="169"/>
      <c r="D5495" s="160"/>
      <c r="E5495" s="161"/>
      <c r="F5495" s="162"/>
      <c r="G5495" s="163"/>
      <c r="H5495" s="164"/>
      <c r="I5495" s="163"/>
      <c r="J5495" s="164"/>
      <c r="K5495" s="163"/>
      <c r="L5495" s="164"/>
      <c r="M5495" s="11"/>
      <c r="N5495" s="39"/>
      <c r="Q5495" s="15" t="str">
        <f>+CONCATENATE(E5494,I5494)</f>
        <v/>
      </c>
      <c r="R5495" s="15">
        <f>+J5494</f>
        <v>0</v>
      </c>
      <c r="S5495" s="16"/>
      <c r="T5495" s="15">
        <f>+E5494</f>
        <v>0</v>
      </c>
      <c r="U5495" s="26" t="str">
        <f>IFERROR(LEFT(I5494,FIND("*",I5494)-1),"-")</f>
        <v>-</v>
      </c>
      <c r="V5495" s="26" t="str">
        <f>IFERROR(RIGHT(I5494,LEN(I5494)-FIND("*",I5494)),"-")</f>
        <v>-</v>
      </c>
      <c r="W5495" s="27" t="str">
        <f t="shared" si="2992"/>
        <v>-</v>
      </c>
      <c r="X5495" s="27" t="str">
        <f>IFERROR(W5495*J5494,"-")</f>
        <v>-</v>
      </c>
      <c r="Z5495" s="94" t="s">
        <v>82</v>
      </c>
    </row>
    <row r="5496" spans="1:26" s="25" customFormat="1" ht="6.95" customHeight="1" x14ac:dyDescent="0.3">
      <c r="A5496" s="10"/>
      <c r="B5496" s="168"/>
      <c r="C5496" s="169"/>
      <c r="D5496" s="160"/>
      <c r="E5496" s="161"/>
      <c r="F5496" s="162"/>
      <c r="G5496" s="163"/>
      <c r="H5496" s="164"/>
      <c r="I5496" s="163"/>
      <c r="J5496" s="164"/>
      <c r="K5496" s="163"/>
      <c r="L5496" s="164"/>
      <c r="M5496" s="11"/>
      <c r="N5496" s="39"/>
      <c r="Q5496" s="15" t="str">
        <f>+CONCATENATE(E5494,K5494)</f>
        <v/>
      </c>
      <c r="R5496" s="15">
        <f>+L5494</f>
        <v>0</v>
      </c>
      <c r="S5496" s="16"/>
      <c r="T5496" s="15">
        <f>+E5494</f>
        <v>0</v>
      </c>
      <c r="U5496" s="26" t="str">
        <f>IFERROR(LEFT(K5494,FIND("*",K5494)-1),"-")</f>
        <v>-</v>
      </c>
      <c r="V5496" s="26" t="str">
        <f>IFERROR(RIGHT(K5494,LEN(K5494)-FIND("*",K5494)),"-")</f>
        <v>-</v>
      </c>
      <c r="W5496" s="27" t="str">
        <f t="shared" si="2992"/>
        <v>-</v>
      </c>
      <c r="X5496" s="27" t="str">
        <f>IFERROR(W5496*L5494,"-")</f>
        <v>-</v>
      </c>
      <c r="Z5496" s="94" t="s">
        <v>82</v>
      </c>
    </row>
    <row r="5497" spans="1:26" s="25" customFormat="1" ht="6.95" customHeight="1" x14ac:dyDescent="0.3">
      <c r="A5497" s="13"/>
      <c r="B5497" s="168"/>
      <c r="C5497" s="169"/>
      <c r="D5497" s="160" t="s">
        <v>39</v>
      </c>
      <c r="E5497" s="161"/>
      <c r="F5497" s="162" t="s">
        <v>40</v>
      </c>
      <c r="G5497" s="163"/>
      <c r="H5497" s="164"/>
      <c r="I5497" s="163"/>
      <c r="J5497" s="164"/>
      <c r="K5497" s="163"/>
      <c r="L5497" s="164"/>
      <c r="M5497" s="11"/>
      <c r="N5497" s="39"/>
      <c r="Q5497" s="15" t="str">
        <f>+CONCATENATE(E5497,G5497)</f>
        <v/>
      </c>
      <c r="R5497" s="15">
        <f>+H5497</f>
        <v>0</v>
      </c>
      <c r="S5497" s="16"/>
      <c r="T5497" s="15">
        <f>+E5497</f>
        <v>0</v>
      </c>
      <c r="U5497" s="26" t="str">
        <f t="shared" ref="U5497" si="2995">IFERROR(LEFT(G5497,FIND("*",G5497)-1),"-")</f>
        <v>-</v>
      </c>
      <c r="V5497" s="26" t="str">
        <f t="shared" ref="V5497" si="2996">IFERROR(RIGHT(G5497,LEN(G5497)-FIND("*",G5497)),"-")</f>
        <v>-</v>
      </c>
      <c r="W5497" s="27" t="str">
        <f t="shared" si="2992"/>
        <v>-</v>
      </c>
      <c r="X5497" s="27" t="str">
        <f>IFERROR(W5497*H5497,"-")</f>
        <v>-</v>
      </c>
      <c r="Z5497" s="94" t="s">
        <v>82</v>
      </c>
    </row>
    <row r="5498" spans="1:26" s="25" customFormat="1" ht="6.95" customHeight="1" x14ac:dyDescent="0.3">
      <c r="A5498" s="10"/>
      <c r="B5498" s="168"/>
      <c r="C5498" s="169"/>
      <c r="D5498" s="160"/>
      <c r="E5498" s="161"/>
      <c r="F5498" s="162"/>
      <c r="G5498" s="163"/>
      <c r="H5498" s="164"/>
      <c r="I5498" s="163"/>
      <c r="J5498" s="164"/>
      <c r="K5498" s="163"/>
      <c r="L5498" s="164"/>
      <c r="M5498" s="11"/>
      <c r="N5498" s="39"/>
      <c r="Q5498" s="15" t="str">
        <f>+CONCATENATE(E5497,I5497)</f>
        <v/>
      </c>
      <c r="R5498" s="15">
        <f>+J5497</f>
        <v>0</v>
      </c>
      <c r="S5498" s="16"/>
      <c r="T5498" s="15">
        <f>+E5497</f>
        <v>0</v>
      </c>
      <c r="U5498" s="26" t="str">
        <f>IFERROR(LEFT(I5497,FIND("*",I5497)-1),"-")</f>
        <v>-</v>
      </c>
      <c r="V5498" s="26" t="str">
        <f>IFERROR(RIGHT(I5497,LEN(I5497)-FIND("*",I5497)),"-")</f>
        <v>-</v>
      </c>
      <c r="W5498" s="27" t="str">
        <f t="shared" si="2992"/>
        <v>-</v>
      </c>
      <c r="X5498" s="27" t="str">
        <f t="shared" ref="X5498" si="2997">IFERROR(W5498*J5497,"-")</f>
        <v>-</v>
      </c>
      <c r="Z5498" s="94" t="s">
        <v>82</v>
      </c>
    </row>
    <row r="5499" spans="1:26" s="25" customFormat="1" ht="6.95" customHeight="1" x14ac:dyDescent="0.3">
      <c r="A5499" s="10"/>
      <c r="B5499" s="168"/>
      <c r="C5499" s="169"/>
      <c r="D5499" s="160"/>
      <c r="E5499" s="161"/>
      <c r="F5499" s="162"/>
      <c r="G5499" s="163"/>
      <c r="H5499" s="164"/>
      <c r="I5499" s="163"/>
      <c r="J5499" s="164"/>
      <c r="K5499" s="163"/>
      <c r="L5499" s="164"/>
      <c r="M5499" s="11"/>
      <c r="N5499" s="39"/>
      <c r="Q5499" s="15" t="str">
        <f>+CONCATENATE(E5497,K5497)</f>
        <v/>
      </c>
      <c r="R5499" s="15">
        <f>+L5497</f>
        <v>0</v>
      </c>
      <c r="S5499" s="16"/>
      <c r="T5499" s="15">
        <f>+E5497</f>
        <v>0</v>
      </c>
      <c r="U5499" s="26" t="str">
        <f>IFERROR(LEFT(K5497,FIND("*",K5497)-1),"-")</f>
        <v>-</v>
      </c>
      <c r="V5499" s="26" t="str">
        <f>IFERROR(RIGHT(K5497,LEN(K5497)-FIND("*",K5497)),"-")</f>
        <v>-</v>
      </c>
      <c r="W5499" s="27" t="str">
        <f t="shared" si="2992"/>
        <v>-</v>
      </c>
      <c r="X5499" s="27" t="str">
        <f>IFERROR(W5499*L5497,"-")</f>
        <v>-</v>
      </c>
      <c r="Z5499" s="94" t="s">
        <v>82</v>
      </c>
    </row>
    <row r="5500" spans="1:26" s="25" customFormat="1" ht="21" customHeight="1" thickBot="1" x14ac:dyDescent="0.35">
      <c r="A5500" s="10"/>
      <c r="B5500" s="170"/>
      <c r="C5500" s="171"/>
      <c r="D5500" s="172" t="s">
        <v>43</v>
      </c>
      <c r="E5500" s="173"/>
      <c r="F5500" s="173"/>
      <c r="G5500" s="174"/>
      <c r="H5500" s="174"/>
      <c r="I5500" s="174"/>
      <c r="J5500" s="174"/>
      <c r="K5500" s="174"/>
      <c r="L5500" s="174"/>
      <c r="M5500" s="12"/>
      <c r="N5500" s="39"/>
      <c r="U5500" s="23"/>
      <c r="V5500" s="23"/>
      <c r="Z5500" s="95" t="s">
        <v>81</v>
      </c>
    </row>
    <row r="5501" spans="1:26" s="25" customFormat="1" ht="9.9499999999999993" customHeight="1" thickBot="1" x14ac:dyDescent="0.35">
      <c r="A5501" s="6"/>
      <c r="B5501" s="14"/>
      <c r="C5501" s="119"/>
      <c r="D5501" s="58"/>
      <c r="E5501" s="17"/>
      <c r="F5501" s="58"/>
      <c r="G5501" s="19"/>
      <c r="H5501" s="19"/>
      <c r="I5501" s="19"/>
      <c r="J5501" s="19"/>
      <c r="K5501" s="19"/>
      <c r="L5501" s="19"/>
      <c r="M5501" s="14"/>
      <c r="N5501" s="39"/>
      <c r="Q5501" s="1"/>
      <c r="R5501" s="1"/>
      <c r="S5501" s="1"/>
      <c r="T5501" s="1"/>
      <c r="U5501" s="24"/>
      <c r="V5501" s="24"/>
      <c r="W5501" s="1"/>
      <c r="X5501" s="1"/>
      <c r="Z5501" s="94" t="s">
        <v>82</v>
      </c>
    </row>
    <row r="5502" spans="1:26" s="25" customFormat="1" ht="6.95" customHeight="1" x14ac:dyDescent="0.3">
      <c r="A5502" s="165">
        <f>+A5491+1</f>
        <v>501</v>
      </c>
      <c r="B5502" s="166"/>
      <c r="C5502" s="167"/>
      <c r="D5502" s="160" t="s">
        <v>39</v>
      </c>
      <c r="E5502" s="161"/>
      <c r="F5502" s="162" t="s">
        <v>40</v>
      </c>
      <c r="G5502" s="163"/>
      <c r="H5502" s="164"/>
      <c r="I5502" s="163"/>
      <c r="J5502" s="164"/>
      <c r="K5502" s="163"/>
      <c r="L5502" s="164"/>
      <c r="M5502" s="11"/>
      <c r="N5502" s="39"/>
      <c r="Q5502" s="15" t="str">
        <f>+CONCATENATE(E5502,G5502)</f>
        <v/>
      </c>
      <c r="R5502" s="15">
        <f>+H5502</f>
        <v>0</v>
      </c>
      <c r="S5502" s="16"/>
      <c r="T5502" s="15">
        <f>+E5502</f>
        <v>0</v>
      </c>
      <c r="U5502" s="26" t="str">
        <f>IFERROR(LEFT(G5502,FIND("*",G5502)-1),"-")</f>
        <v>-</v>
      </c>
      <c r="V5502" s="26" t="str">
        <f>IFERROR(RIGHT(G5502,LEN(G5502)-FIND("*",G5502)),"-")</f>
        <v>-</v>
      </c>
      <c r="W5502" s="27" t="str">
        <f>IFERROR((U5502+V5502)*2/1000,"-")</f>
        <v>-</v>
      </c>
      <c r="X5502" s="27" t="str">
        <f>IFERROR(W5502*H5502,"-")</f>
        <v>-</v>
      </c>
      <c r="Z5502" s="94" t="s">
        <v>82</v>
      </c>
    </row>
    <row r="5503" spans="1:26" s="25" customFormat="1" ht="6.95" customHeight="1" x14ac:dyDescent="0.3">
      <c r="A5503" s="165"/>
      <c r="B5503" s="168"/>
      <c r="C5503" s="169"/>
      <c r="D5503" s="160"/>
      <c r="E5503" s="161"/>
      <c r="F5503" s="162"/>
      <c r="G5503" s="163"/>
      <c r="H5503" s="164"/>
      <c r="I5503" s="163"/>
      <c r="J5503" s="164"/>
      <c r="K5503" s="163"/>
      <c r="L5503" s="164"/>
      <c r="M5503" s="11"/>
      <c r="N5503" s="39"/>
      <c r="Q5503" s="15" t="str">
        <f>+CONCATENATE(E5502,I5502)</f>
        <v/>
      </c>
      <c r="R5503" s="15">
        <f>+J5502</f>
        <v>0</v>
      </c>
      <c r="S5503" s="16"/>
      <c r="T5503" s="15">
        <f>+E5502</f>
        <v>0</v>
      </c>
      <c r="U5503" s="26" t="str">
        <f>IFERROR(LEFT(I5502,FIND("*",I5502)-1),"-")</f>
        <v>-</v>
      </c>
      <c r="V5503" s="26" t="str">
        <f>IFERROR(RIGHT(I5502,LEN(I5502)-FIND("*",I5502)),"-")</f>
        <v>-</v>
      </c>
      <c r="W5503" s="27" t="str">
        <f t="shared" ref="W5503:W5510" si="2998">IFERROR((U5503+V5503)*2/1000,"-")</f>
        <v>-</v>
      </c>
      <c r="X5503" s="27" t="str">
        <f>IFERROR(W5503*J5502,"-")</f>
        <v>-</v>
      </c>
      <c r="Z5503" s="94" t="s">
        <v>82</v>
      </c>
    </row>
    <row r="5504" spans="1:26" s="25" customFormat="1" ht="6.95" customHeight="1" x14ac:dyDescent="0.3">
      <c r="A5504" s="165"/>
      <c r="B5504" s="168"/>
      <c r="C5504" s="169"/>
      <c r="D5504" s="160"/>
      <c r="E5504" s="161"/>
      <c r="F5504" s="162"/>
      <c r="G5504" s="163"/>
      <c r="H5504" s="164"/>
      <c r="I5504" s="163"/>
      <c r="J5504" s="164"/>
      <c r="K5504" s="163"/>
      <c r="L5504" s="164"/>
      <c r="M5504" s="11"/>
      <c r="N5504" s="39"/>
      <c r="Q5504" s="15" t="str">
        <f>+CONCATENATE(E5502,K5502)</f>
        <v/>
      </c>
      <c r="R5504" s="15">
        <f>+L5502</f>
        <v>0</v>
      </c>
      <c r="S5504" s="16"/>
      <c r="T5504" s="15">
        <f>+E5502</f>
        <v>0</v>
      </c>
      <c r="U5504" s="26" t="str">
        <f>IFERROR(LEFT(K5502,FIND("*",K5502)-1),"-")</f>
        <v>-</v>
      </c>
      <c r="V5504" s="26" t="str">
        <f>IFERROR(RIGHT(K5502,LEN(K5502)-FIND("*",K5502)),"-")</f>
        <v>-</v>
      </c>
      <c r="W5504" s="27" t="str">
        <f t="shared" si="2998"/>
        <v>-</v>
      </c>
      <c r="X5504" s="27" t="str">
        <f>IFERROR(W5504*L5502,"-")</f>
        <v>-</v>
      </c>
      <c r="Z5504" s="94" t="s">
        <v>82</v>
      </c>
    </row>
    <row r="5505" spans="1:26" s="25" customFormat="1" ht="6.95" customHeight="1" x14ac:dyDescent="0.3">
      <c r="A5505" s="13"/>
      <c r="B5505" s="168"/>
      <c r="C5505" s="169"/>
      <c r="D5505" s="160" t="s">
        <v>39</v>
      </c>
      <c r="E5505" s="161"/>
      <c r="F5505" s="162" t="s">
        <v>40</v>
      </c>
      <c r="G5505" s="163"/>
      <c r="H5505" s="164"/>
      <c r="I5505" s="163"/>
      <c r="J5505" s="164"/>
      <c r="K5505" s="163"/>
      <c r="L5505" s="164"/>
      <c r="M5505" s="11"/>
      <c r="N5505" s="39"/>
      <c r="Q5505" s="15" t="str">
        <f>+CONCATENATE(E5505,G5505)</f>
        <v/>
      </c>
      <c r="R5505" s="15">
        <f>+H5505</f>
        <v>0</v>
      </c>
      <c r="S5505" s="16"/>
      <c r="T5505" s="15">
        <f>+E5505</f>
        <v>0</v>
      </c>
      <c r="U5505" s="26" t="str">
        <f t="shared" ref="U5505" si="2999">IFERROR(LEFT(G5505,FIND("*",G5505)-1),"-")</f>
        <v>-</v>
      </c>
      <c r="V5505" s="26" t="str">
        <f t="shared" ref="V5505" si="3000">IFERROR(RIGHT(G5505,LEN(G5505)-FIND("*",G5505)),"-")</f>
        <v>-</v>
      </c>
      <c r="W5505" s="27" t="str">
        <f t="shared" si="2998"/>
        <v>-</v>
      </c>
      <c r="X5505" s="27" t="str">
        <f>IFERROR(W5505*H5505,"-")</f>
        <v>-</v>
      </c>
      <c r="Z5505" s="94" t="s">
        <v>82</v>
      </c>
    </row>
    <row r="5506" spans="1:26" s="25" customFormat="1" ht="6.95" customHeight="1" x14ac:dyDescent="0.3">
      <c r="A5506" s="10"/>
      <c r="B5506" s="168"/>
      <c r="C5506" s="169"/>
      <c r="D5506" s="160"/>
      <c r="E5506" s="161"/>
      <c r="F5506" s="162"/>
      <c r="G5506" s="163"/>
      <c r="H5506" s="164"/>
      <c r="I5506" s="163"/>
      <c r="J5506" s="164"/>
      <c r="K5506" s="163"/>
      <c r="L5506" s="164"/>
      <c r="M5506" s="11"/>
      <c r="N5506" s="39"/>
      <c r="Q5506" s="15" t="str">
        <f>+CONCATENATE(E5505,I5505)</f>
        <v/>
      </c>
      <c r="R5506" s="15">
        <f>+J5505</f>
        <v>0</v>
      </c>
      <c r="S5506" s="16"/>
      <c r="T5506" s="15">
        <f>+E5505</f>
        <v>0</v>
      </c>
      <c r="U5506" s="26" t="str">
        <f>IFERROR(LEFT(I5505,FIND("*",I5505)-1),"-")</f>
        <v>-</v>
      </c>
      <c r="V5506" s="26" t="str">
        <f>IFERROR(RIGHT(I5505,LEN(I5505)-FIND("*",I5505)),"-")</f>
        <v>-</v>
      </c>
      <c r="W5506" s="27" t="str">
        <f t="shared" si="2998"/>
        <v>-</v>
      </c>
      <c r="X5506" s="27" t="str">
        <f>IFERROR(W5506*J5505,"-")</f>
        <v>-</v>
      </c>
      <c r="Z5506" s="94" t="s">
        <v>82</v>
      </c>
    </row>
    <row r="5507" spans="1:26" s="25" customFormat="1" ht="6.95" customHeight="1" x14ac:dyDescent="0.3">
      <c r="A5507" s="10"/>
      <c r="B5507" s="168"/>
      <c r="C5507" s="169"/>
      <c r="D5507" s="160"/>
      <c r="E5507" s="161"/>
      <c r="F5507" s="162"/>
      <c r="G5507" s="163"/>
      <c r="H5507" s="164"/>
      <c r="I5507" s="163"/>
      <c r="J5507" s="164"/>
      <c r="K5507" s="163"/>
      <c r="L5507" s="164"/>
      <c r="M5507" s="11"/>
      <c r="N5507" s="39"/>
      <c r="Q5507" s="15" t="str">
        <f>+CONCATENATE(E5505,K5505)</f>
        <v/>
      </c>
      <c r="R5507" s="15">
        <f>+L5505</f>
        <v>0</v>
      </c>
      <c r="S5507" s="16"/>
      <c r="T5507" s="15">
        <f>+E5505</f>
        <v>0</v>
      </c>
      <c r="U5507" s="26" t="str">
        <f>IFERROR(LEFT(K5505,FIND("*",K5505)-1),"-")</f>
        <v>-</v>
      </c>
      <c r="V5507" s="26" t="str">
        <f>IFERROR(RIGHT(K5505,LEN(K5505)-FIND("*",K5505)),"-")</f>
        <v>-</v>
      </c>
      <c r="W5507" s="27" t="str">
        <f t="shared" si="2998"/>
        <v>-</v>
      </c>
      <c r="X5507" s="27" t="str">
        <f>IFERROR(W5507*L5505,"-")</f>
        <v>-</v>
      </c>
      <c r="Z5507" s="94" t="s">
        <v>82</v>
      </c>
    </row>
    <row r="5508" spans="1:26" s="25" customFormat="1" ht="6.95" customHeight="1" x14ac:dyDescent="0.3">
      <c r="A5508" s="13"/>
      <c r="B5508" s="168"/>
      <c r="C5508" s="169"/>
      <c r="D5508" s="160" t="s">
        <v>39</v>
      </c>
      <c r="E5508" s="161"/>
      <c r="F5508" s="162" t="s">
        <v>40</v>
      </c>
      <c r="G5508" s="163"/>
      <c r="H5508" s="164"/>
      <c r="I5508" s="163"/>
      <c r="J5508" s="164"/>
      <c r="K5508" s="163"/>
      <c r="L5508" s="164"/>
      <c r="M5508" s="11"/>
      <c r="N5508" s="39"/>
      <c r="Q5508" s="15" t="str">
        <f>+CONCATENATE(E5508,G5508)</f>
        <v/>
      </c>
      <c r="R5508" s="15">
        <f>+H5508</f>
        <v>0</v>
      </c>
      <c r="S5508" s="16"/>
      <c r="T5508" s="15">
        <f>+E5508</f>
        <v>0</v>
      </c>
      <c r="U5508" s="26" t="str">
        <f t="shared" ref="U5508" si="3001">IFERROR(LEFT(G5508,FIND("*",G5508)-1),"-")</f>
        <v>-</v>
      </c>
      <c r="V5508" s="26" t="str">
        <f t="shared" ref="V5508" si="3002">IFERROR(RIGHT(G5508,LEN(G5508)-FIND("*",G5508)),"-")</f>
        <v>-</v>
      </c>
      <c r="W5508" s="27" t="str">
        <f t="shared" si="2998"/>
        <v>-</v>
      </c>
      <c r="X5508" s="27" t="str">
        <f>IFERROR(W5508*H5508,"-")</f>
        <v>-</v>
      </c>
      <c r="Z5508" s="94" t="s">
        <v>82</v>
      </c>
    </row>
    <row r="5509" spans="1:26" s="25" customFormat="1" ht="6.95" customHeight="1" x14ac:dyDescent="0.3">
      <c r="A5509" s="10"/>
      <c r="B5509" s="168"/>
      <c r="C5509" s="169"/>
      <c r="D5509" s="160"/>
      <c r="E5509" s="161"/>
      <c r="F5509" s="162"/>
      <c r="G5509" s="163"/>
      <c r="H5509" s="164"/>
      <c r="I5509" s="163"/>
      <c r="J5509" s="164"/>
      <c r="K5509" s="163"/>
      <c r="L5509" s="164"/>
      <c r="M5509" s="11"/>
      <c r="N5509" s="39"/>
      <c r="Q5509" s="15" t="str">
        <f>+CONCATENATE(E5508,I5508)</f>
        <v/>
      </c>
      <c r="R5509" s="15">
        <f>+J5508</f>
        <v>0</v>
      </c>
      <c r="S5509" s="16"/>
      <c r="T5509" s="15">
        <f>+E5508</f>
        <v>0</v>
      </c>
      <c r="U5509" s="26" t="str">
        <f>IFERROR(LEFT(I5508,FIND("*",I5508)-1),"-")</f>
        <v>-</v>
      </c>
      <c r="V5509" s="26" t="str">
        <f>IFERROR(RIGHT(I5508,LEN(I5508)-FIND("*",I5508)),"-")</f>
        <v>-</v>
      </c>
      <c r="W5509" s="27" t="str">
        <f t="shared" si="2998"/>
        <v>-</v>
      </c>
      <c r="X5509" s="27" t="str">
        <f t="shared" ref="X5509" si="3003">IFERROR(W5509*J5508,"-")</f>
        <v>-</v>
      </c>
      <c r="Z5509" s="94" t="s">
        <v>82</v>
      </c>
    </row>
    <row r="5510" spans="1:26" s="25" customFormat="1" ht="6.95" customHeight="1" x14ac:dyDescent="0.3">
      <c r="A5510" s="10"/>
      <c r="B5510" s="168"/>
      <c r="C5510" s="169"/>
      <c r="D5510" s="160"/>
      <c r="E5510" s="161"/>
      <c r="F5510" s="162"/>
      <c r="G5510" s="163"/>
      <c r="H5510" s="164"/>
      <c r="I5510" s="163"/>
      <c r="J5510" s="164"/>
      <c r="K5510" s="163"/>
      <c r="L5510" s="164"/>
      <c r="M5510" s="11"/>
      <c r="N5510" s="39"/>
      <c r="Q5510" s="15" t="str">
        <f>+CONCATENATE(E5508,K5508)</f>
        <v/>
      </c>
      <c r="R5510" s="15">
        <f>+L5508</f>
        <v>0</v>
      </c>
      <c r="S5510" s="16"/>
      <c r="T5510" s="15">
        <f>+E5508</f>
        <v>0</v>
      </c>
      <c r="U5510" s="26" t="str">
        <f>IFERROR(LEFT(K5508,FIND("*",K5508)-1),"-")</f>
        <v>-</v>
      </c>
      <c r="V5510" s="26" t="str">
        <f>IFERROR(RIGHT(K5508,LEN(K5508)-FIND("*",K5508)),"-")</f>
        <v>-</v>
      </c>
      <c r="W5510" s="27" t="str">
        <f t="shared" si="2998"/>
        <v>-</v>
      </c>
      <c r="X5510" s="27" t="str">
        <f>IFERROR(W5510*L5508,"-")</f>
        <v>-</v>
      </c>
      <c r="Z5510" s="94" t="s">
        <v>82</v>
      </c>
    </row>
    <row r="5511" spans="1:26" s="25" customFormat="1" ht="21" customHeight="1" thickBot="1" x14ac:dyDescent="0.35">
      <c r="A5511" s="10"/>
      <c r="B5511" s="170"/>
      <c r="C5511" s="171"/>
      <c r="D5511" s="172" t="s">
        <v>43</v>
      </c>
      <c r="E5511" s="173"/>
      <c r="F5511" s="173"/>
      <c r="G5511" s="174"/>
      <c r="H5511" s="174"/>
      <c r="I5511" s="174"/>
      <c r="J5511" s="174"/>
      <c r="K5511" s="174"/>
      <c r="L5511" s="174"/>
      <c r="M5511" s="12"/>
      <c r="N5511" s="39"/>
      <c r="U5511" s="23"/>
      <c r="V5511" s="23"/>
      <c r="Z5511" s="95" t="s">
        <v>81</v>
      </c>
    </row>
    <row r="5512" spans="1:26" s="25" customFormat="1" ht="9.9499999999999993" customHeight="1" thickBot="1" x14ac:dyDescent="0.35">
      <c r="A5512" s="6"/>
      <c r="B5512" s="14"/>
      <c r="C5512" s="119"/>
      <c r="D5512" s="58"/>
      <c r="E5512" s="17"/>
      <c r="F5512" s="58"/>
      <c r="G5512" s="19"/>
      <c r="H5512" s="19"/>
      <c r="I5512" s="19"/>
      <c r="J5512" s="19"/>
      <c r="K5512" s="19"/>
      <c r="L5512" s="19"/>
      <c r="M5512" s="14"/>
      <c r="N5512" s="39"/>
      <c r="Q5512" s="1"/>
      <c r="R5512" s="1"/>
      <c r="S5512" s="1"/>
      <c r="T5512" s="1"/>
      <c r="U5512" s="24"/>
      <c r="V5512" s="24"/>
      <c r="W5512" s="1"/>
      <c r="X5512" s="1"/>
      <c r="Z5512" s="94" t="s">
        <v>82</v>
      </c>
    </row>
    <row r="5513" spans="1:26" s="25" customFormat="1" ht="6.95" customHeight="1" x14ac:dyDescent="0.3">
      <c r="A5513" s="165">
        <f>+A5502+1</f>
        <v>502</v>
      </c>
      <c r="B5513" s="166"/>
      <c r="C5513" s="167"/>
      <c r="D5513" s="160" t="s">
        <v>39</v>
      </c>
      <c r="E5513" s="161"/>
      <c r="F5513" s="162" t="s">
        <v>40</v>
      </c>
      <c r="G5513" s="163"/>
      <c r="H5513" s="164"/>
      <c r="I5513" s="163"/>
      <c r="J5513" s="164"/>
      <c r="K5513" s="163"/>
      <c r="L5513" s="164"/>
      <c r="M5513" s="11"/>
      <c r="N5513" s="39"/>
      <c r="Q5513" s="15" t="str">
        <f>+CONCATENATE(E5513,G5513)</f>
        <v/>
      </c>
      <c r="R5513" s="15">
        <f>+H5513</f>
        <v>0</v>
      </c>
      <c r="S5513" s="16"/>
      <c r="T5513" s="15">
        <f>+E5513</f>
        <v>0</v>
      </c>
      <c r="U5513" s="26" t="str">
        <f>IFERROR(LEFT(G5513,FIND("*",G5513)-1),"-")</f>
        <v>-</v>
      </c>
      <c r="V5513" s="26" t="str">
        <f>IFERROR(RIGHT(G5513,LEN(G5513)-FIND("*",G5513)),"-")</f>
        <v>-</v>
      </c>
      <c r="W5513" s="27" t="str">
        <f>IFERROR((U5513+V5513)*2/1000,"-")</f>
        <v>-</v>
      </c>
      <c r="X5513" s="27" t="str">
        <f>IFERROR(W5513*H5513,"-")</f>
        <v>-</v>
      </c>
      <c r="Z5513" s="94" t="s">
        <v>82</v>
      </c>
    </row>
    <row r="5514" spans="1:26" s="25" customFormat="1" ht="6.95" customHeight="1" x14ac:dyDescent="0.3">
      <c r="A5514" s="165"/>
      <c r="B5514" s="168"/>
      <c r="C5514" s="169"/>
      <c r="D5514" s="160"/>
      <c r="E5514" s="161"/>
      <c r="F5514" s="162"/>
      <c r="G5514" s="163"/>
      <c r="H5514" s="164"/>
      <c r="I5514" s="163"/>
      <c r="J5514" s="164"/>
      <c r="K5514" s="163"/>
      <c r="L5514" s="164"/>
      <c r="M5514" s="11"/>
      <c r="N5514" s="39"/>
      <c r="Q5514" s="15" t="str">
        <f>+CONCATENATE(E5513,I5513)</f>
        <v/>
      </c>
      <c r="R5514" s="15">
        <f>+J5513</f>
        <v>0</v>
      </c>
      <c r="S5514" s="16"/>
      <c r="T5514" s="15">
        <f>+E5513</f>
        <v>0</v>
      </c>
      <c r="U5514" s="26" t="str">
        <f>IFERROR(LEFT(I5513,FIND("*",I5513)-1),"-")</f>
        <v>-</v>
      </c>
      <c r="V5514" s="26" t="str">
        <f>IFERROR(RIGHT(I5513,LEN(I5513)-FIND("*",I5513)),"-")</f>
        <v>-</v>
      </c>
      <c r="W5514" s="27" t="str">
        <f t="shared" ref="W5514:W5521" si="3004">IFERROR((U5514+V5514)*2/1000,"-")</f>
        <v>-</v>
      </c>
      <c r="X5514" s="27" t="str">
        <f>IFERROR(W5514*J5513,"-")</f>
        <v>-</v>
      </c>
      <c r="Z5514" s="94" t="s">
        <v>82</v>
      </c>
    </row>
    <row r="5515" spans="1:26" s="25" customFormat="1" ht="6.95" customHeight="1" x14ac:dyDescent="0.3">
      <c r="A5515" s="165"/>
      <c r="B5515" s="168"/>
      <c r="C5515" s="169"/>
      <c r="D5515" s="160"/>
      <c r="E5515" s="161"/>
      <c r="F5515" s="162"/>
      <c r="G5515" s="163"/>
      <c r="H5515" s="164"/>
      <c r="I5515" s="163"/>
      <c r="J5515" s="164"/>
      <c r="K5515" s="163"/>
      <c r="L5515" s="164"/>
      <c r="M5515" s="11"/>
      <c r="N5515" s="39"/>
      <c r="Q5515" s="15" t="str">
        <f>+CONCATENATE(E5513,K5513)</f>
        <v/>
      </c>
      <c r="R5515" s="15">
        <f>+L5513</f>
        <v>0</v>
      </c>
      <c r="S5515" s="16"/>
      <c r="T5515" s="15">
        <f>+E5513</f>
        <v>0</v>
      </c>
      <c r="U5515" s="26" t="str">
        <f>IFERROR(LEFT(K5513,FIND("*",K5513)-1),"-")</f>
        <v>-</v>
      </c>
      <c r="V5515" s="26" t="str">
        <f>IFERROR(RIGHT(K5513,LEN(K5513)-FIND("*",K5513)),"-")</f>
        <v>-</v>
      </c>
      <c r="W5515" s="27" t="str">
        <f t="shared" si="3004"/>
        <v>-</v>
      </c>
      <c r="X5515" s="27" t="str">
        <f>IFERROR(W5515*L5513,"-")</f>
        <v>-</v>
      </c>
      <c r="Z5515" s="94" t="s">
        <v>82</v>
      </c>
    </row>
    <row r="5516" spans="1:26" s="25" customFormat="1" ht="6.95" customHeight="1" x14ac:dyDescent="0.3">
      <c r="A5516" s="13"/>
      <c r="B5516" s="168"/>
      <c r="C5516" s="169"/>
      <c r="D5516" s="160" t="s">
        <v>39</v>
      </c>
      <c r="E5516" s="161"/>
      <c r="F5516" s="162" t="s">
        <v>40</v>
      </c>
      <c r="G5516" s="163"/>
      <c r="H5516" s="164"/>
      <c r="I5516" s="163"/>
      <c r="J5516" s="164"/>
      <c r="K5516" s="163"/>
      <c r="L5516" s="164"/>
      <c r="M5516" s="11"/>
      <c r="N5516" s="39"/>
      <c r="Q5516" s="15" t="str">
        <f>+CONCATENATE(E5516,G5516)</f>
        <v/>
      </c>
      <c r="R5516" s="15">
        <f>+H5516</f>
        <v>0</v>
      </c>
      <c r="S5516" s="16"/>
      <c r="T5516" s="15">
        <f>+E5516</f>
        <v>0</v>
      </c>
      <c r="U5516" s="26" t="str">
        <f t="shared" ref="U5516" si="3005">IFERROR(LEFT(G5516,FIND("*",G5516)-1),"-")</f>
        <v>-</v>
      </c>
      <c r="V5516" s="26" t="str">
        <f t="shared" ref="V5516" si="3006">IFERROR(RIGHT(G5516,LEN(G5516)-FIND("*",G5516)),"-")</f>
        <v>-</v>
      </c>
      <c r="W5516" s="27" t="str">
        <f t="shared" si="3004"/>
        <v>-</v>
      </c>
      <c r="X5516" s="27" t="str">
        <f>IFERROR(W5516*H5516,"-")</f>
        <v>-</v>
      </c>
      <c r="Z5516" s="94" t="s">
        <v>82</v>
      </c>
    </row>
    <row r="5517" spans="1:26" s="25" customFormat="1" ht="6.95" customHeight="1" x14ac:dyDescent="0.3">
      <c r="A5517" s="10"/>
      <c r="B5517" s="168"/>
      <c r="C5517" s="169"/>
      <c r="D5517" s="160"/>
      <c r="E5517" s="161"/>
      <c r="F5517" s="162"/>
      <c r="G5517" s="163"/>
      <c r="H5517" s="164"/>
      <c r="I5517" s="163"/>
      <c r="J5517" s="164"/>
      <c r="K5517" s="163"/>
      <c r="L5517" s="164"/>
      <c r="M5517" s="11"/>
      <c r="N5517" s="39"/>
      <c r="Q5517" s="15" t="str">
        <f>+CONCATENATE(E5516,I5516)</f>
        <v/>
      </c>
      <c r="R5517" s="15">
        <f>+J5516</f>
        <v>0</v>
      </c>
      <c r="S5517" s="16"/>
      <c r="T5517" s="15">
        <f>+E5516</f>
        <v>0</v>
      </c>
      <c r="U5517" s="26" t="str">
        <f>IFERROR(LEFT(I5516,FIND("*",I5516)-1),"-")</f>
        <v>-</v>
      </c>
      <c r="V5517" s="26" t="str">
        <f>IFERROR(RIGHT(I5516,LEN(I5516)-FIND("*",I5516)),"-")</f>
        <v>-</v>
      </c>
      <c r="W5517" s="27" t="str">
        <f t="shared" si="3004"/>
        <v>-</v>
      </c>
      <c r="X5517" s="27" t="str">
        <f>IFERROR(W5517*J5516,"-")</f>
        <v>-</v>
      </c>
      <c r="Z5517" s="94" t="s">
        <v>82</v>
      </c>
    </row>
    <row r="5518" spans="1:26" s="25" customFormat="1" ht="6.95" customHeight="1" x14ac:dyDescent="0.3">
      <c r="A5518" s="10"/>
      <c r="B5518" s="168"/>
      <c r="C5518" s="169"/>
      <c r="D5518" s="160"/>
      <c r="E5518" s="161"/>
      <c r="F5518" s="162"/>
      <c r="G5518" s="163"/>
      <c r="H5518" s="164"/>
      <c r="I5518" s="163"/>
      <c r="J5518" s="164"/>
      <c r="K5518" s="163"/>
      <c r="L5518" s="164"/>
      <c r="M5518" s="11"/>
      <c r="N5518" s="39"/>
      <c r="Q5518" s="15" t="str">
        <f>+CONCATENATE(E5516,K5516)</f>
        <v/>
      </c>
      <c r="R5518" s="15">
        <f>+L5516</f>
        <v>0</v>
      </c>
      <c r="S5518" s="16"/>
      <c r="T5518" s="15">
        <f>+E5516</f>
        <v>0</v>
      </c>
      <c r="U5518" s="26" t="str">
        <f>IFERROR(LEFT(K5516,FIND("*",K5516)-1),"-")</f>
        <v>-</v>
      </c>
      <c r="V5518" s="26" t="str">
        <f>IFERROR(RIGHT(K5516,LEN(K5516)-FIND("*",K5516)),"-")</f>
        <v>-</v>
      </c>
      <c r="W5518" s="27" t="str">
        <f t="shared" si="3004"/>
        <v>-</v>
      </c>
      <c r="X5518" s="27" t="str">
        <f>IFERROR(W5518*L5516,"-")</f>
        <v>-</v>
      </c>
      <c r="Z5518" s="94" t="s">
        <v>82</v>
      </c>
    </row>
    <row r="5519" spans="1:26" s="25" customFormat="1" ht="6.95" customHeight="1" x14ac:dyDescent="0.3">
      <c r="A5519" s="13"/>
      <c r="B5519" s="168"/>
      <c r="C5519" s="169"/>
      <c r="D5519" s="160" t="s">
        <v>39</v>
      </c>
      <c r="E5519" s="161"/>
      <c r="F5519" s="162" t="s">
        <v>40</v>
      </c>
      <c r="G5519" s="163"/>
      <c r="H5519" s="164"/>
      <c r="I5519" s="163"/>
      <c r="J5519" s="164"/>
      <c r="K5519" s="163"/>
      <c r="L5519" s="164"/>
      <c r="M5519" s="11"/>
      <c r="N5519" s="39"/>
      <c r="Q5519" s="15" t="str">
        <f>+CONCATENATE(E5519,G5519)</f>
        <v/>
      </c>
      <c r="R5519" s="15">
        <f>+H5519</f>
        <v>0</v>
      </c>
      <c r="S5519" s="16"/>
      <c r="T5519" s="15">
        <f>+E5519</f>
        <v>0</v>
      </c>
      <c r="U5519" s="26" t="str">
        <f t="shared" ref="U5519" si="3007">IFERROR(LEFT(G5519,FIND("*",G5519)-1),"-")</f>
        <v>-</v>
      </c>
      <c r="V5519" s="26" t="str">
        <f t="shared" ref="V5519" si="3008">IFERROR(RIGHT(G5519,LEN(G5519)-FIND("*",G5519)),"-")</f>
        <v>-</v>
      </c>
      <c r="W5519" s="27" t="str">
        <f t="shared" si="3004"/>
        <v>-</v>
      </c>
      <c r="X5519" s="27" t="str">
        <f>IFERROR(W5519*H5519,"-")</f>
        <v>-</v>
      </c>
      <c r="Z5519" s="94" t="s">
        <v>82</v>
      </c>
    </row>
    <row r="5520" spans="1:26" s="25" customFormat="1" ht="6.95" customHeight="1" x14ac:dyDescent="0.3">
      <c r="A5520" s="10"/>
      <c r="B5520" s="168"/>
      <c r="C5520" s="169"/>
      <c r="D5520" s="160"/>
      <c r="E5520" s="161"/>
      <c r="F5520" s="162"/>
      <c r="G5520" s="163"/>
      <c r="H5520" s="164"/>
      <c r="I5520" s="163"/>
      <c r="J5520" s="164"/>
      <c r="K5520" s="163"/>
      <c r="L5520" s="164"/>
      <c r="M5520" s="11"/>
      <c r="N5520" s="39"/>
      <c r="Q5520" s="15" t="str">
        <f>+CONCATENATE(E5519,I5519)</f>
        <v/>
      </c>
      <c r="R5520" s="15">
        <f>+J5519</f>
        <v>0</v>
      </c>
      <c r="S5520" s="16"/>
      <c r="T5520" s="15">
        <f>+E5519</f>
        <v>0</v>
      </c>
      <c r="U5520" s="26" t="str">
        <f>IFERROR(LEFT(I5519,FIND("*",I5519)-1),"-")</f>
        <v>-</v>
      </c>
      <c r="V5520" s="26" t="str">
        <f>IFERROR(RIGHT(I5519,LEN(I5519)-FIND("*",I5519)),"-")</f>
        <v>-</v>
      </c>
      <c r="W5520" s="27" t="str">
        <f t="shared" si="3004"/>
        <v>-</v>
      </c>
      <c r="X5520" s="27" t="str">
        <f t="shared" ref="X5520" si="3009">IFERROR(W5520*J5519,"-")</f>
        <v>-</v>
      </c>
      <c r="Z5520" s="94" t="s">
        <v>82</v>
      </c>
    </row>
    <row r="5521" spans="1:26" s="25" customFormat="1" ht="6.95" customHeight="1" x14ac:dyDescent="0.3">
      <c r="A5521" s="10"/>
      <c r="B5521" s="168"/>
      <c r="C5521" s="169"/>
      <c r="D5521" s="160"/>
      <c r="E5521" s="161"/>
      <c r="F5521" s="162"/>
      <c r="G5521" s="163"/>
      <c r="H5521" s="164"/>
      <c r="I5521" s="163"/>
      <c r="J5521" s="164"/>
      <c r="K5521" s="163"/>
      <c r="L5521" s="164"/>
      <c r="M5521" s="11"/>
      <c r="N5521" s="39"/>
      <c r="Q5521" s="15" t="str">
        <f>+CONCATENATE(E5519,K5519)</f>
        <v/>
      </c>
      <c r="R5521" s="15">
        <f>+L5519</f>
        <v>0</v>
      </c>
      <c r="S5521" s="16"/>
      <c r="T5521" s="15">
        <f>+E5519</f>
        <v>0</v>
      </c>
      <c r="U5521" s="26" t="str">
        <f>IFERROR(LEFT(K5519,FIND("*",K5519)-1),"-")</f>
        <v>-</v>
      </c>
      <c r="V5521" s="26" t="str">
        <f>IFERROR(RIGHT(K5519,LEN(K5519)-FIND("*",K5519)),"-")</f>
        <v>-</v>
      </c>
      <c r="W5521" s="27" t="str">
        <f t="shared" si="3004"/>
        <v>-</v>
      </c>
      <c r="X5521" s="27" t="str">
        <f>IFERROR(W5521*L5519,"-")</f>
        <v>-</v>
      </c>
      <c r="Z5521" s="94" t="s">
        <v>82</v>
      </c>
    </row>
    <row r="5522" spans="1:26" s="25" customFormat="1" ht="21" customHeight="1" thickBot="1" x14ac:dyDescent="0.35">
      <c r="A5522" s="10"/>
      <c r="B5522" s="170"/>
      <c r="C5522" s="171"/>
      <c r="D5522" s="172" t="s">
        <v>43</v>
      </c>
      <c r="E5522" s="173"/>
      <c r="F5522" s="173"/>
      <c r="G5522" s="174"/>
      <c r="H5522" s="174"/>
      <c r="I5522" s="174"/>
      <c r="J5522" s="174"/>
      <c r="K5522" s="174"/>
      <c r="L5522" s="174"/>
      <c r="M5522" s="12"/>
      <c r="N5522" s="39"/>
      <c r="U5522" s="23"/>
      <c r="V5522" s="23"/>
      <c r="Z5522" s="95" t="s">
        <v>81</v>
      </c>
    </row>
    <row r="5523" spans="1:26" s="25" customFormat="1" ht="9.9499999999999993" customHeight="1" thickBot="1" x14ac:dyDescent="0.35">
      <c r="A5523" s="6"/>
      <c r="B5523" s="14"/>
      <c r="C5523" s="119"/>
      <c r="D5523" s="58"/>
      <c r="E5523" s="17"/>
      <c r="F5523" s="58"/>
      <c r="G5523" s="19"/>
      <c r="H5523" s="19"/>
      <c r="I5523" s="19"/>
      <c r="J5523" s="19"/>
      <c r="K5523" s="19"/>
      <c r="L5523" s="19"/>
      <c r="M5523" s="14"/>
      <c r="N5523" s="39"/>
      <c r="Q5523" s="1"/>
      <c r="R5523" s="1"/>
      <c r="S5523" s="1"/>
      <c r="T5523" s="1"/>
      <c r="U5523" s="24"/>
      <c r="V5523" s="24"/>
      <c r="W5523" s="1"/>
      <c r="X5523" s="1"/>
      <c r="Z5523" s="94" t="s">
        <v>82</v>
      </c>
    </row>
    <row r="5524" spans="1:26" s="25" customFormat="1" ht="6.95" customHeight="1" x14ac:dyDescent="0.3">
      <c r="A5524" s="165">
        <f>+A5513+1</f>
        <v>503</v>
      </c>
      <c r="B5524" s="166"/>
      <c r="C5524" s="167"/>
      <c r="D5524" s="160" t="s">
        <v>39</v>
      </c>
      <c r="E5524" s="161"/>
      <c r="F5524" s="162" t="s">
        <v>40</v>
      </c>
      <c r="G5524" s="163"/>
      <c r="H5524" s="164"/>
      <c r="I5524" s="163"/>
      <c r="J5524" s="164"/>
      <c r="K5524" s="163"/>
      <c r="L5524" s="164"/>
      <c r="M5524" s="11"/>
      <c r="N5524" s="39"/>
      <c r="Q5524" s="15" t="str">
        <f>+CONCATENATE(E5524,G5524)</f>
        <v/>
      </c>
      <c r="R5524" s="15">
        <f>+H5524</f>
        <v>0</v>
      </c>
      <c r="S5524" s="16"/>
      <c r="T5524" s="15">
        <f>+E5524</f>
        <v>0</v>
      </c>
      <c r="U5524" s="26" t="str">
        <f>IFERROR(LEFT(G5524,FIND("*",G5524)-1),"-")</f>
        <v>-</v>
      </c>
      <c r="V5524" s="26" t="str">
        <f>IFERROR(RIGHT(G5524,LEN(G5524)-FIND("*",G5524)),"-")</f>
        <v>-</v>
      </c>
      <c r="W5524" s="27" t="str">
        <f>IFERROR((U5524+V5524)*2/1000,"-")</f>
        <v>-</v>
      </c>
      <c r="X5524" s="27" t="str">
        <f>IFERROR(W5524*H5524,"-")</f>
        <v>-</v>
      </c>
      <c r="Z5524" s="94" t="s">
        <v>82</v>
      </c>
    </row>
    <row r="5525" spans="1:26" s="25" customFormat="1" ht="6.95" customHeight="1" x14ac:dyDescent="0.3">
      <c r="A5525" s="165"/>
      <c r="B5525" s="168"/>
      <c r="C5525" s="169"/>
      <c r="D5525" s="160"/>
      <c r="E5525" s="161"/>
      <c r="F5525" s="162"/>
      <c r="G5525" s="163"/>
      <c r="H5525" s="164"/>
      <c r="I5525" s="163"/>
      <c r="J5525" s="164"/>
      <c r="K5525" s="163"/>
      <c r="L5525" s="164"/>
      <c r="M5525" s="11"/>
      <c r="N5525" s="39"/>
      <c r="Q5525" s="15" t="str">
        <f>+CONCATENATE(E5524,I5524)</f>
        <v/>
      </c>
      <c r="R5525" s="15">
        <f>+J5524</f>
        <v>0</v>
      </c>
      <c r="S5525" s="16"/>
      <c r="T5525" s="15">
        <f>+E5524</f>
        <v>0</v>
      </c>
      <c r="U5525" s="26" t="str">
        <f>IFERROR(LEFT(I5524,FIND("*",I5524)-1),"-")</f>
        <v>-</v>
      </c>
      <c r="V5525" s="26" t="str">
        <f>IFERROR(RIGHT(I5524,LEN(I5524)-FIND("*",I5524)),"-")</f>
        <v>-</v>
      </c>
      <c r="W5525" s="27" t="str">
        <f t="shared" ref="W5525:W5532" si="3010">IFERROR((U5525+V5525)*2/1000,"-")</f>
        <v>-</v>
      </c>
      <c r="X5525" s="27" t="str">
        <f>IFERROR(W5525*J5524,"-")</f>
        <v>-</v>
      </c>
      <c r="Z5525" s="94" t="s">
        <v>82</v>
      </c>
    </row>
    <row r="5526" spans="1:26" s="25" customFormat="1" ht="6.95" customHeight="1" x14ac:dyDescent="0.3">
      <c r="A5526" s="165"/>
      <c r="B5526" s="168"/>
      <c r="C5526" s="169"/>
      <c r="D5526" s="160"/>
      <c r="E5526" s="161"/>
      <c r="F5526" s="162"/>
      <c r="G5526" s="163"/>
      <c r="H5526" s="164"/>
      <c r="I5526" s="163"/>
      <c r="J5526" s="164"/>
      <c r="K5526" s="163"/>
      <c r="L5526" s="164"/>
      <c r="M5526" s="11"/>
      <c r="N5526" s="39"/>
      <c r="Q5526" s="15" t="str">
        <f>+CONCATENATE(E5524,K5524)</f>
        <v/>
      </c>
      <c r="R5526" s="15">
        <f>+L5524</f>
        <v>0</v>
      </c>
      <c r="S5526" s="16"/>
      <c r="T5526" s="15">
        <f>+E5524</f>
        <v>0</v>
      </c>
      <c r="U5526" s="26" t="str">
        <f>IFERROR(LEFT(K5524,FIND("*",K5524)-1),"-")</f>
        <v>-</v>
      </c>
      <c r="V5526" s="26" t="str">
        <f>IFERROR(RIGHT(K5524,LEN(K5524)-FIND("*",K5524)),"-")</f>
        <v>-</v>
      </c>
      <c r="W5526" s="27" t="str">
        <f t="shared" si="3010"/>
        <v>-</v>
      </c>
      <c r="X5526" s="27" t="str">
        <f>IFERROR(W5526*L5524,"-")</f>
        <v>-</v>
      </c>
      <c r="Z5526" s="94" t="s">
        <v>82</v>
      </c>
    </row>
    <row r="5527" spans="1:26" s="25" customFormat="1" ht="6.95" customHeight="1" x14ac:dyDescent="0.3">
      <c r="A5527" s="13"/>
      <c r="B5527" s="168"/>
      <c r="C5527" s="169"/>
      <c r="D5527" s="160" t="s">
        <v>39</v>
      </c>
      <c r="E5527" s="161"/>
      <c r="F5527" s="162" t="s">
        <v>40</v>
      </c>
      <c r="G5527" s="163"/>
      <c r="H5527" s="164"/>
      <c r="I5527" s="163"/>
      <c r="J5527" s="164"/>
      <c r="K5527" s="163"/>
      <c r="L5527" s="164"/>
      <c r="M5527" s="11"/>
      <c r="N5527" s="39"/>
      <c r="Q5527" s="15" t="str">
        <f>+CONCATENATE(E5527,G5527)</f>
        <v/>
      </c>
      <c r="R5527" s="15">
        <f>+H5527</f>
        <v>0</v>
      </c>
      <c r="S5527" s="16"/>
      <c r="T5527" s="15">
        <f>+E5527</f>
        <v>0</v>
      </c>
      <c r="U5527" s="26" t="str">
        <f t="shared" ref="U5527" si="3011">IFERROR(LEFT(G5527,FIND("*",G5527)-1),"-")</f>
        <v>-</v>
      </c>
      <c r="V5527" s="26" t="str">
        <f t="shared" ref="V5527" si="3012">IFERROR(RIGHT(G5527,LEN(G5527)-FIND("*",G5527)),"-")</f>
        <v>-</v>
      </c>
      <c r="W5527" s="27" t="str">
        <f t="shared" si="3010"/>
        <v>-</v>
      </c>
      <c r="X5527" s="27" t="str">
        <f>IFERROR(W5527*H5527,"-")</f>
        <v>-</v>
      </c>
      <c r="Z5527" s="94" t="s">
        <v>82</v>
      </c>
    </row>
    <row r="5528" spans="1:26" s="25" customFormat="1" ht="6.95" customHeight="1" x14ac:dyDescent="0.3">
      <c r="A5528" s="10"/>
      <c r="B5528" s="168"/>
      <c r="C5528" s="169"/>
      <c r="D5528" s="160"/>
      <c r="E5528" s="161"/>
      <c r="F5528" s="162"/>
      <c r="G5528" s="163"/>
      <c r="H5528" s="164"/>
      <c r="I5528" s="163"/>
      <c r="J5528" s="164"/>
      <c r="K5528" s="163"/>
      <c r="L5528" s="164"/>
      <c r="M5528" s="11"/>
      <c r="N5528" s="39"/>
      <c r="Q5528" s="15" t="str">
        <f>+CONCATENATE(E5527,I5527)</f>
        <v/>
      </c>
      <c r="R5528" s="15">
        <f>+J5527</f>
        <v>0</v>
      </c>
      <c r="S5528" s="16"/>
      <c r="T5528" s="15">
        <f>+E5527</f>
        <v>0</v>
      </c>
      <c r="U5528" s="26" t="str">
        <f>IFERROR(LEFT(I5527,FIND("*",I5527)-1),"-")</f>
        <v>-</v>
      </c>
      <c r="V5528" s="26" t="str">
        <f>IFERROR(RIGHT(I5527,LEN(I5527)-FIND("*",I5527)),"-")</f>
        <v>-</v>
      </c>
      <c r="W5528" s="27" t="str">
        <f t="shared" si="3010"/>
        <v>-</v>
      </c>
      <c r="X5528" s="27" t="str">
        <f>IFERROR(W5528*J5527,"-")</f>
        <v>-</v>
      </c>
      <c r="Z5528" s="94" t="s">
        <v>82</v>
      </c>
    </row>
    <row r="5529" spans="1:26" s="25" customFormat="1" ht="6.95" customHeight="1" x14ac:dyDescent="0.3">
      <c r="A5529" s="10"/>
      <c r="B5529" s="168"/>
      <c r="C5529" s="169"/>
      <c r="D5529" s="160"/>
      <c r="E5529" s="161"/>
      <c r="F5529" s="162"/>
      <c r="G5529" s="163"/>
      <c r="H5529" s="164"/>
      <c r="I5529" s="163"/>
      <c r="J5529" s="164"/>
      <c r="K5529" s="163"/>
      <c r="L5529" s="164"/>
      <c r="M5529" s="11"/>
      <c r="N5529" s="39"/>
      <c r="Q5529" s="15" t="str">
        <f>+CONCATENATE(E5527,K5527)</f>
        <v/>
      </c>
      <c r="R5529" s="15">
        <f>+L5527</f>
        <v>0</v>
      </c>
      <c r="S5529" s="16"/>
      <c r="T5529" s="15">
        <f>+E5527</f>
        <v>0</v>
      </c>
      <c r="U5529" s="26" t="str">
        <f>IFERROR(LEFT(K5527,FIND("*",K5527)-1),"-")</f>
        <v>-</v>
      </c>
      <c r="V5529" s="26" t="str">
        <f>IFERROR(RIGHT(K5527,LEN(K5527)-FIND("*",K5527)),"-")</f>
        <v>-</v>
      </c>
      <c r="W5529" s="27" t="str">
        <f t="shared" si="3010"/>
        <v>-</v>
      </c>
      <c r="X5529" s="27" t="str">
        <f>IFERROR(W5529*L5527,"-")</f>
        <v>-</v>
      </c>
      <c r="Z5529" s="94" t="s">
        <v>82</v>
      </c>
    </row>
    <row r="5530" spans="1:26" s="25" customFormat="1" ht="6.95" customHeight="1" x14ac:dyDescent="0.3">
      <c r="A5530" s="13"/>
      <c r="B5530" s="168"/>
      <c r="C5530" s="169"/>
      <c r="D5530" s="160" t="s">
        <v>39</v>
      </c>
      <c r="E5530" s="161"/>
      <c r="F5530" s="162" t="s">
        <v>40</v>
      </c>
      <c r="G5530" s="163"/>
      <c r="H5530" s="164"/>
      <c r="I5530" s="163"/>
      <c r="J5530" s="164"/>
      <c r="K5530" s="163"/>
      <c r="L5530" s="164"/>
      <c r="M5530" s="11"/>
      <c r="N5530" s="39"/>
      <c r="Q5530" s="15" t="str">
        <f>+CONCATENATE(E5530,G5530)</f>
        <v/>
      </c>
      <c r="R5530" s="15">
        <f>+H5530</f>
        <v>0</v>
      </c>
      <c r="S5530" s="16"/>
      <c r="T5530" s="15">
        <f>+E5530</f>
        <v>0</v>
      </c>
      <c r="U5530" s="26" t="str">
        <f t="shared" ref="U5530" si="3013">IFERROR(LEFT(G5530,FIND("*",G5530)-1),"-")</f>
        <v>-</v>
      </c>
      <c r="V5530" s="26" t="str">
        <f t="shared" ref="V5530" si="3014">IFERROR(RIGHT(G5530,LEN(G5530)-FIND("*",G5530)),"-")</f>
        <v>-</v>
      </c>
      <c r="W5530" s="27" t="str">
        <f t="shared" si="3010"/>
        <v>-</v>
      </c>
      <c r="X5530" s="27" t="str">
        <f>IFERROR(W5530*H5530,"-")</f>
        <v>-</v>
      </c>
      <c r="Z5530" s="94" t="s">
        <v>82</v>
      </c>
    </row>
    <row r="5531" spans="1:26" s="25" customFormat="1" ht="6.95" customHeight="1" x14ac:dyDescent="0.3">
      <c r="A5531" s="10"/>
      <c r="B5531" s="168"/>
      <c r="C5531" s="169"/>
      <c r="D5531" s="160"/>
      <c r="E5531" s="161"/>
      <c r="F5531" s="162"/>
      <c r="G5531" s="163"/>
      <c r="H5531" s="164"/>
      <c r="I5531" s="163"/>
      <c r="J5531" s="164"/>
      <c r="K5531" s="163"/>
      <c r="L5531" s="164"/>
      <c r="M5531" s="11"/>
      <c r="N5531" s="39"/>
      <c r="Q5531" s="15" t="str">
        <f>+CONCATENATE(E5530,I5530)</f>
        <v/>
      </c>
      <c r="R5531" s="15">
        <f>+J5530</f>
        <v>0</v>
      </c>
      <c r="S5531" s="16"/>
      <c r="T5531" s="15">
        <f>+E5530</f>
        <v>0</v>
      </c>
      <c r="U5531" s="26" t="str">
        <f>IFERROR(LEFT(I5530,FIND("*",I5530)-1),"-")</f>
        <v>-</v>
      </c>
      <c r="V5531" s="26" t="str">
        <f>IFERROR(RIGHT(I5530,LEN(I5530)-FIND("*",I5530)),"-")</f>
        <v>-</v>
      </c>
      <c r="W5531" s="27" t="str">
        <f t="shared" si="3010"/>
        <v>-</v>
      </c>
      <c r="X5531" s="27" t="str">
        <f t="shared" ref="X5531" si="3015">IFERROR(W5531*J5530,"-")</f>
        <v>-</v>
      </c>
      <c r="Z5531" s="94" t="s">
        <v>82</v>
      </c>
    </row>
    <row r="5532" spans="1:26" s="25" customFormat="1" ht="6.95" customHeight="1" x14ac:dyDescent="0.3">
      <c r="A5532" s="10"/>
      <c r="B5532" s="168"/>
      <c r="C5532" s="169"/>
      <c r="D5532" s="160"/>
      <c r="E5532" s="161"/>
      <c r="F5532" s="162"/>
      <c r="G5532" s="163"/>
      <c r="H5532" s="164"/>
      <c r="I5532" s="163"/>
      <c r="J5532" s="164"/>
      <c r="K5532" s="163"/>
      <c r="L5532" s="164"/>
      <c r="M5532" s="11"/>
      <c r="N5532" s="39"/>
      <c r="Q5532" s="15" t="str">
        <f>+CONCATENATE(E5530,K5530)</f>
        <v/>
      </c>
      <c r="R5532" s="15">
        <f>+L5530</f>
        <v>0</v>
      </c>
      <c r="S5532" s="16"/>
      <c r="T5532" s="15">
        <f>+E5530</f>
        <v>0</v>
      </c>
      <c r="U5532" s="26" t="str">
        <f>IFERROR(LEFT(K5530,FIND("*",K5530)-1),"-")</f>
        <v>-</v>
      </c>
      <c r="V5532" s="26" t="str">
        <f>IFERROR(RIGHT(K5530,LEN(K5530)-FIND("*",K5530)),"-")</f>
        <v>-</v>
      </c>
      <c r="W5532" s="27" t="str">
        <f t="shared" si="3010"/>
        <v>-</v>
      </c>
      <c r="X5532" s="27" t="str">
        <f>IFERROR(W5532*L5530,"-")</f>
        <v>-</v>
      </c>
      <c r="Z5532" s="94" t="s">
        <v>82</v>
      </c>
    </row>
    <row r="5533" spans="1:26" s="25" customFormat="1" ht="21" customHeight="1" thickBot="1" x14ac:dyDescent="0.35">
      <c r="A5533" s="10"/>
      <c r="B5533" s="170"/>
      <c r="C5533" s="171"/>
      <c r="D5533" s="172" t="s">
        <v>43</v>
      </c>
      <c r="E5533" s="173"/>
      <c r="F5533" s="173"/>
      <c r="G5533" s="174"/>
      <c r="H5533" s="174"/>
      <c r="I5533" s="174"/>
      <c r="J5533" s="174"/>
      <c r="K5533" s="174"/>
      <c r="L5533" s="174"/>
      <c r="M5533" s="12"/>
      <c r="N5533" s="39"/>
      <c r="U5533" s="23"/>
      <c r="V5533" s="23"/>
      <c r="Z5533" s="95" t="s">
        <v>81</v>
      </c>
    </row>
    <row r="5534" spans="1:26" s="25" customFormat="1" ht="9.9499999999999993" customHeight="1" thickBot="1" x14ac:dyDescent="0.35">
      <c r="A5534" s="6"/>
      <c r="B5534" s="14"/>
      <c r="C5534" s="119"/>
      <c r="D5534" s="58"/>
      <c r="E5534" s="17"/>
      <c r="F5534" s="58"/>
      <c r="G5534" s="19"/>
      <c r="H5534" s="19"/>
      <c r="I5534" s="19"/>
      <c r="J5534" s="19"/>
      <c r="K5534" s="19"/>
      <c r="L5534" s="19"/>
      <c r="M5534" s="14"/>
      <c r="N5534" s="39"/>
      <c r="Q5534" s="1"/>
      <c r="R5534" s="1"/>
      <c r="S5534" s="1"/>
      <c r="T5534" s="1"/>
      <c r="U5534" s="24"/>
      <c r="V5534" s="24"/>
      <c r="W5534" s="1"/>
      <c r="X5534" s="1"/>
      <c r="Z5534" s="94" t="s">
        <v>82</v>
      </c>
    </row>
    <row r="5535" spans="1:26" s="25" customFormat="1" ht="6.95" customHeight="1" x14ac:dyDescent="0.3">
      <c r="A5535" s="165">
        <f>+A5524+1</f>
        <v>504</v>
      </c>
      <c r="B5535" s="166"/>
      <c r="C5535" s="167"/>
      <c r="D5535" s="160" t="s">
        <v>39</v>
      </c>
      <c r="E5535" s="161"/>
      <c r="F5535" s="162" t="s">
        <v>40</v>
      </c>
      <c r="G5535" s="163"/>
      <c r="H5535" s="164"/>
      <c r="I5535" s="163"/>
      <c r="J5535" s="164"/>
      <c r="K5535" s="163"/>
      <c r="L5535" s="164"/>
      <c r="M5535" s="11"/>
      <c r="N5535" s="39"/>
      <c r="Q5535" s="15" t="str">
        <f>+CONCATENATE(E5535,G5535)</f>
        <v/>
      </c>
      <c r="R5535" s="15">
        <f>+H5535</f>
        <v>0</v>
      </c>
      <c r="S5535" s="16"/>
      <c r="T5535" s="15">
        <f>+E5535</f>
        <v>0</v>
      </c>
      <c r="U5535" s="26" t="str">
        <f>IFERROR(LEFT(G5535,FIND("*",G5535)-1),"-")</f>
        <v>-</v>
      </c>
      <c r="V5535" s="26" t="str">
        <f>IFERROR(RIGHT(G5535,LEN(G5535)-FIND("*",G5535)),"-")</f>
        <v>-</v>
      </c>
      <c r="W5535" s="27" t="str">
        <f>IFERROR((U5535+V5535)*2/1000,"-")</f>
        <v>-</v>
      </c>
      <c r="X5535" s="27" t="str">
        <f>IFERROR(W5535*H5535,"-")</f>
        <v>-</v>
      </c>
      <c r="Z5535" s="94" t="s">
        <v>82</v>
      </c>
    </row>
    <row r="5536" spans="1:26" s="25" customFormat="1" ht="6.95" customHeight="1" x14ac:dyDescent="0.3">
      <c r="A5536" s="165"/>
      <c r="B5536" s="168"/>
      <c r="C5536" s="169"/>
      <c r="D5536" s="160"/>
      <c r="E5536" s="161"/>
      <c r="F5536" s="162"/>
      <c r="G5536" s="163"/>
      <c r="H5536" s="164"/>
      <c r="I5536" s="163"/>
      <c r="J5536" s="164"/>
      <c r="K5536" s="163"/>
      <c r="L5536" s="164"/>
      <c r="M5536" s="11"/>
      <c r="N5536" s="39"/>
      <c r="Q5536" s="15" t="str">
        <f>+CONCATENATE(E5535,I5535)</f>
        <v/>
      </c>
      <c r="R5536" s="15">
        <f>+J5535</f>
        <v>0</v>
      </c>
      <c r="S5536" s="16"/>
      <c r="T5536" s="15">
        <f>+E5535</f>
        <v>0</v>
      </c>
      <c r="U5536" s="26" t="str">
        <f>IFERROR(LEFT(I5535,FIND("*",I5535)-1),"-")</f>
        <v>-</v>
      </c>
      <c r="V5536" s="26" t="str">
        <f>IFERROR(RIGHT(I5535,LEN(I5535)-FIND("*",I5535)),"-")</f>
        <v>-</v>
      </c>
      <c r="W5536" s="27" t="str">
        <f t="shared" ref="W5536:W5543" si="3016">IFERROR((U5536+V5536)*2/1000,"-")</f>
        <v>-</v>
      </c>
      <c r="X5536" s="27" t="str">
        <f>IFERROR(W5536*J5535,"-")</f>
        <v>-</v>
      </c>
      <c r="Z5536" s="94" t="s">
        <v>82</v>
      </c>
    </row>
    <row r="5537" spans="1:26" s="25" customFormat="1" ht="6.95" customHeight="1" x14ac:dyDescent="0.3">
      <c r="A5537" s="165"/>
      <c r="B5537" s="168"/>
      <c r="C5537" s="169"/>
      <c r="D5537" s="160"/>
      <c r="E5537" s="161"/>
      <c r="F5537" s="162"/>
      <c r="G5537" s="163"/>
      <c r="H5537" s="164"/>
      <c r="I5537" s="163"/>
      <c r="J5537" s="164"/>
      <c r="K5537" s="163"/>
      <c r="L5537" s="164"/>
      <c r="M5537" s="11"/>
      <c r="N5537" s="39"/>
      <c r="Q5537" s="15" t="str">
        <f>+CONCATENATE(E5535,K5535)</f>
        <v/>
      </c>
      <c r="R5537" s="15">
        <f>+L5535</f>
        <v>0</v>
      </c>
      <c r="S5537" s="16"/>
      <c r="T5537" s="15">
        <f>+E5535</f>
        <v>0</v>
      </c>
      <c r="U5537" s="26" t="str">
        <f>IFERROR(LEFT(K5535,FIND("*",K5535)-1),"-")</f>
        <v>-</v>
      </c>
      <c r="V5537" s="26" t="str">
        <f>IFERROR(RIGHT(K5535,LEN(K5535)-FIND("*",K5535)),"-")</f>
        <v>-</v>
      </c>
      <c r="W5537" s="27" t="str">
        <f t="shared" si="3016"/>
        <v>-</v>
      </c>
      <c r="X5537" s="27" t="str">
        <f>IFERROR(W5537*L5535,"-")</f>
        <v>-</v>
      </c>
      <c r="Z5537" s="94" t="s">
        <v>82</v>
      </c>
    </row>
    <row r="5538" spans="1:26" s="25" customFormat="1" ht="6.95" customHeight="1" x14ac:dyDescent="0.3">
      <c r="A5538" s="13"/>
      <c r="B5538" s="168"/>
      <c r="C5538" s="169"/>
      <c r="D5538" s="160" t="s">
        <v>39</v>
      </c>
      <c r="E5538" s="161"/>
      <c r="F5538" s="162" t="s">
        <v>40</v>
      </c>
      <c r="G5538" s="163"/>
      <c r="H5538" s="164"/>
      <c r="I5538" s="163"/>
      <c r="J5538" s="164"/>
      <c r="K5538" s="163"/>
      <c r="L5538" s="164"/>
      <c r="M5538" s="11"/>
      <c r="N5538" s="39"/>
      <c r="Q5538" s="15" t="str">
        <f>+CONCATENATE(E5538,G5538)</f>
        <v/>
      </c>
      <c r="R5538" s="15">
        <f>+H5538</f>
        <v>0</v>
      </c>
      <c r="S5538" s="16"/>
      <c r="T5538" s="15">
        <f>+E5538</f>
        <v>0</v>
      </c>
      <c r="U5538" s="26" t="str">
        <f t="shared" ref="U5538" si="3017">IFERROR(LEFT(G5538,FIND("*",G5538)-1),"-")</f>
        <v>-</v>
      </c>
      <c r="V5538" s="26" t="str">
        <f t="shared" ref="V5538" si="3018">IFERROR(RIGHT(G5538,LEN(G5538)-FIND("*",G5538)),"-")</f>
        <v>-</v>
      </c>
      <c r="W5538" s="27" t="str">
        <f t="shared" si="3016"/>
        <v>-</v>
      </c>
      <c r="X5538" s="27" t="str">
        <f>IFERROR(W5538*H5538,"-")</f>
        <v>-</v>
      </c>
      <c r="Z5538" s="94" t="s">
        <v>82</v>
      </c>
    </row>
    <row r="5539" spans="1:26" s="25" customFormat="1" ht="6.95" customHeight="1" x14ac:dyDescent="0.3">
      <c r="A5539" s="10"/>
      <c r="B5539" s="168"/>
      <c r="C5539" s="169"/>
      <c r="D5539" s="160"/>
      <c r="E5539" s="161"/>
      <c r="F5539" s="162"/>
      <c r="G5539" s="163"/>
      <c r="H5539" s="164"/>
      <c r="I5539" s="163"/>
      <c r="J5539" s="164"/>
      <c r="K5539" s="163"/>
      <c r="L5539" s="164"/>
      <c r="M5539" s="11"/>
      <c r="N5539" s="39"/>
      <c r="Q5539" s="15" t="str">
        <f>+CONCATENATE(E5538,I5538)</f>
        <v/>
      </c>
      <c r="R5539" s="15">
        <f>+J5538</f>
        <v>0</v>
      </c>
      <c r="S5539" s="16"/>
      <c r="T5539" s="15">
        <f>+E5538</f>
        <v>0</v>
      </c>
      <c r="U5539" s="26" t="str">
        <f>IFERROR(LEFT(I5538,FIND("*",I5538)-1),"-")</f>
        <v>-</v>
      </c>
      <c r="V5539" s="26" t="str">
        <f>IFERROR(RIGHT(I5538,LEN(I5538)-FIND("*",I5538)),"-")</f>
        <v>-</v>
      </c>
      <c r="W5539" s="27" t="str">
        <f t="shared" si="3016"/>
        <v>-</v>
      </c>
      <c r="X5539" s="27" t="str">
        <f>IFERROR(W5539*J5538,"-")</f>
        <v>-</v>
      </c>
      <c r="Z5539" s="94" t="s">
        <v>82</v>
      </c>
    </row>
    <row r="5540" spans="1:26" s="25" customFormat="1" ht="6.95" customHeight="1" x14ac:dyDescent="0.3">
      <c r="A5540" s="10"/>
      <c r="B5540" s="168"/>
      <c r="C5540" s="169"/>
      <c r="D5540" s="160"/>
      <c r="E5540" s="161"/>
      <c r="F5540" s="162"/>
      <c r="G5540" s="163"/>
      <c r="H5540" s="164"/>
      <c r="I5540" s="163"/>
      <c r="J5540" s="164"/>
      <c r="K5540" s="163"/>
      <c r="L5540" s="164"/>
      <c r="M5540" s="11"/>
      <c r="N5540" s="39"/>
      <c r="Q5540" s="15" t="str">
        <f>+CONCATENATE(E5538,K5538)</f>
        <v/>
      </c>
      <c r="R5540" s="15">
        <f>+L5538</f>
        <v>0</v>
      </c>
      <c r="S5540" s="16"/>
      <c r="T5540" s="15">
        <f>+E5538</f>
        <v>0</v>
      </c>
      <c r="U5540" s="26" t="str">
        <f>IFERROR(LEFT(K5538,FIND("*",K5538)-1),"-")</f>
        <v>-</v>
      </c>
      <c r="V5540" s="26" t="str">
        <f>IFERROR(RIGHT(K5538,LEN(K5538)-FIND("*",K5538)),"-")</f>
        <v>-</v>
      </c>
      <c r="W5540" s="27" t="str">
        <f t="shared" si="3016"/>
        <v>-</v>
      </c>
      <c r="X5540" s="27" t="str">
        <f>IFERROR(W5540*L5538,"-")</f>
        <v>-</v>
      </c>
      <c r="Z5540" s="94" t="s">
        <v>82</v>
      </c>
    </row>
    <row r="5541" spans="1:26" s="25" customFormat="1" ht="6.95" customHeight="1" x14ac:dyDescent="0.3">
      <c r="A5541" s="13"/>
      <c r="B5541" s="168"/>
      <c r="C5541" s="169"/>
      <c r="D5541" s="160" t="s">
        <v>39</v>
      </c>
      <c r="E5541" s="161"/>
      <c r="F5541" s="162" t="s">
        <v>40</v>
      </c>
      <c r="G5541" s="163"/>
      <c r="H5541" s="164"/>
      <c r="I5541" s="163"/>
      <c r="J5541" s="164"/>
      <c r="K5541" s="163"/>
      <c r="L5541" s="164"/>
      <c r="M5541" s="11"/>
      <c r="N5541" s="39"/>
      <c r="Q5541" s="15" t="str">
        <f>+CONCATENATE(E5541,G5541)</f>
        <v/>
      </c>
      <c r="R5541" s="15">
        <f>+H5541</f>
        <v>0</v>
      </c>
      <c r="S5541" s="16"/>
      <c r="T5541" s="15">
        <f>+E5541</f>
        <v>0</v>
      </c>
      <c r="U5541" s="26" t="str">
        <f t="shared" ref="U5541" si="3019">IFERROR(LEFT(G5541,FIND("*",G5541)-1),"-")</f>
        <v>-</v>
      </c>
      <c r="V5541" s="26" t="str">
        <f t="shared" ref="V5541" si="3020">IFERROR(RIGHT(G5541,LEN(G5541)-FIND("*",G5541)),"-")</f>
        <v>-</v>
      </c>
      <c r="W5541" s="27" t="str">
        <f t="shared" si="3016"/>
        <v>-</v>
      </c>
      <c r="X5541" s="27" t="str">
        <f>IFERROR(W5541*H5541,"-")</f>
        <v>-</v>
      </c>
      <c r="Z5541" s="94" t="s">
        <v>82</v>
      </c>
    </row>
    <row r="5542" spans="1:26" s="25" customFormat="1" ht="6.95" customHeight="1" x14ac:dyDescent="0.3">
      <c r="A5542" s="10"/>
      <c r="B5542" s="168"/>
      <c r="C5542" s="169"/>
      <c r="D5542" s="160"/>
      <c r="E5542" s="161"/>
      <c r="F5542" s="162"/>
      <c r="G5542" s="163"/>
      <c r="H5542" s="164"/>
      <c r="I5542" s="163"/>
      <c r="J5542" s="164"/>
      <c r="K5542" s="163"/>
      <c r="L5542" s="164"/>
      <c r="M5542" s="11"/>
      <c r="N5542" s="39"/>
      <c r="Q5542" s="15" t="str">
        <f>+CONCATENATE(E5541,I5541)</f>
        <v/>
      </c>
      <c r="R5542" s="15">
        <f>+J5541</f>
        <v>0</v>
      </c>
      <c r="S5542" s="16"/>
      <c r="T5542" s="15">
        <f>+E5541</f>
        <v>0</v>
      </c>
      <c r="U5542" s="26" t="str">
        <f>IFERROR(LEFT(I5541,FIND("*",I5541)-1),"-")</f>
        <v>-</v>
      </c>
      <c r="V5542" s="26" t="str">
        <f>IFERROR(RIGHT(I5541,LEN(I5541)-FIND("*",I5541)),"-")</f>
        <v>-</v>
      </c>
      <c r="W5542" s="27" t="str">
        <f t="shared" si="3016"/>
        <v>-</v>
      </c>
      <c r="X5542" s="27" t="str">
        <f t="shared" ref="X5542" si="3021">IFERROR(W5542*J5541,"-")</f>
        <v>-</v>
      </c>
      <c r="Z5542" s="94" t="s">
        <v>82</v>
      </c>
    </row>
    <row r="5543" spans="1:26" s="25" customFormat="1" ht="6.95" customHeight="1" x14ac:dyDescent="0.3">
      <c r="A5543" s="10"/>
      <c r="B5543" s="168"/>
      <c r="C5543" s="169"/>
      <c r="D5543" s="160"/>
      <c r="E5543" s="161"/>
      <c r="F5543" s="162"/>
      <c r="G5543" s="163"/>
      <c r="H5543" s="164"/>
      <c r="I5543" s="163"/>
      <c r="J5543" s="164"/>
      <c r="K5543" s="163"/>
      <c r="L5543" s="164"/>
      <c r="M5543" s="11"/>
      <c r="N5543" s="39"/>
      <c r="Q5543" s="15" t="str">
        <f>+CONCATENATE(E5541,K5541)</f>
        <v/>
      </c>
      <c r="R5543" s="15">
        <f>+L5541</f>
        <v>0</v>
      </c>
      <c r="S5543" s="16"/>
      <c r="T5543" s="15">
        <f>+E5541</f>
        <v>0</v>
      </c>
      <c r="U5543" s="26" t="str">
        <f>IFERROR(LEFT(K5541,FIND("*",K5541)-1),"-")</f>
        <v>-</v>
      </c>
      <c r="V5543" s="26" t="str">
        <f>IFERROR(RIGHT(K5541,LEN(K5541)-FIND("*",K5541)),"-")</f>
        <v>-</v>
      </c>
      <c r="W5543" s="27" t="str">
        <f t="shared" si="3016"/>
        <v>-</v>
      </c>
      <c r="X5543" s="27" t="str">
        <f>IFERROR(W5543*L5541,"-")</f>
        <v>-</v>
      </c>
      <c r="Z5543" s="94" t="s">
        <v>82</v>
      </c>
    </row>
    <row r="5544" spans="1:26" s="25" customFormat="1" ht="21" customHeight="1" thickBot="1" x14ac:dyDescent="0.35">
      <c r="A5544" s="10"/>
      <c r="B5544" s="170"/>
      <c r="C5544" s="171"/>
      <c r="D5544" s="172" t="s">
        <v>43</v>
      </c>
      <c r="E5544" s="173"/>
      <c r="F5544" s="173"/>
      <c r="G5544" s="174"/>
      <c r="H5544" s="174"/>
      <c r="I5544" s="174"/>
      <c r="J5544" s="174"/>
      <c r="K5544" s="174"/>
      <c r="L5544" s="174"/>
      <c r="M5544" s="12"/>
      <c r="N5544" s="39"/>
      <c r="U5544" s="23"/>
      <c r="V5544" s="23"/>
      <c r="Z5544" s="95" t="s">
        <v>81</v>
      </c>
    </row>
    <row r="5545" spans="1:26" s="25" customFormat="1" ht="9.9499999999999993" customHeight="1" thickBot="1" x14ac:dyDescent="0.35">
      <c r="A5545" s="6"/>
      <c r="B5545" s="14"/>
      <c r="C5545" s="119"/>
      <c r="D5545" s="58"/>
      <c r="E5545" s="17"/>
      <c r="F5545" s="58"/>
      <c r="G5545" s="19"/>
      <c r="H5545" s="19"/>
      <c r="I5545" s="19"/>
      <c r="J5545" s="19"/>
      <c r="K5545" s="19"/>
      <c r="L5545" s="19"/>
      <c r="M5545" s="14"/>
      <c r="N5545" s="39"/>
      <c r="Q5545" s="1"/>
      <c r="R5545" s="1"/>
      <c r="S5545" s="1"/>
      <c r="T5545" s="1"/>
      <c r="U5545" s="24"/>
      <c r="V5545" s="24"/>
      <c r="W5545" s="1"/>
      <c r="X5545" s="1"/>
      <c r="Z5545" s="94" t="s">
        <v>82</v>
      </c>
    </row>
    <row r="5546" spans="1:26" s="25" customFormat="1" ht="6.95" customHeight="1" x14ac:dyDescent="0.3">
      <c r="A5546" s="165">
        <f>+A5535+1</f>
        <v>505</v>
      </c>
      <c r="B5546" s="166"/>
      <c r="C5546" s="167"/>
      <c r="D5546" s="160" t="s">
        <v>39</v>
      </c>
      <c r="E5546" s="161"/>
      <c r="F5546" s="162" t="s">
        <v>40</v>
      </c>
      <c r="G5546" s="163"/>
      <c r="H5546" s="164"/>
      <c r="I5546" s="163"/>
      <c r="J5546" s="164"/>
      <c r="K5546" s="163"/>
      <c r="L5546" s="164"/>
      <c r="M5546" s="11"/>
      <c r="N5546" s="39"/>
      <c r="Q5546" s="15" t="str">
        <f>+CONCATENATE(E5546,G5546)</f>
        <v/>
      </c>
      <c r="R5546" s="15">
        <f>+H5546</f>
        <v>0</v>
      </c>
      <c r="S5546" s="16"/>
      <c r="T5546" s="15">
        <f>+E5546</f>
        <v>0</v>
      </c>
      <c r="U5546" s="26" t="str">
        <f>IFERROR(LEFT(G5546,FIND("*",G5546)-1),"-")</f>
        <v>-</v>
      </c>
      <c r="V5546" s="26" t="str">
        <f>IFERROR(RIGHT(G5546,LEN(G5546)-FIND("*",G5546)),"-")</f>
        <v>-</v>
      </c>
      <c r="W5546" s="27" t="str">
        <f>IFERROR((U5546+V5546)*2/1000,"-")</f>
        <v>-</v>
      </c>
      <c r="X5546" s="27" t="str">
        <f>IFERROR(W5546*H5546,"-")</f>
        <v>-</v>
      </c>
      <c r="Z5546" s="94" t="s">
        <v>82</v>
      </c>
    </row>
    <row r="5547" spans="1:26" s="25" customFormat="1" ht="6.95" customHeight="1" x14ac:dyDescent="0.3">
      <c r="A5547" s="165"/>
      <c r="B5547" s="168"/>
      <c r="C5547" s="169"/>
      <c r="D5547" s="160"/>
      <c r="E5547" s="161"/>
      <c r="F5547" s="162"/>
      <c r="G5547" s="163"/>
      <c r="H5547" s="164"/>
      <c r="I5547" s="163"/>
      <c r="J5547" s="164"/>
      <c r="K5547" s="163"/>
      <c r="L5547" s="164"/>
      <c r="M5547" s="11"/>
      <c r="N5547" s="39"/>
      <c r="Q5547" s="15" t="str">
        <f>+CONCATENATE(E5546,I5546)</f>
        <v/>
      </c>
      <c r="R5547" s="15">
        <f>+J5546</f>
        <v>0</v>
      </c>
      <c r="S5547" s="16"/>
      <c r="T5547" s="15">
        <f>+E5546</f>
        <v>0</v>
      </c>
      <c r="U5547" s="26" t="str">
        <f>IFERROR(LEFT(I5546,FIND("*",I5546)-1),"-")</f>
        <v>-</v>
      </c>
      <c r="V5547" s="26" t="str">
        <f>IFERROR(RIGHT(I5546,LEN(I5546)-FIND("*",I5546)),"-")</f>
        <v>-</v>
      </c>
      <c r="W5547" s="27" t="str">
        <f t="shared" ref="W5547:W5554" si="3022">IFERROR((U5547+V5547)*2/1000,"-")</f>
        <v>-</v>
      </c>
      <c r="X5547" s="27" t="str">
        <f>IFERROR(W5547*J5546,"-")</f>
        <v>-</v>
      </c>
      <c r="Z5547" s="94" t="s">
        <v>82</v>
      </c>
    </row>
    <row r="5548" spans="1:26" s="25" customFormat="1" ht="6.95" customHeight="1" x14ac:dyDescent="0.3">
      <c r="A5548" s="165"/>
      <c r="B5548" s="168"/>
      <c r="C5548" s="169"/>
      <c r="D5548" s="160"/>
      <c r="E5548" s="161"/>
      <c r="F5548" s="162"/>
      <c r="G5548" s="163"/>
      <c r="H5548" s="164"/>
      <c r="I5548" s="163"/>
      <c r="J5548" s="164"/>
      <c r="K5548" s="163"/>
      <c r="L5548" s="164"/>
      <c r="M5548" s="11"/>
      <c r="N5548" s="39"/>
      <c r="Q5548" s="15" t="str">
        <f>+CONCATENATE(E5546,K5546)</f>
        <v/>
      </c>
      <c r="R5548" s="15">
        <f>+L5546</f>
        <v>0</v>
      </c>
      <c r="S5548" s="16"/>
      <c r="T5548" s="15">
        <f>+E5546</f>
        <v>0</v>
      </c>
      <c r="U5548" s="26" t="str">
        <f>IFERROR(LEFT(K5546,FIND("*",K5546)-1),"-")</f>
        <v>-</v>
      </c>
      <c r="V5548" s="26" t="str">
        <f>IFERROR(RIGHT(K5546,LEN(K5546)-FIND("*",K5546)),"-")</f>
        <v>-</v>
      </c>
      <c r="W5548" s="27" t="str">
        <f t="shared" si="3022"/>
        <v>-</v>
      </c>
      <c r="X5548" s="27" t="str">
        <f>IFERROR(W5548*L5546,"-")</f>
        <v>-</v>
      </c>
      <c r="Z5548" s="94" t="s">
        <v>82</v>
      </c>
    </row>
    <row r="5549" spans="1:26" s="25" customFormat="1" ht="6.95" customHeight="1" x14ac:dyDescent="0.3">
      <c r="A5549" s="13"/>
      <c r="B5549" s="168"/>
      <c r="C5549" s="169"/>
      <c r="D5549" s="160" t="s">
        <v>39</v>
      </c>
      <c r="E5549" s="161"/>
      <c r="F5549" s="162" t="s">
        <v>40</v>
      </c>
      <c r="G5549" s="163"/>
      <c r="H5549" s="164"/>
      <c r="I5549" s="163"/>
      <c r="J5549" s="164"/>
      <c r="K5549" s="163"/>
      <c r="L5549" s="164"/>
      <c r="M5549" s="11"/>
      <c r="N5549" s="39"/>
      <c r="Q5549" s="15" t="str">
        <f>+CONCATENATE(E5549,G5549)</f>
        <v/>
      </c>
      <c r="R5549" s="15">
        <f>+H5549</f>
        <v>0</v>
      </c>
      <c r="S5549" s="16"/>
      <c r="T5549" s="15">
        <f>+E5549</f>
        <v>0</v>
      </c>
      <c r="U5549" s="26" t="str">
        <f t="shared" ref="U5549" si="3023">IFERROR(LEFT(G5549,FIND("*",G5549)-1),"-")</f>
        <v>-</v>
      </c>
      <c r="V5549" s="26" t="str">
        <f t="shared" ref="V5549" si="3024">IFERROR(RIGHT(G5549,LEN(G5549)-FIND("*",G5549)),"-")</f>
        <v>-</v>
      </c>
      <c r="W5549" s="27" t="str">
        <f t="shared" si="3022"/>
        <v>-</v>
      </c>
      <c r="X5549" s="27" t="str">
        <f>IFERROR(W5549*H5549,"-")</f>
        <v>-</v>
      </c>
      <c r="Z5549" s="94" t="s">
        <v>82</v>
      </c>
    </row>
    <row r="5550" spans="1:26" s="25" customFormat="1" ht="6.95" customHeight="1" x14ac:dyDescent="0.3">
      <c r="A5550" s="10"/>
      <c r="B5550" s="168"/>
      <c r="C5550" s="169"/>
      <c r="D5550" s="160"/>
      <c r="E5550" s="161"/>
      <c r="F5550" s="162"/>
      <c r="G5550" s="163"/>
      <c r="H5550" s="164"/>
      <c r="I5550" s="163"/>
      <c r="J5550" s="164"/>
      <c r="K5550" s="163"/>
      <c r="L5550" s="164"/>
      <c r="M5550" s="11"/>
      <c r="N5550" s="39"/>
      <c r="Q5550" s="15" t="str">
        <f>+CONCATENATE(E5549,I5549)</f>
        <v/>
      </c>
      <c r="R5550" s="15">
        <f>+J5549</f>
        <v>0</v>
      </c>
      <c r="S5550" s="16"/>
      <c r="T5550" s="15">
        <f>+E5549</f>
        <v>0</v>
      </c>
      <c r="U5550" s="26" t="str">
        <f>IFERROR(LEFT(I5549,FIND("*",I5549)-1),"-")</f>
        <v>-</v>
      </c>
      <c r="V5550" s="26" t="str">
        <f>IFERROR(RIGHT(I5549,LEN(I5549)-FIND("*",I5549)),"-")</f>
        <v>-</v>
      </c>
      <c r="W5550" s="27" t="str">
        <f t="shared" si="3022"/>
        <v>-</v>
      </c>
      <c r="X5550" s="27" t="str">
        <f>IFERROR(W5550*J5549,"-")</f>
        <v>-</v>
      </c>
      <c r="Z5550" s="94" t="s">
        <v>82</v>
      </c>
    </row>
    <row r="5551" spans="1:26" s="25" customFormat="1" ht="6.95" customHeight="1" x14ac:dyDescent="0.3">
      <c r="A5551" s="10"/>
      <c r="B5551" s="168"/>
      <c r="C5551" s="169"/>
      <c r="D5551" s="160"/>
      <c r="E5551" s="161"/>
      <c r="F5551" s="162"/>
      <c r="G5551" s="163"/>
      <c r="H5551" s="164"/>
      <c r="I5551" s="163"/>
      <c r="J5551" s="164"/>
      <c r="K5551" s="163"/>
      <c r="L5551" s="164"/>
      <c r="M5551" s="11"/>
      <c r="N5551" s="39"/>
      <c r="Q5551" s="15" t="str">
        <f>+CONCATENATE(E5549,K5549)</f>
        <v/>
      </c>
      <c r="R5551" s="15">
        <f>+L5549</f>
        <v>0</v>
      </c>
      <c r="S5551" s="16"/>
      <c r="T5551" s="15">
        <f>+E5549</f>
        <v>0</v>
      </c>
      <c r="U5551" s="26" t="str">
        <f>IFERROR(LEFT(K5549,FIND("*",K5549)-1),"-")</f>
        <v>-</v>
      </c>
      <c r="V5551" s="26" t="str">
        <f>IFERROR(RIGHT(K5549,LEN(K5549)-FIND("*",K5549)),"-")</f>
        <v>-</v>
      </c>
      <c r="W5551" s="27" t="str">
        <f t="shared" si="3022"/>
        <v>-</v>
      </c>
      <c r="X5551" s="27" t="str">
        <f>IFERROR(W5551*L5549,"-")</f>
        <v>-</v>
      </c>
      <c r="Z5551" s="94" t="s">
        <v>82</v>
      </c>
    </row>
    <row r="5552" spans="1:26" s="25" customFormat="1" ht="6.95" customHeight="1" x14ac:dyDescent="0.3">
      <c r="A5552" s="13"/>
      <c r="B5552" s="168"/>
      <c r="C5552" s="169"/>
      <c r="D5552" s="160" t="s">
        <v>39</v>
      </c>
      <c r="E5552" s="161"/>
      <c r="F5552" s="162" t="s">
        <v>40</v>
      </c>
      <c r="G5552" s="163"/>
      <c r="H5552" s="164"/>
      <c r="I5552" s="163"/>
      <c r="J5552" s="164"/>
      <c r="K5552" s="163"/>
      <c r="L5552" s="164"/>
      <c r="M5552" s="11"/>
      <c r="N5552" s="39"/>
      <c r="Q5552" s="15" t="str">
        <f>+CONCATENATE(E5552,G5552)</f>
        <v/>
      </c>
      <c r="R5552" s="15">
        <f>+H5552</f>
        <v>0</v>
      </c>
      <c r="S5552" s="16"/>
      <c r="T5552" s="15">
        <f>+E5552</f>
        <v>0</v>
      </c>
      <c r="U5552" s="26" t="str">
        <f t="shared" ref="U5552" si="3025">IFERROR(LEFT(G5552,FIND("*",G5552)-1),"-")</f>
        <v>-</v>
      </c>
      <c r="V5552" s="26" t="str">
        <f t="shared" ref="V5552" si="3026">IFERROR(RIGHT(G5552,LEN(G5552)-FIND("*",G5552)),"-")</f>
        <v>-</v>
      </c>
      <c r="W5552" s="27" t="str">
        <f t="shared" si="3022"/>
        <v>-</v>
      </c>
      <c r="X5552" s="27" t="str">
        <f>IFERROR(W5552*H5552,"-")</f>
        <v>-</v>
      </c>
      <c r="Z5552" s="94" t="s">
        <v>82</v>
      </c>
    </row>
    <row r="5553" spans="1:26" s="25" customFormat="1" ht="6.95" customHeight="1" x14ac:dyDescent="0.3">
      <c r="A5553" s="10"/>
      <c r="B5553" s="168"/>
      <c r="C5553" s="169"/>
      <c r="D5553" s="160"/>
      <c r="E5553" s="161"/>
      <c r="F5553" s="162"/>
      <c r="G5553" s="163"/>
      <c r="H5553" s="164"/>
      <c r="I5553" s="163"/>
      <c r="J5553" s="164"/>
      <c r="K5553" s="163"/>
      <c r="L5553" s="164"/>
      <c r="M5553" s="11"/>
      <c r="N5553" s="39"/>
      <c r="Q5553" s="15" t="str">
        <f>+CONCATENATE(E5552,I5552)</f>
        <v/>
      </c>
      <c r="R5553" s="15">
        <f>+J5552</f>
        <v>0</v>
      </c>
      <c r="S5553" s="16"/>
      <c r="T5553" s="15">
        <f>+E5552</f>
        <v>0</v>
      </c>
      <c r="U5553" s="26" t="str">
        <f>IFERROR(LEFT(I5552,FIND("*",I5552)-1),"-")</f>
        <v>-</v>
      </c>
      <c r="V5553" s="26" t="str">
        <f>IFERROR(RIGHT(I5552,LEN(I5552)-FIND("*",I5552)),"-")</f>
        <v>-</v>
      </c>
      <c r="W5553" s="27" t="str">
        <f t="shared" si="3022"/>
        <v>-</v>
      </c>
      <c r="X5553" s="27" t="str">
        <f t="shared" ref="X5553" si="3027">IFERROR(W5553*J5552,"-")</f>
        <v>-</v>
      </c>
      <c r="Z5553" s="94" t="s">
        <v>82</v>
      </c>
    </row>
    <row r="5554" spans="1:26" s="25" customFormat="1" ht="6.95" customHeight="1" x14ac:dyDescent="0.3">
      <c r="A5554" s="10"/>
      <c r="B5554" s="168"/>
      <c r="C5554" s="169"/>
      <c r="D5554" s="160"/>
      <c r="E5554" s="161"/>
      <c r="F5554" s="162"/>
      <c r="G5554" s="163"/>
      <c r="H5554" s="164"/>
      <c r="I5554" s="163"/>
      <c r="J5554" s="164"/>
      <c r="K5554" s="163"/>
      <c r="L5554" s="164"/>
      <c r="M5554" s="11"/>
      <c r="N5554" s="39"/>
      <c r="Q5554" s="15" t="str">
        <f>+CONCATENATE(E5552,K5552)</f>
        <v/>
      </c>
      <c r="R5554" s="15">
        <f>+L5552</f>
        <v>0</v>
      </c>
      <c r="S5554" s="16"/>
      <c r="T5554" s="15">
        <f>+E5552</f>
        <v>0</v>
      </c>
      <c r="U5554" s="26" t="str">
        <f>IFERROR(LEFT(K5552,FIND("*",K5552)-1),"-")</f>
        <v>-</v>
      </c>
      <c r="V5554" s="26" t="str">
        <f>IFERROR(RIGHT(K5552,LEN(K5552)-FIND("*",K5552)),"-")</f>
        <v>-</v>
      </c>
      <c r="W5554" s="27" t="str">
        <f t="shared" si="3022"/>
        <v>-</v>
      </c>
      <c r="X5554" s="27" t="str">
        <f>IFERROR(W5554*L5552,"-")</f>
        <v>-</v>
      </c>
      <c r="Z5554" s="94" t="s">
        <v>82</v>
      </c>
    </row>
    <row r="5555" spans="1:26" s="25" customFormat="1" ht="21" customHeight="1" thickBot="1" x14ac:dyDescent="0.35">
      <c r="A5555" s="10"/>
      <c r="B5555" s="170"/>
      <c r="C5555" s="171"/>
      <c r="D5555" s="172" t="s">
        <v>43</v>
      </c>
      <c r="E5555" s="173"/>
      <c r="F5555" s="173"/>
      <c r="G5555" s="174"/>
      <c r="H5555" s="174"/>
      <c r="I5555" s="174"/>
      <c r="J5555" s="174"/>
      <c r="K5555" s="174"/>
      <c r="L5555" s="174"/>
      <c r="M5555" s="12"/>
      <c r="N5555" s="39"/>
      <c r="U5555" s="23"/>
      <c r="V5555" s="23"/>
      <c r="Z5555" s="95" t="s">
        <v>81</v>
      </c>
    </row>
    <row r="5556" spans="1:26" s="25" customFormat="1" ht="9.9499999999999993" customHeight="1" thickBot="1" x14ac:dyDescent="0.35">
      <c r="A5556" s="6"/>
      <c r="B5556" s="14"/>
      <c r="C5556" s="119"/>
      <c r="D5556" s="58"/>
      <c r="E5556" s="17"/>
      <c r="F5556" s="58"/>
      <c r="G5556" s="19"/>
      <c r="H5556" s="19"/>
      <c r="I5556" s="19"/>
      <c r="J5556" s="19"/>
      <c r="K5556" s="19"/>
      <c r="L5556" s="19"/>
      <c r="M5556" s="14"/>
      <c r="N5556" s="39"/>
      <c r="Q5556" s="1"/>
      <c r="R5556" s="1"/>
      <c r="S5556" s="1"/>
      <c r="T5556" s="1"/>
      <c r="U5556" s="24"/>
      <c r="V5556" s="24"/>
      <c r="W5556" s="1"/>
      <c r="X5556" s="1"/>
      <c r="Z5556" s="94" t="s">
        <v>82</v>
      </c>
    </row>
    <row r="5557" spans="1:26" s="25" customFormat="1" ht="6.95" customHeight="1" x14ac:dyDescent="0.3">
      <c r="A5557" s="165">
        <f>+A5546+1</f>
        <v>506</v>
      </c>
      <c r="B5557" s="166"/>
      <c r="C5557" s="167"/>
      <c r="D5557" s="160" t="s">
        <v>39</v>
      </c>
      <c r="E5557" s="161"/>
      <c r="F5557" s="162" t="s">
        <v>40</v>
      </c>
      <c r="G5557" s="163"/>
      <c r="H5557" s="164"/>
      <c r="I5557" s="163"/>
      <c r="J5557" s="164"/>
      <c r="K5557" s="163"/>
      <c r="L5557" s="164"/>
      <c r="M5557" s="11"/>
      <c r="N5557" s="39"/>
      <c r="Q5557" s="15" t="str">
        <f>+CONCATENATE(E5557,G5557)</f>
        <v/>
      </c>
      <c r="R5557" s="15">
        <f>+H5557</f>
        <v>0</v>
      </c>
      <c r="S5557" s="16"/>
      <c r="T5557" s="15">
        <f>+E5557</f>
        <v>0</v>
      </c>
      <c r="U5557" s="26" t="str">
        <f>IFERROR(LEFT(G5557,FIND("*",G5557)-1),"-")</f>
        <v>-</v>
      </c>
      <c r="V5557" s="26" t="str">
        <f>IFERROR(RIGHT(G5557,LEN(G5557)-FIND("*",G5557)),"-")</f>
        <v>-</v>
      </c>
      <c r="W5557" s="27" t="str">
        <f>IFERROR((U5557+V5557)*2/1000,"-")</f>
        <v>-</v>
      </c>
      <c r="X5557" s="27" t="str">
        <f>IFERROR(W5557*H5557,"-")</f>
        <v>-</v>
      </c>
      <c r="Z5557" s="94" t="s">
        <v>82</v>
      </c>
    </row>
    <row r="5558" spans="1:26" s="25" customFormat="1" ht="6.95" customHeight="1" x14ac:dyDescent="0.3">
      <c r="A5558" s="165"/>
      <c r="B5558" s="168"/>
      <c r="C5558" s="169"/>
      <c r="D5558" s="160"/>
      <c r="E5558" s="161"/>
      <c r="F5558" s="162"/>
      <c r="G5558" s="163"/>
      <c r="H5558" s="164"/>
      <c r="I5558" s="163"/>
      <c r="J5558" s="164"/>
      <c r="K5558" s="163"/>
      <c r="L5558" s="164"/>
      <c r="M5558" s="11"/>
      <c r="N5558" s="39"/>
      <c r="Q5558" s="15" t="str">
        <f>+CONCATENATE(E5557,I5557)</f>
        <v/>
      </c>
      <c r="R5558" s="15">
        <f>+J5557</f>
        <v>0</v>
      </c>
      <c r="S5558" s="16"/>
      <c r="T5558" s="15">
        <f>+E5557</f>
        <v>0</v>
      </c>
      <c r="U5558" s="26" t="str">
        <f>IFERROR(LEFT(I5557,FIND("*",I5557)-1),"-")</f>
        <v>-</v>
      </c>
      <c r="V5558" s="26" t="str">
        <f>IFERROR(RIGHT(I5557,LEN(I5557)-FIND("*",I5557)),"-")</f>
        <v>-</v>
      </c>
      <c r="W5558" s="27" t="str">
        <f t="shared" ref="W5558:W5565" si="3028">IFERROR((U5558+V5558)*2/1000,"-")</f>
        <v>-</v>
      </c>
      <c r="X5558" s="27" t="str">
        <f>IFERROR(W5558*J5557,"-")</f>
        <v>-</v>
      </c>
      <c r="Z5558" s="94" t="s">
        <v>82</v>
      </c>
    </row>
    <row r="5559" spans="1:26" s="25" customFormat="1" ht="6.95" customHeight="1" x14ac:dyDescent="0.3">
      <c r="A5559" s="165"/>
      <c r="B5559" s="168"/>
      <c r="C5559" s="169"/>
      <c r="D5559" s="160"/>
      <c r="E5559" s="161"/>
      <c r="F5559" s="162"/>
      <c r="G5559" s="163"/>
      <c r="H5559" s="164"/>
      <c r="I5559" s="163"/>
      <c r="J5559" s="164"/>
      <c r="K5559" s="163"/>
      <c r="L5559" s="164"/>
      <c r="M5559" s="11"/>
      <c r="N5559" s="39"/>
      <c r="Q5559" s="15" t="str">
        <f>+CONCATENATE(E5557,K5557)</f>
        <v/>
      </c>
      <c r="R5559" s="15">
        <f>+L5557</f>
        <v>0</v>
      </c>
      <c r="S5559" s="16"/>
      <c r="T5559" s="15">
        <f>+E5557</f>
        <v>0</v>
      </c>
      <c r="U5559" s="26" t="str">
        <f>IFERROR(LEFT(K5557,FIND("*",K5557)-1),"-")</f>
        <v>-</v>
      </c>
      <c r="V5559" s="26" t="str">
        <f>IFERROR(RIGHT(K5557,LEN(K5557)-FIND("*",K5557)),"-")</f>
        <v>-</v>
      </c>
      <c r="W5559" s="27" t="str">
        <f t="shared" si="3028"/>
        <v>-</v>
      </c>
      <c r="X5559" s="27" t="str">
        <f>IFERROR(W5559*L5557,"-")</f>
        <v>-</v>
      </c>
      <c r="Z5559" s="94" t="s">
        <v>82</v>
      </c>
    </row>
    <row r="5560" spans="1:26" s="25" customFormat="1" ht="6.95" customHeight="1" x14ac:dyDescent="0.3">
      <c r="A5560" s="13"/>
      <c r="B5560" s="168"/>
      <c r="C5560" s="169"/>
      <c r="D5560" s="160" t="s">
        <v>39</v>
      </c>
      <c r="E5560" s="161"/>
      <c r="F5560" s="162" t="s">
        <v>40</v>
      </c>
      <c r="G5560" s="163"/>
      <c r="H5560" s="164"/>
      <c r="I5560" s="163"/>
      <c r="J5560" s="164"/>
      <c r="K5560" s="163"/>
      <c r="L5560" s="164"/>
      <c r="M5560" s="11"/>
      <c r="N5560" s="39"/>
      <c r="Q5560" s="15" t="str">
        <f>+CONCATENATE(E5560,G5560)</f>
        <v/>
      </c>
      <c r="R5560" s="15">
        <f>+H5560</f>
        <v>0</v>
      </c>
      <c r="S5560" s="16"/>
      <c r="T5560" s="15">
        <f>+E5560</f>
        <v>0</v>
      </c>
      <c r="U5560" s="26" t="str">
        <f t="shared" ref="U5560" si="3029">IFERROR(LEFT(G5560,FIND("*",G5560)-1),"-")</f>
        <v>-</v>
      </c>
      <c r="V5560" s="26" t="str">
        <f t="shared" ref="V5560" si="3030">IFERROR(RIGHT(G5560,LEN(G5560)-FIND("*",G5560)),"-")</f>
        <v>-</v>
      </c>
      <c r="W5560" s="27" t="str">
        <f t="shared" si="3028"/>
        <v>-</v>
      </c>
      <c r="X5560" s="27" t="str">
        <f>IFERROR(W5560*H5560,"-")</f>
        <v>-</v>
      </c>
      <c r="Z5560" s="94" t="s">
        <v>82</v>
      </c>
    </row>
    <row r="5561" spans="1:26" s="25" customFormat="1" ht="6.95" customHeight="1" x14ac:dyDescent="0.3">
      <c r="A5561" s="10"/>
      <c r="B5561" s="168"/>
      <c r="C5561" s="169"/>
      <c r="D5561" s="160"/>
      <c r="E5561" s="161"/>
      <c r="F5561" s="162"/>
      <c r="G5561" s="163"/>
      <c r="H5561" s="164"/>
      <c r="I5561" s="163"/>
      <c r="J5561" s="164"/>
      <c r="K5561" s="163"/>
      <c r="L5561" s="164"/>
      <c r="M5561" s="11"/>
      <c r="N5561" s="39"/>
      <c r="Q5561" s="15" t="str">
        <f>+CONCATENATE(E5560,I5560)</f>
        <v/>
      </c>
      <c r="R5561" s="15">
        <f>+J5560</f>
        <v>0</v>
      </c>
      <c r="S5561" s="16"/>
      <c r="T5561" s="15">
        <f>+E5560</f>
        <v>0</v>
      </c>
      <c r="U5561" s="26" t="str">
        <f>IFERROR(LEFT(I5560,FIND("*",I5560)-1),"-")</f>
        <v>-</v>
      </c>
      <c r="V5561" s="26" t="str">
        <f>IFERROR(RIGHT(I5560,LEN(I5560)-FIND("*",I5560)),"-")</f>
        <v>-</v>
      </c>
      <c r="W5561" s="27" t="str">
        <f t="shared" si="3028"/>
        <v>-</v>
      </c>
      <c r="X5561" s="27" t="str">
        <f>IFERROR(W5561*J5560,"-")</f>
        <v>-</v>
      </c>
      <c r="Z5561" s="94" t="s">
        <v>82</v>
      </c>
    </row>
    <row r="5562" spans="1:26" s="25" customFormat="1" ht="6.95" customHeight="1" x14ac:dyDescent="0.3">
      <c r="A5562" s="10"/>
      <c r="B5562" s="168"/>
      <c r="C5562" s="169"/>
      <c r="D5562" s="160"/>
      <c r="E5562" s="161"/>
      <c r="F5562" s="162"/>
      <c r="G5562" s="163"/>
      <c r="H5562" s="164"/>
      <c r="I5562" s="163"/>
      <c r="J5562" s="164"/>
      <c r="K5562" s="163"/>
      <c r="L5562" s="164"/>
      <c r="M5562" s="11"/>
      <c r="N5562" s="39"/>
      <c r="Q5562" s="15" t="str">
        <f>+CONCATENATE(E5560,K5560)</f>
        <v/>
      </c>
      <c r="R5562" s="15">
        <f>+L5560</f>
        <v>0</v>
      </c>
      <c r="S5562" s="16"/>
      <c r="T5562" s="15">
        <f>+E5560</f>
        <v>0</v>
      </c>
      <c r="U5562" s="26" t="str">
        <f>IFERROR(LEFT(K5560,FIND("*",K5560)-1),"-")</f>
        <v>-</v>
      </c>
      <c r="V5562" s="26" t="str">
        <f>IFERROR(RIGHT(K5560,LEN(K5560)-FIND("*",K5560)),"-")</f>
        <v>-</v>
      </c>
      <c r="W5562" s="27" t="str">
        <f t="shared" si="3028"/>
        <v>-</v>
      </c>
      <c r="X5562" s="27" t="str">
        <f>IFERROR(W5562*L5560,"-")</f>
        <v>-</v>
      </c>
      <c r="Z5562" s="94" t="s">
        <v>82</v>
      </c>
    </row>
    <row r="5563" spans="1:26" s="25" customFormat="1" ht="6.95" customHeight="1" x14ac:dyDescent="0.3">
      <c r="A5563" s="13"/>
      <c r="B5563" s="168"/>
      <c r="C5563" s="169"/>
      <c r="D5563" s="160" t="s">
        <v>39</v>
      </c>
      <c r="E5563" s="161"/>
      <c r="F5563" s="162" t="s">
        <v>40</v>
      </c>
      <c r="G5563" s="163"/>
      <c r="H5563" s="164"/>
      <c r="I5563" s="163"/>
      <c r="J5563" s="164"/>
      <c r="K5563" s="163"/>
      <c r="L5563" s="164"/>
      <c r="M5563" s="11"/>
      <c r="N5563" s="39"/>
      <c r="Q5563" s="15" t="str">
        <f>+CONCATENATE(E5563,G5563)</f>
        <v/>
      </c>
      <c r="R5563" s="15">
        <f>+H5563</f>
        <v>0</v>
      </c>
      <c r="S5563" s="16"/>
      <c r="T5563" s="15">
        <f>+E5563</f>
        <v>0</v>
      </c>
      <c r="U5563" s="26" t="str">
        <f t="shared" ref="U5563" si="3031">IFERROR(LEFT(G5563,FIND("*",G5563)-1),"-")</f>
        <v>-</v>
      </c>
      <c r="V5563" s="26" t="str">
        <f t="shared" ref="V5563" si="3032">IFERROR(RIGHT(G5563,LEN(G5563)-FIND("*",G5563)),"-")</f>
        <v>-</v>
      </c>
      <c r="W5563" s="27" t="str">
        <f t="shared" si="3028"/>
        <v>-</v>
      </c>
      <c r="X5563" s="27" t="str">
        <f>IFERROR(W5563*H5563,"-")</f>
        <v>-</v>
      </c>
      <c r="Z5563" s="94" t="s">
        <v>82</v>
      </c>
    </row>
    <row r="5564" spans="1:26" s="25" customFormat="1" ht="6.95" customHeight="1" x14ac:dyDescent="0.3">
      <c r="A5564" s="10"/>
      <c r="B5564" s="168"/>
      <c r="C5564" s="169"/>
      <c r="D5564" s="160"/>
      <c r="E5564" s="161"/>
      <c r="F5564" s="162"/>
      <c r="G5564" s="163"/>
      <c r="H5564" s="164"/>
      <c r="I5564" s="163"/>
      <c r="J5564" s="164"/>
      <c r="K5564" s="163"/>
      <c r="L5564" s="164"/>
      <c r="M5564" s="11"/>
      <c r="N5564" s="39"/>
      <c r="Q5564" s="15" t="str">
        <f>+CONCATENATE(E5563,I5563)</f>
        <v/>
      </c>
      <c r="R5564" s="15">
        <f>+J5563</f>
        <v>0</v>
      </c>
      <c r="S5564" s="16"/>
      <c r="T5564" s="15">
        <f>+E5563</f>
        <v>0</v>
      </c>
      <c r="U5564" s="26" t="str">
        <f>IFERROR(LEFT(I5563,FIND("*",I5563)-1),"-")</f>
        <v>-</v>
      </c>
      <c r="V5564" s="26" t="str">
        <f>IFERROR(RIGHT(I5563,LEN(I5563)-FIND("*",I5563)),"-")</f>
        <v>-</v>
      </c>
      <c r="W5564" s="27" t="str">
        <f t="shared" si="3028"/>
        <v>-</v>
      </c>
      <c r="X5564" s="27" t="str">
        <f t="shared" ref="X5564" si="3033">IFERROR(W5564*J5563,"-")</f>
        <v>-</v>
      </c>
      <c r="Z5564" s="94" t="s">
        <v>82</v>
      </c>
    </row>
    <row r="5565" spans="1:26" s="25" customFormat="1" ht="6.95" customHeight="1" x14ac:dyDescent="0.3">
      <c r="A5565" s="10"/>
      <c r="B5565" s="168"/>
      <c r="C5565" s="169"/>
      <c r="D5565" s="160"/>
      <c r="E5565" s="161"/>
      <c r="F5565" s="162"/>
      <c r="G5565" s="163"/>
      <c r="H5565" s="164"/>
      <c r="I5565" s="163"/>
      <c r="J5565" s="164"/>
      <c r="K5565" s="163"/>
      <c r="L5565" s="164"/>
      <c r="M5565" s="11"/>
      <c r="N5565" s="39"/>
      <c r="Q5565" s="15" t="str">
        <f>+CONCATENATE(E5563,K5563)</f>
        <v/>
      </c>
      <c r="R5565" s="15">
        <f>+L5563</f>
        <v>0</v>
      </c>
      <c r="S5565" s="16"/>
      <c r="T5565" s="15">
        <f>+E5563</f>
        <v>0</v>
      </c>
      <c r="U5565" s="26" t="str">
        <f>IFERROR(LEFT(K5563,FIND("*",K5563)-1),"-")</f>
        <v>-</v>
      </c>
      <c r="V5565" s="26" t="str">
        <f>IFERROR(RIGHT(K5563,LEN(K5563)-FIND("*",K5563)),"-")</f>
        <v>-</v>
      </c>
      <c r="W5565" s="27" t="str">
        <f t="shared" si="3028"/>
        <v>-</v>
      </c>
      <c r="X5565" s="27" t="str">
        <f>IFERROR(W5565*L5563,"-")</f>
        <v>-</v>
      </c>
      <c r="Z5565" s="94" t="s">
        <v>82</v>
      </c>
    </row>
    <row r="5566" spans="1:26" s="25" customFormat="1" ht="21" customHeight="1" thickBot="1" x14ac:dyDescent="0.35">
      <c r="A5566" s="10"/>
      <c r="B5566" s="170"/>
      <c r="C5566" s="171"/>
      <c r="D5566" s="172" t="s">
        <v>43</v>
      </c>
      <c r="E5566" s="173"/>
      <c r="F5566" s="173"/>
      <c r="G5566" s="174"/>
      <c r="H5566" s="174"/>
      <c r="I5566" s="174"/>
      <c r="J5566" s="174"/>
      <c r="K5566" s="174"/>
      <c r="L5566" s="174"/>
      <c r="M5566" s="12"/>
      <c r="N5566" s="39"/>
      <c r="U5566" s="23"/>
      <c r="V5566" s="23"/>
      <c r="Z5566" s="95" t="s">
        <v>81</v>
      </c>
    </row>
    <row r="5567" spans="1:26" s="25" customFormat="1" ht="9.9499999999999993" customHeight="1" thickBot="1" x14ac:dyDescent="0.35">
      <c r="A5567" s="6"/>
      <c r="B5567" s="14"/>
      <c r="C5567" s="119"/>
      <c r="D5567" s="58"/>
      <c r="E5567" s="17"/>
      <c r="F5567" s="58"/>
      <c r="G5567" s="19"/>
      <c r="H5567" s="19"/>
      <c r="I5567" s="19"/>
      <c r="J5567" s="19"/>
      <c r="K5567" s="19"/>
      <c r="L5567" s="19"/>
      <c r="M5567" s="14"/>
      <c r="N5567" s="39"/>
      <c r="Q5567" s="1"/>
      <c r="R5567" s="1"/>
      <c r="S5567" s="1"/>
      <c r="T5567" s="1"/>
      <c r="U5567" s="24"/>
      <c r="V5567" s="24"/>
      <c r="W5567" s="1"/>
      <c r="X5567" s="1"/>
      <c r="Z5567" s="94" t="s">
        <v>82</v>
      </c>
    </row>
    <row r="5568" spans="1:26" s="25" customFormat="1" ht="6.95" customHeight="1" x14ac:dyDescent="0.3">
      <c r="A5568" s="165">
        <f>+A5557+1</f>
        <v>507</v>
      </c>
      <c r="B5568" s="166"/>
      <c r="C5568" s="167"/>
      <c r="D5568" s="160" t="s">
        <v>39</v>
      </c>
      <c r="E5568" s="161"/>
      <c r="F5568" s="162" t="s">
        <v>40</v>
      </c>
      <c r="G5568" s="163"/>
      <c r="H5568" s="164"/>
      <c r="I5568" s="163"/>
      <c r="J5568" s="164"/>
      <c r="K5568" s="163"/>
      <c r="L5568" s="164"/>
      <c r="M5568" s="11"/>
      <c r="N5568" s="39"/>
      <c r="Q5568" s="15" t="str">
        <f>+CONCATENATE(E5568,G5568)</f>
        <v/>
      </c>
      <c r="R5568" s="15">
        <f>+H5568</f>
        <v>0</v>
      </c>
      <c r="S5568" s="16"/>
      <c r="T5568" s="15">
        <f>+E5568</f>
        <v>0</v>
      </c>
      <c r="U5568" s="26" t="str">
        <f>IFERROR(LEFT(G5568,FIND("*",G5568)-1),"-")</f>
        <v>-</v>
      </c>
      <c r="V5568" s="26" t="str">
        <f>IFERROR(RIGHT(G5568,LEN(G5568)-FIND("*",G5568)),"-")</f>
        <v>-</v>
      </c>
      <c r="W5568" s="27" t="str">
        <f>IFERROR((U5568+V5568)*2/1000,"-")</f>
        <v>-</v>
      </c>
      <c r="X5568" s="27" t="str">
        <f>IFERROR(W5568*H5568,"-")</f>
        <v>-</v>
      </c>
      <c r="Z5568" s="94" t="s">
        <v>82</v>
      </c>
    </row>
    <row r="5569" spans="1:26" s="25" customFormat="1" ht="6.95" customHeight="1" x14ac:dyDescent="0.3">
      <c r="A5569" s="165"/>
      <c r="B5569" s="168"/>
      <c r="C5569" s="169"/>
      <c r="D5569" s="160"/>
      <c r="E5569" s="161"/>
      <c r="F5569" s="162"/>
      <c r="G5569" s="163"/>
      <c r="H5569" s="164"/>
      <c r="I5569" s="163"/>
      <c r="J5569" s="164"/>
      <c r="K5569" s="163"/>
      <c r="L5569" s="164"/>
      <c r="M5569" s="11"/>
      <c r="N5569" s="39"/>
      <c r="Q5569" s="15" t="str">
        <f>+CONCATENATE(E5568,I5568)</f>
        <v/>
      </c>
      <c r="R5569" s="15">
        <f>+J5568</f>
        <v>0</v>
      </c>
      <c r="S5569" s="16"/>
      <c r="T5569" s="15">
        <f>+E5568</f>
        <v>0</v>
      </c>
      <c r="U5569" s="26" t="str">
        <f>IFERROR(LEFT(I5568,FIND("*",I5568)-1),"-")</f>
        <v>-</v>
      </c>
      <c r="V5569" s="26" t="str">
        <f>IFERROR(RIGHT(I5568,LEN(I5568)-FIND("*",I5568)),"-")</f>
        <v>-</v>
      </c>
      <c r="W5569" s="27" t="str">
        <f t="shared" ref="W5569:W5576" si="3034">IFERROR((U5569+V5569)*2/1000,"-")</f>
        <v>-</v>
      </c>
      <c r="X5569" s="27" t="str">
        <f>IFERROR(W5569*J5568,"-")</f>
        <v>-</v>
      </c>
      <c r="Z5569" s="94" t="s">
        <v>82</v>
      </c>
    </row>
    <row r="5570" spans="1:26" s="25" customFormat="1" ht="6.95" customHeight="1" x14ac:dyDescent="0.3">
      <c r="A5570" s="165"/>
      <c r="B5570" s="168"/>
      <c r="C5570" s="169"/>
      <c r="D5570" s="160"/>
      <c r="E5570" s="161"/>
      <c r="F5570" s="162"/>
      <c r="G5570" s="163"/>
      <c r="H5570" s="164"/>
      <c r="I5570" s="163"/>
      <c r="J5570" s="164"/>
      <c r="K5570" s="163"/>
      <c r="L5570" s="164"/>
      <c r="M5570" s="11"/>
      <c r="N5570" s="39"/>
      <c r="Q5570" s="15" t="str">
        <f>+CONCATENATE(E5568,K5568)</f>
        <v/>
      </c>
      <c r="R5570" s="15">
        <f>+L5568</f>
        <v>0</v>
      </c>
      <c r="S5570" s="16"/>
      <c r="T5570" s="15">
        <f>+E5568</f>
        <v>0</v>
      </c>
      <c r="U5570" s="26" t="str">
        <f>IFERROR(LEFT(K5568,FIND("*",K5568)-1),"-")</f>
        <v>-</v>
      </c>
      <c r="V5570" s="26" t="str">
        <f>IFERROR(RIGHT(K5568,LEN(K5568)-FIND("*",K5568)),"-")</f>
        <v>-</v>
      </c>
      <c r="W5570" s="27" t="str">
        <f t="shared" si="3034"/>
        <v>-</v>
      </c>
      <c r="X5570" s="27" t="str">
        <f>IFERROR(W5570*L5568,"-")</f>
        <v>-</v>
      </c>
      <c r="Z5570" s="94" t="s">
        <v>82</v>
      </c>
    </row>
    <row r="5571" spans="1:26" s="25" customFormat="1" ht="6.95" customHeight="1" x14ac:dyDescent="0.3">
      <c r="A5571" s="13"/>
      <c r="B5571" s="168"/>
      <c r="C5571" s="169"/>
      <c r="D5571" s="160" t="s">
        <v>39</v>
      </c>
      <c r="E5571" s="161"/>
      <c r="F5571" s="162" t="s">
        <v>40</v>
      </c>
      <c r="G5571" s="163"/>
      <c r="H5571" s="164"/>
      <c r="I5571" s="163"/>
      <c r="J5571" s="164"/>
      <c r="K5571" s="163"/>
      <c r="L5571" s="164"/>
      <c r="M5571" s="11"/>
      <c r="N5571" s="39"/>
      <c r="Q5571" s="15" t="str">
        <f>+CONCATENATE(E5571,G5571)</f>
        <v/>
      </c>
      <c r="R5571" s="15">
        <f>+H5571</f>
        <v>0</v>
      </c>
      <c r="S5571" s="16"/>
      <c r="T5571" s="15">
        <f>+E5571</f>
        <v>0</v>
      </c>
      <c r="U5571" s="26" t="str">
        <f t="shared" ref="U5571" si="3035">IFERROR(LEFT(G5571,FIND("*",G5571)-1),"-")</f>
        <v>-</v>
      </c>
      <c r="V5571" s="26" t="str">
        <f t="shared" ref="V5571" si="3036">IFERROR(RIGHT(G5571,LEN(G5571)-FIND("*",G5571)),"-")</f>
        <v>-</v>
      </c>
      <c r="W5571" s="27" t="str">
        <f t="shared" si="3034"/>
        <v>-</v>
      </c>
      <c r="X5571" s="27" t="str">
        <f>IFERROR(W5571*H5571,"-")</f>
        <v>-</v>
      </c>
      <c r="Z5571" s="94" t="s">
        <v>82</v>
      </c>
    </row>
    <row r="5572" spans="1:26" s="25" customFormat="1" ht="6.95" customHeight="1" x14ac:dyDescent="0.3">
      <c r="A5572" s="10"/>
      <c r="B5572" s="168"/>
      <c r="C5572" s="169"/>
      <c r="D5572" s="160"/>
      <c r="E5572" s="161"/>
      <c r="F5572" s="162"/>
      <c r="G5572" s="163"/>
      <c r="H5572" s="164"/>
      <c r="I5572" s="163"/>
      <c r="J5572" s="164"/>
      <c r="K5572" s="163"/>
      <c r="L5572" s="164"/>
      <c r="M5572" s="11"/>
      <c r="N5572" s="39"/>
      <c r="Q5572" s="15" t="str">
        <f>+CONCATENATE(E5571,I5571)</f>
        <v/>
      </c>
      <c r="R5572" s="15">
        <f>+J5571</f>
        <v>0</v>
      </c>
      <c r="S5572" s="16"/>
      <c r="T5572" s="15">
        <f>+E5571</f>
        <v>0</v>
      </c>
      <c r="U5572" s="26" t="str">
        <f>IFERROR(LEFT(I5571,FIND("*",I5571)-1),"-")</f>
        <v>-</v>
      </c>
      <c r="V5572" s="26" t="str">
        <f>IFERROR(RIGHT(I5571,LEN(I5571)-FIND("*",I5571)),"-")</f>
        <v>-</v>
      </c>
      <c r="W5572" s="27" t="str">
        <f t="shared" si="3034"/>
        <v>-</v>
      </c>
      <c r="X5572" s="27" t="str">
        <f>IFERROR(W5572*J5571,"-")</f>
        <v>-</v>
      </c>
      <c r="Z5572" s="94" t="s">
        <v>82</v>
      </c>
    </row>
    <row r="5573" spans="1:26" s="25" customFormat="1" ht="6.95" customHeight="1" x14ac:dyDescent="0.3">
      <c r="A5573" s="10"/>
      <c r="B5573" s="168"/>
      <c r="C5573" s="169"/>
      <c r="D5573" s="160"/>
      <c r="E5573" s="161"/>
      <c r="F5573" s="162"/>
      <c r="G5573" s="163"/>
      <c r="H5573" s="164"/>
      <c r="I5573" s="163"/>
      <c r="J5573" s="164"/>
      <c r="K5573" s="163"/>
      <c r="L5573" s="164"/>
      <c r="M5573" s="11"/>
      <c r="N5573" s="39"/>
      <c r="Q5573" s="15" t="str">
        <f>+CONCATENATE(E5571,K5571)</f>
        <v/>
      </c>
      <c r="R5573" s="15">
        <f>+L5571</f>
        <v>0</v>
      </c>
      <c r="S5573" s="16"/>
      <c r="T5573" s="15">
        <f>+E5571</f>
        <v>0</v>
      </c>
      <c r="U5573" s="26" t="str">
        <f>IFERROR(LEFT(K5571,FIND("*",K5571)-1),"-")</f>
        <v>-</v>
      </c>
      <c r="V5573" s="26" t="str">
        <f>IFERROR(RIGHT(K5571,LEN(K5571)-FIND("*",K5571)),"-")</f>
        <v>-</v>
      </c>
      <c r="W5573" s="27" t="str">
        <f t="shared" si="3034"/>
        <v>-</v>
      </c>
      <c r="X5573" s="27" t="str">
        <f>IFERROR(W5573*L5571,"-")</f>
        <v>-</v>
      </c>
      <c r="Z5573" s="94" t="s">
        <v>82</v>
      </c>
    </row>
    <row r="5574" spans="1:26" s="25" customFormat="1" ht="6.95" customHeight="1" x14ac:dyDescent="0.3">
      <c r="A5574" s="13"/>
      <c r="B5574" s="168"/>
      <c r="C5574" s="169"/>
      <c r="D5574" s="160" t="s">
        <v>39</v>
      </c>
      <c r="E5574" s="161"/>
      <c r="F5574" s="162" t="s">
        <v>40</v>
      </c>
      <c r="G5574" s="163"/>
      <c r="H5574" s="164"/>
      <c r="I5574" s="163"/>
      <c r="J5574" s="164"/>
      <c r="K5574" s="163"/>
      <c r="L5574" s="164"/>
      <c r="M5574" s="11"/>
      <c r="N5574" s="39"/>
      <c r="Q5574" s="15" t="str">
        <f>+CONCATENATE(E5574,G5574)</f>
        <v/>
      </c>
      <c r="R5574" s="15">
        <f>+H5574</f>
        <v>0</v>
      </c>
      <c r="S5574" s="16"/>
      <c r="T5574" s="15">
        <f>+E5574</f>
        <v>0</v>
      </c>
      <c r="U5574" s="26" t="str">
        <f t="shared" ref="U5574" si="3037">IFERROR(LEFT(G5574,FIND("*",G5574)-1),"-")</f>
        <v>-</v>
      </c>
      <c r="V5574" s="26" t="str">
        <f t="shared" ref="V5574" si="3038">IFERROR(RIGHT(G5574,LEN(G5574)-FIND("*",G5574)),"-")</f>
        <v>-</v>
      </c>
      <c r="W5574" s="27" t="str">
        <f t="shared" si="3034"/>
        <v>-</v>
      </c>
      <c r="X5574" s="27" t="str">
        <f>IFERROR(W5574*H5574,"-")</f>
        <v>-</v>
      </c>
      <c r="Z5574" s="94" t="s">
        <v>82</v>
      </c>
    </row>
    <row r="5575" spans="1:26" s="25" customFormat="1" ht="6.95" customHeight="1" x14ac:dyDescent="0.3">
      <c r="A5575" s="10"/>
      <c r="B5575" s="168"/>
      <c r="C5575" s="169"/>
      <c r="D5575" s="160"/>
      <c r="E5575" s="161"/>
      <c r="F5575" s="162"/>
      <c r="G5575" s="163"/>
      <c r="H5575" s="164"/>
      <c r="I5575" s="163"/>
      <c r="J5575" s="164"/>
      <c r="K5575" s="163"/>
      <c r="L5575" s="164"/>
      <c r="M5575" s="11"/>
      <c r="N5575" s="39"/>
      <c r="Q5575" s="15" t="str">
        <f>+CONCATENATE(E5574,I5574)</f>
        <v/>
      </c>
      <c r="R5575" s="15">
        <f>+J5574</f>
        <v>0</v>
      </c>
      <c r="S5575" s="16"/>
      <c r="T5575" s="15">
        <f>+E5574</f>
        <v>0</v>
      </c>
      <c r="U5575" s="26" t="str">
        <f>IFERROR(LEFT(I5574,FIND("*",I5574)-1),"-")</f>
        <v>-</v>
      </c>
      <c r="V5575" s="26" t="str">
        <f>IFERROR(RIGHT(I5574,LEN(I5574)-FIND("*",I5574)),"-")</f>
        <v>-</v>
      </c>
      <c r="W5575" s="27" t="str">
        <f t="shared" si="3034"/>
        <v>-</v>
      </c>
      <c r="X5575" s="27" t="str">
        <f t="shared" ref="X5575" si="3039">IFERROR(W5575*J5574,"-")</f>
        <v>-</v>
      </c>
      <c r="Z5575" s="94" t="s">
        <v>82</v>
      </c>
    </row>
    <row r="5576" spans="1:26" s="25" customFormat="1" ht="6.95" customHeight="1" x14ac:dyDescent="0.3">
      <c r="A5576" s="10"/>
      <c r="B5576" s="168"/>
      <c r="C5576" s="169"/>
      <c r="D5576" s="160"/>
      <c r="E5576" s="161"/>
      <c r="F5576" s="162"/>
      <c r="G5576" s="163"/>
      <c r="H5576" s="164"/>
      <c r="I5576" s="163"/>
      <c r="J5576" s="164"/>
      <c r="K5576" s="163"/>
      <c r="L5576" s="164"/>
      <c r="M5576" s="11"/>
      <c r="N5576" s="39"/>
      <c r="Q5576" s="15" t="str">
        <f>+CONCATENATE(E5574,K5574)</f>
        <v/>
      </c>
      <c r="R5576" s="15">
        <f>+L5574</f>
        <v>0</v>
      </c>
      <c r="S5576" s="16"/>
      <c r="T5576" s="15">
        <f>+E5574</f>
        <v>0</v>
      </c>
      <c r="U5576" s="26" t="str">
        <f>IFERROR(LEFT(K5574,FIND("*",K5574)-1),"-")</f>
        <v>-</v>
      </c>
      <c r="V5576" s="26" t="str">
        <f>IFERROR(RIGHT(K5574,LEN(K5574)-FIND("*",K5574)),"-")</f>
        <v>-</v>
      </c>
      <c r="W5576" s="27" t="str">
        <f t="shared" si="3034"/>
        <v>-</v>
      </c>
      <c r="X5576" s="27" t="str">
        <f>IFERROR(W5576*L5574,"-")</f>
        <v>-</v>
      </c>
      <c r="Z5576" s="94" t="s">
        <v>82</v>
      </c>
    </row>
    <row r="5577" spans="1:26" s="25" customFormat="1" ht="21" customHeight="1" thickBot="1" x14ac:dyDescent="0.35">
      <c r="A5577" s="10"/>
      <c r="B5577" s="170"/>
      <c r="C5577" s="171"/>
      <c r="D5577" s="172" t="s">
        <v>43</v>
      </c>
      <c r="E5577" s="173"/>
      <c r="F5577" s="173"/>
      <c r="G5577" s="174"/>
      <c r="H5577" s="174"/>
      <c r="I5577" s="174"/>
      <c r="J5577" s="174"/>
      <c r="K5577" s="174"/>
      <c r="L5577" s="174"/>
      <c r="M5577" s="12"/>
      <c r="N5577" s="39"/>
      <c r="U5577" s="23"/>
      <c r="V5577" s="23"/>
      <c r="Z5577" s="95" t="s">
        <v>81</v>
      </c>
    </row>
    <row r="5578" spans="1:26" s="25" customFormat="1" ht="9.9499999999999993" customHeight="1" thickBot="1" x14ac:dyDescent="0.35">
      <c r="A5578" s="6"/>
      <c r="B5578" s="14"/>
      <c r="C5578" s="119"/>
      <c r="D5578" s="58"/>
      <c r="E5578" s="17"/>
      <c r="F5578" s="58"/>
      <c r="G5578" s="19"/>
      <c r="H5578" s="19"/>
      <c r="I5578" s="19"/>
      <c r="J5578" s="19"/>
      <c r="K5578" s="19"/>
      <c r="L5578" s="19"/>
      <c r="M5578" s="14"/>
      <c r="N5578" s="39"/>
      <c r="Q5578" s="1"/>
      <c r="R5578" s="1"/>
      <c r="S5578" s="1"/>
      <c r="T5578" s="1"/>
      <c r="U5578" s="24"/>
      <c r="V5578" s="24"/>
      <c r="W5578" s="1"/>
      <c r="X5578" s="1"/>
      <c r="Z5578" s="94" t="s">
        <v>82</v>
      </c>
    </row>
    <row r="5579" spans="1:26" s="25" customFormat="1" ht="6.95" customHeight="1" x14ac:dyDescent="0.3">
      <c r="A5579" s="165">
        <f>+A5568+1</f>
        <v>508</v>
      </c>
      <c r="B5579" s="166"/>
      <c r="C5579" s="167"/>
      <c r="D5579" s="160" t="s">
        <v>39</v>
      </c>
      <c r="E5579" s="161"/>
      <c r="F5579" s="162" t="s">
        <v>40</v>
      </c>
      <c r="G5579" s="163"/>
      <c r="H5579" s="164"/>
      <c r="I5579" s="163"/>
      <c r="J5579" s="164"/>
      <c r="K5579" s="163"/>
      <c r="L5579" s="164"/>
      <c r="M5579" s="11"/>
      <c r="N5579" s="39"/>
      <c r="Q5579" s="15" t="str">
        <f>+CONCATENATE(E5579,G5579)</f>
        <v/>
      </c>
      <c r="R5579" s="15">
        <f>+H5579</f>
        <v>0</v>
      </c>
      <c r="S5579" s="16"/>
      <c r="T5579" s="15">
        <f>+E5579</f>
        <v>0</v>
      </c>
      <c r="U5579" s="26" t="str">
        <f>IFERROR(LEFT(G5579,FIND("*",G5579)-1),"-")</f>
        <v>-</v>
      </c>
      <c r="V5579" s="26" t="str">
        <f>IFERROR(RIGHT(G5579,LEN(G5579)-FIND("*",G5579)),"-")</f>
        <v>-</v>
      </c>
      <c r="W5579" s="27" t="str">
        <f>IFERROR((U5579+V5579)*2/1000,"-")</f>
        <v>-</v>
      </c>
      <c r="X5579" s="27" t="str">
        <f>IFERROR(W5579*H5579,"-")</f>
        <v>-</v>
      </c>
      <c r="Z5579" s="94" t="s">
        <v>82</v>
      </c>
    </row>
    <row r="5580" spans="1:26" s="25" customFormat="1" ht="6.95" customHeight="1" x14ac:dyDescent="0.3">
      <c r="A5580" s="165"/>
      <c r="B5580" s="168"/>
      <c r="C5580" s="169"/>
      <c r="D5580" s="160"/>
      <c r="E5580" s="161"/>
      <c r="F5580" s="162"/>
      <c r="G5580" s="163"/>
      <c r="H5580" s="164"/>
      <c r="I5580" s="163"/>
      <c r="J5580" s="164"/>
      <c r="K5580" s="163"/>
      <c r="L5580" s="164"/>
      <c r="M5580" s="11"/>
      <c r="N5580" s="39"/>
      <c r="Q5580" s="15" t="str">
        <f>+CONCATENATE(E5579,I5579)</f>
        <v/>
      </c>
      <c r="R5580" s="15">
        <f>+J5579</f>
        <v>0</v>
      </c>
      <c r="S5580" s="16"/>
      <c r="T5580" s="15">
        <f>+E5579</f>
        <v>0</v>
      </c>
      <c r="U5580" s="26" t="str">
        <f>IFERROR(LEFT(I5579,FIND("*",I5579)-1),"-")</f>
        <v>-</v>
      </c>
      <c r="V5580" s="26" t="str">
        <f>IFERROR(RIGHT(I5579,LEN(I5579)-FIND("*",I5579)),"-")</f>
        <v>-</v>
      </c>
      <c r="W5580" s="27" t="str">
        <f t="shared" ref="W5580:W5587" si="3040">IFERROR((U5580+V5580)*2/1000,"-")</f>
        <v>-</v>
      </c>
      <c r="X5580" s="27" t="str">
        <f>IFERROR(W5580*J5579,"-")</f>
        <v>-</v>
      </c>
      <c r="Z5580" s="94" t="s">
        <v>82</v>
      </c>
    </row>
    <row r="5581" spans="1:26" s="25" customFormat="1" ht="6.95" customHeight="1" x14ac:dyDescent="0.3">
      <c r="A5581" s="165"/>
      <c r="B5581" s="168"/>
      <c r="C5581" s="169"/>
      <c r="D5581" s="160"/>
      <c r="E5581" s="161"/>
      <c r="F5581" s="162"/>
      <c r="G5581" s="163"/>
      <c r="H5581" s="164"/>
      <c r="I5581" s="163"/>
      <c r="J5581" s="164"/>
      <c r="K5581" s="163"/>
      <c r="L5581" s="164"/>
      <c r="M5581" s="11"/>
      <c r="N5581" s="39"/>
      <c r="Q5581" s="15" t="str">
        <f>+CONCATENATE(E5579,K5579)</f>
        <v/>
      </c>
      <c r="R5581" s="15">
        <f>+L5579</f>
        <v>0</v>
      </c>
      <c r="S5581" s="16"/>
      <c r="T5581" s="15">
        <f>+E5579</f>
        <v>0</v>
      </c>
      <c r="U5581" s="26" t="str">
        <f>IFERROR(LEFT(K5579,FIND("*",K5579)-1),"-")</f>
        <v>-</v>
      </c>
      <c r="V5581" s="26" t="str">
        <f>IFERROR(RIGHT(K5579,LEN(K5579)-FIND("*",K5579)),"-")</f>
        <v>-</v>
      </c>
      <c r="W5581" s="27" t="str">
        <f t="shared" si="3040"/>
        <v>-</v>
      </c>
      <c r="X5581" s="27" t="str">
        <f>IFERROR(W5581*L5579,"-")</f>
        <v>-</v>
      </c>
      <c r="Z5581" s="94" t="s">
        <v>82</v>
      </c>
    </row>
    <row r="5582" spans="1:26" s="25" customFormat="1" ht="6.95" customHeight="1" x14ac:dyDescent="0.3">
      <c r="A5582" s="13"/>
      <c r="B5582" s="168"/>
      <c r="C5582" s="169"/>
      <c r="D5582" s="160" t="s">
        <v>39</v>
      </c>
      <c r="E5582" s="161"/>
      <c r="F5582" s="162" t="s">
        <v>40</v>
      </c>
      <c r="G5582" s="163"/>
      <c r="H5582" s="164"/>
      <c r="I5582" s="163"/>
      <c r="J5582" s="164"/>
      <c r="K5582" s="163"/>
      <c r="L5582" s="164"/>
      <c r="M5582" s="11"/>
      <c r="N5582" s="39"/>
      <c r="Q5582" s="15" t="str">
        <f>+CONCATENATE(E5582,G5582)</f>
        <v/>
      </c>
      <c r="R5582" s="15">
        <f>+H5582</f>
        <v>0</v>
      </c>
      <c r="S5582" s="16"/>
      <c r="T5582" s="15">
        <f>+E5582</f>
        <v>0</v>
      </c>
      <c r="U5582" s="26" t="str">
        <f t="shared" ref="U5582" si="3041">IFERROR(LEFT(G5582,FIND("*",G5582)-1),"-")</f>
        <v>-</v>
      </c>
      <c r="V5582" s="26" t="str">
        <f t="shared" ref="V5582" si="3042">IFERROR(RIGHT(G5582,LEN(G5582)-FIND("*",G5582)),"-")</f>
        <v>-</v>
      </c>
      <c r="W5582" s="27" t="str">
        <f t="shared" si="3040"/>
        <v>-</v>
      </c>
      <c r="X5582" s="27" t="str">
        <f>IFERROR(W5582*H5582,"-")</f>
        <v>-</v>
      </c>
      <c r="Z5582" s="94" t="s">
        <v>82</v>
      </c>
    </row>
    <row r="5583" spans="1:26" s="25" customFormat="1" ht="6.95" customHeight="1" x14ac:dyDescent="0.3">
      <c r="A5583" s="10"/>
      <c r="B5583" s="168"/>
      <c r="C5583" s="169"/>
      <c r="D5583" s="160"/>
      <c r="E5583" s="161"/>
      <c r="F5583" s="162"/>
      <c r="G5583" s="163"/>
      <c r="H5583" s="164"/>
      <c r="I5583" s="163"/>
      <c r="J5583" s="164"/>
      <c r="K5583" s="163"/>
      <c r="L5583" s="164"/>
      <c r="M5583" s="11"/>
      <c r="N5583" s="39"/>
      <c r="Q5583" s="15" t="str">
        <f>+CONCATENATE(E5582,I5582)</f>
        <v/>
      </c>
      <c r="R5583" s="15">
        <f>+J5582</f>
        <v>0</v>
      </c>
      <c r="S5583" s="16"/>
      <c r="T5583" s="15">
        <f>+E5582</f>
        <v>0</v>
      </c>
      <c r="U5583" s="26" t="str">
        <f>IFERROR(LEFT(I5582,FIND("*",I5582)-1),"-")</f>
        <v>-</v>
      </c>
      <c r="V5583" s="26" t="str">
        <f>IFERROR(RIGHT(I5582,LEN(I5582)-FIND("*",I5582)),"-")</f>
        <v>-</v>
      </c>
      <c r="W5583" s="27" t="str">
        <f t="shared" si="3040"/>
        <v>-</v>
      </c>
      <c r="X5583" s="27" t="str">
        <f>IFERROR(W5583*J5582,"-")</f>
        <v>-</v>
      </c>
      <c r="Z5583" s="94" t="s">
        <v>82</v>
      </c>
    </row>
    <row r="5584" spans="1:26" s="25" customFormat="1" ht="6.95" customHeight="1" x14ac:dyDescent="0.3">
      <c r="A5584" s="10"/>
      <c r="B5584" s="168"/>
      <c r="C5584" s="169"/>
      <c r="D5584" s="160"/>
      <c r="E5584" s="161"/>
      <c r="F5584" s="162"/>
      <c r="G5584" s="163"/>
      <c r="H5584" s="164"/>
      <c r="I5584" s="163"/>
      <c r="J5584" s="164"/>
      <c r="K5584" s="163"/>
      <c r="L5584" s="164"/>
      <c r="M5584" s="11"/>
      <c r="N5584" s="39"/>
      <c r="Q5584" s="15" t="str">
        <f>+CONCATENATE(E5582,K5582)</f>
        <v/>
      </c>
      <c r="R5584" s="15">
        <f>+L5582</f>
        <v>0</v>
      </c>
      <c r="S5584" s="16"/>
      <c r="T5584" s="15">
        <f>+E5582</f>
        <v>0</v>
      </c>
      <c r="U5584" s="26" t="str">
        <f>IFERROR(LEFT(K5582,FIND("*",K5582)-1),"-")</f>
        <v>-</v>
      </c>
      <c r="V5584" s="26" t="str">
        <f>IFERROR(RIGHT(K5582,LEN(K5582)-FIND("*",K5582)),"-")</f>
        <v>-</v>
      </c>
      <c r="W5584" s="27" t="str">
        <f t="shared" si="3040"/>
        <v>-</v>
      </c>
      <c r="X5584" s="27" t="str">
        <f>IFERROR(W5584*L5582,"-")</f>
        <v>-</v>
      </c>
      <c r="Z5584" s="94" t="s">
        <v>82</v>
      </c>
    </row>
    <row r="5585" spans="1:26" s="25" customFormat="1" ht="6.95" customHeight="1" x14ac:dyDescent="0.3">
      <c r="A5585" s="13"/>
      <c r="B5585" s="168"/>
      <c r="C5585" s="169"/>
      <c r="D5585" s="160" t="s">
        <v>39</v>
      </c>
      <c r="E5585" s="161"/>
      <c r="F5585" s="162" t="s">
        <v>40</v>
      </c>
      <c r="G5585" s="163"/>
      <c r="H5585" s="164"/>
      <c r="I5585" s="163"/>
      <c r="J5585" s="164"/>
      <c r="K5585" s="163"/>
      <c r="L5585" s="164"/>
      <c r="M5585" s="11"/>
      <c r="N5585" s="39"/>
      <c r="Q5585" s="15" t="str">
        <f>+CONCATENATE(E5585,G5585)</f>
        <v/>
      </c>
      <c r="R5585" s="15">
        <f>+H5585</f>
        <v>0</v>
      </c>
      <c r="S5585" s="16"/>
      <c r="T5585" s="15">
        <f>+E5585</f>
        <v>0</v>
      </c>
      <c r="U5585" s="26" t="str">
        <f t="shared" ref="U5585" si="3043">IFERROR(LEFT(G5585,FIND("*",G5585)-1),"-")</f>
        <v>-</v>
      </c>
      <c r="V5585" s="26" t="str">
        <f t="shared" ref="V5585" si="3044">IFERROR(RIGHT(G5585,LEN(G5585)-FIND("*",G5585)),"-")</f>
        <v>-</v>
      </c>
      <c r="W5585" s="27" t="str">
        <f t="shared" si="3040"/>
        <v>-</v>
      </c>
      <c r="X5585" s="27" t="str">
        <f>IFERROR(W5585*H5585,"-")</f>
        <v>-</v>
      </c>
      <c r="Z5585" s="94" t="s">
        <v>82</v>
      </c>
    </row>
    <row r="5586" spans="1:26" s="25" customFormat="1" ht="6.95" customHeight="1" x14ac:dyDescent="0.3">
      <c r="A5586" s="10"/>
      <c r="B5586" s="168"/>
      <c r="C5586" s="169"/>
      <c r="D5586" s="160"/>
      <c r="E5586" s="161"/>
      <c r="F5586" s="162"/>
      <c r="G5586" s="163"/>
      <c r="H5586" s="164"/>
      <c r="I5586" s="163"/>
      <c r="J5586" s="164"/>
      <c r="K5586" s="163"/>
      <c r="L5586" s="164"/>
      <c r="M5586" s="11"/>
      <c r="N5586" s="39"/>
      <c r="Q5586" s="15" t="str">
        <f>+CONCATENATE(E5585,I5585)</f>
        <v/>
      </c>
      <c r="R5586" s="15">
        <f>+J5585</f>
        <v>0</v>
      </c>
      <c r="S5586" s="16"/>
      <c r="T5586" s="15">
        <f>+E5585</f>
        <v>0</v>
      </c>
      <c r="U5586" s="26" t="str">
        <f>IFERROR(LEFT(I5585,FIND("*",I5585)-1),"-")</f>
        <v>-</v>
      </c>
      <c r="V5586" s="26" t="str">
        <f>IFERROR(RIGHT(I5585,LEN(I5585)-FIND("*",I5585)),"-")</f>
        <v>-</v>
      </c>
      <c r="W5586" s="27" t="str">
        <f t="shared" si="3040"/>
        <v>-</v>
      </c>
      <c r="X5586" s="27" t="str">
        <f t="shared" ref="X5586" si="3045">IFERROR(W5586*J5585,"-")</f>
        <v>-</v>
      </c>
      <c r="Z5586" s="94" t="s">
        <v>82</v>
      </c>
    </row>
    <row r="5587" spans="1:26" s="25" customFormat="1" ht="6.95" customHeight="1" x14ac:dyDescent="0.3">
      <c r="A5587" s="10"/>
      <c r="B5587" s="168"/>
      <c r="C5587" s="169"/>
      <c r="D5587" s="160"/>
      <c r="E5587" s="161"/>
      <c r="F5587" s="162"/>
      <c r="G5587" s="163"/>
      <c r="H5587" s="164"/>
      <c r="I5587" s="163"/>
      <c r="J5587" s="164"/>
      <c r="K5587" s="163"/>
      <c r="L5587" s="164"/>
      <c r="M5587" s="11"/>
      <c r="N5587" s="39"/>
      <c r="Q5587" s="15" t="str">
        <f>+CONCATENATE(E5585,K5585)</f>
        <v/>
      </c>
      <c r="R5587" s="15">
        <f>+L5585</f>
        <v>0</v>
      </c>
      <c r="S5587" s="16"/>
      <c r="T5587" s="15">
        <f>+E5585</f>
        <v>0</v>
      </c>
      <c r="U5587" s="26" t="str">
        <f>IFERROR(LEFT(K5585,FIND("*",K5585)-1),"-")</f>
        <v>-</v>
      </c>
      <c r="V5587" s="26" t="str">
        <f>IFERROR(RIGHT(K5585,LEN(K5585)-FIND("*",K5585)),"-")</f>
        <v>-</v>
      </c>
      <c r="W5587" s="27" t="str">
        <f t="shared" si="3040"/>
        <v>-</v>
      </c>
      <c r="X5587" s="27" t="str">
        <f>IFERROR(W5587*L5585,"-")</f>
        <v>-</v>
      </c>
      <c r="Z5587" s="94" t="s">
        <v>82</v>
      </c>
    </row>
    <row r="5588" spans="1:26" s="25" customFormat="1" ht="21" customHeight="1" thickBot="1" x14ac:dyDescent="0.35">
      <c r="A5588" s="10"/>
      <c r="B5588" s="170"/>
      <c r="C5588" s="171"/>
      <c r="D5588" s="172" t="s">
        <v>43</v>
      </c>
      <c r="E5588" s="173"/>
      <c r="F5588" s="173"/>
      <c r="G5588" s="174"/>
      <c r="H5588" s="174"/>
      <c r="I5588" s="174"/>
      <c r="J5588" s="174"/>
      <c r="K5588" s="174"/>
      <c r="L5588" s="174"/>
      <c r="M5588" s="12"/>
      <c r="N5588" s="39"/>
      <c r="U5588" s="23"/>
      <c r="V5588" s="23"/>
      <c r="Z5588" s="95" t="s">
        <v>81</v>
      </c>
    </row>
    <row r="5589" spans="1:26" s="25" customFormat="1" ht="9.9499999999999993" customHeight="1" thickBot="1" x14ac:dyDescent="0.35">
      <c r="A5589" s="6"/>
      <c r="B5589" s="14"/>
      <c r="C5589" s="119"/>
      <c r="D5589" s="58"/>
      <c r="E5589" s="17"/>
      <c r="F5589" s="58"/>
      <c r="G5589" s="19"/>
      <c r="H5589" s="19"/>
      <c r="I5589" s="19"/>
      <c r="J5589" s="19"/>
      <c r="K5589" s="19"/>
      <c r="L5589" s="19"/>
      <c r="M5589" s="14"/>
      <c r="N5589" s="39"/>
      <c r="Q5589" s="1"/>
      <c r="R5589" s="1"/>
      <c r="S5589" s="1"/>
      <c r="T5589" s="1"/>
      <c r="U5589" s="24"/>
      <c r="V5589" s="24"/>
      <c r="W5589" s="1"/>
      <c r="X5589" s="1"/>
      <c r="Z5589" s="94" t="s">
        <v>82</v>
      </c>
    </row>
    <row r="5590" spans="1:26" s="25" customFormat="1" ht="6.95" customHeight="1" x14ac:dyDescent="0.3">
      <c r="A5590" s="165">
        <f>+A5579+1</f>
        <v>509</v>
      </c>
      <c r="B5590" s="166"/>
      <c r="C5590" s="167"/>
      <c r="D5590" s="160" t="s">
        <v>39</v>
      </c>
      <c r="E5590" s="161"/>
      <c r="F5590" s="162" t="s">
        <v>40</v>
      </c>
      <c r="G5590" s="163"/>
      <c r="H5590" s="164"/>
      <c r="I5590" s="163"/>
      <c r="J5590" s="164"/>
      <c r="K5590" s="163"/>
      <c r="L5590" s="164"/>
      <c r="M5590" s="11"/>
      <c r="N5590" s="39"/>
      <c r="Q5590" s="15" t="str">
        <f>+CONCATENATE(E5590,G5590)</f>
        <v/>
      </c>
      <c r="R5590" s="15">
        <f>+H5590</f>
        <v>0</v>
      </c>
      <c r="S5590" s="16"/>
      <c r="T5590" s="15">
        <f>+E5590</f>
        <v>0</v>
      </c>
      <c r="U5590" s="26" t="str">
        <f>IFERROR(LEFT(G5590,FIND("*",G5590)-1),"-")</f>
        <v>-</v>
      </c>
      <c r="V5590" s="26" t="str">
        <f>IFERROR(RIGHT(G5590,LEN(G5590)-FIND("*",G5590)),"-")</f>
        <v>-</v>
      </c>
      <c r="W5590" s="27" t="str">
        <f>IFERROR((U5590+V5590)*2/1000,"-")</f>
        <v>-</v>
      </c>
      <c r="X5590" s="27" t="str">
        <f>IFERROR(W5590*H5590,"-")</f>
        <v>-</v>
      </c>
      <c r="Z5590" s="94" t="s">
        <v>82</v>
      </c>
    </row>
    <row r="5591" spans="1:26" s="25" customFormat="1" ht="6.95" customHeight="1" x14ac:dyDescent="0.3">
      <c r="A5591" s="165"/>
      <c r="B5591" s="168"/>
      <c r="C5591" s="169"/>
      <c r="D5591" s="160"/>
      <c r="E5591" s="161"/>
      <c r="F5591" s="162"/>
      <c r="G5591" s="163"/>
      <c r="H5591" s="164"/>
      <c r="I5591" s="163"/>
      <c r="J5591" s="164"/>
      <c r="K5591" s="163"/>
      <c r="L5591" s="164"/>
      <c r="M5591" s="11"/>
      <c r="N5591" s="39"/>
      <c r="Q5591" s="15" t="str">
        <f>+CONCATENATE(E5590,I5590)</f>
        <v/>
      </c>
      <c r="R5591" s="15">
        <f>+J5590</f>
        <v>0</v>
      </c>
      <c r="S5591" s="16"/>
      <c r="T5591" s="15">
        <f>+E5590</f>
        <v>0</v>
      </c>
      <c r="U5591" s="26" t="str">
        <f>IFERROR(LEFT(I5590,FIND("*",I5590)-1),"-")</f>
        <v>-</v>
      </c>
      <c r="V5591" s="26" t="str">
        <f>IFERROR(RIGHT(I5590,LEN(I5590)-FIND("*",I5590)),"-")</f>
        <v>-</v>
      </c>
      <c r="W5591" s="27" t="str">
        <f t="shared" ref="W5591:W5598" si="3046">IFERROR((U5591+V5591)*2/1000,"-")</f>
        <v>-</v>
      </c>
      <c r="X5591" s="27" t="str">
        <f>IFERROR(W5591*J5590,"-")</f>
        <v>-</v>
      </c>
      <c r="Z5591" s="94" t="s">
        <v>82</v>
      </c>
    </row>
    <row r="5592" spans="1:26" s="25" customFormat="1" ht="6.95" customHeight="1" x14ac:dyDescent="0.3">
      <c r="A5592" s="165"/>
      <c r="B5592" s="168"/>
      <c r="C5592" s="169"/>
      <c r="D5592" s="160"/>
      <c r="E5592" s="161"/>
      <c r="F5592" s="162"/>
      <c r="G5592" s="163"/>
      <c r="H5592" s="164"/>
      <c r="I5592" s="163"/>
      <c r="J5592" s="164"/>
      <c r="K5592" s="163"/>
      <c r="L5592" s="164"/>
      <c r="M5592" s="11"/>
      <c r="N5592" s="39"/>
      <c r="Q5592" s="15" t="str">
        <f>+CONCATENATE(E5590,K5590)</f>
        <v/>
      </c>
      <c r="R5592" s="15">
        <f>+L5590</f>
        <v>0</v>
      </c>
      <c r="S5592" s="16"/>
      <c r="T5592" s="15">
        <f>+E5590</f>
        <v>0</v>
      </c>
      <c r="U5592" s="26" t="str">
        <f>IFERROR(LEFT(K5590,FIND("*",K5590)-1),"-")</f>
        <v>-</v>
      </c>
      <c r="V5592" s="26" t="str">
        <f>IFERROR(RIGHT(K5590,LEN(K5590)-FIND("*",K5590)),"-")</f>
        <v>-</v>
      </c>
      <c r="W5592" s="27" t="str">
        <f t="shared" si="3046"/>
        <v>-</v>
      </c>
      <c r="X5592" s="27" t="str">
        <f>IFERROR(W5592*L5590,"-")</f>
        <v>-</v>
      </c>
      <c r="Z5592" s="94" t="s">
        <v>82</v>
      </c>
    </row>
    <row r="5593" spans="1:26" s="25" customFormat="1" ht="6.95" customHeight="1" x14ac:dyDescent="0.3">
      <c r="A5593" s="13"/>
      <c r="B5593" s="168"/>
      <c r="C5593" s="169"/>
      <c r="D5593" s="160" t="s">
        <v>39</v>
      </c>
      <c r="E5593" s="161"/>
      <c r="F5593" s="162" t="s">
        <v>40</v>
      </c>
      <c r="G5593" s="163"/>
      <c r="H5593" s="164"/>
      <c r="I5593" s="163"/>
      <c r="J5593" s="164"/>
      <c r="K5593" s="163"/>
      <c r="L5593" s="164"/>
      <c r="M5593" s="11"/>
      <c r="N5593" s="39"/>
      <c r="Q5593" s="15" t="str">
        <f>+CONCATENATE(E5593,G5593)</f>
        <v/>
      </c>
      <c r="R5593" s="15">
        <f>+H5593</f>
        <v>0</v>
      </c>
      <c r="S5593" s="16"/>
      <c r="T5593" s="15">
        <f>+E5593</f>
        <v>0</v>
      </c>
      <c r="U5593" s="26" t="str">
        <f t="shared" ref="U5593" si="3047">IFERROR(LEFT(G5593,FIND("*",G5593)-1),"-")</f>
        <v>-</v>
      </c>
      <c r="V5593" s="26" t="str">
        <f t="shared" ref="V5593" si="3048">IFERROR(RIGHT(G5593,LEN(G5593)-FIND("*",G5593)),"-")</f>
        <v>-</v>
      </c>
      <c r="W5593" s="27" t="str">
        <f t="shared" si="3046"/>
        <v>-</v>
      </c>
      <c r="X5593" s="27" t="str">
        <f>IFERROR(W5593*H5593,"-")</f>
        <v>-</v>
      </c>
      <c r="Z5593" s="94" t="s">
        <v>82</v>
      </c>
    </row>
    <row r="5594" spans="1:26" s="25" customFormat="1" ht="6.95" customHeight="1" x14ac:dyDescent="0.3">
      <c r="A5594" s="10"/>
      <c r="B5594" s="168"/>
      <c r="C5594" s="169"/>
      <c r="D5594" s="160"/>
      <c r="E5594" s="161"/>
      <c r="F5594" s="162"/>
      <c r="G5594" s="163"/>
      <c r="H5594" s="164"/>
      <c r="I5594" s="163"/>
      <c r="J5594" s="164"/>
      <c r="K5594" s="163"/>
      <c r="L5594" s="164"/>
      <c r="M5594" s="11"/>
      <c r="N5594" s="39"/>
      <c r="Q5594" s="15" t="str">
        <f>+CONCATENATE(E5593,I5593)</f>
        <v/>
      </c>
      <c r="R5594" s="15">
        <f>+J5593</f>
        <v>0</v>
      </c>
      <c r="S5594" s="16"/>
      <c r="T5594" s="15">
        <f>+E5593</f>
        <v>0</v>
      </c>
      <c r="U5594" s="26" t="str">
        <f>IFERROR(LEFT(I5593,FIND("*",I5593)-1),"-")</f>
        <v>-</v>
      </c>
      <c r="V5594" s="26" t="str">
        <f>IFERROR(RIGHT(I5593,LEN(I5593)-FIND("*",I5593)),"-")</f>
        <v>-</v>
      </c>
      <c r="W5594" s="27" t="str">
        <f t="shared" si="3046"/>
        <v>-</v>
      </c>
      <c r="X5594" s="27" t="str">
        <f>IFERROR(W5594*J5593,"-")</f>
        <v>-</v>
      </c>
      <c r="Z5594" s="94" t="s">
        <v>82</v>
      </c>
    </row>
    <row r="5595" spans="1:26" s="25" customFormat="1" ht="6.95" customHeight="1" x14ac:dyDescent="0.3">
      <c r="A5595" s="10"/>
      <c r="B5595" s="168"/>
      <c r="C5595" s="169"/>
      <c r="D5595" s="160"/>
      <c r="E5595" s="161"/>
      <c r="F5595" s="162"/>
      <c r="G5595" s="163"/>
      <c r="H5595" s="164"/>
      <c r="I5595" s="163"/>
      <c r="J5595" s="164"/>
      <c r="K5595" s="163"/>
      <c r="L5595" s="164"/>
      <c r="M5595" s="11"/>
      <c r="N5595" s="39"/>
      <c r="Q5595" s="15" t="str">
        <f>+CONCATENATE(E5593,K5593)</f>
        <v/>
      </c>
      <c r="R5595" s="15">
        <f>+L5593</f>
        <v>0</v>
      </c>
      <c r="S5595" s="16"/>
      <c r="T5595" s="15">
        <f>+E5593</f>
        <v>0</v>
      </c>
      <c r="U5595" s="26" t="str">
        <f>IFERROR(LEFT(K5593,FIND("*",K5593)-1),"-")</f>
        <v>-</v>
      </c>
      <c r="V5595" s="26" t="str">
        <f>IFERROR(RIGHT(K5593,LEN(K5593)-FIND("*",K5593)),"-")</f>
        <v>-</v>
      </c>
      <c r="W5595" s="27" t="str">
        <f t="shared" si="3046"/>
        <v>-</v>
      </c>
      <c r="X5595" s="27" t="str">
        <f>IFERROR(W5595*L5593,"-")</f>
        <v>-</v>
      </c>
      <c r="Z5595" s="94" t="s">
        <v>82</v>
      </c>
    </row>
    <row r="5596" spans="1:26" s="25" customFormat="1" ht="6.95" customHeight="1" x14ac:dyDescent="0.3">
      <c r="A5596" s="13"/>
      <c r="B5596" s="168"/>
      <c r="C5596" s="169"/>
      <c r="D5596" s="160" t="s">
        <v>39</v>
      </c>
      <c r="E5596" s="161"/>
      <c r="F5596" s="162" t="s">
        <v>40</v>
      </c>
      <c r="G5596" s="163"/>
      <c r="H5596" s="164"/>
      <c r="I5596" s="163"/>
      <c r="J5596" s="164"/>
      <c r="K5596" s="163"/>
      <c r="L5596" s="164"/>
      <c r="M5596" s="11"/>
      <c r="N5596" s="39"/>
      <c r="Q5596" s="15" t="str">
        <f>+CONCATENATE(E5596,G5596)</f>
        <v/>
      </c>
      <c r="R5596" s="15">
        <f>+H5596</f>
        <v>0</v>
      </c>
      <c r="S5596" s="16"/>
      <c r="T5596" s="15">
        <f>+E5596</f>
        <v>0</v>
      </c>
      <c r="U5596" s="26" t="str">
        <f t="shared" ref="U5596" si="3049">IFERROR(LEFT(G5596,FIND("*",G5596)-1),"-")</f>
        <v>-</v>
      </c>
      <c r="V5596" s="26" t="str">
        <f t="shared" ref="V5596" si="3050">IFERROR(RIGHT(G5596,LEN(G5596)-FIND("*",G5596)),"-")</f>
        <v>-</v>
      </c>
      <c r="W5596" s="27" t="str">
        <f t="shared" si="3046"/>
        <v>-</v>
      </c>
      <c r="X5596" s="27" t="str">
        <f>IFERROR(W5596*H5596,"-")</f>
        <v>-</v>
      </c>
      <c r="Z5596" s="94" t="s">
        <v>82</v>
      </c>
    </row>
    <row r="5597" spans="1:26" s="25" customFormat="1" ht="6.95" customHeight="1" x14ac:dyDescent="0.3">
      <c r="A5597" s="10"/>
      <c r="B5597" s="168"/>
      <c r="C5597" s="169"/>
      <c r="D5597" s="160"/>
      <c r="E5597" s="161"/>
      <c r="F5597" s="162"/>
      <c r="G5597" s="163"/>
      <c r="H5597" s="164"/>
      <c r="I5597" s="163"/>
      <c r="J5597" s="164"/>
      <c r="K5597" s="163"/>
      <c r="L5597" s="164"/>
      <c r="M5597" s="11"/>
      <c r="N5597" s="39"/>
      <c r="Q5597" s="15" t="str">
        <f>+CONCATENATE(E5596,I5596)</f>
        <v/>
      </c>
      <c r="R5597" s="15">
        <f>+J5596</f>
        <v>0</v>
      </c>
      <c r="S5597" s="16"/>
      <c r="T5597" s="15">
        <f>+E5596</f>
        <v>0</v>
      </c>
      <c r="U5597" s="26" t="str">
        <f>IFERROR(LEFT(I5596,FIND("*",I5596)-1),"-")</f>
        <v>-</v>
      </c>
      <c r="V5597" s="26" t="str">
        <f>IFERROR(RIGHT(I5596,LEN(I5596)-FIND("*",I5596)),"-")</f>
        <v>-</v>
      </c>
      <c r="W5597" s="27" t="str">
        <f t="shared" si="3046"/>
        <v>-</v>
      </c>
      <c r="X5597" s="27" t="str">
        <f t="shared" ref="X5597" si="3051">IFERROR(W5597*J5596,"-")</f>
        <v>-</v>
      </c>
      <c r="Z5597" s="94" t="s">
        <v>82</v>
      </c>
    </row>
    <row r="5598" spans="1:26" s="25" customFormat="1" ht="6.95" customHeight="1" x14ac:dyDescent="0.3">
      <c r="A5598" s="10"/>
      <c r="B5598" s="168"/>
      <c r="C5598" s="169"/>
      <c r="D5598" s="160"/>
      <c r="E5598" s="161"/>
      <c r="F5598" s="162"/>
      <c r="G5598" s="163"/>
      <c r="H5598" s="164"/>
      <c r="I5598" s="163"/>
      <c r="J5598" s="164"/>
      <c r="K5598" s="163"/>
      <c r="L5598" s="164"/>
      <c r="M5598" s="11"/>
      <c r="N5598" s="39"/>
      <c r="Q5598" s="15" t="str">
        <f>+CONCATENATE(E5596,K5596)</f>
        <v/>
      </c>
      <c r="R5598" s="15">
        <f>+L5596</f>
        <v>0</v>
      </c>
      <c r="S5598" s="16"/>
      <c r="T5598" s="15">
        <f>+E5596</f>
        <v>0</v>
      </c>
      <c r="U5598" s="26" t="str">
        <f>IFERROR(LEFT(K5596,FIND("*",K5596)-1),"-")</f>
        <v>-</v>
      </c>
      <c r="V5598" s="26" t="str">
        <f>IFERROR(RIGHT(K5596,LEN(K5596)-FIND("*",K5596)),"-")</f>
        <v>-</v>
      </c>
      <c r="W5598" s="27" t="str">
        <f t="shared" si="3046"/>
        <v>-</v>
      </c>
      <c r="X5598" s="27" t="str">
        <f>IFERROR(W5598*L5596,"-")</f>
        <v>-</v>
      </c>
      <c r="Z5598" s="94" t="s">
        <v>82</v>
      </c>
    </row>
    <row r="5599" spans="1:26" s="25" customFormat="1" ht="21" customHeight="1" thickBot="1" x14ac:dyDescent="0.35">
      <c r="A5599" s="10"/>
      <c r="B5599" s="170"/>
      <c r="C5599" s="171"/>
      <c r="D5599" s="172" t="s">
        <v>43</v>
      </c>
      <c r="E5599" s="173"/>
      <c r="F5599" s="173"/>
      <c r="G5599" s="174"/>
      <c r="H5599" s="174"/>
      <c r="I5599" s="174"/>
      <c r="J5599" s="174"/>
      <c r="K5599" s="174"/>
      <c r="L5599" s="174"/>
      <c r="M5599" s="12"/>
      <c r="N5599" s="39"/>
      <c r="U5599" s="23"/>
      <c r="V5599" s="23"/>
      <c r="Z5599" s="95" t="s">
        <v>81</v>
      </c>
    </row>
    <row r="5600" spans="1:26" s="25" customFormat="1" ht="9.9499999999999993" customHeight="1" thickBot="1" x14ac:dyDescent="0.35">
      <c r="A5600" s="6"/>
      <c r="B5600" s="14"/>
      <c r="C5600" s="119"/>
      <c r="D5600" s="58"/>
      <c r="E5600" s="17"/>
      <c r="F5600" s="58"/>
      <c r="G5600" s="19"/>
      <c r="H5600" s="19"/>
      <c r="I5600" s="19"/>
      <c r="J5600" s="19"/>
      <c r="K5600" s="19"/>
      <c r="L5600" s="19"/>
      <c r="M5600" s="14"/>
      <c r="N5600" s="39"/>
      <c r="Q5600" s="1"/>
      <c r="R5600" s="1"/>
      <c r="S5600" s="1"/>
      <c r="T5600" s="1"/>
      <c r="U5600" s="24"/>
      <c r="V5600" s="24"/>
      <c r="W5600" s="1"/>
      <c r="X5600" s="1"/>
      <c r="Z5600" s="94" t="s">
        <v>82</v>
      </c>
    </row>
    <row r="5601" spans="1:27" s="25" customFormat="1" ht="6.95" customHeight="1" x14ac:dyDescent="0.3">
      <c r="A5601" s="165">
        <f>+A5590+1</f>
        <v>510</v>
      </c>
      <c r="B5601" s="166"/>
      <c r="C5601" s="167"/>
      <c r="D5601" s="160" t="s">
        <v>39</v>
      </c>
      <c r="E5601" s="161"/>
      <c r="F5601" s="162" t="s">
        <v>40</v>
      </c>
      <c r="G5601" s="163"/>
      <c r="H5601" s="164"/>
      <c r="I5601" s="163"/>
      <c r="J5601" s="164"/>
      <c r="K5601" s="163"/>
      <c r="L5601" s="164"/>
      <c r="M5601" s="11"/>
      <c r="N5601" s="39"/>
      <c r="Q5601" s="15" t="str">
        <f>+CONCATENATE(E5601,G5601)</f>
        <v/>
      </c>
      <c r="R5601" s="15">
        <f>+H5601</f>
        <v>0</v>
      </c>
      <c r="S5601" s="16"/>
      <c r="T5601" s="15">
        <f>+E5601</f>
        <v>0</v>
      </c>
      <c r="U5601" s="26" t="str">
        <f>IFERROR(LEFT(G5601,FIND("*",G5601)-1),"-")</f>
        <v>-</v>
      </c>
      <c r="V5601" s="26" t="str">
        <f>IFERROR(RIGHT(G5601,LEN(G5601)-FIND("*",G5601)),"-")</f>
        <v>-</v>
      </c>
      <c r="W5601" s="27" t="str">
        <f>IFERROR((U5601+V5601)*2/1000,"-")</f>
        <v>-</v>
      </c>
      <c r="X5601" s="27" t="str">
        <f>IFERROR(W5601*H5601,"-")</f>
        <v>-</v>
      </c>
      <c r="Z5601" s="94" t="s">
        <v>82</v>
      </c>
    </row>
    <row r="5602" spans="1:27" s="25" customFormat="1" ht="6.95" customHeight="1" x14ac:dyDescent="0.3">
      <c r="A5602" s="165"/>
      <c r="B5602" s="168"/>
      <c r="C5602" s="169"/>
      <c r="D5602" s="160"/>
      <c r="E5602" s="161"/>
      <c r="F5602" s="162"/>
      <c r="G5602" s="163"/>
      <c r="H5602" s="164"/>
      <c r="I5602" s="163"/>
      <c r="J5602" s="164"/>
      <c r="K5602" s="163"/>
      <c r="L5602" s="164"/>
      <c r="M5602" s="11"/>
      <c r="N5602" s="39"/>
      <c r="Q5602" s="15" t="str">
        <f>+CONCATENATE(E5601,I5601)</f>
        <v/>
      </c>
      <c r="R5602" s="15">
        <f>+J5601</f>
        <v>0</v>
      </c>
      <c r="S5602" s="16"/>
      <c r="T5602" s="15">
        <f>+E5601</f>
        <v>0</v>
      </c>
      <c r="U5602" s="26" t="str">
        <f>IFERROR(LEFT(I5601,FIND("*",I5601)-1),"-")</f>
        <v>-</v>
      </c>
      <c r="V5602" s="26" t="str">
        <f>IFERROR(RIGHT(I5601,LEN(I5601)-FIND("*",I5601)),"-")</f>
        <v>-</v>
      </c>
      <c r="W5602" s="27" t="str">
        <f t="shared" ref="W5602:W5609" si="3052">IFERROR((U5602+V5602)*2/1000,"-")</f>
        <v>-</v>
      </c>
      <c r="X5602" s="27" t="str">
        <f>IFERROR(W5602*J5601,"-")</f>
        <v>-</v>
      </c>
      <c r="Z5602" s="94" t="s">
        <v>82</v>
      </c>
    </row>
    <row r="5603" spans="1:27" s="25" customFormat="1" ht="6.95" customHeight="1" x14ac:dyDescent="0.3">
      <c r="A5603" s="165"/>
      <c r="B5603" s="168"/>
      <c r="C5603" s="169"/>
      <c r="D5603" s="160"/>
      <c r="E5603" s="161"/>
      <c r="F5603" s="162"/>
      <c r="G5603" s="163"/>
      <c r="H5603" s="164"/>
      <c r="I5603" s="163"/>
      <c r="J5603" s="164"/>
      <c r="K5603" s="163"/>
      <c r="L5603" s="164"/>
      <c r="M5603" s="11"/>
      <c r="N5603" s="39"/>
      <c r="Q5603" s="15" t="str">
        <f>+CONCATENATE(E5601,K5601)</f>
        <v/>
      </c>
      <c r="R5603" s="15">
        <f>+L5601</f>
        <v>0</v>
      </c>
      <c r="S5603" s="16"/>
      <c r="T5603" s="15">
        <f>+E5601</f>
        <v>0</v>
      </c>
      <c r="U5603" s="26" t="str">
        <f>IFERROR(LEFT(K5601,FIND("*",K5601)-1),"-")</f>
        <v>-</v>
      </c>
      <c r="V5603" s="26" t="str">
        <f>IFERROR(RIGHT(K5601,LEN(K5601)-FIND("*",K5601)),"-")</f>
        <v>-</v>
      </c>
      <c r="W5603" s="27" t="str">
        <f t="shared" si="3052"/>
        <v>-</v>
      </c>
      <c r="X5603" s="27" t="str">
        <f>IFERROR(W5603*L5601,"-")</f>
        <v>-</v>
      </c>
      <c r="Z5603" s="94" t="s">
        <v>82</v>
      </c>
    </row>
    <row r="5604" spans="1:27" s="25" customFormat="1" ht="6.95" customHeight="1" x14ac:dyDescent="0.3">
      <c r="A5604" s="13"/>
      <c r="B5604" s="168"/>
      <c r="C5604" s="169"/>
      <c r="D5604" s="160" t="s">
        <v>39</v>
      </c>
      <c r="E5604" s="161"/>
      <c r="F5604" s="162" t="s">
        <v>40</v>
      </c>
      <c r="G5604" s="163"/>
      <c r="H5604" s="164"/>
      <c r="I5604" s="163"/>
      <c r="J5604" s="164"/>
      <c r="K5604" s="163"/>
      <c r="L5604" s="164"/>
      <c r="M5604" s="11"/>
      <c r="N5604" s="39"/>
      <c r="Q5604" s="15" t="str">
        <f>+CONCATENATE(E5604,G5604)</f>
        <v/>
      </c>
      <c r="R5604" s="15">
        <f>+H5604</f>
        <v>0</v>
      </c>
      <c r="S5604" s="16"/>
      <c r="T5604" s="15">
        <f>+E5604</f>
        <v>0</v>
      </c>
      <c r="U5604" s="26" t="str">
        <f t="shared" ref="U5604" si="3053">IFERROR(LEFT(G5604,FIND("*",G5604)-1),"-")</f>
        <v>-</v>
      </c>
      <c r="V5604" s="26" t="str">
        <f t="shared" ref="V5604" si="3054">IFERROR(RIGHT(G5604,LEN(G5604)-FIND("*",G5604)),"-")</f>
        <v>-</v>
      </c>
      <c r="W5604" s="27" t="str">
        <f t="shared" si="3052"/>
        <v>-</v>
      </c>
      <c r="X5604" s="27" t="str">
        <f>IFERROR(W5604*H5604,"-")</f>
        <v>-</v>
      </c>
      <c r="Z5604" s="94" t="s">
        <v>82</v>
      </c>
    </row>
    <row r="5605" spans="1:27" s="25" customFormat="1" ht="6.95" customHeight="1" x14ac:dyDescent="0.3">
      <c r="A5605" s="10"/>
      <c r="B5605" s="168"/>
      <c r="C5605" s="169"/>
      <c r="D5605" s="160"/>
      <c r="E5605" s="161"/>
      <c r="F5605" s="162"/>
      <c r="G5605" s="163"/>
      <c r="H5605" s="164"/>
      <c r="I5605" s="163"/>
      <c r="J5605" s="164"/>
      <c r="K5605" s="163"/>
      <c r="L5605" s="164"/>
      <c r="M5605" s="11"/>
      <c r="N5605" s="39"/>
      <c r="Q5605" s="15" t="str">
        <f>+CONCATENATE(E5604,I5604)</f>
        <v/>
      </c>
      <c r="R5605" s="15">
        <f>+J5604</f>
        <v>0</v>
      </c>
      <c r="S5605" s="16"/>
      <c r="T5605" s="15">
        <f>+E5604</f>
        <v>0</v>
      </c>
      <c r="U5605" s="26" t="str">
        <f>IFERROR(LEFT(I5604,FIND("*",I5604)-1),"-")</f>
        <v>-</v>
      </c>
      <c r="V5605" s="26" t="str">
        <f>IFERROR(RIGHT(I5604,LEN(I5604)-FIND("*",I5604)),"-")</f>
        <v>-</v>
      </c>
      <c r="W5605" s="27" t="str">
        <f t="shared" si="3052"/>
        <v>-</v>
      </c>
      <c r="X5605" s="27" t="str">
        <f>IFERROR(W5605*J5604,"-")</f>
        <v>-</v>
      </c>
      <c r="Z5605" s="94" t="s">
        <v>82</v>
      </c>
    </row>
    <row r="5606" spans="1:27" s="25" customFormat="1" ht="6.95" customHeight="1" x14ac:dyDescent="0.3">
      <c r="A5606" s="10"/>
      <c r="B5606" s="168"/>
      <c r="C5606" s="169"/>
      <c r="D5606" s="160"/>
      <c r="E5606" s="161"/>
      <c r="F5606" s="162"/>
      <c r="G5606" s="163"/>
      <c r="H5606" s="164"/>
      <c r="I5606" s="163"/>
      <c r="J5606" s="164"/>
      <c r="K5606" s="163"/>
      <c r="L5606" s="164"/>
      <c r="M5606" s="11"/>
      <c r="N5606" s="39"/>
      <c r="Q5606" s="15" t="str">
        <f>+CONCATENATE(E5604,K5604)</f>
        <v/>
      </c>
      <c r="R5606" s="15">
        <f>+L5604</f>
        <v>0</v>
      </c>
      <c r="S5606" s="16"/>
      <c r="T5606" s="15">
        <f>+E5604</f>
        <v>0</v>
      </c>
      <c r="U5606" s="26" t="str">
        <f>IFERROR(LEFT(K5604,FIND("*",K5604)-1),"-")</f>
        <v>-</v>
      </c>
      <c r="V5606" s="26" t="str">
        <f>IFERROR(RIGHT(K5604,LEN(K5604)-FIND("*",K5604)),"-")</f>
        <v>-</v>
      </c>
      <c r="W5606" s="27" t="str">
        <f t="shared" si="3052"/>
        <v>-</v>
      </c>
      <c r="X5606" s="27" t="str">
        <f>IFERROR(W5606*L5604,"-")</f>
        <v>-</v>
      </c>
      <c r="Z5606" s="94" t="s">
        <v>82</v>
      </c>
    </row>
    <row r="5607" spans="1:27" s="25" customFormat="1" ht="6.95" customHeight="1" x14ac:dyDescent="0.3">
      <c r="A5607" s="13"/>
      <c r="B5607" s="168"/>
      <c r="C5607" s="169"/>
      <c r="D5607" s="160" t="s">
        <v>39</v>
      </c>
      <c r="E5607" s="161"/>
      <c r="F5607" s="162" t="s">
        <v>40</v>
      </c>
      <c r="G5607" s="163"/>
      <c r="H5607" s="164"/>
      <c r="I5607" s="163"/>
      <c r="J5607" s="164"/>
      <c r="K5607" s="163"/>
      <c r="L5607" s="164"/>
      <c r="M5607" s="11"/>
      <c r="N5607" s="39"/>
      <c r="Q5607" s="15" t="str">
        <f>+CONCATENATE(E5607,G5607)</f>
        <v/>
      </c>
      <c r="R5607" s="15">
        <f>+H5607</f>
        <v>0</v>
      </c>
      <c r="S5607" s="16"/>
      <c r="T5607" s="15">
        <f>+E5607</f>
        <v>0</v>
      </c>
      <c r="U5607" s="26" t="str">
        <f t="shared" ref="U5607" si="3055">IFERROR(LEFT(G5607,FIND("*",G5607)-1),"-")</f>
        <v>-</v>
      </c>
      <c r="V5607" s="26" t="str">
        <f t="shared" ref="V5607" si="3056">IFERROR(RIGHT(G5607,LEN(G5607)-FIND("*",G5607)),"-")</f>
        <v>-</v>
      </c>
      <c r="W5607" s="27" t="str">
        <f t="shared" si="3052"/>
        <v>-</v>
      </c>
      <c r="X5607" s="27" t="str">
        <f>IFERROR(W5607*H5607,"-")</f>
        <v>-</v>
      </c>
      <c r="Z5607" s="94" t="s">
        <v>82</v>
      </c>
    </row>
    <row r="5608" spans="1:27" s="25" customFormat="1" ht="6.95" customHeight="1" x14ac:dyDescent="0.3">
      <c r="A5608" s="10"/>
      <c r="B5608" s="168"/>
      <c r="C5608" s="169"/>
      <c r="D5608" s="160"/>
      <c r="E5608" s="161"/>
      <c r="F5608" s="162"/>
      <c r="G5608" s="163"/>
      <c r="H5608" s="164"/>
      <c r="I5608" s="163"/>
      <c r="J5608" s="164"/>
      <c r="K5608" s="163"/>
      <c r="L5608" s="164"/>
      <c r="M5608" s="11"/>
      <c r="N5608" s="39"/>
      <c r="Q5608" s="15" t="str">
        <f>+CONCATENATE(E5607,I5607)</f>
        <v/>
      </c>
      <c r="R5608" s="15">
        <f>+J5607</f>
        <v>0</v>
      </c>
      <c r="S5608" s="16"/>
      <c r="T5608" s="15">
        <f>+E5607</f>
        <v>0</v>
      </c>
      <c r="U5608" s="26" t="str">
        <f>IFERROR(LEFT(I5607,FIND("*",I5607)-1),"-")</f>
        <v>-</v>
      </c>
      <c r="V5608" s="26" t="str">
        <f>IFERROR(RIGHT(I5607,LEN(I5607)-FIND("*",I5607)),"-")</f>
        <v>-</v>
      </c>
      <c r="W5608" s="27" t="str">
        <f t="shared" si="3052"/>
        <v>-</v>
      </c>
      <c r="X5608" s="27" t="str">
        <f t="shared" ref="X5608" si="3057">IFERROR(W5608*J5607,"-")</f>
        <v>-</v>
      </c>
      <c r="Z5608" s="94" t="s">
        <v>82</v>
      </c>
    </row>
    <row r="5609" spans="1:27" s="25" customFormat="1" ht="6.95" customHeight="1" x14ac:dyDescent="0.3">
      <c r="A5609" s="10"/>
      <c r="B5609" s="168"/>
      <c r="C5609" s="169"/>
      <c r="D5609" s="160"/>
      <c r="E5609" s="161"/>
      <c r="F5609" s="162"/>
      <c r="G5609" s="163"/>
      <c r="H5609" s="164"/>
      <c r="I5609" s="163"/>
      <c r="J5609" s="164"/>
      <c r="K5609" s="163"/>
      <c r="L5609" s="164"/>
      <c r="M5609" s="11"/>
      <c r="N5609" s="39"/>
      <c r="Q5609" s="15" t="str">
        <f>+CONCATENATE(E5607,K5607)</f>
        <v/>
      </c>
      <c r="R5609" s="15">
        <f>+L5607</f>
        <v>0</v>
      </c>
      <c r="S5609" s="16"/>
      <c r="T5609" s="15">
        <f>+E5607</f>
        <v>0</v>
      </c>
      <c r="U5609" s="26" t="str">
        <f>IFERROR(LEFT(K5607,FIND("*",K5607)-1),"-")</f>
        <v>-</v>
      </c>
      <c r="V5609" s="26" t="str">
        <f>IFERROR(RIGHT(K5607,LEN(K5607)-FIND("*",K5607)),"-")</f>
        <v>-</v>
      </c>
      <c r="W5609" s="27" t="str">
        <f t="shared" si="3052"/>
        <v>-</v>
      </c>
      <c r="X5609" s="27" t="str">
        <f>IFERROR(W5609*L5607,"-")</f>
        <v>-</v>
      </c>
      <c r="Z5609" s="94" t="s">
        <v>82</v>
      </c>
    </row>
    <row r="5610" spans="1:27" s="25" customFormat="1" ht="21" customHeight="1" thickBot="1" x14ac:dyDescent="0.35">
      <c r="A5610" s="10"/>
      <c r="B5610" s="170"/>
      <c r="C5610" s="171"/>
      <c r="D5610" s="172" t="s">
        <v>43</v>
      </c>
      <c r="E5610" s="173"/>
      <c r="F5610" s="173"/>
      <c r="G5610" s="174"/>
      <c r="H5610" s="174"/>
      <c r="I5610" s="174"/>
      <c r="J5610" s="174"/>
      <c r="K5610" s="174"/>
      <c r="L5610" s="174"/>
      <c r="M5610" s="12"/>
      <c r="N5610" s="39"/>
      <c r="U5610" s="23"/>
      <c r="V5610" s="23"/>
      <c r="Z5610" s="95" t="s">
        <v>81</v>
      </c>
    </row>
    <row r="5611" spans="1:27" s="25" customFormat="1" ht="9.9499999999999993" customHeight="1" x14ac:dyDescent="0.3">
      <c r="A5611" s="6"/>
      <c r="B5611" s="14"/>
      <c r="C5611" s="119"/>
      <c r="D5611" s="58"/>
      <c r="E5611" s="17"/>
      <c r="F5611" s="58"/>
      <c r="G5611" s="19"/>
      <c r="H5611" s="19"/>
      <c r="I5611" s="19"/>
      <c r="J5611" s="19"/>
      <c r="K5611" s="19"/>
      <c r="L5611" s="19"/>
      <c r="M5611" s="14"/>
      <c r="N5611" s="39"/>
      <c r="Q5611" s="1"/>
      <c r="R5611" s="1"/>
      <c r="S5611" s="1"/>
      <c r="T5611" s="1"/>
      <c r="U5611" s="24"/>
      <c r="V5611" s="24"/>
      <c r="W5611" s="1"/>
      <c r="X5611" s="1"/>
    </row>
    <row r="5612" spans="1:27" x14ac:dyDescent="0.3">
      <c r="Z5612" s="25"/>
      <c r="AA5612" s="25"/>
    </row>
    <row r="5613" spans="1:27" x14ac:dyDescent="0.3">
      <c r="Z5613" s="25"/>
      <c r="AA5613" s="25"/>
    </row>
    <row r="5614" spans="1:27" x14ac:dyDescent="0.3">
      <c r="Z5614" s="25"/>
      <c r="AA5614" s="25"/>
    </row>
    <row r="5615" spans="1:27" x14ac:dyDescent="0.3">
      <c r="Z5615" s="25"/>
      <c r="AA5615" s="25"/>
    </row>
    <row r="5616" spans="1:27" x14ac:dyDescent="0.3">
      <c r="Z5616" s="25"/>
      <c r="AA5616" s="25"/>
    </row>
    <row r="5617" spans="26:27" x14ac:dyDescent="0.3">
      <c r="Z5617" s="25"/>
      <c r="AA5617" s="25"/>
    </row>
    <row r="5618" spans="26:27" x14ac:dyDescent="0.3">
      <c r="Z5618" s="25"/>
      <c r="AA5618" s="25"/>
    </row>
    <row r="5619" spans="26:27" x14ac:dyDescent="0.3">
      <c r="Z5619" s="25"/>
      <c r="AA5619" s="25"/>
    </row>
    <row r="5620" spans="26:27" x14ac:dyDescent="0.3">
      <c r="Z5620" s="25"/>
      <c r="AA5620" s="25"/>
    </row>
    <row r="5621" spans="26:27" x14ac:dyDescent="0.3">
      <c r="Z5621" s="25"/>
      <c r="AA5621" s="25"/>
    </row>
    <row r="5622" spans="26:27" x14ac:dyDescent="0.3">
      <c r="Z5622" s="25"/>
      <c r="AA5622" s="25"/>
    </row>
    <row r="5623" spans="26:27" x14ac:dyDescent="0.3">
      <c r="Z5623" s="25"/>
      <c r="AA5623" s="25"/>
    </row>
    <row r="5624" spans="26:27" x14ac:dyDescent="0.3">
      <c r="Z5624" s="25"/>
      <c r="AA5624" s="25"/>
    </row>
    <row r="5625" spans="26:27" x14ac:dyDescent="0.3">
      <c r="Z5625" s="25"/>
      <c r="AA5625" s="25"/>
    </row>
    <row r="5626" spans="26:27" x14ac:dyDescent="0.3">
      <c r="Z5626" s="25"/>
      <c r="AA5626" s="25"/>
    </row>
    <row r="5627" spans="26:27" x14ac:dyDescent="0.3">
      <c r="Z5627" s="25"/>
      <c r="AA5627" s="25"/>
    </row>
    <row r="5628" spans="26:27" x14ac:dyDescent="0.3">
      <c r="Z5628" s="25"/>
      <c r="AA5628" s="25"/>
    </row>
    <row r="5629" spans="26:27" x14ac:dyDescent="0.3">
      <c r="Z5629" s="25"/>
      <c r="AA5629" s="25"/>
    </row>
    <row r="5630" spans="26:27" x14ac:dyDescent="0.3">
      <c r="Z5630" s="25"/>
      <c r="AA5630" s="25"/>
    </row>
    <row r="5631" spans="26:27" x14ac:dyDescent="0.3">
      <c r="Z5631" s="25"/>
      <c r="AA5631" s="25"/>
    </row>
    <row r="5632" spans="26:27" x14ac:dyDescent="0.3">
      <c r="Z5632" s="25"/>
      <c r="AA5632" s="25"/>
    </row>
    <row r="5633" spans="26:27" x14ac:dyDescent="0.3">
      <c r="Z5633" s="25"/>
      <c r="AA5633" s="25"/>
    </row>
    <row r="5634" spans="26:27" x14ac:dyDescent="0.3">
      <c r="Z5634" s="25"/>
      <c r="AA5634" s="25"/>
    </row>
    <row r="5635" spans="26:27" x14ac:dyDescent="0.3">
      <c r="Z5635" s="25"/>
      <c r="AA5635" s="25"/>
    </row>
    <row r="5636" spans="26:27" x14ac:dyDescent="0.3">
      <c r="Z5636" s="25"/>
      <c r="AA5636" s="25"/>
    </row>
    <row r="5637" spans="26:27" x14ac:dyDescent="0.3">
      <c r="Z5637" s="25"/>
      <c r="AA5637" s="25"/>
    </row>
    <row r="5638" spans="26:27" x14ac:dyDescent="0.3">
      <c r="Z5638" s="25"/>
      <c r="AA5638" s="25"/>
    </row>
    <row r="5639" spans="26:27" x14ac:dyDescent="0.3">
      <c r="Z5639" s="25"/>
      <c r="AA5639" s="25"/>
    </row>
    <row r="5640" spans="26:27" x14ac:dyDescent="0.3">
      <c r="Z5640" s="25"/>
      <c r="AA5640" s="25"/>
    </row>
    <row r="5641" spans="26:27" x14ac:dyDescent="0.3">
      <c r="Z5641" s="25"/>
      <c r="AA5641" s="25"/>
    </row>
    <row r="5642" spans="26:27" x14ac:dyDescent="0.3">
      <c r="Z5642" s="25"/>
      <c r="AA5642" s="25"/>
    </row>
    <row r="5643" spans="26:27" x14ac:dyDescent="0.3">
      <c r="Z5643" s="25"/>
      <c r="AA5643" s="25"/>
    </row>
    <row r="5644" spans="26:27" x14ac:dyDescent="0.3">
      <c r="Z5644" s="25"/>
      <c r="AA5644" s="25"/>
    </row>
    <row r="5645" spans="26:27" x14ac:dyDescent="0.3">
      <c r="Z5645" s="25"/>
      <c r="AA5645" s="25"/>
    </row>
    <row r="5646" spans="26:27" x14ac:dyDescent="0.3">
      <c r="Z5646" s="25"/>
      <c r="AA5646" s="25"/>
    </row>
    <row r="5647" spans="26:27" x14ac:dyDescent="0.3">
      <c r="Z5647" s="25"/>
      <c r="AA5647" s="25"/>
    </row>
    <row r="5648" spans="26:27" x14ac:dyDescent="0.3">
      <c r="Z5648" s="25"/>
      <c r="AA5648" s="25"/>
    </row>
    <row r="5649" spans="26:27" x14ac:dyDescent="0.3">
      <c r="Z5649" s="25"/>
      <c r="AA5649" s="25"/>
    </row>
    <row r="5650" spans="26:27" x14ac:dyDescent="0.3">
      <c r="Z5650" s="25"/>
      <c r="AA5650" s="25"/>
    </row>
    <row r="5651" spans="26:27" x14ac:dyDescent="0.3">
      <c r="Z5651" s="25"/>
      <c r="AA5651" s="25"/>
    </row>
    <row r="5652" spans="26:27" x14ac:dyDescent="0.3">
      <c r="Z5652" s="25"/>
      <c r="AA5652" s="25"/>
    </row>
    <row r="5653" spans="26:27" x14ac:dyDescent="0.3">
      <c r="Z5653" s="25"/>
      <c r="AA5653" s="25"/>
    </row>
    <row r="5654" spans="26:27" x14ac:dyDescent="0.3">
      <c r="Z5654" s="25"/>
      <c r="AA5654" s="25"/>
    </row>
    <row r="5655" spans="26:27" x14ac:dyDescent="0.3">
      <c r="Z5655" s="25"/>
      <c r="AA5655" s="25"/>
    </row>
    <row r="5656" spans="26:27" x14ac:dyDescent="0.3">
      <c r="Z5656" s="25"/>
      <c r="AA5656" s="25"/>
    </row>
    <row r="5657" spans="26:27" x14ac:dyDescent="0.3">
      <c r="Z5657" s="25"/>
      <c r="AA5657" s="25"/>
    </row>
    <row r="5658" spans="26:27" x14ac:dyDescent="0.3">
      <c r="Z5658" s="25"/>
      <c r="AA5658" s="25"/>
    </row>
    <row r="5659" spans="26:27" x14ac:dyDescent="0.3">
      <c r="Z5659" s="25"/>
      <c r="AA5659" s="25"/>
    </row>
    <row r="5660" spans="26:27" x14ac:dyDescent="0.3">
      <c r="Z5660" s="25"/>
      <c r="AA5660" s="25"/>
    </row>
    <row r="5661" spans="26:27" x14ac:dyDescent="0.3">
      <c r="Z5661" s="25"/>
      <c r="AA5661" s="25"/>
    </row>
    <row r="5662" spans="26:27" x14ac:dyDescent="0.3">
      <c r="Z5662" s="25"/>
      <c r="AA5662" s="25"/>
    </row>
    <row r="5663" spans="26:27" x14ac:dyDescent="0.3">
      <c r="Z5663" s="25"/>
      <c r="AA5663" s="25"/>
    </row>
    <row r="5664" spans="26:27" x14ac:dyDescent="0.3">
      <c r="Z5664" s="25"/>
      <c r="AA5664" s="25"/>
    </row>
    <row r="5665" spans="26:27" x14ac:dyDescent="0.3">
      <c r="Z5665" s="25"/>
      <c r="AA5665" s="25"/>
    </row>
    <row r="5666" spans="26:27" x14ac:dyDescent="0.3">
      <c r="Z5666" s="25"/>
      <c r="AA5666" s="25"/>
    </row>
    <row r="5667" spans="26:27" x14ac:dyDescent="0.3">
      <c r="Z5667" s="25"/>
      <c r="AA5667" s="25"/>
    </row>
    <row r="5668" spans="26:27" x14ac:dyDescent="0.3">
      <c r="Z5668" s="25"/>
      <c r="AA5668" s="25"/>
    </row>
    <row r="5669" spans="26:27" x14ac:dyDescent="0.3">
      <c r="Z5669" s="25"/>
      <c r="AA5669" s="25"/>
    </row>
    <row r="5670" spans="26:27" x14ac:dyDescent="0.3">
      <c r="Z5670" s="25"/>
      <c r="AA5670" s="25"/>
    </row>
    <row r="5671" spans="26:27" x14ac:dyDescent="0.3">
      <c r="Z5671" s="25"/>
      <c r="AA5671" s="25"/>
    </row>
    <row r="5672" spans="26:27" x14ac:dyDescent="0.3">
      <c r="Z5672" s="25"/>
      <c r="AA5672" s="25"/>
    </row>
    <row r="5673" spans="26:27" x14ac:dyDescent="0.3">
      <c r="Z5673" s="25"/>
      <c r="AA5673" s="25"/>
    </row>
    <row r="5674" spans="26:27" x14ac:dyDescent="0.3">
      <c r="Z5674" s="25"/>
      <c r="AA5674" s="25"/>
    </row>
    <row r="5675" spans="26:27" x14ac:dyDescent="0.3">
      <c r="Z5675" s="25"/>
      <c r="AA5675" s="25"/>
    </row>
    <row r="5676" spans="26:27" x14ac:dyDescent="0.3">
      <c r="Z5676" s="25"/>
      <c r="AA5676" s="25"/>
    </row>
    <row r="5677" spans="26:27" x14ac:dyDescent="0.3">
      <c r="Z5677" s="25"/>
      <c r="AA5677" s="25"/>
    </row>
    <row r="5678" spans="26:27" x14ac:dyDescent="0.3">
      <c r="Z5678" s="25"/>
      <c r="AA5678" s="25"/>
    </row>
    <row r="5679" spans="26:27" x14ac:dyDescent="0.3">
      <c r="Z5679" s="25"/>
      <c r="AA5679" s="25"/>
    </row>
    <row r="5680" spans="26:27" x14ac:dyDescent="0.3">
      <c r="Z5680" s="25"/>
      <c r="AA5680" s="25"/>
    </row>
    <row r="5681" spans="26:27" x14ac:dyDescent="0.3">
      <c r="Z5681" s="25"/>
      <c r="AA5681" s="25"/>
    </row>
    <row r="5682" spans="26:27" x14ac:dyDescent="0.3">
      <c r="Z5682" s="25"/>
      <c r="AA5682" s="25"/>
    </row>
    <row r="5683" spans="26:27" x14ac:dyDescent="0.3">
      <c r="Z5683" s="25"/>
      <c r="AA5683" s="25"/>
    </row>
    <row r="5684" spans="26:27" x14ac:dyDescent="0.3">
      <c r="Z5684" s="25"/>
      <c r="AA5684" s="25"/>
    </row>
    <row r="5685" spans="26:27" x14ac:dyDescent="0.3">
      <c r="Z5685" s="25"/>
      <c r="AA5685" s="25"/>
    </row>
    <row r="5686" spans="26:27" x14ac:dyDescent="0.3">
      <c r="Z5686" s="25"/>
      <c r="AA5686" s="25"/>
    </row>
    <row r="5687" spans="26:27" x14ac:dyDescent="0.3">
      <c r="Z5687" s="25"/>
      <c r="AA5687" s="25"/>
    </row>
    <row r="5688" spans="26:27" x14ac:dyDescent="0.3">
      <c r="Z5688" s="25"/>
      <c r="AA5688" s="25"/>
    </row>
    <row r="5689" spans="26:27" x14ac:dyDescent="0.3">
      <c r="Z5689" s="25"/>
      <c r="AA5689" s="25"/>
    </row>
    <row r="5690" spans="26:27" x14ac:dyDescent="0.3">
      <c r="Z5690" s="25"/>
      <c r="AA5690" s="25"/>
    </row>
    <row r="5691" spans="26:27" x14ac:dyDescent="0.3">
      <c r="Z5691" s="25"/>
      <c r="AA5691" s="25"/>
    </row>
    <row r="5692" spans="26:27" x14ac:dyDescent="0.3">
      <c r="Z5692" s="25"/>
      <c r="AA5692" s="25"/>
    </row>
    <row r="5693" spans="26:27" x14ac:dyDescent="0.3">
      <c r="Z5693" s="25"/>
      <c r="AA5693" s="25"/>
    </row>
    <row r="5694" spans="26:27" x14ac:dyDescent="0.3">
      <c r="Z5694" s="25"/>
      <c r="AA5694" s="25"/>
    </row>
    <row r="5695" spans="26:27" x14ac:dyDescent="0.3">
      <c r="Z5695" s="25"/>
      <c r="AA5695" s="25"/>
    </row>
    <row r="5696" spans="26:27" x14ac:dyDescent="0.3">
      <c r="Z5696" s="25"/>
      <c r="AA5696" s="25"/>
    </row>
    <row r="5697" spans="26:27" x14ac:dyDescent="0.3">
      <c r="Z5697" s="25"/>
      <c r="AA5697" s="25"/>
    </row>
    <row r="5698" spans="26:27" x14ac:dyDescent="0.3">
      <c r="Z5698" s="25"/>
      <c r="AA5698" s="25"/>
    </row>
    <row r="5699" spans="26:27" x14ac:dyDescent="0.3">
      <c r="Z5699" s="25"/>
      <c r="AA5699" s="25"/>
    </row>
    <row r="5700" spans="26:27" x14ac:dyDescent="0.3">
      <c r="Z5700" s="25"/>
      <c r="AA5700" s="25"/>
    </row>
    <row r="5701" spans="26:27" x14ac:dyDescent="0.3">
      <c r="Z5701" s="25"/>
      <c r="AA5701" s="25"/>
    </row>
    <row r="5702" spans="26:27" x14ac:dyDescent="0.3">
      <c r="Z5702" s="25"/>
      <c r="AA5702" s="25"/>
    </row>
    <row r="5703" spans="26:27" x14ac:dyDescent="0.3">
      <c r="Z5703" s="25"/>
      <c r="AA5703" s="25"/>
    </row>
    <row r="5704" spans="26:27" x14ac:dyDescent="0.3">
      <c r="Z5704" s="25"/>
      <c r="AA5704" s="25"/>
    </row>
    <row r="5705" spans="26:27" x14ac:dyDescent="0.3">
      <c r="Z5705" s="25"/>
      <c r="AA5705" s="25"/>
    </row>
    <row r="5706" spans="26:27" x14ac:dyDescent="0.3">
      <c r="Z5706" s="25"/>
      <c r="AA5706" s="25"/>
    </row>
    <row r="5707" spans="26:27" x14ac:dyDescent="0.3">
      <c r="Z5707" s="25"/>
      <c r="AA5707" s="25"/>
    </row>
    <row r="5708" spans="26:27" x14ac:dyDescent="0.3">
      <c r="Z5708" s="25"/>
      <c r="AA5708" s="25"/>
    </row>
    <row r="5709" spans="26:27" x14ac:dyDescent="0.3">
      <c r="Z5709" s="25"/>
      <c r="AA5709" s="25"/>
    </row>
    <row r="5710" spans="26:27" x14ac:dyDescent="0.3">
      <c r="Z5710" s="25"/>
      <c r="AA5710" s="25"/>
    </row>
    <row r="5711" spans="26:27" x14ac:dyDescent="0.3">
      <c r="Z5711" s="25"/>
      <c r="AA5711" s="25"/>
    </row>
    <row r="5712" spans="26:27" x14ac:dyDescent="0.3">
      <c r="Z5712" s="25"/>
      <c r="AA5712" s="25"/>
    </row>
    <row r="5713" spans="26:27" x14ac:dyDescent="0.3">
      <c r="Z5713" s="25"/>
      <c r="AA5713" s="25"/>
    </row>
    <row r="5714" spans="26:27" x14ac:dyDescent="0.3">
      <c r="Z5714" s="25"/>
      <c r="AA5714" s="25"/>
    </row>
    <row r="5715" spans="26:27" x14ac:dyDescent="0.3">
      <c r="Z5715" s="25"/>
      <c r="AA5715" s="25"/>
    </row>
    <row r="5716" spans="26:27" x14ac:dyDescent="0.3">
      <c r="Z5716" s="25"/>
      <c r="AA5716" s="25"/>
    </row>
    <row r="5717" spans="26:27" x14ac:dyDescent="0.3">
      <c r="Z5717" s="25"/>
      <c r="AA5717" s="25"/>
    </row>
    <row r="5718" spans="26:27" x14ac:dyDescent="0.3">
      <c r="Z5718" s="25"/>
      <c r="AA5718" s="25"/>
    </row>
    <row r="5719" spans="26:27" x14ac:dyDescent="0.3">
      <c r="Z5719" s="25"/>
      <c r="AA5719" s="25"/>
    </row>
    <row r="5720" spans="26:27" x14ac:dyDescent="0.3">
      <c r="Z5720" s="25"/>
      <c r="AA5720" s="25"/>
    </row>
    <row r="5721" spans="26:27" x14ac:dyDescent="0.3">
      <c r="Z5721" s="25"/>
      <c r="AA5721" s="25"/>
    </row>
    <row r="5722" spans="26:27" x14ac:dyDescent="0.3">
      <c r="Z5722" s="25"/>
      <c r="AA5722" s="25"/>
    </row>
    <row r="5723" spans="26:27" x14ac:dyDescent="0.3">
      <c r="Z5723" s="25"/>
      <c r="AA5723" s="25"/>
    </row>
    <row r="5724" spans="26:27" x14ac:dyDescent="0.3">
      <c r="Z5724" s="25"/>
      <c r="AA5724" s="25"/>
    </row>
    <row r="5725" spans="26:27" x14ac:dyDescent="0.3">
      <c r="Z5725" s="25"/>
      <c r="AA5725" s="25"/>
    </row>
    <row r="5726" spans="26:27" x14ac:dyDescent="0.3">
      <c r="Z5726" s="25"/>
      <c r="AA5726" s="25"/>
    </row>
    <row r="5727" spans="26:27" x14ac:dyDescent="0.3">
      <c r="Z5727" s="25"/>
      <c r="AA5727" s="25"/>
    </row>
    <row r="5728" spans="26:27" x14ac:dyDescent="0.3">
      <c r="Z5728" s="25"/>
      <c r="AA5728" s="25"/>
    </row>
    <row r="5729" spans="26:27" x14ac:dyDescent="0.3">
      <c r="Z5729" s="25"/>
      <c r="AA5729" s="25"/>
    </row>
    <row r="5730" spans="26:27" x14ac:dyDescent="0.3">
      <c r="Z5730" s="25"/>
      <c r="AA5730" s="25"/>
    </row>
    <row r="5731" spans="26:27" x14ac:dyDescent="0.3">
      <c r="Z5731" s="25"/>
      <c r="AA5731" s="25"/>
    </row>
    <row r="5732" spans="26:27" x14ac:dyDescent="0.3">
      <c r="Z5732" s="25"/>
      <c r="AA5732" s="25"/>
    </row>
    <row r="5733" spans="26:27" x14ac:dyDescent="0.3">
      <c r="Z5733" s="25"/>
      <c r="AA5733" s="25"/>
    </row>
    <row r="5734" spans="26:27" x14ac:dyDescent="0.3">
      <c r="Z5734" s="25"/>
      <c r="AA5734" s="25"/>
    </row>
    <row r="5735" spans="26:27" x14ac:dyDescent="0.3">
      <c r="Z5735" s="25"/>
      <c r="AA5735" s="25"/>
    </row>
    <row r="5736" spans="26:27" x14ac:dyDescent="0.3">
      <c r="Z5736" s="25"/>
      <c r="AA5736" s="25"/>
    </row>
    <row r="5737" spans="26:27" x14ac:dyDescent="0.3">
      <c r="Z5737" s="25"/>
      <c r="AA5737" s="25"/>
    </row>
    <row r="5738" spans="26:27" x14ac:dyDescent="0.3">
      <c r="Z5738" s="25"/>
      <c r="AA5738" s="25"/>
    </row>
    <row r="5739" spans="26:27" x14ac:dyDescent="0.3">
      <c r="Z5739" s="25"/>
      <c r="AA5739" s="25"/>
    </row>
    <row r="5740" spans="26:27" x14ac:dyDescent="0.3">
      <c r="Z5740" s="25"/>
      <c r="AA5740" s="25"/>
    </row>
    <row r="5741" spans="26:27" x14ac:dyDescent="0.3">
      <c r="Z5741" s="25"/>
      <c r="AA5741" s="25"/>
    </row>
    <row r="5742" spans="26:27" x14ac:dyDescent="0.3">
      <c r="Z5742" s="25"/>
      <c r="AA5742" s="25"/>
    </row>
    <row r="5743" spans="26:27" x14ac:dyDescent="0.3">
      <c r="Z5743" s="25"/>
      <c r="AA5743" s="25"/>
    </row>
    <row r="5744" spans="26:27" x14ac:dyDescent="0.3">
      <c r="Z5744" s="25"/>
      <c r="AA5744" s="25"/>
    </row>
    <row r="5745" spans="26:27" x14ac:dyDescent="0.3">
      <c r="Z5745" s="25"/>
      <c r="AA5745" s="25"/>
    </row>
    <row r="5746" spans="26:27" x14ac:dyDescent="0.3">
      <c r="Z5746" s="25"/>
      <c r="AA5746" s="25"/>
    </row>
    <row r="5747" spans="26:27" x14ac:dyDescent="0.3">
      <c r="Z5747" s="25"/>
      <c r="AA5747" s="25"/>
    </row>
    <row r="5748" spans="26:27" x14ac:dyDescent="0.3">
      <c r="Z5748" s="25"/>
      <c r="AA5748" s="25"/>
    </row>
    <row r="5749" spans="26:27" x14ac:dyDescent="0.3">
      <c r="Z5749" s="25"/>
      <c r="AA5749" s="25"/>
    </row>
    <row r="5750" spans="26:27" x14ac:dyDescent="0.3">
      <c r="Z5750" s="25"/>
      <c r="AA5750" s="25"/>
    </row>
    <row r="5751" spans="26:27" x14ac:dyDescent="0.3">
      <c r="Z5751" s="25"/>
      <c r="AA5751" s="25"/>
    </row>
    <row r="5752" spans="26:27" x14ac:dyDescent="0.3">
      <c r="Z5752" s="25"/>
      <c r="AA5752" s="25"/>
    </row>
    <row r="5753" spans="26:27" x14ac:dyDescent="0.3">
      <c r="Z5753" s="25"/>
      <c r="AA5753" s="25"/>
    </row>
    <row r="5754" spans="26:27" x14ac:dyDescent="0.3">
      <c r="Z5754" s="25"/>
      <c r="AA5754" s="25"/>
    </row>
    <row r="5755" spans="26:27" x14ac:dyDescent="0.3">
      <c r="Z5755" s="25"/>
      <c r="AA5755" s="25"/>
    </row>
    <row r="5756" spans="26:27" x14ac:dyDescent="0.3">
      <c r="Z5756" s="25"/>
      <c r="AA5756" s="25"/>
    </row>
    <row r="5757" spans="26:27" x14ac:dyDescent="0.3">
      <c r="Z5757" s="25"/>
      <c r="AA5757" s="25"/>
    </row>
    <row r="5758" spans="26:27" x14ac:dyDescent="0.3">
      <c r="Z5758" s="25"/>
      <c r="AA5758" s="25"/>
    </row>
    <row r="5759" spans="26:27" x14ac:dyDescent="0.3">
      <c r="Z5759" s="25"/>
      <c r="AA5759" s="25"/>
    </row>
    <row r="5760" spans="26:27" x14ac:dyDescent="0.3">
      <c r="Z5760" s="25"/>
      <c r="AA5760" s="25"/>
    </row>
    <row r="5761" spans="26:27" x14ac:dyDescent="0.3">
      <c r="Z5761" s="25"/>
      <c r="AA5761" s="25"/>
    </row>
    <row r="5762" spans="26:27" x14ac:dyDescent="0.3">
      <c r="Z5762" s="25"/>
      <c r="AA5762" s="25"/>
    </row>
    <row r="5763" spans="26:27" x14ac:dyDescent="0.3">
      <c r="Z5763" s="25"/>
      <c r="AA5763" s="25"/>
    </row>
    <row r="5764" spans="26:27" x14ac:dyDescent="0.3">
      <c r="Z5764" s="25"/>
      <c r="AA5764" s="25"/>
    </row>
    <row r="5765" spans="26:27" x14ac:dyDescent="0.3">
      <c r="Z5765" s="25"/>
      <c r="AA5765" s="25"/>
    </row>
    <row r="5766" spans="26:27" x14ac:dyDescent="0.3">
      <c r="Z5766" s="25"/>
      <c r="AA5766" s="25"/>
    </row>
    <row r="5767" spans="26:27" x14ac:dyDescent="0.3">
      <c r="Z5767" s="25"/>
      <c r="AA5767" s="25"/>
    </row>
    <row r="5768" spans="26:27" x14ac:dyDescent="0.3">
      <c r="Z5768" s="25"/>
      <c r="AA5768" s="25"/>
    </row>
    <row r="5769" spans="26:27" x14ac:dyDescent="0.3">
      <c r="Z5769" s="25"/>
      <c r="AA5769" s="25"/>
    </row>
    <row r="5770" spans="26:27" x14ac:dyDescent="0.3">
      <c r="Z5770" s="25"/>
      <c r="AA5770" s="25"/>
    </row>
    <row r="5771" spans="26:27" x14ac:dyDescent="0.3">
      <c r="Z5771" s="25"/>
      <c r="AA5771" s="25"/>
    </row>
    <row r="5772" spans="26:27" x14ac:dyDescent="0.3">
      <c r="Z5772" s="25"/>
      <c r="AA5772" s="25"/>
    </row>
    <row r="5773" spans="26:27" x14ac:dyDescent="0.3">
      <c r="Z5773" s="25"/>
      <c r="AA5773" s="25"/>
    </row>
    <row r="5774" spans="26:27" x14ac:dyDescent="0.3">
      <c r="Z5774" s="25"/>
      <c r="AA5774" s="25"/>
    </row>
    <row r="5775" spans="26:27" x14ac:dyDescent="0.3">
      <c r="Z5775" s="25"/>
      <c r="AA5775" s="25"/>
    </row>
    <row r="5776" spans="26:27" x14ac:dyDescent="0.3">
      <c r="Z5776" s="25"/>
      <c r="AA5776" s="25"/>
    </row>
    <row r="5777" spans="26:27" x14ac:dyDescent="0.3">
      <c r="Z5777" s="25"/>
      <c r="AA5777" s="25"/>
    </row>
    <row r="5778" spans="26:27" x14ac:dyDescent="0.3">
      <c r="Z5778" s="25"/>
      <c r="AA5778" s="25"/>
    </row>
    <row r="5779" spans="26:27" x14ac:dyDescent="0.3">
      <c r="Z5779" s="25"/>
      <c r="AA5779" s="25"/>
    </row>
    <row r="5780" spans="26:27" x14ac:dyDescent="0.3">
      <c r="Z5780" s="25"/>
      <c r="AA5780" s="25"/>
    </row>
    <row r="5781" spans="26:27" x14ac:dyDescent="0.3">
      <c r="Z5781" s="25"/>
      <c r="AA5781" s="25"/>
    </row>
    <row r="5782" spans="26:27" x14ac:dyDescent="0.3">
      <c r="Z5782" s="25"/>
      <c r="AA5782" s="25"/>
    </row>
    <row r="5783" spans="26:27" x14ac:dyDescent="0.3">
      <c r="Z5783" s="25"/>
      <c r="AA5783" s="25"/>
    </row>
    <row r="5784" spans="26:27" x14ac:dyDescent="0.3">
      <c r="Z5784" s="25"/>
      <c r="AA5784" s="25"/>
    </row>
    <row r="5785" spans="26:27" x14ac:dyDescent="0.3">
      <c r="Z5785" s="25"/>
      <c r="AA5785" s="25"/>
    </row>
    <row r="5786" spans="26:27" x14ac:dyDescent="0.3">
      <c r="Z5786" s="25"/>
      <c r="AA5786" s="25"/>
    </row>
    <row r="5787" spans="26:27" x14ac:dyDescent="0.3">
      <c r="Z5787" s="25"/>
      <c r="AA5787" s="25"/>
    </row>
    <row r="5788" spans="26:27" x14ac:dyDescent="0.3">
      <c r="Z5788" s="25"/>
      <c r="AA5788" s="25"/>
    </row>
    <row r="5789" spans="26:27" x14ac:dyDescent="0.3">
      <c r="Z5789" s="25"/>
      <c r="AA5789" s="25"/>
    </row>
    <row r="5790" spans="26:27" x14ac:dyDescent="0.3">
      <c r="Z5790" s="25"/>
      <c r="AA5790" s="25"/>
    </row>
    <row r="5791" spans="26:27" x14ac:dyDescent="0.3">
      <c r="Z5791" s="25"/>
      <c r="AA5791" s="25"/>
    </row>
    <row r="5792" spans="26:27" x14ac:dyDescent="0.3">
      <c r="Z5792" s="25"/>
      <c r="AA5792" s="25"/>
    </row>
    <row r="5793" spans="26:27" x14ac:dyDescent="0.3">
      <c r="Z5793" s="25"/>
      <c r="AA5793" s="25"/>
    </row>
    <row r="5794" spans="26:27" x14ac:dyDescent="0.3">
      <c r="Z5794" s="25"/>
      <c r="AA5794" s="25"/>
    </row>
    <row r="5795" spans="26:27" x14ac:dyDescent="0.3">
      <c r="Z5795" s="25"/>
      <c r="AA5795" s="25"/>
    </row>
    <row r="5796" spans="26:27" x14ac:dyDescent="0.3">
      <c r="Z5796" s="25"/>
      <c r="AA5796" s="25"/>
    </row>
    <row r="5797" spans="26:27" x14ac:dyDescent="0.3">
      <c r="Z5797" s="25"/>
      <c r="AA5797" s="25"/>
    </row>
    <row r="5798" spans="26:27" x14ac:dyDescent="0.3">
      <c r="Z5798" s="25"/>
      <c r="AA5798" s="25"/>
    </row>
    <row r="5799" spans="26:27" x14ac:dyDescent="0.3">
      <c r="Z5799" s="25"/>
      <c r="AA5799" s="25"/>
    </row>
  </sheetData>
  <mergeCells count="15811">
    <mergeCell ref="A5601:A5603"/>
    <mergeCell ref="B5601:C5610"/>
    <mergeCell ref="D5601:D5603"/>
    <mergeCell ref="E5601:E5603"/>
    <mergeCell ref="F5601:F5603"/>
    <mergeCell ref="G5601:G5603"/>
    <mergeCell ref="H5601:H5603"/>
    <mergeCell ref="I5601:I5603"/>
    <mergeCell ref="J5601:J5603"/>
    <mergeCell ref="K5601:K5603"/>
    <mergeCell ref="L5601:L5603"/>
    <mergeCell ref="D5604:D5606"/>
    <mergeCell ref="E5604:E5606"/>
    <mergeCell ref="F5604:F5606"/>
    <mergeCell ref="G5604:G5606"/>
    <mergeCell ref="H5604:H5606"/>
    <mergeCell ref="I5604:I5606"/>
    <mergeCell ref="J5604:J5606"/>
    <mergeCell ref="K5604:K5606"/>
    <mergeCell ref="L5604:L5606"/>
    <mergeCell ref="D5607:D5609"/>
    <mergeCell ref="E5607:E5609"/>
    <mergeCell ref="F5607:F5609"/>
    <mergeCell ref="G5607:G5609"/>
    <mergeCell ref="H5607:H5609"/>
    <mergeCell ref="I5607:I5609"/>
    <mergeCell ref="J5607:J5609"/>
    <mergeCell ref="K5607:K5609"/>
    <mergeCell ref="L5607:L5609"/>
    <mergeCell ref="D5610:F5610"/>
    <mergeCell ref="G5610:L5610"/>
    <mergeCell ref="A5579:A5581"/>
    <mergeCell ref="B5579:C5588"/>
    <mergeCell ref="D5579:D5581"/>
    <mergeCell ref="E5579:E5581"/>
    <mergeCell ref="F5579:F5581"/>
    <mergeCell ref="G5579:G5581"/>
    <mergeCell ref="H5579:H5581"/>
    <mergeCell ref="I5579:I5581"/>
    <mergeCell ref="J5579:J5581"/>
    <mergeCell ref="K5579:K5581"/>
    <mergeCell ref="L5579:L5581"/>
    <mergeCell ref="D5582:D5584"/>
    <mergeCell ref="E5582:E5584"/>
    <mergeCell ref="F5582:F5584"/>
    <mergeCell ref="G5582:G5584"/>
    <mergeCell ref="H5582:H5584"/>
    <mergeCell ref="I5582:I5584"/>
    <mergeCell ref="J5582:J5584"/>
    <mergeCell ref="K5582:K5584"/>
    <mergeCell ref="L5582:L5584"/>
    <mergeCell ref="D5585:D5587"/>
    <mergeCell ref="E5585:E5587"/>
    <mergeCell ref="F5585:F5587"/>
    <mergeCell ref="G5585:G5587"/>
    <mergeCell ref="H5585:H5587"/>
    <mergeCell ref="I5585:I5587"/>
    <mergeCell ref="J5585:J5587"/>
    <mergeCell ref="K5585:K5587"/>
    <mergeCell ref="L5585:L5587"/>
    <mergeCell ref="D5588:F5588"/>
    <mergeCell ref="G5588:L5588"/>
    <mergeCell ref="A5590:A5592"/>
    <mergeCell ref="B5590:C5599"/>
    <mergeCell ref="D5590:D5592"/>
    <mergeCell ref="E5590:E5592"/>
    <mergeCell ref="F5590:F5592"/>
    <mergeCell ref="G5590:G5592"/>
    <mergeCell ref="H5590:H5592"/>
    <mergeCell ref="I5590:I5592"/>
    <mergeCell ref="J5590:J5592"/>
    <mergeCell ref="K5590:K5592"/>
    <mergeCell ref="L5590:L5592"/>
    <mergeCell ref="D5593:D5595"/>
    <mergeCell ref="E5593:E5595"/>
    <mergeCell ref="F5593:F5595"/>
    <mergeCell ref="G5593:G5595"/>
    <mergeCell ref="H5593:H5595"/>
    <mergeCell ref="I5593:I5595"/>
    <mergeCell ref="J5593:J5595"/>
    <mergeCell ref="K5593:K5595"/>
    <mergeCell ref="L5593:L5595"/>
    <mergeCell ref="D5596:D5598"/>
    <mergeCell ref="E5596:E5598"/>
    <mergeCell ref="F5596:F5598"/>
    <mergeCell ref="G5596:G5598"/>
    <mergeCell ref="H5596:H5598"/>
    <mergeCell ref="I5596:I5598"/>
    <mergeCell ref="J5596:J5598"/>
    <mergeCell ref="K5596:K5598"/>
    <mergeCell ref="L5596:L5598"/>
    <mergeCell ref="D5599:F5599"/>
    <mergeCell ref="G5599:L5599"/>
    <mergeCell ref="A5557:A5559"/>
    <mergeCell ref="B5557:C5566"/>
    <mergeCell ref="D5557:D5559"/>
    <mergeCell ref="E5557:E5559"/>
    <mergeCell ref="F5557:F5559"/>
    <mergeCell ref="G5557:G5559"/>
    <mergeCell ref="H5557:H5559"/>
    <mergeCell ref="I5557:I5559"/>
    <mergeCell ref="J5557:J5559"/>
    <mergeCell ref="K5557:K5559"/>
    <mergeCell ref="L5557:L5559"/>
    <mergeCell ref="D5560:D5562"/>
    <mergeCell ref="E5560:E5562"/>
    <mergeCell ref="F5560:F5562"/>
    <mergeCell ref="G5560:G5562"/>
    <mergeCell ref="H5560:H5562"/>
    <mergeCell ref="I5560:I5562"/>
    <mergeCell ref="J5560:J5562"/>
    <mergeCell ref="K5560:K5562"/>
    <mergeCell ref="L5560:L5562"/>
    <mergeCell ref="D5563:D5565"/>
    <mergeCell ref="E5563:E5565"/>
    <mergeCell ref="F5563:F5565"/>
    <mergeCell ref="G5563:G5565"/>
    <mergeCell ref="H5563:H5565"/>
    <mergeCell ref="I5563:I5565"/>
    <mergeCell ref="J5563:J5565"/>
    <mergeCell ref="K5563:K5565"/>
    <mergeCell ref="L5563:L5565"/>
    <mergeCell ref="D5566:F5566"/>
    <mergeCell ref="G5566:L5566"/>
    <mergeCell ref="A5568:A5570"/>
    <mergeCell ref="B5568:C5577"/>
    <mergeCell ref="D5568:D5570"/>
    <mergeCell ref="E5568:E5570"/>
    <mergeCell ref="F5568:F5570"/>
    <mergeCell ref="G5568:G5570"/>
    <mergeCell ref="H5568:H5570"/>
    <mergeCell ref="I5568:I5570"/>
    <mergeCell ref="J5568:J5570"/>
    <mergeCell ref="K5568:K5570"/>
    <mergeCell ref="L5568:L5570"/>
    <mergeCell ref="D5571:D5573"/>
    <mergeCell ref="E5571:E5573"/>
    <mergeCell ref="F5571:F5573"/>
    <mergeCell ref="G5571:G5573"/>
    <mergeCell ref="H5571:H5573"/>
    <mergeCell ref="I5571:I5573"/>
    <mergeCell ref="J5571:J5573"/>
    <mergeCell ref="K5571:K5573"/>
    <mergeCell ref="L5571:L5573"/>
    <mergeCell ref="D5574:D5576"/>
    <mergeCell ref="E5574:E5576"/>
    <mergeCell ref="F5574:F5576"/>
    <mergeCell ref="G5574:G5576"/>
    <mergeCell ref="H5574:H5576"/>
    <mergeCell ref="I5574:I5576"/>
    <mergeCell ref="J5574:J5576"/>
    <mergeCell ref="K5574:K5576"/>
    <mergeCell ref="L5574:L5576"/>
    <mergeCell ref="D5577:F5577"/>
    <mergeCell ref="G5577:L5577"/>
    <mergeCell ref="A5535:A5537"/>
    <mergeCell ref="B5535:C5544"/>
    <mergeCell ref="D5535:D5537"/>
    <mergeCell ref="E5535:E5537"/>
    <mergeCell ref="F5535:F5537"/>
    <mergeCell ref="G5535:G5537"/>
    <mergeCell ref="H5535:H5537"/>
    <mergeCell ref="I5535:I5537"/>
    <mergeCell ref="J5535:J5537"/>
    <mergeCell ref="K5535:K5537"/>
    <mergeCell ref="L5535:L5537"/>
    <mergeCell ref="D5538:D5540"/>
    <mergeCell ref="E5538:E5540"/>
    <mergeCell ref="F5538:F5540"/>
    <mergeCell ref="G5538:G5540"/>
    <mergeCell ref="H5538:H5540"/>
    <mergeCell ref="I5538:I5540"/>
    <mergeCell ref="J5538:J5540"/>
    <mergeCell ref="K5538:K5540"/>
    <mergeCell ref="L5538:L5540"/>
    <mergeCell ref="D5541:D5543"/>
    <mergeCell ref="E5541:E5543"/>
    <mergeCell ref="F5541:F5543"/>
    <mergeCell ref="G5541:G5543"/>
    <mergeCell ref="H5541:H5543"/>
    <mergeCell ref="I5541:I5543"/>
    <mergeCell ref="J5541:J5543"/>
    <mergeCell ref="K5541:K5543"/>
    <mergeCell ref="L5541:L5543"/>
    <mergeCell ref="D5544:F5544"/>
    <mergeCell ref="G5544:L5544"/>
    <mergeCell ref="A5546:A5548"/>
    <mergeCell ref="B5546:C5555"/>
    <mergeCell ref="D5546:D5548"/>
    <mergeCell ref="E5546:E5548"/>
    <mergeCell ref="F5546:F5548"/>
    <mergeCell ref="G5546:G5548"/>
    <mergeCell ref="H5546:H5548"/>
    <mergeCell ref="I5546:I5548"/>
    <mergeCell ref="J5546:J5548"/>
    <mergeCell ref="K5546:K5548"/>
    <mergeCell ref="L5546:L5548"/>
    <mergeCell ref="D5549:D5551"/>
    <mergeCell ref="E5549:E5551"/>
    <mergeCell ref="F5549:F5551"/>
    <mergeCell ref="G5549:G5551"/>
    <mergeCell ref="H5549:H5551"/>
    <mergeCell ref="I5549:I5551"/>
    <mergeCell ref="J5549:J5551"/>
    <mergeCell ref="K5549:K5551"/>
    <mergeCell ref="L5549:L5551"/>
    <mergeCell ref="D5552:D5554"/>
    <mergeCell ref="E5552:E5554"/>
    <mergeCell ref="F5552:F5554"/>
    <mergeCell ref="G5552:G5554"/>
    <mergeCell ref="H5552:H5554"/>
    <mergeCell ref="I5552:I5554"/>
    <mergeCell ref="J5552:J5554"/>
    <mergeCell ref="K5552:K5554"/>
    <mergeCell ref="L5552:L5554"/>
    <mergeCell ref="D5555:F5555"/>
    <mergeCell ref="G5555:L5555"/>
    <mergeCell ref="A5513:A5515"/>
    <mergeCell ref="B5513:C5522"/>
    <mergeCell ref="D5513:D5515"/>
    <mergeCell ref="E5513:E5515"/>
    <mergeCell ref="F5513:F5515"/>
    <mergeCell ref="G5513:G5515"/>
    <mergeCell ref="H5513:H5515"/>
    <mergeCell ref="I5513:I5515"/>
    <mergeCell ref="J5513:J5515"/>
    <mergeCell ref="K5513:K5515"/>
    <mergeCell ref="L5513:L5515"/>
    <mergeCell ref="D5516:D5518"/>
    <mergeCell ref="E5516:E5518"/>
    <mergeCell ref="F5516:F5518"/>
    <mergeCell ref="G5516:G5518"/>
    <mergeCell ref="H5516:H5518"/>
    <mergeCell ref="I5516:I5518"/>
    <mergeCell ref="J5516:J5518"/>
    <mergeCell ref="K5516:K5518"/>
    <mergeCell ref="L5516:L5518"/>
    <mergeCell ref="D5519:D5521"/>
    <mergeCell ref="E5519:E5521"/>
    <mergeCell ref="F5519:F5521"/>
    <mergeCell ref="G5519:G5521"/>
    <mergeCell ref="H5519:H5521"/>
    <mergeCell ref="I5519:I5521"/>
    <mergeCell ref="J5519:J5521"/>
    <mergeCell ref="K5519:K5521"/>
    <mergeCell ref="L5519:L5521"/>
    <mergeCell ref="D5522:F5522"/>
    <mergeCell ref="G5522:L5522"/>
    <mergeCell ref="A5524:A5526"/>
    <mergeCell ref="B5524:C5533"/>
    <mergeCell ref="D5524:D5526"/>
    <mergeCell ref="E5524:E5526"/>
    <mergeCell ref="F5524:F5526"/>
    <mergeCell ref="G5524:G5526"/>
    <mergeCell ref="H5524:H5526"/>
    <mergeCell ref="I5524:I5526"/>
    <mergeCell ref="J5524:J5526"/>
    <mergeCell ref="K5524:K5526"/>
    <mergeCell ref="L5524:L5526"/>
    <mergeCell ref="D5527:D5529"/>
    <mergeCell ref="E5527:E5529"/>
    <mergeCell ref="F5527:F5529"/>
    <mergeCell ref="G5527:G5529"/>
    <mergeCell ref="H5527:H5529"/>
    <mergeCell ref="I5527:I5529"/>
    <mergeCell ref="J5527:J5529"/>
    <mergeCell ref="K5527:K5529"/>
    <mergeCell ref="L5527:L5529"/>
    <mergeCell ref="D5530:D5532"/>
    <mergeCell ref="E5530:E5532"/>
    <mergeCell ref="F5530:F5532"/>
    <mergeCell ref="G5530:G5532"/>
    <mergeCell ref="H5530:H5532"/>
    <mergeCell ref="I5530:I5532"/>
    <mergeCell ref="J5530:J5532"/>
    <mergeCell ref="K5530:K5532"/>
    <mergeCell ref="L5530:L5532"/>
    <mergeCell ref="D5533:F5533"/>
    <mergeCell ref="G5533:L5533"/>
    <mergeCell ref="A5491:A5493"/>
    <mergeCell ref="B5491:C5500"/>
    <mergeCell ref="D5491:D5493"/>
    <mergeCell ref="E5491:E5493"/>
    <mergeCell ref="F5491:F5493"/>
    <mergeCell ref="G5491:G5493"/>
    <mergeCell ref="H5491:H5493"/>
    <mergeCell ref="I5491:I5493"/>
    <mergeCell ref="J5491:J5493"/>
    <mergeCell ref="K5491:K5493"/>
    <mergeCell ref="L5491:L5493"/>
    <mergeCell ref="D5494:D5496"/>
    <mergeCell ref="E5494:E5496"/>
    <mergeCell ref="F5494:F5496"/>
    <mergeCell ref="G5494:G5496"/>
    <mergeCell ref="H5494:H5496"/>
    <mergeCell ref="I5494:I5496"/>
    <mergeCell ref="J5494:J5496"/>
    <mergeCell ref="K5494:K5496"/>
    <mergeCell ref="L5494:L5496"/>
    <mergeCell ref="D5497:D5499"/>
    <mergeCell ref="E5497:E5499"/>
    <mergeCell ref="F5497:F5499"/>
    <mergeCell ref="G5497:G5499"/>
    <mergeCell ref="H5497:H5499"/>
    <mergeCell ref="I5497:I5499"/>
    <mergeCell ref="J5497:J5499"/>
    <mergeCell ref="K5497:K5499"/>
    <mergeCell ref="L5497:L5499"/>
    <mergeCell ref="D5500:F5500"/>
    <mergeCell ref="G5500:L5500"/>
    <mergeCell ref="A5502:A5504"/>
    <mergeCell ref="B5502:C5511"/>
    <mergeCell ref="D5502:D5504"/>
    <mergeCell ref="E5502:E5504"/>
    <mergeCell ref="F5502:F5504"/>
    <mergeCell ref="G5502:G5504"/>
    <mergeCell ref="H5502:H5504"/>
    <mergeCell ref="I5502:I5504"/>
    <mergeCell ref="J5502:J5504"/>
    <mergeCell ref="K5502:K5504"/>
    <mergeCell ref="L5502:L5504"/>
    <mergeCell ref="D5505:D5507"/>
    <mergeCell ref="E5505:E5507"/>
    <mergeCell ref="F5505:F5507"/>
    <mergeCell ref="G5505:G5507"/>
    <mergeCell ref="H5505:H5507"/>
    <mergeCell ref="I5505:I5507"/>
    <mergeCell ref="J5505:J5507"/>
    <mergeCell ref="K5505:K5507"/>
    <mergeCell ref="L5505:L5507"/>
    <mergeCell ref="D5508:D5510"/>
    <mergeCell ref="E5508:E5510"/>
    <mergeCell ref="F5508:F5510"/>
    <mergeCell ref="G5508:G5510"/>
    <mergeCell ref="H5508:H5510"/>
    <mergeCell ref="I5508:I5510"/>
    <mergeCell ref="J5508:J5510"/>
    <mergeCell ref="K5508:K5510"/>
    <mergeCell ref="L5508:L5510"/>
    <mergeCell ref="D5511:F5511"/>
    <mergeCell ref="G5511:L5511"/>
    <mergeCell ref="A5469:A5471"/>
    <mergeCell ref="B5469:C5478"/>
    <mergeCell ref="D5469:D5471"/>
    <mergeCell ref="E5469:E5471"/>
    <mergeCell ref="F5469:F5471"/>
    <mergeCell ref="G5469:G5471"/>
    <mergeCell ref="H5469:H5471"/>
    <mergeCell ref="I5469:I5471"/>
    <mergeCell ref="J5469:J5471"/>
    <mergeCell ref="K5469:K5471"/>
    <mergeCell ref="L5469:L5471"/>
    <mergeCell ref="D5472:D5474"/>
    <mergeCell ref="E5472:E5474"/>
    <mergeCell ref="F5472:F5474"/>
    <mergeCell ref="G5472:G5474"/>
    <mergeCell ref="H5472:H5474"/>
    <mergeCell ref="I5472:I5474"/>
    <mergeCell ref="J5472:J5474"/>
    <mergeCell ref="K5472:K5474"/>
    <mergeCell ref="L5472:L5474"/>
    <mergeCell ref="D5475:D5477"/>
    <mergeCell ref="E5475:E5477"/>
    <mergeCell ref="F5475:F5477"/>
    <mergeCell ref="G5475:G5477"/>
    <mergeCell ref="H5475:H5477"/>
    <mergeCell ref="I5475:I5477"/>
    <mergeCell ref="J5475:J5477"/>
    <mergeCell ref="K5475:K5477"/>
    <mergeCell ref="L5475:L5477"/>
    <mergeCell ref="D5478:F5478"/>
    <mergeCell ref="G5478:L5478"/>
    <mergeCell ref="A5480:A5482"/>
    <mergeCell ref="B5480:C5489"/>
    <mergeCell ref="D5480:D5482"/>
    <mergeCell ref="E5480:E5482"/>
    <mergeCell ref="F5480:F5482"/>
    <mergeCell ref="G5480:G5482"/>
    <mergeCell ref="H5480:H5482"/>
    <mergeCell ref="I5480:I5482"/>
    <mergeCell ref="J5480:J5482"/>
    <mergeCell ref="K5480:K5482"/>
    <mergeCell ref="L5480:L5482"/>
    <mergeCell ref="D5483:D5485"/>
    <mergeCell ref="E5483:E5485"/>
    <mergeCell ref="F5483:F5485"/>
    <mergeCell ref="G5483:G5485"/>
    <mergeCell ref="H5483:H5485"/>
    <mergeCell ref="I5483:I5485"/>
    <mergeCell ref="J5483:J5485"/>
    <mergeCell ref="K5483:K5485"/>
    <mergeCell ref="L5483:L5485"/>
    <mergeCell ref="D5486:D5488"/>
    <mergeCell ref="E5486:E5488"/>
    <mergeCell ref="F5486:F5488"/>
    <mergeCell ref="G5486:G5488"/>
    <mergeCell ref="H5486:H5488"/>
    <mergeCell ref="I5486:I5488"/>
    <mergeCell ref="J5486:J5488"/>
    <mergeCell ref="K5486:K5488"/>
    <mergeCell ref="L5486:L5488"/>
    <mergeCell ref="D5489:F5489"/>
    <mergeCell ref="G5489:L5489"/>
    <mergeCell ref="A5447:A5449"/>
    <mergeCell ref="B5447:C5456"/>
    <mergeCell ref="D5447:D5449"/>
    <mergeCell ref="E5447:E5449"/>
    <mergeCell ref="F5447:F5449"/>
    <mergeCell ref="G5447:G5449"/>
    <mergeCell ref="H5447:H5449"/>
    <mergeCell ref="I5447:I5449"/>
    <mergeCell ref="J5447:J5449"/>
    <mergeCell ref="K5447:K5449"/>
    <mergeCell ref="L5447:L5449"/>
    <mergeCell ref="D5450:D5452"/>
    <mergeCell ref="E5450:E5452"/>
    <mergeCell ref="F5450:F5452"/>
    <mergeCell ref="G5450:G5452"/>
    <mergeCell ref="H5450:H5452"/>
    <mergeCell ref="I5450:I5452"/>
    <mergeCell ref="J5450:J5452"/>
    <mergeCell ref="K5450:K5452"/>
    <mergeCell ref="L5450:L5452"/>
    <mergeCell ref="D5453:D5455"/>
    <mergeCell ref="E5453:E5455"/>
    <mergeCell ref="F5453:F5455"/>
    <mergeCell ref="G5453:G5455"/>
    <mergeCell ref="H5453:H5455"/>
    <mergeCell ref="I5453:I5455"/>
    <mergeCell ref="J5453:J5455"/>
    <mergeCell ref="K5453:K5455"/>
    <mergeCell ref="L5453:L5455"/>
    <mergeCell ref="D5456:F5456"/>
    <mergeCell ref="G5456:L5456"/>
    <mergeCell ref="A5458:A5460"/>
    <mergeCell ref="B5458:C5467"/>
    <mergeCell ref="D5458:D5460"/>
    <mergeCell ref="E5458:E5460"/>
    <mergeCell ref="F5458:F5460"/>
    <mergeCell ref="G5458:G5460"/>
    <mergeCell ref="H5458:H5460"/>
    <mergeCell ref="I5458:I5460"/>
    <mergeCell ref="J5458:J5460"/>
    <mergeCell ref="K5458:K5460"/>
    <mergeCell ref="L5458:L5460"/>
    <mergeCell ref="D5461:D5463"/>
    <mergeCell ref="E5461:E5463"/>
    <mergeCell ref="F5461:F5463"/>
    <mergeCell ref="G5461:G5463"/>
    <mergeCell ref="H5461:H5463"/>
    <mergeCell ref="I5461:I5463"/>
    <mergeCell ref="J5461:J5463"/>
    <mergeCell ref="K5461:K5463"/>
    <mergeCell ref="L5461:L5463"/>
    <mergeCell ref="D5464:D5466"/>
    <mergeCell ref="E5464:E5466"/>
    <mergeCell ref="F5464:F5466"/>
    <mergeCell ref="G5464:G5466"/>
    <mergeCell ref="H5464:H5466"/>
    <mergeCell ref="I5464:I5466"/>
    <mergeCell ref="J5464:J5466"/>
    <mergeCell ref="K5464:K5466"/>
    <mergeCell ref="L5464:L5466"/>
    <mergeCell ref="D5467:F5467"/>
    <mergeCell ref="G5467:L5467"/>
    <mergeCell ref="A5425:A5427"/>
    <mergeCell ref="B5425:C5434"/>
    <mergeCell ref="D5425:D5427"/>
    <mergeCell ref="E5425:E5427"/>
    <mergeCell ref="F5425:F5427"/>
    <mergeCell ref="G5425:G5427"/>
    <mergeCell ref="H5425:H5427"/>
    <mergeCell ref="I5425:I5427"/>
    <mergeCell ref="J5425:J5427"/>
    <mergeCell ref="K5425:K5427"/>
    <mergeCell ref="L5425:L5427"/>
    <mergeCell ref="D5428:D5430"/>
    <mergeCell ref="E5428:E5430"/>
    <mergeCell ref="F5428:F5430"/>
    <mergeCell ref="G5428:G5430"/>
    <mergeCell ref="H5428:H5430"/>
    <mergeCell ref="I5428:I5430"/>
    <mergeCell ref="J5428:J5430"/>
    <mergeCell ref="K5428:K5430"/>
    <mergeCell ref="L5428:L5430"/>
    <mergeCell ref="D5431:D5433"/>
    <mergeCell ref="E5431:E5433"/>
    <mergeCell ref="F5431:F5433"/>
    <mergeCell ref="G5431:G5433"/>
    <mergeCell ref="H5431:H5433"/>
    <mergeCell ref="I5431:I5433"/>
    <mergeCell ref="J5431:J5433"/>
    <mergeCell ref="K5431:K5433"/>
    <mergeCell ref="L5431:L5433"/>
    <mergeCell ref="D5434:F5434"/>
    <mergeCell ref="G5434:L5434"/>
    <mergeCell ref="A5436:A5438"/>
    <mergeCell ref="B5436:C5445"/>
    <mergeCell ref="D5436:D5438"/>
    <mergeCell ref="E5436:E5438"/>
    <mergeCell ref="F5436:F5438"/>
    <mergeCell ref="G5436:G5438"/>
    <mergeCell ref="H5436:H5438"/>
    <mergeCell ref="I5436:I5438"/>
    <mergeCell ref="J5436:J5438"/>
    <mergeCell ref="K5436:K5438"/>
    <mergeCell ref="L5436:L5438"/>
    <mergeCell ref="D5439:D5441"/>
    <mergeCell ref="E5439:E5441"/>
    <mergeCell ref="F5439:F5441"/>
    <mergeCell ref="G5439:G5441"/>
    <mergeCell ref="H5439:H5441"/>
    <mergeCell ref="I5439:I5441"/>
    <mergeCell ref="J5439:J5441"/>
    <mergeCell ref="K5439:K5441"/>
    <mergeCell ref="L5439:L5441"/>
    <mergeCell ref="D5442:D5444"/>
    <mergeCell ref="E5442:E5444"/>
    <mergeCell ref="F5442:F5444"/>
    <mergeCell ref="G5442:G5444"/>
    <mergeCell ref="H5442:H5444"/>
    <mergeCell ref="I5442:I5444"/>
    <mergeCell ref="J5442:J5444"/>
    <mergeCell ref="K5442:K5444"/>
    <mergeCell ref="L5442:L5444"/>
    <mergeCell ref="D5445:F5445"/>
    <mergeCell ref="G5445:L5445"/>
    <mergeCell ref="A5403:A5405"/>
    <mergeCell ref="B5403:C5412"/>
    <mergeCell ref="D5403:D5405"/>
    <mergeCell ref="E5403:E5405"/>
    <mergeCell ref="F5403:F5405"/>
    <mergeCell ref="G5403:G5405"/>
    <mergeCell ref="H5403:H5405"/>
    <mergeCell ref="I5403:I5405"/>
    <mergeCell ref="J5403:J5405"/>
    <mergeCell ref="K5403:K5405"/>
    <mergeCell ref="L5403:L5405"/>
    <mergeCell ref="D5406:D5408"/>
    <mergeCell ref="E5406:E5408"/>
    <mergeCell ref="F5406:F5408"/>
    <mergeCell ref="G5406:G5408"/>
    <mergeCell ref="H5406:H5408"/>
    <mergeCell ref="I5406:I5408"/>
    <mergeCell ref="J5406:J5408"/>
    <mergeCell ref="K5406:K5408"/>
    <mergeCell ref="L5406:L5408"/>
    <mergeCell ref="D5409:D5411"/>
    <mergeCell ref="E5409:E5411"/>
    <mergeCell ref="F5409:F5411"/>
    <mergeCell ref="G5409:G5411"/>
    <mergeCell ref="H5409:H5411"/>
    <mergeCell ref="I5409:I5411"/>
    <mergeCell ref="J5409:J5411"/>
    <mergeCell ref="K5409:K5411"/>
    <mergeCell ref="L5409:L5411"/>
    <mergeCell ref="D5412:F5412"/>
    <mergeCell ref="G5412:L5412"/>
    <mergeCell ref="A5414:A5416"/>
    <mergeCell ref="B5414:C5423"/>
    <mergeCell ref="D5414:D5416"/>
    <mergeCell ref="E5414:E5416"/>
    <mergeCell ref="F5414:F5416"/>
    <mergeCell ref="G5414:G5416"/>
    <mergeCell ref="H5414:H5416"/>
    <mergeCell ref="I5414:I5416"/>
    <mergeCell ref="J5414:J5416"/>
    <mergeCell ref="K5414:K5416"/>
    <mergeCell ref="L5414:L5416"/>
    <mergeCell ref="D5417:D5419"/>
    <mergeCell ref="E5417:E5419"/>
    <mergeCell ref="F5417:F5419"/>
    <mergeCell ref="G5417:G5419"/>
    <mergeCell ref="H5417:H5419"/>
    <mergeCell ref="I5417:I5419"/>
    <mergeCell ref="J5417:J5419"/>
    <mergeCell ref="K5417:K5419"/>
    <mergeCell ref="L5417:L5419"/>
    <mergeCell ref="D5420:D5422"/>
    <mergeCell ref="E5420:E5422"/>
    <mergeCell ref="F5420:F5422"/>
    <mergeCell ref="G5420:G5422"/>
    <mergeCell ref="H5420:H5422"/>
    <mergeCell ref="I5420:I5422"/>
    <mergeCell ref="J5420:J5422"/>
    <mergeCell ref="K5420:K5422"/>
    <mergeCell ref="L5420:L5422"/>
    <mergeCell ref="D5423:F5423"/>
    <mergeCell ref="G5423:L5423"/>
    <mergeCell ref="A5381:A5383"/>
    <mergeCell ref="B5381:C5390"/>
    <mergeCell ref="D5381:D5383"/>
    <mergeCell ref="E5381:E5383"/>
    <mergeCell ref="F5381:F5383"/>
    <mergeCell ref="G5381:G5383"/>
    <mergeCell ref="H5381:H5383"/>
    <mergeCell ref="I5381:I5383"/>
    <mergeCell ref="J5381:J5383"/>
    <mergeCell ref="K5381:K5383"/>
    <mergeCell ref="L5381:L5383"/>
    <mergeCell ref="D5384:D5386"/>
    <mergeCell ref="E5384:E5386"/>
    <mergeCell ref="F5384:F5386"/>
    <mergeCell ref="G5384:G5386"/>
    <mergeCell ref="H5384:H5386"/>
    <mergeCell ref="I5384:I5386"/>
    <mergeCell ref="J5384:J5386"/>
    <mergeCell ref="K5384:K5386"/>
    <mergeCell ref="L5384:L5386"/>
    <mergeCell ref="D5387:D5389"/>
    <mergeCell ref="E5387:E5389"/>
    <mergeCell ref="F5387:F5389"/>
    <mergeCell ref="G5387:G5389"/>
    <mergeCell ref="H5387:H5389"/>
    <mergeCell ref="I5387:I5389"/>
    <mergeCell ref="J5387:J5389"/>
    <mergeCell ref="K5387:K5389"/>
    <mergeCell ref="L5387:L5389"/>
    <mergeCell ref="D5390:F5390"/>
    <mergeCell ref="G5390:L5390"/>
    <mergeCell ref="A5392:A5394"/>
    <mergeCell ref="B5392:C5401"/>
    <mergeCell ref="D5392:D5394"/>
    <mergeCell ref="E5392:E5394"/>
    <mergeCell ref="F5392:F5394"/>
    <mergeCell ref="G5392:G5394"/>
    <mergeCell ref="H5392:H5394"/>
    <mergeCell ref="I5392:I5394"/>
    <mergeCell ref="J5392:J5394"/>
    <mergeCell ref="K5392:K5394"/>
    <mergeCell ref="L5392:L5394"/>
    <mergeCell ref="D5395:D5397"/>
    <mergeCell ref="E5395:E5397"/>
    <mergeCell ref="F5395:F5397"/>
    <mergeCell ref="G5395:G5397"/>
    <mergeCell ref="H5395:H5397"/>
    <mergeCell ref="I5395:I5397"/>
    <mergeCell ref="J5395:J5397"/>
    <mergeCell ref="K5395:K5397"/>
    <mergeCell ref="L5395:L5397"/>
    <mergeCell ref="D5398:D5400"/>
    <mergeCell ref="E5398:E5400"/>
    <mergeCell ref="F5398:F5400"/>
    <mergeCell ref="G5398:G5400"/>
    <mergeCell ref="H5398:H5400"/>
    <mergeCell ref="I5398:I5400"/>
    <mergeCell ref="J5398:J5400"/>
    <mergeCell ref="K5398:K5400"/>
    <mergeCell ref="L5398:L5400"/>
    <mergeCell ref="D5401:F5401"/>
    <mergeCell ref="G5401:L5401"/>
    <mergeCell ref="A5359:A5361"/>
    <mergeCell ref="B5359:C5368"/>
    <mergeCell ref="D5359:D5361"/>
    <mergeCell ref="E5359:E5361"/>
    <mergeCell ref="F5359:F5361"/>
    <mergeCell ref="G5359:G5361"/>
    <mergeCell ref="H5359:H5361"/>
    <mergeCell ref="I5359:I5361"/>
    <mergeCell ref="J5359:J5361"/>
    <mergeCell ref="K5359:K5361"/>
    <mergeCell ref="L5359:L5361"/>
    <mergeCell ref="D5362:D5364"/>
    <mergeCell ref="E5362:E5364"/>
    <mergeCell ref="F5362:F5364"/>
    <mergeCell ref="G5362:G5364"/>
    <mergeCell ref="H5362:H5364"/>
    <mergeCell ref="I5362:I5364"/>
    <mergeCell ref="J5362:J5364"/>
    <mergeCell ref="K5362:K5364"/>
    <mergeCell ref="L5362:L5364"/>
    <mergeCell ref="D5365:D5367"/>
    <mergeCell ref="E5365:E5367"/>
    <mergeCell ref="F5365:F5367"/>
    <mergeCell ref="G5365:G5367"/>
    <mergeCell ref="H5365:H5367"/>
    <mergeCell ref="I5365:I5367"/>
    <mergeCell ref="J5365:J5367"/>
    <mergeCell ref="K5365:K5367"/>
    <mergeCell ref="L5365:L5367"/>
    <mergeCell ref="D5368:F5368"/>
    <mergeCell ref="G5368:L5368"/>
    <mergeCell ref="A5370:A5372"/>
    <mergeCell ref="B5370:C5379"/>
    <mergeCell ref="D5370:D5372"/>
    <mergeCell ref="E5370:E5372"/>
    <mergeCell ref="F5370:F5372"/>
    <mergeCell ref="G5370:G5372"/>
    <mergeCell ref="H5370:H5372"/>
    <mergeCell ref="I5370:I5372"/>
    <mergeCell ref="J5370:J5372"/>
    <mergeCell ref="K5370:K5372"/>
    <mergeCell ref="L5370:L5372"/>
    <mergeCell ref="D5373:D5375"/>
    <mergeCell ref="E5373:E5375"/>
    <mergeCell ref="F5373:F5375"/>
    <mergeCell ref="G5373:G5375"/>
    <mergeCell ref="H5373:H5375"/>
    <mergeCell ref="I5373:I5375"/>
    <mergeCell ref="J5373:J5375"/>
    <mergeCell ref="K5373:K5375"/>
    <mergeCell ref="L5373:L5375"/>
    <mergeCell ref="D5376:D5378"/>
    <mergeCell ref="E5376:E5378"/>
    <mergeCell ref="F5376:F5378"/>
    <mergeCell ref="G5376:G5378"/>
    <mergeCell ref="H5376:H5378"/>
    <mergeCell ref="I5376:I5378"/>
    <mergeCell ref="J5376:J5378"/>
    <mergeCell ref="K5376:K5378"/>
    <mergeCell ref="L5376:L5378"/>
    <mergeCell ref="D5379:F5379"/>
    <mergeCell ref="G5379:L5379"/>
    <mergeCell ref="A5337:A5339"/>
    <mergeCell ref="B5337:C5346"/>
    <mergeCell ref="D5337:D5339"/>
    <mergeCell ref="E5337:E5339"/>
    <mergeCell ref="F5337:F5339"/>
    <mergeCell ref="G5337:G5339"/>
    <mergeCell ref="H5337:H5339"/>
    <mergeCell ref="I5337:I5339"/>
    <mergeCell ref="J5337:J5339"/>
    <mergeCell ref="K5337:K5339"/>
    <mergeCell ref="L5337:L5339"/>
    <mergeCell ref="D5340:D5342"/>
    <mergeCell ref="E5340:E5342"/>
    <mergeCell ref="F5340:F5342"/>
    <mergeCell ref="G5340:G5342"/>
    <mergeCell ref="H5340:H5342"/>
    <mergeCell ref="I5340:I5342"/>
    <mergeCell ref="J5340:J5342"/>
    <mergeCell ref="K5340:K5342"/>
    <mergeCell ref="L5340:L5342"/>
    <mergeCell ref="D5343:D5345"/>
    <mergeCell ref="E5343:E5345"/>
    <mergeCell ref="F5343:F5345"/>
    <mergeCell ref="G5343:G5345"/>
    <mergeCell ref="H5343:H5345"/>
    <mergeCell ref="I5343:I5345"/>
    <mergeCell ref="J5343:J5345"/>
    <mergeCell ref="K5343:K5345"/>
    <mergeCell ref="L5343:L5345"/>
    <mergeCell ref="D5346:F5346"/>
    <mergeCell ref="G5346:L5346"/>
    <mergeCell ref="A5348:A5350"/>
    <mergeCell ref="B5348:C5357"/>
    <mergeCell ref="D5348:D5350"/>
    <mergeCell ref="E5348:E5350"/>
    <mergeCell ref="F5348:F5350"/>
    <mergeCell ref="G5348:G5350"/>
    <mergeCell ref="H5348:H5350"/>
    <mergeCell ref="I5348:I5350"/>
    <mergeCell ref="J5348:J5350"/>
    <mergeCell ref="K5348:K5350"/>
    <mergeCell ref="L5348:L5350"/>
    <mergeCell ref="D5351:D5353"/>
    <mergeCell ref="E5351:E5353"/>
    <mergeCell ref="F5351:F5353"/>
    <mergeCell ref="G5351:G5353"/>
    <mergeCell ref="H5351:H5353"/>
    <mergeCell ref="I5351:I5353"/>
    <mergeCell ref="J5351:J5353"/>
    <mergeCell ref="K5351:K5353"/>
    <mergeCell ref="L5351:L5353"/>
    <mergeCell ref="D5354:D5356"/>
    <mergeCell ref="E5354:E5356"/>
    <mergeCell ref="F5354:F5356"/>
    <mergeCell ref="G5354:G5356"/>
    <mergeCell ref="H5354:H5356"/>
    <mergeCell ref="I5354:I5356"/>
    <mergeCell ref="J5354:J5356"/>
    <mergeCell ref="K5354:K5356"/>
    <mergeCell ref="L5354:L5356"/>
    <mergeCell ref="D5357:F5357"/>
    <mergeCell ref="G5357:L5357"/>
    <mergeCell ref="A5315:A5317"/>
    <mergeCell ref="B5315:C5324"/>
    <mergeCell ref="D5315:D5317"/>
    <mergeCell ref="E5315:E5317"/>
    <mergeCell ref="F5315:F5317"/>
    <mergeCell ref="G5315:G5317"/>
    <mergeCell ref="H5315:H5317"/>
    <mergeCell ref="I5315:I5317"/>
    <mergeCell ref="J5315:J5317"/>
    <mergeCell ref="K5315:K5317"/>
    <mergeCell ref="L5315:L5317"/>
    <mergeCell ref="D5318:D5320"/>
    <mergeCell ref="E5318:E5320"/>
    <mergeCell ref="F5318:F5320"/>
    <mergeCell ref="G5318:G5320"/>
    <mergeCell ref="H5318:H5320"/>
    <mergeCell ref="I5318:I5320"/>
    <mergeCell ref="J5318:J5320"/>
    <mergeCell ref="K5318:K5320"/>
    <mergeCell ref="L5318:L5320"/>
    <mergeCell ref="D5321:D5323"/>
    <mergeCell ref="E5321:E5323"/>
    <mergeCell ref="F5321:F5323"/>
    <mergeCell ref="G5321:G5323"/>
    <mergeCell ref="H5321:H5323"/>
    <mergeCell ref="I5321:I5323"/>
    <mergeCell ref="J5321:J5323"/>
    <mergeCell ref="K5321:K5323"/>
    <mergeCell ref="L5321:L5323"/>
    <mergeCell ref="D5324:F5324"/>
    <mergeCell ref="G5324:L5324"/>
    <mergeCell ref="A5326:A5328"/>
    <mergeCell ref="B5326:C5335"/>
    <mergeCell ref="D5326:D5328"/>
    <mergeCell ref="E5326:E5328"/>
    <mergeCell ref="F5326:F5328"/>
    <mergeCell ref="G5326:G5328"/>
    <mergeCell ref="H5326:H5328"/>
    <mergeCell ref="I5326:I5328"/>
    <mergeCell ref="J5326:J5328"/>
    <mergeCell ref="K5326:K5328"/>
    <mergeCell ref="L5326:L5328"/>
    <mergeCell ref="D5329:D5331"/>
    <mergeCell ref="E5329:E5331"/>
    <mergeCell ref="F5329:F5331"/>
    <mergeCell ref="G5329:G5331"/>
    <mergeCell ref="H5329:H5331"/>
    <mergeCell ref="I5329:I5331"/>
    <mergeCell ref="J5329:J5331"/>
    <mergeCell ref="K5329:K5331"/>
    <mergeCell ref="L5329:L5331"/>
    <mergeCell ref="D5332:D5334"/>
    <mergeCell ref="E5332:E5334"/>
    <mergeCell ref="F5332:F5334"/>
    <mergeCell ref="G5332:G5334"/>
    <mergeCell ref="H5332:H5334"/>
    <mergeCell ref="I5332:I5334"/>
    <mergeCell ref="J5332:J5334"/>
    <mergeCell ref="K5332:K5334"/>
    <mergeCell ref="L5332:L5334"/>
    <mergeCell ref="D5335:F5335"/>
    <mergeCell ref="G5335:L5335"/>
    <mergeCell ref="A5293:A5295"/>
    <mergeCell ref="B5293:C5302"/>
    <mergeCell ref="D5293:D5295"/>
    <mergeCell ref="E5293:E5295"/>
    <mergeCell ref="F5293:F5295"/>
    <mergeCell ref="G5293:G5295"/>
    <mergeCell ref="H5293:H5295"/>
    <mergeCell ref="I5293:I5295"/>
    <mergeCell ref="J5293:J5295"/>
    <mergeCell ref="K5293:K5295"/>
    <mergeCell ref="L5293:L5295"/>
    <mergeCell ref="D5296:D5298"/>
    <mergeCell ref="E5296:E5298"/>
    <mergeCell ref="F5296:F5298"/>
    <mergeCell ref="G5296:G5298"/>
    <mergeCell ref="H5296:H5298"/>
    <mergeCell ref="I5296:I5298"/>
    <mergeCell ref="J5296:J5298"/>
    <mergeCell ref="K5296:K5298"/>
    <mergeCell ref="L5296:L5298"/>
    <mergeCell ref="D5299:D5301"/>
    <mergeCell ref="E5299:E5301"/>
    <mergeCell ref="F5299:F5301"/>
    <mergeCell ref="G5299:G5301"/>
    <mergeCell ref="H5299:H5301"/>
    <mergeCell ref="I5299:I5301"/>
    <mergeCell ref="J5299:J5301"/>
    <mergeCell ref="K5299:K5301"/>
    <mergeCell ref="L5299:L5301"/>
    <mergeCell ref="D5302:F5302"/>
    <mergeCell ref="G5302:L5302"/>
    <mergeCell ref="A5304:A5306"/>
    <mergeCell ref="B5304:C5313"/>
    <mergeCell ref="D5304:D5306"/>
    <mergeCell ref="E5304:E5306"/>
    <mergeCell ref="F5304:F5306"/>
    <mergeCell ref="G5304:G5306"/>
    <mergeCell ref="H5304:H5306"/>
    <mergeCell ref="I5304:I5306"/>
    <mergeCell ref="J5304:J5306"/>
    <mergeCell ref="K5304:K5306"/>
    <mergeCell ref="L5304:L5306"/>
    <mergeCell ref="D5307:D5309"/>
    <mergeCell ref="E5307:E5309"/>
    <mergeCell ref="F5307:F5309"/>
    <mergeCell ref="G5307:G5309"/>
    <mergeCell ref="H5307:H5309"/>
    <mergeCell ref="I5307:I5309"/>
    <mergeCell ref="J5307:J5309"/>
    <mergeCell ref="K5307:K5309"/>
    <mergeCell ref="L5307:L5309"/>
    <mergeCell ref="D5310:D5312"/>
    <mergeCell ref="E5310:E5312"/>
    <mergeCell ref="F5310:F5312"/>
    <mergeCell ref="G5310:G5312"/>
    <mergeCell ref="H5310:H5312"/>
    <mergeCell ref="I5310:I5312"/>
    <mergeCell ref="J5310:J5312"/>
    <mergeCell ref="K5310:K5312"/>
    <mergeCell ref="L5310:L5312"/>
    <mergeCell ref="D5313:F5313"/>
    <mergeCell ref="G5313:L5313"/>
    <mergeCell ref="A5271:A5273"/>
    <mergeCell ref="B5271:C5280"/>
    <mergeCell ref="D5271:D5273"/>
    <mergeCell ref="E5271:E5273"/>
    <mergeCell ref="F5271:F5273"/>
    <mergeCell ref="G5271:G5273"/>
    <mergeCell ref="H5271:H5273"/>
    <mergeCell ref="I5271:I5273"/>
    <mergeCell ref="J5271:J5273"/>
    <mergeCell ref="K5271:K5273"/>
    <mergeCell ref="L5271:L5273"/>
    <mergeCell ref="D5274:D5276"/>
    <mergeCell ref="E5274:E5276"/>
    <mergeCell ref="F5274:F5276"/>
    <mergeCell ref="G5274:G5276"/>
    <mergeCell ref="H5274:H5276"/>
    <mergeCell ref="I5274:I5276"/>
    <mergeCell ref="J5274:J5276"/>
    <mergeCell ref="K5274:K5276"/>
    <mergeCell ref="L5274:L5276"/>
    <mergeCell ref="D5277:D5279"/>
    <mergeCell ref="E5277:E5279"/>
    <mergeCell ref="F5277:F5279"/>
    <mergeCell ref="G5277:G5279"/>
    <mergeCell ref="H5277:H5279"/>
    <mergeCell ref="I5277:I5279"/>
    <mergeCell ref="J5277:J5279"/>
    <mergeCell ref="K5277:K5279"/>
    <mergeCell ref="L5277:L5279"/>
    <mergeCell ref="D5280:F5280"/>
    <mergeCell ref="G5280:L5280"/>
    <mergeCell ref="A5282:A5284"/>
    <mergeCell ref="B5282:C5291"/>
    <mergeCell ref="D5282:D5284"/>
    <mergeCell ref="E5282:E5284"/>
    <mergeCell ref="F5282:F5284"/>
    <mergeCell ref="G5282:G5284"/>
    <mergeCell ref="H5282:H5284"/>
    <mergeCell ref="I5282:I5284"/>
    <mergeCell ref="J5282:J5284"/>
    <mergeCell ref="K5282:K5284"/>
    <mergeCell ref="L5282:L5284"/>
    <mergeCell ref="D5285:D5287"/>
    <mergeCell ref="E5285:E5287"/>
    <mergeCell ref="F5285:F5287"/>
    <mergeCell ref="G5285:G5287"/>
    <mergeCell ref="H5285:H5287"/>
    <mergeCell ref="I5285:I5287"/>
    <mergeCell ref="J5285:J5287"/>
    <mergeCell ref="K5285:K5287"/>
    <mergeCell ref="L5285:L5287"/>
    <mergeCell ref="D5288:D5290"/>
    <mergeCell ref="E5288:E5290"/>
    <mergeCell ref="F5288:F5290"/>
    <mergeCell ref="G5288:G5290"/>
    <mergeCell ref="H5288:H5290"/>
    <mergeCell ref="I5288:I5290"/>
    <mergeCell ref="J5288:J5290"/>
    <mergeCell ref="K5288:K5290"/>
    <mergeCell ref="L5288:L5290"/>
    <mergeCell ref="D5291:F5291"/>
    <mergeCell ref="G5291:L5291"/>
    <mergeCell ref="A5249:A5251"/>
    <mergeCell ref="B5249:C5258"/>
    <mergeCell ref="D5249:D5251"/>
    <mergeCell ref="E5249:E5251"/>
    <mergeCell ref="F5249:F5251"/>
    <mergeCell ref="G5249:G5251"/>
    <mergeCell ref="H5249:H5251"/>
    <mergeCell ref="I5249:I5251"/>
    <mergeCell ref="J5249:J5251"/>
    <mergeCell ref="K5249:K5251"/>
    <mergeCell ref="L5249:L5251"/>
    <mergeCell ref="D5252:D5254"/>
    <mergeCell ref="E5252:E5254"/>
    <mergeCell ref="F5252:F5254"/>
    <mergeCell ref="G5252:G5254"/>
    <mergeCell ref="H5252:H5254"/>
    <mergeCell ref="I5252:I5254"/>
    <mergeCell ref="J5252:J5254"/>
    <mergeCell ref="K5252:K5254"/>
    <mergeCell ref="L5252:L5254"/>
    <mergeCell ref="D5255:D5257"/>
    <mergeCell ref="E5255:E5257"/>
    <mergeCell ref="F5255:F5257"/>
    <mergeCell ref="G5255:G5257"/>
    <mergeCell ref="H5255:H5257"/>
    <mergeCell ref="I5255:I5257"/>
    <mergeCell ref="J5255:J5257"/>
    <mergeCell ref="K5255:K5257"/>
    <mergeCell ref="L5255:L5257"/>
    <mergeCell ref="D5258:F5258"/>
    <mergeCell ref="G5258:L5258"/>
    <mergeCell ref="A5260:A5262"/>
    <mergeCell ref="B5260:C5269"/>
    <mergeCell ref="D5260:D5262"/>
    <mergeCell ref="E5260:E5262"/>
    <mergeCell ref="F5260:F5262"/>
    <mergeCell ref="G5260:G5262"/>
    <mergeCell ref="H5260:H5262"/>
    <mergeCell ref="I5260:I5262"/>
    <mergeCell ref="J5260:J5262"/>
    <mergeCell ref="K5260:K5262"/>
    <mergeCell ref="L5260:L5262"/>
    <mergeCell ref="D5263:D5265"/>
    <mergeCell ref="E5263:E5265"/>
    <mergeCell ref="F5263:F5265"/>
    <mergeCell ref="G5263:G5265"/>
    <mergeCell ref="H5263:H5265"/>
    <mergeCell ref="I5263:I5265"/>
    <mergeCell ref="J5263:J5265"/>
    <mergeCell ref="K5263:K5265"/>
    <mergeCell ref="L5263:L5265"/>
    <mergeCell ref="D5266:D5268"/>
    <mergeCell ref="E5266:E5268"/>
    <mergeCell ref="F5266:F5268"/>
    <mergeCell ref="G5266:G5268"/>
    <mergeCell ref="H5266:H5268"/>
    <mergeCell ref="I5266:I5268"/>
    <mergeCell ref="J5266:J5268"/>
    <mergeCell ref="K5266:K5268"/>
    <mergeCell ref="L5266:L5268"/>
    <mergeCell ref="D5269:F5269"/>
    <mergeCell ref="G5269:L5269"/>
    <mergeCell ref="A5227:A5229"/>
    <mergeCell ref="B5227:C5236"/>
    <mergeCell ref="D5227:D5229"/>
    <mergeCell ref="E5227:E5229"/>
    <mergeCell ref="F5227:F5229"/>
    <mergeCell ref="G5227:G5229"/>
    <mergeCell ref="H5227:H5229"/>
    <mergeCell ref="I5227:I5229"/>
    <mergeCell ref="J5227:J5229"/>
    <mergeCell ref="K5227:K5229"/>
    <mergeCell ref="L5227:L5229"/>
    <mergeCell ref="D5230:D5232"/>
    <mergeCell ref="E5230:E5232"/>
    <mergeCell ref="F5230:F5232"/>
    <mergeCell ref="G5230:G5232"/>
    <mergeCell ref="H5230:H5232"/>
    <mergeCell ref="I5230:I5232"/>
    <mergeCell ref="J5230:J5232"/>
    <mergeCell ref="K5230:K5232"/>
    <mergeCell ref="L5230:L5232"/>
    <mergeCell ref="D5233:D5235"/>
    <mergeCell ref="E5233:E5235"/>
    <mergeCell ref="F5233:F5235"/>
    <mergeCell ref="G5233:G5235"/>
    <mergeCell ref="H5233:H5235"/>
    <mergeCell ref="I5233:I5235"/>
    <mergeCell ref="J5233:J5235"/>
    <mergeCell ref="K5233:K5235"/>
    <mergeCell ref="L5233:L5235"/>
    <mergeCell ref="D5236:F5236"/>
    <mergeCell ref="G5236:L5236"/>
    <mergeCell ref="A5238:A5240"/>
    <mergeCell ref="B5238:C5247"/>
    <mergeCell ref="D5238:D5240"/>
    <mergeCell ref="E5238:E5240"/>
    <mergeCell ref="F5238:F5240"/>
    <mergeCell ref="G5238:G5240"/>
    <mergeCell ref="H5238:H5240"/>
    <mergeCell ref="I5238:I5240"/>
    <mergeCell ref="J5238:J5240"/>
    <mergeCell ref="K5238:K5240"/>
    <mergeCell ref="L5238:L5240"/>
    <mergeCell ref="D5241:D5243"/>
    <mergeCell ref="E5241:E5243"/>
    <mergeCell ref="F5241:F5243"/>
    <mergeCell ref="G5241:G5243"/>
    <mergeCell ref="H5241:H5243"/>
    <mergeCell ref="I5241:I5243"/>
    <mergeCell ref="J5241:J5243"/>
    <mergeCell ref="K5241:K5243"/>
    <mergeCell ref="L5241:L5243"/>
    <mergeCell ref="D5244:D5246"/>
    <mergeCell ref="E5244:E5246"/>
    <mergeCell ref="F5244:F5246"/>
    <mergeCell ref="G5244:G5246"/>
    <mergeCell ref="H5244:H5246"/>
    <mergeCell ref="I5244:I5246"/>
    <mergeCell ref="J5244:J5246"/>
    <mergeCell ref="K5244:K5246"/>
    <mergeCell ref="L5244:L5246"/>
    <mergeCell ref="D5247:F5247"/>
    <mergeCell ref="G5247:L5247"/>
    <mergeCell ref="A5205:A5207"/>
    <mergeCell ref="B5205:C5214"/>
    <mergeCell ref="D5205:D5207"/>
    <mergeCell ref="E5205:E5207"/>
    <mergeCell ref="F5205:F5207"/>
    <mergeCell ref="G5205:G5207"/>
    <mergeCell ref="H5205:H5207"/>
    <mergeCell ref="I5205:I5207"/>
    <mergeCell ref="J5205:J5207"/>
    <mergeCell ref="K5205:K5207"/>
    <mergeCell ref="L5205:L5207"/>
    <mergeCell ref="D5208:D5210"/>
    <mergeCell ref="E5208:E5210"/>
    <mergeCell ref="F5208:F5210"/>
    <mergeCell ref="G5208:G5210"/>
    <mergeCell ref="H5208:H5210"/>
    <mergeCell ref="I5208:I5210"/>
    <mergeCell ref="J5208:J5210"/>
    <mergeCell ref="K5208:K5210"/>
    <mergeCell ref="L5208:L5210"/>
    <mergeCell ref="D5211:D5213"/>
    <mergeCell ref="E5211:E5213"/>
    <mergeCell ref="F5211:F5213"/>
    <mergeCell ref="G5211:G5213"/>
    <mergeCell ref="H5211:H5213"/>
    <mergeCell ref="I5211:I5213"/>
    <mergeCell ref="J5211:J5213"/>
    <mergeCell ref="K5211:K5213"/>
    <mergeCell ref="L5211:L5213"/>
    <mergeCell ref="D5214:F5214"/>
    <mergeCell ref="G5214:L5214"/>
    <mergeCell ref="A5216:A5218"/>
    <mergeCell ref="B5216:C5225"/>
    <mergeCell ref="D5216:D5218"/>
    <mergeCell ref="E5216:E5218"/>
    <mergeCell ref="F5216:F5218"/>
    <mergeCell ref="G5216:G5218"/>
    <mergeCell ref="H5216:H5218"/>
    <mergeCell ref="I5216:I5218"/>
    <mergeCell ref="J5216:J5218"/>
    <mergeCell ref="K5216:K5218"/>
    <mergeCell ref="L5216:L5218"/>
    <mergeCell ref="D5219:D5221"/>
    <mergeCell ref="E5219:E5221"/>
    <mergeCell ref="F5219:F5221"/>
    <mergeCell ref="G5219:G5221"/>
    <mergeCell ref="H5219:H5221"/>
    <mergeCell ref="I5219:I5221"/>
    <mergeCell ref="J5219:J5221"/>
    <mergeCell ref="K5219:K5221"/>
    <mergeCell ref="L5219:L5221"/>
    <mergeCell ref="D5222:D5224"/>
    <mergeCell ref="E5222:E5224"/>
    <mergeCell ref="F5222:F5224"/>
    <mergeCell ref="G5222:G5224"/>
    <mergeCell ref="H5222:H5224"/>
    <mergeCell ref="I5222:I5224"/>
    <mergeCell ref="J5222:J5224"/>
    <mergeCell ref="K5222:K5224"/>
    <mergeCell ref="L5222:L5224"/>
    <mergeCell ref="D5225:F5225"/>
    <mergeCell ref="G5225:L5225"/>
    <mergeCell ref="A5183:A5185"/>
    <mergeCell ref="B5183:C5192"/>
    <mergeCell ref="D5183:D5185"/>
    <mergeCell ref="E5183:E5185"/>
    <mergeCell ref="F5183:F5185"/>
    <mergeCell ref="G5183:G5185"/>
    <mergeCell ref="H5183:H5185"/>
    <mergeCell ref="I5183:I5185"/>
    <mergeCell ref="J5183:J5185"/>
    <mergeCell ref="K5183:K5185"/>
    <mergeCell ref="L5183:L5185"/>
    <mergeCell ref="D5186:D5188"/>
    <mergeCell ref="E5186:E5188"/>
    <mergeCell ref="F5186:F5188"/>
    <mergeCell ref="G5186:G5188"/>
    <mergeCell ref="H5186:H5188"/>
    <mergeCell ref="I5186:I5188"/>
    <mergeCell ref="J5186:J5188"/>
    <mergeCell ref="K5186:K5188"/>
    <mergeCell ref="L5186:L5188"/>
    <mergeCell ref="D5189:D5191"/>
    <mergeCell ref="E5189:E5191"/>
    <mergeCell ref="F5189:F5191"/>
    <mergeCell ref="G5189:G5191"/>
    <mergeCell ref="H5189:H5191"/>
    <mergeCell ref="I5189:I5191"/>
    <mergeCell ref="J5189:J5191"/>
    <mergeCell ref="K5189:K5191"/>
    <mergeCell ref="L5189:L5191"/>
    <mergeCell ref="D5192:F5192"/>
    <mergeCell ref="G5192:L5192"/>
    <mergeCell ref="A5194:A5196"/>
    <mergeCell ref="B5194:C5203"/>
    <mergeCell ref="D5194:D5196"/>
    <mergeCell ref="E5194:E5196"/>
    <mergeCell ref="F5194:F5196"/>
    <mergeCell ref="G5194:G5196"/>
    <mergeCell ref="H5194:H5196"/>
    <mergeCell ref="I5194:I5196"/>
    <mergeCell ref="J5194:J5196"/>
    <mergeCell ref="K5194:K5196"/>
    <mergeCell ref="L5194:L5196"/>
    <mergeCell ref="D5197:D5199"/>
    <mergeCell ref="E5197:E5199"/>
    <mergeCell ref="F5197:F5199"/>
    <mergeCell ref="G5197:G5199"/>
    <mergeCell ref="H5197:H5199"/>
    <mergeCell ref="I5197:I5199"/>
    <mergeCell ref="J5197:J5199"/>
    <mergeCell ref="K5197:K5199"/>
    <mergeCell ref="L5197:L5199"/>
    <mergeCell ref="D5200:D5202"/>
    <mergeCell ref="E5200:E5202"/>
    <mergeCell ref="F5200:F5202"/>
    <mergeCell ref="G5200:G5202"/>
    <mergeCell ref="H5200:H5202"/>
    <mergeCell ref="I5200:I5202"/>
    <mergeCell ref="J5200:J5202"/>
    <mergeCell ref="K5200:K5202"/>
    <mergeCell ref="L5200:L5202"/>
    <mergeCell ref="D5203:F5203"/>
    <mergeCell ref="G5203:L5203"/>
    <mergeCell ref="A5161:A5163"/>
    <mergeCell ref="B5161:C5170"/>
    <mergeCell ref="D5161:D5163"/>
    <mergeCell ref="E5161:E5163"/>
    <mergeCell ref="F5161:F5163"/>
    <mergeCell ref="G5161:G5163"/>
    <mergeCell ref="H5161:H5163"/>
    <mergeCell ref="I5161:I5163"/>
    <mergeCell ref="J5161:J5163"/>
    <mergeCell ref="K5161:K5163"/>
    <mergeCell ref="L5161:L5163"/>
    <mergeCell ref="D5164:D5166"/>
    <mergeCell ref="E5164:E5166"/>
    <mergeCell ref="F5164:F5166"/>
    <mergeCell ref="G5164:G5166"/>
    <mergeCell ref="H5164:H5166"/>
    <mergeCell ref="I5164:I5166"/>
    <mergeCell ref="J5164:J5166"/>
    <mergeCell ref="K5164:K5166"/>
    <mergeCell ref="L5164:L5166"/>
    <mergeCell ref="D5167:D5169"/>
    <mergeCell ref="E5167:E5169"/>
    <mergeCell ref="F5167:F5169"/>
    <mergeCell ref="G5167:G5169"/>
    <mergeCell ref="H5167:H5169"/>
    <mergeCell ref="I5167:I5169"/>
    <mergeCell ref="J5167:J5169"/>
    <mergeCell ref="K5167:K5169"/>
    <mergeCell ref="L5167:L5169"/>
    <mergeCell ref="D5170:F5170"/>
    <mergeCell ref="G5170:L5170"/>
    <mergeCell ref="A5172:A5174"/>
    <mergeCell ref="B5172:C5181"/>
    <mergeCell ref="D5172:D5174"/>
    <mergeCell ref="E5172:E5174"/>
    <mergeCell ref="F5172:F5174"/>
    <mergeCell ref="G5172:G5174"/>
    <mergeCell ref="H5172:H5174"/>
    <mergeCell ref="I5172:I5174"/>
    <mergeCell ref="J5172:J5174"/>
    <mergeCell ref="K5172:K5174"/>
    <mergeCell ref="L5172:L5174"/>
    <mergeCell ref="D5175:D5177"/>
    <mergeCell ref="E5175:E5177"/>
    <mergeCell ref="F5175:F5177"/>
    <mergeCell ref="G5175:G5177"/>
    <mergeCell ref="H5175:H5177"/>
    <mergeCell ref="I5175:I5177"/>
    <mergeCell ref="J5175:J5177"/>
    <mergeCell ref="K5175:K5177"/>
    <mergeCell ref="L5175:L5177"/>
    <mergeCell ref="D5178:D5180"/>
    <mergeCell ref="E5178:E5180"/>
    <mergeCell ref="F5178:F5180"/>
    <mergeCell ref="G5178:G5180"/>
    <mergeCell ref="H5178:H5180"/>
    <mergeCell ref="I5178:I5180"/>
    <mergeCell ref="J5178:J5180"/>
    <mergeCell ref="K5178:K5180"/>
    <mergeCell ref="L5178:L5180"/>
    <mergeCell ref="D5181:F5181"/>
    <mergeCell ref="G5181:L5181"/>
    <mergeCell ref="A5139:A5141"/>
    <mergeCell ref="B5139:C5148"/>
    <mergeCell ref="D5139:D5141"/>
    <mergeCell ref="E5139:E5141"/>
    <mergeCell ref="F5139:F5141"/>
    <mergeCell ref="G5139:G5141"/>
    <mergeCell ref="H5139:H5141"/>
    <mergeCell ref="I5139:I5141"/>
    <mergeCell ref="J5139:J5141"/>
    <mergeCell ref="K5139:K5141"/>
    <mergeCell ref="L5139:L5141"/>
    <mergeCell ref="D5142:D5144"/>
    <mergeCell ref="E5142:E5144"/>
    <mergeCell ref="F5142:F5144"/>
    <mergeCell ref="G5142:G5144"/>
    <mergeCell ref="H5142:H5144"/>
    <mergeCell ref="I5142:I5144"/>
    <mergeCell ref="J5142:J5144"/>
    <mergeCell ref="K5142:K5144"/>
    <mergeCell ref="L5142:L5144"/>
    <mergeCell ref="D5145:D5147"/>
    <mergeCell ref="E5145:E5147"/>
    <mergeCell ref="F5145:F5147"/>
    <mergeCell ref="G5145:G5147"/>
    <mergeCell ref="H5145:H5147"/>
    <mergeCell ref="I5145:I5147"/>
    <mergeCell ref="J5145:J5147"/>
    <mergeCell ref="K5145:K5147"/>
    <mergeCell ref="L5145:L5147"/>
    <mergeCell ref="D5148:F5148"/>
    <mergeCell ref="G5148:L5148"/>
    <mergeCell ref="A5150:A5152"/>
    <mergeCell ref="B5150:C5159"/>
    <mergeCell ref="D5150:D5152"/>
    <mergeCell ref="E5150:E5152"/>
    <mergeCell ref="F5150:F5152"/>
    <mergeCell ref="G5150:G5152"/>
    <mergeCell ref="H5150:H5152"/>
    <mergeCell ref="I5150:I5152"/>
    <mergeCell ref="J5150:J5152"/>
    <mergeCell ref="K5150:K5152"/>
    <mergeCell ref="L5150:L5152"/>
    <mergeCell ref="D5153:D5155"/>
    <mergeCell ref="E5153:E5155"/>
    <mergeCell ref="F5153:F5155"/>
    <mergeCell ref="G5153:G5155"/>
    <mergeCell ref="H5153:H5155"/>
    <mergeCell ref="I5153:I5155"/>
    <mergeCell ref="J5153:J5155"/>
    <mergeCell ref="K5153:K5155"/>
    <mergeCell ref="L5153:L5155"/>
    <mergeCell ref="D5156:D5158"/>
    <mergeCell ref="E5156:E5158"/>
    <mergeCell ref="F5156:F5158"/>
    <mergeCell ref="G5156:G5158"/>
    <mergeCell ref="H5156:H5158"/>
    <mergeCell ref="I5156:I5158"/>
    <mergeCell ref="J5156:J5158"/>
    <mergeCell ref="K5156:K5158"/>
    <mergeCell ref="L5156:L5158"/>
    <mergeCell ref="D5159:F5159"/>
    <mergeCell ref="G5159:L5159"/>
    <mergeCell ref="A5117:A5119"/>
    <mergeCell ref="B5117:C5126"/>
    <mergeCell ref="D5117:D5119"/>
    <mergeCell ref="E5117:E5119"/>
    <mergeCell ref="F5117:F5119"/>
    <mergeCell ref="G5117:G5119"/>
    <mergeCell ref="H5117:H5119"/>
    <mergeCell ref="I5117:I5119"/>
    <mergeCell ref="J5117:J5119"/>
    <mergeCell ref="K5117:K5119"/>
    <mergeCell ref="L5117:L5119"/>
    <mergeCell ref="D5120:D5122"/>
    <mergeCell ref="E5120:E5122"/>
    <mergeCell ref="F5120:F5122"/>
    <mergeCell ref="G5120:G5122"/>
    <mergeCell ref="H5120:H5122"/>
    <mergeCell ref="I5120:I5122"/>
    <mergeCell ref="J5120:J5122"/>
    <mergeCell ref="K5120:K5122"/>
    <mergeCell ref="L5120:L5122"/>
    <mergeCell ref="D5123:D5125"/>
    <mergeCell ref="E5123:E5125"/>
    <mergeCell ref="F5123:F5125"/>
    <mergeCell ref="G5123:G5125"/>
    <mergeCell ref="H5123:H5125"/>
    <mergeCell ref="I5123:I5125"/>
    <mergeCell ref="J5123:J5125"/>
    <mergeCell ref="K5123:K5125"/>
    <mergeCell ref="L5123:L5125"/>
    <mergeCell ref="D5126:F5126"/>
    <mergeCell ref="G5126:L5126"/>
    <mergeCell ref="A5128:A5130"/>
    <mergeCell ref="B5128:C5137"/>
    <mergeCell ref="D5128:D5130"/>
    <mergeCell ref="E5128:E5130"/>
    <mergeCell ref="F5128:F5130"/>
    <mergeCell ref="G5128:G5130"/>
    <mergeCell ref="H5128:H5130"/>
    <mergeCell ref="I5128:I5130"/>
    <mergeCell ref="J5128:J5130"/>
    <mergeCell ref="K5128:K5130"/>
    <mergeCell ref="L5128:L5130"/>
    <mergeCell ref="D5131:D5133"/>
    <mergeCell ref="E5131:E5133"/>
    <mergeCell ref="F5131:F5133"/>
    <mergeCell ref="G5131:G5133"/>
    <mergeCell ref="H5131:H5133"/>
    <mergeCell ref="I5131:I5133"/>
    <mergeCell ref="J5131:J5133"/>
    <mergeCell ref="K5131:K5133"/>
    <mergeCell ref="L5131:L5133"/>
    <mergeCell ref="D5134:D5136"/>
    <mergeCell ref="E5134:E5136"/>
    <mergeCell ref="F5134:F5136"/>
    <mergeCell ref="G5134:G5136"/>
    <mergeCell ref="H5134:H5136"/>
    <mergeCell ref="I5134:I5136"/>
    <mergeCell ref="J5134:J5136"/>
    <mergeCell ref="K5134:K5136"/>
    <mergeCell ref="L5134:L5136"/>
    <mergeCell ref="D5137:F5137"/>
    <mergeCell ref="G5137:L5137"/>
    <mergeCell ref="A5095:A5097"/>
    <mergeCell ref="B5095:C5104"/>
    <mergeCell ref="D5095:D5097"/>
    <mergeCell ref="E5095:E5097"/>
    <mergeCell ref="F5095:F5097"/>
    <mergeCell ref="G5095:G5097"/>
    <mergeCell ref="H5095:H5097"/>
    <mergeCell ref="I5095:I5097"/>
    <mergeCell ref="J5095:J5097"/>
    <mergeCell ref="K5095:K5097"/>
    <mergeCell ref="L5095:L5097"/>
    <mergeCell ref="D5098:D5100"/>
    <mergeCell ref="E5098:E5100"/>
    <mergeCell ref="F5098:F5100"/>
    <mergeCell ref="G5098:G5100"/>
    <mergeCell ref="H5098:H5100"/>
    <mergeCell ref="I5098:I5100"/>
    <mergeCell ref="J5098:J5100"/>
    <mergeCell ref="K5098:K5100"/>
    <mergeCell ref="L5098:L5100"/>
    <mergeCell ref="D5101:D5103"/>
    <mergeCell ref="E5101:E5103"/>
    <mergeCell ref="F5101:F5103"/>
    <mergeCell ref="G5101:G5103"/>
    <mergeCell ref="H5101:H5103"/>
    <mergeCell ref="I5101:I5103"/>
    <mergeCell ref="J5101:J5103"/>
    <mergeCell ref="K5101:K5103"/>
    <mergeCell ref="L5101:L5103"/>
    <mergeCell ref="D5104:F5104"/>
    <mergeCell ref="G5104:L5104"/>
    <mergeCell ref="A5106:A5108"/>
    <mergeCell ref="B5106:C5115"/>
    <mergeCell ref="D5106:D5108"/>
    <mergeCell ref="E5106:E5108"/>
    <mergeCell ref="F5106:F5108"/>
    <mergeCell ref="G5106:G5108"/>
    <mergeCell ref="H5106:H5108"/>
    <mergeCell ref="I5106:I5108"/>
    <mergeCell ref="J5106:J5108"/>
    <mergeCell ref="K5106:K5108"/>
    <mergeCell ref="L5106:L5108"/>
    <mergeCell ref="D5109:D5111"/>
    <mergeCell ref="E5109:E5111"/>
    <mergeCell ref="F5109:F5111"/>
    <mergeCell ref="G5109:G5111"/>
    <mergeCell ref="H5109:H5111"/>
    <mergeCell ref="I5109:I5111"/>
    <mergeCell ref="J5109:J5111"/>
    <mergeCell ref="K5109:K5111"/>
    <mergeCell ref="L5109:L5111"/>
    <mergeCell ref="D5112:D5114"/>
    <mergeCell ref="E5112:E5114"/>
    <mergeCell ref="F5112:F5114"/>
    <mergeCell ref="G5112:G5114"/>
    <mergeCell ref="H5112:H5114"/>
    <mergeCell ref="I5112:I5114"/>
    <mergeCell ref="J5112:J5114"/>
    <mergeCell ref="K5112:K5114"/>
    <mergeCell ref="L5112:L5114"/>
    <mergeCell ref="D5115:F5115"/>
    <mergeCell ref="G5115:L5115"/>
    <mergeCell ref="A5073:A5075"/>
    <mergeCell ref="B5073:C5082"/>
    <mergeCell ref="D5073:D5075"/>
    <mergeCell ref="E5073:E5075"/>
    <mergeCell ref="F5073:F5075"/>
    <mergeCell ref="G5073:G5075"/>
    <mergeCell ref="H5073:H5075"/>
    <mergeCell ref="I5073:I5075"/>
    <mergeCell ref="J5073:J5075"/>
    <mergeCell ref="K5073:K5075"/>
    <mergeCell ref="L5073:L5075"/>
    <mergeCell ref="D5076:D5078"/>
    <mergeCell ref="E5076:E5078"/>
    <mergeCell ref="F5076:F5078"/>
    <mergeCell ref="G5076:G5078"/>
    <mergeCell ref="H5076:H5078"/>
    <mergeCell ref="I5076:I5078"/>
    <mergeCell ref="J5076:J5078"/>
    <mergeCell ref="K5076:K5078"/>
    <mergeCell ref="L5076:L5078"/>
    <mergeCell ref="D5079:D5081"/>
    <mergeCell ref="E5079:E5081"/>
    <mergeCell ref="F5079:F5081"/>
    <mergeCell ref="G5079:G5081"/>
    <mergeCell ref="H5079:H5081"/>
    <mergeCell ref="I5079:I5081"/>
    <mergeCell ref="J5079:J5081"/>
    <mergeCell ref="K5079:K5081"/>
    <mergeCell ref="L5079:L5081"/>
    <mergeCell ref="D5082:F5082"/>
    <mergeCell ref="G5082:L5082"/>
    <mergeCell ref="A5084:A5086"/>
    <mergeCell ref="B5084:C5093"/>
    <mergeCell ref="D5084:D5086"/>
    <mergeCell ref="E5084:E5086"/>
    <mergeCell ref="F5084:F5086"/>
    <mergeCell ref="G5084:G5086"/>
    <mergeCell ref="H5084:H5086"/>
    <mergeCell ref="I5084:I5086"/>
    <mergeCell ref="J5084:J5086"/>
    <mergeCell ref="K5084:K5086"/>
    <mergeCell ref="L5084:L5086"/>
    <mergeCell ref="D5087:D5089"/>
    <mergeCell ref="E5087:E5089"/>
    <mergeCell ref="F5087:F5089"/>
    <mergeCell ref="G5087:G5089"/>
    <mergeCell ref="H5087:H5089"/>
    <mergeCell ref="I5087:I5089"/>
    <mergeCell ref="J5087:J5089"/>
    <mergeCell ref="K5087:K5089"/>
    <mergeCell ref="L5087:L5089"/>
    <mergeCell ref="D5090:D5092"/>
    <mergeCell ref="E5090:E5092"/>
    <mergeCell ref="F5090:F5092"/>
    <mergeCell ref="G5090:G5092"/>
    <mergeCell ref="H5090:H5092"/>
    <mergeCell ref="I5090:I5092"/>
    <mergeCell ref="J5090:J5092"/>
    <mergeCell ref="K5090:K5092"/>
    <mergeCell ref="L5090:L5092"/>
    <mergeCell ref="D5093:F5093"/>
    <mergeCell ref="G5093:L5093"/>
    <mergeCell ref="A5051:A5053"/>
    <mergeCell ref="B5051:C5060"/>
    <mergeCell ref="D5051:D5053"/>
    <mergeCell ref="E5051:E5053"/>
    <mergeCell ref="F5051:F5053"/>
    <mergeCell ref="G5051:G5053"/>
    <mergeCell ref="H5051:H5053"/>
    <mergeCell ref="I5051:I5053"/>
    <mergeCell ref="J5051:J5053"/>
    <mergeCell ref="K5051:K5053"/>
    <mergeCell ref="L5051:L5053"/>
    <mergeCell ref="D5054:D5056"/>
    <mergeCell ref="E5054:E5056"/>
    <mergeCell ref="F5054:F5056"/>
    <mergeCell ref="G5054:G5056"/>
    <mergeCell ref="H5054:H5056"/>
    <mergeCell ref="I5054:I5056"/>
    <mergeCell ref="J5054:J5056"/>
    <mergeCell ref="K5054:K5056"/>
    <mergeCell ref="L5054:L5056"/>
    <mergeCell ref="D5057:D5059"/>
    <mergeCell ref="E5057:E5059"/>
    <mergeCell ref="F5057:F5059"/>
    <mergeCell ref="G5057:G5059"/>
    <mergeCell ref="H5057:H5059"/>
    <mergeCell ref="I5057:I5059"/>
    <mergeCell ref="J5057:J5059"/>
    <mergeCell ref="K5057:K5059"/>
    <mergeCell ref="L5057:L5059"/>
    <mergeCell ref="D5060:F5060"/>
    <mergeCell ref="G5060:L5060"/>
    <mergeCell ref="A5062:A5064"/>
    <mergeCell ref="B5062:C5071"/>
    <mergeCell ref="D5062:D5064"/>
    <mergeCell ref="E5062:E5064"/>
    <mergeCell ref="F5062:F5064"/>
    <mergeCell ref="G5062:G5064"/>
    <mergeCell ref="H5062:H5064"/>
    <mergeCell ref="I5062:I5064"/>
    <mergeCell ref="J5062:J5064"/>
    <mergeCell ref="K5062:K5064"/>
    <mergeCell ref="L5062:L5064"/>
    <mergeCell ref="D5065:D5067"/>
    <mergeCell ref="E5065:E5067"/>
    <mergeCell ref="F5065:F5067"/>
    <mergeCell ref="G5065:G5067"/>
    <mergeCell ref="H5065:H5067"/>
    <mergeCell ref="I5065:I5067"/>
    <mergeCell ref="J5065:J5067"/>
    <mergeCell ref="K5065:K5067"/>
    <mergeCell ref="L5065:L5067"/>
    <mergeCell ref="D5068:D5070"/>
    <mergeCell ref="E5068:E5070"/>
    <mergeCell ref="F5068:F5070"/>
    <mergeCell ref="G5068:G5070"/>
    <mergeCell ref="H5068:H5070"/>
    <mergeCell ref="I5068:I5070"/>
    <mergeCell ref="J5068:J5070"/>
    <mergeCell ref="K5068:K5070"/>
    <mergeCell ref="L5068:L5070"/>
    <mergeCell ref="D5071:F5071"/>
    <mergeCell ref="G5071:L5071"/>
    <mergeCell ref="A5029:A5031"/>
    <mergeCell ref="B5029:C5038"/>
    <mergeCell ref="D5029:D5031"/>
    <mergeCell ref="E5029:E5031"/>
    <mergeCell ref="F5029:F5031"/>
    <mergeCell ref="G5029:G5031"/>
    <mergeCell ref="H5029:H5031"/>
    <mergeCell ref="I5029:I5031"/>
    <mergeCell ref="J5029:J5031"/>
    <mergeCell ref="K5029:K5031"/>
    <mergeCell ref="L5029:L5031"/>
    <mergeCell ref="D5032:D5034"/>
    <mergeCell ref="E5032:E5034"/>
    <mergeCell ref="F5032:F5034"/>
    <mergeCell ref="G5032:G5034"/>
    <mergeCell ref="H5032:H5034"/>
    <mergeCell ref="I5032:I5034"/>
    <mergeCell ref="J5032:J5034"/>
    <mergeCell ref="K5032:K5034"/>
    <mergeCell ref="L5032:L5034"/>
    <mergeCell ref="D5035:D5037"/>
    <mergeCell ref="E5035:E5037"/>
    <mergeCell ref="F5035:F5037"/>
    <mergeCell ref="G5035:G5037"/>
    <mergeCell ref="H5035:H5037"/>
    <mergeCell ref="I5035:I5037"/>
    <mergeCell ref="J5035:J5037"/>
    <mergeCell ref="K5035:K5037"/>
    <mergeCell ref="L5035:L5037"/>
    <mergeCell ref="D5038:F5038"/>
    <mergeCell ref="G5038:L5038"/>
    <mergeCell ref="A5040:A5042"/>
    <mergeCell ref="B5040:C5049"/>
    <mergeCell ref="D5040:D5042"/>
    <mergeCell ref="E5040:E5042"/>
    <mergeCell ref="F5040:F5042"/>
    <mergeCell ref="G5040:G5042"/>
    <mergeCell ref="H5040:H5042"/>
    <mergeCell ref="I5040:I5042"/>
    <mergeCell ref="J5040:J5042"/>
    <mergeCell ref="K5040:K5042"/>
    <mergeCell ref="L5040:L5042"/>
    <mergeCell ref="D5043:D5045"/>
    <mergeCell ref="E5043:E5045"/>
    <mergeCell ref="F5043:F5045"/>
    <mergeCell ref="G5043:G5045"/>
    <mergeCell ref="H5043:H5045"/>
    <mergeCell ref="I5043:I5045"/>
    <mergeCell ref="J5043:J5045"/>
    <mergeCell ref="K5043:K5045"/>
    <mergeCell ref="L5043:L5045"/>
    <mergeCell ref="D5046:D5048"/>
    <mergeCell ref="E5046:E5048"/>
    <mergeCell ref="F5046:F5048"/>
    <mergeCell ref="G5046:G5048"/>
    <mergeCell ref="H5046:H5048"/>
    <mergeCell ref="I5046:I5048"/>
    <mergeCell ref="J5046:J5048"/>
    <mergeCell ref="K5046:K5048"/>
    <mergeCell ref="L5046:L5048"/>
    <mergeCell ref="D5049:F5049"/>
    <mergeCell ref="G5049:L5049"/>
    <mergeCell ref="A5007:A5009"/>
    <mergeCell ref="B5007:C5016"/>
    <mergeCell ref="D5007:D5009"/>
    <mergeCell ref="E5007:E5009"/>
    <mergeCell ref="F5007:F5009"/>
    <mergeCell ref="G5007:G5009"/>
    <mergeCell ref="H5007:H5009"/>
    <mergeCell ref="I5007:I5009"/>
    <mergeCell ref="J5007:J5009"/>
    <mergeCell ref="K5007:K5009"/>
    <mergeCell ref="L5007:L5009"/>
    <mergeCell ref="D5010:D5012"/>
    <mergeCell ref="E5010:E5012"/>
    <mergeCell ref="F5010:F5012"/>
    <mergeCell ref="G5010:G5012"/>
    <mergeCell ref="H5010:H5012"/>
    <mergeCell ref="I5010:I5012"/>
    <mergeCell ref="J5010:J5012"/>
    <mergeCell ref="K5010:K5012"/>
    <mergeCell ref="L5010:L5012"/>
    <mergeCell ref="D5013:D5015"/>
    <mergeCell ref="E5013:E5015"/>
    <mergeCell ref="F5013:F5015"/>
    <mergeCell ref="G5013:G5015"/>
    <mergeCell ref="H5013:H5015"/>
    <mergeCell ref="I5013:I5015"/>
    <mergeCell ref="J5013:J5015"/>
    <mergeCell ref="K5013:K5015"/>
    <mergeCell ref="L5013:L5015"/>
    <mergeCell ref="D5016:F5016"/>
    <mergeCell ref="G5016:L5016"/>
    <mergeCell ref="A5018:A5020"/>
    <mergeCell ref="B5018:C5027"/>
    <mergeCell ref="D5018:D5020"/>
    <mergeCell ref="E5018:E5020"/>
    <mergeCell ref="F5018:F5020"/>
    <mergeCell ref="G5018:G5020"/>
    <mergeCell ref="H5018:H5020"/>
    <mergeCell ref="I5018:I5020"/>
    <mergeCell ref="J5018:J5020"/>
    <mergeCell ref="K5018:K5020"/>
    <mergeCell ref="L5018:L5020"/>
    <mergeCell ref="D5021:D5023"/>
    <mergeCell ref="E5021:E5023"/>
    <mergeCell ref="F5021:F5023"/>
    <mergeCell ref="G5021:G5023"/>
    <mergeCell ref="H5021:H5023"/>
    <mergeCell ref="I5021:I5023"/>
    <mergeCell ref="J5021:J5023"/>
    <mergeCell ref="K5021:K5023"/>
    <mergeCell ref="L5021:L5023"/>
    <mergeCell ref="D5024:D5026"/>
    <mergeCell ref="E5024:E5026"/>
    <mergeCell ref="F5024:F5026"/>
    <mergeCell ref="G5024:G5026"/>
    <mergeCell ref="H5024:H5026"/>
    <mergeCell ref="I5024:I5026"/>
    <mergeCell ref="J5024:J5026"/>
    <mergeCell ref="K5024:K5026"/>
    <mergeCell ref="L5024:L5026"/>
    <mergeCell ref="D5027:F5027"/>
    <mergeCell ref="G5027:L5027"/>
    <mergeCell ref="A4985:A4987"/>
    <mergeCell ref="B4985:C4994"/>
    <mergeCell ref="D4985:D4987"/>
    <mergeCell ref="E4985:E4987"/>
    <mergeCell ref="F4985:F4987"/>
    <mergeCell ref="G4985:G4987"/>
    <mergeCell ref="H4985:H4987"/>
    <mergeCell ref="I4985:I4987"/>
    <mergeCell ref="J4985:J4987"/>
    <mergeCell ref="K4985:K4987"/>
    <mergeCell ref="L4985:L4987"/>
    <mergeCell ref="D4988:D4990"/>
    <mergeCell ref="E4988:E4990"/>
    <mergeCell ref="F4988:F4990"/>
    <mergeCell ref="G4988:G4990"/>
    <mergeCell ref="H4988:H4990"/>
    <mergeCell ref="I4988:I4990"/>
    <mergeCell ref="J4988:J4990"/>
    <mergeCell ref="K4988:K4990"/>
    <mergeCell ref="L4988:L4990"/>
    <mergeCell ref="D4991:D4993"/>
    <mergeCell ref="E4991:E4993"/>
    <mergeCell ref="F4991:F4993"/>
    <mergeCell ref="G4991:G4993"/>
    <mergeCell ref="H4991:H4993"/>
    <mergeCell ref="I4991:I4993"/>
    <mergeCell ref="J4991:J4993"/>
    <mergeCell ref="K4991:K4993"/>
    <mergeCell ref="L4991:L4993"/>
    <mergeCell ref="D4994:F4994"/>
    <mergeCell ref="G4994:L4994"/>
    <mergeCell ref="A4996:A4998"/>
    <mergeCell ref="B4996:C5005"/>
    <mergeCell ref="D4996:D4998"/>
    <mergeCell ref="E4996:E4998"/>
    <mergeCell ref="F4996:F4998"/>
    <mergeCell ref="G4996:G4998"/>
    <mergeCell ref="H4996:H4998"/>
    <mergeCell ref="I4996:I4998"/>
    <mergeCell ref="J4996:J4998"/>
    <mergeCell ref="K4996:K4998"/>
    <mergeCell ref="L4996:L4998"/>
    <mergeCell ref="D4999:D5001"/>
    <mergeCell ref="E4999:E5001"/>
    <mergeCell ref="F4999:F5001"/>
    <mergeCell ref="G4999:G5001"/>
    <mergeCell ref="H4999:H5001"/>
    <mergeCell ref="I4999:I5001"/>
    <mergeCell ref="J4999:J5001"/>
    <mergeCell ref="K4999:K5001"/>
    <mergeCell ref="L4999:L5001"/>
    <mergeCell ref="D5002:D5004"/>
    <mergeCell ref="E5002:E5004"/>
    <mergeCell ref="F5002:F5004"/>
    <mergeCell ref="G5002:G5004"/>
    <mergeCell ref="H5002:H5004"/>
    <mergeCell ref="I5002:I5004"/>
    <mergeCell ref="J5002:J5004"/>
    <mergeCell ref="K5002:K5004"/>
    <mergeCell ref="L5002:L5004"/>
    <mergeCell ref="D5005:F5005"/>
    <mergeCell ref="G5005:L5005"/>
    <mergeCell ref="A4963:A4965"/>
    <mergeCell ref="B4963:C4972"/>
    <mergeCell ref="D4963:D4965"/>
    <mergeCell ref="E4963:E4965"/>
    <mergeCell ref="F4963:F4965"/>
    <mergeCell ref="G4963:G4965"/>
    <mergeCell ref="H4963:H4965"/>
    <mergeCell ref="I4963:I4965"/>
    <mergeCell ref="J4963:J4965"/>
    <mergeCell ref="K4963:K4965"/>
    <mergeCell ref="L4963:L4965"/>
    <mergeCell ref="D4966:D4968"/>
    <mergeCell ref="E4966:E4968"/>
    <mergeCell ref="F4966:F4968"/>
    <mergeCell ref="G4966:G4968"/>
    <mergeCell ref="H4966:H4968"/>
    <mergeCell ref="I4966:I4968"/>
    <mergeCell ref="J4966:J4968"/>
    <mergeCell ref="K4966:K4968"/>
    <mergeCell ref="L4966:L4968"/>
    <mergeCell ref="D4969:D4971"/>
    <mergeCell ref="E4969:E4971"/>
    <mergeCell ref="F4969:F4971"/>
    <mergeCell ref="G4969:G4971"/>
    <mergeCell ref="H4969:H4971"/>
    <mergeCell ref="I4969:I4971"/>
    <mergeCell ref="J4969:J4971"/>
    <mergeCell ref="K4969:K4971"/>
    <mergeCell ref="L4969:L4971"/>
    <mergeCell ref="D4972:F4972"/>
    <mergeCell ref="G4972:L4972"/>
    <mergeCell ref="A4974:A4976"/>
    <mergeCell ref="B4974:C4983"/>
    <mergeCell ref="D4974:D4976"/>
    <mergeCell ref="E4974:E4976"/>
    <mergeCell ref="F4974:F4976"/>
    <mergeCell ref="G4974:G4976"/>
    <mergeCell ref="H4974:H4976"/>
    <mergeCell ref="I4974:I4976"/>
    <mergeCell ref="J4974:J4976"/>
    <mergeCell ref="K4974:K4976"/>
    <mergeCell ref="L4974:L4976"/>
    <mergeCell ref="D4977:D4979"/>
    <mergeCell ref="E4977:E4979"/>
    <mergeCell ref="F4977:F4979"/>
    <mergeCell ref="G4977:G4979"/>
    <mergeCell ref="H4977:H4979"/>
    <mergeCell ref="I4977:I4979"/>
    <mergeCell ref="J4977:J4979"/>
    <mergeCell ref="K4977:K4979"/>
    <mergeCell ref="L4977:L4979"/>
    <mergeCell ref="D4980:D4982"/>
    <mergeCell ref="E4980:E4982"/>
    <mergeCell ref="F4980:F4982"/>
    <mergeCell ref="G4980:G4982"/>
    <mergeCell ref="H4980:H4982"/>
    <mergeCell ref="I4980:I4982"/>
    <mergeCell ref="J4980:J4982"/>
    <mergeCell ref="K4980:K4982"/>
    <mergeCell ref="L4980:L4982"/>
    <mergeCell ref="D4983:F4983"/>
    <mergeCell ref="G4983:L4983"/>
    <mergeCell ref="A4941:A4943"/>
    <mergeCell ref="B4941:C4950"/>
    <mergeCell ref="D4941:D4943"/>
    <mergeCell ref="E4941:E4943"/>
    <mergeCell ref="F4941:F4943"/>
    <mergeCell ref="G4941:G4943"/>
    <mergeCell ref="H4941:H4943"/>
    <mergeCell ref="I4941:I4943"/>
    <mergeCell ref="J4941:J4943"/>
    <mergeCell ref="K4941:K4943"/>
    <mergeCell ref="L4941:L4943"/>
    <mergeCell ref="D4944:D4946"/>
    <mergeCell ref="E4944:E4946"/>
    <mergeCell ref="F4944:F4946"/>
    <mergeCell ref="G4944:G4946"/>
    <mergeCell ref="H4944:H4946"/>
    <mergeCell ref="I4944:I4946"/>
    <mergeCell ref="J4944:J4946"/>
    <mergeCell ref="K4944:K4946"/>
    <mergeCell ref="L4944:L4946"/>
    <mergeCell ref="D4947:D4949"/>
    <mergeCell ref="E4947:E4949"/>
    <mergeCell ref="F4947:F4949"/>
    <mergeCell ref="G4947:G4949"/>
    <mergeCell ref="H4947:H4949"/>
    <mergeCell ref="I4947:I4949"/>
    <mergeCell ref="J4947:J4949"/>
    <mergeCell ref="K4947:K4949"/>
    <mergeCell ref="L4947:L4949"/>
    <mergeCell ref="D4950:F4950"/>
    <mergeCell ref="G4950:L4950"/>
    <mergeCell ref="A4952:A4954"/>
    <mergeCell ref="B4952:C4961"/>
    <mergeCell ref="D4952:D4954"/>
    <mergeCell ref="E4952:E4954"/>
    <mergeCell ref="F4952:F4954"/>
    <mergeCell ref="G4952:G4954"/>
    <mergeCell ref="H4952:H4954"/>
    <mergeCell ref="I4952:I4954"/>
    <mergeCell ref="J4952:J4954"/>
    <mergeCell ref="K4952:K4954"/>
    <mergeCell ref="L4952:L4954"/>
    <mergeCell ref="D4955:D4957"/>
    <mergeCell ref="E4955:E4957"/>
    <mergeCell ref="F4955:F4957"/>
    <mergeCell ref="G4955:G4957"/>
    <mergeCell ref="H4955:H4957"/>
    <mergeCell ref="I4955:I4957"/>
    <mergeCell ref="J4955:J4957"/>
    <mergeCell ref="K4955:K4957"/>
    <mergeCell ref="L4955:L4957"/>
    <mergeCell ref="D4958:D4960"/>
    <mergeCell ref="E4958:E4960"/>
    <mergeCell ref="F4958:F4960"/>
    <mergeCell ref="G4958:G4960"/>
    <mergeCell ref="H4958:H4960"/>
    <mergeCell ref="I4958:I4960"/>
    <mergeCell ref="J4958:J4960"/>
    <mergeCell ref="K4958:K4960"/>
    <mergeCell ref="L4958:L4960"/>
    <mergeCell ref="D4961:F4961"/>
    <mergeCell ref="G4961:L4961"/>
    <mergeCell ref="A4919:A4921"/>
    <mergeCell ref="B4919:C4928"/>
    <mergeCell ref="D4919:D4921"/>
    <mergeCell ref="E4919:E4921"/>
    <mergeCell ref="F4919:F4921"/>
    <mergeCell ref="G4919:G4921"/>
    <mergeCell ref="H4919:H4921"/>
    <mergeCell ref="I4919:I4921"/>
    <mergeCell ref="J4919:J4921"/>
    <mergeCell ref="K4919:K4921"/>
    <mergeCell ref="L4919:L4921"/>
    <mergeCell ref="D4922:D4924"/>
    <mergeCell ref="E4922:E4924"/>
    <mergeCell ref="F4922:F4924"/>
    <mergeCell ref="G4922:G4924"/>
    <mergeCell ref="H4922:H4924"/>
    <mergeCell ref="I4922:I4924"/>
    <mergeCell ref="J4922:J4924"/>
    <mergeCell ref="K4922:K4924"/>
    <mergeCell ref="L4922:L4924"/>
    <mergeCell ref="D4925:D4927"/>
    <mergeCell ref="E4925:E4927"/>
    <mergeCell ref="F4925:F4927"/>
    <mergeCell ref="G4925:G4927"/>
    <mergeCell ref="H4925:H4927"/>
    <mergeCell ref="I4925:I4927"/>
    <mergeCell ref="J4925:J4927"/>
    <mergeCell ref="K4925:K4927"/>
    <mergeCell ref="L4925:L4927"/>
    <mergeCell ref="D4928:F4928"/>
    <mergeCell ref="G4928:L4928"/>
    <mergeCell ref="A4930:A4932"/>
    <mergeCell ref="B4930:C4939"/>
    <mergeCell ref="D4930:D4932"/>
    <mergeCell ref="E4930:E4932"/>
    <mergeCell ref="F4930:F4932"/>
    <mergeCell ref="G4930:G4932"/>
    <mergeCell ref="H4930:H4932"/>
    <mergeCell ref="I4930:I4932"/>
    <mergeCell ref="J4930:J4932"/>
    <mergeCell ref="K4930:K4932"/>
    <mergeCell ref="L4930:L4932"/>
    <mergeCell ref="D4933:D4935"/>
    <mergeCell ref="E4933:E4935"/>
    <mergeCell ref="F4933:F4935"/>
    <mergeCell ref="G4933:G4935"/>
    <mergeCell ref="H4933:H4935"/>
    <mergeCell ref="I4933:I4935"/>
    <mergeCell ref="J4933:J4935"/>
    <mergeCell ref="K4933:K4935"/>
    <mergeCell ref="L4933:L4935"/>
    <mergeCell ref="D4936:D4938"/>
    <mergeCell ref="E4936:E4938"/>
    <mergeCell ref="F4936:F4938"/>
    <mergeCell ref="G4936:G4938"/>
    <mergeCell ref="H4936:H4938"/>
    <mergeCell ref="I4936:I4938"/>
    <mergeCell ref="J4936:J4938"/>
    <mergeCell ref="K4936:K4938"/>
    <mergeCell ref="L4936:L4938"/>
    <mergeCell ref="D4939:F4939"/>
    <mergeCell ref="G4939:L4939"/>
    <mergeCell ref="A4897:A4899"/>
    <mergeCell ref="B4897:C4906"/>
    <mergeCell ref="D4897:D4899"/>
    <mergeCell ref="E4897:E4899"/>
    <mergeCell ref="F4897:F4899"/>
    <mergeCell ref="G4897:G4899"/>
    <mergeCell ref="H4897:H4899"/>
    <mergeCell ref="I4897:I4899"/>
    <mergeCell ref="J4897:J4899"/>
    <mergeCell ref="K4897:K4899"/>
    <mergeCell ref="L4897:L4899"/>
    <mergeCell ref="D4900:D4902"/>
    <mergeCell ref="E4900:E4902"/>
    <mergeCell ref="F4900:F4902"/>
    <mergeCell ref="G4900:G4902"/>
    <mergeCell ref="H4900:H4902"/>
    <mergeCell ref="I4900:I4902"/>
    <mergeCell ref="J4900:J4902"/>
    <mergeCell ref="K4900:K4902"/>
    <mergeCell ref="L4900:L4902"/>
    <mergeCell ref="D4903:D4905"/>
    <mergeCell ref="E4903:E4905"/>
    <mergeCell ref="F4903:F4905"/>
    <mergeCell ref="G4903:G4905"/>
    <mergeCell ref="H4903:H4905"/>
    <mergeCell ref="I4903:I4905"/>
    <mergeCell ref="J4903:J4905"/>
    <mergeCell ref="K4903:K4905"/>
    <mergeCell ref="L4903:L4905"/>
    <mergeCell ref="D4906:F4906"/>
    <mergeCell ref="G4906:L4906"/>
    <mergeCell ref="A4908:A4910"/>
    <mergeCell ref="B4908:C4917"/>
    <mergeCell ref="D4908:D4910"/>
    <mergeCell ref="E4908:E4910"/>
    <mergeCell ref="F4908:F4910"/>
    <mergeCell ref="G4908:G4910"/>
    <mergeCell ref="H4908:H4910"/>
    <mergeCell ref="I4908:I4910"/>
    <mergeCell ref="J4908:J4910"/>
    <mergeCell ref="K4908:K4910"/>
    <mergeCell ref="L4908:L4910"/>
    <mergeCell ref="D4911:D4913"/>
    <mergeCell ref="E4911:E4913"/>
    <mergeCell ref="F4911:F4913"/>
    <mergeCell ref="G4911:G4913"/>
    <mergeCell ref="H4911:H4913"/>
    <mergeCell ref="I4911:I4913"/>
    <mergeCell ref="J4911:J4913"/>
    <mergeCell ref="K4911:K4913"/>
    <mergeCell ref="L4911:L4913"/>
    <mergeCell ref="D4914:D4916"/>
    <mergeCell ref="E4914:E4916"/>
    <mergeCell ref="F4914:F4916"/>
    <mergeCell ref="G4914:G4916"/>
    <mergeCell ref="H4914:H4916"/>
    <mergeCell ref="I4914:I4916"/>
    <mergeCell ref="J4914:J4916"/>
    <mergeCell ref="K4914:K4916"/>
    <mergeCell ref="L4914:L4916"/>
    <mergeCell ref="D4917:F4917"/>
    <mergeCell ref="G4917:L4917"/>
    <mergeCell ref="A4875:A4877"/>
    <mergeCell ref="B4875:C4884"/>
    <mergeCell ref="D4875:D4877"/>
    <mergeCell ref="E4875:E4877"/>
    <mergeCell ref="F4875:F4877"/>
    <mergeCell ref="G4875:G4877"/>
    <mergeCell ref="H4875:H4877"/>
    <mergeCell ref="I4875:I4877"/>
    <mergeCell ref="J4875:J4877"/>
    <mergeCell ref="K4875:K4877"/>
    <mergeCell ref="L4875:L4877"/>
    <mergeCell ref="D4878:D4880"/>
    <mergeCell ref="E4878:E4880"/>
    <mergeCell ref="F4878:F4880"/>
    <mergeCell ref="G4878:G4880"/>
    <mergeCell ref="H4878:H4880"/>
    <mergeCell ref="I4878:I4880"/>
    <mergeCell ref="J4878:J4880"/>
    <mergeCell ref="K4878:K4880"/>
    <mergeCell ref="L4878:L4880"/>
    <mergeCell ref="D4881:D4883"/>
    <mergeCell ref="E4881:E4883"/>
    <mergeCell ref="F4881:F4883"/>
    <mergeCell ref="G4881:G4883"/>
    <mergeCell ref="H4881:H4883"/>
    <mergeCell ref="I4881:I4883"/>
    <mergeCell ref="J4881:J4883"/>
    <mergeCell ref="K4881:K4883"/>
    <mergeCell ref="L4881:L4883"/>
    <mergeCell ref="D4884:F4884"/>
    <mergeCell ref="G4884:L4884"/>
    <mergeCell ref="A4886:A4888"/>
    <mergeCell ref="B4886:C4895"/>
    <mergeCell ref="D4886:D4888"/>
    <mergeCell ref="E4886:E4888"/>
    <mergeCell ref="F4886:F4888"/>
    <mergeCell ref="G4886:G4888"/>
    <mergeCell ref="H4886:H4888"/>
    <mergeCell ref="I4886:I4888"/>
    <mergeCell ref="J4886:J4888"/>
    <mergeCell ref="K4886:K4888"/>
    <mergeCell ref="L4886:L4888"/>
    <mergeCell ref="D4889:D4891"/>
    <mergeCell ref="E4889:E4891"/>
    <mergeCell ref="F4889:F4891"/>
    <mergeCell ref="G4889:G4891"/>
    <mergeCell ref="H4889:H4891"/>
    <mergeCell ref="I4889:I4891"/>
    <mergeCell ref="J4889:J4891"/>
    <mergeCell ref="K4889:K4891"/>
    <mergeCell ref="L4889:L4891"/>
    <mergeCell ref="D4892:D4894"/>
    <mergeCell ref="E4892:E4894"/>
    <mergeCell ref="F4892:F4894"/>
    <mergeCell ref="G4892:G4894"/>
    <mergeCell ref="H4892:H4894"/>
    <mergeCell ref="I4892:I4894"/>
    <mergeCell ref="J4892:J4894"/>
    <mergeCell ref="K4892:K4894"/>
    <mergeCell ref="L4892:L4894"/>
    <mergeCell ref="D4895:F4895"/>
    <mergeCell ref="G4895:L4895"/>
    <mergeCell ref="A4853:A4855"/>
    <mergeCell ref="B4853:C4862"/>
    <mergeCell ref="D4853:D4855"/>
    <mergeCell ref="E4853:E4855"/>
    <mergeCell ref="F4853:F4855"/>
    <mergeCell ref="G4853:G4855"/>
    <mergeCell ref="H4853:H4855"/>
    <mergeCell ref="I4853:I4855"/>
    <mergeCell ref="J4853:J4855"/>
    <mergeCell ref="K4853:K4855"/>
    <mergeCell ref="L4853:L4855"/>
    <mergeCell ref="D4856:D4858"/>
    <mergeCell ref="E4856:E4858"/>
    <mergeCell ref="F4856:F4858"/>
    <mergeCell ref="G4856:G4858"/>
    <mergeCell ref="H4856:H4858"/>
    <mergeCell ref="I4856:I4858"/>
    <mergeCell ref="J4856:J4858"/>
    <mergeCell ref="K4856:K4858"/>
    <mergeCell ref="L4856:L4858"/>
    <mergeCell ref="D4859:D4861"/>
    <mergeCell ref="E4859:E4861"/>
    <mergeCell ref="F4859:F4861"/>
    <mergeCell ref="G4859:G4861"/>
    <mergeCell ref="H4859:H4861"/>
    <mergeCell ref="I4859:I4861"/>
    <mergeCell ref="J4859:J4861"/>
    <mergeCell ref="K4859:K4861"/>
    <mergeCell ref="L4859:L4861"/>
    <mergeCell ref="D4862:F4862"/>
    <mergeCell ref="G4862:L4862"/>
    <mergeCell ref="A4864:A4866"/>
    <mergeCell ref="B4864:C4873"/>
    <mergeCell ref="D4864:D4866"/>
    <mergeCell ref="E4864:E4866"/>
    <mergeCell ref="F4864:F4866"/>
    <mergeCell ref="G4864:G4866"/>
    <mergeCell ref="H4864:H4866"/>
    <mergeCell ref="I4864:I4866"/>
    <mergeCell ref="J4864:J4866"/>
    <mergeCell ref="K4864:K4866"/>
    <mergeCell ref="L4864:L4866"/>
    <mergeCell ref="D4867:D4869"/>
    <mergeCell ref="E4867:E4869"/>
    <mergeCell ref="F4867:F4869"/>
    <mergeCell ref="G4867:G4869"/>
    <mergeCell ref="H4867:H4869"/>
    <mergeCell ref="I4867:I4869"/>
    <mergeCell ref="J4867:J4869"/>
    <mergeCell ref="K4867:K4869"/>
    <mergeCell ref="L4867:L4869"/>
    <mergeCell ref="D4870:D4872"/>
    <mergeCell ref="E4870:E4872"/>
    <mergeCell ref="F4870:F4872"/>
    <mergeCell ref="G4870:G4872"/>
    <mergeCell ref="H4870:H4872"/>
    <mergeCell ref="I4870:I4872"/>
    <mergeCell ref="J4870:J4872"/>
    <mergeCell ref="K4870:K4872"/>
    <mergeCell ref="L4870:L4872"/>
    <mergeCell ref="D4873:F4873"/>
    <mergeCell ref="G4873:L4873"/>
    <mergeCell ref="A4831:A4833"/>
    <mergeCell ref="B4831:C4840"/>
    <mergeCell ref="D4831:D4833"/>
    <mergeCell ref="E4831:E4833"/>
    <mergeCell ref="F4831:F4833"/>
    <mergeCell ref="G4831:G4833"/>
    <mergeCell ref="H4831:H4833"/>
    <mergeCell ref="I4831:I4833"/>
    <mergeCell ref="J4831:J4833"/>
    <mergeCell ref="K4831:K4833"/>
    <mergeCell ref="L4831:L4833"/>
    <mergeCell ref="D4834:D4836"/>
    <mergeCell ref="E4834:E4836"/>
    <mergeCell ref="F4834:F4836"/>
    <mergeCell ref="G4834:G4836"/>
    <mergeCell ref="H4834:H4836"/>
    <mergeCell ref="I4834:I4836"/>
    <mergeCell ref="J4834:J4836"/>
    <mergeCell ref="K4834:K4836"/>
    <mergeCell ref="L4834:L4836"/>
    <mergeCell ref="D4837:D4839"/>
    <mergeCell ref="E4837:E4839"/>
    <mergeCell ref="F4837:F4839"/>
    <mergeCell ref="G4837:G4839"/>
    <mergeCell ref="H4837:H4839"/>
    <mergeCell ref="I4837:I4839"/>
    <mergeCell ref="J4837:J4839"/>
    <mergeCell ref="K4837:K4839"/>
    <mergeCell ref="L4837:L4839"/>
    <mergeCell ref="D4840:F4840"/>
    <mergeCell ref="G4840:L4840"/>
    <mergeCell ref="A4842:A4844"/>
    <mergeCell ref="B4842:C4851"/>
    <mergeCell ref="D4842:D4844"/>
    <mergeCell ref="E4842:E4844"/>
    <mergeCell ref="F4842:F4844"/>
    <mergeCell ref="G4842:G4844"/>
    <mergeCell ref="H4842:H4844"/>
    <mergeCell ref="I4842:I4844"/>
    <mergeCell ref="J4842:J4844"/>
    <mergeCell ref="K4842:K4844"/>
    <mergeCell ref="L4842:L4844"/>
    <mergeCell ref="D4845:D4847"/>
    <mergeCell ref="E4845:E4847"/>
    <mergeCell ref="F4845:F4847"/>
    <mergeCell ref="G4845:G4847"/>
    <mergeCell ref="H4845:H4847"/>
    <mergeCell ref="I4845:I4847"/>
    <mergeCell ref="J4845:J4847"/>
    <mergeCell ref="K4845:K4847"/>
    <mergeCell ref="L4845:L4847"/>
    <mergeCell ref="D4848:D4850"/>
    <mergeCell ref="E4848:E4850"/>
    <mergeCell ref="F4848:F4850"/>
    <mergeCell ref="G4848:G4850"/>
    <mergeCell ref="H4848:H4850"/>
    <mergeCell ref="I4848:I4850"/>
    <mergeCell ref="J4848:J4850"/>
    <mergeCell ref="K4848:K4850"/>
    <mergeCell ref="L4848:L4850"/>
    <mergeCell ref="D4851:F4851"/>
    <mergeCell ref="G4851:L4851"/>
    <mergeCell ref="A4809:A4811"/>
    <mergeCell ref="B4809:C4818"/>
    <mergeCell ref="D4809:D4811"/>
    <mergeCell ref="E4809:E4811"/>
    <mergeCell ref="F4809:F4811"/>
    <mergeCell ref="G4809:G4811"/>
    <mergeCell ref="H4809:H4811"/>
    <mergeCell ref="I4809:I4811"/>
    <mergeCell ref="J4809:J4811"/>
    <mergeCell ref="K4809:K4811"/>
    <mergeCell ref="L4809:L4811"/>
    <mergeCell ref="D4812:D4814"/>
    <mergeCell ref="E4812:E4814"/>
    <mergeCell ref="F4812:F4814"/>
    <mergeCell ref="G4812:G4814"/>
    <mergeCell ref="H4812:H4814"/>
    <mergeCell ref="I4812:I4814"/>
    <mergeCell ref="J4812:J4814"/>
    <mergeCell ref="K4812:K4814"/>
    <mergeCell ref="L4812:L4814"/>
    <mergeCell ref="D4815:D4817"/>
    <mergeCell ref="E4815:E4817"/>
    <mergeCell ref="F4815:F4817"/>
    <mergeCell ref="G4815:G4817"/>
    <mergeCell ref="H4815:H4817"/>
    <mergeCell ref="I4815:I4817"/>
    <mergeCell ref="J4815:J4817"/>
    <mergeCell ref="K4815:K4817"/>
    <mergeCell ref="L4815:L4817"/>
    <mergeCell ref="D4818:F4818"/>
    <mergeCell ref="G4818:L4818"/>
    <mergeCell ref="A4820:A4822"/>
    <mergeCell ref="B4820:C4829"/>
    <mergeCell ref="D4820:D4822"/>
    <mergeCell ref="E4820:E4822"/>
    <mergeCell ref="F4820:F4822"/>
    <mergeCell ref="G4820:G4822"/>
    <mergeCell ref="H4820:H4822"/>
    <mergeCell ref="I4820:I4822"/>
    <mergeCell ref="J4820:J4822"/>
    <mergeCell ref="K4820:K4822"/>
    <mergeCell ref="L4820:L4822"/>
    <mergeCell ref="D4823:D4825"/>
    <mergeCell ref="E4823:E4825"/>
    <mergeCell ref="F4823:F4825"/>
    <mergeCell ref="G4823:G4825"/>
    <mergeCell ref="H4823:H4825"/>
    <mergeCell ref="I4823:I4825"/>
    <mergeCell ref="J4823:J4825"/>
    <mergeCell ref="K4823:K4825"/>
    <mergeCell ref="L4823:L4825"/>
    <mergeCell ref="D4826:D4828"/>
    <mergeCell ref="E4826:E4828"/>
    <mergeCell ref="F4826:F4828"/>
    <mergeCell ref="G4826:G4828"/>
    <mergeCell ref="H4826:H4828"/>
    <mergeCell ref="I4826:I4828"/>
    <mergeCell ref="J4826:J4828"/>
    <mergeCell ref="K4826:K4828"/>
    <mergeCell ref="L4826:L4828"/>
    <mergeCell ref="D4829:F4829"/>
    <mergeCell ref="G4829:L4829"/>
    <mergeCell ref="A4787:A4789"/>
    <mergeCell ref="B4787:C4796"/>
    <mergeCell ref="D4787:D4789"/>
    <mergeCell ref="E4787:E4789"/>
    <mergeCell ref="F4787:F4789"/>
    <mergeCell ref="G4787:G4789"/>
    <mergeCell ref="H4787:H4789"/>
    <mergeCell ref="I4787:I4789"/>
    <mergeCell ref="J4787:J4789"/>
    <mergeCell ref="K4787:K4789"/>
    <mergeCell ref="L4787:L4789"/>
    <mergeCell ref="D4790:D4792"/>
    <mergeCell ref="E4790:E4792"/>
    <mergeCell ref="F4790:F4792"/>
    <mergeCell ref="G4790:G4792"/>
    <mergeCell ref="H4790:H4792"/>
    <mergeCell ref="I4790:I4792"/>
    <mergeCell ref="J4790:J4792"/>
    <mergeCell ref="K4790:K4792"/>
    <mergeCell ref="L4790:L4792"/>
    <mergeCell ref="D4793:D4795"/>
    <mergeCell ref="E4793:E4795"/>
    <mergeCell ref="F4793:F4795"/>
    <mergeCell ref="G4793:G4795"/>
    <mergeCell ref="H4793:H4795"/>
    <mergeCell ref="I4793:I4795"/>
    <mergeCell ref="J4793:J4795"/>
    <mergeCell ref="K4793:K4795"/>
    <mergeCell ref="L4793:L4795"/>
    <mergeCell ref="D4796:F4796"/>
    <mergeCell ref="G4796:L4796"/>
    <mergeCell ref="A4798:A4800"/>
    <mergeCell ref="B4798:C4807"/>
    <mergeCell ref="D4798:D4800"/>
    <mergeCell ref="E4798:E4800"/>
    <mergeCell ref="F4798:F4800"/>
    <mergeCell ref="G4798:G4800"/>
    <mergeCell ref="H4798:H4800"/>
    <mergeCell ref="I4798:I4800"/>
    <mergeCell ref="J4798:J4800"/>
    <mergeCell ref="K4798:K4800"/>
    <mergeCell ref="L4798:L4800"/>
    <mergeCell ref="D4801:D4803"/>
    <mergeCell ref="E4801:E4803"/>
    <mergeCell ref="F4801:F4803"/>
    <mergeCell ref="G4801:G4803"/>
    <mergeCell ref="H4801:H4803"/>
    <mergeCell ref="I4801:I4803"/>
    <mergeCell ref="J4801:J4803"/>
    <mergeCell ref="K4801:K4803"/>
    <mergeCell ref="L4801:L4803"/>
    <mergeCell ref="D4804:D4806"/>
    <mergeCell ref="E4804:E4806"/>
    <mergeCell ref="F4804:F4806"/>
    <mergeCell ref="G4804:G4806"/>
    <mergeCell ref="H4804:H4806"/>
    <mergeCell ref="I4804:I4806"/>
    <mergeCell ref="J4804:J4806"/>
    <mergeCell ref="K4804:K4806"/>
    <mergeCell ref="L4804:L4806"/>
    <mergeCell ref="D4807:F4807"/>
    <mergeCell ref="G4807:L4807"/>
    <mergeCell ref="A4765:A4767"/>
    <mergeCell ref="B4765:C4774"/>
    <mergeCell ref="D4765:D4767"/>
    <mergeCell ref="E4765:E4767"/>
    <mergeCell ref="F4765:F4767"/>
    <mergeCell ref="G4765:G4767"/>
    <mergeCell ref="H4765:H4767"/>
    <mergeCell ref="I4765:I4767"/>
    <mergeCell ref="J4765:J4767"/>
    <mergeCell ref="K4765:K4767"/>
    <mergeCell ref="L4765:L4767"/>
    <mergeCell ref="D4768:D4770"/>
    <mergeCell ref="E4768:E4770"/>
    <mergeCell ref="F4768:F4770"/>
    <mergeCell ref="G4768:G4770"/>
    <mergeCell ref="H4768:H4770"/>
    <mergeCell ref="I4768:I4770"/>
    <mergeCell ref="J4768:J4770"/>
    <mergeCell ref="K4768:K4770"/>
    <mergeCell ref="L4768:L4770"/>
    <mergeCell ref="D4771:D4773"/>
    <mergeCell ref="E4771:E4773"/>
    <mergeCell ref="F4771:F4773"/>
    <mergeCell ref="G4771:G4773"/>
    <mergeCell ref="H4771:H4773"/>
    <mergeCell ref="I4771:I4773"/>
    <mergeCell ref="J4771:J4773"/>
    <mergeCell ref="K4771:K4773"/>
    <mergeCell ref="L4771:L4773"/>
    <mergeCell ref="D4774:F4774"/>
    <mergeCell ref="G4774:L4774"/>
    <mergeCell ref="A4776:A4778"/>
    <mergeCell ref="B4776:C4785"/>
    <mergeCell ref="D4776:D4778"/>
    <mergeCell ref="E4776:E4778"/>
    <mergeCell ref="F4776:F4778"/>
    <mergeCell ref="G4776:G4778"/>
    <mergeCell ref="H4776:H4778"/>
    <mergeCell ref="I4776:I4778"/>
    <mergeCell ref="J4776:J4778"/>
    <mergeCell ref="K4776:K4778"/>
    <mergeCell ref="L4776:L4778"/>
    <mergeCell ref="D4779:D4781"/>
    <mergeCell ref="E4779:E4781"/>
    <mergeCell ref="F4779:F4781"/>
    <mergeCell ref="G4779:G4781"/>
    <mergeCell ref="H4779:H4781"/>
    <mergeCell ref="I4779:I4781"/>
    <mergeCell ref="J4779:J4781"/>
    <mergeCell ref="K4779:K4781"/>
    <mergeCell ref="L4779:L4781"/>
    <mergeCell ref="D4782:D4784"/>
    <mergeCell ref="E4782:E4784"/>
    <mergeCell ref="F4782:F4784"/>
    <mergeCell ref="G4782:G4784"/>
    <mergeCell ref="H4782:H4784"/>
    <mergeCell ref="I4782:I4784"/>
    <mergeCell ref="J4782:J4784"/>
    <mergeCell ref="K4782:K4784"/>
    <mergeCell ref="L4782:L4784"/>
    <mergeCell ref="D4785:F4785"/>
    <mergeCell ref="G4785:L4785"/>
    <mergeCell ref="A4743:A4745"/>
    <mergeCell ref="B4743:C4752"/>
    <mergeCell ref="D4743:D4745"/>
    <mergeCell ref="E4743:E4745"/>
    <mergeCell ref="F4743:F4745"/>
    <mergeCell ref="G4743:G4745"/>
    <mergeCell ref="H4743:H4745"/>
    <mergeCell ref="I4743:I4745"/>
    <mergeCell ref="J4743:J4745"/>
    <mergeCell ref="K4743:K4745"/>
    <mergeCell ref="L4743:L4745"/>
    <mergeCell ref="D4746:D4748"/>
    <mergeCell ref="E4746:E4748"/>
    <mergeCell ref="F4746:F4748"/>
    <mergeCell ref="G4746:G4748"/>
    <mergeCell ref="H4746:H4748"/>
    <mergeCell ref="I4746:I4748"/>
    <mergeCell ref="J4746:J4748"/>
    <mergeCell ref="K4746:K4748"/>
    <mergeCell ref="L4746:L4748"/>
    <mergeCell ref="D4749:D4751"/>
    <mergeCell ref="E4749:E4751"/>
    <mergeCell ref="F4749:F4751"/>
    <mergeCell ref="G4749:G4751"/>
    <mergeCell ref="H4749:H4751"/>
    <mergeCell ref="I4749:I4751"/>
    <mergeCell ref="J4749:J4751"/>
    <mergeCell ref="K4749:K4751"/>
    <mergeCell ref="L4749:L4751"/>
    <mergeCell ref="D4752:F4752"/>
    <mergeCell ref="G4752:L4752"/>
    <mergeCell ref="A4754:A4756"/>
    <mergeCell ref="B4754:C4763"/>
    <mergeCell ref="D4754:D4756"/>
    <mergeCell ref="E4754:E4756"/>
    <mergeCell ref="F4754:F4756"/>
    <mergeCell ref="G4754:G4756"/>
    <mergeCell ref="H4754:H4756"/>
    <mergeCell ref="I4754:I4756"/>
    <mergeCell ref="J4754:J4756"/>
    <mergeCell ref="K4754:K4756"/>
    <mergeCell ref="L4754:L4756"/>
    <mergeCell ref="D4757:D4759"/>
    <mergeCell ref="E4757:E4759"/>
    <mergeCell ref="F4757:F4759"/>
    <mergeCell ref="G4757:G4759"/>
    <mergeCell ref="H4757:H4759"/>
    <mergeCell ref="I4757:I4759"/>
    <mergeCell ref="J4757:J4759"/>
    <mergeCell ref="K4757:K4759"/>
    <mergeCell ref="L4757:L4759"/>
    <mergeCell ref="D4760:D4762"/>
    <mergeCell ref="E4760:E4762"/>
    <mergeCell ref="F4760:F4762"/>
    <mergeCell ref="G4760:G4762"/>
    <mergeCell ref="H4760:H4762"/>
    <mergeCell ref="I4760:I4762"/>
    <mergeCell ref="J4760:J4762"/>
    <mergeCell ref="K4760:K4762"/>
    <mergeCell ref="L4760:L4762"/>
    <mergeCell ref="D4763:F4763"/>
    <mergeCell ref="G4763:L4763"/>
    <mergeCell ref="A4721:A4723"/>
    <mergeCell ref="B4721:C4730"/>
    <mergeCell ref="D4721:D4723"/>
    <mergeCell ref="E4721:E4723"/>
    <mergeCell ref="F4721:F4723"/>
    <mergeCell ref="G4721:G4723"/>
    <mergeCell ref="H4721:H4723"/>
    <mergeCell ref="I4721:I4723"/>
    <mergeCell ref="J4721:J4723"/>
    <mergeCell ref="K4721:K4723"/>
    <mergeCell ref="L4721:L4723"/>
    <mergeCell ref="D4724:D4726"/>
    <mergeCell ref="E4724:E4726"/>
    <mergeCell ref="F4724:F4726"/>
    <mergeCell ref="G4724:G4726"/>
    <mergeCell ref="H4724:H4726"/>
    <mergeCell ref="I4724:I4726"/>
    <mergeCell ref="J4724:J4726"/>
    <mergeCell ref="K4724:K4726"/>
    <mergeCell ref="L4724:L4726"/>
    <mergeCell ref="D4727:D4729"/>
    <mergeCell ref="E4727:E4729"/>
    <mergeCell ref="F4727:F4729"/>
    <mergeCell ref="G4727:G4729"/>
    <mergeCell ref="H4727:H4729"/>
    <mergeCell ref="I4727:I4729"/>
    <mergeCell ref="J4727:J4729"/>
    <mergeCell ref="K4727:K4729"/>
    <mergeCell ref="L4727:L4729"/>
    <mergeCell ref="D4730:F4730"/>
    <mergeCell ref="G4730:L4730"/>
    <mergeCell ref="A4732:A4734"/>
    <mergeCell ref="B4732:C4741"/>
    <mergeCell ref="D4732:D4734"/>
    <mergeCell ref="E4732:E4734"/>
    <mergeCell ref="F4732:F4734"/>
    <mergeCell ref="G4732:G4734"/>
    <mergeCell ref="H4732:H4734"/>
    <mergeCell ref="I4732:I4734"/>
    <mergeCell ref="J4732:J4734"/>
    <mergeCell ref="K4732:K4734"/>
    <mergeCell ref="L4732:L4734"/>
    <mergeCell ref="D4735:D4737"/>
    <mergeCell ref="E4735:E4737"/>
    <mergeCell ref="F4735:F4737"/>
    <mergeCell ref="G4735:G4737"/>
    <mergeCell ref="H4735:H4737"/>
    <mergeCell ref="I4735:I4737"/>
    <mergeCell ref="J4735:J4737"/>
    <mergeCell ref="K4735:K4737"/>
    <mergeCell ref="L4735:L4737"/>
    <mergeCell ref="D4738:D4740"/>
    <mergeCell ref="E4738:E4740"/>
    <mergeCell ref="F4738:F4740"/>
    <mergeCell ref="G4738:G4740"/>
    <mergeCell ref="H4738:H4740"/>
    <mergeCell ref="I4738:I4740"/>
    <mergeCell ref="J4738:J4740"/>
    <mergeCell ref="K4738:K4740"/>
    <mergeCell ref="L4738:L4740"/>
    <mergeCell ref="D4741:F4741"/>
    <mergeCell ref="G4741:L4741"/>
    <mergeCell ref="A4699:A4701"/>
    <mergeCell ref="B4699:C4708"/>
    <mergeCell ref="D4699:D4701"/>
    <mergeCell ref="E4699:E4701"/>
    <mergeCell ref="F4699:F4701"/>
    <mergeCell ref="G4699:G4701"/>
    <mergeCell ref="H4699:H4701"/>
    <mergeCell ref="I4699:I4701"/>
    <mergeCell ref="J4699:J4701"/>
    <mergeCell ref="K4699:K4701"/>
    <mergeCell ref="L4699:L4701"/>
    <mergeCell ref="D4702:D4704"/>
    <mergeCell ref="E4702:E4704"/>
    <mergeCell ref="F4702:F4704"/>
    <mergeCell ref="G4702:G4704"/>
    <mergeCell ref="H4702:H4704"/>
    <mergeCell ref="I4702:I4704"/>
    <mergeCell ref="J4702:J4704"/>
    <mergeCell ref="K4702:K4704"/>
    <mergeCell ref="L4702:L4704"/>
    <mergeCell ref="D4705:D4707"/>
    <mergeCell ref="E4705:E4707"/>
    <mergeCell ref="F4705:F4707"/>
    <mergeCell ref="G4705:G4707"/>
    <mergeCell ref="H4705:H4707"/>
    <mergeCell ref="I4705:I4707"/>
    <mergeCell ref="J4705:J4707"/>
    <mergeCell ref="K4705:K4707"/>
    <mergeCell ref="L4705:L4707"/>
    <mergeCell ref="D4708:F4708"/>
    <mergeCell ref="G4708:L4708"/>
    <mergeCell ref="A4710:A4712"/>
    <mergeCell ref="B4710:C4719"/>
    <mergeCell ref="D4710:D4712"/>
    <mergeCell ref="E4710:E4712"/>
    <mergeCell ref="F4710:F4712"/>
    <mergeCell ref="G4710:G4712"/>
    <mergeCell ref="H4710:H4712"/>
    <mergeCell ref="I4710:I4712"/>
    <mergeCell ref="J4710:J4712"/>
    <mergeCell ref="K4710:K4712"/>
    <mergeCell ref="L4710:L4712"/>
    <mergeCell ref="D4713:D4715"/>
    <mergeCell ref="E4713:E4715"/>
    <mergeCell ref="F4713:F4715"/>
    <mergeCell ref="G4713:G4715"/>
    <mergeCell ref="H4713:H4715"/>
    <mergeCell ref="I4713:I4715"/>
    <mergeCell ref="J4713:J4715"/>
    <mergeCell ref="K4713:K4715"/>
    <mergeCell ref="L4713:L4715"/>
    <mergeCell ref="D4716:D4718"/>
    <mergeCell ref="E4716:E4718"/>
    <mergeCell ref="F4716:F4718"/>
    <mergeCell ref="G4716:G4718"/>
    <mergeCell ref="H4716:H4718"/>
    <mergeCell ref="I4716:I4718"/>
    <mergeCell ref="J4716:J4718"/>
    <mergeCell ref="K4716:K4718"/>
    <mergeCell ref="L4716:L4718"/>
    <mergeCell ref="D4719:F4719"/>
    <mergeCell ref="G4719:L4719"/>
    <mergeCell ref="A4677:A4679"/>
    <mergeCell ref="B4677:C4686"/>
    <mergeCell ref="D4677:D4679"/>
    <mergeCell ref="E4677:E4679"/>
    <mergeCell ref="F4677:F4679"/>
    <mergeCell ref="G4677:G4679"/>
    <mergeCell ref="H4677:H4679"/>
    <mergeCell ref="I4677:I4679"/>
    <mergeCell ref="J4677:J4679"/>
    <mergeCell ref="K4677:K4679"/>
    <mergeCell ref="L4677:L4679"/>
    <mergeCell ref="D4680:D4682"/>
    <mergeCell ref="E4680:E4682"/>
    <mergeCell ref="F4680:F4682"/>
    <mergeCell ref="G4680:G4682"/>
    <mergeCell ref="H4680:H4682"/>
    <mergeCell ref="I4680:I4682"/>
    <mergeCell ref="J4680:J4682"/>
    <mergeCell ref="K4680:K4682"/>
    <mergeCell ref="L4680:L4682"/>
    <mergeCell ref="D4683:D4685"/>
    <mergeCell ref="E4683:E4685"/>
    <mergeCell ref="F4683:F4685"/>
    <mergeCell ref="G4683:G4685"/>
    <mergeCell ref="H4683:H4685"/>
    <mergeCell ref="I4683:I4685"/>
    <mergeCell ref="J4683:J4685"/>
    <mergeCell ref="K4683:K4685"/>
    <mergeCell ref="L4683:L4685"/>
    <mergeCell ref="D4686:F4686"/>
    <mergeCell ref="G4686:L4686"/>
    <mergeCell ref="A4688:A4690"/>
    <mergeCell ref="B4688:C4697"/>
    <mergeCell ref="D4688:D4690"/>
    <mergeCell ref="E4688:E4690"/>
    <mergeCell ref="F4688:F4690"/>
    <mergeCell ref="G4688:G4690"/>
    <mergeCell ref="H4688:H4690"/>
    <mergeCell ref="I4688:I4690"/>
    <mergeCell ref="J4688:J4690"/>
    <mergeCell ref="K4688:K4690"/>
    <mergeCell ref="L4688:L4690"/>
    <mergeCell ref="D4691:D4693"/>
    <mergeCell ref="E4691:E4693"/>
    <mergeCell ref="F4691:F4693"/>
    <mergeCell ref="G4691:G4693"/>
    <mergeCell ref="H4691:H4693"/>
    <mergeCell ref="I4691:I4693"/>
    <mergeCell ref="J4691:J4693"/>
    <mergeCell ref="K4691:K4693"/>
    <mergeCell ref="L4691:L4693"/>
    <mergeCell ref="D4694:D4696"/>
    <mergeCell ref="E4694:E4696"/>
    <mergeCell ref="F4694:F4696"/>
    <mergeCell ref="G4694:G4696"/>
    <mergeCell ref="H4694:H4696"/>
    <mergeCell ref="I4694:I4696"/>
    <mergeCell ref="J4694:J4696"/>
    <mergeCell ref="K4694:K4696"/>
    <mergeCell ref="L4694:L4696"/>
    <mergeCell ref="D4697:F4697"/>
    <mergeCell ref="G4697:L4697"/>
    <mergeCell ref="A4655:A4657"/>
    <mergeCell ref="B4655:C4664"/>
    <mergeCell ref="D4655:D4657"/>
    <mergeCell ref="E4655:E4657"/>
    <mergeCell ref="F4655:F4657"/>
    <mergeCell ref="G4655:G4657"/>
    <mergeCell ref="H4655:H4657"/>
    <mergeCell ref="I4655:I4657"/>
    <mergeCell ref="J4655:J4657"/>
    <mergeCell ref="K4655:K4657"/>
    <mergeCell ref="L4655:L4657"/>
    <mergeCell ref="D4658:D4660"/>
    <mergeCell ref="E4658:E4660"/>
    <mergeCell ref="F4658:F4660"/>
    <mergeCell ref="G4658:G4660"/>
    <mergeCell ref="H4658:H4660"/>
    <mergeCell ref="I4658:I4660"/>
    <mergeCell ref="J4658:J4660"/>
    <mergeCell ref="K4658:K4660"/>
    <mergeCell ref="L4658:L4660"/>
    <mergeCell ref="D4661:D4663"/>
    <mergeCell ref="E4661:E4663"/>
    <mergeCell ref="F4661:F4663"/>
    <mergeCell ref="G4661:G4663"/>
    <mergeCell ref="H4661:H4663"/>
    <mergeCell ref="I4661:I4663"/>
    <mergeCell ref="J4661:J4663"/>
    <mergeCell ref="K4661:K4663"/>
    <mergeCell ref="L4661:L4663"/>
    <mergeCell ref="D4664:F4664"/>
    <mergeCell ref="G4664:L4664"/>
    <mergeCell ref="A4666:A4668"/>
    <mergeCell ref="B4666:C4675"/>
    <mergeCell ref="D4666:D4668"/>
    <mergeCell ref="E4666:E4668"/>
    <mergeCell ref="F4666:F4668"/>
    <mergeCell ref="G4666:G4668"/>
    <mergeCell ref="H4666:H4668"/>
    <mergeCell ref="I4666:I4668"/>
    <mergeCell ref="J4666:J4668"/>
    <mergeCell ref="K4666:K4668"/>
    <mergeCell ref="L4666:L4668"/>
    <mergeCell ref="D4669:D4671"/>
    <mergeCell ref="E4669:E4671"/>
    <mergeCell ref="F4669:F4671"/>
    <mergeCell ref="G4669:G4671"/>
    <mergeCell ref="H4669:H4671"/>
    <mergeCell ref="I4669:I4671"/>
    <mergeCell ref="J4669:J4671"/>
    <mergeCell ref="K4669:K4671"/>
    <mergeCell ref="L4669:L4671"/>
    <mergeCell ref="D4672:D4674"/>
    <mergeCell ref="E4672:E4674"/>
    <mergeCell ref="F4672:F4674"/>
    <mergeCell ref="G4672:G4674"/>
    <mergeCell ref="H4672:H4674"/>
    <mergeCell ref="I4672:I4674"/>
    <mergeCell ref="J4672:J4674"/>
    <mergeCell ref="K4672:K4674"/>
    <mergeCell ref="L4672:L4674"/>
    <mergeCell ref="D4675:F4675"/>
    <mergeCell ref="G4675:L4675"/>
    <mergeCell ref="A4633:A4635"/>
    <mergeCell ref="B4633:C4642"/>
    <mergeCell ref="D4633:D4635"/>
    <mergeCell ref="E4633:E4635"/>
    <mergeCell ref="F4633:F4635"/>
    <mergeCell ref="G4633:G4635"/>
    <mergeCell ref="H4633:H4635"/>
    <mergeCell ref="I4633:I4635"/>
    <mergeCell ref="J4633:J4635"/>
    <mergeCell ref="K4633:K4635"/>
    <mergeCell ref="L4633:L4635"/>
    <mergeCell ref="D4636:D4638"/>
    <mergeCell ref="E4636:E4638"/>
    <mergeCell ref="F4636:F4638"/>
    <mergeCell ref="G4636:G4638"/>
    <mergeCell ref="H4636:H4638"/>
    <mergeCell ref="I4636:I4638"/>
    <mergeCell ref="J4636:J4638"/>
    <mergeCell ref="K4636:K4638"/>
    <mergeCell ref="L4636:L4638"/>
    <mergeCell ref="D4639:D4641"/>
    <mergeCell ref="E4639:E4641"/>
    <mergeCell ref="F4639:F4641"/>
    <mergeCell ref="G4639:G4641"/>
    <mergeCell ref="H4639:H4641"/>
    <mergeCell ref="I4639:I4641"/>
    <mergeCell ref="J4639:J4641"/>
    <mergeCell ref="K4639:K4641"/>
    <mergeCell ref="L4639:L4641"/>
    <mergeCell ref="D4642:F4642"/>
    <mergeCell ref="G4642:L4642"/>
    <mergeCell ref="A4644:A4646"/>
    <mergeCell ref="B4644:C4653"/>
    <mergeCell ref="D4644:D4646"/>
    <mergeCell ref="E4644:E4646"/>
    <mergeCell ref="F4644:F4646"/>
    <mergeCell ref="G4644:G4646"/>
    <mergeCell ref="H4644:H4646"/>
    <mergeCell ref="I4644:I4646"/>
    <mergeCell ref="J4644:J4646"/>
    <mergeCell ref="K4644:K4646"/>
    <mergeCell ref="L4644:L4646"/>
    <mergeCell ref="D4647:D4649"/>
    <mergeCell ref="E4647:E4649"/>
    <mergeCell ref="F4647:F4649"/>
    <mergeCell ref="G4647:G4649"/>
    <mergeCell ref="H4647:H4649"/>
    <mergeCell ref="I4647:I4649"/>
    <mergeCell ref="J4647:J4649"/>
    <mergeCell ref="K4647:K4649"/>
    <mergeCell ref="L4647:L4649"/>
    <mergeCell ref="D4650:D4652"/>
    <mergeCell ref="E4650:E4652"/>
    <mergeCell ref="F4650:F4652"/>
    <mergeCell ref="G4650:G4652"/>
    <mergeCell ref="H4650:H4652"/>
    <mergeCell ref="I4650:I4652"/>
    <mergeCell ref="J4650:J4652"/>
    <mergeCell ref="K4650:K4652"/>
    <mergeCell ref="L4650:L4652"/>
    <mergeCell ref="D4653:F4653"/>
    <mergeCell ref="G4653:L4653"/>
    <mergeCell ref="A4611:A4613"/>
    <mergeCell ref="B4611:C4620"/>
    <mergeCell ref="D4611:D4613"/>
    <mergeCell ref="E4611:E4613"/>
    <mergeCell ref="F4611:F4613"/>
    <mergeCell ref="G4611:G4613"/>
    <mergeCell ref="H4611:H4613"/>
    <mergeCell ref="I4611:I4613"/>
    <mergeCell ref="J4611:J4613"/>
    <mergeCell ref="K4611:K4613"/>
    <mergeCell ref="L4611:L4613"/>
    <mergeCell ref="D4614:D4616"/>
    <mergeCell ref="E4614:E4616"/>
    <mergeCell ref="F4614:F4616"/>
    <mergeCell ref="G4614:G4616"/>
    <mergeCell ref="H4614:H4616"/>
    <mergeCell ref="I4614:I4616"/>
    <mergeCell ref="J4614:J4616"/>
    <mergeCell ref="K4614:K4616"/>
    <mergeCell ref="L4614:L4616"/>
    <mergeCell ref="D4617:D4619"/>
    <mergeCell ref="E4617:E4619"/>
    <mergeCell ref="F4617:F4619"/>
    <mergeCell ref="G4617:G4619"/>
    <mergeCell ref="H4617:H4619"/>
    <mergeCell ref="I4617:I4619"/>
    <mergeCell ref="J4617:J4619"/>
    <mergeCell ref="K4617:K4619"/>
    <mergeCell ref="L4617:L4619"/>
    <mergeCell ref="D4620:F4620"/>
    <mergeCell ref="G4620:L4620"/>
    <mergeCell ref="A4622:A4624"/>
    <mergeCell ref="B4622:C4631"/>
    <mergeCell ref="D4622:D4624"/>
    <mergeCell ref="E4622:E4624"/>
    <mergeCell ref="F4622:F4624"/>
    <mergeCell ref="G4622:G4624"/>
    <mergeCell ref="H4622:H4624"/>
    <mergeCell ref="I4622:I4624"/>
    <mergeCell ref="J4622:J4624"/>
    <mergeCell ref="K4622:K4624"/>
    <mergeCell ref="L4622:L4624"/>
    <mergeCell ref="D4625:D4627"/>
    <mergeCell ref="E4625:E4627"/>
    <mergeCell ref="F4625:F4627"/>
    <mergeCell ref="G4625:G4627"/>
    <mergeCell ref="H4625:H4627"/>
    <mergeCell ref="I4625:I4627"/>
    <mergeCell ref="J4625:J4627"/>
    <mergeCell ref="K4625:K4627"/>
    <mergeCell ref="L4625:L4627"/>
    <mergeCell ref="D4628:D4630"/>
    <mergeCell ref="E4628:E4630"/>
    <mergeCell ref="F4628:F4630"/>
    <mergeCell ref="G4628:G4630"/>
    <mergeCell ref="H4628:H4630"/>
    <mergeCell ref="I4628:I4630"/>
    <mergeCell ref="J4628:J4630"/>
    <mergeCell ref="K4628:K4630"/>
    <mergeCell ref="L4628:L4630"/>
    <mergeCell ref="D4631:F4631"/>
    <mergeCell ref="G4631:L4631"/>
    <mergeCell ref="A4589:A4591"/>
    <mergeCell ref="B4589:C4598"/>
    <mergeCell ref="D4589:D4591"/>
    <mergeCell ref="E4589:E4591"/>
    <mergeCell ref="F4589:F4591"/>
    <mergeCell ref="G4589:G4591"/>
    <mergeCell ref="H4589:H4591"/>
    <mergeCell ref="I4589:I4591"/>
    <mergeCell ref="J4589:J4591"/>
    <mergeCell ref="K4589:K4591"/>
    <mergeCell ref="L4589:L4591"/>
    <mergeCell ref="D4592:D4594"/>
    <mergeCell ref="E4592:E4594"/>
    <mergeCell ref="F4592:F4594"/>
    <mergeCell ref="G4592:G4594"/>
    <mergeCell ref="H4592:H4594"/>
    <mergeCell ref="I4592:I4594"/>
    <mergeCell ref="J4592:J4594"/>
    <mergeCell ref="K4592:K4594"/>
    <mergeCell ref="L4592:L4594"/>
    <mergeCell ref="D4595:D4597"/>
    <mergeCell ref="E4595:E4597"/>
    <mergeCell ref="F4595:F4597"/>
    <mergeCell ref="G4595:G4597"/>
    <mergeCell ref="H4595:H4597"/>
    <mergeCell ref="I4595:I4597"/>
    <mergeCell ref="J4595:J4597"/>
    <mergeCell ref="K4595:K4597"/>
    <mergeCell ref="L4595:L4597"/>
    <mergeCell ref="D4598:F4598"/>
    <mergeCell ref="G4598:L4598"/>
    <mergeCell ref="A4600:A4602"/>
    <mergeCell ref="B4600:C4609"/>
    <mergeCell ref="D4600:D4602"/>
    <mergeCell ref="E4600:E4602"/>
    <mergeCell ref="F4600:F4602"/>
    <mergeCell ref="G4600:G4602"/>
    <mergeCell ref="H4600:H4602"/>
    <mergeCell ref="I4600:I4602"/>
    <mergeCell ref="J4600:J4602"/>
    <mergeCell ref="K4600:K4602"/>
    <mergeCell ref="L4600:L4602"/>
    <mergeCell ref="D4603:D4605"/>
    <mergeCell ref="E4603:E4605"/>
    <mergeCell ref="F4603:F4605"/>
    <mergeCell ref="G4603:G4605"/>
    <mergeCell ref="H4603:H4605"/>
    <mergeCell ref="I4603:I4605"/>
    <mergeCell ref="J4603:J4605"/>
    <mergeCell ref="K4603:K4605"/>
    <mergeCell ref="L4603:L4605"/>
    <mergeCell ref="D4606:D4608"/>
    <mergeCell ref="E4606:E4608"/>
    <mergeCell ref="F4606:F4608"/>
    <mergeCell ref="G4606:G4608"/>
    <mergeCell ref="H4606:H4608"/>
    <mergeCell ref="I4606:I4608"/>
    <mergeCell ref="J4606:J4608"/>
    <mergeCell ref="K4606:K4608"/>
    <mergeCell ref="L4606:L4608"/>
    <mergeCell ref="D4609:F4609"/>
    <mergeCell ref="G4609:L4609"/>
    <mergeCell ref="A4567:A4569"/>
    <mergeCell ref="B4567:C4576"/>
    <mergeCell ref="D4567:D4569"/>
    <mergeCell ref="E4567:E4569"/>
    <mergeCell ref="F4567:F4569"/>
    <mergeCell ref="G4567:G4569"/>
    <mergeCell ref="H4567:H4569"/>
    <mergeCell ref="I4567:I4569"/>
    <mergeCell ref="J4567:J4569"/>
    <mergeCell ref="K4567:K4569"/>
    <mergeCell ref="L4567:L4569"/>
    <mergeCell ref="D4570:D4572"/>
    <mergeCell ref="E4570:E4572"/>
    <mergeCell ref="F4570:F4572"/>
    <mergeCell ref="G4570:G4572"/>
    <mergeCell ref="H4570:H4572"/>
    <mergeCell ref="I4570:I4572"/>
    <mergeCell ref="J4570:J4572"/>
    <mergeCell ref="K4570:K4572"/>
    <mergeCell ref="L4570:L4572"/>
    <mergeCell ref="D4573:D4575"/>
    <mergeCell ref="E4573:E4575"/>
    <mergeCell ref="F4573:F4575"/>
    <mergeCell ref="G4573:G4575"/>
    <mergeCell ref="H4573:H4575"/>
    <mergeCell ref="I4573:I4575"/>
    <mergeCell ref="J4573:J4575"/>
    <mergeCell ref="K4573:K4575"/>
    <mergeCell ref="L4573:L4575"/>
    <mergeCell ref="D4576:F4576"/>
    <mergeCell ref="G4576:L4576"/>
    <mergeCell ref="A4578:A4580"/>
    <mergeCell ref="B4578:C4587"/>
    <mergeCell ref="D4578:D4580"/>
    <mergeCell ref="E4578:E4580"/>
    <mergeCell ref="F4578:F4580"/>
    <mergeCell ref="G4578:G4580"/>
    <mergeCell ref="H4578:H4580"/>
    <mergeCell ref="I4578:I4580"/>
    <mergeCell ref="J4578:J4580"/>
    <mergeCell ref="K4578:K4580"/>
    <mergeCell ref="L4578:L4580"/>
    <mergeCell ref="D4581:D4583"/>
    <mergeCell ref="E4581:E4583"/>
    <mergeCell ref="F4581:F4583"/>
    <mergeCell ref="G4581:G4583"/>
    <mergeCell ref="H4581:H4583"/>
    <mergeCell ref="I4581:I4583"/>
    <mergeCell ref="J4581:J4583"/>
    <mergeCell ref="K4581:K4583"/>
    <mergeCell ref="L4581:L4583"/>
    <mergeCell ref="D4584:D4586"/>
    <mergeCell ref="E4584:E4586"/>
    <mergeCell ref="F4584:F4586"/>
    <mergeCell ref="G4584:G4586"/>
    <mergeCell ref="H4584:H4586"/>
    <mergeCell ref="I4584:I4586"/>
    <mergeCell ref="J4584:J4586"/>
    <mergeCell ref="K4584:K4586"/>
    <mergeCell ref="L4584:L4586"/>
    <mergeCell ref="D4587:F4587"/>
    <mergeCell ref="G4587:L4587"/>
    <mergeCell ref="A4545:A4547"/>
    <mergeCell ref="B4545:C4554"/>
    <mergeCell ref="D4545:D4547"/>
    <mergeCell ref="E4545:E4547"/>
    <mergeCell ref="F4545:F4547"/>
    <mergeCell ref="G4545:G4547"/>
    <mergeCell ref="H4545:H4547"/>
    <mergeCell ref="I4545:I4547"/>
    <mergeCell ref="J4545:J4547"/>
    <mergeCell ref="K4545:K4547"/>
    <mergeCell ref="L4545:L4547"/>
    <mergeCell ref="D4548:D4550"/>
    <mergeCell ref="E4548:E4550"/>
    <mergeCell ref="F4548:F4550"/>
    <mergeCell ref="G4548:G4550"/>
    <mergeCell ref="H4548:H4550"/>
    <mergeCell ref="I4548:I4550"/>
    <mergeCell ref="J4548:J4550"/>
    <mergeCell ref="K4548:K4550"/>
    <mergeCell ref="L4548:L4550"/>
    <mergeCell ref="D4551:D4553"/>
    <mergeCell ref="E4551:E4553"/>
    <mergeCell ref="F4551:F4553"/>
    <mergeCell ref="G4551:G4553"/>
    <mergeCell ref="H4551:H4553"/>
    <mergeCell ref="I4551:I4553"/>
    <mergeCell ref="J4551:J4553"/>
    <mergeCell ref="K4551:K4553"/>
    <mergeCell ref="L4551:L4553"/>
    <mergeCell ref="D4554:F4554"/>
    <mergeCell ref="G4554:L4554"/>
    <mergeCell ref="A4556:A4558"/>
    <mergeCell ref="B4556:C4565"/>
    <mergeCell ref="D4556:D4558"/>
    <mergeCell ref="E4556:E4558"/>
    <mergeCell ref="F4556:F4558"/>
    <mergeCell ref="G4556:G4558"/>
    <mergeCell ref="H4556:H4558"/>
    <mergeCell ref="I4556:I4558"/>
    <mergeCell ref="J4556:J4558"/>
    <mergeCell ref="K4556:K4558"/>
    <mergeCell ref="L4556:L4558"/>
    <mergeCell ref="D4559:D4561"/>
    <mergeCell ref="E4559:E4561"/>
    <mergeCell ref="F4559:F4561"/>
    <mergeCell ref="G4559:G4561"/>
    <mergeCell ref="H4559:H4561"/>
    <mergeCell ref="I4559:I4561"/>
    <mergeCell ref="J4559:J4561"/>
    <mergeCell ref="K4559:K4561"/>
    <mergeCell ref="L4559:L4561"/>
    <mergeCell ref="D4562:D4564"/>
    <mergeCell ref="E4562:E4564"/>
    <mergeCell ref="F4562:F4564"/>
    <mergeCell ref="G4562:G4564"/>
    <mergeCell ref="H4562:H4564"/>
    <mergeCell ref="I4562:I4564"/>
    <mergeCell ref="J4562:J4564"/>
    <mergeCell ref="K4562:K4564"/>
    <mergeCell ref="L4562:L4564"/>
    <mergeCell ref="D4565:F4565"/>
    <mergeCell ref="G4565:L4565"/>
    <mergeCell ref="A4523:A4525"/>
    <mergeCell ref="B4523:C4532"/>
    <mergeCell ref="D4523:D4525"/>
    <mergeCell ref="E4523:E4525"/>
    <mergeCell ref="F4523:F4525"/>
    <mergeCell ref="G4523:G4525"/>
    <mergeCell ref="H4523:H4525"/>
    <mergeCell ref="I4523:I4525"/>
    <mergeCell ref="J4523:J4525"/>
    <mergeCell ref="K4523:K4525"/>
    <mergeCell ref="L4523:L4525"/>
    <mergeCell ref="D4526:D4528"/>
    <mergeCell ref="E4526:E4528"/>
    <mergeCell ref="F4526:F4528"/>
    <mergeCell ref="G4526:G4528"/>
    <mergeCell ref="H4526:H4528"/>
    <mergeCell ref="I4526:I4528"/>
    <mergeCell ref="J4526:J4528"/>
    <mergeCell ref="K4526:K4528"/>
    <mergeCell ref="L4526:L4528"/>
    <mergeCell ref="D4529:D4531"/>
    <mergeCell ref="E4529:E4531"/>
    <mergeCell ref="F4529:F4531"/>
    <mergeCell ref="G4529:G4531"/>
    <mergeCell ref="H4529:H4531"/>
    <mergeCell ref="I4529:I4531"/>
    <mergeCell ref="J4529:J4531"/>
    <mergeCell ref="K4529:K4531"/>
    <mergeCell ref="L4529:L4531"/>
    <mergeCell ref="D4532:F4532"/>
    <mergeCell ref="G4532:L4532"/>
    <mergeCell ref="A4534:A4536"/>
    <mergeCell ref="B4534:C4543"/>
    <mergeCell ref="D4534:D4536"/>
    <mergeCell ref="E4534:E4536"/>
    <mergeCell ref="F4534:F4536"/>
    <mergeCell ref="G4534:G4536"/>
    <mergeCell ref="H4534:H4536"/>
    <mergeCell ref="I4534:I4536"/>
    <mergeCell ref="J4534:J4536"/>
    <mergeCell ref="K4534:K4536"/>
    <mergeCell ref="L4534:L4536"/>
    <mergeCell ref="D4537:D4539"/>
    <mergeCell ref="E4537:E4539"/>
    <mergeCell ref="F4537:F4539"/>
    <mergeCell ref="G4537:G4539"/>
    <mergeCell ref="H4537:H4539"/>
    <mergeCell ref="I4537:I4539"/>
    <mergeCell ref="J4537:J4539"/>
    <mergeCell ref="K4537:K4539"/>
    <mergeCell ref="L4537:L4539"/>
    <mergeCell ref="D4540:D4542"/>
    <mergeCell ref="E4540:E4542"/>
    <mergeCell ref="F4540:F4542"/>
    <mergeCell ref="G4540:G4542"/>
    <mergeCell ref="H4540:H4542"/>
    <mergeCell ref="I4540:I4542"/>
    <mergeCell ref="J4540:J4542"/>
    <mergeCell ref="K4540:K4542"/>
    <mergeCell ref="L4540:L4542"/>
    <mergeCell ref="D4543:F4543"/>
    <mergeCell ref="G4543:L4543"/>
    <mergeCell ref="A4501:A4503"/>
    <mergeCell ref="B4501:C4510"/>
    <mergeCell ref="D4501:D4503"/>
    <mergeCell ref="E4501:E4503"/>
    <mergeCell ref="F4501:F4503"/>
    <mergeCell ref="G4501:G4503"/>
    <mergeCell ref="H4501:H4503"/>
    <mergeCell ref="I4501:I4503"/>
    <mergeCell ref="J4501:J4503"/>
    <mergeCell ref="K4501:K4503"/>
    <mergeCell ref="L4501:L4503"/>
    <mergeCell ref="D4504:D4506"/>
    <mergeCell ref="E4504:E4506"/>
    <mergeCell ref="F4504:F4506"/>
    <mergeCell ref="G4504:G4506"/>
    <mergeCell ref="H4504:H4506"/>
    <mergeCell ref="I4504:I4506"/>
    <mergeCell ref="J4504:J4506"/>
    <mergeCell ref="K4504:K4506"/>
    <mergeCell ref="L4504:L4506"/>
    <mergeCell ref="D4507:D4509"/>
    <mergeCell ref="E4507:E4509"/>
    <mergeCell ref="F4507:F4509"/>
    <mergeCell ref="G4507:G4509"/>
    <mergeCell ref="H4507:H4509"/>
    <mergeCell ref="I4507:I4509"/>
    <mergeCell ref="J4507:J4509"/>
    <mergeCell ref="K4507:K4509"/>
    <mergeCell ref="L4507:L4509"/>
    <mergeCell ref="D4510:F4510"/>
    <mergeCell ref="G4510:L4510"/>
    <mergeCell ref="A4512:A4514"/>
    <mergeCell ref="B4512:C4521"/>
    <mergeCell ref="D4512:D4514"/>
    <mergeCell ref="E4512:E4514"/>
    <mergeCell ref="F4512:F4514"/>
    <mergeCell ref="G4512:G4514"/>
    <mergeCell ref="H4512:H4514"/>
    <mergeCell ref="I4512:I4514"/>
    <mergeCell ref="J4512:J4514"/>
    <mergeCell ref="K4512:K4514"/>
    <mergeCell ref="L4512:L4514"/>
    <mergeCell ref="D4515:D4517"/>
    <mergeCell ref="E4515:E4517"/>
    <mergeCell ref="F4515:F4517"/>
    <mergeCell ref="G4515:G4517"/>
    <mergeCell ref="H4515:H4517"/>
    <mergeCell ref="I4515:I4517"/>
    <mergeCell ref="J4515:J4517"/>
    <mergeCell ref="K4515:K4517"/>
    <mergeCell ref="L4515:L4517"/>
    <mergeCell ref="D4518:D4520"/>
    <mergeCell ref="E4518:E4520"/>
    <mergeCell ref="F4518:F4520"/>
    <mergeCell ref="G4518:G4520"/>
    <mergeCell ref="H4518:H4520"/>
    <mergeCell ref="I4518:I4520"/>
    <mergeCell ref="J4518:J4520"/>
    <mergeCell ref="K4518:K4520"/>
    <mergeCell ref="L4518:L4520"/>
    <mergeCell ref="D4521:F4521"/>
    <mergeCell ref="G4521:L4521"/>
    <mergeCell ref="A4479:A4481"/>
    <mergeCell ref="B4479:C4488"/>
    <mergeCell ref="D4479:D4481"/>
    <mergeCell ref="E4479:E4481"/>
    <mergeCell ref="F4479:F4481"/>
    <mergeCell ref="G4479:G4481"/>
    <mergeCell ref="H4479:H4481"/>
    <mergeCell ref="I4479:I4481"/>
    <mergeCell ref="J4479:J4481"/>
    <mergeCell ref="K4479:K4481"/>
    <mergeCell ref="L4479:L4481"/>
    <mergeCell ref="D4482:D4484"/>
    <mergeCell ref="E4482:E4484"/>
    <mergeCell ref="F4482:F4484"/>
    <mergeCell ref="G4482:G4484"/>
    <mergeCell ref="H4482:H4484"/>
    <mergeCell ref="I4482:I4484"/>
    <mergeCell ref="J4482:J4484"/>
    <mergeCell ref="K4482:K4484"/>
    <mergeCell ref="L4482:L4484"/>
    <mergeCell ref="D4485:D4487"/>
    <mergeCell ref="E4485:E4487"/>
    <mergeCell ref="F4485:F4487"/>
    <mergeCell ref="G4485:G4487"/>
    <mergeCell ref="H4485:H4487"/>
    <mergeCell ref="I4485:I4487"/>
    <mergeCell ref="J4485:J4487"/>
    <mergeCell ref="K4485:K4487"/>
    <mergeCell ref="L4485:L4487"/>
    <mergeCell ref="D4488:F4488"/>
    <mergeCell ref="G4488:L4488"/>
    <mergeCell ref="A4490:A4492"/>
    <mergeCell ref="B4490:C4499"/>
    <mergeCell ref="D4490:D4492"/>
    <mergeCell ref="E4490:E4492"/>
    <mergeCell ref="F4490:F4492"/>
    <mergeCell ref="G4490:G4492"/>
    <mergeCell ref="H4490:H4492"/>
    <mergeCell ref="I4490:I4492"/>
    <mergeCell ref="J4490:J4492"/>
    <mergeCell ref="K4490:K4492"/>
    <mergeCell ref="L4490:L4492"/>
    <mergeCell ref="D4493:D4495"/>
    <mergeCell ref="E4493:E4495"/>
    <mergeCell ref="F4493:F4495"/>
    <mergeCell ref="G4493:G4495"/>
    <mergeCell ref="H4493:H4495"/>
    <mergeCell ref="I4493:I4495"/>
    <mergeCell ref="J4493:J4495"/>
    <mergeCell ref="K4493:K4495"/>
    <mergeCell ref="L4493:L4495"/>
    <mergeCell ref="D4496:D4498"/>
    <mergeCell ref="E4496:E4498"/>
    <mergeCell ref="F4496:F4498"/>
    <mergeCell ref="G4496:G4498"/>
    <mergeCell ref="H4496:H4498"/>
    <mergeCell ref="I4496:I4498"/>
    <mergeCell ref="J4496:J4498"/>
    <mergeCell ref="K4496:K4498"/>
    <mergeCell ref="L4496:L4498"/>
    <mergeCell ref="D4499:F4499"/>
    <mergeCell ref="G4499:L4499"/>
    <mergeCell ref="A4457:A4459"/>
    <mergeCell ref="B4457:C4466"/>
    <mergeCell ref="D4457:D4459"/>
    <mergeCell ref="E4457:E4459"/>
    <mergeCell ref="F4457:F4459"/>
    <mergeCell ref="G4457:G4459"/>
    <mergeCell ref="H4457:H4459"/>
    <mergeCell ref="I4457:I4459"/>
    <mergeCell ref="J4457:J4459"/>
    <mergeCell ref="K4457:K4459"/>
    <mergeCell ref="L4457:L4459"/>
    <mergeCell ref="D4460:D4462"/>
    <mergeCell ref="E4460:E4462"/>
    <mergeCell ref="F4460:F4462"/>
    <mergeCell ref="G4460:G4462"/>
    <mergeCell ref="H4460:H4462"/>
    <mergeCell ref="I4460:I4462"/>
    <mergeCell ref="J4460:J4462"/>
    <mergeCell ref="K4460:K4462"/>
    <mergeCell ref="L4460:L4462"/>
    <mergeCell ref="D4463:D4465"/>
    <mergeCell ref="E4463:E4465"/>
    <mergeCell ref="F4463:F4465"/>
    <mergeCell ref="G4463:G4465"/>
    <mergeCell ref="H4463:H4465"/>
    <mergeCell ref="I4463:I4465"/>
    <mergeCell ref="J4463:J4465"/>
    <mergeCell ref="K4463:K4465"/>
    <mergeCell ref="L4463:L4465"/>
    <mergeCell ref="D4466:F4466"/>
    <mergeCell ref="G4466:L4466"/>
    <mergeCell ref="A4468:A4470"/>
    <mergeCell ref="B4468:C4477"/>
    <mergeCell ref="D4468:D4470"/>
    <mergeCell ref="E4468:E4470"/>
    <mergeCell ref="F4468:F4470"/>
    <mergeCell ref="G4468:G4470"/>
    <mergeCell ref="H4468:H4470"/>
    <mergeCell ref="I4468:I4470"/>
    <mergeCell ref="J4468:J4470"/>
    <mergeCell ref="K4468:K4470"/>
    <mergeCell ref="L4468:L4470"/>
    <mergeCell ref="D4471:D4473"/>
    <mergeCell ref="E4471:E4473"/>
    <mergeCell ref="F4471:F4473"/>
    <mergeCell ref="G4471:G4473"/>
    <mergeCell ref="H4471:H4473"/>
    <mergeCell ref="I4471:I4473"/>
    <mergeCell ref="J4471:J4473"/>
    <mergeCell ref="K4471:K4473"/>
    <mergeCell ref="L4471:L4473"/>
    <mergeCell ref="D4474:D4476"/>
    <mergeCell ref="E4474:E4476"/>
    <mergeCell ref="F4474:F4476"/>
    <mergeCell ref="G4474:G4476"/>
    <mergeCell ref="H4474:H4476"/>
    <mergeCell ref="I4474:I4476"/>
    <mergeCell ref="J4474:J4476"/>
    <mergeCell ref="K4474:K4476"/>
    <mergeCell ref="L4474:L4476"/>
    <mergeCell ref="D4477:F4477"/>
    <mergeCell ref="G4477:L4477"/>
    <mergeCell ref="A4435:A4437"/>
    <mergeCell ref="B4435:C4444"/>
    <mergeCell ref="D4435:D4437"/>
    <mergeCell ref="E4435:E4437"/>
    <mergeCell ref="F4435:F4437"/>
    <mergeCell ref="G4435:G4437"/>
    <mergeCell ref="H4435:H4437"/>
    <mergeCell ref="I4435:I4437"/>
    <mergeCell ref="J4435:J4437"/>
    <mergeCell ref="K4435:K4437"/>
    <mergeCell ref="L4435:L4437"/>
    <mergeCell ref="D4438:D4440"/>
    <mergeCell ref="E4438:E4440"/>
    <mergeCell ref="F4438:F4440"/>
    <mergeCell ref="G4438:G4440"/>
    <mergeCell ref="H4438:H4440"/>
    <mergeCell ref="I4438:I4440"/>
    <mergeCell ref="J4438:J4440"/>
    <mergeCell ref="K4438:K4440"/>
    <mergeCell ref="L4438:L4440"/>
    <mergeCell ref="D4441:D4443"/>
    <mergeCell ref="E4441:E4443"/>
    <mergeCell ref="F4441:F4443"/>
    <mergeCell ref="G4441:G4443"/>
    <mergeCell ref="H4441:H4443"/>
    <mergeCell ref="I4441:I4443"/>
    <mergeCell ref="J4441:J4443"/>
    <mergeCell ref="K4441:K4443"/>
    <mergeCell ref="L4441:L4443"/>
    <mergeCell ref="D4444:F4444"/>
    <mergeCell ref="G4444:L4444"/>
    <mergeCell ref="A4446:A4448"/>
    <mergeCell ref="B4446:C4455"/>
    <mergeCell ref="D4446:D4448"/>
    <mergeCell ref="E4446:E4448"/>
    <mergeCell ref="F4446:F4448"/>
    <mergeCell ref="G4446:G4448"/>
    <mergeCell ref="H4446:H4448"/>
    <mergeCell ref="I4446:I4448"/>
    <mergeCell ref="J4446:J4448"/>
    <mergeCell ref="K4446:K4448"/>
    <mergeCell ref="L4446:L4448"/>
    <mergeCell ref="D4449:D4451"/>
    <mergeCell ref="E4449:E4451"/>
    <mergeCell ref="F4449:F4451"/>
    <mergeCell ref="G4449:G4451"/>
    <mergeCell ref="H4449:H4451"/>
    <mergeCell ref="I4449:I4451"/>
    <mergeCell ref="J4449:J4451"/>
    <mergeCell ref="K4449:K4451"/>
    <mergeCell ref="L4449:L4451"/>
    <mergeCell ref="D4452:D4454"/>
    <mergeCell ref="E4452:E4454"/>
    <mergeCell ref="F4452:F4454"/>
    <mergeCell ref="G4452:G4454"/>
    <mergeCell ref="H4452:H4454"/>
    <mergeCell ref="I4452:I4454"/>
    <mergeCell ref="J4452:J4454"/>
    <mergeCell ref="K4452:K4454"/>
    <mergeCell ref="L4452:L4454"/>
    <mergeCell ref="D4455:F4455"/>
    <mergeCell ref="G4455:L4455"/>
    <mergeCell ref="D4413:D4415"/>
    <mergeCell ref="E4413:E4415"/>
    <mergeCell ref="F4413:F4415"/>
    <mergeCell ref="G4413:G4415"/>
    <mergeCell ref="H4413:H4415"/>
    <mergeCell ref="I4413:I4415"/>
    <mergeCell ref="J4413:J4415"/>
    <mergeCell ref="K4413:K4415"/>
    <mergeCell ref="L4413:L4415"/>
    <mergeCell ref="D4416:D4418"/>
    <mergeCell ref="E4416:E4418"/>
    <mergeCell ref="F4416:F4418"/>
    <mergeCell ref="G4416:G4418"/>
    <mergeCell ref="H4416:H4418"/>
    <mergeCell ref="I4416:I4418"/>
    <mergeCell ref="J4416:J4418"/>
    <mergeCell ref="K4416:K4418"/>
    <mergeCell ref="L4416:L4418"/>
    <mergeCell ref="D4422:F4422"/>
    <mergeCell ref="G4422:L4422"/>
    <mergeCell ref="A4424:A4426"/>
    <mergeCell ref="B4424:C4433"/>
    <mergeCell ref="D4424:D4426"/>
    <mergeCell ref="E4424:E4426"/>
    <mergeCell ref="F4424:F4426"/>
    <mergeCell ref="G4424:G4426"/>
    <mergeCell ref="H4424:H4426"/>
    <mergeCell ref="I4424:I4426"/>
    <mergeCell ref="J4424:J4426"/>
    <mergeCell ref="K4424:K4426"/>
    <mergeCell ref="L4424:L4426"/>
    <mergeCell ref="D4427:D4429"/>
    <mergeCell ref="E4427:E4429"/>
    <mergeCell ref="F4427:F4429"/>
    <mergeCell ref="G4427:G4429"/>
    <mergeCell ref="H4427:H4429"/>
    <mergeCell ref="I4427:I4429"/>
    <mergeCell ref="J4427:J4429"/>
    <mergeCell ref="K4427:K4429"/>
    <mergeCell ref="L4427:L4429"/>
    <mergeCell ref="D4430:D4432"/>
    <mergeCell ref="E4430:E4432"/>
    <mergeCell ref="F4430:F4432"/>
    <mergeCell ref="G4430:G4432"/>
    <mergeCell ref="H4430:H4432"/>
    <mergeCell ref="I4430:I4432"/>
    <mergeCell ref="J4430:J4432"/>
    <mergeCell ref="K4430:K4432"/>
    <mergeCell ref="L4430:L4432"/>
    <mergeCell ref="D4433:F4433"/>
    <mergeCell ref="G4433:L4433"/>
    <mergeCell ref="D4419:D4421"/>
    <mergeCell ref="E4419:E4421"/>
    <mergeCell ref="F4419:F4421"/>
    <mergeCell ref="G4419:G4421"/>
    <mergeCell ref="H4419:H4421"/>
    <mergeCell ref="I4419:I4421"/>
    <mergeCell ref="J4419:J4421"/>
    <mergeCell ref="K4419:K4421"/>
    <mergeCell ref="L4419:L4421"/>
    <mergeCell ref="A4413:A4415"/>
    <mergeCell ref="B4413:C4422"/>
    <mergeCell ref="D4391:D4393"/>
    <mergeCell ref="E4391:E4393"/>
    <mergeCell ref="F4391:F4393"/>
    <mergeCell ref="G4391:G4393"/>
    <mergeCell ref="H4391:H4393"/>
    <mergeCell ref="I4391:I4393"/>
    <mergeCell ref="J4391:J4393"/>
    <mergeCell ref="K4391:K4393"/>
    <mergeCell ref="L4391:L4393"/>
    <mergeCell ref="D4394:D4396"/>
    <mergeCell ref="E4394:E4396"/>
    <mergeCell ref="F4394:F4396"/>
    <mergeCell ref="G4394:G4396"/>
    <mergeCell ref="H4394:H4396"/>
    <mergeCell ref="I4394:I4396"/>
    <mergeCell ref="J4394:J4396"/>
    <mergeCell ref="K4394:K4396"/>
    <mergeCell ref="L4394:L4396"/>
    <mergeCell ref="D4400:F4400"/>
    <mergeCell ref="G4400:L4400"/>
    <mergeCell ref="A4402:A4404"/>
    <mergeCell ref="B4402:C4411"/>
    <mergeCell ref="D4402:D4404"/>
    <mergeCell ref="E4402:E4404"/>
    <mergeCell ref="F4402:F4404"/>
    <mergeCell ref="G4402:G4404"/>
    <mergeCell ref="H4402:H4404"/>
    <mergeCell ref="I4402:I4404"/>
    <mergeCell ref="J4402:J4404"/>
    <mergeCell ref="K4402:K4404"/>
    <mergeCell ref="L4402:L4404"/>
    <mergeCell ref="D4405:D4407"/>
    <mergeCell ref="E4405:E4407"/>
    <mergeCell ref="F4405:F4407"/>
    <mergeCell ref="G4405:G4407"/>
    <mergeCell ref="H4405:H4407"/>
    <mergeCell ref="I4405:I4407"/>
    <mergeCell ref="J4405:J4407"/>
    <mergeCell ref="K4405:K4407"/>
    <mergeCell ref="L4405:L4407"/>
    <mergeCell ref="D4411:F4411"/>
    <mergeCell ref="G4411:L4411"/>
    <mergeCell ref="D4397:D4399"/>
    <mergeCell ref="E4397:E4399"/>
    <mergeCell ref="F4397:F4399"/>
    <mergeCell ref="G4397:G4399"/>
    <mergeCell ref="H4397:H4399"/>
    <mergeCell ref="I4397:I4399"/>
    <mergeCell ref="J4397:J4399"/>
    <mergeCell ref="K4397:K4399"/>
    <mergeCell ref="L4397:L4399"/>
    <mergeCell ref="A4391:A4393"/>
    <mergeCell ref="B4391:C4400"/>
    <mergeCell ref="D4408:D4410"/>
    <mergeCell ref="E4408:E4410"/>
    <mergeCell ref="F4408:F4410"/>
    <mergeCell ref="G4408:G4410"/>
    <mergeCell ref="H4408:H4410"/>
    <mergeCell ref="I4408:I4410"/>
    <mergeCell ref="J4408:J4410"/>
    <mergeCell ref="K4408:K4410"/>
    <mergeCell ref="L4408:L4410"/>
    <mergeCell ref="D4369:D4371"/>
    <mergeCell ref="E4369:E4371"/>
    <mergeCell ref="F4369:F4371"/>
    <mergeCell ref="G4369:G4371"/>
    <mergeCell ref="H4369:H4371"/>
    <mergeCell ref="I4369:I4371"/>
    <mergeCell ref="J4369:J4371"/>
    <mergeCell ref="K4369:K4371"/>
    <mergeCell ref="L4369:L4371"/>
    <mergeCell ref="D4372:D4374"/>
    <mergeCell ref="E4372:E4374"/>
    <mergeCell ref="F4372:F4374"/>
    <mergeCell ref="G4372:G4374"/>
    <mergeCell ref="H4372:H4374"/>
    <mergeCell ref="I4372:I4374"/>
    <mergeCell ref="J4372:J4374"/>
    <mergeCell ref="K4372:K4374"/>
    <mergeCell ref="L4372:L4374"/>
    <mergeCell ref="D4378:F4378"/>
    <mergeCell ref="G4378:L4378"/>
    <mergeCell ref="A4380:A4382"/>
    <mergeCell ref="B4380:C4389"/>
    <mergeCell ref="D4380:D4382"/>
    <mergeCell ref="E4380:E4382"/>
    <mergeCell ref="F4380:F4382"/>
    <mergeCell ref="G4380:G4382"/>
    <mergeCell ref="H4380:H4382"/>
    <mergeCell ref="I4380:I4382"/>
    <mergeCell ref="J4380:J4382"/>
    <mergeCell ref="K4380:K4382"/>
    <mergeCell ref="L4380:L4382"/>
    <mergeCell ref="D4383:D4385"/>
    <mergeCell ref="E4383:E4385"/>
    <mergeCell ref="F4383:F4385"/>
    <mergeCell ref="G4383:G4385"/>
    <mergeCell ref="H4383:H4385"/>
    <mergeCell ref="I4383:I4385"/>
    <mergeCell ref="J4383:J4385"/>
    <mergeCell ref="K4383:K4385"/>
    <mergeCell ref="L4383:L4385"/>
    <mergeCell ref="D4389:F4389"/>
    <mergeCell ref="G4389:L4389"/>
    <mergeCell ref="D4375:D4377"/>
    <mergeCell ref="E4375:E4377"/>
    <mergeCell ref="F4375:F4377"/>
    <mergeCell ref="G4375:G4377"/>
    <mergeCell ref="H4375:H4377"/>
    <mergeCell ref="I4375:I4377"/>
    <mergeCell ref="J4375:J4377"/>
    <mergeCell ref="K4375:K4377"/>
    <mergeCell ref="L4375:L4377"/>
    <mergeCell ref="A4369:A4371"/>
    <mergeCell ref="B4369:C4378"/>
    <mergeCell ref="D4386:D4388"/>
    <mergeCell ref="E4386:E4388"/>
    <mergeCell ref="F4386:F4388"/>
    <mergeCell ref="G4386:G4388"/>
    <mergeCell ref="H4386:H4388"/>
    <mergeCell ref="I4386:I4388"/>
    <mergeCell ref="J4386:J4388"/>
    <mergeCell ref="K4386:K4388"/>
    <mergeCell ref="L4386:L4388"/>
    <mergeCell ref="D4347:D4349"/>
    <mergeCell ref="E4347:E4349"/>
    <mergeCell ref="F4347:F4349"/>
    <mergeCell ref="G4347:G4349"/>
    <mergeCell ref="H4347:H4349"/>
    <mergeCell ref="I4347:I4349"/>
    <mergeCell ref="J4347:J4349"/>
    <mergeCell ref="K4347:K4349"/>
    <mergeCell ref="L4347:L4349"/>
    <mergeCell ref="D4350:D4352"/>
    <mergeCell ref="E4350:E4352"/>
    <mergeCell ref="F4350:F4352"/>
    <mergeCell ref="G4350:G4352"/>
    <mergeCell ref="H4350:H4352"/>
    <mergeCell ref="I4350:I4352"/>
    <mergeCell ref="J4350:J4352"/>
    <mergeCell ref="K4350:K4352"/>
    <mergeCell ref="L4350:L4352"/>
    <mergeCell ref="D4356:F4356"/>
    <mergeCell ref="G4356:L4356"/>
    <mergeCell ref="A4358:A4360"/>
    <mergeCell ref="B4358:C4367"/>
    <mergeCell ref="D4358:D4360"/>
    <mergeCell ref="E4358:E4360"/>
    <mergeCell ref="F4358:F4360"/>
    <mergeCell ref="G4358:G4360"/>
    <mergeCell ref="H4358:H4360"/>
    <mergeCell ref="I4358:I4360"/>
    <mergeCell ref="J4358:J4360"/>
    <mergeCell ref="K4358:K4360"/>
    <mergeCell ref="L4358:L4360"/>
    <mergeCell ref="D4361:D4363"/>
    <mergeCell ref="E4361:E4363"/>
    <mergeCell ref="F4361:F4363"/>
    <mergeCell ref="G4361:G4363"/>
    <mergeCell ref="H4361:H4363"/>
    <mergeCell ref="I4361:I4363"/>
    <mergeCell ref="J4361:J4363"/>
    <mergeCell ref="K4361:K4363"/>
    <mergeCell ref="L4361:L4363"/>
    <mergeCell ref="D4367:F4367"/>
    <mergeCell ref="G4367:L4367"/>
    <mergeCell ref="D4353:D4355"/>
    <mergeCell ref="E4353:E4355"/>
    <mergeCell ref="F4353:F4355"/>
    <mergeCell ref="G4353:G4355"/>
    <mergeCell ref="H4353:H4355"/>
    <mergeCell ref="I4353:I4355"/>
    <mergeCell ref="J4353:J4355"/>
    <mergeCell ref="K4353:K4355"/>
    <mergeCell ref="L4353:L4355"/>
    <mergeCell ref="A4347:A4349"/>
    <mergeCell ref="B4347:C4356"/>
    <mergeCell ref="D4364:D4366"/>
    <mergeCell ref="E4364:E4366"/>
    <mergeCell ref="F4364:F4366"/>
    <mergeCell ref="G4364:G4366"/>
    <mergeCell ref="H4364:H4366"/>
    <mergeCell ref="I4364:I4366"/>
    <mergeCell ref="J4364:J4366"/>
    <mergeCell ref="K4364:K4366"/>
    <mergeCell ref="L4364:L4366"/>
    <mergeCell ref="H4328:H4330"/>
    <mergeCell ref="I4328:I4330"/>
    <mergeCell ref="J4328:J4330"/>
    <mergeCell ref="K4328:K4330"/>
    <mergeCell ref="L4328:L4330"/>
    <mergeCell ref="D4334:F4334"/>
    <mergeCell ref="G4334:L4334"/>
    <mergeCell ref="A4336:A4338"/>
    <mergeCell ref="B4336:C4345"/>
    <mergeCell ref="D4336:D4338"/>
    <mergeCell ref="E4336:E4338"/>
    <mergeCell ref="F4336:F4338"/>
    <mergeCell ref="G4336:G4338"/>
    <mergeCell ref="H4336:H4338"/>
    <mergeCell ref="I4336:I4338"/>
    <mergeCell ref="J4336:J4338"/>
    <mergeCell ref="K4336:K4338"/>
    <mergeCell ref="L4336:L4338"/>
    <mergeCell ref="D4339:D4341"/>
    <mergeCell ref="E4339:E4341"/>
    <mergeCell ref="F4339:F4341"/>
    <mergeCell ref="G4339:G4341"/>
    <mergeCell ref="H4339:H4341"/>
    <mergeCell ref="I4339:I4341"/>
    <mergeCell ref="J4339:J4341"/>
    <mergeCell ref="K4339:K4341"/>
    <mergeCell ref="L4339:L4341"/>
    <mergeCell ref="D4345:F4345"/>
    <mergeCell ref="G4345:L4345"/>
    <mergeCell ref="D4342:D4344"/>
    <mergeCell ref="E4342:E4344"/>
    <mergeCell ref="F4342:F4344"/>
    <mergeCell ref="G4342:G4344"/>
    <mergeCell ref="H4342:H4344"/>
    <mergeCell ref="I4342:I4344"/>
    <mergeCell ref="J4342:J4344"/>
    <mergeCell ref="K4342:K4344"/>
    <mergeCell ref="L4342:L4344"/>
    <mergeCell ref="A4292:A4294"/>
    <mergeCell ref="B4292:C4301"/>
    <mergeCell ref="D4295:D4297"/>
    <mergeCell ref="E4295:E4297"/>
    <mergeCell ref="F4295:F4297"/>
    <mergeCell ref="G4295:G4297"/>
    <mergeCell ref="H4295:H4297"/>
    <mergeCell ref="I4295:I4297"/>
    <mergeCell ref="J4295:J4297"/>
    <mergeCell ref="K4295:K4297"/>
    <mergeCell ref="L4295:L4297"/>
    <mergeCell ref="D4298:D4300"/>
    <mergeCell ref="E4298:E4300"/>
    <mergeCell ref="F4298:F4300"/>
    <mergeCell ref="G4298:G4300"/>
    <mergeCell ref="H4298:H4300"/>
    <mergeCell ref="I4298:I4300"/>
    <mergeCell ref="J4298:J4300"/>
    <mergeCell ref="K4298:K4300"/>
    <mergeCell ref="L4298:L4300"/>
    <mergeCell ref="D4301:F4301"/>
    <mergeCell ref="G4301:L4301"/>
    <mergeCell ref="A4303:A4305"/>
    <mergeCell ref="B4303:C4312"/>
    <mergeCell ref="D4306:D4308"/>
    <mergeCell ref="E4306:E4308"/>
    <mergeCell ref="F4306:F4308"/>
    <mergeCell ref="G4306:G4308"/>
    <mergeCell ref="H4306:H4308"/>
    <mergeCell ref="I4306:I4308"/>
    <mergeCell ref="J4306:J4308"/>
    <mergeCell ref="K4306:K4308"/>
    <mergeCell ref="L4306:L4308"/>
    <mergeCell ref="D4309:D4311"/>
    <mergeCell ref="E4309:E4311"/>
    <mergeCell ref="F4309:F4311"/>
    <mergeCell ref="G4309:G4311"/>
    <mergeCell ref="H4309:H4311"/>
    <mergeCell ref="I4309:I4311"/>
    <mergeCell ref="J4309:J4311"/>
    <mergeCell ref="K4309:K4311"/>
    <mergeCell ref="L4309:L4311"/>
    <mergeCell ref="D4312:F4312"/>
    <mergeCell ref="G4312:L4312"/>
    <mergeCell ref="H4273:H4275"/>
    <mergeCell ref="I4273:I4275"/>
    <mergeCell ref="J4273:J4275"/>
    <mergeCell ref="K4273:K4275"/>
    <mergeCell ref="L4273:L4275"/>
    <mergeCell ref="D4276:D4278"/>
    <mergeCell ref="E4276:E4278"/>
    <mergeCell ref="F4276:F4278"/>
    <mergeCell ref="G4276:G4278"/>
    <mergeCell ref="H4276:H4278"/>
    <mergeCell ref="I4276:I4278"/>
    <mergeCell ref="J4276:J4278"/>
    <mergeCell ref="K4276:K4278"/>
    <mergeCell ref="L4276:L4278"/>
    <mergeCell ref="D4279:F4279"/>
    <mergeCell ref="G4279:L4279"/>
    <mergeCell ref="A4281:A4283"/>
    <mergeCell ref="B4281:C4290"/>
    <mergeCell ref="D4284:D4286"/>
    <mergeCell ref="E4284:E4286"/>
    <mergeCell ref="F4284:F4286"/>
    <mergeCell ref="G4284:G4286"/>
    <mergeCell ref="H4284:H4286"/>
    <mergeCell ref="I4284:I4286"/>
    <mergeCell ref="J4284:J4286"/>
    <mergeCell ref="K4284:K4286"/>
    <mergeCell ref="L4284:L4286"/>
    <mergeCell ref="D4287:D4289"/>
    <mergeCell ref="E4287:E4289"/>
    <mergeCell ref="F4287:F4289"/>
    <mergeCell ref="G4287:G4289"/>
    <mergeCell ref="H4287:H4289"/>
    <mergeCell ref="I4287:I4289"/>
    <mergeCell ref="J4287:J4289"/>
    <mergeCell ref="K4287:K4289"/>
    <mergeCell ref="L4287:L4289"/>
    <mergeCell ref="D4290:F4290"/>
    <mergeCell ref="G4290:L4290"/>
    <mergeCell ref="H4240:H4242"/>
    <mergeCell ref="I4240:I4242"/>
    <mergeCell ref="J4240:J4242"/>
    <mergeCell ref="K4240:K4242"/>
    <mergeCell ref="L4240:L4242"/>
    <mergeCell ref="D4243:D4245"/>
    <mergeCell ref="E4243:E4245"/>
    <mergeCell ref="F4243:F4245"/>
    <mergeCell ref="G4243:G4245"/>
    <mergeCell ref="H4243:H4245"/>
    <mergeCell ref="I4243:I4245"/>
    <mergeCell ref="J4243:J4245"/>
    <mergeCell ref="K4243:K4245"/>
    <mergeCell ref="L4243:L4245"/>
    <mergeCell ref="D4246:F4246"/>
    <mergeCell ref="G4246:L4246"/>
    <mergeCell ref="A4248:A4250"/>
    <mergeCell ref="B4248:C4257"/>
    <mergeCell ref="D4251:D4253"/>
    <mergeCell ref="E4251:E4253"/>
    <mergeCell ref="F4251:F4253"/>
    <mergeCell ref="G4251:G4253"/>
    <mergeCell ref="H4251:H4253"/>
    <mergeCell ref="I4251:I4253"/>
    <mergeCell ref="J4251:J4253"/>
    <mergeCell ref="K4251:K4253"/>
    <mergeCell ref="L4251:L4253"/>
    <mergeCell ref="D4254:D4256"/>
    <mergeCell ref="E4254:E4256"/>
    <mergeCell ref="F4254:F4256"/>
    <mergeCell ref="G4254:G4256"/>
    <mergeCell ref="H4254:H4256"/>
    <mergeCell ref="I4254:I4256"/>
    <mergeCell ref="J4254:J4256"/>
    <mergeCell ref="K4254:K4256"/>
    <mergeCell ref="L4254:L4256"/>
    <mergeCell ref="D4257:F4257"/>
    <mergeCell ref="G4257:L4257"/>
    <mergeCell ref="D4204:D4206"/>
    <mergeCell ref="E4204:E4206"/>
    <mergeCell ref="F4204:F4206"/>
    <mergeCell ref="G4204:G4206"/>
    <mergeCell ref="H4204:H4206"/>
    <mergeCell ref="I4204:I4206"/>
    <mergeCell ref="J4204:J4206"/>
    <mergeCell ref="K4204:K4206"/>
    <mergeCell ref="L4204:L4206"/>
    <mergeCell ref="D4207:D4209"/>
    <mergeCell ref="E4207:E4209"/>
    <mergeCell ref="F4207:F4209"/>
    <mergeCell ref="G4207:G4209"/>
    <mergeCell ref="H4207:H4209"/>
    <mergeCell ref="I4207:I4209"/>
    <mergeCell ref="J4207:J4209"/>
    <mergeCell ref="K4207:K4209"/>
    <mergeCell ref="L4207:L4209"/>
    <mergeCell ref="D4210:D4212"/>
    <mergeCell ref="E4210:E4212"/>
    <mergeCell ref="F4210:F4212"/>
    <mergeCell ref="G4210:G4212"/>
    <mergeCell ref="H4210:H4212"/>
    <mergeCell ref="I4210:I4212"/>
    <mergeCell ref="J4210:J4212"/>
    <mergeCell ref="K4210:K4212"/>
    <mergeCell ref="L4210:L4212"/>
    <mergeCell ref="D4213:F4213"/>
    <mergeCell ref="G4213:L4213"/>
    <mergeCell ref="A4215:A4217"/>
    <mergeCell ref="B4215:C4224"/>
    <mergeCell ref="D4218:D4220"/>
    <mergeCell ref="E4218:E4220"/>
    <mergeCell ref="F4218:F4220"/>
    <mergeCell ref="G4218:G4220"/>
    <mergeCell ref="H4218:H4220"/>
    <mergeCell ref="I4218:I4220"/>
    <mergeCell ref="J4218:J4220"/>
    <mergeCell ref="K4218:K4220"/>
    <mergeCell ref="L4218:L4220"/>
    <mergeCell ref="D4221:D4223"/>
    <mergeCell ref="E4221:E4223"/>
    <mergeCell ref="F4221:F4223"/>
    <mergeCell ref="G4221:G4223"/>
    <mergeCell ref="H4221:H4223"/>
    <mergeCell ref="I4221:I4223"/>
    <mergeCell ref="J4221:J4223"/>
    <mergeCell ref="K4221:K4223"/>
    <mergeCell ref="L4221:L4223"/>
    <mergeCell ref="D4224:F4224"/>
    <mergeCell ref="G4224:L4224"/>
    <mergeCell ref="A4204:A4206"/>
    <mergeCell ref="B4204:C4213"/>
    <mergeCell ref="D4182:D4184"/>
    <mergeCell ref="E4182:E4184"/>
    <mergeCell ref="F4182:F4184"/>
    <mergeCell ref="G4182:G4184"/>
    <mergeCell ref="H4182:H4184"/>
    <mergeCell ref="I4182:I4184"/>
    <mergeCell ref="J4182:J4184"/>
    <mergeCell ref="K4182:K4184"/>
    <mergeCell ref="L4182:L4184"/>
    <mergeCell ref="D4185:D4187"/>
    <mergeCell ref="E4185:E4187"/>
    <mergeCell ref="F4185:F4187"/>
    <mergeCell ref="G4185:G4187"/>
    <mergeCell ref="H4185:H4187"/>
    <mergeCell ref="I4185:I4187"/>
    <mergeCell ref="J4185:J4187"/>
    <mergeCell ref="K4185:K4187"/>
    <mergeCell ref="L4185:L4187"/>
    <mergeCell ref="D4188:D4190"/>
    <mergeCell ref="E4188:E4190"/>
    <mergeCell ref="F4188:F4190"/>
    <mergeCell ref="G4188:G4190"/>
    <mergeCell ref="H4188:H4190"/>
    <mergeCell ref="I4188:I4190"/>
    <mergeCell ref="J4188:J4190"/>
    <mergeCell ref="K4188:K4190"/>
    <mergeCell ref="L4188:L4190"/>
    <mergeCell ref="D4191:F4191"/>
    <mergeCell ref="G4191:L4191"/>
    <mergeCell ref="A4193:A4195"/>
    <mergeCell ref="B4193:C4202"/>
    <mergeCell ref="D4193:D4195"/>
    <mergeCell ref="E4193:E4195"/>
    <mergeCell ref="F4193:F4195"/>
    <mergeCell ref="G4193:G4195"/>
    <mergeCell ref="H4193:H4195"/>
    <mergeCell ref="I4193:I4195"/>
    <mergeCell ref="J4193:J4195"/>
    <mergeCell ref="K4193:K4195"/>
    <mergeCell ref="L4193:L4195"/>
    <mergeCell ref="D4196:D4198"/>
    <mergeCell ref="E4196:E4198"/>
    <mergeCell ref="F4196:F4198"/>
    <mergeCell ref="G4196:G4198"/>
    <mergeCell ref="H4196:H4198"/>
    <mergeCell ref="I4196:I4198"/>
    <mergeCell ref="J4196:J4198"/>
    <mergeCell ref="K4196:K4198"/>
    <mergeCell ref="L4196:L4198"/>
    <mergeCell ref="D4199:D4201"/>
    <mergeCell ref="E4199:E4201"/>
    <mergeCell ref="F4199:F4201"/>
    <mergeCell ref="G4199:G4201"/>
    <mergeCell ref="H4199:H4201"/>
    <mergeCell ref="I4199:I4201"/>
    <mergeCell ref="J4199:J4201"/>
    <mergeCell ref="K4199:K4201"/>
    <mergeCell ref="L4199:L4201"/>
    <mergeCell ref="D4202:F4202"/>
    <mergeCell ref="G4202:L4202"/>
    <mergeCell ref="A4182:A4184"/>
    <mergeCell ref="B4182:C4191"/>
    <mergeCell ref="D4160:D4162"/>
    <mergeCell ref="E4160:E4162"/>
    <mergeCell ref="F4160:F4162"/>
    <mergeCell ref="G4160:G4162"/>
    <mergeCell ref="H4160:H4162"/>
    <mergeCell ref="I4160:I4162"/>
    <mergeCell ref="J4160:J4162"/>
    <mergeCell ref="K4160:K4162"/>
    <mergeCell ref="L4160:L4162"/>
    <mergeCell ref="D4163:D4165"/>
    <mergeCell ref="E4163:E4165"/>
    <mergeCell ref="F4163:F4165"/>
    <mergeCell ref="G4163:G4165"/>
    <mergeCell ref="H4163:H4165"/>
    <mergeCell ref="I4163:I4165"/>
    <mergeCell ref="J4163:J4165"/>
    <mergeCell ref="K4163:K4165"/>
    <mergeCell ref="L4163:L4165"/>
    <mergeCell ref="D4166:D4168"/>
    <mergeCell ref="E4166:E4168"/>
    <mergeCell ref="F4166:F4168"/>
    <mergeCell ref="G4166:G4168"/>
    <mergeCell ref="H4166:H4168"/>
    <mergeCell ref="I4166:I4168"/>
    <mergeCell ref="J4166:J4168"/>
    <mergeCell ref="K4166:K4168"/>
    <mergeCell ref="L4166:L4168"/>
    <mergeCell ref="D4169:F4169"/>
    <mergeCell ref="G4169:L4169"/>
    <mergeCell ref="A4171:A4173"/>
    <mergeCell ref="B4171:C4180"/>
    <mergeCell ref="D4171:D4173"/>
    <mergeCell ref="E4171:E4173"/>
    <mergeCell ref="F4171:F4173"/>
    <mergeCell ref="G4171:G4173"/>
    <mergeCell ref="H4171:H4173"/>
    <mergeCell ref="I4171:I4173"/>
    <mergeCell ref="J4171:J4173"/>
    <mergeCell ref="K4171:K4173"/>
    <mergeCell ref="L4171:L4173"/>
    <mergeCell ref="D4174:D4176"/>
    <mergeCell ref="E4174:E4176"/>
    <mergeCell ref="F4174:F4176"/>
    <mergeCell ref="G4174:G4176"/>
    <mergeCell ref="H4174:H4176"/>
    <mergeCell ref="I4174:I4176"/>
    <mergeCell ref="J4174:J4176"/>
    <mergeCell ref="K4174:K4176"/>
    <mergeCell ref="L4174:L4176"/>
    <mergeCell ref="D4177:D4179"/>
    <mergeCell ref="E4177:E4179"/>
    <mergeCell ref="F4177:F4179"/>
    <mergeCell ref="G4177:G4179"/>
    <mergeCell ref="H4177:H4179"/>
    <mergeCell ref="I4177:I4179"/>
    <mergeCell ref="J4177:J4179"/>
    <mergeCell ref="K4177:K4179"/>
    <mergeCell ref="L4177:L4179"/>
    <mergeCell ref="D4180:F4180"/>
    <mergeCell ref="G4180:L4180"/>
    <mergeCell ref="A4160:A4162"/>
    <mergeCell ref="B4160:C4169"/>
    <mergeCell ref="A4138:A4140"/>
    <mergeCell ref="B4138:C4147"/>
    <mergeCell ref="D4138:D4140"/>
    <mergeCell ref="E4138:E4140"/>
    <mergeCell ref="F4138:F4140"/>
    <mergeCell ref="G4138:G4140"/>
    <mergeCell ref="H4138:H4140"/>
    <mergeCell ref="I4138:I4140"/>
    <mergeCell ref="J4138:J4140"/>
    <mergeCell ref="K4138:K4140"/>
    <mergeCell ref="L4138:L4140"/>
    <mergeCell ref="D4141:D4143"/>
    <mergeCell ref="E4141:E4143"/>
    <mergeCell ref="F4141:F4143"/>
    <mergeCell ref="G4141:G4143"/>
    <mergeCell ref="H4141:H4143"/>
    <mergeCell ref="I4141:I4143"/>
    <mergeCell ref="J4141:J4143"/>
    <mergeCell ref="K4141:K4143"/>
    <mergeCell ref="L4141:L4143"/>
    <mergeCell ref="D4144:D4146"/>
    <mergeCell ref="E4144:E4146"/>
    <mergeCell ref="F4144:F4146"/>
    <mergeCell ref="G4144:G4146"/>
    <mergeCell ref="H4144:H4146"/>
    <mergeCell ref="I4144:I4146"/>
    <mergeCell ref="J4144:J4146"/>
    <mergeCell ref="K4144:K4146"/>
    <mergeCell ref="L4144:L4146"/>
    <mergeCell ref="D4147:F4147"/>
    <mergeCell ref="G4147:L4147"/>
    <mergeCell ref="A4149:A4151"/>
    <mergeCell ref="B4149:C4158"/>
    <mergeCell ref="D4149:D4151"/>
    <mergeCell ref="E4149:E4151"/>
    <mergeCell ref="F4149:F4151"/>
    <mergeCell ref="G4149:G4151"/>
    <mergeCell ref="H4149:H4151"/>
    <mergeCell ref="I4149:I4151"/>
    <mergeCell ref="J4149:J4151"/>
    <mergeCell ref="K4149:K4151"/>
    <mergeCell ref="L4149:L4151"/>
    <mergeCell ref="D4152:D4154"/>
    <mergeCell ref="E4152:E4154"/>
    <mergeCell ref="F4152:F4154"/>
    <mergeCell ref="G4152:G4154"/>
    <mergeCell ref="H4152:H4154"/>
    <mergeCell ref="I4152:I4154"/>
    <mergeCell ref="J4152:J4154"/>
    <mergeCell ref="K4152:K4154"/>
    <mergeCell ref="L4152:L4154"/>
    <mergeCell ref="D4155:D4157"/>
    <mergeCell ref="E4155:E4157"/>
    <mergeCell ref="F4155:F4157"/>
    <mergeCell ref="G4155:G4157"/>
    <mergeCell ref="H4155:H4157"/>
    <mergeCell ref="I4155:I4157"/>
    <mergeCell ref="J4155:J4157"/>
    <mergeCell ref="K4155:K4157"/>
    <mergeCell ref="L4155:L4157"/>
    <mergeCell ref="D4158:F4158"/>
    <mergeCell ref="G4158:L4158"/>
    <mergeCell ref="D4119:D4121"/>
    <mergeCell ref="E4119:E4121"/>
    <mergeCell ref="F4119:F4121"/>
    <mergeCell ref="G4119:G4121"/>
    <mergeCell ref="H4119:H4121"/>
    <mergeCell ref="I4119:I4121"/>
    <mergeCell ref="J4119:J4121"/>
    <mergeCell ref="K4119:K4121"/>
    <mergeCell ref="L4119:L4121"/>
    <mergeCell ref="D4122:D4124"/>
    <mergeCell ref="E4122:E4124"/>
    <mergeCell ref="F4122:F4124"/>
    <mergeCell ref="G4122:G4124"/>
    <mergeCell ref="H4122:H4124"/>
    <mergeCell ref="I4122:I4124"/>
    <mergeCell ref="J4122:J4124"/>
    <mergeCell ref="K4122:K4124"/>
    <mergeCell ref="L4122:L4124"/>
    <mergeCell ref="D4125:F4125"/>
    <mergeCell ref="G4125:L4125"/>
    <mergeCell ref="A4127:A4129"/>
    <mergeCell ref="B4127:C4136"/>
    <mergeCell ref="D4127:D4129"/>
    <mergeCell ref="E4127:E4129"/>
    <mergeCell ref="F4127:F4129"/>
    <mergeCell ref="G4127:G4129"/>
    <mergeCell ref="H4127:H4129"/>
    <mergeCell ref="I4127:I4129"/>
    <mergeCell ref="J4127:J4129"/>
    <mergeCell ref="K4127:K4129"/>
    <mergeCell ref="L4127:L4129"/>
    <mergeCell ref="D4130:D4132"/>
    <mergeCell ref="E4130:E4132"/>
    <mergeCell ref="F4130:F4132"/>
    <mergeCell ref="G4130:G4132"/>
    <mergeCell ref="H4130:H4132"/>
    <mergeCell ref="I4130:I4132"/>
    <mergeCell ref="J4130:J4132"/>
    <mergeCell ref="K4130:K4132"/>
    <mergeCell ref="L4130:L4132"/>
    <mergeCell ref="D4133:D4135"/>
    <mergeCell ref="E4133:E4135"/>
    <mergeCell ref="F4133:F4135"/>
    <mergeCell ref="G4133:G4135"/>
    <mergeCell ref="H4133:H4135"/>
    <mergeCell ref="I4133:I4135"/>
    <mergeCell ref="J4133:J4135"/>
    <mergeCell ref="K4133:K4135"/>
    <mergeCell ref="L4133:L4135"/>
    <mergeCell ref="D4136:F4136"/>
    <mergeCell ref="G4136:L4136"/>
    <mergeCell ref="B4105:C4114"/>
    <mergeCell ref="D4105:D4107"/>
    <mergeCell ref="E4105:E4107"/>
    <mergeCell ref="F4105:F4107"/>
    <mergeCell ref="G4105:G4107"/>
    <mergeCell ref="H4105:H4107"/>
    <mergeCell ref="I4105:I4107"/>
    <mergeCell ref="J4105:J4107"/>
    <mergeCell ref="K4105:K4107"/>
    <mergeCell ref="L4105:L4107"/>
    <mergeCell ref="D4108:D4110"/>
    <mergeCell ref="E4108:E4110"/>
    <mergeCell ref="F4108:F4110"/>
    <mergeCell ref="G4108:G4110"/>
    <mergeCell ref="H4108:H4110"/>
    <mergeCell ref="I4108:I4110"/>
    <mergeCell ref="J4108:J4110"/>
    <mergeCell ref="K4108:K4110"/>
    <mergeCell ref="L4108:L4110"/>
    <mergeCell ref="D4111:D4113"/>
    <mergeCell ref="E4111:E4113"/>
    <mergeCell ref="F4111:F4113"/>
    <mergeCell ref="G4111:G4113"/>
    <mergeCell ref="H4111:H4113"/>
    <mergeCell ref="I4111:I4113"/>
    <mergeCell ref="J4111:J4113"/>
    <mergeCell ref="K4111:K4113"/>
    <mergeCell ref="L4111:L4113"/>
    <mergeCell ref="D4114:F4114"/>
    <mergeCell ref="G4114:L4114"/>
    <mergeCell ref="E4116:E4118"/>
    <mergeCell ref="F4116:F4118"/>
    <mergeCell ref="G4116:G4118"/>
    <mergeCell ref="H4116:H4118"/>
    <mergeCell ref="I4116:I4118"/>
    <mergeCell ref="J4116:J4118"/>
    <mergeCell ref="K4116:K4118"/>
    <mergeCell ref="L4116:L4118"/>
    <mergeCell ref="D4061:D4063"/>
    <mergeCell ref="E4061:E4063"/>
    <mergeCell ref="F4061:F4063"/>
    <mergeCell ref="G4061:G4063"/>
    <mergeCell ref="H4061:H4063"/>
    <mergeCell ref="I4061:I4063"/>
    <mergeCell ref="J4061:J4063"/>
    <mergeCell ref="K4061:K4063"/>
    <mergeCell ref="L4061:L4063"/>
    <mergeCell ref="D4070:F4070"/>
    <mergeCell ref="G4070:L4070"/>
    <mergeCell ref="A4072:A4074"/>
    <mergeCell ref="B4072:C4081"/>
    <mergeCell ref="D4072:D4074"/>
    <mergeCell ref="E4072:E4074"/>
    <mergeCell ref="F4072:F4074"/>
    <mergeCell ref="G4072:G4074"/>
    <mergeCell ref="H4072:H4074"/>
    <mergeCell ref="I4072:I4074"/>
    <mergeCell ref="J4072:J4074"/>
    <mergeCell ref="K4072:K4074"/>
    <mergeCell ref="L4072:L4074"/>
    <mergeCell ref="D4081:F4081"/>
    <mergeCell ref="G4081:L4081"/>
    <mergeCell ref="A4083:A4085"/>
    <mergeCell ref="B4083:C4092"/>
    <mergeCell ref="D4083:D4085"/>
    <mergeCell ref="E4083:E4085"/>
    <mergeCell ref="F4083:F4085"/>
    <mergeCell ref="G4083:G4085"/>
    <mergeCell ref="H4083:H4085"/>
    <mergeCell ref="I4083:I4085"/>
    <mergeCell ref="J4083:J4085"/>
    <mergeCell ref="K4083:K4085"/>
    <mergeCell ref="L4083:L4085"/>
    <mergeCell ref="D4092:F4092"/>
    <mergeCell ref="G4092:L4092"/>
    <mergeCell ref="D4064:D4066"/>
    <mergeCell ref="E4064:E4066"/>
    <mergeCell ref="F4064:F4066"/>
    <mergeCell ref="G4064:G4066"/>
    <mergeCell ref="H4064:H4066"/>
    <mergeCell ref="I4064:I4066"/>
    <mergeCell ref="J4064:J4066"/>
    <mergeCell ref="K4064:K4066"/>
    <mergeCell ref="L4064:L4066"/>
    <mergeCell ref="D4067:D4069"/>
    <mergeCell ref="E4067:E4069"/>
    <mergeCell ref="F4067:F4069"/>
    <mergeCell ref="G4067:G4069"/>
    <mergeCell ref="H4067:H4069"/>
    <mergeCell ref="I4067:I4069"/>
    <mergeCell ref="J4067:J4069"/>
    <mergeCell ref="K4067:K4069"/>
    <mergeCell ref="L4067:L4069"/>
    <mergeCell ref="A4061:A4063"/>
    <mergeCell ref="B4061:C4070"/>
    <mergeCell ref="D4086:D4088"/>
    <mergeCell ref="E4086:E4088"/>
    <mergeCell ref="F4086:F4088"/>
    <mergeCell ref="G4086:G4088"/>
    <mergeCell ref="H4086:H4088"/>
    <mergeCell ref="I4086:I4088"/>
    <mergeCell ref="J4086:J4088"/>
    <mergeCell ref="J4028:J4030"/>
    <mergeCell ref="K4028:K4030"/>
    <mergeCell ref="L4028:L4030"/>
    <mergeCell ref="D4037:F4037"/>
    <mergeCell ref="G4037:L4037"/>
    <mergeCell ref="A4039:A4041"/>
    <mergeCell ref="B4039:C4048"/>
    <mergeCell ref="D4039:D4041"/>
    <mergeCell ref="E4039:E4041"/>
    <mergeCell ref="F4039:F4041"/>
    <mergeCell ref="G4039:G4041"/>
    <mergeCell ref="H4039:H4041"/>
    <mergeCell ref="I4039:I4041"/>
    <mergeCell ref="J4039:J4041"/>
    <mergeCell ref="K4039:K4041"/>
    <mergeCell ref="L4039:L4041"/>
    <mergeCell ref="D4048:F4048"/>
    <mergeCell ref="G4048:L4048"/>
    <mergeCell ref="A4050:A4052"/>
    <mergeCell ref="B4050:C4059"/>
    <mergeCell ref="D4050:D4052"/>
    <mergeCell ref="E4050:E4052"/>
    <mergeCell ref="F4050:F4052"/>
    <mergeCell ref="G4050:G4052"/>
    <mergeCell ref="H4050:H4052"/>
    <mergeCell ref="I4050:I4052"/>
    <mergeCell ref="J4050:J4052"/>
    <mergeCell ref="K4050:K4052"/>
    <mergeCell ref="L4050:L4052"/>
    <mergeCell ref="D4059:F4059"/>
    <mergeCell ref="G4059:L4059"/>
    <mergeCell ref="D4045:D4047"/>
    <mergeCell ref="E4045:E4047"/>
    <mergeCell ref="F4045:F4047"/>
    <mergeCell ref="G4045:G4047"/>
    <mergeCell ref="H4045:H4047"/>
    <mergeCell ref="I4045:I4047"/>
    <mergeCell ref="J4045:J4047"/>
    <mergeCell ref="K4045:K4047"/>
    <mergeCell ref="L4045:L4047"/>
    <mergeCell ref="D4053:D4055"/>
    <mergeCell ref="E4053:E4055"/>
    <mergeCell ref="F4053:F4055"/>
    <mergeCell ref="G4053:G4055"/>
    <mergeCell ref="H4053:H4055"/>
    <mergeCell ref="I4053:I4055"/>
    <mergeCell ref="J4053:J4055"/>
    <mergeCell ref="K4053:K4055"/>
    <mergeCell ref="L4053:L4055"/>
    <mergeCell ref="D4056:D4058"/>
    <mergeCell ref="E4056:E4058"/>
    <mergeCell ref="F4056:F4058"/>
    <mergeCell ref="G4056:G4058"/>
    <mergeCell ref="H4056:H4058"/>
    <mergeCell ref="I4056:I4058"/>
    <mergeCell ref="J4056:J4058"/>
    <mergeCell ref="K4056:K4058"/>
    <mergeCell ref="L4056:L4058"/>
    <mergeCell ref="B3995:C4004"/>
    <mergeCell ref="D3995:D3997"/>
    <mergeCell ref="E3995:E3997"/>
    <mergeCell ref="F3995:F3997"/>
    <mergeCell ref="G3995:G3997"/>
    <mergeCell ref="H3995:H3997"/>
    <mergeCell ref="I3995:I3997"/>
    <mergeCell ref="J3995:J3997"/>
    <mergeCell ref="K3995:K3997"/>
    <mergeCell ref="L3995:L3997"/>
    <mergeCell ref="D4004:F4004"/>
    <mergeCell ref="G4004:L4004"/>
    <mergeCell ref="A4006:A4008"/>
    <mergeCell ref="B4006:C4015"/>
    <mergeCell ref="D4006:D4008"/>
    <mergeCell ref="E4006:E4008"/>
    <mergeCell ref="F4006:F4008"/>
    <mergeCell ref="G4006:G4008"/>
    <mergeCell ref="H4006:H4008"/>
    <mergeCell ref="I4006:I4008"/>
    <mergeCell ref="J4006:J4008"/>
    <mergeCell ref="K4006:K4008"/>
    <mergeCell ref="L4006:L4008"/>
    <mergeCell ref="D4015:F4015"/>
    <mergeCell ref="G4015:L4015"/>
    <mergeCell ref="A4017:A4019"/>
    <mergeCell ref="B4017:C4026"/>
    <mergeCell ref="D4017:D4019"/>
    <mergeCell ref="E4017:E4019"/>
    <mergeCell ref="F4017:F4019"/>
    <mergeCell ref="G4017:G4019"/>
    <mergeCell ref="H4017:H4019"/>
    <mergeCell ref="I4017:I4019"/>
    <mergeCell ref="J4017:J4019"/>
    <mergeCell ref="K4017:K4019"/>
    <mergeCell ref="L4017:L4019"/>
    <mergeCell ref="D4026:F4026"/>
    <mergeCell ref="G4026:L4026"/>
    <mergeCell ref="D3998:D4000"/>
    <mergeCell ref="E3998:E4000"/>
    <mergeCell ref="F3998:F4000"/>
    <mergeCell ref="G3998:G4000"/>
    <mergeCell ref="H3998:H4000"/>
    <mergeCell ref="I3998:I4000"/>
    <mergeCell ref="J3998:J4000"/>
    <mergeCell ref="K3998:K4000"/>
    <mergeCell ref="L3998:L4000"/>
    <mergeCell ref="D4001:D4003"/>
    <mergeCell ref="E4001:E4003"/>
    <mergeCell ref="F4001:F4003"/>
    <mergeCell ref="G4001:G4003"/>
    <mergeCell ref="H4001:H4003"/>
    <mergeCell ref="I4001:I4003"/>
    <mergeCell ref="J4001:J4003"/>
    <mergeCell ref="K4001:K4003"/>
    <mergeCell ref="L4001:L4003"/>
    <mergeCell ref="A3995:A3997"/>
    <mergeCell ref="D4020:D4022"/>
    <mergeCell ref="E4020:E4022"/>
    <mergeCell ref="F4020:F4022"/>
    <mergeCell ref="G4020:G4022"/>
    <mergeCell ref="H4020:H4022"/>
    <mergeCell ref="I4020:I4022"/>
    <mergeCell ref="J4020:J4022"/>
    <mergeCell ref="D3973:D3975"/>
    <mergeCell ref="E3973:E3975"/>
    <mergeCell ref="F3973:F3975"/>
    <mergeCell ref="G3973:G3975"/>
    <mergeCell ref="H3973:H3975"/>
    <mergeCell ref="I3973:I3975"/>
    <mergeCell ref="J3973:J3975"/>
    <mergeCell ref="K3973:K3975"/>
    <mergeCell ref="L3973:L3975"/>
    <mergeCell ref="D3976:D3978"/>
    <mergeCell ref="E3976:E3978"/>
    <mergeCell ref="F3976:F3978"/>
    <mergeCell ref="G3976:G3978"/>
    <mergeCell ref="H3976:H3978"/>
    <mergeCell ref="I3976:I3978"/>
    <mergeCell ref="J3976:J3978"/>
    <mergeCell ref="K3976:K3978"/>
    <mergeCell ref="L3976:L3978"/>
    <mergeCell ref="D3979:D3981"/>
    <mergeCell ref="E3979:E3981"/>
    <mergeCell ref="F3979:F3981"/>
    <mergeCell ref="G3979:G3981"/>
    <mergeCell ref="H3979:H3981"/>
    <mergeCell ref="I3979:I3981"/>
    <mergeCell ref="J3979:J3981"/>
    <mergeCell ref="K3979:K3981"/>
    <mergeCell ref="L3979:L3981"/>
    <mergeCell ref="D3982:F3982"/>
    <mergeCell ref="G3982:L3982"/>
    <mergeCell ref="A3984:A3986"/>
    <mergeCell ref="B3984:C3993"/>
    <mergeCell ref="D3984:D3986"/>
    <mergeCell ref="E3984:E3986"/>
    <mergeCell ref="F3984:F3986"/>
    <mergeCell ref="G3984:G3986"/>
    <mergeCell ref="H3984:H3986"/>
    <mergeCell ref="I3984:I3986"/>
    <mergeCell ref="J3984:J3986"/>
    <mergeCell ref="K3984:K3986"/>
    <mergeCell ref="L3984:L3986"/>
    <mergeCell ref="D3993:F3993"/>
    <mergeCell ref="G3993:L3993"/>
    <mergeCell ref="A3973:A3975"/>
    <mergeCell ref="B3973:C3982"/>
    <mergeCell ref="D3987:D3989"/>
    <mergeCell ref="E3987:E3989"/>
    <mergeCell ref="F3987:F3989"/>
    <mergeCell ref="G3987:G3989"/>
    <mergeCell ref="H3987:H3989"/>
    <mergeCell ref="I3987:I3989"/>
    <mergeCell ref="J3987:J3989"/>
    <mergeCell ref="K3987:K3989"/>
    <mergeCell ref="L3987:L3989"/>
    <mergeCell ref="D3990:D3992"/>
    <mergeCell ref="E3990:E3992"/>
    <mergeCell ref="F3990:F3992"/>
    <mergeCell ref="G3990:G3992"/>
    <mergeCell ref="H3990:H3992"/>
    <mergeCell ref="I3990:I3992"/>
    <mergeCell ref="J3990:J3992"/>
    <mergeCell ref="K3990:K3992"/>
    <mergeCell ref="L3990:L3992"/>
    <mergeCell ref="D3951:D3953"/>
    <mergeCell ref="E3951:E3953"/>
    <mergeCell ref="F3951:F3953"/>
    <mergeCell ref="G3951:G3953"/>
    <mergeCell ref="H3951:H3953"/>
    <mergeCell ref="I3951:I3953"/>
    <mergeCell ref="J3951:J3953"/>
    <mergeCell ref="K3951:K3953"/>
    <mergeCell ref="L3951:L3953"/>
    <mergeCell ref="D3954:D3956"/>
    <mergeCell ref="E3954:E3956"/>
    <mergeCell ref="F3954:F3956"/>
    <mergeCell ref="G3954:G3956"/>
    <mergeCell ref="H3954:H3956"/>
    <mergeCell ref="I3954:I3956"/>
    <mergeCell ref="J3954:J3956"/>
    <mergeCell ref="K3954:K3956"/>
    <mergeCell ref="L3954:L3956"/>
    <mergeCell ref="D3957:D3959"/>
    <mergeCell ref="E3957:E3959"/>
    <mergeCell ref="F3957:F3959"/>
    <mergeCell ref="G3957:G3959"/>
    <mergeCell ref="H3957:H3959"/>
    <mergeCell ref="I3957:I3959"/>
    <mergeCell ref="J3957:J3959"/>
    <mergeCell ref="K3957:K3959"/>
    <mergeCell ref="L3957:L3959"/>
    <mergeCell ref="D3960:F3960"/>
    <mergeCell ref="G3960:L3960"/>
    <mergeCell ref="A3962:A3964"/>
    <mergeCell ref="B3962:C3971"/>
    <mergeCell ref="D3962:D3964"/>
    <mergeCell ref="E3962:E3964"/>
    <mergeCell ref="F3962:F3964"/>
    <mergeCell ref="G3962:G3964"/>
    <mergeCell ref="H3962:H3964"/>
    <mergeCell ref="I3962:I3964"/>
    <mergeCell ref="J3962:J3964"/>
    <mergeCell ref="K3962:K3964"/>
    <mergeCell ref="L3962:L3964"/>
    <mergeCell ref="D3965:D3967"/>
    <mergeCell ref="E3965:E3967"/>
    <mergeCell ref="F3965:F3967"/>
    <mergeCell ref="G3965:G3967"/>
    <mergeCell ref="H3965:H3967"/>
    <mergeCell ref="I3965:I3967"/>
    <mergeCell ref="J3965:J3967"/>
    <mergeCell ref="K3965:K3967"/>
    <mergeCell ref="L3965:L3967"/>
    <mergeCell ref="D3968:D3970"/>
    <mergeCell ref="E3968:E3970"/>
    <mergeCell ref="F3968:F3970"/>
    <mergeCell ref="G3968:G3970"/>
    <mergeCell ref="H3968:H3970"/>
    <mergeCell ref="I3968:I3970"/>
    <mergeCell ref="J3968:J3970"/>
    <mergeCell ref="K3968:K3970"/>
    <mergeCell ref="L3968:L3970"/>
    <mergeCell ref="D3971:F3971"/>
    <mergeCell ref="G3971:L3971"/>
    <mergeCell ref="A3951:A3953"/>
    <mergeCell ref="B3951:C3960"/>
    <mergeCell ref="D3929:D3931"/>
    <mergeCell ref="E3929:E3931"/>
    <mergeCell ref="F3929:F3931"/>
    <mergeCell ref="G3929:G3931"/>
    <mergeCell ref="H3929:H3931"/>
    <mergeCell ref="I3929:I3931"/>
    <mergeCell ref="J3929:J3931"/>
    <mergeCell ref="K3929:K3931"/>
    <mergeCell ref="L3929:L3931"/>
    <mergeCell ref="D3932:D3934"/>
    <mergeCell ref="E3932:E3934"/>
    <mergeCell ref="F3932:F3934"/>
    <mergeCell ref="G3932:G3934"/>
    <mergeCell ref="H3932:H3934"/>
    <mergeCell ref="I3932:I3934"/>
    <mergeCell ref="J3932:J3934"/>
    <mergeCell ref="K3932:K3934"/>
    <mergeCell ref="L3932:L3934"/>
    <mergeCell ref="D3935:D3937"/>
    <mergeCell ref="E3935:E3937"/>
    <mergeCell ref="F3935:F3937"/>
    <mergeCell ref="G3935:G3937"/>
    <mergeCell ref="H3935:H3937"/>
    <mergeCell ref="I3935:I3937"/>
    <mergeCell ref="J3935:J3937"/>
    <mergeCell ref="K3935:K3937"/>
    <mergeCell ref="L3935:L3937"/>
    <mergeCell ref="D3938:F3938"/>
    <mergeCell ref="G3938:L3938"/>
    <mergeCell ref="A3940:A3942"/>
    <mergeCell ref="B3940:C3949"/>
    <mergeCell ref="D3940:D3942"/>
    <mergeCell ref="E3940:E3942"/>
    <mergeCell ref="F3940:F3942"/>
    <mergeCell ref="G3940:G3942"/>
    <mergeCell ref="H3940:H3942"/>
    <mergeCell ref="I3940:I3942"/>
    <mergeCell ref="J3940:J3942"/>
    <mergeCell ref="K3940:K3942"/>
    <mergeCell ref="L3940:L3942"/>
    <mergeCell ref="D3943:D3945"/>
    <mergeCell ref="E3943:E3945"/>
    <mergeCell ref="F3943:F3945"/>
    <mergeCell ref="G3943:G3945"/>
    <mergeCell ref="H3943:H3945"/>
    <mergeCell ref="I3943:I3945"/>
    <mergeCell ref="J3943:J3945"/>
    <mergeCell ref="K3943:K3945"/>
    <mergeCell ref="L3943:L3945"/>
    <mergeCell ref="D3946:D3948"/>
    <mergeCell ref="E3946:E3948"/>
    <mergeCell ref="F3946:F3948"/>
    <mergeCell ref="G3946:G3948"/>
    <mergeCell ref="H3946:H3948"/>
    <mergeCell ref="I3946:I3948"/>
    <mergeCell ref="J3946:J3948"/>
    <mergeCell ref="K3946:K3948"/>
    <mergeCell ref="L3946:L3948"/>
    <mergeCell ref="D3949:F3949"/>
    <mergeCell ref="G3949:L3949"/>
    <mergeCell ref="A3929:A3931"/>
    <mergeCell ref="B3929:C3938"/>
    <mergeCell ref="D3907:D3909"/>
    <mergeCell ref="E3907:E3909"/>
    <mergeCell ref="F3907:F3909"/>
    <mergeCell ref="G3907:G3909"/>
    <mergeCell ref="H3907:H3909"/>
    <mergeCell ref="I3907:I3909"/>
    <mergeCell ref="J3907:J3909"/>
    <mergeCell ref="K3907:K3909"/>
    <mergeCell ref="L3907:L3909"/>
    <mergeCell ref="D3910:D3912"/>
    <mergeCell ref="E3910:E3912"/>
    <mergeCell ref="F3910:F3912"/>
    <mergeCell ref="G3910:G3912"/>
    <mergeCell ref="H3910:H3912"/>
    <mergeCell ref="I3910:I3912"/>
    <mergeCell ref="J3910:J3912"/>
    <mergeCell ref="K3910:K3912"/>
    <mergeCell ref="L3910:L3912"/>
    <mergeCell ref="D3913:D3915"/>
    <mergeCell ref="E3913:E3915"/>
    <mergeCell ref="F3913:F3915"/>
    <mergeCell ref="G3913:G3915"/>
    <mergeCell ref="H3913:H3915"/>
    <mergeCell ref="I3913:I3915"/>
    <mergeCell ref="J3913:J3915"/>
    <mergeCell ref="K3913:K3915"/>
    <mergeCell ref="L3913:L3915"/>
    <mergeCell ref="D3916:F3916"/>
    <mergeCell ref="G3916:L3916"/>
    <mergeCell ref="A3918:A3920"/>
    <mergeCell ref="B3918:C3927"/>
    <mergeCell ref="D3918:D3920"/>
    <mergeCell ref="E3918:E3920"/>
    <mergeCell ref="F3918:F3920"/>
    <mergeCell ref="G3918:G3920"/>
    <mergeCell ref="H3918:H3920"/>
    <mergeCell ref="I3918:I3920"/>
    <mergeCell ref="J3918:J3920"/>
    <mergeCell ref="K3918:K3920"/>
    <mergeCell ref="L3918:L3920"/>
    <mergeCell ref="D3921:D3923"/>
    <mergeCell ref="E3921:E3923"/>
    <mergeCell ref="F3921:F3923"/>
    <mergeCell ref="G3921:G3923"/>
    <mergeCell ref="H3921:H3923"/>
    <mergeCell ref="I3921:I3923"/>
    <mergeCell ref="J3921:J3923"/>
    <mergeCell ref="K3921:K3923"/>
    <mergeCell ref="L3921:L3923"/>
    <mergeCell ref="D3924:D3926"/>
    <mergeCell ref="E3924:E3926"/>
    <mergeCell ref="F3924:F3926"/>
    <mergeCell ref="G3924:G3926"/>
    <mergeCell ref="H3924:H3926"/>
    <mergeCell ref="I3924:I3926"/>
    <mergeCell ref="J3924:J3926"/>
    <mergeCell ref="K3924:K3926"/>
    <mergeCell ref="L3924:L3926"/>
    <mergeCell ref="D3927:F3927"/>
    <mergeCell ref="G3927:L3927"/>
    <mergeCell ref="A3907:A3909"/>
    <mergeCell ref="B3907:C3916"/>
    <mergeCell ref="B3885:C3894"/>
    <mergeCell ref="D3885:D3887"/>
    <mergeCell ref="E3885:E3887"/>
    <mergeCell ref="F3885:F3887"/>
    <mergeCell ref="G3885:G3887"/>
    <mergeCell ref="H3885:H3887"/>
    <mergeCell ref="I3885:I3887"/>
    <mergeCell ref="J3885:J3887"/>
    <mergeCell ref="K3885:K3887"/>
    <mergeCell ref="L3885:L3887"/>
    <mergeCell ref="D3888:D3890"/>
    <mergeCell ref="E3888:E3890"/>
    <mergeCell ref="F3888:F3890"/>
    <mergeCell ref="G3888:G3890"/>
    <mergeCell ref="H3888:H3890"/>
    <mergeCell ref="I3888:I3890"/>
    <mergeCell ref="J3888:J3890"/>
    <mergeCell ref="K3888:K3890"/>
    <mergeCell ref="L3888:L3890"/>
    <mergeCell ref="D3891:D3893"/>
    <mergeCell ref="E3891:E3893"/>
    <mergeCell ref="F3891:F3893"/>
    <mergeCell ref="G3891:G3893"/>
    <mergeCell ref="H3891:H3893"/>
    <mergeCell ref="I3891:I3893"/>
    <mergeCell ref="J3891:J3893"/>
    <mergeCell ref="K3891:K3893"/>
    <mergeCell ref="L3891:L3893"/>
    <mergeCell ref="D3894:F3894"/>
    <mergeCell ref="G3894:L3894"/>
    <mergeCell ref="A3896:A3898"/>
    <mergeCell ref="B3896:C3905"/>
    <mergeCell ref="D3896:D3898"/>
    <mergeCell ref="E3896:E3898"/>
    <mergeCell ref="F3896:F3898"/>
    <mergeCell ref="G3896:G3898"/>
    <mergeCell ref="H3896:H3898"/>
    <mergeCell ref="I3896:I3898"/>
    <mergeCell ref="J3896:J3898"/>
    <mergeCell ref="K3896:K3898"/>
    <mergeCell ref="L3896:L3898"/>
    <mergeCell ref="D3899:D3901"/>
    <mergeCell ref="E3899:E3901"/>
    <mergeCell ref="F3899:F3901"/>
    <mergeCell ref="G3899:G3901"/>
    <mergeCell ref="H3899:H3901"/>
    <mergeCell ref="I3899:I3901"/>
    <mergeCell ref="J3899:J3901"/>
    <mergeCell ref="K3899:K3901"/>
    <mergeCell ref="L3899:L3901"/>
    <mergeCell ref="D3902:D3904"/>
    <mergeCell ref="E3902:E3904"/>
    <mergeCell ref="F3902:F3904"/>
    <mergeCell ref="G3902:G3904"/>
    <mergeCell ref="H3902:H3904"/>
    <mergeCell ref="I3902:I3904"/>
    <mergeCell ref="J3902:J3904"/>
    <mergeCell ref="K3902:K3904"/>
    <mergeCell ref="L3902:L3904"/>
    <mergeCell ref="D3905:F3905"/>
    <mergeCell ref="G3905:L3905"/>
    <mergeCell ref="A3885:A3887"/>
    <mergeCell ref="D3863:D3865"/>
    <mergeCell ref="E3863:E3865"/>
    <mergeCell ref="F3863:F3865"/>
    <mergeCell ref="G3863:G3865"/>
    <mergeCell ref="H3863:H3865"/>
    <mergeCell ref="I3863:I3865"/>
    <mergeCell ref="J3863:J3865"/>
    <mergeCell ref="K3863:K3865"/>
    <mergeCell ref="L3863:L3865"/>
    <mergeCell ref="D3866:D3868"/>
    <mergeCell ref="E3866:E3868"/>
    <mergeCell ref="F3866:F3868"/>
    <mergeCell ref="G3866:G3868"/>
    <mergeCell ref="H3866:H3868"/>
    <mergeCell ref="I3866:I3868"/>
    <mergeCell ref="J3866:J3868"/>
    <mergeCell ref="K3866:K3868"/>
    <mergeCell ref="L3866:L3868"/>
    <mergeCell ref="D3869:D3871"/>
    <mergeCell ref="E3869:E3871"/>
    <mergeCell ref="F3869:F3871"/>
    <mergeCell ref="G3869:G3871"/>
    <mergeCell ref="H3869:H3871"/>
    <mergeCell ref="I3869:I3871"/>
    <mergeCell ref="J3869:J3871"/>
    <mergeCell ref="K3869:K3871"/>
    <mergeCell ref="L3869:L3871"/>
    <mergeCell ref="D3872:F3872"/>
    <mergeCell ref="G3872:L3872"/>
    <mergeCell ref="A3874:A3876"/>
    <mergeCell ref="B3874:C3883"/>
    <mergeCell ref="D3874:D3876"/>
    <mergeCell ref="E3874:E3876"/>
    <mergeCell ref="F3874:F3876"/>
    <mergeCell ref="G3874:G3876"/>
    <mergeCell ref="H3874:H3876"/>
    <mergeCell ref="I3874:I3876"/>
    <mergeCell ref="J3874:J3876"/>
    <mergeCell ref="K3874:K3876"/>
    <mergeCell ref="L3874:L3876"/>
    <mergeCell ref="D3877:D3879"/>
    <mergeCell ref="E3877:E3879"/>
    <mergeCell ref="F3877:F3879"/>
    <mergeCell ref="G3877:G3879"/>
    <mergeCell ref="H3877:H3879"/>
    <mergeCell ref="I3877:I3879"/>
    <mergeCell ref="J3877:J3879"/>
    <mergeCell ref="K3877:K3879"/>
    <mergeCell ref="L3877:L3879"/>
    <mergeCell ref="D3880:D3882"/>
    <mergeCell ref="E3880:E3882"/>
    <mergeCell ref="F3880:F3882"/>
    <mergeCell ref="G3880:G3882"/>
    <mergeCell ref="H3880:H3882"/>
    <mergeCell ref="I3880:I3882"/>
    <mergeCell ref="J3880:J3882"/>
    <mergeCell ref="K3880:K3882"/>
    <mergeCell ref="L3880:L3882"/>
    <mergeCell ref="D3883:F3883"/>
    <mergeCell ref="G3883:L3883"/>
    <mergeCell ref="A3863:A3865"/>
    <mergeCell ref="B3863:C3872"/>
    <mergeCell ref="D3841:D3843"/>
    <mergeCell ref="E3841:E3843"/>
    <mergeCell ref="F3841:F3843"/>
    <mergeCell ref="G3841:G3843"/>
    <mergeCell ref="H3841:H3843"/>
    <mergeCell ref="I3841:I3843"/>
    <mergeCell ref="J3841:J3843"/>
    <mergeCell ref="K3841:K3843"/>
    <mergeCell ref="L3841:L3843"/>
    <mergeCell ref="D3844:D3846"/>
    <mergeCell ref="E3844:E3846"/>
    <mergeCell ref="F3844:F3846"/>
    <mergeCell ref="G3844:G3846"/>
    <mergeCell ref="H3844:H3846"/>
    <mergeCell ref="I3844:I3846"/>
    <mergeCell ref="J3844:J3846"/>
    <mergeCell ref="K3844:K3846"/>
    <mergeCell ref="L3844:L3846"/>
    <mergeCell ref="D3847:D3849"/>
    <mergeCell ref="E3847:E3849"/>
    <mergeCell ref="F3847:F3849"/>
    <mergeCell ref="G3847:G3849"/>
    <mergeCell ref="H3847:H3849"/>
    <mergeCell ref="I3847:I3849"/>
    <mergeCell ref="J3847:J3849"/>
    <mergeCell ref="K3847:K3849"/>
    <mergeCell ref="L3847:L3849"/>
    <mergeCell ref="D3850:F3850"/>
    <mergeCell ref="G3850:L3850"/>
    <mergeCell ref="A3852:A3854"/>
    <mergeCell ref="B3852:C3861"/>
    <mergeCell ref="D3852:D3854"/>
    <mergeCell ref="E3852:E3854"/>
    <mergeCell ref="F3852:F3854"/>
    <mergeCell ref="G3852:G3854"/>
    <mergeCell ref="H3852:H3854"/>
    <mergeCell ref="I3852:I3854"/>
    <mergeCell ref="J3852:J3854"/>
    <mergeCell ref="K3852:K3854"/>
    <mergeCell ref="L3852:L3854"/>
    <mergeCell ref="D3855:D3857"/>
    <mergeCell ref="E3855:E3857"/>
    <mergeCell ref="F3855:F3857"/>
    <mergeCell ref="G3855:G3857"/>
    <mergeCell ref="H3855:H3857"/>
    <mergeCell ref="I3855:I3857"/>
    <mergeCell ref="J3855:J3857"/>
    <mergeCell ref="K3855:K3857"/>
    <mergeCell ref="L3855:L3857"/>
    <mergeCell ref="D3858:D3860"/>
    <mergeCell ref="E3858:E3860"/>
    <mergeCell ref="F3858:F3860"/>
    <mergeCell ref="G3858:G3860"/>
    <mergeCell ref="H3858:H3860"/>
    <mergeCell ref="I3858:I3860"/>
    <mergeCell ref="J3858:J3860"/>
    <mergeCell ref="K3858:K3860"/>
    <mergeCell ref="L3858:L3860"/>
    <mergeCell ref="D3861:F3861"/>
    <mergeCell ref="G3861:L3861"/>
    <mergeCell ref="A3841:A3843"/>
    <mergeCell ref="B3841:C3850"/>
    <mergeCell ref="D3819:D3821"/>
    <mergeCell ref="E3819:E3821"/>
    <mergeCell ref="F3819:F3821"/>
    <mergeCell ref="G3819:G3821"/>
    <mergeCell ref="H3819:H3821"/>
    <mergeCell ref="I3819:I3821"/>
    <mergeCell ref="J3819:J3821"/>
    <mergeCell ref="K3819:K3821"/>
    <mergeCell ref="L3819:L3821"/>
    <mergeCell ref="D3822:D3824"/>
    <mergeCell ref="E3822:E3824"/>
    <mergeCell ref="F3822:F3824"/>
    <mergeCell ref="G3822:G3824"/>
    <mergeCell ref="H3822:H3824"/>
    <mergeCell ref="I3822:I3824"/>
    <mergeCell ref="J3822:J3824"/>
    <mergeCell ref="K3822:K3824"/>
    <mergeCell ref="L3822:L3824"/>
    <mergeCell ref="D3825:D3827"/>
    <mergeCell ref="E3825:E3827"/>
    <mergeCell ref="F3825:F3827"/>
    <mergeCell ref="G3825:G3827"/>
    <mergeCell ref="H3825:H3827"/>
    <mergeCell ref="I3825:I3827"/>
    <mergeCell ref="J3825:J3827"/>
    <mergeCell ref="K3825:K3827"/>
    <mergeCell ref="L3825:L3827"/>
    <mergeCell ref="D3828:F3828"/>
    <mergeCell ref="G3828:L3828"/>
    <mergeCell ref="A3830:A3832"/>
    <mergeCell ref="B3830:C3839"/>
    <mergeCell ref="D3830:D3832"/>
    <mergeCell ref="E3830:E3832"/>
    <mergeCell ref="F3830:F3832"/>
    <mergeCell ref="G3830:G3832"/>
    <mergeCell ref="H3830:H3832"/>
    <mergeCell ref="I3830:I3832"/>
    <mergeCell ref="J3830:J3832"/>
    <mergeCell ref="K3830:K3832"/>
    <mergeCell ref="L3830:L3832"/>
    <mergeCell ref="D3833:D3835"/>
    <mergeCell ref="E3833:E3835"/>
    <mergeCell ref="F3833:F3835"/>
    <mergeCell ref="G3833:G3835"/>
    <mergeCell ref="H3833:H3835"/>
    <mergeCell ref="I3833:I3835"/>
    <mergeCell ref="J3833:J3835"/>
    <mergeCell ref="K3833:K3835"/>
    <mergeCell ref="L3833:L3835"/>
    <mergeCell ref="D3836:D3838"/>
    <mergeCell ref="E3836:E3838"/>
    <mergeCell ref="F3836:F3838"/>
    <mergeCell ref="G3836:G3838"/>
    <mergeCell ref="H3836:H3838"/>
    <mergeCell ref="I3836:I3838"/>
    <mergeCell ref="J3836:J3838"/>
    <mergeCell ref="K3836:K3838"/>
    <mergeCell ref="L3836:L3838"/>
    <mergeCell ref="D3839:F3839"/>
    <mergeCell ref="G3839:L3839"/>
    <mergeCell ref="A3819:A3821"/>
    <mergeCell ref="B3819:C3828"/>
    <mergeCell ref="D3797:D3799"/>
    <mergeCell ref="E3797:E3799"/>
    <mergeCell ref="F3797:F3799"/>
    <mergeCell ref="G3797:G3799"/>
    <mergeCell ref="H3797:H3799"/>
    <mergeCell ref="I3797:I3799"/>
    <mergeCell ref="J3797:J3799"/>
    <mergeCell ref="K3797:K3799"/>
    <mergeCell ref="L3797:L3799"/>
    <mergeCell ref="D3800:D3802"/>
    <mergeCell ref="E3800:E3802"/>
    <mergeCell ref="F3800:F3802"/>
    <mergeCell ref="G3800:G3802"/>
    <mergeCell ref="H3800:H3802"/>
    <mergeCell ref="I3800:I3802"/>
    <mergeCell ref="J3800:J3802"/>
    <mergeCell ref="K3800:K3802"/>
    <mergeCell ref="L3800:L3802"/>
    <mergeCell ref="D3803:D3805"/>
    <mergeCell ref="E3803:E3805"/>
    <mergeCell ref="F3803:F3805"/>
    <mergeCell ref="G3803:G3805"/>
    <mergeCell ref="H3803:H3805"/>
    <mergeCell ref="I3803:I3805"/>
    <mergeCell ref="J3803:J3805"/>
    <mergeCell ref="K3803:K3805"/>
    <mergeCell ref="L3803:L3805"/>
    <mergeCell ref="D3806:F3806"/>
    <mergeCell ref="G3806:L3806"/>
    <mergeCell ref="A3808:A3810"/>
    <mergeCell ref="B3808:C3817"/>
    <mergeCell ref="D3808:D3810"/>
    <mergeCell ref="E3808:E3810"/>
    <mergeCell ref="F3808:F3810"/>
    <mergeCell ref="G3808:G3810"/>
    <mergeCell ref="H3808:H3810"/>
    <mergeCell ref="I3808:I3810"/>
    <mergeCell ref="J3808:J3810"/>
    <mergeCell ref="K3808:K3810"/>
    <mergeCell ref="L3808:L3810"/>
    <mergeCell ref="D3811:D3813"/>
    <mergeCell ref="E3811:E3813"/>
    <mergeCell ref="F3811:F3813"/>
    <mergeCell ref="G3811:G3813"/>
    <mergeCell ref="H3811:H3813"/>
    <mergeCell ref="I3811:I3813"/>
    <mergeCell ref="J3811:J3813"/>
    <mergeCell ref="K3811:K3813"/>
    <mergeCell ref="L3811:L3813"/>
    <mergeCell ref="D3814:D3816"/>
    <mergeCell ref="E3814:E3816"/>
    <mergeCell ref="F3814:F3816"/>
    <mergeCell ref="G3814:G3816"/>
    <mergeCell ref="H3814:H3816"/>
    <mergeCell ref="I3814:I3816"/>
    <mergeCell ref="J3814:J3816"/>
    <mergeCell ref="K3814:K3816"/>
    <mergeCell ref="L3814:L3816"/>
    <mergeCell ref="D3817:F3817"/>
    <mergeCell ref="G3817:L3817"/>
    <mergeCell ref="A3797:A3799"/>
    <mergeCell ref="B3797:C3806"/>
    <mergeCell ref="B3775:C3784"/>
    <mergeCell ref="D3775:D3777"/>
    <mergeCell ref="E3775:E3777"/>
    <mergeCell ref="F3775:F3777"/>
    <mergeCell ref="G3775:G3777"/>
    <mergeCell ref="H3775:H3777"/>
    <mergeCell ref="I3775:I3777"/>
    <mergeCell ref="J3775:J3777"/>
    <mergeCell ref="K3775:K3777"/>
    <mergeCell ref="L3775:L3777"/>
    <mergeCell ref="D3778:D3780"/>
    <mergeCell ref="E3778:E3780"/>
    <mergeCell ref="F3778:F3780"/>
    <mergeCell ref="G3778:G3780"/>
    <mergeCell ref="H3778:H3780"/>
    <mergeCell ref="I3778:I3780"/>
    <mergeCell ref="J3778:J3780"/>
    <mergeCell ref="K3778:K3780"/>
    <mergeCell ref="L3778:L3780"/>
    <mergeCell ref="D3781:D3783"/>
    <mergeCell ref="E3781:E3783"/>
    <mergeCell ref="F3781:F3783"/>
    <mergeCell ref="G3781:G3783"/>
    <mergeCell ref="H3781:H3783"/>
    <mergeCell ref="I3781:I3783"/>
    <mergeCell ref="J3781:J3783"/>
    <mergeCell ref="K3781:K3783"/>
    <mergeCell ref="L3781:L3783"/>
    <mergeCell ref="D3784:F3784"/>
    <mergeCell ref="G3784:L3784"/>
    <mergeCell ref="A3786:A3788"/>
    <mergeCell ref="B3786:C3795"/>
    <mergeCell ref="D3786:D3788"/>
    <mergeCell ref="E3786:E3788"/>
    <mergeCell ref="F3786:F3788"/>
    <mergeCell ref="G3786:G3788"/>
    <mergeCell ref="H3786:H3788"/>
    <mergeCell ref="I3786:I3788"/>
    <mergeCell ref="J3786:J3788"/>
    <mergeCell ref="K3786:K3788"/>
    <mergeCell ref="L3786:L3788"/>
    <mergeCell ref="D3789:D3791"/>
    <mergeCell ref="E3789:E3791"/>
    <mergeCell ref="F3789:F3791"/>
    <mergeCell ref="G3789:G3791"/>
    <mergeCell ref="H3789:H3791"/>
    <mergeCell ref="I3789:I3791"/>
    <mergeCell ref="J3789:J3791"/>
    <mergeCell ref="K3789:K3791"/>
    <mergeCell ref="L3789:L3791"/>
    <mergeCell ref="D3792:D3794"/>
    <mergeCell ref="E3792:E3794"/>
    <mergeCell ref="F3792:F3794"/>
    <mergeCell ref="G3792:G3794"/>
    <mergeCell ref="H3792:H3794"/>
    <mergeCell ref="I3792:I3794"/>
    <mergeCell ref="J3792:J3794"/>
    <mergeCell ref="K3792:K3794"/>
    <mergeCell ref="L3792:L3794"/>
    <mergeCell ref="D3795:F3795"/>
    <mergeCell ref="G3795:L3795"/>
    <mergeCell ref="A3775:A3777"/>
    <mergeCell ref="D3643:D3645"/>
    <mergeCell ref="E3643:E3645"/>
    <mergeCell ref="F3643:F3645"/>
    <mergeCell ref="G3643:G3645"/>
    <mergeCell ref="H3643:H3645"/>
    <mergeCell ref="I3643:I3645"/>
    <mergeCell ref="J3643:J3645"/>
    <mergeCell ref="K3643:K3645"/>
    <mergeCell ref="L3643:L3645"/>
    <mergeCell ref="D3646:D3648"/>
    <mergeCell ref="E3646:E3648"/>
    <mergeCell ref="F3646:F3648"/>
    <mergeCell ref="G3646:G3648"/>
    <mergeCell ref="H3646:H3648"/>
    <mergeCell ref="I3646:I3648"/>
    <mergeCell ref="J3646:J3648"/>
    <mergeCell ref="K3646:K3648"/>
    <mergeCell ref="L3646:L3648"/>
    <mergeCell ref="D3649:D3651"/>
    <mergeCell ref="E3649:E3651"/>
    <mergeCell ref="F3649:F3651"/>
    <mergeCell ref="G3649:G3651"/>
    <mergeCell ref="H3649:H3651"/>
    <mergeCell ref="I3649:I3651"/>
    <mergeCell ref="J3649:J3651"/>
    <mergeCell ref="K3649:K3651"/>
    <mergeCell ref="L3649:L3651"/>
    <mergeCell ref="D3652:F3652"/>
    <mergeCell ref="G3652:L3652"/>
    <mergeCell ref="A3764:A3766"/>
    <mergeCell ref="B3764:C3773"/>
    <mergeCell ref="D3764:D3766"/>
    <mergeCell ref="E3764:E3766"/>
    <mergeCell ref="F3764:F3766"/>
    <mergeCell ref="G3764:G3766"/>
    <mergeCell ref="H3764:H3766"/>
    <mergeCell ref="I3764:I3766"/>
    <mergeCell ref="J3764:J3766"/>
    <mergeCell ref="K3764:K3766"/>
    <mergeCell ref="L3764:L3766"/>
    <mergeCell ref="D3767:D3769"/>
    <mergeCell ref="E3767:E3769"/>
    <mergeCell ref="F3767:F3769"/>
    <mergeCell ref="G3767:G3769"/>
    <mergeCell ref="H3767:H3769"/>
    <mergeCell ref="I3767:I3769"/>
    <mergeCell ref="J3767:J3769"/>
    <mergeCell ref="K3767:K3769"/>
    <mergeCell ref="L3767:L3769"/>
    <mergeCell ref="D3770:D3772"/>
    <mergeCell ref="E3770:E3772"/>
    <mergeCell ref="F3770:F3772"/>
    <mergeCell ref="G3770:G3772"/>
    <mergeCell ref="H3770:H3772"/>
    <mergeCell ref="I3770:I3772"/>
    <mergeCell ref="J3770:J3772"/>
    <mergeCell ref="K3770:K3772"/>
    <mergeCell ref="L3770:L3772"/>
    <mergeCell ref="D3773:F3773"/>
    <mergeCell ref="G3773:L3773"/>
    <mergeCell ref="A3643:A3645"/>
    <mergeCell ref="B3643:C3652"/>
    <mergeCell ref="A3665:A3667"/>
    <mergeCell ref="B3665:C3674"/>
    <mergeCell ref="D3621:D3623"/>
    <mergeCell ref="E3621:E3623"/>
    <mergeCell ref="F3621:F3623"/>
    <mergeCell ref="G3621:G3623"/>
    <mergeCell ref="H3621:H3623"/>
    <mergeCell ref="I3621:I3623"/>
    <mergeCell ref="J3621:J3623"/>
    <mergeCell ref="K3621:K3623"/>
    <mergeCell ref="L3621:L3623"/>
    <mergeCell ref="D3624:D3626"/>
    <mergeCell ref="E3624:E3626"/>
    <mergeCell ref="F3624:F3626"/>
    <mergeCell ref="G3624:G3626"/>
    <mergeCell ref="H3624:H3626"/>
    <mergeCell ref="I3624:I3626"/>
    <mergeCell ref="J3624:J3626"/>
    <mergeCell ref="K3624:K3626"/>
    <mergeCell ref="L3624:L3626"/>
    <mergeCell ref="D3627:D3629"/>
    <mergeCell ref="E3627:E3629"/>
    <mergeCell ref="F3627:F3629"/>
    <mergeCell ref="G3627:G3629"/>
    <mergeCell ref="H3627:H3629"/>
    <mergeCell ref="I3627:I3629"/>
    <mergeCell ref="J3627:J3629"/>
    <mergeCell ref="K3627:K3629"/>
    <mergeCell ref="L3627:L3629"/>
    <mergeCell ref="D3630:F3630"/>
    <mergeCell ref="G3630:L3630"/>
    <mergeCell ref="A3632:A3634"/>
    <mergeCell ref="B3632:C3641"/>
    <mergeCell ref="D3632:D3634"/>
    <mergeCell ref="E3632:E3634"/>
    <mergeCell ref="F3632:F3634"/>
    <mergeCell ref="G3632:G3634"/>
    <mergeCell ref="H3632:H3634"/>
    <mergeCell ref="I3632:I3634"/>
    <mergeCell ref="J3632:J3634"/>
    <mergeCell ref="K3632:K3634"/>
    <mergeCell ref="L3632:L3634"/>
    <mergeCell ref="D3635:D3637"/>
    <mergeCell ref="E3635:E3637"/>
    <mergeCell ref="F3635:F3637"/>
    <mergeCell ref="G3635:G3637"/>
    <mergeCell ref="H3635:H3637"/>
    <mergeCell ref="I3635:I3637"/>
    <mergeCell ref="J3635:J3637"/>
    <mergeCell ref="K3635:K3637"/>
    <mergeCell ref="L3635:L3637"/>
    <mergeCell ref="D3638:D3640"/>
    <mergeCell ref="E3638:E3640"/>
    <mergeCell ref="F3638:F3640"/>
    <mergeCell ref="G3638:G3640"/>
    <mergeCell ref="H3638:H3640"/>
    <mergeCell ref="I3638:I3640"/>
    <mergeCell ref="J3638:J3640"/>
    <mergeCell ref="K3638:K3640"/>
    <mergeCell ref="L3638:L3640"/>
    <mergeCell ref="D3641:F3641"/>
    <mergeCell ref="G3641:L3641"/>
    <mergeCell ref="A3621:A3623"/>
    <mergeCell ref="B3621:C3630"/>
    <mergeCell ref="D3599:D3601"/>
    <mergeCell ref="E3599:E3601"/>
    <mergeCell ref="F3599:F3601"/>
    <mergeCell ref="G3599:G3601"/>
    <mergeCell ref="H3599:H3601"/>
    <mergeCell ref="I3599:I3601"/>
    <mergeCell ref="J3599:J3601"/>
    <mergeCell ref="K3599:K3601"/>
    <mergeCell ref="L3599:L3601"/>
    <mergeCell ref="D3602:D3604"/>
    <mergeCell ref="E3602:E3604"/>
    <mergeCell ref="F3602:F3604"/>
    <mergeCell ref="G3602:G3604"/>
    <mergeCell ref="H3602:H3604"/>
    <mergeCell ref="I3602:I3604"/>
    <mergeCell ref="J3602:J3604"/>
    <mergeCell ref="K3602:K3604"/>
    <mergeCell ref="L3602:L3604"/>
    <mergeCell ref="D3605:D3607"/>
    <mergeCell ref="E3605:E3607"/>
    <mergeCell ref="F3605:F3607"/>
    <mergeCell ref="G3605:G3607"/>
    <mergeCell ref="H3605:H3607"/>
    <mergeCell ref="I3605:I3607"/>
    <mergeCell ref="J3605:J3607"/>
    <mergeCell ref="K3605:K3607"/>
    <mergeCell ref="L3605:L3607"/>
    <mergeCell ref="D3608:F3608"/>
    <mergeCell ref="G3608:L3608"/>
    <mergeCell ref="A3610:A3612"/>
    <mergeCell ref="B3610:C3619"/>
    <mergeCell ref="D3610:D3612"/>
    <mergeCell ref="E3610:E3612"/>
    <mergeCell ref="F3610:F3612"/>
    <mergeCell ref="G3610:G3612"/>
    <mergeCell ref="H3610:H3612"/>
    <mergeCell ref="I3610:I3612"/>
    <mergeCell ref="J3610:J3612"/>
    <mergeCell ref="K3610:K3612"/>
    <mergeCell ref="L3610:L3612"/>
    <mergeCell ref="D3613:D3615"/>
    <mergeCell ref="E3613:E3615"/>
    <mergeCell ref="F3613:F3615"/>
    <mergeCell ref="G3613:G3615"/>
    <mergeCell ref="H3613:H3615"/>
    <mergeCell ref="I3613:I3615"/>
    <mergeCell ref="J3613:J3615"/>
    <mergeCell ref="K3613:K3615"/>
    <mergeCell ref="L3613:L3615"/>
    <mergeCell ref="D3616:D3618"/>
    <mergeCell ref="E3616:E3618"/>
    <mergeCell ref="F3616:F3618"/>
    <mergeCell ref="G3616:G3618"/>
    <mergeCell ref="H3616:H3618"/>
    <mergeCell ref="I3616:I3618"/>
    <mergeCell ref="J3616:J3618"/>
    <mergeCell ref="K3616:K3618"/>
    <mergeCell ref="L3616:L3618"/>
    <mergeCell ref="D3619:F3619"/>
    <mergeCell ref="G3619:L3619"/>
    <mergeCell ref="A3599:A3601"/>
    <mergeCell ref="B3599:C3608"/>
    <mergeCell ref="D3577:D3579"/>
    <mergeCell ref="E3577:E3579"/>
    <mergeCell ref="F3577:F3579"/>
    <mergeCell ref="G3577:G3579"/>
    <mergeCell ref="H3577:H3579"/>
    <mergeCell ref="I3577:I3579"/>
    <mergeCell ref="J3577:J3579"/>
    <mergeCell ref="K3577:K3579"/>
    <mergeCell ref="L3577:L3579"/>
    <mergeCell ref="D3580:D3582"/>
    <mergeCell ref="E3580:E3582"/>
    <mergeCell ref="F3580:F3582"/>
    <mergeCell ref="G3580:G3582"/>
    <mergeCell ref="H3580:H3582"/>
    <mergeCell ref="I3580:I3582"/>
    <mergeCell ref="J3580:J3582"/>
    <mergeCell ref="K3580:K3582"/>
    <mergeCell ref="L3580:L3582"/>
    <mergeCell ref="D3583:D3585"/>
    <mergeCell ref="E3583:E3585"/>
    <mergeCell ref="F3583:F3585"/>
    <mergeCell ref="G3583:G3585"/>
    <mergeCell ref="H3583:H3585"/>
    <mergeCell ref="I3583:I3585"/>
    <mergeCell ref="J3583:J3585"/>
    <mergeCell ref="K3583:K3585"/>
    <mergeCell ref="L3583:L3585"/>
    <mergeCell ref="D3586:F3586"/>
    <mergeCell ref="G3586:L3586"/>
    <mergeCell ref="A3588:A3590"/>
    <mergeCell ref="B3588:C3597"/>
    <mergeCell ref="D3588:D3590"/>
    <mergeCell ref="E3588:E3590"/>
    <mergeCell ref="F3588:F3590"/>
    <mergeCell ref="G3588:G3590"/>
    <mergeCell ref="H3588:H3590"/>
    <mergeCell ref="I3588:I3590"/>
    <mergeCell ref="J3588:J3590"/>
    <mergeCell ref="K3588:K3590"/>
    <mergeCell ref="L3588:L3590"/>
    <mergeCell ref="D3591:D3593"/>
    <mergeCell ref="E3591:E3593"/>
    <mergeCell ref="F3591:F3593"/>
    <mergeCell ref="G3591:G3593"/>
    <mergeCell ref="H3591:H3593"/>
    <mergeCell ref="I3591:I3593"/>
    <mergeCell ref="J3591:J3593"/>
    <mergeCell ref="K3591:K3593"/>
    <mergeCell ref="L3591:L3593"/>
    <mergeCell ref="D3594:D3596"/>
    <mergeCell ref="E3594:E3596"/>
    <mergeCell ref="F3594:F3596"/>
    <mergeCell ref="G3594:G3596"/>
    <mergeCell ref="H3594:H3596"/>
    <mergeCell ref="I3594:I3596"/>
    <mergeCell ref="J3594:J3596"/>
    <mergeCell ref="K3594:K3596"/>
    <mergeCell ref="L3594:L3596"/>
    <mergeCell ref="D3597:F3597"/>
    <mergeCell ref="G3597:L3597"/>
    <mergeCell ref="A3577:A3579"/>
    <mergeCell ref="B3577:C3586"/>
    <mergeCell ref="B3555:C3564"/>
    <mergeCell ref="D3555:D3557"/>
    <mergeCell ref="E3555:E3557"/>
    <mergeCell ref="F3555:F3557"/>
    <mergeCell ref="G3555:G3557"/>
    <mergeCell ref="H3555:H3557"/>
    <mergeCell ref="I3555:I3557"/>
    <mergeCell ref="J3555:J3557"/>
    <mergeCell ref="K3555:K3557"/>
    <mergeCell ref="L3555:L3557"/>
    <mergeCell ref="D3558:D3560"/>
    <mergeCell ref="E3558:E3560"/>
    <mergeCell ref="F3558:F3560"/>
    <mergeCell ref="G3558:G3560"/>
    <mergeCell ref="H3558:H3560"/>
    <mergeCell ref="I3558:I3560"/>
    <mergeCell ref="J3558:J3560"/>
    <mergeCell ref="K3558:K3560"/>
    <mergeCell ref="L3558:L3560"/>
    <mergeCell ref="D3561:D3563"/>
    <mergeCell ref="E3561:E3563"/>
    <mergeCell ref="F3561:F3563"/>
    <mergeCell ref="G3561:G3563"/>
    <mergeCell ref="H3561:H3563"/>
    <mergeCell ref="I3561:I3563"/>
    <mergeCell ref="J3561:J3563"/>
    <mergeCell ref="K3561:K3563"/>
    <mergeCell ref="L3561:L3563"/>
    <mergeCell ref="D3564:F3564"/>
    <mergeCell ref="G3564:L3564"/>
    <mergeCell ref="A3566:A3568"/>
    <mergeCell ref="B3566:C3575"/>
    <mergeCell ref="D3566:D3568"/>
    <mergeCell ref="E3566:E3568"/>
    <mergeCell ref="F3566:F3568"/>
    <mergeCell ref="G3566:G3568"/>
    <mergeCell ref="H3566:H3568"/>
    <mergeCell ref="I3566:I3568"/>
    <mergeCell ref="J3566:J3568"/>
    <mergeCell ref="K3566:K3568"/>
    <mergeCell ref="L3566:L3568"/>
    <mergeCell ref="D3569:D3571"/>
    <mergeCell ref="E3569:E3571"/>
    <mergeCell ref="F3569:F3571"/>
    <mergeCell ref="G3569:G3571"/>
    <mergeCell ref="H3569:H3571"/>
    <mergeCell ref="I3569:I3571"/>
    <mergeCell ref="J3569:J3571"/>
    <mergeCell ref="K3569:K3571"/>
    <mergeCell ref="L3569:L3571"/>
    <mergeCell ref="D3572:D3574"/>
    <mergeCell ref="E3572:E3574"/>
    <mergeCell ref="F3572:F3574"/>
    <mergeCell ref="G3572:G3574"/>
    <mergeCell ref="H3572:H3574"/>
    <mergeCell ref="I3572:I3574"/>
    <mergeCell ref="J3572:J3574"/>
    <mergeCell ref="K3572:K3574"/>
    <mergeCell ref="L3572:L3574"/>
    <mergeCell ref="D3575:F3575"/>
    <mergeCell ref="G3575:L3575"/>
    <mergeCell ref="A3555:A3557"/>
    <mergeCell ref="D3533:D3535"/>
    <mergeCell ref="E3533:E3535"/>
    <mergeCell ref="F3533:F3535"/>
    <mergeCell ref="G3533:G3535"/>
    <mergeCell ref="H3533:H3535"/>
    <mergeCell ref="I3533:I3535"/>
    <mergeCell ref="J3533:J3535"/>
    <mergeCell ref="K3533:K3535"/>
    <mergeCell ref="L3533:L3535"/>
    <mergeCell ref="D3536:D3538"/>
    <mergeCell ref="E3536:E3538"/>
    <mergeCell ref="F3536:F3538"/>
    <mergeCell ref="G3536:G3538"/>
    <mergeCell ref="H3536:H3538"/>
    <mergeCell ref="I3536:I3538"/>
    <mergeCell ref="J3536:J3538"/>
    <mergeCell ref="K3536:K3538"/>
    <mergeCell ref="L3536:L3538"/>
    <mergeCell ref="D3539:D3541"/>
    <mergeCell ref="E3539:E3541"/>
    <mergeCell ref="F3539:F3541"/>
    <mergeCell ref="G3539:G3541"/>
    <mergeCell ref="H3539:H3541"/>
    <mergeCell ref="I3539:I3541"/>
    <mergeCell ref="J3539:J3541"/>
    <mergeCell ref="K3539:K3541"/>
    <mergeCell ref="L3539:L3541"/>
    <mergeCell ref="D3542:F3542"/>
    <mergeCell ref="G3542:L3542"/>
    <mergeCell ref="A3544:A3546"/>
    <mergeCell ref="B3544:C3553"/>
    <mergeCell ref="D3544:D3546"/>
    <mergeCell ref="E3544:E3546"/>
    <mergeCell ref="F3544:F3546"/>
    <mergeCell ref="G3544:G3546"/>
    <mergeCell ref="H3544:H3546"/>
    <mergeCell ref="I3544:I3546"/>
    <mergeCell ref="J3544:J3546"/>
    <mergeCell ref="K3544:K3546"/>
    <mergeCell ref="L3544:L3546"/>
    <mergeCell ref="D3547:D3549"/>
    <mergeCell ref="E3547:E3549"/>
    <mergeCell ref="F3547:F3549"/>
    <mergeCell ref="G3547:G3549"/>
    <mergeCell ref="H3547:H3549"/>
    <mergeCell ref="I3547:I3549"/>
    <mergeCell ref="J3547:J3549"/>
    <mergeCell ref="K3547:K3549"/>
    <mergeCell ref="L3547:L3549"/>
    <mergeCell ref="D3550:D3552"/>
    <mergeCell ref="E3550:E3552"/>
    <mergeCell ref="F3550:F3552"/>
    <mergeCell ref="G3550:G3552"/>
    <mergeCell ref="H3550:H3552"/>
    <mergeCell ref="I3550:I3552"/>
    <mergeCell ref="J3550:J3552"/>
    <mergeCell ref="K3550:K3552"/>
    <mergeCell ref="L3550:L3552"/>
    <mergeCell ref="D3553:F3553"/>
    <mergeCell ref="G3553:L3553"/>
    <mergeCell ref="A3533:A3535"/>
    <mergeCell ref="B3533:C3542"/>
    <mergeCell ref="D3511:D3513"/>
    <mergeCell ref="E3511:E3513"/>
    <mergeCell ref="F3511:F3513"/>
    <mergeCell ref="G3511:G3513"/>
    <mergeCell ref="H3511:H3513"/>
    <mergeCell ref="I3511:I3513"/>
    <mergeCell ref="J3511:J3513"/>
    <mergeCell ref="K3511:K3513"/>
    <mergeCell ref="L3511:L3513"/>
    <mergeCell ref="D3514:D3516"/>
    <mergeCell ref="E3514:E3516"/>
    <mergeCell ref="F3514:F3516"/>
    <mergeCell ref="G3514:G3516"/>
    <mergeCell ref="H3514:H3516"/>
    <mergeCell ref="I3514:I3516"/>
    <mergeCell ref="J3514:J3516"/>
    <mergeCell ref="K3514:K3516"/>
    <mergeCell ref="L3514:L3516"/>
    <mergeCell ref="D3517:D3519"/>
    <mergeCell ref="E3517:E3519"/>
    <mergeCell ref="F3517:F3519"/>
    <mergeCell ref="G3517:G3519"/>
    <mergeCell ref="H3517:H3519"/>
    <mergeCell ref="I3517:I3519"/>
    <mergeCell ref="J3517:J3519"/>
    <mergeCell ref="K3517:K3519"/>
    <mergeCell ref="L3517:L3519"/>
    <mergeCell ref="D3520:F3520"/>
    <mergeCell ref="G3520:L3520"/>
    <mergeCell ref="A3522:A3524"/>
    <mergeCell ref="B3522:C3531"/>
    <mergeCell ref="D3522:D3524"/>
    <mergeCell ref="E3522:E3524"/>
    <mergeCell ref="F3522:F3524"/>
    <mergeCell ref="G3522:G3524"/>
    <mergeCell ref="H3522:H3524"/>
    <mergeCell ref="I3522:I3524"/>
    <mergeCell ref="J3522:J3524"/>
    <mergeCell ref="K3522:K3524"/>
    <mergeCell ref="L3522:L3524"/>
    <mergeCell ref="D3525:D3527"/>
    <mergeCell ref="E3525:E3527"/>
    <mergeCell ref="F3525:F3527"/>
    <mergeCell ref="G3525:G3527"/>
    <mergeCell ref="H3525:H3527"/>
    <mergeCell ref="I3525:I3527"/>
    <mergeCell ref="J3525:J3527"/>
    <mergeCell ref="K3525:K3527"/>
    <mergeCell ref="L3525:L3527"/>
    <mergeCell ref="D3528:D3530"/>
    <mergeCell ref="E3528:E3530"/>
    <mergeCell ref="F3528:F3530"/>
    <mergeCell ref="G3528:G3530"/>
    <mergeCell ref="H3528:H3530"/>
    <mergeCell ref="I3528:I3530"/>
    <mergeCell ref="J3528:J3530"/>
    <mergeCell ref="K3528:K3530"/>
    <mergeCell ref="L3528:L3530"/>
    <mergeCell ref="D3531:F3531"/>
    <mergeCell ref="G3531:L3531"/>
    <mergeCell ref="A3511:A3513"/>
    <mergeCell ref="B3511:C3520"/>
    <mergeCell ref="D3489:D3491"/>
    <mergeCell ref="E3489:E3491"/>
    <mergeCell ref="F3489:F3491"/>
    <mergeCell ref="G3489:G3491"/>
    <mergeCell ref="H3489:H3491"/>
    <mergeCell ref="I3489:I3491"/>
    <mergeCell ref="J3489:J3491"/>
    <mergeCell ref="K3489:K3491"/>
    <mergeCell ref="L3489:L3491"/>
    <mergeCell ref="D3492:D3494"/>
    <mergeCell ref="E3492:E3494"/>
    <mergeCell ref="F3492:F3494"/>
    <mergeCell ref="G3492:G3494"/>
    <mergeCell ref="H3492:H3494"/>
    <mergeCell ref="I3492:I3494"/>
    <mergeCell ref="J3492:J3494"/>
    <mergeCell ref="K3492:K3494"/>
    <mergeCell ref="L3492:L3494"/>
    <mergeCell ref="D3495:D3497"/>
    <mergeCell ref="E3495:E3497"/>
    <mergeCell ref="F3495:F3497"/>
    <mergeCell ref="G3495:G3497"/>
    <mergeCell ref="H3495:H3497"/>
    <mergeCell ref="I3495:I3497"/>
    <mergeCell ref="J3495:J3497"/>
    <mergeCell ref="K3495:K3497"/>
    <mergeCell ref="L3495:L3497"/>
    <mergeCell ref="D3498:F3498"/>
    <mergeCell ref="G3498:L3498"/>
    <mergeCell ref="A3500:A3502"/>
    <mergeCell ref="B3500:C3509"/>
    <mergeCell ref="D3500:D3502"/>
    <mergeCell ref="E3500:E3502"/>
    <mergeCell ref="F3500:F3502"/>
    <mergeCell ref="G3500:G3502"/>
    <mergeCell ref="H3500:H3502"/>
    <mergeCell ref="I3500:I3502"/>
    <mergeCell ref="J3500:J3502"/>
    <mergeCell ref="K3500:K3502"/>
    <mergeCell ref="L3500:L3502"/>
    <mergeCell ref="D3503:D3505"/>
    <mergeCell ref="E3503:E3505"/>
    <mergeCell ref="F3503:F3505"/>
    <mergeCell ref="G3503:G3505"/>
    <mergeCell ref="H3503:H3505"/>
    <mergeCell ref="I3503:I3505"/>
    <mergeCell ref="J3503:J3505"/>
    <mergeCell ref="K3503:K3505"/>
    <mergeCell ref="L3503:L3505"/>
    <mergeCell ref="D3506:D3508"/>
    <mergeCell ref="E3506:E3508"/>
    <mergeCell ref="F3506:F3508"/>
    <mergeCell ref="G3506:G3508"/>
    <mergeCell ref="H3506:H3508"/>
    <mergeCell ref="I3506:I3508"/>
    <mergeCell ref="J3506:J3508"/>
    <mergeCell ref="K3506:K3508"/>
    <mergeCell ref="L3506:L3508"/>
    <mergeCell ref="D3509:F3509"/>
    <mergeCell ref="G3509:L3509"/>
    <mergeCell ref="A3489:A3491"/>
    <mergeCell ref="B3489:C3498"/>
    <mergeCell ref="D3467:D3469"/>
    <mergeCell ref="E3467:E3469"/>
    <mergeCell ref="F3467:F3469"/>
    <mergeCell ref="G3467:G3469"/>
    <mergeCell ref="H3467:H3469"/>
    <mergeCell ref="I3467:I3469"/>
    <mergeCell ref="J3467:J3469"/>
    <mergeCell ref="K3467:K3469"/>
    <mergeCell ref="L3467:L3469"/>
    <mergeCell ref="D3470:D3472"/>
    <mergeCell ref="E3470:E3472"/>
    <mergeCell ref="F3470:F3472"/>
    <mergeCell ref="G3470:G3472"/>
    <mergeCell ref="H3470:H3472"/>
    <mergeCell ref="I3470:I3472"/>
    <mergeCell ref="J3470:J3472"/>
    <mergeCell ref="K3470:K3472"/>
    <mergeCell ref="L3470:L3472"/>
    <mergeCell ref="D3473:D3475"/>
    <mergeCell ref="E3473:E3475"/>
    <mergeCell ref="F3473:F3475"/>
    <mergeCell ref="G3473:G3475"/>
    <mergeCell ref="H3473:H3475"/>
    <mergeCell ref="I3473:I3475"/>
    <mergeCell ref="J3473:J3475"/>
    <mergeCell ref="K3473:K3475"/>
    <mergeCell ref="L3473:L3475"/>
    <mergeCell ref="D3476:F3476"/>
    <mergeCell ref="G3476:L3476"/>
    <mergeCell ref="A3478:A3480"/>
    <mergeCell ref="B3478:C3487"/>
    <mergeCell ref="D3478:D3480"/>
    <mergeCell ref="E3478:E3480"/>
    <mergeCell ref="F3478:F3480"/>
    <mergeCell ref="G3478:G3480"/>
    <mergeCell ref="H3478:H3480"/>
    <mergeCell ref="I3478:I3480"/>
    <mergeCell ref="J3478:J3480"/>
    <mergeCell ref="K3478:K3480"/>
    <mergeCell ref="L3478:L3480"/>
    <mergeCell ref="D3481:D3483"/>
    <mergeCell ref="E3481:E3483"/>
    <mergeCell ref="F3481:F3483"/>
    <mergeCell ref="G3481:G3483"/>
    <mergeCell ref="H3481:H3483"/>
    <mergeCell ref="I3481:I3483"/>
    <mergeCell ref="J3481:J3483"/>
    <mergeCell ref="K3481:K3483"/>
    <mergeCell ref="L3481:L3483"/>
    <mergeCell ref="D3484:D3486"/>
    <mergeCell ref="E3484:E3486"/>
    <mergeCell ref="F3484:F3486"/>
    <mergeCell ref="G3484:G3486"/>
    <mergeCell ref="H3484:H3486"/>
    <mergeCell ref="I3484:I3486"/>
    <mergeCell ref="J3484:J3486"/>
    <mergeCell ref="K3484:K3486"/>
    <mergeCell ref="L3484:L3486"/>
    <mergeCell ref="D3487:F3487"/>
    <mergeCell ref="G3487:L3487"/>
    <mergeCell ref="A3467:A3469"/>
    <mergeCell ref="B3467:C3476"/>
    <mergeCell ref="A3445:A3447"/>
    <mergeCell ref="B3445:C3454"/>
    <mergeCell ref="D3445:D3447"/>
    <mergeCell ref="E3445:E3447"/>
    <mergeCell ref="F3445:F3447"/>
    <mergeCell ref="G3445:G3447"/>
    <mergeCell ref="H3445:H3447"/>
    <mergeCell ref="I3445:I3447"/>
    <mergeCell ref="J3445:J3447"/>
    <mergeCell ref="K3445:K3447"/>
    <mergeCell ref="L3445:L3447"/>
    <mergeCell ref="D3448:D3450"/>
    <mergeCell ref="E3448:E3450"/>
    <mergeCell ref="F3448:F3450"/>
    <mergeCell ref="G3448:G3450"/>
    <mergeCell ref="H3448:H3450"/>
    <mergeCell ref="I3448:I3450"/>
    <mergeCell ref="J3448:J3450"/>
    <mergeCell ref="K3448:K3450"/>
    <mergeCell ref="L3448:L3450"/>
    <mergeCell ref="D3451:D3453"/>
    <mergeCell ref="E3451:E3453"/>
    <mergeCell ref="F3451:F3453"/>
    <mergeCell ref="G3451:G3453"/>
    <mergeCell ref="H3451:H3453"/>
    <mergeCell ref="I3451:I3453"/>
    <mergeCell ref="J3451:J3453"/>
    <mergeCell ref="K3451:K3453"/>
    <mergeCell ref="L3451:L3453"/>
    <mergeCell ref="D3454:F3454"/>
    <mergeCell ref="G3454:L3454"/>
    <mergeCell ref="A3456:A3458"/>
    <mergeCell ref="B3456:C3465"/>
    <mergeCell ref="D3456:D3458"/>
    <mergeCell ref="E3456:E3458"/>
    <mergeCell ref="F3456:F3458"/>
    <mergeCell ref="G3456:G3458"/>
    <mergeCell ref="H3456:H3458"/>
    <mergeCell ref="I3456:I3458"/>
    <mergeCell ref="J3456:J3458"/>
    <mergeCell ref="K3456:K3458"/>
    <mergeCell ref="L3456:L3458"/>
    <mergeCell ref="D3459:D3461"/>
    <mergeCell ref="E3459:E3461"/>
    <mergeCell ref="F3459:F3461"/>
    <mergeCell ref="G3459:G3461"/>
    <mergeCell ref="H3459:H3461"/>
    <mergeCell ref="I3459:I3461"/>
    <mergeCell ref="J3459:J3461"/>
    <mergeCell ref="K3459:K3461"/>
    <mergeCell ref="L3459:L3461"/>
    <mergeCell ref="D3462:D3464"/>
    <mergeCell ref="E3462:E3464"/>
    <mergeCell ref="F3462:F3464"/>
    <mergeCell ref="G3462:G3464"/>
    <mergeCell ref="H3462:H3464"/>
    <mergeCell ref="I3462:I3464"/>
    <mergeCell ref="J3462:J3464"/>
    <mergeCell ref="K3462:K3464"/>
    <mergeCell ref="L3462:L3464"/>
    <mergeCell ref="D3465:F3465"/>
    <mergeCell ref="G3465:L3465"/>
    <mergeCell ref="L3418:L3420"/>
    <mergeCell ref="D3421:F3421"/>
    <mergeCell ref="G3421:L3421"/>
    <mergeCell ref="E3429:E3431"/>
    <mergeCell ref="F3429:F3431"/>
    <mergeCell ref="G3429:G3431"/>
    <mergeCell ref="H3429:H3431"/>
    <mergeCell ref="I3429:I3431"/>
    <mergeCell ref="J3429:J3431"/>
    <mergeCell ref="K3429:K3431"/>
    <mergeCell ref="L3429:L3431"/>
    <mergeCell ref="D3432:F3432"/>
    <mergeCell ref="G3432:L3432"/>
    <mergeCell ref="A3434:A3436"/>
    <mergeCell ref="B3434:C3443"/>
    <mergeCell ref="D3434:D3436"/>
    <mergeCell ref="E3434:E3436"/>
    <mergeCell ref="F3434:F3436"/>
    <mergeCell ref="G3434:G3436"/>
    <mergeCell ref="H3434:H3436"/>
    <mergeCell ref="I3434:I3436"/>
    <mergeCell ref="J3434:J3436"/>
    <mergeCell ref="K3434:K3436"/>
    <mergeCell ref="L3434:L3436"/>
    <mergeCell ref="D3437:D3439"/>
    <mergeCell ref="E3437:E3439"/>
    <mergeCell ref="F3437:F3439"/>
    <mergeCell ref="G3437:G3439"/>
    <mergeCell ref="H3437:H3439"/>
    <mergeCell ref="I3437:I3439"/>
    <mergeCell ref="J3437:J3439"/>
    <mergeCell ref="K3437:K3439"/>
    <mergeCell ref="L3437:L3439"/>
    <mergeCell ref="D3440:D3442"/>
    <mergeCell ref="E3440:E3442"/>
    <mergeCell ref="F3440:F3442"/>
    <mergeCell ref="G3440:G3442"/>
    <mergeCell ref="H3440:H3442"/>
    <mergeCell ref="I3440:I3442"/>
    <mergeCell ref="J3440:J3442"/>
    <mergeCell ref="K3440:K3442"/>
    <mergeCell ref="L3440:L3442"/>
    <mergeCell ref="D3443:F3443"/>
    <mergeCell ref="G3443:L3443"/>
    <mergeCell ref="D3324:D3326"/>
    <mergeCell ref="E3324:E3326"/>
    <mergeCell ref="F3324:F3326"/>
    <mergeCell ref="G3324:G3326"/>
    <mergeCell ref="H3324:H3326"/>
    <mergeCell ref="I3324:I3326"/>
    <mergeCell ref="J3324:J3326"/>
    <mergeCell ref="K3324:K3326"/>
    <mergeCell ref="F3363:F3365"/>
    <mergeCell ref="G3363:G3365"/>
    <mergeCell ref="H3363:H3365"/>
    <mergeCell ref="I3363:I3365"/>
    <mergeCell ref="J3363:J3365"/>
    <mergeCell ref="K3363:K3365"/>
    <mergeCell ref="L3363:L3365"/>
    <mergeCell ref="D3366:F3366"/>
    <mergeCell ref="G3366:L3366"/>
    <mergeCell ref="A3368:A3370"/>
    <mergeCell ref="B3368:C3377"/>
    <mergeCell ref="D3374:D3376"/>
    <mergeCell ref="E3374:E3376"/>
    <mergeCell ref="F3374:F3376"/>
    <mergeCell ref="G3374:G3376"/>
    <mergeCell ref="H3374:H3376"/>
    <mergeCell ref="I3374:I3376"/>
    <mergeCell ref="J3374:J3376"/>
    <mergeCell ref="K3374:K3376"/>
    <mergeCell ref="L3374:L3376"/>
    <mergeCell ref="D3377:F3377"/>
    <mergeCell ref="G3377:L3377"/>
    <mergeCell ref="A3379:A3381"/>
    <mergeCell ref="B3379:C3388"/>
    <mergeCell ref="D3385:D3387"/>
    <mergeCell ref="E3385:E3387"/>
    <mergeCell ref="F3385:F3387"/>
    <mergeCell ref="G3385:G3387"/>
    <mergeCell ref="H3385:H3387"/>
    <mergeCell ref="I3385:I3387"/>
    <mergeCell ref="J3385:J3387"/>
    <mergeCell ref="K3385:K3387"/>
    <mergeCell ref="L3385:L3387"/>
    <mergeCell ref="D3388:F3388"/>
    <mergeCell ref="G3388:L3388"/>
    <mergeCell ref="D3379:D3381"/>
    <mergeCell ref="E3379:E3381"/>
    <mergeCell ref="F3379:F3381"/>
    <mergeCell ref="G3379:G3381"/>
    <mergeCell ref="H3379:H3381"/>
    <mergeCell ref="I3379:I3381"/>
    <mergeCell ref="J3379:J3381"/>
    <mergeCell ref="K3379:K3381"/>
    <mergeCell ref="L3379:L3381"/>
    <mergeCell ref="D3382:D3384"/>
    <mergeCell ref="E3382:E3384"/>
    <mergeCell ref="F3382:F3384"/>
    <mergeCell ref="G3382:G3384"/>
    <mergeCell ref="H3382:H3384"/>
    <mergeCell ref="I3382:I3384"/>
    <mergeCell ref="J3382:J3384"/>
    <mergeCell ref="K3382:K3384"/>
    <mergeCell ref="L3382:L3384"/>
    <mergeCell ref="D3368:D3370"/>
    <mergeCell ref="E3368:E3370"/>
    <mergeCell ref="F3368:F3370"/>
    <mergeCell ref="E3341:E3343"/>
    <mergeCell ref="F3341:F3343"/>
    <mergeCell ref="G3341:G3343"/>
    <mergeCell ref="H3341:H3343"/>
    <mergeCell ref="I3341:I3343"/>
    <mergeCell ref="J3341:J3343"/>
    <mergeCell ref="K3341:K3343"/>
    <mergeCell ref="L3341:L3343"/>
    <mergeCell ref="D3344:F3344"/>
    <mergeCell ref="G3344:L3344"/>
    <mergeCell ref="A3346:A3348"/>
    <mergeCell ref="B3346:C3355"/>
    <mergeCell ref="D3352:D3354"/>
    <mergeCell ref="E3352:E3354"/>
    <mergeCell ref="F3352:F3354"/>
    <mergeCell ref="G3352:G3354"/>
    <mergeCell ref="H3352:H3354"/>
    <mergeCell ref="I3352:I3354"/>
    <mergeCell ref="J3352:J3354"/>
    <mergeCell ref="K3352:K3354"/>
    <mergeCell ref="L3352:L3354"/>
    <mergeCell ref="D3355:F3355"/>
    <mergeCell ref="G3355:L3355"/>
    <mergeCell ref="D3335:D3337"/>
    <mergeCell ref="E3335:E3337"/>
    <mergeCell ref="F3335:F3337"/>
    <mergeCell ref="G3335:G3337"/>
    <mergeCell ref="H3335:H3337"/>
    <mergeCell ref="I3335:I3337"/>
    <mergeCell ref="J3335:J3337"/>
    <mergeCell ref="K3335:K3337"/>
    <mergeCell ref="L3335:L3337"/>
    <mergeCell ref="D3338:D3340"/>
    <mergeCell ref="E3338:E3340"/>
    <mergeCell ref="F3338:F3340"/>
    <mergeCell ref="G3338:G3340"/>
    <mergeCell ref="H3338:H3340"/>
    <mergeCell ref="I3338:I3340"/>
    <mergeCell ref="J3338:J3340"/>
    <mergeCell ref="K3338:K3340"/>
    <mergeCell ref="L3338:L3340"/>
    <mergeCell ref="D3302:D3304"/>
    <mergeCell ref="E3302:E3304"/>
    <mergeCell ref="F3302:F3304"/>
    <mergeCell ref="G3302:G3304"/>
    <mergeCell ref="H3302:H3304"/>
    <mergeCell ref="I3302:I3304"/>
    <mergeCell ref="J3302:J3304"/>
    <mergeCell ref="K3302:K3304"/>
    <mergeCell ref="L3302:L3304"/>
    <mergeCell ref="D3305:D3307"/>
    <mergeCell ref="E3305:E3307"/>
    <mergeCell ref="F3305:F3307"/>
    <mergeCell ref="G3305:G3307"/>
    <mergeCell ref="H3305:H3307"/>
    <mergeCell ref="I3305:I3307"/>
    <mergeCell ref="J3305:J3307"/>
    <mergeCell ref="K3305:K3307"/>
    <mergeCell ref="L3305:L3307"/>
    <mergeCell ref="D3308:D3310"/>
    <mergeCell ref="E3308:E3310"/>
    <mergeCell ref="F3308:F3310"/>
    <mergeCell ref="G3308:G3310"/>
    <mergeCell ref="H3308:H3310"/>
    <mergeCell ref="I3308:I3310"/>
    <mergeCell ref="J3308:J3310"/>
    <mergeCell ref="K3308:K3310"/>
    <mergeCell ref="L3308:L3310"/>
    <mergeCell ref="D3311:F3311"/>
    <mergeCell ref="G3311:L3311"/>
    <mergeCell ref="A3313:A3315"/>
    <mergeCell ref="B3313:C3322"/>
    <mergeCell ref="D3313:D3315"/>
    <mergeCell ref="E3313:E3315"/>
    <mergeCell ref="F3313:F3315"/>
    <mergeCell ref="G3313:G3315"/>
    <mergeCell ref="H3313:H3315"/>
    <mergeCell ref="I3313:I3315"/>
    <mergeCell ref="J3313:J3315"/>
    <mergeCell ref="K3313:K3315"/>
    <mergeCell ref="L3313:L3315"/>
    <mergeCell ref="D3316:D3318"/>
    <mergeCell ref="E3316:E3318"/>
    <mergeCell ref="F3316:F3318"/>
    <mergeCell ref="G3316:G3318"/>
    <mergeCell ref="H3316:H3318"/>
    <mergeCell ref="I3316:I3318"/>
    <mergeCell ref="J3316:J3318"/>
    <mergeCell ref="K3316:K3318"/>
    <mergeCell ref="L3316:L3318"/>
    <mergeCell ref="D3319:D3321"/>
    <mergeCell ref="E3319:E3321"/>
    <mergeCell ref="F3319:F3321"/>
    <mergeCell ref="G3319:G3321"/>
    <mergeCell ref="H3319:H3321"/>
    <mergeCell ref="I3319:I3321"/>
    <mergeCell ref="J3319:J3321"/>
    <mergeCell ref="K3319:K3321"/>
    <mergeCell ref="L3319:L3321"/>
    <mergeCell ref="D3322:F3322"/>
    <mergeCell ref="G3322:L3322"/>
    <mergeCell ref="A3302:A3304"/>
    <mergeCell ref="B3302:C3311"/>
    <mergeCell ref="D3280:D3282"/>
    <mergeCell ref="E3280:E3282"/>
    <mergeCell ref="F3280:F3282"/>
    <mergeCell ref="G3280:G3282"/>
    <mergeCell ref="H3280:H3282"/>
    <mergeCell ref="I3280:I3282"/>
    <mergeCell ref="J3280:J3282"/>
    <mergeCell ref="K3280:K3282"/>
    <mergeCell ref="L3280:L3282"/>
    <mergeCell ref="D3283:D3285"/>
    <mergeCell ref="E3283:E3285"/>
    <mergeCell ref="F3283:F3285"/>
    <mergeCell ref="G3283:G3285"/>
    <mergeCell ref="H3283:H3285"/>
    <mergeCell ref="I3283:I3285"/>
    <mergeCell ref="J3283:J3285"/>
    <mergeCell ref="K3283:K3285"/>
    <mergeCell ref="L3283:L3285"/>
    <mergeCell ref="D3286:D3288"/>
    <mergeCell ref="E3286:E3288"/>
    <mergeCell ref="F3286:F3288"/>
    <mergeCell ref="G3286:G3288"/>
    <mergeCell ref="H3286:H3288"/>
    <mergeCell ref="I3286:I3288"/>
    <mergeCell ref="J3286:J3288"/>
    <mergeCell ref="K3286:K3288"/>
    <mergeCell ref="L3286:L3288"/>
    <mergeCell ref="D3289:F3289"/>
    <mergeCell ref="G3289:L3289"/>
    <mergeCell ref="A3291:A3293"/>
    <mergeCell ref="B3291:C3300"/>
    <mergeCell ref="D3291:D3293"/>
    <mergeCell ref="E3291:E3293"/>
    <mergeCell ref="F3291:F3293"/>
    <mergeCell ref="G3291:G3293"/>
    <mergeCell ref="H3291:H3293"/>
    <mergeCell ref="I3291:I3293"/>
    <mergeCell ref="J3291:J3293"/>
    <mergeCell ref="K3291:K3293"/>
    <mergeCell ref="L3291:L3293"/>
    <mergeCell ref="D3294:D3296"/>
    <mergeCell ref="E3294:E3296"/>
    <mergeCell ref="F3294:F3296"/>
    <mergeCell ref="G3294:G3296"/>
    <mergeCell ref="H3294:H3296"/>
    <mergeCell ref="I3294:I3296"/>
    <mergeCell ref="J3294:J3296"/>
    <mergeCell ref="K3294:K3296"/>
    <mergeCell ref="L3294:L3296"/>
    <mergeCell ref="D3297:D3299"/>
    <mergeCell ref="E3297:E3299"/>
    <mergeCell ref="F3297:F3299"/>
    <mergeCell ref="G3297:G3299"/>
    <mergeCell ref="H3297:H3299"/>
    <mergeCell ref="I3297:I3299"/>
    <mergeCell ref="J3297:J3299"/>
    <mergeCell ref="K3297:K3299"/>
    <mergeCell ref="L3297:L3299"/>
    <mergeCell ref="D3300:F3300"/>
    <mergeCell ref="G3300:L3300"/>
    <mergeCell ref="A3280:A3282"/>
    <mergeCell ref="B3280:C3289"/>
    <mergeCell ref="D3258:D3260"/>
    <mergeCell ref="E3258:E3260"/>
    <mergeCell ref="F3258:F3260"/>
    <mergeCell ref="G3258:G3260"/>
    <mergeCell ref="H3258:H3260"/>
    <mergeCell ref="I3258:I3260"/>
    <mergeCell ref="J3258:J3260"/>
    <mergeCell ref="K3258:K3260"/>
    <mergeCell ref="L3258:L3260"/>
    <mergeCell ref="D3261:D3263"/>
    <mergeCell ref="E3261:E3263"/>
    <mergeCell ref="F3261:F3263"/>
    <mergeCell ref="G3261:G3263"/>
    <mergeCell ref="H3261:H3263"/>
    <mergeCell ref="I3261:I3263"/>
    <mergeCell ref="J3261:J3263"/>
    <mergeCell ref="K3261:K3263"/>
    <mergeCell ref="L3261:L3263"/>
    <mergeCell ref="D3264:D3266"/>
    <mergeCell ref="E3264:E3266"/>
    <mergeCell ref="F3264:F3266"/>
    <mergeCell ref="G3264:G3266"/>
    <mergeCell ref="H3264:H3266"/>
    <mergeCell ref="I3264:I3266"/>
    <mergeCell ref="J3264:J3266"/>
    <mergeCell ref="K3264:K3266"/>
    <mergeCell ref="L3264:L3266"/>
    <mergeCell ref="D3267:F3267"/>
    <mergeCell ref="G3267:L3267"/>
    <mergeCell ref="A3269:A3271"/>
    <mergeCell ref="B3269:C3278"/>
    <mergeCell ref="D3269:D3271"/>
    <mergeCell ref="E3269:E3271"/>
    <mergeCell ref="F3269:F3271"/>
    <mergeCell ref="G3269:G3271"/>
    <mergeCell ref="H3269:H3271"/>
    <mergeCell ref="I3269:I3271"/>
    <mergeCell ref="J3269:J3271"/>
    <mergeCell ref="K3269:K3271"/>
    <mergeCell ref="L3269:L3271"/>
    <mergeCell ref="D3272:D3274"/>
    <mergeCell ref="E3272:E3274"/>
    <mergeCell ref="F3272:F3274"/>
    <mergeCell ref="G3272:G3274"/>
    <mergeCell ref="H3272:H3274"/>
    <mergeCell ref="I3272:I3274"/>
    <mergeCell ref="J3272:J3274"/>
    <mergeCell ref="K3272:K3274"/>
    <mergeCell ref="L3272:L3274"/>
    <mergeCell ref="D3275:D3277"/>
    <mergeCell ref="E3275:E3277"/>
    <mergeCell ref="F3275:F3277"/>
    <mergeCell ref="G3275:G3277"/>
    <mergeCell ref="H3275:H3277"/>
    <mergeCell ref="I3275:I3277"/>
    <mergeCell ref="J3275:J3277"/>
    <mergeCell ref="K3275:K3277"/>
    <mergeCell ref="L3275:L3277"/>
    <mergeCell ref="D3278:F3278"/>
    <mergeCell ref="G3278:L3278"/>
    <mergeCell ref="A3258:A3260"/>
    <mergeCell ref="B3258:C3267"/>
    <mergeCell ref="D3236:D3238"/>
    <mergeCell ref="E3236:E3238"/>
    <mergeCell ref="F3236:F3238"/>
    <mergeCell ref="G3236:G3238"/>
    <mergeCell ref="H3236:H3238"/>
    <mergeCell ref="I3236:I3238"/>
    <mergeCell ref="J3236:J3238"/>
    <mergeCell ref="K3236:K3238"/>
    <mergeCell ref="L3236:L3238"/>
    <mergeCell ref="D3239:D3241"/>
    <mergeCell ref="E3239:E3241"/>
    <mergeCell ref="F3239:F3241"/>
    <mergeCell ref="G3239:G3241"/>
    <mergeCell ref="H3239:H3241"/>
    <mergeCell ref="I3239:I3241"/>
    <mergeCell ref="J3239:J3241"/>
    <mergeCell ref="K3239:K3241"/>
    <mergeCell ref="L3239:L3241"/>
    <mergeCell ref="D3242:D3244"/>
    <mergeCell ref="E3242:E3244"/>
    <mergeCell ref="F3242:F3244"/>
    <mergeCell ref="G3242:G3244"/>
    <mergeCell ref="H3242:H3244"/>
    <mergeCell ref="I3242:I3244"/>
    <mergeCell ref="J3242:J3244"/>
    <mergeCell ref="K3242:K3244"/>
    <mergeCell ref="L3242:L3244"/>
    <mergeCell ref="D3245:F3245"/>
    <mergeCell ref="G3245:L3245"/>
    <mergeCell ref="A3247:A3249"/>
    <mergeCell ref="B3247:C3256"/>
    <mergeCell ref="D3247:D3249"/>
    <mergeCell ref="E3247:E3249"/>
    <mergeCell ref="F3247:F3249"/>
    <mergeCell ref="G3247:G3249"/>
    <mergeCell ref="H3247:H3249"/>
    <mergeCell ref="I3247:I3249"/>
    <mergeCell ref="J3247:J3249"/>
    <mergeCell ref="K3247:K3249"/>
    <mergeCell ref="L3247:L3249"/>
    <mergeCell ref="D3250:D3252"/>
    <mergeCell ref="E3250:E3252"/>
    <mergeCell ref="F3250:F3252"/>
    <mergeCell ref="G3250:G3252"/>
    <mergeCell ref="H3250:H3252"/>
    <mergeCell ref="I3250:I3252"/>
    <mergeCell ref="J3250:J3252"/>
    <mergeCell ref="K3250:K3252"/>
    <mergeCell ref="L3250:L3252"/>
    <mergeCell ref="D3253:D3255"/>
    <mergeCell ref="E3253:E3255"/>
    <mergeCell ref="F3253:F3255"/>
    <mergeCell ref="G3253:G3255"/>
    <mergeCell ref="H3253:H3255"/>
    <mergeCell ref="I3253:I3255"/>
    <mergeCell ref="J3253:J3255"/>
    <mergeCell ref="K3253:K3255"/>
    <mergeCell ref="L3253:L3255"/>
    <mergeCell ref="D3256:F3256"/>
    <mergeCell ref="G3256:L3256"/>
    <mergeCell ref="A3236:A3238"/>
    <mergeCell ref="B3236:C3245"/>
    <mergeCell ref="B3214:C3223"/>
    <mergeCell ref="D3214:D3216"/>
    <mergeCell ref="E3214:E3216"/>
    <mergeCell ref="F3214:F3216"/>
    <mergeCell ref="G3214:G3216"/>
    <mergeCell ref="H3214:H3216"/>
    <mergeCell ref="I3214:I3216"/>
    <mergeCell ref="J3214:J3216"/>
    <mergeCell ref="K3214:K3216"/>
    <mergeCell ref="L3214:L3216"/>
    <mergeCell ref="D3217:D3219"/>
    <mergeCell ref="E3217:E3219"/>
    <mergeCell ref="F3217:F3219"/>
    <mergeCell ref="G3217:G3219"/>
    <mergeCell ref="H3217:H3219"/>
    <mergeCell ref="I3217:I3219"/>
    <mergeCell ref="J3217:J3219"/>
    <mergeCell ref="K3217:K3219"/>
    <mergeCell ref="L3217:L3219"/>
    <mergeCell ref="D3220:D3222"/>
    <mergeCell ref="E3220:E3222"/>
    <mergeCell ref="F3220:F3222"/>
    <mergeCell ref="G3220:G3222"/>
    <mergeCell ref="H3220:H3222"/>
    <mergeCell ref="I3220:I3222"/>
    <mergeCell ref="J3220:J3222"/>
    <mergeCell ref="K3220:K3222"/>
    <mergeCell ref="L3220:L3222"/>
    <mergeCell ref="D3223:F3223"/>
    <mergeCell ref="G3223:L3223"/>
    <mergeCell ref="A3225:A3227"/>
    <mergeCell ref="B3225:C3234"/>
    <mergeCell ref="D3225:D3227"/>
    <mergeCell ref="E3225:E3227"/>
    <mergeCell ref="F3225:F3227"/>
    <mergeCell ref="G3225:G3227"/>
    <mergeCell ref="H3225:H3227"/>
    <mergeCell ref="I3225:I3227"/>
    <mergeCell ref="J3225:J3227"/>
    <mergeCell ref="K3225:K3227"/>
    <mergeCell ref="L3225:L3227"/>
    <mergeCell ref="D3228:D3230"/>
    <mergeCell ref="E3228:E3230"/>
    <mergeCell ref="F3228:F3230"/>
    <mergeCell ref="G3228:G3230"/>
    <mergeCell ref="H3228:H3230"/>
    <mergeCell ref="I3228:I3230"/>
    <mergeCell ref="J3228:J3230"/>
    <mergeCell ref="K3228:K3230"/>
    <mergeCell ref="L3228:L3230"/>
    <mergeCell ref="D3231:D3233"/>
    <mergeCell ref="E3231:E3233"/>
    <mergeCell ref="F3231:F3233"/>
    <mergeCell ref="G3231:G3233"/>
    <mergeCell ref="H3231:H3233"/>
    <mergeCell ref="I3231:I3233"/>
    <mergeCell ref="J3231:J3233"/>
    <mergeCell ref="K3231:K3233"/>
    <mergeCell ref="L3231:L3233"/>
    <mergeCell ref="D3234:F3234"/>
    <mergeCell ref="G3234:L3234"/>
    <mergeCell ref="A3214:A3216"/>
    <mergeCell ref="D3192:D3194"/>
    <mergeCell ref="E3192:E3194"/>
    <mergeCell ref="F3192:F3194"/>
    <mergeCell ref="G3192:G3194"/>
    <mergeCell ref="H3192:H3194"/>
    <mergeCell ref="I3192:I3194"/>
    <mergeCell ref="J3192:J3194"/>
    <mergeCell ref="K3192:K3194"/>
    <mergeCell ref="L3192:L3194"/>
    <mergeCell ref="D3195:D3197"/>
    <mergeCell ref="E3195:E3197"/>
    <mergeCell ref="F3195:F3197"/>
    <mergeCell ref="G3195:G3197"/>
    <mergeCell ref="H3195:H3197"/>
    <mergeCell ref="I3195:I3197"/>
    <mergeCell ref="J3195:J3197"/>
    <mergeCell ref="K3195:K3197"/>
    <mergeCell ref="L3195:L3197"/>
    <mergeCell ref="D3201:F3201"/>
    <mergeCell ref="G3201:L3201"/>
    <mergeCell ref="A3203:A3205"/>
    <mergeCell ref="B3203:C3212"/>
    <mergeCell ref="D3203:D3205"/>
    <mergeCell ref="E3203:E3205"/>
    <mergeCell ref="F3203:F3205"/>
    <mergeCell ref="G3203:G3205"/>
    <mergeCell ref="H3203:H3205"/>
    <mergeCell ref="I3203:I3205"/>
    <mergeCell ref="J3203:J3205"/>
    <mergeCell ref="K3203:K3205"/>
    <mergeCell ref="L3203:L3205"/>
    <mergeCell ref="D3206:D3208"/>
    <mergeCell ref="E3206:E3208"/>
    <mergeCell ref="F3206:F3208"/>
    <mergeCell ref="G3206:G3208"/>
    <mergeCell ref="H3206:H3208"/>
    <mergeCell ref="I3206:I3208"/>
    <mergeCell ref="J3206:J3208"/>
    <mergeCell ref="K3206:K3208"/>
    <mergeCell ref="L3206:L3208"/>
    <mergeCell ref="D3209:D3211"/>
    <mergeCell ref="E3209:E3211"/>
    <mergeCell ref="F3209:F3211"/>
    <mergeCell ref="G3209:G3211"/>
    <mergeCell ref="H3209:H3211"/>
    <mergeCell ref="I3209:I3211"/>
    <mergeCell ref="J3209:J3211"/>
    <mergeCell ref="K3209:K3211"/>
    <mergeCell ref="L3209:L3211"/>
    <mergeCell ref="D3212:F3212"/>
    <mergeCell ref="G3212:L3212"/>
    <mergeCell ref="D3198:D3200"/>
    <mergeCell ref="E3198:E3200"/>
    <mergeCell ref="F3198:F3200"/>
    <mergeCell ref="G3198:G3200"/>
    <mergeCell ref="H3198:H3200"/>
    <mergeCell ref="I3198:I3200"/>
    <mergeCell ref="J3198:J3200"/>
    <mergeCell ref="K3198:K3200"/>
    <mergeCell ref="L3198:L3200"/>
    <mergeCell ref="A3192:A3194"/>
    <mergeCell ref="B3192:C3201"/>
    <mergeCell ref="D3170:D3172"/>
    <mergeCell ref="E3170:E3172"/>
    <mergeCell ref="F3170:F3172"/>
    <mergeCell ref="G3170:G3172"/>
    <mergeCell ref="H3170:H3172"/>
    <mergeCell ref="I3170:I3172"/>
    <mergeCell ref="J3170:J3172"/>
    <mergeCell ref="K3170:K3172"/>
    <mergeCell ref="L3170:L3172"/>
    <mergeCell ref="D3173:D3175"/>
    <mergeCell ref="E3173:E3175"/>
    <mergeCell ref="F3173:F3175"/>
    <mergeCell ref="G3173:G3175"/>
    <mergeCell ref="H3173:H3175"/>
    <mergeCell ref="I3173:I3175"/>
    <mergeCell ref="J3173:J3175"/>
    <mergeCell ref="K3173:K3175"/>
    <mergeCell ref="L3173:L3175"/>
    <mergeCell ref="D3179:F3179"/>
    <mergeCell ref="G3179:L3179"/>
    <mergeCell ref="A3181:A3183"/>
    <mergeCell ref="B3181:C3190"/>
    <mergeCell ref="D3181:D3183"/>
    <mergeCell ref="E3181:E3183"/>
    <mergeCell ref="F3181:F3183"/>
    <mergeCell ref="G3181:G3183"/>
    <mergeCell ref="H3181:H3183"/>
    <mergeCell ref="I3181:I3183"/>
    <mergeCell ref="J3181:J3183"/>
    <mergeCell ref="K3181:K3183"/>
    <mergeCell ref="L3181:L3183"/>
    <mergeCell ref="D3184:D3186"/>
    <mergeCell ref="E3184:E3186"/>
    <mergeCell ref="F3184:F3186"/>
    <mergeCell ref="G3184:G3186"/>
    <mergeCell ref="H3184:H3186"/>
    <mergeCell ref="I3184:I3186"/>
    <mergeCell ref="J3184:J3186"/>
    <mergeCell ref="K3184:K3186"/>
    <mergeCell ref="L3184:L3186"/>
    <mergeCell ref="D3190:F3190"/>
    <mergeCell ref="G3190:L3190"/>
    <mergeCell ref="D3176:D3178"/>
    <mergeCell ref="E3176:E3178"/>
    <mergeCell ref="F3176:F3178"/>
    <mergeCell ref="G3176:G3178"/>
    <mergeCell ref="H3176:H3178"/>
    <mergeCell ref="I3176:I3178"/>
    <mergeCell ref="J3176:J3178"/>
    <mergeCell ref="K3176:K3178"/>
    <mergeCell ref="L3176:L3178"/>
    <mergeCell ref="A3170:A3172"/>
    <mergeCell ref="B3170:C3179"/>
    <mergeCell ref="D3187:D3189"/>
    <mergeCell ref="E3187:E3189"/>
    <mergeCell ref="F3187:F3189"/>
    <mergeCell ref="G3187:G3189"/>
    <mergeCell ref="H3187:H3189"/>
    <mergeCell ref="I3187:I3189"/>
    <mergeCell ref="J3187:J3189"/>
    <mergeCell ref="K3187:K3189"/>
    <mergeCell ref="L3187:L3189"/>
    <mergeCell ref="D3148:D3150"/>
    <mergeCell ref="E3148:E3150"/>
    <mergeCell ref="F3148:F3150"/>
    <mergeCell ref="G3148:G3150"/>
    <mergeCell ref="H3148:H3150"/>
    <mergeCell ref="I3148:I3150"/>
    <mergeCell ref="J3148:J3150"/>
    <mergeCell ref="K3148:K3150"/>
    <mergeCell ref="L3148:L3150"/>
    <mergeCell ref="D3151:D3153"/>
    <mergeCell ref="E3151:E3153"/>
    <mergeCell ref="F3151:F3153"/>
    <mergeCell ref="G3151:G3153"/>
    <mergeCell ref="H3151:H3153"/>
    <mergeCell ref="I3151:I3153"/>
    <mergeCell ref="J3151:J3153"/>
    <mergeCell ref="K3151:K3153"/>
    <mergeCell ref="L3151:L3153"/>
    <mergeCell ref="D3157:F3157"/>
    <mergeCell ref="G3157:L3157"/>
    <mergeCell ref="A3159:A3161"/>
    <mergeCell ref="B3159:C3168"/>
    <mergeCell ref="D3159:D3161"/>
    <mergeCell ref="E3159:E3161"/>
    <mergeCell ref="F3159:F3161"/>
    <mergeCell ref="G3159:G3161"/>
    <mergeCell ref="H3159:H3161"/>
    <mergeCell ref="I3159:I3161"/>
    <mergeCell ref="J3159:J3161"/>
    <mergeCell ref="K3159:K3161"/>
    <mergeCell ref="L3159:L3161"/>
    <mergeCell ref="D3162:D3164"/>
    <mergeCell ref="E3162:E3164"/>
    <mergeCell ref="F3162:F3164"/>
    <mergeCell ref="G3162:G3164"/>
    <mergeCell ref="H3162:H3164"/>
    <mergeCell ref="I3162:I3164"/>
    <mergeCell ref="J3162:J3164"/>
    <mergeCell ref="K3162:K3164"/>
    <mergeCell ref="L3162:L3164"/>
    <mergeCell ref="D3168:F3168"/>
    <mergeCell ref="G3168:L3168"/>
    <mergeCell ref="D3154:D3156"/>
    <mergeCell ref="E3154:E3156"/>
    <mergeCell ref="F3154:F3156"/>
    <mergeCell ref="G3154:G3156"/>
    <mergeCell ref="H3154:H3156"/>
    <mergeCell ref="I3154:I3156"/>
    <mergeCell ref="J3154:J3156"/>
    <mergeCell ref="K3154:K3156"/>
    <mergeCell ref="L3154:L3156"/>
    <mergeCell ref="A3148:A3150"/>
    <mergeCell ref="B3148:C3157"/>
    <mergeCell ref="D3165:D3167"/>
    <mergeCell ref="E3165:E3167"/>
    <mergeCell ref="F3165:F3167"/>
    <mergeCell ref="G3165:G3167"/>
    <mergeCell ref="H3165:H3167"/>
    <mergeCell ref="I3165:I3167"/>
    <mergeCell ref="J3165:J3167"/>
    <mergeCell ref="K3165:K3167"/>
    <mergeCell ref="L3165:L3167"/>
    <mergeCell ref="D3126:D3128"/>
    <mergeCell ref="E3126:E3128"/>
    <mergeCell ref="F3126:F3128"/>
    <mergeCell ref="G3126:G3128"/>
    <mergeCell ref="H3126:H3128"/>
    <mergeCell ref="I3126:I3128"/>
    <mergeCell ref="J3126:J3128"/>
    <mergeCell ref="K3126:K3128"/>
    <mergeCell ref="L3126:L3128"/>
    <mergeCell ref="D3129:D3131"/>
    <mergeCell ref="E3129:E3131"/>
    <mergeCell ref="F3129:F3131"/>
    <mergeCell ref="G3129:G3131"/>
    <mergeCell ref="H3129:H3131"/>
    <mergeCell ref="I3129:I3131"/>
    <mergeCell ref="J3129:J3131"/>
    <mergeCell ref="K3129:K3131"/>
    <mergeCell ref="L3129:L3131"/>
    <mergeCell ref="D3135:F3135"/>
    <mergeCell ref="G3135:L3135"/>
    <mergeCell ref="A3137:A3139"/>
    <mergeCell ref="B3137:C3146"/>
    <mergeCell ref="D3137:D3139"/>
    <mergeCell ref="E3137:E3139"/>
    <mergeCell ref="F3137:F3139"/>
    <mergeCell ref="G3137:G3139"/>
    <mergeCell ref="H3137:H3139"/>
    <mergeCell ref="I3137:I3139"/>
    <mergeCell ref="J3137:J3139"/>
    <mergeCell ref="K3137:K3139"/>
    <mergeCell ref="L3137:L3139"/>
    <mergeCell ref="D3140:D3142"/>
    <mergeCell ref="E3140:E3142"/>
    <mergeCell ref="F3140:F3142"/>
    <mergeCell ref="G3140:G3142"/>
    <mergeCell ref="H3140:H3142"/>
    <mergeCell ref="I3140:I3142"/>
    <mergeCell ref="J3140:J3142"/>
    <mergeCell ref="K3140:K3142"/>
    <mergeCell ref="L3140:L3142"/>
    <mergeCell ref="D3146:F3146"/>
    <mergeCell ref="G3146:L3146"/>
    <mergeCell ref="D3132:D3134"/>
    <mergeCell ref="E3132:E3134"/>
    <mergeCell ref="F3132:F3134"/>
    <mergeCell ref="G3132:G3134"/>
    <mergeCell ref="H3132:H3134"/>
    <mergeCell ref="I3132:I3134"/>
    <mergeCell ref="J3132:J3134"/>
    <mergeCell ref="K3132:K3134"/>
    <mergeCell ref="L3132:L3134"/>
    <mergeCell ref="A3126:A3128"/>
    <mergeCell ref="B3126:C3135"/>
    <mergeCell ref="D3143:D3145"/>
    <mergeCell ref="E3143:E3145"/>
    <mergeCell ref="F3143:F3145"/>
    <mergeCell ref="G3143:G3145"/>
    <mergeCell ref="H3143:H3145"/>
    <mergeCell ref="I3143:I3145"/>
    <mergeCell ref="J3143:J3145"/>
    <mergeCell ref="K3143:K3145"/>
    <mergeCell ref="L3143:L3145"/>
    <mergeCell ref="H3107:H3109"/>
    <mergeCell ref="I3107:I3109"/>
    <mergeCell ref="J3107:J3109"/>
    <mergeCell ref="K3107:K3109"/>
    <mergeCell ref="L3107:L3109"/>
    <mergeCell ref="D3113:F3113"/>
    <mergeCell ref="G3113:L3113"/>
    <mergeCell ref="A3115:A3117"/>
    <mergeCell ref="B3115:C3124"/>
    <mergeCell ref="D3115:D3117"/>
    <mergeCell ref="E3115:E3117"/>
    <mergeCell ref="F3115:F3117"/>
    <mergeCell ref="G3115:G3117"/>
    <mergeCell ref="H3115:H3117"/>
    <mergeCell ref="I3115:I3117"/>
    <mergeCell ref="J3115:J3117"/>
    <mergeCell ref="K3115:K3117"/>
    <mergeCell ref="L3115:L3117"/>
    <mergeCell ref="D3118:D3120"/>
    <mergeCell ref="E3118:E3120"/>
    <mergeCell ref="F3118:F3120"/>
    <mergeCell ref="G3118:G3120"/>
    <mergeCell ref="H3118:H3120"/>
    <mergeCell ref="I3118:I3120"/>
    <mergeCell ref="J3118:J3120"/>
    <mergeCell ref="K3118:K3120"/>
    <mergeCell ref="L3118:L3120"/>
    <mergeCell ref="D3124:F3124"/>
    <mergeCell ref="G3124:L3124"/>
    <mergeCell ref="D3121:D3123"/>
    <mergeCell ref="E3121:E3123"/>
    <mergeCell ref="F3121:F3123"/>
    <mergeCell ref="G3121:G3123"/>
    <mergeCell ref="H3121:H3123"/>
    <mergeCell ref="I3121:I3123"/>
    <mergeCell ref="J3121:J3123"/>
    <mergeCell ref="K3121:K3123"/>
    <mergeCell ref="L3121:L3123"/>
    <mergeCell ref="A3071:A3073"/>
    <mergeCell ref="B3071:C3080"/>
    <mergeCell ref="D3074:D3076"/>
    <mergeCell ref="E3074:E3076"/>
    <mergeCell ref="F3074:F3076"/>
    <mergeCell ref="G3074:G3076"/>
    <mergeCell ref="H3074:H3076"/>
    <mergeCell ref="I3074:I3076"/>
    <mergeCell ref="J3074:J3076"/>
    <mergeCell ref="K3074:K3076"/>
    <mergeCell ref="L3074:L3076"/>
    <mergeCell ref="D3077:D3079"/>
    <mergeCell ref="E3077:E3079"/>
    <mergeCell ref="F3077:F3079"/>
    <mergeCell ref="G3077:G3079"/>
    <mergeCell ref="H3077:H3079"/>
    <mergeCell ref="I3077:I3079"/>
    <mergeCell ref="J3077:J3079"/>
    <mergeCell ref="K3077:K3079"/>
    <mergeCell ref="L3077:L3079"/>
    <mergeCell ref="D3080:F3080"/>
    <mergeCell ref="G3080:L3080"/>
    <mergeCell ref="A3082:A3084"/>
    <mergeCell ref="B3082:C3091"/>
    <mergeCell ref="D3085:D3087"/>
    <mergeCell ref="E3085:E3087"/>
    <mergeCell ref="F3085:F3087"/>
    <mergeCell ref="G3085:G3087"/>
    <mergeCell ref="H3085:H3087"/>
    <mergeCell ref="I3085:I3087"/>
    <mergeCell ref="J3085:J3087"/>
    <mergeCell ref="K3085:K3087"/>
    <mergeCell ref="L3085:L3087"/>
    <mergeCell ref="D3088:D3090"/>
    <mergeCell ref="E3088:E3090"/>
    <mergeCell ref="F3088:F3090"/>
    <mergeCell ref="G3088:G3090"/>
    <mergeCell ref="H3088:H3090"/>
    <mergeCell ref="I3088:I3090"/>
    <mergeCell ref="J3088:J3090"/>
    <mergeCell ref="K3088:K3090"/>
    <mergeCell ref="L3088:L3090"/>
    <mergeCell ref="D3091:F3091"/>
    <mergeCell ref="G3091:L3091"/>
    <mergeCell ref="H3052:H3054"/>
    <mergeCell ref="I3052:I3054"/>
    <mergeCell ref="J3052:J3054"/>
    <mergeCell ref="K3052:K3054"/>
    <mergeCell ref="L3052:L3054"/>
    <mergeCell ref="D3055:D3057"/>
    <mergeCell ref="E3055:E3057"/>
    <mergeCell ref="F3055:F3057"/>
    <mergeCell ref="G3055:G3057"/>
    <mergeCell ref="H3055:H3057"/>
    <mergeCell ref="I3055:I3057"/>
    <mergeCell ref="J3055:J3057"/>
    <mergeCell ref="K3055:K3057"/>
    <mergeCell ref="L3055:L3057"/>
    <mergeCell ref="D3058:F3058"/>
    <mergeCell ref="G3058:L3058"/>
    <mergeCell ref="A3060:A3062"/>
    <mergeCell ref="B3060:C3069"/>
    <mergeCell ref="D3063:D3065"/>
    <mergeCell ref="E3063:E3065"/>
    <mergeCell ref="F3063:F3065"/>
    <mergeCell ref="G3063:G3065"/>
    <mergeCell ref="H3063:H3065"/>
    <mergeCell ref="I3063:I3065"/>
    <mergeCell ref="J3063:J3065"/>
    <mergeCell ref="K3063:K3065"/>
    <mergeCell ref="L3063:L3065"/>
    <mergeCell ref="D3066:D3068"/>
    <mergeCell ref="E3066:E3068"/>
    <mergeCell ref="F3066:F3068"/>
    <mergeCell ref="G3066:G3068"/>
    <mergeCell ref="H3066:H3068"/>
    <mergeCell ref="I3066:I3068"/>
    <mergeCell ref="J3066:J3068"/>
    <mergeCell ref="K3066:K3068"/>
    <mergeCell ref="L3066:L3068"/>
    <mergeCell ref="D3069:F3069"/>
    <mergeCell ref="G3069:L3069"/>
    <mergeCell ref="H3019:H3021"/>
    <mergeCell ref="I3019:I3021"/>
    <mergeCell ref="J3019:J3021"/>
    <mergeCell ref="K3019:K3021"/>
    <mergeCell ref="L3019:L3021"/>
    <mergeCell ref="D3022:D3024"/>
    <mergeCell ref="E3022:E3024"/>
    <mergeCell ref="F3022:F3024"/>
    <mergeCell ref="G3022:G3024"/>
    <mergeCell ref="H3022:H3024"/>
    <mergeCell ref="I3022:I3024"/>
    <mergeCell ref="J3022:J3024"/>
    <mergeCell ref="K3022:K3024"/>
    <mergeCell ref="L3022:L3024"/>
    <mergeCell ref="D3025:F3025"/>
    <mergeCell ref="G3025:L3025"/>
    <mergeCell ref="A3027:A3029"/>
    <mergeCell ref="B3027:C3036"/>
    <mergeCell ref="D3030:D3032"/>
    <mergeCell ref="E3030:E3032"/>
    <mergeCell ref="F3030:F3032"/>
    <mergeCell ref="G3030:G3032"/>
    <mergeCell ref="H3030:H3032"/>
    <mergeCell ref="I3030:I3032"/>
    <mergeCell ref="J3030:J3032"/>
    <mergeCell ref="K3030:K3032"/>
    <mergeCell ref="L3030:L3032"/>
    <mergeCell ref="D3033:D3035"/>
    <mergeCell ref="E3033:E3035"/>
    <mergeCell ref="F3033:F3035"/>
    <mergeCell ref="G3033:G3035"/>
    <mergeCell ref="H3033:H3035"/>
    <mergeCell ref="I3033:I3035"/>
    <mergeCell ref="J3033:J3035"/>
    <mergeCell ref="K3033:K3035"/>
    <mergeCell ref="L3033:L3035"/>
    <mergeCell ref="D3036:F3036"/>
    <mergeCell ref="G3036:L3036"/>
    <mergeCell ref="D2983:D2985"/>
    <mergeCell ref="E2983:E2985"/>
    <mergeCell ref="F2983:F2985"/>
    <mergeCell ref="G2983:G2985"/>
    <mergeCell ref="H2983:H2985"/>
    <mergeCell ref="I2983:I2985"/>
    <mergeCell ref="J2983:J2985"/>
    <mergeCell ref="K2983:K2985"/>
    <mergeCell ref="L2983:L2985"/>
    <mergeCell ref="D2986:D2988"/>
    <mergeCell ref="E2986:E2988"/>
    <mergeCell ref="F2986:F2988"/>
    <mergeCell ref="G2986:G2988"/>
    <mergeCell ref="H2986:H2988"/>
    <mergeCell ref="I2986:I2988"/>
    <mergeCell ref="J2986:J2988"/>
    <mergeCell ref="K2986:K2988"/>
    <mergeCell ref="L2986:L2988"/>
    <mergeCell ref="D2989:D2991"/>
    <mergeCell ref="E2989:E2991"/>
    <mergeCell ref="F2989:F2991"/>
    <mergeCell ref="G2989:G2991"/>
    <mergeCell ref="H2989:H2991"/>
    <mergeCell ref="I2989:I2991"/>
    <mergeCell ref="J2989:J2991"/>
    <mergeCell ref="K2989:K2991"/>
    <mergeCell ref="L2989:L2991"/>
    <mergeCell ref="D2992:F2992"/>
    <mergeCell ref="G2992:L2992"/>
    <mergeCell ref="A2994:A2996"/>
    <mergeCell ref="B2994:C3003"/>
    <mergeCell ref="D2997:D2999"/>
    <mergeCell ref="E2997:E2999"/>
    <mergeCell ref="F2997:F2999"/>
    <mergeCell ref="G2997:G2999"/>
    <mergeCell ref="H2997:H2999"/>
    <mergeCell ref="I2997:I2999"/>
    <mergeCell ref="J2997:J2999"/>
    <mergeCell ref="K2997:K2999"/>
    <mergeCell ref="L2997:L2999"/>
    <mergeCell ref="D3000:D3002"/>
    <mergeCell ref="E3000:E3002"/>
    <mergeCell ref="F3000:F3002"/>
    <mergeCell ref="G3000:G3002"/>
    <mergeCell ref="H3000:H3002"/>
    <mergeCell ref="I3000:I3002"/>
    <mergeCell ref="J3000:J3002"/>
    <mergeCell ref="K3000:K3002"/>
    <mergeCell ref="L3000:L3002"/>
    <mergeCell ref="D3003:F3003"/>
    <mergeCell ref="G3003:L3003"/>
    <mergeCell ref="A2983:A2985"/>
    <mergeCell ref="B2983:C2992"/>
    <mergeCell ref="D2961:D2963"/>
    <mergeCell ref="E2961:E2963"/>
    <mergeCell ref="F2961:F2963"/>
    <mergeCell ref="G2961:G2963"/>
    <mergeCell ref="H2961:H2963"/>
    <mergeCell ref="I2961:I2963"/>
    <mergeCell ref="J2961:J2963"/>
    <mergeCell ref="K2961:K2963"/>
    <mergeCell ref="L2961:L2963"/>
    <mergeCell ref="D2964:D2966"/>
    <mergeCell ref="E2964:E2966"/>
    <mergeCell ref="F2964:F2966"/>
    <mergeCell ref="G2964:G2966"/>
    <mergeCell ref="H2964:H2966"/>
    <mergeCell ref="I2964:I2966"/>
    <mergeCell ref="J2964:J2966"/>
    <mergeCell ref="K2964:K2966"/>
    <mergeCell ref="L2964:L2966"/>
    <mergeCell ref="D2967:D2969"/>
    <mergeCell ref="E2967:E2969"/>
    <mergeCell ref="F2967:F2969"/>
    <mergeCell ref="G2967:G2969"/>
    <mergeCell ref="H2967:H2969"/>
    <mergeCell ref="I2967:I2969"/>
    <mergeCell ref="J2967:J2969"/>
    <mergeCell ref="K2967:K2969"/>
    <mergeCell ref="L2967:L2969"/>
    <mergeCell ref="D2970:F2970"/>
    <mergeCell ref="G2970:L2970"/>
    <mergeCell ref="A2972:A2974"/>
    <mergeCell ref="B2972:C2981"/>
    <mergeCell ref="D2972:D2974"/>
    <mergeCell ref="E2972:E2974"/>
    <mergeCell ref="F2972:F2974"/>
    <mergeCell ref="G2972:G2974"/>
    <mergeCell ref="H2972:H2974"/>
    <mergeCell ref="I2972:I2974"/>
    <mergeCell ref="J2972:J2974"/>
    <mergeCell ref="K2972:K2974"/>
    <mergeCell ref="L2972:L2974"/>
    <mergeCell ref="D2975:D2977"/>
    <mergeCell ref="E2975:E2977"/>
    <mergeCell ref="F2975:F2977"/>
    <mergeCell ref="G2975:G2977"/>
    <mergeCell ref="H2975:H2977"/>
    <mergeCell ref="I2975:I2977"/>
    <mergeCell ref="J2975:J2977"/>
    <mergeCell ref="K2975:K2977"/>
    <mergeCell ref="L2975:L2977"/>
    <mergeCell ref="D2978:D2980"/>
    <mergeCell ref="E2978:E2980"/>
    <mergeCell ref="F2978:F2980"/>
    <mergeCell ref="G2978:G2980"/>
    <mergeCell ref="H2978:H2980"/>
    <mergeCell ref="I2978:I2980"/>
    <mergeCell ref="J2978:J2980"/>
    <mergeCell ref="K2978:K2980"/>
    <mergeCell ref="L2978:L2980"/>
    <mergeCell ref="D2981:F2981"/>
    <mergeCell ref="G2981:L2981"/>
    <mergeCell ref="A2961:A2963"/>
    <mergeCell ref="B2961:C2970"/>
    <mergeCell ref="D2939:D2941"/>
    <mergeCell ref="E2939:E2941"/>
    <mergeCell ref="F2939:F2941"/>
    <mergeCell ref="G2939:G2941"/>
    <mergeCell ref="H2939:H2941"/>
    <mergeCell ref="I2939:I2941"/>
    <mergeCell ref="J2939:J2941"/>
    <mergeCell ref="K2939:K2941"/>
    <mergeCell ref="L2939:L2941"/>
    <mergeCell ref="D2942:D2944"/>
    <mergeCell ref="E2942:E2944"/>
    <mergeCell ref="F2942:F2944"/>
    <mergeCell ref="G2942:G2944"/>
    <mergeCell ref="H2942:H2944"/>
    <mergeCell ref="I2942:I2944"/>
    <mergeCell ref="J2942:J2944"/>
    <mergeCell ref="K2942:K2944"/>
    <mergeCell ref="L2942:L2944"/>
    <mergeCell ref="D2945:D2947"/>
    <mergeCell ref="E2945:E2947"/>
    <mergeCell ref="F2945:F2947"/>
    <mergeCell ref="G2945:G2947"/>
    <mergeCell ref="H2945:H2947"/>
    <mergeCell ref="I2945:I2947"/>
    <mergeCell ref="J2945:J2947"/>
    <mergeCell ref="K2945:K2947"/>
    <mergeCell ref="L2945:L2947"/>
    <mergeCell ref="D2948:F2948"/>
    <mergeCell ref="G2948:L2948"/>
    <mergeCell ref="A2950:A2952"/>
    <mergeCell ref="B2950:C2959"/>
    <mergeCell ref="D2950:D2952"/>
    <mergeCell ref="E2950:E2952"/>
    <mergeCell ref="F2950:F2952"/>
    <mergeCell ref="G2950:G2952"/>
    <mergeCell ref="H2950:H2952"/>
    <mergeCell ref="I2950:I2952"/>
    <mergeCell ref="J2950:J2952"/>
    <mergeCell ref="K2950:K2952"/>
    <mergeCell ref="L2950:L2952"/>
    <mergeCell ref="D2953:D2955"/>
    <mergeCell ref="E2953:E2955"/>
    <mergeCell ref="F2953:F2955"/>
    <mergeCell ref="G2953:G2955"/>
    <mergeCell ref="H2953:H2955"/>
    <mergeCell ref="I2953:I2955"/>
    <mergeCell ref="J2953:J2955"/>
    <mergeCell ref="K2953:K2955"/>
    <mergeCell ref="L2953:L2955"/>
    <mergeCell ref="D2956:D2958"/>
    <mergeCell ref="E2956:E2958"/>
    <mergeCell ref="F2956:F2958"/>
    <mergeCell ref="G2956:G2958"/>
    <mergeCell ref="H2956:H2958"/>
    <mergeCell ref="I2956:I2958"/>
    <mergeCell ref="J2956:J2958"/>
    <mergeCell ref="K2956:K2958"/>
    <mergeCell ref="L2956:L2958"/>
    <mergeCell ref="D2959:F2959"/>
    <mergeCell ref="G2959:L2959"/>
    <mergeCell ref="A2939:A2941"/>
    <mergeCell ref="B2939:C2948"/>
    <mergeCell ref="A2917:A2919"/>
    <mergeCell ref="B2917:C2926"/>
    <mergeCell ref="D2917:D2919"/>
    <mergeCell ref="E2917:E2919"/>
    <mergeCell ref="F2917:F2919"/>
    <mergeCell ref="G2917:G2919"/>
    <mergeCell ref="H2917:H2919"/>
    <mergeCell ref="I2917:I2919"/>
    <mergeCell ref="J2917:J2919"/>
    <mergeCell ref="K2917:K2919"/>
    <mergeCell ref="L2917:L2919"/>
    <mergeCell ref="D2920:D2922"/>
    <mergeCell ref="E2920:E2922"/>
    <mergeCell ref="F2920:F2922"/>
    <mergeCell ref="G2920:G2922"/>
    <mergeCell ref="H2920:H2922"/>
    <mergeCell ref="I2920:I2922"/>
    <mergeCell ref="J2920:J2922"/>
    <mergeCell ref="K2920:K2922"/>
    <mergeCell ref="L2920:L2922"/>
    <mergeCell ref="D2923:D2925"/>
    <mergeCell ref="E2923:E2925"/>
    <mergeCell ref="F2923:F2925"/>
    <mergeCell ref="G2923:G2925"/>
    <mergeCell ref="H2923:H2925"/>
    <mergeCell ref="I2923:I2925"/>
    <mergeCell ref="J2923:J2925"/>
    <mergeCell ref="K2923:K2925"/>
    <mergeCell ref="L2923:L2925"/>
    <mergeCell ref="D2926:F2926"/>
    <mergeCell ref="G2926:L2926"/>
    <mergeCell ref="A2928:A2930"/>
    <mergeCell ref="B2928:C2937"/>
    <mergeCell ref="D2928:D2930"/>
    <mergeCell ref="E2928:E2930"/>
    <mergeCell ref="F2928:F2930"/>
    <mergeCell ref="G2928:G2930"/>
    <mergeCell ref="H2928:H2930"/>
    <mergeCell ref="I2928:I2930"/>
    <mergeCell ref="J2928:J2930"/>
    <mergeCell ref="K2928:K2930"/>
    <mergeCell ref="L2928:L2930"/>
    <mergeCell ref="D2931:D2933"/>
    <mergeCell ref="E2931:E2933"/>
    <mergeCell ref="F2931:F2933"/>
    <mergeCell ref="G2931:G2933"/>
    <mergeCell ref="H2931:H2933"/>
    <mergeCell ref="I2931:I2933"/>
    <mergeCell ref="J2931:J2933"/>
    <mergeCell ref="K2931:K2933"/>
    <mergeCell ref="L2931:L2933"/>
    <mergeCell ref="D2934:D2936"/>
    <mergeCell ref="E2934:E2936"/>
    <mergeCell ref="F2934:F2936"/>
    <mergeCell ref="G2934:G2936"/>
    <mergeCell ref="H2934:H2936"/>
    <mergeCell ref="I2934:I2936"/>
    <mergeCell ref="J2934:J2936"/>
    <mergeCell ref="K2934:K2936"/>
    <mergeCell ref="L2934:L2936"/>
    <mergeCell ref="D2937:F2937"/>
    <mergeCell ref="G2937:L2937"/>
    <mergeCell ref="D2898:D2900"/>
    <mergeCell ref="E2898:E2900"/>
    <mergeCell ref="F2898:F2900"/>
    <mergeCell ref="G2898:G2900"/>
    <mergeCell ref="H2898:H2900"/>
    <mergeCell ref="I2898:I2900"/>
    <mergeCell ref="J2898:J2900"/>
    <mergeCell ref="K2898:K2900"/>
    <mergeCell ref="L2898:L2900"/>
    <mergeCell ref="D2901:D2903"/>
    <mergeCell ref="E2901:E2903"/>
    <mergeCell ref="F2901:F2903"/>
    <mergeCell ref="G2901:G2903"/>
    <mergeCell ref="H2901:H2903"/>
    <mergeCell ref="I2901:I2903"/>
    <mergeCell ref="J2901:J2903"/>
    <mergeCell ref="K2901:K2903"/>
    <mergeCell ref="L2901:L2903"/>
    <mergeCell ref="D2904:F2904"/>
    <mergeCell ref="G2904:L2904"/>
    <mergeCell ref="A2906:A2908"/>
    <mergeCell ref="B2906:C2915"/>
    <mergeCell ref="D2906:D2908"/>
    <mergeCell ref="E2906:E2908"/>
    <mergeCell ref="F2906:F2908"/>
    <mergeCell ref="G2906:G2908"/>
    <mergeCell ref="H2906:H2908"/>
    <mergeCell ref="I2906:I2908"/>
    <mergeCell ref="J2906:J2908"/>
    <mergeCell ref="K2906:K2908"/>
    <mergeCell ref="L2906:L2908"/>
    <mergeCell ref="D2909:D2911"/>
    <mergeCell ref="E2909:E2911"/>
    <mergeCell ref="F2909:F2911"/>
    <mergeCell ref="G2909:G2911"/>
    <mergeCell ref="H2909:H2911"/>
    <mergeCell ref="I2909:I2911"/>
    <mergeCell ref="J2909:J2911"/>
    <mergeCell ref="K2909:K2911"/>
    <mergeCell ref="L2909:L2911"/>
    <mergeCell ref="D2912:D2914"/>
    <mergeCell ref="E2912:E2914"/>
    <mergeCell ref="F2912:F2914"/>
    <mergeCell ref="G2912:G2914"/>
    <mergeCell ref="H2912:H2914"/>
    <mergeCell ref="I2912:I2914"/>
    <mergeCell ref="J2912:J2914"/>
    <mergeCell ref="K2912:K2914"/>
    <mergeCell ref="L2912:L2914"/>
    <mergeCell ref="D2915:F2915"/>
    <mergeCell ref="G2915:L2915"/>
    <mergeCell ref="B2884:C2893"/>
    <mergeCell ref="D2884:D2886"/>
    <mergeCell ref="E2884:E2886"/>
    <mergeCell ref="F2884:F2886"/>
    <mergeCell ref="G2884:G2886"/>
    <mergeCell ref="H2884:H2886"/>
    <mergeCell ref="I2884:I2886"/>
    <mergeCell ref="J2884:J2886"/>
    <mergeCell ref="K2884:K2886"/>
    <mergeCell ref="L2884:L2886"/>
    <mergeCell ref="D2887:D2889"/>
    <mergeCell ref="E2887:E2889"/>
    <mergeCell ref="F2887:F2889"/>
    <mergeCell ref="G2887:G2889"/>
    <mergeCell ref="H2887:H2889"/>
    <mergeCell ref="I2887:I2889"/>
    <mergeCell ref="J2887:J2889"/>
    <mergeCell ref="K2887:K2889"/>
    <mergeCell ref="L2887:L2889"/>
    <mergeCell ref="D2890:D2892"/>
    <mergeCell ref="E2890:E2892"/>
    <mergeCell ref="F2890:F2892"/>
    <mergeCell ref="G2890:G2892"/>
    <mergeCell ref="H2890:H2892"/>
    <mergeCell ref="I2890:I2892"/>
    <mergeCell ref="J2890:J2892"/>
    <mergeCell ref="K2890:K2892"/>
    <mergeCell ref="L2890:L2892"/>
    <mergeCell ref="D2893:F2893"/>
    <mergeCell ref="G2893:L2893"/>
    <mergeCell ref="E2895:E2897"/>
    <mergeCell ref="F2895:F2897"/>
    <mergeCell ref="G2895:G2897"/>
    <mergeCell ref="H2895:H2897"/>
    <mergeCell ref="I2895:I2897"/>
    <mergeCell ref="J2895:J2897"/>
    <mergeCell ref="K2895:K2897"/>
    <mergeCell ref="L2895:L2897"/>
    <mergeCell ref="D2840:D2842"/>
    <mergeCell ref="E2840:E2842"/>
    <mergeCell ref="F2840:F2842"/>
    <mergeCell ref="G2840:G2842"/>
    <mergeCell ref="H2840:H2842"/>
    <mergeCell ref="I2840:I2842"/>
    <mergeCell ref="J2840:J2842"/>
    <mergeCell ref="K2840:K2842"/>
    <mergeCell ref="L2840:L2842"/>
    <mergeCell ref="D2849:F2849"/>
    <mergeCell ref="G2849:L2849"/>
    <mergeCell ref="A2851:A2853"/>
    <mergeCell ref="B2851:C2860"/>
    <mergeCell ref="D2851:D2853"/>
    <mergeCell ref="E2851:E2853"/>
    <mergeCell ref="F2851:F2853"/>
    <mergeCell ref="G2851:G2853"/>
    <mergeCell ref="H2851:H2853"/>
    <mergeCell ref="I2851:I2853"/>
    <mergeCell ref="J2851:J2853"/>
    <mergeCell ref="K2851:K2853"/>
    <mergeCell ref="L2851:L2853"/>
    <mergeCell ref="D2860:F2860"/>
    <mergeCell ref="G2860:L2860"/>
    <mergeCell ref="A2862:A2864"/>
    <mergeCell ref="B2862:C2871"/>
    <mergeCell ref="D2862:D2864"/>
    <mergeCell ref="E2862:E2864"/>
    <mergeCell ref="F2862:F2864"/>
    <mergeCell ref="G2862:G2864"/>
    <mergeCell ref="H2862:H2864"/>
    <mergeCell ref="I2862:I2864"/>
    <mergeCell ref="J2862:J2864"/>
    <mergeCell ref="K2862:K2864"/>
    <mergeCell ref="L2862:L2864"/>
    <mergeCell ref="D2871:F2871"/>
    <mergeCell ref="G2871:L2871"/>
    <mergeCell ref="D2843:D2845"/>
    <mergeCell ref="E2843:E2845"/>
    <mergeCell ref="F2843:F2845"/>
    <mergeCell ref="G2843:G2845"/>
    <mergeCell ref="H2843:H2845"/>
    <mergeCell ref="I2843:I2845"/>
    <mergeCell ref="J2843:J2845"/>
    <mergeCell ref="K2843:K2845"/>
    <mergeCell ref="L2843:L2845"/>
    <mergeCell ref="D2846:D2848"/>
    <mergeCell ref="E2846:E2848"/>
    <mergeCell ref="F2846:F2848"/>
    <mergeCell ref="G2846:G2848"/>
    <mergeCell ref="H2846:H2848"/>
    <mergeCell ref="I2846:I2848"/>
    <mergeCell ref="J2846:J2848"/>
    <mergeCell ref="K2846:K2848"/>
    <mergeCell ref="L2846:L2848"/>
    <mergeCell ref="A2840:A2842"/>
    <mergeCell ref="B2840:C2849"/>
    <mergeCell ref="D2865:D2867"/>
    <mergeCell ref="E2865:E2867"/>
    <mergeCell ref="F2865:F2867"/>
    <mergeCell ref="G2865:G2867"/>
    <mergeCell ref="H2865:H2867"/>
    <mergeCell ref="I2865:I2867"/>
    <mergeCell ref="J2865:J2867"/>
    <mergeCell ref="J2807:J2809"/>
    <mergeCell ref="K2807:K2809"/>
    <mergeCell ref="L2807:L2809"/>
    <mergeCell ref="D2816:F2816"/>
    <mergeCell ref="G2816:L2816"/>
    <mergeCell ref="A2818:A2820"/>
    <mergeCell ref="B2818:C2827"/>
    <mergeCell ref="D2818:D2820"/>
    <mergeCell ref="E2818:E2820"/>
    <mergeCell ref="F2818:F2820"/>
    <mergeCell ref="G2818:G2820"/>
    <mergeCell ref="H2818:H2820"/>
    <mergeCell ref="I2818:I2820"/>
    <mergeCell ref="J2818:J2820"/>
    <mergeCell ref="K2818:K2820"/>
    <mergeCell ref="L2818:L2820"/>
    <mergeCell ref="D2827:F2827"/>
    <mergeCell ref="G2827:L2827"/>
    <mergeCell ref="A2829:A2831"/>
    <mergeCell ref="B2829:C2838"/>
    <mergeCell ref="D2829:D2831"/>
    <mergeCell ref="E2829:E2831"/>
    <mergeCell ref="F2829:F2831"/>
    <mergeCell ref="G2829:G2831"/>
    <mergeCell ref="H2829:H2831"/>
    <mergeCell ref="I2829:I2831"/>
    <mergeCell ref="J2829:J2831"/>
    <mergeCell ref="K2829:K2831"/>
    <mergeCell ref="L2829:L2831"/>
    <mergeCell ref="D2838:F2838"/>
    <mergeCell ref="G2838:L2838"/>
    <mergeCell ref="D2824:D2826"/>
    <mergeCell ref="E2824:E2826"/>
    <mergeCell ref="F2824:F2826"/>
    <mergeCell ref="G2824:G2826"/>
    <mergeCell ref="H2824:H2826"/>
    <mergeCell ref="I2824:I2826"/>
    <mergeCell ref="J2824:J2826"/>
    <mergeCell ref="K2824:K2826"/>
    <mergeCell ref="L2824:L2826"/>
    <mergeCell ref="D2832:D2834"/>
    <mergeCell ref="E2832:E2834"/>
    <mergeCell ref="F2832:F2834"/>
    <mergeCell ref="G2832:G2834"/>
    <mergeCell ref="H2832:H2834"/>
    <mergeCell ref="I2832:I2834"/>
    <mergeCell ref="J2832:J2834"/>
    <mergeCell ref="K2832:K2834"/>
    <mergeCell ref="L2832:L2834"/>
    <mergeCell ref="D2835:D2837"/>
    <mergeCell ref="E2835:E2837"/>
    <mergeCell ref="F2835:F2837"/>
    <mergeCell ref="G2835:G2837"/>
    <mergeCell ref="H2835:H2837"/>
    <mergeCell ref="I2835:I2837"/>
    <mergeCell ref="J2835:J2837"/>
    <mergeCell ref="K2835:K2837"/>
    <mergeCell ref="L2835:L2837"/>
    <mergeCell ref="B2774:C2783"/>
    <mergeCell ref="D2774:D2776"/>
    <mergeCell ref="E2774:E2776"/>
    <mergeCell ref="F2774:F2776"/>
    <mergeCell ref="G2774:G2776"/>
    <mergeCell ref="H2774:H2776"/>
    <mergeCell ref="I2774:I2776"/>
    <mergeCell ref="J2774:J2776"/>
    <mergeCell ref="K2774:K2776"/>
    <mergeCell ref="L2774:L2776"/>
    <mergeCell ref="D2783:F2783"/>
    <mergeCell ref="G2783:L2783"/>
    <mergeCell ref="A2785:A2787"/>
    <mergeCell ref="B2785:C2794"/>
    <mergeCell ref="D2785:D2787"/>
    <mergeCell ref="E2785:E2787"/>
    <mergeCell ref="F2785:F2787"/>
    <mergeCell ref="G2785:G2787"/>
    <mergeCell ref="H2785:H2787"/>
    <mergeCell ref="I2785:I2787"/>
    <mergeCell ref="J2785:J2787"/>
    <mergeCell ref="K2785:K2787"/>
    <mergeCell ref="L2785:L2787"/>
    <mergeCell ref="D2794:F2794"/>
    <mergeCell ref="G2794:L2794"/>
    <mergeCell ref="A2796:A2798"/>
    <mergeCell ref="B2796:C2805"/>
    <mergeCell ref="D2796:D2798"/>
    <mergeCell ref="E2796:E2798"/>
    <mergeCell ref="F2796:F2798"/>
    <mergeCell ref="G2796:G2798"/>
    <mergeCell ref="H2796:H2798"/>
    <mergeCell ref="I2796:I2798"/>
    <mergeCell ref="J2796:J2798"/>
    <mergeCell ref="K2796:K2798"/>
    <mergeCell ref="L2796:L2798"/>
    <mergeCell ref="D2805:F2805"/>
    <mergeCell ref="G2805:L2805"/>
    <mergeCell ref="D2777:D2779"/>
    <mergeCell ref="E2777:E2779"/>
    <mergeCell ref="F2777:F2779"/>
    <mergeCell ref="G2777:G2779"/>
    <mergeCell ref="H2777:H2779"/>
    <mergeCell ref="I2777:I2779"/>
    <mergeCell ref="J2777:J2779"/>
    <mergeCell ref="K2777:K2779"/>
    <mergeCell ref="L2777:L2779"/>
    <mergeCell ref="D2780:D2782"/>
    <mergeCell ref="E2780:E2782"/>
    <mergeCell ref="F2780:F2782"/>
    <mergeCell ref="G2780:G2782"/>
    <mergeCell ref="H2780:H2782"/>
    <mergeCell ref="I2780:I2782"/>
    <mergeCell ref="J2780:J2782"/>
    <mergeCell ref="K2780:K2782"/>
    <mergeCell ref="L2780:L2782"/>
    <mergeCell ref="A2774:A2776"/>
    <mergeCell ref="D2799:D2801"/>
    <mergeCell ref="E2799:E2801"/>
    <mergeCell ref="F2799:F2801"/>
    <mergeCell ref="G2799:G2801"/>
    <mergeCell ref="H2799:H2801"/>
    <mergeCell ref="I2799:I2801"/>
    <mergeCell ref="J2799:J2801"/>
    <mergeCell ref="D2752:D2754"/>
    <mergeCell ref="E2752:E2754"/>
    <mergeCell ref="F2752:F2754"/>
    <mergeCell ref="G2752:G2754"/>
    <mergeCell ref="H2752:H2754"/>
    <mergeCell ref="I2752:I2754"/>
    <mergeCell ref="J2752:J2754"/>
    <mergeCell ref="K2752:K2754"/>
    <mergeCell ref="L2752:L2754"/>
    <mergeCell ref="D2755:D2757"/>
    <mergeCell ref="E2755:E2757"/>
    <mergeCell ref="F2755:F2757"/>
    <mergeCell ref="G2755:G2757"/>
    <mergeCell ref="H2755:H2757"/>
    <mergeCell ref="I2755:I2757"/>
    <mergeCell ref="J2755:J2757"/>
    <mergeCell ref="K2755:K2757"/>
    <mergeCell ref="L2755:L2757"/>
    <mergeCell ref="D2758:D2760"/>
    <mergeCell ref="E2758:E2760"/>
    <mergeCell ref="F2758:F2760"/>
    <mergeCell ref="G2758:G2760"/>
    <mergeCell ref="H2758:H2760"/>
    <mergeCell ref="I2758:I2760"/>
    <mergeCell ref="J2758:J2760"/>
    <mergeCell ref="K2758:K2760"/>
    <mergeCell ref="L2758:L2760"/>
    <mergeCell ref="D2761:F2761"/>
    <mergeCell ref="G2761:L2761"/>
    <mergeCell ref="A2763:A2765"/>
    <mergeCell ref="B2763:C2772"/>
    <mergeCell ref="D2763:D2765"/>
    <mergeCell ref="E2763:E2765"/>
    <mergeCell ref="F2763:F2765"/>
    <mergeCell ref="G2763:G2765"/>
    <mergeCell ref="H2763:H2765"/>
    <mergeCell ref="I2763:I2765"/>
    <mergeCell ref="J2763:J2765"/>
    <mergeCell ref="K2763:K2765"/>
    <mergeCell ref="L2763:L2765"/>
    <mergeCell ref="D2772:F2772"/>
    <mergeCell ref="G2772:L2772"/>
    <mergeCell ref="A2752:A2754"/>
    <mergeCell ref="B2752:C2761"/>
    <mergeCell ref="D2766:D2768"/>
    <mergeCell ref="E2766:E2768"/>
    <mergeCell ref="F2766:F2768"/>
    <mergeCell ref="G2766:G2768"/>
    <mergeCell ref="H2766:H2768"/>
    <mergeCell ref="I2766:I2768"/>
    <mergeCell ref="J2766:J2768"/>
    <mergeCell ref="K2766:K2768"/>
    <mergeCell ref="L2766:L2768"/>
    <mergeCell ref="D2769:D2771"/>
    <mergeCell ref="E2769:E2771"/>
    <mergeCell ref="F2769:F2771"/>
    <mergeCell ref="G2769:G2771"/>
    <mergeCell ref="H2769:H2771"/>
    <mergeCell ref="I2769:I2771"/>
    <mergeCell ref="J2769:J2771"/>
    <mergeCell ref="K2769:K2771"/>
    <mergeCell ref="L2769:L2771"/>
    <mergeCell ref="D2730:D2732"/>
    <mergeCell ref="E2730:E2732"/>
    <mergeCell ref="F2730:F2732"/>
    <mergeCell ref="G2730:G2732"/>
    <mergeCell ref="H2730:H2732"/>
    <mergeCell ref="I2730:I2732"/>
    <mergeCell ref="J2730:J2732"/>
    <mergeCell ref="K2730:K2732"/>
    <mergeCell ref="L2730:L2732"/>
    <mergeCell ref="D2733:D2735"/>
    <mergeCell ref="E2733:E2735"/>
    <mergeCell ref="F2733:F2735"/>
    <mergeCell ref="G2733:G2735"/>
    <mergeCell ref="H2733:H2735"/>
    <mergeCell ref="I2733:I2735"/>
    <mergeCell ref="J2733:J2735"/>
    <mergeCell ref="K2733:K2735"/>
    <mergeCell ref="L2733:L2735"/>
    <mergeCell ref="D2736:D2738"/>
    <mergeCell ref="E2736:E2738"/>
    <mergeCell ref="F2736:F2738"/>
    <mergeCell ref="G2736:G2738"/>
    <mergeCell ref="H2736:H2738"/>
    <mergeCell ref="I2736:I2738"/>
    <mergeCell ref="J2736:J2738"/>
    <mergeCell ref="K2736:K2738"/>
    <mergeCell ref="L2736:L2738"/>
    <mergeCell ref="D2739:F2739"/>
    <mergeCell ref="G2739:L2739"/>
    <mergeCell ref="A2741:A2743"/>
    <mergeCell ref="B2741:C2750"/>
    <mergeCell ref="D2741:D2743"/>
    <mergeCell ref="E2741:E2743"/>
    <mergeCell ref="F2741:F2743"/>
    <mergeCell ref="G2741:G2743"/>
    <mergeCell ref="H2741:H2743"/>
    <mergeCell ref="I2741:I2743"/>
    <mergeCell ref="J2741:J2743"/>
    <mergeCell ref="K2741:K2743"/>
    <mergeCell ref="L2741:L2743"/>
    <mergeCell ref="D2744:D2746"/>
    <mergeCell ref="E2744:E2746"/>
    <mergeCell ref="F2744:F2746"/>
    <mergeCell ref="G2744:G2746"/>
    <mergeCell ref="H2744:H2746"/>
    <mergeCell ref="I2744:I2746"/>
    <mergeCell ref="J2744:J2746"/>
    <mergeCell ref="K2744:K2746"/>
    <mergeCell ref="L2744:L2746"/>
    <mergeCell ref="D2747:D2749"/>
    <mergeCell ref="E2747:E2749"/>
    <mergeCell ref="F2747:F2749"/>
    <mergeCell ref="G2747:G2749"/>
    <mergeCell ref="H2747:H2749"/>
    <mergeCell ref="I2747:I2749"/>
    <mergeCell ref="J2747:J2749"/>
    <mergeCell ref="K2747:K2749"/>
    <mergeCell ref="L2747:L2749"/>
    <mergeCell ref="D2750:F2750"/>
    <mergeCell ref="G2750:L2750"/>
    <mergeCell ref="A2730:A2732"/>
    <mergeCell ref="B2730:C2739"/>
    <mergeCell ref="D2708:D2710"/>
    <mergeCell ref="E2708:E2710"/>
    <mergeCell ref="F2708:F2710"/>
    <mergeCell ref="G2708:G2710"/>
    <mergeCell ref="H2708:H2710"/>
    <mergeCell ref="I2708:I2710"/>
    <mergeCell ref="J2708:J2710"/>
    <mergeCell ref="K2708:K2710"/>
    <mergeCell ref="L2708:L2710"/>
    <mergeCell ref="D2711:D2713"/>
    <mergeCell ref="E2711:E2713"/>
    <mergeCell ref="F2711:F2713"/>
    <mergeCell ref="G2711:G2713"/>
    <mergeCell ref="H2711:H2713"/>
    <mergeCell ref="I2711:I2713"/>
    <mergeCell ref="J2711:J2713"/>
    <mergeCell ref="K2711:K2713"/>
    <mergeCell ref="L2711:L2713"/>
    <mergeCell ref="D2714:D2716"/>
    <mergeCell ref="E2714:E2716"/>
    <mergeCell ref="F2714:F2716"/>
    <mergeCell ref="G2714:G2716"/>
    <mergeCell ref="H2714:H2716"/>
    <mergeCell ref="I2714:I2716"/>
    <mergeCell ref="J2714:J2716"/>
    <mergeCell ref="K2714:K2716"/>
    <mergeCell ref="L2714:L2716"/>
    <mergeCell ref="D2717:F2717"/>
    <mergeCell ref="G2717:L2717"/>
    <mergeCell ref="A2719:A2721"/>
    <mergeCell ref="B2719:C2728"/>
    <mergeCell ref="D2719:D2721"/>
    <mergeCell ref="E2719:E2721"/>
    <mergeCell ref="F2719:F2721"/>
    <mergeCell ref="G2719:G2721"/>
    <mergeCell ref="H2719:H2721"/>
    <mergeCell ref="I2719:I2721"/>
    <mergeCell ref="J2719:J2721"/>
    <mergeCell ref="K2719:K2721"/>
    <mergeCell ref="L2719:L2721"/>
    <mergeCell ref="D2722:D2724"/>
    <mergeCell ref="E2722:E2724"/>
    <mergeCell ref="F2722:F2724"/>
    <mergeCell ref="G2722:G2724"/>
    <mergeCell ref="H2722:H2724"/>
    <mergeCell ref="I2722:I2724"/>
    <mergeCell ref="J2722:J2724"/>
    <mergeCell ref="K2722:K2724"/>
    <mergeCell ref="L2722:L2724"/>
    <mergeCell ref="D2725:D2727"/>
    <mergeCell ref="E2725:E2727"/>
    <mergeCell ref="F2725:F2727"/>
    <mergeCell ref="G2725:G2727"/>
    <mergeCell ref="H2725:H2727"/>
    <mergeCell ref="I2725:I2727"/>
    <mergeCell ref="J2725:J2727"/>
    <mergeCell ref="K2725:K2727"/>
    <mergeCell ref="L2725:L2727"/>
    <mergeCell ref="D2728:F2728"/>
    <mergeCell ref="G2728:L2728"/>
    <mergeCell ref="A2708:A2710"/>
    <mergeCell ref="B2708:C2717"/>
    <mergeCell ref="D2686:D2688"/>
    <mergeCell ref="E2686:E2688"/>
    <mergeCell ref="F2686:F2688"/>
    <mergeCell ref="G2686:G2688"/>
    <mergeCell ref="H2686:H2688"/>
    <mergeCell ref="I2686:I2688"/>
    <mergeCell ref="J2686:J2688"/>
    <mergeCell ref="K2686:K2688"/>
    <mergeCell ref="L2686:L2688"/>
    <mergeCell ref="D2689:D2691"/>
    <mergeCell ref="E2689:E2691"/>
    <mergeCell ref="F2689:F2691"/>
    <mergeCell ref="G2689:G2691"/>
    <mergeCell ref="H2689:H2691"/>
    <mergeCell ref="I2689:I2691"/>
    <mergeCell ref="J2689:J2691"/>
    <mergeCell ref="K2689:K2691"/>
    <mergeCell ref="L2689:L2691"/>
    <mergeCell ref="D2692:D2694"/>
    <mergeCell ref="E2692:E2694"/>
    <mergeCell ref="F2692:F2694"/>
    <mergeCell ref="G2692:G2694"/>
    <mergeCell ref="H2692:H2694"/>
    <mergeCell ref="I2692:I2694"/>
    <mergeCell ref="J2692:J2694"/>
    <mergeCell ref="K2692:K2694"/>
    <mergeCell ref="L2692:L2694"/>
    <mergeCell ref="D2695:F2695"/>
    <mergeCell ref="G2695:L2695"/>
    <mergeCell ref="A2697:A2699"/>
    <mergeCell ref="B2697:C2706"/>
    <mergeCell ref="D2697:D2699"/>
    <mergeCell ref="E2697:E2699"/>
    <mergeCell ref="F2697:F2699"/>
    <mergeCell ref="G2697:G2699"/>
    <mergeCell ref="H2697:H2699"/>
    <mergeCell ref="I2697:I2699"/>
    <mergeCell ref="J2697:J2699"/>
    <mergeCell ref="K2697:K2699"/>
    <mergeCell ref="L2697:L2699"/>
    <mergeCell ref="D2700:D2702"/>
    <mergeCell ref="E2700:E2702"/>
    <mergeCell ref="F2700:F2702"/>
    <mergeCell ref="G2700:G2702"/>
    <mergeCell ref="H2700:H2702"/>
    <mergeCell ref="I2700:I2702"/>
    <mergeCell ref="J2700:J2702"/>
    <mergeCell ref="K2700:K2702"/>
    <mergeCell ref="L2700:L2702"/>
    <mergeCell ref="D2703:D2705"/>
    <mergeCell ref="E2703:E2705"/>
    <mergeCell ref="F2703:F2705"/>
    <mergeCell ref="G2703:G2705"/>
    <mergeCell ref="H2703:H2705"/>
    <mergeCell ref="I2703:I2705"/>
    <mergeCell ref="J2703:J2705"/>
    <mergeCell ref="K2703:K2705"/>
    <mergeCell ref="L2703:L2705"/>
    <mergeCell ref="D2706:F2706"/>
    <mergeCell ref="G2706:L2706"/>
    <mergeCell ref="A2686:A2688"/>
    <mergeCell ref="B2686:C2695"/>
    <mergeCell ref="B2664:C2673"/>
    <mergeCell ref="D2664:D2666"/>
    <mergeCell ref="E2664:E2666"/>
    <mergeCell ref="F2664:F2666"/>
    <mergeCell ref="G2664:G2666"/>
    <mergeCell ref="H2664:H2666"/>
    <mergeCell ref="I2664:I2666"/>
    <mergeCell ref="J2664:J2666"/>
    <mergeCell ref="K2664:K2666"/>
    <mergeCell ref="L2664:L2666"/>
    <mergeCell ref="D2667:D2669"/>
    <mergeCell ref="E2667:E2669"/>
    <mergeCell ref="F2667:F2669"/>
    <mergeCell ref="G2667:G2669"/>
    <mergeCell ref="H2667:H2669"/>
    <mergeCell ref="I2667:I2669"/>
    <mergeCell ref="J2667:J2669"/>
    <mergeCell ref="K2667:K2669"/>
    <mergeCell ref="L2667:L2669"/>
    <mergeCell ref="D2670:D2672"/>
    <mergeCell ref="E2670:E2672"/>
    <mergeCell ref="F2670:F2672"/>
    <mergeCell ref="G2670:G2672"/>
    <mergeCell ref="H2670:H2672"/>
    <mergeCell ref="I2670:I2672"/>
    <mergeCell ref="J2670:J2672"/>
    <mergeCell ref="K2670:K2672"/>
    <mergeCell ref="L2670:L2672"/>
    <mergeCell ref="D2673:F2673"/>
    <mergeCell ref="G2673:L2673"/>
    <mergeCell ref="A2675:A2677"/>
    <mergeCell ref="B2675:C2684"/>
    <mergeCell ref="D2675:D2677"/>
    <mergeCell ref="E2675:E2677"/>
    <mergeCell ref="F2675:F2677"/>
    <mergeCell ref="G2675:G2677"/>
    <mergeCell ref="H2675:H2677"/>
    <mergeCell ref="I2675:I2677"/>
    <mergeCell ref="J2675:J2677"/>
    <mergeCell ref="K2675:K2677"/>
    <mergeCell ref="L2675:L2677"/>
    <mergeCell ref="D2678:D2680"/>
    <mergeCell ref="E2678:E2680"/>
    <mergeCell ref="F2678:F2680"/>
    <mergeCell ref="G2678:G2680"/>
    <mergeCell ref="H2678:H2680"/>
    <mergeCell ref="I2678:I2680"/>
    <mergeCell ref="J2678:J2680"/>
    <mergeCell ref="K2678:K2680"/>
    <mergeCell ref="L2678:L2680"/>
    <mergeCell ref="D2681:D2683"/>
    <mergeCell ref="E2681:E2683"/>
    <mergeCell ref="F2681:F2683"/>
    <mergeCell ref="G2681:G2683"/>
    <mergeCell ref="H2681:H2683"/>
    <mergeCell ref="I2681:I2683"/>
    <mergeCell ref="J2681:J2683"/>
    <mergeCell ref="K2681:K2683"/>
    <mergeCell ref="L2681:L2683"/>
    <mergeCell ref="D2684:F2684"/>
    <mergeCell ref="G2684:L2684"/>
    <mergeCell ref="A2664:A2666"/>
    <mergeCell ref="D2642:D2644"/>
    <mergeCell ref="E2642:E2644"/>
    <mergeCell ref="F2642:F2644"/>
    <mergeCell ref="G2642:G2644"/>
    <mergeCell ref="H2642:H2644"/>
    <mergeCell ref="I2642:I2644"/>
    <mergeCell ref="J2642:J2644"/>
    <mergeCell ref="K2642:K2644"/>
    <mergeCell ref="L2642:L2644"/>
    <mergeCell ref="D2645:D2647"/>
    <mergeCell ref="E2645:E2647"/>
    <mergeCell ref="F2645:F2647"/>
    <mergeCell ref="G2645:G2647"/>
    <mergeCell ref="H2645:H2647"/>
    <mergeCell ref="I2645:I2647"/>
    <mergeCell ref="J2645:J2647"/>
    <mergeCell ref="K2645:K2647"/>
    <mergeCell ref="L2645:L2647"/>
    <mergeCell ref="D2648:D2650"/>
    <mergeCell ref="E2648:E2650"/>
    <mergeCell ref="F2648:F2650"/>
    <mergeCell ref="G2648:G2650"/>
    <mergeCell ref="H2648:H2650"/>
    <mergeCell ref="I2648:I2650"/>
    <mergeCell ref="J2648:J2650"/>
    <mergeCell ref="K2648:K2650"/>
    <mergeCell ref="L2648:L2650"/>
    <mergeCell ref="D2651:F2651"/>
    <mergeCell ref="G2651:L2651"/>
    <mergeCell ref="A2653:A2655"/>
    <mergeCell ref="B2653:C2662"/>
    <mergeCell ref="D2653:D2655"/>
    <mergeCell ref="E2653:E2655"/>
    <mergeCell ref="F2653:F2655"/>
    <mergeCell ref="G2653:G2655"/>
    <mergeCell ref="H2653:H2655"/>
    <mergeCell ref="I2653:I2655"/>
    <mergeCell ref="J2653:J2655"/>
    <mergeCell ref="K2653:K2655"/>
    <mergeCell ref="L2653:L2655"/>
    <mergeCell ref="D2656:D2658"/>
    <mergeCell ref="E2656:E2658"/>
    <mergeCell ref="F2656:F2658"/>
    <mergeCell ref="G2656:G2658"/>
    <mergeCell ref="H2656:H2658"/>
    <mergeCell ref="I2656:I2658"/>
    <mergeCell ref="J2656:J2658"/>
    <mergeCell ref="K2656:K2658"/>
    <mergeCell ref="L2656:L2658"/>
    <mergeCell ref="D2659:D2661"/>
    <mergeCell ref="E2659:E2661"/>
    <mergeCell ref="F2659:F2661"/>
    <mergeCell ref="G2659:G2661"/>
    <mergeCell ref="H2659:H2661"/>
    <mergeCell ref="I2659:I2661"/>
    <mergeCell ref="J2659:J2661"/>
    <mergeCell ref="K2659:K2661"/>
    <mergeCell ref="L2659:L2661"/>
    <mergeCell ref="D2662:F2662"/>
    <mergeCell ref="G2662:L2662"/>
    <mergeCell ref="A2642:A2644"/>
    <mergeCell ref="B2642:C2651"/>
    <mergeCell ref="D2620:D2622"/>
    <mergeCell ref="E2620:E2622"/>
    <mergeCell ref="F2620:F2622"/>
    <mergeCell ref="G2620:G2622"/>
    <mergeCell ref="H2620:H2622"/>
    <mergeCell ref="I2620:I2622"/>
    <mergeCell ref="J2620:J2622"/>
    <mergeCell ref="K2620:K2622"/>
    <mergeCell ref="L2620:L2622"/>
    <mergeCell ref="D2623:D2625"/>
    <mergeCell ref="E2623:E2625"/>
    <mergeCell ref="F2623:F2625"/>
    <mergeCell ref="G2623:G2625"/>
    <mergeCell ref="H2623:H2625"/>
    <mergeCell ref="I2623:I2625"/>
    <mergeCell ref="J2623:J2625"/>
    <mergeCell ref="K2623:K2625"/>
    <mergeCell ref="L2623:L2625"/>
    <mergeCell ref="D2626:D2628"/>
    <mergeCell ref="E2626:E2628"/>
    <mergeCell ref="F2626:F2628"/>
    <mergeCell ref="G2626:G2628"/>
    <mergeCell ref="H2626:H2628"/>
    <mergeCell ref="I2626:I2628"/>
    <mergeCell ref="J2626:J2628"/>
    <mergeCell ref="K2626:K2628"/>
    <mergeCell ref="L2626:L2628"/>
    <mergeCell ref="D2629:F2629"/>
    <mergeCell ref="G2629:L2629"/>
    <mergeCell ref="A2631:A2633"/>
    <mergeCell ref="B2631:C2640"/>
    <mergeCell ref="D2631:D2633"/>
    <mergeCell ref="E2631:E2633"/>
    <mergeCell ref="F2631:F2633"/>
    <mergeCell ref="G2631:G2633"/>
    <mergeCell ref="H2631:H2633"/>
    <mergeCell ref="I2631:I2633"/>
    <mergeCell ref="J2631:J2633"/>
    <mergeCell ref="K2631:K2633"/>
    <mergeCell ref="L2631:L2633"/>
    <mergeCell ref="D2634:D2636"/>
    <mergeCell ref="E2634:E2636"/>
    <mergeCell ref="F2634:F2636"/>
    <mergeCell ref="G2634:G2636"/>
    <mergeCell ref="H2634:H2636"/>
    <mergeCell ref="I2634:I2636"/>
    <mergeCell ref="J2634:J2636"/>
    <mergeCell ref="K2634:K2636"/>
    <mergeCell ref="L2634:L2636"/>
    <mergeCell ref="D2637:D2639"/>
    <mergeCell ref="E2637:E2639"/>
    <mergeCell ref="F2637:F2639"/>
    <mergeCell ref="G2637:G2639"/>
    <mergeCell ref="H2637:H2639"/>
    <mergeCell ref="I2637:I2639"/>
    <mergeCell ref="J2637:J2639"/>
    <mergeCell ref="K2637:K2639"/>
    <mergeCell ref="L2637:L2639"/>
    <mergeCell ref="D2640:F2640"/>
    <mergeCell ref="G2640:L2640"/>
    <mergeCell ref="A2620:A2622"/>
    <mergeCell ref="B2620:C2629"/>
    <mergeCell ref="D2598:D2600"/>
    <mergeCell ref="E2598:E2600"/>
    <mergeCell ref="F2598:F2600"/>
    <mergeCell ref="G2598:G2600"/>
    <mergeCell ref="H2598:H2600"/>
    <mergeCell ref="I2598:I2600"/>
    <mergeCell ref="J2598:J2600"/>
    <mergeCell ref="K2598:K2600"/>
    <mergeCell ref="L2598:L2600"/>
    <mergeCell ref="D2601:D2603"/>
    <mergeCell ref="E2601:E2603"/>
    <mergeCell ref="F2601:F2603"/>
    <mergeCell ref="G2601:G2603"/>
    <mergeCell ref="H2601:H2603"/>
    <mergeCell ref="I2601:I2603"/>
    <mergeCell ref="J2601:J2603"/>
    <mergeCell ref="K2601:K2603"/>
    <mergeCell ref="L2601:L2603"/>
    <mergeCell ref="D2604:D2606"/>
    <mergeCell ref="E2604:E2606"/>
    <mergeCell ref="F2604:F2606"/>
    <mergeCell ref="G2604:G2606"/>
    <mergeCell ref="H2604:H2606"/>
    <mergeCell ref="I2604:I2606"/>
    <mergeCell ref="J2604:J2606"/>
    <mergeCell ref="K2604:K2606"/>
    <mergeCell ref="L2604:L2606"/>
    <mergeCell ref="D2607:F2607"/>
    <mergeCell ref="G2607:L2607"/>
    <mergeCell ref="A2609:A2611"/>
    <mergeCell ref="B2609:C2618"/>
    <mergeCell ref="D2609:D2611"/>
    <mergeCell ref="E2609:E2611"/>
    <mergeCell ref="F2609:F2611"/>
    <mergeCell ref="G2609:G2611"/>
    <mergeCell ref="H2609:H2611"/>
    <mergeCell ref="I2609:I2611"/>
    <mergeCell ref="J2609:J2611"/>
    <mergeCell ref="K2609:K2611"/>
    <mergeCell ref="L2609:L2611"/>
    <mergeCell ref="D2612:D2614"/>
    <mergeCell ref="E2612:E2614"/>
    <mergeCell ref="F2612:F2614"/>
    <mergeCell ref="G2612:G2614"/>
    <mergeCell ref="H2612:H2614"/>
    <mergeCell ref="I2612:I2614"/>
    <mergeCell ref="J2612:J2614"/>
    <mergeCell ref="K2612:K2614"/>
    <mergeCell ref="L2612:L2614"/>
    <mergeCell ref="D2615:D2617"/>
    <mergeCell ref="E2615:E2617"/>
    <mergeCell ref="F2615:F2617"/>
    <mergeCell ref="G2615:G2617"/>
    <mergeCell ref="H2615:H2617"/>
    <mergeCell ref="I2615:I2617"/>
    <mergeCell ref="J2615:J2617"/>
    <mergeCell ref="K2615:K2617"/>
    <mergeCell ref="L2615:L2617"/>
    <mergeCell ref="D2618:F2618"/>
    <mergeCell ref="G2618:L2618"/>
    <mergeCell ref="A2598:A2600"/>
    <mergeCell ref="B2598:C2607"/>
    <mergeCell ref="D2576:D2578"/>
    <mergeCell ref="E2576:E2578"/>
    <mergeCell ref="F2576:F2578"/>
    <mergeCell ref="G2576:G2578"/>
    <mergeCell ref="H2576:H2578"/>
    <mergeCell ref="I2576:I2578"/>
    <mergeCell ref="J2576:J2578"/>
    <mergeCell ref="K2576:K2578"/>
    <mergeCell ref="L2576:L2578"/>
    <mergeCell ref="D2579:D2581"/>
    <mergeCell ref="E2579:E2581"/>
    <mergeCell ref="F2579:F2581"/>
    <mergeCell ref="G2579:G2581"/>
    <mergeCell ref="H2579:H2581"/>
    <mergeCell ref="I2579:I2581"/>
    <mergeCell ref="J2579:J2581"/>
    <mergeCell ref="K2579:K2581"/>
    <mergeCell ref="L2579:L2581"/>
    <mergeCell ref="D2582:D2584"/>
    <mergeCell ref="E2582:E2584"/>
    <mergeCell ref="F2582:F2584"/>
    <mergeCell ref="G2582:G2584"/>
    <mergeCell ref="H2582:H2584"/>
    <mergeCell ref="I2582:I2584"/>
    <mergeCell ref="J2582:J2584"/>
    <mergeCell ref="K2582:K2584"/>
    <mergeCell ref="L2582:L2584"/>
    <mergeCell ref="D2585:F2585"/>
    <mergeCell ref="G2585:L2585"/>
    <mergeCell ref="A2587:A2589"/>
    <mergeCell ref="B2587:C2596"/>
    <mergeCell ref="D2587:D2589"/>
    <mergeCell ref="E2587:E2589"/>
    <mergeCell ref="F2587:F2589"/>
    <mergeCell ref="G2587:G2589"/>
    <mergeCell ref="H2587:H2589"/>
    <mergeCell ref="I2587:I2589"/>
    <mergeCell ref="J2587:J2589"/>
    <mergeCell ref="K2587:K2589"/>
    <mergeCell ref="L2587:L2589"/>
    <mergeCell ref="D2590:D2592"/>
    <mergeCell ref="E2590:E2592"/>
    <mergeCell ref="F2590:F2592"/>
    <mergeCell ref="G2590:G2592"/>
    <mergeCell ref="H2590:H2592"/>
    <mergeCell ref="I2590:I2592"/>
    <mergeCell ref="J2590:J2592"/>
    <mergeCell ref="K2590:K2592"/>
    <mergeCell ref="L2590:L2592"/>
    <mergeCell ref="D2593:D2595"/>
    <mergeCell ref="E2593:E2595"/>
    <mergeCell ref="F2593:F2595"/>
    <mergeCell ref="G2593:G2595"/>
    <mergeCell ref="H2593:H2595"/>
    <mergeCell ref="I2593:I2595"/>
    <mergeCell ref="J2593:J2595"/>
    <mergeCell ref="K2593:K2595"/>
    <mergeCell ref="L2593:L2595"/>
    <mergeCell ref="D2596:F2596"/>
    <mergeCell ref="G2596:L2596"/>
    <mergeCell ref="A2576:A2578"/>
    <mergeCell ref="B2576:C2585"/>
    <mergeCell ref="B2554:C2563"/>
    <mergeCell ref="D2554:D2556"/>
    <mergeCell ref="E2554:E2556"/>
    <mergeCell ref="F2554:F2556"/>
    <mergeCell ref="G2554:G2556"/>
    <mergeCell ref="H2554:H2556"/>
    <mergeCell ref="I2554:I2556"/>
    <mergeCell ref="J2554:J2556"/>
    <mergeCell ref="K2554:K2556"/>
    <mergeCell ref="L2554:L2556"/>
    <mergeCell ref="D2557:D2559"/>
    <mergeCell ref="E2557:E2559"/>
    <mergeCell ref="F2557:F2559"/>
    <mergeCell ref="G2557:G2559"/>
    <mergeCell ref="H2557:H2559"/>
    <mergeCell ref="I2557:I2559"/>
    <mergeCell ref="J2557:J2559"/>
    <mergeCell ref="K2557:K2559"/>
    <mergeCell ref="L2557:L2559"/>
    <mergeCell ref="D2560:D2562"/>
    <mergeCell ref="E2560:E2562"/>
    <mergeCell ref="F2560:F2562"/>
    <mergeCell ref="G2560:G2562"/>
    <mergeCell ref="H2560:H2562"/>
    <mergeCell ref="I2560:I2562"/>
    <mergeCell ref="J2560:J2562"/>
    <mergeCell ref="K2560:K2562"/>
    <mergeCell ref="L2560:L2562"/>
    <mergeCell ref="D2563:F2563"/>
    <mergeCell ref="G2563:L2563"/>
    <mergeCell ref="A2565:A2567"/>
    <mergeCell ref="B2565:C2574"/>
    <mergeCell ref="D2565:D2567"/>
    <mergeCell ref="E2565:E2567"/>
    <mergeCell ref="F2565:F2567"/>
    <mergeCell ref="G2565:G2567"/>
    <mergeCell ref="H2565:H2567"/>
    <mergeCell ref="I2565:I2567"/>
    <mergeCell ref="J2565:J2567"/>
    <mergeCell ref="K2565:K2567"/>
    <mergeCell ref="L2565:L2567"/>
    <mergeCell ref="D2568:D2570"/>
    <mergeCell ref="E2568:E2570"/>
    <mergeCell ref="F2568:F2570"/>
    <mergeCell ref="G2568:G2570"/>
    <mergeCell ref="H2568:H2570"/>
    <mergeCell ref="I2568:I2570"/>
    <mergeCell ref="J2568:J2570"/>
    <mergeCell ref="K2568:K2570"/>
    <mergeCell ref="L2568:L2570"/>
    <mergeCell ref="D2571:D2573"/>
    <mergeCell ref="E2571:E2573"/>
    <mergeCell ref="F2571:F2573"/>
    <mergeCell ref="G2571:G2573"/>
    <mergeCell ref="H2571:H2573"/>
    <mergeCell ref="I2571:I2573"/>
    <mergeCell ref="J2571:J2573"/>
    <mergeCell ref="K2571:K2573"/>
    <mergeCell ref="L2571:L2573"/>
    <mergeCell ref="D2574:F2574"/>
    <mergeCell ref="G2574:L2574"/>
    <mergeCell ref="A2554:A2556"/>
    <mergeCell ref="D2422:D2424"/>
    <mergeCell ref="E2422:E2424"/>
    <mergeCell ref="F2422:F2424"/>
    <mergeCell ref="G2422:G2424"/>
    <mergeCell ref="H2422:H2424"/>
    <mergeCell ref="I2422:I2424"/>
    <mergeCell ref="J2422:J2424"/>
    <mergeCell ref="K2422:K2424"/>
    <mergeCell ref="L2422:L2424"/>
    <mergeCell ref="D2425:D2427"/>
    <mergeCell ref="E2425:E2427"/>
    <mergeCell ref="F2425:F2427"/>
    <mergeCell ref="G2425:G2427"/>
    <mergeCell ref="H2425:H2427"/>
    <mergeCell ref="I2425:I2427"/>
    <mergeCell ref="J2425:J2427"/>
    <mergeCell ref="K2425:K2427"/>
    <mergeCell ref="L2425:L2427"/>
    <mergeCell ref="D2428:D2430"/>
    <mergeCell ref="E2428:E2430"/>
    <mergeCell ref="F2428:F2430"/>
    <mergeCell ref="G2428:G2430"/>
    <mergeCell ref="H2428:H2430"/>
    <mergeCell ref="I2428:I2430"/>
    <mergeCell ref="J2428:J2430"/>
    <mergeCell ref="K2428:K2430"/>
    <mergeCell ref="L2428:L2430"/>
    <mergeCell ref="D2431:F2431"/>
    <mergeCell ref="G2431:L2431"/>
    <mergeCell ref="A2543:A2545"/>
    <mergeCell ref="B2543:C2552"/>
    <mergeCell ref="D2543:D2545"/>
    <mergeCell ref="E2543:E2545"/>
    <mergeCell ref="F2543:F2545"/>
    <mergeCell ref="G2543:G2545"/>
    <mergeCell ref="H2543:H2545"/>
    <mergeCell ref="I2543:I2545"/>
    <mergeCell ref="J2543:J2545"/>
    <mergeCell ref="K2543:K2545"/>
    <mergeCell ref="L2543:L2545"/>
    <mergeCell ref="D2546:D2548"/>
    <mergeCell ref="E2546:E2548"/>
    <mergeCell ref="F2546:F2548"/>
    <mergeCell ref="G2546:G2548"/>
    <mergeCell ref="H2546:H2548"/>
    <mergeCell ref="I2546:I2548"/>
    <mergeCell ref="J2546:J2548"/>
    <mergeCell ref="K2546:K2548"/>
    <mergeCell ref="L2546:L2548"/>
    <mergeCell ref="D2549:D2551"/>
    <mergeCell ref="E2549:E2551"/>
    <mergeCell ref="F2549:F2551"/>
    <mergeCell ref="G2549:G2551"/>
    <mergeCell ref="H2549:H2551"/>
    <mergeCell ref="I2549:I2551"/>
    <mergeCell ref="J2549:J2551"/>
    <mergeCell ref="K2549:K2551"/>
    <mergeCell ref="L2549:L2551"/>
    <mergeCell ref="D2552:F2552"/>
    <mergeCell ref="G2552:L2552"/>
    <mergeCell ref="A2422:A2424"/>
    <mergeCell ref="B2422:C2431"/>
    <mergeCell ref="A2444:A2446"/>
    <mergeCell ref="B2444:C2453"/>
    <mergeCell ref="D2400:D2402"/>
    <mergeCell ref="E2400:E2402"/>
    <mergeCell ref="F2400:F2402"/>
    <mergeCell ref="G2400:G2402"/>
    <mergeCell ref="H2400:H2402"/>
    <mergeCell ref="I2400:I2402"/>
    <mergeCell ref="J2400:J2402"/>
    <mergeCell ref="K2400:K2402"/>
    <mergeCell ref="L2400:L2402"/>
    <mergeCell ref="D2403:D2405"/>
    <mergeCell ref="E2403:E2405"/>
    <mergeCell ref="F2403:F2405"/>
    <mergeCell ref="G2403:G2405"/>
    <mergeCell ref="H2403:H2405"/>
    <mergeCell ref="I2403:I2405"/>
    <mergeCell ref="J2403:J2405"/>
    <mergeCell ref="K2403:K2405"/>
    <mergeCell ref="L2403:L2405"/>
    <mergeCell ref="D2406:D2408"/>
    <mergeCell ref="E2406:E2408"/>
    <mergeCell ref="F2406:F2408"/>
    <mergeCell ref="G2406:G2408"/>
    <mergeCell ref="H2406:H2408"/>
    <mergeCell ref="I2406:I2408"/>
    <mergeCell ref="J2406:J2408"/>
    <mergeCell ref="K2406:K2408"/>
    <mergeCell ref="L2406:L2408"/>
    <mergeCell ref="D2409:F2409"/>
    <mergeCell ref="G2409:L2409"/>
    <mergeCell ref="A2411:A2413"/>
    <mergeCell ref="B2411:C2420"/>
    <mergeCell ref="D2411:D2413"/>
    <mergeCell ref="E2411:E2413"/>
    <mergeCell ref="F2411:F2413"/>
    <mergeCell ref="G2411:G2413"/>
    <mergeCell ref="H2411:H2413"/>
    <mergeCell ref="I2411:I2413"/>
    <mergeCell ref="J2411:J2413"/>
    <mergeCell ref="K2411:K2413"/>
    <mergeCell ref="L2411:L2413"/>
    <mergeCell ref="D2414:D2416"/>
    <mergeCell ref="E2414:E2416"/>
    <mergeCell ref="F2414:F2416"/>
    <mergeCell ref="G2414:G2416"/>
    <mergeCell ref="H2414:H2416"/>
    <mergeCell ref="I2414:I2416"/>
    <mergeCell ref="J2414:J2416"/>
    <mergeCell ref="K2414:K2416"/>
    <mergeCell ref="L2414:L2416"/>
    <mergeCell ref="D2417:D2419"/>
    <mergeCell ref="E2417:E2419"/>
    <mergeCell ref="F2417:F2419"/>
    <mergeCell ref="G2417:G2419"/>
    <mergeCell ref="H2417:H2419"/>
    <mergeCell ref="I2417:I2419"/>
    <mergeCell ref="J2417:J2419"/>
    <mergeCell ref="K2417:K2419"/>
    <mergeCell ref="L2417:L2419"/>
    <mergeCell ref="D2420:F2420"/>
    <mergeCell ref="G2420:L2420"/>
    <mergeCell ref="A2400:A2402"/>
    <mergeCell ref="B2400:C2409"/>
    <mergeCell ref="D2378:D2380"/>
    <mergeCell ref="E2378:E2380"/>
    <mergeCell ref="F2378:F2380"/>
    <mergeCell ref="G2378:G2380"/>
    <mergeCell ref="H2378:H2380"/>
    <mergeCell ref="I2378:I2380"/>
    <mergeCell ref="J2378:J2380"/>
    <mergeCell ref="K2378:K2380"/>
    <mergeCell ref="L2378:L2380"/>
    <mergeCell ref="D2381:D2383"/>
    <mergeCell ref="E2381:E2383"/>
    <mergeCell ref="F2381:F2383"/>
    <mergeCell ref="G2381:G2383"/>
    <mergeCell ref="H2381:H2383"/>
    <mergeCell ref="I2381:I2383"/>
    <mergeCell ref="J2381:J2383"/>
    <mergeCell ref="K2381:K2383"/>
    <mergeCell ref="L2381:L2383"/>
    <mergeCell ref="D2384:D2386"/>
    <mergeCell ref="E2384:E2386"/>
    <mergeCell ref="F2384:F2386"/>
    <mergeCell ref="G2384:G2386"/>
    <mergeCell ref="H2384:H2386"/>
    <mergeCell ref="I2384:I2386"/>
    <mergeCell ref="J2384:J2386"/>
    <mergeCell ref="K2384:K2386"/>
    <mergeCell ref="L2384:L2386"/>
    <mergeCell ref="D2387:F2387"/>
    <mergeCell ref="G2387:L2387"/>
    <mergeCell ref="A2389:A2391"/>
    <mergeCell ref="B2389:C2398"/>
    <mergeCell ref="D2389:D2391"/>
    <mergeCell ref="E2389:E2391"/>
    <mergeCell ref="F2389:F2391"/>
    <mergeCell ref="G2389:G2391"/>
    <mergeCell ref="H2389:H2391"/>
    <mergeCell ref="I2389:I2391"/>
    <mergeCell ref="J2389:J2391"/>
    <mergeCell ref="K2389:K2391"/>
    <mergeCell ref="L2389:L2391"/>
    <mergeCell ref="D2392:D2394"/>
    <mergeCell ref="E2392:E2394"/>
    <mergeCell ref="F2392:F2394"/>
    <mergeCell ref="G2392:G2394"/>
    <mergeCell ref="H2392:H2394"/>
    <mergeCell ref="I2392:I2394"/>
    <mergeCell ref="J2392:J2394"/>
    <mergeCell ref="K2392:K2394"/>
    <mergeCell ref="L2392:L2394"/>
    <mergeCell ref="D2395:D2397"/>
    <mergeCell ref="E2395:E2397"/>
    <mergeCell ref="F2395:F2397"/>
    <mergeCell ref="G2395:G2397"/>
    <mergeCell ref="H2395:H2397"/>
    <mergeCell ref="I2395:I2397"/>
    <mergeCell ref="J2395:J2397"/>
    <mergeCell ref="K2395:K2397"/>
    <mergeCell ref="L2395:L2397"/>
    <mergeCell ref="D2398:F2398"/>
    <mergeCell ref="G2398:L2398"/>
    <mergeCell ref="A2378:A2380"/>
    <mergeCell ref="B2378:C2387"/>
    <mergeCell ref="D2356:D2358"/>
    <mergeCell ref="E2356:E2358"/>
    <mergeCell ref="F2356:F2358"/>
    <mergeCell ref="G2356:G2358"/>
    <mergeCell ref="H2356:H2358"/>
    <mergeCell ref="I2356:I2358"/>
    <mergeCell ref="J2356:J2358"/>
    <mergeCell ref="K2356:K2358"/>
    <mergeCell ref="L2356:L2358"/>
    <mergeCell ref="D2359:D2361"/>
    <mergeCell ref="E2359:E2361"/>
    <mergeCell ref="F2359:F2361"/>
    <mergeCell ref="G2359:G2361"/>
    <mergeCell ref="H2359:H2361"/>
    <mergeCell ref="I2359:I2361"/>
    <mergeCell ref="J2359:J2361"/>
    <mergeCell ref="K2359:K2361"/>
    <mergeCell ref="L2359:L2361"/>
    <mergeCell ref="D2362:D2364"/>
    <mergeCell ref="E2362:E2364"/>
    <mergeCell ref="F2362:F2364"/>
    <mergeCell ref="G2362:G2364"/>
    <mergeCell ref="H2362:H2364"/>
    <mergeCell ref="I2362:I2364"/>
    <mergeCell ref="J2362:J2364"/>
    <mergeCell ref="K2362:K2364"/>
    <mergeCell ref="L2362:L2364"/>
    <mergeCell ref="D2365:F2365"/>
    <mergeCell ref="G2365:L2365"/>
    <mergeCell ref="A2367:A2369"/>
    <mergeCell ref="B2367:C2376"/>
    <mergeCell ref="D2367:D2369"/>
    <mergeCell ref="E2367:E2369"/>
    <mergeCell ref="F2367:F2369"/>
    <mergeCell ref="G2367:G2369"/>
    <mergeCell ref="H2367:H2369"/>
    <mergeCell ref="I2367:I2369"/>
    <mergeCell ref="J2367:J2369"/>
    <mergeCell ref="K2367:K2369"/>
    <mergeCell ref="L2367:L2369"/>
    <mergeCell ref="D2370:D2372"/>
    <mergeCell ref="E2370:E2372"/>
    <mergeCell ref="F2370:F2372"/>
    <mergeCell ref="G2370:G2372"/>
    <mergeCell ref="H2370:H2372"/>
    <mergeCell ref="I2370:I2372"/>
    <mergeCell ref="J2370:J2372"/>
    <mergeCell ref="K2370:K2372"/>
    <mergeCell ref="L2370:L2372"/>
    <mergeCell ref="D2373:D2375"/>
    <mergeCell ref="E2373:E2375"/>
    <mergeCell ref="F2373:F2375"/>
    <mergeCell ref="G2373:G2375"/>
    <mergeCell ref="H2373:H2375"/>
    <mergeCell ref="I2373:I2375"/>
    <mergeCell ref="J2373:J2375"/>
    <mergeCell ref="K2373:K2375"/>
    <mergeCell ref="L2373:L2375"/>
    <mergeCell ref="D2376:F2376"/>
    <mergeCell ref="G2376:L2376"/>
    <mergeCell ref="A2356:A2358"/>
    <mergeCell ref="B2356:C2365"/>
    <mergeCell ref="B2334:C2343"/>
    <mergeCell ref="D2334:D2336"/>
    <mergeCell ref="E2334:E2336"/>
    <mergeCell ref="F2334:F2336"/>
    <mergeCell ref="G2334:G2336"/>
    <mergeCell ref="H2334:H2336"/>
    <mergeCell ref="I2334:I2336"/>
    <mergeCell ref="J2334:J2336"/>
    <mergeCell ref="K2334:K2336"/>
    <mergeCell ref="L2334:L2336"/>
    <mergeCell ref="D2337:D2339"/>
    <mergeCell ref="E2337:E2339"/>
    <mergeCell ref="F2337:F2339"/>
    <mergeCell ref="G2337:G2339"/>
    <mergeCell ref="H2337:H2339"/>
    <mergeCell ref="I2337:I2339"/>
    <mergeCell ref="J2337:J2339"/>
    <mergeCell ref="K2337:K2339"/>
    <mergeCell ref="L2337:L2339"/>
    <mergeCell ref="D2340:D2342"/>
    <mergeCell ref="E2340:E2342"/>
    <mergeCell ref="F2340:F2342"/>
    <mergeCell ref="G2340:G2342"/>
    <mergeCell ref="H2340:H2342"/>
    <mergeCell ref="I2340:I2342"/>
    <mergeCell ref="J2340:J2342"/>
    <mergeCell ref="K2340:K2342"/>
    <mergeCell ref="L2340:L2342"/>
    <mergeCell ref="D2343:F2343"/>
    <mergeCell ref="G2343:L2343"/>
    <mergeCell ref="A2345:A2347"/>
    <mergeCell ref="B2345:C2354"/>
    <mergeCell ref="D2345:D2347"/>
    <mergeCell ref="E2345:E2347"/>
    <mergeCell ref="F2345:F2347"/>
    <mergeCell ref="G2345:G2347"/>
    <mergeCell ref="H2345:H2347"/>
    <mergeCell ref="I2345:I2347"/>
    <mergeCell ref="J2345:J2347"/>
    <mergeCell ref="K2345:K2347"/>
    <mergeCell ref="L2345:L2347"/>
    <mergeCell ref="D2348:D2350"/>
    <mergeCell ref="E2348:E2350"/>
    <mergeCell ref="F2348:F2350"/>
    <mergeCell ref="G2348:G2350"/>
    <mergeCell ref="H2348:H2350"/>
    <mergeCell ref="I2348:I2350"/>
    <mergeCell ref="J2348:J2350"/>
    <mergeCell ref="K2348:K2350"/>
    <mergeCell ref="L2348:L2350"/>
    <mergeCell ref="D2351:D2353"/>
    <mergeCell ref="E2351:E2353"/>
    <mergeCell ref="F2351:F2353"/>
    <mergeCell ref="G2351:G2353"/>
    <mergeCell ref="H2351:H2353"/>
    <mergeCell ref="I2351:I2353"/>
    <mergeCell ref="J2351:J2353"/>
    <mergeCell ref="K2351:K2353"/>
    <mergeCell ref="L2351:L2353"/>
    <mergeCell ref="D2354:F2354"/>
    <mergeCell ref="G2354:L2354"/>
    <mergeCell ref="A2334:A2336"/>
    <mergeCell ref="D2312:D2314"/>
    <mergeCell ref="E2312:E2314"/>
    <mergeCell ref="F2312:F2314"/>
    <mergeCell ref="G2312:G2314"/>
    <mergeCell ref="H2312:H2314"/>
    <mergeCell ref="I2312:I2314"/>
    <mergeCell ref="J2312:J2314"/>
    <mergeCell ref="K2312:K2314"/>
    <mergeCell ref="L2312:L2314"/>
    <mergeCell ref="D2315:D2317"/>
    <mergeCell ref="E2315:E2317"/>
    <mergeCell ref="F2315:F2317"/>
    <mergeCell ref="G2315:G2317"/>
    <mergeCell ref="H2315:H2317"/>
    <mergeCell ref="I2315:I2317"/>
    <mergeCell ref="J2315:J2317"/>
    <mergeCell ref="K2315:K2317"/>
    <mergeCell ref="L2315:L2317"/>
    <mergeCell ref="D2318:D2320"/>
    <mergeCell ref="E2318:E2320"/>
    <mergeCell ref="F2318:F2320"/>
    <mergeCell ref="G2318:G2320"/>
    <mergeCell ref="H2318:H2320"/>
    <mergeCell ref="I2318:I2320"/>
    <mergeCell ref="J2318:J2320"/>
    <mergeCell ref="K2318:K2320"/>
    <mergeCell ref="L2318:L2320"/>
    <mergeCell ref="D2321:F2321"/>
    <mergeCell ref="G2321:L2321"/>
    <mergeCell ref="A2323:A2325"/>
    <mergeCell ref="B2323:C2332"/>
    <mergeCell ref="D2323:D2325"/>
    <mergeCell ref="E2323:E2325"/>
    <mergeCell ref="F2323:F2325"/>
    <mergeCell ref="G2323:G2325"/>
    <mergeCell ref="H2323:H2325"/>
    <mergeCell ref="I2323:I2325"/>
    <mergeCell ref="J2323:J2325"/>
    <mergeCell ref="K2323:K2325"/>
    <mergeCell ref="L2323:L2325"/>
    <mergeCell ref="D2326:D2328"/>
    <mergeCell ref="E2326:E2328"/>
    <mergeCell ref="F2326:F2328"/>
    <mergeCell ref="G2326:G2328"/>
    <mergeCell ref="H2326:H2328"/>
    <mergeCell ref="I2326:I2328"/>
    <mergeCell ref="J2326:J2328"/>
    <mergeCell ref="K2326:K2328"/>
    <mergeCell ref="L2326:L2328"/>
    <mergeCell ref="D2329:D2331"/>
    <mergeCell ref="E2329:E2331"/>
    <mergeCell ref="F2329:F2331"/>
    <mergeCell ref="G2329:G2331"/>
    <mergeCell ref="H2329:H2331"/>
    <mergeCell ref="I2329:I2331"/>
    <mergeCell ref="J2329:J2331"/>
    <mergeCell ref="K2329:K2331"/>
    <mergeCell ref="L2329:L2331"/>
    <mergeCell ref="D2332:F2332"/>
    <mergeCell ref="G2332:L2332"/>
    <mergeCell ref="A2312:A2314"/>
    <mergeCell ref="B2312:C2321"/>
    <mergeCell ref="D2290:D2292"/>
    <mergeCell ref="E2290:E2292"/>
    <mergeCell ref="F2290:F2292"/>
    <mergeCell ref="G2290:G2292"/>
    <mergeCell ref="H2290:H2292"/>
    <mergeCell ref="I2290:I2292"/>
    <mergeCell ref="J2290:J2292"/>
    <mergeCell ref="K2290:K2292"/>
    <mergeCell ref="L2290:L2292"/>
    <mergeCell ref="D2293:D2295"/>
    <mergeCell ref="E2293:E2295"/>
    <mergeCell ref="F2293:F2295"/>
    <mergeCell ref="G2293:G2295"/>
    <mergeCell ref="H2293:H2295"/>
    <mergeCell ref="I2293:I2295"/>
    <mergeCell ref="J2293:J2295"/>
    <mergeCell ref="K2293:K2295"/>
    <mergeCell ref="L2293:L2295"/>
    <mergeCell ref="D2296:D2298"/>
    <mergeCell ref="E2296:E2298"/>
    <mergeCell ref="F2296:F2298"/>
    <mergeCell ref="G2296:G2298"/>
    <mergeCell ref="H2296:H2298"/>
    <mergeCell ref="I2296:I2298"/>
    <mergeCell ref="J2296:J2298"/>
    <mergeCell ref="K2296:K2298"/>
    <mergeCell ref="L2296:L2298"/>
    <mergeCell ref="D2299:F2299"/>
    <mergeCell ref="G2299:L2299"/>
    <mergeCell ref="A2301:A2303"/>
    <mergeCell ref="B2301:C2310"/>
    <mergeCell ref="D2301:D2303"/>
    <mergeCell ref="E2301:E2303"/>
    <mergeCell ref="F2301:F2303"/>
    <mergeCell ref="G2301:G2303"/>
    <mergeCell ref="H2301:H2303"/>
    <mergeCell ref="I2301:I2303"/>
    <mergeCell ref="J2301:J2303"/>
    <mergeCell ref="K2301:K2303"/>
    <mergeCell ref="L2301:L2303"/>
    <mergeCell ref="D2304:D2306"/>
    <mergeCell ref="E2304:E2306"/>
    <mergeCell ref="F2304:F2306"/>
    <mergeCell ref="G2304:G2306"/>
    <mergeCell ref="H2304:H2306"/>
    <mergeCell ref="I2304:I2306"/>
    <mergeCell ref="J2304:J2306"/>
    <mergeCell ref="K2304:K2306"/>
    <mergeCell ref="L2304:L2306"/>
    <mergeCell ref="D2307:D2309"/>
    <mergeCell ref="E2307:E2309"/>
    <mergeCell ref="F2307:F2309"/>
    <mergeCell ref="G2307:G2309"/>
    <mergeCell ref="H2307:H2309"/>
    <mergeCell ref="I2307:I2309"/>
    <mergeCell ref="J2307:J2309"/>
    <mergeCell ref="K2307:K2309"/>
    <mergeCell ref="L2307:L2309"/>
    <mergeCell ref="D2310:F2310"/>
    <mergeCell ref="G2310:L2310"/>
    <mergeCell ref="A2290:A2292"/>
    <mergeCell ref="B2290:C2299"/>
    <mergeCell ref="D2268:D2270"/>
    <mergeCell ref="E2268:E2270"/>
    <mergeCell ref="F2268:F2270"/>
    <mergeCell ref="G2268:G2270"/>
    <mergeCell ref="H2268:H2270"/>
    <mergeCell ref="I2268:I2270"/>
    <mergeCell ref="J2268:J2270"/>
    <mergeCell ref="K2268:K2270"/>
    <mergeCell ref="L2268:L2270"/>
    <mergeCell ref="D2271:D2273"/>
    <mergeCell ref="E2271:E2273"/>
    <mergeCell ref="F2271:F2273"/>
    <mergeCell ref="G2271:G2273"/>
    <mergeCell ref="H2271:H2273"/>
    <mergeCell ref="I2271:I2273"/>
    <mergeCell ref="J2271:J2273"/>
    <mergeCell ref="K2271:K2273"/>
    <mergeCell ref="L2271:L2273"/>
    <mergeCell ref="D2274:D2276"/>
    <mergeCell ref="E2274:E2276"/>
    <mergeCell ref="F2274:F2276"/>
    <mergeCell ref="G2274:G2276"/>
    <mergeCell ref="H2274:H2276"/>
    <mergeCell ref="I2274:I2276"/>
    <mergeCell ref="J2274:J2276"/>
    <mergeCell ref="K2274:K2276"/>
    <mergeCell ref="L2274:L2276"/>
    <mergeCell ref="D2277:F2277"/>
    <mergeCell ref="G2277:L2277"/>
    <mergeCell ref="A2279:A2281"/>
    <mergeCell ref="B2279:C2288"/>
    <mergeCell ref="D2279:D2281"/>
    <mergeCell ref="E2279:E2281"/>
    <mergeCell ref="F2279:F2281"/>
    <mergeCell ref="G2279:G2281"/>
    <mergeCell ref="H2279:H2281"/>
    <mergeCell ref="I2279:I2281"/>
    <mergeCell ref="J2279:J2281"/>
    <mergeCell ref="K2279:K2281"/>
    <mergeCell ref="L2279:L2281"/>
    <mergeCell ref="D2282:D2284"/>
    <mergeCell ref="E2282:E2284"/>
    <mergeCell ref="F2282:F2284"/>
    <mergeCell ref="G2282:G2284"/>
    <mergeCell ref="H2282:H2284"/>
    <mergeCell ref="I2282:I2284"/>
    <mergeCell ref="J2282:J2284"/>
    <mergeCell ref="K2282:K2284"/>
    <mergeCell ref="L2282:L2284"/>
    <mergeCell ref="D2285:D2287"/>
    <mergeCell ref="E2285:E2287"/>
    <mergeCell ref="F2285:F2287"/>
    <mergeCell ref="G2285:G2287"/>
    <mergeCell ref="H2285:H2287"/>
    <mergeCell ref="I2285:I2287"/>
    <mergeCell ref="J2285:J2287"/>
    <mergeCell ref="K2285:K2287"/>
    <mergeCell ref="L2285:L2287"/>
    <mergeCell ref="D2288:F2288"/>
    <mergeCell ref="G2288:L2288"/>
    <mergeCell ref="A2268:A2270"/>
    <mergeCell ref="B2268:C2277"/>
    <mergeCell ref="D2246:D2248"/>
    <mergeCell ref="E2246:E2248"/>
    <mergeCell ref="F2246:F2248"/>
    <mergeCell ref="G2246:G2248"/>
    <mergeCell ref="H2246:H2248"/>
    <mergeCell ref="I2246:I2248"/>
    <mergeCell ref="J2246:J2248"/>
    <mergeCell ref="K2246:K2248"/>
    <mergeCell ref="L2246:L2248"/>
    <mergeCell ref="D2249:D2251"/>
    <mergeCell ref="E2249:E2251"/>
    <mergeCell ref="F2249:F2251"/>
    <mergeCell ref="G2249:G2251"/>
    <mergeCell ref="H2249:H2251"/>
    <mergeCell ref="I2249:I2251"/>
    <mergeCell ref="J2249:J2251"/>
    <mergeCell ref="K2249:K2251"/>
    <mergeCell ref="L2249:L2251"/>
    <mergeCell ref="D2252:D2254"/>
    <mergeCell ref="E2252:E2254"/>
    <mergeCell ref="F2252:F2254"/>
    <mergeCell ref="G2252:G2254"/>
    <mergeCell ref="H2252:H2254"/>
    <mergeCell ref="I2252:I2254"/>
    <mergeCell ref="J2252:J2254"/>
    <mergeCell ref="K2252:K2254"/>
    <mergeCell ref="L2252:L2254"/>
    <mergeCell ref="D2255:F2255"/>
    <mergeCell ref="G2255:L2255"/>
    <mergeCell ref="A2257:A2259"/>
    <mergeCell ref="B2257:C2266"/>
    <mergeCell ref="D2257:D2259"/>
    <mergeCell ref="E2257:E2259"/>
    <mergeCell ref="F2257:F2259"/>
    <mergeCell ref="G2257:G2259"/>
    <mergeCell ref="H2257:H2259"/>
    <mergeCell ref="I2257:I2259"/>
    <mergeCell ref="J2257:J2259"/>
    <mergeCell ref="K2257:K2259"/>
    <mergeCell ref="L2257:L2259"/>
    <mergeCell ref="D2260:D2262"/>
    <mergeCell ref="E2260:E2262"/>
    <mergeCell ref="F2260:F2262"/>
    <mergeCell ref="G2260:G2262"/>
    <mergeCell ref="H2260:H2262"/>
    <mergeCell ref="I2260:I2262"/>
    <mergeCell ref="J2260:J2262"/>
    <mergeCell ref="K2260:K2262"/>
    <mergeCell ref="L2260:L2262"/>
    <mergeCell ref="D2263:D2265"/>
    <mergeCell ref="E2263:E2265"/>
    <mergeCell ref="F2263:F2265"/>
    <mergeCell ref="G2263:G2265"/>
    <mergeCell ref="H2263:H2265"/>
    <mergeCell ref="I2263:I2265"/>
    <mergeCell ref="J2263:J2265"/>
    <mergeCell ref="K2263:K2265"/>
    <mergeCell ref="L2263:L2265"/>
    <mergeCell ref="D2266:F2266"/>
    <mergeCell ref="G2266:L2266"/>
    <mergeCell ref="A2246:A2248"/>
    <mergeCell ref="B2246:C2255"/>
    <mergeCell ref="A2224:A2226"/>
    <mergeCell ref="B2224:C2233"/>
    <mergeCell ref="D2224:D2226"/>
    <mergeCell ref="E2224:E2226"/>
    <mergeCell ref="F2224:F2226"/>
    <mergeCell ref="G2224:G2226"/>
    <mergeCell ref="H2224:H2226"/>
    <mergeCell ref="I2224:I2226"/>
    <mergeCell ref="J2224:J2226"/>
    <mergeCell ref="K2224:K2226"/>
    <mergeCell ref="L2224:L2226"/>
    <mergeCell ref="D2227:D2229"/>
    <mergeCell ref="E2227:E2229"/>
    <mergeCell ref="F2227:F2229"/>
    <mergeCell ref="G2227:G2229"/>
    <mergeCell ref="H2227:H2229"/>
    <mergeCell ref="I2227:I2229"/>
    <mergeCell ref="J2227:J2229"/>
    <mergeCell ref="K2227:K2229"/>
    <mergeCell ref="L2227:L2229"/>
    <mergeCell ref="D2230:D2232"/>
    <mergeCell ref="E2230:E2232"/>
    <mergeCell ref="F2230:F2232"/>
    <mergeCell ref="G2230:G2232"/>
    <mergeCell ref="H2230:H2232"/>
    <mergeCell ref="I2230:I2232"/>
    <mergeCell ref="J2230:J2232"/>
    <mergeCell ref="K2230:K2232"/>
    <mergeCell ref="L2230:L2232"/>
    <mergeCell ref="D2233:F2233"/>
    <mergeCell ref="G2233:L2233"/>
    <mergeCell ref="A2235:A2237"/>
    <mergeCell ref="B2235:C2244"/>
    <mergeCell ref="D2235:D2237"/>
    <mergeCell ref="E2235:E2237"/>
    <mergeCell ref="F2235:F2237"/>
    <mergeCell ref="G2235:G2237"/>
    <mergeCell ref="H2235:H2237"/>
    <mergeCell ref="I2235:I2237"/>
    <mergeCell ref="J2235:J2237"/>
    <mergeCell ref="K2235:K2237"/>
    <mergeCell ref="L2235:L2237"/>
    <mergeCell ref="D2238:D2240"/>
    <mergeCell ref="E2238:E2240"/>
    <mergeCell ref="F2238:F2240"/>
    <mergeCell ref="G2238:G2240"/>
    <mergeCell ref="H2238:H2240"/>
    <mergeCell ref="I2238:I2240"/>
    <mergeCell ref="J2238:J2240"/>
    <mergeCell ref="K2238:K2240"/>
    <mergeCell ref="L2238:L2240"/>
    <mergeCell ref="D2241:D2243"/>
    <mergeCell ref="E2241:E2243"/>
    <mergeCell ref="F2241:F2243"/>
    <mergeCell ref="G2241:G2243"/>
    <mergeCell ref="H2241:H2243"/>
    <mergeCell ref="I2241:I2243"/>
    <mergeCell ref="J2241:J2243"/>
    <mergeCell ref="K2241:K2243"/>
    <mergeCell ref="L2241:L2243"/>
    <mergeCell ref="D2244:F2244"/>
    <mergeCell ref="G2244:L2244"/>
    <mergeCell ref="L2197:L2199"/>
    <mergeCell ref="D2200:F2200"/>
    <mergeCell ref="G2200:L2200"/>
    <mergeCell ref="E2208:E2210"/>
    <mergeCell ref="F2208:F2210"/>
    <mergeCell ref="G2208:G2210"/>
    <mergeCell ref="H2208:H2210"/>
    <mergeCell ref="I2208:I2210"/>
    <mergeCell ref="J2208:J2210"/>
    <mergeCell ref="K2208:K2210"/>
    <mergeCell ref="L2208:L2210"/>
    <mergeCell ref="D2211:F2211"/>
    <mergeCell ref="G2211:L2211"/>
    <mergeCell ref="A2213:A2215"/>
    <mergeCell ref="B2213:C2222"/>
    <mergeCell ref="D2213:D2215"/>
    <mergeCell ref="E2213:E2215"/>
    <mergeCell ref="F2213:F2215"/>
    <mergeCell ref="G2213:G2215"/>
    <mergeCell ref="H2213:H2215"/>
    <mergeCell ref="I2213:I2215"/>
    <mergeCell ref="J2213:J2215"/>
    <mergeCell ref="K2213:K2215"/>
    <mergeCell ref="L2213:L2215"/>
    <mergeCell ref="D2216:D2218"/>
    <mergeCell ref="E2216:E2218"/>
    <mergeCell ref="F2216:F2218"/>
    <mergeCell ref="G2216:G2218"/>
    <mergeCell ref="H2216:H2218"/>
    <mergeCell ref="I2216:I2218"/>
    <mergeCell ref="J2216:J2218"/>
    <mergeCell ref="K2216:K2218"/>
    <mergeCell ref="L2216:L2218"/>
    <mergeCell ref="D2219:D2221"/>
    <mergeCell ref="E2219:E2221"/>
    <mergeCell ref="F2219:F2221"/>
    <mergeCell ref="G2219:G2221"/>
    <mergeCell ref="H2219:H2221"/>
    <mergeCell ref="I2219:I2221"/>
    <mergeCell ref="J2219:J2221"/>
    <mergeCell ref="K2219:K2221"/>
    <mergeCell ref="L2219:L2221"/>
    <mergeCell ref="D2222:F2222"/>
    <mergeCell ref="G2222:L2222"/>
    <mergeCell ref="D2103:D2105"/>
    <mergeCell ref="E2103:E2105"/>
    <mergeCell ref="F2103:F2105"/>
    <mergeCell ref="G2103:G2105"/>
    <mergeCell ref="H2103:H2105"/>
    <mergeCell ref="I2103:I2105"/>
    <mergeCell ref="J2103:J2105"/>
    <mergeCell ref="K2103:K2105"/>
    <mergeCell ref="F2142:F2144"/>
    <mergeCell ref="G2142:G2144"/>
    <mergeCell ref="H2142:H2144"/>
    <mergeCell ref="I2142:I2144"/>
    <mergeCell ref="J2142:J2144"/>
    <mergeCell ref="K2142:K2144"/>
    <mergeCell ref="L2142:L2144"/>
    <mergeCell ref="D2145:F2145"/>
    <mergeCell ref="G2145:L2145"/>
    <mergeCell ref="A2147:A2149"/>
    <mergeCell ref="B2147:C2156"/>
    <mergeCell ref="D2153:D2155"/>
    <mergeCell ref="E2153:E2155"/>
    <mergeCell ref="F2153:F2155"/>
    <mergeCell ref="G2153:G2155"/>
    <mergeCell ref="H2153:H2155"/>
    <mergeCell ref="I2153:I2155"/>
    <mergeCell ref="J2153:J2155"/>
    <mergeCell ref="K2153:K2155"/>
    <mergeCell ref="L2153:L2155"/>
    <mergeCell ref="D2156:F2156"/>
    <mergeCell ref="G2156:L2156"/>
    <mergeCell ref="A2158:A2160"/>
    <mergeCell ref="B2158:C2167"/>
    <mergeCell ref="D2164:D2166"/>
    <mergeCell ref="E2164:E2166"/>
    <mergeCell ref="F2164:F2166"/>
    <mergeCell ref="G2164:G2166"/>
    <mergeCell ref="H2164:H2166"/>
    <mergeCell ref="I2164:I2166"/>
    <mergeCell ref="J2164:J2166"/>
    <mergeCell ref="K2164:K2166"/>
    <mergeCell ref="L2164:L2166"/>
    <mergeCell ref="D2167:F2167"/>
    <mergeCell ref="G2167:L2167"/>
    <mergeCell ref="D2158:D2160"/>
    <mergeCell ref="E2158:E2160"/>
    <mergeCell ref="F2158:F2160"/>
    <mergeCell ref="G2158:G2160"/>
    <mergeCell ref="H2158:H2160"/>
    <mergeCell ref="I2158:I2160"/>
    <mergeCell ref="J2158:J2160"/>
    <mergeCell ref="K2158:K2160"/>
    <mergeCell ref="L2158:L2160"/>
    <mergeCell ref="D2161:D2163"/>
    <mergeCell ref="E2161:E2163"/>
    <mergeCell ref="F2161:F2163"/>
    <mergeCell ref="G2161:G2163"/>
    <mergeCell ref="H2161:H2163"/>
    <mergeCell ref="I2161:I2163"/>
    <mergeCell ref="J2161:J2163"/>
    <mergeCell ref="K2161:K2163"/>
    <mergeCell ref="L2161:L2163"/>
    <mergeCell ref="D2147:D2149"/>
    <mergeCell ref="E2147:E2149"/>
    <mergeCell ref="F2147:F2149"/>
    <mergeCell ref="E2120:E2122"/>
    <mergeCell ref="F2120:F2122"/>
    <mergeCell ref="G2120:G2122"/>
    <mergeCell ref="H2120:H2122"/>
    <mergeCell ref="I2120:I2122"/>
    <mergeCell ref="J2120:J2122"/>
    <mergeCell ref="K2120:K2122"/>
    <mergeCell ref="L2120:L2122"/>
    <mergeCell ref="D2123:F2123"/>
    <mergeCell ref="G2123:L2123"/>
    <mergeCell ref="A2125:A2127"/>
    <mergeCell ref="B2125:C2134"/>
    <mergeCell ref="D2131:D2133"/>
    <mergeCell ref="E2131:E2133"/>
    <mergeCell ref="F2131:F2133"/>
    <mergeCell ref="G2131:G2133"/>
    <mergeCell ref="H2131:H2133"/>
    <mergeCell ref="I2131:I2133"/>
    <mergeCell ref="J2131:J2133"/>
    <mergeCell ref="K2131:K2133"/>
    <mergeCell ref="L2131:L2133"/>
    <mergeCell ref="D2134:F2134"/>
    <mergeCell ref="G2134:L2134"/>
    <mergeCell ref="D2114:D2116"/>
    <mergeCell ref="E2114:E2116"/>
    <mergeCell ref="F2114:F2116"/>
    <mergeCell ref="G2114:G2116"/>
    <mergeCell ref="H2114:H2116"/>
    <mergeCell ref="I2114:I2116"/>
    <mergeCell ref="J2114:J2116"/>
    <mergeCell ref="K2114:K2116"/>
    <mergeCell ref="L2114:L2116"/>
    <mergeCell ref="D2117:D2119"/>
    <mergeCell ref="E2117:E2119"/>
    <mergeCell ref="F2117:F2119"/>
    <mergeCell ref="G2117:G2119"/>
    <mergeCell ref="H2117:H2119"/>
    <mergeCell ref="I2117:I2119"/>
    <mergeCell ref="J2117:J2119"/>
    <mergeCell ref="K2117:K2119"/>
    <mergeCell ref="L2117:L2119"/>
    <mergeCell ref="D2081:D2083"/>
    <mergeCell ref="E2081:E2083"/>
    <mergeCell ref="F2081:F2083"/>
    <mergeCell ref="G2081:G2083"/>
    <mergeCell ref="H2081:H2083"/>
    <mergeCell ref="I2081:I2083"/>
    <mergeCell ref="J2081:J2083"/>
    <mergeCell ref="K2081:K2083"/>
    <mergeCell ref="L2081:L2083"/>
    <mergeCell ref="D2084:D2086"/>
    <mergeCell ref="E2084:E2086"/>
    <mergeCell ref="F2084:F2086"/>
    <mergeCell ref="G2084:G2086"/>
    <mergeCell ref="H2084:H2086"/>
    <mergeCell ref="I2084:I2086"/>
    <mergeCell ref="J2084:J2086"/>
    <mergeCell ref="K2084:K2086"/>
    <mergeCell ref="L2084:L2086"/>
    <mergeCell ref="D2087:D2089"/>
    <mergeCell ref="E2087:E2089"/>
    <mergeCell ref="F2087:F2089"/>
    <mergeCell ref="G2087:G2089"/>
    <mergeCell ref="H2087:H2089"/>
    <mergeCell ref="I2087:I2089"/>
    <mergeCell ref="J2087:J2089"/>
    <mergeCell ref="K2087:K2089"/>
    <mergeCell ref="L2087:L2089"/>
    <mergeCell ref="D2090:F2090"/>
    <mergeCell ref="G2090:L2090"/>
    <mergeCell ref="A2092:A2094"/>
    <mergeCell ref="B2092:C2101"/>
    <mergeCell ref="D2092:D2094"/>
    <mergeCell ref="E2092:E2094"/>
    <mergeCell ref="F2092:F2094"/>
    <mergeCell ref="G2092:G2094"/>
    <mergeCell ref="H2092:H2094"/>
    <mergeCell ref="I2092:I2094"/>
    <mergeCell ref="J2092:J2094"/>
    <mergeCell ref="K2092:K2094"/>
    <mergeCell ref="L2092:L2094"/>
    <mergeCell ref="D2095:D2097"/>
    <mergeCell ref="E2095:E2097"/>
    <mergeCell ref="F2095:F2097"/>
    <mergeCell ref="G2095:G2097"/>
    <mergeCell ref="H2095:H2097"/>
    <mergeCell ref="I2095:I2097"/>
    <mergeCell ref="J2095:J2097"/>
    <mergeCell ref="K2095:K2097"/>
    <mergeCell ref="L2095:L2097"/>
    <mergeCell ref="D2098:D2100"/>
    <mergeCell ref="E2098:E2100"/>
    <mergeCell ref="F2098:F2100"/>
    <mergeCell ref="G2098:G2100"/>
    <mergeCell ref="H2098:H2100"/>
    <mergeCell ref="I2098:I2100"/>
    <mergeCell ref="J2098:J2100"/>
    <mergeCell ref="K2098:K2100"/>
    <mergeCell ref="L2098:L2100"/>
    <mergeCell ref="D2101:F2101"/>
    <mergeCell ref="G2101:L2101"/>
    <mergeCell ref="A2081:A2083"/>
    <mergeCell ref="B2081:C2090"/>
    <mergeCell ref="D2059:D2061"/>
    <mergeCell ref="E2059:E2061"/>
    <mergeCell ref="F2059:F2061"/>
    <mergeCell ref="G2059:G2061"/>
    <mergeCell ref="H2059:H2061"/>
    <mergeCell ref="I2059:I2061"/>
    <mergeCell ref="J2059:J2061"/>
    <mergeCell ref="K2059:K2061"/>
    <mergeCell ref="L2059:L2061"/>
    <mergeCell ref="D2062:D2064"/>
    <mergeCell ref="E2062:E2064"/>
    <mergeCell ref="F2062:F2064"/>
    <mergeCell ref="G2062:G2064"/>
    <mergeCell ref="H2062:H2064"/>
    <mergeCell ref="I2062:I2064"/>
    <mergeCell ref="J2062:J2064"/>
    <mergeCell ref="K2062:K2064"/>
    <mergeCell ref="L2062:L2064"/>
    <mergeCell ref="D2065:D2067"/>
    <mergeCell ref="E2065:E2067"/>
    <mergeCell ref="F2065:F2067"/>
    <mergeCell ref="G2065:G2067"/>
    <mergeCell ref="H2065:H2067"/>
    <mergeCell ref="I2065:I2067"/>
    <mergeCell ref="J2065:J2067"/>
    <mergeCell ref="K2065:K2067"/>
    <mergeCell ref="L2065:L2067"/>
    <mergeCell ref="D2068:F2068"/>
    <mergeCell ref="G2068:L2068"/>
    <mergeCell ref="A2070:A2072"/>
    <mergeCell ref="B2070:C2079"/>
    <mergeCell ref="D2070:D2072"/>
    <mergeCell ref="E2070:E2072"/>
    <mergeCell ref="F2070:F2072"/>
    <mergeCell ref="G2070:G2072"/>
    <mergeCell ref="H2070:H2072"/>
    <mergeCell ref="I2070:I2072"/>
    <mergeCell ref="J2070:J2072"/>
    <mergeCell ref="K2070:K2072"/>
    <mergeCell ref="L2070:L2072"/>
    <mergeCell ref="D2073:D2075"/>
    <mergeCell ref="E2073:E2075"/>
    <mergeCell ref="F2073:F2075"/>
    <mergeCell ref="G2073:G2075"/>
    <mergeCell ref="H2073:H2075"/>
    <mergeCell ref="I2073:I2075"/>
    <mergeCell ref="J2073:J2075"/>
    <mergeCell ref="K2073:K2075"/>
    <mergeCell ref="L2073:L2075"/>
    <mergeCell ref="D2076:D2078"/>
    <mergeCell ref="E2076:E2078"/>
    <mergeCell ref="F2076:F2078"/>
    <mergeCell ref="G2076:G2078"/>
    <mergeCell ref="H2076:H2078"/>
    <mergeCell ref="I2076:I2078"/>
    <mergeCell ref="J2076:J2078"/>
    <mergeCell ref="K2076:K2078"/>
    <mergeCell ref="L2076:L2078"/>
    <mergeCell ref="D2079:F2079"/>
    <mergeCell ref="G2079:L2079"/>
    <mergeCell ref="A2059:A2061"/>
    <mergeCell ref="B2059:C2068"/>
    <mergeCell ref="D2037:D2039"/>
    <mergeCell ref="E2037:E2039"/>
    <mergeCell ref="F2037:F2039"/>
    <mergeCell ref="G2037:G2039"/>
    <mergeCell ref="H2037:H2039"/>
    <mergeCell ref="I2037:I2039"/>
    <mergeCell ref="J2037:J2039"/>
    <mergeCell ref="K2037:K2039"/>
    <mergeCell ref="L2037:L2039"/>
    <mergeCell ref="D2040:D2042"/>
    <mergeCell ref="E2040:E2042"/>
    <mergeCell ref="F2040:F2042"/>
    <mergeCell ref="G2040:G2042"/>
    <mergeCell ref="H2040:H2042"/>
    <mergeCell ref="I2040:I2042"/>
    <mergeCell ref="J2040:J2042"/>
    <mergeCell ref="K2040:K2042"/>
    <mergeCell ref="L2040:L2042"/>
    <mergeCell ref="D2043:D2045"/>
    <mergeCell ref="E2043:E2045"/>
    <mergeCell ref="F2043:F2045"/>
    <mergeCell ref="G2043:G2045"/>
    <mergeCell ref="H2043:H2045"/>
    <mergeCell ref="I2043:I2045"/>
    <mergeCell ref="J2043:J2045"/>
    <mergeCell ref="K2043:K2045"/>
    <mergeCell ref="L2043:L2045"/>
    <mergeCell ref="D2046:F2046"/>
    <mergeCell ref="G2046:L2046"/>
    <mergeCell ref="A2048:A2050"/>
    <mergeCell ref="B2048:C2057"/>
    <mergeCell ref="D2048:D2050"/>
    <mergeCell ref="E2048:E2050"/>
    <mergeCell ref="F2048:F2050"/>
    <mergeCell ref="G2048:G2050"/>
    <mergeCell ref="H2048:H2050"/>
    <mergeCell ref="I2048:I2050"/>
    <mergeCell ref="J2048:J2050"/>
    <mergeCell ref="K2048:K2050"/>
    <mergeCell ref="L2048:L2050"/>
    <mergeCell ref="D2051:D2053"/>
    <mergeCell ref="E2051:E2053"/>
    <mergeCell ref="F2051:F2053"/>
    <mergeCell ref="G2051:G2053"/>
    <mergeCell ref="H2051:H2053"/>
    <mergeCell ref="I2051:I2053"/>
    <mergeCell ref="J2051:J2053"/>
    <mergeCell ref="K2051:K2053"/>
    <mergeCell ref="L2051:L2053"/>
    <mergeCell ref="D2054:D2056"/>
    <mergeCell ref="E2054:E2056"/>
    <mergeCell ref="F2054:F2056"/>
    <mergeCell ref="G2054:G2056"/>
    <mergeCell ref="H2054:H2056"/>
    <mergeCell ref="I2054:I2056"/>
    <mergeCell ref="J2054:J2056"/>
    <mergeCell ref="K2054:K2056"/>
    <mergeCell ref="L2054:L2056"/>
    <mergeCell ref="D2057:F2057"/>
    <mergeCell ref="G2057:L2057"/>
    <mergeCell ref="A2037:A2039"/>
    <mergeCell ref="B2037:C2046"/>
    <mergeCell ref="D2015:D2017"/>
    <mergeCell ref="E2015:E2017"/>
    <mergeCell ref="F2015:F2017"/>
    <mergeCell ref="G2015:G2017"/>
    <mergeCell ref="H2015:H2017"/>
    <mergeCell ref="I2015:I2017"/>
    <mergeCell ref="J2015:J2017"/>
    <mergeCell ref="K2015:K2017"/>
    <mergeCell ref="L2015:L2017"/>
    <mergeCell ref="D2018:D2020"/>
    <mergeCell ref="E2018:E2020"/>
    <mergeCell ref="F2018:F2020"/>
    <mergeCell ref="G2018:G2020"/>
    <mergeCell ref="H2018:H2020"/>
    <mergeCell ref="I2018:I2020"/>
    <mergeCell ref="J2018:J2020"/>
    <mergeCell ref="K2018:K2020"/>
    <mergeCell ref="L2018:L2020"/>
    <mergeCell ref="D2021:D2023"/>
    <mergeCell ref="E2021:E2023"/>
    <mergeCell ref="F2021:F2023"/>
    <mergeCell ref="G2021:G2023"/>
    <mergeCell ref="H2021:H2023"/>
    <mergeCell ref="I2021:I2023"/>
    <mergeCell ref="J2021:J2023"/>
    <mergeCell ref="K2021:K2023"/>
    <mergeCell ref="L2021:L2023"/>
    <mergeCell ref="D2024:F2024"/>
    <mergeCell ref="G2024:L2024"/>
    <mergeCell ref="A2026:A2028"/>
    <mergeCell ref="B2026:C2035"/>
    <mergeCell ref="D2026:D2028"/>
    <mergeCell ref="E2026:E2028"/>
    <mergeCell ref="F2026:F2028"/>
    <mergeCell ref="G2026:G2028"/>
    <mergeCell ref="H2026:H2028"/>
    <mergeCell ref="I2026:I2028"/>
    <mergeCell ref="J2026:J2028"/>
    <mergeCell ref="K2026:K2028"/>
    <mergeCell ref="L2026:L2028"/>
    <mergeCell ref="D2029:D2031"/>
    <mergeCell ref="E2029:E2031"/>
    <mergeCell ref="F2029:F2031"/>
    <mergeCell ref="G2029:G2031"/>
    <mergeCell ref="H2029:H2031"/>
    <mergeCell ref="I2029:I2031"/>
    <mergeCell ref="J2029:J2031"/>
    <mergeCell ref="K2029:K2031"/>
    <mergeCell ref="L2029:L2031"/>
    <mergeCell ref="D2032:D2034"/>
    <mergeCell ref="E2032:E2034"/>
    <mergeCell ref="F2032:F2034"/>
    <mergeCell ref="G2032:G2034"/>
    <mergeCell ref="H2032:H2034"/>
    <mergeCell ref="I2032:I2034"/>
    <mergeCell ref="J2032:J2034"/>
    <mergeCell ref="K2032:K2034"/>
    <mergeCell ref="L2032:L2034"/>
    <mergeCell ref="D2035:F2035"/>
    <mergeCell ref="G2035:L2035"/>
    <mergeCell ref="A2015:A2017"/>
    <mergeCell ref="B2015:C2024"/>
    <mergeCell ref="B1993:C2002"/>
    <mergeCell ref="D1993:D1995"/>
    <mergeCell ref="E1993:E1995"/>
    <mergeCell ref="F1993:F1995"/>
    <mergeCell ref="G1993:G1995"/>
    <mergeCell ref="H1993:H1995"/>
    <mergeCell ref="I1993:I1995"/>
    <mergeCell ref="J1993:J1995"/>
    <mergeCell ref="K1993:K1995"/>
    <mergeCell ref="L1993:L1995"/>
    <mergeCell ref="D1996:D1998"/>
    <mergeCell ref="E1996:E1998"/>
    <mergeCell ref="F1996:F1998"/>
    <mergeCell ref="G1996:G1998"/>
    <mergeCell ref="H1996:H1998"/>
    <mergeCell ref="I1996:I1998"/>
    <mergeCell ref="J1996:J1998"/>
    <mergeCell ref="K1996:K1998"/>
    <mergeCell ref="L1996:L1998"/>
    <mergeCell ref="D1999:D2001"/>
    <mergeCell ref="E1999:E2001"/>
    <mergeCell ref="F1999:F2001"/>
    <mergeCell ref="G1999:G2001"/>
    <mergeCell ref="H1999:H2001"/>
    <mergeCell ref="I1999:I2001"/>
    <mergeCell ref="J1999:J2001"/>
    <mergeCell ref="K1999:K2001"/>
    <mergeCell ref="L1999:L2001"/>
    <mergeCell ref="D2002:F2002"/>
    <mergeCell ref="G2002:L2002"/>
    <mergeCell ref="A2004:A2006"/>
    <mergeCell ref="B2004:C2013"/>
    <mergeCell ref="D2004:D2006"/>
    <mergeCell ref="E2004:E2006"/>
    <mergeCell ref="F2004:F2006"/>
    <mergeCell ref="G2004:G2006"/>
    <mergeCell ref="H2004:H2006"/>
    <mergeCell ref="I2004:I2006"/>
    <mergeCell ref="J2004:J2006"/>
    <mergeCell ref="K2004:K2006"/>
    <mergeCell ref="L2004:L2006"/>
    <mergeCell ref="D2007:D2009"/>
    <mergeCell ref="E2007:E2009"/>
    <mergeCell ref="F2007:F2009"/>
    <mergeCell ref="G2007:G2009"/>
    <mergeCell ref="H2007:H2009"/>
    <mergeCell ref="I2007:I2009"/>
    <mergeCell ref="J2007:J2009"/>
    <mergeCell ref="K2007:K2009"/>
    <mergeCell ref="L2007:L2009"/>
    <mergeCell ref="D2010:D2012"/>
    <mergeCell ref="E2010:E2012"/>
    <mergeCell ref="F2010:F2012"/>
    <mergeCell ref="G2010:G2012"/>
    <mergeCell ref="H2010:H2012"/>
    <mergeCell ref="I2010:I2012"/>
    <mergeCell ref="J2010:J2012"/>
    <mergeCell ref="K2010:K2012"/>
    <mergeCell ref="L2010:L2012"/>
    <mergeCell ref="D2013:F2013"/>
    <mergeCell ref="G2013:L2013"/>
    <mergeCell ref="A1993:A1995"/>
    <mergeCell ref="D1971:D1973"/>
    <mergeCell ref="E1971:E1973"/>
    <mergeCell ref="F1971:F1973"/>
    <mergeCell ref="G1971:G1973"/>
    <mergeCell ref="H1971:H1973"/>
    <mergeCell ref="I1971:I1973"/>
    <mergeCell ref="J1971:J1973"/>
    <mergeCell ref="K1971:K1973"/>
    <mergeCell ref="L1971:L1973"/>
    <mergeCell ref="D1974:D1976"/>
    <mergeCell ref="E1974:E1976"/>
    <mergeCell ref="F1974:F1976"/>
    <mergeCell ref="G1974:G1976"/>
    <mergeCell ref="H1974:H1976"/>
    <mergeCell ref="I1974:I1976"/>
    <mergeCell ref="J1974:J1976"/>
    <mergeCell ref="K1974:K1976"/>
    <mergeCell ref="L1974:L1976"/>
    <mergeCell ref="D1980:F1980"/>
    <mergeCell ref="G1980:L1980"/>
    <mergeCell ref="A1982:A1984"/>
    <mergeCell ref="B1982:C1991"/>
    <mergeCell ref="D1982:D1984"/>
    <mergeCell ref="E1982:E1984"/>
    <mergeCell ref="F1982:F1984"/>
    <mergeCell ref="G1982:G1984"/>
    <mergeCell ref="H1982:H1984"/>
    <mergeCell ref="I1982:I1984"/>
    <mergeCell ref="J1982:J1984"/>
    <mergeCell ref="K1982:K1984"/>
    <mergeCell ref="L1982:L1984"/>
    <mergeCell ref="D1985:D1987"/>
    <mergeCell ref="E1985:E1987"/>
    <mergeCell ref="F1985:F1987"/>
    <mergeCell ref="G1985:G1987"/>
    <mergeCell ref="H1985:H1987"/>
    <mergeCell ref="I1985:I1987"/>
    <mergeCell ref="J1985:J1987"/>
    <mergeCell ref="K1985:K1987"/>
    <mergeCell ref="L1985:L1987"/>
    <mergeCell ref="D1988:D1990"/>
    <mergeCell ref="E1988:E1990"/>
    <mergeCell ref="F1988:F1990"/>
    <mergeCell ref="G1988:G1990"/>
    <mergeCell ref="H1988:H1990"/>
    <mergeCell ref="I1988:I1990"/>
    <mergeCell ref="J1988:J1990"/>
    <mergeCell ref="K1988:K1990"/>
    <mergeCell ref="L1988:L1990"/>
    <mergeCell ref="D1991:F1991"/>
    <mergeCell ref="G1991:L1991"/>
    <mergeCell ref="D1977:D1979"/>
    <mergeCell ref="E1977:E1979"/>
    <mergeCell ref="F1977:F1979"/>
    <mergeCell ref="G1977:G1979"/>
    <mergeCell ref="H1977:H1979"/>
    <mergeCell ref="I1977:I1979"/>
    <mergeCell ref="J1977:J1979"/>
    <mergeCell ref="K1977:K1979"/>
    <mergeCell ref="L1977:L1979"/>
    <mergeCell ref="A1971:A1973"/>
    <mergeCell ref="B1971:C1980"/>
    <mergeCell ref="D1949:D1951"/>
    <mergeCell ref="E1949:E1951"/>
    <mergeCell ref="F1949:F1951"/>
    <mergeCell ref="G1949:G1951"/>
    <mergeCell ref="H1949:H1951"/>
    <mergeCell ref="I1949:I1951"/>
    <mergeCell ref="J1949:J1951"/>
    <mergeCell ref="K1949:K1951"/>
    <mergeCell ref="L1949:L1951"/>
    <mergeCell ref="D1952:D1954"/>
    <mergeCell ref="E1952:E1954"/>
    <mergeCell ref="F1952:F1954"/>
    <mergeCell ref="G1952:G1954"/>
    <mergeCell ref="H1952:H1954"/>
    <mergeCell ref="I1952:I1954"/>
    <mergeCell ref="J1952:J1954"/>
    <mergeCell ref="K1952:K1954"/>
    <mergeCell ref="L1952:L1954"/>
    <mergeCell ref="D1958:F1958"/>
    <mergeCell ref="G1958:L1958"/>
    <mergeCell ref="A1960:A1962"/>
    <mergeCell ref="B1960:C1969"/>
    <mergeCell ref="D1960:D1962"/>
    <mergeCell ref="E1960:E1962"/>
    <mergeCell ref="F1960:F1962"/>
    <mergeCell ref="G1960:G1962"/>
    <mergeCell ref="H1960:H1962"/>
    <mergeCell ref="I1960:I1962"/>
    <mergeCell ref="J1960:J1962"/>
    <mergeCell ref="K1960:K1962"/>
    <mergeCell ref="L1960:L1962"/>
    <mergeCell ref="D1963:D1965"/>
    <mergeCell ref="E1963:E1965"/>
    <mergeCell ref="F1963:F1965"/>
    <mergeCell ref="G1963:G1965"/>
    <mergeCell ref="H1963:H1965"/>
    <mergeCell ref="I1963:I1965"/>
    <mergeCell ref="J1963:J1965"/>
    <mergeCell ref="K1963:K1965"/>
    <mergeCell ref="L1963:L1965"/>
    <mergeCell ref="D1969:F1969"/>
    <mergeCell ref="G1969:L1969"/>
    <mergeCell ref="D1955:D1957"/>
    <mergeCell ref="E1955:E1957"/>
    <mergeCell ref="F1955:F1957"/>
    <mergeCell ref="G1955:G1957"/>
    <mergeCell ref="H1955:H1957"/>
    <mergeCell ref="I1955:I1957"/>
    <mergeCell ref="J1955:J1957"/>
    <mergeCell ref="K1955:K1957"/>
    <mergeCell ref="L1955:L1957"/>
    <mergeCell ref="A1949:A1951"/>
    <mergeCell ref="B1949:C1958"/>
    <mergeCell ref="D1966:D1968"/>
    <mergeCell ref="E1966:E1968"/>
    <mergeCell ref="F1966:F1968"/>
    <mergeCell ref="G1966:G1968"/>
    <mergeCell ref="H1966:H1968"/>
    <mergeCell ref="I1966:I1968"/>
    <mergeCell ref="J1966:J1968"/>
    <mergeCell ref="K1966:K1968"/>
    <mergeCell ref="L1966:L1968"/>
    <mergeCell ref="D1927:D1929"/>
    <mergeCell ref="E1927:E1929"/>
    <mergeCell ref="F1927:F1929"/>
    <mergeCell ref="G1927:G1929"/>
    <mergeCell ref="H1927:H1929"/>
    <mergeCell ref="I1927:I1929"/>
    <mergeCell ref="J1927:J1929"/>
    <mergeCell ref="K1927:K1929"/>
    <mergeCell ref="L1927:L1929"/>
    <mergeCell ref="D1930:D1932"/>
    <mergeCell ref="E1930:E1932"/>
    <mergeCell ref="F1930:F1932"/>
    <mergeCell ref="G1930:G1932"/>
    <mergeCell ref="H1930:H1932"/>
    <mergeCell ref="I1930:I1932"/>
    <mergeCell ref="J1930:J1932"/>
    <mergeCell ref="K1930:K1932"/>
    <mergeCell ref="L1930:L1932"/>
    <mergeCell ref="D1936:F1936"/>
    <mergeCell ref="G1936:L1936"/>
    <mergeCell ref="A1938:A1940"/>
    <mergeCell ref="B1938:C1947"/>
    <mergeCell ref="D1938:D1940"/>
    <mergeCell ref="E1938:E1940"/>
    <mergeCell ref="F1938:F1940"/>
    <mergeCell ref="G1938:G1940"/>
    <mergeCell ref="H1938:H1940"/>
    <mergeCell ref="I1938:I1940"/>
    <mergeCell ref="J1938:J1940"/>
    <mergeCell ref="K1938:K1940"/>
    <mergeCell ref="L1938:L1940"/>
    <mergeCell ref="D1941:D1943"/>
    <mergeCell ref="E1941:E1943"/>
    <mergeCell ref="F1941:F1943"/>
    <mergeCell ref="G1941:G1943"/>
    <mergeCell ref="H1941:H1943"/>
    <mergeCell ref="I1941:I1943"/>
    <mergeCell ref="J1941:J1943"/>
    <mergeCell ref="K1941:K1943"/>
    <mergeCell ref="L1941:L1943"/>
    <mergeCell ref="D1947:F1947"/>
    <mergeCell ref="G1947:L1947"/>
    <mergeCell ref="D1933:D1935"/>
    <mergeCell ref="E1933:E1935"/>
    <mergeCell ref="F1933:F1935"/>
    <mergeCell ref="G1933:G1935"/>
    <mergeCell ref="H1933:H1935"/>
    <mergeCell ref="I1933:I1935"/>
    <mergeCell ref="J1933:J1935"/>
    <mergeCell ref="K1933:K1935"/>
    <mergeCell ref="L1933:L1935"/>
    <mergeCell ref="A1927:A1929"/>
    <mergeCell ref="B1927:C1936"/>
    <mergeCell ref="D1944:D1946"/>
    <mergeCell ref="E1944:E1946"/>
    <mergeCell ref="F1944:F1946"/>
    <mergeCell ref="G1944:G1946"/>
    <mergeCell ref="H1944:H1946"/>
    <mergeCell ref="I1944:I1946"/>
    <mergeCell ref="J1944:J1946"/>
    <mergeCell ref="K1944:K1946"/>
    <mergeCell ref="L1944:L1946"/>
    <mergeCell ref="D1905:D1907"/>
    <mergeCell ref="E1905:E1907"/>
    <mergeCell ref="F1905:F1907"/>
    <mergeCell ref="G1905:G1907"/>
    <mergeCell ref="H1905:H1907"/>
    <mergeCell ref="I1905:I1907"/>
    <mergeCell ref="J1905:J1907"/>
    <mergeCell ref="K1905:K1907"/>
    <mergeCell ref="L1905:L1907"/>
    <mergeCell ref="D1908:D1910"/>
    <mergeCell ref="E1908:E1910"/>
    <mergeCell ref="F1908:F1910"/>
    <mergeCell ref="G1908:G1910"/>
    <mergeCell ref="H1908:H1910"/>
    <mergeCell ref="I1908:I1910"/>
    <mergeCell ref="J1908:J1910"/>
    <mergeCell ref="K1908:K1910"/>
    <mergeCell ref="L1908:L1910"/>
    <mergeCell ref="D1914:F1914"/>
    <mergeCell ref="G1914:L1914"/>
    <mergeCell ref="A1916:A1918"/>
    <mergeCell ref="B1916:C1925"/>
    <mergeCell ref="D1916:D1918"/>
    <mergeCell ref="E1916:E1918"/>
    <mergeCell ref="F1916:F1918"/>
    <mergeCell ref="G1916:G1918"/>
    <mergeCell ref="H1916:H1918"/>
    <mergeCell ref="I1916:I1918"/>
    <mergeCell ref="J1916:J1918"/>
    <mergeCell ref="K1916:K1918"/>
    <mergeCell ref="L1916:L1918"/>
    <mergeCell ref="D1919:D1921"/>
    <mergeCell ref="E1919:E1921"/>
    <mergeCell ref="F1919:F1921"/>
    <mergeCell ref="G1919:G1921"/>
    <mergeCell ref="H1919:H1921"/>
    <mergeCell ref="I1919:I1921"/>
    <mergeCell ref="J1919:J1921"/>
    <mergeCell ref="K1919:K1921"/>
    <mergeCell ref="L1919:L1921"/>
    <mergeCell ref="D1925:F1925"/>
    <mergeCell ref="G1925:L1925"/>
    <mergeCell ref="D1911:D1913"/>
    <mergeCell ref="E1911:E1913"/>
    <mergeCell ref="F1911:F1913"/>
    <mergeCell ref="G1911:G1913"/>
    <mergeCell ref="H1911:H1913"/>
    <mergeCell ref="I1911:I1913"/>
    <mergeCell ref="J1911:J1913"/>
    <mergeCell ref="K1911:K1913"/>
    <mergeCell ref="L1911:L1913"/>
    <mergeCell ref="A1905:A1907"/>
    <mergeCell ref="B1905:C1914"/>
    <mergeCell ref="D1922:D1924"/>
    <mergeCell ref="E1922:E1924"/>
    <mergeCell ref="F1922:F1924"/>
    <mergeCell ref="G1922:G1924"/>
    <mergeCell ref="H1922:H1924"/>
    <mergeCell ref="I1922:I1924"/>
    <mergeCell ref="J1922:J1924"/>
    <mergeCell ref="K1922:K1924"/>
    <mergeCell ref="L1922:L1924"/>
    <mergeCell ref="H1886:H1888"/>
    <mergeCell ref="I1886:I1888"/>
    <mergeCell ref="J1886:J1888"/>
    <mergeCell ref="K1886:K1888"/>
    <mergeCell ref="L1886:L1888"/>
    <mergeCell ref="D1892:F1892"/>
    <mergeCell ref="G1892:L1892"/>
    <mergeCell ref="A1894:A1896"/>
    <mergeCell ref="B1894:C1903"/>
    <mergeCell ref="D1894:D1896"/>
    <mergeCell ref="E1894:E1896"/>
    <mergeCell ref="F1894:F1896"/>
    <mergeCell ref="G1894:G1896"/>
    <mergeCell ref="H1894:H1896"/>
    <mergeCell ref="I1894:I1896"/>
    <mergeCell ref="J1894:J1896"/>
    <mergeCell ref="K1894:K1896"/>
    <mergeCell ref="L1894:L1896"/>
    <mergeCell ref="D1897:D1899"/>
    <mergeCell ref="E1897:E1899"/>
    <mergeCell ref="F1897:F1899"/>
    <mergeCell ref="G1897:G1899"/>
    <mergeCell ref="H1897:H1899"/>
    <mergeCell ref="I1897:I1899"/>
    <mergeCell ref="J1897:J1899"/>
    <mergeCell ref="K1897:K1899"/>
    <mergeCell ref="L1897:L1899"/>
    <mergeCell ref="D1903:F1903"/>
    <mergeCell ref="G1903:L1903"/>
    <mergeCell ref="D1900:D1902"/>
    <mergeCell ref="E1900:E1902"/>
    <mergeCell ref="F1900:F1902"/>
    <mergeCell ref="G1900:G1902"/>
    <mergeCell ref="H1900:H1902"/>
    <mergeCell ref="I1900:I1902"/>
    <mergeCell ref="J1900:J1902"/>
    <mergeCell ref="K1900:K1902"/>
    <mergeCell ref="L1900:L1902"/>
    <mergeCell ref="A1850:A1852"/>
    <mergeCell ref="B1850:C1859"/>
    <mergeCell ref="D1853:D1855"/>
    <mergeCell ref="E1853:E1855"/>
    <mergeCell ref="F1853:F1855"/>
    <mergeCell ref="G1853:G1855"/>
    <mergeCell ref="H1853:H1855"/>
    <mergeCell ref="I1853:I1855"/>
    <mergeCell ref="J1853:J1855"/>
    <mergeCell ref="K1853:K1855"/>
    <mergeCell ref="L1853:L1855"/>
    <mergeCell ref="D1856:D1858"/>
    <mergeCell ref="E1856:E1858"/>
    <mergeCell ref="F1856:F1858"/>
    <mergeCell ref="G1856:G1858"/>
    <mergeCell ref="H1856:H1858"/>
    <mergeCell ref="I1856:I1858"/>
    <mergeCell ref="J1856:J1858"/>
    <mergeCell ref="K1856:K1858"/>
    <mergeCell ref="L1856:L1858"/>
    <mergeCell ref="D1859:F1859"/>
    <mergeCell ref="G1859:L1859"/>
    <mergeCell ref="A1861:A1863"/>
    <mergeCell ref="B1861:C1870"/>
    <mergeCell ref="D1864:D1866"/>
    <mergeCell ref="E1864:E1866"/>
    <mergeCell ref="F1864:F1866"/>
    <mergeCell ref="G1864:G1866"/>
    <mergeCell ref="H1864:H1866"/>
    <mergeCell ref="I1864:I1866"/>
    <mergeCell ref="J1864:J1866"/>
    <mergeCell ref="K1864:K1866"/>
    <mergeCell ref="L1864:L1866"/>
    <mergeCell ref="D1867:D1869"/>
    <mergeCell ref="E1867:E1869"/>
    <mergeCell ref="F1867:F1869"/>
    <mergeCell ref="G1867:G1869"/>
    <mergeCell ref="H1867:H1869"/>
    <mergeCell ref="I1867:I1869"/>
    <mergeCell ref="J1867:J1869"/>
    <mergeCell ref="K1867:K1869"/>
    <mergeCell ref="L1867:L1869"/>
    <mergeCell ref="D1870:F1870"/>
    <mergeCell ref="G1870:L1870"/>
    <mergeCell ref="H1831:H1833"/>
    <mergeCell ref="I1831:I1833"/>
    <mergeCell ref="J1831:J1833"/>
    <mergeCell ref="K1831:K1833"/>
    <mergeCell ref="L1831:L1833"/>
    <mergeCell ref="D1834:D1836"/>
    <mergeCell ref="E1834:E1836"/>
    <mergeCell ref="F1834:F1836"/>
    <mergeCell ref="G1834:G1836"/>
    <mergeCell ref="H1834:H1836"/>
    <mergeCell ref="I1834:I1836"/>
    <mergeCell ref="J1834:J1836"/>
    <mergeCell ref="K1834:K1836"/>
    <mergeCell ref="L1834:L1836"/>
    <mergeCell ref="D1837:F1837"/>
    <mergeCell ref="G1837:L1837"/>
    <mergeCell ref="A1839:A1841"/>
    <mergeCell ref="B1839:C1848"/>
    <mergeCell ref="D1842:D1844"/>
    <mergeCell ref="E1842:E1844"/>
    <mergeCell ref="F1842:F1844"/>
    <mergeCell ref="G1842:G1844"/>
    <mergeCell ref="H1842:H1844"/>
    <mergeCell ref="I1842:I1844"/>
    <mergeCell ref="J1842:J1844"/>
    <mergeCell ref="K1842:K1844"/>
    <mergeCell ref="L1842:L1844"/>
    <mergeCell ref="D1845:D1847"/>
    <mergeCell ref="E1845:E1847"/>
    <mergeCell ref="F1845:F1847"/>
    <mergeCell ref="G1845:G1847"/>
    <mergeCell ref="H1845:H1847"/>
    <mergeCell ref="I1845:I1847"/>
    <mergeCell ref="J1845:J1847"/>
    <mergeCell ref="K1845:K1847"/>
    <mergeCell ref="L1845:L1847"/>
    <mergeCell ref="D1848:F1848"/>
    <mergeCell ref="G1848:L1848"/>
    <mergeCell ref="H1798:H1800"/>
    <mergeCell ref="I1798:I1800"/>
    <mergeCell ref="J1798:J1800"/>
    <mergeCell ref="K1798:K1800"/>
    <mergeCell ref="L1798:L1800"/>
    <mergeCell ref="D1801:D1803"/>
    <mergeCell ref="E1801:E1803"/>
    <mergeCell ref="F1801:F1803"/>
    <mergeCell ref="G1801:G1803"/>
    <mergeCell ref="H1801:H1803"/>
    <mergeCell ref="I1801:I1803"/>
    <mergeCell ref="J1801:J1803"/>
    <mergeCell ref="K1801:K1803"/>
    <mergeCell ref="L1801:L1803"/>
    <mergeCell ref="D1804:F1804"/>
    <mergeCell ref="G1804:L1804"/>
    <mergeCell ref="A1806:A1808"/>
    <mergeCell ref="B1806:C1815"/>
    <mergeCell ref="D1809:D1811"/>
    <mergeCell ref="E1809:E1811"/>
    <mergeCell ref="F1809:F1811"/>
    <mergeCell ref="G1809:G1811"/>
    <mergeCell ref="H1809:H1811"/>
    <mergeCell ref="I1809:I1811"/>
    <mergeCell ref="J1809:J1811"/>
    <mergeCell ref="K1809:K1811"/>
    <mergeCell ref="L1809:L1811"/>
    <mergeCell ref="D1812:D1814"/>
    <mergeCell ref="E1812:E1814"/>
    <mergeCell ref="F1812:F1814"/>
    <mergeCell ref="G1812:G1814"/>
    <mergeCell ref="H1812:H1814"/>
    <mergeCell ref="I1812:I1814"/>
    <mergeCell ref="J1812:J1814"/>
    <mergeCell ref="K1812:K1814"/>
    <mergeCell ref="L1812:L1814"/>
    <mergeCell ref="D1815:F1815"/>
    <mergeCell ref="G1815:L1815"/>
    <mergeCell ref="D1762:D1764"/>
    <mergeCell ref="E1762:E1764"/>
    <mergeCell ref="F1762:F1764"/>
    <mergeCell ref="G1762:G1764"/>
    <mergeCell ref="H1762:H1764"/>
    <mergeCell ref="I1762:I1764"/>
    <mergeCell ref="J1762:J1764"/>
    <mergeCell ref="K1762:K1764"/>
    <mergeCell ref="L1762:L1764"/>
    <mergeCell ref="D1765:D1767"/>
    <mergeCell ref="E1765:E1767"/>
    <mergeCell ref="F1765:F1767"/>
    <mergeCell ref="G1765:G1767"/>
    <mergeCell ref="H1765:H1767"/>
    <mergeCell ref="I1765:I1767"/>
    <mergeCell ref="J1765:J1767"/>
    <mergeCell ref="K1765:K1767"/>
    <mergeCell ref="L1765:L1767"/>
    <mergeCell ref="D1768:D1770"/>
    <mergeCell ref="E1768:E1770"/>
    <mergeCell ref="F1768:F1770"/>
    <mergeCell ref="G1768:G1770"/>
    <mergeCell ref="H1768:H1770"/>
    <mergeCell ref="I1768:I1770"/>
    <mergeCell ref="J1768:J1770"/>
    <mergeCell ref="K1768:K1770"/>
    <mergeCell ref="L1768:L1770"/>
    <mergeCell ref="D1771:F1771"/>
    <mergeCell ref="G1771:L1771"/>
    <mergeCell ref="A1773:A1775"/>
    <mergeCell ref="B1773:C1782"/>
    <mergeCell ref="D1776:D1778"/>
    <mergeCell ref="E1776:E1778"/>
    <mergeCell ref="F1776:F1778"/>
    <mergeCell ref="G1776:G1778"/>
    <mergeCell ref="H1776:H1778"/>
    <mergeCell ref="I1776:I1778"/>
    <mergeCell ref="J1776:J1778"/>
    <mergeCell ref="K1776:K1778"/>
    <mergeCell ref="L1776:L1778"/>
    <mergeCell ref="D1779:D1781"/>
    <mergeCell ref="E1779:E1781"/>
    <mergeCell ref="F1779:F1781"/>
    <mergeCell ref="G1779:G1781"/>
    <mergeCell ref="H1779:H1781"/>
    <mergeCell ref="I1779:I1781"/>
    <mergeCell ref="J1779:J1781"/>
    <mergeCell ref="K1779:K1781"/>
    <mergeCell ref="L1779:L1781"/>
    <mergeCell ref="D1782:F1782"/>
    <mergeCell ref="G1782:L1782"/>
    <mergeCell ref="A1762:A1764"/>
    <mergeCell ref="B1762:C1771"/>
    <mergeCell ref="D1740:D1742"/>
    <mergeCell ref="E1740:E1742"/>
    <mergeCell ref="F1740:F1742"/>
    <mergeCell ref="G1740:G1742"/>
    <mergeCell ref="H1740:H1742"/>
    <mergeCell ref="I1740:I1742"/>
    <mergeCell ref="J1740:J1742"/>
    <mergeCell ref="K1740:K1742"/>
    <mergeCell ref="L1740:L1742"/>
    <mergeCell ref="D1743:D1745"/>
    <mergeCell ref="E1743:E1745"/>
    <mergeCell ref="F1743:F1745"/>
    <mergeCell ref="G1743:G1745"/>
    <mergeCell ref="H1743:H1745"/>
    <mergeCell ref="I1743:I1745"/>
    <mergeCell ref="J1743:J1745"/>
    <mergeCell ref="K1743:K1745"/>
    <mergeCell ref="L1743:L1745"/>
    <mergeCell ref="D1746:D1748"/>
    <mergeCell ref="E1746:E1748"/>
    <mergeCell ref="F1746:F1748"/>
    <mergeCell ref="G1746:G1748"/>
    <mergeCell ref="H1746:H1748"/>
    <mergeCell ref="I1746:I1748"/>
    <mergeCell ref="J1746:J1748"/>
    <mergeCell ref="K1746:K1748"/>
    <mergeCell ref="L1746:L1748"/>
    <mergeCell ref="D1749:F1749"/>
    <mergeCell ref="G1749:L1749"/>
    <mergeCell ref="A1751:A1753"/>
    <mergeCell ref="B1751:C1760"/>
    <mergeCell ref="D1751:D1753"/>
    <mergeCell ref="E1751:E1753"/>
    <mergeCell ref="F1751:F1753"/>
    <mergeCell ref="G1751:G1753"/>
    <mergeCell ref="H1751:H1753"/>
    <mergeCell ref="I1751:I1753"/>
    <mergeCell ref="J1751:J1753"/>
    <mergeCell ref="K1751:K1753"/>
    <mergeCell ref="L1751:L1753"/>
    <mergeCell ref="D1754:D1756"/>
    <mergeCell ref="E1754:E1756"/>
    <mergeCell ref="F1754:F1756"/>
    <mergeCell ref="G1754:G1756"/>
    <mergeCell ref="H1754:H1756"/>
    <mergeCell ref="I1754:I1756"/>
    <mergeCell ref="J1754:J1756"/>
    <mergeCell ref="K1754:K1756"/>
    <mergeCell ref="L1754:L1756"/>
    <mergeCell ref="D1757:D1759"/>
    <mergeCell ref="E1757:E1759"/>
    <mergeCell ref="F1757:F1759"/>
    <mergeCell ref="G1757:G1759"/>
    <mergeCell ref="H1757:H1759"/>
    <mergeCell ref="I1757:I1759"/>
    <mergeCell ref="J1757:J1759"/>
    <mergeCell ref="K1757:K1759"/>
    <mergeCell ref="L1757:L1759"/>
    <mergeCell ref="D1760:F1760"/>
    <mergeCell ref="G1760:L1760"/>
    <mergeCell ref="A1740:A1742"/>
    <mergeCell ref="B1740:C1749"/>
    <mergeCell ref="D1718:D1720"/>
    <mergeCell ref="E1718:E1720"/>
    <mergeCell ref="F1718:F1720"/>
    <mergeCell ref="G1718:G1720"/>
    <mergeCell ref="H1718:H1720"/>
    <mergeCell ref="I1718:I1720"/>
    <mergeCell ref="J1718:J1720"/>
    <mergeCell ref="K1718:K1720"/>
    <mergeCell ref="L1718:L1720"/>
    <mergeCell ref="D1721:D1723"/>
    <mergeCell ref="E1721:E1723"/>
    <mergeCell ref="F1721:F1723"/>
    <mergeCell ref="G1721:G1723"/>
    <mergeCell ref="H1721:H1723"/>
    <mergeCell ref="I1721:I1723"/>
    <mergeCell ref="J1721:J1723"/>
    <mergeCell ref="K1721:K1723"/>
    <mergeCell ref="L1721:L1723"/>
    <mergeCell ref="D1724:D1726"/>
    <mergeCell ref="E1724:E1726"/>
    <mergeCell ref="F1724:F1726"/>
    <mergeCell ref="G1724:G1726"/>
    <mergeCell ref="H1724:H1726"/>
    <mergeCell ref="I1724:I1726"/>
    <mergeCell ref="J1724:J1726"/>
    <mergeCell ref="K1724:K1726"/>
    <mergeCell ref="L1724:L1726"/>
    <mergeCell ref="D1727:F1727"/>
    <mergeCell ref="G1727:L1727"/>
    <mergeCell ref="A1729:A1731"/>
    <mergeCell ref="B1729:C1738"/>
    <mergeCell ref="D1729:D1731"/>
    <mergeCell ref="E1729:E1731"/>
    <mergeCell ref="F1729:F1731"/>
    <mergeCell ref="G1729:G1731"/>
    <mergeCell ref="H1729:H1731"/>
    <mergeCell ref="I1729:I1731"/>
    <mergeCell ref="J1729:J1731"/>
    <mergeCell ref="K1729:K1731"/>
    <mergeCell ref="L1729:L1731"/>
    <mergeCell ref="D1732:D1734"/>
    <mergeCell ref="E1732:E1734"/>
    <mergeCell ref="F1732:F1734"/>
    <mergeCell ref="G1732:G1734"/>
    <mergeCell ref="H1732:H1734"/>
    <mergeCell ref="I1732:I1734"/>
    <mergeCell ref="J1732:J1734"/>
    <mergeCell ref="K1732:K1734"/>
    <mergeCell ref="L1732:L1734"/>
    <mergeCell ref="D1735:D1737"/>
    <mergeCell ref="E1735:E1737"/>
    <mergeCell ref="F1735:F1737"/>
    <mergeCell ref="G1735:G1737"/>
    <mergeCell ref="H1735:H1737"/>
    <mergeCell ref="I1735:I1737"/>
    <mergeCell ref="J1735:J1737"/>
    <mergeCell ref="K1735:K1737"/>
    <mergeCell ref="L1735:L1737"/>
    <mergeCell ref="D1738:F1738"/>
    <mergeCell ref="G1738:L1738"/>
    <mergeCell ref="A1718:A1720"/>
    <mergeCell ref="B1718:C1727"/>
    <mergeCell ref="A1696:A1698"/>
    <mergeCell ref="B1696:C1705"/>
    <mergeCell ref="D1696:D1698"/>
    <mergeCell ref="E1696:E1698"/>
    <mergeCell ref="F1696:F1698"/>
    <mergeCell ref="G1696:G1698"/>
    <mergeCell ref="H1696:H1698"/>
    <mergeCell ref="I1696:I1698"/>
    <mergeCell ref="J1696:J1698"/>
    <mergeCell ref="K1696:K1698"/>
    <mergeCell ref="L1696:L1698"/>
    <mergeCell ref="D1699:D1701"/>
    <mergeCell ref="E1699:E1701"/>
    <mergeCell ref="F1699:F1701"/>
    <mergeCell ref="G1699:G1701"/>
    <mergeCell ref="H1699:H1701"/>
    <mergeCell ref="I1699:I1701"/>
    <mergeCell ref="J1699:J1701"/>
    <mergeCell ref="K1699:K1701"/>
    <mergeCell ref="L1699:L1701"/>
    <mergeCell ref="D1702:D1704"/>
    <mergeCell ref="E1702:E1704"/>
    <mergeCell ref="F1702:F1704"/>
    <mergeCell ref="G1702:G1704"/>
    <mergeCell ref="H1702:H1704"/>
    <mergeCell ref="I1702:I1704"/>
    <mergeCell ref="J1702:J1704"/>
    <mergeCell ref="K1702:K1704"/>
    <mergeCell ref="L1702:L1704"/>
    <mergeCell ref="D1705:F1705"/>
    <mergeCell ref="G1705:L1705"/>
    <mergeCell ref="A1707:A1709"/>
    <mergeCell ref="B1707:C1716"/>
    <mergeCell ref="D1707:D1709"/>
    <mergeCell ref="E1707:E1709"/>
    <mergeCell ref="F1707:F1709"/>
    <mergeCell ref="G1707:G1709"/>
    <mergeCell ref="H1707:H1709"/>
    <mergeCell ref="I1707:I1709"/>
    <mergeCell ref="J1707:J1709"/>
    <mergeCell ref="K1707:K1709"/>
    <mergeCell ref="L1707:L1709"/>
    <mergeCell ref="D1710:D1712"/>
    <mergeCell ref="E1710:E1712"/>
    <mergeCell ref="F1710:F1712"/>
    <mergeCell ref="G1710:G1712"/>
    <mergeCell ref="H1710:H1712"/>
    <mergeCell ref="I1710:I1712"/>
    <mergeCell ref="J1710:J1712"/>
    <mergeCell ref="K1710:K1712"/>
    <mergeCell ref="L1710:L1712"/>
    <mergeCell ref="D1713:D1715"/>
    <mergeCell ref="E1713:E1715"/>
    <mergeCell ref="F1713:F1715"/>
    <mergeCell ref="G1713:G1715"/>
    <mergeCell ref="H1713:H1715"/>
    <mergeCell ref="I1713:I1715"/>
    <mergeCell ref="J1713:J1715"/>
    <mergeCell ref="K1713:K1715"/>
    <mergeCell ref="L1713:L1715"/>
    <mergeCell ref="D1716:F1716"/>
    <mergeCell ref="G1716:L1716"/>
    <mergeCell ref="D1677:D1679"/>
    <mergeCell ref="E1677:E1679"/>
    <mergeCell ref="F1677:F1679"/>
    <mergeCell ref="G1677:G1679"/>
    <mergeCell ref="H1677:H1679"/>
    <mergeCell ref="I1677:I1679"/>
    <mergeCell ref="J1677:J1679"/>
    <mergeCell ref="K1677:K1679"/>
    <mergeCell ref="L1677:L1679"/>
    <mergeCell ref="D1680:D1682"/>
    <mergeCell ref="E1680:E1682"/>
    <mergeCell ref="F1680:F1682"/>
    <mergeCell ref="G1680:G1682"/>
    <mergeCell ref="H1680:H1682"/>
    <mergeCell ref="I1680:I1682"/>
    <mergeCell ref="J1680:J1682"/>
    <mergeCell ref="K1680:K1682"/>
    <mergeCell ref="L1680:L1682"/>
    <mergeCell ref="D1683:F1683"/>
    <mergeCell ref="G1683:L1683"/>
    <mergeCell ref="A1685:A1687"/>
    <mergeCell ref="B1685:C1694"/>
    <mergeCell ref="D1685:D1687"/>
    <mergeCell ref="E1685:E1687"/>
    <mergeCell ref="F1685:F1687"/>
    <mergeCell ref="G1685:G1687"/>
    <mergeCell ref="H1685:H1687"/>
    <mergeCell ref="I1685:I1687"/>
    <mergeCell ref="J1685:J1687"/>
    <mergeCell ref="K1685:K1687"/>
    <mergeCell ref="L1685:L1687"/>
    <mergeCell ref="D1688:D1690"/>
    <mergeCell ref="E1688:E1690"/>
    <mergeCell ref="F1688:F1690"/>
    <mergeCell ref="G1688:G1690"/>
    <mergeCell ref="H1688:H1690"/>
    <mergeCell ref="I1688:I1690"/>
    <mergeCell ref="J1688:J1690"/>
    <mergeCell ref="K1688:K1690"/>
    <mergeCell ref="L1688:L1690"/>
    <mergeCell ref="D1691:D1693"/>
    <mergeCell ref="E1691:E1693"/>
    <mergeCell ref="F1691:F1693"/>
    <mergeCell ref="G1691:G1693"/>
    <mergeCell ref="H1691:H1693"/>
    <mergeCell ref="I1691:I1693"/>
    <mergeCell ref="J1691:J1693"/>
    <mergeCell ref="K1691:K1693"/>
    <mergeCell ref="L1691:L1693"/>
    <mergeCell ref="D1694:F1694"/>
    <mergeCell ref="G1694:L1694"/>
    <mergeCell ref="B1663:C1672"/>
    <mergeCell ref="D1663:D1665"/>
    <mergeCell ref="E1663:E1665"/>
    <mergeCell ref="F1663:F1665"/>
    <mergeCell ref="G1663:G1665"/>
    <mergeCell ref="H1663:H1665"/>
    <mergeCell ref="I1663:I1665"/>
    <mergeCell ref="J1663:J1665"/>
    <mergeCell ref="K1663:K1665"/>
    <mergeCell ref="L1663:L1665"/>
    <mergeCell ref="D1666:D1668"/>
    <mergeCell ref="E1666:E1668"/>
    <mergeCell ref="F1666:F1668"/>
    <mergeCell ref="G1666:G1668"/>
    <mergeCell ref="H1666:H1668"/>
    <mergeCell ref="I1666:I1668"/>
    <mergeCell ref="J1666:J1668"/>
    <mergeCell ref="K1666:K1668"/>
    <mergeCell ref="L1666:L1668"/>
    <mergeCell ref="D1669:D1671"/>
    <mergeCell ref="E1669:E1671"/>
    <mergeCell ref="F1669:F1671"/>
    <mergeCell ref="G1669:G1671"/>
    <mergeCell ref="H1669:H1671"/>
    <mergeCell ref="I1669:I1671"/>
    <mergeCell ref="J1669:J1671"/>
    <mergeCell ref="K1669:K1671"/>
    <mergeCell ref="L1669:L1671"/>
    <mergeCell ref="D1672:F1672"/>
    <mergeCell ref="G1672:L1672"/>
    <mergeCell ref="E1674:E1676"/>
    <mergeCell ref="F1674:F1676"/>
    <mergeCell ref="G1674:G1676"/>
    <mergeCell ref="H1674:H1676"/>
    <mergeCell ref="I1674:I1676"/>
    <mergeCell ref="J1674:J1676"/>
    <mergeCell ref="K1674:K1676"/>
    <mergeCell ref="L1674:L1676"/>
    <mergeCell ref="D1619:D1621"/>
    <mergeCell ref="E1619:E1621"/>
    <mergeCell ref="F1619:F1621"/>
    <mergeCell ref="G1619:G1621"/>
    <mergeCell ref="H1619:H1621"/>
    <mergeCell ref="I1619:I1621"/>
    <mergeCell ref="J1619:J1621"/>
    <mergeCell ref="K1619:K1621"/>
    <mergeCell ref="L1619:L1621"/>
    <mergeCell ref="D1628:F1628"/>
    <mergeCell ref="G1628:L1628"/>
    <mergeCell ref="A1630:A1632"/>
    <mergeCell ref="B1630:C1639"/>
    <mergeCell ref="D1630:D1632"/>
    <mergeCell ref="E1630:E1632"/>
    <mergeCell ref="F1630:F1632"/>
    <mergeCell ref="G1630:G1632"/>
    <mergeCell ref="H1630:H1632"/>
    <mergeCell ref="I1630:I1632"/>
    <mergeCell ref="J1630:J1632"/>
    <mergeCell ref="K1630:K1632"/>
    <mergeCell ref="L1630:L1632"/>
    <mergeCell ref="D1639:F1639"/>
    <mergeCell ref="G1639:L1639"/>
    <mergeCell ref="A1641:A1643"/>
    <mergeCell ref="B1641:C1650"/>
    <mergeCell ref="D1641:D1643"/>
    <mergeCell ref="E1641:E1643"/>
    <mergeCell ref="F1641:F1643"/>
    <mergeCell ref="G1641:G1643"/>
    <mergeCell ref="H1641:H1643"/>
    <mergeCell ref="I1641:I1643"/>
    <mergeCell ref="J1641:J1643"/>
    <mergeCell ref="K1641:K1643"/>
    <mergeCell ref="L1641:L1643"/>
    <mergeCell ref="D1650:F1650"/>
    <mergeCell ref="G1650:L1650"/>
    <mergeCell ref="D1622:D1624"/>
    <mergeCell ref="E1622:E1624"/>
    <mergeCell ref="F1622:F1624"/>
    <mergeCell ref="G1622:G1624"/>
    <mergeCell ref="H1622:H1624"/>
    <mergeCell ref="I1622:I1624"/>
    <mergeCell ref="J1622:J1624"/>
    <mergeCell ref="K1622:K1624"/>
    <mergeCell ref="L1622:L1624"/>
    <mergeCell ref="D1625:D1627"/>
    <mergeCell ref="E1625:E1627"/>
    <mergeCell ref="F1625:F1627"/>
    <mergeCell ref="G1625:G1627"/>
    <mergeCell ref="H1625:H1627"/>
    <mergeCell ref="I1625:I1627"/>
    <mergeCell ref="J1625:J1627"/>
    <mergeCell ref="K1625:K1627"/>
    <mergeCell ref="L1625:L1627"/>
    <mergeCell ref="A1619:A1621"/>
    <mergeCell ref="B1619:C1628"/>
    <mergeCell ref="D1644:D1646"/>
    <mergeCell ref="E1644:E1646"/>
    <mergeCell ref="F1644:F1646"/>
    <mergeCell ref="G1644:G1646"/>
    <mergeCell ref="H1644:H1646"/>
    <mergeCell ref="I1644:I1646"/>
    <mergeCell ref="J1644:J1646"/>
    <mergeCell ref="J1586:J1588"/>
    <mergeCell ref="K1586:K1588"/>
    <mergeCell ref="L1586:L1588"/>
    <mergeCell ref="D1595:F1595"/>
    <mergeCell ref="G1595:L1595"/>
    <mergeCell ref="A1597:A1599"/>
    <mergeCell ref="B1597:C1606"/>
    <mergeCell ref="D1597:D1599"/>
    <mergeCell ref="E1597:E1599"/>
    <mergeCell ref="F1597:F1599"/>
    <mergeCell ref="G1597:G1599"/>
    <mergeCell ref="H1597:H1599"/>
    <mergeCell ref="I1597:I1599"/>
    <mergeCell ref="J1597:J1599"/>
    <mergeCell ref="K1597:K1599"/>
    <mergeCell ref="L1597:L1599"/>
    <mergeCell ref="D1606:F1606"/>
    <mergeCell ref="G1606:L1606"/>
    <mergeCell ref="A1608:A1610"/>
    <mergeCell ref="B1608:C1617"/>
    <mergeCell ref="D1608:D1610"/>
    <mergeCell ref="E1608:E1610"/>
    <mergeCell ref="F1608:F1610"/>
    <mergeCell ref="G1608:G1610"/>
    <mergeCell ref="H1608:H1610"/>
    <mergeCell ref="I1608:I1610"/>
    <mergeCell ref="J1608:J1610"/>
    <mergeCell ref="K1608:K1610"/>
    <mergeCell ref="L1608:L1610"/>
    <mergeCell ref="D1617:F1617"/>
    <mergeCell ref="G1617:L1617"/>
    <mergeCell ref="D1603:D1605"/>
    <mergeCell ref="E1603:E1605"/>
    <mergeCell ref="F1603:F1605"/>
    <mergeCell ref="G1603:G1605"/>
    <mergeCell ref="H1603:H1605"/>
    <mergeCell ref="I1603:I1605"/>
    <mergeCell ref="J1603:J1605"/>
    <mergeCell ref="K1603:K1605"/>
    <mergeCell ref="L1603:L1605"/>
    <mergeCell ref="D1611:D1613"/>
    <mergeCell ref="E1611:E1613"/>
    <mergeCell ref="F1611:F1613"/>
    <mergeCell ref="G1611:G1613"/>
    <mergeCell ref="H1611:H1613"/>
    <mergeCell ref="I1611:I1613"/>
    <mergeCell ref="J1611:J1613"/>
    <mergeCell ref="K1611:K1613"/>
    <mergeCell ref="L1611:L1613"/>
    <mergeCell ref="D1614:D1616"/>
    <mergeCell ref="E1614:E1616"/>
    <mergeCell ref="F1614:F1616"/>
    <mergeCell ref="G1614:G1616"/>
    <mergeCell ref="H1614:H1616"/>
    <mergeCell ref="I1614:I1616"/>
    <mergeCell ref="J1614:J1616"/>
    <mergeCell ref="K1614:K1616"/>
    <mergeCell ref="L1614:L1616"/>
    <mergeCell ref="B1553:C1562"/>
    <mergeCell ref="D1553:D1555"/>
    <mergeCell ref="E1553:E1555"/>
    <mergeCell ref="F1553:F1555"/>
    <mergeCell ref="G1553:G1555"/>
    <mergeCell ref="H1553:H1555"/>
    <mergeCell ref="I1553:I1555"/>
    <mergeCell ref="J1553:J1555"/>
    <mergeCell ref="K1553:K1555"/>
    <mergeCell ref="L1553:L1555"/>
    <mergeCell ref="D1562:F1562"/>
    <mergeCell ref="G1562:L1562"/>
    <mergeCell ref="A1564:A1566"/>
    <mergeCell ref="B1564:C1573"/>
    <mergeCell ref="D1564:D1566"/>
    <mergeCell ref="E1564:E1566"/>
    <mergeCell ref="F1564:F1566"/>
    <mergeCell ref="G1564:G1566"/>
    <mergeCell ref="H1564:H1566"/>
    <mergeCell ref="I1564:I1566"/>
    <mergeCell ref="J1564:J1566"/>
    <mergeCell ref="K1564:K1566"/>
    <mergeCell ref="L1564:L1566"/>
    <mergeCell ref="D1573:F1573"/>
    <mergeCell ref="G1573:L1573"/>
    <mergeCell ref="A1575:A1577"/>
    <mergeCell ref="B1575:C1584"/>
    <mergeCell ref="D1575:D1577"/>
    <mergeCell ref="E1575:E1577"/>
    <mergeCell ref="F1575:F1577"/>
    <mergeCell ref="G1575:G1577"/>
    <mergeCell ref="H1575:H1577"/>
    <mergeCell ref="I1575:I1577"/>
    <mergeCell ref="J1575:J1577"/>
    <mergeCell ref="K1575:K1577"/>
    <mergeCell ref="L1575:L1577"/>
    <mergeCell ref="D1584:F1584"/>
    <mergeCell ref="G1584:L1584"/>
    <mergeCell ref="D1556:D1558"/>
    <mergeCell ref="E1556:E1558"/>
    <mergeCell ref="F1556:F1558"/>
    <mergeCell ref="G1556:G1558"/>
    <mergeCell ref="H1556:H1558"/>
    <mergeCell ref="I1556:I1558"/>
    <mergeCell ref="J1556:J1558"/>
    <mergeCell ref="K1556:K1558"/>
    <mergeCell ref="L1556:L1558"/>
    <mergeCell ref="D1559:D1561"/>
    <mergeCell ref="E1559:E1561"/>
    <mergeCell ref="F1559:F1561"/>
    <mergeCell ref="G1559:G1561"/>
    <mergeCell ref="H1559:H1561"/>
    <mergeCell ref="I1559:I1561"/>
    <mergeCell ref="J1559:J1561"/>
    <mergeCell ref="K1559:K1561"/>
    <mergeCell ref="L1559:L1561"/>
    <mergeCell ref="A1553:A1555"/>
    <mergeCell ref="D1578:D1580"/>
    <mergeCell ref="E1578:E1580"/>
    <mergeCell ref="F1578:F1580"/>
    <mergeCell ref="G1578:G1580"/>
    <mergeCell ref="H1578:H1580"/>
    <mergeCell ref="I1578:I1580"/>
    <mergeCell ref="J1578:J1580"/>
    <mergeCell ref="D1531:D1533"/>
    <mergeCell ref="E1531:E1533"/>
    <mergeCell ref="F1531:F1533"/>
    <mergeCell ref="G1531:G1533"/>
    <mergeCell ref="H1531:H1533"/>
    <mergeCell ref="I1531:I1533"/>
    <mergeCell ref="J1531:J1533"/>
    <mergeCell ref="K1531:K1533"/>
    <mergeCell ref="L1531:L1533"/>
    <mergeCell ref="D1534:D1536"/>
    <mergeCell ref="E1534:E1536"/>
    <mergeCell ref="F1534:F1536"/>
    <mergeCell ref="G1534:G1536"/>
    <mergeCell ref="H1534:H1536"/>
    <mergeCell ref="I1534:I1536"/>
    <mergeCell ref="J1534:J1536"/>
    <mergeCell ref="K1534:K1536"/>
    <mergeCell ref="L1534:L1536"/>
    <mergeCell ref="D1537:D1539"/>
    <mergeCell ref="E1537:E1539"/>
    <mergeCell ref="F1537:F1539"/>
    <mergeCell ref="G1537:G1539"/>
    <mergeCell ref="H1537:H1539"/>
    <mergeCell ref="I1537:I1539"/>
    <mergeCell ref="J1537:J1539"/>
    <mergeCell ref="K1537:K1539"/>
    <mergeCell ref="L1537:L1539"/>
    <mergeCell ref="D1540:F1540"/>
    <mergeCell ref="G1540:L1540"/>
    <mergeCell ref="A1542:A1544"/>
    <mergeCell ref="B1542:C1551"/>
    <mergeCell ref="D1542:D1544"/>
    <mergeCell ref="E1542:E1544"/>
    <mergeCell ref="F1542:F1544"/>
    <mergeCell ref="G1542:G1544"/>
    <mergeCell ref="H1542:H1544"/>
    <mergeCell ref="I1542:I1544"/>
    <mergeCell ref="J1542:J1544"/>
    <mergeCell ref="K1542:K1544"/>
    <mergeCell ref="L1542:L1544"/>
    <mergeCell ref="D1551:F1551"/>
    <mergeCell ref="G1551:L1551"/>
    <mergeCell ref="A1531:A1533"/>
    <mergeCell ref="B1531:C1540"/>
    <mergeCell ref="D1545:D1547"/>
    <mergeCell ref="E1545:E1547"/>
    <mergeCell ref="F1545:F1547"/>
    <mergeCell ref="G1545:G1547"/>
    <mergeCell ref="H1545:H1547"/>
    <mergeCell ref="I1545:I1547"/>
    <mergeCell ref="J1545:J1547"/>
    <mergeCell ref="K1545:K1547"/>
    <mergeCell ref="L1545:L1547"/>
    <mergeCell ref="D1548:D1550"/>
    <mergeCell ref="E1548:E1550"/>
    <mergeCell ref="F1548:F1550"/>
    <mergeCell ref="G1548:G1550"/>
    <mergeCell ref="H1548:H1550"/>
    <mergeCell ref="I1548:I1550"/>
    <mergeCell ref="J1548:J1550"/>
    <mergeCell ref="K1548:K1550"/>
    <mergeCell ref="L1548:L1550"/>
    <mergeCell ref="D1509:D1511"/>
    <mergeCell ref="E1509:E1511"/>
    <mergeCell ref="F1509:F1511"/>
    <mergeCell ref="G1509:G1511"/>
    <mergeCell ref="H1509:H1511"/>
    <mergeCell ref="I1509:I1511"/>
    <mergeCell ref="J1509:J1511"/>
    <mergeCell ref="K1509:K1511"/>
    <mergeCell ref="L1509:L1511"/>
    <mergeCell ref="D1512:D1514"/>
    <mergeCell ref="E1512:E1514"/>
    <mergeCell ref="F1512:F1514"/>
    <mergeCell ref="G1512:G1514"/>
    <mergeCell ref="H1512:H1514"/>
    <mergeCell ref="I1512:I1514"/>
    <mergeCell ref="J1512:J1514"/>
    <mergeCell ref="K1512:K1514"/>
    <mergeCell ref="L1512:L1514"/>
    <mergeCell ref="D1515:D1517"/>
    <mergeCell ref="E1515:E1517"/>
    <mergeCell ref="F1515:F1517"/>
    <mergeCell ref="G1515:G1517"/>
    <mergeCell ref="H1515:H1517"/>
    <mergeCell ref="I1515:I1517"/>
    <mergeCell ref="J1515:J1517"/>
    <mergeCell ref="K1515:K1517"/>
    <mergeCell ref="L1515:L1517"/>
    <mergeCell ref="D1518:F1518"/>
    <mergeCell ref="G1518:L1518"/>
    <mergeCell ref="A1520:A1522"/>
    <mergeCell ref="B1520:C1529"/>
    <mergeCell ref="D1520:D1522"/>
    <mergeCell ref="E1520:E1522"/>
    <mergeCell ref="F1520:F1522"/>
    <mergeCell ref="G1520:G1522"/>
    <mergeCell ref="H1520:H1522"/>
    <mergeCell ref="I1520:I1522"/>
    <mergeCell ref="J1520:J1522"/>
    <mergeCell ref="K1520:K1522"/>
    <mergeCell ref="L1520:L1522"/>
    <mergeCell ref="D1523:D1525"/>
    <mergeCell ref="E1523:E1525"/>
    <mergeCell ref="F1523:F1525"/>
    <mergeCell ref="G1523:G1525"/>
    <mergeCell ref="H1523:H1525"/>
    <mergeCell ref="I1523:I1525"/>
    <mergeCell ref="J1523:J1525"/>
    <mergeCell ref="K1523:K1525"/>
    <mergeCell ref="L1523:L1525"/>
    <mergeCell ref="D1526:D1528"/>
    <mergeCell ref="E1526:E1528"/>
    <mergeCell ref="F1526:F1528"/>
    <mergeCell ref="G1526:G1528"/>
    <mergeCell ref="H1526:H1528"/>
    <mergeCell ref="I1526:I1528"/>
    <mergeCell ref="J1526:J1528"/>
    <mergeCell ref="K1526:K1528"/>
    <mergeCell ref="L1526:L1528"/>
    <mergeCell ref="D1529:F1529"/>
    <mergeCell ref="G1529:L1529"/>
    <mergeCell ref="A1509:A1511"/>
    <mergeCell ref="B1509:C1518"/>
    <mergeCell ref="D1487:D1489"/>
    <mergeCell ref="E1487:E1489"/>
    <mergeCell ref="F1487:F1489"/>
    <mergeCell ref="G1487:G1489"/>
    <mergeCell ref="H1487:H1489"/>
    <mergeCell ref="I1487:I1489"/>
    <mergeCell ref="J1487:J1489"/>
    <mergeCell ref="K1487:K1489"/>
    <mergeCell ref="L1487:L1489"/>
    <mergeCell ref="D1490:D1492"/>
    <mergeCell ref="E1490:E1492"/>
    <mergeCell ref="F1490:F1492"/>
    <mergeCell ref="G1490:G1492"/>
    <mergeCell ref="H1490:H1492"/>
    <mergeCell ref="I1490:I1492"/>
    <mergeCell ref="J1490:J1492"/>
    <mergeCell ref="K1490:K1492"/>
    <mergeCell ref="L1490:L1492"/>
    <mergeCell ref="D1493:D1495"/>
    <mergeCell ref="E1493:E1495"/>
    <mergeCell ref="F1493:F1495"/>
    <mergeCell ref="G1493:G1495"/>
    <mergeCell ref="H1493:H1495"/>
    <mergeCell ref="I1493:I1495"/>
    <mergeCell ref="J1493:J1495"/>
    <mergeCell ref="K1493:K1495"/>
    <mergeCell ref="L1493:L1495"/>
    <mergeCell ref="D1496:F1496"/>
    <mergeCell ref="G1496:L1496"/>
    <mergeCell ref="A1498:A1500"/>
    <mergeCell ref="B1498:C1507"/>
    <mergeCell ref="D1498:D1500"/>
    <mergeCell ref="E1498:E1500"/>
    <mergeCell ref="F1498:F1500"/>
    <mergeCell ref="G1498:G1500"/>
    <mergeCell ref="H1498:H1500"/>
    <mergeCell ref="I1498:I1500"/>
    <mergeCell ref="J1498:J1500"/>
    <mergeCell ref="K1498:K1500"/>
    <mergeCell ref="L1498:L1500"/>
    <mergeCell ref="D1501:D1503"/>
    <mergeCell ref="E1501:E1503"/>
    <mergeCell ref="F1501:F1503"/>
    <mergeCell ref="G1501:G1503"/>
    <mergeCell ref="H1501:H1503"/>
    <mergeCell ref="I1501:I1503"/>
    <mergeCell ref="J1501:J1503"/>
    <mergeCell ref="K1501:K1503"/>
    <mergeCell ref="L1501:L1503"/>
    <mergeCell ref="D1504:D1506"/>
    <mergeCell ref="E1504:E1506"/>
    <mergeCell ref="F1504:F1506"/>
    <mergeCell ref="G1504:G1506"/>
    <mergeCell ref="H1504:H1506"/>
    <mergeCell ref="I1504:I1506"/>
    <mergeCell ref="J1504:J1506"/>
    <mergeCell ref="K1504:K1506"/>
    <mergeCell ref="L1504:L1506"/>
    <mergeCell ref="D1507:F1507"/>
    <mergeCell ref="G1507:L1507"/>
    <mergeCell ref="A1487:A1489"/>
    <mergeCell ref="B1487:C1496"/>
    <mergeCell ref="D1465:D1467"/>
    <mergeCell ref="E1465:E1467"/>
    <mergeCell ref="F1465:F1467"/>
    <mergeCell ref="G1465:G1467"/>
    <mergeCell ref="H1465:H1467"/>
    <mergeCell ref="I1465:I1467"/>
    <mergeCell ref="J1465:J1467"/>
    <mergeCell ref="K1465:K1467"/>
    <mergeCell ref="L1465:L1467"/>
    <mergeCell ref="D1468:D1470"/>
    <mergeCell ref="E1468:E1470"/>
    <mergeCell ref="F1468:F1470"/>
    <mergeCell ref="G1468:G1470"/>
    <mergeCell ref="H1468:H1470"/>
    <mergeCell ref="I1468:I1470"/>
    <mergeCell ref="J1468:J1470"/>
    <mergeCell ref="K1468:K1470"/>
    <mergeCell ref="L1468:L1470"/>
    <mergeCell ref="D1471:D1473"/>
    <mergeCell ref="E1471:E1473"/>
    <mergeCell ref="F1471:F1473"/>
    <mergeCell ref="G1471:G1473"/>
    <mergeCell ref="H1471:H1473"/>
    <mergeCell ref="I1471:I1473"/>
    <mergeCell ref="J1471:J1473"/>
    <mergeCell ref="K1471:K1473"/>
    <mergeCell ref="L1471:L1473"/>
    <mergeCell ref="D1474:F1474"/>
    <mergeCell ref="G1474:L1474"/>
    <mergeCell ref="A1476:A1478"/>
    <mergeCell ref="B1476:C1485"/>
    <mergeCell ref="D1476:D1478"/>
    <mergeCell ref="E1476:E1478"/>
    <mergeCell ref="F1476:F1478"/>
    <mergeCell ref="G1476:G1478"/>
    <mergeCell ref="H1476:H1478"/>
    <mergeCell ref="I1476:I1478"/>
    <mergeCell ref="J1476:J1478"/>
    <mergeCell ref="K1476:K1478"/>
    <mergeCell ref="L1476:L1478"/>
    <mergeCell ref="D1479:D1481"/>
    <mergeCell ref="E1479:E1481"/>
    <mergeCell ref="F1479:F1481"/>
    <mergeCell ref="G1479:G1481"/>
    <mergeCell ref="H1479:H1481"/>
    <mergeCell ref="I1479:I1481"/>
    <mergeCell ref="J1479:J1481"/>
    <mergeCell ref="K1479:K1481"/>
    <mergeCell ref="L1479:L1481"/>
    <mergeCell ref="D1482:D1484"/>
    <mergeCell ref="E1482:E1484"/>
    <mergeCell ref="F1482:F1484"/>
    <mergeCell ref="G1482:G1484"/>
    <mergeCell ref="H1482:H1484"/>
    <mergeCell ref="I1482:I1484"/>
    <mergeCell ref="J1482:J1484"/>
    <mergeCell ref="K1482:K1484"/>
    <mergeCell ref="L1482:L1484"/>
    <mergeCell ref="D1485:F1485"/>
    <mergeCell ref="G1485:L1485"/>
    <mergeCell ref="A1465:A1467"/>
    <mergeCell ref="B1465:C1474"/>
    <mergeCell ref="B1443:C1452"/>
    <mergeCell ref="D1443:D1445"/>
    <mergeCell ref="E1443:E1445"/>
    <mergeCell ref="F1443:F1445"/>
    <mergeCell ref="G1443:G1445"/>
    <mergeCell ref="H1443:H1445"/>
    <mergeCell ref="I1443:I1445"/>
    <mergeCell ref="J1443:J1445"/>
    <mergeCell ref="K1443:K1445"/>
    <mergeCell ref="L1443:L1445"/>
    <mergeCell ref="D1446:D1448"/>
    <mergeCell ref="E1446:E1448"/>
    <mergeCell ref="F1446:F1448"/>
    <mergeCell ref="G1446:G1448"/>
    <mergeCell ref="H1446:H1448"/>
    <mergeCell ref="I1446:I1448"/>
    <mergeCell ref="J1446:J1448"/>
    <mergeCell ref="K1446:K1448"/>
    <mergeCell ref="L1446:L1448"/>
    <mergeCell ref="D1449:D1451"/>
    <mergeCell ref="E1449:E1451"/>
    <mergeCell ref="F1449:F1451"/>
    <mergeCell ref="G1449:G1451"/>
    <mergeCell ref="H1449:H1451"/>
    <mergeCell ref="I1449:I1451"/>
    <mergeCell ref="J1449:J1451"/>
    <mergeCell ref="K1449:K1451"/>
    <mergeCell ref="L1449:L1451"/>
    <mergeCell ref="D1452:F1452"/>
    <mergeCell ref="G1452:L1452"/>
    <mergeCell ref="A1454:A1456"/>
    <mergeCell ref="B1454:C1463"/>
    <mergeCell ref="D1454:D1456"/>
    <mergeCell ref="E1454:E1456"/>
    <mergeCell ref="F1454:F1456"/>
    <mergeCell ref="G1454:G1456"/>
    <mergeCell ref="H1454:H1456"/>
    <mergeCell ref="I1454:I1456"/>
    <mergeCell ref="J1454:J1456"/>
    <mergeCell ref="K1454:K1456"/>
    <mergeCell ref="L1454:L1456"/>
    <mergeCell ref="D1457:D1459"/>
    <mergeCell ref="E1457:E1459"/>
    <mergeCell ref="F1457:F1459"/>
    <mergeCell ref="G1457:G1459"/>
    <mergeCell ref="H1457:H1459"/>
    <mergeCell ref="I1457:I1459"/>
    <mergeCell ref="J1457:J1459"/>
    <mergeCell ref="K1457:K1459"/>
    <mergeCell ref="L1457:L1459"/>
    <mergeCell ref="D1460:D1462"/>
    <mergeCell ref="E1460:E1462"/>
    <mergeCell ref="F1460:F1462"/>
    <mergeCell ref="G1460:G1462"/>
    <mergeCell ref="H1460:H1462"/>
    <mergeCell ref="I1460:I1462"/>
    <mergeCell ref="J1460:J1462"/>
    <mergeCell ref="K1460:K1462"/>
    <mergeCell ref="L1460:L1462"/>
    <mergeCell ref="D1463:F1463"/>
    <mergeCell ref="G1463:L1463"/>
    <mergeCell ref="A1443:A1445"/>
    <mergeCell ref="D1421:D1423"/>
    <mergeCell ref="E1421:E1423"/>
    <mergeCell ref="F1421:F1423"/>
    <mergeCell ref="G1421:G1423"/>
    <mergeCell ref="H1421:H1423"/>
    <mergeCell ref="I1421:I1423"/>
    <mergeCell ref="J1421:J1423"/>
    <mergeCell ref="K1421:K1423"/>
    <mergeCell ref="L1421:L1423"/>
    <mergeCell ref="D1424:D1426"/>
    <mergeCell ref="E1424:E1426"/>
    <mergeCell ref="F1424:F1426"/>
    <mergeCell ref="G1424:G1426"/>
    <mergeCell ref="H1424:H1426"/>
    <mergeCell ref="I1424:I1426"/>
    <mergeCell ref="J1424:J1426"/>
    <mergeCell ref="K1424:K1426"/>
    <mergeCell ref="L1424:L1426"/>
    <mergeCell ref="D1427:D1429"/>
    <mergeCell ref="E1427:E1429"/>
    <mergeCell ref="F1427:F1429"/>
    <mergeCell ref="G1427:G1429"/>
    <mergeCell ref="H1427:H1429"/>
    <mergeCell ref="I1427:I1429"/>
    <mergeCell ref="J1427:J1429"/>
    <mergeCell ref="K1427:K1429"/>
    <mergeCell ref="L1427:L1429"/>
    <mergeCell ref="D1430:F1430"/>
    <mergeCell ref="G1430:L1430"/>
    <mergeCell ref="A1432:A1434"/>
    <mergeCell ref="B1432:C1441"/>
    <mergeCell ref="D1432:D1434"/>
    <mergeCell ref="E1432:E1434"/>
    <mergeCell ref="F1432:F1434"/>
    <mergeCell ref="G1432:G1434"/>
    <mergeCell ref="H1432:H1434"/>
    <mergeCell ref="I1432:I1434"/>
    <mergeCell ref="J1432:J1434"/>
    <mergeCell ref="K1432:K1434"/>
    <mergeCell ref="L1432:L1434"/>
    <mergeCell ref="D1435:D1437"/>
    <mergeCell ref="E1435:E1437"/>
    <mergeCell ref="F1435:F1437"/>
    <mergeCell ref="G1435:G1437"/>
    <mergeCell ref="H1435:H1437"/>
    <mergeCell ref="I1435:I1437"/>
    <mergeCell ref="J1435:J1437"/>
    <mergeCell ref="K1435:K1437"/>
    <mergeCell ref="L1435:L1437"/>
    <mergeCell ref="D1438:D1440"/>
    <mergeCell ref="E1438:E1440"/>
    <mergeCell ref="F1438:F1440"/>
    <mergeCell ref="G1438:G1440"/>
    <mergeCell ref="H1438:H1440"/>
    <mergeCell ref="I1438:I1440"/>
    <mergeCell ref="J1438:J1440"/>
    <mergeCell ref="K1438:K1440"/>
    <mergeCell ref="L1438:L1440"/>
    <mergeCell ref="D1441:F1441"/>
    <mergeCell ref="G1441:L1441"/>
    <mergeCell ref="A1421:A1423"/>
    <mergeCell ref="B1421:C1430"/>
    <mergeCell ref="D1399:D1401"/>
    <mergeCell ref="E1399:E1401"/>
    <mergeCell ref="F1399:F1401"/>
    <mergeCell ref="G1399:G1401"/>
    <mergeCell ref="H1399:H1401"/>
    <mergeCell ref="I1399:I1401"/>
    <mergeCell ref="J1399:J1401"/>
    <mergeCell ref="K1399:K1401"/>
    <mergeCell ref="L1399:L1401"/>
    <mergeCell ref="D1402:D1404"/>
    <mergeCell ref="E1402:E1404"/>
    <mergeCell ref="F1402:F1404"/>
    <mergeCell ref="G1402:G1404"/>
    <mergeCell ref="H1402:H1404"/>
    <mergeCell ref="I1402:I1404"/>
    <mergeCell ref="J1402:J1404"/>
    <mergeCell ref="K1402:K1404"/>
    <mergeCell ref="L1402:L1404"/>
    <mergeCell ref="D1405:D1407"/>
    <mergeCell ref="E1405:E1407"/>
    <mergeCell ref="F1405:F1407"/>
    <mergeCell ref="G1405:G1407"/>
    <mergeCell ref="H1405:H1407"/>
    <mergeCell ref="I1405:I1407"/>
    <mergeCell ref="J1405:J1407"/>
    <mergeCell ref="K1405:K1407"/>
    <mergeCell ref="L1405:L1407"/>
    <mergeCell ref="D1408:F1408"/>
    <mergeCell ref="G1408:L1408"/>
    <mergeCell ref="A1410:A1412"/>
    <mergeCell ref="B1410:C1419"/>
    <mergeCell ref="D1410:D1412"/>
    <mergeCell ref="E1410:E1412"/>
    <mergeCell ref="F1410:F1412"/>
    <mergeCell ref="G1410:G1412"/>
    <mergeCell ref="H1410:H1412"/>
    <mergeCell ref="I1410:I1412"/>
    <mergeCell ref="J1410:J1412"/>
    <mergeCell ref="K1410:K1412"/>
    <mergeCell ref="L1410:L1412"/>
    <mergeCell ref="D1413:D1415"/>
    <mergeCell ref="E1413:E1415"/>
    <mergeCell ref="F1413:F1415"/>
    <mergeCell ref="G1413:G1415"/>
    <mergeCell ref="H1413:H1415"/>
    <mergeCell ref="I1413:I1415"/>
    <mergeCell ref="J1413:J1415"/>
    <mergeCell ref="K1413:K1415"/>
    <mergeCell ref="L1413:L1415"/>
    <mergeCell ref="D1416:D1418"/>
    <mergeCell ref="E1416:E1418"/>
    <mergeCell ref="F1416:F1418"/>
    <mergeCell ref="G1416:G1418"/>
    <mergeCell ref="H1416:H1418"/>
    <mergeCell ref="I1416:I1418"/>
    <mergeCell ref="J1416:J1418"/>
    <mergeCell ref="K1416:K1418"/>
    <mergeCell ref="L1416:L1418"/>
    <mergeCell ref="D1419:F1419"/>
    <mergeCell ref="G1419:L1419"/>
    <mergeCell ref="A1399:A1401"/>
    <mergeCell ref="B1399:C1408"/>
    <mergeCell ref="D1377:D1379"/>
    <mergeCell ref="E1377:E1379"/>
    <mergeCell ref="F1377:F1379"/>
    <mergeCell ref="G1377:G1379"/>
    <mergeCell ref="H1377:H1379"/>
    <mergeCell ref="I1377:I1379"/>
    <mergeCell ref="J1377:J1379"/>
    <mergeCell ref="K1377:K1379"/>
    <mergeCell ref="L1377:L1379"/>
    <mergeCell ref="D1380:D1382"/>
    <mergeCell ref="E1380:E1382"/>
    <mergeCell ref="F1380:F1382"/>
    <mergeCell ref="G1380:G1382"/>
    <mergeCell ref="H1380:H1382"/>
    <mergeCell ref="I1380:I1382"/>
    <mergeCell ref="J1380:J1382"/>
    <mergeCell ref="K1380:K1382"/>
    <mergeCell ref="L1380:L1382"/>
    <mergeCell ref="D1383:D1385"/>
    <mergeCell ref="E1383:E1385"/>
    <mergeCell ref="F1383:F1385"/>
    <mergeCell ref="G1383:G1385"/>
    <mergeCell ref="H1383:H1385"/>
    <mergeCell ref="I1383:I1385"/>
    <mergeCell ref="J1383:J1385"/>
    <mergeCell ref="K1383:K1385"/>
    <mergeCell ref="L1383:L1385"/>
    <mergeCell ref="D1386:F1386"/>
    <mergeCell ref="G1386:L1386"/>
    <mergeCell ref="A1388:A1390"/>
    <mergeCell ref="B1388:C1397"/>
    <mergeCell ref="D1388:D1390"/>
    <mergeCell ref="E1388:E1390"/>
    <mergeCell ref="F1388:F1390"/>
    <mergeCell ref="G1388:G1390"/>
    <mergeCell ref="H1388:H1390"/>
    <mergeCell ref="I1388:I1390"/>
    <mergeCell ref="J1388:J1390"/>
    <mergeCell ref="K1388:K1390"/>
    <mergeCell ref="L1388:L1390"/>
    <mergeCell ref="D1391:D1393"/>
    <mergeCell ref="E1391:E1393"/>
    <mergeCell ref="F1391:F1393"/>
    <mergeCell ref="G1391:G1393"/>
    <mergeCell ref="H1391:H1393"/>
    <mergeCell ref="I1391:I1393"/>
    <mergeCell ref="J1391:J1393"/>
    <mergeCell ref="K1391:K1393"/>
    <mergeCell ref="L1391:L1393"/>
    <mergeCell ref="D1394:D1396"/>
    <mergeCell ref="E1394:E1396"/>
    <mergeCell ref="F1394:F1396"/>
    <mergeCell ref="G1394:G1396"/>
    <mergeCell ref="H1394:H1396"/>
    <mergeCell ref="I1394:I1396"/>
    <mergeCell ref="J1394:J1396"/>
    <mergeCell ref="K1394:K1396"/>
    <mergeCell ref="L1394:L1396"/>
    <mergeCell ref="D1397:F1397"/>
    <mergeCell ref="G1397:L1397"/>
    <mergeCell ref="A1377:A1379"/>
    <mergeCell ref="B1377:C1386"/>
    <mergeCell ref="D1355:D1357"/>
    <mergeCell ref="E1355:E1357"/>
    <mergeCell ref="F1355:F1357"/>
    <mergeCell ref="G1355:G1357"/>
    <mergeCell ref="H1355:H1357"/>
    <mergeCell ref="I1355:I1357"/>
    <mergeCell ref="J1355:J1357"/>
    <mergeCell ref="K1355:K1357"/>
    <mergeCell ref="L1355:L1357"/>
    <mergeCell ref="D1358:D1360"/>
    <mergeCell ref="E1358:E1360"/>
    <mergeCell ref="F1358:F1360"/>
    <mergeCell ref="G1358:G1360"/>
    <mergeCell ref="H1358:H1360"/>
    <mergeCell ref="I1358:I1360"/>
    <mergeCell ref="J1358:J1360"/>
    <mergeCell ref="K1358:K1360"/>
    <mergeCell ref="L1358:L1360"/>
    <mergeCell ref="D1361:D1363"/>
    <mergeCell ref="E1361:E1363"/>
    <mergeCell ref="F1361:F1363"/>
    <mergeCell ref="G1361:G1363"/>
    <mergeCell ref="H1361:H1363"/>
    <mergeCell ref="I1361:I1363"/>
    <mergeCell ref="J1361:J1363"/>
    <mergeCell ref="K1361:K1363"/>
    <mergeCell ref="L1361:L1363"/>
    <mergeCell ref="D1364:F1364"/>
    <mergeCell ref="G1364:L1364"/>
    <mergeCell ref="A1366:A1368"/>
    <mergeCell ref="B1366:C1375"/>
    <mergeCell ref="D1366:D1368"/>
    <mergeCell ref="E1366:E1368"/>
    <mergeCell ref="F1366:F1368"/>
    <mergeCell ref="G1366:G1368"/>
    <mergeCell ref="H1366:H1368"/>
    <mergeCell ref="I1366:I1368"/>
    <mergeCell ref="J1366:J1368"/>
    <mergeCell ref="K1366:K1368"/>
    <mergeCell ref="L1366:L1368"/>
    <mergeCell ref="D1369:D1371"/>
    <mergeCell ref="E1369:E1371"/>
    <mergeCell ref="F1369:F1371"/>
    <mergeCell ref="G1369:G1371"/>
    <mergeCell ref="H1369:H1371"/>
    <mergeCell ref="I1369:I1371"/>
    <mergeCell ref="J1369:J1371"/>
    <mergeCell ref="K1369:K1371"/>
    <mergeCell ref="L1369:L1371"/>
    <mergeCell ref="D1372:D1374"/>
    <mergeCell ref="E1372:E1374"/>
    <mergeCell ref="F1372:F1374"/>
    <mergeCell ref="G1372:G1374"/>
    <mergeCell ref="H1372:H1374"/>
    <mergeCell ref="I1372:I1374"/>
    <mergeCell ref="J1372:J1374"/>
    <mergeCell ref="K1372:K1374"/>
    <mergeCell ref="L1372:L1374"/>
    <mergeCell ref="D1375:F1375"/>
    <mergeCell ref="G1375:L1375"/>
    <mergeCell ref="A1355:A1357"/>
    <mergeCell ref="B1355:C1364"/>
    <mergeCell ref="B1333:C1342"/>
    <mergeCell ref="D1333:D1335"/>
    <mergeCell ref="E1333:E1335"/>
    <mergeCell ref="F1333:F1335"/>
    <mergeCell ref="G1333:G1335"/>
    <mergeCell ref="H1333:H1335"/>
    <mergeCell ref="I1333:I1335"/>
    <mergeCell ref="J1333:J1335"/>
    <mergeCell ref="K1333:K1335"/>
    <mergeCell ref="L1333:L1335"/>
    <mergeCell ref="D1336:D1338"/>
    <mergeCell ref="E1336:E1338"/>
    <mergeCell ref="F1336:F1338"/>
    <mergeCell ref="G1336:G1338"/>
    <mergeCell ref="H1336:H1338"/>
    <mergeCell ref="I1336:I1338"/>
    <mergeCell ref="J1336:J1338"/>
    <mergeCell ref="K1336:K1338"/>
    <mergeCell ref="L1336:L1338"/>
    <mergeCell ref="D1339:D1341"/>
    <mergeCell ref="E1339:E1341"/>
    <mergeCell ref="F1339:F1341"/>
    <mergeCell ref="G1339:G1341"/>
    <mergeCell ref="H1339:H1341"/>
    <mergeCell ref="I1339:I1341"/>
    <mergeCell ref="J1339:J1341"/>
    <mergeCell ref="K1339:K1341"/>
    <mergeCell ref="L1339:L1341"/>
    <mergeCell ref="D1342:F1342"/>
    <mergeCell ref="G1342:L1342"/>
    <mergeCell ref="A1344:A1346"/>
    <mergeCell ref="B1344:C1353"/>
    <mergeCell ref="D1344:D1346"/>
    <mergeCell ref="E1344:E1346"/>
    <mergeCell ref="F1344:F1346"/>
    <mergeCell ref="G1344:G1346"/>
    <mergeCell ref="H1344:H1346"/>
    <mergeCell ref="I1344:I1346"/>
    <mergeCell ref="J1344:J1346"/>
    <mergeCell ref="K1344:K1346"/>
    <mergeCell ref="L1344:L1346"/>
    <mergeCell ref="D1347:D1349"/>
    <mergeCell ref="E1347:E1349"/>
    <mergeCell ref="F1347:F1349"/>
    <mergeCell ref="G1347:G1349"/>
    <mergeCell ref="H1347:H1349"/>
    <mergeCell ref="I1347:I1349"/>
    <mergeCell ref="J1347:J1349"/>
    <mergeCell ref="K1347:K1349"/>
    <mergeCell ref="L1347:L1349"/>
    <mergeCell ref="D1350:D1352"/>
    <mergeCell ref="E1350:E1352"/>
    <mergeCell ref="F1350:F1352"/>
    <mergeCell ref="G1350:G1352"/>
    <mergeCell ref="H1350:H1352"/>
    <mergeCell ref="I1350:I1352"/>
    <mergeCell ref="J1350:J1352"/>
    <mergeCell ref="K1350:K1352"/>
    <mergeCell ref="L1350:L1352"/>
    <mergeCell ref="D1353:F1353"/>
    <mergeCell ref="G1353:L1353"/>
    <mergeCell ref="A1333:A1335"/>
    <mergeCell ref="D1311:D1313"/>
    <mergeCell ref="E1311:E1313"/>
    <mergeCell ref="F1311:F1313"/>
    <mergeCell ref="G1311:G1313"/>
    <mergeCell ref="H1311:H1313"/>
    <mergeCell ref="I1311:I1313"/>
    <mergeCell ref="J1311:J1313"/>
    <mergeCell ref="K1311:K1313"/>
    <mergeCell ref="L1311:L1313"/>
    <mergeCell ref="D1314:D1316"/>
    <mergeCell ref="E1314:E1316"/>
    <mergeCell ref="F1314:F1316"/>
    <mergeCell ref="G1314:G1316"/>
    <mergeCell ref="H1314:H1316"/>
    <mergeCell ref="I1314:I1316"/>
    <mergeCell ref="J1314:J1316"/>
    <mergeCell ref="K1314:K1316"/>
    <mergeCell ref="L1314:L1316"/>
    <mergeCell ref="D1317:D1319"/>
    <mergeCell ref="E1317:E1319"/>
    <mergeCell ref="F1317:F1319"/>
    <mergeCell ref="G1317:G1319"/>
    <mergeCell ref="H1317:H1319"/>
    <mergeCell ref="I1317:I1319"/>
    <mergeCell ref="J1317:J1319"/>
    <mergeCell ref="K1317:K1319"/>
    <mergeCell ref="L1317:L1319"/>
    <mergeCell ref="D1320:F1320"/>
    <mergeCell ref="G1320:L1320"/>
    <mergeCell ref="A1322:A1324"/>
    <mergeCell ref="B1322:C1331"/>
    <mergeCell ref="D1322:D1324"/>
    <mergeCell ref="E1322:E1324"/>
    <mergeCell ref="F1322:F1324"/>
    <mergeCell ref="G1322:G1324"/>
    <mergeCell ref="H1322:H1324"/>
    <mergeCell ref="I1322:I1324"/>
    <mergeCell ref="J1322:J1324"/>
    <mergeCell ref="K1322:K1324"/>
    <mergeCell ref="L1322:L1324"/>
    <mergeCell ref="D1325:D1327"/>
    <mergeCell ref="E1325:E1327"/>
    <mergeCell ref="F1325:F1327"/>
    <mergeCell ref="G1325:G1327"/>
    <mergeCell ref="H1325:H1327"/>
    <mergeCell ref="I1325:I1327"/>
    <mergeCell ref="J1325:J1327"/>
    <mergeCell ref="K1325:K1327"/>
    <mergeCell ref="L1325:L1327"/>
    <mergeCell ref="D1328:D1330"/>
    <mergeCell ref="E1328:E1330"/>
    <mergeCell ref="F1328:F1330"/>
    <mergeCell ref="G1328:G1330"/>
    <mergeCell ref="H1328:H1330"/>
    <mergeCell ref="I1328:I1330"/>
    <mergeCell ref="J1328:J1330"/>
    <mergeCell ref="K1328:K1330"/>
    <mergeCell ref="L1328:L1330"/>
    <mergeCell ref="D1331:F1331"/>
    <mergeCell ref="G1331:L1331"/>
    <mergeCell ref="A1311:A1313"/>
    <mergeCell ref="B1311:C1320"/>
    <mergeCell ref="D1289:D1291"/>
    <mergeCell ref="E1289:E1291"/>
    <mergeCell ref="F1289:F1291"/>
    <mergeCell ref="G1289:G1291"/>
    <mergeCell ref="H1289:H1291"/>
    <mergeCell ref="I1289:I1291"/>
    <mergeCell ref="J1289:J1291"/>
    <mergeCell ref="K1289:K1291"/>
    <mergeCell ref="L1289:L1291"/>
    <mergeCell ref="D1292:D1294"/>
    <mergeCell ref="E1292:E1294"/>
    <mergeCell ref="F1292:F1294"/>
    <mergeCell ref="G1292:G1294"/>
    <mergeCell ref="H1292:H1294"/>
    <mergeCell ref="I1292:I1294"/>
    <mergeCell ref="J1292:J1294"/>
    <mergeCell ref="K1292:K1294"/>
    <mergeCell ref="L1292:L1294"/>
    <mergeCell ref="D1295:D1297"/>
    <mergeCell ref="E1295:E1297"/>
    <mergeCell ref="F1295:F1297"/>
    <mergeCell ref="G1295:G1297"/>
    <mergeCell ref="H1295:H1297"/>
    <mergeCell ref="I1295:I1297"/>
    <mergeCell ref="J1295:J1297"/>
    <mergeCell ref="K1295:K1297"/>
    <mergeCell ref="L1295:L1297"/>
    <mergeCell ref="D1298:F1298"/>
    <mergeCell ref="G1298:L1298"/>
    <mergeCell ref="A1300:A1302"/>
    <mergeCell ref="B1300:C1309"/>
    <mergeCell ref="D1300:D1302"/>
    <mergeCell ref="E1300:E1302"/>
    <mergeCell ref="F1300:F1302"/>
    <mergeCell ref="G1300:G1302"/>
    <mergeCell ref="H1300:H1302"/>
    <mergeCell ref="I1300:I1302"/>
    <mergeCell ref="J1300:J1302"/>
    <mergeCell ref="K1300:K1302"/>
    <mergeCell ref="L1300:L1302"/>
    <mergeCell ref="D1303:D1305"/>
    <mergeCell ref="E1303:E1305"/>
    <mergeCell ref="F1303:F1305"/>
    <mergeCell ref="G1303:G1305"/>
    <mergeCell ref="H1303:H1305"/>
    <mergeCell ref="I1303:I1305"/>
    <mergeCell ref="J1303:J1305"/>
    <mergeCell ref="K1303:K1305"/>
    <mergeCell ref="L1303:L1305"/>
    <mergeCell ref="D1306:D1308"/>
    <mergeCell ref="E1306:E1308"/>
    <mergeCell ref="F1306:F1308"/>
    <mergeCell ref="G1306:G1308"/>
    <mergeCell ref="H1306:H1308"/>
    <mergeCell ref="I1306:I1308"/>
    <mergeCell ref="J1306:J1308"/>
    <mergeCell ref="K1306:K1308"/>
    <mergeCell ref="L1306:L1308"/>
    <mergeCell ref="D1309:F1309"/>
    <mergeCell ref="G1309:L1309"/>
    <mergeCell ref="A1289:A1291"/>
    <mergeCell ref="B1289:C1298"/>
    <mergeCell ref="D1267:D1269"/>
    <mergeCell ref="E1267:E1269"/>
    <mergeCell ref="F1267:F1269"/>
    <mergeCell ref="G1267:G1269"/>
    <mergeCell ref="H1267:H1269"/>
    <mergeCell ref="I1267:I1269"/>
    <mergeCell ref="J1267:J1269"/>
    <mergeCell ref="K1267:K1269"/>
    <mergeCell ref="L1267:L1269"/>
    <mergeCell ref="D1270:D1272"/>
    <mergeCell ref="E1270:E1272"/>
    <mergeCell ref="F1270:F1272"/>
    <mergeCell ref="G1270:G1272"/>
    <mergeCell ref="H1270:H1272"/>
    <mergeCell ref="I1270:I1272"/>
    <mergeCell ref="J1270:J1272"/>
    <mergeCell ref="K1270:K1272"/>
    <mergeCell ref="L1270:L1272"/>
    <mergeCell ref="D1273:D1275"/>
    <mergeCell ref="E1273:E1275"/>
    <mergeCell ref="F1273:F1275"/>
    <mergeCell ref="G1273:G1275"/>
    <mergeCell ref="H1273:H1275"/>
    <mergeCell ref="I1273:I1275"/>
    <mergeCell ref="J1273:J1275"/>
    <mergeCell ref="K1273:K1275"/>
    <mergeCell ref="L1273:L1275"/>
    <mergeCell ref="D1276:F1276"/>
    <mergeCell ref="G1276:L1276"/>
    <mergeCell ref="A1278:A1280"/>
    <mergeCell ref="B1278:C1287"/>
    <mergeCell ref="D1278:D1280"/>
    <mergeCell ref="E1278:E1280"/>
    <mergeCell ref="F1278:F1280"/>
    <mergeCell ref="G1278:G1280"/>
    <mergeCell ref="H1278:H1280"/>
    <mergeCell ref="I1278:I1280"/>
    <mergeCell ref="J1278:J1280"/>
    <mergeCell ref="K1278:K1280"/>
    <mergeCell ref="L1278:L1280"/>
    <mergeCell ref="D1281:D1283"/>
    <mergeCell ref="E1281:E1283"/>
    <mergeCell ref="F1281:F1283"/>
    <mergeCell ref="G1281:G1283"/>
    <mergeCell ref="H1281:H1283"/>
    <mergeCell ref="I1281:I1283"/>
    <mergeCell ref="J1281:J1283"/>
    <mergeCell ref="K1281:K1283"/>
    <mergeCell ref="L1281:L1283"/>
    <mergeCell ref="D1284:D1286"/>
    <mergeCell ref="E1284:E1286"/>
    <mergeCell ref="F1284:F1286"/>
    <mergeCell ref="G1284:G1286"/>
    <mergeCell ref="H1284:H1286"/>
    <mergeCell ref="I1284:I1286"/>
    <mergeCell ref="J1284:J1286"/>
    <mergeCell ref="K1284:K1286"/>
    <mergeCell ref="L1284:L1286"/>
    <mergeCell ref="D1287:F1287"/>
    <mergeCell ref="G1287:L1287"/>
    <mergeCell ref="A1267:A1269"/>
    <mergeCell ref="B1267:C1276"/>
    <mergeCell ref="D1245:D1247"/>
    <mergeCell ref="E1245:E1247"/>
    <mergeCell ref="F1245:F1247"/>
    <mergeCell ref="G1245:G1247"/>
    <mergeCell ref="H1245:H1247"/>
    <mergeCell ref="I1245:I1247"/>
    <mergeCell ref="J1245:J1247"/>
    <mergeCell ref="K1245:K1247"/>
    <mergeCell ref="L1245:L1247"/>
    <mergeCell ref="D1248:D1250"/>
    <mergeCell ref="E1248:E1250"/>
    <mergeCell ref="F1248:F1250"/>
    <mergeCell ref="G1248:G1250"/>
    <mergeCell ref="H1248:H1250"/>
    <mergeCell ref="I1248:I1250"/>
    <mergeCell ref="J1248:J1250"/>
    <mergeCell ref="K1248:K1250"/>
    <mergeCell ref="L1248:L1250"/>
    <mergeCell ref="D1251:D1253"/>
    <mergeCell ref="E1251:E1253"/>
    <mergeCell ref="F1251:F1253"/>
    <mergeCell ref="G1251:G1253"/>
    <mergeCell ref="H1251:H1253"/>
    <mergeCell ref="I1251:I1253"/>
    <mergeCell ref="J1251:J1253"/>
    <mergeCell ref="K1251:K1253"/>
    <mergeCell ref="L1251:L1253"/>
    <mergeCell ref="D1254:F1254"/>
    <mergeCell ref="G1254:L1254"/>
    <mergeCell ref="A1256:A1258"/>
    <mergeCell ref="B1256:C1265"/>
    <mergeCell ref="D1256:D1258"/>
    <mergeCell ref="E1256:E1258"/>
    <mergeCell ref="F1256:F1258"/>
    <mergeCell ref="G1256:G1258"/>
    <mergeCell ref="H1256:H1258"/>
    <mergeCell ref="I1256:I1258"/>
    <mergeCell ref="J1256:J1258"/>
    <mergeCell ref="K1256:K1258"/>
    <mergeCell ref="L1256:L1258"/>
    <mergeCell ref="D1259:D1261"/>
    <mergeCell ref="E1259:E1261"/>
    <mergeCell ref="F1259:F1261"/>
    <mergeCell ref="G1259:G1261"/>
    <mergeCell ref="H1259:H1261"/>
    <mergeCell ref="I1259:I1261"/>
    <mergeCell ref="J1259:J1261"/>
    <mergeCell ref="K1259:K1261"/>
    <mergeCell ref="L1259:L1261"/>
    <mergeCell ref="D1262:D1264"/>
    <mergeCell ref="E1262:E1264"/>
    <mergeCell ref="F1262:F1264"/>
    <mergeCell ref="G1262:G1264"/>
    <mergeCell ref="H1262:H1264"/>
    <mergeCell ref="I1262:I1264"/>
    <mergeCell ref="J1262:J1264"/>
    <mergeCell ref="K1262:K1264"/>
    <mergeCell ref="L1262:L1264"/>
    <mergeCell ref="D1265:F1265"/>
    <mergeCell ref="G1265:L1265"/>
    <mergeCell ref="A1245:A1247"/>
    <mergeCell ref="B1245:C1254"/>
    <mergeCell ref="B1223:C1232"/>
    <mergeCell ref="D1223:D1225"/>
    <mergeCell ref="E1223:E1225"/>
    <mergeCell ref="F1223:F1225"/>
    <mergeCell ref="G1223:G1225"/>
    <mergeCell ref="H1223:H1225"/>
    <mergeCell ref="I1223:I1225"/>
    <mergeCell ref="J1223:J1225"/>
    <mergeCell ref="K1223:K1225"/>
    <mergeCell ref="L1223:L1225"/>
    <mergeCell ref="D1226:D1228"/>
    <mergeCell ref="E1226:E1228"/>
    <mergeCell ref="F1226:F1228"/>
    <mergeCell ref="G1226:G1228"/>
    <mergeCell ref="H1226:H1228"/>
    <mergeCell ref="I1226:I1228"/>
    <mergeCell ref="J1226:J1228"/>
    <mergeCell ref="K1226:K1228"/>
    <mergeCell ref="L1226:L1228"/>
    <mergeCell ref="D1229:D1231"/>
    <mergeCell ref="E1229:E1231"/>
    <mergeCell ref="F1229:F1231"/>
    <mergeCell ref="G1229:G1231"/>
    <mergeCell ref="H1229:H1231"/>
    <mergeCell ref="I1229:I1231"/>
    <mergeCell ref="J1229:J1231"/>
    <mergeCell ref="K1229:K1231"/>
    <mergeCell ref="L1229:L1231"/>
    <mergeCell ref="D1232:F1232"/>
    <mergeCell ref="G1232:L1232"/>
    <mergeCell ref="A1234:A1236"/>
    <mergeCell ref="B1234:C1243"/>
    <mergeCell ref="D1234:D1236"/>
    <mergeCell ref="E1234:E1236"/>
    <mergeCell ref="F1234:F1236"/>
    <mergeCell ref="G1234:G1236"/>
    <mergeCell ref="H1234:H1236"/>
    <mergeCell ref="I1234:I1236"/>
    <mergeCell ref="J1234:J1236"/>
    <mergeCell ref="K1234:K1236"/>
    <mergeCell ref="L1234:L1236"/>
    <mergeCell ref="D1237:D1239"/>
    <mergeCell ref="E1237:E1239"/>
    <mergeCell ref="F1237:F1239"/>
    <mergeCell ref="G1237:G1239"/>
    <mergeCell ref="H1237:H1239"/>
    <mergeCell ref="I1237:I1239"/>
    <mergeCell ref="J1237:J1239"/>
    <mergeCell ref="K1237:K1239"/>
    <mergeCell ref="L1237:L1239"/>
    <mergeCell ref="D1240:D1242"/>
    <mergeCell ref="E1240:E1242"/>
    <mergeCell ref="F1240:F1242"/>
    <mergeCell ref="G1240:G1242"/>
    <mergeCell ref="H1240:H1242"/>
    <mergeCell ref="I1240:I1242"/>
    <mergeCell ref="J1240:J1242"/>
    <mergeCell ref="K1240:K1242"/>
    <mergeCell ref="L1240:L1242"/>
    <mergeCell ref="D1243:F1243"/>
    <mergeCell ref="G1243:L1243"/>
    <mergeCell ref="A1223:A1225"/>
    <mergeCell ref="D1201:D1203"/>
    <mergeCell ref="E1201:E1203"/>
    <mergeCell ref="F1201:F1203"/>
    <mergeCell ref="G1201:G1203"/>
    <mergeCell ref="H1201:H1203"/>
    <mergeCell ref="I1201:I1203"/>
    <mergeCell ref="J1201:J1203"/>
    <mergeCell ref="K1201:K1203"/>
    <mergeCell ref="L1201:L1203"/>
    <mergeCell ref="D1204:D1206"/>
    <mergeCell ref="E1204:E1206"/>
    <mergeCell ref="F1204:F1206"/>
    <mergeCell ref="G1204:G1206"/>
    <mergeCell ref="H1204:H1206"/>
    <mergeCell ref="I1204:I1206"/>
    <mergeCell ref="J1204:J1206"/>
    <mergeCell ref="K1204:K1206"/>
    <mergeCell ref="L1204:L1206"/>
    <mergeCell ref="D1207:D1209"/>
    <mergeCell ref="E1207:E1209"/>
    <mergeCell ref="F1207:F1209"/>
    <mergeCell ref="G1207:G1209"/>
    <mergeCell ref="H1207:H1209"/>
    <mergeCell ref="I1207:I1209"/>
    <mergeCell ref="J1207:J1209"/>
    <mergeCell ref="K1207:K1209"/>
    <mergeCell ref="L1207:L1209"/>
    <mergeCell ref="D1210:F1210"/>
    <mergeCell ref="G1210:L1210"/>
    <mergeCell ref="A1212:A1214"/>
    <mergeCell ref="B1212:C1221"/>
    <mergeCell ref="D1212:D1214"/>
    <mergeCell ref="E1212:E1214"/>
    <mergeCell ref="F1212:F1214"/>
    <mergeCell ref="G1212:G1214"/>
    <mergeCell ref="H1212:H1214"/>
    <mergeCell ref="I1212:I1214"/>
    <mergeCell ref="J1212:J1214"/>
    <mergeCell ref="K1212:K1214"/>
    <mergeCell ref="L1212:L1214"/>
    <mergeCell ref="D1215:D1217"/>
    <mergeCell ref="E1215:E1217"/>
    <mergeCell ref="F1215:F1217"/>
    <mergeCell ref="G1215:G1217"/>
    <mergeCell ref="H1215:H1217"/>
    <mergeCell ref="I1215:I1217"/>
    <mergeCell ref="J1215:J1217"/>
    <mergeCell ref="K1215:K1217"/>
    <mergeCell ref="L1215:L1217"/>
    <mergeCell ref="D1218:D1220"/>
    <mergeCell ref="E1218:E1220"/>
    <mergeCell ref="F1218:F1220"/>
    <mergeCell ref="G1218:G1220"/>
    <mergeCell ref="H1218:H1220"/>
    <mergeCell ref="I1218:I1220"/>
    <mergeCell ref="J1218:J1220"/>
    <mergeCell ref="K1218:K1220"/>
    <mergeCell ref="L1218:L1220"/>
    <mergeCell ref="D1221:F1221"/>
    <mergeCell ref="G1221:L1221"/>
    <mergeCell ref="A1201:A1203"/>
    <mergeCell ref="B1201:C1210"/>
    <mergeCell ref="D1179:D1181"/>
    <mergeCell ref="E1179:E1181"/>
    <mergeCell ref="F1179:F1181"/>
    <mergeCell ref="G1179:G1181"/>
    <mergeCell ref="H1179:H1181"/>
    <mergeCell ref="I1179:I1181"/>
    <mergeCell ref="J1179:J1181"/>
    <mergeCell ref="K1179:K1181"/>
    <mergeCell ref="L1179:L1181"/>
    <mergeCell ref="D1182:D1184"/>
    <mergeCell ref="E1182:E1184"/>
    <mergeCell ref="F1182:F1184"/>
    <mergeCell ref="G1182:G1184"/>
    <mergeCell ref="H1182:H1184"/>
    <mergeCell ref="I1182:I1184"/>
    <mergeCell ref="J1182:J1184"/>
    <mergeCell ref="K1182:K1184"/>
    <mergeCell ref="L1182:L1184"/>
    <mergeCell ref="D1185:D1187"/>
    <mergeCell ref="E1185:E1187"/>
    <mergeCell ref="F1185:F1187"/>
    <mergeCell ref="G1185:G1187"/>
    <mergeCell ref="H1185:H1187"/>
    <mergeCell ref="I1185:I1187"/>
    <mergeCell ref="J1185:J1187"/>
    <mergeCell ref="K1185:K1187"/>
    <mergeCell ref="L1185:L1187"/>
    <mergeCell ref="D1188:F1188"/>
    <mergeCell ref="G1188:L1188"/>
    <mergeCell ref="A1190:A1192"/>
    <mergeCell ref="B1190:C1199"/>
    <mergeCell ref="D1190:D1192"/>
    <mergeCell ref="E1190:E1192"/>
    <mergeCell ref="F1190:F1192"/>
    <mergeCell ref="G1190:G1192"/>
    <mergeCell ref="H1190:H1192"/>
    <mergeCell ref="I1190:I1192"/>
    <mergeCell ref="J1190:J1192"/>
    <mergeCell ref="K1190:K1192"/>
    <mergeCell ref="L1190:L1192"/>
    <mergeCell ref="D1193:D1195"/>
    <mergeCell ref="E1193:E1195"/>
    <mergeCell ref="F1193:F1195"/>
    <mergeCell ref="G1193:G1195"/>
    <mergeCell ref="H1193:H1195"/>
    <mergeCell ref="I1193:I1195"/>
    <mergeCell ref="J1193:J1195"/>
    <mergeCell ref="K1193:K1195"/>
    <mergeCell ref="L1193:L1195"/>
    <mergeCell ref="D1196:D1198"/>
    <mergeCell ref="E1196:E1198"/>
    <mergeCell ref="F1196:F1198"/>
    <mergeCell ref="G1196:G1198"/>
    <mergeCell ref="H1196:H1198"/>
    <mergeCell ref="I1196:I1198"/>
    <mergeCell ref="J1196:J1198"/>
    <mergeCell ref="K1196:K1198"/>
    <mergeCell ref="L1196:L1198"/>
    <mergeCell ref="D1199:F1199"/>
    <mergeCell ref="G1199:L1199"/>
    <mergeCell ref="A1179:A1181"/>
    <mergeCell ref="B1179:C1188"/>
    <mergeCell ref="D1157:D1159"/>
    <mergeCell ref="E1157:E1159"/>
    <mergeCell ref="F1157:F1159"/>
    <mergeCell ref="G1157:G1159"/>
    <mergeCell ref="H1157:H1159"/>
    <mergeCell ref="I1157:I1159"/>
    <mergeCell ref="J1157:J1159"/>
    <mergeCell ref="K1157:K1159"/>
    <mergeCell ref="L1157:L1159"/>
    <mergeCell ref="D1160:D1162"/>
    <mergeCell ref="E1160:E1162"/>
    <mergeCell ref="F1160:F1162"/>
    <mergeCell ref="G1160:G1162"/>
    <mergeCell ref="H1160:H1162"/>
    <mergeCell ref="I1160:I1162"/>
    <mergeCell ref="J1160:J1162"/>
    <mergeCell ref="K1160:K1162"/>
    <mergeCell ref="L1160:L1162"/>
    <mergeCell ref="D1163:D1165"/>
    <mergeCell ref="E1163:E1165"/>
    <mergeCell ref="F1163:F1165"/>
    <mergeCell ref="G1163:G1165"/>
    <mergeCell ref="H1163:H1165"/>
    <mergeCell ref="I1163:I1165"/>
    <mergeCell ref="J1163:J1165"/>
    <mergeCell ref="K1163:K1165"/>
    <mergeCell ref="L1163:L1165"/>
    <mergeCell ref="D1166:F1166"/>
    <mergeCell ref="G1166:L1166"/>
    <mergeCell ref="A1168:A1170"/>
    <mergeCell ref="B1168:C1177"/>
    <mergeCell ref="D1168:D1170"/>
    <mergeCell ref="E1168:E1170"/>
    <mergeCell ref="F1168:F1170"/>
    <mergeCell ref="G1168:G1170"/>
    <mergeCell ref="H1168:H1170"/>
    <mergeCell ref="I1168:I1170"/>
    <mergeCell ref="J1168:J1170"/>
    <mergeCell ref="K1168:K1170"/>
    <mergeCell ref="L1168:L1170"/>
    <mergeCell ref="D1171:D1173"/>
    <mergeCell ref="E1171:E1173"/>
    <mergeCell ref="F1171:F1173"/>
    <mergeCell ref="G1171:G1173"/>
    <mergeCell ref="H1171:H1173"/>
    <mergeCell ref="I1171:I1173"/>
    <mergeCell ref="J1171:J1173"/>
    <mergeCell ref="K1171:K1173"/>
    <mergeCell ref="L1171:L1173"/>
    <mergeCell ref="D1174:D1176"/>
    <mergeCell ref="E1174:E1176"/>
    <mergeCell ref="F1174:F1176"/>
    <mergeCell ref="G1174:G1176"/>
    <mergeCell ref="H1174:H1176"/>
    <mergeCell ref="I1174:I1176"/>
    <mergeCell ref="J1174:J1176"/>
    <mergeCell ref="K1174:K1176"/>
    <mergeCell ref="L1174:L1176"/>
    <mergeCell ref="D1177:F1177"/>
    <mergeCell ref="G1177:L1177"/>
    <mergeCell ref="A1157:A1159"/>
    <mergeCell ref="B1157:C1166"/>
    <mergeCell ref="D1135:D1137"/>
    <mergeCell ref="E1135:E1137"/>
    <mergeCell ref="F1135:F1137"/>
    <mergeCell ref="G1135:G1137"/>
    <mergeCell ref="H1135:H1137"/>
    <mergeCell ref="I1135:I1137"/>
    <mergeCell ref="J1135:J1137"/>
    <mergeCell ref="K1135:K1137"/>
    <mergeCell ref="L1135:L1137"/>
    <mergeCell ref="D1138:D1140"/>
    <mergeCell ref="E1138:E1140"/>
    <mergeCell ref="F1138:F1140"/>
    <mergeCell ref="G1138:G1140"/>
    <mergeCell ref="H1138:H1140"/>
    <mergeCell ref="I1138:I1140"/>
    <mergeCell ref="J1138:J1140"/>
    <mergeCell ref="K1138:K1140"/>
    <mergeCell ref="L1138:L1140"/>
    <mergeCell ref="D1141:D1143"/>
    <mergeCell ref="E1141:E1143"/>
    <mergeCell ref="F1141:F1143"/>
    <mergeCell ref="G1141:G1143"/>
    <mergeCell ref="H1141:H1143"/>
    <mergeCell ref="I1141:I1143"/>
    <mergeCell ref="J1141:J1143"/>
    <mergeCell ref="K1141:K1143"/>
    <mergeCell ref="L1141:L1143"/>
    <mergeCell ref="D1144:F1144"/>
    <mergeCell ref="G1144:L1144"/>
    <mergeCell ref="A1146:A1148"/>
    <mergeCell ref="B1146:C1155"/>
    <mergeCell ref="D1146:D1148"/>
    <mergeCell ref="E1146:E1148"/>
    <mergeCell ref="F1146:F1148"/>
    <mergeCell ref="G1146:G1148"/>
    <mergeCell ref="H1146:H1148"/>
    <mergeCell ref="I1146:I1148"/>
    <mergeCell ref="J1146:J1148"/>
    <mergeCell ref="K1146:K1148"/>
    <mergeCell ref="L1146:L1148"/>
    <mergeCell ref="D1149:D1151"/>
    <mergeCell ref="E1149:E1151"/>
    <mergeCell ref="F1149:F1151"/>
    <mergeCell ref="G1149:G1151"/>
    <mergeCell ref="H1149:H1151"/>
    <mergeCell ref="I1149:I1151"/>
    <mergeCell ref="J1149:J1151"/>
    <mergeCell ref="K1149:K1151"/>
    <mergeCell ref="L1149:L1151"/>
    <mergeCell ref="D1152:D1154"/>
    <mergeCell ref="E1152:E1154"/>
    <mergeCell ref="F1152:F1154"/>
    <mergeCell ref="G1152:G1154"/>
    <mergeCell ref="H1152:H1154"/>
    <mergeCell ref="I1152:I1154"/>
    <mergeCell ref="J1152:J1154"/>
    <mergeCell ref="K1152:K1154"/>
    <mergeCell ref="L1152:L1154"/>
    <mergeCell ref="D1155:F1155"/>
    <mergeCell ref="G1155:L1155"/>
    <mergeCell ref="A1135:A1137"/>
    <mergeCell ref="B1135:C1144"/>
    <mergeCell ref="B1113:C1122"/>
    <mergeCell ref="D1113:D1115"/>
    <mergeCell ref="E1113:E1115"/>
    <mergeCell ref="F1113:F1115"/>
    <mergeCell ref="G1113:G1115"/>
    <mergeCell ref="H1113:H1115"/>
    <mergeCell ref="I1113:I1115"/>
    <mergeCell ref="J1113:J1115"/>
    <mergeCell ref="K1113:K1115"/>
    <mergeCell ref="L1113:L1115"/>
    <mergeCell ref="D1116:D1118"/>
    <mergeCell ref="E1116:E1118"/>
    <mergeCell ref="F1116:F1118"/>
    <mergeCell ref="G1116:G1118"/>
    <mergeCell ref="H1116:H1118"/>
    <mergeCell ref="I1116:I1118"/>
    <mergeCell ref="J1116:J1118"/>
    <mergeCell ref="K1116:K1118"/>
    <mergeCell ref="L1116:L1118"/>
    <mergeCell ref="D1119:D1121"/>
    <mergeCell ref="E1119:E1121"/>
    <mergeCell ref="F1119:F1121"/>
    <mergeCell ref="G1119:G1121"/>
    <mergeCell ref="H1119:H1121"/>
    <mergeCell ref="I1119:I1121"/>
    <mergeCell ref="J1119:J1121"/>
    <mergeCell ref="K1119:K1121"/>
    <mergeCell ref="L1119:L1121"/>
    <mergeCell ref="D1122:F1122"/>
    <mergeCell ref="G1122:L1122"/>
    <mergeCell ref="A1124:A1126"/>
    <mergeCell ref="B1124:C1133"/>
    <mergeCell ref="D1124:D1126"/>
    <mergeCell ref="E1124:E1126"/>
    <mergeCell ref="F1124:F1126"/>
    <mergeCell ref="G1124:G1126"/>
    <mergeCell ref="H1124:H1126"/>
    <mergeCell ref="I1124:I1126"/>
    <mergeCell ref="J1124:J1126"/>
    <mergeCell ref="K1124:K1126"/>
    <mergeCell ref="L1124:L1126"/>
    <mergeCell ref="D1127:D1129"/>
    <mergeCell ref="E1127:E1129"/>
    <mergeCell ref="F1127:F1129"/>
    <mergeCell ref="G1127:G1129"/>
    <mergeCell ref="H1127:H1129"/>
    <mergeCell ref="I1127:I1129"/>
    <mergeCell ref="J1127:J1129"/>
    <mergeCell ref="K1127:K1129"/>
    <mergeCell ref="L1127:L1129"/>
    <mergeCell ref="D1130:D1132"/>
    <mergeCell ref="E1130:E1132"/>
    <mergeCell ref="F1130:F1132"/>
    <mergeCell ref="G1130:G1132"/>
    <mergeCell ref="H1130:H1132"/>
    <mergeCell ref="I1130:I1132"/>
    <mergeCell ref="J1130:J1132"/>
    <mergeCell ref="K1130:K1132"/>
    <mergeCell ref="L1130:L1132"/>
    <mergeCell ref="D1133:F1133"/>
    <mergeCell ref="G1133:L1133"/>
    <mergeCell ref="A1113:A1115"/>
    <mergeCell ref="D1091:D1093"/>
    <mergeCell ref="E1091:E1093"/>
    <mergeCell ref="F1091:F1093"/>
    <mergeCell ref="G1091:G1093"/>
    <mergeCell ref="H1091:H1093"/>
    <mergeCell ref="I1091:I1093"/>
    <mergeCell ref="J1091:J1093"/>
    <mergeCell ref="K1091:K1093"/>
    <mergeCell ref="L1091:L1093"/>
    <mergeCell ref="D1094:D1096"/>
    <mergeCell ref="E1094:E1096"/>
    <mergeCell ref="F1094:F1096"/>
    <mergeCell ref="G1094:G1096"/>
    <mergeCell ref="H1094:H1096"/>
    <mergeCell ref="I1094:I1096"/>
    <mergeCell ref="J1094:J1096"/>
    <mergeCell ref="K1094:K1096"/>
    <mergeCell ref="L1094:L1096"/>
    <mergeCell ref="D1097:D1099"/>
    <mergeCell ref="E1097:E1099"/>
    <mergeCell ref="F1097:F1099"/>
    <mergeCell ref="G1097:G1099"/>
    <mergeCell ref="H1097:H1099"/>
    <mergeCell ref="I1097:I1099"/>
    <mergeCell ref="J1097:J1099"/>
    <mergeCell ref="K1097:K1099"/>
    <mergeCell ref="L1097:L1099"/>
    <mergeCell ref="D1100:F1100"/>
    <mergeCell ref="G1100:L1100"/>
    <mergeCell ref="A1102:A1104"/>
    <mergeCell ref="B1102:C1111"/>
    <mergeCell ref="D1102:D1104"/>
    <mergeCell ref="E1102:E1104"/>
    <mergeCell ref="F1102:F1104"/>
    <mergeCell ref="G1102:G1104"/>
    <mergeCell ref="H1102:H1104"/>
    <mergeCell ref="I1102:I1104"/>
    <mergeCell ref="J1102:J1104"/>
    <mergeCell ref="K1102:K1104"/>
    <mergeCell ref="L1102:L1104"/>
    <mergeCell ref="D1105:D1107"/>
    <mergeCell ref="E1105:E1107"/>
    <mergeCell ref="F1105:F1107"/>
    <mergeCell ref="G1105:G1107"/>
    <mergeCell ref="H1105:H1107"/>
    <mergeCell ref="I1105:I1107"/>
    <mergeCell ref="J1105:J1107"/>
    <mergeCell ref="K1105:K1107"/>
    <mergeCell ref="L1105:L1107"/>
    <mergeCell ref="D1108:D1110"/>
    <mergeCell ref="E1108:E1110"/>
    <mergeCell ref="F1108:F1110"/>
    <mergeCell ref="G1108:G1110"/>
    <mergeCell ref="H1108:H1110"/>
    <mergeCell ref="I1108:I1110"/>
    <mergeCell ref="J1108:J1110"/>
    <mergeCell ref="K1108:K1110"/>
    <mergeCell ref="L1108:L1110"/>
    <mergeCell ref="D1111:F1111"/>
    <mergeCell ref="G1111:L1111"/>
    <mergeCell ref="A1091:A1093"/>
    <mergeCell ref="B1091:C1100"/>
    <mergeCell ref="D1069:D1071"/>
    <mergeCell ref="E1069:E1071"/>
    <mergeCell ref="F1069:F1071"/>
    <mergeCell ref="G1069:G1071"/>
    <mergeCell ref="H1069:H1071"/>
    <mergeCell ref="I1069:I1071"/>
    <mergeCell ref="J1069:J1071"/>
    <mergeCell ref="K1069:K1071"/>
    <mergeCell ref="L1069:L1071"/>
    <mergeCell ref="D1072:D1074"/>
    <mergeCell ref="E1072:E1074"/>
    <mergeCell ref="F1072:F1074"/>
    <mergeCell ref="G1072:G1074"/>
    <mergeCell ref="H1072:H1074"/>
    <mergeCell ref="I1072:I1074"/>
    <mergeCell ref="J1072:J1074"/>
    <mergeCell ref="K1072:K1074"/>
    <mergeCell ref="L1072:L1074"/>
    <mergeCell ref="D1075:D1077"/>
    <mergeCell ref="E1075:E1077"/>
    <mergeCell ref="F1075:F1077"/>
    <mergeCell ref="G1075:G1077"/>
    <mergeCell ref="H1075:H1077"/>
    <mergeCell ref="I1075:I1077"/>
    <mergeCell ref="J1075:J1077"/>
    <mergeCell ref="K1075:K1077"/>
    <mergeCell ref="L1075:L1077"/>
    <mergeCell ref="D1078:F1078"/>
    <mergeCell ref="G1078:L1078"/>
    <mergeCell ref="A1080:A1082"/>
    <mergeCell ref="B1080:C1089"/>
    <mergeCell ref="D1080:D1082"/>
    <mergeCell ref="E1080:E1082"/>
    <mergeCell ref="F1080:F1082"/>
    <mergeCell ref="G1080:G1082"/>
    <mergeCell ref="H1080:H1082"/>
    <mergeCell ref="I1080:I1082"/>
    <mergeCell ref="J1080:J1082"/>
    <mergeCell ref="K1080:K1082"/>
    <mergeCell ref="L1080:L1082"/>
    <mergeCell ref="D1083:D1085"/>
    <mergeCell ref="E1083:E1085"/>
    <mergeCell ref="F1083:F1085"/>
    <mergeCell ref="G1083:G1085"/>
    <mergeCell ref="H1083:H1085"/>
    <mergeCell ref="I1083:I1085"/>
    <mergeCell ref="J1083:J1085"/>
    <mergeCell ref="K1083:K1085"/>
    <mergeCell ref="L1083:L1085"/>
    <mergeCell ref="D1086:D1088"/>
    <mergeCell ref="E1086:E1088"/>
    <mergeCell ref="F1086:F1088"/>
    <mergeCell ref="G1086:G1088"/>
    <mergeCell ref="H1086:H1088"/>
    <mergeCell ref="I1086:I1088"/>
    <mergeCell ref="J1086:J1088"/>
    <mergeCell ref="K1086:K1088"/>
    <mergeCell ref="L1086:L1088"/>
    <mergeCell ref="D1089:F1089"/>
    <mergeCell ref="G1089:L1089"/>
    <mergeCell ref="A1069:A1071"/>
    <mergeCell ref="B1069:C1078"/>
    <mergeCell ref="D1047:D1049"/>
    <mergeCell ref="E1047:E1049"/>
    <mergeCell ref="F1047:F1049"/>
    <mergeCell ref="G1047:G1049"/>
    <mergeCell ref="H1047:H1049"/>
    <mergeCell ref="I1047:I1049"/>
    <mergeCell ref="J1047:J1049"/>
    <mergeCell ref="K1047:K1049"/>
    <mergeCell ref="L1047:L1049"/>
    <mergeCell ref="D1050:D1052"/>
    <mergeCell ref="E1050:E1052"/>
    <mergeCell ref="F1050:F1052"/>
    <mergeCell ref="G1050:G1052"/>
    <mergeCell ref="H1050:H1052"/>
    <mergeCell ref="I1050:I1052"/>
    <mergeCell ref="J1050:J1052"/>
    <mergeCell ref="K1050:K1052"/>
    <mergeCell ref="L1050:L1052"/>
    <mergeCell ref="D1053:D1055"/>
    <mergeCell ref="E1053:E1055"/>
    <mergeCell ref="F1053:F1055"/>
    <mergeCell ref="G1053:G1055"/>
    <mergeCell ref="H1053:H1055"/>
    <mergeCell ref="I1053:I1055"/>
    <mergeCell ref="J1053:J1055"/>
    <mergeCell ref="K1053:K1055"/>
    <mergeCell ref="L1053:L1055"/>
    <mergeCell ref="D1056:F1056"/>
    <mergeCell ref="G1056:L1056"/>
    <mergeCell ref="A1058:A1060"/>
    <mergeCell ref="B1058:C1067"/>
    <mergeCell ref="D1058:D1060"/>
    <mergeCell ref="E1058:E1060"/>
    <mergeCell ref="F1058:F1060"/>
    <mergeCell ref="G1058:G1060"/>
    <mergeCell ref="H1058:H1060"/>
    <mergeCell ref="I1058:I1060"/>
    <mergeCell ref="J1058:J1060"/>
    <mergeCell ref="K1058:K1060"/>
    <mergeCell ref="L1058:L1060"/>
    <mergeCell ref="D1061:D1063"/>
    <mergeCell ref="E1061:E1063"/>
    <mergeCell ref="F1061:F1063"/>
    <mergeCell ref="G1061:G1063"/>
    <mergeCell ref="H1061:H1063"/>
    <mergeCell ref="I1061:I1063"/>
    <mergeCell ref="J1061:J1063"/>
    <mergeCell ref="K1061:K1063"/>
    <mergeCell ref="L1061:L1063"/>
    <mergeCell ref="D1064:D1066"/>
    <mergeCell ref="E1064:E1066"/>
    <mergeCell ref="F1064:F1066"/>
    <mergeCell ref="G1064:G1066"/>
    <mergeCell ref="H1064:H1066"/>
    <mergeCell ref="I1064:I1066"/>
    <mergeCell ref="J1064:J1066"/>
    <mergeCell ref="K1064:K1066"/>
    <mergeCell ref="L1064:L1066"/>
    <mergeCell ref="D1067:F1067"/>
    <mergeCell ref="G1067:L1067"/>
    <mergeCell ref="A1047:A1049"/>
    <mergeCell ref="B1047:C1056"/>
    <mergeCell ref="D1025:D1027"/>
    <mergeCell ref="E1025:E1027"/>
    <mergeCell ref="F1025:F1027"/>
    <mergeCell ref="G1025:G1027"/>
    <mergeCell ref="H1025:H1027"/>
    <mergeCell ref="I1025:I1027"/>
    <mergeCell ref="J1025:J1027"/>
    <mergeCell ref="K1025:K1027"/>
    <mergeCell ref="L1025:L1027"/>
    <mergeCell ref="D1028:D1030"/>
    <mergeCell ref="E1028:E1030"/>
    <mergeCell ref="F1028:F1030"/>
    <mergeCell ref="G1028:G1030"/>
    <mergeCell ref="H1028:H1030"/>
    <mergeCell ref="I1028:I1030"/>
    <mergeCell ref="J1028:J1030"/>
    <mergeCell ref="K1028:K1030"/>
    <mergeCell ref="L1028:L1030"/>
    <mergeCell ref="D1031:D1033"/>
    <mergeCell ref="E1031:E1033"/>
    <mergeCell ref="F1031:F1033"/>
    <mergeCell ref="G1031:G1033"/>
    <mergeCell ref="H1031:H1033"/>
    <mergeCell ref="I1031:I1033"/>
    <mergeCell ref="J1031:J1033"/>
    <mergeCell ref="K1031:K1033"/>
    <mergeCell ref="L1031:L1033"/>
    <mergeCell ref="D1034:F1034"/>
    <mergeCell ref="G1034:L1034"/>
    <mergeCell ref="A1036:A1038"/>
    <mergeCell ref="B1036:C1045"/>
    <mergeCell ref="D1036:D1038"/>
    <mergeCell ref="E1036:E1038"/>
    <mergeCell ref="F1036:F1038"/>
    <mergeCell ref="G1036:G1038"/>
    <mergeCell ref="H1036:H1038"/>
    <mergeCell ref="I1036:I1038"/>
    <mergeCell ref="J1036:J1038"/>
    <mergeCell ref="K1036:K1038"/>
    <mergeCell ref="L1036:L1038"/>
    <mergeCell ref="D1039:D1041"/>
    <mergeCell ref="E1039:E1041"/>
    <mergeCell ref="F1039:F1041"/>
    <mergeCell ref="G1039:G1041"/>
    <mergeCell ref="H1039:H1041"/>
    <mergeCell ref="I1039:I1041"/>
    <mergeCell ref="J1039:J1041"/>
    <mergeCell ref="K1039:K1041"/>
    <mergeCell ref="L1039:L1041"/>
    <mergeCell ref="D1042:D1044"/>
    <mergeCell ref="E1042:E1044"/>
    <mergeCell ref="F1042:F1044"/>
    <mergeCell ref="G1042:G1044"/>
    <mergeCell ref="H1042:H1044"/>
    <mergeCell ref="I1042:I1044"/>
    <mergeCell ref="J1042:J1044"/>
    <mergeCell ref="K1042:K1044"/>
    <mergeCell ref="L1042:L1044"/>
    <mergeCell ref="D1045:F1045"/>
    <mergeCell ref="G1045:L1045"/>
    <mergeCell ref="A1025:A1027"/>
    <mergeCell ref="B1025:C1034"/>
    <mergeCell ref="B1003:C1012"/>
    <mergeCell ref="D1003:D1005"/>
    <mergeCell ref="E1003:E1005"/>
    <mergeCell ref="F1003:F1005"/>
    <mergeCell ref="G1003:G1005"/>
    <mergeCell ref="H1003:H1005"/>
    <mergeCell ref="I1003:I1005"/>
    <mergeCell ref="J1003:J1005"/>
    <mergeCell ref="K1003:K1005"/>
    <mergeCell ref="L1003:L1005"/>
    <mergeCell ref="D1006:D1008"/>
    <mergeCell ref="E1006:E1008"/>
    <mergeCell ref="F1006:F1008"/>
    <mergeCell ref="G1006:G1008"/>
    <mergeCell ref="H1006:H1008"/>
    <mergeCell ref="I1006:I1008"/>
    <mergeCell ref="J1006:J1008"/>
    <mergeCell ref="K1006:K1008"/>
    <mergeCell ref="L1006:L1008"/>
    <mergeCell ref="D1009:D1011"/>
    <mergeCell ref="E1009:E1011"/>
    <mergeCell ref="F1009:F1011"/>
    <mergeCell ref="G1009:G1011"/>
    <mergeCell ref="H1009:H1011"/>
    <mergeCell ref="I1009:I1011"/>
    <mergeCell ref="J1009:J1011"/>
    <mergeCell ref="K1009:K1011"/>
    <mergeCell ref="L1009:L1011"/>
    <mergeCell ref="D1012:F1012"/>
    <mergeCell ref="G1012:L1012"/>
    <mergeCell ref="A1014:A1016"/>
    <mergeCell ref="B1014:C1023"/>
    <mergeCell ref="D1014:D1016"/>
    <mergeCell ref="E1014:E1016"/>
    <mergeCell ref="F1014:F1016"/>
    <mergeCell ref="G1014:G1016"/>
    <mergeCell ref="H1014:H1016"/>
    <mergeCell ref="I1014:I1016"/>
    <mergeCell ref="J1014:J1016"/>
    <mergeCell ref="K1014:K1016"/>
    <mergeCell ref="L1014:L1016"/>
    <mergeCell ref="D1017:D1019"/>
    <mergeCell ref="E1017:E1019"/>
    <mergeCell ref="F1017:F1019"/>
    <mergeCell ref="G1017:G1019"/>
    <mergeCell ref="H1017:H1019"/>
    <mergeCell ref="I1017:I1019"/>
    <mergeCell ref="J1017:J1019"/>
    <mergeCell ref="K1017:K1019"/>
    <mergeCell ref="L1017:L1019"/>
    <mergeCell ref="D1020:D1022"/>
    <mergeCell ref="E1020:E1022"/>
    <mergeCell ref="F1020:F1022"/>
    <mergeCell ref="G1020:G1022"/>
    <mergeCell ref="H1020:H1022"/>
    <mergeCell ref="I1020:I1022"/>
    <mergeCell ref="J1020:J1022"/>
    <mergeCell ref="K1020:K1022"/>
    <mergeCell ref="L1020:L1022"/>
    <mergeCell ref="D1023:F1023"/>
    <mergeCell ref="G1023:L1023"/>
    <mergeCell ref="A1003:A1005"/>
    <mergeCell ref="D981:D983"/>
    <mergeCell ref="E981:E983"/>
    <mergeCell ref="F981:F983"/>
    <mergeCell ref="G981:G983"/>
    <mergeCell ref="H981:H983"/>
    <mergeCell ref="I981:I983"/>
    <mergeCell ref="J981:J983"/>
    <mergeCell ref="K981:K983"/>
    <mergeCell ref="L981:L983"/>
    <mergeCell ref="D984:D986"/>
    <mergeCell ref="E984:E986"/>
    <mergeCell ref="F984:F986"/>
    <mergeCell ref="G984:G986"/>
    <mergeCell ref="H984:H986"/>
    <mergeCell ref="I984:I986"/>
    <mergeCell ref="J984:J986"/>
    <mergeCell ref="K984:K986"/>
    <mergeCell ref="L984:L986"/>
    <mergeCell ref="D987:D989"/>
    <mergeCell ref="E987:E989"/>
    <mergeCell ref="F987:F989"/>
    <mergeCell ref="G987:G989"/>
    <mergeCell ref="H987:H989"/>
    <mergeCell ref="I987:I989"/>
    <mergeCell ref="J987:J989"/>
    <mergeCell ref="K987:K989"/>
    <mergeCell ref="L987:L989"/>
    <mergeCell ref="D990:F990"/>
    <mergeCell ref="G990:L990"/>
    <mergeCell ref="A992:A994"/>
    <mergeCell ref="B992:C1001"/>
    <mergeCell ref="D992:D994"/>
    <mergeCell ref="E992:E994"/>
    <mergeCell ref="F992:F994"/>
    <mergeCell ref="G992:G994"/>
    <mergeCell ref="H992:H994"/>
    <mergeCell ref="I992:I994"/>
    <mergeCell ref="J992:J994"/>
    <mergeCell ref="K992:K994"/>
    <mergeCell ref="L992:L994"/>
    <mergeCell ref="D995:D997"/>
    <mergeCell ref="E995:E997"/>
    <mergeCell ref="F995:F997"/>
    <mergeCell ref="G995:G997"/>
    <mergeCell ref="H995:H997"/>
    <mergeCell ref="I995:I997"/>
    <mergeCell ref="J995:J997"/>
    <mergeCell ref="K995:K997"/>
    <mergeCell ref="L995:L997"/>
    <mergeCell ref="D998:D1000"/>
    <mergeCell ref="E998:E1000"/>
    <mergeCell ref="F998:F1000"/>
    <mergeCell ref="G998:G1000"/>
    <mergeCell ref="H998:H1000"/>
    <mergeCell ref="I998:I1000"/>
    <mergeCell ref="J998:J1000"/>
    <mergeCell ref="K998:K1000"/>
    <mergeCell ref="L998:L1000"/>
    <mergeCell ref="D1001:F1001"/>
    <mergeCell ref="G1001:L1001"/>
    <mergeCell ref="A981:A983"/>
    <mergeCell ref="B981:C990"/>
    <mergeCell ref="D959:D961"/>
    <mergeCell ref="E959:E961"/>
    <mergeCell ref="F959:F961"/>
    <mergeCell ref="G959:G961"/>
    <mergeCell ref="H959:H961"/>
    <mergeCell ref="I959:I961"/>
    <mergeCell ref="J959:J961"/>
    <mergeCell ref="K959:K961"/>
    <mergeCell ref="L959:L961"/>
    <mergeCell ref="D962:D964"/>
    <mergeCell ref="E962:E964"/>
    <mergeCell ref="F962:F964"/>
    <mergeCell ref="G962:G964"/>
    <mergeCell ref="H962:H964"/>
    <mergeCell ref="I962:I964"/>
    <mergeCell ref="J962:J964"/>
    <mergeCell ref="K962:K964"/>
    <mergeCell ref="L962:L964"/>
    <mergeCell ref="D965:D967"/>
    <mergeCell ref="E965:E967"/>
    <mergeCell ref="F965:F967"/>
    <mergeCell ref="G965:G967"/>
    <mergeCell ref="H965:H967"/>
    <mergeCell ref="I965:I967"/>
    <mergeCell ref="J965:J967"/>
    <mergeCell ref="K965:K967"/>
    <mergeCell ref="L965:L967"/>
    <mergeCell ref="D968:F968"/>
    <mergeCell ref="G968:L968"/>
    <mergeCell ref="A970:A972"/>
    <mergeCell ref="B970:C979"/>
    <mergeCell ref="D970:D972"/>
    <mergeCell ref="E970:E972"/>
    <mergeCell ref="F970:F972"/>
    <mergeCell ref="G970:G972"/>
    <mergeCell ref="H970:H972"/>
    <mergeCell ref="I970:I972"/>
    <mergeCell ref="J970:J972"/>
    <mergeCell ref="K970:K972"/>
    <mergeCell ref="L970:L972"/>
    <mergeCell ref="D973:D975"/>
    <mergeCell ref="E973:E975"/>
    <mergeCell ref="F973:F975"/>
    <mergeCell ref="G973:G975"/>
    <mergeCell ref="H973:H975"/>
    <mergeCell ref="I973:I975"/>
    <mergeCell ref="J973:J975"/>
    <mergeCell ref="K973:K975"/>
    <mergeCell ref="L973:L975"/>
    <mergeCell ref="D976:D978"/>
    <mergeCell ref="E976:E978"/>
    <mergeCell ref="F976:F978"/>
    <mergeCell ref="G976:G978"/>
    <mergeCell ref="H976:H978"/>
    <mergeCell ref="I976:I978"/>
    <mergeCell ref="J976:J978"/>
    <mergeCell ref="K976:K978"/>
    <mergeCell ref="L976:L978"/>
    <mergeCell ref="D979:F979"/>
    <mergeCell ref="G979:L979"/>
    <mergeCell ref="A959:A961"/>
    <mergeCell ref="B959:C968"/>
    <mergeCell ref="D937:D939"/>
    <mergeCell ref="E937:E939"/>
    <mergeCell ref="F937:F939"/>
    <mergeCell ref="G937:G939"/>
    <mergeCell ref="H937:H939"/>
    <mergeCell ref="I937:I939"/>
    <mergeCell ref="J937:J939"/>
    <mergeCell ref="K937:K939"/>
    <mergeCell ref="L937:L939"/>
    <mergeCell ref="D940:D942"/>
    <mergeCell ref="E940:E942"/>
    <mergeCell ref="F940:F942"/>
    <mergeCell ref="G940:G942"/>
    <mergeCell ref="H940:H942"/>
    <mergeCell ref="I940:I942"/>
    <mergeCell ref="J940:J942"/>
    <mergeCell ref="K940:K942"/>
    <mergeCell ref="L940:L942"/>
    <mergeCell ref="D943:D945"/>
    <mergeCell ref="E943:E945"/>
    <mergeCell ref="F943:F945"/>
    <mergeCell ref="G943:G945"/>
    <mergeCell ref="H943:H945"/>
    <mergeCell ref="I943:I945"/>
    <mergeCell ref="J943:J945"/>
    <mergeCell ref="K943:K945"/>
    <mergeCell ref="L943:L945"/>
    <mergeCell ref="D946:F946"/>
    <mergeCell ref="G946:L946"/>
    <mergeCell ref="A948:A950"/>
    <mergeCell ref="B948:C957"/>
    <mergeCell ref="D948:D950"/>
    <mergeCell ref="E948:E950"/>
    <mergeCell ref="F948:F950"/>
    <mergeCell ref="G948:G950"/>
    <mergeCell ref="H948:H950"/>
    <mergeCell ref="I948:I950"/>
    <mergeCell ref="J948:J950"/>
    <mergeCell ref="K948:K950"/>
    <mergeCell ref="L948:L950"/>
    <mergeCell ref="D951:D953"/>
    <mergeCell ref="E951:E953"/>
    <mergeCell ref="F951:F953"/>
    <mergeCell ref="G951:G953"/>
    <mergeCell ref="H951:H953"/>
    <mergeCell ref="I951:I953"/>
    <mergeCell ref="J951:J953"/>
    <mergeCell ref="K951:K953"/>
    <mergeCell ref="L951:L953"/>
    <mergeCell ref="D954:D956"/>
    <mergeCell ref="E954:E956"/>
    <mergeCell ref="F954:F956"/>
    <mergeCell ref="G954:G956"/>
    <mergeCell ref="H954:H956"/>
    <mergeCell ref="I954:I956"/>
    <mergeCell ref="J954:J956"/>
    <mergeCell ref="K954:K956"/>
    <mergeCell ref="L954:L956"/>
    <mergeCell ref="D957:F957"/>
    <mergeCell ref="G957:L957"/>
    <mergeCell ref="A937:A939"/>
    <mergeCell ref="B937:C946"/>
    <mergeCell ref="D915:D917"/>
    <mergeCell ref="E915:E917"/>
    <mergeCell ref="F915:F917"/>
    <mergeCell ref="G915:G917"/>
    <mergeCell ref="H915:H917"/>
    <mergeCell ref="I915:I917"/>
    <mergeCell ref="J915:J917"/>
    <mergeCell ref="K915:K917"/>
    <mergeCell ref="L915:L917"/>
    <mergeCell ref="D918:D920"/>
    <mergeCell ref="E918:E920"/>
    <mergeCell ref="F918:F920"/>
    <mergeCell ref="G918:G920"/>
    <mergeCell ref="H918:H920"/>
    <mergeCell ref="I918:I920"/>
    <mergeCell ref="J918:J920"/>
    <mergeCell ref="K918:K920"/>
    <mergeCell ref="L918:L920"/>
    <mergeCell ref="D921:D923"/>
    <mergeCell ref="E921:E923"/>
    <mergeCell ref="F921:F923"/>
    <mergeCell ref="G921:G923"/>
    <mergeCell ref="H921:H923"/>
    <mergeCell ref="I921:I923"/>
    <mergeCell ref="J921:J923"/>
    <mergeCell ref="K921:K923"/>
    <mergeCell ref="L921:L923"/>
    <mergeCell ref="D924:F924"/>
    <mergeCell ref="G924:L924"/>
    <mergeCell ref="A926:A928"/>
    <mergeCell ref="B926:C935"/>
    <mergeCell ref="D926:D928"/>
    <mergeCell ref="E926:E928"/>
    <mergeCell ref="F926:F928"/>
    <mergeCell ref="G926:G928"/>
    <mergeCell ref="H926:H928"/>
    <mergeCell ref="I926:I928"/>
    <mergeCell ref="J926:J928"/>
    <mergeCell ref="K926:K928"/>
    <mergeCell ref="L926:L928"/>
    <mergeCell ref="D929:D931"/>
    <mergeCell ref="E929:E931"/>
    <mergeCell ref="F929:F931"/>
    <mergeCell ref="G929:G931"/>
    <mergeCell ref="H929:H931"/>
    <mergeCell ref="I929:I931"/>
    <mergeCell ref="J929:J931"/>
    <mergeCell ref="K929:K931"/>
    <mergeCell ref="L929:L931"/>
    <mergeCell ref="D932:D934"/>
    <mergeCell ref="E932:E934"/>
    <mergeCell ref="F932:F934"/>
    <mergeCell ref="G932:G934"/>
    <mergeCell ref="H932:H934"/>
    <mergeCell ref="I932:I934"/>
    <mergeCell ref="J932:J934"/>
    <mergeCell ref="K932:K934"/>
    <mergeCell ref="L932:L934"/>
    <mergeCell ref="D935:F935"/>
    <mergeCell ref="G935:L935"/>
    <mergeCell ref="A915:A917"/>
    <mergeCell ref="B915:C924"/>
    <mergeCell ref="B893:C902"/>
    <mergeCell ref="D893:D895"/>
    <mergeCell ref="E893:E895"/>
    <mergeCell ref="F893:F895"/>
    <mergeCell ref="G893:G895"/>
    <mergeCell ref="H893:H895"/>
    <mergeCell ref="I893:I895"/>
    <mergeCell ref="J893:J895"/>
    <mergeCell ref="K893:K895"/>
    <mergeCell ref="L893:L895"/>
    <mergeCell ref="D896:D898"/>
    <mergeCell ref="E896:E898"/>
    <mergeCell ref="F896:F898"/>
    <mergeCell ref="G896:G898"/>
    <mergeCell ref="H896:H898"/>
    <mergeCell ref="I896:I898"/>
    <mergeCell ref="J896:J898"/>
    <mergeCell ref="K896:K898"/>
    <mergeCell ref="L896:L898"/>
    <mergeCell ref="D899:D901"/>
    <mergeCell ref="E899:E901"/>
    <mergeCell ref="F899:F901"/>
    <mergeCell ref="G899:G901"/>
    <mergeCell ref="H899:H901"/>
    <mergeCell ref="I899:I901"/>
    <mergeCell ref="J899:J901"/>
    <mergeCell ref="K899:K901"/>
    <mergeCell ref="L899:L901"/>
    <mergeCell ref="D902:F902"/>
    <mergeCell ref="G902:L902"/>
    <mergeCell ref="A904:A906"/>
    <mergeCell ref="B904:C913"/>
    <mergeCell ref="D904:D906"/>
    <mergeCell ref="E904:E906"/>
    <mergeCell ref="F904:F906"/>
    <mergeCell ref="G904:G906"/>
    <mergeCell ref="H904:H906"/>
    <mergeCell ref="I904:I906"/>
    <mergeCell ref="J904:J906"/>
    <mergeCell ref="K904:K906"/>
    <mergeCell ref="L904:L906"/>
    <mergeCell ref="D907:D909"/>
    <mergeCell ref="E907:E909"/>
    <mergeCell ref="F907:F909"/>
    <mergeCell ref="G907:G909"/>
    <mergeCell ref="H907:H909"/>
    <mergeCell ref="I907:I909"/>
    <mergeCell ref="J907:J909"/>
    <mergeCell ref="K907:K909"/>
    <mergeCell ref="L907:L909"/>
    <mergeCell ref="D910:D912"/>
    <mergeCell ref="E910:E912"/>
    <mergeCell ref="F910:F912"/>
    <mergeCell ref="G910:G912"/>
    <mergeCell ref="H910:H912"/>
    <mergeCell ref="I910:I912"/>
    <mergeCell ref="J910:J912"/>
    <mergeCell ref="K910:K912"/>
    <mergeCell ref="L910:L912"/>
    <mergeCell ref="D913:F913"/>
    <mergeCell ref="G913:L913"/>
    <mergeCell ref="A893:A895"/>
    <mergeCell ref="D871:D873"/>
    <mergeCell ref="E871:E873"/>
    <mergeCell ref="F871:F873"/>
    <mergeCell ref="G871:G873"/>
    <mergeCell ref="H871:H873"/>
    <mergeCell ref="I871:I873"/>
    <mergeCell ref="J871:J873"/>
    <mergeCell ref="K871:K873"/>
    <mergeCell ref="L871:L873"/>
    <mergeCell ref="D874:D876"/>
    <mergeCell ref="E874:E876"/>
    <mergeCell ref="F874:F876"/>
    <mergeCell ref="G874:G876"/>
    <mergeCell ref="H874:H876"/>
    <mergeCell ref="I874:I876"/>
    <mergeCell ref="J874:J876"/>
    <mergeCell ref="K874:K876"/>
    <mergeCell ref="L874:L876"/>
    <mergeCell ref="D877:D879"/>
    <mergeCell ref="E877:E879"/>
    <mergeCell ref="F877:F879"/>
    <mergeCell ref="G877:G879"/>
    <mergeCell ref="H877:H879"/>
    <mergeCell ref="I877:I879"/>
    <mergeCell ref="J877:J879"/>
    <mergeCell ref="K877:K879"/>
    <mergeCell ref="L877:L879"/>
    <mergeCell ref="D880:F880"/>
    <mergeCell ref="G880:L880"/>
    <mergeCell ref="A882:A884"/>
    <mergeCell ref="B882:C891"/>
    <mergeCell ref="D882:D884"/>
    <mergeCell ref="E882:E884"/>
    <mergeCell ref="F882:F884"/>
    <mergeCell ref="G882:G884"/>
    <mergeCell ref="H882:H884"/>
    <mergeCell ref="I882:I884"/>
    <mergeCell ref="J882:J884"/>
    <mergeCell ref="K882:K884"/>
    <mergeCell ref="L882:L884"/>
    <mergeCell ref="D885:D887"/>
    <mergeCell ref="E885:E887"/>
    <mergeCell ref="F885:F887"/>
    <mergeCell ref="G885:G887"/>
    <mergeCell ref="H885:H887"/>
    <mergeCell ref="I885:I887"/>
    <mergeCell ref="J885:J887"/>
    <mergeCell ref="K885:K887"/>
    <mergeCell ref="L885:L887"/>
    <mergeCell ref="D888:D890"/>
    <mergeCell ref="E888:E890"/>
    <mergeCell ref="F888:F890"/>
    <mergeCell ref="G888:G890"/>
    <mergeCell ref="H888:H890"/>
    <mergeCell ref="I888:I890"/>
    <mergeCell ref="J888:J890"/>
    <mergeCell ref="K888:K890"/>
    <mergeCell ref="L888:L890"/>
    <mergeCell ref="D891:F891"/>
    <mergeCell ref="G891:L891"/>
    <mergeCell ref="A871:A873"/>
    <mergeCell ref="B871:C880"/>
    <mergeCell ref="D849:D851"/>
    <mergeCell ref="E849:E851"/>
    <mergeCell ref="F849:F851"/>
    <mergeCell ref="G849:G851"/>
    <mergeCell ref="H849:H851"/>
    <mergeCell ref="I849:I851"/>
    <mergeCell ref="J849:J851"/>
    <mergeCell ref="K849:K851"/>
    <mergeCell ref="L849:L851"/>
    <mergeCell ref="D852:D854"/>
    <mergeCell ref="E852:E854"/>
    <mergeCell ref="F852:F854"/>
    <mergeCell ref="G852:G854"/>
    <mergeCell ref="H852:H854"/>
    <mergeCell ref="I852:I854"/>
    <mergeCell ref="J852:J854"/>
    <mergeCell ref="K852:K854"/>
    <mergeCell ref="L852:L854"/>
    <mergeCell ref="D855:D857"/>
    <mergeCell ref="E855:E857"/>
    <mergeCell ref="F855:F857"/>
    <mergeCell ref="G855:G857"/>
    <mergeCell ref="H855:H857"/>
    <mergeCell ref="I855:I857"/>
    <mergeCell ref="J855:J857"/>
    <mergeCell ref="K855:K857"/>
    <mergeCell ref="L855:L857"/>
    <mergeCell ref="D858:F858"/>
    <mergeCell ref="G858:L858"/>
    <mergeCell ref="A860:A862"/>
    <mergeCell ref="B860:C869"/>
    <mergeCell ref="D860:D862"/>
    <mergeCell ref="E860:E862"/>
    <mergeCell ref="F860:F862"/>
    <mergeCell ref="G860:G862"/>
    <mergeCell ref="H860:H862"/>
    <mergeCell ref="I860:I862"/>
    <mergeCell ref="J860:J862"/>
    <mergeCell ref="K860:K862"/>
    <mergeCell ref="L860:L862"/>
    <mergeCell ref="D863:D865"/>
    <mergeCell ref="E863:E865"/>
    <mergeCell ref="F863:F865"/>
    <mergeCell ref="G863:G865"/>
    <mergeCell ref="H863:H865"/>
    <mergeCell ref="I863:I865"/>
    <mergeCell ref="J863:J865"/>
    <mergeCell ref="K863:K865"/>
    <mergeCell ref="L863:L865"/>
    <mergeCell ref="D866:D868"/>
    <mergeCell ref="E866:E868"/>
    <mergeCell ref="F866:F868"/>
    <mergeCell ref="G866:G868"/>
    <mergeCell ref="H866:H868"/>
    <mergeCell ref="I866:I868"/>
    <mergeCell ref="J866:J868"/>
    <mergeCell ref="K866:K868"/>
    <mergeCell ref="L866:L868"/>
    <mergeCell ref="D869:F869"/>
    <mergeCell ref="G869:L869"/>
    <mergeCell ref="A849:A851"/>
    <mergeCell ref="B849:C858"/>
    <mergeCell ref="D827:D829"/>
    <mergeCell ref="E827:E829"/>
    <mergeCell ref="F827:F829"/>
    <mergeCell ref="G827:G829"/>
    <mergeCell ref="H827:H829"/>
    <mergeCell ref="I827:I829"/>
    <mergeCell ref="J827:J829"/>
    <mergeCell ref="K827:K829"/>
    <mergeCell ref="L827:L829"/>
    <mergeCell ref="D830:D832"/>
    <mergeCell ref="E830:E832"/>
    <mergeCell ref="F830:F832"/>
    <mergeCell ref="G830:G832"/>
    <mergeCell ref="H830:H832"/>
    <mergeCell ref="I830:I832"/>
    <mergeCell ref="J830:J832"/>
    <mergeCell ref="K830:K832"/>
    <mergeCell ref="L830:L832"/>
    <mergeCell ref="D833:D835"/>
    <mergeCell ref="E833:E835"/>
    <mergeCell ref="F833:F835"/>
    <mergeCell ref="G833:G835"/>
    <mergeCell ref="H833:H835"/>
    <mergeCell ref="I833:I835"/>
    <mergeCell ref="J833:J835"/>
    <mergeCell ref="K833:K835"/>
    <mergeCell ref="L833:L835"/>
    <mergeCell ref="D836:F836"/>
    <mergeCell ref="G836:L836"/>
    <mergeCell ref="A838:A840"/>
    <mergeCell ref="B838:C847"/>
    <mergeCell ref="D838:D840"/>
    <mergeCell ref="E838:E840"/>
    <mergeCell ref="F838:F840"/>
    <mergeCell ref="G838:G840"/>
    <mergeCell ref="H838:H840"/>
    <mergeCell ref="I838:I840"/>
    <mergeCell ref="J838:J840"/>
    <mergeCell ref="K838:K840"/>
    <mergeCell ref="L838:L840"/>
    <mergeCell ref="D841:D843"/>
    <mergeCell ref="E841:E843"/>
    <mergeCell ref="F841:F843"/>
    <mergeCell ref="G841:G843"/>
    <mergeCell ref="H841:H843"/>
    <mergeCell ref="I841:I843"/>
    <mergeCell ref="J841:J843"/>
    <mergeCell ref="K841:K843"/>
    <mergeCell ref="L841:L843"/>
    <mergeCell ref="D844:D846"/>
    <mergeCell ref="E844:E846"/>
    <mergeCell ref="F844:F846"/>
    <mergeCell ref="G844:G846"/>
    <mergeCell ref="H844:H846"/>
    <mergeCell ref="I844:I846"/>
    <mergeCell ref="J844:J846"/>
    <mergeCell ref="K844:K846"/>
    <mergeCell ref="L844:L846"/>
    <mergeCell ref="D847:F847"/>
    <mergeCell ref="G847:L847"/>
    <mergeCell ref="A827:A829"/>
    <mergeCell ref="B827:C836"/>
    <mergeCell ref="D805:D807"/>
    <mergeCell ref="E805:E807"/>
    <mergeCell ref="F805:F807"/>
    <mergeCell ref="G805:G807"/>
    <mergeCell ref="H805:H807"/>
    <mergeCell ref="I805:I807"/>
    <mergeCell ref="J805:J807"/>
    <mergeCell ref="K805:K807"/>
    <mergeCell ref="L805:L807"/>
    <mergeCell ref="D808:D810"/>
    <mergeCell ref="E808:E810"/>
    <mergeCell ref="F808:F810"/>
    <mergeCell ref="G808:G810"/>
    <mergeCell ref="H808:H810"/>
    <mergeCell ref="I808:I810"/>
    <mergeCell ref="J808:J810"/>
    <mergeCell ref="K808:K810"/>
    <mergeCell ref="L808:L810"/>
    <mergeCell ref="D811:D813"/>
    <mergeCell ref="E811:E813"/>
    <mergeCell ref="F811:F813"/>
    <mergeCell ref="G811:G813"/>
    <mergeCell ref="H811:H813"/>
    <mergeCell ref="I811:I813"/>
    <mergeCell ref="J811:J813"/>
    <mergeCell ref="K811:K813"/>
    <mergeCell ref="L811:L813"/>
    <mergeCell ref="D814:F814"/>
    <mergeCell ref="G814:L814"/>
    <mergeCell ref="A816:A818"/>
    <mergeCell ref="B816:C825"/>
    <mergeCell ref="D816:D818"/>
    <mergeCell ref="E816:E818"/>
    <mergeCell ref="F816:F818"/>
    <mergeCell ref="G816:G818"/>
    <mergeCell ref="H816:H818"/>
    <mergeCell ref="I816:I818"/>
    <mergeCell ref="J816:J818"/>
    <mergeCell ref="K816:K818"/>
    <mergeCell ref="L816:L818"/>
    <mergeCell ref="D819:D821"/>
    <mergeCell ref="E819:E821"/>
    <mergeCell ref="F819:F821"/>
    <mergeCell ref="G819:G821"/>
    <mergeCell ref="H819:H821"/>
    <mergeCell ref="I819:I821"/>
    <mergeCell ref="J819:J821"/>
    <mergeCell ref="K819:K821"/>
    <mergeCell ref="L819:L821"/>
    <mergeCell ref="D822:D824"/>
    <mergeCell ref="E822:E824"/>
    <mergeCell ref="F822:F824"/>
    <mergeCell ref="G822:G824"/>
    <mergeCell ref="H822:H824"/>
    <mergeCell ref="I822:I824"/>
    <mergeCell ref="J822:J824"/>
    <mergeCell ref="K822:K824"/>
    <mergeCell ref="L822:L824"/>
    <mergeCell ref="D825:F825"/>
    <mergeCell ref="G825:L825"/>
    <mergeCell ref="A805:A807"/>
    <mergeCell ref="B805:C814"/>
    <mergeCell ref="B783:C792"/>
    <mergeCell ref="D783:D785"/>
    <mergeCell ref="E783:E785"/>
    <mergeCell ref="F783:F785"/>
    <mergeCell ref="G783:G785"/>
    <mergeCell ref="H783:H785"/>
    <mergeCell ref="I783:I785"/>
    <mergeCell ref="J783:J785"/>
    <mergeCell ref="K783:K785"/>
    <mergeCell ref="L783:L785"/>
    <mergeCell ref="D786:D788"/>
    <mergeCell ref="E786:E788"/>
    <mergeCell ref="F786:F788"/>
    <mergeCell ref="G786:G788"/>
    <mergeCell ref="H786:H788"/>
    <mergeCell ref="I786:I788"/>
    <mergeCell ref="J786:J788"/>
    <mergeCell ref="K786:K788"/>
    <mergeCell ref="L786:L788"/>
    <mergeCell ref="D789:D791"/>
    <mergeCell ref="E789:E791"/>
    <mergeCell ref="F789:F791"/>
    <mergeCell ref="G789:G791"/>
    <mergeCell ref="H789:H791"/>
    <mergeCell ref="I789:I791"/>
    <mergeCell ref="J789:J791"/>
    <mergeCell ref="K789:K791"/>
    <mergeCell ref="L789:L791"/>
    <mergeCell ref="D792:F792"/>
    <mergeCell ref="G792:L792"/>
    <mergeCell ref="A794:A796"/>
    <mergeCell ref="B794:C803"/>
    <mergeCell ref="D794:D796"/>
    <mergeCell ref="E794:E796"/>
    <mergeCell ref="F794:F796"/>
    <mergeCell ref="G794:G796"/>
    <mergeCell ref="H794:H796"/>
    <mergeCell ref="I794:I796"/>
    <mergeCell ref="J794:J796"/>
    <mergeCell ref="K794:K796"/>
    <mergeCell ref="L794:L796"/>
    <mergeCell ref="D797:D799"/>
    <mergeCell ref="E797:E799"/>
    <mergeCell ref="F797:F799"/>
    <mergeCell ref="G797:G799"/>
    <mergeCell ref="H797:H799"/>
    <mergeCell ref="I797:I799"/>
    <mergeCell ref="J797:J799"/>
    <mergeCell ref="K797:K799"/>
    <mergeCell ref="L797:L799"/>
    <mergeCell ref="D800:D802"/>
    <mergeCell ref="E800:E802"/>
    <mergeCell ref="F800:F802"/>
    <mergeCell ref="G800:G802"/>
    <mergeCell ref="H800:H802"/>
    <mergeCell ref="I800:I802"/>
    <mergeCell ref="J800:J802"/>
    <mergeCell ref="K800:K802"/>
    <mergeCell ref="L800:L802"/>
    <mergeCell ref="D803:F803"/>
    <mergeCell ref="G803:L803"/>
    <mergeCell ref="A783:A785"/>
    <mergeCell ref="D761:D763"/>
    <mergeCell ref="E761:E763"/>
    <mergeCell ref="F761:F763"/>
    <mergeCell ref="G761:G763"/>
    <mergeCell ref="H761:H763"/>
    <mergeCell ref="I761:I763"/>
    <mergeCell ref="J761:J763"/>
    <mergeCell ref="K761:K763"/>
    <mergeCell ref="L761:L763"/>
    <mergeCell ref="D764:D766"/>
    <mergeCell ref="E764:E766"/>
    <mergeCell ref="F764:F766"/>
    <mergeCell ref="G764:G766"/>
    <mergeCell ref="H764:H766"/>
    <mergeCell ref="I764:I766"/>
    <mergeCell ref="J764:J766"/>
    <mergeCell ref="K764:K766"/>
    <mergeCell ref="L764:L766"/>
    <mergeCell ref="D767:D769"/>
    <mergeCell ref="E767:E769"/>
    <mergeCell ref="F767:F769"/>
    <mergeCell ref="G767:G769"/>
    <mergeCell ref="H767:H769"/>
    <mergeCell ref="I767:I769"/>
    <mergeCell ref="J767:J769"/>
    <mergeCell ref="K767:K769"/>
    <mergeCell ref="L767:L769"/>
    <mergeCell ref="D770:F770"/>
    <mergeCell ref="G770:L770"/>
    <mergeCell ref="A772:A774"/>
    <mergeCell ref="B772:C781"/>
    <mergeCell ref="D772:D774"/>
    <mergeCell ref="E772:E774"/>
    <mergeCell ref="F772:F774"/>
    <mergeCell ref="G772:G774"/>
    <mergeCell ref="H772:H774"/>
    <mergeCell ref="I772:I774"/>
    <mergeCell ref="J772:J774"/>
    <mergeCell ref="K772:K774"/>
    <mergeCell ref="L772:L774"/>
    <mergeCell ref="D775:D777"/>
    <mergeCell ref="E775:E777"/>
    <mergeCell ref="F775:F777"/>
    <mergeCell ref="G775:G777"/>
    <mergeCell ref="H775:H777"/>
    <mergeCell ref="I775:I777"/>
    <mergeCell ref="J775:J777"/>
    <mergeCell ref="K775:K777"/>
    <mergeCell ref="L775:L777"/>
    <mergeCell ref="D778:D780"/>
    <mergeCell ref="E778:E780"/>
    <mergeCell ref="F778:F780"/>
    <mergeCell ref="G778:G780"/>
    <mergeCell ref="H778:H780"/>
    <mergeCell ref="I778:I780"/>
    <mergeCell ref="J778:J780"/>
    <mergeCell ref="K778:K780"/>
    <mergeCell ref="L778:L780"/>
    <mergeCell ref="D781:F781"/>
    <mergeCell ref="G781:L781"/>
    <mergeCell ref="A761:A763"/>
    <mergeCell ref="B761:C770"/>
    <mergeCell ref="D739:D741"/>
    <mergeCell ref="E739:E741"/>
    <mergeCell ref="F739:F741"/>
    <mergeCell ref="G739:G741"/>
    <mergeCell ref="H739:H741"/>
    <mergeCell ref="I739:I741"/>
    <mergeCell ref="J739:J741"/>
    <mergeCell ref="K739:K741"/>
    <mergeCell ref="L739:L741"/>
    <mergeCell ref="D742:D744"/>
    <mergeCell ref="E742:E744"/>
    <mergeCell ref="F742:F744"/>
    <mergeCell ref="G742:G744"/>
    <mergeCell ref="H742:H744"/>
    <mergeCell ref="I742:I744"/>
    <mergeCell ref="J742:J744"/>
    <mergeCell ref="K742:K744"/>
    <mergeCell ref="L742:L744"/>
    <mergeCell ref="D745:D747"/>
    <mergeCell ref="E745:E747"/>
    <mergeCell ref="F745:F747"/>
    <mergeCell ref="G745:G747"/>
    <mergeCell ref="H745:H747"/>
    <mergeCell ref="I745:I747"/>
    <mergeCell ref="J745:J747"/>
    <mergeCell ref="K745:K747"/>
    <mergeCell ref="L745:L747"/>
    <mergeCell ref="D748:F748"/>
    <mergeCell ref="G748:L748"/>
    <mergeCell ref="A750:A752"/>
    <mergeCell ref="B750:C759"/>
    <mergeCell ref="D750:D752"/>
    <mergeCell ref="E750:E752"/>
    <mergeCell ref="F750:F752"/>
    <mergeCell ref="G750:G752"/>
    <mergeCell ref="H750:H752"/>
    <mergeCell ref="I750:I752"/>
    <mergeCell ref="J750:J752"/>
    <mergeCell ref="K750:K752"/>
    <mergeCell ref="L750:L752"/>
    <mergeCell ref="D753:D755"/>
    <mergeCell ref="E753:E755"/>
    <mergeCell ref="F753:F755"/>
    <mergeCell ref="G753:G755"/>
    <mergeCell ref="H753:H755"/>
    <mergeCell ref="I753:I755"/>
    <mergeCell ref="J753:J755"/>
    <mergeCell ref="K753:K755"/>
    <mergeCell ref="L753:L755"/>
    <mergeCell ref="D756:D758"/>
    <mergeCell ref="E756:E758"/>
    <mergeCell ref="F756:F758"/>
    <mergeCell ref="G756:G758"/>
    <mergeCell ref="H756:H758"/>
    <mergeCell ref="I756:I758"/>
    <mergeCell ref="J756:J758"/>
    <mergeCell ref="K756:K758"/>
    <mergeCell ref="L756:L758"/>
    <mergeCell ref="D759:F759"/>
    <mergeCell ref="G759:L759"/>
    <mergeCell ref="A739:A741"/>
    <mergeCell ref="B739:C748"/>
    <mergeCell ref="D717:D719"/>
    <mergeCell ref="E717:E719"/>
    <mergeCell ref="F717:F719"/>
    <mergeCell ref="G717:G719"/>
    <mergeCell ref="H717:H719"/>
    <mergeCell ref="I717:I719"/>
    <mergeCell ref="J717:J719"/>
    <mergeCell ref="K717:K719"/>
    <mergeCell ref="L717:L719"/>
    <mergeCell ref="D720:D722"/>
    <mergeCell ref="E720:E722"/>
    <mergeCell ref="F720:F722"/>
    <mergeCell ref="G720:G722"/>
    <mergeCell ref="H720:H722"/>
    <mergeCell ref="I720:I722"/>
    <mergeCell ref="J720:J722"/>
    <mergeCell ref="K720:K722"/>
    <mergeCell ref="L720:L722"/>
    <mergeCell ref="D723:D725"/>
    <mergeCell ref="E723:E725"/>
    <mergeCell ref="F723:F725"/>
    <mergeCell ref="G723:G725"/>
    <mergeCell ref="H723:H725"/>
    <mergeCell ref="I723:I725"/>
    <mergeCell ref="J723:J725"/>
    <mergeCell ref="K723:K725"/>
    <mergeCell ref="L723:L725"/>
    <mergeCell ref="D726:F726"/>
    <mergeCell ref="G726:L726"/>
    <mergeCell ref="A728:A730"/>
    <mergeCell ref="B728:C737"/>
    <mergeCell ref="D728:D730"/>
    <mergeCell ref="E728:E730"/>
    <mergeCell ref="F728:F730"/>
    <mergeCell ref="G728:G730"/>
    <mergeCell ref="H728:H730"/>
    <mergeCell ref="I728:I730"/>
    <mergeCell ref="J728:J730"/>
    <mergeCell ref="K728:K730"/>
    <mergeCell ref="L728:L730"/>
    <mergeCell ref="D731:D733"/>
    <mergeCell ref="E731:E733"/>
    <mergeCell ref="F731:F733"/>
    <mergeCell ref="G731:G733"/>
    <mergeCell ref="H731:H733"/>
    <mergeCell ref="I731:I733"/>
    <mergeCell ref="J731:J733"/>
    <mergeCell ref="K731:K733"/>
    <mergeCell ref="L731:L733"/>
    <mergeCell ref="D734:D736"/>
    <mergeCell ref="E734:E736"/>
    <mergeCell ref="F734:F736"/>
    <mergeCell ref="G734:G736"/>
    <mergeCell ref="H734:H736"/>
    <mergeCell ref="I734:I736"/>
    <mergeCell ref="J734:J736"/>
    <mergeCell ref="K734:K736"/>
    <mergeCell ref="L734:L736"/>
    <mergeCell ref="D737:F737"/>
    <mergeCell ref="G737:L737"/>
    <mergeCell ref="A717:A719"/>
    <mergeCell ref="B717:C726"/>
    <mergeCell ref="D695:D697"/>
    <mergeCell ref="E695:E697"/>
    <mergeCell ref="F695:F697"/>
    <mergeCell ref="G695:G697"/>
    <mergeCell ref="H695:H697"/>
    <mergeCell ref="I695:I697"/>
    <mergeCell ref="J695:J697"/>
    <mergeCell ref="K695:K697"/>
    <mergeCell ref="L695:L697"/>
    <mergeCell ref="D698:D700"/>
    <mergeCell ref="E698:E700"/>
    <mergeCell ref="F698:F700"/>
    <mergeCell ref="G698:G700"/>
    <mergeCell ref="H698:H700"/>
    <mergeCell ref="I698:I700"/>
    <mergeCell ref="J698:J700"/>
    <mergeCell ref="K698:K700"/>
    <mergeCell ref="L698:L700"/>
    <mergeCell ref="D701:D703"/>
    <mergeCell ref="E701:E703"/>
    <mergeCell ref="F701:F703"/>
    <mergeCell ref="G701:G703"/>
    <mergeCell ref="H701:H703"/>
    <mergeCell ref="I701:I703"/>
    <mergeCell ref="J701:J703"/>
    <mergeCell ref="K701:K703"/>
    <mergeCell ref="L701:L703"/>
    <mergeCell ref="D704:F704"/>
    <mergeCell ref="G704:L704"/>
    <mergeCell ref="A706:A708"/>
    <mergeCell ref="B706:C715"/>
    <mergeCell ref="D706:D708"/>
    <mergeCell ref="E706:E708"/>
    <mergeCell ref="F706:F708"/>
    <mergeCell ref="G706:G708"/>
    <mergeCell ref="H706:H708"/>
    <mergeCell ref="I706:I708"/>
    <mergeCell ref="J706:J708"/>
    <mergeCell ref="K706:K708"/>
    <mergeCell ref="L706:L708"/>
    <mergeCell ref="D709:D711"/>
    <mergeCell ref="E709:E711"/>
    <mergeCell ref="F709:F711"/>
    <mergeCell ref="G709:G711"/>
    <mergeCell ref="H709:H711"/>
    <mergeCell ref="I709:I711"/>
    <mergeCell ref="J709:J711"/>
    <mergeCell ref="K709:K711"/>
    <mergeCell ref="L709:L711"/>
    <mergeCell ref="D712:D714"/>
    <mergeCell ref="E712:E714"/>
    <mergeCell ref="F712:F714"/>
    <mergeCell ref="G712:G714"/>
    <mergeCell ref="H712:H714"/>
    <mergeCell ref="I712:I714"/>
    <mergeCell ref="J712:J714"/>
    <mergeCell ref="K712:K714"/>
    <mergeCell ref="L712:L714"/>
    <mergeCell ref="D715:F715"/>
    <mergeCell ref="G715:L715"/>
    <mergeCell ref="B673:C682"/>
    <mergeCell ref="D673:D675"/>
    <mergeCell ref="E673:E675"/>
    <mergeCell ref="F673:F675"/>
    <mergeCell ref="G673:G675"/>
    <mergeCell ref="H673:H675"/>
    <mergeCell ref="I673:I675"/>
    <mergeCell ref="J673:J675"/>
    <mergeCell ref="K673:K675"/>
    <mergeCell ref="L673:L675"/>
    <mergeCell ref="D676:D678"/>
    <mergeCell ref="E676:E678"/>
    <mergeCell ref="F676:F678"/>
    <mergeCell ref="G676:G678"/>
    <mergeCell ref="H676:H678"/>
    <mergeCell ref="I676:I678"/>
    <mergeCell ref="J676:J678"/>
    <mergeCell ref="K676:K678"/>
    <mergeCell ref="L676:L678"/>
    <mergeCell ref="D679:D681"/>
    <mergeCell ref="E679:E681"/>
    <mergeCell ref="F679:F681"/>
    <mergeCell ref="G679:G681"/>
    <mergeCell ref="H679:H681"/>
    <mergeCell ref="I679:I681"/>
    <mergeCell ref="J679:J681"/>
    <mergeCell ref="K679:K681"/>
    <mergeCell ref="L679:L681"/>
    <mergeCell ref="D682:F682"/>
    <mergeCell ref="G682:L682"/>
    <mergeCell ref="A684:A686"/>
    <mergeCell ref="B684:C693"/>
    <mergeCell ref="D684:D686"/>
    <mergeCell ref="E684:E686"/>
    <mergeCell ref="F684:F686"/>
    <mergeCell ref="G684:G686"/>
    <mergeCell ref="H684:H686"/>
    <mergeCell ref="I684:I686"/>
    <mergeCell ref="J684:J686"/>
    <mergeCell ref="K684:K686"/>
    <mergeCell ref="L684:L686"/>
    <mergeCell ref="D687:D689"/>
    <mergeCell ref="E687:E689"/>
    <mergeCell ref="F687:F689"/>
    <mergeCell ref="G687:G689"/>
    <mergeCell ref="H687:H689"/>
    <mergeCell ref="I687:I689"/>
    <mergeCell ref="J687:J689"/>
    <mergeCell ref="K687:K689"/>
    <mergeCell ref="L687:L689"/>
    <mergeCell ref="D690:D692"/>
    <mergeCell ref="E690:E692"/>
    <mergeCell ref="F690:F692"/>
    <mergeCell ref="G690:G692"/>
    <mergeCell ref="H690:H692"/>
    <mergeCell ref="I690:I692"/>
    <mergeCell ref="J690:J692"/>
    <mergeCell ref="K690:K692"/>
    <mergeCell ref="L690:L692"/>
    <mergeCell ref="D693:F693"/>
    <mergeCell ref="G693:L693"/>
    <mergeCell ref="D651:D653"/>
    <mergeCell ref="E651:E653"/>
    <mergeCell ref="F651:F653"/>
    <mergeCell ref="G651:G653"/>
    <mergeCell ref="H651:H653"/>
    <mergeCell ref="I651:I653"/>
    <mergeCell ref="J651:J653"/>
    <mergeCell ref="K651:K653"/>
    <mergeCell ref="L651:L653"/>
    <mergeCell ref="D654:D656"/>
    <mergeCell ref="E654:E656"/>
    <mergeCell ref="F654:F656"/>
    <mergeCell ref="G654:G656"/>
    <mergeCell ref="H654:H656"/>
    <mergeCell ref="I654:I656"/>
    <mergeCell ref="J654:J656"/>
    <mergeCell ref="K654:K656"/>
    <mergeCell ref="L654:L656"/>
    <mergeCell ref="D657:D659"/>
    <mergeCell ref="E657:E659"/>
    <mergeCell ref="F657:F659"/>
    <mergeCell ref="G657:G659"/>
    <mergeCell ref="H657:H659"/>
    <mergeCell ref="I657:I659"/>
    <mergeCell ref="J657:J659"/>
    <mergeCell ref="K657:K659"/>
    <mergeCell ref="L657:L659"/>
    <mergeCell ref="D660:F660"/>
    <mergeCell ref="G660:L660"/>
    <mergeCell ref="A662:A664"/>
    <mergeCell ref="B662:C671"/>
    <mergeCell ref="D662:D664"/>
    <mergeCell ref="E662:E664"/>
    <mergeCell ref="F662:F664"/>
    <mergeCell ref="G662:G664"/>
    <mergeCell ref="H662:H664"/>
    <mergeCell ref="I662:I664"/>
    <mergeCell ref="J662:J664"/>
    <mergeCell ref="K662:K664"/>
    <mergeCell ref="L662:L664"/>
    <mergeCell ref="D665:D667"/>
    <mergeCell ref="E665:E667"/>
    <mergeCell ref="F665:F667"/>
    <mergeCell ref="G665:G667"/>
    <mergeCell ref="H665:H667"/>
    <mergeCell ref="I665:I667"/>
    <mergeCell ref="J665:J667"/>
    <mergeCell ref="K665:K667"/>
    <mergeCell ref="L665:L667"/>
    <mergeCell ref="D668:D670"/>
    <mergeCell ref="E668:E670"/>
    <mergeCell ref="F668:F670"/>
    <mergeCell ref="G668:G670"/>
    <mergeCell ref="H668:H670"/>
    <mergeCell ref="I668:I670"/>
    <mergeCell ref="J668:J670"/>
    <mergeCell ref="K668:K670"/>
    <mergeCell ref="L668:L670"/>
    <mergeCell ref="D671:F671"/>
    <mergeCell ref="G671:L671"/>
    <mergeCell ref="D629:D631"/>
    <mergeCell ref="E629:E631"/>
    <mergeCell ref="F629:F631"/>
    <mergeCell ref="G629:G631"/>
    <mergeCell ref="H629:H631"/>
    <mergeCell ref="I629:I631"/>
    <mergeCell ref="J629:J631"/>
    <mergeCell ref="K629:K631"/>
    <mergeCell ref="L629:L631"/>
    <mergeCell ref="D632:D634"/>
    <mergeCell ref="E632:E634"/>
    <mergeCell ref="F632:F634"/>
    <mergeCell ref="G632:G634"/>
    <mergeCell ref="H632:H634"/>
    <mergeCell ref="I632:I634"/>
    <mergeCell ref="J632:J634"/>
    <mergeCell ref="K632:K634"/>
    <mergeCell ref="L632:L634"/>
    <mergeCell ref="D635:D637"/>
    <mergeCell ref="E635:E637"/>
    <mergeCell ref="F635:F637"/>
    <mergeCell ref="G635:G637"/>
    <mergeCell ref="H635:H637"/>
    <mergeCell ref="I635:I637"/>
    <mergeCell ref="J635:J637"/>
    <mergeCell ref="K635:K637"/>
    <mergeCell ref="L635:L637"/>
    <mergeCell ref="D638:F638"/>
    <mergeCell ref="G638:L638"/>
    <mergeCell ref="A640:A642"/>
    <mergeCell ref="B640:C649"/>
    <mergeCell ref="D640:D642"/>
    <mergeCell ref="E640:E642"/>
    <mergeCell ref="F640:F642"/>
    <mergeCell ref="G640:G642"/>
    <mergeCell ref="H640:H642"/>
    <mergeCell ref="I640:I642"/>
    <mergeCell ref="J640:J642"/>
    <mergeCell ref="K640:K642"/>
    <mergeCell ref="L640:L642"/>
    <mergeCell ref="D643:D645"/>
    <mergeCell ref="E643:E645"/>
    <mergeCell ref="F643:F645"/>
    <mergeCell ref="G643:G645"/>
    <mergeCell ref="H643:H645"/>
    <mergeCell ref="I643:I645"/>
    <mergeCell ref="J643:J645"/>
    <mergeCell ref="K643:K645"/>
    <mergeCell ref="L643:L645"/>
    <mergeCell ref="D646:D648"/>
    <mergeCell ref="E646:E648"/>
    <mergeCell ref="F646:F648"/>
    <mergeCell ref="G646:G648"/>
    <mergeCell ref="H646:H648"/>
    <mergeCell ref="I646:I648"/>
    <mergeCell ref="J646:J648"/>
    <mergeCell ref="K646:K648"/>
    <mergeCell ref="L646:L648"/>
    <mergeCell ref="D649:F649"/>
    <mergeCell ref="G649:L649"/>
    <mergeCell ref="D607:D609"/>
    <mergeCell ref="E607:E609"/>
    <mergeCell ref="F607:F609"/>
    <mergeCell ref="G607:G609"/>
    <mergeCell ref="H607:H609"/>
    <mergeCell ref="I607:I609"/>
    <mergeCell ref="J607:J609"/>
    <mergeCell ref="K607:K609"/>
    <mergeCell ref="L607:L609"/>
    <mergeCell ref="D610:D612"/>
    <mergeCell ref="E610:E612"/>
    <mergeCell ref="F610:F612"/>
    <mergeCell ref="G610:G612"/>
    <mergeCell ref="H610:H612"/>
    <mergeCell ref="I610:I612"/>
    <mergeCell ref="J610:J612"/>
    <mergeCell ref="K610:K612"/>
    <mergeCell ref="L610:L612"/>
    <mergeCell ref="D613:D615"/>
    <mergeCell ref="E613:E615"/>
    <mergeCell ref="F613:F615"/>
    <mergeCell ref="G613:G615"/>
    <mergeCell ref="H613:H615"/>
    <mergeCell ref="I613:I615"/>
    <mergeCell ref="J613:J615"/>
    <mergeCell ref="K613:K615"/>
    <mergeCell ref="L613:L615"/>
    <mergeCell ref="D616:F616"/>
    <mergeCell ref="G616:L616"/>
    <mergeCell ref="A618:A620"/>
    <mergeCell ref="B618:C627"/>
    <mergeCell ref="D618:D620"/>
    <mergeCell ref="E618:E620"/>
    <mergeCell ref="F618:F620"/>
    <mergeCell ref="G618:G620"/>
    <mergeCell ref="H618:H620"/>
    <mergeCell ref="I618:I620"/>
    <mergeCell ref="J618:J620"/>
    <mergeCell ref="K618:K620"/>
    <mergeCell ref="L618:L620"/>
    <mergeCell ref="D621:D623"/>
    <mergeCell ref="E621:E623"/>
    <mergeCell ref="F621:F623"/>
    <mergeCell ref="G621:G623"/>
    <mergeCell ref="H621:H623"/>
    <mergeCell ref="I621:I623"/>
    <mergeCell ref="J621:J623"/>
    <mergeCell ref="K621:K623"/>
    <mergeCell ref="L621:L623"/>
    <mergeCell ref="D624:D626"/>
    <mergeCell ref="E624:E626"/>
    <mergeCell ref="F624:F626"/>
    <mergeCell ref="G624:G626"/>
    <mergeCell ref="H624:H626"/>
    <mergeCell ref="I624:I626"/>
    <mergeCell ref="J624:J626"/>
    <mergeCell ref="K624:K626"/>
    <mergeCell ref="L624:L626"/>
    <mergeCell ref="D627:F627"/>
    <mergeCell ref="G627:L627"/>
    <mergeCell ref="D585:D587"/>
    <mergeCell ref="E585:E587"/>
    <mergeCell ref="F585:F587"/>
    <mergeCell ref="G585:G587"/>
    <mergeCell ref="H585:H587"/>
    <mergeCell ref="I585:I587"/>
    <mergeCell ref="J585:J587"/>
    <mergeCell ref="K585:K587"/>
    <mergeCell ref="L585:L587"/>
    <mergeCell ref="D588:D590"/>
    <mergeCell ref="E588:E590"/>
    <mergeCell ref="F588:F590"/>
    <mergeCell ref="G588:G590"/>
    <mergeCell ref="H588:H590"/>
    <mergeCell ref="I588:I590"/>
    <mergeCell ref="J588:J590"/>
    <mergeCell ref="K588:K590"/>
    <mergeCell ref="L588:L590"/>
    <mergeCell ref="D591:D593"/>
    <mergeCell ref="E591:E593"/>
    <mergeCell ref="F591:F593"/>
    <mergeCell ref="G591:G593"/>
    <mergeCell ref="H591:H593"/>
    <mergeCell ref="I591:I593"/>
    <mergeCell ref="J591:J593"/>
    <mergeCell ref="K591:K593"/>
    <mergeCell ref="L591:L593"/>
    <mergeCell ref="D594:F594"/>
    <mergeCell ref="G594:L594"/>
    <mergeCell ref="A596:A598"/>
    <mergeCell ref="B596:C605"/>
    <mergeCell ref="D596:D598"/>
    <mergeCell ref="E596:E598"/>
    <mergeCell ref="F596:F598"/>
    <mergeCell ref="G596:G598"/>
    <mergeCell ref="H596:H598"/>
    <mergeCell ref="I596:I598"/>
    <mergeCell ref="J596:J598"/>
    <mergeCell ref="K596:K598"/>
    <mergeCell ref="L596:L598"/>
    <mergeCell ref="D599:D601"/>
    <mergeCell ref="E599:E601"/>
    <mergeCell ref="F599:F601"/>
    <mergeCell ref="G599:G601"/>
    <mergeCell ref="H599:H601"/>
    <mergeCell ref="I599:I601"/>
    <mergeCell ref="J599:J601"/>
    <mergeCell ref="K599:K601"/>
    <mergeCell ref="L599:L601"/>
    <mergeCell ref="D602:D604"/>
    <mergeCell ref="E602:E604"/>
    <mergeCell ref="F602:F604"/>
    <mergeCell ref="G602:G604"/>
    <mergeCell ref="H602:H604"/>
    <mergeCell ref="I602:I604"/>
    <mergeCell ref="J602:J604"/>
    <mergeCell ref="K602:K604"/>
    <mergeCell ref="L602:L604"/>
    <mergeCell ref="D605:F605"/>
    <mergeCell ref="G605:L605"/>
    <mergeCell ref="B563:C572"/>
    <mergeCell ref="D563:D565"/>
    <mergeCell ref="E563:E565"/>
    <mergeCell ref="F563:F565"/>
    <mergeCell ref="G563:G565"/>
    <mergeCell ref="H563:H565"/>
    <mergeCell ref="I563:I565"/>
    <mergeCell ref="J563:J565"/>
    <mergeCell ref="K563:K565"/>
    <mergeCell ref="L563:L565"/>
    <mergeCell ref="D566:D568"/>
    <mergeCell ref="E566:E568"/>
    <mergeCell ref="F566:F568"/>
    <mergeCell ref="G566:G568"/>
    <mergeCell ref="H566:H568"/>
    <mergeCell ref="I566:I568"/>
    <mergeCell ref="J566:J568"/>
    <mergeCell ref="K566:K568"/>
    <mergeCell ref="L566:L568"/>
    <mergeCell ref="D569:D571"/>
    <mergeCell ref="E569:E571"/>
    <mergeCell ref="F569:F571"/>
    <mergeCell ref="G569:G571"/>
    <mergeCell ref="H569:H571"/>
    <mergeCell ref="I569:I571"/>
    <mergeCell ref="J569:J571"/>
    <mergeCell ref="K569:K571"/>
    <mergeCell ref="L569:L571"/>
    <mergeCell ref="D572:F572"/>
    <mergeCell ref="G572:L572"/>
    <mergeCell ref="A574:A576"/>
    <mergeCell ref="B574:C583"/>
    <mergeCell ref="D574:D576"/>
    <mergeCell ref="E574:E576"/>
    <mergeCell ref="F574:F576"/>
    <mergeCell ref="G574:G576"/>
    <mergeCell ref="H574:H576"/>
    <mergeCell ref="I574:I576"/>
    <mergeCell ref="J574:J576"/>
    <mergeCell ref="K574:K576"/>
    <mergeCell ref="L574:L576"/>
    <mergeCell ref="D577:D579"/>
    <mergeCell ref="E577:E579"/>
    <mergeCell ref="F577:F579"/>
    <mergeCell ref="G577:G579"/>
    <mergeCell ref="H577:H579"/>
    <mergeCell ref="I577:I579"/>
    <mergeCell ref="J577:J579"/>
    <mergeCell ref="K577:K579"/>
    <mergeCell ref="L577:L579"/>
    <mergeCell ref="D580:D582"/>
    <mergeCell ref="E580:E582"/>
    <mergeCell ref="F580:F582"/>
    <mergeCell ref="G580:G582"/>
    <mergeCell ref="H580:H582"/>
    <mergeCell ref="I580:I582"/>
    <mergeCell ref="J580:J582"/>
    <mergeCell ref="K580:K582"/>
    <mergeCell ref="L580:L582"/>
    <mergeCell ref="D583:F583"/>
    <mergeCell ref="G583:L583"/>
    <mergeCell ref="A541:A543"/>
    <mergeCell ref="B541:C550"/>
    <mergeCell ref="D541:D543"/>
    <mergeCell ref="E541:E543"/>
    <mergeCell ref="F541:F543"/>
    <mergeCell ref="G541:G543"/>
    <mergeCell ref="H541:H543"/>
    <mergeCell ref="I541:I543"/>
    <mergeCell ref="J541:J543"/>
    <mergeCell ref="K541:K543"/>
    <mergeCell ref="L541:L543"/>
    <mergeCell ref="D544:D546"/>
    <mergeCell ref="E544:E546"/>
    <mergeCell ref="F544:F546"/>
    <mergeCell ref="G544:G546"/>
    <mergeCell ref="H544:H546"/>
    <mergeCell ref="I544:I546"/>
    <mergeCell ref="J544:J546"/>
    <mergeCell ref="K544:K546"/>
    <mergeCell ref="L544:L546"/>
    <mergeCell ref="D547:D549"/>
    <mergeCell ref="E547:E549"/>
    <mergeCell ref="F547:F549"/>
    <mergeCell ref="G547:G549"/>
    <mergeCell ref="H547:H549"/>
    <mergeCell ref="I547:I549"/>
    <mergeCell ref="J547:J549"/>
    <mergeCell ref="K547:K549"/>
    <mergeCell ref="L547:L549"/>
    <mergeCell ref="D550:F550"/>
    <mergeCell ref="G550:L550"/>
    <mergeCell ref="A552:A554"/>
    <mergeCell ref="B552:C561"/>
    <mergeCell ref="D552:D554"/>
    <mergeCell ref="E552:E554"/>
    <mergeCell ref="F552:F554"/>
    <mergeCell ref="G552:G554"/>
    <mergeCell ref="H552:H554"/>
    <mergeCell ref="I552:I554"/>
    <mergeCell ref="J552:J554"/>
    <mergeCell ref="K552:K554"/>
    <mergeCell ref="L552:L554"/>
    <mergeCell ref="D555:D557"/>
    <mergeCell ref="E555:E557"/>
    <mergeCell ref="F555:F557"/>
    <mergeCell ref="G555:G557"/>
    <mergeCell ref="H555:H557"/>
    <mergeCell ref="I555:I557"/>
    <mergeCell ref="J555:J557"/>
    <mergeCell ref="K555:K557"/>
    <mergeCell ref="L555:L557"/>
    <mergeCell ref="D558:D560"/>
    <mergeCell ref="E558:E560"/>
    <mergeCell ref="F558:F560"/>
    <mergeCell ref="G558:G560"/>
    <mergeCell ref="H558:H560"/>
    <mergeCell ref="I558:I560"/>
    <mergeCell ref="J558:J560"/>
    <mergeCell ref="K558:K560"/>
    <mergeCell ref="L558:L560"/>
    <mergeCell ref="D561:F561"/>
    <mergeCell ref="G561:L561"/>
    <mergeCell ref="A519:A521"/>
    <mergeCell ref="B519:C528"/>
    <mergeCell ref="D519:D521"/>
    <mergeCell ref="E519:E521"/>
    <mergeCell ref="F519:F521"/>
    <mergeCell ref="G519:G521"/>
    <mergeCell ref="H519:H521"/>
    <mergeCell ref="I519:I521"/>
    <mergeCell ref="J519:J521"/>
    <mergeCell ref="K519:K521"/>
    <mergeCell ref="L519:L521"/>
    <mergeCell ref="D522:D524"/>
    <mergeCell ref="E522:E524"/>
    <mergeCell ref="F522:F524"/>
    <mergeCell ref="G522:G524"/>
    <mergeCell ref="H522:H524"/>
    <mergeCell ref="I522:I524"/>
    <mergeCell ref="J522:J524"/>
    <mergeCell ref="K522:K524"/>
    <mergeCell ref="L522:L524"/>
    <mergeCell ref="D525:D527"/>
    <mergeCell ref="E525:E527"/>
    <mergeCell ref="F525:F527"/>
    <mergeCell ref="G525:G527"/>
    <mergeCell ref="H525:H527"/>
    <mergeCell ref="I525:I527"/>
    <mergeCell ref="J525:J527"/>
    <mergeCell ref="K525:K527"/>
    <mergeCell ref="L525:L527"/>
    <mergeCell ref="D528:F528"/>
    <mergeCell ref="G528:L528"/>
    <mergeCell ref="A530:A532"/>
    <mergeCell ref="B530:C539"/>
    <mergeCell ref="D530:D532"/>
    <mergeCell ref="E530:E532"/>
    <mergeCell ref="F530:F532"/>
    <mergeCell ref="G530:G532"/>
    <mergeCell ref="H530:H532"/>
    <mergeCell ref="I530:I532"/>
    <mergeCell ref="J530:J532"/>
    <mergeCell ref="K530:K532"/>
    <mergeCell ref="L530:L532"/>
    <mergeCell ref="D533:D535"/>
    <mergeCell ref="E533:E535"/>
    <mergeCell ref="F533:F535"/>
    <mergeCell ref="G533:G535"/>
    <mergeCell ref="H533:H535"/>
    <mergeCell ref="I533:I535"/>
    <mergeCell ref="J533:J535"/>
    <mergeCell ref="K533:K535"/>
    <mergeCell ref="L533:L535"/>
    <mergeCell ref="D536:D538"/>
    <mergeCell ref="E536:E538"/>
    <mergeCell ref="F536:F538"/>
    <mergeCell ref="G536:G538"/>
    <mergeCell ref="H536:H538"/>
    <mergeCell ref="I536:I538"/>
    <mergeCell ref="J536:J538"/>
    <mergeCell ref="K536:K538"/>
    <mergeCell ref="L536:L538"/>
    <mergeCell ref="D539:F539"/>
    <mergeCell ref="G539:L539"/>
    <mergeCell ref="D503:D505"/>
    <mergeCell ref="E503:E505"/>
    <mergeCell ref="F503:F505"/>
    <mergeCell ref="G503:G505"/>
    <mergeCell ref="H503:H505"/>
    <mergeCell ref="I503:I505"/>
    <mergeCell ref="J503:J505"/>
    <mergeCell ref="K503:K505"/>
    <mergeCell ref="L503:L505"/>
    <mergeCell ref="D506:F506"/>
    <mergeCell ref="G506:L506"/>
    <mergeCell ref="A508:A510"/>
    <mergeCell ref="B508:C517"/>
    <mergeCell ref="D508:D510"/>
    <mergeCell ref="E508:E510"/>
    <mergeCell ref="F508:F510"/>
    <mergeCell ref="G508:G510"/>
    <mergeCell ref="H508:H510"/>
    <mergeCell ref="I508:I510"/>
    <mergeCell ref="J508:J510"/>
    <mergeCell ref="K508:K510"/>
    <mergeCell ref="L508:L510"/>
    <mergeCell ref="D511:D513"/>
    <mergeCell ref="E511:E513"/>
    <mergeCell ref="F511:F513"/>
    <mergeCell ref="G511:G513"/>
    <mergeCell ref="H511:H513"/>
    <mergeCell ref="I511:I513"/>
    <mergeCell ref="J511:J513"/>
    <mergeCell ref="K511:K513"/>
    <mergeCell ref="L511:L513"/>
    <mergeCell ref="D514:D516"/>
    <mergeCell ref="E514:E516"/>
    <mergeCell ref="F514:F516"/>
    <mergeCell ref="G514:G516"/>
    <mergeCell ref="H514:H516"/>
    <mergeCell ref="I514:I516"/>
    <mergeCell ref="J514:J516"/>
    <mergeCell ref="K514:K516"/>
    <mergeCell ref="L514:L516"/>
    <mergeCell ref="D517:F517"/>
    <mergeCell ref="G517:L517"/>
    <mergeCell ref="B497:C506"/>
    <mergeCell ref="D497:D499"/>
    <mergeCell ref="A497:A499"/>
    <mergeCell ref="E497:E499"/>
    <mergeCell ref="F497:F499"/>
    <mergeCell ref="G497:G499"/>
    <mergeCell ref="H497:H499"/>
    <mergeCell ref="I497:I499"/>
    <mergeCell ref="J497:J499"/>
    <mergeCell ref="K497:K499"/>
    <mergeCell ref="L497:L499"/>
    <mergeCell ref="A486:A488"/>
    <mergeCell ref="B486:C495"/>
    <mergeCell ref="D486:D488"/>
    <mergeCell ref="E486:E488"/>
    <mergeCell ref="F486:F488"/>
    <mergeCell ref="G486:G488"/>
    <mergeCell ref="H486:H488"/>
    <mergeCell ref="I486:I488"/>
    <mergeCell ref="J486:J488"/>
    <mergeCell ref="K486:K488"/>
    <mergeCell ref="L486:L488"/>
    <mergeCell ref="D489:D491"/>
    <mergeCell ref="E489:E491"/>
    <mergeCell ref="F489:F491"/>
    <mergeCell ref="G489:G491"/>
    <mergeCell ref="H489:H491"/>
    <mergeCell ref="I489:I491"/>
    <mergeCell ref="J489:J491"/>
    <mergeCell ref="K489:K491"/>
    <mergeCell ref="L489:L491"/>
    <mergeCell ref="D492:D494"/>
    <mergeCell ref="E492:E494"/>
    <mergeCell ref="F492:F494"/>
    <mergeCell ref="G492:G494"/>
    <mergeCell ref="H492:H494"/>
    <mergeCell ref="I492:I494"/>
    <mergeCell ref="J492:J494"/>
    <mergeCell ref="K492:K494"/>
    <mergeCell ref="L492:L494"/>
    <mergeCell ref="D495:F495"/>
    <mergeCell ref="G495:L495"/>
    <mergeCell ref="D500:D502"/>
    <mergeCell ref="E500:E502"/>
    <mergeCell ref="F500:F502"/>
    <mergeCell ref="G500:G502"/>
    <mergeCell ref="H500:H502"/>
    <mergeCell ref="I500:I502"/>
    <mergeCell ref="J500:J502"/>
    <mergeCell ref="K500:K502"/>
    <mergeCell ref="L500:L502"/>
    <mergeCell ref="A453:A455"/>
    <mergeCell ref="B453:C462"/>
    <mergeCell ref="D453:D455"/>
    <mergeCell ref="E453:E455"/>
    <mergeCell ref="F453:F455"/>
    <mergeCell ref="G453:G455"/>
    <mergeCell ref="H453:H455"/>
    <mergeCell ref="I453:I455"/>
    <mergeCell ref="J453:J455"/>
    <mergeCell ref="K453:K455"/>
    <mergeCell ref="L453:L455"/>
    <mergeCell ref="D456:D458"/>
    <mergeCell ref="E456:E458"/>
    <mergeCell ref="F456:F458"/>
    <mergeCell ref="G456:G458"/>
    <mergeCell ref="H456:H458"/>
    <mergeCell ref="I456:I458"/>
    <mergeCell ref="J456:J458"/>
    <mergeCell ref="K456:K458"/>
    <mergeCell ref="L456:L458"/>
    <mergeCell ref="D459:D461"/>
    <mergeCell ref="E459:E461"/>
    <mergeCell ref="F459:F461"/>
    <mergeCell ref="G459:G461"/>
    <mergeCell ref="H459:H461"/>
    <mergeCell ref="I459:I461"/>
    <mergeCell ref="J459:J461"/>
    <mergeCell ref="K459:K461"/>
    <mergeCell ref="L459:L461"/>
    <mergeCell ref="D462:F462"/>
    <mergeCell ref="G462:L462"/>
    <mergeCell ref="F475:F477"/>
    <mergeCell ref="G475:G477"/>
    <mergeCell ref="H475:H477"/>
    <mergeCell ref="I475:I477"/>
    <mergeCell ref="J475:J477"/>
    <mergeCell ref="K475:K477"/>
    <mergeCell ref="L475:L477"/>
    <mergeCell ref="B464:C473"/>
    <mergeCell ref="D464:D466"/>
    <mergeCell ref="E464:E466"/>
    <mergeCell ref="F464:F466"/>
    <mergeCell ref="G464:G466"/>
    <mergeCell ref="H464:H466"/>
    <mergeCell ref="I464:I466"/>
    <mergeCell ref="J464:J466"/>
    <mergeCell ref="K464:K466"/>
    <mergeCell ref="L464:L466"/>
    <mergeCell ref="D467:D469"/>
    <mergeCell ref="E467:E469"/>
    <mergeCell ref="F467:F469"/>
    <mergeCell ref="G467:G469"/>
    <mergeCell ref="H467:H469"/>
    <mergeCell ref="I467:I469"/>
    <mergeCell ref="J467:J469"/>
    <mergeCell ref="K467:K469"/>
    <mergeCell ref="L467:L469"/>
    <mergeCell ref="D470:D472"/>
    <mergeCell ref="E470:E472"/>
    <mergeCell ref="F470:F472"/>
    <mergeCell ref="G470:G472"/>
    <mergeCell ref="H470:H472"/>
    <mergeCell ref="I470:I472"/>
    <mergeCell ref="J470:J472"/>
    <mergeCell ref="A420:A422"/>
    <mergeCell ref="B420:C429"/>
    <mergeCell ref="D420:D422"/>
    <mergeCell ref="E420:E422"/>
    <mergeCell ref="F420:F422"/>
    <mergeCell ref="G420:G422"/>
    <mergeCell ref="H420:H422"/>
    <mergeCell ref="I420:I422"/>
    <mergeCell ref="J420:J422"/>
    <mergeCell ref="K420:K422"/>
    <mergeCell ref="L420:L422"/>
    <mergeCell ref="D423:D425"/>
    <mergeCell ref="E423:E425"/>
    <mergeCell ref="F423:F425"/>
    <mergeCell ref="G423:G425"/>
    <mergeCell ref="H423:H425"/>
    <mergeCell ref="I423:I425"/>
    <mergeCell ref="J423:J425"/>
    <mergeCell ref="K423:K425"/>
    <mergeCell ref="L423:L425"/>
    <mergeCell ref="D426:D428"/>
    <mergeCell ref="E426:E428"/>
    <mergeCell ref="F426:F428"/>
    <mergeCell ref="G426:G428"/>
    <mergeCell ref="H426:H428"/>
    <mergeCell ref="I426:I428"/>
    <mergeCell ref="J426:J428"/>
    <mergeCell ref="K426:K428"/>
    <mergeCell ref="L426:L428"/>
    <mergeCell ref="D429:F429"/>
    <mergeCell ref="G429:L429"/>
    <mergeCell ref="E442:E444"/>
    <mergeCell ref="F442:F444"/>
    <mergeCell ref="G442:G444"/>
    <mergeCell ref="H442:H444"/>
    <mergeCell ref="I442:I444"/>
    <mergeCell ref="J442:J444"/>
    <mergeCell ref="K442:K444"/>
    <mergeCell ref="L442:L444"/>
    <mergeCell ref="J382:J384"/>
    <mergeCell ref="K382:K384"/>
    <mergeCell ref="L382:L384"/>
    <mergeCell ref="D385:F385"/>
    <mergeCell ref="G385:L385"/>
    <mergeCell ref="A387:A389"/>
    <mergeCell ref="B387:C396"/>
    <mergeCell ref="D387:D389"/>
    <mergeCell ref="E387:E389"/>
    <mergeCell ref="F387:F389"/>
    <mergeCell ref="G387:G389"/>
    <mergeCell ref="H387:H389"/>
    <mergeCell ref="I387:I389"/>
    <mergeCell ref="J387:J389"/>
    <mergeCell ref="K387:K389"/>
    <mergeCell ref="L387:L389"/>
    <mergeCell ref="D390:D392"/>
    <mergeCell ref="E390:E392"/>
    <mergeCell ref="F390:F392"/>
    <mergeCell ref="G390:G392"/>
    <mergeCell ref="H390:H392"/>
    <mergeCell ref="I390:I392"/>
    <mergeCell ref="J390:J392"/>
    <mergeCell ref="K390:K392"/>
    <mergeCell ref="L390:L392"/>
    <mergeCell ref="D393:D395"/>
    <mergeCell ref="E393:E395"/>
    <mergeCell ref="F393:F395"/>
    <mergeCell ref="G393:G395"/>
    <mergeCell ref="H393:H395"/>
    <mergeCell ref="I393:I395"/>
    <mergeCell ref="J393:J395"/>
    <mergeCell ref="K393:K395"/>
    <mergeCell ref="L393:L395"/>
    <mergeCell ref="D396:F396"/>
    <mergeCell ref="G396:L396"/>
    <mergeCell ref="D357:D359"/>
    <mergeCell ref="E357:E359"/>
    <mergeCell ref="F357:F359"/>
    <mergeCell ref="G357:G359"/>
    <mergeCell ref="H357:H359"/>
    <mergeCell ref="I357:I359"/>
    <mergeCell ref="J357:J359"/>
    <mergeCell ref="K357:K359"/>
    <mergeCell ref="L357:L359"/>
    <mergeCell ref="D360:D362"/>
    <mergeCell ref="E360:E362"/>
    <mergeCell ref="F360:F362"/>
    <mergeCell ref="G360:G362"/>
    <mergeCell ref="H360:H362"/>
    <mergeCell ref="I360:I362"/>
    <mergeCell ref="J360:J362"/>
    <mergeCell ref="K360:K362"/>
    <mergeCell ref="L360:L362"/>
    <mergeCell ref="D363:F363"/>
    <mergeCell ref="G363:L363"/>
    <mergeCell ref="A365:A367"/>
    <mergeCell ref="B365:C374"/>
    <mergeCell ref="D365:D367"/>
    <mergeCell ref="E365:E367"/>
    <mergeCell ref="F365:F367"/>
    <mergeCell ref="G365:G367"/>
    <mergeCell ref="H365:H367"/>
    <mergeCell ref="I365:I367"/>
    <mergeCell ref="J365:J367"/>
    <mergeCell ref="K365:K367"/>
    <mergeCell ref="L365:L367"/>
    <mergeCell ref="D368:D370"/>
    <mergeCell ref="E368:E370"/>
    <mergeCell ref="F368:F370"/>
    <mergeCell ref="G368:G370"/>
    <mergeCell ref="H368:H370"/>
    <mergeCell ref="I368:I370"/>
    <mergeCell ref="J368:J370"/>
    <mergeCell ref="K368:K370"/>
    <mergeCell ref="L368:L370"/>
    <mergeCell ref="D371:D373"/>
    <mergeCell ref="E371:E373"/>
    <mergeCell ref="F371:F373"/>
    <mergeCell ref="G371:G373"/>
    <mergeCell ref="H371:H373"/>
    <mergeCell ref="I371:I373"/>
    <mergeCell ref="J371:J373"/>
    <mergeCell ref="K371:K373"/>
    <mergeCell ref="L371:L373"/>
    <mergeCell ref="D374:F374"/>
    <mergeCell ref="G374:L374"/>
    <mergeCell ref="A343:A345"/>
    <mergeCell ref="B343:C352"/>
    <mergeCell ref="D343:D345"/>
    <mergeCell ref="E343:E345"/>
    <mergeCell ref="F343:F345"/>
    <mergeCell ref="G343:G345"/>
    <mergeCell ref="H343:H345"/>
    <mergeCell ref="I343:I345"/>
    <mergeCell ref="J343:J345"/>
    <mergeCell ref="K343:K345"/>
    <mergeCell ref="L343:L345"/>
    <mergeCell ref="D346:D348"/>
    <mergeCell ref="E346:E348"/>
    <mergeCell ref="F346:F348"/>
    <mergeCell ref="G346:G348"/>
    <mergeCell ref="H346:H348"/>
    <mergeCell ref="I346:I348"/>
    <mergeCell ref="J346:J348"/>
    <mergeCell ref="K346:K348"/>
    <mergeCell ref="L346:L348"/>
    <mergeCell ref="D349:D351"/>
    <mergeCell ref="E349:E351"/>
    <mergeCell ref="F349:F351"/>
    <mergeCell ref="G349:G351"/>
    <mergeCell ref="H349:H351"/>
    <mergeCell ref="I349:I351"/>
    <mergeCell ref="J349:J351"/>
    <mergeCell ref="K349:K351"/>
    <mergeCell ref="L349:L351"/>
    <mergeCell ref="D352:F352"/>
    <mergeCell ref="G352:L352"/>
    <mergeCell ref="D354:D356"/>
    <mergeCell ref="E354:E356"/>
    <mergeCell ref="F354:F356"/>
    <mergeCell ref="G354:G356"/>
    <mergeCell ref="H354:H356"/>
    <mergeCell ref="I354:I356"/>
    <mergeCell ref="J354:J356"/>
    <mergeCell ref="K354:K356"/>
    <mergeCell ref="L354:L356"/>
    <mergeCell ref="D324:D326"/>
    <mergeCell ref="E324:E326"/>
    <mergeCell ref="F324:F326"/>
    <mergeCell ref="G324:G326"/>
    <mergeCell ref="H324:H326"/>
    <mergeCell ref="I324:I326"/>
    <mergeCell ref="J324:J326"/>
    <mergeCell ref="K324:K326"/>
    <mergeCell ref="L324:L326"/>
    <mergeCell ref="D327:D329"/>
    <mergeCell ref="E327:E329"/>
    <mergeCell ref="F327:F329"/>
    <mergeCell ref="G327:G329"/>
    <mergeCell ref="H327:H329"/>
    <mergeCell ref="I327:I329"/>
    <mergeCell ref="J327:J329"/>
    <mergeCell ref="K327:K329"/>
    <mergeCell ref="L327:L329"/>
    <mergeCell ref="D330:F330"/>
    <mergeCell ref="G330:L330"/>
    <mergeCell ref="A332:A334"/>
    <mergeCell ref="B332:C341"/>
    <mergeCell ref="D332:D334"/>
    <mergeCell ref="E332:E334"/>
    <mergeCell ref="F332:F334"/>
    <mergeCell ref="G332:G334"/>
    <mergeCell ref="H332:H334"/>
    <mergeCell ref="I332:I334"/>
    <mergeCell ref="J332:J334"/>
    <mergeCell ref="K332:K334"/>
    <mergeCell ref="L332:L334"/>
    <mergeCell ref="D335:D337"/>
    <mergeCell ref="E335:E337"/>
    <mergeCell ref="F335:F337"/>
    <mergeCell ref="G335:G337"/>
    <mergeCell ref="H335:H337"/>
    <mergeCell ref="I335:I337"/>
    <mergeCell ref="J335:J337"/>
    <mergeCell ref="K335:K337"/>
    <mergeCell ref="L335:L337"/>
    <mergeCell ref="D338:D340"/>
    <mergeCell ref="E338:E340"/>
    <mergeCell ref="F338:F340"/>
    <mergeCell ref="G338:G340"/>
    <mergeCell ref="H338:H340"/>
    <mergeCell ref="I338:I340"/>
    <mergeCell ref="J338:J340"/>
    <mergeCell ref="K338:K340"/>
    <mergeCell ref="L338:L340"/>
    <mergeCell ref="D341:F341"/>
    <mergeCell ref="G341:L341"/>
    <mergeCell ref="A299:A301"/>
    <mergeCell ref="B299:C308"/>
    <mergeCell ref="D299:D301"/>
    <mergeCell ref="E299:E301"/>
    <mergeCell ref="F299:F301"/>
    <mergeCell ref="G299:G301"/>
    <mergeCell ref="H299:H301"/>
    <mergeCell ref="I299:I301"/>
    <mergeCell ref="J299:J301"/>
    <mergeCell ref="K299:K301"/>
    <mergeCell ref="L299:L301"/>
    <mergeCell ref="D302:D304"/>
    <mergeCell ref="E302:E304"/>
    <mergeCell ref="F302:F304"/>
    <mergeCell ref="G302:G304"/>
    <mergeCell ref="H302:H304"/>
    <mergeCell ref="I302:I304"/>
    <mergeCell ref="J302:J304"/>
    <mergeCell ref="K302:K304"/>
    <mergeCell ref="L302:L304"/>
    <mergeCell ref="D305:D307"/>
    <mergeCell ref="E305:E307"/>
    <mergeCell ref="F305:F307"/>
    <mergeCell ref="G305:G307"/>
    <mergeCell ref="H305:H307"/>
    <mergeCell ref="I305:I307"/>
    <mergeCell ref="J305:J307"/>
    <mergeCell ref="K305:K307"/>
    <mergeCell ref="L305:L307"/>
    <mergeCell ref="D308:F308"/>
    <mergeCell ref="G308:L308"/>
    <mergeCell ref="G316:G318"/>
    <mergeCell ref="H316:H318"/>
    <mergeCell ref="I316:I318"/>
    <mergeCell ref="J316:J318"/>
    <mergeCell ref="K316:K318"/>
    <mergeCell ref="L316:L318"/>
    <mergeCell ref="A255:A257"/>
    <mergeCell ref="B255:C264"/>
    <mergeCell ref="D255:D257"/>
    <mergeCell ref="E255:E257"/>
    <mergeCell ref="F255:F257"/>
    <mergeCell ref="G255:G257"/>
    <mergeCell ref="H255:H257"/>
    <mergeCell ref="I255:I257"/>
    <mergeCell ref="J255:J257"/>
    <mergeCell ref="K255:K257"/>
    <mergeCell ref="L255:L257"/>
    <mergeCell ref="D258:D260"/>
    <mergeCell ref="E258:E260"/>
    <mergeCell ref="F258:F260"/>
    <mergeCell ref="G258:G260"/>
    <mergeCell ref="H258:H260"/>
    <mergeCell ref="I258:I260"/>
    <mergeCell ref="J258:J260"/>
    <mergeCell ref="K258:K260"/>
    <mergeCell ref="L258:L260"/>
    <mergeCell ref="D261:D263"/>
    <mergeCell ref="E261:E263"/>
    <mergeCell ref="F261:F263"/>
    <mergeCell ref="G261:G263"/>
    <mergeCell ref="H261:H263"/>
    <mergeCell ref="I261:I263"/>
    <mergeCell ref="J261:J263"/>
    <mergeCell ref="K261:K263"/>
    <mergeCell ref="L261:L263"/>
    <mergeCell ref="D264:F264"/>
    <mergeCell ref="G264:L264"/>
    <mergeCell ref="A266:A268"/>
    <mergeCell ref="B266:C275"/>
    <mergeCell ref="D266:D268"/>
    <mergeCell ref="E266:E268"/>
    <mergeCell ref="F266:F268"/>
    <mergeCell ref="G266:G268"/>
    <mergeCell ref="H266:H268"/>
    <mergeCell ref="I266:I268"/>
    <mergeCell ref="J266:J268"/>
    <mergeCell ref="K266:K268"/>
    <mergeCell ref="L266:L268"/>
    <mergeCell ref="D269:D271"/>
    <mergeCell ref="E269:E271"/>
    <mergeCell ref="F269:F271"/>
    <mergeCell ref="G269:G271"/>
    <mergeCell ref="H269:H271"/>
    <mergeCell ref="I269:I271"/>
    <mergeCell ref="J269:J271"/>
    <mergeCell ref="K269:K271"/>
    <mergeCell ref="L269:L271"/>
    <mergeCell ref="D272:D274"/>
    <mergeCell ref="E272:E274"/>
    <mergeCell ref="F272:F274"/>
    <mergeCell ref="G272:G274"/>
    <mergeCell ref="H272:H274"/>
    <mergeCell ref="I272:I274"/>
    <mergeCell ref="J272:J274"/>
    <mergeCell ref="K272:K274"/>
    <mergeCell ref="L272:L274"/>
    <mergeCell ref="D275:F275"/>
    <mergeCell ref="G275:L275"/>
    <mergeCell ref="A233:A235"/>
    <mergeCell ref="B233:C242"/>
    <mergeCell ref="D233:D235"/>
    <mergeCell ref="E233:E235"/>
    <mergeCell ref="F233:F235"/>
    <mergeCell ref="G233:G235"/>
    <mergeCell ref="H233:H235"/>
    <mergeCell ref="I233:I235"/>
    <mergeCell ref="J233:J235"/>
    <mergeCell ref="K233:K235"/>
    <mergeCell ref="L233:L235"/>
    <mergeCell ref="D236:D238"/>
    <mergeCell ref="E236:E238"/>
    <mergeCell ref="F236:F238"/>
    <mergeCell ref="G236:G238"/>
    <mergeCell ref="H236:H238"/>
    <mergeCell ref="I236:I238"/>
    <mergeCell ref="J236:J238"/>
    <mergeCell ref="K236:K238"/>
    <mergeCell ref="L236:L238"/>
    <mergeCell ref="D239:D241"/>
    <mergeCell ref="E239:E241"/>
    <mergeCell ref="F239:F241"/>
    <mergeCell ref="G239:G241"/>
    <mergeCell ref="H239:H241"/>
    <mergeCell ref="I239:I241"/>
    <mergeCell ref="J239:J241"/>
    <mergeCell ref="K239:K241"/>
    <mergeCell ref="L239:L241"/>
    <mergeCell ref="D242:F242"/>
    <mergeCell ref="G242:L242"/>
    <mergeCell ref="A244:A246"/>
    <mergeCell ref="B244:C253"/>
    <mergeCell ref="D244:D246"/>
    <mergeCell ref="E244:E246"/>
    <mergeCell ref="F244:F246"/>
    <mergeCell ref="G244:G246"/>
    <mergeCell ref="H244:H246"/>
    <mergeCell ref="I244:I246"/>
    <mergeCell ref="J244:J246"/>
    <mergeCell ref="K244:K246"/>
    <mergeCell ref="L244:L246"/>
    <mergeCell ref="D247:D249"/>
    <mergeCell ref="E247:E249"/>
    <mergeCell ref="F247:F249"/>
    <mergeCell ref="G247:G249"/>
    <mergeCell ref="H247:H249"/>
    <mergeCell ref="I247:I249"/>
    <mergeCell ref="J247:J249"/>
    <mergeCell ref="K247:K249"/>
    <mergeCell ref="L247:L249"/>
    <mergeCell ref="D250:D252"/>
    <mergeCell ref="E250:E252"/>
    <mergeCell ref="F250:F252"/>
    <mergeCell ref="G250:G252"/>
    <mergeCell ref="H250:H252"/>
    <mergeCell ref="I250:I252"/>
    <mergeCell ref="J250:J252"/>
    <mergeCell ref="K250:K252"/>
    <mergeCell ref="L250:L252"/>
    <mergeCell ref="D253:F253"/>
    <mergeCell ref="G253:L253"/>
    <mergeCell ref="A112:A114"/>
    <mergeCell ref="B112:C121"/>
    <mergeCell ref="D112:D114"/>
    <mergeCell ref="E112:E114"/>
    <mergeCell ref="F112:F114"/>
    <mergeCell ref="G112:G114"/>
    <mergeCell ref="H112:H114"/>
    <mergeCell ref="I112:I114"/>
    <mergeCell ref="J112:J114"/>
    <mergeCell ref="K112:K114"/>
    <mergeCell ref="L112:L114"/>
    <mergeCell ref="D115:D117"/>
    <mergeCell ref="G126:G128"/>
    <mergeCell ref="A156:A158"/>
    <mergeCell ref="B156:C165"/>
    <mergeCell ref="D156:D158"/>
    <mergeCell ref="E156:E158"/>
    <mergeCell ref="F156:F158"/>
    <mergeCell ref="G156:G158"/>
    <mergeCell ref="A222:A224"/>
    <mergeCell ref="B222:C231"/>
    <mergeCell ref="D222:D224"/>
    <mergeCell ref="E222:E224"/>
    <mergeCell ref="F222:F224"/>
    <mergeCell ref="G222:G224"/>
    <mergeCell ref="H222:H224"/>
    <mergeCell ref="I222:I224"/>
    <mergeCell ref="J222:J224"/>
    <mergeCell ref="K222:K224"/>
    <mergeCell ref="L222:L224"/>
    <mergeCell ref="D225:D227"/>
    <mergeCell ref="E225:E227"/>
    <mergeCell ref="F225:F227"/>
    <mergeCell ref="G225:G227"/>
    <mergeCell ref="H225:H227"/>
    <mergeCell ref="I225:I227"/>
    <mergeCell ref="J225:J227"/>
    <mergeCell ref="K225:K227"/>
    <mergeCell ref="L225:L227"/>
    <mergeCell ref="D228:D230"/>
    <mergeCell ref="E228:E230"/>
    <mergeCell ref="F228:F230"/>
    <mergeCell ref="G228:G230"/>
    <mergeCell ref="H228:H230"/>
    <mergeCell ref="I228:I230"/>
    <mergeCell ref="J228:J230"/>
    <mergeCell ref="K228:K230"/>
    <mergeCell ref="L228:L230"/>
    <mergeCell ref="D231:F231"/>
    <mergeCell ref="G231:L231"/>
    <mergeCell ref="F217:F219"/>
    <mergeCell ref="G217:G219"/>
    <mergeCell ref="H217:H219"/>
    <mergeCell ref="I217:I219"/>
    <mergeCell ref="J217:J219"/>
    <mergeCell ref="K217:K219"/>
    <mergeCell ref="L217:L219"/>
    <mergeCell ref="D220:F220"/>
    <mergeCell ref="G220:L220"/>
    <mergeCell ref="K206:K208"/>
    <mergeCell ref="L206:L208"/>
    <mergeCell ref="K195:K197"/>
    <mergeCell ref="L195:L197"/>
    <mergeCell ref="D198:F198"/>
    <mergeCell ref="A464:A466"/>
    <mergeCell ref="K470:K472"/>
    <mergeCell ref="L470:L472"/>
    <mergeCell ref="D473:F473"/>
    <mergeCell ref="G473:L473"/>
    <mergeCell ref="A475:A477"/>
    <mergeCell ref="B475:C484"/>
    <mergeCell ref="D475:D477"/>
    <mergeCell ref="E475:E477"/>
    <mergeCell ref="D478:D480"/>
    <mergeCell ref="E478:E480"/>
    <mergeCell ref="F478:F480"/>
    <mergeCell ref="G478:G480"/>
    <mergeCell ref="H478:H480"/>
    <mergeCell ref="I478:I480"/>
    <mergeCell ref="J478:J480"/>
    <mergeCell ref="K478:K480"/>
    <mergeCell ref="L478:L480"/>
    <mergeCell ref="D481:D483"/>
    <mergeCell ref="E481:E483"/>
    <mergeCell ref="F481:F483"/>
    <mergeCell ref="G481:G483"/>
    <mergeCell ref="H481:H483"/>
    <mergeCell ref="I481:I483"/>
    <mergeCell ref="J481:J483"/>
    <mergeCell ref="K481:K483"/>
    <mergeCell ref="L481:L483"/>
    <mergeCell ref="D484:F484"/>
    <mergeCell ref="G484:L484"/>
    <mergeCell ref="B431:C440"/>
    <mergeCell ref="D431:D433"/>
    <mergeCell ref="E431:E433"/>
    <mergeCell ref="F431:F433"/>
    <mergeCell ref="G431:G433"/>
    <mergeCell ref="H431:H433"/>
    <mergeCell ref="I431:I433"/>
    <mergeCell ref="J431:J433"/>
    <mergeCell ref="K431:K433"/>
    <mergeCell ref="L431:L433"/>
    <mergeCell ref="D434:D436"/>
    <mergeCell ref="E434:E436"/>
    <mergeCell ref="F434:F436"/>
    <mergeCell ref="G434:G436"/>
    <mergeCell ref="H434:H436"/>
    <mergeCell ref="I434:I436"/>
    <mergeCell ref="J434:J436"/>
    <mergeCell ref="K434:K436"/>
    <mergeCell ref="L434:L436"/>
    <mergeCell ref="D437:D439"/>
    <mergeCell ref="E437:E439"/>
    <mergeCell ref="F437:F439"/>
    <mergeCell ref="G437:G439"/>
    <mergeCell ref="H437:H439"/>
    <mergeCell ref="I437:I439"/>
    <mergeCell ref="J437:J439"/>
    <mergeCell ref="K437:K439"/>
    <mergeCell ref="A431:A433"/>
    <mergeCell ref="L437:L439"/>
    <mergeCell ref="D440:F440"/>
    <mergeCell ref="G440:L440"/>
    <mergeCell ref="A442:A444"/>
    <mergeCell ref="B442:C451"/>
    <mergeCell ref="D442:D444"/>
    <mergeCell ref="D445:D447"/>
    <mergeCell ref="E445:E447"/>
    <mergeCell ref="F445:F447"/>
    <mergeCell ref="G445:G447"/>
    <mergeCell ref="H445:H447"/>
    <mergeCell ref="I445:I447"/>
    <mergeCell ref="J445:J447"/>
    <mergeCell ref="K445:K447"/>
    <mergeCell ref="L445:L447"/>
    <mergeCell ref="D448:D450"/>
    <mergeCell ref="E448:E450"/>
    <mergeCell ref="F448:F450"/>
    <mergeCell ref="G448:G450"/>
    <mergeCell ref="H448:H450"/>
    <mergeCell ref="I448:I450"/>
    <mergeCell ref="J448:J450"/>
    <mergeCell ref="K448:K450"/>
    <mergeCell ref="L448:L450"/>
    <mergeCell ref="D451:F451"/>
    <mergeCell ref="G451:L451"/>
    <mergeCell ref="B398:C407"/>
    <mergeCell ref="D398:D400"/>
    <mergeCell ref="E398:E400"/>
    <mergeCell ref="F398:F400"/>
    <mergeCell ref="G398:G400"/>
    <mergeCell ref="H398:H400"/>
    <mergeCell ref="I398:I400"/>
    <mergeCell ref="J398:J400"/>
    <mergeCell ref="K398:K400"/>
    <mergeCell ref="L398:L400"/>
    <mergeCell ref="D401:D403"/>
    <mergeCell ref="E401:E403"/>
    <mergeCell ref="F401:F403"/>
    <mergeCell ref="G401:G403"/>
    <mergeCell ref="H401:H403"/>
    <mergeCell ref="I401:I403"/>
    <mergeCell ref="J401:J403"/>
    <mergeCell ref="K401:K403"/>
    <mergeCell ref="L401:L403"/>
    <mergeCell ref="D404:D406"/>
    <mergeCell ref="E404:E406"/>
    <mergeCell ref="F404:F406"/>
    <mergeCell ref="G404:G406"/>
    <mergeCell ref="H404:H406"/>
    <mergeCell ref="I404:I406"/>
    <mergeCell ref="J404:J406"/>
    <mergeCell ref="A398:A400"/>
    <mergeCell ref="K404:K406"/>
    <mergeCell ref="L404:L406"/>
    <mergeCell ref="D407:F407"/>
    <mergeCell ref="G407:L407"/>
    <mergeCell ref="A409:A411"/>
    <mergeCell ref="B409:C418"/>
    <mergeCell ref="D409:D411"/>
    <mergeCell ref="E409:E411"/>
    <mergeCell ref="F409:F411"/>
    <mergeCell ref="G409:G411"/>
    <mergeCell ref="H409:H411"/>
    <mergeCell ref="I409:I411"/>
    <mergeCell ref="J409:J411"/>
    <mergeCell ref="K409:K411"/>
    <mergeCell ref="L409:L411"/>
    <mergeCell ref="D412:D414"/>
    <mergeCell ref="E412:E414"/>
    <mergeCell ref="F412:F414"/>
    <mergeCell ref="G412:G414"/>
    <mergeCell ref="H412:H414"/>
    <mergeCell ref="I412:I414"/>
    <mergeCell ref="J412:J414"/>
    <mergeCell ref="K412:K414"/>
    <mergeCell ref="L412:L414"/>
    <mergeCell ref="D415:D417"/>
    <mergeCell ref="E415:E417"/>
    <mergeCell ref="F415:F417"/>
    <mergeCell ref="G415:G417"/>
    <mergeCell ref="H415:H417"/>
    <mergeCell ref="I415:I417"/>
    <mergeCell ref="J415:J417"/>
    <mergeCell ref="K415:K417"/>
    <mergeCell ref="L415:L417"/>
    <mergeCell ref="D418:F418"/>
    <mergeCell ref="G418:L418"/>
    <mergeCell ref="A376:A378"/>
    <mergeCell ref="B376:C385"/>
    <mergeCell ref="D376:D378"/>
    <mergeCell ref="E376:E378"/>
    <mergeCell ref="F376:F378"/>
    <mergeCell ref="G376:G378"/>
    <mergeCell ref="H376:H378"/>
    <mergeCell ref="I376:I378"/>
    <mergeCell ref="J376:J378"/>
    <mergeCell ref="K376:K378"/>
    <mergeCell ref="L376:L378"/>
    <mergeCell ref="D379:D381"/>
    <mergeCell ref="E379:E381"/>
    <mergeCell ref="F379:F381"/>
    <mergeCell ref="G379:G381"/>
    <mergeCell ref="H379:H381"/>
    <mergeCell ref="I379:I381"/>
    <mergeCell ref="J379:J381"/>
    <mergeCell ref="K379:K381"/>
    <mergeCell ref="L379:L381"/>
    <mergeCell ref="D382:D384"/>
    <mergeCell ref="E382:E384"/>
    <mergeCell ref="F382:F384"/>
    <mergeCell ref="G382:G384"/>
    <mergeCell ref="H382:H384"/>
    <mergeCell ref="I382:I384"/>
    <mergeCell ref="A354:A356"/>
    <mergeCell ref="B354:C363"/>
    <mergeCell ref="B310:C319"/>
    <mergeCell ref="D310:D312"/>
    <mergeCell ref="E310:E312"/>
    <mergeCell ref="F310:F312"/>
    <mergeCell ref="G310:G312"/>
    <mergeCell ref="H310:H312"/>
    <mergeCell ref="I310:I312"/>
    <mergeCell ref="J310:J312"/>
    <mergeCell ref="K310:K312"/>
    <mergeCell ref="L310:L312"/>
    <mergeCell ref="D313:D315"/>
    <mergeCell ref="E313:E315"/>
    <mergeCell ref="A310:A312"/>
    <mergeCell ref="F313:F315"/>
    <mergeCell ref="G313:G315"/>
    <mergeCell ref="H313:H315"/>
    <mergeCell ref="I313:I315"/>
    <mergeCell ref="J313:J315"/>
    <mergeCell ref="K313:K315"/>
    <mergeCell ref="L313:L315"/>
    <mergeCell ref="D316:D318"/>
    <mergeCell ref="E316:E318"/>
    <mergeCell ref="F316:F318"/>
    <mergeCell ref="D319:F319"/>
    <mergeCell ref="G319:L319"/>
    <mergeCell ref="A321:A323"/>
    <mergeCell ref="B321:C330"/>
    <mergeCell ref="D321:D323"/>
    <mergeCell ref="E321:E323"/>
    <mergeCell ref="F321:F323"/>
    <mergeCell ref="G321:G323"/>
    <mergeCell ref="H321:H323"/>
    <mergeCell ref="I321:I323"/>
    <mergeCell ref="J321:J323"/>
    <mergeCell ref="K321:K323"/>
    <mergeCell ref="L321:L323"/>
    <mergeCell ref="B277:C286"/>
    <mergeCell ref="D277:D279"/>
    <mergeCell ref="E277:E279"/>
    <mergeCell ref="F277:F279"/>
    <mergeCell ref="G277:G279"/>
    <mergeCell ref="H277:H279"/>
    <mergeCell ref="I277:I279"/>
    <mergeCell ref="J277:J279"/>
    <mergeCell ref="K277:K279"/>
    <mergeCell ref="L277:L279"/>
    <mergeCell ref="D280:D282"/>
    <mergeCell ref="E280:E282"/>
    <mergeCell ref="F280:F282"/>
    <mergeCell ref="G280:G282"/>
    <mergeCell ref="H280:H282"/>
    <mergeCell ref="I280:I282"/>
    <mergeCell ref="J280:J282"/>
    <mergeCell ref="K280:K282"/>
    <mergeCell ref="L280:L282"/>
    <mergeCell ref="D283:D285"/>
    <mergeCell ref="E283:E285"/>
    <mergeCell ref="F283:F285"/>
    <mergeCell ref="G283:G285"/>
    <mergeCell ref="H283:H285"/>
    <mergeCell ref="I283:I285"/>
    <mergeCell ref="J283:J285"/>
    <mergeCell ref="A277:A279"/>
    <mergeCell ref="K283:K285"/>
    <mergeCell ref="L283:L285"/>
    <mergeCell ref="D286:F286"/>
    <mergeCell ref="G286:L286"/>
    <mergeCell ref="A288:A290"/>
    <mergeCell ref="B288:C297"/>
    <mergeCell ref="D288:D290"/>
    <mergeCell ref="E288:E290"/>
    <mergeCell ref="F288:F290"/>
    <mergeCell ref="G288:G290"/>
    <mergeCell ref="H288:H290"/>
    <mergeCell ref="I288:I290"/>
    <mergeCell ref="J288:J290"/>
    <mergeCell ref="K288:K290"/>
    <mergeCell ref="L288:L290"/>
    <mergeCell ref="D291:D293"/>
    <mergeCell ref="E291:E293"/>
    <mergeCell ref="F291:F293"/>
    <mergeCell ref="G291:G293"/>
    <mergeCell ref="H291:H293"/>
    <mergeCell ref="I291:I293"/>
    <mergeCell ref="J291:J293"/>
    <mergeCell ref="K291:K293"/>
    <mergeCell ref="L291:L293"/>
    <mergeCell ref="D294:D296"/>
    <mergeCell ref="E294:E296"/>
    <mergeCell ref="F294:F296"/>
    <mergeCell ref="G294:G296"/>
    <mergeCell ref="H294:H296"/>
    <mergeCell ref="I294:I296"/>
    <mergeCell ref="J294:J296"/>
    <mergeCell ref="K294:K296"/>
    <mergeCell ref="L294:L296"/>
    <mergeCell ref="D297:F297"/>
    <mergeCell ref="G297:L297"/>
    <mergeCell ref="A200:A202"/>
    <mergeCell ref="B200:C209"/>
    <mergeCell ref="D200:D202"/>
    <mergeCell ref="E200:E202"/>
    <mergeCell ref="F200:F202"/>
    <mergeCell ref="G200:G202"/>
    <mergeCell ref="H200:H202"/>
    <mergeCell ref="I200:I202"/>
    <mergeCell ref="J200:J202"/>
    <mergeCell ref="D206:D208"/>
    <mergeCell ref="E206:E208"/>
    <mergeCell ref="F206:F208"/>
    <mergeCell ref="G206:G208"/>
    <mergeCell ref="H206:H208"/>
    <mergeCell ref="I206:I208"/>
    <mergeCell ref="J206:J208"/>
    <mergeCell ref="K200:K202"/>
    <mergeCell ref="L200:L202"/>
    <mergeCell ref="D203:D205"/>
    <mergeCell ref="D209:F209"/>
    <mergeCell ref="G209:L209"/>
    <mergeCell ref="E203:E205"/>
    <mergeCell ref="F203:F205"/>
    <mergeCell ref="A211:A213"/>
    <mergeCell ref="B211:C220"/>
    <mergeCell ref="D211:D213"/>
    <mergeCell ref="E211:E213"/>
    <mergeCell ref="F211:F213"/>
    <mergeCell ref="G211:G213"/>
    <mergeCell ref="H211:H213"/>
    <mergeCell ref="I211:I213"/>
    <mergeCell ref="J211:J213"/>
    <mergeCell ref="K211:K213"/>
    <mergeCell ref="L211:L213"/>
    <mergeCell ref="D214:D216"/>
    <mergeCell ref="E214:E216"/>
    <mergeCell ref="F214:F216"/>
    <mergeCell ref="G214:G216"/>
    <mergeCell ref="H214:H216"/>
    <mergeCell ref="I214:I216"/>
    <mergeCell ref="J214:J216"/>
    <mergeCell ref="K214:K216"/>
    <mergeCell ref="L214:L216"/>
    <mergeCell ref="D217:D219"/>
    <mergeCell ref="E217:E219"/>
    <mergeCell ref="G203:G205"/>
    <mergeCell ref="H203:H205"/>
    <mergeCell ref="I203:I205"/>
    <mergeCell ref="G187:L187"/>
    <mergeCell ref="D176:F176"/>
    <mergeCell ref="G176:L176"/>
    <mergeCell ref="J203:J205"/>
    <mergeCell ref="K203:K205"/>
    <mergeCell ref="L203:L205"/>
    <mergeCell ref="A178:A180"/>
    <mergeCell ref="B178:C187"/>
    <mergeCell ref="D178:D180"/>
    <mergeCell ref="E178:E180"/>
    <mergeCell ref="F178:F180"/>
    <mergeCell ref="G178:G180"/>
    <mergeCell ref="H178:H180"/>
    <mergeCell ref="I178:I180"/>
    <mergeCell ref="J178:J180"/>
    <mergeCell ref="K178:K180"/>
    <mergeCell ref="L178:L180"/>
    <mergeCell ref="D181:D183"/>
    <mergeCell ref="E181:E183"/>
    <mergeCell ref="F181:F183"/>
    <mergeCell ref="G181:G183"/>
    <mergeCell ref="H181:H183"/>
    <mergeCell ref="I181:I183"/>
    <mergeCell ref="J181:J183"/>
    <mergeCell ref="K189:K191"/>
    <mergeCell ref="L189:L191"/>
    <mergeCell ref="D192:D194"/>
    <mergeCell ref="E192:E194"/>
    <mergeCell ref="F192:F194"/>
    <mergeCell ref="G192:G194"/>
    <mergeCell ref="H192:H194"/>
    <mergeCell ref="I192:I194"/>
    <mergeCell ref="J192:J194"/>
    <mergeCell ref="K192:K194"/>
    <mergeCell ref="L192:L194"/>
    <mergeCell ref="A189:A191"/>
    <mergeCell ref="B189:C198"/>
    <mergeCell ref="D189:D191"/>
    <mergeCell ref="E189:E191"/>
    <mergeCell ref="F189:F191"/>
    <mergeCell ref="G189:G191"/>
    <mergeCell ref="H189:H191"/>
    <mergeCell ref="I189:I191"/>
    <mergeCell ref="J189:J191"/>
    <mergeCell ref="D195:D197"/>
    <mergeCell ref="E195:E197"/>
    <mergeCell ref="F195:F197"/>
    <mergeCell ref="G195:G197"/>
    <mergeCell ref="H195:H197"/>
    <mergeCell ref="I195:I197"/>
    <mergeCell ref="J195:J197"/>
    <mergeCell ref="K181:K183"/>
    <mergeCell ref="L181:L183"/>
    <mergeCell ref="D184:D186"/>
    <mergeCell ref="E184:E186"/>
    <mergeCell ref="F184:F186"/>
    <mergeCell ref="G184:G186"/>
    <mergeCell ref="H184:H186"/>
    <mergeCell ref="I184:I186"/>
    <mergeCell ref="J184:J186"/>
    <mergeCell ref="K184:K186"/>
    <mergeCell ref="L184:L186"/>
    <mergeCell ref="D187:F187"/>
    <mergeCell ref="G198:L198"/>
    <mergeCell ref="K156:K158"/>
    <mergeCell ref="L156:L158"/>
    <mergeCell ref="D159:D161"/>
    <mergeCell ref="E159:E161"/>
    <mergeCell ref="F159:F161"/>
    <mergeCell ref="G159:G161"/>
    <mergeCell ref="H159:H161"/>
    <mergeCell ref="I159:I161"/>
    <mergeCell ref="J159:J161"/>
    <mergeCell ref="K159:K161"/>
    <mergeCell ref="L159:L161"/>
    <mergeCell ref="H156:H158"/>
    <mergeCell ref="I156:I158"/>
    <mergeCell ref="J156:J158"/>
    <mergeCell ref="D162:D164"/>
    <mergeCell ref="E162:E164"/>
    <mergeCell ref="F162:F164"/>
    <mergeCell ref="G162:G164"/>
    <mergeCell ref="H162:H164"/>
    <mergeCell ref="I162:I164"/>
    <mergeCell ref="A167:A169"/>
    <mergeCell ref="B167:C176"/>
    <mergeCell ref="D167:D169"/>
    <mergeCell ref="E167:E169"/>
    <mergeCell ref="F167:F169"/>
    <mergeCell ref="G167:G169"/>
    <mergeCell ref="H167:H169"/>
    <mergeCell ref="I167:I169"/>
    <mergeCell ref="J167:J169"/>
    <mergeCell ref="D173:D175"/>
    <mergeCell ref="E173:E175"/>
    <mergeCell ref="F173:F175"/>
    <mergeCell ref="G173:G175"/>
    <mergeCell ref="H173:H175"/>
    <mergeCell ref="I173:I175"/>
    <mergeCell ref="J173:J175"/>
    <mergeCell ref="K167:K169"/>
    <mergeCell ref="D170:D172"/>
    <mergeCell ref="E170:E172"/>
    <mergeCell ref="F170:F172"/>
    <mergeCell ref="G170:G172"/>
    <mergeCell ref="H170:H172"/>
    <mergeCell ref="I170:I172"/>
    <mergeCell ref="J170:J172"/>
    <mergeCell ref="K170:K172"/>
    <mergeCell ref="L170:L172"/>
    <mergeCell ref="K173:K175"/>
    <mergeCell ref="L173:L175"/>
    <mergeCell ref="J162:J164"/>
    <mergeCell ref="K162:K164"/>
    <mergeCell ref="L162:L164"/>
    <mergeCell ref="D165:F165"/>
    <mergeCell ref="G165:L165"/>
    <mergeCell ref="L167:L169"/>
    <mergeCell ref="L148:L150"/>
    <mergeCell ref="K134:K136"/>
    <mergeCell ref="L134:L136"/>
    <mergeCell ref="D137:D139"/>
    <mergeCell ref="E137:E139"/>
    <mergeCell ref="F137:F139"/>
    <mergeCell ref="G137:G139"/>
    <mergeCell ref="H137:H139"/>
    <mergeCell ref="I137:I139"/>
    <mergeCell ref="J137:J139"/>
    <mergeCell ref="K137:K139"/>
    <mergeCell ref="L137:L139"/>
    <mergeCell ref="A134:A136"/>
    <mergeCell ref="B134:C143"/>
    <mergeCell ref="D134:D136"/>
    <mergeCell ref="E134:E136"/>
    <mergeCell ref="F134:F136"/>
    <mergeCell ref="G134:G136"/>
    <mergeCell ref="H134:H136"/>
    <mergeCell ref="I134:I136"/>
    <mergeCell ref="J134:J136"/>
    <mergeCell ref="D140:D142"/>
    <mergeCell ref="E140:E142"/>
    <mergeCell ref="F140:F142"/>
    <mergeCell ref="G140:G142"/>
    <mergeCell ref="H140:H142"/>
    <mergeCell ref="I140:I142"/>
    <mergeCell ref="J140:J142"/>
    <mergeCell ref="D151:D153"/>
    <mergeCell ref="E151:E153"/>
    <mergeCell ref="F151:F153"/>
    <mergeCell ref="G151:G153"/>
    <mergeCell ref="H151:H153"/>
    <mergeCell ref="I151:I153"/>
    <mergeCell ref="J151:J153"/>
    <mergeCell ref="K151:K153"/>
    <mergeCell ref="L151:L153"/>
    <mergeCell ref="K140:K142"/>
    <mergeCell ref="L140:L142"/>
    <mergeCell ref="D143:F143"/>
    <mergeCell ref="G143:L143"/>
    <mergeCell ref="A145:A147"/>
    <mergeCell ref="B145:C154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D148:D150"/>
    <mergeCell ref="E148:E150"/>
    <mergeCell ref="F148:F150"/>
    <mergeCell ref="G148:G150"/>
    <mergeCell ref="H148:H150"/>
    <mergeCell ref="I148:I150"/>
    <mergeCell ref="J148:J150"/>
    <mergeCell ref="K148:K150"/>
    <mergeCell ref="D154:F154"/>
    <mergeCell ref="G154:L154"/>
    <mergeCell ref="E115:E117"/>
    <mergeCell ref="F115:F117"/>
    <mergeCell ref="G115:G117"/>
    <mergeCell ref="H115:H117"/>
    <mergeCell ref="I115:I117"/>
    <mergeCell ref="J115:J117"/>
    <mergeCell ref="K115:K117"/>
    <mergeCell ref="L115:L117"/>
    <mergeCell ref="D118:D120"/>
    <mergeCell ref="E118:E120"/>
    <mergeCell ref="F118:F120"/>
    <mergeCell ref="G118:G120"/>
    <mergeCell ref="H118:H120"/>
    <mergeCell ref="I118:I120"/>
    <mergeCell ref="J118:J120"/>
    <mergeCell ref="K118:K120"/>
    <mergeCell ref="L118:L120"/>
    <mergeCell ref="H126:H128"/>
    <mergeCell ref="I126:I128"/>
    <mergeCell ref="J126:J128"/>
    <mergeCell ref="K126:K128"/>
    <mergeCell ref="L126:L128"/>
    <mergeCell ref="K129:K131"/>
    <mergeCell ref="L129:L131"/>
    <mergeCell ref="D132:F132"/>
    <mergeCell ref="G132:L132"/>
    <mergeCell ref="D121:F121"/>
    <mergeCell ref="G121:L121"/>
    <mergeCell ref="A123:A125"/>
    <mergeCell ref="B123:C132"/>
    <mergeCell ref="D123:D125"/>
    <mergeCell ref="E123:E125"/>
    <mergeCell ref="F123:F125"/>
    <mergeCell ref="G123:G125"/>
    <mergeCell ref="H123:H125"/>
    <mergeCell ref="I123:I125"/>
    <mergeCell ref="J123:J125"/>
    <mergeCell ref="D129:D131"/>
    <mergeCell ref="E129:E131"/>
    <mergeCell ref="F129:F131"/>
    <mergeCell ref="G129:G131"/>
    <mergeCell ref="H129:H131"/>
    <mergeCell ref="I129:I131"/>
    <mergeCell ref="J129:J131"/>
    <mergeCell ref="K123:K125"/>
    <mergeCell ref="L123:L125"/>
    <mergeCell ref="D126:D128"/>
    <mergeCell ref="E126:E128"/>
    <mergeCell ref="F126:F128"/>
    <mergeCell ref="A90:A92"/>
    <mergeCell ref="B90:C99"/>
    <mergeCell ref="D90:D92"/>
    <mergeCell ref="E90:E92"/>
    <mergeCell ref="F90:F92"/>
    <mergeCell ref="G90:G92"/>
    <mergeCell ref="H90:H92"/>
    <mergeCell ref="I90:I92"/>
    <mergeCell ref="J90:J92"/>
    <mergeCell ref="K90:K92"/>
    <mergeCell ref="L90:L92"/>
    <mergeCell ref="D93:D95"/>
    <mergeCell ref="E93:E95"/>
    <mergeCell ref="F93:F95"/>
    <mergeCell ref="G93:G95"/>
    <mergeCell ref="H93:H95"/>
    <mergeCell ref="I93:I95"/>
    <mergeCell ref="J93:J95"/>
    <mergeCell ref="K93:K95"/>
    <mergeCell ref="L93:L95"/>
    <mergeCell ref="E96:E98"/>
    <mergeCell ref="F96:F98"/>
    <mergeCell ref="G96:G98"/>
    <mergeCell ref="H96:H98"/>
    <mergeCell ref="I96:I98"/>
    <mergeCell ref="J96:J98"/>
    <mergeCell ref="K96:K98"/>
    <mergeCell ref="L96:L98"/>
    <mergeCell ref="D99:F99"/>
    <mergeCell ref="G99:L99"/>
    <mergeCell ref="A101:A103"/>
    <mergeCell ref="B101:C110"/>
    <mergeCell ref="D101:D103"/>
    <mergeCell ref="E101:E103"/>
    <mergeCell ref="F101:F103"/>
    <mergeCell ref="G101:G103"/>
    <mergeCell ref="H101:H103"/>
    <mergeCell ref="I101:I103"/>
    <mergeCell ref="J101:J103"/>
    <mergeCell ref="K101:K103"/>
    <mergeCell ref="L101:L103"/>
    <mergeCell ref="D104:D106"/>
    <mergeCell ref="E104:E106"/>
    <mergeCell ref="F104:F106"/>
    <mergeCell ref="G104:G106"/>
    <mergeCell ref="H104:H106"/>
    <mergeCell ref="I104:I106"/>
    <mergeCell ref="J104:J106"/>
    <mergeCell ref="K104:K106"/>
    <mergeCell ref="L104:L106"/>
    <mergeCell ref="D107:D109"/>
    <mergeCell ref="E107:E109"/>
    <mergeCell ref="F107:F109"/>
    <mergeCell ref="G107:G109"/>
    <mergeCell ref="H107:H109"/>
    <mergeCell ref="I107:I109"/>
    <mergeCell ref="J107:J109"/>
    <mergeCell ref="K107:K109"/>
    <mergeCell ref="L107:L109"/>
    <mergeCell ref="A68:A70"/>
    <mergeCell ref="B68:C77"/>
    <mergeCell ref="D68:D70"/>
    <mergeCell ref="E68:E70"/>
    <mergeCell ref="F68:F70"/>
    <mergeCell ref="G68:G70"/>
    <mergeCell ref="H68:H70"/>
    <mergeCell ref="I68:I70"/>
    <mergeCell ref="J68:J70"/>
    <mergeCell ref="D74:D76"/>
    <mergeCell ref="E74:E76"/>
    <mergeCell ref="F74:F76"/>
    <mergeCell ref="G74:G76"/>
    <mergeCell ref="H74:H76"/>
    <mergeCell ref="I74:I76"/>
    <mergeCell ref="J74:J76"/>
    <mergeCell ref="K74:K76"/>
    <mergeCell ref="L74:L76"/>
    <mergeCell ref="D77:F77"/>
    <mergeCell ref="G77:L77"/>
    <mergeCell ref="A79:A81"/>
    <mergeCell ref="B79:C88"/>
    <mergeCell ref="D79:D81"/>
    <mergeCell ref="E79:E81"/>
    <mergeCell ref="F79:F81"/>
    <mergeCell ref="G79:G81"/>
    <mergeCell ref="H79:H81"/>
    <mergeCell ref="I79:I81"/>
    <mergeCell ref="J79:J81"/>
    <mergeCell ref="K79:K81"/>
    <mergeCell ref="L79:L81"/>
    <mergeCell ref="D82:D84"/>
    <mergeCell ref="E82:E84"/>
    <mergeCell ref="F82:F84"/>
    <mergeCell ref="G82:G84"/>
    <mergeCell ref="H82:H84"/>
    <mergeCell ref="I82:I84"/>
    <mergeCell ref="J82:J84"/>
    <mergeCell ref="K82:K84"/>
    <mergeCell ref="L82:L84"/>
    <mergeCell ref="K85:K87"/>
    <mergeCell ref="L85:L87"/>
    <mergeCell ref="D88:F88"/>
    <mergeCell ref="G88:L88"/>
    <mergeCell ref="D66:F66"/>
    <mergeCell ref="G66:L66"/>
    <mergeCell ref="K52:K54"/>
    <mergeCell ref="L52:L54"/>
    <mergeCell ref="D55:F55"/>
    <mergeCell ref="G55:L55"/>
    <mergeCell ref="B57:C66"/>
    <mergeCell ref="D57:D59"/>
    <mergeCell ref="E57:E59"/>
    <mergeCell ref="F57:F59"/>
    <mergeCell ref="G57:G59"/>
    <mergeCell ref="H57:H59"/>
    <mergeCell ref="I57:I59"/>
    <mergeCell ref="J57:J59"/>
    <mergeCell ref="K57:K59"/>
    <mergeCell ref="L57:L59"/>
    <mergeCell ref="D60:D62"/>
    <mergeCell ref="E60:E62"/>
    <mergeCell ref="F60:F62"/>
    <mergeCell ref="G60:G62"/>
    <mergeCell ref="H60:H62"/>
    <mergeCell ref="I60:I62"/>
    <mergeCell ref="J60:J62"/>
    <mergeCell ref="K60:K62"/>
    <mergeCell ref="L60:L62"/>
    <mergeCell ref="D63:D65"/>
    <mergeCell ref="E63:E65"/>
    <mergeCell ref="K68:K70"/>
    <mergeCell ref="L68:L70"/>
    <mergeCell ref="D71:D73"/>
    <mergeCell ref="E71:E73"/>
    <mergeCell ref="F71:F73"/>
    <mergeCell ref="G71:G73"/>
    <mergeCell ref="H71:H73"/>
    <mergeCell ref="I71:I73"/>
    <mergeCell ref="J71:J73"/>
    <mergeCell ref="K71:K73"/>
    <mergeCell ref="L71:L73"/>
    <mergeCell ref="F63:F65"/>
    <mergeCell ref="G63:G65"/>
    <mergeCell ref="H63:H65"/>
    <mergeCell ref="I63:I65"/>
    <mergeCell ref="J63:J65"/>
    <mergeCell ref="K63:K65"/>
    <mergeCell ref="L63:L65"/>
    <mergeCell ref="D44:F44"/>
    <mergeCell ref="G44:L44"/>
    <mergeCell ref="D33:F33"/>
    <mergeCell ref="G33:L33"/>
    <mergeCell ref="A35:A37"/>
    <mergeCell ref="B35:C44"/>
    <mergeCell ref="D35:D37"/>
    <mergeCell ref="E35:E37"/>
    <mergeCell ref="F35:F37"/>
    <mergeCell ref="G35:G37"/>
    <mergeCell ref="H35:H37"/>
    <mergeCell ref="I35:I37"/>
    <mergeCell ref="J35:J37"/>
    <mergeCell ref="K35:K37"/>
    <mergeCell ref="L35:L37"/>
    <mergeCell ref="D38:D40"/>
    <mergeCell ref="E38:E40"/>
    <mergeCell ref="F38:F40"/>
    <mergeCell ref="G38:G40"/>
    <mergeCell ref="H38:H40"/>
    <mergeCell ref="I38:I40"/>
    <mergeCell ref="J38:J40"/>
    <mergeCell ref="K38:K40"/>
    <mergeCell ref="K46:K48"/>
    <mergeCell ref="L46:L48"/>
    <mergeCell ref="D49:D51"/>
    <mergeCell ref="E49:E51"/>
    <mergeCell ref="F49:F51"/>
    <mergeCell ref="G49:G51"/>
    <mergeCell ref="H49:H51"/>
    <mergeCell ref="I49:I51"/>
    <mergeCell ref="J49:J51"/>
    <mergeCell ref="K49:K51"/>
    <mergeCell ref="L49:L51"/>
    <mergeCell ref="A46:A48"/>
    <mergeCell ref="B46:C55"/>
    <mergeCell ref="D46:D48"/>
    <mergeCell ref="E46:E48"/>
    <mergeCell ref="F46:F48"/>
    <mergeCell ref="G46:G48"/>
    <mergeCell ref="H46:H48"/>
    <mergeCell ref="I46:I48"/>
    <mergeCell ref="J46:J48"/>
    <mergeCell ref="D52:D54"/>
    <mergeCell ref="E52:E54"/>
    <mergeCell ref="F52:F54"/>
    <mergeCell ref="G52:G54"/>
    <mergeCell ref="H52:H54"/>
    <mergeCell ref="I52:I54"/>
    <mergeCell ref="J52:J54"/>
    <mergeCell ref="G16:G18"/>
    <mergeCell ref="H16:H18"/>
    <mergeCell ref="I16:I18"/>
    <mergeCell ref="J16:J18"/>
    <mergeCell ref="K16:K18"/>
    <mergeCell ref="L16:L18"/>
    <mergeCell ref="A13:A15"/>
    <mergeCell ref="B13:C22"/>
    <mergeCell ref="D13:D15"/>
    <mergeCell ref="E13:E15"/>
    <mergeCell ref="F13:F15"/>
    <mergeCell ref="G13:G15"/>
    <mergeCell ref="H13:H15"/>
    <mergeCell ref="I13:I15"/>
    <mergeCell ref="J13:J15"/>
    <mergeCell ref="D19:D21"/>
    <mergeCell ref="E19:E21"/>
    <mergeCell ref="F19:F21"/>
    <mergeCell ref="G19:G21"/>
    <mergeCell ref="H19:H21"/>
    <mergeCell ref="I19:I21"/>
    <mergeCell ref="J19:J21"/>
    <mergeCell ref="L38:L40"/>
    <mergeCell ref="D41:D43"/>
    <mergeCell ref="E41:E43"/>
    <mergeCell ref="D30:D32"/>
    <mergeCell ref="E30:E32"/>
    <mergeCell ref="F30:F32"/>
    <mergeCell ref="G30:G32"/>
    <mergeCell ref="H30:H32"/>
    <mergeCell ref="I30:I32"/>
    <mergeCell ref="J30:J32"/>
    <mergeCell ref="K30:K32"/>
    <mergeCell ref="L30:L32"/>
    <mergeCell ref="K19:K21"/>
    <mergeCell ref="L19:L21"/>
    <mergeCell ref="D22:F22"/>
    <mergeCell ref="G22:L22"/>
    <mergeCell ref="A24:A26"/>
    <mergeCell ref="B24:C33"/>
    <mergeCell ref="D24:D26"/>
    <mergeCell ref="E24:E26"/>
    <mergeCell ref="F24:F26"/>
    <mergeCell ref="G24:G26"/>
    <mergeCell ref="H24:H26"/>
    <mergeCell ref="I24:I26"/>
    <mergeCell ref="J24:J26"/>
    <mergeCell ref="K24:K26"/>
    <mergeCell ref="L24:L26"/>
    <mergeCell ref="D27:D29"/>
    <mergeCell ref="E27:E29"/>
    <mergeCell ref="F27:F29"/>
    <mergeCell ref="G27:G29"/>
    <mergeCell ref="H27:H29"/>
    <mergeCell ref="F41:F43"/>
    <mergeCell ref="G41:G43"/>
    <mergeCell ref="H41:H43"/>
    <mergeCell ref="I41:I43"/>
    <mergeCell ref="J41:J43"/>
    <mergeCell ref="K41:K43"/>
    <mergeCell ref="L41:L43"/>
    <mergeCell ref="A1:L1"/>
    <mergeCell ref="D2:D4"/>
    <mergeCell ref="E2:E4"/>
    <mergeCell ref="F2:F4"/>
    <mergeCell ref="G2:G4"/>
    <mergeCell ref="H2:H4"/>
    <mergeCell ref="I2:I4"/>
    <mergeCell ref="A57:A59"/>
    <mergeCell ref="B2:C11"/>
    <mergeCell ref="D11:F11"/>
    <mergeCell ref="G11:L11"/>
    <mergeCell ref="D85:D87"/>
    <mergeCell ref="E85:E87"/>
    <mergeCell ref="F85:F87"/>
    <mergeCell ref="G85:G87"/>
    <mergeCell ref="H85:H87"/>
    <mergeCell ref="I85:I87"/>
    <mergeCell ref="J85:J87"/>
    <mergeCell ref="D96:D98"/>
    <mergeCell ref="D110:F110"/>
    <mergeCell ref="G110:L110"/>
    <mergeCell ref="A563:A565"/>
    <mergeCell ref="A585:A587"/>
    <mergeCell ref="B585:C594"/>
    <mergeCell ref="A607:A609"/>
    <mergeCell ref="B607:C616"/>
    <mergeCell ref="A629:A631"/>
    <mergeCell ref="B629:C638"/>
    <mergeCell ref="A651:A653"/>
    <mergeCell ref="B651:C660"/>
    <mergeCell ref="A673:A675"/>
    <mergeCell ref="A695:A697"/>
    <mergeCell ref="B695:C704"/>
    <mergeCell ref="D8:D10"/>
    <mergeCell ref="E8:E10"/>
    <mergeCell ref="F8:F10"/>
    <mergeCell ref="G8:G10"/>
    <mergeCell ref="H8:H10"/>
    <mergeCell ref="I8:I10"/>
    <mergeCell ref="J8:J10"/>
    <mergeCell ref="K8:K10"/>
    <mergeCell ref="L8:L10"/>
    <mergeCell ref="J2:J4"/>
    <mergeCell ref="K2:K4"/>
    <mergeCell ref="L2:L4"/>
    <mergeCell ref="A2:A4"/>
    <mergeCell ref="D5:D7"/>
    <mergeCell ref="F5:F7"/>
    <mergeCell ref="E5:E7"/>
    <mergeCell ref="G5:G7"/>
    <mergeCell ref="H5:H7"/>
    <mergeCell ref="I5:I7"/>
    <mergeCell ref="J5:J7"/>
    <mergeCell ref="K5:K7"/>
    <mergeCell ref="L5:L7"/>
    <mergeCell ref="I27:I29"/>
    <mergeCell ref="J27:J29"/>
    <mergeCell ref="K27:K29"/>
    <mergeCell ref="L27:L29"/>
    <mergeCell ref="K13:K15"/>
    <mergeCell ref="L13:L15"/>
    <mergeCell ref="D16:D18"/>
    <mergeCell ref="E16:E18"/>
    <mergeCell ref="F16:F18"/>
    <mergeCell ref="K1578:K1580"/>
    <mergeCell ref="L1578:L1580"/>
    <mergeCell ref="D1581:D1583"/>
    <mergeCell ref="E1581:E1583"/>
    <mergeCell ref="F1581:F1583"/>
    <mergeCell ref="G1581:G1583"/>
    <mergeCell ref="H1581:H1583"/>
    <mergeCell ref="I1581:I1583"/>
    <mergeCell ref="J1581:J1583"/>
    <mergeCell ref="K1581:K1583"/>
    <mergeCell ref="L1581:L1583"/>
    <mergeCell ref="D1567:D1569"/>
    <mergeCell ref="E1567:E1569"/>
    <mergeCell ref="F1567:F1569"/>
    <mergeCell ref="G1567:G1569"/>
    <mergeCell ref="H1567:H1569"/>
    <mergeCell ref="I1567:I1569"/>
    <mergeCell ref="J1567:J1569"/>
    <mergeCell ref="K1567:K1569"/>
    <mergeCell ref="L1567:L1569"/>
    <mergeCell ref="D1570:D1572"/>
    <mergeCell ref="E1570:E1572"/>
    <mergeCell ref="F1570:F1572"/>
    <mergeCell ref="G1570:G1572"/>
    <mergeCell ref="H1570:H1572"/>
    <mergeCell ref="I1570:I1572"/>
    <mergeCell ref="J1570:J1572"/>
    <mergeCell ref="K1570:K1572"/>
    <mergeCell ref="L1570:L1572"/>
    <mergeCell ref="A1586:A1588"/>
    <mergeCell ref="B1586:C1595"/>
    <mergeCell ref="D1600:D1602"/>
    <mergeCell ref="E1600:E1602"/>
    <mergeCell ref="F1600:F1602"/>
    <mergeCell ref="G1600:G1602"/>
    <mergeCell ref="H1600:H1602"/>
    <mergeCell ref="I1600:I1602"/>
    <mergeCell ref="J1600:J1602"/>
    <mergeCell ref="K1600:K1602"/>
    <mergeCell ref="L1600:L1602"/>
    <mergeCell ref="D1589:D1591"/>
    <mergeCell ref="E1589:E1591"/>
    <mergeCell ref="F1589:F1591"/>
    <mergeCell ref="G1589:G1591"/>
    <mergeCell ref="H1589:H1591"/>
    <mergeCell ref="I1589:I1591"/>
    <mergeCell ref="J1589:J1591"/>
    <mergeCell ref="K1589:K1591"/>
    <mergeCell ref="L1589:L1591"/>
    <mergeCell ref="D1592:D1594"/>
    <mergeCell ref="E1592:E1594"/>
    <mergeCell ref="F1592:F1594"/>
    <mergeCell ref="G1592:G1594"/>
    <mergeCell ref="H1592:H1594"/>
    <mergeCell ref="I1592:I1594"/>
    <mergeCell ref="J1592:J1594"/>
    <mergeCell ref="K1592:K1594"/>
    <mergeCell ref="L1592:L1594"/>
    <mergeCell ref="D1586:D1588"/>
    <mergeCell ref="E1586:E1588"/>
    <mergeCell ref="F1586:F1588"/>
    <mergeCell ref="G1586:G1588"/>
    <mergeCell ref="H1586:H1588"/>
    <mergeCell ref="I1586:I1588"/>
    <mergeCell ref="K1644:K1646"/>
    <mergeCell ref="L1644:L1646"/>
    <mergeCell ref="D1647:D1649"/>
    <mergeCell ref="E1647:E1649"/>
    <mergeCell ref="F1647:F1649"/>
    <mergeCell ref="G1647:G1649"/>
    <mergeCell ref="H1647:H1649"/>
    <mergeCell ref="I1647:I1649"/>
    <mergeCell ref="J1647:J1649"/>
    <mergeCell ref="K1647:K1649"/>
    <mergeCell ref="L1647:L1649"/>
    <mergeCell ref="D1633:D1635"/>
    <mergeCell ref="E1633:E1635"/>
    <mergeCell ref="F1633:F1635"/>
    <mergeCell ref="G1633:G1635"/>
    <mergeCell ref="H1633:H1635"/>
    <mergeCell ref="I1633:I1635"/>
    <mergeCell ref="J1633:J1635"/>
    <mergeCell ref="K1633:K1635"/>
    <mergeCell ref="L1633:L1635"/>
    <mergeCell ref="D1636:D1638"/>
    <mergeCell ref="E1636:E1638"/>
    <mergeCell ref="F1636:F1638"/>
    <mergeCell ref="G1636:G1638"/>
    <mergeCell ref="H1636:H1638"/>
    <mergeCell ref="I1636:I1638"/>
    <mergeCell ref="J1636:J1638"/>
    <mergeCell ref="K1636:K1638"/>
    <mergeCell ref="L1636:L1638"/>
    <mergeCell ref="A1652:A1654"/>
    <mergeCell ref="B1652:C1661"/>
    <mergeCell ref="A1674:A1676"/>
    <mergeCell ref="B1674:C1683"/>
    <mergeCell ref="D1674:D1676"/>
    <mergeCell ref="D1652:D1654"/>
    <mergeCell ref="E1652:E1654"/>
    <mergeCell ref="F1652:F1654"/>
    <mergeCell ref="G1652:G1654"/>
    <mergeCell ref="H1652:H1654"/>
    <mergeCell ref="I1652:I1654"/>
    <mergeCell ref="J1652:J1654"/>
    <mergeCell ref="K1652:K1654"/>
    <mergeCell ref="L1652:L1654"/>
    <mergeCell ref="D1655:D1657"/>
    <mergeCell ref="E1655:E1657"/>
    <mergeCell ref="F1655:F1657"/>
    <mergeCell ref="G1655:G1657"/>
    <mergeCell ref="H1655:H1657"/>
    <mergeCell ref="I1655:I1657"/>
    <mergeCell ref="J1655:J1657"/>
    <mergeCell ref="K1655:K1657"/>
    <mergeCell ref="L1655:L1657"/>
    <mergeCell ref="D1658:D1660"/>
    <mergeCell ref="E1658:E1660"/>
    <mergeCell ref="F1658:F1660"/>
    <mergeCell ref="G1658:G1660"/>
    <mergeCell ref="H1658:H1660"/>
    <mergeCell ref="I1658:I1660"/>
    <mergeCell ref="J1658:J1660"/>
    <mergeCell ref="K1658:K1660"/>
    <mergeCell ref="L1658:L1660"/>
    <mergeCell ref="D1661:F1661"/>
    <mergeCell ref="G1661:L1661"/>
    <mergeCell ref="A1663:A1665"/>
    <mergeCell ref="D1784:D1786"/>
    <mergeCell ref="E1784:E1786"/>
    <mergeCell ref="F1784:F1786"/>
    <mergeCell ref="G1784:G1786"/>
    <mergeCell ref="H1784:H1786"/>
    <mergeCell ref="I1784:I1786"/>
    <mergeCell ref="J1784:J1786"/>
    <mergeCell ref="K1784:K1786"/>
    <mergeCell ref="L1784:L1786"/>
    <mergeCell ref="D1773:D1775"/>
    <mergeCell ref="E1773:E1775"/>
    <mergeCell ref="F1773:F1775"/>
    <mergeCell ref="G1773:G1775"/>
    <mergeCell ref="H1773:H1775"/>
    <mergeCell ref="I1773:I1775"/>
    <mergeCell ref="J1773:J1775"/>
    <mergeCell ref="K1773:K1775"/>
    <mergeCell ref="L1773:L1775"/>
    <mergeCell ref="A1784:A1786"/>
    <mergeCell ref="D1806:D1808"/>
    <mergeCell ref="E1806:E1808"/>
    <mergeCell ref="F1806:F1808"/>
    <mergeCell ref="G1806:G1808"/>
    <mergeCell ref="H1806:H1808"/>
    <mergeCell ref="I1806:I1808"/>
    <mergeCell ref="J1806:J1808"/>
    <mergeCell ref="K1806:K1808"/>
    <mergeCell ref="L1806:L1808"/>
    <mergeCell ref="D1795:D1797"/>
    <mergeCell ref="E1795:E1797"/>
    <mergeCell ref="F1795:F1797"/>
    <mergeCell ref="G1795:G1797"/>
    <mergeCell ref="H1795:H1797"/>
    <mergeCell ref="I1795:I1797"/>
    <mergeCell ref="J1795:J1797"/>
    <mergeCell ref="K1795:K1797"/>
    <mergeCell ref="L1795:L1797"/>
    <mergeCell ref="B1784:C1793"/>
    <mergeCell ref="D1787:D1789"/>
    <mergeCell ref="E1787:E1789"/>
    <mergeCell ref="F1787:F1789"/>
    <mergeCell ref="G1787:G1789"/>
    <mergeCell ref="H1787:H1789"/>
    <mergeCell ref="I1787:I1789"/>
    <mergeCell ref="J1787:J1789"/>
    <mergeCell ref="K1787:K1789"/>
    <mergeCell ref="L1787:L1789"/>
    <mergeCell ref="D1790:D1792"/>
    <mergeCell ref="E1790:E1792"/>
    <mergeCell ref="F1790:F1792"/>
    <mergeCell ref="G1790:G1792"/>
    <mergeCell ref="H1790:H1792"/>
    <mergeCell ref="I1790:I1792"/>
    <mergeCell ref="J1790:J1792"/>
    <mergeCell ref="K1790:K1792"/>
    <mergeCell ref="L1790:L1792"/>
    <mergeCell ref="D1793:F1793"/>
    <mergeCell ref="G1793:L1793"/>
    <mergeCell ref="A1795:A1797"/>
    <mergeCell ref="B1795:C1804"/>
    <mergeCell ref="D1798:D1800"/>
    <mergeCell ref="E1798:E1800"/>
    <mergeCell ref="F1798:F1800"/>
    <mergeCell ref="G1798:G1800"/>
    <mergeCell ref="D1828:D1830"/>
    <mergeCell ref="E1828:E1830"/>
    <mergeCell ref="F1828:F1830"/>
    <mergeCell ref="G1828:G1830"/>
    <mergeCell ref="H1828:H1830"/>
    <mergeCell ref="I1828:I1830"/>
    <mergeCell ref="J1828:J1830"/>
    <mergeCell ref="K1828:K1830"/>
    <mergeCell ref="L1828:L1830"/>
    <mergeCell ref="D1817:D1819"/>
    <mergeCell ref="E1817:E1819"/>
    <mergeCell ref="F1817:F1819"/>
    <mergeCell ref="G1817:G1819"/>
    <mergeCell ref="H1817:H1819"/>
    <mergeCell ref="I1817:I1819"/>
    <mergeCell ref="J1817:J1819"/>
    <mergeCell ref="K1817:K1819"/>
    <mergeCell ref="L1817:L1819"/>
    <mergeCell ref="A1828:A1830"/>
    <mergeCell ref="B1828:C1837"/>
    <mergeCell ref="D1850:D1852"/>
    <mergeCell ref="E1850:E1852"/>
    <mergeCell ref="F1850:F1852"/>
    <mergeCell ref="G1850:G1852"/>
    <mergeCell ref="H1850:H1852"/>
    <mergeCell ref="I1850:I1852"/>
    <mergeCell ref="J1850:J1852"/>
    <mergeCell ref="K1850:K1852"/>
    <mergeCell ref="L1850:L1852"/>
    <mergeCell ref="D1839:D1841"/>
    <mergeCell ref="E1839:E1841"/>
    <mergeCell ref="F1839:F1841"/>
    <mergeCell ref="G1839:G1841"/>
    <mergeCell ref="H1839:H1841"/>
    <mergeCell ref="I1839:I1841"/>
    <mergeCell ref="J1839:J1841"/>
    <mergeCell ref="K1839:K1841"/>
    <mergeCell ref="L1839:L1841"/>
    <mergeCell ref="D1831:D1833"/>
    <mergeCell ref="E1831:E1833"/>
    <mergeCell ref="A1817:A1819"/>
    <mergeCell ref="B1817:C1826"/>
    <mergeCell ref="D1820:D1822"/>
    <mergeCell ref="E1820:E1822"/>
    <mergeCell ref="F1820:F1822"/>
    <mergeCell ref="G1820:G1822"/>
    <mergeCell ref="H1820:H1822"/>
    <mergeCell ref="I1820:I1822"/>
    <mergeCell ref="J1820:J1822"/>
    <mergeCell ref="K1820:K1822"/>
    <mergeCell ref="L1820:L1822"/>
    <mergeCell ref="D1823:D1825"/>
    <mergeCell ref="E1823:E1825"/>
    <mergeCell ref="F1823:F1825"/>
    <mergeCell ref="G1823:G1825"/>
    <mergeCell ref="H1823:H1825"/>
    <mergeCell ref="I1823:I1825"/>
    <mergeCell ref="J1823:J1825"/>
    <mergeCell ref="K1823:K1825"/>
    <mergeCell ref="L1823:L1825"/>
    <mergeCell ref="D1826:F1826"/>
    <mergeCell ref="G1826:L1826"/>
    <mergeCell ref="F1831:F1833"/>
    <mergeCell ref="G1831:G1833"/>
    <mergeCell ref="D1872:D1874"/>
    <mergeCell ref="E1872:E1874"/>
    <mergeCell ref="F1872:F1874"/>
    <mergeCell ref="G1872:G1874"/>
    <mergeCell ref="H1872:H1874"/>
    <mergeCell ref="I1872:I1874"/>
    <mergeCell ref="J1872:J1874"/>
    <mergeCell ref="K1872:K1874"/>
    <mergeCell ref="L1872:L1874"/>
    <mergeCell ref="D1861:D1863"/>
    <mergeCell ref="E1861:E1863"/>
    <mergeCell ref="F1861:F1863"/>
    <mergeCell ref="G1861:G1863"/>
    <mergeCell ref="H1861:H1863"/>
    <mergeCell ref="I1861:I1863"/>
    <mergeCell ref="J1861:J1863"/>
    <mergeCell ref="K1861:K1863"/>
    <mergeCell ref="L1861:L1863"/>
    <mergeCell ref="A1872:A1874"/>
    <mergeCell ref="B1872:C1881"/>
    <mergeCell ref="D1889:D1891"/>
    <mergeCell ref="E1889:E1891"/>
    <mergeCell ref="F1889:F1891"/>
    <mergeCell ref="G1889:G1891"/>
    <mergeCell ref="H1889:H1891"/>
    <mergeCell ref="I1889:I1891"/>
    <mergeCell ref="J1889:J1891"/>
    <mergeCell ref="K1889:K1891"/>
    <mergeCell ref="L1889:L1891"/>
    <mergeCell ref="D1878:D1880"/>
    <mergeCell ref="E1878:E1880"/>
    <mergeCell ref="F1878:F1880"/>
    <mergeCell ref="G1878:G1880"/>
    <mergeCell ref="H1878:H1880"/>
    <mergeCell ref="I1878:I1880"/>
    <mergeCell ref="J1878:J1880"/>
    <mergeCell ref="K1878:K1880"/>
    <mergeCell ref="L1878:L1880"/>
    <mergeCell ref="D1875:D1877"/>
    <mergeCell ref="E1875:E1877"/>
    <mergeCell ref="F1875:F1877"/>
    <mergeCell ref="G1875:G1877"/>
    <mergeCell ref="H1875:H1877"/>
    <mergeCell ref="I1875:I1877"/>
    <mergeCell ref="J1875:J1877"/>
    <mergeCell ref="K1875:K1877"/>
    <mergeCell ref="L1875:L1877"/>
    <mergeCell ref="D1881:F1881"/>
    <mergeCell ref="G1881:L1881"/>
    <mergeCell ref="A1883:A1885"/>
    <mergeCell ref="B1883:C1892"/>
    <mergeCell ref="D1883:D1885"/>
    <mergeCell ref="E1883:E1885"/>
    <mergeCell ref="F1883:F1885"/>
    <mergeCell ref="G1883:G1885"/>
    <mergeCell ref="H1883:H1885"/>
    <mergeCell ref="I1883:I1885"/>
    <mergeCell ref="J1883:J1885"/>
    <mergeCell ref="K1883:K1885"/>
    <mergeCell ref="L1883:L1885"/>
    <mergeCell ref="D1886:D1888"/>
    <mergeCell ref="E1886:E1888"/>
    <mergeCell ref="F1886:F1888"/>
    <mergeCell ref="G1886:G1888"/>
    <mergeCell ref="L2103:L2105"/>
    <mergeCell ref="D2106:D2108"/>
    <mergeCell ref="E2106:E2108"/>
    <mergeCell ref="F2106:F2108"/>
    <mergeCell ref="G2106:G2108"/>
    <mergeCell ref="H2106:H2108"/>
    <mergeCell ref="I2106:I2108"/>
    <mergeCell ref="J2106:J2108"/>
    <mergeCell ref="K2106:K2108"/>
    <mergeCell ref="L2106:L2108"/>
    <mergeCell ref="A2103:A2105"/>
    <mergeCell ref="D2136:D2138"/>
    <mergeCell ref="E2136:E2138"/>
    <mergeCell ref="F2136:F2138"/>
    <mergeCell ref="G2136:G2138"/>
    <mergeCell ref="H2136:H2138"/>
    <mergeCell ref="I2136:I2138"/>
    <mergeCell ref="J2136:J2138"/>
    <mergeCell ref="K2136:K2138"/>
    <mergeCell ref="L2136:L2138"/>
    <mergeCell ref="D2139:D2141"/>
    <mergeCell ref="E2139:E2141"/>
    <mergeCell ref="F2139:F2141"/>
    <mergeCell ref="G2139:G2141"/>
    <mergeCell ref="H2139:H2141"/>
    <mergeCell ref="I2139:I2141"/>
    <mergeCell ref="J2139:J2141"/>
    <mergeCell ref="K2139:K2141"/>
    <mergeCell ref="L2139:L2141"/>
    <mergeCell ref="D2125:D2127"/>
    <mergeCell ref="E2125:E2127"/>
    <mergeCell ref="F2125:F2127"/>
    <mergeCell ref="G2125:G2127"/>
    <mergeCell ref="H2125:H2127"/>
    <mergeCell ref="I2125:I2127"/>
    <mergeCell ref="J2125:J2127"/>
    <mergeCell ref="K2125:K2127"/>
    <mergeCell ref="L2125:L2127"/>
    <mergeCell ref="D2128:D2130"/>
    <mergeCell ref="E2128:E2130"/>
    <mergeCell ref="F2128:F2130"/>
    <mergeCell ref="G2128:G2130"/>
    <mergeCell ref="H2128:H2130"/>
    <mergeCell ref="I2128:I2130"/>
    <mergeCell ref="J2128:J2130"/>
    <mergeCell ref="K2128:K2130"/>
    <mergeCell ref="L2128:L2130"/>
    <mergeCell ref="A2136:A2138"/>
    <mergeCell ref="B2136:C2145"/>
    <mergeCell ref="B2103:C2112"/>
    <mergeCell ref="D2109:D2111"/>
    <mergeCell ref="E2109:E2111"/>
    <mergeCell ref="F2109:F2111"/>
    <mergeCell ref="G2109:G2111"/>
    <mergeCell ref="H2109:H2111"/>
    <mergeCell ref="I2109:I2111"/>
    <mergeCell ref="J2109:J2111"/>
    <mergeCell ref="K2109:K2111"/>
    <mergeCell ref="L2109:L2111"/>
    <mergeCell ref="D2112:F2112"/>
    <mergeCell ref="G2112:L2112"/>
    <mergeCell ref="A2114:A2116"/>
    <mergeCell ref="B2114:C2123"/>
    <mergeCell ref="D2120:D2122"/>
    <mergeCell ref="F2150:F2152"/>
    <mergeCell ref="G2150:G2152"/>
    <mergeCell ref="H2150:H2152"/>
    <mergeCell ref="I2150:I2152"/>
    <mergeCell ref="J2150:J2152"/>
    <mergeCell ref="K2150:K2152"/>
    <mergeCell ref="L2150:L2152"/>
    <mergeCell ref="D2142:D2144"/>
    <mergeCell ref="E2142:E2144"/>
    <mergeCell ref="D2180:D2182"/>
    <mergeCell ref="E2180:E2182"/>
    <mergeCell ref="F2180:F2182"/>
    <mergeCell ref="G2180:G2182"/>
    <mergeCell ref="H2180:H2182"/>
    <mergeCell ref="I2180:I2182"/>
    <mergeCell ref="J2180:J2182"/>
    <mergeCell ref="K2180:K2182"/>
    <mergeCell ref="L2180:L2182"/>
    <mergeCell ref="D2183:D2185"/>
    <mergeCell ref="E2183:E2185"/>
    <mergeCell ref="F2183:F2185"/>
    <mergeCell ref="G2183:G2185"/>
    <mergeCell ref="H2183:H2185"/>
    <mergeCell ref="I2183:I2185"/>
    <mergeCell ref="J2183:J2185"/>
    <mergeCell ref="K2183:K2185"/>
    <mergeCell ref="L2183:L2185"/>
    <mergeCell ref="D2169:D2171"/>
    <mergeCell ref="E2169:E2171"/>
    <mergeCell ref="F2169:F2171"/>
    <mergeCell ref="G2169:G2171"/>
    <mergeCell ref="H2169:H2171"/>
    <mergeCell ref="I2169:I2171"/>
    <mergeCell ref="J2169:J2171"/>
    <mergeCell ref="K2169:K2171"/>
    <mergeCell ref="L2169:L2171"/>
    <mergeCell ref="D2172:D2174"/>
    <mergeCell ref="E2172:E2174"/>
    <mergeCell ref="F2172:F2174"/>
    <mergeCell ref="G2172:G2174"/>
    <mergeCell ref="H2172:H2174"/>
    <mergeCell ref="I2172:I2174"/>
    <mergeCell ref="J2172:J2174"/>
    <mergeCell ref="K2172:K2174"/>
    <mergeCell ref="L2172:L2174"/>
    <mergeCell ref="G2147:G2149"/>
    <mergeCell ref="H2147:H2149"/>
    <mergeCell ref="I2147:I2149"/>
    <mergeCell ref="J2147:J2149"/>
    <mergeCell ref="K2147:K2149"/>
    <mergeCell ref="L2147:L2149"/>
    <mergeCell ref="D2150:D2152"/>
    <mergeCell ref="E2150:E2152"/>
    <mergeCell ref="D2175:D2177"/>
    <mergeCell ref="E2175:E2177"/>
    <mergeCell ref="F2175:F2177"/>
    <mergeCell ref="G2175:G2177"/>
    <mergeCell ref="H2175:H2177"/>
    <mergeCell ref="I2175:I2177"/>
    <mergeCell ref="J2175:J2177"/>
    <mergeCell ref="K2175:K2177"/>
    <mergeCell ref="L2175:L2177"/>
    <mergeCell ref="D2178:F2178"/>
    <mergeCell ref="G2178:L2178"/>
    <mergeCell ref="A2169:A2171"/>
    <mergeCell ref="B2169:C2178"/>
    <mergeCell ref="D2202:D2204"/>
    <mergeCell ref="E2202:E2204"/>
    <mergeCell ref="F2202:F2204"/>
    <mergeCell ref="G2202:G2204"/>
    <mergeCell ref="H2202:H2204"/>
    <mergeCell ref="I2202:I2204"/>
    <mergeCell ref="J2202:J2204"/>
    <mergeCell ref="K2202:K2204"/>
    <mergeCell ref="L2202:L2204"/>
    <mergeCell ref="D2205:D2207"/>
    <mergeCell ref="E2205:E2207"/>
    <mergeCell ref="F2205:F2207"/>
    <mergeCell ref="G2205:G2207"/>
    <mergeCell ref="H2205:H2207"/>
    <mergeCell ref="I2205:I2207"/>
    <mergeCell ref="J2205:J2207"/>
    <mergeCell ref="K2205:K2207"/>
    <mergeCell ref="L2205:L2207"/>
    <mergeCell ref="D2191:D2193"/>
    <mergeCell ref="E2191:E2193"/>
    <mergeCell ref="F2191:F2193"/>
    <mergeCell ref="G2191:G2193"/>
    <mergeCell ref="H2191:H2193"/>
    <mergeCell ref="I2191:I2193"/>
    <mergeCell ref="J2191:J2193"/>
    <mergeCell ref="K2191:K2193"/>
    <mergeCell ref="L2191:L2193"/>
    <mergeCell ref="D2194:D2196"/>
    <mergeCell ref="E2194:E2196"/>
    <mergeCell ref="F2194:F2196"/>
    <mergeCell ref="G2194:G2196"/>
    <mergeCell ref="H2194:H2196"/>
    <mergeCell ref="I2194:I2196"/>
    <mergeCell ref="J2194:J2196"/>
    <mergeCell ref="K2194:K2196"/>
    <mergeCell ref="L2194:L2196"/>
    <mergeCell ref="A2202:A2204"/>
    <mergeCell ref="B2202:C2211"/>
    <mergeCell ref="D2208:D2210"/>
    <mergeCell ref="A2180:A2182"/>
    <mergeCell ref="B2180:C2189"/>
    <mergeCell ref="D2186:D2188"/>
    <mergeCell ref="E2186:E2188"/>
    <mergeCell ref="F2186:F2188"/>
    <mergeCell ref="G2186:G2188"/>
    <mergeCell ref="H2186:H2188"/>
    <mergeCell ref="I2186:I2188"/>
    <mergeCell ref="J2186:J2188"/>
    <mergeCell ref="K2186:K2188"/>
    <mergeCell ref="L2186:L2188"/>
    <mergeCell ref="D2189:F2189"/>
    <mergeCell ref="G2189:L2189"/>
    <mergeCell ref="A2191:A2193"/>
    <mergeCell ref="B2191:C2200"/>
    <mergeCell ref="D2197:D2199"/>
    <mergeCell ref="E2197:E2199"/>
    <mergeCell ref="F2197:F2199"/>
    <mergeCell ref="G2197:G2199"/>
    <mergeCell ref="H2197:H2199"/>
    <mergeCell ref="I2197:I2199"/>
    <mergeCell ref="J2197:J2199"/>
    <mergeCell ref="K2197:K2199"/>
    <mergeCell ref="D2444:D2446"/>
    <mergeCell ref="E2444:E2446"/>
    <mergeCell ref="F2444:F2446"/>
    <mergeCell ref="G2444:G2446"/>
    <mergeCell ref="H2444:H2446"/>
    <mergeCell ref="I2444:I2446"/>
    <mergeCell ref="J2444:J2446"/>
    <mergeCell ref="K2444:K2446"/>
    <mergeCell ref="L2444:L2446"/>
    <mergeCell ref="D2447:D2449"/>
    <mergeCell ref="E2447:E2449"/>
    <mergeCell ref="F2447:F2449"/>
    <mergeCell ref="G2447:G2449"/>
    <mergeCell ref="H2447:H2449"/>
    <mergeCell ref="I2447:I2449"/>
    <mergeCell ref="J2447:J2449"/>
    <mergeCell ref="K2447:K2449"/>
    <mergeCell ref="L2447:L2449"/>
    <mergeCell ref="D2450:D2452"/>
    <mergeCell ref="E2450:E2452"/>
    <mergeCell ref="F2450:F2452"/>
    <mergeCell ref="G2450:G2452"/>
    <mergeCell ref="H2450:H2452"/>
    <mergeCell ref="I2450:I2452"/>
    <mergeCell ref="J2450:J2452"/>
    <mergeCell ref="K2450:K2452"/>
    <mergeCell ref="L2450:L2452"/>
    <mergeCell ref="D2453:F2453"/>
    <mergeCell ref="G2453:L2453"/>
    <mergeCell ref="A2433:A2435"/>
    <mergeCell ref="B2433:C2442"/>
    <mergeCell ref="D2433:D2435"/>
    <mergeCell ref="E2433:E2435"/>
    <mergeCell ref="F2433:F2435"/>
    <mergeCell ref="G2433:G2435"/>
    <mergeCell ref="H2433:H2435"/>
    <mergeCell ref="I2433:I2435"/>
    <mergeCell ref="J2433:J2435"/>
    <mergeCell ref="K2433:K2435"/>
    <mergeCell ref="L2433:L2435"/>
    <mergeCell ref="D2436:D2438"/>
    <mergeCell ref="E2436:E2438"/>
    <mergeCell ref="F2436:F2438"/>
    <mergeCell ref="G2436:G2438"/>
    <mergeCell ref="H2436:H2438"/>
    <mergeCell ref="I2436:I2438"/>
    <mergeCell ref="J2436:J2438"/>
    <mergeCell ref="K2436:K2438"/>
    <mergeCell ref="L2436:L2438"/>
    <mergeCell ref="D2439:D2441"/>
    <mergeCell ref="E2439:E2441"/>
    <mergeCell ref="F2439:F2441"/>
    <mergeCell ref="G2439:G2441"/>
    <mergeCell ref="H2439:H2441"/>
    <mergeCell ref="I2439:I2441"/>
    <mergeCell ref="J2439:J2441"/>
    <mergeCell ref="K2439:K2441"/>
    <mergeCell ref="L2439:L2441"/>
    <mergeCell ref="D2442:F2442"/>
    <mergeCell ref="G2442:L2442"/>
    <mergeCell ref="A2466:A2468"/>
    <mergeCell ref="B2466:C2475"/>
    <mergeCell ref="D2466:D2468"/>
    <mergeCell ref="E2466:E2468"/>
    <mergeCell ref="F2466:F2468"/>
    <mergeCell ref="G2466:G2468"/>
    <mergeCell ref="H2466:H2468"/>
    <mergeCell ref="I2466:I2468"/>
    <mergeCell ref="J2466:J2468"/>
    <mergeCell ref="K2466:K2468"/>
    <mergeCell ref="L2466:L2468"/>
    <mergeCell ref="D2469:D2471"/>
    <mergeCell ref="E2469:E2471"/>
    <mergeCell ref="F2469:F2471"/>
    <mergeCell ref="G2469:G2471"/>
    <mergeCell ref="H2469:H2471"/>
    <mergeCell ref="I2469:I2471"/>
    <mergeCell ref="J2469:J2471"/>
    <mergeCell ref="K2469:K2471"/>
    <mergeCell ref="L2469:L2471"/>
    <mergeCell ref="D2472:D2474"/>
    <mergeCell ref="E2472:E2474"/>
    <mergeCell ref="F2472:F2474"/>
    <mergeCell ref="G2472:G2474"/>
    <mergeCell ref="H2472:H2474"/>
    <mergeCell ref="I2472:I2474"/>
    <mergeCell ref="J2472:J2474"/>
    <mergeCell ref="K2472:K2474"/>
    <mergeCell ref="L2472:L2474"/>
    <mergeCell ref="D2475:F2475"/>
    <mergeCell ref="G2475:L2475"/>
    <mergeCell ref="A2455:A2457"/>
    <mergeCell ref="B2455:C2464"/>
    <mergeCell ref="D2455:D2457"/>
    <mergeCell ref="E2455:E2457"/>
    <mergeCell ref="F2455:F2457"/>
    <mergeCell ref="G2455:G2457"/>
    <mergeCell ref="H2455:H2457"/>
    <mergeCell ref="I2455:I2457"/>
    <mergeCell ref="J2455:J2457"/>
    <mergeCell ref="K2455:K2457"/>
    <mergeCell ref="L2455:L2457"/>
    <mergeCell ref="D2458:D2460"/>
    <mergeCell ref="E2458:E2460"/>
    <mergeCell ref="F2458:F2460"/>
    <mergeCell ref="G2458:G2460"/>
    <mergeCell ref="H2458:H2460"/>
    <mergeCell ref="I2458:I2460"/>
    <mergeCell ref="J2458:J2460"/>
    <mergeCell ref="K2458:K2460"/>
    <mergeCell ref="L2458:L2460"/>
    <mergeCell ref="D2461:D2463"/>
    <mergeCell ref="E2461:E2463"/>
    <mergeCell ref="F2461:F2463"/>
    <mergeCell ref="G2461:G2463"/>
    <mergeCell ref="H2461:H2463"/>
    <mergeCell ref="I2461:I2463"/>
    <mergeCell ref="J2461:J2463"/>
    <mergeCell ref="K2461:K2463"/>
    <mergeCell ref="L2461:L2463"/>
    <mergeCell ref="D2464:F2464"/>
    <mergeCell ref="G2464:L2464"/>
    <mergeCell ref="A2488:A2490"/>
    <mergeCell ref="B2488:C2497"/>
    <mergeCell ref="D2488:D2490"/>
    <mergeCell ref="E2488:E2490"/>
    <mergeCell ref="F2488:F2490"/>
    <mergeCell ref="G2488:G2490"/>
    <mergeCell ref="H2488:H2490"/>
    <mergeCell ref="I2488:I2490"/>
    <mergeCell ref="J2488:J2490"/>
    <mergeCell ref="K2488:K2490"/>
    <mergeCell ref="L2488:L2490"/>
    <mergeCell ref="D2491:D2493"/>
    <mergeCell ref="E2491:E2493"/>
    <mergeCell ref="F2491:F2493"/>
    <mergeCell ref="G2491:G2493"/>
    <mergeCell ref="H2491:H2493"/>
    <mergeCell ref="I2491:I2493"/>
    <mergeCell ref="J2491:J2493"/>
    <mergeCell ref="K2491:K2493"/>
    <mergeCell ref="L2491:L2493"/>
    <mergeCell ref="D2494:D2496"/>
    <mergeCell ref="E2494:E2496"/>
    <mergeCell ref="F2494:F2496"/>
    <mergeCell ref="G2494:G2496"/>
    <mergeCell ref="H2494:H2496"/>
    <mergeCell ref="I2494:I2496"/>
    <mergeCell ref="J2494:J2496"/>
    <mergeCell ref="K2494:K2496"/>
    <mergeCell ref="L2494:L2496"/>
    <mergeCell ref="D2497:F2497"/>
    <mergeCell ref="G2497:L2497"/>
    <mergeCell ref="A2477:A2479"/>
    <mergeCell ref="B2477:C2486"/>
    <mergeCell ref="D2477:D2479"/>
    <mergeCell ref="E2477:E2479"/>
    <mergeCell ref="F2477:F2479"/>
    <mergeCell ref="G2477:G2479"/>
    <mergeCell ref="H2477:H2479"/>
    <mergeCell ref="I2477:I2479"/>
    <mergeCell ref="J2477:J2479"/>
    <mergeCell ref="K2477:K2479"/>
    <mergeCell ref="L2477:L2479"/>
    <mergeCell ref="D2480:D2482"/>
    <mergeCell ref="E2480:E2482"/>
    <mergeCell ref="F2480:F2482"/>
    <mergeCell ref="G2480:G2482"/>
    <mergeCell ref="H2480:H2482"/>
    <mergeCell ref="I2480:I2482"/>
    <mergeCell ref="J2480:J2482"/>
    <mergeCell ref="K2480:K2482"/>
    <mergeCell ref="L2480:L2482"/>
    <mergeCell ref="D2483:D2485"/>
    <mergeCell ref="E2483:E2485"/>
    <mergeCell ref="F2483:F2485"/>
    <mergeCell ref="G2483:G2485"/>
    <mergeCell ref="H2483:H2485"/>
    <mergeCell ref="I2483:I2485"/>
    <mergeCell ref="J2483:J2485"/>
    <mergeCell ref="K2483:K2485"/>
    <mergeCell ref="L2483:L2485"/>
    <mergeCell ref="D2486:F2486"/>
    <mergeCell ref="G2486:L2486"/>
    <mergeCell ref="A2510:A2512"/>
    <mergeCell ref="B2510:C2519"/>
    <mergeCell ref="D2510:D2512"/>
    <mergeCell ref="E2510:E2512"/>
    <mergeCell ref="F2510:F2512"/>
    <mergeCell ref="G2510:G2512"/>
    <mergeCell ref="H2510:H2512"/>
    <mergeCell ref="I2510:I2512"/>
    <mergeCell ref="J2510:J2512"/>
    <mergeCell ref="K2510:K2512"/>
    <mergeCell ref="L2510:L2512"/>
    <mergeCell ref="D2513:D2515"/>
    <mergeCell ref="E2513:E2515"/>
    <mergeCell ref="F2513:F2515"/>
    <mergeCell ref="G2513:G2515"/>
    <mergeCell ref="H2513:H2515"/>
    <mergeCell ref="I2513:I2515"/>
    <mergeCell ref="J2513:J2515"/>
    <mergeCell ref="K2513:K2515"/>
    <mergeCell ref="L2513:L2515"/>
    <mergeCell ref="D2516:D2518"/>
    <mergeCell ref="E2516:E2518"/>
    <mergeCell ref="F2516:F2518"/>
    <mergeCell ref="G2516:G2518"/>
    <mergeCell ref="H2516:H2518"/>
    <mergeCell ref="I2516:I2518"/>
    <mergeCell ref="J2516:J2518"/>
    <mergeCell ref="K2516:K2518"/>
    <mergeCell ref="L2516:L2518"/>
    <mergeCell ref="D2519:F2519"/>
    <mergeCell ref="G2519:L2519"/>
    <mergeCell ref="A2499:A2501"/>
    <mergeCell ref="B2499:C2508"/>
    <mergeCell ref="D2499:D2501"/>
    <mergeCell ref="E2499:E2501"/>
    <mergeCell ref="F2499:F2501"/>
    <mergeCell ref="G2499:G2501"/>
    <mergeCell ref="H2499:H2501"/>
    <mergeCell ref="I2499:I2501"/>
    <mergeCell ref="J2499:J2501"/>
    <mergeCell ref="K2499:K2501"/>
    <mergeCell ref="L2499:L2501"/>
    <mergeCell ref="D2502:D2504"/>
    <mergeCell ref="E2502:E2504"/>
    <mergeCell ref="F2502:F2504"/>
    <mergeCell ref="G2502:G2504"/>
    <mergeCell ref="H2502:H2504"/>
    <mergeCell ref="I2502:I2504"/>
    <mergeCell ref="J2502:J2504"/>
    <mergeCell ref="K2502:K2504"/>
    <mergeCell ref="L2502:L2504"/>
    <mergeCell ref="D2505:D2507"/>
    <mergeCell ref="E2505:E2507"/>
    <mergeCell ref="F2505:F2507"/>
    <mergeCell ref="G2505:G2507"/>
    <mergeCell ref="H2505:H2507"/>
    <mergeCell ref="I2505:I2507"/>
    <mergeCell ref="J2505:J2507"/>
    <mergeCell ref="K2505:K2507"/>
    <mergeCell ref="L2505:L2507"/>
    <mergeCell ref="D2508:F2508"/>
    <mergeCell ref="G2508:L2508"/>
    <mergeCell ref="A2532:A2534"/>
    <mergeCell ref="B2532:C2541"/>
    <mergeCell ref="D2532:D2534"/>
    <mergeCell ref="E2532:E2534"/>
    <mergeCell ref="F2532:F2534"/>
    <mergeCell ref="G2532:G2534"/>
    <mergeCell ref="H2532:H2534"/>
    <mergeCell ref="I2532:I2534"/>
    <mergeCell ref="J2532:J2534"/>
    <mergeCell ref="K2532:K2534"/>
    <mergeCell ref="L2532:L2534"/>
    <mergeCell ref="D2535:D2537"/>
    <mergeCell ref="E2535:E2537"/>
    <mergeCell ref="F2535:F2537"/>
    <mergeCell ref="G2535:G2537"/>
    <mergeCell ref="H2535:H2537"/>
    <mergeCell ref="I2535:I2537"/>
    <mergeCell ref="J2535:J2537"/>
    <mergeCell ref="K2535:K2537"/>
    <mergeCell ref="L2535:L2537"/>
    <mergeCell ref="D2538:D2540"/>
    <mergeCell ref="E2538:E2540"/>
    <mergeCell ref="F2538:F2540"/>
    <mergeCell ref="G2538:G2540"/>
    <mergeCell ref="H2538:H2540"/>
    <mergeCell ref="I2538:I2540"/>
    <mergeCell ref="J2538:J2540"/>
    <mergeCell ref="K2538:K2540"/>
    <mergeCell ref="L2538:L2540"/>
    <mergeCell ref="D2541:F2541"/>
    <mergeCell ref="G2541:L2541"/>
    <mergeCell ref="A2521:A2523"/>
    <mergeCell ref="B2521:C2530"/>
    <mergeCell ref="D2521:D2523"/>
    <mergeCell ref="E2521:E2523"/>
    <mergeCell ref="F2521:F2523"/>
    <mergeCell ref="G2521:G2523"/>
    <mergeCell ref="H2521:H2523"/>
    <mergeCell ref="I2521:I2523"/>
    <mergeCell ref="J2521:J2523"/>
    <mergeCell ref="K2521:K2523"/>
    <mergeCell ref="L2521:L2523"/>
    <mergeCell ref="D2524:D2526"/>
    <mergeCell ref="E2524:E2526"/>
    <mergeCell ref="F2524:F2526"/>
    <mergeCell ref="G2524:G2526"/>
    <mergeCell ref="H2524:H2526"/>
    <mergeCell ref="I2524:I2526"/>
    <mergeCell ref="J2524:J2526"/>
    <mergeCell ref="K2524:K2526"/>
    <mergeCell ref="L2524:L2526"/>
    <mergeCell ref="D2527:D2529"/>
    <mergeCell ref="E2527:E2529"/>
    <mergeCell ref="F2527:F2529"/>
    <mergeCell ref="G2527:G2529"/>
    <mergeCell ref="H2527:H2529"/>
    <mergeCell ref="I2527:I2529"/>
    <mergeCell ref="J2527:J2529"/>
    <mergeCell ref="K2527:K2529"/>
    <mergeCell ref="L2527:L2529"/>
    <mergeCell ref="D2530:F2530"/>
    <mergeCell ref="G2530:L2530"/>
    <mergeCell ref="K2799:K2801"/>
    <mergeCell ref="L2799:L2801"/>
    <mergeCell ref="D2802:D2804"/>
    <mergeCell ref="E2802:E2804"/>
    <mergeCell ref="F2802:F2804"/>
    <mergeCell ref="G2802:G2804"/>
    <mergeCell ref="H2802:H2804"/>
    <mergeCell ref="I2802:I2804"/>
    <mergeCell ref="J2802:J2804"/>
    <mergeCell ref="K2802:K2804"/>
    <mergeCell ref="L2802:L2804"/>
    <mergeCell ref="D2788:D2790"/>
    <mergeCell ref="E2788:E2790"/>
    <mergeCell ref="F2788:F2790"/>
    <mergeCell ref="G2788:G2790"/>
    <mergeCell ref="H2788:H2790"/>
    <mergeCell ref="I2788:I2790"/>
    <mergeCell ref="J2788:J2790"/>
    <mergeCell ref="K2788:K2790"/>
    <mergeCell ref="L2788:L2790"/>
    <mergeCell ref="D2791:D2793"/>
    <mergeCell ref="E2791:E2793"/>
    <mergeCell ref="F2791:F2793"/>
    <mergeCell ref="G2791:G2793"/>
    <mergeCell ref="H2791:H2793"/>
    <mergeCell ref="I2791:I2793"/>
    <mergeCell ref="J2791:J2793"/>
    <mergeCell ref="K2791:K2793"/>
    <mergeCell ref="L2791:L2793"/>
    <mergeCell ref="A2807:A2809"/>
    <mergeCell ref="B2807:C2816"/>
    <mergeCell ref="D2821:D2823"/>
    <mergeCell ref="E2821:E2823"/>
    <mergeCell ref="F2821:F2823"/>
    <mergeCell ref="G2821:G2823"/>
    <mergeCell ref="H2821:H2823"/>
    <mergeCell ref="I2821:I2823"/>
    <mergeCell ref="J2821:J2823"/>
    <mergeCell ref="K2821:K2823"/>
    <mergeCell ref="L2821:L2823"/>
    <mergeCell ref="D2810:D2812"/>
    <mergeCell ref="E2810:E2812"/>
    <mergeCell ref="F2810:F2812"/>
    <mergeCell ref="G2810:G2812"/>
    <mergeCell ref="H2810:H2812"/>
    <mergeCell ref="I2810:I2812"/>
    <mergeCell ref="J2810:J2812"/>
    <mergeCell ref="K2810:K2812"/>
    <mergeCell ref="L2810:L2812"/>
    <mergeCell ref="D2813:D2815"/>
    <mergeCell ref="E2813:E2815"/>
    <mergeCell ref="F2813:F2815"/>
    <mergeCell ref="G2813:G2815"/>
    <mergeCell ref="H2813:H2815"/>
    <mergeCell ref="I2813:I2815"/>
    <mergeCell ref="J2813:J2815"/>
    <mergeCell ref="K2813:K2815"/>
    <mergeCell ref="L2813:L2815"/>
    <mergeCell ref="D2807:D2809"/>
    <mergeCell ref="E2807:E2809"/>
    <mergeCell ref="F2807:F2809"/>
    <mergeCell ref="G2807:G2809"/>
    <mergeCell ref="H2807:H2809"/>
    <mergeCell ref="I2807:I2809"/>
    <mergeCell ref="K2865:K2867"/>
    <mergeCell ref="L2865:L2867"/>
    <mergeCell ref="D2868:D2870"/>
    <mergeCell ref="E2868:E2870"/>
    <mergeCell ref="F2868:F2870"/>
    <mergeCell ref="G2868:G2870"/>
    <mergeCell ref="H2868:H2870"/>
    <mergeCell ref="I2868:I2870"/>
    <mergeCell ref="J2868:J2870"/>
    <mergeCell ref="K2868:K2870"/>
    <mergeCell ref="L2868:L2870"/>
    <mergeCell ref="D2854:D2856"/>
    <mergeCell ref="E2854:E2856"/>
    <mergeCell ref="F2854:F2856"/>
    <mergeCell ref="G2854:G2856"/>
    <mergeCell ref="H2854:H2856"/>
    <mergeCell ref="I2854:I2856"/>
    <mergeCell ref="J2854:J2856"/>
    <mergeCell ref="K2854:K2856"/>
    <mergeCell ref="L2854:L2856"/>
    <mergeCell ref="D2857:D2859"/>
    <mergeCell ref="E2857:E2859"/>
    <mergeCell ref="F2857:F2859"/>
    <mergeCell ref="G2857:G2859"/>
    <mergeCell ref="H2857:H2859"/>
    <mergeCell ref="I2857:I2859"/>
    <mergeCell ref="J2857:J2859"/>
    <mergeCell ref="K2857:K2859"/>
    <mergeCell ref="L2857:L2859"/>
    <mergeCell ref="A2873:A2875"/>
    <mergeCell ref="B2873:C2882"/>
    <mergeCell ref="A2895:A2897"/>
    <mergeCell ref="B2895:C2904"/>
    <mergeCell ref="D2895:D2897"/>
    <mergeCell ref="D2873:D2875"/>
    <mergeCell ref="E2873:E2875"/>
    <mergeCell ref="F2873:F2875"/>
    <mergeCell ref="G2873:G2875"/>
    <mergeCell ref="H2873:H2875"/>
    <mergeCell ref="I2873:I2875"/>
    <mergeCell ref="J2873:J2875"/>
    <mergeCell ref="K2873:K2875"/>
    <mergeCell ref="L2873:L2875"/>
    <mergeCell ref="D2876:D2878"/>
    <mergeCell ref="E2876:E2878"/>
    <mergeCell ref="F2876:F2878"/>
    <mergeCell ref="G2876:G2878"/>
    <mergeCell ref="H2876:H2878"/>
    <mergeCell ref="I2876:I2878"/>
    <mergeCell ref="J2876:J2878"/>
    <mergeCell ref="K2876:K2878"/>
    <mergeCell ref="L2876:L2878"/>
    <mergeCell ref="D2879:D2881"/>
    <mergeCell ref="E2879:E2881"/>
    <mergeCell ref="F2879:F2881"/>
    <mergeCell ref="G2879:G2881"/>
    <mergeCell ref="H2879:H2881"/>
    <mergeCell ref="I2879:I2881"/>
    <mergeCell ref="J2879:J2881"/>
    <mergeCell ref="K2879:K2881"/>
    <mergeCell ref="L2879:L2881"/>
    <mergeCell ref="D2882:F2882"/>
    <mergeCell ref="G2882:L2882"/>
    <mergeCell ref="A2884:A2886"/>
    <mergeCell ref="D3005:D3007"/>
    <mergeCell ref="E3005:E3007"/>
    <mergeCell ref="F3005:F3007"/>
    <mergeCell ref="G3005:G3007"/>
    <mergeCell ref="H3005:H3007"/>
    <mergeCell ref="I3005:I3007"/>
    <mergeCell ref="J3005:J3007"/>
    <mergeCell ref="K3005:K3007"/>
    <mergeCell ref="L3005:L3007"/>
    <mergeCell ref="D2994:D2996"/>
    <mergeCell ref="E2994:E2996"/>
    <mergeCell ref="F2994:F2996"/>
    <mergeCell ref="G2994:G2996"/>
    <mergeCell ref="H2994:H2996"/>
    <mergeCell ref="I2994:I2996"/>
    <mergeCell ref="J2994:J2996"/>
    <mergeCell ref="K2994:K2996"/>
    <mergeCell ref="L2994:L2996"/>
    <mergeCell ref="A3005:A3007"/>
    <mergeCell ref="D3027:D3029"/>
    <mergeCell ref="E3027:E3029"/>
    <mergeCell ref="F3027:F3029"/>
    <mergeCell ref="G3027:G3029"/>
    <mergeCell ref="H3027:H3029"/>
    <mergeCell ref="I3027:I3029"/>
    <mergeCell ref="J3027:J3029"/>
    <mergeCell ref="K3027:K3029"/>
    <mergeCell ref="L3027:L3029"/>
    <mergeCell ref="D3016:D3018"/>
    <mergeCell ref="E3016:E3018"/>
    <mergeCell ref="F3016:F3018"/>
    <mergeCell ref="G3016:G3018"/>
    <mergeCell ref="H3016:H3018"/>
    <mergeCell ref="I3016:I3018"/>
    <mergeCell ref="J3016:J3018"/>
    <mergeCell ref="K3016:K3018"/>
    <mergeCell ref="L3016:L3018"/>
    <mergeCell ref="B3005:C3014"/>
    <mergeCell ref="D3008:D3010"/>
    <mergeCell ref="E3008:E3010"/>
    <mergeCell ref="F3008:F3010"/>
    <mergeCell ref="G3008:G3010"/>
    <mergeCell ref="H3008:H3010"/>
    <mergeCell ref="I3008:I3010"/>
    <mergeCell ref="J3008:J3010"/>
    <mergeCell ref="K3008:K3010"/>
    <mergeCell ref="L3008:L3010"/>
    <mergeCell ref="D3011:D3013"/>
    <mergeCell ref="E3011:E3013"/>
    <mergeCell ref="F3011:F3013"/>
    <mergeCell ref="G3011:G3013"/>
    <mergeCell ref="H3011:H3013"/>
    <mergeCell ref="I3011:I3013"/>
    <mergeCell ref="J3011:J3013"/>
    <mergeCell ref="K3011:K3013"/>
    <mergeCell ref="L3011:L3013"/>
    <mergeCell ref="D3014:F3014"/>
    <mergeCell ref="G3014:L3014"/>
    <mergeCell ref="A3016:A3018"/>
    <mergeCell ref="B3016:C3025"/>
    <mergeCell ref="D3019:D3021"/>
    <mergeCell ref="E3019:E3021"/>
    <mergeCell ref="F3019:F3021"/>
    <mergeCell ref="G3019:G3021"/>
    <mergeCell ref="D3049:D3051"/>
    <mergeCell ref="E3049:E3051"/>
    <mergeCell ref="F3049:F3051"/>
    <mergeCell ref="G3049:G3051"/>
    <mergeCell ref="H3049:H3051"/>
    <mergeCell ref="I3049:I3051"/>
    <mergeCell ref="J3049:J3051"/>
    <mergeCell ref="K3049:K3051"/>
    <mergeCell ref="L3049:L3051"/>
    <mergeCell ref="D3038:D3040"/>
    <mergeCell ref="E3038:E3040"/>
    <mergeCell ref="F3038:F3040"/>
    <mergeCell ref="G3038:G3040"/>
    <mergeCell ref="H3038:H3040"/>
    <mergeCell ref="I3038:I3040"/>
    <mergeCell ref="J3038:J3040"/>
    <mergeCell ref="K3038:K3040"/>
    <mergeCell ref="L3038:L3040"/>
    <mergeCell ref="A3049:A3051"/>
    <mergeCell ref="B3049:C3058"/>
    <mergeCell ref="D3071:D3073"/>
    <mergeCell ref="E3071:E3073"/>
    <mergeCell ref="F3071:F3073"/>
    <mergeCell ref="G3071:G3073"/>
    <mergeCell ref="H3071:H3073"/>
    <mergeCell ref="I3071:I3073"/>
    <mergeCell ref="J3071:J3073"/>
    <mergeCell ref="K3071:K3073"/>
    <mergeCell ref="L3071:L3073"/>
    <mergeCell ref="D3060:D3062"/>
    <mergeCell ref="E3060:E3062"/>
    <mergeCell ref="F3060:F3062"/>
    <mergeCell ref="G3060:G3062"/>
    <mergeCell ref="H3060:H3062"/>
    <mergeCell ref="I3060:I3062"/>
    <mergeCell ref="J3060:J3062"/>
    <mergeCell ref="K3060:K3062"/>
    <mergeCell ref="L3060:L3062"/>
    <mergeCell ref="D3052:D3054"/>
    <mergeCell ref="E3052:E3054"/>
    <mergeCell ref="A3038:A3040"/>
    <mergeCell ref="B3038:C3047"/>
    <mergeCell ref="D3041:D3043"/>
    <mergeCell ref="E3041:E3043"/>
    <mergeCell ref="F3041:F3043"/>
    <mergeCell ref="G3041:G3043"/>
    <mergeCell ref="H3041:H3043"/>
    <mergeCell ref="I3041:I3043"/>
    <mergeCell ref="J3041:J3043"/>
    <mergeCell ref="K3041:K3043"/>
    <mergeCell ref="L3041:L3043"/>
    <mergeCell ref="D3044:D3046"/>
    <mergeCell ref="E3044:E3046"/>
    <mergeCell ref="F3044:F3046"/>
    <mergeCell ref="G3044:G3046"/>
    <mergeCell ref="H3044:H3046"/>
    <mergeCell ref="I3044:I3046"/>
    <mergeCell ref="J3044:J3046"/>
    <mergeCell ref="K3044:K3046"/>
    <mergeCell ref="L3044:L3046"/>
    <mergeCell ref="D3047:F3047"/>
    <mergeCell ref="G3047:L3047"/>
    <mergeCell ref="F3052:F3054"/>
    <mergeCell ref="G3052:G3054"/>
    <mergeCell ref="D3093:D3095"/>
    <mergeCell ref="E3093:E3095"/>
    <mergeCell ref="F3093:F3095"/>
    <mergeCell ref="G3093:G3095"/>
    <mergeCell ref="H3093:H3095"/>
    <mergeCell ref="I3093:I3095"/>
    <mergeCell ref="J3093:J3095"/>
    <mergeCell ref="K3093:K3095"/>
    <mergeCell ref="L3093:L3095"/>
    <mergeCell ref="D3082:D3084"/>
    <mergeCell ref="E3082:E3084"/>
    <mergeCell ref="F3082:F3084"/>
    <mergeCell ref="G3082:G3084"/>
    <mergeCell ref="H3082:H3084"/>
    <mergeCell ref="I3082:I3084"/>
    <mergeCell ref="J3082:J3084"/>
    <mergeCell ref="K3082:K3084"/>
    <mergeCell ref="L3082:L3084"/>
    <mergeCell ref="A3093:A3095"/>
    <mergeCell ref="B3093:C3102"/>
    <mergeCell ref="D3110:D3112"/>
    <mergeCell ref="E3110:E3112"/>
    <mergeCell ref="F3110:F3112"/>
    <mergeCell ref="G3110:G3112"/>
    <mergeCell ref="H3110:H3112"/>
    <mergeCell ref="I3110:I3112"/>
    <mergeCell ref="J3110:J3112"/>
    <mergeCell ref="K3110:K3112"/>
    <mergeCell ref="L3110:L3112"/>
    <mergeCell ref="D3099:D3101"/>
    <mergeCell ref="E3099:E3101"/>
    <mergeCell ref="F3099:F3101"/>
    <mergeCell ref="G3099:G3101"/>
    <mergeCell ref="H3099:H3101"/>
    <mergeCell ref="I3099:I3101"/>
    <mergeCell ref="J3099:J3101"/>
    <mergeCell ref="K3099:K3101"/>
    <mergeCell ref="L3099:L3101"/>
    <mergeCell ref="D3096:D3098"/>
    <mergeCell ref="E3096:E3098"/>
    <mergeCell ref="F3096:F3098"/>
    <mergeCell ref="G3096:G3098"/>
    <mergeCell ref="H3096:H3098"/>
    <mergeCell ref="I3096:I3098"/>
    <mergeCell ref="J3096:J3098"/>
    <mergeCell ref="K3096:K3098"/>
    <mergeCell ref="L3096:L3098"/>
    <mergeCell ref="D3102:F3102"/>
    <mergeCell ref="G3102:L3102"/>
    <mergeCell ref="A3104:A3106"/>
    <mergeCell ref="B3104:C3113"/>
    <mergeCell ref="D3104:D3106"/>
    <mergeCell ref="E3104:E3106"/>
    <mergeCell ref="F3104:F3106"/>
    <mergeCell ref="G3104:G3106"/>
    <mergeCell ref="H3104:H3106"/>
    <mergeCell ref="I3104:I3106"/>
    <mergeCell ref="J3104:J3106"/>
    <mergeCell ref="K3104:K3106"/>
    <mergeCell ref="L3104:L3106"/>
    <mergeCell ref="D3107:D3109"/>
    <mergeCell ref="E3107:E3109"/>
    <mergeCell ref="F3107:F3109"/>
    <mergeCell ref="G3107:G3109"/>
    <mergeCell ref="L3324:L3326"/>
    <mergeCell ref="D3327:D3329"/>
    <mergeCell ref="E3327:E3329"/>
    <mergeCell ref="F3327:F3329"/>
    <mergeCell ref="G3327:G3329"/>
    <mergeCell ref="H3327:H3329"/>
    <mergeCell ref="I3327:I3329"/>
    <mergeCell ref="J3327:J3329"/>
    <mergeCell ref="K3327:K3329"/>
    <mergeCell ref="L3327:L3329"/>
    <mergeCell ref="A3324:A3326"/>
    <mergeCell ref="D3357:D3359"/>
    <mergeCell ref="E3357:E3359"/>
    <mergeCell ref="F3357:F3359"/>
    <mergeCell ref="G3357:G3359"/>
    <mergeCell ref="H3357:H3359"/>
    <mergeCell ref="I3357:I3359"/>
    <mergeCell ref="J3357:J3359"/>
    <mergeCell ref="K3357:K3359"/>
    <mergeCell ref="L3357:L3359"/>
    <mergeCell ref="D3360:D3362"/>
    <mergeCell ref="E3360:E3362"/>
    <mergeCell ref="F3360:F3362"/>
    <mergeCell ref="G3360:G3362"/>
    <mergeCell ref="H3360:H3362"/>
    <mergeCell ref="I3360:I3362"/>
    <mergeCell ref="J3360:J3362"/>
    <mergeCell ref="K3360:K3362"/>
    <mergeCell ref="L3360:L3362"/>
    <mergeCell ref="D3346:D3348"/>
    <mergeCell ref="E3346:E3348"/>
    <mergeCell ref="F3346:F3348"/>
    <mergeCell ref="G3346:G3348"/>
    <mergeCell ref="H3346:H3348"/>
    <mergeCell ref="I3346:I3348"/>
    <mergeCell ref="J3346:J3348"/>
    <mergeCell ref="K3346:K3348"/>
    <mergeCell ref="L3346:L3348"/>
    <mergeCell ref="D3349:D3351"/>
    <mergeCell ref="E3349:E3351"/>
    <mergeCell ref="F3349:F3351"/>
    <mergeCell ref="G3349:G3351"/>
    <mergeCell ref="H3349:H3351"/>
    <mergeCell ref="I3349:I3351"/>
    <mergeCell ref="J3349:J3351"/>
    <mergeCell ref="K3349:K3351"/>
    <mergeCell ref="L3349:L3351"/>
    <mergeCell ref="A3357:A3359"/>
    <mergeCell ref="B3357:C3366"/>
    <mergeCell ref="B3324:C3333"/>
    <mergeCell ref="D3330:D3332"/>
    <mergeCell ref="E3330:E3332"/>
    <mergeCell ref="F3330:F3332"/>
    <mergeCell ref="G3330:G3332"/>
    <mergeCell ref="H3330:H3332"/>
    <mergeCell ref="I3330:I3332"/>
    <mergeCell ref="J3330:J3332"/>
    <mergeCell ref="K3330:K3332"/>
    <mergeCell ref="L3330:L3332"/>
    <mergeCell ref="D3333:F3333"/>
    <mergeCell ref="G3333:L3333"/>
    <mergeCell ref="A3335:A3337"/>
    <mergeCell ref="B3335:C3344"/>
    <mergeCell ref="D3341:D3343"/>
    <mergeCell ref="F3371:F3373"/>
    <mergeCell ref="G3371:G3373"/>
    <mergeCell ref="H3371:H3373"/>
    <mergeCell ref="I3371:I3373"/>
    <mergeCell ref="J3371:J3373"/>
    <mergeCell ref="K3371:K3373"/>
    <mergeCell ref="L3371:L3373"/>
    <mergeCell ref="D3363:D3365"/>
    <mergeCell ref="E3363:E3365"/>
    <mergeCell ref="D3401:D3403"/>
    <mergeCell ref="E3401:E3403"/>
    <mergeCell ref="F3401:F3403"/>
    <mergeCell ref="G3401:G3403"/>
    <mergeCell ref="H3401:H3403"/>
    <mergeCell ref="I3401:I3403"/>
    <mergeCell ref="J3401:J3403"/>
    <mergeCell ref="K3401:K3403"/>
    <mergeCell ref="L3401:L3403"/>
    <mergeCell ref="D3404:D3406"/>
    <mergeCell ref="E3404:E3406"/>
    <mergeCell ref="F3404:F3406"/>
    <mergeCell ref="G3404:G3406"/>
    <mergeCell ref="H3404:H3406"/>
    <mergeCell ref="I3404:I3406"/>
    <mergeCell ref="J3404:J3406"/>
    <mergeCell ref="K3404:K3406"/>
    <mergeCell ref="L3404:L3406"/>
    <mergeCell ref="D3390:D3392"/>
    <mergeCell ref="E3390:E3392"/>
    <mergeCell ref="F3390:F3392"/>
    <mergeCell ref="G3390:G3392"/>
    <mergeCell ref="H3390:H3392"/>
    <mergeCell ref="I3390:I3392"/>
    <mergeCell ref="J3390:J3392"/>
    <mergeCell ref="K3390:K3392"/>
    <mergeCell ref="L3390:L3392"/>
    <mergeCell ref="D3393:D3395"/>
    <mergeCell ref="E3393:E3395"/>
    <mergeCell ref="F3393:F3395"/>
    <mergeCell ref="G3393:G3395"/>
    <mergeCell ref="H3393:H3395"/>
    <mergeCell ref="I3393:I3395"/>
    <mergeCell ref="J3393:J3395"/>
    <mergeCell ref="K3393:K3395"/>
    <mergeCell ref="L3393:L3395"/>
    <mergeCell ref="G3368:G3370"/>
    <mergeCell ref="H3368:H3370"/>
    <mergeCell ref="I3368:I3370"/>
    <mergeCell ref="J3368:J3370"/>
    <mergeCell ref="K3368:K3370"/>
    <mergeCell ref="L3368:L3370"/>
    <mergeCell ref="D3371:D3373"/>
    <mergeCell ref="E3371:E3373"/>
    <mergeCell ref="D3396:D3398"/>
    <mergeCell ref="E3396:E3398"/>
    <mergeCell ref="F3396:F3398"/>
    <mergeCell ref="G3396:G3398"/>
    <mergeCell ref="H3396:H3398"/>
    <mergeCell ref="I3396:I3398"/>
    <mergeCell ref="J3396:J3398"/>
    <mergeCell ref="K3396:K3398"/>
    <mergeCell ref="L3396:L3398"/>
    <mergeCell ref="D3399:F3399"/>
    <mergeCell ref="G3399:L3399"/>
    <mergeCell ref="A3390:A3392"/>
    <mergeCell ref="B3390:C3399"/>
    <mergeCell ref="D3423:D3425"/>
    <mergeCell ref="E3423:E3425"/>
    <mergeCell ref="F3423:F3425"/>
    <mergeCell ref="G3423:G3425"/>
    <mergeCell ref="H3423:H3425"/>
    <mergeCell ref="I3423:I3425"/>
    <mergeCell ref="J3423:J3425"/>
    <mergeCell ref="K3423:K3425"/>
    <mergeCell ref="L3423:L3425"/>
    <mergeCell ref="D3426:D3428"/>
    <mergeCell ref="E3426:E3428"/>
    <mergeCell ref="F3426:F3428"/>
    <mergeCell ref="G3426:G3428"/>
    <mergeCell ref="H3426:H3428"/>
    <mergeCell ref="I3426:I3428"/>
    <mergeCell ref="J3426:J3428"/>
    <mergeCell ref="K3426:K3428"/>
    <mergeCell ref="L3426:L3428"/>
    <mergeCell ref="D3412:D3414"/>
    <mergeCell ref="E3412:E3414"/>
    <mergeCell ref="F3412:F3414"/>
    <mergeCell ref="G3412:G3414"/>
    <mergeCell ref="H3412:H3414"/>
    <mergeCell ref="I3412:I3414"/>
    <mergeCell ref="J3412:J3414"/>
    <mergeCell ref="K3412:K3414"/>
    <mergeCell ref="L3412:L3414"/>
    <mergeCell ref="D3415:D3417"/>
    <mergeCell ref="E3415:E3417"/>
    <mergeCell ref="F3415:F3417"/>
    <mergeCell ref="G3415:G3417"/>
    <mergeCell ref="H3415:H3417"/>
    <mergeCell ref="I3415:I3417"/>
    <mergeCell ref="J3415:J3417"/>
    <mergeCell ref="K3415:K3417"/>
    <mergeCell ref="L3415:L3417"/>
    <mergeCell ref="A3423:A3425"/>
    <mergeCell ref="B3423:C3432"/>
    <mergeCell ref="D3429:D3431"/>
    <mergeCell ref="A3401:A3403"/>
    <mergeCell ref="B3401:C3410"/>
    <mergeCell ref="D3407:D3409"/>
    <mergeCell ref="E3407:E3409"/>
    <mergeCell ref="F3407:F3409"/>
    <mergeCell ref="G3407:G3409"/>
    <mergeCell ref="H3407:H3409"/>
    <mergeCell ref="I3407:I3409"/>
    <mergeCell ref="J3407:J3409"/>
    <mergeCell ref="K3407:K3409"/>
    <mergeCell ref="L3407:L3409"/>
    <mergeCell ref="D3410:F3410"/>
    <mergeCell ref="G3410:L3410"/>
    <mergeCell ref="A3412:A3414"/>
    <mergeCell ref="B3412:C3421"/>
    <mergeCell ref="D3418:D3420"/>
    <mergeCell ref="E3418:E3420"/>
    <mergeCell ref="F3418:F3420"/>
    <mergeCell ref="G3418:G3420"/>
    <mergeCell ref="H3418:H3420"/>
    <mergeCell ref="I3418:I3420"/>
    <mergeCell ref="J3418:J3420"/>
    <mergeCell ref="K3418:K3420"/>
    <mergeCell ref="D3665:D3667"/>
    <mergeCell ref="E3665:E3667"/>
    <mergeCell ref="F3665:F3667"/>
    <mergeCell ref="G3665:G3667"/>
    <mergeCell ref="H3665:H3667"/>
    <mergeCell ref="I3665:I3667"/>
    <mergeCell ref="J3665:J3667"/>
    <mergeCell ref="K3665:K3667"/>
    <mergeCell ref="L3665:L3667"/>
    <mergeCell ref="D3668:D3670"/>
    <mergeCell ref="E3668:E3670"/>
    <mergeCell ref="F3668:F3670"/>
    <mergeCell ref="G3668:G3670"/>
    <mergeCell ref="H3668:H3670"/>
    <mergeCell ref="I3668:I3670"/>
    <mergeCell ref="J3668:J3670"/>
    <mergeCell ref="K3668:K3670"/>
    <mergeCell ref="L3668:L3670"/>
    <mergeCell ref="D3671:D3673"/>
    <mergeCell ref="E3671:E3673"/>
    <mergeCell ref="F3671:F3673"/>
    <mergeCell ref="G3671:G3673"/>
    <mergeCell ref="H3671:H3673"/>
    <mergeCell ref="I3671:I3673"/>
    <mergeCell ref="J3671:J3673"/>
    <mergeCell ref="K3671:K3673"/>
    <mergeCell ref="L3671:L3673"/>
    <mergeCell ref="D3674:F3674"/>
    <mergeCell ref="G3674:L3674"/>
    <mergeCell ref="A3654:A3656"/>
    <mergeCell ref="B3654:C3663"/>
    <mergeCell ref="D3654:D3656"/>
    <mergeCell ref="E3654:E3656"/>
    <mergeCell ref="F3654:F3656"/>
    <mergeCell ref="G3654:G3656"/>
    <mergeCell ref="H3654:H3656"/>
    <mergeCell ref="I3654:I3656"/>
    <mergeCell ref="J3654:J3656"/>
    <mergeCell ref="K3654:K3656"/>
    <mergeCell ref="L3654:L3656"/>
    <mergeCell ref="D3657:D3659"/>
    <mergeCell ref="E3657:E3659"/>
    <mergeCell ref="F3657:F3659"/>
    <mergeCell ref="G3657:G3659"/>
    <mergeCell ref="H3657:H3659"/>
    <mergeCell ref="I3657:I3659"/>
    <mergeCell ref="J3657:J3659"/>
    <mergeCell ref="K3657:K3659"/>
    <mergeCell ref="L3657:L3659"/>
    <mergeCell ref="D3660:D3662"/>
    <mergeCell ref="E3660:E3662"/>
    <mergeCell ref="F3660:F3662"/>
    <mergeCell ref="G3660:G3662"/>
    <mergeCell ref="H3660:H3662"/>
    <mergeCell ref="I3660:I3662"/>
    <mergeCell ref="J3660:J3662"/>
    <mergeCell ref="K3660:K3662"/>
    <mergeCell ref="L3660:L3662"/>
    <mergeCell ref="D3663:F3663"/>
    <mergeCell ref="G3663:L3663"/>
    <mergeCell ref="A3687:A3689"/>
    <mergeCell ref="B3687:C3696"/>
    <mergeCell ref="D3687:D3689"/>
    <mergeCell ref="E3687:E3689"/>
    <mergeCell ref="F3687:F3689"/>
    <mergeCell ref="G3687:G3689"/>
    <mergeCell ref="H3687:H3689"/>
    <mergeCell ref="I3687:I3689"/>
    <mergeCell ref="J3687:J3689"/>
    <mergeCell ref="K3687:K3689"/>
    <mergeCell ref="L3687:L3689"/>
    <mergeCell ref="D3690:D3692"/>
    <mergeCell ref="E3690:E3692"/>
    <mergeCell ref="F3690:F3692"/>
    <mergeCell ref="G3690:G3692"/>
    <mergeCell ref="H3690:H3692"/>
    <mergeCell ref="I3690:I3692"/>
    <mergeCell ref="J3690:J3692"/>
    <mergeCell ref="K3690:K3692"/>
    <mergeCell ref="L3690:L3692"/>
    <mergeCell ref="D3693:D3695"/>
    <mergeCell ref="E3693:E3695"/>
    <mergeCell ref="F3693:F3695"/>
    <mergeCell ref="G3693:G3695"/>
    <mergeCell ref="H3693:H3695"/>
    <mergeCell ref="I3693:I3695"/>
    <mergeCell ref="J3693:J3695"/>
    <mergeCell ref="K3693:K3695"/>
    <mergeCell ref="L3693:L3695"/>
    <mergeCell ref="D3696:F3696"/>
    <mergeCell ref="G3696:L3696"/>
    <mergeCell ref="A3676:A3678"/>
    <mergeCell ref="B3676:C3685"/>
    <mergeCell ref="D3676:D3678"/>
    <mergeCell ref="E3676:E3678"/>
    <mergeCell ref="F3676:F3678"/>
    <mergeCell ref="G3676:G3678"/>
    <mergeCell ref="H3676:H3678"/>
    <mergeCell ref="I3676:I3678"/>
    <mergeCell ref="J3676:J3678"/>
    <mergeCell ref="K3676:K3678"/>
    <mergeCell ref="L3676:L3678"/>
    <mergeCell ref="D3679:D3681"/>
    <mergeCell ref="E3679:E3681"/>
    <mergeCell ref="F3679:F3681"/>
    <mergeCell ref="G3679:G3681"/>
    <mergeCell ref="H3679:H3681"/>
    <mergeCell ref="I3679:I3681"/>
    <mergeCell ref="J3679:J3681"/>
    <mergeCell ref="K3679:K3681"/>
    <mergeCell ref="L3679:L3681"/>
    <mergeCell ref="D3682:D3684"/>
    <mergeCell ref="E3682:E3684"/>
    <mergeCell ref="F3682:F3684"/>
    <mergeCell ref="G3682:G3684"/>
    <mergeCell ref="H3682:H3684"/>
    <mergeCell ref="I3682:I3684"/>
    <mergeCell ref="J3682:J3684"/>
    <mergeCell ref="K3682:K3684"/>
    <mergeCell ref="L3682:L3684"/>
    <mergeCell ref="D3685:F3685"/>
    <mergeCell ref="G3685:L3685"/>
    <mergeCell ref="A3709:A3711"/>
    <mergeCell ref="B3709:C3718"/>
    <mergeCell ref="D3709:D3711"/>
    <mergeCell ref="E3709:E3711"/>
    <mergeCell ref="F3709:F3711"/>
    <mergeCell ref="G3709:G3711"/>
    <mergeCell ref="H3709:H3711"/>
    <mergeCell ref="I3709:I3711"/>
    <mergeCell ref="J3709:J3711"/>
    <mergeCell ref="K3709:K3711"/>
    <mergeCell ref="L3709:L3711"/>
    <mergeCell ref="D3712:D3714"/>
    <mergeCell ref="E3712:E3714"/>
    <mergeCell ref="F3712:F3714"/>
    <mergeCell ref="G3712:G3714"/>
    <mergeCell ref="H3712:H3714"/>
    <mergeCell ref="I3712:I3714"/>
    <mergeCell ref="J3712:J3714"/>
    <mergeCell ref="K3712:K3714"/>
    <mergeCell ref="L3712:L3714"/>
    <mergeCell ref="D3715:D3717"/>
    <mergeCell ref="E3715:E3717"/>
    <mergeCell ref="F3715:F3717"/>
    <mergeCell ref="G3715:G3717"/>
    <mergeCell ref="H3715:H3717"/>
    <mergeCell ref="I3715:I3717"/>
    <mergeCell ref="J3715:J3717"/>
    <mergeCell ref="K3715:K3717"/>
    <mergeCell ref="L3715:L3717"/>
    <mergeCell ref="D3718:F3718"/>
    <mergeCell ref="G3718:L3718"/>
    <mergeCell ref="A3698:A3700"/>
    <mergeCell ref="B3698:C3707"/>
    <mergeCell ref="D3698:D3700"/>
    <mergeCell ref="E3698:E3700"/>
    <mergeCell ref="F3698:F3700"/>
    <mergeCell ref="G3698:G3700"/>
    <mergeCell ref="H3698:H3700"/>
    <mergeCell ref="I3698:I3700"/>
    <mergeCell ref="J3698:J3700"/>
    <mergeCell ref="K3698:K3700"/>
    <mergeCell ref="L3698:L3700"/>
    <mergeCell ref="D3701:D3703"/>
    <mergeCell ref="E3701:E3703"/>
    <mergeCell ref="F3701:F3703"/>
    <mergeCell ref="G3701:G3703"/>
    <mergeCell ref="H3701:H3703"/>
    <mergeCell ref="I3701:I3703"/>
    <mergeCell ref="J3701:J3703"/>
    <mergeCell ref="K3701:K3703"/>
    <mergeCell ref="L3701:L3703"/>
    <mergeCell ref="D3704:D3706"/>
    <mergeCell ref="E3704:E3706"/>
    <mergeCell ref="F3704:F3706"/>
    <mergeCell ref="G3704:G3706"/>
    <mergeCell ref="H3704:H3706"/>
    <mergeCell ref="I3704:I3706"/>
    <mergeCell ref="J3704:J3706"/>
    <mergeCell ref="K3704:K3706"/>
    <mergeCell ref="L3704:L3706"/>
    <mergeCell ref="D3707:F3707"/>
    <mergeCell ref="G3707:L3707"/>
    <mergeCell ref="A3731:A3733"/>
    <mergeCell ref="B3731:C3740"/>
    <mergeCell ref="D3731:D3733"/>
    <mergeCell ref="E3731:E3733"/>
    <mergeCell ref="F3731:F3733"/>
    <mergeCell ref="G3731:G3733"/>
    <mergeCell ref="H3731:H3733"/>
    <mergeCell ref="I3731:I3733"/>
    <mergeCell ref="J3731:J3733"/>
    <mergeCell ref="K3731:K3733"/>
    <mergeCell ref="L3731:L3733"/>
    <mergeCell ref="D3734:D3736"/>
    <mergeCell ref="E3734:E3736"/>
    <mergeCell ref="F3734:F3736"/>
    <mergeCell ref="G3734:G3736"/>
    <mergeCell ref="H3734:H3736"/>
    <mergeCell ref="I3734:I3736"/>
    <mergeCell ref="J3734:J3736"/>
    <mergeCell ref="K3734:K3736"/>
    <mergeCell ref="L3734:L3736"/>
    <mergeCell ref="D3737:D3739"/>
    <mergeCell ref="E3737:E3739"/>
    <mergeCell ref="F3737:F3739"/>
    <mergeCell ref="G3737:G3739"/>
    <mergeCell ref="H3737:H3739"/>
    <mergeCell ref="I3737:I3739"/>
    <mergeCell ref="J3737:J3739"/>
    <mergeCell ref="K3737:K3739"/>
    <mergeCell ref="L3737:L3739"/>
    <mergeCell ref="D3740:F3740"/>
    <mergeCell ref="G3740:L3740"/>
    <mergeCell ref="A3720:A3722"/>
    <mergeCell ref="B3720:C3729"/>
    <mergeCell ref="D3720:D3722"/>
    <mergeCell ref="E3720:E3722"/>
    <mergeCell ref="F3720:F3722"/>
    <mergeCell ref="G3720:G3722"/>
    <mergeCell ref="H3720:H3722"/>
    <mergeCell ref="I3720:I3722"/>
    <mergeCell ref="J3720:J3722"/>
    <mergeCell ref="K3720:K3722"/>
    <mergeCell ref="L3720:L3722"/>
    <mergeCell ref="D3723:D3725"/>
    <mergeCell ref="E3723:E3725"/>
    <mergeCell ref="F3723:F3725"/>
    <mergeCell ref="G3723:G3725"/>
    <mergeCell ref="H3723:H3725"/>
    <mergeCell ref="I3723:I3725"/>
    <mergeCell ref="J3723:J3725"/>
    <mergeCell ref="K3723:K3725"/>
    <mergeCell ref="L3723:L3725"/>
    <mergeCell ref="D3726:D3728"/>
    <mergeCell ref="E3726:E3728"/>
    <mergeCell ref="F3726:F3728"/>
    <mergeCell ref="G3726:G3728"/>
    <mergeCell ref="H3726:H3728"/>
    <mergeCell ref="I3726:I3728"/>
    <mergeCell ref="J3726:J3728"/>
    <mergeCell ref="K3726:K3728"/>
    <mergeCell ref="L3726:L3728"/>
    <mergeCell ref="D3729:F3729"/>
    <mergeCell ref="G3729:L3729"/>
    <mergeCell ref="A3753:A3755"/>
    <mergeCell ref="B3753:C3762"/>
    <mergeCell ref="D3753:D3755"/>
    <mergeCell ref="E3753:E3755"/>
    <mergeCell ref="F3753:F3755"/>
    <mergeCell ref="G3753:G3755"/>
    <mergeCell ref="H3753:H3755"/>
    <mergeCell ref="I3753:I3755"/>
    <mergeCell ref="J3753:J3755"/>
    <mergeCell ref="K3753:K3755"/>
    <mergeCell ref="L3753:L3755"/>
    <mergeCell ref="D3756:D3758"/>
    <mergeCell ref="E3756:E3758"/>
    <mergeCell ref="F3756:F3758"/>
    <mergeCell ref="G3756:G3758"/>
    <mergeCell ref="H3756:H3758"/>
    <mergeCell ref="I3756:I3758"/>
    <mergeCell ref="J3756:J3758"/>
    <mergeCell ref="K3756:K3758"/>
    <mergeCell ref="L3756:L3758"/>
    <mergeCell ref="D3759:D3761"/>
    <mergeCell ref="E3759:E3761"/>
    <mergeCell ref="F3759:F3761"/>
    <mergeCell ref="G3759:G3761"/>
    <mergeCell ref="H3759:H3761"/>
    <mergeCell ref="I3759:I3761"/>
    <mergeCell ref="J3759:J3761"/>
    <mergeCell ref="K3759:K3761"/>
    <mergeCell ref="L3759:L3761"/>
    <mergeCell ref="D3762:F3762"/>
    <mergeCell ref="G3762:L3762"/>
    <mergeCell ref="A3742:A3744"/>
    <mergeCell ref="B3742:C3751"/>
    <mergeCell ref="D3742:D3744"/>
    <mergeCell ref="E3742:E3744"/>
    <mergeCell ref="F3742:F3744"/>
    <mergeCell ref="G3742:G3744"/>
    <mergeCell ref="H3742:H3744"/>
    <mergeCell ref="I3742:I3744"/>
    <mergeCell ref="J3742:J3744"/>
    <mergeCell ref="K3742:K3744"/>
    <mergeCell ref="L3742:L3744"/>
    <mergeCell ref="D3745:D3747"/>
    <mergeCell ref="E3745:E3747"/>
    <mergeCell ref="F3745:F3747"/>
    <mergeCell ref="G3745:G3747"/>
    <mergeCell ref="H3745:H3747"/>
    <mergeCell ref="I3745:I3747"/>
    <mergeCell ref="J3745:J3747"/>
    <mergeCell ref="K3745:K3747"/>
    <mergeCell ref="L3745:L3747"/>
    <mergeCell ref="D3748:D3750"/>
    <mergeCell ref="E3748:E3750"/>
    <mergeCell ref="F3748:F3750"/>
    <mergeCell ref="G3748:G3750"/>
    <mergeCell ref="H3748:H3750"/>
    <mergeCell ref="I3748:I3750"/>
    <mergeCell ref="J3748:J3750"/>
    <mergeCell ref="K3748:K3750"/>
    <mergeCell ref="L3748:L3750"/>
    <mergeCell ref="D3751:F3751"/>
    <mergeCell ref="G3751:L3751"/>
    <mergeCell ref="K4020:K4022"/>
    <mergeCell ref="L4020:L4022"/>
    <mergeCell ref="D4023:D4025"/>
    <mergeCell ref="E4023:E4025"/>
    <mergeCell ref="F4023:F4025"/>
    <mergeCell ref="G4023:G4025"/>
    <mergeCell ref="H4023:H4025"/>
    <mergeCell ref="I4023:I4025"/>
    <mergeCell ref="J4023:J4025"/>
    <mergeCell ref="K4023:K4025"/>
    <mergeCell ref="L4023:L4025"/>
    <mergeCell ref="D4009:D4011"/>
    <mergeCell ref="E4009:E4011"/>
    <mergeCell ref="F4009:F4011"/>
    <mergeCell ref="G4009:G4011"/>
    <mergeCell ref="H4009:H4011"/>
    <mergeCell ref="I4009:I4011"/>
    <mergeCell ref="J4009:J4011"/>
    <mergeCell ref="K4009:K4011"/>
    <mergeCell ref="L4009:L4011"/>
    <mergeCell ref="D4012:D4014"/>
    <mergeCell ref="E4012:E4014"/>
    <mergeCell ref="F4012:F4014"/>
    <mergeCell ref="G4012:G4014"/>
    <mergeCell ref="H4012:H4014"/>
    <mergeCell ref="I4012:I4014"/>
    <mergeCell ref="J4012:J4014"/>
    <mergeCell ref="K4012:K4014"/>
    <mergeCell ref="L4012:L4014"/>
    <mergeCell ref="A4028:A4030"/>
    <mergeCell ref="B4028:C4037"/>
    <mergeCell ref="D4042:D4044"/>
    <mergeCell ref="E4042:E4044"/>
    <mergeCell ref="F4042:F4044"/>
    <mergeCell ref="G4042:G4044"/>
    <mergeCell ref="H4042:H4044"/>
    <mergeCell ref="I4042:I4044"/>
    <mergeCell ref="J4042:J4044"/>
    <mergeCell ref="K4042:K4044"/>
    <mergeCell ref="L4042:L4044"/>
    <mergeCell ref="D4031:D4033"/>
    <mergeCell ref="E4031:E4033"/>
    <mergeCell ref="F4031:F4033"/>
    <mergeCell ref="G4031:G4033"/>
    <mergeCell ref="H4031:H4033"/>
    <mergeCell ref="I4031:I4033"/>
    <mergeCell ref="J4031:J4033"/>
    <mergeCell ref="K4031:K4033"/>
    <mergeCell ref="L4031:L4033"/>
    <mergeCell ref="D4034:D4036"/>
    <mergeCell ref="E4034:E4036"/>
    <mergeCell ref="F4034:F4036"/>
    <mergeCell ref="G4034:G4036"/>
    <mergeCell ref="H4034:H4036"/>
    <mergeCell ref="I4034:I4036"/>
    <mergeCell ref="J4034:J4036"/>
    <mergeCell ref="K4034:K4036"/>
    <mergeCell ref="L4034:L4036"/>
    <mergeCell ref="D4028:D4030"/>
    <mergeCell ref="E4028:E4030"/>
    <mergeCell ref="F4028:F4030"/>
    <mergeCell ref="G4028:G4030"/>
    <mergeCell ref="H4028:H4030"/>
    <mergeCell ref="I4028:I4030"/>
    <mergeCell ref="K4086:K4088"/>
    <mergeCell ref="L4086:L4088"/>
    <mergeCell ref="D4089:D4091"/>
    <mergeCell ref="E4089:E4091"/>
    <mergeCell ref="F4089:F4091"/>
    <mergeCell ref="G4089:G4091"/>
    <mergeCell ref="H4089:H4091"/>
    <mergeCell ref="I4089:I4091"/>
    <mergeCell ref="J4089:J4091"/>
    <mergeCell ref="K4089:K4091"/>
    <mergeCell ref="L4089:L4091"/>
    <mergeCell ref="D4075:D4077"/>
    <mergeCell ref="E4075:E4077"/>
    <mergeCell ref="F4075:F4077"/>
    <mergeCell ref="G4075:G4077"/>
    <mergeCell ref="H4075:H4077"/>
    <mergeCell ref="I4075:I4077"/>
    <mergeCell ref="J4075:J4077"/>
    <mergeCell ref="K4075:K4077"/>
    <mergeCell ref="L4075:L4077"/>
    <mergeCell ref="D4078:D4080"/>
    <mergeCell ref="E4078:E4080"/>
    <mergeCell ref="F4078:F4080"/>
    <mergeCell ref="G4078:G4080"/>
    <mergeCell ref="H4078:H4080"/>
    <mergeCell ref="I4078:I4080"/>
    <mergeCell ref="J4078:J4080"/>
    <mergeCell ref="K4078:K4080"/>
    <mergeCell ref="L4078:L4080"/>
    <mergeCell ref="A4094:A4096"/>
    <mergeCell ref="B4094:C4103"/>
    <mergeCell ref="A4116:A4118"/>
    <mergeCell ref="B4116:C4125"/>
    <mergeCell ref="D4116:D4118"/>
    <mergeCell ref="D4094:D4096"/>
    <mergeCell ref="E4094:E4096"/>
    <mergeCell ref="F4094:F4096"/>
    <mergeCell ref="G4094:G4096"/>
    <mergeCell ref="H4094:H4096"/>
    <mergeCell ref="I4094:I4096"/>
    <mergeCell ref="J4094:J4096"/>
    <mergeCell ref="K4094:K4096"/>
    <mergeCell ref="L4094:L4096"/>
    <mergeCell ref="D4097:D4099"/>
    <mergeCell ref="E4097:E4099"/>
    <mergeCell ref="F4097:F4099"/>
    <mergeCell ref="G4097:G4099"/>
    <mergeCell ref="H4097:H4099"/>
    <mergeCell ref="I4097:I4099"/>
    <mergeCell ref="J4097:J4099"/>
    <mergeCell ref="K4097:K4099"/>
    <mergeCell ref="L4097:L4099"/>
    <mergeCell ref="D4100:D4102"/>
    <mergeCell ref="E4100:E4102"/>
    <mergeCell ref="F4100:F4102"/>
    <mergeCell ref="G4100:G4102"/>
    <mergeCell ref="H4100:H4102"/>
    <mergeCell ref="I4100:I4102"/>
    <mergeCell ref="J4100:J4102"/>
    <mergeCell ref="K4100:K4102"/>
    <mergeCell ref="L4100:L4102"/>
    <mergeCell ref="D4103:F4103"/>
    <mergeCell ref="G4103:L4103"/>
    <mergeCell ref="A4105:A4107"/>
    <mergeCell ref="D4226:D4228"/>
    <mergeCell ref="E4226:E4228"/>
    <mergeCell ref="F4226:F4228"/>
    <mergeCell ref="G4226:G4228"/>
    <mergeCell ref="H4226:H4228"/>
    <mergeCell ref="I4226:I4228"/>
    <mergeCell ref="J4226:J4228"/>
    <mergeCell ref="K4226:K4228"/>
    <mergeCell ref="L4226:L4228"/>
    <mergeCell ref="D4215:D4217"/>
    <mergeCell ref="E4215:E4217"/>
    <mergeCell ref="F4215:F4217"/>
    <mergeCell ref="G4215:G4217"/>
    <mergeCell ref="H4215:H4217"/>
    <mergeCell ref="I4215:I4217"/>
    <mergeCell ref="J4215:J4217"/>
    <mergeCell ref="K4215:K4217"/>
    <mergeCell ref="L4215:L4217"/>
    <mergeCell ref="A4226:A4228"/>
    <mergeCell ref="D4248:D4250"/>
    <mergeCell ref="E4248:E4250"/>
    <mergeCell ref="F4248:F4250"/>
    <mergeCell ref="G4248:G4250"/>
    <mergeCell ref="H4248:H4250"/>
    <mergeCell ref="I4248:I4250"/>
    <mergeCell ref="J4248:J4250"/>
    <mergeCell ref="K4248:K4250"/>
    <mergeCell ref="L4248:L4250"/>
    <mergeCell ref="D4237:D4239"/>
    <mergeCell ref="E4237:E4239"/>
    <mergeCell ref="F4237:F4239"/>
    <mergeCell ref="G4237:G4239"/>
    <mergeCell ref="H4237:H4239"/>
    <mergeCell ref="I4237:I4239"/>
    <mergeCell ref="J4237:J4239"/>
    <mergeCell ref="K4237:K4239"/>
    <mergeCell ref="L4237:L4239"/>
    <mergeCell ref="B4226:C4235"/>
    <mergeCell ref="D4229:D4231"/>
    <mergeCell ref="E4229:E4231"/>
    <mergeCell ref="F4229:F4231"/>
    <mergeCell ref="G4229:G4231"/>
    <mergeCell ref="H4229:H4231"/>
    <mergeCell ref="I4229:I4231"/>
    <mergeCell ref="J4229:J4231"/>
    <mergeCell ref="K4229:K4231"/>
    <mergeCell ref="L4229:L4231"/>
    <mergeCell ref="D4232:D4234"/>
    <mergeCell ref="E4232:E4234"/>
    <mergeCell ref="F4232:F4234"/>
    <mergeCell ref="G4232:G4234"/>
    <mergeCell ref="H4232:H4234"/>
    <mergeCell ref="I4232:I4234"/>
    <mergeCell ref="J4232:J4234"/>
    <mergeCell ref="K4232:K4234"/>
    <mergeCell ref="L4232:L4234"/>
    <mergeCell ref="D4235:F4235"/>
    <mergeCell ref="G4235:L4235"/>
    <mergeCell ref="A4237:A4239"/>
    <mergeCell ref="B4237:C4246"/>
    <mergeCell ref="D4240:D4242"/>
    <mergeCell ref="E4240:E4242"/>
    <mergeCell ref="F4240:F4242"/>
    <mergeCell ref="G4240:G4242"/>
    <mergeCell ref="D4270:D4272"/>
    <mergeCell ref="E4270:E4272"/>
    <mergeCell ref="F4270:F4272"/>
    <mergeCell ref="G4270:G4272"/>
    <mergeCell ref="H4270:H4272"/>
    <mergeCell ref="I4270:I4272"/>
    <mergeCell ref="J4270:J4272"/>
    <mergeCell ref="K4270:K4272"/>
    <mergeCell ref="L4270:L4272"/>
    <mergeCell ref="D4259:D4261"/>
    <mergeCell ref="E4259:E4261"/>
    <mergeCell ref="F4259:F4261"/>
    <mergeCell ref="G4259:G4261"/>
    <mergeCell ref="H4259:H4261"/>
    <mergeCell ref="I4259:I4261"/>
    <mergeCell ref="J4259:J4261"/>
    <mergeCell ref="K4259:K4261"/>
    <mergeCell ref="L4259:L4261"/>
    <mergeCell ref="A4270:A4272"/>
    <mergeCell ref="B4270:C4279"/>
    <mergeCell ref="D4292:D4294"/>
    <mergeCell ref="E4292:E4294"/>
    <mergeCell ref="F4292:F4294"/>
    <mergeCell ref="G4292:G4294"/>
    <mergeCell ref="H4292:H4294"/>
    <mergeCell ref="I4292:I4294"/>
    <mergeCell ref="J4292:J4294"/>
    <mergeCell ref="K4292:K4294"/>
    <mergeCell ref="L4292:L4294"/>
    <mergeCell ref="D4281:D4283"/>
    <mergeCell ref="E4281:E4283"/>
    <mergeCell ref="F4281:F4283"/>
    <mergeCell ref="G4281:G4283"/>
    <mergeCell ref="H4281:H4283"/>
    <mergeCell ref="I4281:I4283"/>
    <mergeCell ref="J4281:J4283"/>
    <mergeCell ref="K4281:K4283"/>
    <mergeCell ref="L4281:L4283"/>
    <mergeCell ref="D4273:D4275"/>
    <mergeCell ref="E4273:E4275"/>
    <mergeCell ref="A4259:A4261"/>
    <mergeCell ref="B4259:C4268"/>
    <mergeCell ref="D4262:D4264"/>
    <mergeCell ref="E4262:E4264"/>
    <mergeCell ref="F4262:F4264"/>
    <mergeCell ref="G4262:G4264"/>
    <mergeCell ref="H4262:H4264"/>
    <mergeCell ref="I4262:I4264"/>
    <mergeCell ref="J4262:J4264"/>
    <mergeCell ref="K4262:K4264"/>
    <mergeCell ref="L4262:L4264"/>
    <mergeCell ref="D4265:D4267"/>
    <mergeCell ref="E4265:E4267"/>
    <mergeCell ref="F4265:F4267"/>
    <mergeCell ref="G4265:G4267"/>
    <mergeCell ref="H4265:H4267"/>
    <mergeCell ref="I4265:I4267"/>
    <mergeCell ref="J4265:J4267"/>
    <mergeCell ref="K4265:K4267"/>
    <mergeCell ref="L4265:L4267"/>
    <mergeCell ref="D4268:F4268"/>
    <mergeCell ref="G4268:L4268"/>
    <mergeCell ref="F4273:F4275"/>
    <mergeCell ref="G4273:G4275"/>
    <mergeCell ref="D4314:D4316"/>
    <mergeCell ref="E4314:E4316"/>
    <mergeCell ref="F4314:F4316"/>
    <mergeCell ref="G4314:G4316"/>
    <mergeCell ref="H4314:H4316"/>
    <mergeCell ref="I4314:I4316"/>
    <mergeCell ref="J4314:J4316"/>
    <mergeCell ref="K4314:K4316"/>
    <mergeCell ref="L4314:L4316"/>
    <mergeCell ref="D4303:D4305"/>
    <mergeCell ref="E4303:E4305"/>
    <mergeCell ref="F4303:F4305"/>
    <mergeCell ref="G4303:G4305"/>
    <mergeCell ref="H4303:H4305"/>
    <mergeCell ref="I4303:I4305"/>
    <mergeCell ref="J4303:J4305"/>
    <mergeCell ref="K4303:K4305"/>
    <mergeCell ref="L4303:L4305"/>
    <mergeCell ref="A4314:A4316"/>
    <mergeCell ref="B4314:C4323"/>
    <mergeCell ref="D4331:D4333"/>
    <mergeCell ref="E4331:E4333"/>
    <mergeCell ref="F4331:F4333"/>
    <mergeCell ref="G4331:G4333"/>
    <mergeCell ref="H4331:H4333"/>
    <mergeCell ref="I4331:I4333"/>
    <mergeCell ref="J4331:J4333"/>
    <mergeCell ref="K4331:K4333"/>
    <mergeCell ref="L4331:L4333"/>
    <mergeCell ref="D4320:D4322"/>
    <mergeCell ref="E4320:E4322"/>
    <mergeCell ref="F4320:F4322"/>
    <mergeCell ref="G4320:G4322"/>
    <mergeCell ref="H4320:H4322"/>
    <mergeCell ref="I4320:I4322"/>
    <mergeCell ref="J4320:J4322"/>
    <mergeCell ref="K4320:K4322"/>
    <mergeCell ref="L4320:L4322"/>
    <mergeCell ref="D4317:D4319"/>
    <mergeCell ref="E4317:E4319"/>
    <mergeCell ref="F4317:F4319"/>
    <mergeCell ref="G4317:G4319"/>
    <mergeCell ref="H4317:H4319"/>
    <mergeCell ref="I4317:I4319"/>
    <mergeCell ref="J4317:J4319"/>
    <mergeCell ref="K4317:K4319"/>
    <mergeCell ref="L4317:L4319"/>
    <mergeCell ref="D4323:F4323"/>
    <mergeCell ref="G4323:L4323"/>
    <mergeCell ref="A4325:A4327"/>
    <mergeCell ref="B4325:C4334"/>
    <mergeCell ref="D4325:D4327"/>
    <mergeCell ref="E4325:E4327"/>
    <mergeCell ref="F4325:F4327"/>
    <mergeCell ref="G4325:G4327"/>
    <mergeCell ref="H4325:H4327"/>
    <mergeCell ref="I4325:I4327"/>
    <mergeCell ref="J4325:J4327"/>
    <mergeCell ref="K4325:K4327"/>
    <mergeCell ref="L4325:L4327"/>
    <mergeCell ref="D4328:D4330"/>
    <mergeCell ref="E4328:E4330"/>
    <mergeCell ref="F4328:F4330"/>
    <mergeCell ref="G4328:G4330"/>
  </mergeCells>
  <phoneticPr fontId="1" type="noConversion"/>
  <dataValidations count="2">
    <dataValidation type="list" allowBlank="1" showInputMessage="1" showErrorMessage="1" sqref="E5601:E5609 E5392:E5400 E13:E21 E8:E10 E24:E26 E35:E37 E60:E65 E68:E76 E49:E54 E79:E87 E222:E230 E233:E241 E244:E252 E255:E263 E266:E274 E277:E285 E288:E296 E299:E307 E310:E318 E112:E120 E4402:E4410 E4413:E4421 E4424:E4432 E4435:E4443 E4446:E4454 E4457:E4465 E4468:E4476 E4479:E4487 E4490:E4498 E4622:E4630 E5403:E5411 E5414:E5422 E5425:E5433 E5436:E5444 E5447:E5455 E5458:E5466 E5469:E5477 E5480:E5488 E5491:E5499 E101:E109 E332:E340 E343:E351 E354:E362 E365:E373 E376:E384 E387:E395 E398:E406 E409:E417 E420:E428 E431:E439 E4633:E4641 E4644:E4652 E4655:E4663 E4666:E4674 E4677:E4685 E4688:E4696 E4699:E4707 E4710:E4718 E4512:E4520 E4501:E4509 E4732:E4740 E4743:E4751 E4754:E4762 E4765:E4773 E4776:E4784 E4787:E4795 E4798:E4806 E4809:E4817 E4820:E4828 E4831:E4839 E4523:E4531 E4534:E4542 E4545:E4553 E4556:E4564 E4567:E4575 E4578:E4586 E4589:E4597 E4600:E4608 E4611:E4619 E4721:E4729 E123:E131 E134:E142 E145:E153 E156:E164 E167:E175 E178:E186 E189:E197 E200:E208 E211:E219 E321:E329 E442:E450 E453:E461 E464:E472 E475:E483 E486:E494 E497:E505 E508:E516 E519:E527 E530:E538 E541:E549 E552:E560 E563:E571 E574:E582 E585:E593 E596:E604 E607:E615 E618:E626 E629:E637 E640:E648 E772:E780 E783:E791 E794:E802 E805:E813 E816:E824 E827:E835 E838:E846 E849:E857 E860:E868 E662:E670 E651:E659 E882:E890 E893:E901 E904:E912 E915:E923 E926:E934 E937:E945 E948:E956 E959:E967 E970:E978 E981:E989 E673:E681 E684:E692 E695:E703 E706:E714 E717:E725 E728:E736 E739:E747 E750:E758 E761:E769 E871:E879 E992:E1000 E1003:E1011 E1014:E1022 E1025:E1033 E1036:E1044 E1047:E1055 E1058:E1066 E1069:E1077 E1080:E1088 E1091:E1099 E1102:E1110 E1113:E1121 E1124:E1132 E1135:E1143 E1146:E1154 E1157:E1165 E1168:E1176 E1179:E1187 E1190:E1198 E1322:E1330 E1333:E1341 E1344:E1352 E1355:E1363 E1366:E1374 E1377:E1385 E1388:E1396 E1399:E1407 E1410:E1418 E1212:E1220 E1201:E1209 E1432:E1440 E1443:E1451 E1454:E1462 E1465:E1473 E1476:E1484 E1487:E1495 E1498:E1506 E1509:E1517 E1520:E1528 E1531:E1539 E1223:E1231 E1234:E1242 E1245:E1253 E1256:E1264 E1267:E1275 E1278:E1286 E1289:E1297 E1300:E1308 E1311:E1319 E1421:E1429 E1542:E1550 E1553:E1561 E1564:E1572 E1575:E1583 E1586:E1594 E1597:E1605 E1608:E1616 E1619:E1627 E1630:E1638 E1641:E1649 E1652:E1660 E1663:E1671 E1674:E1682 E1685:E1693 E1696:E1704 E1707:E1715 E1718:E1726 E1729:E1737 E1740:E1748 E1872:E1880 E1883:E1891 E1894:E1902 E1905:E1913 E1916:E1924 E1927:E1935 E1938:E1946 E1949:E1957 E1960:E1968 E1762:E1770 E1751:E1759 E1982:E1990 E1993:E2001 E2004:E2012 E2015:E2023 E2026:E2034 E2037:E2045 E2048:E2056 E2059:E2067 E2070:E2078 E2081:E2089 E1773:E1781 E1784:E1792 E1795:E1803 E1806:E1814 E1817:E1825 E1828:E1836 E1839:E1847 E1850:E1858 E1861:E1869 E1971:E1979 E2092:E2100 E2103:E2111 E2114:E2122 E2125:E2133 E2136:E2144 E2147:E2155 E2158:E2166 E2169:E2177 E2180:E2188 E2191:E2199 E2202:E2210 E2213:E2221 E2224:E2232 E2235:E2243 E2246:E2254 E2257:E2265 E2268:E2276 E2279:E2287 E2290:E2298 E2422:E2430 E2433:E2441 E2444:E2452 E2455:E2463 E2466:E2474 E2477:E2485 E2488:E2496 E2499:E2507 E2510:E2518 E2312:E2320 E2301:E2309 E2532:E2540 E2543:E2551 E2554:E2562 E2565:E2573 E2576:E2584 E2587:E2595 E2598:E2606 E2609:E2617 E2620:E2628 E2631:E2639 E2323:E2331 E2334:E2342 E2345:E2353 E2356:E2364 E2367:E2375 E2378:E2386 E2389:E2397 E2400:E2408 E2411:E2419 E2521:E2529 E2642:E2650 E2653:E2661 E2664:E2672 E2675:E2683 E2686:E2694 E2697:E2705 E2708:E2716 E2719:E2727 E2730:E2738 E2741:E2749 E2752:E2760 E2763:E2771 E2774:E2782 E2785:E2793 E2796:E2804 E2807:E2815 E2818:E2826 E2829:E2837 E2840:E2848 E2972:E2980 E2983:E2991 E2994:E3002 E3005:E3013 E3016:E3024 E3027:E3035 E3038:E3046 E3049:E3057 E3060:E3068 E2862:E2870 E2851:E2859 E3082:E3090 E3093:E3101 E3104:E3112 E3115:E3123 E3126:E3134 E3137:E3145 E3148:E3156 E3159:E3167 E3170:E3178 E3181:E3189 E2873:E2881 E2884:E2892 E2895:E2903 E2906:E2914 E2917:E2925 E2928:E2936 E2939:E2947 E2950:E2958 E2961:E2969 E3071:E3079 E3192:E3200 E3203:E3211 E3214:E3222 E3225:E3233 E3236:E3244 E3247:E3255 E3258:E3266 E3269:E3277 E3280:E3288 E3291:E3299 E3302:E3310 E3313:E3321 E3324:E3332 E3335:E3343 E3346:E3354 E3357:E3365 E3368:E3376 E3379:E3387 E3390:E3398 E3522:E3530 E3533:E3541 E3544:E3552 E3555:E3563 E3566:E3574 E3577:E3585 E3588:E3596 E3599:E3607 E3610:E3618 E3412:E3420 E3401:E3409 E3632:E3640 E3643:E3651 E3654:E3662 E3665:E3673 E3676:E3684 E3687:E3695 E3698:E3706 E3709:E3717 E3720:E3728 E3731:E3739 E3423:E3431 E3434:E3442 E3445:E3453 E3456:E3464 E3467:E3475 E3478:E3486 E3489:E3497 E3500:E3508 E3511:E3519 E3621:E3629 E3742:E3750 E3753:E3761 E3764:E3772 E3775:E3783 E3786:E3794 E3797:E3805 E3808:E3816 E3819:E3827 E3830:E3838 E3841:E3849 E3852:E3860 E3863:E3871 E3874:E3882 E3885:E3893 E3896:E3904 E3907:E3915 E3918:E3926 E3929:E3937 E3940:E3948 E4072:E4080 E4083:E4091 E4094:E4102 E4105:E4113 E4116:E4124 E4127:E4135 E4138:E4146 E4149:E4157 E4160:E4168 E3962:E3970 E3951:E3959 E4182:E4190 E4193:E4201 E4204:E4212 E4215:E4223 E4226:E4234 E4237:E4245 E4248:E4256 E4259:E4267 E4270:E4278 E4281:E4289 E3973:E3981 E3984:E3992 E3995:E4003 E4006:E4014 E4017:E4025 E4028:E4036 E4039:E4047 E4050:E4058 E4061:E4069 E4171:E4179 E4292:E4300 E4303:E4311 E4314:E4322 E4325:E4333 E4336:E4344 E4347:E4355 E4358:E4366 E4369:E4377 E4380:E4388 E4391:E4399 E4842:E4850 E4853:E4861 E4864:E4872 E4875:E4883 E4886:E4894 E4897:E4905 E4908:E4916 E4919:E4927 E4930:E4938 E4941:E4949 E4952:E4960 E4963:E4971 E4974:E4982 E4985:E4993 E4996:E5004 E5007:E5015 E5018:E5026 E5029:E5037 E5040:E5048 E5172:E5180 E5183:E5191 E5194:E5202 E5205:E5213 E5216:E5224 E5227:E5235 E5238:E5246 E5249:E5257 E5260:E5268 E5062:E5070 E5051:E5059 E5282:E5290 E5293:E5301 E5304:E5312 E5315:E5323 E5326:E5334 E5337:E5345 E5348:E5356 E5359:E5367 E5370:E5378 E5381:E5389 E5073:E5081 E5084:E5092 E5095:E5103 E5106:E5114 E5117:E5125 E5128:E5136 E5139:E5147 E5150:E5158 E5161:E5169 E5271:E5279 E5502:E5510 E5513:E5521 E5524:E5532 E5535:E5543 E5546:E5554 E5557:E5565 E5568:E5576 E5579:E5587 E5590:E5598 E41:E43 E90:E98">
      <formula1>"금속관입상,금속관벽체,PVC입상,PVC벽체,차열재마감,오픈구,스파이럴입상,스파이럴벽체,실란트마감,덕트마감,댐퍼팽창테이프,세대SP,무보온덕트입상,무보온덕트벽체,보온덕트입상,보온덕트벽체,슬리브,대구경추가차열,대구경추가차열입상,대구경추가차열벽체,실란트마감입상,실란트마감벽체,금속관입상차열"</formula1>
    </dataValidation>
    <dataValidation type="list" allowBlank="1" showInputMessage="1" showErrorMessage="1" sqref="E2:E7 E46:E48 E27:E32 E38:E40 E57:E59">
      <formula1>"금속관입상,금속관벽체,PVC입상,PVC벽체,차열재마감,오픈구,스파이럴입상,스파이럴벽체,덕트마감,댐퍼팽창테이프,세대SP,무보온덕트입상,무보온덕트벽체,보온덕트입상,보온덕트벽체,슬리브,대구경추가차열입상,대구경추가차열벽체,실란트마감입상,실란트마감벽체,금속관입상차열"</formula1>
    </dataValidation>
  </dataValidations>
  <printOptions horizontalCentered="1"/>
  <pageMargins left="0" right="0" top="0.15748031496062992" bottom="0.15748031496062992" header="0.31496062992125984" footer="0.31496062992125984"/>
  <pageSetup paperSize="9" scale="83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AC161"/>
  <sheetViews>
    <sheetView tabSelected="1" zoomScale="85" zoomScaleNormal="85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8" sqref="C8"/>
    </sheetView>
  </sheetViews>
  <sheetFormatPr defaultRowHeight="16.5" x14ac:dyDescent="0.3"/>
  <cols>
    <col min="1" max="1" width="10.625" customWidth="1"/>
    <col min="2" max="2" width="20.625" bestFit="1" customWidth="1"/>
    <col min="3" max="3" width="8.75" bestFit="1" customWidth="1"/>
    <col min="4" max="21" width="8.625" customWidth="1"/>
    <col min="22" max="22" width="3.625" style="25" customWidth="1"/>
    <col min="23" max="23" width="17.625" customWidth="1"/>
    <col min="24" max="24" width="10.625" customWidth="1"/>
    <col min="25" max="25" width="3.625" style="25" customWidth="1"/>
    <col min="26" max="26" width="3.625" customWidth="1"/>
    <col min="27" max="27" width="17.625" customWidth="1"/>
    <col min="28" max="28" width="10.625" customWidth="1"/>
  </cols>
  <sheetData>
    <row r="1" spans="1:28" ht="20.100000000000001" customHeight="1" thickBot="1" x14ac:dyDescent="0.35">
      <c r="A1" s="25"/>
      <c r="B1" s="21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</row>
    <row r="2" spans="1:28" ht="39.950000000000003" customHeight="1" x14ac:dyDescent="0.3">
      <c r="A2" s="25"/>
      <c r="B2" s="178" t="s">
        <v>50</v>
      </c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186" t="s">
        <v>72</v>
      </c>
      <c r="X2" s="187"/>
      <c r="AA2" s="176" t="s">
        <v>164</v>
      </c>
      <c r="AB2" s="177"/>
    </row>
    <row r="3" spans="1:28" ht="20.100000000000001" customHeight="1" x14ac:dyDescent="0.3">
      <c r="A3" s="25"/>
      <c r="B3" s="179"/>
      <c r="C3" s="188" t="s">
        <v>77</v>
      </c>
      <c r="D3" s="189"/>
      <c r="E3" s="189"/>
      <c r="F3" s="189"/>
      <c r="G3" s="189"/>
      <c r="H3" s="189"/>
      <c r="I3" s="189"/>
      <c r="J3" s="189"/>
      <c r="K3" s="189"/>
      <c r="L3" s="189"/>
      <c r="M3" s="189"/>
      <c r="N3" s="189"/>
      <c r="O3" s="189"/>
      <c r="P3" s="189"/>
      <c r="Q3" s="189"/>
      <c r="R3" s="189"/>
      <c r="S3" s="189"/>
      <c r="T3" s="189"/>
      <c r="U3" s="190"/>
      <c r="V3" s="43"/>
      <c r="W3" s="46" t="s">
        <v>74</v>
      </c>
      <c r="X3" s="54">
        <f>COUNTA(C4:U4)</f>
        <v>0</v>
      </c>
      <c r="AA3" s="47" t="s">
        <v>75</v>
      </c>
      <c r="AB3" s="48">
        <f>누계!L3+X3</f>
        <v>0</v>
      </c>
    </row>
    <row r="4" spans="1:28" ht="30" customHeight="1" thickBot="1" x14ac:dyDescent="0.35">
      <c r="A4" s="25"/>
      <c r="B4" s="32" t="s">
        <v>73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43"/>
      <c r="W4" s="55" t="s">
        <v>73</v>
      </c>
      <c r="X4" s="56" t="s">
        <v>42</v>
      </c>
      <c r="AA4" s="32" t="s">
        <v>73</v>
      </c>
      <c r="AB4" s="32" t="s">
        <v>42</v>
      </c>
    </row>
    <row r="5" spans="1:28" ht="20.100000000000001" customHeight="1" thickTop="1" x14ac:dyDescent="0.3">
      <c r="A5" s="4"/>
      <c r="B5" s="149" t="s">
        <v>150</v>
      </c>
      <c r="C5" s="73">
        <f>+SUMIFS(사진대지!$R:$R,사진대지!$Q:$Q,"="&amp;$B5,사진대지!$Z:$Z,"="&amp;C$4)</f>
        <v>0</v>
      </c>
      <c r="D5" s="73">
        <f>+SUMIFS(사진대지!$R:$R,사진대지!$Q:$Q,"="&amp;$B5,사진대지!$Z:$Z,"="&amp;D$4)</f>
        <v>0</v>
      </c>
      <c r="E5" s="73">
        <f>+SUMIFS(사진대지!$R:$R,사진대지!$Q:$Q,"="&amp;$B5,사진대지!$Z:$Z,"="&amp;E$4)</f>
        <v>0</v>
      </c>
      <c r="F5" s="73">
        <f>+SUMIFS(사진대지!$R:$R,사진대지!$Q:$Q,"="&amp;$B5,사진대지!$Z:$Z,"="&amp;F$4)</f>
        <v>0</v>
      </c>
      <c r="G5" s="73">
        <f>+SUMIFS(사진대지!$R:$R,사진대지!$Q:$Q,"="&amp;$B5,사진대지!$Z:$Z,"="&amp;G$4)</f>
        <v>0</v>
      </c>
      <c r="H5" s="73">
        <f>+SUMIFS(사진대지!$R:$R,사진대지!$Q:$Q,"="&amp;$B5,사진대지!$Z:$Z,"="&amp;H$4)</f>
        <v>0</v>
      </c>
      <c r="I5" s="73">
        <f>+SUMIFS(사진대지!$R:$R,사진대지!$Q:$Q,"="&amp;$B5,사진대지!$Z:$Z,"="&amp;I$4)</f>
        <v>0</v>
      </c>
      <c r="J5" s="73">
        <f>+SUMIFS(사진대지!$R:$R,사진대지!$Q:$Q,"="&amp;$B5,사진대지!$Z:$Z,"="&amp;J$4)</f>
        <v>0</v>
      </c>
      <c r="K5" s="73">
        <f>+SUMIFS(사진대지!$R:$R,사진대지!$Q:$Q,"="&amp;$B5,사진대지!$Z:$Z,"="&amp;K$4)</f>
        <v>0</v>
      </c>
      <c r="L5" s="73">
        <f>+SUMIFS(사진대지!$R:$R,사진대지!$Q:$Q,"="&amp;$B5,사진대지!$Z:$Z,"="&amp;L$4)</f>
        <v>0</v>
      </c>
      <c r="M5" s="73">
        <f>+SUMIFS(사진대지!$R:$R,사진대지!$Q:$Q,"="&amp;$B5,사진대지!$Z:$Z,"="&amp;M$4)</f>
        <v>0</v>
      </c>
      <c r="N5" s="73">
        <f>+SUMIFS(사진대지!$R:$R,사진대지!$Q:$Q,"="&amp;$B5,사진대지!$Z:$Z,"="&amp;N$4)</f>
        <v>0</v>
      </c>
      <c r="O5" s="73">
        <f>+SUMIFS(사진대지!$R:$R,사진대지!$Q:$Q,"="&amp;$B5,사진대지!$Z:$Z,"="&amp;O$4)</f>
        <v>0</v>
      </c>
      <c r="P5" s="73">
        <f>+SUMIFS(사진대지!$R:$R,사진대지!$Q:$Q,"="&amp;$B5,사진대지!$Z:$Z,"="&amp;P$4)</f>
        <v>0</v>
      </c>
      <c r="Q5" s="73">
        <f>+SUMIFS(사진대지!$R:$R,사진대지!$Q:$Q,"="&amp;$B5,사진대지!$Z:$Z,"="&amp;Q$4)</f>
        <v>0</v>
      </c>
      <c r="R5" s="73">
        <f>+SUMIFS(사진대지!$R:$R,사진대지!$Q:$Q,"="&amp;$B5,사진대지!$Z:$Z,"="&amp;R$4)</f>
        <v>0</v>
      </c>
      <c r="S5" s="73">
        <f>+SUMIFS(사진대지!$R:$R,사진대지!$Q:$Q,"="&amp;$B5,사진대지!$Z:$Z,"="&amp;S$4)</f>
        <v>0</v>
      </c>
      <c r="T5" s="73">
        <f>+SUMIFS(사진대지!$R:$R,사진대지!$Q:$Q,"="&amp;$B5,사진대지!$Z:$Z,"="&amp;T$4)</f>
        <v>0</v>
      </c>
      <c r="U5" s="73">
        <f>+SUMIFS(사진대지!$R:$R,사진대지!$Q:$Q,"="&amp;$B5,사진대지!$Z:$Z,"="&amp;U$4)</f>
        <v>0</v>
      </c>
      <c r="V5" s="78"/>
      <c r="W5" s="150" t="str">
        <f t="shared" ref="W5:W53" si="0">B5</f>
        <v>금속관입상차열15</v>
      </c>
      <c r="X5" s="151">
        <f t="shared" ref="X5:X53" si="1">+SUM(C5:U5)</f>
        <v>0</v>
      </c>
      <c r="Y5" s="77"/>
      <c r="Z5" s="77"/>
      <c r="AA5" s="152" t="str">
        <f>W5</f>
        <v>금속관입상차열15</v>
      </c>
      <c r="AB5" s="153">
        <f>누계!L5+X5</f>
        <v>0</v>
      </c>
    </row>
    <row r="6" spans="1:28" ht="20.100000000000001" customHeight="1" x14ac:dyDescent="0.3">
      <c r="A6" s="4"/>
      <c r="B6" s="7" t="s">
        <v>151</v>
      </c>
      <c r="C6" s="73">
        <f>+SUMIFS(사진대지!$R:$R,사진대지!$Q:$Q,"="&amp;$B6,사진대지!$Z:$Z,"="&amp;C$4)</f>
        <v>0</v>
      </c>
      <c r="D6" s="73">
        <f>+SUMIFS(사진대지!$R:$R,사진대지!$Q:$Q,"="&amp;$B6,사진대지!$Z:$Z,"="&amp;D$4)</f>
        <v>0</v>
      </c>
      <c r="E6" s="73">
        <f>+SUMIFS(사진대지!$R:$R,사진대지!$Q:$Q,"="&amp;$B6,사진대지!$Z:$Z,"="&amp;E$4)</f>
        <v>0</v>
      </c>
      <c r="F6" s="73">
        <f>+SUMIFS(사진대지!$R:$R,사진대지!$Q:$Q,"="&amp;$B6,사진대지!$Z:$Z,"="&amp;F$4)</f>
        <v>0</v>
      </c>
      <c r="G6" s="73">
        <f>+SUMIFS(사진대지!$R:$R,사진대지!$Q:$Q,"="&amp;$B6,사진대지!$Z:$Z,"="&amp;G$4)</f>
        <v>0</v>
      </c>
      <c r="H6" s="73">
        <f>+SUMIFS(사진대지!$R:$R,사진대지!$Q:$Q,"="&amp;$B6,사진대지!$Z:$Z,"="&amp;H$4)</f>
        <v>0</v>
      </c>
      <c r="I6" s="73">
        <f>+SUMIFS(사진대지!$R:$R,사진대지!$Q:$Q,"="&amp;$B6,사진대지!$Z:$Z,"="&amp;I$4)</f>
        <v>0</v>
      </c>
      <c r="J6" s="73">
        <f>+SUMIFS(사진대지!$R:$R,사진대지!$Q:$Q,"="&amp;$B6,사진대지!$Z:$Z,"="&amp;J$4)</f>
        <v>0</v>
      </c>
      <c r="K6" s="73">
        <f>+SUMIFS(사진대지!$R:$R,사진대지!$Q:$Q,"="&amp;$B6,사진대지!$Z:$Z,"="&amp;K$4)</f>
        <v>0</v>
      </c>
      <c r="L6" s="73">
        <f>+SUMIFS(사진대지!$R:$R,사진대지!$Q:$Q,"="&amp;$B6,사진대지!$Z:$Z,"="&amp;L$4)</f>
        <v>0</v>
      </c>
      <c r="M6" s="73">
        <f>+SUMIFS(사진대지!$R:$R,사진대지!$Q:$Q,"="&amp;$B6,사진대지!$Z:$Z,"="&amp;M$4)</f>
        <v>0</v>
      </c>
      <c r="N6" s="73">
        <f>+SUMIFS(사진대지!$R:$R,사진대지!$Q:$Q,"="&amp;$B6,사진대지!$Z:$Z,"="&amp;N$4)</f>
        <v>0</v>
      </c>
      <c r="O6" s="73">
        <f>+SUMIFS(사진대지!$R:$R,사진대지!$Q:$Q,"="&amp;$B6,사진대지!$Z:$Z,"="&amp;O$4)</f>
        <v>0</v>
      </c>
      <c r="P6" s="73">
        <f>+SUMIFS(사진대지!$R:$R,사진대지!$Q:$Q,"="&amp;$B6,사진대지!$Z:$Z,"="&amp;P$4)</f>
        <v>0</v>
      </c>
      <c r="Q6" s="73">
        <f>+SUMIFS(사진대지!$R:$R,사진대지!$Q:$Q,"="&amp;$B6,사진대지!$Z:$Z,"="&amp;Q$4)</f>
        <v>0</v>
      </c>
      <c r="R6" s="73">
        <f>+SUMIFS(사진대지!$R:$R,사진대지!$Q:$Q,"="&amp;$B6,사진대지!$Z:$Z,"="&amp;R$4)</f>
        <v>0</v>
      </c>
      <c r="S6" s="73">
        <f>+SUMIFS(사진대지!$R:$R,사진대지!$Q:$Q,"="&amp;$B6,사진대지!$Z:$Z,"="&amp;S$4)</f>
        <v>0</v>
      </c>
      <c r="T6" s="73">
        <f>+SUMIFS(사진대지!$R:$R,사진대지!$Q:$Q,"="&amp;$B6,사진대지!$Z:$Z,"="&amp;T$4)</f>
        <v>0</v>
      </c>
      <c r="U6" s="73">
        <f>+SUMIFS(사진대지!$R:$R,사진대지!$Q:$Q,"="&amp;$B6,사진대지!$Z:$Z,"="&amp;U$4)</f>
        <v>0</v>
      </c>
      <c r="V6" s="78"/>
      <c r="W6" s="83" t="str">
        <f t="shared" si="0"/>
        <v>금속관입상차열20</v>
      </c>
      <c r="X6" s="98">
        <f t="shared" si="1"/>
        <v>0</v>
      </c>
      <c r="Y6" s="77"/>
      <c r="Z6" s="77"/>
      <c r="AA6" s="84" t="str">
        <f t="shared" ref="AA6:AA101" si="2">W6</f>
        <v>금속관입상차열20</v>
      </c>
      <c r="AB6" s="102">
        <f>누계!L6+X6</f>
        <v>0</v>
      </c>
    </row>
    <row r="7" spans="1:28" ht="20.100000000000001" customHeight="1" x14ac:dyDescent="0.3">
      <c r="A7" s="5"/>
      <c r="B7" s="7" t="s">
        <v>152</v>
      </c>
      <c r="C7" s="73">
        <f>+SUMIFS(사진대지!$R:$R,사진대지!$Q:$Q,"="&amp;$B7,사진대지!$Z:$Z,"="&amp;C$4)</f>
        <v>0</v>
      </c>
      <c r="D7" s="73">
        <f>+SUMIFS(사진대지!$R:$R,사진대지!$Q:$Q,"="&amp;$B7,사진대지!$Z:$Z,"="&amp;D$4)</f>
        <v>0</v>
      </c>
      <c r="E7" s="74">
        <f>+SUMIFS(사진대지!$R:$R,사진대지!$Q:$Q,"="&amp;$B7,사진대지!$Z:$Z,"="&amp;E$4)</f>
        <v>0</v>
      </c>
      <c r="F7" s="74">
        <f>+SUMIFS(사진대지!$R:$R,사진대지!$Q:$Q,"="&amp;$B7,사진대지!$Z:$Z,"="&amp;F$4)</f>
        <v>0</v>
      </c>
      <c r="G7" s="74">
        <f>+SUMIFS(사진대지!$R:$R,사진대지!$Q:$Q,"="&amp;$B7,사진대지!$Z:$Z,"="&amp;G$4)</f>
        <v>0</v>
      </c>
      <c r="H7" s="74">
        <f>+SUMIFS(사진대지!$R:$R,사진대지!$Q:$Q,"="&amp;$B7,사진대지!$Z:$Z,"="&amp;H$4)</f>
        <v>0</v>
      </c>
      <c r="I7" s="74">
        <f>+SUMIFS(사진대지!$R:$R,사진대지!$Q:$Q,"="&amp;$B7,사진대지!$Z:$Z,"="&amp;I$4)</f>
        <v>0</v>
      </c>
      <c r="J7" s="74">
        <f>+SUMIFS(사진대지!$R:$R,사진대지!$Q:$Q,"="&amp;$B7,사진대지!$Z:$Z,"="&amp;J$4)</f>
        <v>0</v>
      </c>
      <c r="K7" s="74">
        <f>+SUMIFS(사진대지!$R:$R,사진대지!$Q:$Q,"="&amp;$B7,사진대지!$Z:$Z,"="&amp;K$4)</f>
        <v>0</v>
      </c>
      <c r="L7" s="74">
        <f>+SUMIFS(사진대지!$R:$R,사진대지!$Q:$Q,"="&amp;$B7,사진대지!$Z:$Z,"="&amp;L$4)</f>
        <v>0</v>
      </c>
      <c r="M7" s="74">
        <f>+SUMIFS(사진대지!$R:$R,사진대지!$Q:$Q,"="&amp;$B7,사진대지!$Z:$Z,"="&amp;M$4)</f>
        <v>0</v>
      </c>
      <c r="N7" s="74">
        <f>+SUMIFS(사진대지!$R:$R,사진대지!$Q:$Q,"="&amp;$B7,사진대지!$Z:$Z,"="&amp;N$4)</f>
        <v>0</v>
      </c>
      <c r="O7" s="74">
        <f>+SUMIFS(사진대지!$R:$R,사진대지!$Q:$Q,"="&amp;$B7,사진대지!$Z:$Z,"="&amp;O$4)</f>
        <v>0</v>
      </c>
      <c r="P7" s="74">
        <f>+SUMIFS(사진대지!$R:$R,사진대지!$Q:$Q,"="&amp;$B7,사진대지!$Z:$Z,"="&amp;P$4)</f>
        <v>0</v>
      </c>
      <c r="Q7" s="74">
        <f>+SUMIFS(사진대지!$R:$R,사진대지!$Q:$Q,"="&amp;$B7,사진대지!$Z:$Z,"="&amp;Q$4)</f>
        <v>0</v>
      </c>
      <c r="R7" s="74">
        <f>+SUMIFS(사진대지!$R:$R,사진대지!$Q:$Q,"="&amp;$B7,사진대지!$Z:$Z,"="&amp;R$4)</f>
        <v>0</v>
      </c>
      <c r="S7" s="74">
        <f>+SUMIFS(사진대지!$R:$R,사진대지!$Q:$Q,"="&amp;$B7,사진대지!$Z:$Z,"="&amp;S$4)</f>
        <v>0</v>
      </c>
      <c r="T7" s="74">
        <f>+SUMIFS(사진대지!$R:$R,사진대지!$Q:$Q,"="&amp;$B7,사진대지!$Z:$Z,"="&amp;T$4)</f>
        <v>0</v>
      </c>
      <c r="U7" s="74">
        <f>+SUMIFS(사진대지!$R:$R,사진대지!$Q:$Q,"="&amp;$B7,사진대지!$Z:$Z,"="&amp;U$4)</f>
        <v>0</v>
      </c>
      <c r="V7" s="78"/>
      <c r="W7" s="83" t="str">
        <f t="shared" si="0"/>
        <v>금속관입상차열25</v>
      </c>
      <c r="X7" s="98">
        <f t="shared" si="1"/>
        <v>0</v>
      </c>
      <c r="Y7" s="77"/>
      <c r="Z7" s="77"/>
      <c r="AA7" s="84" t="str">
        <f t="shared" si="2"/>
        <v>금속관입상차열25</v>
      </c>
      <c r="AB7" s="102">
        <f>누계!L7+X7</f>
        <v>0</v>
      </c>
    </row>
    <row r="8" spans="1:28" ht="20.100000000000001" customHeight="1" x14ac:dyDescent="0.3">
      <c r="A8" s="5"/>
      <c r="B8" s="7" t="s">
        <v>153</v>
      </c>
      <c r="C8" s="73">
        <f>+SUMIFS(사진대지!$R:$R,사진대지!$Q:$Q,"="&amp;$B8,사진대지!$Z:$Z,"="&amp;C$4)</f>
        <v>0</v>
      </c>
      <c r="D8" s="73">
        <f>+SUMIFS(사진대지!$R:$R,사진대지!$Q:$Q,"="&amp;$B8,사진대지!$Z:$Z,"="&amp;D$4)</f>
        <v>0</v>
      </c>
      <c r="E8" s="74">
        <f>+SUMIFS(사진대지!$R:$R,사진대지!$Q:$Q,"="&amp;$B8,사진대지!$Z:$Z,"="&amp;E$4)</f>
        <v>0</v>
      </c>
      <c r="F8" s="74">
        <f>+SUMIFS(사진대지!$R:$R,사진대지!$Q:$Q,"="&amp;$B8,사진대지!$Z:$Z,"="&amp;F$4)</f>
        <v>0</v>
      </c>
      <c r="G8" s="74">
        <f>+SUMIFS(사진대지!$R:$R,사진대지!$Q:$Q,"="&amp;$B8,사진대지!$Z:$Z,"="&amp;G$4)</f>
        <v>0</v>
      </c>
      <c r="H8" s="74">
        <f>+SUMIFS(사진대지!$R:$R,사진대지!$Q:$Q,"="&amp;$B8,사진대지!$Z:$Z,"="&amp;H$4)</f>
        <v>0</v>
      </c>
      <c r="I8" s="74">
        <f>+SUMIFS(사진대지!$R:$R,사진대지!$Q:$Q,"="&amp;$B8,사진대지!$Z:$Z,"="&amp;I$4)</f>
        <v>0</v>
      </c>
      <c r="J8" s="74">
        <f>+SUMIFS(사진대지!$R:$R,사진대지!$Q:$Q,"="&amp;$B8,사진대지!$Z:$Z,"="&amp;J$4)</f>
        <v>0</v>
      </c>
      <c r="K8" s="74">
        <f>+SUMIFS(사진대지!$R:$R,사진대지!$Q:$Q,"="&amp;$B8,사진대지!$Z:$Z,"="&amp;K$4)</f>
        <v>0</v>
      </c>
      <c r="L8" s="74">
        <f>+SUMIFS(사진대지!$R:$R,사진대지!$Q:$Q,"="&amp;$B8,사진대지!$Z:$Z,"="&amp;L$4)</f>
        <v>0</v>
      </c>
      <c r="M8" s="74">
        <f>+SUMIFS(사진대지!$R:$R,사진대지!$Q:$Q,"="&amp;$B8,사진대지!$Z:$Z,"="&amp;M$4)</f>
        <v>0</v>
      </c>
      <c r="N8" s="74">
        <f>+SUMIFS(사진대지!$R:$R,사진대지!$Q:$Q,"="&amp;$B8,사진대지!$Z:$Z,"="&amp;N$4)</f>
        <v>0</v>
      </c>
      <c r="O8" s="74">
        <f>+SUMIFS(사진대지!$R:$R,사진대지!$Q:$Q,"="&amp;$B8,사진대지!$Z:$Z,"="&amp;O$4)</f>
        <v>0</v>
      </c>
      <c r="P8" s="74">
        <f>+SUMIFS(사진대지!$R:$R,사진대지!$Q:$Q,"="&amp;$B8,사진대지!$Z:$Z,"="&amp;P$4)</f>
        <v>0</v>
      </c>
      <c r="Q8" s="74">
        <f>+SUMIFS(사진대지!$R:$R,사진대지!$Q:$Q,"="&amp;$B8,사진대지!$Z:$Z,"="&amp;Q$4)</f>
        <v>0</v>
      </c>
      <c r="R8" s="74">
        <f>+SUMIFS(사진대지!$R:$R,사진대지!$Q:$Q,"="&amp;$B8,사진대지!$Z:$Z,"="&amp;R$4)</f>
        <v>0</v>
      </c>
      <c r="S8" s="74">
        <f>+SUMIFS(사진대지!$R:$R,사진대지!$Q:$Q,"="&amp;$B8,사진대지!$Z:$Z,"="&amp;S$4)</f>
        <v>0</v>
      </c>
      <c r="T8" s="74">
        <f>+SUMIFS(사진대지!$R:$R,사진대지!$Q:$Q,"="&amp;$B8,사진대지!$Z:$Z,"="&amp;T$4)</f>
        <v>0</v>
      </c>
      <c r="U8" s="74">
        <f>+SUMIFS(사진대지!$R:$R,사진대지!$Q:$Q,"="&amp;$B8,사진대지!$Z:$Z,"="&amp;U$4)</f>
        <v>0</v>
      </c>
      <c r="V8" s="78"/>
      <c r="W8" s="83" t="str">
        <f t="shared" si="0"/>
        <v>금속관입상차열32</v>
      </c>
      <c r="X8" s="98">
        <f t="shared" si="1"/>
        <v>0</v>
      </c>
      <c r="Y8" s="77"/>
      <c r="Z8" s="77"/>
      <c r="AA8" s="84" t="str">
        <f t="shared" si="2"/>
        <v>금속관입상차열32</v>
      </c>
      <c r="AB8" s="102">
        <f>누계!L8+X8</f>
        <v>0</v>
      </c>
    </row>
    <row r="9" spans="1:28" ht="20.100000000000001" customHeight="1" x14ac:dyDescent="0.3">
      <c r="A9" s="5"/>
      <c r="B9" s="7" t="s">
        <v>154</v>
      </c>
      <c r="C9" s="73">
        <f>+SUMIFS(사진대지!$R:$R,사진대지!$Q:$Q,"="&amp;$B9,사진대지!$Z:$Z,"="&amp;C$4)</f>
        <v>0</v>
      </c>
      <c r="D9" s="73">
        <f>+SUMIFS(사진대지!$R:$R,사진대지!$Q:$Q,"="&amp;$B9,사진대지!$Z:$Z,"="&amp;D$4)</f>
        <v>0</v>
      </c>
      <c r="E9" s="74">
        <f>+SUMIFS(사진대지!$R:$R,사진대지!$Q:$Q,"="&amp;$B9,사진대지!$Z:$Z,"="&amp;E$4)</f>
        <v>0</v>
      </c>
      <c r="F9" s="74">
        <f>+SUMIFS(사진대지!$R:$R,사진대지!$Q:$Q,"="&amp;$B9,사진대지!$Z:$Z,"="&amp;F$4)</f>
        <v>0</v>
      </c>
      <c r="G9" s="74">
        <f>+SUMIFS(사진대지!$R:$R,사진대지!$Q:$Q,"="&amp;$B9,사진대지!$Z:$Z,"="&amp;G$4)</f>
        <v>0</v>
      </c>
      <c r="H9" s="74">
        <f>+SUMIFS(사진대지!$R:$R,사진대지!$Q:$Q,"="&amp;$B9,사진대지!$Z:$Z,"="&amp;H$4)</f>
        <v>0</v>
      </c>
      <c r="I9" s="74">
        <f>+SUMIFS(사진대지!$R:$R,사진대지!$Q:$Q,"="&amp;$B9,사진대지!$Z:$Z,"="&amp;I$4)</f>
        <v>0</v>
      </c>
      <c r="J9" s="74">
        <f>+SUMIFS(사진대지!$R:$R,사진대지!$Q:$Q,"="&amp;$B9,사진대지!$Z:$Z,"="&amp;J$4)</f>
        <v>0</v>
      </c>
      <c r="K9" s="74">
        <f>+SUMIFS(사진대지!$R:$R,사진대지!$Q:$Q,"="&amp;$B9,사진대지!$Z:$Z,"="&amp;K$4)</f>
        <v>0</v>
      </c>
      <c r="L9" s="74">
        <f>+SUMIFS(사진대지!$R:$R,사진대지!$Q:$Q,"="&amp;$B9,사진대지!$Z:$Z,"="&amp;L$4)</f>
        <v>0</v>
      </c>
      <c r="M9" s="74">
        <f>+SUMIFS(사진대지!$R:$R,사진대지!$Q:$Q,"="&amp;$B9,사진대지!$Z:$Z,"="&amp;M$4)</f>
        <v>0</v>
      </c>
      <c r="N9" s="74">
        <f>+SUMIFS(사진대지!$R:$R,사진대지!$Q:$Q,"="&amp;$B9,사진대지!$Z:$Z,"="&amp;N$4)</f>
        <v>0</v>
      </c>
      <c r="O9" s="74">
        <f>+SUMIFS(사진대지!$R:$R,사진대지!$Q:$Q,"="&amp;$B9,사진대지!$Z:$Z,"="&amp;O$4)</f>
        <v>0</v>
      </c>
      <c r="P9" s="74">
        <f>+SUMIFS(사진대지!$R:$R,사진대지!$Q:$Q,"="&amp;$B9,사진대지!$Z:$Z,"="&amp;P$4)</f>
        <v>0</v>
      </c>
      <c r="Q9" s="74">
        <f>+SUMIFS(사진대지!$R:$R,사진대지!$Q:$Q,"="&amp;$B9,사진대지!$Z:$Z,"="&amp;Q$4)</f>
        <v>0</v>
      </c>
      <c r="R9" s="74">
        <f>+SUMIFS(사진대지!$R:$R,사진대지!$Q:$Q,"="&amp;$B9,사진대지!$Z:$Z,"="&amp;R$4)</f>
        <v>0</v>
      </c>
      <c r="S9" s="74">
        <f>+SUMIFS(사진대지!$R:$R,사진대지!$Q:$Q,"="&amp;$B9,사진대지!$Z:$Z,"="&amp;S$4)</f>
        <v>0</v>
      </c>
      <c r="T9" s="74">
        <f>+SUMIFS(사진대지!$R:$R,사진대지!$Q:$Q,"="&amp;$B9,사진대지!$Z:$Z,"="&amp;T$4)</f>
        <v>0</v>
      </c>
      <c r="U9" s="74">
        <f>+SUMIFS(사진대지!$R:$R,사진대지!$Q:$Q,"="&amp;$B9,사진대지!$Z:$Z,"="&amp;U$4)</f>
        <v>0</v>
      </c>
      <c r="V9" s="78"/>
      <c r="W9" s="83" t="str">
        <f t="shared" si="0"/>
        <v>금속관입상차열40</v>
      </c>
      <c r="X9" s="98">
        <f t="shared" si="1"/>
        <v>0</v>
      </c>
      <c r="Y9" s="77"/>
      <c r="Z9" s="77"/>
      <c r="AA9" s="84" t="str">
        <f t="shared" si="2"/>
        <v>금속관입상차열40</v>
      </c>
      <c r="AB9" s="102">
        <f>누계!L9+X9</f>
        <v>0</v>
      </c>
    </row>
    <row r="10" spans="1:28" ht="20.100000000000001" customHeight="1" x14ac:dyDescent="0.3">
      <c r="A10" s="5"/>
      <c r="B10" s="7" t="s">
        <v>155</v>
      </c>
      <c r="C10" s="73">
        <f>+SUMIFS(사진대지!$R:$R,사진대지!$Q:$Q,"="&amp;$B10,사진대지!$Z:$Z,"="&amp;C$4)</f>
        <v>0</v>
      </c>
      <c r="D10" s="73">
        <f>+SUMIFS(사진대지!$R:$R,사진대지!$Q:$Q,"="&amp;$B10,사진대지!$Z:$Z,"="&amp;D$4)</f>
        <v>0</v>
      </c>
      <c r="E10" s="74">
        <f>+SUMIFS(사진대지!$R:$R,사진대지!$Q:$Q,"="&amp;$B10,사진대지!$Z:$Z,"="&amp;E$4)</f>
        <v>0</v>
      </c>
      <c r="F10" s="74">
        <f>+SUMIFS(사진대지!$R:$R,사진대지!$Q:$Q,"="&amp;$B10,사진대지!$Z:$Z,"="&amp;F$4)</f>
        <v>0</v>
      </c>
      <c r="G10" s="74">
        <f>+SUMIFS(사진대지!$R:$R,사진대지!$Q:$Q,"="&amp;$B10,사진대지!$Z:$Z,"="&amp;G$4)</f>
        <v>0</v>
      </c>
      <c r="H10" s="74">
        <f>+SUMIFS(사진대지!$R:$R,사진대지!$Q:$Q,"="&amp;$B10,사진대지!$Z:$Z,"="&amp;H$4)</f>
        <v>0</v>
      </c>
      <c r="I10" s="74">
        <f>+SUMIFS(사진대지!$R:$R,사진대지!$Q:$Q,"="&amp;$B10,사진대지!$Z:$Z,"="&amp;I$4)</f>
        <v>0</v>
      </c>
      <c r="J10" s="74">
        <f>+SUMIFS(사진대지!$R:$R,사진대지!$Q:$Q,"="&amp;$B10,사진대지!$Z:$Z,"="&amp;J$4)</f>
        <v>0</v>
      </c>
      <c r="K10" s="74">
        <f>+SUMIFS(사진대지!$R:$R,사진대지!$Q:$Q,"="&amp;$B10,사진대지!$Z:$Z,"="&amp;K$4)</f>
        <v>0</v>
      </c>
      <c r="L10" s="74">
        <f>+SUMIFS(사진대지!$R:$R,사진대지!$Q:$Q,"="&amp;$B10,사진대지!$Z:$Z,"="&amp;L$4)</f>
        <v>0</v>
      </c>
      <c r="M10" s="74">
        <f>+SUMIFS(사진대지!$R:$R,사진대지!$Q:$Q,"="&amp;$B10,사진대지!$Z:$Z,"="&amp;M$4)</f>
        <v>0</v>
      </c>
      <c r="N10" s="74">
        <f>+SUMIFS(사진대지!$R:$R,사진대지!$Q:$Q,"="&amp;$B10,사진대지!$Z:$Z,"="&amp;N$4)</f>
        <v>0</v>
      </c>
      <c r="O10" s="74">
        <f>+SUMIFS(사진대지!$R:$R,사진대지!$Q:$Q,"="&amp;$B10,사진대지!$Z:$Z,"="&amp;O$4)</f>
        <v>0</v>
      </c>
      <c r="P10" s="74">
        <f>+SUMIFS(사진대지!$R:$R,사진대지!$Q:$Q,"="&amp;$B10,사진대지!$Z:$Z,"="&amp;P$4)</f>
        <v>0</v>
      </c>
      <c r="Q10" s="74">
        <f>+SUMIFS(사진대지!$R:$R,사진대지!$Q:$Q,"="&amp;$B10,사진대지!$Z:$Z,"="&amp;Q$4)</f>
        <v>0</v>
      </c>
      <c r="R10" s="74">
        <f>+SUMIFS(사진대지!$R:$R,사진대지!$Q:$Q,"="&amp;$B10,사진대지!$Z:$Z,"="&amp;R$4)</f>
        <v>0</v>
      </c>
      <c r="S10" s="74">
        <f>+SUMIFS(사진대지!$R:$R,사진대지!$Q:$Q,"="&amp;$B10,사진대지!$Z:$Z,"="&amp;S$4)</f>
        <v>0</v>
      </c>
      <c r="T10" s="74">
        <f>+SUMIFS(사진대지!$R:$R,사진대지!$Q:$Q,"="&amp;$B10,사진대지!$Z:$Z,"="&amp;T$4)</f>
        <v>0</v>
      </c>
      <c r="U10" s="74">
        <f>+SUMIFS(사진대지!$R:$R,사진대지!$Q:$Q,"="&amp;$B10,사진대지!$Z:$Z,"="&amp;U$4)</f>
        <v>0</v>
      </c>
      <c r="V10" s="78"/>
      <c r="W10" s="83" t="str">
        <f t="shared" si="0"/>
        <v>금속관입상차열50</v>
      </c>
      <c r="X10" s="98">
        <f t="shared" si="1"/>
        <v>0</v>
      </c>
      <c r="Y10" s="77"/>
      <c r="Z10" s="77"/>
      <c r="AA10" s="84" t="str">
        <f t="shared" si="2"/>
        <v>금속관입상차열50</v>
      </c>
      <c r="AB10" s="102">
        <f>누계!L10+X10</f>
        <v>0</v>
      </c>
    </row>
    <row r="11" spans="1:28" ht="20.100000000000001" customHeight="1" x14ac:dyDescent="0.3">
      <c r="A11" s="5"/>
      <c r="B11" s="7" t="s">
        <v>156</v>
      </c>
      <c r="C11" s="73">
        <f>+SUMIFS(사진대지!$R:$R,사진대지!$Q:$Q,"="&amp;$B11,사진대지!$Z:$Z,"="&amp;C$4)</f>
        <v>0</v>
      </c>
      <c r="D11" s="73">
        <f>+SUMIFS(사진대지!$R:$R,사진대지!$Q:$Q,"="&amp;$B11,사진대지!$Z:$Z,"="&amp;D$4)</f>
        <v>0</v>
      </c>
      <c r="E11" s="74">
        <f>+SUMIFS(사진대지!$R:$R,사진대지!$Q:$Q,"="&amp;$B11,사진대지!$Z:$Z,"="&amp;E$4)</f>
        <v>0</v>
      </c>
      <c r="F11" s="74">
        <f>+SUMIFS(사진대지!$R:$R,사진대지!$Q:$Q,"="&amp;$B11,사진대지!$Z:$Z,"="&amp;F$4)</f>
        <v>0</v>
      </c>
      <c r="G11" s="74">
        <f>+SUMIFS(사진대지!$R:$R,사진대지!$Q:$Q,"="&amp;$B11,사진대지!$Z:$Z,"="&amp;G$4)</f>
        <v>0</v>
      </c>
      <c r="H11" s="74">
        <f>+SUMIFS(사진대지!$R:$R,사진대지!$Q:$Q,"="&amp;$B11,사진대지!$Z:$Z,"="&amp;H$4)</f>
        <v>0</v>
      </c>
      <c r="I11" s="74">
        <f>+SUMIFS(사진대지!$R:$R,사진대지!$Q:$Q,"="&amp;$B11,사진대지!$Z:$Z,"="&amp;I$4)</f>
        <v>0</v>
      </c>
      <c r="J11" s="74">
        <f>+SUMIFS(사진대지!$R:$R,사진대지!$Q:$Q,"="&amp;$B11,사진대지!$Z:$Z,"="&amp;J$4)</f>
        <v>0</v>
      </c>
      <c r="K11" s="74">
        <f>+SUMIFS(사진대지!$R:$R,사진대지!$Q:$Q,"="&amp;$B11,사진대지!$Z:$Z,"="&amp;K$4)</f>
        <v>0</v>
      </c>
      <c r="L11" s="74">
        <f>+SUMIFS(사진대지!$R:$R,사진대지!$Q:$Q,"="&amp;$B11,사진대지!$Z:$Z,"="&amp;L$4)</f>
        <v>0</v>
      </c>
      <c r="M11" s="74">
        <f>+SUMIFS(사진대지!$R:$R,사진대지!$Q:$Q,"="&amp;$B11,사진대지!$Z:$Z,"="&amp;M$4)</f>
        <v>0</v>
      </c>
      <c r="N11" s="74">
        <f>+SUMIFS(사진대지!$R:$R,사진대지!$Q:$Q,"="&amp;$B11,사진대지!$Z:$Z,"="&amp;N$4)</f>
        <v>0</v>
      </c>
      <c r="O11" s="74">
        <f>+SUMIFS(사진대지!$R:$R,사진대지!$Q:$Q,"="&amp;$B11,사진대지!$Z:$Z,"="&amp;O$4)</f>
        <v>0</v>
      </c>
      <c r="P11" s="74">
        <f>+SUMIFS(사진대지!$R:$R,사진대지!$Q:$Q,"="&amp;$B11,사진대지!$Z:$Z,"="&amp;P$4)</f>
        <v>0</v>
      </c>
      <c r="Q11" s="74">
        <f>+SUMIFS(사진대지!$R:$R,사진대지!$Q:$Q,"="&amp;$B11,사진대지!$Z:$Z,"="&amp;Q$4)</f>
        <v>0</v>
      </c>
      <c r="R11" s="74">
        <f>+SUMIFS(사진대지!$R:$R,사진대지!$Q:$Q,"="&amp;$B11,사진대지!$Z:$Z,"="&amp;R$4)</f>
        <v>0</v>
      </c>
      <c r="S11" s="74">
        <f>+SUMIFS(사진대지!$R:$R,사진대지!$Q:$Q,"="&amp;$B11,사진대지!$Z:$Z,"="&amp;S$4)</f>
        <v>0</v>
      </c>
      <c r="T11" s="74">
        <f>+SUMIFS(사진대지!$R:$R,사진대지!$Q:$Q,"="&amp;$B11,사진대지!$Z:$Z,"="&amp;T$4)</f>
        <v>0</v>
      </c>
      <c r="U11" s="74">
        <f>+SUMIFS(사진대지!$R:$R,사진대지!$Q:$Q,"="&amp;$B11,사진대지!$Z:$Z,"="&amp;U$4)</f>
        <v>0</v>
      </c>
      <c r="V11" s="78"/>
      <c r="W11" s="83" t="str">
        <f t="shared" si="0"/>
        <v>금속관입상차열65</v>
      </c>
      <c r="X11" s="98">
        <f t="shared" si="1"/>
        <v>0</v>
      </c>
      <c r="Y11" s="77"/>
      <c r="Z11" s="77"/>
      <c r="AA11" s="84" t="str">
        <f t="shared" si="2"/>
        <v>금속관입상차열65</v>
      </c>
      <c r="AB11" s="102">
        <f>누계!L11+X11</f>
        <v>0</v>
      </c>
    </row>
    <row r="12" spans="1:28" ht="20.100000000000001" customHeight="1" x14ac:dyDescent="0.3">
      <c r="A12" s="5"/>
      <c r="B12" s="7" t="s">
        <v>157</v>
      </c>
      <c r="C12" s="73">
        <f>+SUMIFS(사진대지!$R:$R,사진대지!$Q:$Q,"="&amp;$B12,사진대지!$Z:$Z,"="&amp;C$4)</f>
        <v>0</v>
      </c>
      <c r="D12" s="73">
        <f>+SUMIFS(사진대지!$R:$R,사진대지!$Q:$Q,"="&amp;$B12,사진대지!$Z:$Z,"="&amp;D$4)</f>
        <v>0</v>
      </c>
      <c r="E12" s="74">
        <f>+SUMIFS(사진대지!$R:$R,사진대지!$Q:$Q,"="&amp;$B12,사진대지!$Z:$Z,"="&amp;E$4)</f>
        <v>0</v>
      </c>
      <c r="F12" s="74">
        <f>+SUMIFS(사진대지!$R:$R,사진대지!$Q:$Q,"="&amp;$B12,사진대지!$Z:$Z,"="&amp;F$4)</f>
        <v>0</v>
      </c>
      <c r="G12" s="74">
        <f>+SUMIFS(사진대지!$R:$R,사진대지!$Q:$Q,"="&amp;$B12,사진대지!$Z:$Z,"="&amp;G$4)</f>
        <v>0</v>
      </c>
      <c r="H12" s="74">
        <f>+SUMIFS(사진대지!$R:$R,사진대지!$Q:$Q,"="&amp;$B12,사진대지!$Z:$Z,"="&amp;H$4)</f>
        <v>0</v>
      </c>
      <c r="I12" s="74">
        <f>+SUMIFS(사진대지!$R:$R,사진대지!$Q:$Q,"="&amp;$B12,사진대지!$Z:$Z,"="&amp;I$4)</f>
        <v>0</v>
      </c>
      <c r="J12" s="74">
        <f>+SUMIFS(사진대지!$R:$R,사진대지!$Q:$Q,"="&amp;$B12,사진대지!$Z:$Z,"="&amp;J$4)</f>
        <v>0</v>
      </c>
      <c r="K12" s="74">
        <f>+SUMIFS(사진대지!$R:$R,사진대지!$Q:$Q,"="&amp;$B12,사진대지!$Z:$Z,"="&amp;K$4)</f>
        <v>0</v>
      </c>
      <c r="L12" s="74">
        <f>+SUMIFS(사진대지!$R:$R,사진대지!$Q:$Q,"="&amp;$B12,사진대지!$Z:$Z,"="&amp;L$4)</f>
        <v>0</v>
      </c>
      <c r="M12" s="74">
        <f>+SUMIFS(사진대지!$R:$R,사진대지!$Q:$Q,"="&amp;$B12,사진대지!$Z:$Z,"="&amp;M$4)</f>
        <v>0</v>
      </c>
      <c r="N12" s="74">
        <f>+SUMIFS(사진대지!$R:$R,사진대지!$Q:$Q,"="&amp;$B12,사진대지!$Z:$Z,"="&amp;N$4)</f>
        <v>0</v>
      </c>
      <c r="O12" s="74">
        <f>+SUMIFS(사진대지!$R:$R,사진대지!$Q:$Q,"="&amp;$B12,사진대지!$Z:$Z,"="&amp;O$4)</f>
        <v>0</v>
      </c>
      <c r="P12" s="74">
        <f>+SUMIFS(사진대지!$R:$R,사진대지!$Q:$Q,"="&amp;$B12,사진대지!$Z:$Z,"="&amp;P$4)</f>
        <v>0</v>
      </c>
      <c r="Q12" s="74">
        <f>+SUMIFS(사진대지!$R:$R,사진대지!$Q:$Q,"="&amp;$B12,사진대지!$Z:$Z,"="&amp;Q$4)</f>
        <v>0</v>
      </c>
      <c r="R12" s="74">
        <f>+SUMIFS(사진대지!$R:$R,사진대지!$Q:$Q,"="&amp;$B12,사진대지!$Z:$Z,"="&amp;R$4)</f>
        <v>0</v>
      </c>
      <c r="S12" s="74">
        <f>+SUMIFS(사진대지!$R:$R,사진대지!$Q:$Q,"="&amp;$B12,사진대지!$Z:$Z,"="&amp;S$4)</f>
        <v>0</v>
      </c>
      <c r="T12" s="74">
        <f>+SUMIFS(사진대지!$R:$R,사진대지!$Q:$Q,"="&amp;$B12,사진대지!$Z:$Z,"="&amp;T$4)</f>
        <v>0</v>
      </c>
      <c r="U12" s="74">
        <f>+SUMIFS(사진대지!$R:$R,사진대지!$Q:$Q,"="&amp;$B12,사진대지!$Z:$Z,"="&amp;U$4)</f>
        <v>0</v>
      </c>
      <c r="V12" s="78"/>
      <c r="W12" s="83" t="str">
        <f t="shared" si="0"/>
        <v>금속관입상차열80</v>
      </c>
      <c r="X12" s="98">
        <f t="shared" si="1"/>
        <v>0</v>
      </c>
      <c r="Y12" s="77"/>
      <c r="Z12" s="77"/>
      <c r="AA12" s="84" t="str">
        <f t="shared" si="2"/>
        <v>금속관입상차열80</v>
      </c>
      <c r="AB12" s="102">
        <f>누계!L12+X12</f>
        <v>0</v>
      </c>
    </row>
    <row r="13" spans="1:28" ht="20.100000000000001" customHeight="1" x14ac:dyDescent="0.3">
      <c r="A13" s="5"/>
      <c r="B13" s="7" t="s">
        <v>158</v>
      </c>
      <c r="C13" s="73">
        <f>+SUMIFS(사진대지!$R:$R,사진대지!$Q:$Q,"="&amp;$B13,사진대지!$Z:$Z,"="&amp;C$4)</f>
        <v>0</v>
      </c>
      <c r="D13" s="73">
        <f>+SUMIFS(사진대지!$R:$R,사진대지!$Q:$Q,"="&amp;$B13,사진대지!$Z:$Z,"="&amp;D$4)</f>
        <v>0</v>
      </c>
      <c r="E13" s="74">
        <f>+SUMIFS(사진대지!$R:$R,사진대지!$Q:$Q,"="&amp;$B13,사진대지!$Z:$Z,"="&amp;E$4)</f>
        <v>0</v>
      </c>
      <c r="F13" s="74">
        <f>+SUMIFS(사진대지!$R:$R,사진대지!$Q:$Q,"="&amp;$B13,사진대지!$Z:$Z,"="&amp;F$4)</f>
        <v>0</v>
      </c>
      <c r="G13" s="74">
        <f>+SUMIFS(사진대지!$R:$R,사진대지!$Q:$Q,"="&amp;$B13,사진대지!$Z:$Z,"="&amp;G$4)</f>
        <v>0</v>
      </c>
      <c r="H13" s="74">
        <f>+SUMIFS(사진대지!$R:$R,사진대지!$Q:$Q,"="&amp;$B13,사진대지!$Z:$Z,"="&amp;H$4)</f>
        <v>0</v>
      </c>
      <c r="I13" s="74">
        <f>+SUMIFS(사진대지!$R:$R,사진대지!$Q:$Q,"="&amp;$B13,사진대지!$Z:$Z,"="&amp;I$4)</f>
        <v>0</v>
      </c>
      <c r="J13" s="74">
        <f>+SUMIFS(사진대지!$R:$R,사진대지!$Q:$Q,"="&amp;$B13,사진대지!$Z:$Z,"="&amp;J$4)</f>
        <v>0</v>
      </c>
      <c r="K13" s="74">
        <f>+SUMIFS(사진대지!$R:$R,사진대지!$Q:$Q,"="&amp;$B13,사진대지!$Z:$Z,"="&amp;K$4)</f>
        <v>0</v>
      </c>
      <c r="L13" s="74">
        <f>+SUMIFS(사진대지!$R:$R,사진대지!$Q:$Q,"="&amp;$B13,사진대지!$Z:$Z,"="&amp;L$4)</f>
        <v>0</v>
      </c>
      <c r="M13" s="74">
        <f>+SUMIFS(사진대지!$R:$R,사진대지!$Q:$Q,"="&amp;$B13,사진대지!$Z:$Z,"="&amp;M$4)</f>
        <v>0</v>
      </c>
      <c r="N13" s="74">
        <f>+SUMIFS(사진대지!$R:$R,사진대지!$Q:$Q,"="&amp;$B13,사진대지!$Z:$Z,"="&amp;N$4)</f>
        <v>0</v>
      </c>
      <c r="O13" s="74">
        <f>+SUMIFS(사진대지!$R:$R,사진대지!$Q:$Q,"="&amp;$B13,사진대지!$Z:$Z,"="&amp;O$4)</f>
        <v>0</v>
      </c>
      <c r="P13" s="74">
        <f>+SUMIFS(사진대지!$R:$R,사진대지!$Q:$Q,"="&amp;$B13,사진대지!$Z:$Z,"="&amp;P$4)</f>
        <v>0</v>
      </c>
      <c r="Q13" s="74">
        <f>+SUMIFS(사진대지!$R:$R,사진대지!$Q:$Q,"="&amp;$B13,사진대지!$Z:$Z,"="&amp;Q$4)</f>
        <v>0</v>
      </c>
      <c r="R13" s="74">
        <f>+SUMIFS(사진대지!$R:$R,사진대지!$Q:$Q,"="&amp;$B13,사진대지!$Z:$Z,"="&amp;R$4)</f>
        <v>0</v>
      </c>
      <c r="S13" s="74">
        <f>+SUMIFS(사진대지!$R:$R,사진대지!$Q:$Q,"="&amp;$B13,사진대지!$Z:$Z,"="&amp;S$4)</f>
        <v>0</v>
      </c>
      <c r="T13" s="74">
        <f>+SUMIFS(사진대지!$R:$R,사진대지!$Q:$Q,"="&amp;$B13,사진대지!$Z:$Z,"="&amp;T$4)</f>
        <v>0</v>
      </c>
      <c r="U13" s="74">
        <f>+SUMIFS(사진대지!$R:$R,사진대지!$Q:$Q,"="&amp;$B13,사진대지!$Z:$Z,"="&amp;U$4)</f>
        <v>0</v>
      </c>
      <c r="V13" s="78"/>
      <c r="W13" s="83" t="str">
        <f t="shared" si="0"/>
        <v>금속관입상차열100</v>
      </c>
      <c r="X13" s="98">
        <f t="shared" si="1"/>
        <v>0</v>
      </c>
      <c r="Y13" s="77"/>
      <c r="Z13" s="77"/>
      <c r="AA13" s="84" t="str">
        <f t="shared" si="2"/>
        <v>금속관입상차열100</v>
      </c>
      <c r="AB13" s="102">
        <f>누계!L13+X13</f>
        <v>0</v>
      </c>
    </row>
    <row r="14" spans="1:28" ht="20.100000000000001" customHeight="1" x14ac:dyDescent="0.3">
      <c r="A14" s="5"/>
      <c r="B14" s="7" t="s">
        <v>159</v>
      </c>
      <c r="C14" s="73">
        <f>+SUMIFS(사진대지!$R:$R,사진대지!$Q:$Q,"="&amp;$B14,사진대지!$Z:$Z,"="&amp;C$4)</f>
        <v>0</v>
      </c>
      <c r="D14" s="73">
        <f>+SUMIFS(사진대지!$R:$R,사진대지!$Q:$Q,"="&amp;$B14,사진대지!$Z:$Z,"="&amp;D$4)</f>
        <v>0</v>
      </c>
      <c r="E14" s="74">
        <f>+SUMIFS(사진대지!$R:$R,사진대지!$Q:$Q,"="&amp;$B14,사진대지!$Z:$Z,"="&amp;E$4)</f>
        <v>0</v>
      </c>
      <c r="F14" s="74">
        <f>+SUMIFS(사진대지!$R:$R,사진대지!$Q:$Q,"="&amp;$B14,사진대지!$Z:$Z,"="&amp;F$4)</f>
        <v>0</v>
      </c>
      <c r="G14" s="74">
        <f>+SUMIFS(사진대지!$R:$R,사진대지!$Q:$Q,"="&amp;$B14,사진대지!$Z:$Z,"="&amp;G$4)</f>
        <v>0</v>
      </c>
      <c r="H14" s="74">
        <f>+SUMIFS(사진대지!$R:$R,사진대지!$Q:$Q,"="&amp;$B14,사진대지!$Z:$Z,"="&amp;H$4)</f>
        <v>0</v>
      </c>
      <c r="I14" s="74">
        <f>+SUMIFS(사진대지!$R:$R,사진대지!$Q:$Q,"="&amp;$B14,사진대지!$Z:$Z,"="&amp;I$4)</f>
        <v>0</v>
      </c>
      <c r="J14" s="74">
        <f>+SUMIFS(사진대지!$R:$R,사진대지!$Q:$Q,"="&amp;$B14,사진대지!$Z:$Z,"="&amp;J$4)</f>
        <v>0</v>
      </c>
      <c r="K14" s="74">
        <f>+SUMIFS(사진대지!$R:$R,사진대지!$Q:$Q,"="&amp;$B14,사진대지!$Z:$Z,"="&amp;K$4)</f>
        <v>0</v>
      </c>
      <c r="L14" s="74">
        <f>+SUMIFS(사진대지!$R:$R,사진대지!$Q:$Q,"="&amp;$B14,사진대지!$Z:$Z,"="&amp;L$4)</f>
        <v>0</v>
      </c>
      <c r="M14" s="74">
        <f>+SUMIFS(사진대지!$R:$R,사진대지!$Q:$Q,"="&amp;$B14,사진대지!$Z:$Z,"="&amp;M$4)</f>
        <v>0</v>
      </c>
      <c r="N14" s="74">
        <f>+SUMIFS(사진대지!$R:$R,사진대지!$Q:$Q,"="&amp;$B14,사진대지!$Z:$Z,"="&amp;N$4)</f>
        <v>0</v>
      </c>
      <c r="O14" s="74">
        <f>+SUMIFS(사진대지!$R:$R,사진대지!$Q:$Q,"="&amp;$B14,사진대지!$Z:$Z,"="&amp;O$4)</f>
        <v>0</v>
      </c>
      <c r="P14" s="74">
        <f>+SUMIFS(사진대지!$R:$R,사진대지!$Q:$Q,"="&amp;$B14,사진대지!$Z:$Z,"="&amp;P$4)</f>
        <v>0</v>
      </c>
      <c r="Q14" s="74">
        <f>+SUMIFS(사진대지!$R:$R,사진대지!$Q:$Q,"="&amp;$B14,사진대지!$Z:$Z,"="&amp;Q$4)</f>
        <v>0</v>
      </c>
      <c r="R14" s="74">
        <f>+SUMIFS(사진대지!$R:$R,사진대지!$Q:$Q,"="&amp;$B14,사진대지!$Z:$Z,"="&amp;R$4)</f>
        <v>0</v>
      </c>
      <c r="S14" s="74">
        <f>+SUMIFS(사진대지!$R:$R,사진대지!$Q:$Q,"="&amp;$B14,사진대지!$Z:$Z,"="&amp;S$4)</f>
        <v>0</v>
      </c>
      <c r="T14" s="74">
        <f>+SUMIFS(사진대지!$R:$R,사진대지!$Q:$Q,"="&amp;$B14,사진대지!$Z:$Z,"="&amp;T$4)</f>
        <v>0</v>
      </c>
      <c r="U14" s="74">
        <f>+SUMIFS(사진대지!$R:$R,사진대지!$Q:$Q,"="&amp;$B14,사진대지!$Z:$Z,"="&amp;U$4)</f>
        <v>0</v>
      </c>
      <c r="V14" s="78"/>
      <c r="W14" s="83" t="str">
        <f t="shared" si="0"/>
        <v>금속관입상차열125</v>
      </c>
      <c r="X14" s="98">
        <f t="shared" si="1"/>
        <v>0</v>
      </c>
      <c r="Y14" s="77"/>
      <c r="Z14" s="77"/>
      <c r="AA14" s="84" t="str">
        <f t="shared" si="2"/>
        <v>금속관입상차열125</v>
      </c>
      <c r="AB14" s="102">
        <f>누계!L14+X14</f>
        <v>0</v>
      </c>
    </row>
    <row r="15" spans="1:28" s="25" customFormat="1" ht="20.100000000000001" customHeight="1" x14ac:dyDescent="0.3">
      <c r="A15" s="5"/>
      <c r="B15" s="7" t="s">
        <v>160</v>
      </c>
      <c r="C15" s="73">
        <f>+SUMIFS(사진대지!$R:$R,사진대지!$Q:$Q,"="&amp;$B15,사진대지!$Z:$Z,"="&amp;C$4)</f>
        <v>0</v>
      </c>
      <c r="D15" s="73">
        <f>+SUMIFS(사진대지!$R:$R,사진대지!$Q:$Q,"="&amp;$B15,사진대지!$Z:$Z,"="&amp;D$4)</f>
        <v>0</v>
      </c>
      <c r="E15" s="74">
        <f>+SUMIFS(사진대지!$R:$R,사진대지!$Q:$Q,"="&amp;$B15,사진대지!$Z:$Z,"="&amp;E$4)</f>
        <v>0</v>
      </c>
      <c r="F15" s="74">
        <f>+SUMIFS(사진대지!$R:$R,사진대지!$Q:$Q,"="&amp;$B15,사진대지!$Z:$Z,"="&amp;F$4)</f>
        <v>0</v>
      </c>
      <c r="G15" s="74">
        <f>+SUMIFS(사진대지!$R:$R,사진대지!$Q:$Q,"="&amp;$B15,사진대지!$Z:$Z,"="&amp;G$4)</f>
        <v>0</v>
      </c>
      <c r="H15" s="74">
        <f>+SUMIFS(사진대지!$R:$R,사진대지!$Q:$Q,"="&amp;$B15,사진대지!$Z:$Z,"="&amp;H$4)</f>
        <v>0</v>
      </c>
      <c r="I15" s="74">
        <f>+SUMIFS(사진대지!$R:$R,사진대지!$Q:$Q,"="&amp;$B15,사진대지!$Z:$Z,"="&amp;I$4)</f>
        <v>0</v>
      </c>
      <c r="J15" s="74">
        <f>+SUMIFS(사진대지!$R:$R,사진대지!$Q:$Q,"="&amp;$B15,사진대지!$Z:$Z,"="&amp;J$4)</f>
        <v>0</v>
      </c>
      <c r="K15" s="74">
        <f>+SUMIFS(사진대지!$R:$R,사진대지!$Q:$Q,"="&amp;$B15,사진대지!$Z:$Z,"="&amp;K$4)</f>
        <v>0</v>
      </c>
      <c r="L15" s="74">
        <f>+SUMIFS(사진대지!$R:$R,사진대지!$Q:$Q,"="&amp;$B15,사진대지!$Z:$Z,"="&amp;L$4)</f>
        <v>0</v>
      </c>
      <c r="M15" s="74">
        <f>+SUMIFS(사진대지!$R:$R,사진대지!$Q:$Q,"="&amp;$B15,사진대지!$Z:$Z,"="&amp;M$4)</f>
        <v>0</v>
      </c>
      <c r="N15" s="74">
        <f>+SUMIFS(사진대지!$R:$R,사진대지!$Q:$Q,"="&amp;$B15,사진대지!$Z:$Z,"="&amp;N$4)</f>
        <v>0</v>
      </c>
      <c r="O15" s="74">
        <f>+SUMIFS(사진대지!$R:$R,사진대지!$Q:$Q,"="&amp;$B15,사진대지!$Z:$Z,"="&amp;O$4)</f>
        <v>0</v>
      </c>
      <c r="P15" s="74">
        <f>+SUMIFS(사진대지!$R:$R,사진대지!$Q:$Q,"="&amp;$B15,사진대지!$Z:$Z,"="&amp;P$4)</f>
        <v>0</v>
      </c>
      <c r="Q15" s="74">
        <f>+SUMIFS(사진대지!$R:$R,사진대지!$Q:$Q,"="&amp;$B15,사진대지!$Z:$Z,"="&amp;Q$4)</f>
        <v>0</v>
      </c>
      <c r="R15" s="74">
        <f>+SUMIFS(사진대지!$R:$R,사진대지!$Q:$Q,"="&amp;$B15,사진대지!$Z:$Z,"="&amp;R$4)</f>
        <v>0</v>
      </c>
      <c r="S15" s="74">
        <f>+SUMIFS(사진대지!$R:$R,사진대지!$Q:$Q,"="&amp;$B15,사진대지!$Z:$Z,"="&amp;S$4)</f>
        <v>0</v>
      </c>
      <c r="T15" s="74">
        <f>+SUMIFS(사진대지!$R:$R,사진대지!$Q:$Q,"="&amp;$B15,사진대지!$Z:$Z,"="&amp;T$4)</f>
        <v>0</v>
      </c>
      <c r="U15" s="74">
        <f>+SUMIFS(사진대지!$R:$R,사진대지!$Q:$Q,"="&amp;$B15,사진대지!$Z:$Z,"="&amp;U$4)</f>
        <v>0</v>
      </c>
      <c r="V15" s="78"/>
      <c r="W15" s="83" t="str">
        <f t="shared" ref="W15" si="3">B15</f>
        <v>금속관입상차열150</v>
      </c>
      <c r="X15" s="98">
        <f t="shared" ref="X15" si="4">+SUM(C15:U15)</f>
        <v>0</v>
      </c>
      <c r="Y15" s="77"/>
      <c r="Z15" s="77"/>
      <c r="AA15" s="84" t="str">
        <f t="shared" ref="AA15" si="5">W15</f>
        <v>금속관입상차열150</v>
      </c>
      <c r="AB15" s="102">
        <f>누계!L15+X15</f>
        <v>0</v>
      </c>
    </row>
    <row r="16" spans="1:28" s="25" customFormat="1" ht="20.100000000000001" customHeight="1" x14ac:dyDescent="0.3">
      <c r="A16" s="4"/>
      <c r="B16" s="31" t="s">
        <v>51</v>
      </c>
      <c r="C16" s="71">
        <f>+SUMIFS(사진대지!$R:$R,사진대지!$Q:$Q,"="&amp;$B16,사진대지!$Z:$Z,"="&amp;C$4)</f>
        <v>0</v>
      </c>
      <c r="D16" s="71">
        <f>+SUMIFS(사진대지!$R:$R,사진대지!$Q:$Q,"="&amp;$B16,사진대지!$Z:$Z,"="&amp;D$4)</f>
        <v>0</v>
      </c>
      <c r="E16" s="71">
        <f>+SUMIFS(사진대지!$R:$R,사진대지!$Q:$Q,"="&amp;$B16,사진대지!$Z:$Z,"="&amp;E$4)</f>
        <v>0</v>
      </c>
      <c r="F16" s="71">
        <f>+SUMIFS(사진대지!$R:$R,사진대지!$Q:$Q,"="&amp;$B16,사진대지!$Z:$Z,"="&amp;F$4)</f>
        <v>0</v>
      </c>
      <c r="G16" s="71">
        <f>+SUMIFS(사진대지!$R:$R,사진대지!$Q:$Q,"="&amp;$B16,사진대지!$Z:$Z,"="&amp;G$4)</f>
        <v>0</v>
      </c>
      <c r="H16" s="71">
        <f>+SUMIFS(사진대지!$R:$R,사진대지!$Q:$Q,"="&amp;$B16,사진대지!$Z:$Z,"="&amp;H$4)</f>
        <v>0</v>
      </c>
      <c r="I16" s="71">
        <f>+SUMIFS(사진대지!$R:$R,사진대지!$Q:$Q,"="&amp;$B16,사진대지!$Z:$Z,"="&amp;I$4)</f>
        <v>0</v>
      </c>
      <c r="J16" s="71">
        <f>+SUMIFS(사진대지!$R:$R,사진대지!$Q:$Q,"="&amp;$B16,사진대지!$Z:$Z,"="&amp;J$4)</f>
        <v>0</v>
      </c>
      <c r="K16" s="71">
        <f>+SUMIFS(사진대지!$R:$R,사진대지!$Q:$Q,"="&amp;$B16,사진대지!$Z:$Z,"="&amp;K$4)</f>
        <v>0</v>
      </c>
      <c r="L16" s="71">
        <f>+SUMIFS(사진대지!$R:$R,사진대지!$Q:$Q,"="&amp;$B16,사진대지!$Z:$Z,"="&amp;L$4)</f>
        <v>0</v>
      </c>
      <c r="M16" s="71">
        <f>+SUMIFS(사진대지!$R:$R,사진대지!$Q:$Q,"="&amp;$B16,사진대지!$Z:$Z,"="&amp;M$4)</f>
        <v>0</v>
      </c>
      <c r="N16" s="71">
        <f>+SUMIFS(사진대지!$R:$R,사진대지!$Q:$Q,"="&amp;$B16,사진대지!$Z:$Z,"="&amp;N$4)</f>
        <v>0</v>
      </c>
      <c r="O16" s="71">
        <f>+SUMIFS(사진대지!$R:$R,사진대지!$Q:$Q,"="&amp;$B16,사진대지!$Z:$Z,"="&amp;O$4)</f>
        <v>0</v>
      </c>
      <c r="P16" s="71">
        <f>+SUMIFS(사진대지!$R:$R,사진대지!$Q:$Q,"="&amp;$B16,사진대지!$Z:$Z,"="&amp;P$4)</f>
        <v>0</v>
      </c>
      <c r="Q16" s="71">
        <f>+SUMIFS(사진대지!$R:$R,사진대지!$Q:$Q,"="&amp;$B16,사진대지!$Z:$Z,"="&amp;Q$4)</f>
        <v>0</v>
      </c>
      <c r="R16" s="71">
        <f>+SUMIFS(사진대지!$R:$R,사진대지!$Q:$Q,"="&amp;$B16,사진대지!$Z:$Z,"="&amp;R$4)</f>
        <v>0</v>
      </c>
      <c r="S16" s="71">
        <f>+SUMIFS(사진대지!$R:$R,사진대지!$Q:$Q,"="&amp;$B16,사진대지!$Z:$Z,"="&amp;S$4)</f>
        <v>0</v>
      </c>
      <c r="T16" s="71">
        <f>+SUMIFS(사진대지!$R:$R,사진대지!$Q:$Q,"="&amp;$B16,사진대지!$Z:$Z,"="&amp;T$4)</f>
        <v>0</v>
      </c>
      <c r="U16" s="71">
        <f>+SUMIFS(사진대지!$R:$R,사진대지!$Q:$Q,"="&amp;$B16,사진대지!$Z:$Z,"="&amp;U$4)</f>
        <v>0</v>
      </c>
      <c r="V16" s="78"/>
      <c r="W16" s="79" t="str">
        <f t="shared" ref="W16:W25" si="6">B16</f>
        <v>금속관입상15</v>
      </c>
      <c r="X16" s="96">
        <f t="shared" ref="X16:X25" si="7">+SUM(C16:U16)</f>
        <v>0</v>
      </c>
      <c r="Y16" s="75"/>
      <c r="Z16" s="75"/>
      <c r="AA16" s="80" t="str">
        <f>W16</f>
        <v>금속관입상15</v>
      </c>
      <c r="AB16" s="100">
        <f>누계!L16+X16</f>
        <v>0</v>
      </c>
    </row>
    <row r="17" spans="1:28" s="25" customFormat="1" ht="20.100000000000001" customHeight="1" x14ac:dyDescent="0.3">
      <c r="A17" s="4"/>
      <c r="B17" s="28" t="s">
        <v>1</v>
      </c>
      <c r="C17" s="71">
        <f>+SUMIFS(사진대지!$R:$R,사진대지!$Q:$Q,"="&amp;$B17,사진대지!$Z:$Z,"="&amp;C$4)</f>
        <v>0</v>
      </c>
      <c r="D17" s="71">
        <f>+SUMIFS(사진대지!$R:$R,사진대지!$Q:$Q,"="&amp;$B17,사진대지!$Z:$Z,"="&amp;D$4)</f>
        <v>0</v>
      </c>
      <c r="E17" s="71">
        <f>+SUMIFS(사진대지!$R:$R,사진대지!$Q:$Q,"="&amp;$B17,사진대지!$Z:$Z,"="&amp;E$4)</f>
        <v>0</v>
      </c>
      <c r="F17" s="71">
        <f>+SUMIFS(사진대지!$R:$R,사진대지!$Q:$Q,"="&amp;$B17,사진대지!$Z:$Z,"="&amp;F$4)</f>
        <v>0</v>
      </c>
      <c r="G17" s="71">
        <f>+SUMIFS(사진대지!$R:$R,사진대지!$Q:$Q,"="&amp;$B17,사진대지!$Z:$Z,"="&amp;G$4)</f>
        <v>0</v>
      </c>
      <c r="H17" s="71">
        <f>+SUMIFS(사진대지!$R:$R,사진대지!$Q:$Q,"="&amp;$B17,사진대지!$Z:$Z,"="&amp;H$4)</f>
        <v>0</v>
      </c>
      <c r="I17" s="71">
        <f>+SUMIFS(사진대지!$R:$R,사진대지!$Q:$Q,"="&amp;$B17,사진대지!$Z:$Z,"="&amp;I$4)</f>
        <v>0</v>
      </c>
      <c r="J17" s="71">
        <f>+SUMIFS(사진대지!$R:$R,사진대지!$Q:$Q,"="&amp;$B17,사진대지!$Z:$Z,"="&amp;J$4)</f>
        <v>0</v>
      </c>
      <c r="K17" s="71">
        <f>+SUMIFS(사진대지!$R:$R,사진대지!$Q:$Q,"="&amp;$B17,사진대지!$Z:$Z,"="&amp;K$4)</f>
        <v>0</v>
      </c>
      <c r="L17" s="71">
        <f>+SUMIFS(사진대지!$R:$R,사진대지!$Q:$Q,"="&amp;$B17,사진대지!$Z:$Z,"="&amp;L$4)</f>
        <v>0</v>
      </c>
      <c r="M17" s="71">
        <f>+SUMIFS(사진대지!$R:$R,사진대지!$Q:$Q,"="&amp;$B17,사진대지!$Z:$Z,"="&amp;M$4)</f>
        <v>0</v>
      </c>
      <c r="N17" s="71">
        <f>+SUMIFS(사진대지!$R:$R,사진대지!$Q:$Q,"="&amp;$B17,사진대지!$Z:$Z,"="&amp;N$4)</f>
        <v>0</v>
      </c>
      <c r="O17" s="71">
        <f>+SUMIFS(사진대지!$R:$R,사진대지!$Q:$Q,"="&amp;$B17,사진대지!$Z:$Z,"="&amp;O$4)</f>
        <v>0</v>
      </c>
      <c r="P17" s="71">
        <f>+SUMIFS(사진대지!$R:$R,사진대지!$Q:$Q,"="&amp;$B17,사진대지!$Z:$Z,"="&amp;P$4)</f>
        <v>0</v>
      </c>
      <c r="Q17" s="71">
        <f>+SUMIFS(사진대지!$R:$R,사진대지!$Q:$Q,"="&amp;$B17,사진대지!$Z:$Z,"="&amp;Q$4)</f>
        <v>0</v>
      </c>
      <c r="R17" s="71">
        <f>+SUMIFS(사진대지!$R:$R,사진대지!$Q:$Q,"="&amp;$B17,사진대지!$Z:$Z,"="&amp;R$4)</f>
        <v>0</v>
      </c>
      <c r="S17" s="71">
        <f>+SUMIFS(사진대지!$R:$R,사진대지!$Q:$Q,"="&amp;$B17,사진대지!$Z:$Z,"="&amp;S$4)</f>
        <v>0</v>
      </c>
      <c r="T17" s="71">
        <f>+SUMIFS(사진대지!$R:$R,사진대지!$Q:$Q,"="&amp;$B17,사진대지!$Z:$Z,"="&amp;T$4)</f>
        <v>0</v>
      </c>
      <c r="U17" s="71">
        <f>+SUMIFS(사진대지!$R:$R,사진대지!$Q:$Q,"="&amp;$B17,사진대지!$Z:$Z,"="&amp;U$4)</f>
        <v>0</v>
      </c>
      <c r="V17" s="78"/>
      <c r="W17" s="81" t="str">
        <f t="shared" si="6"/>
        <v>금속관입상20</v>
      </c>
      <c r="X17" s="97">
        <f t="shared" si="7"/>
        <v>0</v>
      </c>
      <c r="Y17" s="75"/>
      <c r="Z17" s="75"/>
      <c r="AA17" s="82" t="str">
        <f t="shared" ref="AA17:AA25" si="8">W17</f>
        <v>금속관입상20</v>
      </c>
      <c r="AB17" s="101">
        <f>누계!L17+X17</f>
        <v>0</v>
      </c>
    </row>
    <row r="18" spans="1:28" s="25" customFormat="1" ht="20.100000000000001" customHeight="1" x14ac:dyDescent="0.3">
      <c r="A18" s="5"/>
      <c r="B18" s="28" t="s">
        <v>2</v>
      </c>
      <c r="C18" s="71">
        <f>+SUMIFS(사진대지!$R:$R,사진대지!$Q:$Q,"="&amp;$B18,사진대지!$Z:$Z,"="&amp;C$4)</f>
        <v>0</v>
      </c>
      <c r="D18" s="71">
        <f>+SUMIFS(사진대지!$R:$R,사진대지!$Q:$Q,"="&amp;$B18,사진대지!$Z:$Z,"="&amp;D$4)</f>
        <v>0</v>
      </c>
      <c r="E18" s="72">
        <f>+SUMIFS(사진대지!$R:$R,사진대지!$Q:$Q,"="&amp;$B18,사진대지!$Z:$Z,"="&amp;E$4)</f>
        <v>0</v>
      </c>
      <c r="F18" s="72">
        <f>+SUMIFS(사진대지!$R:$R,사진대지!$Q:$Q,"="&amp;$B18,사진대지!$Z:$Z,"="&amp;F$4)</f>
        <v>0</v>
      </c>
      <c r="G18" s="72">
        <f>+SUMIFS(사진대지!$R:$R,사진대지!$Q:$Q,"="&amp;$B18,사진대지!$Z:$Z,"="&amp;G$4)</f>
        <v>0</v>
      </c>
      <c r="H18" s="72">
        <f>+SUMIFS(사진대지!$R:$R,사진대지!$Q:$Q,"="&amp;$B18,사진대지!$Z:$Z,"="&amp;H$4)</f>
        <v>0</v>
      </c>
      <c r="I18" s="72">
        <f>+SUMIFS(사진대지!$R:$R,사진대지!$Q:$Q,"="&amp;$B18,사진대지!$Z:$Z,"="&amp;I$4)</f>
        <v>0</v>
      </c>
      <c r="J18" s="72">
        <f>+SUMIFS(사진대지!$R:$R,사진대지!$Q:$Q,"="&amp;$B18,사진대지!$Z:$Z,"="&amp;J$4)</f>
        <v>0</v>
      </c>
      <c r="K18" s="72">
        <f>+SUMIFS(사진대지!$R:$R,사진대지!$Q:$Q,"="&amp;$B18,사진대지!$Z:$Z,"="&amp;K$4)</f>
        <v>0</v>
      </c>
      <c r="L18" s="72">
        <f>+SUMIFS(사진대지!$R:$R,사진대지!$Q:$Q,"="&amp;$B18,사진대지!$Z:$Z,"="&amp;L$4)</f>
        <v>0</v>
      </c>
      <c r="M18" s="72">
        <f>+SUMIFS(사진대지!$R:$R,사진대지!$Q:$Q,"="&amp;$B18,사진대지!$Z:$Z,"="&amp;M$4)</f>
        <v>0</v>
      </c>
      <c r="N18" s="72">
        <f>+SUMIFS(사진대지!$R:$R,사진대지!$Q:$Q,"="&amp;$B18,사진대지!$Z:$Z,"="&amp;N$4)</f>
        <v>0</v>
      </c>
      <c r="O18" s="72">
        <f>+SUMIFS(사진대지!$R:$R,사진대지!$Q:$Q,"="&amp;$B18,사진대지!$Z:$Z,"="&amp;O$4)</f>
        <v>0</v>
      </c>
      <c r="P18" s="72">
        <f>+SUMIFS(사진대지!$R:$R,사진대지!$Q:$Q,"="&amp;$B18,사진대지!$Z:$Z,"="&amp;P$4)</f>
        <v>0</v>
      </c>
      <c r="Q18" s="72">
        <f>+SUMIFS(사진대지!$R:$R,사진대지!$Q:$Q,"="&amp;$B18,사진대지!$Z:$Z,"="&amp;Q$4)</f>
        <v>0</v>
      </c>
      <c r="R18" s="72">
        <f>+SUMIFS(사진대지!$R:$R,사진대지!$Q:$Q,"="&amp;$B18,사진대지!$Z:$Z,"="&amp;R$4)</f>
        <v>0</v>
      </c>
      <c r="S18" s="72">
        <f>+SUMIFS(사진대지!$R:$R,사진대지!$Q:$Q,"="&amp;$B18,사진대지!$Z:$Z,"="&amp;S$4)</f>
        <v>0</v>
      </c>
      <c r="T18" s="72">
        <f>+SUMIFS(사진대지!$R:$R,사진대지!$Q:$Q,"="&amp;$B18,사진대지!$Z:$Z,"="&amp;T$4)</f>
        <v>0</v>
      </c>
      <c r="U18" s="72">
        <f>+SUMIFS(사진대지!$R:$R,사진대지!$Q:$Q,"="&amp;$B18,사진대지!$Z:$Z,"="&amp;U$4)</f>
        <v>0</v>
      </c>
      <c r="V18" s="78"/>
      <c r="W18" s="81" t="str">
        <f t="shared" si="6"/>
        <v>금속관입상25</v>
      </c>
      <c r="X18" s="97">
        <f t="shared" si="7"/>
        <v>0</v>
      </c>
      <c r="Y18" s="75"/>
      <c r="Z18" s="75"/>
      <c r="AA18" s="82" t="str">
        <f t="shared" si="8"/>
        <v>금속관입상25</v>
      </c>
      <c r="AB18" s="101">
        <f>누계!L18+X18</f>
        <v>0</v>
      </c>
    </row>
    <row r="19" spans="1:28" s="25" customFormat="1" ht="20.100000000000001" customHeight="1" x14ac:dyDescent="0.3">
      <c r="A19" s="5"/>
      <c r="B19" s="28" t="s">
        <v>3</v>
      </c>
      <c r="C19" s="71">
        <f>+SUMIFS(사진대지!$R:$R,사진대지!$Q:$Q,"="&amp;$B19,사진대지!$Z:$Z,"="&amp;C$4)</f>
        <v>0</v>
      </c>
      <c r="D19" s="71">
        <f>+SUMIFS(사진대지!$R:$R,사진대지!$Q:$Q,"="&amp;$B19,사진대지!$Z:$Z,"="&amp;D$4)</f>
        <v>0</v>
      </c>
      <c r="E19" s="72">
        <f>+SUMIFS(사진대지!$R:$R,사진대지!$Q:$Q,"="&amp;$B19,사진대지!$Z:$Z,"="&amp;E$4)</f>
        <v>0</v>
      </c>
      <c r="F19" s="72">
        <f>+SUMIFS(사진대지!$R:$R,사진대지!$Q:$Q,"="&amp;$B19,사진대지!$Z:$Z,"="&amp;F$4)</f>
        <v>0</v>
      </c>
      <c r="G19" s="72">
        <f>+SUMIFS(사진대지!$R:$R,사진대지!$Q:$Q,"="&amp;$B19,사진대지!$Z:$Z,"="&amp;G$4)</f>
        <v>0</v>
      </c>
      <c r="H19" s="72">
        <f>+SUMIFS(사진대지!$R:$R,사진대지!$Q:$Q,"="&amp;$B19,사진대지!$Z:$Z,"="&amp;H$4)</f>
        <v>0</v>
      </c>
      <c r="I19" s="72">
        <f>+SUMIFS(사진대지!$R:$R,사진대지!$Q:$Q,"="&amp;$B19,사진대지!$Z:$Z,"="&amp;I$4)</f>
        <v>0</v>
      </c>
      <c r="J19" s="72">
        <f>+SUMIFS(사진대지!$R:$R,사진대지!$Q:$Q,"="&amp;$B19,사진대지!$Z:$Z,"="&amp;J$4)</f>
        <v>0</v>
      </c>
      <c r="K19" s="72">
        <f>+SUMIFS(사진대지!$R:$R,사진대지!$Q:$Q,"="&amp;$B19,사진대지!$Z:$Z,"="&amp;K$4)</f>
        <v>0</v>
      </c>
      <c r="L19" s="72">
        <f>+SUMIFS(사진대지!$R:$R,사진대지!$Q:$Q,"="&amp;$B19,사진대지!$Z:$Z,"="&amp;L$4)</f>
        <v>0</v>
      </c>
      <c r="M19" s="72">
        <f>+SUMIFS(사진대지!$R:$R,사진대지!$Q:$Q,"="&amp;$B19,사진대지!$Z:$Z,"="&amp;M$4)</f>
        <v>0</v>
      </c>
      <c r="N19" s="72">
        <f>+SUMIFS(사진대지!$R:$R,사진대지!$Q:$Q,"="&amp;$B19,사진대지!$Z:$Z,"="&amp;N$4)</f>
        <v>0</v>
      </c>
      <c r="O19" s="72">
        <f>+SUMIFS(사진대지!$R:$R,사진대지!$Q:$Q,"="&amp;$B19,사진대지!$Z:$Z,"="&amp;O$4)</f>
        <v>0</v>
      </c>
      <c r="P19" s="72">
        <f>+SUMIFS(사진대지!$R:$R,사진대지!$Q:$Q,"="&amp;$B19,사진대지!$Z:$Z,"="&amp;P$4)</f>
        <v>0</v>
      </c>
      <c r="Q19" s="72">
        <f>+SUMIFS(사진대지!$R:$R,사진대지!$Q:$Q,"="&amp;$B19,사진대지!$Z:$Z,"="&amp;Q$4)</f>
        <v>0</v>
      </c>
      <c r="R19" s="72">
        <f>+SUMIFS(사진대지!$R:$R,사진대지!$Q:$Q,"="&amp;$B19,사진대지!$Z:$Z,"="&amp;R$4)</f>
        <v>0</v>
      </c>
      <c r="S19" s="72">
        <f>+SUMIFS(사진대지!$R:$R,사진대지!$Q:$Q,"="&amp;$B19,사진대지!$Z:$Z,"="&amp;S$4)</f>
        <v>0</v>
      </c>
      <c r="T19" s="72">
        <f>+SUMIFS(사진대지!$R:$R,사진대지!$Q:$Q,"="&amp;$B19,사진대지!$Z:$Z,"="&amp;T$4)</f>
        <v>0</v>
      </c>
      <c r="U19" s="72">
        <f>+SUMIFS(사진대지!$R:$R,사진대지!$Q:$Q,"="&amp;$B19,사진대지!$Z:$Z,"="&amp;U$4)</f>
        <v>0</v>
      </c>
      <c r="V19" s="78"/>
      <c r="W19" s="81" t="str">
        <f t="shared" si="6"/>
        <v>금속관입상32</v>
      </c>
      <c r="X19" s="97">
        <f t="shared" si="7"/>
        <v>0</v>
      </c>
      <c r="Y19" s="75"/>
      <c r="Z19" s="75"/>
      <c r="AA19" s="82" t="str">
        <f t="shared" si="8"/>
        <v>금속관입상32</v>
      </c>
      <c r="AB19" s="101">
        <f>누계!L19+X19</f>
        <v>0</v>
      </c>
    </row>
    <row r="20" spans="1:28" s="25" customFormat="1" ht="20.100000000000001" customHeight="1" x14ac:dyDescent="0.3">
      <c r="A20" s="5"/>
      <c r="B20" s="28" t="s">
        <v>4</v>
      </c>
      <c r="C20" s="71">
        <f>+SUMIFS(사진대지!$R:$R,사진대지!$Q:$Q,"="&amp;$B20,사진대지!$Z:$Z,"="&amp;C$4)</f>
        <v>0</v>
      </c>
      <c r="D20" s="71">
        <f>+SUMIFS(사진대지!$R:$R,사진대지!$Q:$Q,"="&amp;$B20,사진대지!$Z:$Z,"="&amp;D$4)</f>
        <v>0</v>
      </c>
      <c r="E20" s="72">
        <f>+SUMIFS(사진대지!$R:$R,사진대지!$Q:$Q,"="&amp;$B20,사진대지!$Z:$Z,"="&amp;E$4)</f>
        <v>0</v>
      </c>
      <c r="F20" s="72">
        <f>+SUMIFS(사진대지!$R:$R,사진대지!$Q:$Q,"="&amp;$B20,사진대지!$Z:$Z,"="&amp;F$4)</f>
        <v>0</v>
      </c>
      <c r="G20" s="72">
        <f>+SUMIFS(사진대지!$R:$R,사진대지!$Q:$Q,"="&amp;$B20,사진대지!$Z:$Z,"="&amp;G$4)</f>
        <v>0</v>
      </c>
      <c r="H20" s="72">
        <f>+SUMIFS(사진대지!$R:$R,사진대지!$Q:$Q,"="&amp;$B20,사진대지!$Z:$Z,"="&amp;H$4)</f>
        <v>0</v>
      </c>
      <c r="I20" s="72">
        <f>+SUMIFS(사진대지!$R:$R,사진대지!$Q:$Q,"="&amp;$B20,사진대지!$Z:$Z,"="&amp;I$4)</f>
        <v>0</v>
      </c>
      <c r="J20" s="72">
        <f>+SUMIFS(사진대지!$R:$R,사진대지!$Q:$Q,"="&amp;$B20,사진대지!$Z:$Z,"="&amp;J$4)</f>
        <v>0</v>
      </c>
      <c r="K20" s="72">
        <f>+SUMIFS(사진대지!$R:$R,사진대지!$Q:$Q,"="&amp;$B20,사진대지!$Z:$Z,"="&amp;K$4)</f>
        <v>0</v>
      </c>
      <c r="L20" s="72">
        <f>+SUMIFS(사진대지!$R:$R,사진대지!$Q:$Q,"="&amp;$B20,사진대지!$Z:$Z,"="&amp;L$4)</f>
        <v>0</v>
      </c>
      <c r="M20" s="72">
        <f>+SUMIFS(사진대지!$R:$R,사진대지!$Q:$Q,"="&amp;$B20,사진대지!$Z:$Z,"="&amp;M$4)</f>
        <v>0</v>
      </c>
      <c r="N20" s="72">
        <f>+SUMIFS(사진대지!$R:$R,사진대지!$Q:$Q,"="&amp;$B20,사진대지!$Z:$Z,"="&amp;N$4)</f>
        <v>0</v>
      </c>
      <c r="O20" s="72">
        <f>+SUMIFS(사진대지!$R:$R,사진대지!$Q:$Q,"="&amp;$B20,사진대지!$Z:$Z,"="&amp;O$4)</f>
        <v>0</v>
      </c>
      <c r="P20" s="72">
        <f>+SUMIFS(사진대지!$R:$R,사진대지!$Q:$Q,"="&amp;$B20,사진대지!$Z:$Z,"="&amp;P$4)</f>
        <v>0</v>
      </c>
      <c r="Q20" s="72">
        <f>+SUMIFS(사진대지!$R:$R,사진대지!$Q:$Q,"="&amp;$B20,사진대지!$Z:$Z,"="&amp;Q$4)</f>
        <v>0</v>
      </c>
      <c r="R20" s="72">
        <f>+SUMIFS(사진대지!$R:$R,사진대지!$Q:$Q,"="&amp;$B20,사진대지!$Z:$Z,"="&amp;R$4)</f>
        <v>0</v>
      </c>
      <c r="S20" s="72">
        <f>+SUMIFS(사진대지!$R:$R,사진대지!$Q:$Q,"="&amp;$B20,사진대지!$Z:$Z,"="&amp;S$4)</f>
        <v>0</v>
      </c>
      <c r="T20" s="72">
        <f>+SUMIFS(사진대지!$R:$R,사진대지!$Q:$Q,"="&amp;$B20,사진대지!$Z:$Z,"="&amp;T$4)</f>
        <v>0</v>
      </c>
      <c r="U20" s="72">
        <f>+SUMIFS(사진대지!$R:$R,사진대지!$Q:$Q,"="&amp;$B20,사진대지!$Z:$Z,"="&amp;U$4)</f>
        <v>0</v>
      </c>
      <c r="V20" s="78"/>
      <c r="W20" s="81" t="str">
        <f t="shared" si="6"/>
        <v>금속관입상40</v>
      </c>
      <c r="X20" s="97">
        <f t="shared" si="7"/>
        <v>0</v>
      </c>
      <c r="Y20" s="75"/>
      <c r="Z20" s="75"/>
      <c r="AA20" s="82" t="str">
        <f t="shared" si="8"/>
        <v>금속관입상40</v>
      </c>
      <c r="AB20" s="101">
        <f>누계!L20+X20</f>
        <v>0</v>
      </c>
    </row>
    <row r="21" spans="1:28" s="25" customFormat="1" ht="20.100000000000001" customHeight="1" x14ac:dyDescent="0.3">
      <c r="A21" s="5"/>
      <c r="B21" s="28" t="s">
        <v>5</v>
      </c>
      <c r="C21" s="71">
        <f>+SUMIFS(사진대지!$R:$R,사진대지!$Q:$Q,"="&amp;$B21,사진대지!$Z:$Z,"="&amp;C$4)</f>
        <v>0</v>
      </c>
      <c r="D21" s="71">
        <f>+SUMIFS(사진대지!$R:$R,사진대지!$Q:$Q,"="&amp;$B21,사진대지!$Z:$Z,"="&amp;D$4)</f>
        <v>0</v>
      </c>
      <c r="E21" s="72">
        <f>+SUMIFS(사진대지!$R:$R,사진대지!$Q:$Q,"="&amp;$B21,사진대지!$Z:$Z,"="&amp;E$4)</f>
        <v>0</v>
      </c>
      <c r="F21" s="72">
        <f>+SUMIFS(사진대지!$R:$R,사진대지!$Q:$Q,"="&amp;$B21,사진대지!$Z:$Z,"="&amp;F$4)</f>
        <v>0</v>
      </c>
      <c r="G21" s="72">
        <f>+SUMIFS(사진대지!$R:$R,사진대지!$Q:$Q,"="&amp;$B21,사진대지!$Z:$Z,"="&amp;G$4)</f>
        <v>0</v>
      </c>
      <c r="H21" s="72">
        <f>+SUMIFS(사진대지!$R:$R,사진대지!$Q:$Q,"="&amp;$B21,사진대지!$Z:$Z,"="&amp;H$4)</f>
        <v>0</v>
      </c>
      <c r="I21" s="72">
        <f>+SUMIFS(사진대지!$R:$R,사진대지!$Q:$Q,"="&amp;$B21,사진대지!$Z:$Z,"="&amp;I$4)</f>
        <v>0</v>
      </c>
      <c r="J21" s="72">
        <f>+SUMIFS(사진대지!$R:$R,사진대지!$Q:$Q,"="&amp;$B21,사진대지!$Z:$Z,"="&amp;J$4)</f>
        <v>0</v>
      </c>
      <c r="K21" s="72">
        <f>+SUMIFS(사진대지!$R:$R,사진대지!$Q:$Q,"="&amp;$B21,사진대지!$Z:$Z,"="&amp;K$4)</f>
        <v>0</v>
      </c>
      <c r="L21" s="72">
        <f>+SUMIFS(사진대지!$R:$R,사진대지!$Q:$Q,"="&amp;$B21,사진대지!$Z:$Z,"="&amp;L$4)</f>
        <v>0</v>
      </c>
      <c r="M21" s="72">
        <f>+SUMIFS(사진대지!$R:$R,사진대지!$Q:$Q,"="&amp;$B21,사진대지!$Z:$Z,"="&amp;M$4)</f>
        <v>0</v>
      </c>
      <c r="N21" s="72">
        <f>+SUMIFS(사진대지!$R:$R,사진대지!$Q:$Q,"="&amp;$B21,사진대지!$Z:$Z,"="&amp;N$4)</f>
        <v>0</v>
      </c>
      <c r="O21" s="72">
        <f>+SUMIFS(사진대지!$R:$R,사진대지!$Q:$Q,"="&amp;$B21,사진대지!$Z:$Z,"="&amp;O$4)</f>
        <v>0</v>
      </c>
      <c r="P21" s="72">
        <f>+SUMIFS(사진대지!$R:$R,사진대지!$Q:$Q,"="&amp;$B21,사진대지!$Z:$Z,"="&amp;P$4)</f>
        <v>0</v>
      </c>
      <c r="Q21" s="72">
        <f>+SUMIFS(사진대지!$R:$R,사진대지!$Q:$Q,"="&amp;$B21,사진대지!$Z:$Z,"="&amp;Q$4)</f>
        <v>0</v>
      </c>
      <c r="R21" s="72">
        <f>+SUMIFS(사진대지!$R:$R,사진대지!$Q:$Q,"="&amp;$B21,사진대지!$Z:$Z,"="&amp;R$4)</f>
        <v>0</v>
      </c>
      <c r="S21" s="72">
        <f>+SUMIFS(사진대지!$R:$R,사진대지!$Q:$Q,"="&amp;$B21,사진대지!$Z:$Z,"="&amp;S$4)</f>
        <v>0</v>
      </c>
      <c r="T21" s="72">
        <f>+SUMIFS(사진대지!$R:$R,사진대지!$Q:$Q,"="&amp;$B21,사진대지!$Z:$Z,"="&amp;T$4)</f>
        <v>0</v>
      </c>
      <c r="U21" s="72">
        <f>+SUMIFS(사진대지!$R:$R,사진대지!$Q:$Q,"="&amp;$B21,사진대지!$Z:$Z,"="&amp;U$4)</f>
        <v>0</v>
      </c>
      <c r="V21" s="78"/>
      <c r="W21" s="81" t="str">
        <f t="shared" si="6"/>
        <v>금속관입상50</v>
      </c>
      <c r="X21" s="97">
        <f t="shared" si="7"/>
        <v>0</v>
      </c>
      <c r="Y21" s="75"/>
      <c r="Z21" s="75"/>
      <c r="AA21" s="82" t="str">
        <f t="shared" si="8"/>
        <v>금속관입상50</v>
      </c>
      <c r="AB21" s="101">
        <f>누계!L21+X21</f>
        <v>0</v>
      </c>
    </row>
    <row r="22" spans="1:28" s="25" customFormat="1" ht="20.100000000000001" customHeight="1" x14ac:dyDescent="0.3">
      <c r="A22" s="5"/>
      <c r="B22" s="28" t="s">
        <v>6</v>
      </c>
      <c r="C22" s="71">
        <f>+SUMIFS(사진대지!$R:$R,사진대지!$Q:$Q,"="&amp;$B22,사진대지!$Z:$Z,"="&amp;C$4)</f>
        <v>0</v>
      </c>
      <c r="D22" s="71">
        <f>+SUMIFS(사진대지!$R:$R,사진대지!$Q:$Q,"="&amp;$B22,사진대지!$Z:$Z,"="&amp;D$4)</f>
        <v>0</v>
      </c>
      <c r="E22" s="72">
        <f>+SUMIFS(사진대지!$R:$R,사진대지!$Q:$Q,"="&amp;$B22,사진대지!$Z:$Z,"="&amp;E$4)</f>
        <v>0</v>
      </c>
      <c r="F22" s="72">
        <f>+SUMIFS(사진대지!$R:$R,사진대지!$Q:$Q,"="&amp;$B22,사진대지!$Z:$Z,"="&amp;F$4)</f>
        <v>0</v>
      </c>
      <c r="G22" s="72">
        <f>+SUMIFS(사진대지!$R:$R,사진대지!$Q:$Q,"="&amp;$B22,사진대지!$Z:$Z,"="&amp;G$4)</f>
        <v>0</v>
      </c>
      <c r="H22" s="72">
        <f>+SUMIFS(사진대지!$R:$R,사진대지!$Q:$Q,"="&amp;$B22,사진대지!$Z:$Z,"="&amp;H$4)</f>
        <v>0</v>
      </c>
      <c r="I22" s="72">
        <f>+SUMIFS(사진대지!$R:$R,사진대지!$Q:$Q,"="&amp;$B22,사진대지!$Z:$Z,"="&amp;I$4)</f>
        <v>0</v>
      </c>
      <c r="J22" s="72">
        <f>+SUMIFS(사진대지!$R:$R,사진대지!$Q:$Q,"="&amp;$B22,사진대지!$Z:$Z,"="&amp;J$4)</f>
        <v>0</v>
      </c>
      <c r="K22" s="72">
        <f>+SUMIFS(사진대지!$R:$R,사진대지!$Q:$Q,"="&amp;$B22,사진대지!$Z:$Z,"="&amp;K$4)</f>
        <v>0</v>
      </c>
      <c r="L22" s="72">
        <f>+SUMIFS(사진대지!$R:$R,사진대지!$Q:$Q,"="&amp;$B22,사진대지!$Z:$Z,"="&amp;L$4)</f>
        <v>0</v>
      </c>
      <c r="M22" s="72">
        <f>+SUMIFS(사진대지!$R:$R,사진대지!$Q:$Q,"="&amp;$B22,사진대지!$Z:$Z,"="&amp;M$4)</f>
        <v>0</v>
      </c>
      <c r="N22" s="72">
        <f>+SUMIFS(사진대지!$R:$R,사진대지!$Q:$Q,"="&amp;$B22,사진대지!$Z:$Z,"="&amp;N$4)</f>
        <v>0</v>
      </c>
      <c r="O22" s="72">
        <f>+SUMIFS(사진대지!$R:$R,사진대지!$Q:$Q,"="&amp;$B22,사진대지!$Z:$Z,"="&amp;O$4)</f>
        <v>0</v>
      </c>
      <c r="P22" s="72">
        <f>+SUMIFS(사진대지!$R:$R,사진대지!$Q:$Q,"="&amp;$B22,사진대지!$Z:$Z,"="&amp;P$4)</f>
        <v>0</v>
      </c>
      <c r="Q22" s="72">
        <f>+SUMIFS(사진대지!$R:$R,사진대지!$Q:$Q,"="&amp;$B22,사진대지!$Z:$Z,"="&amp;Q$4)</f>
        <v>0</v>
      </c>
      <c r="R22" s="72">
        <f>+SUMIFS(사진대지!$R:$R,사진대지!$Q:$Q,"="&amp;$B22,사진대지!$Z:$Z,"="&amp;R$4)</f>
        <v>0</v>
      </c>
      <c r="S22" s="72">
        <f>+SUMIFS(사진대지!$R:$R,사진대지!$Q:$Q,"="&amp;$B22,사진대지!$Z:$Z,"="&amp;S$4)</f>
        <v>0</v>
      </c>
      <c r="T22" s="72">
        <f>+SUMIFS(사진대지!$R:$R,사진대지!$Q:$Q,"="&amp;$B22,사진대지!$Z:$Z,"="&amp;T$4)</f>
        <v>0</v>
      </c>
      <c r="U22" s="72">
        <f>+SUMIFS(사진대지!$R:$R,사진대지!$Q:$Q,"="&amp;$B22,사진대지!$Z:$Z,"="&amp;U$4)</f>
        <v>0</v>
      </c>
      <c r="V22" s="78"/>
      <c r="W22" s="81" t="str">
        <f t="shared" si="6"/>
        <v>금속관입상65</v>
      </c>
      <c r="X22" s="97">
        <f t="shared" si="7"/>
        <v>0</v>
      </c>
      <c r="Y22" s="75"/>
      <c r="Z22" s="75"/>
      <c r="AA22" s="82" t="str">
        <f t="shared" si="8"/>
        <v>금속관입상65</v>
      </c>
      <c r="AB22" s="101">
        <f>누계!L22+X22</f>
        <v>0</v>
      </c>
    </row>
    <row r="23" spans="1:28" s="25" customFormat="1" ht="20.100000000000001" customHeight="1" x14ac:dyDescent="0.3">
      <c r="A23" s="5"/>
      <c r="B23" s="28" t="s">
        <v>7</v>
      </c>
      <c r="C23" s="71">
        <f>+SUMIFS(사진대지!$R:$R,사진대지!$Q:$Q,"="&amp;$B23,사진대지!$Z:$Z,"="&amp;C$4)</f>
        <v>0</v>
      </c>
      <c r="D23" s="71">
        <f>+SUMIFS(사진대지!$R:$R,사진대지!$Q:$Q,"="&amp;$B23,사진대지!$Z:$Z,"="&amp;D$4)</f>
        <v>0</v>
      </c>
      <c r="E23" s="72">
        <f>+SUMIFS(사진대지!$R:$R,사진대지!$Q:$Q,"="&amp;$B23,사진대지!$Z:$Z,"="&amp;E$4)</f>
        <v>0</v>
      </c>
      <c r="F23" s="72">
        <f>+SUMIFS(사진대지!$R:$R,사진대지!$Q:$Q,"="&amp;$B23,사진대지!$Z:$Z,"="&amp;F$4)</f>
        <v>0</v>
      </c>
      <c r="G23" s="72">
        <f>+SUMIFS(사진대지!$R:$R,사진대지!$Q:$Q,"="&amp;$B23,사진대지!$Z:$Z,"="&amp;G$4)</f>
        <v>0</v>
      </c>
      <c r="H23" s="72">
        <f>+SUMIFS(사진대지!$R:$R,사진대지!$Q:$Q,"="&amp;$B23,사진대지!$Z:$Z,"="&amp;H$4)</f>
        <v>0</v>
      </c>
      <c r="I23" s="72">
        <f>+SUMIFS(사진대지!$R:$R,사진대지!$Q:$Q,"="&amp;$B23,사진대지!$Z:$Z,"="&amp;I$4)</f>
        <v>0</v>
      </c>
      <c r="J23" s="72">
        <f>+SUMIFS(사진대지!$R:$R,사진대지!$Q:$Q,"="&amp;$B23,사진대지!$Z:$Z,"="&amp;J$4)</f>
        <v>0</v>
      </c>
      <c r="K23" s="72">
        <f>+SUMIFS(사진대지!$R:$R,사진대지!$Q:$Q,"="&amp;$B23,사진대지!$Z:$Z,"="&amp;K$4)</f>
        <v>0</v>
      </c>
      <c r="L23" s="72">
        <f>+SUMIFS(사진대지!$R:$R,사진대지!$Q:$Q,"="&amp;$B23,사진대지!$Z:$Z,"="&amp;L$4)</f>
        <v>0</v>
      </c>
      <c r="M23" s="72">
        <f>+SUMIFS(사진대지!$R:$R,사진대지!$Q:$Q,"="&amp;$B23,사진대지!$Z:$Z,"="&amp;M$4)</f>
        <v>0</v>
      </c>
      <c r="N23" s="72">
        <f>+SUMIFS(사진대지!$R:$R,사진대지!$Q:$Q,"="&amp;$B23,사진대지!$Z:$Z,"="&amp;N$4)</f>
        <v>0</v>
      </c>
      <c r="O23" s="72">
        <f>+SUMIFS(사진대지!$R:$R,사진대지!$Q:$Q,"="&amp;$B23,사진대지!$Z:$Z,"="&amp;O$4)</f>
        <v>0</v>
      </c>
      <c r="P23" s="72">
        <f>+SUMIFS(사진대지!$R:$R,사진대지!$Q:$Q,"="&amp;$B23,사진대지!$Z:$Z,"="&amp;P$4)</f>
        <v>0</v>
      </c>
      <c r="Q23" s="72">
        <f>+SUMIFS(사진대지!$R:$R,사진대지!$Q:$Q,"="&amp;$B23,사진대지!$Z:$Z,"="&amp;Q$4)</f>
        <v>0</v>
      </c>
      <c r="R23" s="72">
        <f>+SUMIFS(사진대지!$R:$R,사진대지!$Q:$Q,"="&amp;$B23,사진대지!$Z:$Z,"="&amp;R$4)</f>
        <v>0</v>
      </c>
      <c r="S23" s="72">
        <f>+SUMIFS(사진대지!$R:$R,사진대지!$Q:$Q,"="&amp;$B23,사진대지!$Z:$Z,"="&amp;S$4)</f>
        <v>0</v>
      </c>
      <c r="T23" s="72">
        <f>+SUMIFS(사진대지!$R:$R,사진대지!$Q:$Q,"="&amp;$B23,사진대지!$Z:$Z,"="&amp;T$4)</f>
        <v>0</v>
      </c>
      <c r="U23" s="72">
        <f>+SUMIFS(사진대지!$R:$R,사진대지!$Q:$Q,"="&amp;$B23,사진대지!$Z:$Z,"="&amp;U$4)</f>
        <v>0</v>
      </c>
      <c r="V23" s="78"/>
      <c r="W23" s="81" t="str">
        <f t="shared" si="6"/>
        <v>금속관입상80</v>
      </c>
      <c r="X23" s="97">
        <f t="shared" si="7"/>
        <v>0</v>
      </c>
      <c r="Y23" s="75"/>
      <c r="Z23" s="75"/>
      <c r="AA23" s="82" t="str">
        <f t="shared" si="8"/>
        <v>금속관입상80</v>
      </c>
      <c r="AB23" s="101">
        <f>누계!L23+X23</f>
        <v>0</v>
      </c>
    </row>
    <row r="24" spans="1:28" s="25" customFormat="1" ht="20.100000000000001" customHeight="1" x14ac:dyDescent="0.3">
      <c r="A24" s="5"/>
      <c r="B24" s="28" t="s">
        <v>8</v>
      </c>
      <c r="C24" s="71">
        <f>+SUMIFS(사진대지!$R:$R,사진대지!$Q:$Q,"="&amp;$B24,사진대지!$Z:$Z,"="&amp;C$4)</f>
        <v>0</v>
      </c>
      <c r="D24" s="71">
        <f>+SUMIFS(사진대지!$R:$R,사진대지!$Q:$Q,"="&amp;$B24,사진대지!$Z:$Z,"="&amp;D$4)</f>
        <v>0</v>
      </c>
      <c r="E24" s="72">
        <f>+SUMIFS(사진대지!$R:$R,사진대지!$Q:$Q,"="&amp;$B24,사진대지!$Z:$Z,"="&amp;E$4)</f>
        <v>0</v>
      </c>
      <c r="F24" s="72">
        <f>+SUMIFS(사진대지!$R:$R,사진대지!$Q:$Q,"="&amp;$B24,사진대지!$Z:$Z,"="&amp;F$4)</f>
        <v>0</v>
      </c>
      <c r="G24" s="72">
        <f>+SUMIFS(사진대지!$R:$R,사진대지!$Q:$Q,"="&amp;$B24,사진대지!$Z:$Z,"="&amp;G$4)</f>
        <v>0</v>
      </c>
      <c r="H24" s="72">
        <f>+SUMIFS(사진대지!$R:$R,사진대지!$Q:$Q,"="&amp;$B24,사진대지!$Z:$Z,"="&amp;H$4)</f>
        <v>0</v>
      </c>
      <c r="I24" s="72">
        <f>+SUMIFS(사진대지!$R:$R,사진대지!$Q:$Q,"="&amp;$B24,사진대지!$Z:$Z,"="&amp;I$4)</f>
        <v>0</v>
      </c>
      <c r="J24" s="72">
        <f>+SUMIFS(사진대지!$R:$R,사진대지!$Q:$Q,"="&amp;$B24,사진대지!$Z:$Z,"="&amp;J$4)</f>
        <v>0</v>
      </c>
      <c r="K24" s="72">
        <f>+SUMIFS(사진대지!$R:$R,사진대지!$Q:$Q,"="&amp;$B24,사진대지!$Z:$Z,"="&amp;K$4)</f>
        <v>0</v>
      </c>
      <c r="L24" s="72">
        <f>+SUMIFS(사진대지!$R:$R,사진대지!$Q:$Q,"="&amp;$B24,사진대지!$Z:$Z,"="&amp;L$4)</f>
        <v>0</v>
      </c>
      <c r="M24" s="72">
        <f>+SUMIFS(사진대지!$R:$R,사진대지!$Q:$Q,"="&amp;$B24,사진대지!$Z:$Z,"="&amp;M$4)</f>
        <v>0</v>
      </c>
      <c r="N24" s="72">
        <f>+SUMIFS(사진대지!$R:$R,사진대지!$Q:$Q,"="&amp;$B24,사진대지!$Z:$Z,"="&amp;N$4)</f>
        <v>0</v>
      </c>
      <c r="O24" s="72">
        <f>+SUMIFS(사진대지!$R:$R,사진대지!$Q:$Q,"="&amp;$B24,사진대지!$Z:$Z,"="&amp;O$4)</f>
        <v>0</v>
      </c>
      <c r="P24" s="72">
        <f>+SUMIFS(사진대지!$R:$R,사진대지!$Q:$Q,"="&amp;$B24,사진대지!$Z:$Z,"="&amp;P$4)</f>
        <v>0</v>
      </c>
      <c r="Q24" s="72">
        <f>+SUMIFS(사진대지!$R:$R,사진대지!$Q:$Q,"="&amp;$B24,사진대지!$Z:$Z,"="&amp;Q$4)</f>
        <v>0</v>
      </c>
      <c r="R24" s="72">
        <f>+SUMIFS(사진대지!$R:$R,사진대지!$Q:$Q,"="&amp;$B24,사진대지!$Z:$Z,"="&amp;R$4)</f>
        <v>0</v>
      </c>
      <c r="S24" s="72">
        <f>+SUMIFS(사진대지!$R:$R,사진대지!$Q:$Q,"="&amp;$B24,사진대지!$Z:$Z,"="&amp;S$4)</f>
        <v>0</v>
      </c>
      <c r="T24" s="72">
        <f>+SUMIFS(사진대지!$R:$R,사진대지!$Q:$Q,"="&amp;$B24,사진대지!$Z:$Z,"="&amp;T$4)</f>
        <v>0</v>
      </c>
      <c r="U24" s="72">
        <f>+SUMIFS(사진대지!$R:$R,사진대지!$Q:$Q,"="&amp;$B24,사진대지!$Z:$Z,"="&amp;U$4)</f>
        <v>0</v>
      </c>
      <c r="V24" s="78"/>
      <c r="W24" s="81" t="str">
        <f t="shared" si="6"/>
        <v>금속관입상100</v>
      </c>
      <c r="X24" s="97">
        <f t="shared" si="7"/>
        <v>0</v>
      </c>
      <c r="Y24" s="75"/>
      <c r="Z24" s="75"/>
      <c r="AA24" s="82" t="str">
        <f t="shared" si="8"/>
        <v>금속관입상100</v>
      </c>
      <c r="AB24" s="101">
        <f>누계!L24+X24</f>
        <v>0</v>
      </c>
    </row>
    <row r="25" spans="1:28" s="25" customFormat="1" ht="20.100000000000001" customHeight="1" x14ac:dyDescent="0.3">
      <c r="A25" s="5"/>
      <c r="B25" s="28" t="s">
        <v>9</v>
      </c>
      <c r="C25" s="71">
        <f>+SUMIFS(사진대지!$R:$R,사진대지!$Q:$Q,"="&amp;$B25,사진대지!$Z:$Z,"="&amp;C$4)</f>
        <v>0</v>
      </c>
      <c r="D25" s="71">
        <f>+SUMIFS(사진대지!$R:$R,사진대지!$Q:$Q,"="&amp;$B25,사진대지!$Z:$Z,"="&amp;D$4)</f>
        <v>0</v>
      </c>
      <c r="E25" s="72">
        <f>+SUMIFS(사진대지!$R:$R,사진대지!$Q:$Q,"="&amp;$B25,사진대지!$Z:$Z,"="&amp;E$4)</f>
        <v>0</v>
      </c>
      <c r="F25" s="72">
        <f>+SUMIFS(사진대지!$R:$R,사진대지!$Q:$Q,"="&amp;$B25,사진대지!$Z:$Z,"="&amp;F$4)</f>
        <v>0</v>
      </c>
      <c r="G25" s="72">
        <f>+SUMIFS(사진대지!$R:$R,사진대지!$Q:$Q,"="&amp;$B25,사진대지!$Z:$Z,"="&amp;G$4)</f>
        <v>0</v>
      </c>
      <c r="H25" s="72">
        <f>+SUMIFS(사진대지!$R:$R,사진대지!$Q:$Q,"="&amp;$B25,사진대지!$Z:$Z,"="&amp;H$4)</f>
        <v>0</v>
      </c>
      <c r="I25" s="72">
        <f>+SUMIFS(사진대지!$R:$R,사진대지!$Q:$Q,"="&amp;$B25,사진대지!$Z:$Z,"="&amp;I$4)</f>
        <v>0</v>
      </c>
      <c r="J25" s="72">
        <f>+SUMIFS(사진대지!$R:$R,사진대지!$Q:$Q,"="&amp;$B25,사진대지!$Z:$Z,"="&amp;J$4)</f>
        <v>0</v>
      </c>
      <c r="K25" s="72">
        <f>+SUMIFS(사진대지!$R:$R,사진대지!$Q:$Q,"="&amp;$B25,사진대지!$Z:$Z,"="&amp;K$4)</f>
        <v>0</v>
      </c>
      <c r="L25" s="72">
        <f>+SUMIFS(사진대지!$R:$R,사진대지!$Q:$Q,"="&amp;$B25,사진대지!$Z:$Z,"="&amp;L$4)</f>
        <v>0</v>
      </c>
      <c r="M25" s="72">
        <f>+SUMIFS(사진대지!$R:$R,사진대지!$Q:$Q,"="&amp;$B25,사진대지!$Z:$Z,"="&amp;M$4)</f>
        <v>0</v>
      </c>
      <c r="N25" s="72">
        <f>+SUMIFS(사진대지!$R:$R,사진대지!$Q:$Q,"="&amp;$B25,사진대지!$Z:$Z,"="&amp;N$4)</f>
        <v>0</v>
      </c>
      <c r="O25" s="72">
        <f>+SUMIFS(사진대지!$R:$R,사진대지!$Q:$Q,"="&amp;$B25,사진대지!$Z:$Z,"="&amp;O$4)</f>
        <v>0</v>
      </c>
      <c r="P25" s="72">
        <f>+SUMIFS(사진대지!$R:$R,사진대지!$Q:$Q,"="&amp;$B25,사진대지!$Z:$Z,"="&amp;P$4)</f>
        <v>0</v>
      </c>
      <c r="Q25" s="72">
        <f>+SUMIFS(사진대지!$R:$R,사진대지!$Q:$Q,"="&amp;$B25,사진대지!$Z:$Z,"="&amp;Q$4)</f>
        <v>0</v>
      </c>
      <c r="R25" s="72">
        <f>+SUMIFS(사진대지!$R:$R,사진대지!$Q:$Q,"="&amp;$B25,사진대지!$Z:$Z,"="&amp;R$4)</f>
        <v>0</v>
      </c>
      <c r="S25" s="72">
        <f>+SUMIFS(사진대지!$R:$R,사진대지!$Q:$Q,"="&amp;$B25,사진대지!$Z:$Z,"="&amp;S$4)</f>
        <v>0</v>
      </c>
      <c r="T25" s="72">
        <f>+SUMIFS(사진대지!$R:$R,사진대지!$Q:$Q,"="&amp;$B25,사진대지!$Z:$Z,"="&amp;T$4)</f>
        <v>0</v>
      </c>
      <c r="U25" s="72">
        <f>+SUMIFS(사진대지!$R:$R,사진대지!$Q:$Q,"="&amp;$B25,사진대지!$Z:$Z,"="&amp;U$4)</f>
        <v>0</v>
      </c>
      <c r="V25" s="78"/>
      <c r="W25" s="81" t="str">
        <f t="shared" si="6"/>
        <v>금속관입상125</v>
      </c>
      <c r="X25" s="97">
        <f t="shared" si="7"/>
        <v>0</v>
      </c>
      <c r="Y25" s="75"/>
      <c r="Z25" s="75"/>
      <c r="AA25" s="82" t="str">
        <f t="shared" si="8"/>
        <v>금속관입상125</v>
      </c>
      <c r="AB25" s="101">
        <f>누계!L25+X25</f>
        <v>0</v>
      </c>
    </row>
    <row r="26" spans="1:28" ht="20.100000000000001" customHeight="1" x14ac:dyDescent="0.3">
      <c r="A26" s="5"/>
      <c r="B26" s="28" t="s">
        <v>10</v>
      </c>
      <c r="C26" s="71">
        <f>+SUMIFS(사진대지!$R:$R,사진대지!$Q:$Q,"="&amp;$B26,사진대지!$Z:$Z,"="&amp;C$4)</f>
        <v>0</v>
      </c>
      <c r="D26" s="71">
        <f>+SUMIFS(사진대지!$R:$R,사진대지!$Q:$Q,"="&amp;$B26,사진대지!$Z:$Z,"="&amp;D$4)</f>
        <v>0</v>
      </c>
      <c r="E26" s="72">
        <f>+SUMIFS(사진대지!$R:$R,사진대지!$Q:$Q,"="&amp;$B26,사진대지!$Z:$Z,"="&amp;E$4)</f>
        <v>0</v>
      </c>
      <c r="F26" s="72">
        <f>+SUMIFS(사진대지!$R:$R,사진대지!$Q:$Q,"="&amp;$B26,사진대지!$Z:$Z,"="&amp;F$4)</f>
        <v>0</v>
      </c>
      <c r="G26" s="72">
        <f>+SUMIFS(사진대지!$R:$R,사진대지!$Q:$Q,"="&amp;$B26,사진대지!$Z:$Z,"="&amp;G$4)</f>
        <v>0</v>
      </c>
      <c r="H26" s="72">
        <f>+SUMIFS(사진대지!$R:$R,사진대지!$Q:$Q,"="&amp;$B26,사진대지!$Z:$Z,"="&amp;H$4)</f>
        <v>0</v>
      </c>
      <c r="I26" s="72">
        <f>+SUMIFS(사진대지!$R:$R,사진대지!$Q:$Q,"="&amp;$B26,사진대지!$Z:$Z,"="&amp;I$4)</f>
        <v>0</v>
      </c>
      <c r="J26" s="72">
        <f>+SUMIFS(사진대지!$R:$R,사진대지!$Q:$Q,"="&amp;$B26,사진대지!$Z:$Z,"="&amp;J$4)</f>
        <v>0</v>
      </c>
      <c r="K26" s="72">
        <f>+SUMIFS(사진대지!$R:$R,사진대지!$Q:$Q,"="&amp;$B26,사진대지!$Z:$Z,"="&amp;K$4)</f>
        <v>0</v>
      </c>
      <c r="L26" s="72">
        <f>+SUMIFS(사진대지!$R:$R,사진대지!$Q:$Q,"="&amp;$B26,사진대지!$Z:$Z,"="&amp;L$4)</f>
        <v>0</v>
      </c>
      <c r="M26" s="72">
        <f>+SUMIFS(사진대지!$R:$R,사진대지!$Q:$Q,"="&amp;$B26,사진대지!$Z:$Z,"="&amp;M$4)</f>
        <v>0</v>
      </c>
      <c r="N26" s="72">
        <f>+SUMIFS(사진대지!$R:$R,사진대지!$Q:$Q,"="&amp;$B26,사진대지!$Z:$Z,"="&amp;N$4)</f>
        <v>0</v>
      </c>
      <c r="O26" s="72">
        <f>+SUMIFS(사진대지!$R:$R,사진대지!$Q:$Q,"="&amp;$B26,사진대지!$Z:$Z,"="&amp;O$4)</f>
        <v>0</v>
      </c>
      <c r="P26" s="72">
        <f>+SUMIFS(사진대지!$R:$R,사진대지!$Q:$Q,"="&amp;$B26,사진대지!$Z:$Z,"="&amp;P$4)</f>
        <v>0</v>
      </c>
      <c r="Q26" s="72">
        <f>+SUMIFS(사진대지!$R:$R,사진대지!$Q:$Q,"="&amp;$B26,사진대지!$Z:$Z,"="&amp;Q$4)</f>
        <v>0</v>
      </c>
      <c r="R26" s="72">
        <f>+SUMIFS(사진대지!$R:$R,사진대지!$Q:$Q,"="&amp;$B26,사진대지!$Z:$Z,"="&amp;R$4)</f>
        <v>0</v>
      </c>
      <c r="S26" s="72">
        <f>+SUMIFS(사진대지!$R:$R,사진대지!$Q:$Q,"="&amp;$B26,사진대지!$Z:$Z,"="&amp;S$4)</f>
        <v>0</v>
      </c>
      <c r="T26" s="72">
        <f>+SUMIFS(사진대지!$R:$R,사진대지!$Q:$Q,"="&amp;$B26,사진대지!$Z:$Z,"="&amp;T$4)</f>
        <v>0</v>
      </c>
      <c r="U26" s="72">
        <f>+SUMIFS(사진대지!$R:$R,사진대지!$Q:$Q,"="&amp;$B26,사진대지!$Z:$Z,"="&amp;U$4)</f>
        <v>0</v>
      </c>
      <c r="V26" s="78"/>
      <c r="W26" s="81" t="str">
        <f t="shared" si="0"/>
        <v>금속관입상150</v>
      </c>
      <c r="X26" s="97">
        <f t="shared" si="1"/>
        <v>0</v>
      </c>
      <c r="Y26" s="75"/>
      <c r="Z26" s="75"/>
      <c r="AA26" s="82" t="str">
        <f t="shared" si="2"/>
        <v>금속관입상150</v>
      </c>
      <c r="AB26" s="101">
        <f>누계!L26+X26</f>
        <v>0</v>
      </c>
    </row>
    <row r="27" spans="1:28" ht="20.100000000000001" customHeight="1" x14ac:dyDescent="0.3">
      <c r="A27" s="5"/>
      <c r="B27" s="28" t="s">
        <v>11</v>
      </c>
      <c r="C27" s="71">
        <f>+SUMIFS(사진대지!$R:$R,사진대지!$Q:$Q,"="&amp;$B27,사진대지!$Z:$Z,"="&amp;C$4)</f>
        <v>0</v>
      </c>
      <c r="D27" s="71">
        <f>+SUMIFS(사진대지!$R:$R,사진대지!$Q:$Q,"="&amp;$B27,사진대지!$Z:$Z,"="&amp;D$4)</f>
        <v>0</v>
      </c>
      <c r="E27" s="72">
        <f>+SUMIFS(사진대지!$R:$R,사진대지!$Q:$Q,"="&amp;$B27,사진대지!$Z:$Z,"="&amp;E$4)</f>
        <v>0</v>
      </c>
      <c r="F27" s="72">
        <f>+SUMIFS(사진대지!$R:$R,사진대지!$Q:$Q,"="&amp;$B27,사진대지!$Z:$Z,"="&amp;F$4)</f>
        <v>0</v>
      </c>
      <c r="G27" s="72">
        <f>+SUMIFS(사진대지!$R:$R,사진대지!$Q:$Q,"="&amp;$B27,사진대지!$Z:$Z,"="&amp;G$4)</f>
        <v>0</v>
      </c>
      <c r="H27" s="72">
        <f>+SUMIFS(사진대지!$R:$R,사진대지!$Q:$Q,"="&amp;$B27,사진대지!$Z:$Z,"="&amp;H$4)</f>
        <v>0</v>
      </c>
      <c r="I27" s="72">
        <f>+SUMIFS(사진대지!$R:$R,사진대지!$Q:$Q,"="&amp;$B27,사진대지!$Z:$Z,"="&amp;I$4)</f>
        <v>0</v>
      </c>
      <c r="J27" s="72">
        <f>+SUMIFS(사진대지!$R:$R,사진대지!$Q:$Q,"="&amp;$B27,사진대지!$Z:$Z,"="&amp;J$4)</f>
        <v>0</v>
      </c>
      <c r="K27" s="72">
        <f>+SUMIFS(사진대지!$R:$R,사진대지!$Q:$Q,"="&amp;$B27,사진대지!$Z:$Z,"="&amp;K$4)</f>
        <v>0</v>
      </c>
      <c r="L27" s="72">
        <f>+SUMIFS(사진대지!$R:$R,사진대지!$Q:$Q,"="&amp;$B27,사진대지!$Z:$Z,"="&amp;L$4)</f>
        <v>0</v>
      </c>
      <c r="M27" s="72">
        <f>+SUMIFS(사진대지!$R:$R,사진대지!$Q:$Q,"="&amp;$B27,사진대지!$Z:$Z,"="&amp;M$4)</f>
        <v>0</v>
      </c>
      <c r="N27" s="72">
        <f>+SUMIFS(사진대지!$R:$R,사진대지!$Q:$Q,"="&amp;$B27,사진대지!$Z:$Z,"="&amp;N$4)</f>
        <v>0</v>
      </c>
      <c r="O27" s="72">
        <f>+SUMIFS(사진대지!$R:$R,사진대지!$Q:$Q,"="&amp;$B27,사진대지!$Z:$Z,"="&amp;O$4)</f>
        <v>0</v>
      </c>
      <c r="P27" s="72">
        <f>+SUMIFS(사진대지!$R:$R,사진대지!$Q:$Q,"="&amp;$B27,사진대지!$Z:$Z,"="&amp;P$4)</f>
        <v>0</v>
      </c>
      <c r="Q27" s="72">
        <f>+SUMIFS(사진대지!$R:$R,사진대지!$Q:$Q,"="&amp;$B27,사진대지!$Z:$Z,"="&amp;Q$4)</f>
        <v>0</v>
      </c>
      <c r="R27" s="72">
        <f>+SUMIFS(사진대지!$R:$R,사진대지!$Q:$Q,"="&amp;$B27,사진대지!$Z:$Z,"="&amp;R$4)</f>
        <v>0</v>
      </c>
      <c r="S27" s="72">
        <f>+SUMIFS(사진대지!$R:$R,사진대지!$Q:$Q,"="&amp;$B27,사진대지!$Z:$Z,"="&amp;S$4)</f>
        <v>0</v>
      </c>
      <c r="T27" s="72">
        <f>+SUMIFS(사진대지!$R:$R,사진대지!$Q:$Q,"="&amp;$B27,사진대지!$Z:$Z,"="&amp;T$4)</f>
        <v>0</v>
      </c>
      <c r="U27" s="72">
        <f>+SUMIFS(사진대지!$R:$R,사진대지!$Q:$Q,"="&amp;$B27,사진대지!$Z:$Z,"="&amp;U$4)</f>
        <v>0</v>
      </c>
      <c r="V27" s="78"/>
      <c r="W27" s="81" t="str">
        <f t="shared" si="0"/>
        <v>금속관입상200</v>
      </c>
      <c r="X27" s="97">
        <f t="shared" si="1"/>
        <v>0</v>
      </c>
      <c r="Y27" s="75"/>
      <c r="Z27" s="75"/>
      <c r="AA27" s="82" t="str">
        <f t="shared" si="2"/>
        <v>금속관입상200</v>
      </c>
      <c r="AB27" s="101">
        <f>누계!L27+X27</f>
        <v>0</v>
      </c>
    </row>
    <row r="28" spans="1:28" ht="20.100000000000001" customHeight="1" x14ac:dyDescent="0.3">
      <c r="A28" s="5"/>
      <c r="B28" s="28" t="s">
        <v>12</v>
      </c>
      <c r="C28" s="71">
        <f>+SUMIFS(사진대지!$R:$R,사진대지!$Q:$Q,"="&amp;$B28,사진대지!$Z:$Z,"="&amp;C$4)</f>
        <v>0</v>
      </c>
      <c r="D28" s="71">
        <f>+SUMIFS(사진대지!$R:$R,사진대지!$Q:$Q,"="&amp;$B28,사진대지!$Z:$Z,"="&amp;D$4)</f>
        <v>0</v>
      </c>
      <c r="E28" s="72">
        <f>+SUMIFS(사진대지!$R:$R,사진대지!$Q:$Q,"="&amp;$B28,사진대지!$Z:$Z,"="&amp;E$4)</f>
        <v>0</v>
      </c>
      <c r="F28" s="72">
        <f>+SUMIFS(사진대지!$R:$R,사진대지!$Q:$Q,"="&amp;$B28,사진대지!$Z:$Z,"="&amp;F$4)</f>
        <v>0</v>
      </c>
      <c r="G28" s="72">
        <f>+SUMIFS(사진대지!$R:$R,사진대지!$Q:$Q,"="&amp;$B28,사진대지!$Z:$Z,"="&amp;G$4)</f>
        <v>0</v>
      </c>
      <c r="H28" s="72">
        <f>+SUMIFS(사진대지!$R:$R,사진대지!$Q:$Q,"="&amp;$B28,사진대지!$Z:$Z,"="&amp;H$4)</f>
        <v>0</v>
      </c>
      <c r="I28" s="72">
        <f>+SUMIFS(사진대지!$R:$R,사진대지!$Q:$Q,"="&amp;$B28,사진대지!$Z:$Z,"="&amp;I$4)</f>
        <v>0</v>
      </c>
      <c r="J28" s="72">
        <f>+SUMIFS(사진대지!$R:$R,사진대지!$Q:$Q,"="&amp;$B28,사진대지!$Z:$Z,"="&amp;J$4)</f>
        <v>0</v>
      </c>
      <c r="K28" s="72">
        <f>+SUMIFS(사진대지!$R:$R,사진대지!$Q:$Q,"="&amp;$B28,사진대지!$Z:$Z,"="&amp;K$4)</f>
        <v>0</v>
      </c>
      <c r="L28" s="72">
        <f>+SUMIFS(사진대지!$R:$R,사진대지!$Q:$Q,"="&amp;$B28,사진대지!$Z:$Z,"="&amp;L$4)</f>
        <v>0</v>
      </c>
      <c r="M28" s="72">
        <f>+SUMIFS(사진대지!$R:$R,사진대지!$Q:$Q,"="&amp;$B28,사진대지!$Z:$Z,"="&amp;M$4)</f>
        <v>0</v>
      </c>
      <c r="N28" s="72">
        <f>+SUMIFS(사진대지!$R:$R,사진대지!$Q:$Q,"="&amp;$B28,사진대지!$Z:$Z,"="&amp;N$4)</f>
        <v>0</v>
      </c>
      <c r="O28" s="72">
        <f>+SUMIFS(사진대지!$R:$R,사진대지!$Q:$Q,"="&amp;$B28,사진대지!$Z:$Z,"="&amp;O$4)</f>
        <v>0</v>
      </c>
      <c r="P28" s="72">
        <f>+SUMIFS(사진대지!$R:$R,사진대지!$Q:$Q,"="&amp;$B28,사진대지!$Z:$Z,"="&amp;P$4)</f>
        <v>0</v>
      </c>
      <c r="Q28" s="72">
        <f>+SUMIFS(사진대지!$R:$R,사진대지!$Q:$Q,"="&amp;$B28,사진대지!$Z:$Z,"="&amp;Q$4)</f>
        <v>0</v>
      </c>
      <c r="R28" s="72">
        <f>+SUMIFS(사진대지!$R:$R,사진대지!$Q:$Q,"="&amp;$B28,사진대지!$Z:$Z,"="&amp;R$4)</f>
        <v>0</v>
      </c>
      <c r="S28" s="72">
        <f>+SUMIFS(사진대지!$R:$R,사진대지!$Q:$Q,"="&amp;$B28,사진대지!$Z:$Z,"="&amp;S$4)</f>
        <v>0</v>
      </c>
      <c r="T28" s="72">
        <f>+SUMIFS(사진대지!$R:$R,사진대지!$Q:$Q,"="&amp;$B28,사진대지!$Z:$Z,"="&amp;T$4)</f>
        <v>0</v>
      </c>
      <c r="U28" s="72">
        <f>+SUMIFS(사진대지!$R:$R,사진대지!$Q:$Q,"="&amp;$B28,사진대지!$Z:$Z,"="&amp;U$4)</f>
        <v>0</v>
      </c>
      <c r="V28" s="78"/>
      <c r="W28" s="81" t="str">
        <f t="shared" si="0"/>
        <v>금속관입상250</v>
      </c>
      <c r="X28" s="97">
        <f t="shared" si="1"/>
        <v>0</v>
      </c>
      <c r="Y28" s="75"/>
      <c r="Z28" s="75"/>
      <c r="AA28" s="82" t="str">
        <f t="shared" si="2"/>
        <v>금속관입상250</v>
      </c>
      <c r="AB28" s="101">
        <f>누계!L28+X28</f>
        <v>0</v>
      </c>
    </row>
    <row r="29" spans="1:28" ht="20.100000000000001" customHeight="1" x14ac:dyDescent="0.3">
      <c r="A29" s="5"/>
      <c r="B29" s="28" t="s">
        <v>13</v>
      </c>
      <c r="C29" s="71">
        <f>+SUMIFS(사진대지!$R:$R,사진대지!$Q:$Q,"="&amp;$B29,사진대지!$Z:$Z,"="&amp;C$4)</f>
        <v>0</v>
      </c>
      <c r="D29" s="71">
        <f>+SUMIFS(사진대지!$R:$R,사진대지!$Q:$Q,"="&amp;$B29,사진대지!$Z:$Z,"="&amp;D$4)</f>
        <v>0</v>
      </c>
      <c r="E29" s="72">
        <f>+SUMIFS(사진대지!$R:$R,사진대지!$Q:$Q,"="&amp;$B29,사진대지!$Z:$Z,"="&amp;E$4)</f>
        <v>0</v>
      </c>
      <c r="F29" s="72">
        <f>+SUMIFS(사진대지!$R:$R,사진대지!$Q:$Q,"="&amp;$B29,사진대지!$Z:$Z,"="&amp;F$4)</f>
        <v>0</v>
      </c>
      <c r="G29" s="72">
        <f>+SUMIFS(사진대지!$R:$R,사진대지!$Q:$Q,"="&amp;$B29,사진대지!$Z:$Z,"="&amp;G$4)</f>
        <v>0</v>
      </c>
      <c r="H29" s="72">
        <f>+SUMIFS(사진대지!$R:$R,사진대지!$Q:$Q,"="&amp;$B29,사진대지!$Z:$Z,"="&amp;H$4)</f>
        <v>0</v>
      </c>
      <c r="I29" s="72">
        <f>+SUMIFS(사진대지!$R:$R,사진대지!$Q:$Q,"="&amp;$B29,사진대지!$Z:$Z,"="&amp;I$4)</f>
        <v>0</v>
      </c>
      <c r="J29" s="72">
        <f>+SUMIFS(사진대지!$R:$R,사진대지!$Q:$Q,"="&amp;$B29,사진대지!$Z:$Z,"="&amp;J$4)</f>
        <v>0</v>
      </c>
      <c r="K29" s="72">
        <f>+SUMIFS(사진대지!$R:$R,사진대지!$Q:$Q,"="&amp;$B29,사진대지!$Z:$Z,"="&amp;K$4)</f>
        <v>0</v>
      </c>
      <c r="L29" s="72">
        <f>+SUMIFS(사진대지!$R:$R,사진대지!$Q:$Q,"="&amp;$B29,사진대지!$Z:$Z,"="&amp;L$4)</f>
        <v>0</v>
      </c>
      <c r="M29" s="72">
        <f>+SUMIFS(사진대지!$R:$R,사진대지!$Q:$Q,"="&amp;$B29,사진대지!$Z:$Z,"="&amp;M$4)</f>
        <v>0</v>
      </c>
      <c r="N29" s="72">
        <f>+SUMIFS(사진대지!$R:$R,사진대지!$Q:$Q,"="&amp;$B29,사진대지!$Z:$Z,"="&amp;N$4)</f>
        <v>0</v>
      </c>
      <c r="O29" s="72">
        <f>+SUMIFS(사진대지!$R:$R,사진대지!$Q:$Q,"="&amp;$B29,사진대지!$Z:$Z,"="&amp;O$4)</f>
        <v>0</v>
      </c>
      <c r="P29" s="72">
        <f>+SUMIFS(사진대지!$R:$R,사진대지!$Q:$Q,"="&amp;$B29,사진대지!$Z:$Z,"="&amp;P$4)</f>
        <v>0</v>
      </c>
      <c r="Q29" s="72">
        <f>+SUMIFS(사진대지!$R:$R,사진대지!$Q:$Q,"="&amp;$B29,사진대지!$Z:$Z,"="&amp;Q$4)</f>
        <v>0</v>
      </c>
      <c r="R29" s="72">
        <f>+SUMIFS(사진대지!$R:$R,사진대지!$Q:$Q,"="&amp;$B29,사진대지!$Z:$Z,"="&amp;R$4)</f>
        <v>0</v>
      </c>
      <c r="S29" s="72">
        <f>+SUMIFS(사진대지!$R:$R,사진대지!$Q:$Q,"="&amp;$B29,사진대지!$Z:$Z,"="&amp;S$4)</f>
        <v>0</v>
      </c>
      <c r="T29" s="72">
        <f>+SUMIFS(사진대지!$R:$R,사진대지!$Q:$Q,"="&amp;$B29,사진대지!$Z:$Z,"="&amp;T$4)</f>
        <v>0</v>
      </c>
      <c r="U29" s="72">
        <f>+SUMIFS(사진대지!$R:$R,사진대지!$Q:$Q,"="&amp;$B29,사진대지!$Z:$Z,"="&amp;U$4)</f>
        <v>0</v>
      </c>
      <c r="V29" s="78"/>
      <c r="W29" s="81" t="str">
        <f t="shared" si="0"/>
        <v>금속관입상300</v>
      </c>
      <c r="X29" s="97">
        <f t="shared" si="1"/>
        <v>0</v>
      </c>
      <c r="Y29" s="75"/>
      <c r="Z29" s="75"/>
      <c r="AA29" s="82" t="str">
        <f t="shared" si="2"/>
        <v>금속관입상300</v>
      </c>
      <c r="AB29" s="101">
        <f>누계!L29+X29</f>
        <v>0</v>
      </c>
    </row>
    <row r="30" spans="1:28" ht="20.100000000000001" customHeight="1" x14ac:dyDescent="0.3">
      <c r="A30" s="5"/>
      <c r="B30" s="28" t="s">
        <v>52</v>
      </c>
      <c r="C30" s="71">
        <f>+SUMIFS(사진대지!$R:$R,사진대지!$Q:$Q,"="&amp;$B30,사진대지!$Z:$Z,"="&amp;C$4)</f>
        <v>0</v>
      </c>
      <c r="D30" s="71">
        <f>+SUMIFS(사진대지!$R:$R,사진대지!$Q:$Q,"="&amp;$B30,사진대지!$Z:$Z,"="&amp;D$4)</f>
        <v>0</v>
      </c>
      <c r="E30" s="72">
        <f>+SUMIFS(사진대지!$R:$R,사진대지!$Q:$Q,"="&amp;$B30,사진대지!$Z:$Z,"="&amp;E$4)</f>
        <v>0</v>
      </c>
      <c r="F30" s="72">
        <f>+SUMIFS(사진대지!$R:$R,사진대지!$Q:$Q,"="&amp;$B30,사진대지!$Z:$Z,"="&amp;F$4)</f>
        <v>0</v>
      </c>
      <c r="G30" s="72">
        <f>+SUMIFS(사진대지!$R:$R,사진대지!$Q:$Q,"="&amp;$B30,사진대지!$Z:$Z,"="&amp;G$4)</f>
        <v>0</v>
      </c>
      <c r="H30" s="72">
        <f>+SUMIFS(사진대지!$R:$R,사진대지!$Q:$Q,"="&amp;$B30,사진대지!$Z:$Z,"="&amp;H$4)</f>
        <v>0</v>
      </c>
      <c r="I30" s="72">
        <f>+SUMIFS(사진대지!$R:$R,사진대지!$Q:$Q,"="&amp;$B30,사진대지!$Z:$Z,"="&amp;I$4)</f>
        <v>0</v>
      </c>
      <c r="J30" s="72">
        <f>+SUMIFS(사진대지!$R:$R,사진대지!$Q:$Q,"="&amp;$B30,사진대지!$Z:$Z,"="&amp;J$4)</f>
        <v>0</v>
      </c>
      <c r="K30" s="72">
        <f>+SUMIFS(사진대지!$R:$R,사진대지!$Q:$Q,"="&amp;$B30,사진대지!$Z:$Z,"="&amp;K$4)</f>
        <v>0</v>
      </c>
      <c r="L30" s="72">
        <f>+SUMIFS(사진대지!$R:$R,사진대지!$Q:$Q,"="&amp;$B30,사진대지!$Z:$Z,"="&amp;L$4)</f>
        <v>0</v>
      </c>
      <c r="M30" s="72">
        <f>+SUMIFS(사진대지!$R:$R,사진대지!$Q:$Q,"="&amp;$B30,사진대지!$Z:$Z,"="&amp;M$4)</f>
        <v>0</v>
      </c>
      <c r="N30" s="72">
        <f>+SUMIFS(사진대지!$R:$R,사진대지!$Q:$Q,"="&amp;$B30,사진대지!$Z:$Z,"="&amp;N$4)</f>
        <v>0</v>
      </c>
      <c r="O30" s="72">
        <f>+SUMIFS(사진대지!$R:$R,사진대지!$Q:$Q,"="&amp;$B30,사진대지!$Z:$Z,"="&amp;O$4)</f>
        <v>0</v>
      </c>
      <c r="P30" s="72">
        <f>+SUMIFS(사진대지!$R:$R,사진대지!$Q:$Q,"="&amp;$B30,사진대지!$Z:$Z,"="&amp;P$4)</f>
        <v>0</v>
      </c>
      <c r="Q30" s="72">
        <f>+SUMIFS(사진대지!$R:$R,사진대지!$Q:$Q,"="&amp;$B30,사진대지!$Z:$Z,"="&amp;Q$4)</f>
        <v>0</v>
      </c>
      <c r="R30" s="72">
        <f>+SUMIFS(사진대지!$R:$R,사진대지!$Q:$Q,"="&amp;$B30,사진대지!$Z:$Z,"="&amp;R$4)</f>
        <v>0</v>
      </c>
      <c r="S30" s="72">
        <f>+SUMIFS(사진대지!$R:$R,사진대지!$Q:$Q,"="&amp;$B30,사진대지!$Z:$Z,"="&amp;S$4)</f>
        <v>0</v>
      </c>
      <c r="T30" s="72">
        <f>+SUMIFS(사진대지!$R:$R,사진대지!$Q:$Q,"="&amp;$B30,사진대지!$Z:$Z,"="&amp;T$4)</f>
        <v>0</v>
      </c>
      <c r="U30" s="72">
        <f>+SUMIFS(사진대지!$R:$R,사진대지!$Q:$Q,"="&amp;$B30,사진대지!$Z:$Z,"="&amp;U$4)</f>
        <v>0</v>
      </c>
      <c r="V30" s="78"/>
      <c r="W30" s="81" t="str">
        <f t="shared" si="0"/>
        <v>금속관입상350</v>
      </c>
      <c r="X30" s="97">
        <f t="shared" si="1"/>
        <v>0</v>
      </c>
      <c r="Y30" s="75"/>
      <c r="Z30" s="75"/>
      <c r="AA30" s="82" t="str">
        <f t="shared" si="2"/>
        <v>금속관입상350</v>
      </c>
      <c r="AB30" s="101">
        <f>누계!L30+X30</f>
        <v>0</v>
      </c>
    </row>
    <row r="31" spans="1:28" ht="20.100000000000001" customHeight="1" x14ac:dyDescent="0.3">
      <c r="A31" s="5"/>
      <c r="B31" s="28" t="s">
        <v>14</v>
      </c>
      <c r="C31" s="71">
        <f>+SUMIFS(사진대지!$R:$R,사진대지!$Q:$Q,"="&amp;$B31,사진대지!$Z:$Z,"="&amp;C$4)</f>
        <v>0</v>
      </c>
      <c r="D31" s="71">
        <f>+SUMIFS(사진대지!$R:$R,사진대지!$Q:$Q,"="&amp;$B31,사진대지!$Z:$Z,"="&amp;D$4)</f>
        <v>0</v>
      </c>
      <c r="E31" s="72">
        <f>+SUMIFS(사진대지!$R:$R,사진대지!$Q:$Q,"="&amp;$B31,사진대지!$Z:$Z,"="&amp;E$4)</f>
        <v>0</v>
      </c>
      <c r="F31" s="72">
        <f>+SUMIFS(사진대지!$R:$R,사진대지!$Q:$Q,"="&amp;$B31,사진대지!$Z:$Z,"="&amp;F$4)</f>
        <v>0</v>
      </c>
      <c r="G31" s="72">
        <f>+SUMIFS(사진대지!$R:$R,사진대지!$Q:$Q,"="&amp;$B31,사진대지!$Z:$Z,"="&amp;G$4)</f>
        <v>0</v>
      </c>
      <c r="H31" s="72">
        <f>+SUMIFS(사진대지!$R:$R,사진대지!$Q:$Q,"="&amp;$B31,사진대지!$Z:$Z,"="&amp;H$4)</f>
        <v>0</v>
      </c>
      <c r="I31" s="72">
        <f>+SUMIFS(사진대지!$R:$R,사진대지!$Q:$Q,"="&amp;$B31,사진대지!$Z:$Z,"="&amp;I$4)</f>
        <v>0</v>
      </c>
      <c r="J31" s="72">
        <f>+SUMIFS(사진대지!$R:$R,사진대지!$Q:$Q,"="&amp;$B31,사진대지!$Z:$Z,"="&amp;J$4)</f>
        <v>0</v>
      </c>
      <c r="K31" s="72">
        <f>+SUMIFS(사진대지!$R:$R,사진대지!$Q:$Q,"="&amp;$B31,사진대지!$Z:$Z,"="&amp;K$4)</f>
        <v>0</v>
      </c>
      <c r="L31" s="72">
        <f>+SUMIFS(사진대지!$R:$R,사진대지!$Q:$Q,"="&amp;$B31,사진대지!$Z:$Z,"="&amp;L$4)</f>
        <v>0</v>
      </c>
      <c r="M31" s="72">
        <f>+SUMIFS(사진대지!$R:$R,사진대지!$Q:$Q,"="&amp;$B31,사진대지!$Z:$Z,"="&amp;M$4)</f>
        <v>0</v>
      </c>
      <c r="N31" s="72">
        <f>+SUMIFS(사진대지!$R:$R,사진대지!$Q:$Q,"="&amp;$B31,사진대지!$Z:$Z,"="&amp;N$4)</f>
        <v>0</v>
      </c>
      <c r="O31" s="72">
        <f>+SUMIFS(사진대지!$R:$R,사진대지!$Q:$Q,"="&amp;$B31,사진대지!$Z:$Z,"="&amp;O$4)</f>
        <v>0</v>
      </c>
      <c r="P31" s="72">
        <f>+SUMIFS(사진대지!$R:$R,사진대지!$Q:$Q,"="&amp;$B31,사진대지!$Z:$Z,"="&amp;P$4)</f>
        <v>0</v>
      </c>
      <c r="Q31" s="72">
        <f>+SUMIFS(사진대지!$R:$R,사진대지!$Q:$Q,"="&amp;$B31,사진대지!$Z:$Z,"="&amp;Q$4)</f>
        <v>0</v>
      </c>
      <c r="R31" s="72">
        <f>+SUMIFS(사진대지!$R:$R,사진대지!$Q:$Q,"="&amp;$B31,사진대지!$Z:$Z,"="&amp;R$4)</f>
        <v>0</v>
      </c>
      <c r="S31" s="72">
        <f>+SUMIFS(사진대지!$R:$R,사진대지!$Q:$Q,"="&amp;$B31,사진대지!$Z:$Z,"="&amp;S$4)</f>
        <v>0</v>
      </c>
      <c r="T31" s="72">
        <f>+SUMIFS(사진대지!$R:$R,사진대지!$Q:$Q,"="&amp;$B31,사진대지!$Z:$Z,"="&amp;T$4)</f>
        <v>0</v>
      </c>
      <c r="U31" s="72">
        <f>+SUMIFS(사진대지!$R:$R,사진대지!$Q:$Q,"="&amp;$B31,사진대지!$Z:$Z,"="&amp;U$4)</f>
        <v>0</v>
      </c>
      <c r="V31" s="78"/>
      <c r="W31" s="81" t="str">
        <f t="shared" si="0"/>
        <v>금속관입상400</v>
      </c>
      <c r="X31" s="97">
        <f t="shared" si="1"/>
        <v>0</v>
      </c>
      <c r="Y31" s="75"/>
      <c r="Z31" s="75"/>
      <c r="AA31" s="82" t="str">
        <f t="shared" si="2"/>
        <v>금속관입상400</v>
      </c>
      <c r="AB31" s="101">
        <f>누계!L31+X31</f>
        <v>0</v>
      </c>
    </row>
    <row r="32" spans="1:28" s="25" customFormat="1" ht="20.100000000000001" customHeight="1" x14ac:dyDescent="0.3">
      <c r="A32" s="5"/>
      <c r="B32" s="28" t="s">
        <v>53</v>
      </c>
      <c r="C32" s="71">
        <f>+SUMIFS(사진대지!$R:$R,사진대지!$Q:$Q,"="&amp;$B32,사진대지!$Z:$Z,"="&amp;C$4)</f>
        <v>0</v>
      </c>
      <c r="D32" s="71">
        <f>+SUMIFS(사진대지!$R:$R,사진대지!$Q:$Q,"="&amp;$B32,사진대지!$Z:$Z,"="&amp;D$4)</f>
        <v>0</v>
      </c>
      <c r="E32" s="72">
        <f>+SUMIFS(사진대지!$R:$R,사진대지!$Q:$Q,"="&amp;$B32,사진대지!$Z:$Z,"="&amp;E$4)</f>
        <v>0</v>
      </c>
      <c r="F32" s="72">
        <f>+SUMIFS(사진대지!$R:$R,사진대지!$Q:$Q,"="&amp;$B32,사진대지!$Z:$Z,"="&amp;F$4)</f>
        <v>0</v>
      </c>
      <c r="G32" s="72">
        <f>+SUMIFS(사진대지!$R:$R,사진대지!$Q:$Q,"="&amp;$B32,사진대지!$Z:$Z,"="&amp;G$4)</f>
        <v>0</v>
      </c>
      <c r="H32" s="72">
        <f>+SUMIFS(사진대지!$R:$R,사진대지!$Q:$Q,"="&amp;$B32,사진대지!$Z:$Z,"="&amp;H$4)</f>
        <v>0</v>
      </c>
      <c r="I32" s="72">
        <f>+SUMIFS(사진대지!$R:$R,사진대지!$Q:$Q,"="&amp;$B32,사진대지!$Z:$Z,"="&amp;I$4)</f>
        <v>0</v>
      </c>
      <c r="J32" s="72">
        <f>+SUMIFS(사진대지!$R:$R,사진대지!$Q:$Q,"="&amp;$B32,사진대지!$Z:$Z,"="&amp;J$4)</f>
        <v>0</v>
      </c>
      <c r="K32" s="72">
        <f>+SUMIFS(사진대지!$R:$R,사진대지!$Q:$Q,"="&amp;$B32,사진대지!$Z:$Z,"="&amp;K$4)</f>
        <v>0</v>
      </c>
      <c r="L32" s="72">
        <f>+SUMIFS(사진대지!$R:$R,사진대지!$Q:$Q,"="&amp;$B32,사진대지!$Z:$Z,"="&amp;L$4)</f>
        <v>0</v>
      </c>
      <c r="M32" s="72">
        <f>+SUMIFS(사진대지!$R:$R,사진대지!$Q:$Q,"="&amp;$B32,사진대지!$Z:$Z,"="&amp;M$4)</f>
        <v>0</v>
      </c>
      <c r="N32" s="72">
        <f>+SUMIFS(사진대지!$R:$R,사진대지!$Q:$Q,"="&amp;$B32,사진대지!$Z:$Z,"="&amp;N$4)</f>
        <v>0</v>
      </c>
      <c r="O32" s="72">
        <f>+SUMIFS(사진대지!$R:$R,사진대지!$Q:$Q,"="&amp;$B32,사진대지!$Z:$Z,"="&amp;O$4)</f>
        <v>0</v>
      </c>
      <c r="P32" s="72">
        <f>+SUMIFS(사진대지!$R:$R,사진대지!$Q:$Q,"="&amp;$B32,사진대지!$Z:$Z,"="&amp;P$4)</f>
        <v>0</v>
      </c>
      <c r="Q32" s="72">
        <f>+SUMIFS(사진대지!$R:$R,사진대지!$Q:$Q,"="&amp;$B32,사진대지!$Z:$Z,"="&amp;Q$4)</f>
        <v>0</v>
      </c>
      <c r="R32" s="72">
        <f>+SUMIFS(사진대지!$R:$R,사진대지!$Q:$Q,"="&amp;$B32,사진대지!$Z:$Z,"="&amp;R$4)</f>
        <v>0</v>
      </c>
      <c r="S32" s="72">
        <f>+SUMIFS(사진대지!$R:$R,사진대지!$Q:$Q,"="&amp;$B32,사진대지!$Z:$Z,"="&amp;S$4)</f>
        <v>0</v>
      </c>
      <c r="T32" s="72">
        <f>+SUMIFS(사진대지!$R:$R,사진대지!$Q:$Q,"="&amp;$B32,사진대지!$Z:$Z,"="&amp;T$4)</f>
        <v>0</v>
      </c>
      <c r="U32" s="72">
        <f>+SUMIFS(사진대지!$R:$R,사진대지!$Q:$Q,"="&amp;$B32,사진대지!$Z:$Z,"="&amp;U$4)</f>
        <v>0</v>
      </c>
      <c r="V32" s="78"/>
      <c r="W32" s="81" t="str">
        <f t="shared" ref="W32" si="9">B32</f>
        <v>금속관입상450</v>
      </c>
      <c r="X32" s="97">
        <f t="shared" ref="X32" si="10">+SUM(C32:U32)</f>
        <v>0</v>
      </c>
      <c r="Y32" s="75"/>
      <c r="Z32" s="75"/>
      <c r="AA32" s="82" t="str">
        <f t="shared" ref="AA32" si="11">W32</f>
        <v>금속관입상450</v>
      </c>
      <c r="AB32" s="101">
        <f>누계!L32+X32</f>
        <v>0</v>
      </c>
    </row>
    <row r="33" spans="1:28" ht="20.100000000000001" customHeight="1" x14ac:dyDescent="0.3">
      <c r="A33" s="5"/>
      <c r="B33" s="28" t="s">
        <v>98</v>
      </c>
      <c r="C33" s="71">
        <f>+SUMIFS(사진대지!$R:$R,사진대지!$Q:$Q,"="&amp;$B33,사진대지!$Z:$Z,"="&amp;C$4)</f>
        <v>0</v>
      </c>
      <c r="D33" s="71">
        <f>+SUMIFS(사진대지!$R:$R,사진대지!$Q:$Q,"="&amp;$B33,사진대지!$Z:$Z,"="&amp;D$4)</f>
        <v>0</v>
      </c>
      <c r="E33" s="72">
        <f>+SUMIFS(사진대지!$R:$R,사진대지!$Q:$Q,"="&amp;$B33,사진대지!$Z:$Z,"="&amp;E$4)</f>
        <v>0</v>
      </c>
      <c r="F33" s="72">
        <f>+SUMIFS(사진대지!$R:$R,사진대지!$Q:$Q,"="&amp;$B33,사진대지!$Z:$Z,"="&amp;F$4)</f>
        <v>0</v>
      </c>
      <c r="G33" s="72">
        <f>+SUMIFS(사진대지!$R:$R,사진대지!$Q:$Q,"="&amp;$B33,사진대지!$Z:$Z,"="&amp;G$4)</f>
        <v>0</v>
      </c>
      <c r="H33" s="72">
        <f>+SUMIFS(사진대지!$R:$R,사진대지!$Q:$Q,"="&amp;$B33,사진대지!$Z:$Z,"="&amp;H$4)</f>
        <v>0</v>
      </c>
      <c r="I33" s="72">
        <f>+SUMIFS(사진대지!$R:$R,사진대지!$Q:$Q,"="&amp;$B33,사진대지!$Z:$Z,"="&amp;I$4)</f>
        <v>0</v>
      </c>
      <c r="J33" s="72">
        <f>+SUMIFS(사진대지!$R:$R,사진대지!$Q:$Q,"="&amp;$B33,사진대지!$Z:$Z,"="&amp;J$4)</f>
        <v>0</v>
      </c>
      <c r="K33" s="72">
        <f>+SUMIFS(사진대지!$R:$R,사진대지!$Q:$Q,"="&amp;$B33,사진대지!$Z:$Z,"="&amp;K$4)</f>
        <v>0</v>
      </c>
      <c r="L33" s="72">
        <f>+SUMIFS(사진대지!$R:$R,사진대지!$Q:$Q,"="&amp;$B33,사진대지!$Z:$Z,"="&amp;L$4)</f>
        <v>0</v>
      </c>
      <c r="M33" s="72">
        <f>+SUMIFS(사진대지!$R:$R,사진대지!$Q:$Q,"="&amp;$B33,사진대지!$Z:$Z,"="&amp;M$4)</f>
        <v>0</v>
      </c>
      <c r="N33" s="72">
        <f>+SUMIFS(사진대지!$R:$R,사진대지!$Q:$Q,"="&amp;$B33,사진대지!$Z:$Z,"="&amp;N$4)</f>
        <v>0</v>
      </c>
      <c r="O33" s="72">
        <f>+SUMIFS(사진대지!$R:$R,사진대지!$Q:$Q,"="&amp;$B33,사진대지!$Z:$Z,"="&amp;O$4)</f>
        <v>0</v>
      </c>
      <c r="P33" s="72">
        <f>+SUMIFS(사진대지!$R:$R,사진대지!$Q:$Q,"="&amp;$B33,사진대지!$Z:$Z,"="&amp;P$4)</f>
        <v>0</v>
      </c>
      <c r="Q33" s="72">
        <f>+SUMIFS(사진대지!$R:$R,사진대지!$Q:$Q,"="&amp;$B33,사진대지!$Z:$Z,"="&amp;Q$4)</f>
        <v>0</v>
      </c>
      <c r="R33" s="72">
        <f>+SUMIFS(사진대지!$R:$R,사진대지!$Q:$Q,"="&amp;$B33,사진대지!$Z:$Z,"="&amp;R$4)</f>
        <v>0</v>
      </c>
      <c r="S33" s="72">
        <f>+SUMIFS(사진대지!$R:$R,사진대지!$Q:$Q,"="&amp;$B33,사진대지!$Z:$Z,"="&amp;S$4)</f>
        <v>0</v>
      </c>
      <c r="T33" s="72">
        <f>+SUMIFS(사진대지!$R:$R,사진대지!$Q:$Q,"="&amp;$B33,사진대지!$Z:$Z,"="&amp;T$4)</f>
        <v>0</v>
      </c>
      <c r="U33" s="72">
        <f>+SUMIFS(사진대지!$R:$R,사진대지!$Q:$Q,"="&amp;$B33,사진대지!$Z:$Z,"="&amp;U$4)</f>
        <v>0</v>
      </c>
      <c r="V33" s="78"/>
      <c r="W33" s="81" t="str">
        <f t="shared" si="0"/>
        <v>금속관입상500</v>
      </c>
      <c r="X33" s="97">
        <f t="shared" si="1"/>
        <v>0</v>
      </c>
      <c r="Y33" s="75"/>
      <c r="Z33" s="75"/>
      <c r="AA33" s="82" t="str">
        <f t="shared" si="2"/>
        <v>금속관입상500</v>
      </c>
      <c r="AB33" s="101">
        <f>누계!L33+X33</f>
        <v>0</v>
      </c>
    </row>
    <row r="34" spans="1:28" s="25" customFormat="1" ht="20.100000000000001" customHeight="1" x14ac:dyDescent="0.3">
      <c r="A34" s="5"/>
      <c r="B34" s="28" t="s">
        <v>89</v>
      </c>
      <c r="C34" s="71">
        <f>+SUMIFS(사진대지!$R:$R,사진대지!$Q:$Q,"="&amp;$B34,사진대지!$Z:$Z,"="&amp;C$4)</f>
        <v>0</v>
      </c>
      <c r="D34" s="71">
        <f>+SUMIFS(사진대지!$R:$R,사진대지!$Q:$Q,"="&amp;$B34,사진대지!$Z:$Z,"="&amp;D$4)</f>
        <v>0</v>
      </c>
      <c r="E34" s="72">
        <f>+SUMIFS(사진대지!$R:$R,사진대지!$Q:$Q,"="&amp;$B34,사진대지!$Z:$Z,"="&amp;E$4)</f>
        <v>0</v>
      </c>
      <c r="F34" s="72">
        <f>+SUMIFS(사진대지!$R:$R,사진대지!$Q:$Q,"="&amp;$B34,사진대지!$Z:$Z,"="&amp;F$4)</f>
        <v>0</v>
      </c>
      <c r="G34" s="72">
        <f>+SUMIFS(사진대지!$R:$R,사진대지!$Q:$Q,"="&amp;$B34,사진대지!$Z:$Z,"="&amp;G$4)</f>
        <v>0</v>
      </c>
      <c r="H34" s="72">
        <f>+SUMIFS(사진대지!$R:$R,사진대지!$Q:$Q,"="&amp;$B34,사진대지!$Z:$Z,"="&amp;H$4)</f>
        <v>0</v>
      </c>
      <c r="I34" s="72">
        <f>+SUMIFS(사진대지!$R:$R,사진대지!$Q:$Q,"="&amp;$B34,사진대지!$Z:$Z,"="&amp;I$4)</f>
        <v>0</v>
      </c>
      <c r="J34" s="72">
        <f>+SUMIFS(사진대지!$R:$R,사진대지!$Q:$Q,"="&amp;$B34,사진대지!$Z:$Z,"="&amp;J$4)</f>
        <v>0</v>
      </c>
      <c r="K34" s="72">
        <f>+SUMIFS(사진대지!$R:$R,사진대지!$Q:$Q,"="&amp;$B34,사진대지!$Z:$Z,"="&amp;K$4)</f>
        <v>0</v>
      </c>
      <c r="L34" s="72">
        <f>+SUMIFS(사진대지!$R:$R,사진대지!$Q:$Q,"="&amp;$B34,사진대지!$Z:$Z,"="&amp;L$4)</f>
        <v>0</v>
      </c>
      <c r="M34" s="72">
        <f>+SUMIFS(사진대지!$R:$R,사진대지!$Q:$Q,"="&amp;$B34,사진대지!$Z:$Z,"="&amp;M$4)</f>
        <v>0</v>
      </c>
      <c r="N34" s="72">
        <f>+SUMIFS(사진대지!$R:$R,사진대지!$Q:$Q,"="&amp;$B34,사진대지!$Z:$Z,"="&amp;N$4)</f>
        <v>0</v>
      </c>
      <c r="O34" s="72">
        <f>+SUMIFS(사진대지!$R:$R,사진대지!$Q:$Q,"="&amp;$B34,사진대지!$Z:$Z,"="&amp;O$4)</f>
        <v>0</v>
      </c>
      <c r="P34" s="72">
        <f>+SUMIFS(사진대지!$R:$R,사진대지!$Q:$Q,"="&amp;$B34,사진대지!$Z:$Z,"="&amp;P$4)</f>
        <v>0</v>
      </c>
      <c r="Q34" s="72">
        <f>+SUMIFS(사진대지!$R:$R,사진대지!$Q:$Q,"="&amp;$B34,사진대지!$Z:$Z,"="&amp;Q$4)</f>
        <v>0</v>
      </c>
      <c r="R34" s="72">
        <f>+SUMIFS(사진대지!$R:$R,사진대지!$Q:$Q,"="&amp;$B34,사진대지!$Z:$Z,"="&amp;R$4)</f>
        <v>0</v>
      </c>
      <c r="S34" s="72">
        <f>+SUMIFS(사진대지!$R:$R,사진대지!$Q:$Q,"="&amp;$B34,사진대지!$Z:$Z,"="&amp;S$4)</f>
        <v>0</v>
      </c>
      <c r="T34" s="72">
        <f>+SUMIFS(사진대지!$R:$R,사진대지!$Q:$Q,"="&amp;$B34,사진대지!$Z:$Z,"="&amp;T$4)</f>
        <v>0</v>
      </c>
      <c r="U34" s="72">
        <f>+SUMIFS(사진대지!$R:$R,사진대지!$Q:$Q,"="&amp;$B34,사진대지!$Z:$Z,"="&amp;U$4)</f>
        <v>0</v>
      </c>
      <c r="V34" s="78"/>
      <c r="W34" s="81" t="str">
        <f t="shared" ref="W34" si="12">B34</f>
        <v>스파이럴입상100</v>
      </c>
      <c r="X34" s="97">
        <f t="shared" ref="X34" si="13">+SUM(C34:U34)</f>
        <v>0</v>
      </c>
      <c r="Y34" s="75"/>
      <c r="Z34" s="75"/>
      <c r="AA34" s="82" t="str">
        <f t="shared" ref="AA34" si="14">W34</f>
        <v>스파이럴입상100</v>
      </c>
      <c r="AB34" s="101">
        <f>누계!L34+X34</f>
        <v>0</v>
      </c>
    </row>
    <row r="35" spans="1:28" ht="20.100000000000001" customHeight="1" x14ac:dyDescent="0.3">
      <c r="A35" s="5"/>
      <c r="B35" s="28" t="s">
        <v>60</v>
      </c>
      <c r="C35" s="71">
        <f>+SUMIFS(사진대지!$R:$R,사진대지!$Q:$Q,"="&amp;$B35,사진대지!$Z:$Z,"="&amp;C$4)</f>
        <v>0</v>
      </c>
      <c r="D35" s="71">
        <f>+SUMIFS(사진대지!$R:$R,사진대지!$Q:$Q,"="&amp;$B35,사진대지!$Z:$Z,"="&amp;D$4)</f>
        <v>0</v>
      </c>
      <c r="E35" s="72">
        <f>+SUMIFS(사진대지!$R:$R,사진대지!$Q:$Q,"="&amp;$B35,사진대지!$Z:$Z,"="&amp;E$4)</f>
        <v>0</v>
      </c>
      <c r="F35" s="72">
        <f>+SUMIFS(사진대지!$R:$R,사진대지!$Q:$Q,"="&amp;$B35,사진대지!$Z:$Z,"="&amp;F$4)</f>
        <v>0</v>
      </c>
      <c r="G35" s="72">
        <f>+SUMIFS(사진대지!$R:$R,사진대지!$Q:$Q,"="&amp;$B35,사진대지!$Z:$Z,"="&amp;G$4)</f>
        <v>0</v>
      </c>
      <c r="H35" s="72">
        <f>+SUMIFS(사진대지!$R:$R,사진대지!$Q:$Q,"="&amp;$B35,사진대지!$Z:$Z,"="&amp;H$4)</f>
        <v>0</v>
      </c>
      <c r="I35" s="72">
        <f>+SUMIFS(사진대지!$R:$R,사진대지!$Q:$Q,"="&amp;$B35,사진대지!$Z:$Z,"="&amp;I$4)</f>
        <v>0</v>
      </c>
      <c r="J35" s="72">
        <f>+SUMIFS(사진대지!$R:$R,사진대지!$Q:$Q,"="&amp;$B35,사진대지!$Z:$Z,"="&amp;J$4)</f>
        <v>0</v>
      </c>
      <c r="K35" s="72">
        <f>+SUMIFS(사진대지!$R:$R,사진대지!$Q:$Q,"="&amp;$B35,사진대지!$Z:$Z,"="&amp;K$4)</f>
        <v>0</v>
      </c>
      <c r="L35" s="72">
        <f>+SUMIFS(사진대지!$R:$R,사진대지!$Q:$Q,"="&amp;$B35,사진대지!$Z:$Z,"="&amp;L$4)</f>
        <v>0</v>
      </c>
      <c r="M35" s="72">
        <f>+SUMIFS(사진대지!$R:$R,사진대지!$Q:$Q,"="&amp;$B35,사진대지!$Z:$Z,"="&amp;M$4)</f>
        <v>0</v>
      </c>
      <c r="N35" s="72">
        <f>+SUMIFS(사진대지!$R:$R,사진대지!$Q:$Q,"="&amp;$B35,사진대지!$Z:$Z,"="&amp;N$4)</f>
        <v>0</v>
      </c>
      <c r="O35" s="72">
        <f>+SUMIFS(사진대지!$R:$R,사진대지!$Q:$Q,"="&amp;$B35,사진대지!$Z:$Z,"="&amp;O$4)</f>
        <v>0</v>
      </c>
      <c r="P35" s="72">
        <f>+SUMIFS(사진대지!$R:$R,사진대지!$Q:$Q,"="&amp;$B35,사진대지!$Z:$Z,"="&amp;P$4)</f>
        <v>0</v>
      </c>
      <c r="Q35" s="72">
        <f>+SUMIFS(사진대지!$R:$R,사진대지!$Q:$Q,"="&amp;$B35,사진대지!$Z:$Z,"="&amp;Q$4)</f>
        <v>0</v>
      </c>
      <c r="R35" s="72">
        <f>+SUMIFS(사진대지!$R:$R,사진대지!$Q:$Q,"="&amp;$B35,사진대지!$Z:$Z,"="&amp;R$4)</f>
        <v>0</v>
      </c>
      <c r="S35" s="72">
        <f>+SUMIFS(사진대지!$R:$R,사진대지!$Q:$Q,"="&amp;$B35,사진대지!$Z:$Z,"="&amp;S$4)</f>
        <v>0</v>
      </c>
      <c r="T35" s="72">
        <f>+SUMIFS(사진대지!$R:$R,사진대지!$Q:$Q,"="&amp;$B35,사진대지!$Z:$Z,"="&amp;T$4)</f>
        <v>0</v>
      </c>
      <c r="U35" s="72">
        <f>+SUMIFS(사진대지!$R:$R,사진대지!$Q:$Q,"="&amp;$B35,사진대지!$Z:$Z,"="&amp;U$4)</f>
        <v>0</v>
      </c>
      <c r="V35" s="78"/>
      <c r="W35" s="81" t="str">
        <f>B35</f>
        <v>스파이럴입상150</v>
      </c>
      <c r="X35" s="97">
        <f>+SUM(C35:U35)</f>
        <v>0</v>
      </c>
      <c r="Y35" s="75"/>
      <c r="Z35" s="75"/>
      <c r="AA35" s="82" t="str">
        <f>W35</f>
        <v>스파이럴입상150</v>
      </c>
      <c r="AB35" s="101">
        <f>누계!L35+X35</f>
        <v>0</v>
      </c>
    </row>
    <row r="36" spans="1:28" s="25" customFormat="1" ht="20.100000000000001" customHeight="1" x14ac:dyDescent="0.3">
      <c r="A36" s="5"/>
      <c r="B36" s="28" t="s">
        <v>61</v>
      </c>
      <c r="C36" s="71">
        <f>+SUMIFS(사진대지!$R:$R,사진대지!$Q:$Q,"="&amp;$B36,사진대지!$Z:$Z,"="&amp;C$4)</f>
        <v>0</v>
      </c>
      <c r="D36" s="71">
        <f>+SUMIFS(사진대지!$R:$R,사진대지!$Q:$Q,"="&amp;$B36,사진대지!$Z:$Z,"="&amp;D$4)</f>
        <v>0</v>
      </c>
      <c r="E36" s="72">
        <f>+SUMIFS(사진대지!$R:$R,사진대지!$Q:$Q,"="&amp;$B36,사진대지!$Z:$Z,"="&amp;E$4)</f>
        <v>0</v>
      </c>
      <c r="F36" s="72">
        <f>+SUMIFS(사진대지!$R:$R,사진대지!$Q:$Q,"="&amp;$B36,사진대지!$Z:$Z,"="&amp;F$4)</f>
        <v>0</v>
      </c>
      <c r="G36" s="72">
        <f>+SUMIFS(사진대지!$R:$R,사진대지!$Q:$Q,"="&amp;$B36,사진대지!$Z:$Z,"="&amp;G$4)</f>
        <v>0</v>
      </c>
      <c r="H36" s="72">
        <f>+SUMIFS(사진대지!$R:$R,사진대지!$Q:$Q,"="&amp;$B36,사진대지!$Z:$Z,"="&amp;H$4)</f>
        <v>0</v>
      </c>
      <c r="I36" s="72">
        <f>+SUMIFS(사진대지!$R:$R,사진대지!$Q:$Q,"="&amp;$B36,사진대지!$Z:$Z,"="&amp;I$4)</f>
        <v>0</v>
      </c>
      <c r="J36" s="72">
        <f>+SUMIFS(사진대지!$R:$R,사진대지!$Q:$Q,"="&amp;$B36,사진대지!$Z:$Z,"="&amp;J$4)</f>
        <v>0</v>
      </c>
      <c r="K36" s="72">
        <f>+SUMIFS(사진대지!$R:$R,사진대지!$Q:$Q,"="&amp;$B36,사진대지!$Z:$Z,"="&amp;K$4)</f>
        <v>0</v>
      </c>
      <c r="L36" s="72">
        <f>+SUMIFS(사진대지!$R:$R,사진대지!$Q:$Q,"="&amp;$B36,사진대지!$Z:$Z,"="&amp;L$4)</f>
        <v>0</v>
      </c>
      <c r="M36" s="72">
        <f>+SUMIFS(사진대지!$R:$R,사진대지!$Q:$Q,"="&amp;$B36,사진대지!$Z:$Z,"="&amp;M$4)</f>
        <v>0</v>
      </c>
      <c r="N36" s="72">
        <f>+SUMIFS(사진대지!$R:$R,사진대지!$Q:$Q,"="&amp;$B36,사진대지!$Z:$Z,"="&amp;N$4)</f>
        <v>0</v>
      </c>
      <c r="O36" s="72">
        <f>+SUMIFS(사진대지!$R:$R,사진대지!$Q:$Q,"="&amp;$B36,사진대지!$Z:$Z,"="&amp;O$4)</f>
        <v>0</v>
      </c>
      <c r="P36" s="72">
        <f>+SUMIFS(사진대지!$R:$R,사진대지!$Q:$Q,"="&amp;$B36,사진대지!$Z:$Z,"="&amp;P$4)</f>
        <v>0</v>
      </c>
      <c r="Q36" s="72">
        <f>+SUMIFS(사진대지!$R:$R,사진대지!$Q:$Q,"="&amp;$B36,사진대지!$Z:$Z,"="&amp;Q$4)</f>
        <v>0</v>
      </c>
      <c r="R36" s="72">
        <f>+SUMIFS(사진대지!$R:$R,사진대지!$Q:$Q,"="&amp;$B36,사진대지!$Z:$Z,"="&amp;R$4)</f>
        <v>0</v>
      </c>
      <c r="S36" s="72">
        <f>+SUMIFS(사진대지!$R:$R,사진대지!$Q:$Q,"="&amp;$B36,사진대지!$Z:$Z,"="&amp;S$4)</f>
        <v>0</v>
      </c>
      <c r="T36" s="72">
        <f>+SUMIFS(사진대지!$R:$R,사진대지!$Q:$Q,"="&amp;$B36,사진대지!$Z:$Z,"="&amp;T$4)</f>
        <v>0</v>
      </c>
      <c r="U36" s="72">
        <f>+SUMIFS(사진대지!$R:$R,사진대지!$Q:$Q,"="&amp;$B36,사진대지!$Z:$Z,"="&amp;U$4)</f>
        <v>0</v>
      </c>
      <c r="V36" s="78"/>
      <c r="W36" s="81" t="str">
        <f>B36</f>
        <v>스파이럴입상200</v>
      </c>
      <c r="X36" s="97">
        <f>+SUM(C36:U36)</f>
        <v>0</v>
      </c>
      <c r="Y36" s="75"/>
      <c r="Z36" s="75"/>
      <c r="AA36" s="82" t="str">
        <f>W36</f>
        <v>스파이럴입상200</v>
      </c>
      <c r="AB36" s="101">
        <f>누계!L36+X36</f>
        <v>0</v>
      </c>
    </row>
    <row r="37" spans="1:28" s="25" customFormat="1" ht="20.100000000000001" customHeight="1" x14ac:dyDescent="0.3">
      <c r="A37" s="5"/>
      <c r="B37" s="28" t="s">
        <v>87</v>
      </c>
      <c r="C37" s="71">
        <f>+SUMIFS(사진대지!$R:$R,사진대지!$Q:$Q,"="&amp;$B37,사진대지!$Z:$Z,"="&amp;C$4)</f>
        <v>0</v>
      </c>
      <c r="D37" s="71">
        <f>+SUMIFS(사진대지!$R:$R,사진대지!$Q:$Q,"="&amp;$B37,사진대지!$Z:$Z,"="&amp;D$4)</f>
        <v>0</v>
      </c>
      <c r="E37" s="72">
        <f>+SUMIFS(사진대지!$R:$R,사진대지!$Q:$Q,"="&amp;$B37,사진대지!$Z:$Z,"="&amp;E$4)</f>
        <v>0</v>
      </c>
      <c r="F37" s="72">
        <f>+SUMIFS(사진대지!$R:$R,사진대지!$Q:$Q,"="&amp;$B37,사진대지!$Z:$Z,"="&amp;F$4)</f>
        <v>0</v>
      </c>
      <c r="G37" s="72">
        <f>+SUMIFS(사진대지!$R:$R,사진대지!$Q:$Q,"="&amp;$B37,사진대지!$Z:$Z,"="&amp;G$4)</f>
        <v>0</v>
      </c>
      <c r="H37" s="72">
        <f>+SUMIFS(사진대지!$R:$R,사진대지!$Q:$Q,"="&amp;$B37,사진대지!$Z:$Z,"="&amp;H$4)</f>
        <v>0</v>
      </c>
      <c r="I37" s="72">
        <f>+SUMIFS(사진대지!$R:$R,사진대지!$Q:$Q,"="&amp;$B37,사진대지!$Z:$Z,"="&amp;I$4)</f>
        <v>0</v>
      </c>
      <c r="J37" s="72">
        <f>+SUMIFS(사진대지!$R:$R,사진대지!$Q:$Q,"="&amp;$B37,사진대지!$Z:$Z,"="&amp;J$4)</f>
        <v>0</v>
      </c>
      <c r="K37" s="72">
        <f>+SUMIFS(사진대지!$R:$R,사진대지!$Q:$Q,"="&amp;$B37,사진대지!$Z:$Z,"="&amp;K$4)</f>
        <v>0</v>
      </c>
      <c r="L37" s="72">
        <f>+SUMIFS(사진대지!$R:$R,사진대지!$Q:$Q,"="&amp;$B37,사진대지!$Z:$Z,"="&amp;L$4)</f>
        <v>0</v>
      </c>
      <c r="M37" s="72">
        <f>+SUMIFS(사진대지!$R:$R,사진대지!$Q:$Q,"="&amp;$B37,사진대지!$Z:$Z,"="&amp;M$4)</f>
        <v>0</v>
      </c>
      <c r="N37" s="72">
        <f>+SUMIFS(사진대지!$R:$R,사진대지!$Q:$Q,"="&amp;$B37,사진대지!$Z:$Z,"="&amp;N$4)</f>
        <v>0</v>
      </c>
      <c r="O37" s="72">
        <f>+SUMIFS(사진대지!$R:$R,사진대지!$Q:$Q,"="&amp;$B37,사진대지!$Z:$Z,"="&amp;O$4)</f>
        <v>0</v>
      </c>
      <c r="P37" s="72">
        <f>+SUMIFS(사진대지!$R:$R,사진대지!$Q:$Q,"="&amp;$B37,사진대지!$Z:$Z,"="&amp;P$4)</f>
        <v>0</v>
      </c>
      <c r="Q37" s="72">
        <f>+SUMIFS(사진대지!$R:$R,사진대지!$Q:$Q,"="&amp;$B37,사진대지!$Z:$Z,"="&amp;Q$4)</f>
        <v>0</v>
      </c>
      <c r="R37" s="72">
        <f>+SUMIFS(사진대지!$R:$R,사진대지!$Q:$Q,"="&amp;$B37,사진대지!$Z:$Z,"="&amp;R$4)</f>
        <v>0</v>
      </c>
      <c r="S37" s="72">
        <f>+SUMIFS(사진대지!$R:$R,사진대지!$Q:$Q,"="&amp;$B37,사진대지!$Z:$Z,"="&amp;S$4)</f>
        <v>0</v>
      </c>
      <c r="T37" s="72">
        <f>+SUMIFS(사진대지!$R:$R,사진대지!$Q:$Q,"="&amp;$B37,사진대지!$Z:$Z,"="&amp;T$4)</f>
        <v>0</v>
      </c>
      <c r="U37" s="72">
        <f>+SUMIFS(사진대지!$R:$R,사진대지!$Q:$Q,"="&amp;$B37,사진대지!$Z:$Z,"="&amp;U$4)</f>
        <v>0</v>
      </c>
      <c r="V37" s="78"/>
      <c r="W37" s="81" t="str">
        <f t="shared" ref="W37" si="15">B37</f>
        <v>스파이럴입상250</v>
      </c>
      <c r="X37" s="97">
        <f t="shared" ref="X37" si="16">+SUM(C37:U37)</f>
        <v>0</v>
      </c>
      <c r="Y37" s="75"/>
      <c r="Z37" s="75"/>
      <c r="AA37" s="82" t="str">
        <f t="shared" ref="AA37" si="17">W37</f>
        <v>스파이럴입상250</v>
      </c>
      <c r="AB37" s="101">
        <f>누계!L37+X37</f>
        <v>0</v>
      </c>
    </row>
    <row r="38" spans="1:28" ht="20.100000000000001" customHeight="1" x14ac:dyDescent="0.3">
      <c r="A38" s="5"/>
      <c r="B38" s="28" t="s">
        <v>88</v>
      </c>
      <c r="C38" s="71">
        <f>+SUMIFS(사진대지!$R:$R,사진대지!$Q:$Q,"="&amp;$B38,사진대지!$Z:$Z,"="&amp;C$4)</f>
        <v>0</v>
      </c>
      <c r="D38" s="71">
        <f>+SUMIFS(사진대지!$R:$R,사진대지!$Q:$Q,"="&amp;$B38,사진대지!$Z:$Z,"="&amp;D$4)</f>
        <v>0</v>
      </c>
      <c r="E38" s="72">
        <f>+SUMIFS(사진대지!$R:$R,사진대지!$Q:$Q,"="&amp;$B38,사진대지!$Z:$Z,"="&amp;E$4)</f>
        <v>0</v>
      </c>
      <c r="F38" s="72">
        <f>+SUMIFS(사진대지!$R:$R,사진대지!$Q:$Q,"="&amp;$B38,사진대지!$Z:$Z,"="&amp;F$4)</f>
        <v>0</v>
      </c>
      <c r="G38" s="72">
        <f>+SUMIFS(사진대지!$R:$R,사진대지!$Q:$Q,"="&amp;$B38,사진대지!$Z:$Z,"="&amp;G$4)</f>
        <v>0</v>
      </c>
      <c r="H38" s="72">
        <f>+SUMIFS(사진대지!$R:$R,사진대지!$Q:$Q,"="&amp;$B38,사진대지!$Z:$Z,"="&amp;H$4)</f>
        <v>0</v>
      </c>
      <c r="I38" s="72">
        <f>+SUMIFS(사진대지!$R:$R,사진대지!$Q:$Q,"="&amp;$B38,사진대지!$Z:$Z,"="&amp;I$4)</f>
        <v>0</v>
      </c>
      <c r="J38" s="72">
        <f>+SUMIFS(사진대지!$R:$R,사진대지!$Q:$Q,"="&amp;$B38,사진대지!$Z:$Z,"="&amp;J$4)</f>
        <v>0</v>
      </c>
      <c r="K38" s="72">
        <f>+SUMIFS(사진대지!$R:$R,사진대지!$Q:$Q,"="&amp;$B38,사진대지!$Z:$Z,"="&amp;K$4)</f>
        <v>0</v>
      </c>
      <c r="L38" s="72">
        <f>+SUMIFS(사진대지!$R:$R,사진대지!$Q:$Q,"="&amp;$B38,사진대지!$Z:$Z,"="&amp;L$4)</f>
        <v>0</v>
      </c>
      <c r="M38" s="72">
        <f>+SUMIFS(사진대지!$R:$R,사진대지!$Q:$Q,"="&amp;$B38,사진대지!$Z:$Z,"="&amp;M$4)</f>
        <v>0</v>
      </c>
      <c r="N38" s="72">
        <f>+SUMIFS(사진대지!$R:$R,사진대지!$Q:$Q,"="&amp;$B38,사진대지!$Z:$Z,"="&amp;N$4)</f>
        <v>0</v>
      </c>
      <c r="O38" s="72">
        <f>+SUMIFS(사진대지!$R:$R,사진대지!$Q:$Q,"="&amp;$B38,사진대지!$Z:$Z,"="&amp;O$4)</f>
        <v>0</v>
      </c>
      <c r="P38" s="72">
        <f>+SUMIFS(사진대지!$R:$R,사진대지!$Q:$Q,"="&amp;$B38,사진대지!$Z:$Z,"="&amp;P$4)</f>
        <v>0</v>
      </c>
      <c r="Q38" s="72">
        <f>+SUMIFS(사진대지!$R:$R,사진대지!$Q:$Q,"="&amp;$B38,사진대지!$Z:$Z,"="&amp;Q$4)</f>
        <v>0</v>
      </c>
      <c r="R38" s="72">
        <f>+SUMIFS(사진대지!$R:$R,사진대지!$Q:$Q,"="&amp;$B38,사진대지!$Z:$Z,"="&amp;R$4)</f>
        <v>0</v>
      </c>
      <c r="S38" s="72">
        <f>+SUMIFS(사진대지!$R:$R,사진대지!$Q:$Q,"="&amp;$B38,사진대지!$Z:$Z,"="&amp;S$4)</f>
        <v>0</v>
      </c>
      <c r="T38" s="72">
        <f>+SUMIFS(사진대지!$R:$R,사진대지!$Q:$Q,"="&amp;$B38,사진대지!$Z:$Z,"="&amp;T$4)</f>
        <v>0</v>
      </c>
      <c r="U38" s="72">
        <f>+SUMIFS(사진대지!$R:$R,사진대지!$Q:$Q,"="&amp;$B38,사진대지!$Z:$Z,"="&amp;U$4)</f>
        <v>0</v>
      </c>
      <c r="V38" s="78"/>
      <c r="W38" s="81" t="str">
        <f>B38</f>
        <v>스파이럴입상300</v>
      </c>
      <c r="X38" s="97">
        <f>+SUM(C38:U38)</f>
        <v>0</v>
      </c>
      <c r="Y38" s="75"/>
      <c r="Z38" s="75"/>
      <c r="AA38" s="82" t="str">
        <f>W38</f>
        <v>스파이럴입상300</v>
      </c>
      <c r="AB38" s="101">
        <f>누계!L38+X38</f>
        <v>0</v>
      </c>
    </row>
    <row r="39" spans="1:28" ht="20.100000000000001" customHeight="1" x14ac:dyDescent="0.3">
      <c r="A39" s="8"/>
      <c r="B39" s="7" t="s">
        <v>15</v>
      </c>
      <c r="C39" s="73">
        <f>+SUMIFS(사진대지!$R:$R,사진대지!$Q:$Q,"="&amp;$B39,사진대지!$Z:$Z,"="&amp;C$4)</f>
        <v>0</v>
      </c>
      <c r="D39" s="73">
        <f>+SUMIFS(사진대지!$R:$R,사진대지!$Q:$Q,"="&amp;$B39,사진대지!$Z:$Z,"="&amp;D$4)</f>
        <v>0</v>
      </c>
      <c r="E39" s="74">
        <f>+SUMIFS(사진대지!$R:$R,사진대지!$Q:$Q,"="&amp;$B39,사진대지!$Z:$Z,"="&amp;E$4)</f>
        <v>0</v>
      </c>
      <c r="F39" s="74">
        <f>+SUMIFS(사진대지!$R:$R,사진대지!$Q:$Q,"="&amp;$B39,사진대지!$Z:$Z,"="&amp;F$4)</f>
        <v>0</v>
      </c>
      <c r="G39" s="74">
        <f>+SUMIFS(사진대지!$R:$R,사진대지!$Q:$Q,"="&amp;$B39,사진대지!$Z:$Z,"="&amp;G$4)</f>
        <v>0</v>
      </c>
      <c r="H39" s="74">
        <f>+SUMIFS(사진대지!$R:$R,사진대지!$Q:$Q,"="&amp;$B39,사진대지!$Z:$Z,"="&amp;H$4)</f>
        <v>0</v>
      </c>
      <c r="I39" s="74">
        <f>+SUMIFS(사진대지!$R:$R,사진대지!$Q:$Q,"="&amp;$B39,사진대지!$Z:$Z,"="&amp;I$4)</f>
        <v>0</v>
      </c>
      <c r="J39" s="74">
        <f>+SUMIFS(사진대지!$R:$R,사진대지!$Q:$Q,"="&amp;$B39,사진대지!$Z:$Z,"="&amp;J$4)</f>
        <v>0</v>
      </c>
      <c r="K39" s="74">
        <f>+SUMIFS(사진대지!$R:$R,사진대지!$Q:$Q,"="&amp;$B39,사진대지!$Z:$Z,"="&amp;K$4)</f>
        <v>0</v>
      </c>
      <c r="L39" s="74">
        <f>+SUMIFS(사진대지!$R:$R,사진대지!$Q:$Q,"="&amp;$B39,사진대지!$Z:$Z,"="&amp;L$4)</f>
        <v>0</v>
      </c>
      <c r="M39" s="74">
        <f>+SUMIFS(사진대지!$R:$R,사진대지!$Q:$Q,"="&amp;$B39,사진대지!$Z:$Z,"="&amp;M$4)</f>
        <v>0</v>
      </c>
      <c r="N39" s="74">
        <f>+SUMIFS(사진대지!$R:$R,사진대지!$Q:$Q,"="&amp;$B39,사진대지!$Z:$Z,"="&amp;N$4)</f>
        <v>0</v>
      </c>
      <c r="O39" s="74">
        <f>+SUMIFS(사진대지!$R:$R,사진대지!$Q:$Q,"="&amp;$B39,사진대지!$Z:$Z,"="&amp;O$4)</f>
        <v>0</v>
      </c>
      <c r="P39" s="74">
        <f>+SUMIFS(사진대지!$R:$R,사진대지!$Q:$Q,"="&amp;$B39,사진대지!$Z:$Z,"="&amp;P$4)</f>
        <v>0</v>
      </c>
      <c r="Q39" s="74">
        <f>+SUMIFS(사진대지!$R:$R,사진대지!$Q:$Q,"="&amp;$B39,사진대지!$Z:$Z,"="&amp;Q$4)</f>
        <v>0</v>
      </c>
      <c r="R39" s="74">
        <f>+SUMIFS(사진대지!$R:$R,사진대지!$Q:$Q,"="&amp;$B39,사진대지!$Z:$Z,"="&amp;R$4)</f>
        <v>0</v>
      </c>
      <c r="S39" s="74">
        <f>+SUMIFS(사진대지!$R:$R,사진대지!$Q:$Q,"="&amp;$B39,사진대지!$Z:$Z,"="&amp;S$4)</f>
        <v>0</v>
      </c>
      <c r="T39" s="74">
        <f>+SUMIFS(사진대지!$R:$R,사진대지!$Q:$Q,"="&amp;$B39,사진대지!$Z:$Z,"="&amp;T$4)</f>
        <v>0</v>
      </c>
      <c r="U39" s="74">
        <f>+SUMIFS(사진대지!$R:$R,사진대지!$Q:$Q,"="&amp;$B39,사진대지!$Z:$Z,"="&amp;U$4)</f>
        <v>0</v>
      </c>
      <c r="V39" s="78"/>
      <c r="W39" s="83" t="str">
        <f t="shared" si="0"/>
        <v>금속관벽체15</v>
      </c>
      <c r="X39" s="98">
        <f t="shared" si="1"/>
        <v>0</v>
      </c>
      <c r="Y39" s="75"/>
      <c r="Z39" s="75"/>
      <c r="AA39" s="84" t="str">
        <f t="shared" si="2"/>
        <v>금속관벽체15</v>
      </c>
      <c r="AB39" s="102">
        <f>누계!L39+X39</f>
        <v>0</v>
      </c>
    </row>
    <row r="40" spans="1:28" ht="20.100000000000001" customHeight="1" x14ac:dyDescent="0.3">
      <c r="A40" s="8"/>
      <c r="B40" s="7" t="s">
        <v>16</v>
      </c>
      <c r="C40" s="73">
        <f>+SUMIFS(사진대지!$R:$R,사진대지!$Q:$Q,"="&amp;$B40,사진대지!$Z:$Z,"="&amp;C$4)</f>
        <v>0</v>
      </c>
      <c r="D40" s="73">
        <f>+SUMIFS(사진대지!$R:$R,사진대지!$Q:$Q,"="&amp;$B40,사진대지!$Z:$Z,"="&amp;D$4)</f>
        <v>0</v>
      </c>
      <c r="E40" s="74">
        <f>+SUMIFS(사진대지!$R:$R,사진대지!$Q:$Q,"="&amp;$B40,사진대지!$Z:$Z,"="&amp;E$4)</f>
        <v>0</v>
      </c>
      <c r="F40" s="74">
        <f>+SUMIFS(사진대지!$R:$R,사진대지!$Q:$Q,"="&amp;$B40,사진대지!$Z:$Z,"="&amp;F$4)</f>
        <v>0</v>
      </c>
      <c r="G40" s="74">
        <f>+SUMIFS(사진대지!$R:$R,사진대지!$Q:$Q,"="&amp;$B40,사진대지!$Z:$Z,"="&amp;G$4)</f>
        <v>0</v>
      </c>
      <c r="H40" s="74">
        <f>+SUMIFS(사진대지!$R:$R,사진대지!$Q:$Q,"="&amp;$B40,사진대지!$Z:$Z,"="&amp;H$4)</f>
        <v>0</v>
      </c>
      <c r="I40" s="74">
        <f>+SUMIFS(사진대지!$R:$R,사진대지!$Q:$Q,"="&amp;$B40,사진대지!$Z:$Z,"="&amp;I$4)</f>
        <v>0</v>
      </c>
      <c r="J40" s="74">
        <f>+SUMIFS(사진대지!$R:$R,사진대지!$Q:$Q,"="&amp;$B40,사진대지!$Z:$Z,"="&amp;J$4)</f>
        <v>0</v>
      </c>
      <c r="K40" s="74">
        <f>+SUMIFS(사진대지!$R:$R,사진대지!$Q:$Q,"="&amp;$B40,사진대지!$Z:$Z,"="&amp;K$4)</f>
        <v>0</v>
      </c>
      <c r="L40" s="74">
        <f>+SUMIFS(사진대지!$R:$R,사진대지!$Q:$Q,"="&amp;$B40,사진대지!$Z:$Z,"="&amp;L$4)</f>
        <v>0</v>
      </c>
      <c r="M40" s="74">
        <f>+SUMIFS(사진대지!$R:$R,사진대지!$Q:$Q,"="&amp;$B40,사진대지!$Z:$Z,"="&amp;M$4)</f>
        <v>0</v>
      </c>
      <c r="N40" s="74">
        <f>+SUMIFS(사진대지!$R:$R,사진대지!$Q:$Q,"="&amp;$B40,사진대지!$Z:$Z,"="&amp;N$4)</f>
        <v>0</v>
      </c>
      <c r="O40" s="74">
        <f>+SUMIFS(사진대지!$R:$R,사진대지!$Q:$Q,"="&amp;$B40,사진대지!$Z:$Z,"="&amp;O$4)</f>
        <v>0</v>
      </c>
      <c r="P40" s="74">
        <f>+SUMIFS(사진대지!$R:$R,사진대지!$Q:$Q,"="&amp;$B40,사진대지!$Z:$Z,"="&amp;P$4)</f>
        <v>0</v>
      </c>
      <c r="Q40" s="74">
        <f>+SUMIFS(사진대지!$R:$R,사진대지!$Q:$Q,"="&amp;$B40,사진대지!$Z:$Z,"="&amp;Q$4)</f>
        <v>0</v>
      </c>
      <c r="R40" s="74">
        <f>+SUMIFS(사진대지!$R:$R,사진대지!$Q:$Q,"="&amp;$B40,사진대지!$Z:$Z,"="&amp;R$4)</f>
        <v>0</v>
      </c>
      <c r="S40" s="74">
        <f>+SUMIFS(사진대지!$R:$R,사진대지!$Q:$Q,"="&amp;$B40,사진대지!$Z:$Z,"="&amp;S$4)</f>
        <v>0</v>
      </c>
      <c r="T40" s="74">
        <f>+SUMIFS(사진대지!$R:$R,사진대지!$Q:$Q,"="&amp;$B40,사진대지!$Z:$Z,"="&amp;T$4)</f>
        <v>0</v>
      </c>
      <c r="U40" s="74">
        <f>+SUMIFS(사진대지!$R:$R,사진대지!$Q:$Q,"="&amp;$B40,사진대지!$Z:$Z,"="&amp;U$4)</f>
        <v>0</v>
      </c>
      <c r="V40" s="78"/>
      <c r="W40" s="83" t="str">
        <f t="shared" si="0"/>
        <v>금속관벽체20</v>
      </c>
      <c r="X40" s="98">
        <f t="shared" si="1"/>
        <v>0</v>
      </c>
      <c r="Y40" s="75"/>
      <c r="Z40" s="75"/>
      <c r="AA40" s="84" t="str">
        <f t="shared" si="2"/>
        <v>금속관벽체20</v>
      </c>
      <c r="AB40" s="102">
        <f>누계!L40+X40</f>
        <v>0</v>
      </c>
    </row>
    <row r="41" spans="1:28" ht="20.100000000000001" customHeight="1" x14ac:dyDescent="0.3">
      <c r="A41" s="8"/>
      <c r="B41" s="7" t="s">
        <v>17</v>
      </c>
      <c r="C41" s="73">
        <f>+SUMIFS(사진대지!$R:$R,사진대지!$Q:$Q,"="&amp;$B41,사진대지!$Z:$Z,"="&amp;C$4)</f>
        <v>0</v>
      </c>
      <c r="D41" s="73">
        <f>+SUMIFS(사진대지!$R:$R,사진대지!$Q:$Q,"="&amp;$B41,사진대지!$Z:$Z,"="&amp;D$4)</f>
        <v>0</v>
      </c>
      <c r="E41" s="74">
        <f>+SUMIFS(사진대지!$R:$R,사진대지!$Q:$Q,"="&amp;$B41,사진대지!$Z:$Z,"="&amp;E$4)</f>
        <v>0</v>
      </c>
      <c r="F41" s="74">
        <f>+SUMIFS(사진대지!$R:$R,사진대지!$Q:$Q,"="&amp;$B41,사진대지!$Z:$Z,"="&amp;F$4)</f>
        <v>0</v>
      </c>
      <c r="G41" s="74">
        <f>+SUMIFS(사진대지!$R:$R,사진대지!$Q:$Q,"="&amp;$B41,사진대지!$Z:$Z,"="&amp;G$4)</f>
        <v>0</v>
      </c>
      <c r="H41" s="74">
        <f>+SUMIFS(사진대지!$R:$R,사진대지!$Q:$Q,"="&amp;$B41,사진대지!$Z:$Z,"="&amp;H$4)</f>
        <v>0</v>
      </c>
      <c r="I41" s="74">
        <f>+SUMIFS(사진대지!$R:$R,사진대지!$Q:$Q,"="&amp;$B41,사진대지!$Z:$Z,"="&amp;I$4)</f>
        <v>0</v>
      </c>
      <c r="J41" s="74">
        <f>+SUMIFS(사진대지!$R:$R,사진대지!$Q:$Q,"="&amp;$B41,사진대지!$Z:$Z,"="&amp;J$4)</f>
        <v>0</v>
      </c>
      <c r="K41" s="74">
        <f>+SUMIFS(사진대지!$R:$R,사진대지!$Q:$Q,"="&amp;$B41,사진대지!$Z:$Z,"="&amp;K$4)</f>
        <v>0</v>
      </c>
      <c r="L41" s="74">
        <f>+SUMIFS(사진대지!$R:$R,사진대지!$Q:$Q,"="&amp;$B41,사진대지!$Z:$Z,"="&amp;L$4)</f>
        <v>0</v>
      </c>
      <c r="M41" s="74">
        <f>+SUMIFS(사진대지!$R:$R,사진대지!$Q:$Q,"="&amp;$B41,사진대지!$Z:$Z,"="&amp;M$4)</f>
        <v>0</v>
      </c>
      <c r="N41" s="74">
        <f>+SUMIFS(사진대지!$R:$R,사진대지!$Q:$Q,"="&amp;$B41,사진대지!$Z:$Z,"="&amp;N$4)</f>
        <v>0</v>
      </c>
      <c r="O41" s="74">
        <f>+SUMIFS(사진대지!$R:$R,사진대지!$Q:$Q,"="&amp;$B41,사진대지!$Z:$Z,"="&amp;O$4)</f>
        <v>0</v>
      </c>
      <c r="P41" s="74">
        <f>+SUMIFS(사진대지!$R:$R,사진대지!$Q:$Q,"="&amp;$B41,사진대지!$Z:$Z,"="&amp;P$4)</f>
        <v>0</v>
      </c>
      <c r="Q41" s="74">
        <f>+SUMIFS(사진대지!$R:$R,사진대지!$Q:$Q,"="&amp;$B41,사진대지!$Z:$Z,"="&amp;Q$4)</f>
        <v>0</v>
      </c>
      <c r="R41" s="74">
        <f>+SUMIFS(사진대지!$R:$R,사진대지!$Q:$Q,"="&amp;$B41,사진대지!$Z:$Z,"="&amp;R$4)</f>
        <v>0</v>
      </c>
      <c r="S41" s="74">
        <f>+SUMIFS(사진대지!$R:$R,사진대지!$Q:$Q,"="&amp;$B41,사진대지!$Z:$Z,"="&amp;S$4)</f>
        <v>0</v>
      </c>
      <c r="T41" s="74">
        <f>+SUMIFS(사진대지!$R:$R,사진대지!$Q:$Q,"="&amp;$B41,사진대지!$Z:$Z,"="&amp;T$4)</f>
        <v>0</v>
      </c>
      <c r="U41" s="74">
        <f>+SUMIFS(사진대지!$R:$R,사진대지!$Q:$Q,"="&amp;$B41,사진대지!$Z:$Z,"="&amp;U$4)</f>
        <v>0</v>
      </c>
      <c r="V41" s="78"/>
      <c r="W41" s="83" t="str">
        <f t="shared" si="0"/>
        <v>금속관벽체25</v>
      </c>
      <c r="X41" s="98">
        <f t="shared" si="1"/>
        <v>0</v>
      </c>
      <c r="Y41" s="75"/>
      <c r="Z41" s="75"/>
      <c r="AA41" s="84" t="str">
        <f t="shared" si="2"/>
        <v>금속관벽체25</v>
      </c>
      <c r="AB41" s="102">
        <f>누계!L41+X41</f>
        <v>0</v>
      </c>
    </row>
    <row r="42" spans="1:28" ht="20.100000000000001" customHeight="1" x14ac:dyDescent="0.3">
      <c r="A42" s="8"/>
      <c r="B42" s="7" t="s">
        <v>18</v>
      </c>
      <c r="C42" s="73">
        <f>+SUMIFS(사진대지!$R:$R,사진대지!$Q:$Q,"="&amp;$B42,사진대지!$Z:$Z,"="&amp;C$4)</f>
        <v>0</v>
      </c>
      <c r="D42" s="73">
        <f>+SUMIFS(사진대지!$R:$R,사진대지!$Q:$Q,"="&amp;$B42,사진대지!$Z:$Z,"="&amp;D$4)</f>
        <v>0</v>
      </c>
      <c r="E42" s="74">
        <f>+SUMIFS(사진대지!$R:$R,사진대지!$Q:$Q,"="&amp;$B42,사진대지!$Z:$Z,"="&amp;E$4)</f>
        <v>0</v>
      </c>
      <c r="F42" s="74">
        <f>+SUMIFS(사진대지!$R:$R,사진대지!$Q:$Q,"="&amp;$B42,사진대지!$Z:$Z,"="&amp;F$4)</f>
        <v>0</v>
      </c>
      <c r="G42" s="74">
        <f>+SUMIFS(사진대지!$R:$R,사진대지!$Q:$Q,"="&amp;$B42,사진대지!$Z:$Z,"="&amp;G$4)</f>
        <v>0</v>
      </c>
      <c r="H42" s="74">
        <f>+SUMIFS(사진대지!$R:$R,사진대지!$Q:$Q,"="&amp;$B42,사진대지!$Z:$Z,"="&amp;H$4)</f>
        <v>0</v>
      </c>
      <c r="I42" s="74">
        <f>+SUMIFS(사진대지!$R:$R,사진대지!$Q:$Q,"="&amp;$B42,사진대지!$Z:$Z,"="&amp;I$4)</f>
        <v>0</v>
      </c>
      <c r="J42" s="74">
        <f>+SUMIFS(사진대지!$R:$R,사진대지!$Q:$Q,"="&amp;$B42,사진대지!$Z:$Z,"="&amp;J$4)</f>
        <v>0</v>
      </c>
      <c r="K42" s="74">
        <f>+SUMIFS(사진대지!$R:$R,사진대지!$Q:$Q,"="&amp;$B42,사진대지!$Z:$Z,"="&amp;K$4)</f>
        <v>0</v>
      </c>
      <c r="L42" s="74">
        <f>+SUMIFS(사진대지!$R:$R,사진대지!$Q:$Q,"="&amp;$B42,사진대지!$Z:$Z,"="&amp;L$4)</f>
        <v>0</v>
      </c>
      <c r="M42" s="74">
        <f>+SUMIFS(사진대지!$R:$R,사진대지!$Q:$Q,"="&amp;$B42,사진대지!$Z:$Z,"="&amp;M$4)</f>
        <v>0</v>
      </c>
      <c r="N42" s="74">
        <f>+SUMIFS(사진대지!$R:$R,사진대지!$Q:$Q,"="&amp;$B42,사진대지!$Z:$Z,"="&amp;N$4)</f>
        <v>0</v>
      </c>
      <c r="O42" s="74">
        <f>+SUMIFS(사진대지!$R:$R,사진대지!$Q:$Q,"="&amp;$B42,사진대지!$Z:$Z,"="&amp;O$4)</f>
        <v>0</v>
      </c>
      <c r="P42" s="74">
        <f>+SUMIFS(사진대지!$R:$R,사진대지!$Q:$Q,"="&amp;$B42,사진대지!$Z:$Z,"="&amp;P$4)</f>
        <v>0</v>
      </c>
      <c r="Q42" s="74">
        <f>+SUMIFS(사진대지!$R:$R,사진대지!$Q:$Q,"="&amp;$B42,사진대지!$Z:$Z,"="&amp;Q$4)</f>
        <v>0</v>
      </c>
      <c r="R42" s="74">
        <f>+SUMIFS(사진대지!$R:$R,사진대지!$Q:$Q,"="&amp;$B42,사진대지!$Z:$Z,"="&amp;R$4)</f>
        <v>0</v>
      </c>
      <c r="S42" s="74">
        <f>+SUMIFS(사진대지!$R:$R,사진대지!$Q:$Q,"="&amp;$B42,사진대지!$Z:$Z,"="&amp;S$4)</f>
        <v>0</v>
      </c>
      <c r="T42" s="74">
        <f>+SUMIFS(사진대지!$R:$R,사진대지!$Q:$Q,"="&amp;$B42,사진대지!$Z:$Z,"="&amp;T$4)</f>
        <v>0</v>
      </c>
      <c r="U42" s="74">
        <f>+SUMIFS(사진대지!$R:$R,사진대지!$Q:$Q,"="&amp;$B42,사진대지!$Z:$Z,"="&amp;U$4)</f>
        <v>0</v>
      </c>
      <c r="V42" s="78"/>
      <c r="W42" s="83" t="str">
        <f t="shared" si="0"/>
        <v>금속관벽체32</v>
      </c>
      <c r="X42" s="98">
        <f t="shared" si="1"/>
        <v>0</v>
      </c>
      <c r="Y42" s="75"/>
      <c r="Z42" s="75"/>
      <c r="AA42" s="84" t="str">
        <f t="shared" si="2"/>
        <v>금속관벽체32</v>
      </c>
      <c r="AB42" s="102">
        <f>누계!L42+X42</f>
        <v>0</v>
      </c>
    </row>
    <row r="43" spans="1:28" ht="20.100000000000001" customHeight="1" x14ac:dyDescent="0.3">
      <c r="A43" s="8"/>
      <c r="B43" s="7" t="s">
        <v>19</v>
      </c>
      <c r="C43" s="73">
        <f>+SUMIFS(사진대지!$R:$R,사진대지!$Q:$Q,"="&amp;$B43,사진대지!$Z:$Z,"="&amp;C$4)</f>
        <v>0</v>
      </c>
      <c r="D43" s="73">
        <f>+SUMIFS(사진대지!$R:$R,사진대지!$Q:$Q,"="&amp;$B43,사진대지!$Z:$Z,"="&amp;D$4)</f>
        <v>0</v>
      </c>
      <c r="E43" s="74">
        <f>+SUMIFS(사진대지!$R:$R,사진대지!$Q:$Q,"="&amp;$B43,사진대지!$Z:$Z,"="&amp;E$4)</f>
        <v>0</v>
      </c>
      <c r="F43" s="74">
        <f>+SUMIFS(사진대지!$R:$R,사진대지!$Q:$Q,"="&amp;$B43,사진대지!$Z:$Z,"="&amp;F$4)</f>
        <v>0</v>
      </c>
      <c r="G43" s="74">
        <f>+SUMIFS(사진대지!$R:$R,사진대지!$Q:$Q,"="&amp;$B43,사진대지!$Z:$Z,"="&amp;G$4)</f>
        <v>0</v>
      </c>
      <c r="H43" s="74">
        <f>+SUMIFS(사진대지!$R:$R,사진대지!$Q:$Q,"="&amp;$B43,사진대지!$Z:$Z,"="&amp;H$4)</f>
        <v>0</v>
      </c>
      <c r="I43" s="74">
        <f>+SUMIFS(사진대지!$R:$R,사진대지!$Q:$Q,"="&amp;$B43,사진대지!$Z:$Z,"="&amp;I$4)</f>
        <v>0</v>
      </c>
      <c r="J43" s="74">
        <f>+SUMIFS(사진대지!$R:$R,사진대지!$Q:$Q,"="&amp;$B43,사진대지!$Z:$Z,"="&amp;J$4)</f>
        <v>0</v>
      </c>
      <c r="K43" s="74">
        <f>+SUMIFS(사진대지!$R:$R,사진대지!$Q:$Q,"="&amp;$B43,사진대지!$Z:$Z,"="&amp;K$4)</f>
        <v>0</v>
      </c>
      <c r="L43" s="74">
        <f>+SUMIFS(사진대지!$R:$R,사진대지!$Q:$Q,"="&amp;$B43,사진대지!$Z:$Z,"="&amp;L$4)</f>
        <v>0</v>
      </c>
      <c r="M43" s="74">
        <f>+SUMIFS(사진대지!$R:$R,사진대지!$Q:$Q,"="&amp;$B43,사진대지!$Z:$Z,"="&amp;M$4)</f>
        <v>0</v>
      </c>
      <c r="N43" s="74">
        <f>+SUMIFS(사진대지!$R:$R,사진대지!$Q:$Q,"="&amp;$B43,사진대지!$Z:$Z,"="&amp;N$4)</f>
        <v>0</v>
      </c>
      <c r="O43" s="74">
        <f>+SUMIFS(사진대지!$R:$R,사진대지!$Q:$Q,"="&amp;$B43,사진대지!$Z:$Z,"="&amp;O$4)</f>
        <v>0</v>
      </c>
      <c r="P43" s="74">
        <f>+SUMIFS(사진대지!$R:$R,사진대지!$Q:$Q,"="&amp;$B43,사진대지!$Z:$Z,"="&amp;P$4)</f>
        <v>0</v>
      </c>
      <c r="Q43" s="74">
        <f>+SUMIFS(사진대지!$R:$R,사진대지!$Q:$Q,"="&amp;$B43,사진대지!$Z:$Z,"="&amp;Q$4)</f>
        <v>0</v>
      </c>
      <c r="R43" s="74">
        <f>+SUMIFS(사진대지!$R:$R,사진대지!$Q:$Q,"="&amp;$B43,사진대지!$Z:$Z,"="&amp;R$4)</f>
        <v>0</v>
      </c>
      <c r="S43" s="74">
        <f>+SUMIFS(사진대지!$R:$R,사진대지!$Q:$Q,"="&amp;$B43,사진대지!$Z:$Z,"="&amp;S$4)</f>
        <v>0</v>
      </c>
      <c r="T43" s="74">
        <f>+SUMIFS(사진대지!$R:$R,사진대지!$Q:$Q,"="&amp;$B43,사진대지!$Z:$Z,"="&amp;T$4)</f>
        <v>0</v>
      </c>
      <c r="U43" s="74">
        <f>+SUMIFS(사진대지!$R:$R,사진대지!$Q:$Q,"="&amp;$B43,사진대지!$Z:$Z,"="&amp;U$4)</f>
        <v>0</v>
      </c>
      <c r="V43" s="78"/>
      <c r="W43" s="83" t="str">
        <f t="shared" si="0"/>
        <v>금속관벽체40</v>
      </c>
      <c r="X43" s="98">
        <f t="shared" si="1"/>
        <v>0</v>
      </c>
      <c r="Y43" s="75"/>
      <c r="Z43" s="75"/>
      <c r="AA43" s="84" t="str">
        <f t="shared" si="2"/>
        <v>금속관벽체40</v>
      </c>
      <c r="AB43" s="102">
        <f>누계!L43+X43</f>
        <v>0</v>
      </c>
    </row>
    <row r="44" spans="1:28" ht="20.100000000000001" customHeight="1" x14ac:dyDescent="0.3">
      <c r="A44" s="8"/>
      <c r="B44" s="7" t="s">
        <v>20</v>
      </c>
      <c r="C44" s="73">
        <f>+SUMIFS(사진대지!$R:$R,사진대지!$Q:$Q,"="&amp;$B44,사진대지!$Z:$Z,"="&amp;C$4)</f>
        <v>0</v>
      </c>
      <c r="D44" s="73">
        <f>+SUMIFS(사진대지!$R:$R,사진대지!$Q:$Q,"="&amp;$B44,사진대지!$Z:$Z,"="&amp;D$4)</f>
        <v>0</v>
      </c>
      <c r="E44" s="74">
        <f>+SUMIFS(사진대지!$R:$R,사진대지!$Q:$Q,"="&amp;$B44,사진대지!$Z:$Z,"="&amp;E$4)</f>
        <v>0</v>
      </c>
      <c r="F44" s="74">
        <f>+SUMIFS(사진대지!$R:$R,사진대지!$Q:$Q,"="&amp;$B44,사진대지!$Z:$Z,"="&amp;F$4)</f>
        <v>0</v>
      </c>
      <c r="G44" s="74">
        <f>+SUMIFS(사진대지!$R:$R,사진대지!$Q:$Q,"="&amp;$B44,사진대지!$Z:$Z,"="&amp;G$4)</f>
        <v>0</v>
      </c>
      <c r="H44" s="74">
        <f>+SUMIFS(사진대지!$R:$R,사진대지!$Q:$Q,"="&amp;$B44,사진대지!$Z:$Z,"="&amp;H$4)</f>
        <v>0</v>
      </c>
      <c r="I44" s="74">
        <f>+SUMIFS(사진대지!$R:$R,사진대지!$Q:$Q,"="&amp;$B44,사진대지!$Z:$Z,"="&amp;I$4)</f>
        <v>0</v>
      </c>
      <c r="J44" s="74">
        <f>+SUMIFS(사진대지!$R:$R,사진대지!$Q:$Q,"="&amp;$B44,사진대지!$Z:$Z,"="&amp;J$4)</f>
        <v>0</v>
      </c>
      <c r="K44" s="74">
        <f>+SUMIFS(사진대지!$R:$R,사진대지!$Q:$Q,"="&amp;$B44,사진대지!$Z:$Z,"="&amp;K$4)</f>
        <v>0</v>
      </c>
      <c r="L44" s="74">
        <f>+SUMIFS(사진대지!$R:$R,사진대지!$Q:$Q,"="&amp;$B44,사진대지!$Z:$Z,"="&amp;L$4)</f>
        <v>0</v>
      </c>
      <c r="M44" s="74">
        <f>+SUMIFS(사진대지!$R:$R,사진대지!$Q:$Q,"="&amp;$B44,사진대지!$Z:$Z,"="&amp;M$4)</f>
        <v>0</v>
      </c>
      <c r="N44" s="74">
        <f>+SUMIFS(사진대지!$R:$R,사진대지!$Q:$Q,"="&amp;$B44,사진대지!$Z:$Z,"="&amp;N$4)</f>
        <v>0</v>
      </c>
      <c r="O44" s="74">
        <f>+SUMIFS(사진대지!$R:$R,사진대지!$Q:$Q,"="&amp;$B44,사진대지!$Z:$Z,"="&amp;O$4)</f>
        <v>0</v>
      </c>
      <c r="P44" s="74">
        <f>+SUMIFS(사진대지!$R:$R,사진대지!$Q:$Q,"="&amp;$B44,사진대지!$Z:$Z,"="&amp;P$4)</f>
        <v>0</v>
      </c>
      <c r="Q44" s="74">
        <f>+SUMIFS(사진대지!$R:$R,사진대지!$Q:$Q,"="&amp;$B44,사진대지!$Z:$Z,"="&amp;Q$4)</f>
        <v>0</v>
      </c>
      <c r="R44" s="74">
        <f>+SUMIFS(사진대지!$R:$R,사진대지!$Q:$Q,"="&amp;$B44,사진대지!$Z:$Z,"="&amp;R$4)</f>
        <v>0</v>
      </c>
      <c r="S44" s="74">
        <f>+SUMIFS(사진대지!$R:$R,사진대지!$Q:$Q,"="&amp;$B44,사진대지!$Z:$Z,"="&amp;S$4)</f>
        <v>0</v>
      </c>
      <c r="T44" s="74">
        <f>+SUMIFS(사진대지!$R:$R,사진대지!$Q:$Q,"="&amp;$B44,사진대지!$Z:$Z,"="&amp;T$4)</f>
        <v>0</v>
      </c>
      <c r="U44" s="74">
        <f>+SUMIFS(사진대지!$R:$R,사진대지!$Q:$Q,"="&amp;$B44,사진대지!$Z:$Z,"="&amp;U$4)</f>
        <v>0</v>
      </c>
      <c r="V44" s="78"/>
      <c r="W44" s="83" t="str">
        <f t="shared" si="0"/>
        <v>금속관벽체50</v>
      </c>
      <c r="X44" s="98">
        <f t="shared" si="1"/>
        <v>0</v>
      </c>
      <c r="Y44" s="75"/>
      <c r="Z44" s="75"/>
      <c r="AA44" s="84" t="str">
        <f t="shared" si="2"/>
        <v>금속관벽체50</v>
      </c>
      <c r="AB44" s="102">
        <f>누계!L44+X44</f>
        <v>0</v>
      </c>
    </row>
    <row r="45" spans="1:28" ht="20.100000000000001" customHeight="1" x14ac:dyDescent="0.3">
      <c r="A45" s="8"/>
      <c r="B45" s="7" t="s">
        <v>21</v>
      </c>
      <c r="C45" s="73">
        <f>+SUMIFS(사진대지!$R:$R,사진대지!$Q:$Q,"="&amp;$B45,사진대지!$Z:$Z,"="&amp;C$4)</f>
        <v>0</v>
      </c>
      <c r="D45" s="73">
        <f>+SUMIFS(사진대지!$R:$R,사진대지!$Q:$Q,"="&amp;$B45,사진대지!$Z:$Z,"="&amp;D$4)</f>
        <v>0</v>
      </c>
      <c r="E45" s="74">
        <f>+SUMIFS(사진대지!$R:$R,사진대지!$Q:$Q,"="&amp;$B45,사진대지!$Z:$Z,"="&amp;E$4)</f>
        <v>0</v>
      </c>
      <c r="F45" s="74">
        <f>+SUMIFS(사진대지!$R:$R,사진대지!$Q:$Q,"="&amp;$B45,사진대지!$Z:$Z,"="&amp;F$4)</f>
        <v>0</v>
      </c>
      <c r="G45" s="74">
        <f>+SUMIFS(사진대지!$R:$R,사진대지!$Q:$Q,"="&amp;$B45,사진대지!$Z:$Z,"="&amp;G$4)</f>
        <v>0</v>
      </c>
      <c r="H45" s="74">
        <f>+SUMIFS(사진대지!$R:$R,사진대지!$Q:$Q,"="&amp;$B45,사진대지!$Z:$Z,"="&amp;H$4)</f>
        <v>0</v>
      </c>
      <c r="I45" s="74">
        <f>+SUMIFS(사진대지!$R:$R,사진대지!$Q:$Q,"="&amp;$B45,사진대지!$Z:$Z,"="&amp;I$4)</f>
        <v>0</v>
      </c>
      <c r="J45" s="74">
        <f>+SUMIFS(사진대지!$R:$R,사진대지!$Q:$Q,"="&amp;$B45,사진대지!$Z:$Z,"="&amp;J$4)</f>
        <v>0</v>
      </c>
      <c r="K45" s="74">
        <f>+SUMIFS(사진대지!$R:$R,사진대지!$Q:$Q,"="&amp;$B45,사진대지!$Z:$Z,"="&amp;K$4)</f>
        <v>0</v>
      </c>
      <c r="L45" s="74">
        <f>+SUMIFS(사진대지!$R:$R,사진대지!$Q:$Q,"="&amp;$B45,사진대지!$Z:$Z,"="&amp;L$4)</f>
        <v>0</v>
      </c>
      <c r="M45" s="74">
        <f>+SUMIFS(사진대지!$R:$R,사진대지!$Q:$Q,"="&amp;$B45,사진대지!$Z:$Z,"="&amp;M$4)</f>
        <v>0</v>
      </c>
      <c r="N45" s="74">
        <f>+SUMIFS(사진대지!$R:$R,사진대지!$Q:$Q,"="&amp;$B45,사진대지!$Z:$Z,"="&amp;N$4)</f>
        <v>0</v>
      </c>
      <c r="O45" s="74">
        <f>+SUMIFS(사진대지!$R:$R,사진대지!$Q:$Q,"="&amp;$B45,사진대지!$Z:$Z,"="&amp;O$4)</f>
        <v>0</v>
      </c>
      <c r="P45" s="74">
        <f>+SUMIFS(사진대지!$R:$R,사진대지!$Q:$Q,"="&amp;$B45,사진대지!$Z:$Z,"="&amp;P$4)</f>
        <v>0</v>
      </c>
      <c r="Q45" s="74">
        <f>+SUMIFS(사진대지!$R:$R,사진대지!$Q:$Q,"="&amp;$B45,사진대지!$Z:$Z,"="&amp;Q$4)</f>
        <v>0</v>
      </c>
      <c r="R45" s="74">
        <f>+SUMIFS(사진대지!$R:$R,사진대지!$Q:$Q,"="&amp;$B45,사진대지!$Z:$Z,"="&amp;R$4)</f>
        <v>0</v>
      </c>
      <c r="S45" s="74">
        <f>+SUMIFS(사진대지!$R:$R,사진대지!$Q:$Q,"="&amp;$B45,사진대지!$Z:$Z,"="&amp;S$4)</f>
        <v>0</v>
      </c>
      <c r="T45" s="74">
        <f>+SUMIFS(사진대지!$R:$R,사진대지!$Q:$Q,"="&amp;$B45,사진대지!$Z:$Z,"="&amp;T$4)</f>
        <v>0</v>
      </c>
      <c r="U45" s="74">
        <f>+SUMIFS(사진대지!$R:$R,사진대지!$Q:$Q,"="&amp;$B45,사진대지!$Z:$Z,"="&amp;U$4)</f>
        <v>0</v>
      </c>
      <c r="V45" s="78"/>
      <c r="W45" s="83" t="str">
        <f t="shared" si="0"/>
        <v>금속관벽체65</v>
      </c>
      <c r="X45" s="98">
        <f t="shared" si="1"/>
        <v>0</v>
      </c>
      <c r="Y45" s="75"/>
      <c r="Z45" s="75"/>
      <c r="AA45" s="84" t="str">
        <f t="shared" si="2"/>
        <v>금속관벽체65</v>
      </c>
      <c r="AB45" s="102">
        <f>누계!L45+X45</f>
        <v>0</v>
      </c>
    </row>
    <row r="46" spans="1:28" ht="20.100000000000001" customHeight="1" x14ac:dyDescent="0.3">
      <c r="A46" s="8"/>
      <c r="B46" s="7" t="s">
        <v>22</v>
      </c>
      <c r="C46" s="73">
        <f>+SUMIFS(사진대지!$R:$R,사진대지!$Q:$Q,"="&amp;$B46,사진대지!$Z:$Z,"="&amp;C$4)</f>
        <v>0</v>
      </c>
      <c r="D46" s="73">
        <f>+SUMIFS(사진대지!$R:$R,사진대지!$Q:$Q,"="&amp;$B46,사진대지!$Z:$Z,"="&amp;D$4)</f>
        <v>0</v>
      </c>
      <c r="E46" s="74">
        <f>+SUMIFS(사진대지!$R:$R,사진대지!$Q:$Q,"="&amp;$B46,사진대지!$Z:$Z,"="&amp;E$4)</f>
        <v>0</v>
      </c>
      <c r="F46" s="74">
        <f>+SUMIFS(사진대지!$R:$R,사진대지!$Q:$Q,"="&amp;$B46,사진대지!$Z:$Z,"="&amp;F$4)</f>
        <v>0</v>
      </c>
      <c r="G46" s="74">
        <f>+SUMIFS(사진대지!$R:$R,사진대지!$Q:$Q,"="&amp;$B46,사진대지!$Z:$Z,"="&amp;G$4)</f>
        <v>0</v>
      </c>
      <c r="H46" s="74">
        <f>+SUMIFS(사진대지!$R:$R,사진대지!$Q:$Q,"="&amp;$B46,사진대지!$Z:$Z,"="&amp;H$4)</f>
        <v>0</v>
      </c>
      <c r="I46" s="74">
        <f>+SUMIFS(사진대지!$R:$R,사진대지!$Q:$Q,"="&amp;$B46,사진대지!$Z:$Z,"="&amp;I$4)</f>
        <v>0</v>
      </c>
      <c r="J46" s="74">
        <f>+SUMIFS(사진대지!$R:$R,사진대지!$Q:$Q,"="&amp;$B46,사진대지!$Z:$Z,"="&amp;J$4)</f>
        <v>0</v>
      </c>
      <c r="K46" s="74">
        <f>+SUMIFS(사진대지!$R:$R,사진대지!$Q:$Q,"="&amp;$B46,사진대지!$Z:$Z,"="&amp;K$4)</f>
        <v>0</v>
      </c>
      <c r="L46" s="74">
        <f>+SUMIFS(사진대지!$R:$R,사진대지!$Q:$Q,"="&amp;$B46,사진대지!$Z:$Z,"="&amp;L$4)</f>
        <v>0</v>
      </c>
      <c r="M46" s="74">
        <f>+SUMIFS(사진대지!$R:$R,사진대지!$Q:$Q,"="&amp;$B46,사진대지!$Z:$Z,"="&amp;M$4)</f>
        <v>0</v>
      </c>
      <c r="N46" s="74">
        <f>+SUMIFS(사진대지!$R:$R,사진대지!$Q:$Q,"="&amp;$B46,사진대지!$Z:$Z,"="&amp;N$4)</f>
        <v>0</v>
      </c>
      <c r="O46" s="74">
        <f>+SUMIFS(사진대지!$R:$R,사진대지!$Q:$Q,"="&amp;$B46,사진대지!$Z:$Z,"="&amp;O$4)</f>
        <v>0</v>
      </c>
      <c r="P46" s="74">
        <f>+SUMIFS(사진대지!$R:$R,사진대지!$Q:$Q,"="&amp;$B46,사진대지!$Z:$Z,"="&amp;P$4)</f>
        <v>0</v>
      </c>
      <c r="Q46" s="74">
        <f>+SUMIFS(사진대지!$R:$R,사진대지!$Q:$Q,"="&amp;$B46,사진대지!$Z:$Z,"="&amp;Q$4)</f>
        <v>0</v>
      </c>
      <c r="R46" s="74">
        <f>+SUMIFS(사진대지!$R:$R,사진대지!$Q:$Q,"="&amp;$B46,사진대지!$Z:$Z,"="&amp;R$4)</f>
        <v>0</v>
      </c>
      <c r="S46" s="74">
        <f>+SUMIFS(사진대지!$R:$R,사진대지!$Q:$Q,"="&amp;$B46,사진대지!$Z:$Z,"="&amp;S$4)</f>
        <v>0</v>
      </c>
      <c r="T46" s="74">
        <f>+SUMIFS(사진대지!$R:$R,사진대지!$Q:$Q,"="&amp;$B46,사진대지!$Z:$Z,"="&amp;T$4)</f>
        <v>0</v>
      </c>
      <c r="U46" s="74">
        <f>+SUMIFS(사진대지!$R:$R,사진대지!$Q:$Q,"="&amp;$B46,사진대지!$Z:$Z,"="&amp;U$4)</f>
        <v>0</v>
      </c>
      <c r="V46" s="78"/>
      <c r="W46" s="83" t="str">
        <f t="shared" si="0"/>
        <v>금속관벽체80</v>
      </c>
      <c r="X46" s="98">
        <f t="shared" si="1"/>
        <v>0</v>
      </c>
      <c r="Y46" s="75"/>
      <c r="Z46" s="75"/>
      <c r="AA46" s="84" t="str">
        <f t="shared" si="2"/>
        <v>금속관벽체80</v>
      </c>
      <c r="AB46" s="102">
        <f>누계!L46+X46</f>
        <v>0</v>
      </c>
    </row>
    <row r="47" spans="1:28" ht="20.100000000000001" customHeight="1" x14ac:dyDescent="0.3">
      <c r="A47" s="8"/>
      <c r="B47" s="7" t="s">
        <v>23</v>
      </c>
      <c r="C47" s="73">
        <f>+SUMIFS(사진대지!$R:$R,사진대지!$Q:$Q,"="&amp;$B47,사진대지!$Z:$Z,"="&amp;C$4)</f>
        <v>0</v>
      </c>
      <c r="D47" s="73">
        <f>+SUMIFS(사진대지!$R:$R,사진대지!$Q:$Q,"="&amp;$B47,사진대지!$Z:$Z,"="&amp;D$4)</f>
        <v>0</v>
      </c>
      <c r="E47" s="74">
        <f>+SUMIFS(사진대지!$R:$R,사진대지!$Q:$Q,"="&amp;$B47,사진대지!$Z:$Z,"="&amp;E$4)</f>
        <v>0</v>
      </c>
      <c r="F47" s="74">
        <f>+SUMIFS(사진대지!$R:$R,사진대지!$Q:$Q,"="&amp;$B47,사진대지!$Z:$Z,"="&amp;F$4)</f>
        <v>0</v>
      </c>
      <c r="G47" s="74">
        <f>+SUMIFS(사진대지!$R:$R,사진대지!$Q:$Q,"="&amp;$B47,사진대지!$Z:$Z,"="&amp;G$4)</f>
        <v>0</v>
      </c>
      <c r="H47" s="74">
        <f>+SUMIFS(사진대지!$R:$R,사진대지!$Q:$Q,"="&amp;$B47,사진대지!$Z:$Z,"="&amp;H$4)</f>
        <v>0</v>
      </c>
      <c r="I47" s="74">
        <f>+SUMIFS(사진대지!$R:$R,사진대지!$Q:$Q,"="&amp;$B47,사진대지!$Z:$Z,"="&amp;I$4)</f>
        <v>0</v>
      </c>
      <c r="J47" s="74">
        <f>+SUMIFS(사진대지!$R:$R,사진대지!$Q:$Q,"="&amp;$B47,사진대지!$Z:$Z,"="&amp;J$4)</f>
        <v>0</v>
      </c>
      <c r="K47" s="74">
        <f>+SUMIFS(사진대지!$R:$R,사진대지!$Q:$Q,"="&amp;$B47,사진대지!$Z:$Z,"="&amp;K$4)</f>
        <v>0</v>
      </c>
      <c r="L47" s="74">
        <f>+SUMIFS(사진대지!$R:$R,사진대지!$Q:$Q,"="&amp;$B47,사진대지!$Z:$Z,"="&amp;L$4)</f>
        <v>0</v>
      </c>
      <c r="M47" s="74">
        <f>+SUMIFS(사진대지!$R:$R,사진대지!$Q:$Q,"="&amp;$B47,사진대지!$Z:$Z,"="&amp;M$4)</f>
        <v>0</v>
      </c>
      <c r="N47" s="74">
        <f>+SUMIFS(사진대지!$R:$R,사진대지!$Q:$Q,"="&amp;$B47,사진대지!$Z:$Z,"="&amp;N$4)</f>
        <v>0</v>
      </c>
      <c r="O47" s="74">
        <f>+SUMIFS(사진대지!$R:$R,사진대지!$Q:$Q,"="&amp;$B47,사진대지!$Z:$Z,"="&amp;O$4)</f>
        <v>0</v>
      </c>
      <c r="P47" s="74">
        <f>+SUMIFS(사진대지!$R:$R,사진대지!$Q:$Q,"="&amp;$B47,사진대지!$Z:$Z,"="&amp;P$4)</f>
        <v>0</v>
      </c>
      <c r="Q47" s="74">
        <f>+SUMIFS(사진대지!$R:$R,사진대지!$Q:$Q,"="&amp;$B47,사진대지!$Z:$Z,"="&amp;Q$4)</f>
        <v>0</v>
      </c>
      <c r="R47" s="74">
        <f>+SUMIFS(사진대지!$R:$R,사진대지!$Q:$Q,"="&amp;$B47,사진대지!$Z:$Z,"="&amp;R$4)</f>
        <v>0</v>
      </c>
      <c r="S47" s="74">
        <f>+SUMIFS(사진대지!$R:$R,사진대지!$Q:$Q,"="&amp;$B47,사진대지!$Z:$Z,"="&amp;S$4)</f>
        <v>0</v>
      </c>
      <c r="T47" s="74">
        <f>+SUMIFS(사진대지!$R:$R,사진대지!$Q:$Q,"="&amp;$B47,사진대지!$Z:$Z,"="&amp;T$4)</f>
        <v>0</v>
      </c>
      <c r="U47" s="74">
        <f>+SUMIFS(사진대지!$R:$R,사진대지!$Q:$Q,"="&amp;$B47,사진대지!$Z:$Z,"="&amp;U$4)</f>
        <v>0</v>
      </c>
      <c r="V47" s="78"/>
      <c r="W47" s="83" t="str">
        <f t="shared" si="0"/>
        <v>금속관벽체100</v>
      </c>
      <c r="X47" s="98">
        <f t="shared" si="1"/>
        <v>0</v>
      </c>
      <c r="Y47" s="75"/>
      <c r="Z47" s="75"/>
      <c r="AA47" s="84" t="str">
        <f t="shared" si="2"/>
        <v>금속관벽체100</v>
      </c>
      <c r="AB47" s="102">
        <f>누계!L47+X47</f>
        <v>0</v>
      </c>
    </row>
    <row r="48" spans="1:28" ht="20.100000000000001" customHeight="1" x14ac:dyDescent="0.3">
      <c r="A48" s="8"/>
      <c r="B48" s="7" t="s">
        <v>24</v>
      </c>
      <c r="C48" s="73">
        <f>+SUMIFS(사진대지!$R:$R,사진대지!$Q:$Q,"="&amp;$B48,사진대지!$Z:$Z,"="&amp;C$4)</f>
        <v>0</v>
      </c>
      <c r="D48" s="73">
        <f>+SUMIFS(사진대지!$R:$R,사진대지!$Q:$Q,"="&amp;$B48,사진대지!$Z:$Z,"="&amp;D$4)</f>
        <v>0</v>
      </c>
      <c r="E48" s="74">
        <f>+SUMIFS(사진대지!$R:$R,사진대지!$Q:$Q,"="&amp;$B48,사진대지!$Z:$Z,"="&amp;E$4)</f>
        <v>0</v>
      </c>
      <c r="F48" s="74">
        <f>+SUMIFS(사진대지!$R:$R,사진대지!$Q:$Q,"="&amp;$B48,사진대지!$Z:$Z,"="&amp;F$4)</f>
        <v>0</v>
      </c>
      <c r="G48" s="74">
        <f>+SUMIFS(사진대지!$R:$R,사진대지!$Q:$Q,"="&amp;$B48,사진대지!$Z:$Z,"="&amp;G$4)</f>
        <v>0</v>
      </c>
      <c r="H48" s="74">
        <f>+SUMIFS(사진대지!$R:$R,사진대지!$Q:$Q,"="&amp;$B48,사진대지!$Z:$Z,"="&amp;H$4)</f>
        <v>0</v>
      </c>
      <c r="I48" s="74">
        <f>+SUMIFS(사진대지!$R:$R,사진대지!$Q:$Q,"="&amp;$B48,사진대지!$Z:$Z,"="&amp;I$4)</f>
        <v>0</v>
      </c>
      <c r="J48" s="74">
        <f>+SUMIFS(사진대지!$R:$R,사진대지!$Q:$Q,"="&amp;$B48,사진대지!$Z:$Z,"="&amp;J$4)</f>
        <v>0</v>
      </c>
      <c r="K48" s="74">
        <f>+SUMIFS(사진대지!$R:$R,사진대지!$Q:$Q,"="&amp;$B48,사진대지!$Z:$Z,"="&amp;K$4)</f>
        <v>0</v>
      </c>
      <c r="L48" s="74">
        <f>+SUMIFS(사진대지!$R:$R,사진대지!$Q:$Q,"="&amp;$B48,사진대지!$Z:$Z,"="&amp;L$4)</f>
        <v>0</v>
      </c>
      <c r="M48" s="74">
        <f>+SUMIFS(사진대지!$R:$R,사진대지!$Q:$Q,"="&amp;$B48,사진대지!$Z:$Z,"="&amp;M$4)</f>
        <v>0</v>
      </c>
      <c r="N48" s="74">
        <f>+SUMIFS(사진대지!$R:$R,사진대지!$Q:$Q,"="&amp;$B48,사진대지!$Z:$Z,"="&amp;N$4)</f>
        <v>0</v>
      </c>
      <c r="O48" s="74">
        <f>+SUMIFS(사진대지!$R:$R,사진대지!$Q:$Q,"="&amp;$B48,사진대지!$Z:$Z,"="&amp;O$4)</f>
        <v>0</v>
      </c>
      <c r="P48" s="74">
        <f>+SUMIFS(사진대지!$R:$R,사진대지!$Q:$Q,"="&amp;$B48,사진대지!$Z:$Z,"="&amp;P$4)</f>
        <v>0</v>
      </c>
      <c r="Q48" s="74">
        <f>+SUMIFS(사진대지!$R:$R,사진대지!$Q:$Q,"="&amp;$B48,사진대지!$Z:$Z,"="&amp;Q$4)</f>
        <v>0</v>
      </c>
      <c r="R48" s="74">
        <f>+SUMIFS(사진대지!$R:$R,사진대지!$Q:$Q,"="&amp;$B48,사진대지!$Z:$Z,"="&amp;R$4)</f>
        <v>0</v>
      </c>
      <c r="S48" s="74">
        <f>+SUMIFS(사진대지!$R:$R,사진대지!$Q:$Q,"="&amp;$B48,사진대지!$Z:$Z,"="&amp;S$4)</f>
        <v>0</v>
      </c>
      <c r="T48" s="74">
        <f>+SUMIFS(사진대지!$R:$R,사진대지!$Q:$Q,"="&amp;$B48,사진대지!$Z:$Z,"="&amp;T$4)</f>
        <v>0</v>
      </c>
      <c r="U48" s="74">
        <f>+SUMIFS(사진대지!$R:$R,사진대지!$Q:$Q,"="&amp;$B48,사진대지!$Z:$Z,"="&amp;U$4)</f>
        <v>0</v>
      </c>
      <c r="V48" s="78"/>
      <c r="W48" s="83" t="str">
        <f t="shared" si="0"/>
        <v>금속관벽체125</v>
      </c>
      <c r="X48" s="98">
        <f t="shared" si="1"/>
        <v>0</v>
      </c>
      <c r="Y48" s="75"/>
      <c r="Z48" s="75"/>
      <c r="AA48" s="84" t="str">
        <f t="shared" si="2"/>
        <v>금속관벽체125</v>
      </c>
      <c r="AB48" s="102">
        <f>누계!L48+X48</f>
        <v>0</v>
      </c>
    </row>
    <row r="49" spans="1:28" ht="20.100000000000001" customHeight="1" x14ac:dyDescent="0.3">
      <c r="A49" s="8"/>
      <c r="B49" s="7" t="s">
        <v>25</v>
      </c>
      <c r="C49" s="73">
        <f>+SUMIFS(사진대지!$R:$R,사진대지!$Q:$Q,"="&amp;$B49,사진대지!$Z:$Z,"="&amp;C$4)</f>
        <v>0</v>
      </c>
      <c r="D49" s="73">
        <f>+SUMIFS(사진대지!$R:$R,사진대지!$Q:$Q,"="&amp;$B49,사진대지!$Z:$Z,"="&amp;D$4)</f>
        <v>0</v>
      </c>
      <c r="E49" s="74">
        <f>+SUMIFS(사진대지!$R:$R,사진대지!$Q:$Q,"="&amp;$B49,사진대지!$Z:$Z,"="&amp;E$4)</f>
        <v>0</v>
      </c>
      <c r="F49" s="74">
        <f>+SUMIFS(사진대지!$R:$R,사진대지!$Q:$Q,"="&amp;$B49,사진대지!$Z:$Z,"="&amp;F$4)</f>
        <v>0</v>
      </c>
      <c r="G49" s="74">
        <f>+SUMIFS(사진대지!$R:$R,사진대지!$Q:$Q,"="&amp;$B49,사진대지!$Z:$Z,"="&amp;G$4)</f>
        <v>0</v>
      </c>
      <c r="H49" s="74">
        <f>+SUMIFS(사진대지!$R:$R,사진대지!$Q:$Q,"="&amp;$B49,사진대지!$Z:$Z,"="&amp;H$4)</f>
        <v>0</v>
      </c>
      <c r="I49" s="74">
        <f>+SUMIFS(사진대지!$R:$R,사진대지!$Q:$Q,"="&amp;$B49,사진대지!$Z:$Z,"="&amp;I$4)</f>
        <v>0</v>
      </c>
      <c r="J49" s="74">
        <f>+SUMIFS(사진대지!$R:$R,사진대지!$Q:$Q,"="&amp;$B49,사진대지!$Z:$Z,"="&amp;J$4)</f>
        <v>0</v>
      </c>
      <c r="K49" s="74">
        <f>+SUMIFS(사진대지!$R:$R,사진대지!$Q:$Q,"="&amp;$B49,사진대지!$Z:$Z,"="&amp;K$4)</f>
        <v>0</v>
      </c>
      <c r="L49" s="74">
        <f>+SUMIFS(사진대지!$R:$R,사진대지!$Q:$Q,"="&amp;$B49,사진대지!$Z:$Z,"="&amp;L$4)</f>
        <v>0</v>
      </c>
      <c r="M49" s="74">
        <f>+SUMIFS(사진대지!$R:$R,사진대지!$Q:$Q,"="&amp;$B49,사진대지!$Z:$Z,"="&amp;M$4)</f>
        <v>0</v>
      </c>
      <c r="N49" s="74">
        <f>+SUMIFS(사진대지!$R:$R,사진대지!$Q:$Q,"="&amp;$B49,사진대지!$Z:$Z,"="&amp;N$4)</f>
        <v>0</v>
      </c>
      <c r="O49" s="74">
        <f>+SUMIFS(사진대지!$R:$R,사진대지!$Q:$Q,"="&amp;$B49,사진대지!$Z:$Z,"="&amp;O$4)</f>
        <v>0</v>
      </c>
      <c r="P49" s="74">
        <f>+SUMIFS(사진대지!$R:$R,사진대지!$Q:$Q,"="&amp;$B49,사진대지!$Z:$Z,"="&amp;P$4)</f>
        <v>0</v>
      </c>
      <c r="Q49" s="74">
        <f>+SUMIFS(사진대지!$R:$R,사진대지!$Q:$Q,"="&amp;$B49,사진대지!$Z:$Z,"="&amp;Q$4)</f>
        <v>0</v>
      </c>
      <c r="R49" s="74">
        <f>+SUMIFS(사진대지!$R:$R,사진대지!$Q:$Q,"="&amp;$B49,사진대지!$Z:$Z,"="&amp;R$4)</f>
        <v>0</v>
      </c>
      <c r="S49" s="74">
        <f>+SUMIFS(사진대지!$R:$R,사진대지!$Q:$Q,"="&amp;$B49,사진대지!$Z:$Z,"="&amp;S$4)</f>
        <v>0</v>
      </c>
      <c r="T49" s="74">
        <f>+SUMIFS(사진대지!$R:$R,사진대지!$Q:$Q,"="&amp;$B49,사진대지!$Z:$Z,"="&amp;T$4)</f>
        <v>0</v>
      </c>
      <c r="U49" s="74">
        <f>+SUMIFS(사진대지!$R:$R,사진대지!$Q:$Q,"="&amp;$B49,사진대지!$Z:$Z,"="&amp;U$4)</f>
        <v>0</v>
      </c>
      <c r="V49" s="78"/>
      <c r="W49" s="83" t="str">
        <f t="shared" si="0"/>
        <v>금속관벽체150</v>
      </c>
      <c r="X49" s="98">
        <f t="shared" si="1"/>
        <v>0</v>
      </c>
      <c r="Y49" s="75"/>
      <c r="Z49" s="75"/>
      <c r="AA49" s="84" t="str">
        <f t="shared" si="2"/>
        <v>금속관벽체150</v>
      </c>
      <c r="AB49" s="102">
        <f>누계!L49+X49</f>
        <v>0</v>
      </c>
    </row>
    <row r="50" spans="1:28" ht="20.100000000000001" customHeight="1" x14ac:dyDescent="0.3">
      <c r="A50" s="8"/>
      <c r="B50" s="7" t="s">
        <v>99</v>
      </c>
      <c r="C50" s="73">
        <f>+SUMIFS(사진대지!$R:$R,사진대지!$Q:$Q,"="&amp;$B50,사진대지!$Z:$Z,"="&amp;C$4)</f>
        <v>0</v>
      </c>
      <c r="D50" s="73">
        <f>+SUMIFS(사진대지!$R:$R,사진대지!$Q:$Q,"="&amp;$B50,사진대지!$Z:$Z,"="&amp;D$4)</f>
        <v>0</v>
      </c>
      <c r="E50" s="74">
        <f>+SUMIFS(사진대지!$R:$R,사진대지!$Q:$Q,"="&amp;$B50,사진대지!$Z:$Z,"="&amp;E$4)</f>
        <v>0</v>
      </c>
      <c r="F50" s="74">
        <f>+SUMIFS(사진대지!$R:$R,사진대지!$Q:$Q,"="&amp;$B50,사진대지!$Z:$Z,"="&amp;F$4)</f>
        <v>0</v>
      </c>
      <c r="G50" s="74">
        <f>+SUMIFS(사진대지!$R:$R,사진대지!$Q:$Q,"="&amp;$B50,사진대지!$Z:$Z,"="&amp;G$4)</f>
        <v>0</v>
      </c>
      <c r="H50" s="74">
        <f>+SUMIFS(사진대지!$R:$R,사진대지!$Q:$Q,"="&amp;$B50,사진대지!$Z:$Z,"="&amp;H$4)</f>
        <v>0</v>
      </c>
      <c r="I50" s="74">
        <f>+SUMIFS(사진대지!$R:$R,사진대지!$Q:$Q,"="&amp;$B50,사진대지!$Z:$Z,"="&amp;I$4)</f>
        <v>0</v>
      </c>
      <c r="J50" s="74">
        <f>+SUMIFS(사진대지!$R:$R,사진대지!$Q:$Q,"="&amp;$B50,사진대지!$Z:$Z,"="&amp;J$4)</f>
        <v>0</v>
      </c>
      <c r="K50" s="74">
        <f>+SUMIFS(사진대지!$R:$R,사진대지!$Q:$Q,"="&amp;$B50,사진대지!$Z:$Z,"="&amp;K$4)</f>
        <v>0</v>
      </c>
      <c r="L50" s="74">
        <f>+SUMIFS(사진대지!$R:$R,사진대지!$Q:$Q,"="&amp;$B50,사진대지!$Z:$Z,"="&amp;L$4)</f>
        <v>0</v>
      </c>
      <c r="M50" s="74">
        <f>+SUMIFS(사진대지!$R:$R,사진대지!$Q:$Q,"="&amp;$B50,사진대지!$Z:$Z,"="&amp;M$4)</f>
        <v>0</v>
      </c>
      <c r="N50" s="74">
        <f>+SUMIFS(사진대지!$R:$R,사진대지!$Q:$Q,"="&amp;$B50,사진대지!$Z:$Z,"="&amp;N$4)</f>
        <v>0</v>
      </c>
      <c r="O50" s="74">
        <f>+SUMIFS(사진대지!$R:$R,사진대지!$Q:$Q,"="&amp;$B50,사진대지!$Z:$Z,"="&amp;O$4)</f>
        <v>0</v>
      </c>
      <c r="P50" s="74">
        <f>+SUMIFS(사진대지!$R:$R,사진대지!$Q:$Q,"="&amp;$B50,사진대지!$Z:$Z,"="&amp;P$4)</f>
        <v>0</v>
      </c>
      <c r="Q50" s="74">
        <f>+SUMIFS(사진대지!$R:$R,사진대지!$Q:$Q,"="&amp;$B50,사진대지!$Z:$Z,"="&amp;Q$4)</f>
        <v>0</v>
      </c>
      <c r="R50" s="74">
        <f>+SUMIFS(사진대지!$R:$R,사진대지!$Q:$Q,"="&amp;$B50,사진대지!$Z:$Z,"="&amp;R$4)</f>
        <v>0</v>
      </c>
      <c r="S50" s="74">
        <f>+SUMIFS(사진대지!$R:$R,사진대지!$Q:$Q,"="&amp;$B50,사진대지!$Z:$Z,"="&amp;S$4)</f>
        <v>0</v>
      </c>
      <c r="T50" s="74">
        <f>+SUMIFS(사진대지!$R:$R,사진대지!$Q:$Q,"="&amp;$B50,사진대지!$Z:$Z,"="&amp;T$4)</f>
        <v>0</v>
      </c>
      <c r="U50" s="74">
        <f>+SUMIFS(사진대지!$R:$R,사진대지!$Q:$Q,"="&amp;$B50,사진대지!$Z:$Z,"="&amp;U$4)</f>
        <v>0</v>
      </c>
      <c r="V50" s="78"/>
      <c r="W50" s="83" t="str">
        <f t="shared" si="0"/>
        <v>금속관벽체200</v>
      </c>
      <c r="X50" s="98">
        <f t="shared" si="1"/>
        <v>0</v>
      </c>
      <c r="Y50" s="75"/>
      <c r="Z50" s="75"/>
      <c r="AA50" s="84" t="str">
        <f t="shared" si="2"/>
        <v>금속관벽체200</v>
      </c>
      <c r="AB50" s="102">
        <f>누계!L50+X50</f>
        <v>0</v>
      </c>
    </row>
    <row r="51" spans="1:28" ht="20.100000000000001" customHeight="1" x14ac:dyDescent="0.3">
      <c r="A51" s="8"/>
      <c r="B51" s="7" t="s">
        <v>100</v>
      </c>
      <c r="C51" s="73">
        <f>+SUMIFS(사진대지!$R:$R,사진대지!$Q:$Q,"="&amp;$B51,사진대지!$Z:$Z,"="&amp;C$4)</f>
        <v>0</v>
      </c>
      <c r="D51" s="73">
        <f>+SUMIFS(사진대지!$R:$R,사진대지!$Q:$Q,"="&amp;$B51,사진대지!$Z:$Z,"="&amp;D$4)</f>
        <v>0</v>
      </c>
      <c r="E51" s="74">
        <f>+SUMIFS(사진대지!$R:$R,사진대지!$Q:$Q,"="&amp;$B51,사진대지!$Z:$Z,"="&amp;E$4)</f>
        <v>0</v>
      </c>
      <c r="F51" s="74">
        <f>+SUMIFS(사진대지!$R:$R,사진대지!$Q:$Q,"="&amp;$B51,사진대지!$Z:$Z,"="&amp;F$4)</f>
        <v>0</v>
      </c>
      <c r="G51" s="74">
        <f>+SUMIFS(사진대지!$R:$R,사진대지!$Q:$Q,"="&amp;$B51,사진대지!$Z:$Z,"="&amp;G$4)</f>
        <v>0</v>
      </c>
      <c r="H51" s="74">
        <f>+SUMIFS(사진대지!$R:$R,사진대지!$Q:$Q,"="&amp;$B51,사진대지!$Z:$Z,"="&amp;H$4)</f>
        <v>0</v>
      </c>
      <c r="I51" s="74">
        <f>+SUMIFS(사진대지!$R:$R,사진대지!$Q:$Q,"="&amp;$B51,사진대지!$Z:$Z,"="&amp;I$4)</f>
        <v>0</v>
      </c>
      <c r="J51" s="74">
        <f>+SUMIFS(사진대지!$R:$R,사진대지!$Q:$Q,"="&amp;$B51,사진대지!$Z:$Z,"="&amp;J$4)</f>
        <v>0</v>
      </c>
      <c r="K51" s="74">
        <f>+SUMIFS(사진대지!$R:$R,사진대지!$Q:$Q,"="&amp;$B51,사진대지!$Z:$Z,"="&amp;K$4)</f>
        <v>0</v>
      </c>
      <c r="L51" s="74">
        <f>+SUMIFS(사진대지!$R:$R,사진대지!$Q:$Q,"="&amp;$B51,사진대지!$Z:$Z,"="&amp;L$4)</f>
        <v>0</v>
      </c>
      <c r="M51" s="74">
        <f>+SUMIFS(사진대지!$R:$R,사진대지!$Q:$Q,"="&amp;$B51,사진대지!$Z:$Z,"="&amp;M$4)</f>
        <v>0</v>
      </c>
      <c r="N51" s="74">
        <f>+SUMIFS(사진대지!$R:$R,사진대지!$Q:$Q,"="&amp;$B51,사진대지!$Z:$Z,"="&amp;N$4)</f>
        <v>0</v>
      </c>
      <c r="O51" s="74">
        <f>+SUMIFS(사진대지!$R:$R,사진대지!$Q:$Q,"="&amp;$B51,사진대지!$Z:$Z,"="&amp;O$4)</f>
        <v>0</v>
      </c>
      <c r="P51" s="74">
        <f>+SUMIFS(사진대지!$R:$R,사진대지!$Q:$Q,"="&amp;$B51,사진대지!$Z:$Z,"="&amp;P$4)</f>
        <v>0</v>
      </c>
      <c r="Q51" s="74">
        <f>+SUMIFS(사진대지!$R:$R,사진대지!$Q:$Q,"="&amp;$B51,사진대지!$Z:$Z,"="&amp;Q$4)</f>
        <v>0</v>
      </c>
      <c r="R51" s="74">
        <f>+SUMIFS(사진대지!$R:$R,사진대지!$Q:$Q,"="&amp;$B51,사진대지!$Z:$Z,"="&amp;R$4)</f>
        <v>0</v>
      </c>
      <c r="S51" s="74">
        <f>+SUMIFS(사진대지!$R:$R,사진대지!$Q:$Q,"="&amp;$B51,사진대지!$Z:$Z,"="&amp;S$4)</f>
        <v>0</v>
      </c>
      <c r="T51" s="74">
        <f>+SUMIFS(사진대지!$R:$R,사진대지!$Q:$Q,"="&amp;$B51,사진대지!$Z:$Z,"="&amp;T$4)</f>
        <v>0</v>
      </c>
      <c r="U51" s="74">
        <f>+SUMIFS(사진대지!$R:$R,사진대지!$Q:$Q,"="&amp;$B51,사진대지!$Z:$Z,"="&amp;U$4)</f>
        <v>0</v>
      </c>
      <c r="V51" s="78"/>
      <c r="W51" s="83" t="str">
        <f t="shared" si="0"/>
        <v>금속관벽체250</v>
      </c>
      <c r="X51" s="98">
        <f t="shared" si="1"/>
        <v>0</v>
      </c>
      <c r="Y51" s="75"/>
      <c r="Z51" s="75"/>
      <c r="AA51" s="84" t="str">
        <f t="shared" si="2"/>
        <v>금속관벽체250</v>
      </c>
      <c r="AB51" s="102">
        <f>누계!L51+X51</f>
        <v>0</v>
      </c>
    </row>
    <row r="52" spans="1:28" ht="20.100000000000001" customHeight="1" x14ac:dyDescent="0.3">
      <c r="A52" s="8"/>
      <c r="B52" s="7" t="s">
        <v>101</v>
      </c>
      <c r="C52" s="73">
        <f>+SUMIFS(사진대지!$R:$R,사진대지!$Q:$Q,"="&amp;$B52,사진대지!$Z:$Z,"="&amp;C$4)</f>
        <v>0</v>
      </c>
      <c r="D52" s="73">
        <f>+SUMIFS(사진대지!$R:$R,사진대지!$Q:$Q,"="&amp;$B52,사진대지!$Z:$Z,"="&amp;D$4)</f>
        <v>0</v>
      </c>
      <c r="E52" s="74">
        <f>+SUMIFS(사진대지!$R:$R,사진대지!$Q:$Q,"="&amp;$B52,사진대지!$Z:$Z,"="&amp;E$4)</f>
        <v>0</v>
      </c>
      <c r="F52" s="74">
        <f>+SUMIFS(사진대지!$R:$R,사진대지!$Q:$Q,"="&amp;$B52,사진대지!$Z:$Z,"="&amp;F$4)</f>
        <v>0</v>
      </c>
      <c r="G52" s="74">
        <f>+SUMIFS(사진대지!$R:$R,사진대지!$Q:$Q,"="&amp;$B52,사진대지!$Z:$Z,"="&amp;G$4)</f>
        <v>0</v>
      </c>
      <c r="H52" s="74">
        <f>+SUMIFS(사진대지!$R:$R,사진대지!$Q:$Q,"="&amp;$B52,사진대지!$Z:$Z,"="&amp;H$4)</f>
        <v>0</v>
      </c>
      <c r="I52" s="74">
        <f>+SUMIFS(사진대지!$R:$R,사진대지!$Q:$Q,"="&amp;$B52,사진대지!$Z:$Z,"="&amp;I$4)</f>
        <v>0</v>
      </c>
      <c r="J52" s="74">
        <f>+SUMIFS(사진대지!$R:$R,사진대지!$Q:$Q,"="&amp;$B52,사진대지!$Z:$Z,"="&amp;J$4)</f>
        <v>0</v>
      </c>
      <c r="K52" s="74">
        <f>+SUMIFS(사진대지!$R:$R,사진대지!$Q:$Q,"="&amp;$B52,사진대지!$Z:$Z,"="&amp;K$4)</f>
        <v>0</v>
      </c>
      <c r="L52" s="74">
        <f>+SUMIFS(사진대지!$R:$R,사진대지!$Q:$Q,"="&amp;$B52,사진대지!$Z:$Z,"="&amp;L$4)</f>
        <v>0</v>
      </c>
      <c r="M52" s="74">
        <f>+SUMIFS(사진대지!$R:$R,사진대지!$Q:$Q,"="&amp;$B52,사진대지!$Z:$Z,"="&amp;M$4)</f>
        <v>0</v>
      </c>
      <c r="N52" s="74">
        <f>+SUMIFS(사진대지!$R:$R,사진대지!$Q:$Q,"="&amp;$B52,사진대지!$Z:$Z,"="&amp;N$4)</f>
        <v>0</v>
      </c>
      <c r="O52" s="74">
        <f>+SUMIFS(사진대지!$R:$R,사진대지!$Q:$Q,"="&amp;$B52,사진대지!$Z:$Z,"="&amp;O$4)</f>
        <v>0</v>
      </c>
      <c r="P52" s="74">
        <f>+SUMIFS(사진대지!$R:$R,사진대지!$Q:$Q,"="&amp;$B52,사진대지!$Z:$Z,"="&amp;P$4)</f>
        <v>0</v>
      </c>
      <c r="Q52" s="74">
        <f>+SUMIFS(사진대지!$R:$R,사진대지!$Q:$Q,"="&amp;$B52,사진대지!$Z:$Z,"="&amp;Q$4)</f>
        <v>0</v>
      </c>
      <c r="R52" s="74">
        <f>+SUMIFS(사진대지!$R:$R,사진대지!$Q:$Q,"="&amp;$B52,사진대지!$Z:$Z,"="&amp;R$4)</f>
        <v>0</v>
      </c>
      <c r="S52" s="74">
        <f>+SUMIFS(사진대지!$R:$R,사진대지!$Q:$Q,"="&amp;$B52,사진대지!$Z:$Z,"="&amp;S$4)</f>
        <v>0</v>
      </c>
      <c r="T52" s="74">
        <f>+SUMIFS(사진대지!$R:$R,사진대지!$Q:$Q,"="&amp;$B52,사진대지!$Z:$Z,"="&amp;T$4)</f>
        <v>0</v>
      </c>
      <c r="U52" s="74">
        <f>+SUMIFS(사진대지!$R:$R,사진대지!$Q:$Q,"="&amp;$B52,사진대지!$Z:$Z,"="&amp;U$4)</f>
        <v>0</v>
      </c>
      <c r="V52" s="78"/>
      <c r="W52" s="83" t="str">
        <f t="shared" si="0"/>
        <v>금속관벽체300</v>
      </c>
      <c r="X52" s="98">
        <f t="shared" si="1"/>
        <v>0</v>
      </c>
      <c r="Y52" s="75"/>
      <c r="Z52" s="75"/>
      <c r="AA52" s="84" t="str">
        <f t="shared" si="2"/>
        <v>금속관벽체300</v>
      </c>
      <c r="AB52" s="102">
        <f>누계!L52+X52</f>
        <v>0</v>
      </c>
    </row>
    <row r="53" spans="1:28" ht="20.100000000000001" customHeight="1" x14ac:dyDescent="0.3">
      <c r="A53" s="8"/>
      <c r="B53" s="7" t="s">
        <v>102</v>
      </c>
      <c r="C53" s="73">
        <f>+SUMIFS(사진대지!$R:$R,사진대지!$Q:$Q,"="&amp;$B53,사진대지!$Z:$Z,"="&amp;C$4)</f>
        <v>0</v>
      </c>
      <c r="D53" s="73">
        <f>+SUMIFS(사진대지!$R:$R,사진대지!$Q:$Q,"="&amp;$B53,사진대지!$Z:$Z,"="&amp;D$4)</f>
        <v>0</v>
      </c>
      <c r="E53" s="74">
        <f>+SUMIFS(사진대지!$R:$R,사진대지!$Q:$Q,"="&amp;$B53,사진대지!$Z:$Z,"="&amp;E$4)</f>
        <v>0</v>
      </c>
      <c r="F53" s="74">
        <f>+SUMIFS(사진대지!$R:$R,사진대지!$Q:$Q,"="&amp;$B53,사진대지!$Z:$Z,"="&amp;F$4)</f>
        <v>0</v>
      </c>
      <c r="G53" s="74">
        <f>+SUMIFS(사진대지!$R:$R,사진대지!$Q:$Q,"="&amp;$B53,사진대지!$Z:$Z,"="&amp;G$4)</f>
        <v>0</v>
      </c>
      <c r="H53" s="74">
        <f>+SUMIFS(사진대지!$R:$R,사진대지!$Q:$Q,"="&amp;$B53,사진대지!$Z:$Z,"="&amp;H$4)</f>
        <v>0</v>
      </c>
      <c r="I53" s="74">
        <f>+SUMIFS(사진대지!$R:$R,사진대지!$Q:$Q,"="&amp;$B53,사진대지!$Z:$Z,"="&amp;I$4)</f>
        <v>0</v>
      </c>
      <c r="J53" s="74">
        <f>+SUMIFS(사진대지!$R:$R,사진대지!$Q:$Q,"="&amp;$B53,사진대지!$Z:$Z,"="&amp;J$4)</f>
        <v>0</v>
      </c>
      <c r="K53" s="74">
        <f>+SUMIFS(사진대지!$R:$R,사진대지!$Q:$Q,"="&amp;$B53,사진대지!$Z:$Z,"="&amp;K$4)</f>
        <v>0</v>
      </c>
      <c r="L53" s="74">
        <f>+SUMIFS(사진대지!$R:$R,사진대지!$Q:$Q,"="&amp;$B53,사진대지!$Z:$Z,"="&amp;L$4)</f>
        <v>0</v>
      </c>
      <c r="M53" s="74">
        <f>+SUMIFS(사진대지!$R:$R,사진대지!$Q:$Q,"="&amp;$B53,사진대지!$Z:$Z,"="&amp;M$4)</f>
        <v>0</v>
      </c>
      <c r="N53" s="74">
        <f>+SUMIFS(사진대지!$R:$R,사진대지!$Q:$Q,"="&amp;$B53,사진대지!$Z:$Z,"="&amp;N$4)</f>
        <v>0</v>
      </c>
      <c r="O53" s="74">
        <f>+SUMIFS(사진대지!$R:$R,사진대지!$Q:$Q,"="&amp;$B53,사진대지!$Z:$Z,"="&amp;O$4)</f>
        <v>0</v>
      </c>
      <c r="P53" s="74">
        <f>+SUMIFS(사진대지!$R:$R,사진대지!$Q:$Q,"="&amp;$B53,사진대지!$Z:$Z,"="&amp;P$4)</f>
        <v>0</v>
      </c>
      <c r="Q53" s="74">
        <f>+SUMIFS(사진대지!$R:$R,사진대지!$Q:$Q,"="&amp;$B53,사진대지!$Z:$Z,"="&amp;Q$4)</f>
        <v>0</v>
      </c>
      <c r="R53" s="74">
        <f>+SUMIFS(사진대지!$R:$R,사진대지!$Q:$Q,"="&amp;$B53,사진대지!$Z:$Z,"="&amp;R$4)</f>
        <v>0</v>
      </c>
      <c r="S53" s="74">
        <f>+SUMIFS(사진대지!$R:$R,사진대지!$Q:$Q,"="&amp;$B53,사진대지!$Z:$Z,"="&amp;S$4)</f>
        <v>0</v>
      </c>
      <c r="T53" s="74">
        <f>+SUMIFS(사진대지!$R:$R,사진대지!$Q:$Q,"="&amp;$B53,사진대지!$Z:$Z,"="&amp;T$4)</f>
        <v>0</v>
      </c>
      <c r="U53" s="74">
        <f>+SUMIFS(사진대지!$R:$R,사진대지!$Q:$Q,"="&amp;$B53,사진대지!$Z:$Z,"="&amp;U$4)</f>
        <v>0</v>
      </c>
      <c r="V53" s="78"/>
      <c r="W53" s="83" t="str">
        <f t="shared" si="0"/>
        <v>금속관벽체350</v>
      </c>
      <c r="X53" s="98">
        <f t="shared" si="1"/>
        <v>0</v>
      </c>
      <c r="Y53" s="75"/>
      <c r="Z53" s="75"/>
      <c r="AA53" s="84" t="str">
        <f t="shared" si="2"/>
        <v>금속관벽체350</v>
      </c>
      <c r="AB53" s="102">
        <f>누계!L53+X53</f>
        <v>0</v>
      </c>
    </row>
    <row r="54" spans="1:28" ht="20.100000000000001" customHeight="1" x14ac:dyDescent="0.3">
      <c r="A54" s="8"/>
      <c r="B54" s="7" t="s">
        <v>103</v>
      </c>
      <c r="C54" s="73">
        <f>+SUMIFS(사진대지!$R:$R,사진대지!$Q:$Q,"="&amp;$B54,사진대지!$Z:$Z,"="&amp;C$4)</f>
        <v>0</v>
      </c>
      <c r="D54" s="73">
        <f>+SUMIFS(사진대지!$R:$R,사진대지!$Q:$Q,"="&amp;$B54,사진대지!$Z:$Z,"="&amp;D$4)</f>
        <v>0</v>
      </c>
      <c r="E54" s="74">
        <f>+SUMIFS(사진대지!$R:$R,사진대지!$Q:$Q,"="&amp;$B54,사진대지!$Z:$Z,"="&amp;E$4)</f>
        <v>0</v>
      </c>
      <c r="F54" s="74">
        <f>+SUMIFS(사진대지!$R:$R,사진대지!$Q:$Q,"="&amp;$B54,사진대지!$Z:$Z,"="&amp;F$4)</f>
        <v>0</v>
      </c>
      <c r="G54" s="74">
        <f>+SUMIFS(사진대지!$R:$R,사진대지!$Q:$Q,"="&amp;$B54,사진대지!$Z:$Z,"="&amp;G$4)</f>
        <v>0</v>
      </c>
      <c r="H54" s="74">
        <f>+SUMIFS(사진대지!$R:$R,사진대지!$Q:$Q,"="&amp;$B54,사진대지!$Z:$Z,"="&amp;H$4)</f>
        <v>0</v>
      </c>
      <c r="I54" s="74">
        <f>+SUMIFS(사진대지!$R:$R,사진대지!$Q:$Q,"="&amp;$B54,사진대지!$Z:$Z,"="&amp;I$4)</f>
        <v>0</v>
      </c>
      <c r="J54" s="74">
        <f>+SUMIFS(사진대지!$R:$R,사진대지!$Q:$Q,"="&amp;$B54,사진대지!$Z:$Z,"="&amp;J$4)</f>
        <v>0</v>
      </c>
      <c r="K54" s="74">
        <f>+SUMIFS(사진대지!$R:$R,사진대지!$Q:$Q,"="&amp;$B54,사진대지!$Z:$Z,"="&amp;K$4)</f>
        <v>0</v>
      </c>
      <c r="L54" s="74">
        <f>+SUMIFS(사진대지!$R:$R,사진대지!$Q:$Q,"="&amp;$B54,사진대지!$Z:$Z,"="&amp;L$4)</f>
        <v>0</v>
      </c>
      <c r="M54" s="74">
        <f>+SUMIFS(사진대지!$R:$R,사진대지!$Q:$Q,"="&amp;$B54,사진대지!$Z:$Z,"="&amp;M$4)</f>
        <v>0</v>
      </c>
      <c r="N54" s="74">
        <f>+SUMIFS(사진대지!$R:$R,사진대지!$Q:$Q,"="&amp;$B54,사진대지!$Z:$Z,"="&amp;N$4)</f>
        <v>0</v>
      </c>
      <c r="O54" s="74">
        <f>+SUMIFS(사진대지!$R:$R,사진대지!$Q:$Q,"="&amp;$B54,사진대지!$Z:$Z,"="&amp;O$4)</f>
        <v>0</v>
      </c>
      <c r="P54" s="74">
        <f>+SUMIFS(사진대지!$R:$R,사진대지!$Q:$Q,"="&amp;$B54,사진대지!$Z:$Z,"="&amp;P$4)</f>
        <v>0</v>
      </c>
      <c r="Q54" s="74">
        <f>+SUMIFS(사진대지!$R:$R,사진대지!$Q:$Q,"="&amp;$B54,사진대지!$Z:$Z,"="&amp;Q$4)</f>
        <v>0</v>
      </c>
      <c r="R54" s="74">
        <f>+SUMIFS(사진대지!$R:$R,사진대지!$Q:$Q,"="&amp;$B54,사진대지!$Z:$Z,"="&amp;R$4)</f>
        <v>0</v>
      </c>
      <c r="S54" s="74">
        <f>+SUMIFS(사진대지!$R:$R,사진대지!$Q:$Q,"="&amp;$B54,사진대지!$Z:$Z,"="&amp;S$4)</f>
        <v>0</v>
      </c>
      <c r="T54" s="74">
        <f>+SUMIFS(사진대지!$R:$R,사진대지!$Q:$Q,"="&amp;$B54,사진대지!$Z:$Z,"="&amp;T$4)</f>
        <v>0</v>
      </c>
      <c r="U54" s="74">
        <f>+SUMIFS(사진대지!$R:$R,사진대지!$Q:$Q,"="&amp;$B54,사진대지!$Z:$Z,"="&amp;U$4)</f>
        <v>0</v>
      </c>
      <c r="V54" s="78"/>
      <c r="W54" s="83" t="str">
        <f t="shared" ref="W54:W105" si="18">B54</f>
        <v>금속관벽체400</v>
      </c>
      <c r="X54" s="98">
        <f t="shared" ref="X54:X105" si="19">+SUM(C54:U54)</f>
        <v>0</v>
      </c>
      <c r="Y54" s="75"/>
      <c r="Z54" s="75"/>
      <c r="AA54" s="84" t="str">
        <f t="shared" si="2"/>
        <v>금속관벽체400</v>
      </c>
      <c r="AB54" s="102">
        <f>누계!L54+X54</f>
        <v>0</v>
      </c>
    </row>
    <row r="55" spans="1:28" ht="20.100000000000001" customHeight="1" x14ac:dyDescent="0.3">
      <c r="A55" s="8"/>
      <c r="B55" s="7" t="s">
        <v>104</v>
      </c>
      <c r="C55" s="73">
        <f>+SUMIFS(사진대지!$R:$R,사진대지!$Q:$Q,"="&amp;$B55,사진대지!$Z:$Z,"="&amp;C$4)</f>
        <v>0</v>
      </c>
      <c r="D55" s="73">
        <f>+SUMIFS(사진대지!$R:$R,사진대지!$Q:$Q,"="&amp;$B55,사진대지!$Z:$Z,"="&amp;D$4)</f>
        <v>0</v>
      </c>
      <c r="E55" s="74">
        <f>+SUMIFS(사진대지!$R:$R,사진대지!$Q:$Q,"="&amp;$B55,사진대지!$Z:$Z,"="&amp;E$4)</f>
        <v>0</v>
      </c>
      <c r="F55" s="74">
        <f>+SUMIFS(사진대지!$R:$R,사진대지!$Q:$Q,"="&amp;$B55,사진대지!$Z:$Z,"="&amp;F$4)</f>
        <v>0</v>
      </c>
      <c r="G55" s="74">
        <f>+SUMIFS(사진대지!$R:$R,사진대지!$Q:$Q,"="&amp;$B55,사진대지!$Z:$Z,"="&amp;G$4)</f>
        <v>0</v>
      </c>
      <c r="H55" s="74">
        <f>+SUMIFS(사진대지!$R:$R,사진대지!$Q:$Q,"="&amp;$B55,사진대지!$Z:$Z,"="&amp;H$4)</f>
        <v>0</v>
      </c>
      <c r="I55" s="74">
        <f>+SUMIFS(사진대지!$R:$R,사진대지!$Q:$Q,"="&amp;$B55,사진대지!$Z:$Z,"="&amp;I$4)</f>
        <v>0</v>
      </c>
      <c r="J55" s="74">
        <f>+SUMIFS(사진대지!$R:$R,사진대지!$Q:$Q,"="&amp;$B55,사진대지!$Z:$Z,"="&amp;J$4)</f>
        <v>0</v>
      </c>
      <c r="K55" s="74">
        <f>+SUMIFS(사진대지!$R:$R,사진대지!$Q:$Q,"="&amp;$B55,사진대지!$Z:$Z,"="&amp;K$4)</f>
        <v>0</v>
      </c>
      <c r="L55" s="74">
        <f>+SUMIFS(사진대지!$R:$R,사진대지!$Q:$Q,"="&amp;$B55,사진대지!$Z:$Z,"="&amp;L$4)</f>
        <v>0</v>
      </c>
      <c r="M55" s="74">
        <f>+SUMIFS(사진대지!$R:$R,사진대지!$Q:$Q,"="&amp;$B55,사진대지!$Z:$Z,"="&amp;M$4)</f>
        <v>0</v>
      </c>
      <c r="N55" s="74">
        <f>+SUMIFS(사진대지!$R:$R,사진대지!$Q:$Q,"="&amp;$B55,사진대지!$Z:$Z,"="&amp;N$4)</f>
        <v>0</v>
      </c>
      <c r="O55" s="74">
        <f>+SUMIFS(사진대지!$R:$R,사진대지!$Q:$Q,"="&amp;$B55,사진대지!$Z:$Z,"="&amp;O$4)</f>
        <v>0</v>
      </c>
      <c r="P55" s="74">
        <f>+SUMIFS(사진대지!$R:$R,사진대지!$Q:$Q,"="&amp;$B55,사진대지!$Z:$Z,"="&amp;P$4)</f>
        <v>0</v>
      </c>
      <c r="Q55" s="74">
        <f>+SUMIFS(사진대지!$R:$R,사진대지!$Q:$Q,"="&amp;$B55,사진대지!$Z:$Z,"="&amp;Q$4)</f>
        <v>0</v>
      </c>
      <c r="R55" s="74">
        <f>+SUMIFS(사진대지!$R:$R,사진대지!$Q:$Q,"="&amp;$B55,사진대지!$Z:$Z,"="&amp;R$4)</f>
        <v>0</v>
      </c>
      <c r="S55" s="74">
        <f>+SUMIFS(사진대지!$R:$R,사진대지!$Q:$Q,"="&amp;$B55,사진대지!$Z:$Z,"="&amp;S$4)</f>
        <v>0</v>
      </c>
      <c r="T55" s="74">
        <f>+SUMIFS(사진대지!$R:$R,사진대지!$Q:$Q,"="&amp;$B55,사진대지!$Z:$Z,"="&amp;T$4)</f>
        <v>0</v>
      </c>
      <c r="U55" s="74">
        <f>+SUMIFS(사진대지!$R:$R,사진대지!$Q:$Q,"="&amp;$B55,사진대지!$Z:$Z,"="&amp;U$4)</f>
        <v>0</v>
      </c>
      <c r="V55" s="78"/>
      <c r="W55" s="83" t="str">
        <f t="shared" si="18"/>
        <v>금속관벽체450</v>
      </c>
      <c r="X55" s="98">
        <f t="shared" si="19"/>
        <v>0</v>
      </c>
      <c r="Y55" s="75"/>
      <c r="Z55" s="75"/>
      <c r="AA55" s="84" t="str">
        <f t="shared" si="2"/>
        <v>금속관벽체450</v>
      </c>
      <c r="AB55" s="102">
        <f>누계!L55+X55</f>
        <v>0</v>
      </c>
    </row>
    <row r="56" spans="1:28" ht="20.100000000000001" customHeight="1" x14ac:dyDescent="0.3">
      <c r="A56" s="8"/>
      <c r="B56" s="7" t="s">
        <v>105</v>
      </c>
      <c r="C56" s="73">
        <f>+SUMIFS(사진대지!$R:$R,사진대지!$Q:$Q,"="&amp;$B56,사진대지!$Z:$Z,"="&amp;C$4)</f>
        <v>0</v>
      </c>
      <c r="D56" s="73">
        <f>+SUMIFS(사진대지!$R:$R,사진대지!$Q:$Q,"="&amp;$B56,사진대지!$Z:$Z,"="&amp;D$4)</f>
        <v>0</v>
      </c>
      <c r="E56" s="74">
        <f>+SUMIFS(사진대지!$R:$R,사진대지!$Q:$Q,"="&amp;$B56,사진대지!$Z:$Z,"="&amp;E$4)</f>
        <v>0</v>
      </c>
      <c r="F56" s="74">
        <f>+SUMIFS(사진대지!$R:$R,사진대지!$Q:$Q,"="&amp;$B56,사진대지!$Z:$Z,"="&amp;F$4)</f>
        <v>0</v>
      </c>
      <c r="G56" s="74">
        <f>+SUMIFS(사진대지!$R:$R,사진대지!$Q:$Q,"="&amp;$B56,사진대지!$Z:$Z,"="&amp;G$4)</f>
        <v>0</v>
      </c>
      <c r="H56" s="74">
        <f>+SUMIFS(사진대지!$R:$R,사진대지!$Q:$Q,"="&amp;$B56,사진대지!$Z:$Z,"="&amp;H$4)</f>
        <v>0</v>
      </c>
      <c r="I56" s="74">
        <f>+SUMIFS(사진대지!$R:$R,사진대지!$Q:$Q,"="&amp;$B56,사진대지!$Z:$Z,"="&amp;I$4)</f>
        <v>0</v>
      </c>
      <c r="J56" s="74">
        <f>+SUMIFS(사진대지!$R:$R,사진대지!$Q:$Q,"="&amp;$B56,사진대지!$Z:$Z,"="&amp;J$4)</f>
        <v>0</v>
      </c>
      <c r="K56" s="74">
        <f>+SUMIFS(사진대지!$R:$R,사진대지!$Q:$Q,"="&amp;$B56,사진대지!$Z:$Z,"="&amp;K$4)</f>
        <v>0</v>
      </c>
      <c r="L56" s="74">
        <f>+SUMIFS(사진대지!$R:$R,사진대지!$Q:$Q,"="&amp;$B56,사진대지!$Z:$Z,"="&amp;L$4)</f>
        <v>0</v>
      </c>
      <c r="M56" s="74">
        <f>+SUMIFS(사진대지!$R:$R,사진대지!$Q:$Q,"="&amp;$B56,사진대지!$Z:$Z,"="&amp;M$4)</f>
        <v>0</v>
      </c>
      <c r="N56" s="74">
        <f>+SUMIFS(사진대지!$R:$R,사진대지!$Q:$Q,"="&amp;$B56,사진대지!$Z:$Z,"="&amp;N$4)</f>
        <v>0</v>
      </c>
      <c r="O56" s="74">
        <f>+SUMIFS(사진대지!$R:$R,사진대지!$Q:$Q,"="&amp;$B56,사진대지!$Z:$Z,"="&amp;O$4)</f>
        <v>0</v>
      </c>
      <c r="P56" s="74">
        <f>+SUMIFS(사진대지!$R:$R,사진대지!$Q:$Q,"="&amp;$B56,사진대지!$Z:$Z,"="&amp;P$4)</f>
        <v>0</v>
      </c>
      <c r="Q56" s="74">
        <f>+SUMIFS(사진대지!$R:$R,사진대지!$Q:$Q,"="&amp;$B56,사진대지!$Z:$Z,"="&amp;Q$4)</f>
        <v>0</v>
      </c>
      <c r="R56" s="74">
        <f>+SUMIFS(사진대지!$R:$R,사진대지!$Q:$Q,"="&amp;$B56,사진대지!$Z:$Z,"="&amp;R$4)</f>
        <v>0</v>
      </c>
      <c r="S56" s="74">
        <f>+SUMIFS(사진대지!$R:$R,사진대지!$Q:$Q,"="&amp;$B56,사진대지!$Z:$Z,"="&amp;S$4)</f>
        <v>0</v>
      </c>
      <c r="T56" s="74">
        <f>+SUMIFS(사진대지!$R:$R,사진대지!$Q:$Q,"="&amp;$B56,사진대지!$Z:$Z,"="&amp;T$4)</f>
        <v>0</v>
      </c>
      <c r="U56" s="74">
        <f>+SUMIFS(사진대지!$R:$R,사진대지!$Q:$Q,"="&amp;$B56,사진대지!$Z:$Z,"="&amp;U$4)</f>
        <v>0</v>
      </c>
      <c r="V56" s="78"/>
      <c r="W56" s="83" t="str">
        <f t="shared" si="18"/>
        <v>금속관벽체500</v>
      </c>
      <c r="X56" s="98">
        <f t="shared" si="19"/>
        <v>0</v>
      </c>
      <c r="Y56" s="75"/>
      <c r="Z56" s="75"/>
      <c r="AA56" s="84" t="str">
        <f t="shared" si="2"/>
        <v>금속관벽체500</v>
      </c>
      <c r="AB56" s="102">
        <f>누계!L56+X56</f>
        <v>0</v>
      </c>
    </row>
    <row r="57" spans="1:28" s="25" customFormat="1" ht="20.100000000000001" customHeight="1" x14ac:dyDescent="0.3">
      <c r="A57" s="5"/>
      <c r="B57" s="7" t="s">
        <v>90</v>
      </c>
      <c r="C57" s="73">
        <f>+SUMIFS(사진대지!$R:$R,사진대지!$Q:$Q,"="&amp;$B57,사진대지!$Z:$Z,"="&amp;C$4)</f>
        <v>0</v>
      </c>
      <c r="D57" s="73">
        <f>+SUMIFS(사진대지!$R:$R,사진대지!$Q:$Q,"="&amp;$B57,사진대지!$Z:$Z,"="&amp;D$4)</f>
        <v>0</v>
      </c>
      <c r="E57" s="74">
        <f>+SUMIFS(사진대지!$R:$R,사진대지!$Q:$Q,"="&amp;$B57,사진대지!$Z:$Z,"="&amp;E$4)</f>
        <v>0</v>
      </c>
      <c r="F57" s="74">
        <f>+SUMIFS(사진대지!$R:$R,사진대지!$Q:$Q,"="&amp;$B57,사진대지!$Z:$Z,"="&amp;F$4)</f>
        <v>0</v>
      </c>
      <c r="G57" s="74">
        <f>+SUMIFS(사진대지!$R:$R,사진대지!$Q:$Q,"="&amp;$B57,사진대지!$Z:$Z,"="&amp;G$4)</f>
        <v>0</v>
      </c>
      <c r="H57" s="74">
        <f>+SUMIFS(사진대지!$R:$R,사진대지!$Q:$Q,"="&amp;$B57,사진대지!$Z:$Z,"="&amp;H$4)</f>
        <v>0</v>
      </c>
      <c r="I57" s="74">
        <f>+SUMIFS(사진대지!$R:$R,사진대지!$Q:$Q,"="&amp;$B57,사진대지!$Z:$Z,"="&amp;I$4)</f>
        <v>0</v>
      </c>
      <c r="J57" s="74">
        <f>+SUMIFS(사진대지!$R:$R,사진대지!$Q:$Q,"="&amp;$B57,사진대지!$Z:$Z,"="&amp;J$4)</f>
        <v>0</v>
      </c>
      <c r="K57" s="74">
        <f>+SUMIFS(사진대지!$R:$R,사진대지!$Q:$Q,"="&amp;$B57,사진대지!$Z:$Z,"="&amp;K$4)</f>
        <v>0</v>
      </c>
      <c r="L57" s="74">
        <f>+SUMIFS(사진대지!$R:$R,사진대지!$Q:$Q,"="&amp;$B57,사진대지!$Z:$Z,"="&amp;L$4)</f>
        <v>0</v>
      </c>
      <c r="M57" s="74">
        <f>+SUMIFS(사진대지!$R:$R,사진대지!$Q:$Q,"="&amp;$B57,사진대지!$Z:$Z,"="&amp;M$4)</f>
        <v>0</v>
      </c>
      <c r="N57" s="74">
        <f>+SUMIFS(사진대지!$R:$R,사진대지!$Q:$Q,"="&amp;$B57,사진대지!$Z:$Z,"="&amp;N$4)</f>
        <v>0</v>
      </c>
      <c r="O57" s="74">
        <f>+SUMIFS(사진대지!$R:$R,사진대지!$Q:$Q,"="&amp;$B57,사진대지!$Z:$Z,"="&amp;O$4)</f>
        <v>0</v>
      </c>
      <c r="P57" s="74">
        <f>+SUMIFS(사진대지!$R:$R,사진대지!$Q:$Q,"="&amp;$B57,사진대지!$Z:$Z,"="&amp;P$4)</f>
        <v>0</v>
      </c>
      <c r="Q57" s="74">
        <f>+SUMIFS(사진대지!$R:$R,사진대지!$Q:$Q,"="&amp;$B57,사진대지!$Z:$Z,"="&amp;Q$4)</f>
        <v>0</v>
      </c>
      <c r="R57" s="74">
        <f>+SUMIFS(사진대지!$R:$R,사진대지!$Q:$Q,"="&amp;$B57,사진대지!$Z:$Z,"="&amp;R$4)</f>
        <v>0</v>
      </c>
      <c r="S57" s="74">
        <f>+SUMIFS(사진대지!$R:$R,사진대지!$Q:$Q,"="&amp;$B57,사진대지!$Z:$Z,"="&amp;S$4)</f>
        <v>0</v>
      </c>
      <c r="T57" s="74">
        <f>+SUMIFS(사진대지!$R:$R,사진대지!$Q:$Q,"="&amp;$B57,사진대지!$Z:$Z,"="&amp;T$4)</f>
        <v>0</v>
      </c>
      <c r="U57" s="74">
        <f>+SUMIFS(사진대지!$R:$R,사진대지!$Q:$Q,"="&amp;$B57,사진대지!$Z:$Z,"="&amp;U$4)</f>
        <v>0</v>
      </c>
      <c r="V57" s="78"/>
      <c r="W57" s="83" t="str">
        <f t="shared" ref="W57" si="20">B57</f>
        <v>스파이럴벽체100</v>
      </c>
      <c r="X57" s="98">
        <f t="shared" ref="X57" si="21">+SUM(C57:U57)</f>
        <v>0</v>
      </c>
      <c r="Y57" s="75"/>
      <c r="Z57" s="75"/>
      <c r="AA57" s="84" t="str">
        <f t="shared" ref="AA57" si="22">W57</f>
        <v>스파이럴벽체100</v>
      </c>
      <c r="AB57" s="102">
        <f>누계!L57+X57</f>
        <v>0</v>
      </c>
    </row>
    <row r="58" spans="1:28" ht="20.100000000000001" customHeight="1" x14ac:dyDescent="0.3">
      <c r="A58" s="5"/>
      <c r="B58" s="7" t="s">
        <v>62</v>
      </c>
      <c r="C58" s="73">
        <f>+SUMIFS(사진대지!$R:$R,사진대지!$Q:$Q,"="&amp;$B58,사진대지!$Z:$Z,"="&amp;C$4)</f>
        <v>0</v>
      </c>
      <c r="D58" s="73">
        <f>+SUMIFS(사진대지!$R:$R,사진대지!$Q:$Q,"="&amp;$B58,사진대지!$Z:$Z,"="&amp;D$4)</f>
        <v>0</v>
      </c>
      <c r="E58" s="74">
        <f>+SUMIFS(사진대지!$R:$R,사진대지!$Q:$Q,"="&amp;$B58,사진대지!$Z:$Z,"="&amp;E$4)</f>
        <v>0</v>
      </c>
      <c r="F58" s="74">
        <f>+SUMIFS(사진대지!$R:$R,사진대지!$Q:$Q,"="&amp;$B58,사진대지!$Z:$Z,"="&amp;F$4)</f>
        <v>0</v>
      </c>
      <c r="G58" s="74">
        <f>+SUMIFS(사진대지!$R:$R,사진대지!$Q:$Q,"="&amp;$B58,사진대지!$Z:$Z,"="&amp;G$4)</f>
        <v>0</v>
      </c>
      <c r="H58" s="74">
        <f>+SUMIFS(사진대지!$R:$R,사진대지!$Q:$Q,"="&amp;$B58,사진대지!$Z:$Z,"="&amp;H$4)</f>
        <v>0</v>
      </c>
      <c r="I58" s="74">
        <f>+SUMIFS(사진대지!$R:$R,사진대지!$Q:$Q,"="&amp;$B58,사진대지!$Z:$Z,"="&amp;I$4)</f>
        <v>0</v>
      </c>
      <c r="J58" s="74">
        <f>+SUMIFS(사진대지!$R:$R,사진대지!$Q:$Q,"="&amp;$B58,사진대지!$Z:$Z,"="&amp;J$4)</f>
        <v>0</v>
      </c>
      <c r="K58" s="74">
        <f>+SUMIFS(사진대지!$R:$R,사진대지!$Q:$Q,"="&amp;$B58,사진대지!$Z:$Z,"="&amp;K$4)</f>
        <v>0</v>
      </c>
      <c r="L58" s="74">
        <f>+SUMIFS(사진대지!$R:$R,사진대지!$Q:$Q,"="&amp;$B58,사진대지!$Z:$Z,"="&amp;L$4)</f>
        <v>0</v>
      </c>
      <c r="M58" s="74">
        <f>+SUMIFS(사진대지!$R:$R,사진대지!$Q:$Q,"="&amp;$B58,사진대지!$Z:$Z,"="&amp;M$4)</f>
        <v>0</v>
      </c>
      <c r="N58" s="74">
        <f>+SUMIFS(사진대지!$R:$R,사진대지!$Q:$Q,"="&amp;$B58,사진대지!$Z:$Z,"="&amp;N$4)</f>
        <v>0</v>
      </c>
      <c r="O58" s="74">
        <f>+SUMIFS(사진대지!$R:$R,사진대지!$Q:$Q,"="&amp;$B58,사진대지!$Z:$Z,"="&amp;O$4)</f>
        <v>0</v>
      </c>
      <c r="P58" s="74">
        <f>+SUMIFS(사진대지!$R:$R,사진대지!$Q:$Q,"="&amp;$B58,사진대지!$Z:$Z,"="&amp;P$4)</f>
        <v>0</v>
      </c>
      <c r="Q58" s="74">
        <f>+SUMIFS(사진대지!$R:$R,사진대지!$Q:$Q,"="&amp;$B58,사진대지!$Z:$Z,"="&amp;Q$4)</f>
        <v>0</v>
      </c>
      <c r="R58" s="74">
        <f>+SUMIFS(사진대지!$R:$R,사진대지!$Q:$Q,"="&amp;$B58,사진대지!$Z:$Z,"="&amp;R$4)</f>
        <v>0</v>
      </c>
      <c r="S58" s="74">
        <f>+SUMIFS(사진대지!$R:$R,사진대지!$Q:$Q,"="&amp;$B58,사진대지!$Z:$Z,"="&amp;S$4)</f>
        <v>0</v>
      </c>
      <c r="T58" s="74">
        <f>+SUMIFS(사진대지!$R:$R,사진대지!$Q:$Q,"="&amp;$B58,사진대지!$Z:$Z,"="&amp;T$4)</f>
        <v>0</v>
      </c>
      <c r="U58" s="74">
        <f>+SUMIFS(사진대지!$R:$R,사진대지!$Q:$Q,"="&amp;$B58,사진대지!$Z:$Z,"="&amp;U$4)</f>
        <v>0</v>
      </c>
      <c r="V58" s="78"/>
      <c r="W58" s="83" t="str">
        <f>B58</f>
        <v>스파이럴벽체125</v>
      </c>
      <c r="X58" s="98">
        <f>+SUM(C58:U58)</f>
        <v>0</v>
      </c>
      <c r="Y58" s="75"/>
      <c r="Z58" s="75"/>
      <c r="AA58" s="84" t="str">
        <f>W58</f>
        <v>스파이럴벽체125</v>
      </c>
      <c r="AB58" s="102">
        <f>누계!L58+X58</f>
        <v>0</v>
      </c>
    </row>
    <row r="59" spans="1:28" s="25" customFormat="1" ht="20.100000000000001" customHeight="1" x14ac:dyDescent="0.3">
      <c r="A59" s="5"/>
      <c r="B59" s="7" t="s">
        <v>63</v>
      </c>
      <c r="C59" s="73">
        <f>+SUMIFS(사진대지!$R:$R,사진대지!$Q:$Q,"="&amp;$B59,사진대지!$Z:$Z,"="&amp;C$4)</f>
        <v>0</v>
      </c>
      <c r="D59" s="73">
        <f>+SUMIFS(사진대지!$R:$R,사진대지!$Q:$Q,"="&amp;$B59,사진대지!$Z:$Z,"="&amp;D$4)</f>
        <v>0</v>
      </c>
      <c r="E59" s="74">
        <f>+SUMIFS(사진대지!$R:$R,사진대지!$Q:$Q,"="&amp;$B59,사진대지!$Z:$Z,"="&amp;E$4)</f>
        <v>0</v>
      </c>
      <c r="F59" s="74">
        <f>+SUMIFS(사진대지!$R:$R,사진대지!$Q:$Q,"="&amp;$B59,사진대지!$Z:$Z,"="&amp;F$4)</f>
        <v>0</v>
      </c>
      <c r="G59" s="74">
        <f>+SUMIFS(사진대지!$R:$R,사진대지!$Q:$Q,"="&amp;$B59,사진대지!$Z:$Z,"="&amp;G$4)</f>
        <v>0</v>
      </c>
      <c r="H59" s="74">
        <f>+SUMIFS(사진대지!$R:$R,사진대지!$Q:$Q,"="&amp;$B59,사진대지!$Z:$Z,"="&amp;H$4)</f>
        <v>0</v>
      </c>
      <c r="I59" s="74">
        <f>+SUMIFS(사진대지!$R:$R,사진대지!$Q:$Q,"="&amp;$B59,사진대지!$Z:$Z,"="&amp;I$4)</f>
        <v>0</v>
      </c>
      <c r="J59" s="74">
        <f>+SUMIFS(사진대지!$R:$R,사진대지!$Q:$Q,"="&amp;$B59,사진대지!$Z:$Z,"="&amp;J$4)</f>
        <v>0</v>
      </c>
      <c r="K59" s="74">
        <f>+SUMIFS(사진대지!$R:$R,사진대지!$Q:$Q,"="&amp;$B59,사진대지!$Z:$Z,"="&amp;K$4)</f>
        <v>0</v>
      </c>
      <c r="L59" s="74">
        <f>+SUMIFS(사진대지!$R:$R,사진대지!$Q:$Q,"="&amp;$B59,사진대지!$Z:$Z,"="&amp;L$4)</f>
        <v>0</v>
      </c>
      <c r="M59" s="74">
        <f>+SUMIFS(사진대지!$R:$R,사진대지!$Q:$Q,"="&amp;$B59,사진대지!$Z:$Z,"="&amp;M$4)</f>
        <v>0</v>
      </c>
      <c r="N59" s="74">
        <f>+SUMIFS(사진대지!$R:$R,사진대지!$Q:$Q,"="&amp;$B59,사진대지!$Z:$Z,"="&amp;N$4)</f>
        <v>0</v>
      </c>
      <c r="O59" s="74">
        <f>+SUMIFS(사진대지!$R:$R,사진대지!$Q:$Q,"="&amp;$B59,사진대지!$Z:$Z,"="&amp;O$4)</f>
        <v>0</v>
      </c>
      <c r="P59" s="74">
        <f>+SUMIFS(사진대지!$R:$R,사진대지!$Q:$Q,"="&amp;$B59,사진대지!$Z:$Z,"="&amp;P$4)</f>
        <v>0</v>
      </c>
      <c r="Q59" s="74">
        <f>+SUMIFS(사진대지!$R:$R,사진대지!$Q:$Q,"="&amp;$B59,사진대지!$Z:$Z,"="&amp;Q$4)</f>
        <v>0</v>
      </c>
      <c r="R59" s="74">
        <f>+SUMIFS(사진대지!$R:$R,사진대지!$Q:$Q,"="&amp;$B59,사진대지!$Z:$Z,"="&amp;R$4)</f>
        <v>0</v>
      </c>
      <c r="S59" s="74">
        <f>+SUMIFS(사진대지!$R:$R,사진대지!$Q:$Q,"="&amp;$B59,사진대지!$Z:$Z,"="&amp;S$4)</f>
        <v>0</v>
      </c>
      <c r="T59" s="74">
        <f>+SUMIFS(사진대지!$R:$R,사진대지!$Q:$Q,"="&amp;$B59,사진대지!$Z:$Z,"="&amp;T$4)</f>
        <v>0</v>
      </c>
      <c r="U59" s="74">
        <f>+SUMIFS(사진대지!$R:$R,사진대지!$Q:$Q,"="&amp;$B59,사진대지!$Z:$Z,"="&amp;U$4)</f>
        <v>0</v>
      </c>
      <c r="V59" s="78"/>
      <c r="W59" s="83" t="str">
        <f t="shared" ref="W59" si="23">B59</f>
        <v>스파이럴벽체150</v>
      </c>
      <c r="X59" s="98">
        <f t="shared" ref="X59" si="24">+SUM(C59:U59)</f>
        <v>0</v>
      </c>
      <c r="Y59" s="75"/>
      <c r="Z59" s="75"/>
      <c r="AA59" s="84" t="str">
        <f t="shared" ref="AA59" si="25">W59</f>
        <v>스파이럴벽체150</v>
      </c>
      <c r="AB59" s="102">
        <f>누계!L59+X59</f>
        <v>0</v>
      </c>
    </row>
    <row r="60" spans="1:28" ht="20.100000000000001" customHeight="1" x14ac:dyDescent="0.3">
      <c r="A60" s="5"/>
      <c r="B60" s="7" t="s">
        <v>91</v>
      </c>
      <c r="C60" s="73">
        <f>+SUMIFS(사진대지!$R:$R,사진대지!$Q:$Q,"="&amp;$B60,사진대지!$Z:$Z,"="&amp;C$4)</f>
        <v>0</v>
      </c>
      <c r="D60" s="73">
        <f>+SUMIFS(사진대지!$R:$R,사진대지!$Q:$Q,"="&amp;$B60,사진대지!$Z:$Z,"="&amp;D$4)</f>
        <v>0</v>
      </c>
      <c r="E60" s="74">
        <f>+SUMIFS(사진대지!$R:$R,사진대지!$Q:$Q,"="&amp;$B60,사진대지!$Z:$Z,"="&amp;E$4)</f>
        <v>0</v>
      </c>
      <c r="F60" s="74">
        <f>+SUMIFS(사진대지!$R:$R,사진대지!$Q:$Q,"="&amp;$B60,사진대지!$Z:$Z,"="&amp;F$4)</f>
        <v>0</v>
      </c>
      <c r="G60" s="74">
        <f>+SUMIFS(사진대지!$R:$R,사진대지!$Q:$Q,"="&amp;$B60,사진대지!$Z:$Z,"="&amp;G$4)</f>
        <v>0</v>
      </c>
      <c r="H60" s="74">
        <f>+SUMIFS(사진대지!$R:$R,사진대지!$Q:$Q,"="&amp;$B60,사진대지!$Z:$Z,"="&amp;H$4)</f>
        <v>0</v>
      </c>
      <c r="I60" s="74">
        <f>+SUMIFS(사진대지!$R:$R,사진대지!$Q:$Q,"="&amp;$B60,사진대지!$Z:$Z,"="&amp;I$4)</f>
        <v>0</v>
      </c>
      <c r="J60" s="74">
        <f>+SUMIFS(사진대지!$R:$R,사진대지!$Q:$Q,"="&amp;$B60,사진대지!$Z:$Z,"="&amp;J$4)</f>
        <v>0</v>
      </c>
      <c r="K60" s="74">
        <f>+SUMIFS(사진대지!$R:$R,사진대지!$Q:$Q,"="&amp;$B60,사진대지!$Z:$Z,"="&amp;K$4)</f>
        <v>0</v>
      </c>
      <c r="L60" s="74">
        <f>+SUMIFS(사진대지!$R:$R,사진대지!$Q:$Q,"="&amp;$B60,사진대지!$Z:$Z,"="&amp;L$4)</f>
        <v>0</v>
      </c>
      <c r="M60" s="74">
        <f>+SUMIFS(사진대지!$R:$R,사진대지!$Q:$Q,"="&amp;$B60,사진대지!$Z:$Z,"="&amp;M$4)</f>
        <v>0</v>
      </c>
      <c r="N60" s="74">
        <f>+SUMIFS(사진대지!$R:$R,사진대지!$Q:$Q,"="&amp;$B60,사진대지!$Z:$Z,"="&amp;N$4)</f>
        <v>0</v>
      </c>
      <c r="O60" s="74">
        <f>+SUMIFS(사진대지!$R:$R,사진대지!$Q:$Q,"="&amp;$B60,사진대지!$Z:$Z,"="&amp;O$4)</f>
        <v>0</v>
      </c>
      <c r="P60" s="74">
        <f>+SUMIFS(사진대지!$R:$R,사진대지!$Q:$Q,"="&amp;$B60,사진대지!$Z:$Z,"="&amp;P$4)</f>
        <v>0</v>
      </c>
      <c r="Q60" s="74">
        <f>+SUMIFS(사진대지!$R:$R,사진대지!$Q:$Q,"="&amp;$B60,사진대지!$Z:$Z,"="&amp;Q$4)</f>
        <v>0</v>
      </c>
      <c r="R60" s="74">
        <f>+SUMIFS(사진대지!$R:$R,사진대지!$Q:$Q,"="&amp;$B60,사진대지!$Z:$Z,"="&amp;R$4)</f>
        <v>0</v>
      </c>
      <c r="S60" s="74">
        <f>+SUMIFS(사진대지!$R:$R,사진대지!$Q:$Q,"="&amp;$B60,사진대지!$Z:$Z,"="&amp;S$4)</f>
        <v>0</v>
      </c>
      <c r="T60" s="74">
        <f>+SUMIFS(사진대지!$R:$R,사진대지!$Q:$Q,"="&amp;$B60,사진대지!$Z:$Z,"="&amp;T$4)</f>
        <v>0</v>
      </c>
      <c r="U60" s="74">
        <f>+SUMIFS(사진대지!$R:$R,사진대지!$Q:$Q,"="&amp;$B60,사진대지!$Z:$Z,"="&amp;U$4)</f>
        <v>0</v>
      </c>
      <c r="V60" s="78"/>
      <c r="W60" s="83" t="str">
        <f>B60</f>
        <v>스파이럴벽체200</v>
      </c>
      <c r="X60" s="98">
        <f>+SUM(C60:U60)</f>
        <v>0</v>
      </c>
      <c r="Y60" s="75"/>
      <c r="Z60" s="75"/>
      <c r="AA60" s="84" t="str">
        <f>W60</f>
        <v>스파이럴벽체200</v>
      </c>
      <c r="AB60" s="102">
        <f>누계!L60+X60</f>
        <v>0</v>
      </c>
    </row>
    <row r="61" spans="1:28" s="25" customFormat="1" ht="20.100000000000001" customHeight="1" x14ac:dyDescent="0.3">
      <c r="A61" s="5"/>
      <c r="B61" s="7" t="s">
        <v>92</v>
      </c>
      <c r="C61" s="73">
        <f>+SUMIFS(사진대지!$R:$R,사진대지!$Q:$Q,"="&amp;$B61,사진대지!$Z:$Z,"="&amp;C$4)</f>
        <v>0</v>
      </c>
      <c r="D61" s="73">
        <f>+SUMIFS(사진대지!$R:$R,사진대지!$Q:$Q,"="&amp;$B61,사진대지!$Z:$Z,"="&amp;D$4)</f>
        <v>0</v>
      </c>
      <c r="E61" s="74">
        <f>+SUMIFS(사진대지!$R:$R,사진대지!$Q:$Q,"="&amp;$B61,사진대지!$Z:$Z,"="&amp;E$4)</f>
        <v>0</v>
      </c>
      <c r="F61" s="74">
        <f>+SUMIFS(사진대지!$R:$R,사진대지!$Q:$Q,"="&amp;$B61,사진대지!$Z:$Z,"="&amp;F$4)</f>
        <v>0</v>
      </c>
      <c r="G61" s="74">
        <f>+SUMIFS(사진대지!$R:$R,사진대지!$Q:$Q,"="&amp;$B61,사진대지!$Z:$Z,"="&amp;G$4)</f>
        <v>0</v>
      </c>
      <c r="H61" s="74">
        <f>+SUMIFS(사진대지!$R:$R,사진대지!$Q:$Q,"="&amp;$B61,사진대지!$Z:$Z,"="&amp;H$4)</f>
        <v>0</v>
      </c>
      <c r="I61" s="74">
        <f>+SUMIFS(사진대지!$R:$R,사진대지!$Q:$Q,"="&amp;$B61,사진대지!$Z:$Z,"="&amp;I$4)</f>
        <v>0</v>
      </c>
      <c r="J61" s="74">
        <f>+SUMIFS(사진대지!$R:$R,사진대지!$Q:$Q,"="&amp;$B61,사진대지!$Z:$Z,"="&amp;J$4)</f>
        <v>0</v>
      </c>
      <c r="K61" s="74">
        <f>+SUMIFS(사진대지!$R:$R,사진대지!$Q:$Q,"="&amp;$B61,사진대지!$Z:$Z,"="&amp;K$4)</f>
        <v>0</v>
      </c>
      <c r="L61" s="74">
        <f>+SUMIFS(사진대지!$R:$R,사진대지!$Q:$Q,"="&amp;$B61,사진대지!$Z:$Z,"="&amp;L$4)</f>
        <v>0</v>
      </c>
      <c r="M61" s="74">
        <f>+SUMIFS(사진대지!$R:$R,사진대지!$Q:$Q,"="&amp;$B61,사진대지!$Z:$Z,"="&amp;M$4)</f>
        <v>0</v>
      </c>
      <c r="N61" s="74">
        <f>+SUMIFS(사진대지!$R:$R,사진대지!$Q:$Q,"="&amp;$B61,사진대지!$Z:$Z,"="&amp;N$4)</f>
        <v>0</v>
      </c>
      <c r="O61" s="74">
        <f>+SUMIFS(사진대지!$R:$R,사진대지!$Q:$Q,"="&amp;$B61,사진대지!$Z:$Z,"="&amp;O$4)</f>
        <v>0</v>
      </c>
      <c r="P61" s="74">
        <f>+SUMIFS(사진대지!$R:$R,사진대지!$Q:$Q,"="&amp;$B61,사진대지!$Z:$Z,"="&amp;P$4)</f>
        <v>0</v>
      </c>
      <c r="Q61" s="74">
        <f>+SUMIFS(사진대지!$R:$R,사진대지!$Q:$Q,"="&amp;$B61,사진대지!$Z:$Z,"="&amp;Q$4)</f>
        <v>0</v>
      </c>
      <c r="R61" s="74">
        <f>+SUMIFS(사진대지!$R:$R,사진대지!$Q:$Q,"="&amp;$B61,사진대지!$Z:$Z,"="&amp;R$4)</f>
        <v>0</v>
      </c>
      <c r="S61" s="74">
        <f>+SUMIFS(사진대지!$R:$R,사진대지!$Q:$Q,"="&amp;$B61,사진대지!$Z:$Z,"="&amp;S$4)</f>
        <v>0</v>
      </c>
      <c r="T61" s="74">
        <f>+SUMIFS(사진대지!$R:$R,사진대지!$Q:$Q,"="&amp;$B61,사진대지!$Z:$Z,"="&amp;T$4)</f>
        <v>0</v>
      </c>
      <c r="U61" s="74">
        <f>+SUMIFS(사진대지!$R:$R,사진대지!$Q:$Q,"="&amp;$B61,사진대지!$Z:$Z,"="&amp;U$4)</f>
        <v>0</v>
      </c>
      <c r="V61" s="78"/>
      <c r="W61" s="83" t="str">
        <f>B61</f>
        <v>스파이럴벽체250</v>
      </c>
      <c r="X61" s="98">
        <f>+SUM(C61:U61)</f>
        <v>0</v>
      </c>
      <c r="Y61" s="75"/>
      <c r="Z61" s="75"/>
      <c r="AA61" s="84" t="str">
        <f>W61</f>
        <v>스파이럴벽체250</v>
      </c>
      <c r="AB61" s="102">
        <f>누계!L61+X61</f>
        <v>0</v>
      </c>
    </row>
    <row r="62" spans="1:28" s="25" customFormat="1" ht="20.100000000000001" customHeight="1" x14ac:dyDescent="0.3">
      <c r="A62" s="5"/>
      <c r="B62" s="7" t="s">
        <v>93</v>
      </c>
      <c r="C62" s="73">
        <f>+SUMIFS(사진대지!$R:$R,사진대지!$Q:$Q,"="&amp;$B62,사진대지!$Z:$Z,"="&amp;C$4)</f>
        <v>0</v>
      </c>
      <c r="D62" s="73">
        <f>+SUMIFS(사진대지!$R:$R,사진대지!$Q:$Q,"="&amp;$B62,사진대지!$Z:$Z,"="&amp;D$4)</f>
        <v>0</v>
      </c>
      <c r="E62" s="74">
        <f>+SUMIFS(사진대지!$R:$R,사진대지!$Q:$Q,"="&amp;$B62,사진대지!$Z:$Z,"="&amp;E$4)</f>
        <v>0</v>
      </c>
      <c r="F62" s="74">
        <f>+SUMIFS(사진대지!$R:$R,사진대지!$Q:$Q,"="&amp;$B62,사진대지!$Z:$Z,"="&amp;F$4)</f>
        <v>0</v>
      </c>
      <c r="G62" s="74">
        <f>+SUMIFS(사진대지!$R:$R,사진대지!$Q:$Q,"="&amp;$B62,사진대지!$Z:$Z,"="&amp;G$4)</f>
        <v>0</v>
      </c>
      <c r="H62" s="74">
        <f>+SUMIFS(사진대지!$R:$R,사진대지!$Q:$Q,"="&amp;$B62,사진대지!$Z:$Z,"="&amp;H$4)</f>
        <v>0</v>
      </c>
      <c r="I62" s="74">
        <f>+SUMIFS(사진대지!$R:$R,사진대지!$Q:$Q,"="&amp;$B62,사진대지!$Z:$Z,"="&amp;I$4)</f>
        <v>0</v>
      </c>
      <c r="J62" s="74">
        <f>+SUMIFS(사진대지!$R:$R,사진대지!$Q:$Q,"="&amp;$B62,사진대지!$Z:$Z,"="&amp;J$4)</f>
        <v>0</v>
      </c>
      <c r="K62" s="74">
        <f>+SUMIFS(사진대지!$R:$R,사진대지!$Q:$Q,"="&amp;$B62,사진대지!$Z:$Z,"="&amp;K$4)</f>
        <v>0</v>
      </c>
      <c r="L62" s="74">
        <f>+SUMIFS(사진대지!$R:$R,사진대지!$Q:$Q,"="&amp;$B62,사진대지!$Z:$Z,"="&amp;L$4)</f>
        <v>0</v>
      </c>
      <c r="M62" s="74">
        <f>+SUMIFS(사진대지!$R:$R,사진대지!$Q:$Q,"="&amp;$B62,사진대지!$Z:$Z,"="&amp;M$4)</f>
        <v>0</v>
      </c>
      <c r="N62" s="74">
        <f>+SUMIFS(사진대지!$R:$R,사진대지!$Q:$Q,"="&amp;$B62,사진대지!$Z:$Z,"="&amp;N$4)</f>
        <v>0</v>
      </c>
      <c r="O62" s="74">
        <f>+SUMIFS(사진대지!$R:$R,사진대지!$Q:$Q,"="&amp;$B62,사진대지!$Z:$Z,"="&amp;O$4)</f>
        <v>0</v>
      </c>
      <c r="P62" s="74">
        <f>+SUMIFS(사진대지!$R:$R,사진대지!$Q:$Q,"="&amp;$B62,사진대지!$Z:$Z,"="&amp;P$4)</f>
        <v>0</v>
      </c>
      <c r="Q62" s="74">
        <f>+SUMIFS(사진대지!$R:$R,사진대지!$Q:$Q,"="&amp;$B62,사진대지!$Z:$Z,"="&amp;Q$4)</f>
        <v>0</v>
      </c>
      <c r="R62" s="74">
        <f>+SUMIFS(사진대지!$R:$R,사진대지!$Q:$Q,"="&amp;$B62,사진대지!$Z:$Z,"="&amp;R$4)</f>
        <v>0</v>
      </c>
      <c r="S62" s="74">
        <f>+SUMIFS(사진대지!$R:$R,사진대지!$Q:$Q,"="&amp;$B62,사진대지!$Z:$Z,"="&amp;S$4)</f>
        <v>0</v>
      </c>
      <c r="T62" s="74">
        <f>+SUMIFS(사진대지!$R:$R,사진대지!$Q:$Q,"="&amp;$B62,사진대지!$Z:$Z,"="&amp;T$4)</f>
        <v>0</v>
      </c>
      <c r="U62" s="74">
        <f>+SUMIFS(사진대지!$R:$R,사진대지!$Q:$Q,"="&amp;$B62,사진대지!$Z:$Z,"="&amp;U$4)</f>
        <v>0</v>
      </c>
      <c r="V62" s="78"/>
      <c r="W62" s="83" t="str">
        <f>B62</f>
        <v>스파이럴벽체300</v>
      </c>
      <c r="X62" s="98">
        <f>+SUM(C62:U62)</f>
        <v>0</v>
      </c>
      <c r="Y62" s="75"/>
      <c r="Z62" s="75"/>
      <c r="AA62" s="84" t="str">
        <f>W62</f>
        <v>스파이럴벽체300</v>
      </c>
      <c r="AB62" s="102">
        <f>누계!L62+X62</f>
        <v>0</v>
      </c>
    </row>
    <row r="63" spans="1:28" ht="20.100000000000001" customHeight="1" x14ac:dyDescent="0.3">
      <c r="A63" s="5"/>
      <c r="B63" s="28" t="s">
        <v>54</v>
      </c>
      <c r="C63" s="71">
        <f>+SUMIFS(사진대지!$R:$R,사진대지!$Q:$Q,"="&amp;$B63,사진대지!$Z:$Z,"="&amp;C$4)</f>
        <v>0</v>
      </c>
      <c r="D63" s="71">
        <f>+SUMIFS(사진대지!$R:$R,사진대지!$Q:$Q,"="&amp;$B63,사진대지!$Z:$Z,"="&amp;D$4)</f>
        <v>0</v>
      </c>
      <c r="E63" s="72">
        <f>+SUMIFS(사진대지!$R:$R,사진대지!$Q:$Q,"="&amp;$B63,사진대지!$Z:$Z,"="&amp;E$4)</f>
        <v>0</v>
      </c>
      <c r="F63" s="72">
        <f>+SUMIFS(사진대지!$R:$R,사진대지!$Q:$Q,"="&amp;$B63,사진대지!$Z:$Z,"="&amp;F$4)</f>
        <v>0</v>
      </c>
      <c r="G63" s="72">
        <f>+SUMIFS(사진대지!$R:$R,사진대지!$Q:$Q,"="&amp;$B63,사진대지!$Z:$Z,"="&amp;G$4)</f>
        <v>0</v>
      </c>
      <c r="H63" s="72">
        <f>+SUMIFS(사진대지!$R:$R,사진대지!$Q:$Q,"="&amp;$B63,사진대지!$Z:$Z,"="&amp;H$4)</f>
        <v>0</v>
      </c>
      <c r="I63" s="72">
        <f>+SUMIFS(사진대지!$R:$R,사진대지!$Q:$Q,"="&amp;$B63,사진대지!$Z:$Z,"="&amp;I$4)</f>
        <v>0</v>
      </c>
      <c r="J63" s="72">
        <f>+SUMIFS(사진대지!$R:$R,사진대지!$Q:$Q,"="&amp;$B63,사진대지!$Z:$Z,"="&amp;J$4)</f>
        <v>0</v>
      </c>
      <c r="K63" s="72">
        <f>+SUMIFS(사진대지!$R:$R,사진대지!$Q:$Q,"="&amp;$B63,사진대지!$Z:$Z,"="&amp;K$4)</f>
        <v>0</v>
      </c>
      <c r="L63" s="72">
        <f>+SUMIFS(사진대지!$R:$R,사진대지!$Q:$Q,"="&amp;$B63,사진대지!$Z:$Z,"="&amp;L$4)</f>
        <v>0</v>
      </c>
      <c r="M63" s="72">
        <f>+SUMIFS(사진대지!$R:$R,사진대지!$Q:$Q,"="&amp;$B63,사진대지!$Z:$Z,"="&amp;M$4)</f>
        <v>0</v>
      </c>
      <c r="N63" s="72">
        <f>+SUMIFS(사진대지!$R:$R,사진대지!$Q:$Q,"="&amp;$B63,사진대지!$Z:$Z,"="&amp;N$4)</f>
        <v>0</v>
      </c>
      <c r="O63" s="72">
        <f>+SUMIFS(사진대지!$R:$R,사진대지!$Q:$Q,"="&amp;$B63,사진대지!$Z:$Z,"="&amp;O$4)</f>
        <v>0</v>
      </c>
      <c r="P63" s="72">
        <f>+SUMIFS(사진대지!$R:$R,사진대지!$Q:$Q,"="&amp;$B63,사진대지!$Z:$Z,"="&amp;P$4)</f>
        <v>0</v>
      </c>
      <c r="Q63" s="72">
        <f>+SUMIFS(사진대지!$R:$R,사진대지!$Q:$Q,"="&amp;$B63,사진대지!$Z:$Z,"="&amp;Q$4)</f>
        <v>0</v>
      </c>
      <c r="R63" s="72">
        <f>+SUMIFS(사진대지!$R:$R,사진대지!$Q:$Q,"="&amp;$B63,사진대지!$Z:$Z,"="&amp;R$4)</f>
        <v>0</v>
      </c>
      <c r="S63" s="72">
        <f>+SUMIFS(사진대지!$R:$R,사진대지!$Q:$Q,"="&amp;$B63,사진대지!$Z:$Z,"="&amp;S$4)</f>
        <v>0</v>
      </c>
      <c r="T63" s="72">
        <f>+SUMIFS(사진대지!$R:$R,사진대지!$Q:$Q,"="&amp;$B63,사진대지!$Z:$Z,"="&amp;T$4)</f>
        <v>0</v>
      </c>
      <c r="U63" s="72">
        <f>+SUMIFS(사진대지!$R:$R,사진대지!$Q:$Q,"="&amp;$B63,사진대지!$Z:$Z,"="&amp;U$4)</f>
        <v>0</v>
      </c>
      <c r="V63" s="78"/>
      <c r="W63" s="81" t="str">
        <f t="shared" si="18"/>
        <v>PVC입상30</v>
      </c>
      <c r="X63" s="97">
        <f t="shared" si="19"/>
        <v>0</v>
      </c>
      <c r="Y63" s="75"/>
      <c r="Z63" s="75"/>
      <c r="AA63" s="82" t="str">
        <f t="shared" si="2"/>
        <v>PVC입상30</v>
      </c>
      <c r="AB63" s="101">
        <f>누계!L63+X63</f>
        <v>0</v>
      </c>
    </row>
    <row r="64" spans="1:28" ht="20.100000000000001" customHeight="1" x14ac:dyDescent="0.3">
      <c r="A64" s="5"/>
      <c r="B64" s="28" t="s">
        <v>26</v>
      </c>
      <c r="C64" s="71">
        <f>+SUMIFS(사진대지!$R:$R,사진대지!$Q:$Q,"="&amp;$B64,사진대지!$Z:$Z,"="&amp;C$4)</f>
        <v>0</v>
      </c>
      <c r="D64" s="71">
        <f>+SUMIFS(사진대지!$R:$R,사진대지!$Q:$Q,"="&amp;$B64,사진대지!$Z:$Z,"="&amp;D$4)</f>
        <v>0</v>
      </c>
      <c r="E64" s="72">
        <f>+SUMIFS(사진대지!$R:$R,사진대지!$Q:$Q,"="&amp;$B64,사진대지!$Z:$Z,"="&amp;E$4)</f>
        <v>0</v>
      </c>
      <c r="F64" s="72">
        <f>+SUMIFS(사진대지!$R:$R,사진대지!$Q:$Q,"="&amp;$B64,사진대지!$Z:$Z,"="&amp;F$4)</f>
        <v>0</v>
      </c>
      <c r="G64" s="72">
        <f>+SUMIFS(사진대지!$R:$R,사진대지!$Q:$Q,"="&amp;$B64,사진대지!$Z:$Z,"="&amp;G$4)</f>
        <v>0</v>
      </c>
      <c r="H64" s="72">
        <f>+SUMIFS(사진대지!$R:$R,사진대지!$Q:$Q,"="&amp;$B64,사진대지!$Z:$Z,"="&amp;H$4)</f>
        <v>0</v>
      </c>
      <c r="I64" s="72">
        <f>+SUMIFS(사진대지!$R:$R,사진대지!$Q:$Q,"="&amp;$B64,사진대지!$Z:$Z,"="&amp;I$4)</f>
        <v>0</v>
      </c>
      <c r="J64" s="72">
        <f>+SUMIFS(사진대지!$R:$R,사진대지!$Q:$Q,"="&amp;$B64,사진대지!$Z:$Z,"="&amp;J$4)</f>
        <v>0</v>
      </c>
      <c r="K64" s="72">
        <f>+SUMIFS(사진대지!$R:$R,사진대지!$Q:$Q,"="&amp;$B64,사진대지!$Z:$Z,"="&amp;K$4)</f>
        <v>0</v>
      </c>
      <c r="L64" s="72">
        <f>+SUMIFS(사진대지!$R:$R,사진대지!$Q:$Q,"="&amp;$B64,사진대지!$Z:$Z,"="&amp;L$4)</f>
        <v>0</v>
      </c>
      <c r="M64" s="72">
        <f>+SUMIFS(사진대지!$R:$R,사진대지!$Q:$Q,"="&amp;$B64,사진대지!$Z:$Z,"="&amp;M$4)</f>
        <v>0</v>
      </c>
      <c r="N64" s="72">
        <f>+SUMIFS(사진대지!$R:$R,사진대지!$Q:$Q,"="&amp;$B64,사진대지!$Z:$Z,"="&amp;N$4)</f>
        <v>0</v>
      </c>
      <c r="O64" s="72">
        <f>+SUMIFS(사진대지!$R:$R,사진대지!$Q:$Q,"="&amp;$B64,사진대지!$Z:$Z,"="&amp;O$4)</f>
        <v>0</v>
      </c>
      <c r="P64" s="72">
        <f>+SUMIFS(사진대지!$R:$R,사진대지!$Q:$Q,"="&amp;$B64,사진대지!$Z:$Z,"="&amp;P$4)</f>
        <v>0</v>
      </c>
      <c r="Q64" s="72">
        <f>+SUMIFS(사진대지!$R:$R,사진대지!$Q:$Q,"="&amp;$B64,사진대지!$Z:$Z,"="&amp;Q$4)</f>
        <v>0</v>
      </c>
      <c r="R64" s="72">
        <f>+SUMIFS(사진대지!$R:$R,사진대지!$Q:$Q,"="&amp;$B64,사진대지!$Z:$Z,"="&amp;R$4)</f>
        <v>0</v>
      </c>
      <c r="S64" s="72">
        <f>+SUMIFS(사진대지!$R:$R,사진대지!$Q:$Q,"="&amp;$B64,사진대지!$Z:$Z,"="&amp;S$4)</f>
        <v>0</v>
      </c>
      <c r="T64" s="72">
        <f>+SUMIFS(사진대지!$R:$R,사진대지!$Q:$Q,"="&amp;$B64,사진대지!$Z:$Z,"="&amp;T$4)</f>
        <v>0</v>
      </c>
      <c r="U64" s="72">
        <f>+SUMIFS(사진대지!$R:$R,사진대지!$Q:$Q,"="&amp;$B64,사진대지!$Z:$Z,"="&amp;U$4)</f>
        <v>0</v>
      </c>
      <c r="V64" s="78"/>
      <c r="W64" s="81" t="str">
        <f t="shared" si="18"/>
        <v>PVC입상40</v>
      </c>
      <c r="X64" s="97">
        <f t="shared" si="19"/>
        <v>0</v>
      </c>
      <c r="Y64" s="75"/>
      <c r="Z64" s="75"/>
      <c r="AA64" s="82" t="str">
        <f t="shared" si="2"/>
        <v>PVC입상40</v>
      </c>
      <c r="AB64" s="101">
        <f>누계!L64+X64</f>
        <v>0</v>
      </c>
    </row>
    <row r="65" spans="1:28" ht="20.100000000000001" customHeight="1" x14ac:dyDescent="0.3">
      <c r="A65" s="5"/>
      <c r="B65" s="28" t="s">
        <v>27</v>
      </c>
      <c r="C65" s="71">
        <f>+SUMIFS(사진대지!$R:$R,사진대지!$Q:$Q,"="&amp;$B65,사진대지!$Z:$Z,"="&amp;C$4)</f>
        <v>0</v>
      </c>
      <c r="D65" s="71">
        <f>+SUMIFS(사진대지!$R:$R,사진대지!$Q:$Q,"="&amp;$B65,사진대지!$Z:$Z,"="&amp;D$4)</f>
        <v>0</v>
      </c>
      <c r="E65" s="72">
        <f>+SUMIFS(사진대지!$R:$R,사진대지!$Q:$Q,"="&amp;$B65,사진대지!$Z:$Z,"="&amp;E$4)</f>
        <v>0</v>
      </c>
      <c r="F65" s="72">
        <f>+SUMIFS(사진대지!$R:$R,사진대지!$Q:$Q,"="&amp;$B65,사진대지!$Z:$Z,"="&amp;F$4)</f>
        <v>0</v>
      </c>
      <c r="G65" s="72">
        <f>+SUMIFS(사진대지!$R:$R,사진대지!$Q:$Q,"="&amp;$B65,사진대지!$Z:$Z,"="&amp;G$4)</f>
        <v>0</v>
      </c>
      <c r="H65" s="72">
        <f>+SUMIFS(사진대지!$R:$R,사진대지!$Q:$Q,"="&amp;$B65,사진대지!$Z:$Z,"="&amp;H$4)</f>
        <v>0</v>
      </c>
      <c r="I65" s="72">
        <f>+SUMIFS(사진대지!$R:$R,사진대지!$Q:$Q,"="&amp;$B65,사진대지!$Z:$Z,"="&amp;I$4)</f>
        <v>0</v>
      </c>
      <c r="J65" s="72">
        <f>+SUMIFS(사진대지!$R:$R,사진대지!$Q:$Q,"="&amp;$B65,사진대지!$Z:$Z,"="&amp;J$4)</f>
        <v>0</v>
      </c>
      <c r="K65" s="72">
        <f>+SUMIFS(사진대지!$R:$R,사진대지!$Q:$Q,"="&amp;$B65,사진대지!$Z:$Z,"="&amp;K$4)</f>
        <v>0</v>
      </c>
      <c r="L65" s="72">
        <f>+SUMIFS(사진대지!$R:$R,사진대지!$Q:$Q,"="&amp;$B65,사진대지!$Z:$Z,"="&amp;L$4)</f>
        <v>0</v>
      </c>
      <c r="M65" s="72">
        <f>+SUMIFS(사진대지!$R:$R,사진대지!$Q:$Q,"="&amp;$B65,사진대지!$Z:$Z,"="&amp;M$4)</f>
        <v>0</v>
      </c>
      <c r="N65" s="72">
        <f>+SUMIFS(사진대지!$R:$R,사진대지!$Q:$Q,"="&amp;$B65,사진대지!$Z:$Z,"="&amp;N$4)</f>
        <v>0</v>
      </c>
      <c r="O65" s="72">
        <f>+SUMIFS(사진대지!$R:$R,사진대지!$Q:$Q,"="&amp;$B65,사진대지!$Z:$Z,"="&amp;O$4)</f>
        <v>0</v>
      </c>
      <c r="P65" s="72">
        <f>+SUMIFS(사진대지!$R:$R,사진대지!$Q:$Q,"="&amp;$B65,사진대지!$Z:$Z,"="&amp;P$4)</f>
        <v>0</v>
      </c>
      <c r="Q65" s="72">
        <f>+SUMIFS(사진대지!$R:$R,사진대지!$Q:$Q,"="&amp;$B65,사진대지!$Z:$Z,"="&amp;Q$4)</f>
        <v>0</v>
      </c>
      <c r="R65" s="72">
        <f>+SUMIFS(사진대지!$R:$R,사진대지!$Q:$Q,"="&amp;$B65,사진대지!$Z:$Z,"="&amp;R$4)</f>
        <v>0</v>
      </c>
      <c r="S65" s="72">
        <f>+SUMIFS(사진대지!$R:$R,사진대지!$Q:$Q,"="&amp;$B65,사진대지!$Z:$Z,"="&amp;S$4)</f>
        <v>0</v>
      </c>
      <c r="T65" s="72">
        <f>+SUMIFS(사진대지!$R:$R,사진대지!$Q:$Q,"="&amp;$B65,사진대지!$Z:$Z,"="&amp;T$4)</f>
        <v>0</v>
      </c>
      <c r="U65" s="72">
        <f>+SUMIFS(사진대지!$R:$R,사진대지!$Q:$Q,"="&amp;$B65,사진대지!$Z:$Z,"="&amp;U$4)</f>
        <v>0</v>
      </c>
      <c r="V65" s="78"/>
      <c r="W65" s="81" t="str">
        <f t="shared" si="18"/>
        <v>PVC입상50</v>
      </c>
      <c r="X65" s="97">
        <f t="shared" si="19"/>
        <v>0</v>
      </c>
      <c r="Y65" s="75"/>
      <c r="Z65" s="75"/>
      <c r="AA65" s="82" t="str">
        <f t="shared" si="2"/>
        <v>PVC입상50</v>
      </c>
      <c r="AB65" s="101">
        <f>누계!L65+X65</f>
        <v>0</v>
      </c>
    </row>
    <row r="66" spans="1:28" ht="20.100000000000001" customHeight="1" x14ac:dyDescent="0.3">
      <c r="A66" s="5"/>
      <c r="B66" s="28" t="s">
        <v>28</v>
      </c>
      <c r="C66" s="71">
        <f>+SUMIFS(사진대지!$R:$R,사진대지!$Q:$Q,"="&amp;$B66,사진대지!$Z:$Z,"="&amp;C$4)</f>
        <v>0</v>
      </c>
      <c r="D66" s="71">
        <f>+SUMIFS(사진대지!$R:$R,사진대지!$Q:$Q,"="&amp;$B66,사진대지!$Z:$Z,"="&amp;D$4)</f>
        <v>0</v>
      </c>
      <c r="E66" s="72">
        <f>+SUMIFS(사진대지!$R:$R,사진대지!$Q:$Q,"="&amp;$B66,사진대지!$Z:$Z,"="&amp;E$4)</f>
        <v>0</v>
      </c>
      <c r="F66" s="72">
        <f>+SUMIFS(사진대지!$R:$R,사진대지!$Q:$Q,"="&amp;$B66,사진대지!$Z:$Z,"="&amp;F$4)</f>
        <v>0</v>
      </c>
      <c r="G66" s="72">
        <f>+SUMIFS(사진대지!$R:$R,사진대지!$Q:$Q,"="&amp;$B66,사진대지!$Z:$Z,"="&amp;G$4)</f>
        <v>0</v>
      </c>
      <c r="H66" s="72">
        <f>+SUMIFS(사진대지!$R:$R,사진대지!$Q:$Q,"="&amp;$B66,사진대지!$Z:$Z,"="&amp;H$4)</f>
        <v>0</v>
      </c>
      <c r="I66" s="72">
        <f>+SUMIFS(사진대지!$R:$R,사진대지!$Q:$Q,"="&amp;$B66,사진대지!$Z:$Z,"="&amp;I$4)</f>
        <v>0</v>
      </c>
      <c r="J66" s="72">
        <f>+SUMIFS(사진대지!$R:$R,사진대지!$Q:$Q,"="&amp;$B66,사진대지!$Z:$Z,"="&amp;J$4)</f>
        <v>0</v>
      </c>
      <c r="K66" s="72">
        <f>+SUMIFS(사진대지!$R:$R,사진대지!$Q:$Q,"="&amp;$B66,사진대지!$Z:$Z,"="&amp;K$4)</f>
        <v>0</v>
      </c>
      <c r="L66" s="72">
        <f>+SUMIFS(사진대지!$R:$R,사진대지!$Q:$Q,"="&amp;$B66,사진대지!$Z:$Z,"="&amp;L$4)</f>
        <v>0</v>
      </c>
      <c r="M66" s="72">
        <f>+SUMIFS(사진대지!$R:$R,사진대지!$Q:$Q,"="&amp;$B66,사진대지!$Z:$Z,"="&amp;M$4)</f>
        <v>0</v>
      </c>
      <c r="N66" s="72">
        <f>+SUMIFS(사진대지!$R:$R,사진대지!$Q:$Q,"="&amp;$B66,사진대지!$Z:$Z,"="&amp;N$4)</f>
        <v>0</v>
      </c>
      <c r="O66" s="72">
        <f>+SUMIFS(사진대지!$R:$R,사진대지!$Q:$Q,"="&amp;$B66,사진대지!$Z:$Z,"="&amp;O$4)</f>
        <v>0</v>
      </c>
      <c r="P66" s="72">
        <f>+SUMIFS(사진대지!$R:$R,사진대지!$Q:$Q,"="&amp;$B66,사진대지!$Z:$Z,"="&amp;P$4)</f>
        <v>0</v>
      </c>
      <c r="Q66" s="72">
        <f>+SUMIFS(사진대지!$R:$R,사진대지!$Q:$Q,"="&amp;$B66,사진대지!$Z:$Z,"="&amp;Q$4)</f>
        <v>0</v>
      </c>
      <c r="R66" s="72">
        <f>+SUMIFS(사진대지!$R:$R,사진대지!$Q:$Q,"="&amp;$B66,사진대지!$Z:$Z,"="&amp;R$4)</f>
        <v>0</v>
      </c>
      <c r="S66" s="72">
        <f>+SUMIFS(사진대지!$R:$R,사진대지!$Q:$Q,"="&amp;$B66,사진대지!$Z:$Z,"="&amp;S$4)</f>
        <v>0</v>
      </c>
      <c r="T66" s="72">
        <f>+SUMIFS(사진대지!$R:$R,사진대지!$Q:$Q,"="&amp;$B66,사진대지!$Z:$Z,"="&amp;T$4)</f>
        <v>0</v>
      </c>
      <c r="U66" s="72">
        <f>+SUMIFS(사진대지!$R:$R,사진대지!$Q:$Q,"="&amp;$B66,사진대지!$Z:$Z,"="&amp;U$4)</f>
        <v>0</v>
      </c>
      <c r="V66" s="78"/>
      <c r="W66" s="81" t="str">
        <f t="shared" si="18"/>
        <v>PVC입상75</v>
      </c>
      <c r="X66" s="97">
        <f t="shared" si="19"/>
        <v>0</v>
      </c>
      <c r="Y66" s="75"/>
      <c r="Z66" s="75"/>
      <c r="AA66" s="82" t="str">
        <f t="shared" si="2"/>
        <v>PVC입상75</v>
      </c>
      <c r="AB66" s="101">
        <f>누계!L66+X66</f>
        <v>0</v>
      </c>
    </row>
    <row r="67" spans="1:28" ht="20.100000000000001" customHeight="1" x14ac:dyDescent="0.3">
      <c r="A67" s="5"/>
      <c r="B67" s="28" t="s">
        <v>29</v>
      </c>
      <c r="C67" s="71">
        <f>+SUMIFS(사진대지!$R:$R,사진대지!$Q:$Q,"="&amp;$B67,사진대지!$Z:$Z,"="&amp;C$4)</f>
        <v>0</v>
      </c>
      <c r="D67" s="71">
        <f>+SUMIFS(사진대지!$R:$R,사진대지!$Q:$Q,"="&amp;$B67,사진대지!$Z:$Z,"="&amp;D$4)</f>
        <v>0</v>
      </c>
      <c r="E67" s="72">
        <f>+SUMIFS(사진대지!$R:$R,사진대지!$Q:$Q,"="&amp;$B67,사진대지!$Z:$Z,"="&amp;E$4)</f>
        <v>0</v>
      </c>
      <c r="F67" s="72">
        <f>+SUMIFS(사진대지!$R:$R,사진대지!$Q:$Q,"="&amp;$B67,사진대지!$Z:$Z,"="&amp;F$4)</f>
        <v>0</v>
      </c>
      <c r="G67" s="72">
        <f>+SUMIFS(사진대지!$R:$R,사진대지!$Q:$Q,"="&amp;$B67,사진대지!$Z:$Z,"="&amp;G$4)</f>
        <v>0</v>
      </c>
      <c r="H67" s="72">
        <f>+SUMIFS(사진대지!$R:$R,사진대지!$Q:$Q,"="&amp;$B67,사진대지!$Z:$Z,"="&amp;H$4)</f>
        <v>0</v>
      </c>
      <c r="I67" s="72">
        <f>+SUMIFS(사진대지!$R:$R,사진대지!$Q:$Q,"="&amp;$B67,사진대지!$Z:$Z,"="&amp;I$4)</f>
        <v>0</v>
      </c>
      <c r="J67" s="72">
        <f>+SUMIFS(사진대지!$R:$R,사진대지!$Q:$Q,"="&amp;$B67,사진대지!$Z:$Z,"="&amp;J$4)</f>
        <v>0</v>
      </c>
      <c r="K67" s="72">
        <f>+SUMIFS(사진대지!$R:$R,사진대지!$Q:$Q,"="&amp;$B67,사진대지!$Z:$Z,"="&amp;K$4)</f>
        <v>0</v>
      </c>
      <c r="L67" s="72">
        <f>+SUMIFS(사진대지!$R:$R,사진대지!$Q:$Q,"="&amp;$B67,사진대지!$Z:$Z,"="&amp;L$4)</f>
        <v>0</v>
      </c>
      <c r="M67" s="72">
        <f>+SUMIFS(사진대지!$R:$R,사진대지!$Q:$Q,"="&amp;$B67,사진대지!$Z:$Z,"="&amp;M$4)</f>
        <v>0</v>
      </c>
      <c r="N67" s="72">
        <f>+SUMIFS(사진대지!$R:$R,사진대지!$Q:$Q,"="&amp;$B67,사진대지!$Z:$Z,"="&amp;N$4)</f>
        <v>0</v>
      </c>
      <c r="O67" s="72">
        <f>+SUMIFS(사진대지!$R:$R,사진대지!$Q:$Q,"="&amp;$B67,사진대지!$Z:$Z,"="&amp;O$4)</f>
        <v>0</v>
      </c>
      <c r="P67" s="72">
        <f>+SUMIFS(사진대지!$R:$R,사진대지!$Q:$Q,"="&amp;$B67,사진대지!$Z:$Z,"="&amp;P$4)</f>
        <v>0</v>
      </c>
      <c r="Q67" s="72">
        <f>+SUMIFS(사진대지!$R:$R,사진대지!$Q:$Q,"="&amp;$B67,사진대지!$Z:$Z,"="&amp;Q$4)</f>
        <v>0</v>
      </c>
      <c r="R67" s="72">
        <f>+SUMIFS(사진대지!$R:$R,사진대지!$Q:$Q,"="&amp;$B67,사진대지!$Z:$Z,"="&amp;R$4)</f>
        <v>0</v>
      </c>
      <c r="S67" s="72">
        <f>+SUMIFS(사진대지!$R:$R,사진대지!$Q:$Q,"="&amp;$B67,사진대지!$Z:$Z,"="&amp;S$4)</f>
        <v>0</v>
      </c>
      <c r="T67" s="72">
        <f>+SUMIFS(사진대지!$R:$R,사진대지!$Q:$Q,"="&amp;$B67,사진대지!$Z:$Z,"="&amp;T$4)</f>
        <v>0</v>
      </c>
      <c r="U67" s="72">
        <f>+SUMIFS(사진대지!$R:$R,사진대지!$Q:$Q,"="&amp;$B67,사진대지!$Z:$Z,"="&amp;U$4)</f>
        <v>0</v>
      </c>
      <c r="V67" s="78"/>
      <c r="W67" s="81" t="str">
        <f t="shared" si="18"/>
        <v>PVC입상100</v>
      </c>
      <c r="X67" s="97">
        <f t="shared" si="19"/>
        <v>0</v>
      </c>
      <c r="Y67" s="75"/>
      <c r="Z67" s="75"/>
      <c r="AA67" s="82" t="str">
        <f t="shared" si="2"/>
        <v>PVC입상100</v>
      </c>
      <c r="AB67" s="101">
        <f>누계!L67+X67</f>
        <v>0</v>
      </c>
    </row>
    <row r="68" spans="1:28" ht="20.100000000000001" customHeight="1" x14ac:dyDescent="0.3">
      <c r="A68" s="5"/>
      <c r="B68" s="28" t="s">
        <v>30</v>
      </c>
      <c r="C68" s="71">
        <f>+SUMIFS(사진대지!$R:$R,사진대지!$Q:$Q,"="&amp;$B68,사진대지!$Z:$Z,"="&amp;C$4)</f>
        <v>0</v>
      </c>
      <c r="D68" s="71">
        <f>+SUMIFS(사진대지!$R:$R,사진대지!$Q:$Q,"="&amp;$B68,사진대지!$Z:$Z,"="&amp;D$4)</f>
        <v>0</v>
      </c>
      <c r="E68" s="72">
        <f>+SUMIFS(사진대지!$R:$R,사진대지!$Q:$Q,"="&amp;$B68,사진대지!$Z:$Z,"="&amp;E$4)</f>
        <v>0</v>
      </c>
      <c r="F68" s="72">
        <f>+SUMIFS(사진대지!$R:$R,사진대지!$Q:$Q,"="&amp;$B68,사진대지!$Z:$Z,"="&amp;F$4)</f>
        <v>0</v>
      </c>
      <c r="G68" s="72">
        <f>+SUMIFS(사진대지!$R:$R,사진대지!$Q:$Q,"="&amp;$B68,사진대지!$Z:$Z,"="&amp;G$4)</f>
        <v>0</v>
      </c>
      <c r="H68" s="72">
        <f>+SUMIFS(사진대지!$R:$R,사진대지!$Q:$Q,"="&amp;$B68,사진대지!$Z:$Z,"="&amp;H$4)</f>
        <v>0</v>
      </c>
      <c r="I68" s="72">
        <f>+SUMIFS(사진대지!$R:$R,사진대지!$Q:$Q,"="&amp;$B68,사진대지!$Z:$Z,"="&amp;I$4)</f>
        <v>0</v>
      </c>
      <c r="J68" s="72">
        <f>+SUMIFS(사진대지!$R:$R,사진대지!$Q:$Q,"="&amp;$B68,사진대지!$Z:$Z,"="&amp;J$4)</f>
        <v>0</v>
      </c>
      <c r="K68" s="72">
        <f>+SUMIFS(사진대지!$R:$R,사진대지!$Q:$Q,"="&amp;$B68,사진대지!$Z:$Z,"="&amp;K$4)</f>
        <v>0</v>
      </c>
      <c r="L68" s="72">
        <f>+SUMIFS(사진대지!$R:$R,사진대지!$Q:$Q,"="&amp;$B68,사진대지!$Z:$Z,"="&amp;L$4)</f>
        <v>0</v>
      </c>
      <c r="M68" s="72">
        <f>+SUMIFS(사진대지!$R:$R,사진대지!$Q:$Q,"="&amp;$B68,사진대지!$Z:$Z,"="&amp;M$4)</f>
        <v>0</v>
      </c>
      <c r="N68" s="72">
        <f>+SUMIFS(사진대지!$R:$R,사진대지!$Q:$Q,"="&amp;$B68,사진대지!$Z:$Z,"="&amp;N$4)</f>
        <v>0</v>
      </c>
      <c r="O68" s="72">
        <f>+SUMIFS(사진대지!$R:$R,사진대지!$Q:$Q,"="&amp;$B68,사진대지!$Z:$Z,"="&amp;O$4)</f>
        <v>0</v>
      </c>
      <c r="P68" s="72">
        <f>+SUMIFS(사진대지!$R:$R,사진대지!$Q:$Q,"="&amp;$B68,사진대지!$Z:$Z,"="&amp;P$4)</f>
        <v>0</v>
      </c>
      <c r="Q68" s="72">
        <f>+SUMIFS(사진대지!$R:$R,사진대지!$Q:$Q,"="&amp;$B68,사진대지!$Z:$Z,"="&amp;Q$4)</f>
        <v>0</v>
      </c>
      <c r="R68" s="72">
        <f>+SUMIFS(사진대지!$R:$R,사진대지!$Q:$Q,"="&amp;$B68,사진대지!$Z:$Z,"="&amp;R$4)</f>
        <v>0</v>
      </c>
      <c r="S68" s="72">
        <f>+SUMIFS(사진대지!$R:$R,사진대지!$Q:$Q,"="&amp;$B68,사진대지!$Z:$Z,"="&amp;S$4)</f>
        <v>0</v>
      </c>
      <c r="T68" s="72">
        <f>+SUMIFS(사진대지!$R:$R,사진대지!$Q:$Q,"="&amp;$B68,사진대지!$Z:$Z,"="&amp;T$4)</f>
        <v>0</v>
      </c>
      <c r="U68" s="72">
        <f>+SUMIFS(사진대지!$R:$R,사진대지!$Q:$Q,"="&amp;$B68,사진대지!$Z:$Z,"="&amp;U$4)</f>
        <v>0</v>
      </c>
      <c r="V68" s="78"/>
      <c r="W68" s="81" t="str">
        <f t="shared" si="18"/>
        <v>PVC입상125</v>
      </c>
      <c r="X68" s="97">
        <f t="shared" si="19"/>
        <v>0</v>
      </c>
      <c r="Y68" s="75"/>
      <c r="Z68" s="75"/>
      <c r="AA68" s="82" t="str">
        <f t="shared" si="2"/>
        <v>PVC입상125</v>
      </c>
      <c r="AB68" s="101">
        <f>누계!L68+X68</f>
        <v>0</v>
      </c>
    </row>
    <row r="69" spans="1:28" ht="20.100000000000001" customHeight="1" x14ac:dyDescent="0.3">
      <c r="A69" s="5"/>
      <c r="B69" s="28" t="s">
        <v>31</v>
      </c>
      <c r="C69" s="71">
        <f>+SUMIFS(사진대지!$R:$R,사진대지!$Q:$Q,"="&amp;$B69,사진대지!$Z:$Z,"="&amp;C$4)</f>
        <v>0</v>
      </c>
      <c r="D69" s="71">
        <f>+SUMIFS(사진대지!$R:$R,사진대지!$Q:$Q,"="&amp;$B69,사진대지!$Z:$Z,"="&amp;D$4)</f>
        <v>0</v>
      </c>
      <c r="E69" s="72">
        <f>+SUMIFS(사진대지!$R:$R,사진대지!$Q:$Q,"="&amp;$B69,사진대지!$Z:$Z,"="&amp;E$4)</f>
        <v>0</v>
      </c>
      <c r="F69" s="72">
        <f>+SUMIFS(사진대지!$R:$R,사진대지!$Q:$Q,"="&amp;$B69,사진대지!$Z:$Z,"="&amp;F$4)</f>
        <v>0</v>
      </c>
      <c r="G69" s="72">
        <f>+SUMIFS(사진대지!$R:$R,사진대지!$Q:$Q,"="&amp;$B69,사진대지!$Z:$Z,"="&amp;G$4)</f>
        <v>0</v>
      </c>
      <c r="H69" s="72">
        <f>+SUMIFS(사진대지!$R:$R,사진대지!$Q:$Q,"="&amp;$B69,사진대지!$Z:$Z,"="&amp;H$4)</f>
        <v>0</v>
      </c>
      <c r="I69" s="72">
        <f>+SUMIFS(사진대지!$R:$R,사진대지!$Q:$Q,"="&amp;$B69,사진대지!$Z:$Z,"="&amp;I$4)</f>
        <v>0</v>
      </c>
      <c r="J69" s="72">
        <f>+SUMIFS(사진대지!$R:$R,사진대지!$Q:$Q,"="&amp;$B69,사진대지!$Z:$Z,"="&amp;J$4)</f>
        <v>0</v>
      </c>
      <c r="K69" s="72">
        <f>+SUMIFS(사진대지!$R:$R,사진대지!$Q:$Q,"="&amp;$B69,사진대지!$Z:$Z,"="&amp;K$4)</f>
        <v>0</v>
      </c>
      <c r="L69" s="72">
        <f>+SUMIFS(사진대지!$R:$R,사진대지!$Q:$Q,"="&amp;$B69,사진대지!$Z:$Z,"="&amp;L$4)</f>
        <v>0</v>
      </c>
      <c r="M69" s="72">
        <f>+SUMIFS(사진대지!$R:$R,사진대지!$Q:$Q,"="&amp;$B69,사진대지!$Z:$Z,"="&amp;M$4)</f>
        <v>0</v>
      </c>
      <c r="N69" s="72">
        <f>+SUMIFS(사진대지!$R:$R,사진대지!$Q:$Q,"="&amp;$B69,사진대지!$Z:$Z,"="&amp;N$4)</f>
        <v>0</v>
      </c>
      <c r="O69" s="72">
        <f>+SUMIFS(사진대지!$R:$R,사진대지!$Q:$Q,"="&amp;$B69,사진대지!$Z:$Z,"="&amp;O$4)</f>
        <v>0</v>
      </c>
      <c r="P69" s="72">
        <f>+SUMIFS(사진대지!$R:$R,사진대지!$Q:$Q,"="&amp;$B69,사진대지!$Z:$Z,"="&amp;P$4)</f>
        <v>0</v>
      </c>
      <c r="Q69" s="72">
        <f>+SUMIFS(사진대지!$R:$R,사진대지!$Q:$Q,"="&amp;$B69,사진대지!$Z:$Z,"="&amp;Q$4)</f>
        <v>0</v>
      </c>
      <c r="R69" s="72">
        <f>+SUMIFS(사진대지!$R:$R,사진대지!$Q:$Q,"="&amp;$B69,사진대지!$Z:$Z,"="&amp;R$4)</f>
        <v>0</v>
      </c>
      <c r="S69" s="72">
        <f>+SUMIFS(사진대지!$R:$R,사진대지!$Q:$Q,"="&amp;$B69,사진대지!$Z:$Z,"="&amp;S$4)</f>
        <v>0</v>
      </c>
      <c r="T69" s="72">
        <f>+SUMIFS(사진대지!$R:$R,사진대지!$Q:$Q,"="&amp;$B69,사진대지!$Z:$Z,"="&amp;T$4)</f>
        <v>0</v>
      </c>
      <c r="U69" s="72">
        <f>+SUMIFS(사진대지!$R:$R,사진대지!$Q:$Q,"="&amp;$B69,사진대지!$Z:$Z,"="&amp;U$4)</f>
        <v>0</v>
      </c>
      <c r="V69" s="78"/>
      <c r="W69" s="81" t="str">
        <f t="shared" si="18"/>
        <v>PVC입상150</v>
      </c>
      <c r="X69" s="97">
        <f t="shared" si="19"/>
        <v>0</v>
      </c>
      <c r="Y69" s="75"/>
      <c r="Z69" s="75"/>
      <c r="AA69" s="82" t="str">
        <f t="shared" si="2"/>
        <v>PVC입상150</v>
      </c>
      <c r="AB69" s="101">
        <f>누계!L69+X69</f>
        <v>0</v>
      </c>
    </row>
    <row r="70" spans="1:28" ht="20.100000000000001" customHeight="1" x14ac:dyDescent="0.3">
      <c r="A70" s="5"/>
      <c r="B70" s="28" t="s">
        <v>32</v>
      </c>
      <c r="C70" s="71">
        <f>+SUMIFS(사진대지!$R:$R,사진대지!$Q:$Q,"="&amp;$B70,사진대지!$Z:$Z,"="&amp;C$4)</f>
        <v>0</v>
      </c>
      <c r="D70" s="71">
        <f>+SUMIFS(사진대지!$R:$R,사진대지!$Q:$Q,"="&amp;$B70,사진대지!$Z:$Z,"="&amp;D$4)</f>
        <v>0</v>
      </c>
      <c r="E70" s="72">
        <f>+SUMIFS(사진대지!$R:$R,사진대지!$Q:$Q,"="&amp;$B70,사진대지!$Z:$Z,"="&amp;E$4)</f>
        <v>0</v>
      </c>
      <c r="F70" s="72">
        <f>+SUMIFS(사진대지!$R:$R,사진대지!$Q:$Q,"="&amp;$B70,사진대지!$Z:$Z,"="&amp;F$4)</f>
        <v>0</v>
      </c>
      <c r="G70" s="72">
        <f>+SUMIFS(사진대지!$R:$R,사진대지!$Q:$Q,"="&amp;$B70,사진대지!$Z:$Z,"="&amp;G$4)</f>
        <v>0</v>
      </c>
      <c r="H70" s="72">
        <f>+SUMIFS(사진대지!$R:$R,사진대지!$Q:$Q,"="&amp;$B70,사진대지!$Z:$Z,"="&amp;H$4)</f>
        <v>0</v>
      </c>
      <c r="I70" s="72">
        <f>+SUMIFS(사진대지!$R:$R,사진대지!$Q:$Q,"="&amp;$B70,사진대지!$Z:$Z,"="&amp;I$4)</f>
        <v>0</v>
      </c>
      <c r="J70" s="72">
        <f>+SUMIFS(사진대지!$R:$R,사진대지!$Q:$Q,"="&amp;$B70,사진대지!$Z:$Z,"="&amp;J$4)</f>
        <v>0</v>
      </c>
      <c r="K70" s="72">
        <f>+SUMIFS(사진대지!$R:$R,사진대지!$Q:$Q,"="&amp;$B70,사진대지!$Z:$Z,"="&amp;K$4)</f>
        <v>0</v>
      </c>
      <c r="L70" s="72">
        <f>+SUMIFS(사진대지!$R:$R,사진대지!$Q:$Q,"="&amp;$B70,사진대지!$Z:$Z,"="&amp;L$4)</f>
        <v>0</v>
      </c>
      <c r="M70" s="72">
        <f>+SUMIFS(사진대지!$R:$R,사진대지!$Q:$Q,"="&amp;$B70,사진대지!$Z:$Z,"="&amp;M$4)</f>
        <v>0</v>
      </c>
      <c r="N70" s="72">
        <f>+SUMIFS(사진대지!$R:$R,사진대지!$Q:$Q,"="&amp;$B70,사진대지!$Z:$Z,"="&amp;N$4)</f>
        <v>0</v>
      </c>
      <c r="O70" s="72">
        <f>+SUMIFS(사진대지!$R:$R,사진대지!$Q:$Q,"="&amp;$B70,사진대지!$Z:$Z,"="&amp;O$4)</f>
        <v>0</v>
      </c>
      <c r="P70" s="72">
        <f>+SUMIFS(사진대지!$R:$R,사진대지!$Q:$Q,"="&amp;$B70,사진대지!$Z:$Z,"="&amp;P$4)</f>
        <v>0</v>
      </c>
      <c r="Q70" s="72">
        <f>+SUMIFS(사진대지!$R:$R,사진대지!$Q:$Q,"="&amp;$B70,사진대지!$Z:$Z,"="&amp;Q$4)</f>
        <v>0</v>
      </c>
      <c r="R70" s="72">
        <f>+SUMIFS(사진대지!$R:$R,사진대지!$Q:$Q,"="&amp;$B70,사진대지!$Z:$Z,"="&amp;R$4)</f>
        <v>0</v>
      </c>
      <c r="S70" s="72">
        <f>+SUMIFS(사진대지!$R:$R,사진대지!$Q:$Q,"="&amp;$B70,사진대지!$Z:$Z,"="&amp;S$4)</f>
        <v>0</v>
      </c>
      <c r="T70" s="72">
        <f>+SUMIFS(사진대지!$R:$R,사진대지!$Q:$Q,"="&amp;$B70,사진대지!$Z:$Z,"="&amp;T$4)</f>
        <v>0</v>
      </c>
      <c r="U70" s="72">
        <f>+SUMIFS(사진대지!$R:$R,사진대지!$Q:$Q,"="&amp;$B70,사진대지!$Z:$Z,"="&amp;U$4)</f>
        <v>0</v>
      </c>
      <c r="V70" s="78"/>
      <c r="W70" s="81" t="str">
        <f t="shared" si="18"/>
        <v>PVC입상200</v>
      </c>
      <c r="X70" s="97">
        <f t="shared" si="19"/>
        <v>0</v>
      </c>
      <c r="Y70" s="75"/>
      <c r="Z70" s="75"/>
      <c r="AA70" s="82" t="str">
        <f t="shared" si="2"/>
        <v>PVC입상200</v>
      </c>
      <c r="AB70" s="101">
        <f>누계!L70+X70</f>
        <v>0</v>
      </c>
    </row>
    <row r="71" spans="1:28" ht="20.100000000000001" customHeight="1" x14ac:dyDescent="0.3">
      <c r="A71" s="5"/>
      <c r="B71" s="28" t="s">
        <v>33</v>
      </c>
      <c r="C71" s="71">
        <f>+SUMIFS(사진대지!$R:$R,사진대지!$Q:$Q,"="&amp;$B71,사진대지!$Z:$Z,"="&amp;C$4)</f>
        <v>0</v>
      </c>
      <c r="D71" s="71">
        <f>+SUMIFS(사진대지!$R:$R,사진대지!$Q:$Q,"="&amp;$B71,사진대지!$Z:$Z,"="&amp;D$4)</f>
        <v>0</v>
      </c>
      <c r="E71" s="72">
        <f>+SUMIFS(사진대지!$R:$R,사진대지!$Q:$Q,"="&amp;$B71,사진대지!$Z:$Z,"="&amp;E$4)</f>
        <v>0</v>
      </c>
      <c r="F71" s="72">
        <f>+SUMIFS(사진대지!$R:$R,사진대지!$Q:$Q,"="&amp;$B71,사진대지!$Z:$Z,"="&amp;F$4)</f>
        <v>0</v>
      </c>
      <c r="G71" s="72">
        <f>+SUMIFS(사진대지!$R:$R,사진대지!$Q:$Q,"="&amp;$B71,사진대지!$Z:$Z,"="&amp;G$4)</f>
        <v>0</v>
      </c>
      <c r="H71" s="72">
        <f>+SUMIFS(사진대지!$R:$R,사진대지!$Q:$Q,"="&amp;$B71,사진대지!$Z:$Z,"="&amp;H$4)</f>
        <v>0</v>
      </c>
      <c r="I71" s="72">
        <f>+SUMIFS(사진대지!$R:$R,사진대지!$Q:$Q,"="&amp;$B71,사진대지!$Z:$Z,"="&amp;I$4)</f>
        <v>0</v>
      </c>
      <c r="J71" s="72">
        <f>+SUMIFS(사진대지!$R:$R,사진대지!$Q:$Q,"="&amp;$B71,사진대지!$Z:$Z,"="&amp;J$4)</f>
        <v>0</v>
      </c>
      <c r="K71" s="72">
        <f>+SUMIFS(사진대지!$R:$R,사진대지!$Q:$Q,"="&amp;$B71,사진대지!$Z:$Z,"="&amp;K$4)</f>
        <v>0</v>
      </c>
      <c r="L71" s="72">
        <f>+SUMIFS(사진대지!$R:$R,사진대지!$Q:$Q,"="&amp;$B71,사진대지!$Z:$Z,"="&amp;L$4)</f>
        <v>0</v>
      </c>
      <c r="M71" s="72">
        <f>+SUMIFS(사진대지!$R:$R,사진대지!$Q:$Q,"="&amp;$B71,사진대지!$Z:$Z,"="&amp;M$4)</f>
        <v>0</v>
      </c>
      <c r="N71" s="72">
        <f>+SUMIFS(사진대지!$R:$R,사진대지!$Q:$Q,"="&amp;$B71,사진대지!$Z:$Z,"="&amp;N$4)</f>
        <v>0</v>
      </c>
      <c r="O71" s="72">
        <f>+SUMIFS(사진대지!$R:$R,사진대지!$Q:$Q,"="&amp;$B71,사진대지!$Z:$Z,"="&amp;O$4)</f>
        <v>0</v>
      </c>
      <c r="P71" s="72">
        <f>+SUMIFS(사진대지!$R:$R,사진대지!$Q:$Q,"="&amp;$B71,사진대지!$Z:$Z,"="&amp;P$4)</f>
        <v>0</v>
      </c>
      <c r="Q71" s="72">
        <f>+SUMIFS(사진대지!$R:$R,사진대지!$Q:$Q,"="&amp;$B71,사진대지!$Z:$Z,"="&amp;Q$4)</f>
        <v>0</v>
      </c>
      <c r="R71" s="72">
        <f>+SUMIFS(사진대지!$R:$R,사진대지!$Q:$Q,"="&amp;$B71,사진대지!$Z:$Z,"="&amp;R$4)</f>
        <v>0</v>
      </c>
      <c r="S71" s="72">
        <f>+SUMIFS(사진대지!$R:$R,사진대지!$Q:$Q,"="&amp;$B71,사진대지!$Z:$Z,"="&amp;S$4)</f>
        <v>0</v>
      </c>
      <c r="T71" s="72">
        <f>+SUMIFS(사진대지!$R:$R,사진대지!$Q:$Q,"="&amp;$B71,사진대지!$Z:$Z,"="&amp;T$4)</f>
        <v>0</v>
      </c>
      <c r="U71" s="72">
        <f>+SUMIFS(사진대지!$R:$R,사진대지!$Q:$Q,"="&amp;$B71,사진대지!$Z:$Z,"="&amp;U$4)</f>
        <v>0</v>
      </c>
      <c r="V71" s="78"/>
      <c r="W71" s="81" t="str">
        <f t="shared" si="18"/>
        <v>PVC입상250</v>
      </c>
      <c r="X71" s="97">
        <f t="shared" si="19"/>
        <v>0</v>
      </c>
      <c r="Y71" s="75"/>
      <c r="Z71" s="75"/>
      <c r="AA71" s="82" t="str">
        <f t="shared" si="2"/>
        <v>PVC입상250</v>
      </c>
      <c r="AB71" s="101">
        <f>누계!L71+X71</f>
        <v>0</v>
      </c>
    </row>
    <row r="72" spans="1:28" s="25" customFormat="1" ht="20.100000000000001" customHeight="1" x14ac:dyDescent="0.3">
      <c r="A72" s="5"/>
      <c r="B72" s="28" t="s">
        <v>34</v>
      </c>
      <c r="C72" s="71">
        <f>+SUMIFS(사진대지!$R:$R,사진대지!$Q:$Q,"="&amp;$B72,사진대지!$Z:$Z,"="&amp;C$4)</f>
        <v>0</v>
      </c>
      <c r="D72" s="71">
        <f>+SUMIFS(사진대지!$R:$R,사진대지!$Q:$Q,"="&amp;$B72,사진대지!$Z:$Z,"="&amp;D$4)</f>
        <v>0</v>
      </c>
      <c r="E72" s="72">
        <f>+SUMIFS(사진대지!$R:$R,사진대지!$Q:$Q,"="&amp;$B72,사진대지!$Z:$Z,"="&amp;E$4)</f>
        <v>0</v>
      </c>
      <c r="F72" s="72">
        <f>+SUMIFS(사진대지!$R:$R,사진대지!$Q:$Q,"="&amp;$B72,사진대지!$Z:$Z,"="&amp;F$4)</f>
        <v>0</v>
      </c>
      <c r="G72" s="72">
        <f>+SUMIFS(사진대지!$R:$R,사진대지!$Q:$Q,"="&amp;$B72,사진대지!$Z:$Z,"="&amp;G$4)</f>
        <v>0</v>
      </c>
      <c r="H72" s="72">
        <f>+SUMIFS(사진대지!$R:$R,사진대지!$Q:$Q,"="&amp;$B72,사진대지!$Z:$Z,"="&amp;H$4)</f>
        <v>0</v>
      </c>
      <c r="I72" s="72">
        <f>+SUMIFS(사진대지!$R:$R,사진대지!$Q:$Q,"="&amp;$B72,사진대지!$Z:$Z,"="&amp;I$4)</f>
        <v>0</v>
      </c>
      <c r="J72" s="72">
        <f>+SUMIFS(사진대지!$R:$R,사진대지!$Q:$Q,"="&amp;$B72,사진대지!$Z:$Z,"="&amp;J$4)</f>
        <v>0</v>
      </c>
      <c r="K72" s="72">
        <f>+SUMIFS(사진대지!$R:$R,사진대지!$Q:$Q,"="&amp;$B72,사진대지!$Z:$Z,"="&amp;K$4)</f>
        <v>0</v>
      </c>
      <c r="L72" s="72">
        <f>+SUMIFS(사진대지!$R:$R,사진대지!$Q:$Q,"="&amp;$B72,사진대지!$Z:$Z,"="&amp;L$4)</f>
        <v>0</v>
      </c>
      <c r="M72" s="72">
        <f>+SUMIFS(사진대지!$R:$R,사진대지!$Q:$Q,"="&amp;$B72,사진대지!$Z:$Z,"="&amp;M$4)</f>
        <v>0</v>
      </c>
      <c r="N72" s="72">
        <f>+SUMIFS(사진대지!$R:$R,사진대지!$Q:$Q,"="&amp;$B72,사진대지!$Z:$Z,"="&amp;N$4)</f>
        <v>0</v>
      </c>
      <c r="O72" s="72">
        <f>+SUMIFS(사진대지!$R:$R,사진대지!$Q:$Q,"="&amp;$B72,사진대지!$Z:$Z,"="&amp;O$4)</f>
        <v>0</v>
      </c>
      <c r="P72" s="72">
        <f>+SUMIFS(사진대지!$R:$R,사진대지!$Q:$Q,"="&amp;$B72,사진대지!$Z:$Z,"="&amp;P$4)</f>
        <v>0</v>
      </c>
      <c r="Q72" s="72">
        <f>+SUMIFS(사진대지!$R:$R,사진대지!$Q:$Q,"="&amp;$B72,사진대지!$Z:$Z,"="&amp;Q$4)</f>
        <v>0</v>
      </c>
      <c r="R72" s="72">
        <f>+SUMIFS(사진대지!$R:$R,사진대지!$Q:$Q,"="&amp;$B72,사진대지!$Z:$Z,"="&amp;R$4)</f>
        <v>0</v>
      </c>
      <c r="S72" s="72">
        <f>+SUMIFS(사진대지!$R:$R,사진대지!$Q:$Q,"="&amp;$B72,사진대지!$Z:$Z,"="&amp;S$4)</f>
        <v>0</v>
      </c>
      <c r="T72" s="72">
        <f>+SUMIFS(사진대지!$R:$R,사진대지!$Q:$Q,"="&amp;$B72,사진대지!$Z:$Z,"="&amp;T$4)</f>
        <v>0</v>
      </c>
      <c r="U72" s="72">
        <f>+SUMIFS(사진대지!$R:$R,사진대지!$Q:$Q,"="&amp;$B72,사진대지!$Z:$Z,"="&amp;U$4)</f>
        <v>0</v>
      </c>
      <c r="V72" s="78"/>
      <c r="W72" s="81" t="str">
        <f t="shared" si="18"/>
        <v>PVC입상300</v>
      </c>
      <c r="X72" s="97">
        <f t="shared" si="19"/>
        <v>0</v>
      </c>
      <c r="Y72" s="75"/>
      <c r="Z72" s="75"/>
      <c r="AA72" s="82" t="str">
        <f t="shared" si="2"/>
        <v>PVC입상300</v>
      </c>
      <c r="AB72" s="101">
        <f>누계!L72+X72</f>
        <v>0</v>
      </c>
    </row>
    <row r="73" spans="1:28" s="25" customFormat="1" ht="20.100000000000001" customHeight="1" x14ac:dyDescent="0.3">
      <c r="A73" s="5"/>
      <c r="B73" s="28" t="s">
        <v>149</v>
      </c>
      <c r="C73" s="71">
        <f>+SUMIFS(사진대지!$R:$R,사진대지!$Q:$Q,"="&amp;$B73,사진대지!$Z:$Z,"="&amp;C$4)</f>
        <v>0</v>
      </c>
      <c r="D73" s="71">
        <f>+SUMIFS(사진대지!$R:$R,사진대지!$Q:$Q,"="&amp;$B73,사진대지!$Z:$Z,"="&amp;D$4)</f>
        <v>0</v>
      </c>
      <c r="E73" s="72">
        <f>+SUMIFS(사진대지!$R:$R,사진대지!$Q:$Q,"="&amp;$B73,사진대지!$Z:$Z,"="&amp;E$4)</f>
        <v>0</v>
      </c>
      <c r="F73" s="72">
        <f>+SUMIFS(사진대지!$R:$R,사진대지!$Q:$Q,"="&amp;$B73,사진대지!$Z:$Z,"="&amp;F$4)</f>
        <v>0</v>
      </c>
      <c r="G73" s="72">
        <f>+SUMIFS(사진대지!$R:$R,사진대지!$Q:$Q,"="&amp;$B73,사진대지!$Z:$Z,"="&amp;G$4)</f>
        <v>0</v>
      </c>
      <c r="H73" s="72">
        <f>+SUMIFS(사진대지!$R:$R,사진대지!$Q:$Q,"="&amp;$B73,사진대지!$Z:$Z,"="&amp;H$4)</f>
        <v>0</v>
      </c>
      <c r="I73" s="72">
        <f>+SUMIFS(사진대지!$R:$R,사진대지!$Q:$Q,"="&amp;$B73,사진대지!$Z:$Z,"="&amp;I$4)</f>
        <v>0</v>
      </c>
      <c r="J73" s="72">
        <f>+SUMIFS(사진대지!$R:$R,사진대지!$Q:$Q,"="&amp;$B73,사진대지!$Z:$Z,"="&amp;J$4)</f>
        <v>0</v>
      </c>
      <c r="K73" s="72">
        <f>+SUMIFS(사진대지!$R:$R,사진대지!$Q:$Q,"="&amp;$B73,사진대지!$Z:$Z,"="&amp;K$4)</f>
        <v>0</v>
      </c>
      <c r="L73" s="72">
        <f>+SUMIFS(사진대지!$R:$R,사진대지!$Q:$Q,"="&amp;$B73,사진대지!$Z:$Z,"="&amp;L$4)</f>
        <v>0</v>
      </c>
      <c r="M73" s="72">
        <f>+SUMIFS(사진대지!$R:$R,사진대지!$Q:$Q,"="&amp;$B73,사진대지!$Z:$Z,"="&amp;M$4)</f>
        <v>0</v>
      </c>
      <c r="N73" s="72">
        <f>+SUMIFS(사진대지!$R:$R,사진대지!$Q:$Q,"="&amp;$B73,사진대지!$Z:$Z,"="&amp;N$4)</f>
        <v>0</v>
      </c>
      <c r="O73" s="72">
        <f>+SUMIFS(사진대지!$R:$R,사진대지!$Q:$Q,"="&amp;$B73,사진대지!$Z:$Z,"="&amp;O$4)</f>
        <v>0</v>
      </c>
      <c r="P73" s="72">
        <f>+SUMIFS(사진대지!$R:$R,사진대지!$Q:$Q,"="&amp;$B73,사진대지!$Z:$Z,"="&amp;P$4)</f>
        <v>0</v>
      </c>
      <c r="Q73" s="72">
        <f>+SUMIFS(사진대지!$R:$R,사진대지!$Q:$Q,"="&amp;$B73,사진대지!$Z:$Z,"="&amp;Q$4)</f>
        <v>0</v>
      </c>
      <c r="R73" s="72">
        <f>+SUMIFS(사진대지!$R:$R,사진대지!$Q:$Q,"="&amp;$B73,사진대지!$Z:$Z,"="&amp;R$4)</f>
        <v>0</v>
      </c>
      <c r="S73" s="72">
        <f>+SUMIFS(사진대지!$R:$R,사진대지!$Q:$Q,"="&amp;$B73,사진대지!$Z:$Z,"="&amp;S$4)</f>
        <v>0</v>
      </c>
      <c r="T73" s="72">
        <f>+SUMIFS(사진대지!$R:$R,사진대지!$Q:$Q,"="&amp;$B73,사진대지!$Z:$Z,"="&amp;T$4)</f>
        <v>0</v>
      </c>
      <c r="U73" s="72">
        <f>+SUMIFS(사진대지!$R:$R,사진대지!$Q:$Q,"="&amp;$B73,사진대지!$Z:$Z,"="&amp;U$4)</f>
        <v>0</v>
      </c>
      <c r="V73" s="78"/>
      <c r="W73" s="81" t="str">
        <f t="shared" ref="W73" si="26">B73</f>
        <v>PVC입상350</v>
      </c>
      <c r="X73" s="97">
        <f t="shared" ref="X73" si="27">+SUM(C73:U73)</f>
        <v>0</v>
      </c>
      <c r="Y73" s="75"/>
      <c r="Z73" s="75"/>
      <c r="AA73" s="82" t="str">
        <f t="shared" ref="AA73" si="28">W73</f>
        <v>PVC입상350</v>
      </c>
      <c r="AB73" s="101">
        <f>누계!L73+X73</f>
        <v>0</v>
      </c>
    </row>
    <row r="74" spans="1:28" ht="20.100000000000001" customHeight="1" x14ac:dyDescent="0.3">
      <c r="A74" s="5"/>
      <c r="B74" s="28" t="s">
        <v>83</v>
      </c>
      <c r="C74" s="71">
        <f>+SUMIFS(사진대지!$R:$R,사진대지!$Q:$Q,"="&amp;$B74,사진대지!$Z:$Z,"="&amp;C$4)</f>
        <v>0</v>
      </c>
      <c r="D74" s="71">
        <f>+SUMIFS(사진대지!$R:$R,사진대지!$Q:$Q,"="&amp;$B74,사진대지!$Z:$Z,"="&amp;D$4)</f>
        <v>0</v>
      </c>
      <c r="E74" s="72">
        <f>+SUMIFS(사진대지!$R:$R,사진대지!$Q:$Q,"="&amp;$B74,사진대지!$Z:$Z,"="&amp;E$4)</f>
        <v>0</v>
      </c>
      <c r="F74" s="72">
        <f>+SUMIFS(사진대지!$R:$R,사진대지!$Q:$Q,"="&amp;$B74,사진대지!$Z:$Z,"="&amp;F$4)</f>
        <v>0</v>
      </c>
      <c r="G74" s="72">
        <f>+SUMIFS(사진대지!$R:$R,사진대지!$Q:$Q,"="&amp;$B74,사진대지!$Z:$Z,"="&amp;G$4)</f>
        <v>0</v>
      </c>
      <c r="H74" s="72">
        <f>+SUMIFS(사진대지!$R:$R,사진대지!$Q:$Q,"="&amp;$B74,사진대지!$Z:$Z,"="&amp;H$4)</f>
        <v>0</v>
      </c>
      <c r="I74" s="72">
        <f>+SUMIFS(사진대지!$R:$R,사진대지!$Q:$Q,"="&amp;$B74,사진대지!$Z:$Z,"="&amp;I$4)</f>
        <v>0</v>
      </c>
      <c r="J74" s="72">
        <f>+SUMIFS(사진대지!$R:$R,사진대지!$Q:$Q,"="&amp;$B74,사진대지!$Z:$Z,"="&amp;J$4)</f>
        <v>0</v>
      </c>
      <c r="K74" s="72">
        <f>+SUMIFS(사진대지!$R:$R,사진대지!$Q:$Q,"="&amp;$B74,사진대지!$Z:$Z,"="&amp;K$4)</f>
        <v>0</v>
      </c>
      <c r="L74" s="72">
        <f>+SUMIFS(사진대지!$R:$R,사진대지!$Q:$Q,"="&amp;$B74,사진대지!$Z:$Z,"="&amp;L$4)</f>
        <v>0</v>
      </c>
      <c r="M74" s="72">
        <f>+SUMIFS(사진대지!$R:$R,사진대지!$Q:$Q,"="&amp;$B74,사진대지!$Z:$Z,"="&amp;M$4)</f>
        <v>0</v>
      </c>
      <c r="N74" s="72">
        <f>+SUMIFS(사진대지!$R:$R,사진대지!$Q:$Q,"="&amp;$B74,사진대지!$Z:$Z,"="&amp;N$4)</f>
        <v>0</v>
      </c>
      <c r="O74" s="72">
        <f>+SUMIFS(사진대지!$R:$R,사진대지!$Q:$Q,"="&amp;$B74,사진대지!$Z:$Z,"="&amp;O$4)</f>
        <v>0</v>
      </c>
      <c r="P74" s="72">
        <f>+SUMIFS(사진대지!$R:$R,사진대지!$Q:$Q,"="&amp;$B74,사진대지!$Z:$Z,"="&amp;P$4)</f>
        <v>0</v>
      </c>
      <c r="Q74" s="72">
        <f>+SUMIFS(사진대지!$R:$R,사진대지!$Q:$Q,"="&amp;$B74,사진대지!$Z:$Z,"="&amp;Q$4)</f>
        <v>0</v>
      </c>
      <c r="R74" s="72">
        <f>+SUMIFS(사진대지!$R:$R,사진대지!$Q:$Q,"="&amp;$B74,사진대지!$Z:$Z,"="&amp;R$4)</f>
        <v>0</v>
      </c>
      <c r="S74" s="72">
        <f>+SUMIFS(사진대지!$R:$R,사진대지!$Q:$Q,"="&amp;$B74,사진대지!$Z:$Z,"="&amp;S$4)</f>
        <v>0</v>
      </c>
      <c r="T74" s="72">
        <f>+SUMIFS(사진대지!$R:$R,사진대지!$Q:$Q,"="&amp;$B74,사진대지!$Z:$Z,"="&amp;T$4)</f>
        <v>0</v>
      </c>
      <c r="U74" s="72">
        <f>+SUMIFS(사진대지!$R:$R,사진대지!$Q:$Q,"="&amp;$B74,사진대지!$Z:$Z,"="&amp;U$4)</f>
        <v>0</v>
      </c>
      <c r="V74" s="78"/>
      <c r="W74" s="81" t="str">
        <f t="shared" si="18"/>
        <v>PVC입상400</v>
      </c>
      <c r="X74" s="97">
        <f t="shared" si="19"/>
        <v>0</v>
      </c>
      <c r="Y74" s="75"/>
      <c r="Z74" s="75"/>
      <c r="AA74" s="82" t="str">
        <f t="shared" si="2"/>
        <v>PVC입상400</v>
      </c>
      <c r="AB74" s="101">
        <f>누계!L74+X74</f>
        <v>0</v>
      </c>
    </row>
    <row r="75" spans="1:28" s="25" customFormat="1" ht="20.100000000000001" customHeight="1" x14ac:dyDescent="0.3">
      <c r="A75" s="8"/>
      <c r="B75" s="144" t="s">
        <v>94</v>
      </c>
      <c r="C75" s="125">
        <f>+SUMIFS(사진대지!$R:$R,사진대지!$Q:$Q,"="&amp;$B75,사진대지!$Z:$Z,"="&amp;C$4)</f>
        <v>0</v>
      </c>
      <c r="D75" s="125">
        <f>+SUMIFS(사진대지!$R:$R,사진대지!$Q:$Q,"="&amp;$B75,사진대지!$Z:$Z,"="&amp;D$4)</f>
        <v>0</v>
      </c>
      <c r="E75" s="126">
        <f>+SUMIFS(사진대지!$R:$R,사진대지!$Q:$Q,"="&amp;$B75,사진대지!$Z:$Z,"="&amp;E$4)</f>
        <v>0</v>
      </c>
      <c r="F75" s="126">
        <f>+SUMIFS(사진대지!$R:$R,사진대지!$Q:$Q,"="&amp;$B75,사진대지!$Z:$Z,"="&amp;F$4)</f>
        <v>0</v>
      </c>
      <c r="G75" s="126">
        <f>+SUMIFS(사진대지!$R:$R,사진대지!$Q:$Q,"="&amp;$B75,사진대지!$Z:$Z,"="&amp;G$4)</f>
        <v>0</v>
      </c>
      <c r="H75" s="126">
        <f>+SUMIFS(사진대지!$R:$R,사진대지!$Q:$Q,"="&amp;$B75,사진대지!$Z:$Z,"="&amp;H$4)</f>
        <v>0</v>
      </c>
      <c r="I75" s="126">
        <f>+SUMIFS(사진대지!$R:$R,사진대지!$Q:$Q,"="&amp;$B75,사진대지!$Z:$Z,"="&amp;I$4)</f>
        <v>0</v>
      </c>
      <c r="J75" s="126">
        <f>+SUMIFS(사진대지!$R:$R,사진대지!$Q:$Q,"="&amp;$B75,사진대지!$Z:$Z,"="&amp;J$4)</f>
        <v>0</v>
      </c>
      <c r="K75" s="126">
        <f>+SUMIFS(사진대지!$R:$R,사진대지!$Q:$Q,"="&amp;$B75,사진대지!$Z:$Z,"="&amp;K$4)</f>
        <v>0</v>
      </c>
      <c r="L75" s="126">
        <f>+SUMIFS(사진대지!$R:$R,사진대지!$Q:$Q,"="&amp;$B75,사진대지!$Z:$Z,"="&amp;L$4)</f>
        <v>0</v>
      </c>
      <c r="M75" s="126">
        <f>+SUMIFS(사진대지!$R:$R,사진대지!$Q:$Q,"="&amp;$B75,사진대지!$Z:$Z,"="&amp;M$4)</f>
        <v>0</v>
      </c>
      <c r="N75" s="126">
        <f>+SUMIFS(사진대지!$R:$R,사진대지!$Q:$Q,"="&amp;$B75,사진대지!$Z:$Z,"="&amp;N$4)</f>
        <v>0</v>
      </c>
      <c r="O75" s="126">
        <f>+SUMIFS(사진대지!$R:$R,사진대지!$Q:$Q,"="&amp;$B75,사진대지!$Z:$Z,"="&amp;O$4)</f>
        <v>0</v>
      </c>
      <c r="P75" s="126">
        <f>+SUMIFS(사진대지!$R:$R,사진대지!$Q:$Q,"="&amp;$B75,사진대지!$Z:$Z,"="&amp;P$4)</f>
        <v>0</v>
      </c>
      <c r="Q75" s="126">
        <f>+SUMIFS(사진대지!$R:$R,사진대지!$Q:$Q,"="&amp;$B75,사진대지!$Z:$Z,"="&amp;Q$4)</f>
        <v>0</v>
      </c>
      <c r="R75" s="126">
        <f>+SUMIFS(사진대지!$R:$R,사진대지!$Q:$Q,"="&amp;$B75,사진대지!$Z:$Z,"="&amp;R$4)</f>
        <v>0</v>
      </c>
      <c r="S75" s="126">
        <f>+SUMIFS(사진대지!$R:$R,사진대지!$Q:$Q,"="&amp;$B75,사진대지!$Z:$Z,"="&amp;S$4)</f>
        <v>0</v>
      </c>
      <c r="T75" s="126">
        <f>+SUMIFS(사진대지!$R:$R,사진대지!$Q:$Q,"="&amp;$B75,사진대지!$Z:$Z,"="&amp;T$4)</f>
        <v>0</v>
      </c>
      <c r="U75" s="126">
        <f>+SUMIFS(사진대지!$R:$R,사진대지!$Q:$Q,"="&amp;$B75,사진대지!$Z:$Z,"="&amp;U$4)</f>
        <v>0</v>
      </c>
      <c r="V75" s="78"/>
      <c r="W75" s="127" t="str">
        <f t="shared" si="18"/>
        <v>세대SP25</v>
      </c>
      <c r="X75" s="128">
        <f t="shared" si="19"/>
        <v>0</v>
      </c>
      <c r="Y75" s="75"/>
      <c r="Z75" s="75"/>
      <c r="AA75" s="129" t="str">
        <f t="shared" si="2"/>
        <v>세대SP25</v>
      </c>
      <c r="AB75" s="130">
        <f>누계!L75+X75</f>
        <v>0</v>
      </c>
    </row>
    <row r="76" spans="1:28" s="25" customFormat="1" ht="20.100000000000001" customHeight="1" x14ac:dyDescent="0.3">
      <c r="A76" s="8"/>
      <c r="B76" s="144" t="s">
        <v>95</v>
      </c>
      <c r="C76" s="125">
        <f>+SUMIFS(사진대지!$R:$R,사진대지!$Q:$Q,"="&amp;$B76,사진대지!$Z:$Z,"="&amp;C$4)</f>
        <v>0</v>
      </c>
      <c r="D76" s="125">
        <f>+SUMIFS(사진대지!$R:$R,사진대지!$Q:$Q,"="&amp;$B76,사진대지!$Z:$Z,"="&amp;D$4)</f>
        <v>0</v>
      </c>
      <c r="E76" s="126">
        <f>+SUMIFS(사진대지!$R:$R,사진대지!$Q:$Q,"="&amp;$B76,사진대지!$Z:$Z,"="&amp;E$4)</f>
        <v>0</v>
      </c>
      <c r="F76" s="126">
        <f>+SUMIFS(사진대지!$R:$R,사진대지!$Q:$Q,"="&amp;$B76,사진대지!$Z:$Z,"="&amp;F$4)</f>
        <v>0</v>
      </c>
      <c r="G76" s="126">
        <f>+SUMIFS(사진대지!$R:$R,사진대지!$Q:$Q,"="&amp;$B76,사진대지!$Z:$Z,"="&amp;G$4)</f>
        <v>0</v>
      </c>
      <c r="H76" s="126">
        <f>+SUMIFS(사진대지!$R:$R,사진대지!$Q:$Q,"="&amp;$B76,사진대지!$Z:$Z,"="&amp;H$4)</f>
        <v>0</v>
      </c>
      <c r="I76" s="126">
        <f>+SUMIFS(사진대지!$R:$R,사진대지!$Q:$Q,"="&amp;$B76,사진대지!$Z:$Z,"="&amp;I$4)</f>
        <v>0</v>
      </c>
      <c r="J76" s="126">
        <f>+SUMIFS(사진대지!$R:$R,사진대지!$Q:$Q,"="&amp;$B76,사진대지!$Z:$Z,"="&amp;J$4)</f>
        <v>0</v>
      </c>
      <c r="K76" s="126">
        <f>+SUMIFS(사진대지!$R:$R,사진대지!$Q:$Q,"="&amp;$B76,사진대지!$Z:$Z,"="&amp;K$4)</f>
        <v>0</v>
      </c>
      <c r="L76" s="126">
        <f>+SUMIFS(사진대지!$R:$R,사진대지!$Q:$Q,"="&amp;$B76,사진대지!$Z:$Z,"="&amp;L$4)</f>
        <v>0</v>
      </c>
      <c r="M76" s="126">
        <f>+SUMIFS(사진대지!$R:$R,사진대지!$Q:$Q,"="&amp;$B76,사진대지!$Z:$Z,"="&amp;M$4)</f>
        <v>0</v>
      </c>
      <c r="N76" s="126">
        <f>+SUMIFS(사진대지!$R:$R,사진대지!$Q:$Q,"="&amp;$B76,사진대지!$Z:$Z,"="&amp;N$4)</f>
        <v>0</v>
      </c>
      <c r="O76" s="126">
        <f>+SUMIFS(사진대지!$R:$R,사진대지!$Q:$Q,"="&amp;$B76,사진대지!$Z:$Z,"="&amp;O$4)</f>
        <v>0</v>
      </c>
      <c r="P76" s="126">
        <f>+SUMIFS(사진대지!$R:$R,사진대지!$Q:$Q,"="&amp;$B76,사진대지!$Z:$Z,"="&amp;P$4)</f>
        <v>0</v>
      </c>
      <c r="Q76" s="126">
        <f>+SUMIFS(사진대지!$R:$R,사진대지!$Q:$Q,"="&amp;$B76,사진대지!$Z:$Z,"="&amp;Q$4)</f>
        <v>0</v>
      </c>
      <c r="R76" s="126">
        <f>+SUMIFS(사진대지!$R:$R,사진대지!$Q:$Q,"="&amp;$B76,사진대지!$Z:$Z,"="&amp;R$4)</f>
        <v>0</v>
      </c>
      <c r="S76" s="126">
        <f>+SUMIFS(사진대지!$R:$R,사진대지!$Q:$Q,"="&amp;$B76,사진대지!$Z:$Z,"="&amp;S$4)</f>
        <v>0</v>
      </c>
      <c r="T76" s="126">
        <f>+SUMIFS(사진대지!$R:$R,사진대지!$Q:$Q,"="&amp;$B76,사진대지!$Z:$Z,"="&amp;T$4)</f>
        <v>0</v>
      </c>
      <c r="U76" s="126">
        <f>+SUMIFS(사진대지!$R:$R,사진대지!$Q:$Q,"="&amp;$B76,사진대지!$Z:$Z,"="&amp;U$4)</f>
        <v>0</v>
      </c>
      <c r="V76" s="78"/>
      <c r="W76" s="127" t="str">
        <f t="shared" ref="W76" si="29">B76</f>
        <v>세대SP40</v>
      </c>
      <c r="X76" s="128">
        <f t="shared" ref="X76" si="30">+SUM(C76:U76)</f>
        <v>0</v>
      </c>
      <c r="Y76" s="75"/>
      <c r="Z76" s="75"/>
      <c r="AA76" s="129" t="str">
        <f t="shared" ref="AA76" si="31">W76</f>
        <v>세대SP40</v>
      </c>
      <c r="AB76" s="130">
        <f>누계!L76+X76</f>
        <v>0</v>
      </c>
    </row>
    <row r="77" spans="1:28" s="25" customFormat="1" ht="20.100000000000001" customHeight="1" x14ac:dyDescent="0.3">
      <c r="A77" s="8"/>
      <c r="B77" s="144" t="s">
        <v>96</v>
      </c>
      <c r="C77" s="125">
        <f>+SUMIFS(사진대지!$R:$R,사진대지!$Q:$Q,"="&amp;$B77,사진대지!$Z:$Z,"="&amp;C$4)</f>
        <v>0</v>
      </c>
      <c r="D77" s="125">
        <f>+SUMIFS(사진대지!$R:$R,사진대지!$Q:$Q,"="&amp;$B77,사진대지!$Z:$Z,"="&amp;D$4)</f>
        <v>0</v>
      </c>
      <c r="E77" s="126">
        <f>+SUMIFS(사진대지!$R:$R,사진대지!$Q:$Q,"="&amp;$B77,사진대지!$Z:$Z,"="&amp;E$4)</f>
        <v>0</v>
      </c>
      <c r="F77" s="126">
        <f>+SUMIFS(사진대지!$R:$R,사진대지!$Q:$Q,"="&amp;$B77,사진대지!$Z:$Z,"="&amp;F$4)</f>
        <v>0</v>
      </c>
      <c r="G77" s="126">
        <f>+SUMIFS(사진대지!$R:$R,사진대지!$Q:$Q,"="&amp;$B77,사진대지!$Z:$Z,"="&amp;G$4)</f>
        <v>0</v>
      </c>
      <c r="H77" s="126">
        <f>+SUMIFS(사진대지!$R:$R,사진대지!$Q:$Q,"="&amp;$B77,사진대지!$Z:$Z,"="&amp;H$4)</f>
        <v>0</v>
      </c>
      <c r="I77" s="126">
        <f>+SUMIFS(사진대지!$R:$R,사진대지!$Q:$Q,"="&amp;$B77,사진대지!$Z:$Z,"="&amp;I$4)</f>
        <v>0</v>
      </c>
      <c r="J77" s="126">
        <f>+SUMIFS(사진대지!$R:$R,사진대지!$Q:$Q,"="&amp;$B77,사진대지!$Z:$Z,"="&amp;J$4)</f>
        <v>0</v>
      </c>
      <c r="K77" s="126">
        <f>+SUMIFS(사진대지!$R:$R,사진대지!$Q:$Q,"="&amp;$B77,사진대지!$Z:$Z,"="&amp;K$4)</f>
        <v>0</v>
      </c>
      <c r="L77" s="126">
        <f>+SUMIFS(사진대지!$R:$R,사진대지!$Q:$Q,"="&amp;$B77,사진대지!$Z:$Z,"="&amp;L$4)</f>
        <v>0</v>
      </c>
      <c r="M77" s="126">
        <f>+SUMIFS(사진대지!$R:$R,사진대지!$Q:$Q,"="&amp;$B77,사진대지!$Z:$Z,"="&amp;M$4)</f>
        <v>0</v>
      </c>
      <c r="N77" s="126">
        <f>+SUMIFS(사진대지!$R:$R,사진대지!$Q:$Q,"="&amp;$B77,사진대지!$Z:$Z,"="&amp;N$4)</f>
        <v>0</v>
      </c>
      <c r="O77" s="126">
        <f>+SUMIFS(사진대지!$R:$R,사진대지!$Q:$Q,"="&amp;$B77,사진대지!$Z:$Z,"="&amp;O$4)</f>
        <v>0</v>
      </c>
      <c r="P77" s="126">
        <f>+SUMIFS(사진대지!$R:$R,사진대지!$Q:$Q,"="&amp;$B77,사진대지!$Z:$Z,"="&amp;P$4)</f>
        <v>0</v>
      </c>
      <c r="Q77" s="126">
        <f>+SUMIFS(사진대지!$R:$R,사진대지!$Q:$Q,"="&amp;$B77,사진대지!$Z:$Z,"="&amp;Q$4)</f>
        <v>0</v>
      </c>
      <c r="R77" s="126">
        <f>+SUMIFS(사진대지!$R:$R,사진대지!$Q:$Q,"="&amp;$B77,사진대지!$Z:$Z,"="&amp;R$4)</f>
        <v>0</v>
      </c>
      <c r="S77" s="126">
        <f>+SUMIFS(사진대지!$R:$R,사진대지!$Q:$Q,"="&amp;$B77,사진대지!$Z:$Z,"="&amp;S$4)</f>
        <v>0</v>
      </c>
      <c r="T77" s="126">
        <f>+SUMIFS(사진대지!$R:$R,사진대지!$Q:$Q,"="&amp;$B77,사진대지!$Z:$Z,"="&amp;T$4)</f>
        <v>0</v>
      </c>
      <c r="U77" s="126">
        <f>+SUMIFS(사진대지!$R:$R,사진대지!$Q:$Q,"="&amp;$B77,사진대지!$Z:$Z,"="&amp;U$4)</f>
        <v>0</v>
      </c>
      <c r="V77" s="78"/>
      <c r="W77" s="127" t="str">
        <f t="shared" si="18"/>
        <v>세대SP50</v>
      </c>
      <c r="X77" s="128">
        <f t="shared" si="19"/>
        <v>0</v>
      </c>
      <c r="Y77" s="75"/>
      <c r="Z77" s="75"/>
      <c r="AA77" s="129" t="str">
        <f t="shared" si="2"/>
        <v>세대SP50</v>
      </c>
      <c r="AB77" s="130">
        <f>누계!L77+X77</f>
        <v>0</v>
      </c>
    </row>
    <row r="78" spans="1:28" s="25" customFormat="1" ht="20.100000000000001" customHeight="1" x14ac:dyDescent="0.3">
      <c r="A78" s="8"/>
      <c r="B78" s="144" t="s">
        <v>97</v>
      </c>
      <c r="C78" s="125">
        <f>+SUMIFS(사진대지!$R:$R,사진대지!$Q:$Q,"="&amp;$B78,사진대지!$Z:$Z,"="&amp;C$4)</f>
        <v>0</v>
      </c>
      <c r="D78" s="125">
        <f>+SUMIFS(사진대지!$R:$R,사진대지!$Q:$Q,"="&amp;$B78,사진대지!$Z:$Z,"="&amp;D$4)</f>
        <v>0</v>
      </c>
      <c r="E78" s="126">
        <f>+SUMIFS(사진대지!$R:$R,사진대지!$Q:$Q,"="&amp;$B78,사진대지!$Z:$Z,"="&amp;E$4)</f>
        <v>0</v>
      </c>
      <c r="F78" s="126">
        <f>+SUMIFS(사진대지!$R:$R,사진대지!$Q:$Q,"="&amp;$B78,사진대지!$Z:$Z,"="&amp;F$4)</f>
        <v>0</v>
      </c>
      <c r="G78" s="126">
        <f>+SUMIFS(사진대지!$R:$R,사진대지!$Q:$Q,"="&amp;$B78,사진대지!$Z:$Z,"="&amp;G$4)</f>
        <v>0</v>
      </c>
      <c r="H78" s="126">
        <f>+SUMIFS(사진대지!$R:$R,사진대지!$Q:$Q,"="&amp;$B78,사진대지!$Z:$Z,"="&amp;H$4)</f>
        <v>0</v>
      </c>
      <c r="I78" s="126">
        <f>+SUMIFS(사진대지!$R:$R,사진대지!$Q:$Q,"="&amp;$B78,사진대지!$Z:$Z,"="&amp;I$4)</f>
        <v>0</v>
      </c>
      <c r="J78" s="126">
        <f>+SUMIFS(사진대지!$R:$R,사진대지!$Q:$Q,"="&amp;$B78,사진대지!$Z:$Z,"="&amp;J$4)</f>
        <v>0</v>
      </c>
      <c r="K78" s="126">
        <f>+SUMIFS(사진대지!$R:$R,사진대지!$Q:$Q,"="&amp;$B78,사진대지!$Z:$Z,"="&amp;K$4)</f>
        <v>0</v>
      </c>
      <c r="L78" s="126">
        <f>+SUMIFS(사진대지!$R:$R,사진대지!$Q:$Q,"="&amp;$B78,사진대지!$Z:$Z,"="&amp;L$4)</f>
        <v>0</v>
      </c>
      <c r="M78" s="126">
        <f>+SUMIFS(사진대지!$R:$R,사진대지!$Q:$Q,"="&amp;$B78,사진대지!$Z:$Z,"="&amp;M$4)</f>
        <v>0</v>
      </c>
      <c r="N78" s="126">
        <f>+SUMIFS(사진대지!$R:$R,사진대지!$Q:$Q,"="&amp;$B78,사진대지!$Z:$Z,"="&amp;N$4)</f>
        <v>0</v>
      </c>
      <c r="O78" s="126">
        <f>+SUMIFS(사진대지!$R:$R,사진대지!$Q:$Q,"="&amp;$B78,사진대지!$Z:$Z,"="&amp;O$4)</f>
        <v>0</v>
      </c>
      <c r="P78" s="126">
        <f>+SUMIFS(사진대지!$R:$R,사진대지!$Q:$Q,"="&amp;$B78,사진대지!$Z:$Z,"="&amp;P$4)</f>
        <v>0</v>
      </c>
      <c r="Q78" s="126">
        <f>+SUMIFS(사진대지!$R:$R,사진대지!$Q:$Q,"="&amp;$B78,사진대지!$Z:$Z,"="&amp;Q$4)</f>
        <v>0</v>
      </c>
      <c r="R78" s="126">
        <f>+SUMIFS(사진대지!$R:$R,사진대지!$Q:$Q,"="&amp;$B78,사진대지!$Z:$Z,"="&amp;R$4)</f>
        <v>0</v>
      </c>
      <c r="S78" s="126">
        <f>+SUMIFS(사진대지!$R:$R,사진대지!$Q:$Q,"="&amp;$B78,사진대지!$Z:$Z,"="&amp;S$4)</f>
        <v>0</v>
      </c>
      <c r="T78" s="126">
        <f>+SUMIFS(사진대지!$R:$R,사진대지!$Q:$Q,"="&amp;$B78,사진대지!$Z:$Z,"="&amp;T$4)</f>
        <v>0</v>
      </c>
      <c r="U78" s="126">
        <f>+SUMIFS(사진대지!$R:$R,사진대지!$Q:$Q,"="&amp;$B78,사진대지!$Z:$Z,"="&amp;U$4)</f>
        <v>0</v>
      </c>
      <c r="V78" s="78"/>
      <c r="W78" s="127" t="str">
        <f t="shared" ref="W78" si="32">B78</f>
        <v>세대SP60</v>
      </c>
      <c r="X78" s="128">
        <f t="shared" ref="X78" si="33">+SUM(C78:U78)</f>
        <v>0</v>
      </c>
      <c r="Y78" s="75"/>
      <c r="Z78" s="75"/>
      <c r="AA78" s="129" t="str">
        <f t="shared" ref="AA78" si="34">W78</f>
        <v>세대SP60</v>
      </c>
      <c r="AB78" s="130">
        <f>누계!L78+X78</f>
        <v>0</v>
      </c>
    </row>
    <row r="79" spans="1:28" ht="20.100000000000001" customHeight="1" x14ac:dyDescent="0.3">
      <c r="A79" s="8"/>
      <c r="B79" s="7" t="s">
        <v>55</v>
      </c>
      <c r="C79" s="73">
        <f>+SUMIFS(사진대지!$R:$R,사진대지!$Q:$Q,"="&amp;$B79,사진대지!$Z:$Z,"="&amp;C$4)</f>
        <v>0</v>
      </c>
      <c r="D79" s="73">
        <f>+SUMIFS(사진대지!$R:$R,사진대지!$Q:$Q,"="&amp;$B79,사진대지!$Z:$Z,"="&amp;D$4)</f>
        <v>0</v>
      </c>
      <c r="E79" s="74">
        <f>+SUMIFS(사진대지!$R:$R,사진대지!$Q:$Q,"="&amp;$B79,사진대지!$Z:$Z,"="&amp;E$4)</f>
        <v>0</v>
      </c>
      <c r="F79" s="74">
        <f>+SUMIFS(사진대지!$R:$R,사진대지!$Q:$Q,"="&amp;$B79,사진대지!$Z:$Z,"="&amp;F$4)</f>
        <v>0</v>
      </c>
      <c r="G79" s="74">
        <f>+SUMIFS(사진대지!$R:$R,사진대지!$Q:$Q,"="&amp;$B79,사진대지!$Z:$Z,"="&amp;G$4)</f>
        <v>0</v>
      </c>
      <c r="H79" s="74">
        <f>+SUMIFS(사진대지!$R:$R,사진대지!$Q:$Q,"="&amp;$B79,사진대지!$Z:$Z,"="&amp;H$4)</f>
        <v>0</v>
      </c>
      <c r="I79" s="74">
        <f>+SUMIFS(사진대지!$R:$R,사진대지!$Q:$Q,"="&amp;$B79,사진대지!$Z:$Z,"="&amp;I$4)</f>
        <v>0</v>
      </c>
      <c r="J79" s="74">
        <f>+SUMIFS(사진대지!$R:$R,사진대지!$Q:$Q,"="&amp;$B79,사진대지!$Z:$Z,"="&amp;J$4)</f>
        <v>0</v>
      </c>
      <c r="K79" s="74">
        <f>+SUMIFS(사진대지!$R:$R,사진대지!$Q:$Q,"="&amp;$B79,사진대지!$Z:$Z,"="&amp;K$4)</f>
        <v>0</v>
      </c>
      <c r="L79" s="74">
        <f>+SUMIFS(사진대지!$R:$R,사진대지!$Q:$Q,"="&amp;$B79,사진대지!$Z:$Z,"="&amp;L$4)</f>
        <v>0</v>
      </c>
      <c r="M79" s="74">
        <f>+SUMIFS(사진대지!$R:$R,사진대지!$Q:$Q,"="&amp;$B79,사진대지!$Z:$Z,"="&amp;M$4)</f>
        <v>0</v>
      </c>
      <c r="N79" s="74">
        <f>+SUMIFS(사진대지!$R:$R,사진대지!$Q:$Q,"="&amp;$B79,사진대지!$Z:$Z,"="&amp;N$4)</f>
        <v>0</v>
      </c>
      <c r="O79" s="74">
        <f>+SUMIFS(사진대지!$R:$R,사진대지!$Q:$Q,"="&amp;$B79,사진대지!$Z:$Z,"="&amp;O$4)</f>
        <v>0</v>
      </c>
      <c r="P79" s="74">
        <f>+SUMIFS(사진대지!$R:$R,사진대지!$Q:$Q,"="&amp;$B79,사진대지!$Z:$Z,"="&amp;P$4)</f>
        <v>0</v>
      </c>
      <c r="Q79" s="74">
        <f>+SUMIFS(사진대지!$R:$R,사진대지!$Q:$Q,"="&amp;$B79,사진대지!$Z:$Z,"="&amp;Q$4)</f>
        <v>0</v>
      </c>
      <c r="R79" s="74">
        <f>+SUMIFS(사진대지!$R:$R,사진대지!$Q:$Q,"="&amp;$B79,사진대지!$Z:$Z,"="&amp;R$4)</f>
        <v>0</v>
      </c>
      <c r="S79" s="74">
        <f>+SUMIFS(사진대지!$R:$R,사진대지!$Q:$Q,"="&amp;$B79,사진대지!$Z:$Z,"="&amp;S$4)</f>
        <v>0</v>
      </c>
      <c r="T79" s="74">
        <f>+SUMIFS(사진대지!$R:$R,사진대지!$Q:$Q,"="&amp;$B79,사진대지!$Z:$Z,"="&amp;T$4)</f>
        <v>0</v>
      </c>
      <c r="U79" s="74">
        <f>+SUMIFS(사진대지!$R:$R,사진대지!$Q:$Q,"="&amp;$B79,사진대지!$Z:$Z,"="&amp;U$4)</f>
        <v>0</v>
      </c>
      <c r="V79" s="78"/>
      <c r="W79" s="83" t="str">
        <f t="shared" si="18"/>
        <v>PVC벽체25</v>
      </c>
      <c r="X79" s="98">
        <f t="shared" si="19"/>
        <v>0</v>
      </c>
      <c r="Y79" s="75"/>
      <c r="Z79" s="75"/>
      <c r="AA79" s="84" t="str">
        <f t="shared" si="2"/>
        <v>PVC벽체25</v>
      </c>
      <c r="AB79" s="102">
        <f>누계!L79+X79</f>
        <v>0</v>
      </c>
    </row>
    <row r="80" spans="1:28" ht="20.100000000000001" customHeight="1" x14ac:dyDescent="0.3">
      <c r="A80" s="8"/>
      <c r="B80" s="7" t="s">
        <v>56</v>
      </c>
      <c r="C80" s="73">
        <f>+SUMIFS(사진대지!$R:$R,사진대지!$Q:$Q,"="&amp;$B80,사진대지!$Z:$Z,"="&amp;C$4)</f>
        <v>0</v>
      </c>
      <c r="D80" s="73">
        <f>+SUMIFS(사진대지!$R:$R,사진대지!$Q:$Q,"="&amp;$B80,사진대지!$Z:$Z,"="&amp;D$4)</f>
        <v>0</v>
      </c>
      <c r="E80" s="74">
        <f>+SUMIFS(사진대지!$R:$R,사진대지!$Q:$Q,"="&amp;$B80,사진대지!$Z:$Z,"="&amp;E$4)</f>
        <v>0</v>
      </c>
      <c r="F80" s="74">
        <f>+SUMIFS(사진대지!$R:$R,사진대지!$Q:$Q,"="&amp;$B80,사진대지!$Z:$Z,"="&amp;F$4)</f>
        <v>0</v>
      </c>
      <c r="G80" s="74">
        <f>+SUMIFS(사진대지!$R:$R,사진대지!$Q:$Q,"="&amp;$B80,사진대지!$Z:$Z,"="&amp;G$4)</f>
        <v>0</v>
      </c>
      <c r="H80" s="74">
        <f>+SUMIFS(사진대지!$R:$R,사진대지!$Q:$Q,"="&amp;$B80,사진대지!$Z:$Z,"="&amp;H$4)</f>
        <v>0</v>
      </c>
      <c r="I80" s="74">
        <f>+SUMIFS(사진대지!$R:$R,사진대지!$Q:$Q,"="&amp;$B80,사진대지!$Z:$Z,"="&amp;I$4)</f>
        <v>0</v>
      </c>
      <c r="J80" s="74">
        <f>+SUMIFS(사진대지!$R:$R,사진대지!$Q:$Q,"="&amp;$B80,사진대지!$Z:$Z,"="&amp;J$4)</f>
        <v>0</v>
      </c>
      <c r="K80" s="74">
        <f>+SUMIFS(사진대지!$R:$R,사진대지!$Q:$Q,"="&amp;$B80,사진대지!$Z:$Z,"="&amp;K$4)</f>
        <v>0</v>
      </c>
      <c r="L80" s="74">
        <f>+SUMIFS(사진대지!$R:$R,사진대지!$Q:$Q,"="&amp;$B80,사진대지!$Z:$Z,"="&amp;L$4)</f>
        <v>0</v>
      </c>
      <c r="M80" s="74">
        <f>+SUMIFS(사진대지!$R:$R,사진대지!$Q:$Q,"="&amp;$B80,사진대지!$Z:$Z,"="&amp;M$4)</f>
        <v>0</v>
      </c>
      <c r="N80" s="74">
        <f>+SUMIFS(사진대지!$R:$R,사진대지!$Q:$Q,"="&amp;$B80,사진대지!$Z:$Z,"="&amp;N$4)</f>
        <v>0</v>
      </c>
      <c r="O80" s="74">
        <f>+SUMIFS(사진대지!$R:$R,사진대지!$Q:$Q,"="&amp;$B80,사진대지!$Z:$Z,"="&amp;O$4)</f>
        <v>0</v>
      </c>
      <c r="P80" s="74">
        <f>+SUMIFS(사진대지!$R:$R,사진대지!$Q:$Q,"="&amp;$B80,사진대지!$Z:$Z,"="&amp;P$4)</f>
        <v>0</v>
      </c>
      <c r="Q80" s="74">
        <f>+SUMIFS(사진대지!$R:$R,사진대지!$Q:$Q,"="&amp;$B80,사진대지!$Z:$Z,"="&amp;Q$4)</f>
        <v>0</v>
      </c>
      <c r="R80" s="74">
        <f>+SUMIFS(사진대지!$R:$R,사진대지!$Q:$Q,"="&amp;$B80,사진대지!$Z:$Z,"="&amp;R$4)</f>
        <v>0</v>
      </c>
      <c r="S80" s="74">
        <f>+SUMIFS(사진대지!$R:$R,사진대지!$Q:$Q,"="&amp;$B80,사진대지!$Z:$Z,"="&amp;S$4)</f>
        <v>0</v>
      </c>
      <c r="T80" s="74">
        <f>+SUMIFS(사진대지!$R:$R,사진대지!$Q:$Q,"="&amp;$B80,사진대지!$Z:$Z,"="&amp;T$4)</f>
        <v>0</v>
      </c>
      <c r="U80" s="74">
        <f>+SUMIFS(사진대지!$R:$R,사진대지!$Q:$Q,"="&amp;$B80,사진대지!$Z:$Z,"="&amp;U$4)</f>
        <v>0</v>
      </c>
      <c r="V80" s="78"/>
      <c r="W80" s="83" t="str">
        <f t="shared" si="18"/>
        <v>PVC벽체30</v>
      </c>
      <c r="X80" s="98">
        <f t="shared" si="19"/>
        <v>0</v>
      </c>
      <c r="Y80" s="75"/>
      <c r="Z80" s="75"/>
      <c r="AA80" s="84" t="str">
        <f t="shared" si="2"/>
        <v>PVC벽체30</v>
      </c>
      <c r="AB80" s="102">
        <f>누계!L80+X80</f>
        <v>0</v>
      </c>
    </row>
    <row r="81" spans="1:28" ht="20.100000000000001" customHeight="1" x14ac:dyDescent="0.3">
      <c r="A81" s="8"/>
      <c r="B81" s="7" t="s">
        <v>57</v>
      </c>
      <c r="C81" s="73">
        <f>+SUMIFS(사진대지!$R:$R,사진대지!$Q:$Q,"="&amp;$B81,사진대지!$Z:$Z,"="&amp;C$4)</f>
        <v>0</v>
      </c>
      <c r="D81" s="73">
        <f>+SUMIFS(사진대지!$R:$R,사진대지!$Q:$Q,"="&amp;$B81,사진대지!$Z:$Z,"="&amp;D$4)</f>
        <v>0</v>
      </c>
      <c r="E81" s="74">
        <f>+SUMIFS(사진대지!$R:$R,사진대지!$Q:$Q,"="&amp;$B81,사진대지!$Z:$Z,"="&amp;E$4)</f>
        <v>0</v>
      </c>
      <c r="F81" s="74">
        <f>+SUMIFS(사진대지!$R:$R,사진대지!$Q:$Q,"="&amp;$B81,사진대지!$Z:$Z,"="&amp;F$4)</f>
        <v>0</v>
      </c>
      <c r="G81" s="74">
        <f>+SUMIFS(사진대지!$R:$R,사진대지!$Q:$Q,"="&amp;$B81,사진대지!$Z:$Z,"="&amp;G$4)</f>
        <v>0</v>
      </c>
      <c r="H81" s="74">
        <f>+SUMIFS(사진대지!$R:$R,사진대지!$Q:$Q,"="&amp;$B81,사진대지!$Z:$Z,"="&amp;H$4)</f>
        <v>0</v>
      </c>
      <c r="I81" s="74">
        <f>+SUMIFS(사진대지!$R:$R,사진대지!$Q:$Q,"="&amp;$B81,사진대지!$Z:$Z,"="&amp;I$4)</f>
        <v>0</v>
      </c>
      <c r="J81" s="74">
        <f>+SUMIFS(사진대지!$R:$R,사진대지!$Q:$Q,"="&amp;$B81,사진대지!$Z:$Z,"="&amp;J$4)</f>
        <v>0</v>
      </c>
      <c r="K81" s="74">
        <f>+SUMIFS(사진대지!$R:$R,사진대지!$Q:$Q,"="&amp;$B81,사진대지!$Z:$Z,"="&amp;K$4)</f>
        <v>0</v>
      </c>
      <c r="L81" s="74">
        <f>+SUMIFS(사진대지!$R:$R,사진대지!$Q:$Q,"="&amp;$B81,사진대지!$Z:$Z,"="&amp;L$4)</f>
        <v>0</v>
      </c>
      <c r="M81" s="74">
        <f>+SUMIFS(사진대지!$R:$R,사진대지!$Q:$Q,"="&amp;$B81,사진대지!$Z:$Z,"="&amp;M$4)</f>
        <v>0</v>
      </c>
      <c r="N81" s="74">
        <f>+SUMIFS(사진대지!$R:$R,사진대지!$Q:$Q,"="&amp;$B81,사진대지!$Z:$Z,"="&amp;N$4)</f>
        <v>0</v>
      </c>
      <c r="O81" s="74">
        <f>+SUMIFS(사진대지!$R:$R,사진대지!$Q:$Q,"="&amp;$B81,사진대지!$Z:$Z,"="&amp;O$4)</f>
        <v>0</v>
      </c>
      <c r="P81" s="74">
        <f>+SUMIFS(사진대지!$R:$R,사진대지!$Q:$Q,"="&amp;$B81,사진대지!$Z:$Z,"="&amp;P$4)</f>
        <v>0</v>
      </c>
      <c r="Q81" s="74">
        <f>+SUMIFS(사진대지!$R:$R,사진대지!$Q:$Q,"="&amp;$B81,사진대지!$Z:$Z,"="&amp;Q$4)</f>
        <v>0</v>
      </c>
      <c r="R81" s="74">
        <f>+SUMIFS(사진대지!$R:$R,사진대지!$Q:$Q,"="&amp;$B81,사진대지!$Z:$Z,"="&amp;R$4)</f>
        <v>0</v>
      </c>
      <c r="S81" s="74">
        <f>+SUMIFS(사진대지!$R:$R,사진대지!$Q:$Q,"="&amp;$B81,사진대지!$Z:$Z,"="&amp;S$4)</f>
        <v>0</v>
      </c>
      <c r="T81" s="74">
        <f>+SUMIFS(사진대지!$R:$R,사진대지!$Q:$Q,"="&amp;$B81,사진대지!$Z:$Z,"="&amp;T$4)</f>
        <v>0</v>
      </c>
      <c r="U81" s="74">
        <f>+SUMIFS(사진대지!$R:$R,사진대지!$Q:$Q,"="&amp;$B81,사진대지!$Z:$Z,"="&amp;U$4)</f>
        <v>0</v>
      </c>
      <c r="V81" s="78"/>
      <c r="W81" s="83" t="str">
        <f t="shared" si="18"/>
        <v>PVC벽체40</v>
      </c>
      <c r="X81" s="98">
        <f t="shared" si="19"/>
        <v>0</v>
      </c>
      <c r="Y81" s="75"/>
      <c r="Z81" s="75"/>
      <c r="AA81" s="84" t="str">
        <f t="shared" si="2"/>
        <v>PVC벽체40</v>
      </c>
      <c r="AB81" s="102">
        <f>누계!L81+X81</f>
        <v>0</v>
      </c>
    </row>
    <row r="82" spans="1:28" ht="20.100000000000001" customHeight="1" x14ac:dyDescent="0.3">
      <c r="A82" s="8"/>
      <c r="B82" s="7" t="s">
        <v>58</v>
      </c>
      <c r="C82" s="73">
        <f>+SUMIFS(사진대지!$R:$R,사진대지!$Q:$Q,"="&amp;$B82,사진대지!$Z:$Z,"="&amp;C$4)</f>
        <v>0</v>
      </c>
      <c r="D82" s="73">
        <f>+SUMIFS(사진대지!$R:$R,사진대지!$Q:$Q,"="&amp;$B82,사진대지!$Z:$Z,"="&amp;D$4)</f>
        <v>0</v>
      </c>
      <c r="E82" s="74">
        <f>+SUMIFS(사진대지!$R:$R,사진대지!$Q:$Q,"="&amp;$B82,사진대지!$Z:$Z,"="&amp;E$4)</f>
        <v>0</v>
      </c>
      <c r="F82" s="74">
        <f>+SUMIFS(사진대지!$R:$R,사진대지!$Q:$Q,"="&amp;$B82,사진대지!$Z:$Z,"="&amp;F$4)</f>
        <v>0</v>
      </c>
      <c r="G82" s="74">
        <f>+SUMIFS(사진대지!$R:$R,사진대지!$Q:$Q,"="&amp;$B82,사진대지!$Z:$Z,"="&amp;G$4)</f>
        <v>0</v>
      </c>
      <c r="H82" s="74">
        <f>+SUMIFS(사진대지!$R:$R,사진대지!$Q:$Q,"="&amp;$B82,사진대지!$Z:$Z,"="&amp;H$4)</f>
        <v>0</v>
      </c>
      <c r="I82" s="74">
        <f>+SUMIFS(사진대지!$R:$R,사진대지!$Q:$Q,"="&amp;$B82,사진대지!$Z:$Z,"="&amp;I$4)</f>
        <v>0</v>
      </c>
      <c r="J82" s="74">
        <f>+SUMIFS(사진대지!$R:$R,사진대지!$Q:$Q,"="&amp;$B82,사진대지!$Z:$Z,"="&amp;J$4)</f>
        <v>0</v>
      </c>
      <c r="K82" s="74">
        <f>+SUMIFS(사진대지!$R:$R,사진대지!$Q:$Q,"="&amp;$B82,사진대지!$Z:$Z,"="&amp;K$4)</f>
        <v>0</v>
      </c>
      <c r="L82" s="74">
        <f>+SUMIFS(사진대지!$R:$R,사진대지!$Q:$Q,"="&amp;$B82,사진대지!$Z:$Z,"="&amp;L$4)</f>
        <v>0</v>
      </c>
      <c r="M82" s="74">
        <f>+SUMIFS(사진대지!$R:$R,사진대지!$Q:$Q,"="&amp;$B82,사진대지!$Z:$Z,"="&amp;M$4)</f>
        <v>0</v>
      </c>
      <c r="N82" s="74">
        <f>+SUMIFS(사진대지!$R:$R,사진대지!$Q:$Q,"="&amp;$B82,사진대지!$Z:$Z,"="&amp;N$4)</f>
        <v>0</v>
      </c>
      <c r="O82" s="74">
        <f>+SUMIFS(사진대지!$R:$R,사진대지!$Q:$Q,"="&amp;$B82,사진대지!$Z:$Z,"="&amp;O$4)</f>
        <v>0</v>
      </c>
      <c r="P82" s="74">
        <f>+SUMIFS(사진대지!$R:$R,사진대지!$Q:$Q,"="&amp;$B82,사진대지!$Z:$Z,"="&amp;P$4)</f>
        <v>0</v>
      </c>
      <c r="Q82" s="74">
        <f>+SUMIFS(사진대지!$R:$R,사진대지!$Q:$Q,"="&amp;$B82,사진대지!$Z:$Z,"="&amp;Q$4)</f>
        <v>0</v>
      </c>
      <c r="R82" s="74">
        <f>+SUMIFS(사진대지!$R:$R,사진대지!$Q:$Q,"="&amp;$B82,사진대지!$Z:$Z,"="&amp;R$4)</f>
        <v>0</v>
      </c>
      <c r="S82" s="74">
        <f>+SUMIFS(사진대지!$R:$R,사진대지!$Q:$Q,"="&amp;$B82,사진대지!$Z:$Z,"="&amp;S$4)</f>
        <v>0</v>
      </c>
      <c r="T82" s="74">
        <f>+SUMIFS(사진대지!$R:$R,사진대지!$Q:$Q,"="&amp;$B82,사진대지!$Z:$Z,"="&amp;T$4)</f>
        <v>0</v>
      </c>
      <c r="U82" s="74">
        <f>+SUMIFS(사진대지!$R:$R,사진대지!$Q:$Q,"="&amp;$B82,사진대지!$Z:$Z,"="&amp;U$4)</f>
        <v>0</v>
      </c>
      <c r="V82" s="78"/>
      <c r="W82" s="83" t="str">
        <f t="shared" si="18"/>
        <v>PVC벽체50</v>
      </c>
      <c r="X82" s="98">
        <f t="shared" si="19"/>
        <v>0</v>
      </c>
      <c r="Y82" s="75"/>
      <c r="Z82" s="75"/>
      <c r="AA82" s="84" t="str">
        <f t="shared" si="2"/>
        <v>PVC벽체50</v>
      </c>
      <c r="AB82" s="102">
        <f>누계!L82+X82</f>
        <v>0</v>
      </c>
    </row>
    <row r="83" spans="1:28" ht="20.100000000000001" customHeight="1" x14ac:dyDescent="0.3">
      <c r="A83" s="8"/>
      <c r="B83" s="7" t="s">
        <v>35</v>
      </c>
      <c r="C83" s="73">
        <f>+SUMIFS(사진대지!$R:$R,사진대지!$Q:$Q,"="&amp;$B83,사진대지!$Z:$Z,"="&amp;C$4)</f>
        <v>0</v>
      </c>
      <c r="D83" s="73">
        <f>+SUMIFS(사진대지!$R:$R,사진대지!$Q:$Q,"="&amp;$B83,사진대지!$Z:$Z,"="&amp;D$4)</f>
        <v>0</v>
      </c>
      <c r="E83" s="74">
        <f>+SUMIFS(사진대지!$R:$R,사진대지!$Q:$Q,"="&amp;$B83,사진대지!$Z:$Z,"="&amp;E$4)</f>
        <v>0</v>
      </c>
      <c r="F83" s="74">
        <f>+SUMIFS(사진대지!$R:$R,사진대지!$Q:$Q,"="&amp;$B83,사진대지!$Z:$Z,"="&amp;F$4)</f>
        <v>0</v>
      </c>
      <c r="G83" s="74">
        <f>+SUMIFS(사진대지!$R:$R,사진대지!$Q:$Q,"="&amp;$B83,사진대지!$Z:$Z,"="&amp;G$4)</f>
        <v>0</v>
      </c>
      <c r="H83" s="74">
        <f>+SUMIFS(사진대지!$R:$R,사진대지!$Q:$Q,"="&amp;$B83,사진대지!$Z:$Z,"="&amp;H$4)</f>
        <v>0</v>
      </c>
      <c r="I83" s="74">
        <f>+SUMIFS(사진대지!$R:$R,사진대지!$Q:$Q,"="&amp;$B83,사진대지!$Z:$Z,"="&amp;I$4)</f>
        <v>0</v>
      </c>
      <c r="J83" s="74">
        <f>+SUMIFS(사진대지!$R:$R,사진대지!$Q:$Q,"="&amp;$B83,사진대지!$Z:$Z,"="&amp;J$4)</f>
        <v>0</v>
      </c>
      <c r="K83" s="74">
        <f>+SUMIFS(사진대지!$R:$R,사진대지!$Q:$Q,"="&amp;$B83,사진대지!$Z:$Z,"="&amp;K$4)</f>
        <v>0</v>
      </c>
      <c r="L83" s="74">
        <f>+SUMIFS(사진대지!$R:$R,사진대지!$Q:$Q,"="&amp;$B83,사진대지!$Z:$Z,"="&amp;L$4)</f>
        <v>0</v>
      </c>
      <c r="M83" s="74">
        <f>+SUMIFS(사진대지!$R:$R,사진대지!$Q:$Q,"="&amp;$B83,사진대지!$Z:$Z,"="&amp;M$4)</f>
        <v>0</v>
      </c>
      <c r="N83" s="74">
        <f>+SUMIFS(사진대지!$R:$R,사진대지!$Q:$Q,"="&amp;$B83,사진대지!$Z:$Z,"="&amp;N$4)</f>
        <v>0</v>
      </c>
      <c r="O83" s="74">
        <f>+SUMIFS(사진대지!$R:$R,사진대지!$Q:$Q,"="&amp;$B83,사진대지!$Z:$Z,"="&amp;O$4)</f>
        <v>0</v>
      </c>
      <c r="P83" s="74">
        <f>+SUMIFS(사진대지!$R:$R,사진대지!$Q:$Q,"="&amp;$B83,사진대지!$Z:$Z,"="&amp;P$4)</f>
        <v>0</v>
      </c>
      <c r="Q83" s="74">
        <f>+SUMIFS(사진대지!$R:$R,사진대지!$Q:$Q,"="&amp;$B83,사진대지!$Z:$Z,"="&amp;Q$4)</f>
        <v>0</v>
      </c>
      <c r="R83" s="74">
        <f>+SUMIFS(사진대지!$R:$R,사진대지!$Q:$Q,"="&amp;$B83,사진대지!$Z:$Z,"="&amp;R$4)</f>
        <v>0</v>
      </c>
      <c r="S83" s="74">
        <f>+SUMIFS(사진대지!$R:$R,사진대지!$Q:$Q,"="&amp;$B83,사진대지!$Z:$Z,"="&amp;S$4)</f>
        <v>0</v>
      </c>
      <c r="T83" s="74">
        <f>+SUMIFS(사진대지!$R:$R,사진대지!$Q:$Q,"="&amp;$B83,사진대지!$Z:$Z,"="&amp;T$4)</f>
        <v>0</v>
      </c>
      <c r="U83" s="74">
        <f>+SUMIFS(사진대지!$R:$R,사진대지!$Q:$Q,"="&amp;$B83,사진대지!$Z:$Z,"="&amp;U$4)</f>
        <v>0</v>
      </c>
      <c r="V83" s="78"/>
      <c r="W83" s="83" t="str">
        <f t="shared" si="18"/>
        <v>PVC벽체65</v>
      </c>
      <c r="X83" s="98">
        <f t="shared" si="19"/>
        <v>0</v>
      </c>
      <c r="Y83" s="75"/>
      <c r="Z83" s="75"/>
      <c r="AA83" s="84" t="str">
        <f t="shared" si="2"/>
        <v>PVC벽체65</v>
      </c>
      <c r="AB83" s="102">
        <f>누계!L83+X83</f>
        <v>0</v>
      </c>
    </row>
    <row r="84" spans="1:28" ht="20.100000000000001" customHeight="1" x14ac:dyDescent="0.3">
      <c r="A84" s="8"/>
      <c r="B84" s="7" t="s">
        <v>59</v>
      </c>
      <c r="C84" s="73">
        <f>+SUMIFS(사진대지!$R:$R,사진대지!$Q:$Q,"="&amp;$B84,사진대지!$Z:$Z,"="&amp;C$4)</f>
        <v>0</v>
      </c>
      <c r="D84" s="73">
        <f>+SUMIFS(사진대지!$R:$R,사진대지!$Q:$Q,"="&amp;$B84,사진대지!$Z:$Z,"="&amp;D$4)</f>
        <v>0</v>
      </c>
      <c r="E84" s="74">
        <f>+SUMIFS(사진대지!$R:$R,사진대지!$Q:$Q,"="&amp;$B84,사진대지!$Z:$Z,"="&amp;E$4)</f>
        <v>0</v>
      </c>
      <c r="F84" s="74">
        <f>+SUMIFS(사진대지!$R:$R,사진대지!$Q:$Q,"="&amp;$B84,사진대지!$Z:$Z,"="&amp;F$4)</f>
        <v>0</v>
      </c>
      <c r="G84" s="74">
        <f>+SUMIFS(사진대지!$R:$R,사진대지!$Q:$Q,"="&amp;$B84,사진대지!$Z:$Z,"="&amp;G$4)</f>
        <v>0</v>
      </c>
      <c r="H84" s="74">
        <f>+SUMIFS(사진대지!$R:$R,사진대지!$Q:$Q,"="&amp;$B84,사진대지!$Z:$Z,"="&amp;H$4)</f>
        <v>0</v>
      </c>
      <c r="I84" s="74">
        <f>+SUMIFS(사진대지!$R:$R,사진대지!$Q:$Q,"="&amp;$B84,사진대지!$Z:$Z,"="&amp;I$4)</f>
        <v>0</v>
      </c>
      <c r="J84" s="74">
        <f>+SUMIFS(사진대지!$R:$R,사진대지!$Q:$Q,"="&amp;$B84,사진대지!$Z:$Z,"="&amp;J$4)</f>
        <v>0</v>
      </c>
      <c r="K84" s="74">
        <f>+SUMIFS(사진대지!$R:$R,사진대지!$Q:$Q,"="&amp;$B84,사진대지!$Z:$Z,"="&amp;K$4)</f>
        <v>0</v>
      </c>
      <c r="L84" s="74">
        <f>+SUMIFS(사진대지!$R:$R,사진대지!$Q:$Q,"="&amp;$B84,사진대지!$Z:$Z,"="&amp;L$4)</f>
        <v>0</v>
      </c>
      <c r="M84" s="74">
        <f>+SUMIFS(사진대지!$R:$R,사진대지!$Q:$Q,"="&amp;$B84,사진대지!$Z:$Z,"="&amp;M$4)</f>
        <v>0</v>
      </c>
      <c r="N84" s="74">
        <f>+SUMIFS(사진대지!$R:$R,사진대지!$Q:$Q,"="&amp;$B84,사진대지!$Z:$Z,"="&amp;N$4)</f>
        <v>0</v>
      </c>
      <c r="O84" s="74">
        <f>+SUMIFS(사진대지!$R:$R,사진대지!$Q:$Q,"="&amp;$B84,사진대지!$Z:$Z,"="&amp;O$4)</f>
        <v>0</v>
      </c>
      <c r="P84" s="74">
        <f>+SUMIFS(사진대지!$R:$R,사진대지!$Q:$Q,"="&amp;$B84,사진대지!$Z:$Z,"="&amp;P$4)</f>
        <v>0</v>
      </c>
      <c r="Q84" s="74">
        <f>+SUMIFS(사진대지!$R:$R,사진대지!$Q:$Q,"="&amp;$B84,사진대지!$Z:$Z,"="&amp;Q$4)</f>
        <v>0</v>
      </c>
      <c r="R84" s="74">
        <f>+SUMIFS(사진대지!$R:$R,사진대지!$Q:$Q,"="&amp;$B84,사진대지!$Z:$Z,"="&amp;R$4)</f>
        <v>0</v>
      </c>
      <c r="S84" s="74">
        <f>+SUMIFS(사진대지!$R:$R,사진대지!$Q:$Q,"="&amp;$B84,사진대지!$Z:$Z,"="&amp;S$4)</f>
        <v>0</v>
      </c>
      <c r="T84" s="74">
        <f>+SUMIFS(사진대지!$R:$R,사진대지!$Q:$Q,"="&amp;$B84,사진대지!$Z:$Z,"="&amp;T$4)</f>
        <v>0</v>
      </c>
      <c r="U84" s="74">
        <f>+SUMIFS(사진대지!$R:$R,사진대지!$Q:$Q,"="&amp;$B84,사진대지!$Z:$Z,"="&amp;U$4)</f>
        <v>0</v>
      </c>
      <c r="V84" s="78"/>
      <c r="W84" s="83" t="str">
        <f t="shared" si="18"/>
        <v>PVC벽체75</v>
      </c>
      <c r="X84" s="98">
        <f t="shared" si="19"/>
        <v>0</v>
      </c>
      <c r="Y84" s="75"/>
      <c r="Z84" s="75"/>
      <c r="AA84" s="84" t="str">
        <f t="shared" si="2"/>
        <v>PVC벽체75</v>
      </c>
      <c r="AB84" s="102">
        <f>누계!L84+X84</f>
        <v>0</v>
      </c>
    </row>
    <row r="85" spans="1:28" ht="20.100000000000001" customHeight="1" x14ac:dyDescent="0.3">
      <c r="A85" s="8"/>
      <c r="B85" s="7" t="s">
        <v>36</v>
      </c>
      <c r="C85" s="73">
        <f>+SUMIFS(사진대지!$R:$R,사진대지!$Q:$Q,"="&amp;$B85,사진대지!$Z:$Z,"="&amp;C$4)</f>
        <v>0</v>
      </c>
      <c r="D85" s="73">
        <f>+SUMIFS(사진대지!$R:$R,사진대지!$Q:$Q,"="&amp;$B85,사진대지!$Z:$Z,"="&amp;D$4)</f>
        <v>0</v>
      </c>
      <c r="E85" s="74">
        <f>+SUMIFS(사진대지!$R:$R,사진대지!$Q:$Q,"="&amp;$B85,사진대지!$Z:$Z,"="&amp;E$4)</f>
        <v>0</v>
      </c>
      <c r="F85" s="74">
        <f>+SUMIFS(사진대지!$R:$R,사진대지!$Q:$Q,"="&amp;$B85,사진대지!$Z:$Z,"="&amp;F$4)</f>
        <v>0</v>
      </c>
      <c r="G85" s="74">
        <f>+SUMIFS(사진대지!$R:$R,사진대지!$Q:$Q,"="&amp;$B85,사진대지!$Z:$Z,"="&amp;G$4)</f>
        <v>0</v>
      </c>
      <c r="H85" s="74">
        <f>+SUMIFS(사진대지!$R:$R,사진대지!$Q:$Q,"="&amp;$B85,사진대지!$Z:$Z,"="&amp;H$4)</f>
        <v>0</v>
      </c>
      <c r="I85" s="74">
        <f>+SUMIFS(사진대지!$R:$R,사진대지!$Q:$Q,"="&amp;$B85,사진대지!$Z:$Z,"="&amp;I$4)</f>
        <v>0</v>
      </c>
      <c r="J85" s="74">
        <f>+SUMIFS(사진대지!$R:$R,사진대지!$Q:$Q,"="&amp;$B85,사진대지!$Z:$Z,"="&amp;J$4)</f>
        <v>0</v>
      </c>
      <c r="K85" s="74">
        <f>+SUMIFS(사진대지!$R:$R,사진대지!$Q:$Q,"="&amp;$B85,사진대지!$Z:$Z,"="&amp;K$4)</f>
        <v>0</v>
      </c>
      <c r="L85" s="74">
        <f>+SUMIFS(사진대지!$R:$R,사진대지!$Q:$Q,"="&amp;$B85,사진대지!$Z:$Z,"="&amp;L$4)</f>
        <v>0</v>
      </c>
      <c r="M85" s="74">
        <f>+SUMIFS(사진대지!$R:$R,사진대지!$Q:$Q,"="&amp;$B85,사진대지!$Z:$Z,"="&amp;M$4)</f>
        <v>0</v>
      </c>
      <c r="N85" s="74">
        <f>+SUMIFS(사진대지!$R:$R,사진대지!$Q:$Q,"="&amp;$B85,사진대지!$Z:$Z,"="&amp;N$4)</f>
        <v>0</v>
      </c>
      <c r="O85" s="74">
        <f>+SUMIFS(사진대지!$R:$R,사진대지!$Q:$Q,"="&amp;$B85,사진대지!$Z:$Z,"="&amp;O$4)</f>
        <v>0</v>
      </c>
      <c r="P85" s="74">
        <f>+SUMIFS(사진대지!$R:$R,사진대지!$Q:$Q,"="&amp;$B85,사진대지!$Z:$Z,"="&amp;P$4)</f>
        <v>0</v>
      </c>
      <c r="Q85" s="74">
        <f>+SUMIFS(사진대지!$R:$R,사진대지!$Q:$Q,"="&amp;$B85,사진대지!$Z:$Z,"="&amp;Q$4)</f>
        <v>0</v>
      </c>
      <c r="R85" s="74">
        <f>+SUMIFS(사진대지!$R:$R,사진대지!$Q:$Q,"="&amp;$B85,사진대지!$Z:$Z,"="&amp;R$4)</f>
        <v>0</v>
      </c>
      <c r="S85" s="74">
        <f>+SUMIFS(사진대지!$R:$R,사진대지!$Q:$Q,"="&amp;$B85,사진대지!$Z:$Z,"="&amp;S$4)</f>
        <v>0</v>
      </c>
      <c r="T85" s="74">
        <f>+SUMIFS(사진대지!$R:$R,사진대지!$Q:$Q,"="&amp;$B85,사진대지!$Z:$Z,"="&amp;T$4)</f>
        <v>0</v>
      </c>
      <c r="U85" s="74">
        <f>+SUMIFS(사진대지!$R:$R,사진대지!$Q:$Q,"="&amp;$B85,사진대지!$Z:$Z,"="&amp;U$4)</f>
        <v>0</v>
      </c>
      <c r="V85" s="78"/>
      <c r="W85" s="83" t="str">
        <f t="shared" si="18"/>
        <v>PVC벽체100</v>
      </c>
      <c r="X85" s="98">
        <f t="shared" si="19"/>
        <v>0</v>
      </c>
      <c r="Y85" s="75"/>
      <c r="Z85" s="75"/>
      <c r="AA85" s="84" t="str">
        <f t="shared" si="2"/>
        <v>PVC벽체100</v>
      </c>
      <c r="AB85" s="102">
        <f>누계!L85+X85</f>
        <v>0</v>
      </c>
    </row>
    <row r="86" spans="1:28" ht="20.100000000000001" customHeight="1" x14ac:dyDescent="0.3">
      <c r="A86" s="8"/>
      <c r="B86" s="7" t="s">
        <v>37</v>
      </c>
      <c r="C86" s="73">
        <f>+SUMIFS(사진대지!$R:$R,사진대지!$Q:$Q,"="&amp;$B86,사진대지!$Z:$Z,"="&amp;C$4)</f>
        <v>0</v>
      </c>
      <c r="D86" s="73">
        <f>+SUMIFS(사진대지!$R:$R,사진대지!$Q:$Q,"="&amp;$B86,사진대지!$Z:$Z,"="&amp;D$4)</f>
        <v>0</v>
      </c>
      <c r="E86" s="74">
        <f>+SUMIFS(사진대지!$R:$R,사진대지!$Q:$Q,"="&amp;$B86,사진대지!$Z:$Z,"="&amp;E$4)</f>
        <v>0</v>
      </c>
      <c r="F86" s="74">
        <f>+SUMIFS(사진대지!$R:$R,사진대지!$Q:$Q,"="&amp;$B86,사진대지!$Z:$Z,"="&amp;F$4)</f>
        <v>0</v>
      </c>
      <c r="G86" s="74">
        <f>+SUMIFS(사진대지!$R:$R,사진대지!$Q:$Q,"="&amp;$B86,사진대지!$Z:$Z,"="&amp;G$4)</f>
        <v>0</v>
      </c>
      <c r="H86" s="74">
        <f>+SUMIFS(사진대지!$R:$R,사진대지!$Q:$Q,"="&amp;$B86,사진대지!$Z:$Z,"="&amp;H$4)</f>
        <v>0</v>
      </c>
      <c r="I86" s="74">
        <f>+SUMIFS(사진대지!$R:$R,사진대지!$Q:$Q,"="&amp;$B86,사진대지!$Z:$Z,"="&amp;I$4)</f>
        <v>0</v>
      </c>
      <c r="J86" s="74">
        <f>+SUMIFS(사진대지!$R:$R,사진대지!$Q:$Q,"="&amp;$B86,사진대지!$Z:$Z,"="&amp;J$4)</f>
        <v>0</v>
      </c>
      <c r="K86" s="74">
        <f>+SUMIFS(사진대지!$R:$R,사진대지!$Q:$Q,"="&amp;$B86,사진대지!$Z:$Z,"="&amp;K$4)</f>
        <v>0</v>
      </c>
      <c r="L86" s="74">
        <f>+SUMIFS(사진대지!$R:$R,사진대지!$Q:$Q,"="&amp;$B86,사진대지!$Z:$Z,"="&amp;L$4)</f>
        <v>0</v>
      </c>
      <c r="M86" s="74">
        <f>+SUMIFS(사진대지!$R:$R,사진대지!$Q:$Q,"="&amp;$B86,사진대지!$Z:$Z,"="&amp;M$4)</f>
        <v>0</v>
      </c>
      <c r="N86" s="74">
        <f>+SUMIFS(사진대지!$R:$R,사진대지!$Q:$Q,"="&amp;$B86,사진대지!$Z:$Z,"="&amp;N$4)</f>
        <v>0</v>
      </c>
      <c r="O86" s="74">
        <f>+SUMIFS(사진대지!$R:$R,사진대지!$Q:$Q,"="&amp;$B86,사진대지!$Z:$Z,"="&amp;O$4)</f>
        <v>0</v>
      </c>
      <c r="P86" s="74">
        <f>+SUMIFS(사진대지!$R:$R,사진대지!$Q:$Q,"="&amp;$B86,사진대지!$Z:$Z,"="&amp;P$4)</f>
        <v>0</v>
      </c>
      <c r="Q86" s="74">
        <f>+SUMIFS(사진대지!$R:$R,사진대지!$Q:$Q,"="&amp;$B86,사진대지!$Z:$Z,"="&amp;Q$4)</f>
        <v>0</v>
      </c>
      <c r="R86" s="74">
        <f>+SUMIFS(사진대지!$R:$R,사진대지!$Q:$Q,"="&amp;$B86,사진대지!$Z:$Z,"="&amp;R$4)</f>
        <v>0</v>
      </c>
      <c r="S86" s="74">
        <f>+SUMIFS(사진대지!$R:$R,사진대지!$Q:$Q,"="&amp;$B86,사진대지!$Z:$Z,"="&amp;S$4)</f>
        <v>0</v>
      </c>
      <c r="T86" s="74">
        <f>+SUMIFS(사진대지!$R:$R,사진대지!$Q:$Q,"="&amp;$B86,사진대지!$Z:$Z,"="&amp;T$4)</f>
        <v>0</v>
      </c>
      <c r="U86" s="74">
        <f>+SUMIFS(사진대지!$R:$R,사진대지!$Q:$Q,"="&amp;$B86,사진대지!$Z:$Z,"="&amp;U$4)</f>
        <v>0</v>
      </c>
      <c r="V86" s="78"/>
      <c r="W86" s="83" t="str">
        <f t="shared" si="18"/>
        <v>PVC벽체125</v>
      </c>
      <c r="X86" s="98">
        <f t="shared" si="19"/>
        <v>0</v>
      </c>
      <c r="Y86" s="75"/>
      <c r="Z86" s="75"/>
      <c r="AA86" s="84" t="str">
        <f t="shared" si="2"/>
        <v>PVC벽체125</v>
      </c>
      <c r="AB86" s="102">
        <f>누계!L86+X86</f>
        <v>0</v>
      </c>
    </row>
    <row r="87" spans="1:28" ht="20.100000000000001" customHeight="1" x14ac:dyDescent="0.3">
      <c r="A87" s="8"/>
      <c r="B87" s="7" t="s">
        <v>38</v>
      </c>
      <c r="C87" s="73">
        <f>+SUMIFS(사진대지!$R:$R,사진대지!$Q:$Q,"="&amp;$B87,사진대지!$Z:$Z,"="&amp;C$4)</f>
        <v>0</v>
      </c>
      <c r="D87" s="73">
        <f>+SUMIFS(사진대지!$R:$R,사진대지!$Q:$Q,"="&amp;$B87,사진대지!$Z:$Z,"="&amp;D$4)</f>
        <v>0</v>
      </c>
      <c r="E87" s="74">
        <f>+SUMIFS(사진대지!$R:$R,사진대지!$Q:$Q,"="&amp;$B87,사진대지!$Z:$Z,"="&amp;E$4)</f>
        <v>0</v>
      </c>
      <c r="F87" s="74">
        <f>+SUMIFS(사진대지!$R:$R,사진대지!$Q:$Q,"="&amp;$B87,사진대지!$Z:$Z,"="&amp;F$4)</f>
        <v>0</v>
      </c>
      <c r="G87" s="74">
        <f>+SUMIFS(사진대지!$R:$R,사진대지!$Q:$Q,"="&amp;$B87,사진대지!$Z:$Z,"="&amp;G$4)</f>
        <v>0</v>
      </c>
      <c r="H87" s="74">
        <f>+SUMIFS(사진대지!$R:$R,사진대지!$Q:$Q,"="&amp;$B87,사진대지!$Z:$Z,"="&amp;H$4)</f>
        <v>0</v>
      </c>
      <c r="I87" s="74">
        <f>+SUMIFS(사진대지!$R:$R,사진대지!$Q:$Q,"="&amp;$B87,사진대지!$Z:$Z,"="&amp;I$4)</f>
        <v>0</v>
      </c>
      <c r="J87" s="74">
        <f>+SUMIFS(사진대지!$R:$R,사진대지!$Q:$Q,"="&amp;$B87,사진대지!$Z:$Z,"="&amp;J$4)</f>
        <v>0</v>
      </c>
      <c r="K87" s="74">
        <f>+SUMIFS(사진대지!$R:$R,사진대지!$Q:$Q,"="&amp;$B87,사진대지!$Z:$Z,"="&amp;K$4)</f>
        <v>0</v>
      </c>
      <c r="L87" s="74">
        <f>+SUMIFS(사진대지!$R:$R,사진대지!$Q:$Q,"="&amp;$B87,사진대지!$Z:$Z,"="&amp;L$4)</f>
        <v>0</v>
      </c>
      <c r="M87" s="74">
        <f>+SUMIFS(사진대지!$R:$R,사진대지!$Q:$Q,"="&amp;$B87,사진대지!$Z:$Z,"="&amp;M$4)</f>
        <v>0</v>
      </c>
      <c r="N87" s="74">
        <f>+SUMIFS(사진대지!$R:$R,사진대지!$Q:$Q,"="&amp;$B87,사진대지!$Z:$Z,"="&amp;N$4)</f>
        <v>0</v>
      </c>
      <c r="O87" s="74">
        <f>+SUMIFS(사진대지!$R:$R,사진대지!$Q:$Q,"="&amp;$B87,사진대지!$Z:$Z,"="&amp;O$4)</f>
        <v>0</v>
      </c>
      <c r="P87" s="74">
        <f>+SUMIFS(사진대지!$R:$R,사진대지!$Q:$Q,"="&amp;$B87,사진대지!$Z:$Z,"="&amp;P$4)</f>
        <v>0</v>
      </c>
      <c r="Q87" s="74">
        <f>+SUMIFS(사진대지!$R:$R,사진대지!$Q:$Q,"="&amp;$B87,사진대지!$Z:$Z,"="&amp;Q$4)</f>
        <v>0</v>
      </c>
      <c r="R87" s="74">
        <f>+SUMIFS(사진대지!$R:$R,사진대지!$Q:$Q,"="&amp;$B87,사진대지!$Z:$Z,"="&amp;R$4)</f>
        <v>0</v>
      </c>
      <c r="S87" s="74">
        <f>+SUMIFS(사진대지!$R:$R,사진대지!$Q:$Q,"="&amp;$B87,사진대지!$Z:$Z,"="&amp;S$4)</f>
        <v>0</v>
      </c>
      <c r="T87" s="74">
        <f>+SUMIFS(사진대지!$R:$R,사진대지!$Q:$Q,"="&amp;$B87,사진대지!$Z:$Z,"="&amp;T$4)</f>
        <v>0</v>
      </c>
      <c r="U87" s="74">
        <f>+SUMIFS(사진대지!$R:$R,사진대지!$Q:$Q,"="&amp;$B87,사진대지!$Z:$Z,"="&amp;U$4)</f>
        <v>0</v>
      </c>
      <c r="V87" s="78"/>
      <c r="W87" s="83" t="str">
        <f t="shared" si="18"/>
        <v>PVC벽체150</v>
      </c>
      <c r="X87" s="98">
        <f t="shared" si="19"/>
        <v>0</v>
      </c>
      <c r="Y87" s="75"/>
      <c r="Z87" s="75"/>
      <c r="AA87" s="84" t="str">
        <f t="shared" si="2"/>
        <v>PVC벽체150</v>
      </c>
      <c r="AB87" s="102">
        <f>누계!L87+X87</f>
        <v>0</v>
      </c>
    </row>
    <row r="88" spans="1:28" ht="20.100000000000001" customHeight="1" x14ac:dyDescent="0.3">
      <c r="A88" s="8"/>
      <c r="B88" s="7" t="s">
        <v>106</v>
      </c>
      <c r="C88" s="73">
        <f>+SUMIFS(사진대지!$R:$R,사진대지!$Q:$Q,"="&amp;$B88,사진대지!$Z:$Z,"="&amp;C$4)</f>
        <v>0</v>
      </c>
      <c r="D88" s="73">
        <f>+SUMIFS(사진대지!$R:$R,사진대지!$Q:$Q,"="&amp;$B88,사진대지!$Z:$Z,"="&amp;D$4)</f>
        <v>0</v>
      </c>
      <c r="E88" s="74">
        <f>+SUMIFS(사진대지!$R:$R,사진대지!$Q:$Q,"="&amp;$B88,사진대지!$Z:$Z,"="&amp;E$4)</f>
        <v>0</v>
      </c>
      <c r="F88" s="74">
        <f>+SUMIFS(사진대지!$R:$R,사진대지!$Q:$Q,"="&amp;$B88,사진대지!$Z:$Z,"="&amp;F$4)</f>
        <v>0</v>
      </c>
      <c r="G88" s="74">
        <f>+SUMIFS(사진대지!$R:$R,사진대지!$Q:$Q,"="&amp;$B88,사진대지!$Z:$Z,"="&amp;G$4)</f>
        <v>0</v>
      </c>
      <c r="H88" s="74">
        <f>+SUMIFS(사진대지!$R:$R,사진대지!$Q:$Q,"="&amp;$B88,사진대지!$Z:$Z,"="&amp;H$4)</f>
        <v>0</v>
      </c>
      <c r="I88" s="74">
        <f>+SUMIFS(사진대지!$R:$R,사진대지!$Q:$Q,"="&amp;$B88,사진대지!$Z:$Z,"="&amp;I$4)</f>
        <v>0</v>
      </c>
      <c r="J88" s="74">
        <f>+SUMIFS(사진대지!$R:$R,사진대지!$Q:$Q,"="&amp;$B88,사진대지!$Z:$Z,"="&amp;J$4)</f>
        <v>0</v>
      </c>
      <c r="K88" s="74">
        <f>+SUMIFS(사진대지!$R:$R,사진대지!$Q:$Q,"="&amp;$B88,사진대지!$Z:$Z,"="&amp;K$4)</f>
        <v>0</v>
      </c>
      <c r="L88" s="74">
        <f>+SUMIFS(사진대지!$R:$R,사진대지!$Q:$Q,"="&amp;$B88,사진대지!$Z:$Z,"="&amp;L$4)</f>
        <v>0</v>
      </c>
      <c r="M88" s="74">
        <f>+SUMIFS(사진대지!$R:$R,사진대지!$Q:$Q,"="&amp;$B88,사진대지!$Z:$Z,"="&amp;M$4)</f>
        <v>0</v>
      </c>
      <c r="N88" s="74">
        <f>+SUMIFS(사진대지!$R:$R,사진대지!$Q:$Q,"="&amp;$B88,사진대지!$Z:$Z,"="&amp;N$4)</f>
        <v>0</v>
      </c>
      <c r="O88" s="74">
        <f>+SUMIFS(사진대지!$R:$R,사진대지!$Q:$Q,"="&amp;$B88,사진대지!$Z:$Z,"="&amp;O$4)</f>
        <v>0</v>
      </c>
      <c r="P88" s="74">
        <f>+SUMIFS(사진대지!$R:$R,사진대지!$Q:$Q,"="&amp;$B88,사진대지!$Z:$Z,"="&amp;P$4)</f>
        <v>0</v>
      </c>
      <c r="Q88" s="74">
        <f>+SUMIFS(사진대지!$R:$R,사진대지!$Q:$Q,"="&amp;$B88,사진대지!$Z:$Z,"="&amp;Q$4)</f>
        <v>0</v>
      </c>
      <c r="R88" s="74">
        <f>+SUMIFS(사진대지!$R:$R,사진대지!$Q:$Q,"="&amp;$B88,사진대지!$Z:$Z,"="&amp;R$4)</f>
        <v>0</v>
      </c>
      <c r="S88" s="74">
        <f>+SUMIFS(사진대지!$R:$R,사진대지!$Q:$Q,"="&amp;$B88,사진대지!$Z:$Z,"="&amp;S$4)</f>
        <v>0</v>
      </c>
      <c r="T88" s="74">
        <f>+SUMIFS(사진대지!$R:$R,사진대지!$Q:$Q,"="&amp;$B88,사진대지!$Z:$Z,"="&amp;T$4)</f>
        <v>0</v>
      </c>
      <c r="U88" s="74">
        <f>+SUMIFS(사진대지!$R:$R,사진대지!$Q:$Q,"="&amp;$B88,사진대지!$Z:$Z,"="&amp;U$4)</f>
        <v>0</v>
      </c>
      <c r="V88" s="78"/>
      <c r="W88" s="83" t="str">
        <f t="shared" si="18"/>
        <v>PVC벽체200</v>
      </c>
      <c r="X88" s="98">
        <f t="shared" si="19"/>
        <v>0</v>
      </c>
      <c r="Y88" s="75"/>
      <c r="Z88" s="75"/>
      <c r="AA88" s="84" t="str">
        <f t="shared" si="2"/>
        <v>PVC벽체200</v>
      </c>
      <c r="AB88" s="102">
        <f>누계!L88+X88</f>
        <v>0</v>
      </c>
    </row>
    <row r="89" spans="1:28" ht="20.100000000000001" customHeight="1" x14ac:dyDescent="0.3">
      <c r="A89" s="8"/>
      <c r="B89" s="7" t="s">
        <v>107</v>
      </c>
      <c r="C89" s="73">
        <f>+SUMIFS(사진대지!$R:$R,사진대지!$Q:$Q,"="&amp;$B89,사진대지!$Z:$Z,"="&amp;C$4)</f>
        <v>0</v>
      </c>
      <c r="D89" s="73">
        <f>+SUMIFS(사진대지!$R:$R,사진대지!$Q:$Q,"="&amp;$B89,사진대지!$Z:$Z,"="&amp;D$4)</f>
        <v>0</v>
      </c>
      <c r="E89" s="74">
        <f>+SUMIFS(사진대지!$R:$R,사진대지!$Q:$Q,"="&amp;$B89,사진대지!$Z:$Z,"="&amp;E$4)</f>
        <v>0</v>
      </c>
      <c r="F89" s="74">
        <f>+SUMIFS(사진대지!$R:$R,사진대지!$Q:$Q,"="&amp;$B89,사진대지!$Z:$Z,"="&amp;F$4)</f>
        <v>0</v>
      </c>
      <c r="G89" s="74">
        <f>+SUMIFS(사진대지!$R:$R,사진대지!$Q:$Q,"="&amp;$B89,사진대지!$Z:$Z,"="&amp;G$4)</f>
        <v>0</v>
      </c>
      <c r="H89" s="74">
        <f>+SUMIFS(사진대지!$R:$R,사진대지!$Q:$Q,"="&amp;$B89,사진대지!$Z:$Z,"="&amp;H$4)</f>
        <v>0</v>
      </c>
      <c r="I89" s="74">
        <f>+SUMIFS(사진대지!$R:$R,사진대지!$Q:$Q,"="&amp;$B89,사진대지!$Z:$Z,"="&amp;I$4)</f>
        <v>0</v>
      </c>
      <c r="J89" s="74">
        <f>+SUMIFS(사진대지!$R:$R,사진대지!$Q:$Q,"="&amp;$B89,사진대지!$Z:$Z,"="&amp;J$4)</f>
        <v>0</v>
      </c>
      <c r="K89" s="74">
        <f>+SUMIFS(사진대지!$R:$R,사진대지!$Q:$Q,"="&amp;$B89,사진대지!$Z:$Z,"="&amp;K$4)</f>
        <v>0</v>
      </c>
      <c r="L89" s="74">
        <f>+SUMIFS(사진대지!$R:$R,사진대지!$Q:$Q,"="&amp;$B89,사진대지!$Z:$Z,"="&amp;L$4)</f>
        <v>0</v>
      </c>
      <c r="M89" s="74">
        <f>+SUMIFS(사진대지!$R:$R,사진대지!$Q:$Q,"="&amp;$B89,사진대지!$Z:$Z,"="&amp;M$4)</f>
        <v>0</v>
      </c>
      <c r="N89" s="74">
        <f>+SUMIFS(사진대지!$R:$R,사진대지!$Q:$Q,"="&amp;$B89,사진대지!$Z:$Z,"="&amp;N$4)</f>
        <v>0</v>
      </c>
      <c r="O89" s="74">
        <f>+SUMIFS(사진대지!$R:$R,사진대지!$Q:$Q,"="&amp;$B89,사진대지!$Z:$Z,"="&amp;O$4)</f>
        <v>0</v>
      </c>
      <c r="P89" s="74">
        <f>+SUMIFS(사진대지!$R:$R,사진대지!$Q:$Q,"="&amp;$B89,사진대지!$Z:$Z,"="&amp;P$4)</f>
        <v>0</v>
      </c>
      <c r="Q89" s="74">
        <f>+SUMIFS(사진대지!$R:$R,사진대지!$Q:$Q,"="&amp;$B89,사진대지!$Z:$Z,"="&amp;Q$4)</f>
        <v>0</v>
      </c>
      <c r="R89" s="74">
        <f>+SUMIFS(사진대지!$R:$R,사진대지!$Q:$Q,"="&amp;$B89,사진대지!$Z:$Z,"="&amp;R$4)</f>
        <v>0</v>
      </c>
      <c r="S89" s="74">
        <f>+SUMIFS(사진대지!$R:$R,사진대지!$Q:$Q,"="&amp;$B89,사진대지!$Z:$Z,"="&amp;S$4)</f>
        <v>0</v>
      </c>
      <c r="T89" s="74">
        <f>+SUMIFS(사진대지!$R:$R,사진대지!$Q:$Q,"="&amp;$B89,사진대지!$Z:$Z,"="&amp;T$4)</f>
        <v>0</v>
      </c>
      <c r="U89" s="74">
        <f>+SUMIFS(사진대지!$R:$R,사진대지!$Q:$Q,"="&amp;$B89,사진대지!$Z:$Z,"="&amp;U$4)</f>
        <v>0</v>
      </c>
      <c r="V89" s="78"/>
      <c r="W89" s="83" t="str">
        <f t="shared" si="18"/>
        <v>PVC벽체250</v>
      </c>
      <c r="X89" s="98">
        <f t="shared" si="19"/>
        <v>0</v>
      </c>
      <c r="Y89" s="75"/>
      <c r="Z89" s="75"/>
      <c r="AA89" s="84" t="str">
        <f t="shared" si="2"/>
        <v>PVC벽체250</v>
      </c>
      <c r="AB89" s="102">
        <f>누계!L89+X89</f>
        <v>0</v>
      </c>
    </row>
    <row r="90" spans="1:28" ht="20.100000000000001" customHeight="1" x14ac:dyDescent="0.3">
      <c r="A90" s="8"/>
      <c r="B90" s="7" t="s">
        <v>108</v>
      </c>
      <c r="C90" s="73">
        <f>+SUMIFS(사진대지!$R:$R,사진대지!$Q:$Q,"="&amp;$B90,사진대지!$Z:$Z,"="&amp;C$4)</f>
        <v>0</v>
      </c>
      <c r="D90" s="73">
        <f>+SUMIFS(사진대지!$R:$R,사진대지!$Q:$Q,"="&amp;$B90,사진대지!$Z:$Z,"="&amp;D$4)</f>
        <v>0</v>
      </c>
      <c r="E90" s="74">
        <f>+SUMIFS(사진대지!$R:$R,사진대지!$Q:$Q,"="&amp;$B90,사진대지!$Z:$Z,"="&amp;E$4)</f>
        <v>0</v>
      </c>
      <c r="F90" s="74">
        <f>+SUMIFS(사진대지!$R:$R,사진대지!$Q:$Q,"="&amp;$B90,사진대지!$Z:$Z,"="&amp;F$4)</f>
        <v>0</v>
      </c>
      <c r="G90" s="74">
        <f>+SUMIFS(사진대지!$R:$R,사진대지!$Q:$Q,"="&amp;$B90,사진대지!$Z:$Z,"="&amp;G$4)</f>
        <v>0</v>
      </c>
      <c r="H90" s="74">
        <f>+SUMIFS(사진대지!$R:$R,사진대지!$Q:$Q,"="&amp;$B90,사진대지!$Z:$Z,"="&amp;H$4)</f>
        <v>0</v>
      </c>
      <c r="I90" s="74">
        <f>+SUMIFS(사진대지!$R:$R,사진대지!$Q:$Q,"="&amp;$B90,사진대지!$Z:$Z,"="&amp;I$4)</f>
        <v>0</v>
      </c>
      <c r="J90" s="74">
        <f>+SUMIFS(사진대지!$R:$R,사진대지!$Q:$Q,"="&amp;$B90,사진대지!$Z:$Z,"="&amp;J$4)</f>
        <v>0</v>
      </c>
      <c r="K90" s="74">
        <f>+SUMIFS(사진대지!$R:$R,사진대지!$Q:$Q,"="&amp;$B90,사진대지!$Z:$Z,"="&amp;K$4)</f>
        <v>0</v>
      </c>
      <c r="L90" s="74">
        <f>+SUMIFS(사진대지!$R:$R,사진대지!$Q:$Q,"="&amp;$B90,사진대지!$Z:$Z,"="&amp;L$4)</f>
        <v>0</v>
      </c>
      <c r="M90" s="74">
        <f>+SUMIFS(사진대지!$R:$R,사진대지!$Q:$Q,"="&amp;$B90,사진대지!$Z:$Z,"="&amp;M$4)</f>
        <v>0</v>
      </c>
      <c r="N90" s="74">
        <f>+SUMIFS(사진대지!$R:$R,사진대지!$Q:$Q,"="&amp;$B90,사진대지!$Z:$Z,"="&amp;N$4)</f>
        <v>0</v>
      </c>
      <c r="O90" s="74">
        <f>+SUMIFS(사진대지!$R:$R,사진대지!$Q:$Q,"="&amp;$B90,사진대지!$Z:$Z,"="&amp;O$4)</f>
        <v>0</v>
      </c>
      <c r="P90" s="74">
        <f>+SUMIFS(사진대지!$R:$R,사진대지!$Q:$Q,"="&amp;$B90,사진대지!$Z:$Z,"="&amp;P$4)</f>
        <v>0</v>
      </c>
      <c r="Q90" s="74">
        <f>+SUMIFS(사진대지!$R:$R,사진대지!$Q:$Q,"="&amp;$B90,사진대지!$Z:$Z,"="&amp;Q$4)</f>
        <v>0</v>
      </c>
      <c r="R90" s="74">
        <f>+SUMIFS(사진대지!$R:$R,사진대지!$Q:$Q,"="&amp;$B90,사진대지!$Z:$Z,"="&amp;R$4)</f>
        <v>0</v>
      </c>
      <c r="S90" s="74">
        <f>+SUMIFS(사진대지!$R:$R,사진대지!$Q:$Q,"="&amp;$B90,사진대지!$Z:$Z,"="&amp;S$4)</f>
        <v>0</v>
      </c>
      <c r="T90" s="74">
        <f>+SUMIFS(사진대지!$R:$R,사진대지!$Q:$Q,"="&amp;$B90,사진대지!$Z:$Z,"="&amp;T$4)</f>
        <v>0</v>
      </c>
      <c r="U90" s="74">
        <f>+SUMIFS(사진대지!$R:$R,사진대지!$Q:$Q,"="&amp;$B90,사진대지!$Z:$Z,"="&amp;U$4)</f>
        <v>0</v>
      </c>
      <c r="V90" s="78"/>
      <c r="W90" s="83" t="str">
        <f t="shared" si="18"/>
        <v>PVC벽체300</v>
      </c>
      <c r="X90" s="98">
        <f t="shared" si="19"/>
        <v>0</v>
      </c>
      <c r="Y90" s="75"/>
      <c r="Z90" s="75"/>
      <c r="AA90" s="84" t="str">
        <f t="shared" si="2"/>
        <v>PVC벽체300</v>
      </c>
      <c r="AB90" s="102">
        <f>누계!L90+X90</f>
        <v>0</v>
      </c>
    </row>
    <row r="91" spans="1:28" s="25" customFormat="1" ht="20.100000000000001" customHeight="1" x14ac:dyDescent="0.3">
      <c r="A91" s="8"/>
      <c r="B91" s="7" t="s">
        <v>109</v>
      </c>
      <c r="C91" s="73">
        <f>+SUMIFS(사진대지!$R:$R,사진대지!$Q:$Q,"="&amp;$B91,사진대지!$Z:$Z,"="&amp;C$4)</f>
        <v>0</v>
      </c>
      <c r="D91" s="73">
        <f>+SUMIFS(사진대지!$R:$R,사진대지!$Q:$Q,"="&amp;$B91,사진대지!$Z:$Z,"="&amp;D$4)</f>
        <v>0</v>
      </c>
      <c r="E91" s="74">
        <f>+SUMIFS(사진대지!$R:$R,사진대지!$Q:$Q,"="&amp;$B91,사진대지!$Z:$Z,"="&amp;E$4)</f>
        <v>0</v>
      </c>
      <c r="F91" s="74">
        <f>+SUMIFS(사진대지!$R:$R,사진대지!$Q:$Q,"="&amp;$B91,사진대지!$Z:$Z,"="&amp;F$4)</f>
        <v>0</v>
      </c>
      <c r="G91" s="74">
        <f>+SUMIFS(사진대지!$R:$R,사진대지!$Q:$Q,"="&amp;$B91,사진대지!$Z:$Z,"="&amp;G$4)</f>
        <v>0</v>
      </c>
      <c r="H91" s="74">
        <f>+SUMIFS(사진대지!$R:$R,사진대지!$Q:$Q,"="&amp;$B91,사진대지!$Z:$Z,"="&amp;H$4)</f>
        <v>0</v>
      </c>
      <c r="I91" s="74">
        <f>+SUMIFS(사진대지!$R:$R,사진대지!$Q:$Q,"="&amp;$B91,사진대지!$Z:$Z,"="&amp;I$4)</f>
        <v>0</v>
      </c>
      <c r="J91" s="74">
        <f>+SUMIFS(사진대지!$R:$R,사진대지!$Q:$Q,"="&amp;$B91,사진대지!$Z:$Z,"="&amp;J$4)</f>
        <v>0</v>
      </c>
      <c r="K91" s="74">
        <f>+SUMIFS(사진대지!$R:$R,사진대지!$Q:$Q,"="&amp;$B91,사진대지!$Z:$Z,"="&amp;K$4)</f>
        <v>0</v>
      </c>
      <c r="L91" s="74">
        <f>+SUMIFS(사진대지!$R:$R,사진대지!$Q:$Q,"="&amp;$B91,사진대지!$Z:$Z,"="&amp;L$4)</f>
        <v>0</v>
      </c>
      <c r="M91" s="74">
        <f>+SUMIFS(사진대지!$R:$R,사진대지!$Q:$Q,"="&amp;$B91,사진대지!$Z:$Z,"="&amp;M$4)</f>
        <v>0</v>
      </c>
      <c r="N91" s="74">
        <f>+SUMIFS(사진대지!$R:$R,사진대지!$Q:$Q,"="&amp;$B91,사진대지!$Z:$Z,"="&amp;N$4)</f>
        <v>0</v>
      </c>
      <c r="O91" s="74">
        <f>+SUMIFS(사진대지!$R:$R,사진대지!$Q:$Q,"="&amp;$B91,사진대지!$Z:$Z,"="&amp;O$4)</f>
        <v>0</v>
      </c>
      <c r="P91" s="74">
        <f>+SUMIFS(사진대지!$R:$R,사진대지!$Q:$Q,"="&amp;$B91,사진대지!$Z:$Z,"="&amp;P$4)</f>
        <v>0</v>
      </c>
      <c r="Q91" s="74">
        <f>+SUMIFS(사진대지!$R:$R,사진대지!$Q:$Q,"="&amp;$B91,사진대지!$Z:$Z,"="&amp;Q$4)</f>
        <v>0</v>
      </c>
      <c r="R91" s="74">
        <f>+SUMIFS(사진대지!$R:$R,사진대지!$Q:$Q,"="&amp;$B91,사진대지!$Z:$Z,"="&amp;R$4)</f>
        <v>0</v>
      </c>
      <c r="S91" s="74">
        <f>+SUMIFS(사진대지!$R:$R,사진대지!$Q:$Q,"="&amp;$B91,사진대지!$Z:$Z,"="&amp;S$4)</f>
        <v>0</v>
      </c>
      <c r="T91" s="74">
        <f>+SUMIFS(사진대지!$R:$R,사진대지!$Q:$Q,"="&amp;$B91,사진대지!$Z:$Z,"="&amp;T$4)</f>
        <v>0</v>
      </c>
      <c r="U91" s="74">
        <f>+SUMIFS(사진대지!$R:$R,사진대지!$Q:$Q,"="&amp;$B91,사진대지!$Z:$Z,"="&amp;U$4)</f>
        <v>0</v>
      </c>
      <c r="V91" s="78"/>
      <c r="W91" s="83" t="str">
        <f t="shared" ref="W91" si="35">B91</f>
        <v>PVC벽체350</v>
      </c>
      <c r="X91" s="98">
        <f t="shared" ref="X91" si="36">+SUM(C91:U91)</f>
        <v>0</v>
      </c>
      <c r="Y91" s="75"/>
      <c r="Z91" s="75"/>
      <c r="AA91" s="84" t="str">
        <f t="shared" ref="AA91" si="37">W91</f>
        <v>PVC벽체350</v>
      </c>
      <c r="AB91" s="102">
        <f>누계!L91+X91</f>
        <v>0</v>
      </c>
    </row>
    <row r="92" spans="1:28" ht="20.100000000000001" customHeight="1" x14ac:dyDescent="0.3">
      <c r="A92" s="8"/>
      <c r="B92" s="7" t="s">
        <v>84</v>
      </c>
      <c r="C92" s="73">
        <f>+SUMIFS(사진대지!$R:$R,사진대지!$Q:$Q,"="&amp;$B92,사진대지!$Z:$Z,"="&amp;C$4)</f>
        <v>0</v>
      </c>
      <c r="D92" s="73">
        <f>+SUMIFS(사진대지!$R:$R,사진대지!$Q:$Q,"="&amp;$B92,사진대지!$Z:$Z,"="&amp;D$4)</f>
        <v>0</v>
      </c>
      <c r="E92" s="74">
        <f>+SUMIFS(사진대지!$R:$R,사진대지!$Q:$Q,"="&amp;$B92,사진대지!$Z:$Z,"="&amp;E$4)</f>
        <v>0</v>
      </c>
      <c r="F92" s="74">
        <f>+SUMIFS(사진대지!$R:$R,사진대지!$Q:$Q,"="&amp;$B92,사진대지!$Z:$Z,"="&amp;F$4)</f>
        <v>0</v>
      </c>
      <c r="G92" s="74">
        <f>+SUMIFS(사진대지!$R:$R,사진대지!$Q:$Q,"="&amp;$B92,사진대지!$Z:$Z,"="&amp;G$4)</f>
        <v>0</v>
      </c>
      <c r="H92" s="74">
        <f>+SUMIFS(사진대지!$R:$R,사진대지!$Q:$Q,"="&amp;$B92,사진대지!$Z:$Z,"="&amp;H$4)</f>
        <v>0</v>
      </c>
      <c r="I92" s="74">
        <f>+SUMIFS(사진대지!$R:$R,사진대지!$Q:$Q,"="&amp;$B92,사진대지!$Z:$Z,"="&amp;I$4)</f>
        <v>0</v>
      </c>
      <c r="J92" s="74">
        <f>+SUMIFS(사진대지!$R:$R,사진대지!$Q:$Q,"="&amp;$B92,사진대지!$Z:$Z,"="&amp;J$4)</f>
        <v>0</v>
      </c>
      <c r="K92" s="74">
        <f>+SUMIFS(사진대지!$R:$R,사진대지!$Q:$Q,"="&amp;$B92,사진대지!$Z:$Z,"="&amp;K$4)</f>
        <v>0</v>
      </c>
      <c r="L92" s="74">
        <f>+SUMIFS(사진대지!$R:$R,사진대지!$Q:$Q,"="&amp;$B92,사진대지!$Z:$Z,"="&amp;L$4)</f>
        <v>0</v>
      </c>
      <c r="M92" s="74">
        <f>+SUMIFS(사진대지!$R:$R,사진대지!$Q:$Q,"="&amp;$B92,사진대지!$Z:$Z,"="&amp;M$4)</f>
        <v>0</v>
      </c>
      <c r="N92" s="74">
        <f>+SUMIFS(사진대지!$R:$R,사진대지!$Q:$Q,"="&amp;$B92,사진대지!$Z:$Z,"="&amp;N$4)</f>
        <v>0</v>
      </c>
      <c r="O92" s="74">
        <f>+SUMIFS(사진대지!$R:$R,사진대지!$Q:$Q,"="&amp;$B92,사진대지!$Z:$Z,"="&amp;O$4)</f>
        <v>0</v>
      </c>
      <c r="P92" s="74">
        <f>+SUMIFS(사진대지!$R:$R,사진대지!$Q:$Q,"="&amp;$B92,사진대지!$Z:$Z,"="&amp;P$4)</f>
        <v>0</v>
      </c>
      <c r="Q92" s="74">
        <f>+SUMIFS(사진대지!$R:$R,사진대지!$Q:$Q,"="&amp;$B92,사진대지!$Z:$Z,"="&amp;Q$4)</f>
        <v>0</v>
      </c>
      <c r="R92" s="74">
        <f>+SUMIFS(사진대지!$R:$R,사진대지!$Q:$Q,"="&amp;$B92,사진대지!$Z:$Z,"="&amp;R$4)</f>
        <v>0</v>
      </c>
      <c r="S92" s="74">
        <f>+SUMIFS(사진대지!$R:$R,사진대지!$Q:$Q,"="&amp;$B92,사진대지!$Z:$Z,"="&amp;S$4)</f>
        <v>0</v>
      </c>
      <c r="T92" s="74">
        <f>+SUMIFS(사진대지!$R:$R,사진대지!$Q:$Q,"="&amp;$B92,사진대지!$Z:$Z,"="&amp;T$4)</f>
        <v>0</v>
      </c>
      <c r="U92" s="74">
        <f>+SUMIFS(사진대지!$R:$R,사진대지!$Q:$Q,"="&amp;$B92,사진대지!$Z:$Z,"="&amp;U$4)</f>
        <v>0</v>
      </c>
      <c r="V92" s="78"/>
      <c r="W92" s="83" t="str">
        <f t="shared" si="18"/>
        <v>PVC벽체400</v>
      </c>
      <c r="X92" s="98">
        <f t="shared" si="19"/>
        <v>0</v>
      </c>
      <c r="Y92" s="75"/>
      <c r="Z92" s="75"/>
      <c r="AA92" s="84" t="str">
        <f t="shared" si="2"/>
        <v>PVC벽체400</v>
      </c>
      <c r="AB92" s="102">
        <f>누계!L92+X92</f>
        <v>0</v>
      </c>
    </row>
    <row r="93" spans="1:28" s="25" customFormat="1" ht="20.100000000000001" customHeight="1" x14ac:dyDescent="0.3">
      <c r="A93" s="5"/>
      <c r="B93" s="144" t="s">
        <v>134</v>
      </c>
      <c r="C93" s="125">
        <f>+SUMIFS(사진대지!$R:$R,사진대지!$Q:$Q,"="&amp;$B93,사진대지!$Z:$Z,"="&amp;C$4)</f>
        <v>0</v>
      </c>
      <c r="D93" s="125">
        <f>+SUMIFS(사진대지!$R:$R,사진대지!$Q:$Q,"="&amp;$B93,사진대지!$Z:$Z,"="&amp;D$4)</f>
        <v>0</v>
      </c>
      <c r="E93" s="126">
        <f>+SUMIFS(사진대지!$R:$R,사진대지!$Q:$Q,"="&amp;$B93,사진대지!$Z:$Z,"="&amp;E$4)</f>
        <v>0</v>
      </c>
      <c r="F93" s="126">
        <f>+SUMIFS(사진대지!$R:$R,사진대지!$Q:$Q,"="&amp;$B93,사진대지!$Z:$Z,"="&amp;F$4)</f>
        <v>0</v>
      </c>
      <c r="G93" s="126">
        <f>+SUMIFS(사진대지!$R:$R,사진대지!$Q:$Q,"="&amp;$B93,사진대지!$Z:$Z,"="&amp;G$4)</f>
        <v>0</v>
      </c>
      <c r="H93" s="126">
        <f>+SUMIFS(사진대지!$R:$R,사진대지!$Q:$Q,"="&amp;$B93,사진대지!$Z:$Z,"="&amp;H$4)</f>
        <v>0</v>
      </c>
      <c r="I93" s="126">
        <f>+SUMIFS(사진대지!$R:$R,사진대지!$Q:$Q,"="&amp;$B93,사진대지!$Z:$Z,"="&amp;I$4)</f>
        <v>0</v>
      </c>
      <c r="J93" s="126">
        <f>+SUMIFS(사진대지!$R:$R,사진대지!$Q:$Q,"="&amp;$B93,사진대지!$Z:$Z,"="&amp;J$4)</f>
        <v>0</v>
      </c>
      <c r="K93" s="126">
        <f>+SUMIFS(사진대지!$R:$R,사진대지!$Q:$Q,"="&amp;$B93,사진대지!$Z:$Z,"="&amp;K$4)</f>
        <v>0</v>
      </c>
      <c r="L93" s="126">
        <f>+SUMIFS(사진대지!$R:$R,사진대지!$Q:$Q,"="&amp;$B93,사진대지!$Z:$Z,"="&amp;L$4)</f>
        <v>0</v>
      </c>
      <c r="M93" s="126">
        <f>+SUMIFS(사진대지!$R:$R,사진대지!$Q:$Q,"="&amp;$B93,사진대지!$Z:$Z,"="&amp;M$4)</f>
        <v>0</v>
      </c>
      <c r="N93" s="126">
        <f>+SUMIFS(사진대지!$R:$R,사진대지!$Q:$Q,"="&amp;$B93,사진대지!$Z:$Z,"="&amp;N$4)</f>
        <v>0</v>
      </c>
      <c r="O93" s="126">
        <f>+SUMIFS(사진대지!$R:$R,사진대지!$Q:$Q,"="&amp;$B93,사진대지!$Z:$Z,"="&amp;O$4)</f>
        <v>0</v>
      </c>
      <c r="P93" s="126">
        <f>+SUMIFS(사진대지!$R:$R,사진대지!$Q:$Q,"="&amp;$B93,사진대지!$Z:$Z,"="&amp;P$4)</f>
        <v>0</v>
      </c>
      <c r="Q93" s="126">
        <f>+SUMIFS(사진대지!$R:$R,사진대지!$Q:$Q,"="&amp;$B93,사진대지!$Z:$Z,"="&amp;Q$4)</f>
        <v>0</v>
      </c>
      <c r="R93" s="126">
        <f>+SUMIFS(사진대지!$R:$R,사진대지!$Q:$Q,"="&amp;$B93,사진대지!$Z:$Z,"="&amp;R$4)</f>
        <v>0</v>
      </c>
      <c r="S93" s="126">
        <f>+SUMIFS(사진대지!$R:$R,사진대지!$Q:$Q,"="&amp;$B93,사진대지!$Z:$Z,"="&amp;S$4)</f>
        <v>0</v>
      </c>
      <c r="T93" s="126">
        <f>+SUMIFS(사진대지!$R:$R,사진대지!$Q:$Q,"="&amp;$B93,사진대지!$Z:$Z,"="&amp;T$4)</f>
        <v>0</v>
      </c>
      <c r="U93" s="126">
        <f>+SUMIFS(사진대지!$R:$R,사진대지!$Q:$Q,"="&amp;$B93,사진대지!$Z:$Z,"="&amp;U$4)</f>
        <v>0</v>
      </c>
      <c r="V93" s="78"/>
      <c r="W93" s="127" t="str">
        <f t="shared" si="18"/>
        <v>대구경추가차열입상</v>
      </c>
      <c r="X93" s="128">
        <f t="shared" si="19"/>
        <v>0</v>
      </c>
      <c r="Y93" s="75"/>
      <c r="Z93" s="75"/>
      <c r="AA93" s="129" t="str">
        <f t="shared" si="2"/>
        <v>대구경추가차열입상</v>
      </c>
      <c r="AB93" s="130">
        <f>누계!L93+X93</f>
        <v>0</v>
      </c>
    </row>
    <row r="94" spans="1:28" s="25" customFormat="1" ht="20.100000000000001" customHeight="1" x14ac:dyDescent="0.3">
      <c r="A94" s="5"/>
      <c r="B94" s="144" t="s">
        <v>135</v>
      </c>
      <c r="C94" s="125">
        <f>+SUMIFS(사진대지!$R:$R,사진대지!$Q:$Q,"="&amp;$B94,사진대지!$Z:$Z,"="&amp;C$4)</f>
        <v>0</v>
      </c>
      <c r="D94" s="125">
        <f>+SUMIFS(사진대지!$R:$R,사진대지!$Q:$Q,"="&amp;$B94,사진대지!$Z:$Z,"="&amp;D$4)</f>
        <v>0</v>
      </c>
      <c r="E94" s="126">
        <f>+SUMIFS(사진대지!$R:$R,사진대지!$Q:$Q,"="&amp;$B94,사진대지!$Z:$Z,"="&amp;E$4)</f>
        <v>0</v>
      </c>
      <c r="F94" s="126">
        <f>+SUMIFS(사진대지!$R:$R,사진대지!$Q:$Q,"="&amp;$B94,사진대지!$Z:$Z,"="&amp;F$4)</f>
        <v>0</v>
      </c>
      <c r="G94" s="126">
        <f>+SUMIFS(사진대지!$R:$R,사진대지!$Q:$Q,"="&amp;$B94,사진대지!$Z:$Z,"="&amp;G$4)</f>
        <v>0</v>
      </c>
      <c r="H94" s="126">
        <f>+SUMIFS(사진대지!$R:$R,사진대지!$Q:$Q,"="&amp;$B94,사진대지!$Z:$Z,"="&amp;H$4)</f>
        <v>0</v>
      </c>
      <c r="I94" s="126">
        <f>+SUMIFS(사진대지!$R:$R,사진대지!$Q:$Q,"="&amp;$B94,사진대지!$Z:$Z,"="&amp;I$4)</f>
        <v>0</v>
      </c>
      <c r="J94" s="126">
        <f>+SUMIFS(사진대지!$R:$R,사진대지!$Q:$Q,"="&amp;$B94,사진대지!$Z:$Z,"="&amp;J$4)</f>
        <v>0</v>
      </c>
      <c r="K94" s="126">
        <f>+SUMIFS(사진대지!$R:$R,사진대지!$Q:$Q,"="&amp;$B94,사진대지!$Z:$Z,"="&amp;K$4)</f>
        <v>0</v>
      </c>
      <c r="L94" s="126">
        <f>+SUMIFS(사진대지!$R:$R,사진대지!$Q:$Q,"="&amp;$B94,사진대지!$Z:$Z,"="&amp;L$4)</f>
        <v>0</v>
      </c>
      <c r="M94" s="126">
        <f>+SUMIFS(사진대지!$R:$R,사진대지!$Q:$Q,"="&amp;$B94,사진대지!$Z:$Z,"="&amp;M$4)</f>
        <v>0</v>
      </c>
      <c r="N94" s="126">
        <f>+SUMIFS(사진대지!$R:$R,사진대지!$Q:$Q,"="&amp;$B94,사진대지!$Z:$Z,"="&amp;N$4)</f>
        <v>0</v>
      </c>
      <c r="O94" s="126">
        <f>+SUMIFS(사진대지!$R:$R,사진대지!$Q:$Q,"="&amp;$B94,사진대지!$Z:$Z,"="&amp;O$4)</f>
        <v>0</v>
      </c>
      <c r="P94" s="126">
        <f>+SUMIFS(사진대지!$R:$R,사진대지!$Q:$Q,"="&amp;$B94,사진대지!$Z:$Z,"="&amp;P$4)</f>
        <v>0</v>
      </c>
      <c r="Q94" s="126">
        <f>+SUMIFS(사진대지!$R:$R,사진대지!$Q:$Q,"="&amp;$B94,사진대지!$Z:$Z,"="&amp;Q$4)</f>
        <v>0</v>
      </c>
      <c r="R94" s="126">
        <f>+SUMIFS(사진대지!$R:$R,사진대지!$Q:$Q,"="&amp;$B94,사진대지!$Z:$Z,"="&amp;R$4)</f>
        <v>0</v>
      </c>
      <c r="S94" s="126">
        <f>+SUMIFS(사진대지!$R:$R,사진대지!$Q:$Q,"="&amp;$B94,사진대지!$Z:$Z,"="&amp;S$4)</f>
        <v>0</v>
      </c>
      <c r="T94" s="126">
        <f>+SUMIFS(사진대지!$R:$R,사진대지!$Q:$Q,"="&amp;$B94,사진대지!$Z:$Z,"="&amp;T$4)</f>
        <v>0</v>
      </c>
      <c r="U94" s="126">
        <f>+SUMIFS(사진대지!$R:$R,사진대지!$Q:$Q,"="&amp;$B94,사진대지!$Z:$Z,"="&amp;U$4)</f>
        <v>0</v>
      </c>
      <c r="V94" s="78"/>
      <c r="W94" s="127" t="str">
        <f t="shared" ref="W94:W96" si="38">B94</f>
        <v>대구경추가차열벽체</v>
      </c>
      <c r="X94" s="128">
        <f t="shared" ref="X94:X96" si="39">+SUM(C94:U94)</f>
        <v>0</v>
      </c>
      <c r="Y94" s="75"/>
      <c r="Z94" s="75"/>
      <c r="AA94" s="129" t="str">
        <f t="shared" ref="AA94:AA96" si="40">W94</f>
        <v>대구경추가차열벽체</v>
      </c>
      <c r="AB94" s="130">
        <f>누계!L94+X94</f>
        <v>0</v>
      </c>
    </row>
    <row r="95" spans="1:28" s="25" customFormat="1" ht="20.100000000000001" customHeight="1" x14ac:dyDescent="0.3">
      <c r="A95" s="5"/>
      <c r="B95" s="144" t="s">
        <v>136</v>
      </c>
      <c r="C95" s="73">
        <f>+SUMIFS(사진대지!$R:$R,사진대지!$Q:$Q,"="&amp;$B95,사진대지!$Z:$Z,"="&amp;C$4)</f>
        <v>0</v>
      </c>
      <c r="D95" s="73">
        <f>+SUMIFS(사진대지!$R:$R,사진대지!$Q:$Q,"="&amp;$B95,사진대지!$Z:$Z,"="&amp;D$4)</f>
        <v>0</v>
      </c>
      <c r="E95" s="74">
        <f>+SUMIFS(사진대지!$R:$R,사진대지!$Q:$Q,"="&amp;$B95,사진대지!$Z:$Z,"="&amp;E$4)</f>
        <v>0</v>
      </c>
      <c r="F95" s="74">
        <f>+SUMIFS(사진대지!$R:$R,사진대지!$Q:$Q,"="&amp;$B95,사진대지!$Z:$Z,"="&amp;F$4)</f>
        <v>0</v>
      </c>
      <c r="G95" s="74">
        <f>+SUMIFS(사진대지!$R:$R,사진대지!$Q:$Q,"="&amp;$B95,사진대지!$Z:$Z,"="&amp;G$4)</f>
        <v>0</v>
      </c>
      <c r="H95" s="74">
        <f>+SUMIFS(사진대지!$R:$R,사진대지!$Q:$Q,"="&amp;$B95,사진대지!$Z:$Z,"="&amp;H$4)</f>
        <v>0</v>
      </c>
      <c r="I95" s="74">
        <f>+SUMIFS(사진대지!$R:$R,사진대지!$Q:$Q,"="&amp;$B95,사진대지!$Z:$Z,"="&amp;I$4)</f>
        <v>0</v>
      </c>
      <c r="J95" s="74">
        <f>+SUMIFS(사진대지!$R:$R,사진대지!$Q:$Q,"="&amp;$B95,사진대지!$Z:$Z,"="&amp;J$4)</f>
        <v>0</v>
      </c>
      <c r="K95" s="74">
        <f>+SUMIFS(사진대지!$R:$R,사진대지!$Q:$Q,"="&amp;$B95,사진대지!$Z:$Z,"="&amp;K$4)</f>
        <v>0</v>
      </c>
      <c r="L95" s="74">
        <f>+SUMIFS(사진대지!$R:$R,사진대지!$Q:$Q,"="&amp;$B95,사진대지!$Z:$Z,"="&amp;L$4)</f>
        <v>0</v>
      </c>
      <c r="M95" s="74">
        <f>+SUMIFS(사진대지!$R:$R,사진대지!$Q:$Q,"="&amp;$B95,사진대지!$Z:$Z,"="&amp;M$4)</f>
        <v>0</v>
      </c>
      <c r="N95" s="74">
        <f>+SUMIFS(사진대지!$R:$R,사진대지!$Q:$Q,"="&amp;$B95,사진대지!$Z:$Z,"="&amp;N$4)</f>
        <v>0</v>
      </c>
      <c r="O95" s="74">
        <f>+SUMIFS(사진대지!$R:$R,사진대지!$Q:$Q,"="&amp;$B95,사진대지!$Z:$Z,"="&amp;O$4)</f>
        <v>0</v>
      </c>
      <c r="P95" s="74">
        <f>+SUMIFS(사진대지!$R:$R,사진대지!$Q:$Q,"="&amp;$B95,사진대지!$Z:$Z,"="&amp;P$4)</f>
        <v>0</v>
      </c>
      <c r="Q95" s="74">
        <f>+SUMIFS(사진대지!$R:$R,사진대지!$Q:$Q,"="&amp;$B95,사진대지!$Z:$Z,"="&amp;Q$4)</f>
        <v>0</v>
      </c>
      <c r="R95" s="74">
        <f>+SUMIFS(사진대지!$R:$R,사진대지!$Q:$Q,"="&amp;$B95,사진대지!$Z:$Z,"="&amp;R$4)</f>
        <v>0</v>
      </c>
      <c r="S95" s="74">
        <f>+SUMIFS(사진대지!$R:$R,사진대지!$Q:$Q,"="&amp;$B95,사진대지!$Z:$Z,"="&amp;S$4)</f>
        <v>0</v>
      </c>
      <c r="T95" s="74">
        <f>+SUMIFS(사진대지!$R:$R,사진대지!$Q:$Q,"="&amp;$B95,사진대지!$Z:$Z,"="&amp;T$4)</f>
        <v>0</v>
      </c>
      <c r="U95" s="74">
        <f>+SUMIFS(사진대지!$R:$R,사진대지!$Q:$Q,"="&amp;$B95,사진대지!$Z:$Z,"="&amp;U$4)</f>
        <v>0</v>
      </c>
      <c r="V95" s="78"/>
      <c r="W95" s="83" t="str">
        <f t="shared" ref="W95" si="41">B95</f>
        <v>실란트마감입상</v>
      </c>
      <c r="X95" s="98">
        <f t="shared" ref="X95" si="42">+SUM(C95:U95)</f>
        <v>0</v>
      </c>
      <c r="Y95" s="75"/>
      <c r="Z95" s="75"/>
      <c r="AA95" s="84" t="str">
        <f t="shared" ref="AA95" si="43">W95</f>
        <v>실란트마감입상</v>
      </c>
      <c r="AB95" s="102">
        <f>누계!L95+X95</f>
        <v>0</v>
      </c>
    </row>
    <row r="96" spans="1:28" s="25" customFormat="1" ht="20.100000000000001" customHeight="1" x14ac:dyDescent="0.3">
      <c r="A96" s="5"/>
      <c r="B96" s="144" t="s">
        <v>137</v>
      </c>
      <c r="C96" s="73">
        <f>+SUMIFS(사진대지!$R:$R,사진대지!$Q:$Q,"="&amp;$B96,사진대지!$Z:$Z,"="&amp;C$4)</f>
        <v>0</v>
      </c>
      <c r="D96" s="73">
        <f>+SUMIFS(사진대지!$R:$R,사진대지!$Q:$Q,"="&amp;$B96,사진대지!$Z:$Z,"="&amp;D$4)</f>
        <v>0</v>
      </c>
      <c r="E96" s="74">
        <f>+SUMIFS(사진대지!$R:$R,사진대지!$Q:$Q,"="&amp;$B96,사진대지!$Z:$Z,"="&amp;E$4)</f>
        <v>0</v>
      </c>
      <c r="F96" s="74">
        <f>+SUMIFS(사진대지!$R:$R,사진대지!$Q:$Q,"="&amp;$B96,사진대지!$Z:$Z,"="&amp;F$4)</f>
        <v>0</v>
      </c>
      <c r="G96" s="74">
        <f>+SUMIFS(사진대지!$R:$R,사진대지!$Q:$Q,"="&amp;$B96,사진대지!$Z:$Z,"="&amp;G$4)</f>
        <v>0</v>
      </c>
      <c r="H96" s="74">
        <f>+SUMIFS(사진대지!$R:$R,사진대지!$Q:$Q,"="&amp;$B96,사진대지!$Z:$Z,"="&amp;H$4)</f>
        <v>0</v>
      </c>
      <c r="I96" s="74">
        <f>+SUMIFS(사진대지!$R:$R,사진대지!$Q:$Q,"="&amp;$B96,사진대지!$Z:$Z,"="&amp;I$4)</f>
        <v>0</v>
      </c>
      <c r="J96" s="74">
        <f>+SUMIFS(사진대지!$R:$R,사진대지!$Q:$Q,"="&amp;$B96,사진대지!$Z:$Z,"="&amp;J$4)</f>
        <v>0</v>
      </c>
      <c r="K96" s="74">
        <f>+SUMIFS(사진대지!$R:$R,사진대지!$Q:$Q,"="&amp;$B96,사진대지!$Z:$Z,"="&amp;K$4)</f>
        <v>0</v>
      </c>
      <c r="L96" s="74">
        <f>+SUMIFS(사진대지!$R:$R,사진대지!$Q:$Q,"="&amp;$B96,사진대지!$Z:$Z,"="&amp;L$4)</f>
        <v>0</v>
      </c>
      <c r="M96" s="74">
        <f>+SUMIFS(사진대지!$R:$R,사진대지!$Q:$Q,"="&amp;$B96,사진대지!$Z:$Z,"="&amp;M$4)</f>
        <v>0</v>
      </c>
      <c r="N96" s="74">
        <f>+SUMIFS(사진대지!$R:$R,사진대지!$Q:$Q,"="&amp;$B96,사진대지!$Z:$Z,"="&amp;N$4)</f>
        <v>0</v>
      </c>
      <c r="O96" s="74">
        <f>+SUMIFS(사진대지!$R:$R,사진대지!$Q:$Q,"="&amp;$B96,사진대지!$Z:$Z,"="&amp;O$4)</f>
        <v>0</v>
      </c>
      <c r="P96" s="74">
        <f>+SUMIFS(사진대지!$R:$R,사진대지!$Q:$Q,"="&amp;$B96,사진대지!$Z:$Z,"="&amp;P$4)</f>
        <v>0</v>
      </c>
      <c r="Q96" s="74">
        <f>+SUMIFS(사진대지!$R:$R,사진대지!$Q:$Q,"="&amp;$B96,사진대지!$Z:$Z,"="&amp;Q$4)</f>
        <v>0</v>
      </c>
      <c r="R96" s="74">
        <f>+SUMIFS(사진대지!$R:$R,사진대지!$Q:$Q,"="&amp;$B96,사진대지!$Z:$Z,"="&amp;R$4)</f>
        <v>0</v>
      </c>
      <c r="S96" s="74">
        <f>+SUMIFS(사진대지!$R:$R,사진대지!$Q:$Q,"="&amp;$B96,사진대지!$Z:$Z,"="&amp;S$4)</f>
        <v>0</v>
      </c>
      <c r="T96" s="74">
        <f>+SUMIFS(사진대지!$R:$R,사진대지!$Q:$Q,"="&amp;$B96,사진대지!$Z:$Z,"="&amp;T$4)</f>
        <v>0</v>
      </c>
      <c r="U96" s="74">
        <f>+SUMIFS(사진대지!$R:$R,사진대지!$Q:$Q,"="&amp;$B96,사진대지!$Z:$Z,"="&amp;U$4)</f>
        <v>0</v>
      </c>
      <c r="V96" s="78"/>
      <c r="W96" s="83" t="str">
        <f t="shared" si="38"/>
        <v>실란트마감벽체</v>
      </c>
      <c r="X96" s="98">
        <f t="shared" si="39"/>
        <v>0</v>
      </c>
      <c r="Y96" s="75"/>
      <c r="Z96" s="75"/>
      <c r="AA96" s="84" t="str">
        <f t="shared" si="40"/>
        <v>실란트마감벽체</v>
      </c>
      <c r="AB96" s="102">
        <f>누계!L96+X96</f>
        <v>0</v>
      </c>
    </row>
    <row r="97" spans="1:28" ht="20.100000000000001" customHeight="1" x14ac:dyDescent="0.3">
      <c r="A97" s="5"/>
      <c r="B97" s="7" t="s">
        <v>118</v>
      </c>
      <c r="C97" s="73">
        <f>+SUMIFS(사진대지!$R:$R,사진대지!$Q:$Q,"="&amp;$B97,사진대지!$Z:$Z,"="&amp;C$4)</f>
        <v>0</v>
      </c>
      <c r="D97" s="73">
        <f>+SUMIFS(사진대지!$R:$R,사진대지!$Q:$Q,"="&amp;$B97,사진대지!$Z:$Z,"="&amp;D$4)</f>
        <v>0</v>
      </c>
      <c r="E97" s="74">
        <f>+SUMIFS(사진대지!$R:$R,사진대지!$Q:$Q,"="&amp;$B97,사진대지!$Z:$Z,"="&amp;E$4)</f>
        <v>0</v>
      </c>
      <c r="F97" s="74">
        <f>+SUMIFS(사진대지!$R:$R,사진대지!$Q:$Q,"="&amp;$B97,사진대지!$Z:$Z,"="&amp;F$4)</f>
        <v>0</v>
      </c>
      <c r="G97" s="74">
        <f>+SUMIFS(사진대지!$R:$R,사진대지!$Q:$Q,"="&amp;$B97,사진대지!$Z:$Z,"="&amp;G$4)</f>
        <v>0</v>
      </c>
      <c r="H97" s="74">
        <f>+SUMIFS(사진대지!$R:$R,사진대지!$Q:$Q,"="&amp;$B97,사진대지!$Z:$Z,"="&amp;H$4)</f>
        <v>0</v>
      </c>
      <c r="I97" s="74">
        <f>+SUMIFS(사진대지!$R:$R,사진대지!$Q:$Q,"="&amp;$B97,사진대지!$Z:$Z,"="&amp;I$4)</f>
        <v>0</v>
      </c>
      <c r="J97" s="74">
        <f>+SUMIFS(사진대지!$R:$R,사진대지!$Q:$Q,"="&amp;$B97,사진대지!$Z:$Z,"="&amp;J$4)</f>
        <v>0</v>
      </c>
      <c r="K97" s="74">
        <f>+SUMIFS(사진대지!$R:$R,사진대지!$Q:$Q,"="&amp;$B97,사진대지!$Z:$Z,"="&amp;K$4)</f>
        <v>0</v>
      </c>
      <c r="L97" s="74">
        <f>+SUMIFS(사진대지!$R:$R,사진대지!$Q:$Q,"="&amp;$B97,사진대지!$Z:$Z,"="&amp;L$4)</f>
        <v>0</v>
      </c>
      <c r="M97" s="74">
        <f>+SUMIFS(사진대지!$R:$R,사진대지!$Q:$Q,"="&amp;$B97,사진대지!$Z:$Z,"="&amp;M$4)</f>
        <v>0</v>
      </c>
      <c r="N97" s="74">
        <f>+SUMIFS(사진대지!$R:$R,사진대지!$Q:$Q,"="&amp;$B97,사진대지!$Z:$Z,"="&amp;N$4)</f>
        <v>0</v>
      </c>
      <c r="O97" s="74">
        <f>+SUMIFS(사진대지!$R:$R,사진대지!$Q:$Q,"="&amp;$B97,사진대지!$Z:$Z,"="&amp;O$4)</f>
        <v>0</v>
      </c>
      <c r="P97" s="74">
        <f>+SUMIFS(사진대지!$R:$R,사진대지!$Q:$Q,"="&amp;$B97,사진대지!$Z:$Z,"="&amp;P$4)</f>
        <v>0</v>
      </c>
      <c r="Q97" s="74">
        <f>+SUMIFS(사진대지!$R:$R,사진대지!$Q:$Q,"="&amp;$B97,사진대지!$Z:$Z,"="&amp;Q$4)</f>
        <v>0</v>
      </c>
      <c r="R97" s="74">
        <f>+SUMIFS(사진대지!$R:$R,사진대지!$Q:$Q,"="&amp;$B97,사진대지!$Z:$Z,"="&amp;R$4)</f>
        <v>0</v>
      </c>
      <c r="S97" s="74">
        <f>+SUMIFS(사진대지!$R:$R,사진대지!$Q:$Q,"="&amp;$B97,사진대지!$Z:$Z,"="&amp;S$4)</f>
        <v>0</v>
      </c>
      <c r="T97" s="74">
        <f>+SUMIFS(사진대지!$R:$R,사진대지!$Q:$Q,"="&amp;$B97,사진대지!$Z:$Z,"="&amp;T$4)</f>
        <v>0</v>
      </c>
      <c r="U97" s="74">
        <f>+SUMIFS(사진대지!$R:$R,사진대지!$Q:$Q,"="&amp;$B97,사진대지!$Z:$Z,"="&amp;U$4)</f>
        <v>0</v>
      </c>
      <c r="V97" s="78"/>
      <c r="W97" s="83" t="str">
        <f t="shared" si="18"/>
        <v>슬리브</v>
      </c>
      <c r="X97" s="98">
        <f t="shared" si="19"/>
        <v>0</v>
      </c>
      <c r="Y97" s="75"/>
      <c r="Z97" s="75"/>
      <c r="AA97" s="84" t="str">
        <f t="shared" si="2"/>
        <v>슬리브</v>
      </c>
      <c r="AB97" s="102">
        <f>누계!L97+X97</f>
        <v>0</v>
      </c>
    </row>
    <row r="98" spans="1:28" ht="20.100000000000001" customHeight="1" x14ac:dyDescent="0.3">
      <c r="A98" s="180" t="s">
        <v>64</v>
      </c>
      <c r="B98" s="144" t="s">
        <v>115</v>
      </c>
      <c r="C98" s="71">
        <f>+SUMIFS(사진대지!$X:$X,사진대지!$T:$T,"="&amp;$B98,사진대지!$Z:$Z,"="&amp;C$4)</f>
        <v>0</v>
      </c>
      <c r="D98" s="71">
        <f>+SUMIFS(사진대지!$X:$X,사진대지!$T:$T,"="&amp;$B98,사진대지!$Z:$Z,"="&amp;D$4)</f>
        <v>0</v>
      </c>
      <c r="E98" s="72">
        <f>+SUMIFS(사진대지!$X:$X,사진대지!$T:$T,"="&amp;$B98,사진대지!$Z:$Z,"="&amp;E$4)</f>
        <v>0</v>
      </c>
      <c r="F98" s="72">
        <f>+SUMIFS(사진대지!$X:$X,사진대지!$T:$T,"="&amp;$B98,사진대지!$Z:$Z,"="&amp;F$4)</f>
        <v>0</v>
      </c>
      <c r="G98" s="72">
        <f>+SUMIFS(사진대지!$X:$X,사진대지!$T:$T,"="&amp;$B98,사진대지!$Z:$Z,"="&amp;G$4)</f>
        <v>0</v>
      </c>
      <c r="H98" s="72">
        <f>+SUMIFS(사진대지!$X:$X,사진대지!$T:$T,"="&amp;$B98,사진대지!$Z:$Z,"="&amp;H$4)</f>
        <v>0</v>
      </c>
      <c r="I98" s="72">
        <f>+SUMIFS(사진대지!$X:$X,사진대지!$T:$T,"="&amp;$B98,사진대지!$Z:$Z,"="&amp;I$4)</f>
        <v>0</v>
      </c>
      <c r="J98" s="72">
        <f>+SUMIFS(사진대지!$X:$X,사진대지!$T:$T,"="&amp;$B98,사진대지!$Z:$Z,"="&amp;J$4)</f>
        <v>0</v>
      </c>
      <c r="K98" s="72">
        <f>+SUMIFS(사진대지!$X:$X,사진대지!$T:$T,"="&amp;$B98,사진대지!$Z:$Z,"="&amp;K$4)</f>
        <v>0</v>
      </c>
      <c r="L98" s="72">
        <f>+SUMIFS(사진대지!$X:$X,사진대지!$T:$T,"="&amp;$B98,사진대지!$Z:$Z,"="&amp;L$4)</f>
        <v>0</v>
      </c>
      <c r="M98" s="72">
        <f>+SUMIFS(사진대지!$X:$X,사진대지!$T:$T,"="&amp;$B98,사진대지!$Z:$Z,"="&amp;M$4)</f>
        <v>0</v>
      </c>
      <c r="N98" s="72">
        <f>+SUMIFS(사진대지!$X:$X,사진대지!$T:$T,"="&amp;$B98,사진대지!$Z:$Z,"="&amp;N$4)</f>
        <v>0</v>
      </c>
      <c r="O98" s="72">
        <f>+SUMIFS(사진대지!$X:$X,사진대지!$T:$T,"="&amp;$B98,사진대지!$Z:$Z,"="&amp;O$4)</f>
        <v>0</v>
      </c>
      <c r="P98" s="72">
        <f>+SUMIFS(사진대지!$X:$X,사진대지!$T:$T,"="&amp;$B98,사진대지!$Z:$Z,"="&amp;P$4)</f>
        <v>0</v>
      </c>
      <c r="Q98" s="72">
        <f>+SUMIFS(사진대지!$X:$X,사진대지!$T:$T,"="&amp;$B98,사진대지!$Z:$Z,"="&amp;Q$4)</f>
        <v>0</v>
      </c>
      <c r="R98" s="72">
        <f>+SUMIFS(사진대지!$X:$X,사진대지!$T:$T,"="&amp;$B98,사진대지!$Z:$Z,"="&amp;R$4)</f>
        <v>0</v>
      </c>
      <c r="S98" s="72">
        <f>+SUMIFS(사진대지!$X:$X,사진대지!$T:$T,"="&amp;$B98,사진대지!$Z:$Z,"="&amp;S$4)</f>
        <v>0</v>
      </c>
      <c r="T98" s="72">
        <f>+SUMIFS(사진대지!$X:$X,사진대지!$T:$T,"="&amp;$B98,사진대지!$Z:$Z,"="&amp;T$4)</f>
        <v>0</v>
      </c>
      <c r="U98" s="72">
        <f>+SUMIFS(사진대지!$X:$X,사진대지!$T:$T,"="&amp;$B98,사진대지!$Z:$Z,"="&amp;U$4)</f>
        <v>0</v>
      </c>
      <c r="V98" s="136"/>
      <c r="W98" s="81" t="str">
        <f t="shared" si="18"/>
        <v>무보온덕트입상</v>
      </c>
      <c r="X98" s="97">
        <f t="shared" si="19"/>
        <v>0</v>
      </c>
      <c r="Y98" s="75"/>
      <c r="Z98" s="135"/>
      <c r="AA98" s="82" t="str">
        <f t="shared" si="2"/>
        <v>무보온덕트입상</v>
      </c>
      <c r="AB98" s="101">
        <f>누계!L98+X98</f>
        <v>0</v>
      </c>
    </row>
    <row r="99" spans="1:28" s="25" customFormat="1" ht="20.100000000000001" customHeight="1" x14ac:dyDescent="0.3">
      <c r="A99" s="181"/>
      <c r="B99" s="144" t="s">
        <v>111</v>
      </c>
      <c r="C99" s="71">
        <f>+SUMIFS(사진대지!$X:$X,사진대지!$T:$T,"="&amp;$B99,사진대지!$Z:$Z,"="&amp;C$4)</f>
        <v>0</v>
      </c>
      <c r="D99" s="71">
        <f>+SUMIFS(사진대지!$X:$X,사진대지!$T:$T,"="&amp;$B99,사진대지!$Z:$Z,"="&amp;D$4)</f>
        <v>0</v>
      </c>
      <c r="E99" s="72">
        <f>+SUMIFS(사진대지!$X:$X,사진대지!$T:$T,"="&amp;$B99,사진대지!$Z:$Z,"="&amp;E$4)</f>
        <v>0</v>
      </c>
      <c r="F99" s="72">
        <f>+SUMIFS(사진대지!$X:$X,사진대지!$T:$T,"="&amp;$B99,사진대지!$Z:$Z,"="&amp;F$4)</f>
        <v>0</v>
      </c>
      <c r="G99" s="72">
        <f>+SUMIFS(사진대지!$X:$X,사진대지!$T:$T,"="&amp;$B99,사진대지!$Z:$Z,"="&amp;G$4)</f>
        <v>0</v>
      </c>
      <c r="H99" s="72">
        <f>+SUMIFS(사진대지!$X:$X,사진대지!$T:$T,"="&amp;$B99,사진대지!$Z:$Z,"="&amp;H$4)</f>
        <v>0</v>
      </c>
      <c r="I99" s="72">
        <f>+SUMIFS(사진대지!$X:$X,사진대지!$T:$T,"="&amp;$B99,사진대지!$Z:$Z,"="&amp;I$4)</f>
        <v>0</v>
      </c>
      <c r="J99" s="72">
        <f>+SUMIFS(사진대지!$X:$X,사진대지!$T:$T,"="&amp;$B99,사진대지!$Z:$Z,"="&amp;J$4)</f>
        <v>0</v>
      </c>
      <c r="K99" s="72">
        <f>+SUMIFS(사진대지!$X:$X,사진대지!$T:$T,"="&amp;$B99,사진대지!$Z:$Z,"="&amp;K$4)</f>
        <v>0</v>
      </c>
      <c r="L99" s="72">
        <f>+SUMIFS(사진대지!$X:$X,사진대지!$T:$T,"="&amp;$B99,사진대지!$Z:$Z,"="&amp;L$4)</f>
        <v>0</v>
      </c>
      <c r="M99" s="72">
        <f>+SUMIFS(사진대지!$X:$X,사진대지!$T:$T,"="&amp;$B99,사진대지!$Z:$Z,"="&amp;M$4)</f>
        <v>0</v>
      </c>
      <c r="N99" s="72">
        <f>+SUMIFS(사진대지!$X:$X,사진대지!$T:$T,"="&amp;$B99,사진대지!$Z:$Z,"="&amp;N$4)</f>
        <v>0</v>
      </c>
      <c r="O99" s="72">
        <f>+SUMIFS(사진대지!$X:$X,사진대지!$T:$T,"="&amp;$B99,사진대지!$Z:$Z,"="&amp;O$4)</f>
        <v>0</v>
      </c>
      <c r="P99" s="72">
        <f>+SUMIFS(사진대지!$X:$X,사진대지!$T:$T,"="&amp;$B99,사진대지!$Z:$Z,"="&amp;P$4)</f>
        <v>0</v>
      </c>
      <c r="Q99" s="72">
        <f>+SUMIFS(사진대지!$X:$X,사진대지!$T:$T,"="&amp;$B99,사진대지!$Z:$Z,"="&amp;Q$4)</f>
        <v>0</v>
      </c>
      <c r="R99" s="72">
        <f>+SUMIFS(사진대지!$X:$X,사진대지!$T:$T,"="&amp;$B99,사진대지!$Z:$Z,"="&amp;R$4)</f>
        <v>0</v>
      </c>
      <c r="S99" s="72">
        <f>+SUMIFS(사진대지!$X:$X,사진대지!$T:$T,"="&amp;$B99,사진대지!$Z:$Z,"="&amp;S$4)</f>
        <v>0</v>
      </c>
      <c r="T99" s="72">
        <f>+SUMIFS(사진대지!$X:$X,사진대지!$T:$T,"="&amp;$B99,사진대지!$Z:$Z,"="&amp;T$4)</f>
        <v>0</v>
      </c>
      <c r="U99" s="72">
        <f>+SUMIFS(사진대지!$X:$X,사진대지!$T:$T,"="&amp;$B99,사진대지!$Z:$Z,"="&amp;U$4)</f>
        <v>0</v>
      </c>
      <c r="V99" s="136"/>
      <c r="W99" s="81" t="str">
        <f t="shared" si="18"/>
        <v>보온덕트입상</v>
      </c>
      <c r="X99" s="97">
        <f t="shared" si="19"/>
        <v>0</v>
      </c>
      <c r="Y99" s="75"/>
      <c r="Z99" s="135"/>
      <c r="AA99" s="82" t="str">
        <f t="shared" si="2"/>
        <v>보온덕트입상</v>
      </c>
      <c r="AB99" s="101">
        <f>누계!L99+X99</f>
        <v>0</v>
      </c>
    </row>
    <row r="100" spans="1:28" s="25" customFormat="1" ht="20.100000000000001" customHeight="1" x14ac:dyDescent="0.3">
      <c r="A100" s="181"/>
      <c r="B100" s="144" t="s">
        <v>117</v>
      </c>
      <c r="C100" s="73">
        <f>+SUMIFS(사진대지!$X:$X,사진대지!$T:$T,"="&amp;$B100,사진대지!$Z:$Z,"="&amp;C$4)</f>
        <v>0</v>
      </c>
      <c r="D100" s="73">
        <f>+SUMIFS(사진대지!$X:$X,사진대지!$T:$T,"="&amp;$B100,사진대지!$Z:$Z,"="&amp;D$4)</f>
        <v>0</v>
      </c>
      <c r="E100" s="74">
        <f>+SUMIFS(사진대지!$X:$X,사진대지!$T:$T,"="&amp;$B100,사진대지!$Z:$Z,"="&amp;E$4)</f>
        <v>0</v>
      </c>
      <c r="F100" s="74">
        <f>+SUMIFS(사진대지!$X:$X,사진대지!$T:$T,"="&amp;$B100,사진대지!$Z:$Z,"="&amp;F$4)</f>
        <v>0</v>
      </c>
      <c r="G100" s="74">
        <f>+SUMIFS(사진대지!$X:$X,사진대지!$T:$T,"="&amp;$B100,사진대지!$Z:$Z,"="&amp;G$4)</f>
        <v>0</v>
      </c>
      <c r="H100" s="74">
        <f>+SUMIFS(사진대지!$X:$X,사진대지!$T:$T,"="&amp;$B100,사진대지!$Z:$Z,"="&amp;H$4)</f>
        <v>0</v>
      </c>
      <c r="I100" s="74">
        <f>+SUMIFS(사진대지!$X:$X,사진대지!$T:$T,"="&amp;$B100,사진대지!$Z:$Z,"="&amp;I$4)</f>
        <v>0</v>
      </c>
      <c r="J100" s="74">
        <f>+SUMIFS(사진대지!$X:$X,사진대지!$T:$T,"="&amp;$B100,사진대지!$Z:$Z,"="&amp;J$4)</f>
        <v>0</v>
      </c>
      <c r="K100" s="74">
        <f>+SUMIFS(사진대지!$X:$X,사진대지!$T:$T,"="&amp;$B100,사진대지!$Z:$Z,"="&amp;K$4)</f>
        <v>0</v>
      </c>
      <c r="L100" s="74">
        <f>+SUMIFS(사진대지!$X:$X,사진대지!$T:$T,"="&amp;$B100,사진대지!$Z:$Z,"="&amp;L$4)</f>
        <v>0</v>
      </c>
      <c r="M100" s="74">
        <f>+SUMIFS(사진대지!$X:$X,사진대지!$T:$T,"="&amp;$B100,사진대지!$Z:$Z,"="&amp;M$4)</f>
        <v>0</v>
      </c>
      <c r="N100" s="74">
        <f>+SUMIFS(사진대지!$X:$X,사진대지!$T:$T,"="&amp;$B100,사진대지!$Z:$Z,"="&amp;N$4)</f>
        <v>0</v>
      </c>
      <c r="O100" s="74">
        <f>+SUMIFS(사진대지!$X:$X,사진대지!$T:$T,"="&amp;$B100,사진대지!$Z:$Z,"="&amp;O$4)</f>
        <v>0</v>
      </c>
      <c r="P100" s="74">
        <f>+SUMIFS(사진대지!$X:$X,사진대지!$T:$T,"="&amp;$B100,사진대지!$Z:$Z,"="&amp;P$4)</f>
        <v>0</v>
      </c>
      <c r="Q100" s="74">
        <f>+SUMIFS(사진대지!$X:$X,사진대지!$T:$T,"="&amp;$B100,사진대지!$Z:$Z,"="&amp;Q$4)</f>
        <v>0</v>
      </c>
      <c r="R100" s="74">
        <f>+SUMIFS(사진대지!$X:$X,사진대지!$T:$T,"="&amp;$B100,사진대지!$Z:$Z,"="&amp;R$4)</f>
        <v>0</v>
      </c>
      <c r="S100" s="74">
        <f>+SUMIFS(사진대지!$X:$X,사진대지!$T:$T,"="&amp;$B100,사진대지!$Z:$Z,"="&amp;S$4)</f>
        <v>0</v>
      </c>
      <c r="T100" s="74">
        <f>+SUMIFS(사진대지!$X:$X,사진대지!$T:$T,"="&amp;$B100,사진대지!$Z:$Z,"="&amp;T$4)</f>
        <v>0</v>
      </c>
      <c r="U100" s="74">
        <f>+SUMIFS(사진대지!$X:$X,사진대지!$T:$T,"="&amp;$B100,사진대지!$Z:$Z,"="&amp;U$4)</f>
        <v>0</v>
      </c>
      <c r="V100" s="136"/>
      <c r="W100" s="83" t="str">
        <f t="shared" ref="W100" si="44">B100</f>
        <v>무보온덕트벽체</v>
      </c>
      <c r="X100" s="98">
        <f t="shared" ref="X100" si="45">+SUM(C100:U100)</f>
        <v>0</v>
      </c>
      <c r="Y100" s="75"/>
      <c r="Z100" s="135"/>
      <c r="AA100" s="84" t="str">
        <f t="shared" ref="AA100" si="46">W100</f>
        <v>무보온덕트벽체</v>
      </c>
      <c r="AB100" s="102">
        <f>누계!L100+X100</f>
        <v>0</v>
      </c>
    </row>
    <row r="101" spans="1:28" ht="20.100000000000001" customHeight="1" x14ac:dyDescent="0.3">
      <c r="A101" s="181"/>
      <c r="B101" s="144" t="s">
        <v>113</v>
      </c>
      <c r="C101" s="73">
        <f>+SUMIFS(사진대지!$X:$X,사진대지!$T:$T,"="&amp;$B101,사진대지!$Z:$Z,"="&amp;C$4)</f>
        <v>0</v>
      </c>
      <c r="D101" s="73">
        <f>+SUMIFS(사진대지!$X:$X,사진대지!$T:$T,"="&amp;$B101,사진대지!$Z:$Z,"="&amp;D$4)</f>
        <v>0</v>
      </c>
      <c r="E101" s="74">
        <f>+SUMIFS(사진대지!$X:$X,사진대지!$T:$T,"="&amp;$B101,사진대지!$Z:$Z,"="&amp;E$4)</f>
        <v>0</v>
      </c>
      <c r="F101" s="74">
        <f>+SUMIFS(사진대지!$X:$X,사진대지!$T:$T,"="&amp;$B101,사진대지!$Z:$Z,"="&amp;F$4)</f>
        <v>0</v>
      </c>
      <c r="G101" s="74">
        <f>+SUMIFS(사진대지!$X:$X,사진대지!$T:$T,"="&amp;$B101,사진대지!$Z:$Z,"="&amp;G$4)</f>
        <v>0</v>
      </c>
      <c r="H101" s="74">
        <f>+SUMIFS(사진대지!$X:$X,사진대지!$T:$T,"="&amp;$B101,사진대지!$Z:$Z,"="&amp;H$4)</f>
        <v>0</v>
      </c>
      <c r="I101" s="74">
        <f>+SUMIFS(사진대지!$X:$X,사진대지!$T:$T,"="&amp;$B101,사진대지!$Z:$Z,"="&amp;I$4)</f>
        <v>0</v>
      </c>
      <c r="J101" s="74">
        <f>+SUMIFS(사진대지!$X:$X,사진대지!$T:$T,"="&amp;$B101,사진대지!$Z:$Z,"="&amp;J$4)</f>
        <v>0</v>
      </c>
      <c r="K101" s="74">
        <f>+SUMIFS(사진대지!$X:$X,사진대지!$T:$T,"="&amp;$B101,사진대지!$Z:$Z,"="&amp;K$4)</f>
        <v>0</v>
      </c>
      <c r="L101" s="74">
        <f>+SUMIFS(사진대지!$X:$X,사진대지!$T:$T,"="&amp;$B101,사진대지!$Z:$Z,"="&amp;L$4)</f>
        <v>0</v>
      </c>
      <c r="M101" s="74">
        <f>+SUMIFS(사진대지!$X:$X,사진대지!$T:$T,"="&amp;$B101,사진대지!$Z:$Z,"="&amp;M$4)</f>
        <v>0</v>
      </c>
      <c r="N101" s="74">
        <f>+SUMIFS(사진대지!$X:$X,사진대지!$T:$T,"="&amp;$B101,사진대지!$Z:$Z,"="&amp;N$4)</f>
        <v>0</v>
      </c>
      <c r="O101" s="74">
        <f>+SUMIFS(사진대지!$X:$X,사진대지!$T:$T,"="&amp;$B101,사진대지!$Z:$Z,"="&amp;O$4)</f>
        <v>0</v>
      </c>
      <c r="P101" s="74">
        <f>+SUMIFS(사진대지!$X:$X,사진대지!$T:$T,"="&amp;$B101,사진대지!$Z:$Z,"="&amp;P$4)</f>
        <v>0</v>
      </c>
      <c r="Q101" s="74">
        <f>+SUMIFS(사진대지!$X:$X,사진대지!$T:$T,"="&amp;$B101,사진대지!$Z:$Z,"="&amp;Q$4)</f>
        <v>0</v>
      </c>
      <c r="R101" s="74">
        <f>+SUMIFS(사진대지!$X:$X,사진대지!$T:$T,"="&amp;$B101,사진대지!$Z:$Z,"="&amp;R$4)</f>
        <v>0</v>
      </c>
      <c r="S101" s="74">
        <f>+SUMIFS(사진대지!$X:$X,사진대지!$T:$T,"="&amp;$B101,사진대지!$Z:$Z,"="&amp;S$4)</f>
        <v>0</v>
      </c>
      <c r="T101" s="74">
        <f>+SUMIFS(사진대지!$X:$X,사진대지!$T:$T,"="&amp;$B101,사진대지!$Z:$Z,"="&amp;T$4)</f>
        <v>0</v>
      </c>
      <c r="U101" s="74">
        <f>+SUMIFS(사진대지!$X:$X,사진대지!$T:$T,"="&amp;$B101,사진대지!$Z:$Z,"="&amp;U$4)</f>
        <v>0</v>
      </c>
      <c r="V101" s="136"/>
      <c r="W101" s="83" t="str">
        <f t="shared" si="18"/>
        <v>보온덕트벽체</v>
      </c>
      <c r="X101" s="98">
        <f t="shared" si="19"/>
        <v>0</v>
      </c>
      <c r="Y101" s="75"/>
      <c r="Z101" s="135"/>
      <c r="AA101" s="84" t="str">
        <f t="shared" si="2"/>
        <v>보온덕트벽체</v>
      </c>
      <c r="AB101" s="102">
        <f>누계!L101+X101</f>
        <v>0</v>
      </c>
    </row>
    <row r="102" spans="1:28" s="25" customFormat="1" ht="20.100000000000001" customHeight="1" x14ac:dyDescent="0.3">
      <c r="A102" s="181"/>
      <c r="B102" s="132" t="s">
        <v>86</v>
      </c>
      <c r="C102" s="125">
        <f>+SUMIFS(사진대지!$X:$X,사진대지!$T:$T,"="&amp;$B102,사진대지!$Z:$Z,"="&amp;C$4)</f>
        <v>0</v>
      </c>
      <c r="D102" s="125">
        <f>+SUMIFS(사진대지!$X:$X,사진대지!$T:$T,"="&amp;$B102,사진대지!$Z:$Z,"="&amp;D$4)</f>
        <v>0</v>
      </c>
      <c r="E102" s="126">
        <f>+SUMIFS(사진대지!$X:$X,사진대지!$T:$T,"="&amp;$B102,사진대지!$Z:$Z,"="&amp;E$4)</f>
        <v>0</v>
      </c>
      <c r="F102" s="126">
        <f>+SUMIFS(사진대지!$X:$X,사진대지!$T:$T,"="&amp;$B102,사진대지!$Z:$Z,"="&amp;F$4)</f>
        <v>0</v>
      </c>
      <c r="G102" s="126">
        <f>+SUMIFS(사진대지!$X:$X,사진대지!$T:$T,"="&amp;$B102,사진대지!$Z:$Z,"="&amp;G$4)</f>
        <v>0</v>
      </c>
      <c r="H102" s="126">
        <f>+SUMIFS(사진대지!$X:$X,사진대지!$T:$T,"="&amp;$B102,사진대지!$Z:$Z,"="&amp;H$4)</f>
        <v>0</v>
      </c>
      <c r="I102" s="126">
        <f>+SUMIFS(사진대지!$X:$X,사진대지!$T:$T,"="&amp;$B102,사진대지!$Z:$Z,"="&amp;I$4)</f>
        <v>0</v>
      </c>
      <c r="J102" s="126">
        <f>+SUMIFS(사진대지!$X:$X,사진대지!$T:$T,"="&amp;$B102,사진대지!$Z:$Z,"="&amp;J$4)</f>
        <v>0</v>
      </c>
      <c r="K102" s="126">
        <f>+SUMIFS(사진대지!$X:$X,사진대지!$T:$T,"="&amp;$B102,사진대지!$Z:$Z,"="&amp;K$4)</f>
        <v>0</v>
      </c>
      <c r="L102" s="126">
        <f>+SUMIFS(사진대지!$X:$X,사진대지!$T:$T,"="&amp;$B102,사진대지!$Z:$Z,"="&amp;L$4)</f>
        <v>0</v>
      </c>
      <c r="M102" s="126">
        <f>+SUMIFS(사진대지!$X:$X,사진대지!$T:$T,"="&amp;$B102,사진대지!$Z:$Z,"="&amp;M$4)</f>
        <v>0</v>
      </c>
      <c r="N102" s="126">
        <f>+SUMIFS(사진대지!$X:$X,사진대지!$T:$T,"="&amp;$B102,사진대지!$Z:$Z,"="&amp;N$4)</f>
        <v>0</v>
      </c>
      <c r="O102" s="126">
        <f>+SUMIFS(사진대지!$X:$X,사진대지!$T:$T,"="&amp;$B102,사진대지!$Z:$Z,"="&amp;O$4)</f>
        <v>0</v>
      </c>
      <c r="P102" s="126">
        <f>+SUMIFS(사진대지!$X:$X,사진대지!$T:$T,"="&amp;$B102,사진대지!$Z:$Z,"="&amp;P$4)</f>
        <v>0</v>
      </c>
      <c r="Q102" s="126">
        <f>+SUMIFS(사진대지!$X:$X,사진대지!$T:$T,"="&amp;$B102,사진대지!$Z:$Z,"="&amp;Q$4)</f>
        <v>0</v>
      </c>
      <c r="R102" s="126">
        <f>+SUMIFS(사진대지!$X:$X,사진대지!$T:$T,"="&amp;$B102,사진대지!$Z:$Z,"="&amp;R$4)</f>
        <v>0</v>
      </c>
      <c r="S102" s="126">
        <f>+SUMIFS(사진대지!$X:$X,사진대지!$T:$T,"="&amp;$B102,사진대지!$Z:$Z,"="&amp;S$4)</f>
        <v>0</v>
      </c>
      <c r="T102" s="126">
        <f>+SUMIFS(사진대지!$X:$X,사진대지!$T:$T,"="&amp;$B102,사진대지!$Z:$Z,"="&amp;T$4)</f>
        <v>0</v>
      </c>
      <c r="U102" s="126">
        <f>+SUMIFS(사진대지!$X:$X,사진대지!$T:$T,"="&amp;$B102,사진대지!$Z:$Z,"="&amp;U$4)</f>
        <v>0</v>
      </c>
      <c r="V102" s="136"/>
      <c r="W102" s="133" t="str">
        <f t="shared" ref="W102" si="47">B102</f>
        <v>댐퍼팽창테이프</v>
      </c>
      <c r="X102" s="128">
        <f t="shared" ref="X102" si="48">+SUM(C102:U102)</f>
        <v>0</v>
      </c>
      <c r="Y102" s="75"/>
      <c r="Z102" s="135"/>
      <c r="AA102" s="134" t="str">
        <f t="shared" ref="AA102" si="49">W102</f>
        <v>댐퍼팽창테이프</v>
      </c>
      <c r="AB102" s="130">
        <f>누계!L102+X102</f>
        <v>0</v>
      </c>
    </row>
    <row r="103" spans="1:28" ht="20.100000000000001" customHeight="1" x14ac:dyDescent="0.3">
      <c r="A103" s="181"/>
      <c r="B103" s="30" t="s">
        <v>85</v>
      </c>
      <c r="C103" s="73">
        <f>+SUMIFS(사진대지!$X:$X,사진대지!$T:$T,"="&amp;$B103,사진대지!$Z:$Z,"="&amp;C$4)</f>
        <v>0</v>
      </c>
      <c r="D103" s="73">
        <f>+SUMIFS(사진대지!$X:$X,사진대지!$T:$T,"="&amp;$B103,사진대지!$Z:$Z,"="&amp;D$4)</f>
        <v>0</v>
      </c>
      <c r="E103" s="74">
        <f>+SUMIFS(사진대지!$X:$X,사진대지!$T:$T,"="&amp;$B103,사진대지!$Z:$Z,"="&amp;E$4)</f>
        <v>0</v>
      </c>
      <c r="F103" s="74">
        <f>+SUMIFS(사진대지!$X:$X,사진대지!$T:$T,"="&amp;$B103,사진대지!$Z:$Z,"="&amp;F$4)</f>
        <v>0</v>
      </c>
      <c r="G103" s="74">
        <f>+SUMIFS(사진대지!$X:$X,사진대지!$T:$T,"="&amp;$B103,사진대지!$Z:$Z,"="&amp;G$4)</f>
        <v>0</v>
      </c>
      <c r="H103" s="74">
        <f>+SUMIFS(사진대지!$X:$X,사진대지!$T:$T,"="&amp;$B103,사진대지!$Z:$Z,"="&amp;H$4)</f>
        <v>0</v>
      </c>
      <c r="I103" s="74">
        <f>+SUMIFS(사진대지!$X:$X,사진대지!$T:$T,"="&amp;$B103,사진대지!$Z:$Z,"="&amp;I$4)</f>
        <v>0</v>
      </c>
      <c r="J103" s="74">
        <f>+SUMIFS(사진대지!$X:$X,사진대지!$T:$T,"="&amp;$B103,사진대지!$Z:$Z,"="&amp;J$4)</f>
        <v>0</v>
      </c>
      <c r="K103" s="74">
        <f>+SUMIFS(사진대지!$X:$X,사진대지!$T:$T,"="&amp;$B103,사진대지!$Z:$Z,"="&amp;K$4)</f>
        <v>0</v>
      </c>
      <c r="L103" s="74">
        <f>+SUMIFS(사진대지!$X:$X,사진대지!$T:$T,"="&amp;$B103,사진대지!$Z:$Z,"="&amp;L$4)</f>
        <v>0</v>
      </c>
      <c r="M103" s="74">
        <f>+SUMIFS(사진대지!$X:$X,사진대지!$T:$T,"="&amp;$B103,사진대지!$Z:$Z,"="&amp;M$4)</f>
        <v>0</v>
      </c>
      <c r="N103" s="74">
        <f>+SUMIFS(사진대지!$X:$X,사진대지!$T:$T,"="&amp;$B103,사진대지!$Z:$Z,"="&amp;N$4)</f>
        <v>0</v>
      </c>
      <c r="O103" s="74">
        <f>+SUMIFS(사진대지!$X:$X,사진대지!$T:$T,"="&amp;$B103,사진대지!$Z:$Z,"="&amp;O$4)</f>
        <v>0</v>
      </c>
      <c r="P103" s="74">
        <f>+SUMIFS(사진대지!$X:$X,사진대지!$T:$T,"="&amp;$B103,사진대지!$Z:$Z,"="&amp;P$4)</f>
        <v>0</v>
      </c>
      <c r="Q103" s="74">
        <f>+SUMIFS(사진대지!$X:$X,사진대지!$T:$T,"="&amp;$B103,사진대지!$Z:$Z,"="&amp;Q$4)</f>
        <v>0</v>
      </c>
      <c r="R103" s="74">
        <f>+SUMIFS(사진대지!$X:$X,사진대지!$T:$T,"="&amp;$B103,사진대지!$Z:$Z,"="&amp;R$4)</f>
        <v>0</v>
      </c>
      <c r="S103" s="74">
        <f>+SUMIFS(사진대지!$X:$X,사진대지!$T:$T,"="&amp;$B103,사진대지!$Z:$Z,"="&amp;S$4)</f>
        <v>0</v>
      </c>
      <c r="T103" s="74">
        <f>+SUMIFS(사진대지!$X:$X,사진대지!$T:$T,"="&amp;$B103,사진대지!$Z:$Z,"="&amp;T$4)</f>
        <v>0</v>
      </c>
      <c r="U103" s="74">
        <f>+SUMIFS(사진대지!$X:$X,사진대지!$T:$T,"="&amp;$B103,사진대지!$Z:$Z,"="&amp;U$4)</f>
        <v>0</v>
      </c>
      <c r="V103" s="136"/>
      <c r="W103" s="85" t="str">
        <f t="shared" si="18"/>
        <v>덕트마감</v>
      </c>
      <c r="X103" s="98">
        <f t="shared" si="19"/>
        <v>0</v>
      </c>
      <c r="Y103" s="75"/>
      <c r="Z103" s="135"/>
      <c r="AA103" s="86" t="str">
        <f t="shared" ref="AA103:AA105" si="50">W103</f>
        <v>덕트마감</v>
      </c>
      <c r="AB103" s="102">
        <f>누계!L103+X103</f>
        <v>0</v>
      </c>
    </row>
    <row r="104" spans="1:28" ht="20.100000000000001" customHeight="1" x14ac:dyDescent="0.3">
      <c r="A104" s="181"/>
      <c r="B104" s="29" t="s">
        <v>65</v>
      </c>
      <c r="C104" s="71">
        <f>+SUMIFS(사진대지!$X:$X,사진대지!$T:$T,"="&amp;$B104,사진대지!$Z:$Z,"="&amp;C$4)</f>
        <v>0</v>
      </c>
      <c r="D104" s="71">
        <f>+SUMIFS(사진대지!$X:$X,사진대지!$T:$T,"="&amp;$B104,사진대지!$Z:$Z,"="&amp;D$4)</f>
        <v>0</v>
      </c>
      <c r="E104" s="72">
        <f>+SUMIFS(사진대지!$X:$X,사진대지!$T:$T,"="&amp;$B104,사진대지!$Z:$Z,"="&amp;E$4)</f>
        <v>0</v>
      </c>
      <c r="F104" s="72">
        <f>+SUMIFS(사진대지!$X:$X,사진대지!$T:$T,"="&amp;$B104,사진대지!$Z:$Z,"="&amp;F$4)</f>
        <v>0</v>
      </c>
      <c r="G104" s="72">
        <f>+SUMIFS(사진대지!$X:$X,사진대지!$T:$T,"="&amp;$B104,사진대지!$Z:$Z,"="&amp;G$4)</f>
        <v>0</v>
      </c>
      <c r="H104" s="72">
        <f>+SUMIFS(사진대지!$X:$X,사진대지!$T:$T,"="&amp;$B104,사진대지!$Z:$Z,"="&amp;H$4)</f>
        <v>0</v>
      </c>
      <c r="I104" s="72">
        <f>+SUMIFS(사진대지!$X:$X,사진대지!$T:$T,"="&amp;$B104,사진대지!$Z:$Z,"="&amp;I$4)</f>
        <v>0</v>
      </c>
      <c r="J104" s="72">
        <f>+SUMIFS(사진대지!$X:$X,사진대지!$T:$T,"="&amp;$B104,사진대지!$Z:$Z,"="&amp;J$4)</f>
        <v>0</v>
      </c>
      <c r="K104" s="72">
        <f>+SUMIFS(사진대지!$X:$X,사진대지!$T:$T,"="&amp;$B104,사진대지!$Z:$Z,"="&amp;K$4)</f>
        <v>0</v>
      </c>
      <c r="L104" s="72">
        <f>+SUMIFS(사진대지!$X:$X,사진대지!$T:$T,"="&amp;$B104,사진대지!$Z:$Z,"="&amp;L$4)</f>
        <v>0</v>
      </c>
      <c r="M104" s="72">
        <f>+SUMIFS(사진대지!$X:$X,사진대지!$T:$T,"="&amp;$B104,사진대지!$Z:$Z,"="&amp;M$4)</f>
        <v>0</v>
      </c>
      <c r="N104" s="72">
        <f>+SUMIFS(사진대지!$X:$X,사진대지!$T:$T,"="&amp;$B104,사진대지!$Z:$Z,"="&amp;N$4)</f>
        <v>0</v>
      </c>
      <c r="O104" s="72">
        <f>+SUMIFS(사진대지!$X:$X,사진대지!$T:$T,"="&amp;$B104,사진대지!$Z:$Z,"="&amp;O$4)</f>
        <v>0</v>
      </c>
      <c r="P104" s="72">
        <f>+SUMIFS(사진대지!$X:$X,사진대지!$T:$T,"="&amp;$B104,사진대지!$Z:$Z,"="&amp;P$4)</f>
        <v>0</v>
      </c>
      <c r="Q104" s="72">
        <f>+SUMIFS(사진대지!$X:$X,사진대지!$T:$T,"="&amp;$B104,사진대지!$Z:$Z,"="&amp;Q$4)</f>
        <v>0</v>
      </c>
      <c r="R104" s="72">
        <f>+SUMIFS(사진대지!$X:$X,사진대지!$T:$T,"="&amp;$B104,사진대지!$Z:$Z,"="&amp;R$4)</f>
        <v>0</v>
      </c>
      <c r="S104" s="72">
        <f>+SUMIFS(사진대지!$X:$X,사진대지!$T:$T,"="&amp;$B104,사진대지!$Z:$Z,"="&amp;S$4)</f>
        <v>0</v>
      </c>
      <c r="T104" s="72">
        <f>+SUMIFS(사진대지!$X:$X,사진대지!$T:$T,"="&amp;$B104,사진대지!$Z:$Z,"="&amp;T$4)</f>
        <v>0</v>
      </c>
      <c r="U104" s="72">
        <f>+SUMIFS(사진대지!$X:$X,사진대지!$T:$T,"="&amp;$B104,사진대지!$Z:$Z,"="&amp;U$4)</f>
        <v>0</v>
      </c>
      <c r="V104" s="136"/>
      <c r="W104" s="87" t="str">
        <f t="shared" si="18"/>
        <v>오픈구</v>
      </c>
      <c r="X104" s="97">
        <f t="shared" si="19"/>
        <v>0</v>
      </c>
      <c r="Y104" s="75"/>
      <c r="Z104" s="135"/>
      <c r="AA104" s="88" t="str">
        <f t="shared" si="50"/>
        <v>오픈구</v>
      </c>
      <c r="AB104" s="101">
        <f>누계!L104+X104</f>
        <v>0</v>
      </c>
    </row>
    <row r="105" spans="1:28" ht="20.100000000000001" customHeight="1" x14ac:dyDescent="0.3">
      <c r="A105" s="182"/>
      <c r="B105" s="132" t="s">
        <v>66</v>
      </c>
      <c r="C105" s="125">
        <f>+SUMIFS(사진대지!$X:$X,사진대지!$T:$T,"="&amp;$B105,사진대지!$Z:$Z,"="&amp;C$4)</f>
        <v>0</v>
      </c>
      <c r="D105" s="125">
        <f>+SUMIFS(사진대지!$X:$X,사진대지!$T:$T,"="&amp;$B105,사진대지!$Z:$Z,"="&amp;D$4)</f>
        <v>0</v>
      </c>
      <c r="E105" s="126">
        <f>+SUMIFS(사진대지!$X:$X,사진대지!$T:$T,"="&amp;$B105,사진대지!$Z:$Z,"="&amp;E$4)</f>
        <v>0</v>
      </c>
      <c r="F105" s="126">
        <f>+SUMIFS(사진대지!$X:$X,사진대지!$T:$T,"="&amp;$B105,사진대지!$Z:$Z,"="&amp;F$4)</f>
        <v>0</v>
      </c>
      <c r="G105" s="126">
        <f>+SUMIFS(사진대지!$X:$X,사진대지!$T:$T,"="&amp;$B105,사진대지!$Z:$Z,"="&amp;G$4)</f>
        <v>0</v>
      </c>
      <c r="H105" s="126">
        <f>+SUMIFS(사진대지!$X:$X,사진대지!$T:$T,"="&amp;$B105,사진대지!$Z:$Z,"="&amp;H$4)</f>
        <v>0</v>
      </c>
      <c r="I105" s="126">
        <f>+SUMIFS(사진대지!$X:$X,사진대지!$T:$T,"="&amp;$B105,사진대지!$Z:$Z,"="&amp;I$4)</f>
        <v>0</v>
      </c>
      <c r="J105" s="126">
        <f>+SUMIFS(사진대지!$X:$X,사진대지!$T:$T,"="&amp;$B105,사진대지!$Z:$Z,"="&amp;J$4)</f>
        <v>0</v>
      </c>
      <c r="K105" s="126">
        <f>+SUMIFS(사진대지!$X:$X,사진대지!$T:$T,"="&amp;$B105,사진대지!$Z:$Z,"="&amp;K$4)</f>
        <v>0</v>
      </c>
      <c r="L105" s="126">
        <f>+SUMIFS(사진대지!$X:$X,사진대지!$T:$T,"="&amp;$B105,사진대지!$Z:$Z,"="&amp;L$4)</f>
        <v>0</v>
      </c>
      <c r="M105" s="126">
        <f>+SUMIFS(사진대지!$X:$X,사진대지!$T:$T,"="&amp;$B105,사진대지!$Z:$Z,"="&amp;M$4)</f>
        <v>0</v>
      </c>
      <c r="N105" s="126">
        <f>+SUMIFS(사진대지!$X:$X,사진대지!$T:$T,"="&amp;$B105,사진대지!$Z:$Z,"="&amp;N$4)</f>
        <v>0</v>
      </c>
      <c r="O105" s="126">
        <f>+SUMIFS(사진대지!$X:$X,사진대지!$T:$T,"="&amp;$B105,사진대지!$Z:$Z,"="&amp;O$4)</f>
        <v>0</v>
      </c>
      <c r="P105" s="126">
        <f>+SUMIFS(사진대지!$X:$X,사진대지!$T:$T,"="&amp;$B105,사진대지!$Z:$Z,"="&amp;P$4)</f>
        <v>0</v>
      </c>
      <c r="Q105" s="126">
        <f>+SUMIFS(사진대지!$X:$X,사진대지!$T:$T,"="&amp;$B105,사진대지!$Z:$Z,"="&amp;Q$4)</f>
        <v>0</v>
      </c>
      <c r="R105" s="126">
        <f>+SUMIFS(사진대지!$X:$X,사진대지!$T:$T,"="&amp;$B105,사진대지!$Z:$Z,"="&amp;R$4)</f>
        <v>0</v>
      </c>
      <c r="S105" s="126">
        <f>+SUMIFS(사진대지!$X:$X,사진대지!$T:$T,"="&amp;$B105,사진대지!$Z:$Z,"="&amp;S$4)</f>
        <v>0</v>
      </c>
      <c r="T105" s="126">
        <f>+SUMIFS(사진대지!$X:$X,사진대지!$T:$T,"="&amp;$B105,사진대지!$Z:$Z,"="&amp;T$4)</f>
        <v>0</v>
      </c>
      <c r="U105" s="126">
        <f>+SUMIFS(사진대지!$X:$X,사진대지!$T:$T,"="&amp;$B105,사진대지!$Z:$Z,"="&amp;U$4)</f>
        <v>0</v>
      </c>
      <c r="V105" s="136"/>
      <c r="W105" s="133" t="str">
        <f t="shared" si="18"/>
        <v>차열재마감</v>
      </c>
      <c r="X105" s="128">
        <f t="shared" si="19"/>
        <v>0</v>
      </c>
      <c r="Y105" s="75"/>
      <c r="Z105" s="135"/>
      <c r="AA105" s="134" t="str">
        <f t="shared" si="50"/>
        <v>차열재마감</v>
      </c>
      <c r="AB105" s="130">
        <f>누계!L105+X105</f>
        <v>0</v>
      </c>
    </row>
    <row r="106" spans="1:28" ht="20.100000000000001" customHeight="1" thickBot="1" x14ac:dyDescent="0.35">
      <c r="A106" s="3"/>
      <c r="B106" s="44" t="s">
        <v>67</v>
      </c>
      <c r="C106" s="34">
        <f t="shared" ref="C106:U106" si="51">SUM(C5:C105)</f>
        <v>0</v>
      </c>
      <c r="D106" s="34">
        <f t="shared" si="51"/>
        <v>0</v>
      </c>
      <c r="E106" s="34">
        <f t="shared" si="51"/>
        <v>0</v>
      </c>
      <c r="F106" s="34">
        <f t="shared" si="51"/>
        <v>0</v>
      </c>
      <c r="G106" s="34">
        <f t="shared" si="51"/>
        <v>0</v>
      </c>
      <c r="H106" s="34">
        <f t="shared" si="51"/>
        <v>0</v>
      </c>
      <c r="I106" s="34">
        <f t="shared" si="51"/>
        <v>0</v>
      </c>
      <c r="J106" s="34">
        <f t="shared" si="51"/>
        <v>0</v>
      </c>
      <c r="K106" s="34">
        <f t="shared" si="51"/>
        <v>0</v>
      </c>
      <c r="L106" s="34">
        <f t="shared" si="51"/>
        <v>0</v>
      </c>
      <c r="M106" s="34">
        <f t="shared" si="51"/>
        <v>0</v>
      </c>
      <c r="N106" s="34">
        <f t="shared" si="51"/>
        <v>0</v>
      </c>
      <c r="O106" s="34">
        <f t="shared" si="51"/>
        <v>0</v>
      </c>
      <c r="P106" s="34">
        <f t="shared" si="51"/>
        <v>0</v>
      </c>
      <c r="Q106" s="34">
        <f t="shared" si="51"/>
        <v>0</v>
      </c>
      <c r="R106" s="34">
        <f t="shared" si="51"/>
        <v>0</v>
      </c>
      <c r="S106" s="34">
        <f t="shared" si="51"/>
        <v>0</v>
      </c>
      <c r="T106" s="34">
        <f t="shared" si="51"/>
        <v>0</v>
      </c>
      <c r="U106" s="34">
        <f t="shared" si="51"/>
        <v>0</v>
      </c>
      <c r="V106" s="89"/>
      <c r="W106" s="90" t="s">
        <v>67</v>
      </c>
      <c r="X106" s="99">
        <f>+SUM(X4:X105)</f>
        <v>0</v>
      </c>
      <c r="Y106" s="75"/>
      <c r="Z106" s="75"/>
      <c r="AA106" s="91" t="s">
        <v>44</v>
      </c>
      <c r="AB106" s="103">
        <f>SUM(AB5:AB105)</f>
        <v>0</v>
      </c>
    </row>
    <row r="107" spans="1:28" ht="20.100000000000001" customHeight="1" x14ac:dyDescent="0.3">
      <c r="A107" s="25"/>
      <c r="B107" s="25"/>
      <c r="C107" s="75"/>
      <c r="D107" s="75"/>
      <c r="E107" s="75"/>
      <c r="F107" s="75"/>
      <c r="G107" s="75"/>
      <c r="H107" s="75"/>
      <c r="I107" s="75"/>
      <c r="J107" s="75"/>
      <c r="K107" s="75"/>
      <c r="L107" s="75"/>
      <c r="M107" s="75"/>
      <c r="N107" s="75"/>
      <c r="O107" s="75"/>
      <c r="P107" s="75"/>
      <c r="Q107" s="75"/>
      <c r="R107" s="75"/>
      <c r="S107" s="75"/>
      <c r="T107" s="75"/>
      <c r="U107" s="75"/>
      <c r="V107" s="77"/>
      <c r="W107" s="77"/>
      <c r="X107" s="77"/>
      <c r="Y107" s="75"/>
      <c r="Z107" s="75"/>
      <c r="AA107" s="77"/>
      <c r="AB107" s="104"/>
    </row>
    <row r="108" spans="1:28" ht="20.100000000000001" customHeight="1" thickBot="1" x14ac:dyDescent="0.35">
      <c r="A108" s="25"/>
      <c r="B108" s="25"/>
      <c r="C108" s="75"/>
      <c r="D108" s="75"/>
      <c r="E108" s="75"/>
      <c r="F108" s="75"/>
      <c r="G108" s="75"/>
      <c r="H108" s="75"/>
      <c r="I108" s="75"/>
      <c r="J108" s="75"/>
      <c r="K108" s="75"/>
      <c r="L108" s="75"/>
      <c r="M108" s="75"/>
      <c r="N108" s="75"/>
      <c r="O108" s="75"/>
      <c r="P108" s="75"/>
      <c r="Q108" s="75"/>
      <c r="R108" s="75"/>
      <c r="S108" s="75"/>
      <c r="T108" s="75"/>
      <c r="U108" s="75"/>
      <c r="V108" s="77"/>
      <c r="W108" s="89"/>
      <c r="X108" s="89"/>
      <c r="Y108" s="75"/>
      <c r="Z108" s="75"/>
      <c r="AA108" s="77"/>
      <c r="AB108" s="104"/>
    </row>
    <row r="109" spans="1:28" s="25" customFormat="1" ht="20.100000000000001" customHeight="1" x14ac:dyDescent="0.3">
      <c r="B109" s="37" t="s">
        <v>161</v>
      </c>
      <c r="C109" s="35">
        <f>SUM(C5:C15)</f>
        <v>0</v>
      </c>
      <c r="D109" s="35">
        <f t="shared" ref="D109:U109" si="52">SUM(D5:D15)</f>
        <v>0</v>
      </c>
      <c r="E109" s="35">
        <f t="shared" si="52"/>
        <v>0</v>
      </c>
      <c r="F109" s="35">
        <f t="shared" si="52"/>
        <v>0</v>
      </c>
      <c r="G109" s="35">
        <f t="shared" si="52"/>
        <v>0</v>
      </c>
      <c r="H109" s="35">
        <f t="shared" si="52"/>
        <v>0</v>
      </c>
      <c r="I109" s="35">
        <f t="shared" si="52"/>
        <v>0</v>
      </c>
      <c r="J109" s="35">
        <f t="shared" si="52"/>
        <v>0</v>
      </c>
      <c r="K109" s="35">
        <f t="shared" si="52"/>
        <v>0</v>
      </c>
      <c r="L109" s="35">
        <f t="shared" si="52"/>
        <v>0</v>
      </c>
      <c r="M109" s="35">
        <f t="shared" si="52"/>
        <v>0</v>
      </c>
      <c r="N109" s="35">
        <f t="shared" si="52"/>
        <v>0</v>
      </c>
      <c r="O109" s="35">
        <f t="shared" si="52"/>
        <v>0</v>
      </c>
      <c r="P109" s="35">
        <f t="shared" si="52"/>
        <v>0</v>
      </c>
      <c r="Q109" s="35">
        <f t="shared" si="52"/>
        <v>0</v>
      </c>
      <c r="R109" s="35">
        <f t="shared" si="52"/>
        <v>0</v>
      </c>
      <c r="S109" s="35">
        <f t="shared" si="52"/>
        <v>0</v>
      </c>
      <c r="T109" s="35">
        <f t="shared" si="52"/>
        <v>0</v>
      </c>
      <c r="U109" s="35">
        <f t="shared" si="52"/>
        <v>0</v>
      </c>
      <c r="V109" s="77"/>
      <c r="W109" s="92" t="str">
        <f t="shared" ref="W109" si="53">B109</f>
        <v>금속관 입상차열</v>
      </c>
      <c r="X109" s="145">
        <f>SUM(X5:X15)</f>
        <v>0</v>
      </c>
      <c r="Y109" s="75"/>
      <c r="Z109" s="75"/>
      <c r="AA109" s="76" t="str">
        <f>W109</f>
        <v>금속관 입상차열</v>
      </c>
      <c r="AB109" s="35">
        <f>SUM(AB5:AB15)</f>
        <v>0</v>
      </c>
    </row>
    <row r="110" spans="1:28" ht="20.100000000000001" customHeight="1" x14ac:dyDescent="0.3">
      <c r="A110" s="25"/>
      <c r="B110" s="37" t="s">
        <v>148</v>
      </c>
      <c r="C110" s="35">
        <f>SUM(C16:C26)</f>
        <v>0</v>
      </c>
      <c r="D110" s="35">
        <f t="shared" ref="D110:U110" si="54">SUM(D16:D26)</f>
        <v>0</v>
      </c>
      <c r="E110" s="35">
        <f t="shared" si="54"/>
        <v>0</v>
      </c>
      <c r="F110" s="35">
        <f t="shared" si="54"/>
        <v>0</v>
      </c>
      <c r="G110" s="35">
        <f t="shared" si="54"/>
        <v>0</v>
      </c>
      <c r="H110" s="35">
        <f t="shared" si="54"/>
        <v>0</v>
      </c>
      <c r="I110" s="35">
        <f t="shared" si="54"/>
        <v>0</v>
      </c>
      <c r="J110" s="35">
        <f t="shared" si="54"/>
        <v>0</v>
      </c>
      <c r="K110" s="35">
        <f t="shared" si="54"/>
        <v>0</v>
      </c>
      <c r="L110" s="35">
        <f t="shared" si="54"/>
        <v>0</v>
      </c>
      <c r="M110" s="35">
        <f t="shared" si="54"/>
        <v>0</v>
      </c>
      <c r="N110" s="35">
        <f t="shared" si="54"/>
        <v>0</v>
      </c>
      <c r="O110" s="35">
        <f t="shared" si="54"/>
        <v>0</v>
      </c>
      <c r="P110" s="35">
        <f t="shared" si="54"/>
        <v>0</v>
      </c>
      <c r="Q110" s="35">
        <f t="shared" si="54"/>
        <v>0</v>
      </c>
      <c r="R110" s="35">
        <f t="shared" si="54"/>
        <v>0</v>
      </c>
      <c r="S110" s="35">
        <f t="shared" si="54"/>
        <v>0</v>
      </c>
      <c r="T110" s="35">
        <f t="shared" si="54"/>
        <v>0</v>
      </c>
      <c r="U110" s="35">
        <f t="shared" si="54"/>
        <v>0</v>
      </c>
      <c r="V110" s="77"/>
      <c r="W110" s="93" t="str">
        <f t="shared" ref="W110:W131" si="55">B110</f>
        <v>금속관 입상(소구경)</v>
      </c>
      <c r="X110" s="146">
        <f>SUM(X16:X26)</f>
        <v>0</v>
      </c>
      <c r="Y110" s="75"/>
      <c r="Z110" s="75"/>
      <c r="AA110" s="76" t="str">
        <f>W110</f>
        <v>금속관 입상(소구경)</v>
      </c>
      <c r="AB110" s="35">
        <f>SUM(AB16:AB26)</f>
        <v>0</v>
      </c>
    </row>
    <row r="111" spans="1:28" s="25" customFormat="1" ht="20.100000000000001" customHeight="1" x14ac:dyDescent="0.3">
      <c r="B111" s="37" t="s">
        <v>120</v>
      </c>
      <c r="C111" s="35">
        <f>SUM(C27:C33)</f>
        <v>0</v>
      </c>
      <c r="D111" s="35">
        <f t="shared" ref="D111:U111" si="56">SUM(D27:D33)</f>
        <v>0</v>
      </c>
      <c r="E111" s="35">
        <f t="shared" si="56"/>
        <v>0</v>
      </c>
      <c r="F111" s="35">
        <f t="shared" si="56"/>
        <v>0</v>
      </c>
      <c r="G111" s="35">
        <f t="shared" si="56"/>
        <v>0</v>
      </c>
      <c r="H111" s="35">
        <f t="shared" si="56"/>
        <v>0</v>
      </c>
      <c r="I111" s="35">
        <f t="shared" si="56"/>
        <v>0</v>
      </c>
      <c r="J111" s="35">
        <f t="shared" si="56"/>
        <v>0</v>
      </c>
      <c r="K111" s="35">
        <f t="shared" si="56"/>
        <v>0</v>
      </c>
      <c r="L111" s="35">
        <f t="shared" si="56"/>
        <v>0</v>
      </c>
      <c r="M111" s="35">
        <f t="shared" si="56"/>
        <v>0</v>
      </c>
      <c r="N111" s="35">
        <f t="shared" si="56"/>
        <v>0</v>
      </c>
      <c r="O111" s="35">
        <f t="shared" si="56"/>
        <v>0</v>
      </c>
      <c r="P111" s="35">
        <f t="shared" si="56"/>
        <v>0</v>
      </c>
      <c r="Q111" s="35">
        <f t="shared" si="56"/>
        <v>0</v>
      </c>
      <c r="R111" s="35">
        <f t="shared" si="56"/>
        <v>0</v>
      </c>
      <c r="S111" s="35">
        <f t="shared" si="56"/>
        <v>0</v>
      </c>
      <c r="T111" s="35">
        <f t="shared" si="56"/>
        <v>0</v>
      </c>
      <c r="U111" s="35">
        <f t="shared" si="56"/>
        <v>0</v>
      </c>
      <c r="V111" s="77"/>
      <c r="W111" s="93" t="str">
        <f t="shared" ref="W111:W113" si="57">B111</f>
        <v>금속관 입상(대구경)</v>
      </c>
      <c r="X111" s="146">
        <f>SUM(X27:X33)</f>
        <v>0</v>
      </c>
      <c r="Y111" s="75"/>
      <c r="Z111" s="75"/>
      <c r="AA111" s="76" t="str">
        <f t="shared" ref="AA111:AA113" si="58">W111</f>
        <v>금속관 입상(대구경)</v>
      </c>
      <c r="AB111" s="35">
        <f>SUM(AB27:AB33)</f>
        <v>0</v>
      </c>
    </row>
    <row r="112" spans="1:28" s="25" customFormat="1" ht="20.100000000000001" customHeight="1" x14ac:dyDescent="0.3">
      <c r="B112" s="37" t="s">
        <v>122</v>
      </c>
      <c r="C112" s="35">
        <f>SUM(C34:C38)</f>
        <v>0</v>
      </c>
      <c r="D112" s="35">
        <f t="shared" ref="D112:U112" si="59">SUM(D34:D38)</f>
        <v>0</v>
      </c>
      <c r="E112" s="35">
        <f t="shared" si="59"/>
        <v>0</v>
      </c>
      <c r="F112" s="35">
        <f t="shared" si="59"/>
        <v>0</v>
      </c>
      <c r="G112" s="35">
        <f t="shared" si="59"/>
        <v>0</v>
      </c>
      <c r="H112" s="35">
        <f t="shared" si="59"/>
        <v>0</v>
      </c>
      <c r="I112" s="35">
        <f t="shared" si="59"/>
        <v>0</v>
      </c>
      <c r="J112" s="35">
        <f t="shared" si="59"/>
        <v>0</v>
      </c>
      <c r="K112" s="35">
        <f t="shared" si="59"/>
        <v>0</v>
      </c>
      <c r="L112" s="35">
        <f t="shared" si="59"/>
        <v>0</v>
      </c>
      <c r="M112" s="35">
        <f t="shared" si="59"/>
        <v>0</v>
      </c>
      <c r="N112" s="35">
        <f t="shared" si="59"/>
        <v>0</v>
      </c>
      <c r="O112" s="35">
        <f t="shared" si="59"/>
        <v>0</v>
      </c>
      <c r="P112" s="35">
        <f t="shared" si="59"/>
        <v>0</v>
      </c>
      <c r="Q112" s="35">
        <f t="shared" si="59"/>
        <v>0</v>
      </c>
      <c r="R112" s="35">
        <f t="shared" si="59"/>
        <v>0</v>
      </c>
      <c r="S112" s="35">
        <f t="shared" si="59"/>
        <v>0</v>
      </c>
      <c r="T112" s="35">
        <f t="shared" si="59"/>
        <v>0</v>
      </c>
      <c r="U112" s="35">
        <f t="shared" si="59"/>
        <v>0</v>
      </c>
      <c r="V112" s="77"/>
      <c r="W112" s="93" t="str">
        <f t="shared" ref="W112" si="60">B112</f>
        <v>스파이럴 입상</v>
      </c>
      <c r="X112" s="146">
        <f>SUM(X34:X38)</f>
        <v>0</v>
      </c>
      <c r="Y112" s="75"/>
      <c r="Z112" s="75"/>
      <c r="AA112" s="76" t="str">
        <f t="shared" ref="AA112" si="61">W112</f>
        <v>스파이럴 입상</v>
      </c>
      <c r="AB112" s="35">
        <f>SUM(AB34:AB38)</f>
        <v>0</v>
      </c>
    </row>
    <row r="113" spans="1:28" s="25" customFormat="1" ht="20.100000000000001" customHeight="1" x14ac:dyDescent="0.3">
      <c r="B113" s="37" t="s">
        <v>69</v>
      </c>
      <c r="C113" s="35">
        <f>SUM(C39:C49)</f>
        <v>0</v>
      </c>
      <c r="D113" s="35">
        <f t="shared" ref="D113:U113" si="62">SUM(D39:D49)</f>
        <v>0</v>
      </c>
      <c r="E113" s="35">
        <f t="shared" si="62"/>
        <v>0</v>
      </c>
      <c r="F113" s="35">
        <f t="shared" si="62"/>
        <v>0</v>
      </c>
      <c r="G113" s="35">
        <f t="shared" si="62"/>
        <v>0</v>
      </c>
      <c r="H113" s="35">
        <f t="shared" si="62"/>
        <v>0</v>
      </c>
      <c r="I113" s="35">
        <f t="shared" si="62"/>
        <v>0</v>
      </c>
      <c r="J113" s="35">
        <f t="shared" si="62"/>
        <v>0</v>
      </c>
      <c r="K113" s="35">
        <f t="shared" si="62"/>
        <v>0</v>
      </c>
      <c r="L113" s="35">
        <f t="shared" si="62"/>
        <v>0</v>
      </c>
      <c r="M113" s="35">
        <f t="shared" si="62"/>
        <v>0</v>
      </c>
      <c r="N113" s="35">
        <f t="shared" si="62"/>
        <v>0</v>
      </c>
      <c r="O113" s="35">
        <f t="shared" si="62"/>
        <v>0</v>
      </c>
      <c r="P113" s="35">
        <f t="shared" si="62"/>
        <v>0</v>
      </c>
      <c r="Q113" s="35">
        <f t="shared" si="62"/>
        <v>0</v>
      </c>
      <c r="R113" s="35">
        <f t="shared" si="62"/>
        <v>0</v>
      </c>
      <c r="S113" s="35">
        <f t="shared" si="62"/>
        <v>0</v>
      </c>
      <c r="T113" s="35">
        <f t="shared" si="62"/>
        <v>0</v>
      </c>
      <c r="U113" s="35">
        <f t="shared" si="62"/>
        <v>0</v>
      </c>
      <c r="V113" s="77"/>
      <c r="W113" s="93" t="str">
        <f t="shared" si="57"/>
        <v>금속관 벽체</v>
      </c>
      <c r="X113" s="146">
        <f>SUM(X39:X49)</f>
        <v>0</v>
      </c>
      <c r="Y113" s="75"/>
      <c r="Z113" s="75"/>
      <c r="AA113" s="76" t="str">
        <f t="shared" si="58"/>
        <v>금속관 벽체</v>
      </c>
      <c r="AB113" s="35">
        <f>SUM(AB39:AB49)</f>
        <v>0</v>
      </c>
    </row>
    <row r="114" spans="1:28" ht="20.100000000000001" customHeight="1" x14ac:dyDescent="0.3">
      <c r="A114" s="25"/>
      <c r="B114" s="37" t="s">
        <v>121</v>
      </c>
      <c r="C114" s="35">
        <f>SUM(C50:C56)</f>
        <v>0</v>
      </c>
      <c r="D114" s="35">
        <f t="shared" ref="D114:U114" si="63">SUM(D50:D56)</f>
        <v>0</v>
      </c>
      <c r="E114" s="35">
        <f t="shared" si="63"/>
        <v>0</v>
      </c>
      <c r="F114" s="35">
        <f t="shared" si="63"/>
        <v>0</v>
      </c>
      <c r="G114" s="35">
        <f t="shared" si="63"/>
        <v>0</v>
      </c>
      <c r="H114" s="35">
        <f t="shared" si="63"/>
        <v>0</v>
      </c>
      <c r="I114" s="35">
        <f t="shared" si="63"/>
        <v>0</v>
      </c>
      <c r="J114" s="35">
        <f t="shared" si="63"/>
        <v>0</v>
      </c>
      <c r="K114" s="35">
        <f t="shared" si="63"/>
        <v>0</v>
      </c>
      <c r="L114" s="35">
        <f t="shared" si="63"/>
        <v>0</v>
      </c>
      <c r="M114" s="35">
        <f t="shared" si="63"/>
        <v>0</v>
      </c>
      <c r="N114" s="35">
        <f t="shared" si="63"/>
        <v>0</v>
      </c>
      <c r="O114" s="35">
        <f t="shared" si="63"/>
        <v>0</v>
      </c>
      <c r="P114" s="35">
        <f t="shared" si="63"/>
        <v>0</v>
      </c>
      <c r="Q114" s="35">
        <f t="shared" si="63"/>
        <v>0</v>
      </c>
      <c r="R114" s="35">
        <f t="shared" si="63"/>
        <v>0</v>
      </c>
      <c r="S114" s="35">
        <f t="shared" si="63"/>
        <v>0</v>
      </c>
      <c r="T114" s="35">
        <f t="shared" si="63"/>
        <v>0</v>
      </c>
      <c r="U114" s="35">
        <f t="shared" si="63"/>
        <v>0</v>
      </c>
      <c r="V114" s="77"/>
      <c r="W114" s="93" t="str">
        <f t="shared" si="55"/>
        <v>금속관 벽체(대구경)</v>
      </c>
      <c r="X114" s="146">
        <f>SUM(X50:X56)</f>
        <v>0</v>
      </c>
      <c r="Y114" s="75"/>
      <c r="Z114" s="75"/>
      <c r="AA114" s="76" t="str">
        <f t="shared" ref="AA114:AA131" si="64">W114</f>
        <v>금속관 벽체(대구경)</v>
      </c>
      <c r="AB114" s="35">
        <f>SUM(AB50:AB56)</f>
        <v>0</v>
      </c>
    </row>
    <row r="115" spans="1:28" s="25" customFormat="1" ht="20.100000000000001" customHeight="1" x14ac:dyDescent="0.3">
      <c r="B115" s="37" t="s">
        <v>123</v>
      </c>
      <c r="C115" s="35">
        <f>SUM(C57:C62)</f>
        <v>0</v>
      </c>
      <c r="D115" s="35">
        <f t="shared" ref="D115:U115" si="65">SUM(D57:D62)</f>
        <v>0</v>
      </c>
      <c r="E115" s="35">
        <f t="shared" si="65"/>
        <v>0</v>
      </c>
      <c r="F115" s="35">
        <f t="shared" si="65"/>
        <v>0</v>
      </c>
      <c r="G115" s="35">
        <f t="shared" si="65"/>
        <v>0</v>
      </c>
      <c r="H115" s="35">
        <f t="shared" si="65"/>
        <v>0</v>
      </c>
      <c r="I115" s="35">
        <f t="shared" si="65"/>
        <v>0</v>
      </c>
      <c r="J115" s="35">
        <f t="shared" si="65"/>
        <v>0</v>
      </c>
      <c r="K115" s="35">
        <f t="shared" si="65"/>
        <v>0</v>
      </c>
      <c r="L115" s="35">
        <f t="shared" si="65"/>
        <v>0</v>
      </c>
      <c r="M115" s="35">
        <f t="shared" si="65"/>
        <v>0</v>
      </c>
      <c r="N115" s="35">
        <f t="shared" si="65"/>
        <v>0</v>
      </c>
      <c r="O115" s="35">
        <f t="shared" si="65"/>
        <v>0</v>
      </c>
      <c r="P115" s="35">
        <f t="shared" si="65"/>
        <v>0</v>
      </c>
      <c r="Q115" s="35">
        <f t="shared" si="65"/>
        <v>0</v>
      </c>
      <c r="R115" s="35">
        <f t="shared" si="65"/>
        <v>0</v>
      </c>
      <c r="S115" s="35">
        <f t="shared" si="65"/>
        <v>0</v>
      </c>
      <c r="T115" s="35">
        <f t="shared" si="65"/>
        <v>0</v>
      </c>
      <c r="U115" s="35">
        <f t="shared" si="65"/>
        <v>0</v>
      </c>
      <c r="V115" s="77"/>
      <c r="W115" s="93" t="str">
        <f t="shared" ref="W115" si="66">B115</f>
        <v>스파이럴 벽체</v>
      </c>
      <c r="X115" s="146">
        <f>SUM(X57:X62)</f>
        <v>0</v>
      </c>
      <c r="Y115" s="75"/>
      <c r="Z115" s="75"/>
      <c r="AA115" s="76" t="str">
        <f t="shared" ref="AA115" si="67">W115</f>
        <v>스파이럴 벽체</v>
      </c>
      <c r="AB115" s="35">
        <f>SUM(AB57:AB62)</f>
        <v>0</v>
      </c>
    </row>
    <row r="116" spans="1:28" ht="20.100000000000001" customHeight="1" x14ac:dyDescent="0.3">
      <c r="A116" s="25"/>
      <c r="B116" s="37" t="s">
        <v>70</v>
      </c>
      <c r="C116" s="35">
        <f>SUM(C63:C74)</f>
        <v>0</v>
      </c>
      <c r="D116" s="35">
        <f t="shared" ref="D116:U116" si="68">SUM(D63:D74)</f>
        <v>0</v>
      </c>
      <c r="E116" s="35">
        <f t="shared" si="68"/>
        <v>0</v>
      </c>
      <c r="F116" s="35">
        <f t="shared" si="68"/>
        <v>0</v>
      </c>
      <c r="G116" s="35">
        <f t="shared" si="68"/>
        <v>0</v>
      </c>
      <c r="H116" s="35">
        <f t="shared" si="68"/>
        <v>0</v>
      </c>
      <c r="I116" s="35">
        <f t="shared" si="68"/>
        <v>0</v>
      </c>
      <c r="J116" s="35">
        <f t="shared" si="68"/>
        <v>0</v>
      </c>
      <c r="K116" s="35">
        <f t="shared" si="68"/>
        <v>0</v>
      </c>
      <c r="L116" s="35">
        <f t="shared" si="68"/>
        <v>0</v>
      </c>
      <c r="M116" s="35">
        <f t="shared" si="68"/>
        <v>0</v>
      </c>
      <c r="N116" s="35">
        <f t="shared" si="68"/>
        <v>0</v>
      </c>
      <c r="O116" s="35">
        <f t="shared" si="68"/>
        <v>0</v>
      </c>
      <c r="P116" s="35">
        <f t="shared" si="68"/>
        <v>0</v>
      </c>
      <c r="Q116" s="35">
        <f t="shared" si="68"/>
        <v>0</v>
      </c>
      <c r="R116" s="35">
        <f t="shared" si="68"/>
        <v>0</v>
      </c>
      <c r="S116" s="35">
        <f t="shared" si="68"/>
        <v>0</v>
      </c>
      <c r="T116" s="35">
        <f t="shared" si="68"/>
        <v>0</v>
      </c>
      <c r="U116" s="35">
        <f t="shared" si="68"/>
        <v>0</v>
      </c>
      <c r="V116" s="77"/>
      <c r="W116" s="93" t="str">
        <f t="shared" si="55"/>
        <v>PVC 입상</v>
      </c>
      <c r="X116" s="146">
        <f>SUM(X63:X74)</f>
        <v>0</v>
      </c>
      <c r="Y116" s="75"/>
      <c r="Z116" s="75"/>
      <c r="AA116" s="76" t="str">
        <f t="shared" si="64"/>
        <v>PVC 입상</v>
      </c>
      <c r="AB116" s="35">
        <f>SUM(AB63:AB74)</f>
        <v>0</v>
      </c>
    </row>
    <row r="117" spans="1:28" ht="20.100000000000001" customHeight="1" x14ac:dyDescent="0.3">
      <c r="A117" s="25"/>
      <c r="B117" s="37" t="s">
        <v>125</v>
      </c>
      <c r="C117" s="35">
        <f>SUM(C75:C78)</f>
        <v>0</v>
      </c>
      <c r="D117" s="35">
        <f t="shared" ref="D117:U117" si="69">SUM(D75:D78)</f>
        <v>0</v>
      </c>
      <c r="E117" s="35">
        <f t="shared" si="69"/>
        <v>0</v>
      </c>
      <c r="F117" s="35">
        <f t="shared" si="69"/>
        <v>0</v>
      </c>
      <c r="G117" s="35">
        <f t="shared" si="69"/>
        <v>0</v>
      </c>
      <c r="H117" s="35">
        <f t="shared" si="69"/>
        <v>0</v>
      </c>
      <c r="I117" s="35">
        <f t="shared" si="69"/>
        <v>0</v>
      </c>
      <c r="J117" s="35">
        <f t="shared" si="69"/>
        <v>0</v>
      </c>
      <c r="K117" s="35">
        <f t="shared" si="69"/>
        <v>0</v>
      </c>
      <c r="L117" s="35">
        <f t="shared" si="69"/>
        <v>0</v>
      </c>
      <c r="M117" s="35">
        <f t="shared" si="69"/>
        <v>0</v>
      </c>
      <c r="N117" s="35">
        <f t="shared" si="69"/>
        <v>0</v>
      </c>
      <c r="O117" s="35">
        <f t="shared" si="69"/>
        <v>0</v>
      </c>
      <c r="P117" s="35">
        <f t="shared" si="69"/>
        <v>0</v>
      </c>
      <c r="Q117" s="35">
        <f t="shared" si="69"/>
        <v>0</v>
      </c>
      <c r="R117" s="35">
        <f t="shared" si="69"/>
        <v>0</v>
      </c>
      <c r="S117" s="35">
        <f t="shared" si="69"/>
        <v>0</v>
      </c>
      <c r="T117" s="35">
        <f t="shared" si="69"/>
        <v>0</v>
      </c>
      <c r="U117" s="35">
        <f t="shared" si="69"/>
        <v>0</v>
      </c>
      <c r="V117" s="77"/>
      <c r="W117" s="93" t="str">
        <f>B117</f>
        <v>세대SP</v>
      </c>
      <c r="X117" s="146">
        <f>SUM(X75:X78)</f>
        <v>0</v>
      </c>
      <c r="Y117" s="75"/>
      <c r="Z117" s="75"/>
      <c r="AA117" s="76" t="str">
        <f>W117</f>
        <v>세대SP</v>
      </c>
      <c r="AB117" s="35">
        <f>SUM(AB75:AB78)</f>
        <v>0</v>
      </c>
    </row>
    <row r="118" spans="1:28" s="25" customFormat="1" ht="20.100000000000001" customHeight="1" x14ac:dyDescent="0.3">
      <c r="B118" s="37" t="s">
        <v>71</v>
      </c>
      <c r="C118" s="35">
        <f>SUM(C79:C92)</f>
        <v>0</v>
      </c>
      <c r="D118" s="35">
        <f t="shared" ref="D118:U118" si="70">SUM(D79:D92)</f>
        <v>0</v>
      </c>
      <c r="E118" s="35">
        <f t="shared" si="70"/>
        <v>0</v>
      </c>
      <c r="F118" s="35">
        <f t="shared" si="70"/>
        <v>0</v>
      </c>
      <c r="G118" s="35">
        <f t="shared" si="70"/>
        <v>0</v>
      </c>
      <c r="H118" s="35">
        <f t="shared" si="70"/>
        <v>0</v>
      </c>
      <c r="I118" s="35">
        <f t="shared" si="70"/>
        <v>0</v>
      </c>
      <c r="J118" s="35">
        <f t="shared" si="70"/>
        <v>0</v>
      </c>
      <c r="K118" s="35">
        <f t="shared" si="70"/>
        <v>0</v>
      </c>
      <c r="L118" s="35">
        <f t="shared" si="70"/>
        <v>0</v>
      </c>
      <c r="M118" s="35">
        <f t="shared" si="70"/>
        <v>0</v>
      </c>
      <c r="N118" s="35">
        <f t="shared" si="70"/>
        <v>0</v>
      </c>
      <c r="O118" s="35">
        <f t="shared" si="70"/>
        <v>0</v>
      </c>
      <c r="P118" s="35">
        <f t="shared" si="70"/>
        <v>0</v>
      </c>
      <c r="Q118" s="35">
        <f t="shared" si="70"/>
        <v>0</v>
      </c>
      <c r="R118" s="35">
        <f t="shared" si="70"/>
        <v>0</v>
      </c>
      <c r="S118" s="35">
        <f t="shared" si="70"/>
        <v>0</v>
      </c>
      <c r="T118" s="35">
        <f t="shared" si="70"/>
        <v>0</v>
      </c>
      <c r="U118" s="35">
        <f t="shared" si="70"/>
        <v>0</v>
      </c>
      <c r="V118" s="77"/>
      <c r="W118" s="93" t="str">
        <f t="shared" ref="W118" si="71">B118</f>
        <v>PVC 벽체</v>
      </c>
      <c r="X118" s="146">
        <f>SUM(X79:X92)</f>
        <v>0</v>
      </c>
      <c r="Y118" s="75"/>
      <c r="Z118" s="75"/>
      <c r="AA118" s="76" t="str">
        <f t="shared" ref="AA118" si="72">W118</f>
        <v>PVC 벽체</v>
      </c>
      <c r="AB118" s="35">
        <f>SUM(AB79:AB92)</f>
        <v>0</v>
      </c>
    </row>
    <row r="119" spans="1:28" s="25" customFormat="1" ht="20.100000000000001" customHeight="1" x14ac:dyDescent="0.3">
      <c r="B119" s="37" t="s">
        <v>134</v>
      </c>
      <c r="C119" s="35">
        <f t="shared" ref="C119:C124" si="73">SUM(C93)</f>
        <v>0</v>
      </c>
      <c r="D119" s="35">
        <f t="shared" ref="D119:U119" si="74">SUM(D93)</f>
        <v>0</v>
      </c>
      <c r="E119" s="35">
        <f t="shared" si="74"/>
        <v>0</v>
      </c>
      <c r="F119" s="35">
        <f t="shared" si="74"/>
        <v>0</v>
      </c>
      <c r="G119" s="35">
        <f t="shared" si="74"/>
        <v>0</v>
      </c>
      <c r="H119" s="35">
        <f t="shared" si="74"/>
        <v>0</v>
      </c>
      <c r="I119" s="35">
        <f t="shared" si="74"/>
        <v>0</v>
      </c>
      <c r="J119" s="35">
        <f t="shared" si="74"/>
        <v>0</v>
      </c>
      <c r="K119" s="35">
        <f t="shared" si="74"/>
        <v>0</v>
      </c>
      <c r="L119" s="35">
        <f t="shared" si="74"/>
        <v>0</v>
      </c>
      <c r="M119" s="35">
        <f t="shared" si="74"/>
        <v>0</v>
      </c>
      <c r="N119" s="35">
        <f t="shared" si="74"/>
        <v>0</v>
      </c>
      <c r="O119" s="35">
        <f t="shared" si="74"/>
        <v>0</v>
      </c>
      <c r="P119" s="35">
        <f t="shared" si="74"/>
        <v>0</v>
      </c>
      <c r="Q119" s="35">
        <f t="shared" si="74"/>
        <v>0</v>
      </c>
      <c r="R119" s="35">
        <f t="shared" si="74"/>
        <v>0</v>
      </c>
      <c r="S119" s="35">
        <f t="shared" si="74"/>
        <v>0</v>
      </c>
      <c r="T119" s="35">
        <f t="shared" si="74"/>
        <v>0</v>
      </c>
      <c r="U119" s="35">
        <f t="shared" si="74"/>
        <v>0</v>
      </c>
      <c r="V119" s="77"/>
      <c r="W119" s="93" t="str">
        <f>B119</f>
        <v>대구경추가차열입상</v>
      </c>
      <c r="X119" s="146">
        <f t="shared" ref="X119:X124" si="75">SUM(X93)</f>
        <v>0</v>
      </c>
      <c r="Y119" s="75"/>
      <c r="Z119" s="75"/>
      <c r="AA119" s="76" t="str">
        <f>W119</f>
        <v>대구경추가차열입상</v>
      </c>
      <c r="AB119" s="35">
        <f t="shared" ref="AB119:AB124" si="76">SUM(AB93)</f>
        <v>0</v>
      </c>
    </row>
    <row r="120" spans="1:28" s="25" customFormat="1" ht="20.100000000000001" customHeight="1" x14ac:dyDescent="0.3">
      <c r="B120" s="37" t="s">
        <v>135</v>
      </c>
      <c r="C120" s="35">
        <f t="shared" si="73"/>
        <v>0</v>
      </c>
      <c r="D120" s="35">
        <f t="shared" ref="D120:U120" si="77">SUM(D94)</f>
        <v>0</v>
      </c>
      <c r="E120" s="35">
        <f t="shared" si="77"/>
        <v>0</v>
      </c>
      <c r="F120" s="35">
        <f t="shared" si="77"/>
        <v>0</v>
      </c>
      <c r="G120" s="35">
        <f t="shared" si="77"/>
        <v>0</v>
      </c>
      <c r="H120" s="35">
        <f t="shared" si="77"/>
        <v>0</v>
      </c>
      <c r="I120" s="35">
        <f t="shared" si="77"/>
        <v>0</v>
      </c>
      <c r="J120" s="35">
        <f t="shared" si="77"/>
        <v>0</v>
      </c>
      <c r="K120" s="35">
        <f t="shared" si="77"/>
        <v>0</v>
      </c>
      <c r="L120" s="35">
        <f t="shared" si="77"/>
        <v>0</v>
      </c>
      <c r="M120" s="35">
        <f t="shared" si="77"/>
        <v>0</v>
      </c>
      <c r="N120" s="35">
        <f t="shared" si="77"/>
        <v>0</v>
      </c>
      <c r="O120" s="35">
        <f t="shared" si="77"/>
        <v>0</v>
      </c>
      <c r="P120" s="35">
        <f t="shared" si="77"/>
        <v>0</v>
      </c>
      <c r="Q120" s="35">
        <f t="shared" si="77"/>
        <v>0</v>
      </c>
      <c r="R120" s="35">
        <f t="shared" si="77"/>
        <v>0</v>
      </c>
      <c r="S120" s="35">
        <f t="shared" si="77"/>
        <v>0</v>
      </c>
      <c r="T120" s="35">
        <f t="shared" si="77"/>
        <v>0</v>
      </c>
      <c r="U120" s="35">
        <f t="shared" si="77"/>
        <v>0</v>
      </c>
      <c r="V120" s="77"/>
      <c r="W120" s="93" t="str">
        <f>B120</f>
        <v>대구경추가차열벽체</v>
      </c>
      <c r="X120" s="146">
        <f t="shared" si="75"/>
        <v>0</v>
      </c>
      <c r="Y120" s="75"/>
      <c r="Z120" s="75"/>
      <c r="AA120" s="76" t="str">
        <f>W120</f>
        <v>대구경추가차열벽체</v>
      </c>
      <c r="AB120" s="35">
        <f t="shared" si="76"/>
        <v>0</v>
      </c>
    </row>
    <row r="121" spans="1:28" s="25" customFormat="1" ht="20.100000000000001" customHeight="1" x14ac:dyDescent="0.3">
      <c r="B121" s="37" t="s">
        <v>136</v>
      </c>
      <c r="C121" s="35">
        <f t="shared" si="73"/>
        <v>0</v>
      </c>
      <c r="D121" s="35">
        <f t="shared" ref="D121:U121" si="78">SUM(D95)</f>
        <v>0</v>
      </c>
      <c r="E121" s="35">
        <f t="shared" si="78"/>
        <v>0</v>
      </c>
      <c r="F121" s="35">
        <f t="shared" si="78"/>
        <v>0</v>
      </c>
      <c r="G121" s="35">
        <f t="shared" si="78"/>
        <v>0</v>
      </c>
      <c r="H121" s="35">
        <f t="shared" si="78"/>
        <v>0</v>
      </c>
      <c r="I121" s="35">
        <f t="shared" si="78"/>
        <v>0</v>
      </c>
      <c r="J121" s="35">
        <f t="shared" si="78"/>
        <v>0</v>
      </c>
      <c r="K121" s="35">
        <f t="shared" si="78"/>
        <v>0</v>
      </c>
      <c r="L121" s="35">
        <f t="shared" si="78"/>
        <v>0</v>
      </c>
      <c r="M121" s="35">
        <f t="shared" si="78"/>
        <v>0</v>
      </c>
      <c r="N121" s="35">
        <f t="shared" si="78"/>
        <v>0</v>
      </c>
      <c r="O121" s="35">
        <f t="shared" si="78"/>
        <v>0</v>
      </c>
      <c r="P121" s="35">
        <f t="shared" si="78"/>
        <v>0</v>
      </c>
      <c r="Q121" s="35">
        <f t="shared" si="78"/>
        <v>0</v>
      </c>
      <c r="R121" s="35">
        <f t="shared" si="78"/>
        <v>0</v>
      </c>
      <c r="S121" s="35">
        <f t="shared" si="78"/>
        <v>0</v>
      </c>
      <c r="T121" s="35">
        <f t="shared" si="78"/>
        <v>0</v>
      </c>
      <c r="U121" s="35">
        <f t="shared" si="78"/>
        <v>0</v>
      </c>
      <c r="V121" s="77"/>
      <c r="W121" s="93" t="str">
        <f>B121</f>
        <v>실란트마감입상</v>
      </c>
      <c r="X121" s="146">
        <f t="shared" si="75"/>
        <v>0</v>
      </c>
      <c r="Y121" s="75"/>
      <c r="Z121" s="75"/>
      <c r="AA121" s="76" t="str">
        <f>W121</f>
        <v>실란트마감입상</v>
      </c>
      <c r="AB121" s="35">
        <f t="shared" si="76"/>
        <v>0</v>
      </c>
    </row>
    <row r="122" spans="1:28" s="25" customFormat="1" ht="20.100000000000001" customHeight="1" x14ac:dyDescent="0.3">
      <c r="B122" s="37" t="s">
        <v>137</v>
      </c>
      <c r="C122" s="35">
        <f t="shared" si="73"/>
        <v>0</v>
      </c>
      <c r="D122" s="35">
        <f t="shared" ref="D122:U122" si="79">SUM(D96)</f>
        <v>0</v>
      </c>
      <c r="E122" s="35">
        <f t="shared" si="79"/>
        <v>0</v>
      </c>
      <c r="F122" s="35">
        <f t="shared" si="79"/>
        <v>0</v>
      </c>
      <c r="G122" s="35">
        <f t="shared" si="79"/>
        <v>0</v>
      </c>
      <c r="H122" s="35">
        <f t="shared" si="79"/>
        <v>0</v>
      </c>
      <c r="I122" s="35">
        <f t="shared" si="79"/>
        <v>0</v>
      </c>
      <c r="J122" s="35">
        <f t="shared" si="79"/>
        <v>0</v>
      </c>
      <c r="K122" s="35">
        <f t="shared" si="79"/>
        <v>0</v>
      </c>
      <c r="L122" s="35">
        <f t="shared" si="79"/>
        <v>0</v>
      </c>
      <c r="M122" s="35">
        <f t="shared" si="79"/>
        <v>0</v>
      </c>
      <c r="N122" s="35">
        <f t="shared" si="79"/>
        <v>0</v>
      </c>
      <c r="O122" s="35">
        <f t="shared" si="79"/>
        <v>0</v>
      </c>
      <c r="P122" s="35">
        <f t="shared" si="79"/>
        <v>0</v>
      </c>
      <c r="Q122" s="35">
        <f t="shared" si="79"/>
        <v>0</v>
      </c>
      <c r="R122" s="35">
        <f t="shared" si="79"/>
        <v>0</v>
      </c>
      <c r="S122" s="35">
        <f t="shared" si="79"/>
        <v>0</v>
      </c>
      <c r="T122" s="35">
        <f t="shared" si="79"/>
        <v>0</v>
      </c>
      <c r="U122" s="35">
        <f t="shared" si="79"/>
        <v>0</v>
      </c>
      <c r="V122" s="77"/>
      <c r="W122" s="93" t="str">
        <f>B122</f>
        <v>실란트마감벽체</v>
      </c>
      <c r="X122" s="146">
        <f t="shared" si="75"/>
        <v>0</v>
      </c>
      <c r="Y122" s="75"/>
      <c r="Z122" s="75"/>
      <c r="AA122" s="76" t="str">
        <f>W122</f>
        <v>실란트마감벽체</v>
      </c>
      <c r="AB122" s="35">
        <f t="shared" si="76"/>
        <v>0</v>
      </c>
    </row>
    <row r="123" spans="1:28" s="25" customFormat="1" ht="20.100000000000001" customHeight="1" x14ac:dyDescent="0.3">
      <c r="B123" s="37" t="s">
        <v>118</v>
      </c>
      <c r="C123" s="35">
        <f t="shared" si="73"/>
        <v>0</v>
      </c>
      <c r="D123" s="35">
        <f t="shared" ref="D123:U123" si="80">SUM(D97)</f>
        <v>0</v>
      </c>
      <c r="E123" s="35">
        <f t="shared" si="80"/>
        <v>0</v>
      </c>
      <c r="F123" s="35">
        <f t="shared" si="80"/>
        <v>0</v>
      </c>
      <c r="G123" s="35">
        <f t="shared" si="80"/>
        <v>0</v>
      </c>
      <c r="H123" s="35">
        <f t="shared" si="80"/>
        <v>0</v>
      </c>
      <c r="I123" s="35">
        <f t="shared" si="80"/>
        <v>0</v>
      </c>
      <c r="J123" s="35">
        <f t="shared" si="80"/>
        <v>0</v>
      </c>
      <c r="K123" s="35">
        <f t="shared" si="80"/>
        <v>0</v>
      </c>
      <c r="L123" s="35">
        <f t="shared" si="80"/>
        <v>0</v>
      </c>
      <c r="M123" s="35">
        <f t="shared" si="80"/>
        <v>0</v>
      </c>
      <c r="N123" s="35">
        <f t="shared" si="80"/>
        <v>0</v>
      </c>
      <c r="O123" s="35">
        <f t="shared" si="80"/>
        <v>0</v>
      </c>
      <c r="P123" s="35">
        <f t="shared" si="80"/>
        <v>0</v>
      </c>
      <c r="Q123" s="35">
        <f t="shared" si="80"/>
        <v>0</v>
      </c>
      <c r="R123" s="35">
        <f t="shared" si="80"/>
        <v>0</v>
      </c>
      <c r="S123" s="35">
        <f t="shared" si="80"/>
        <v>0</v>
      </c>
      <c r="T123" s="35">
        <f t="shared" si="80"/>
        <v>0</v>
      </c>
      <c r="U123" s="35">
        <f t="shared" si="80"/>
        <v>0</v>
      </c>
      <c r="V123" s="77"/>
      <c r="W123" s="93" t="str">
        <f>B123</f>
        <v>슬리브</v>
      </c>
      <c r="X123" s="146">
        <f t="shared" si="75"/>
        <v>0</v>
      </c>
      <c r="Y123" s="75"/>
      <c r="Z123" s="75"/>
      <c r="AA123" s="76" t="str">
        <f>W123</f>
        <v>슬리브</v>
      </c>
      <c r="AB123" s="35">
        <f t="shared" si="76"/>
        <v>0</v>
      </c>
    </row>
    <row r="124" spans="1:28" ht="20.100000000000001" customHeight="1" x14ac:dyDescent="0.3">
      <c r="A124" s="183" t="s">
        <v>80</v>
      </c>
      <c r="B124" s="37" t="s">
        <v>114</v>
      </c>
      <c r="C124" s="35">
        <f t="shared" si="73"/>
        <v>0</v>
      </c>
      <c r="D124" s="35">
        <f t="shared" ref="D124:U124" si="81">SUM(D98)</f>
        <v>0</v>
      </c>
      <c r="E124" s="35">
        <f t="shared" si="81"/>
        <v>0</v>
      </c>
      <c r="F124" s="35">
        <f t="shared" si="81"/>
        <v>0</v>
      </c>
      <c r="G124" s="35">
        <f t="shared" si="81"/>
        <v>0</v>
      </c>
      <c r="H124" s="35">
        <f t="shared" si="81"/>
        <v>0</v>
      </c>
      <c r="I124" s="35">
        <f t="shared" si="81"/>
        <v>0</v>
      </c>
      <c r="J124" s="35">
        <f t="shared" si="81"/>
        <v>0</v>
      </c>
      <c r="K124" s="35">
        <f t="shared" si="81"/>
        <v>0</v>
      </c>
      <c r="L124" s="35">
        <f t="shared" si="81"/>
        <v>0</v>
      </c>
      <c r="M124" s="35">
        <f t="shared" si="81"/>
        <v>0</v>
      </c>
      <c r="N124" s="35">
        <f t="shared" si="81"/>
        <v>0</v>
      </c>
      <c r="O124" s="35">
        <f t="shared" si="81"/>
        <v>0</v>
      </c>
      <c r="P124" s="35">
        <f t="shared" si="81"/>
        <v>0</v>
      </c>
      <c r="Q124" s="35">
        <f t="shared" si="81"/>
        <v>0</v>
      </c>
      <c r="R124" s="35">
        <f t="shared" si="81"/>
        <v>0</v>
      </c>
      <c r="S124" s="35">
        <f t="shared" si="81"/>
        <v>0</v>
      </c>
      <c r="T124" s="35">
        <f t="shared" si="81"/>
        <v>0</v>
      </c>
      <c r="U124" s="35">
        <f t="shared" si="81"/>
        <v>0</v>
      </c>
      <c r="V124" s="135"/>
      <c r="W124" s="93" t="str">
        <f t="shared" si="55"/>
        <v>무보온덕트입상</v>
      </c>
      <c r="X124" s="146">
        <f t="shared" si="75"/>
        <v>0</v>
      </c>
      <c r="Y124" s="75"/>
      <c r="Z124" s="135"/>
      <c r="AA124" s="76" t="str">
        <f t="shared" si="64"/>
        <v>무보온덕트입상</v>
      </c>
      <c r="AB124" s="35">
        <f t="shared" si="76"/>
        <v>0</v>
      </c>
    </row>
    <row r="125" spans="1:28" s="25" customFormat="1" ht="20.100000000000001" customHeight="1" x14ac:dyDescent="0.3">
      <c r="A125" s="184"/>
      <c r="B125" s="37" t="s">
        <v>110</v>
      </c>
      <c r="C125" s="35">
        <f t="shared" ref="C125:C131" si="82">C99</f>
        <v>0</v>
      </c>
      <c r="D125" s="35">
        <f t="shared" ref="D125:U125" si="83">D99</f>
        <v>0</v>
      </c>
      <c r="E125" s="35">
        <f t="shared" si="83"/>
        <v>0</v>
      </c>
      <c r="F125" s="35">
        <f t="shared" si="83"/>
        <v>0</v>
      </c>
      <c r="G125" s="35">
        <f t="shared" si="83"/>
        <v>0</v>
      </c>
      <c r="H125" s="35">
        <f t="shared" si="83"/>
        <v>0</v>
      </c>
      <c r="I125" s="35">
        <f t="shared" si="83"/>
        <v>0</v>
      </c>
      <c r="J125" s="35">
        <f t="shared" si="83"/>
        <v>0</v>
      </c>
      <c r="K125" s="35">
        <f t="shared" si="83"/>
        <v>0</v>
      </c>
      <c r="L125" s="35">
        <f t="shared" si="83"/>
        <v>0</v>
      </c>
      <c r="M125" s="35">
        <f t="shared" si="83"/>
        <v>0</v>
      </c>
      <c r="N125" s="35">
        <f t="shared" si="83"/>
        <v>0</v>
      </c>
      <c r="O125" s="35">
        <f t="shared" si="83"/>
        <v>0</v>
      </c>
      <c r="P125" s="35">
        <f t="shared" si="83"/>
        <v>0</v>
      </c>
      <c r="Q125" s="35">
        <f t="shared" si="83"/>
        <v>0</v>
      </c>
      <c r="R125" s="35">
        <f t="shared" si="83"/>
        <v>0</v>
      </c>
      <c r="S125" s="35">
        <f t="shared" si="83"/>
        <v>0</v>
      </c>
      <c r="T125" s="35">
        <f t="shared" si="83"/>
        <v>0</v>
      </c>
      <c r="U125" s="35">
        <f t="shared" si="83"/>
        <v>0</v>
      </c>
      <c r="V125" s="135"/>
      <c r="W125" s="93" t="str">
        <f t="shared" ref="W125" si="84">B125</f>
        <v>보온덕트입상</v>
      </c>
      <c r="X125" s="146">
        <f t="shared" ref="X125:X131" si="85">X99</f>
        <v>0</v>
      </c>
      <c r="Y125" s="75"/>
      <c r="Z125" s="135"/>
      <c r="AA125" s="76" t="str">
        <f t="shared" ref="AA125" si="86">W125</f>
        <v>보온덕트입상</v>
      </c>
      <c r="AB125" s="35">
        <f t="shared" ref="AB125:AB131" si="87">AB99</f>
        <v>0</v>
      </c>
    </row>
    <row r="126" spans="1:28" s="25" customFormat="1" ht="20.100000000000001" customHeight="1" x14ac:dyDescent="0.3">
      <c r="A126" s="184"/>
      <c r="B126" s="37" t="s">
        <v>116</v>
      </c>
      <c r="C126" s="35">
        <f t="shared" si="82"/>
        <v>0</v>
      </c>
      <c r="D126" s="35">
        <f t="shared" ref="D126:U126" si="88">D100</f>
        <v>0</v>
      </c>
      <c r="E126" s="35">
        <f t="shared" si="88"/>
        <v>0</v>
      </c>
      <c r="F126" s="35">
        <f t="shared" si="88"/>
        <v>0</v>
      </c>
      <c r="G126" s="35">
        <f t="shared" si="88"/>
        <v>0</v>
      </c>
      <c r="H126" s="35">
        <f t="shared" si="88"/>
        <v>0</v>
      </c>
      <c r="I126" s="35">
        <f t="shared" si="88"/>
        <v>0</v>
      </c>
      <c r="J126" s="35">
        <f t="shared" si="88"/>
        <v>0</v>
      </c>
      <c r="K126" s="35">
        <f t="shared" si="88"/>
        <v>0</v>
      </c>
      <c r="L126" s="35">
        <f t="shared" si="88"/>
        <v>0</v>
      </c>
      <c r="M126" s="35">
        <f t="shared" si="88"/>
        <v>0</v>
      </c>
      <c r="N126" s="35">
        <f t="shared" si="88"/>
        <v>0</v>
      </c>
      <c r="O126" s="35">
        <f t="shared" si="88"/>
        <v>0</v>
      </c>
      <c r="P126" s="35">
        <f t="shared" si="88"/>
        <v>0</v>
      </c>
      <c r="Q126" s="35">
        <f t="shared" si="88"/>
        <v>0</v>
      </c>
      <c r="R126" s="35">
        <f t="shared" si="88"/>
        <v>0</v>
      </c>
      <c r="S126" s="35">
        <f t="shared" si="88"/>
        <v>0</v>
      </c>
      <c r="T126" s="35">
        <f t="shared" si="88"/>
        <v>0</v>
      </c>
      <c r="U126" s="35">
        <f t="shared" si="88"/>
        <v>0</v>
      </c>
      <c r="V126" s="135"/>
      <c r="W126" s="93" t="str">
        <f t="shared" si="55"/>
        <v>무보온덕트벽체</v>
      </c>
      <c r="X126" s="146">
        <f t="shared" si="85"/>
        <v>0</v>
      </c>
      <c r="Y126" s="75"/>
      <c r="Z126" s="135"/>
      <c r="AA126" s="76" t="str">
        <f t="shared" si="64"/>
        <v>무보온덕트벽체</v>
      </c>
      <c r="AB126" s="35">
        <f t="shared" si="87"/>
        <v>0</v>
      </c>
    </row>
    <row r="127" spans="1:28" s="25" customFormat="1" ht="20.100000000000001" customHeight="1" x14ac:dyDescent="0.3">
      <c r="A127" s="184"/>
      <c r="B127" s="37" t="s">
        <v>112</v>
      </c>
      <c r="C127" s="35">
        <f t="shared" si="82"/>
        <v>0</v>
      </c>
      <c r="D127" s="35">
        <f t="shared" ref="D127:U127" si="89">D101</f>
        <v>0</v>
      </c>
      <c r="E127" s="35">
        <f t="shared" si="89"/>
        <v>0</v>
      </c>
      <c r="F127" s="35">
        <f t="shared" si="89"/>
        <v>0</v>
      </c>
      <c r="G127" s="35">
        <f t="shared" si="89"/>
        <v>0</v>
      </c>
      <c r="H127" s="35">
        <f t="shared" si="89"/>
        <v>0</v>
      </c>
      <c r="I127" s="35">
        <f t="shared" si="89"/>
        <v>0</v>
      </c>
      <c r="J127" s="35">
        <f t="shared" si="89"/>
        <v>0</v>
      </c>
      <c r="K127" s="35">
        <f t="shared" si="89"/>
        <v>0</v>
      </c>
      <c r="L127" s="35">
        <f t="shared" si="89"/>
        <v>0</v>
      </c>
      <c r="M127" s="35">
        <f t="shared" si="89"/>
        <v>0</v>
      </c>
      <c r="N127" s="35">
        <f t="shared" si="89"/>
        <v>0</v>
      </c>
      <c r="O127" s="35">
        <f t="shared" si="89"/>
        <v>0</v>
      </c>
      <c r="P127" s="35">
        <f t="shared" si="89"/>
        <v>0</v>
      </c>
      <c r="Q127" s="35">
        <f t="shared" si="89"/>
        <v>0</v>
      </c>
      <c r="R127" s="35">
        <f t="shared" si="89"/>
        <v>0</v>
      </c>
      <c r="S127" s="35">
        <f t="shared" si="89"/>
        <v>0</v>
      </c>
      <c r="T127" s="35">
        <f t="shared" si="89"/>
        <v>0</v>
      </c>
      <c r="U127" s="35">
        <f t="shared" si="89"/>
        <v>0</v>
      </c>
      <c r="V127" s="135"/>
      <c r="W127" s="93" t="str">
        <f t="shared" ref="W127:W128" si="90">B127</f>
        <v>보온덕트벽체</v>
      </c>
      <c r="X127" s="146">
        <f t="shared" si="85"/>
        <v>0</v>
      </c>
      <c r="Y127" s="75"/>
      <c r="Z127" s="135"/>
      <c r="AA127" s="76" t="str">
        <f t="shared" ref="AA127:AA128" si="91">W127</f>
        <v>보온덕트벽체</v>
      </c>
      <c r="AB127" s="35">
        <f t="shared" si="87"/>
        <v>0</v>
      </c>
    </row>
    <row r="128" spans="1:28" s="25" customFormat="1" ht="20.100000000000001" customHeight="1" x14ac:dyDescent="0.3">
      <c r="A128" s="184"/>
      <c r="B128" s="37" t="s">
        <v>126</v>
      </c>
      <c r="C128" s="35">
        <f t="shared" si="82"/>
        <v>0</v>
      </c>
      <c r="D128" s="35">
        <f t="shared" ref="D128:U128" si="92">D102</f>
        <v>0</v>
      </c>
      <c r="E128" s="35">
        <f t="shared" si="92"/>
        <v>0</v>
      </c>
      <c r="F128" s="35">
        <f t="shared" si="92"/>
        <v>0</v>
      </c>
      <c r="G128" s="35">
        <f t="shared" si="92"/>
        <v>0</v>
      </c>
      <c r="H128" s="35">
        <f t="shared" si="92"/>
        <v>0</v>
      </c>
      <c r="I128" s="35">
        <f t="shared" si="92"/>
        <v>0</v>
      </c>
      <c r="J128" s="35">
        <f t="shared" si="92"/>
        <v>0</v>
      </c>
      <c r="K128" s="35">
        <f t="shared" si="92"/>
        <v>0</v>
      </c>
      <c r="L128" s="35">
        <f t="shared" si="92"/>
        <v>0</v>
      </c>
      <c r="M128" s="35">
        <f t="shared" si="92"/>
        <v>0</v>
      </c>
      <c r="N128" s="35">
        <f t="shared" si="92"/>
        <v>0</v>
      </c>
      <c r="O128" s="35">
        <f t="shared" si="92"/>
        <v>0</v>
      </c>
      <c r="P128" s="35">
        <f t="shared" si="92"/>
        <v>0</v>
      </c>
      <c r="Q128" s="35">
        <f t="shared" si="92"/>
        <v>0</v>
      </c>
      <c r="R128" s="35">
        <f t="shared" si="92"/>
        <v>0</v>
      </c>
      <c r="S128" s="35">
        <f t="shared" si="92"/>
        <v>0</v>
      </c>
      <c r="T128" s="35">
        <f t="shared" si="92"/>
        <v>0</v>
      </c>
      <c r="U128" s="35">
        <f t="shared" si="92"/>
        <v>0</v>
      </c>
      <c r="V128" s="135"/>
      <c r="W128" s="93" t="str">
        <f t="shared" si="90"/>
        <v>댐퍼팽창테이프</v>
      </c>
      <c r="X128" s="146">
        <f t="shared" si="85"/>
        <v>0</v>
      </c>
      <c r="Y128" s="75"/>
      <c r="Z128" s="135"/>
      <c r="AA128" s="76" t="str">
        <f t="shared" si="91"/>
        <v>댐퍼팽창테이프</v>
      </c>
      <c r="AB128" s="35">
        <f t="shared" si="87"/>
        <v>0</v>
      </c>
    </row>
    <row r="129" spans="1:29" ht="20.100000000000001" customHeight="1" x14ac:dyDescent="0.3">
      <c r="A129" s="184"/>
      <c r="B129" s="37" t="s">
        <v>127</v>
      </c>
      <c r="C129" s="35">
        <f t="shared" si="82"/>
        <v>0</v>
      </c>
      <c r="D129" s="35">
        <f t="shared" ref="D129:U129" si="93">D103</f>
        <v>0</v>
      </c>
      <c r="E129" s="35">
        <f t="shared" si="93"/>
        <v>0</v>
      </c>
      <c r="F129" s="35">
        <f t="shared" si="93"/>
        <v>0</v>
      </c>
      <c r="G129" s="35">
        <f t="shared" si="93"/>
        <v>0</v>
      </c>
      <c r="H129" s="35">
        <f t="shared" si="93"/>
        <v>0</v>
      </c>
      <c r="I129" s="35">
        <f t="shared" si="93"/>
        <v>0</v>
      </c>
      <c r="J129" s="35">
        <f t="shared" si="93"/>
        <v>0</v>
      </c>
      <c r="K129" s="35">
        <f t="shared" si="93"/>
        <v>0</v>
      </c>
      <c r="L129" s="35">
        <f t="shared" si="93"/>
        <v>0</v>
      </c>
      <c r="M129" s="35">
        <f t="shared" si="93"/>
        <v>0</v>
      </c>
      <c r="N129" s="35">
        <f t="shared" si="93"/>
        <v>0</v>
      </c>
      <c r="O129" s="35">
        <f t="shared" si="93"/>
        <v>0</v>
      </c>
      <c r="P129" s="35">
        <f t="shared" si="93"/>
        <v>0</v>
      </c>
      <c r="Q129" s="35">
        <f t="shared" si="93"/>
        <v>0</v>
      </c>
      <c r="R129" s="35">
        <f t="shared" si="93"/>
        <v>0</v>
      </c>
      <c r="S129" s="35">
        <f t="shared" si="93"/>
        <v>0</v>
      </c>
      <c r="T129" s="35">
        <f t="shared" si="93"/>
        <v>0</v>
      </c>
      <c r="U129" s="35">
        <f t="shared" si="93"/>
        <v>0</v>
      </c>
      <c r="V129" s="135"/>
      <c r="W129" s="93" t="str">
        <f t="shared" si="55"/>
        <v>덕트마감</v>
      </c>
      <c r="X129" s="146">
        <f t="shared" si="85"/>
        <v>0</v>
      </c>
      <c r="Y129" s="75"/>
      <c r="Z129" s="135"/>
      <c r="AA129" s="76" t="str">
        <f t="shared" si="64"/>
        <v>덕트마감</v>
      </c>
      <c r="AB129" s="35">
        <f t="shared" si="87"/>
        <v>0</v>
      </c>
    </row>
    <row r="130" spans="1:29" ht="20.100000000000001" customHeight="1" x14ac:dyDescent="0.3">
      <c r="A130" s="184"/>
      <c r="B130" s="37" t="s">
        <v>128</v>
      </c>
      <c r="C130" s="35">
        <f t="shared" si="82"/>
        <v>0</v>
      </c>
      <c r="D130" s="35">
        <f t="shared" ref="D130:U130" si="94">D104</f>
        <v>0</v>
      </c>
      <c r="E130" s="35">
        <f t="shared" si="94"/>
        <v>0</v>
      </c>
      <c r="F130" s="35">
        <f t="shared" si="94"/>
        <v>0</v>
      </c>
      <c r="G130" s="35">
        <f t="shared" si="94"/>
        <v>0</v>
      </c>
      <c r="H130" s="35">
        <f t="shared" si="94"/>
        <v>0</v>
      </c>
      <c r="I130" s="35">
        <f t="shared" si="94"/>
        <v>0</v>
      </c>
      <c r="J130" s="35">
        <f t="shared" si="94"/>
        <v>0</v>
      </c>
      <c r="K130" s="35">
        <f t="shared" si="94"/>
        <v>0</v>
      </c>
      <c r="L130" s="35">
        <f t="shared" si="94"/>
        <v>0</v>
      </c>
      <c r="M130" s="35">
        <f t="shared" si="94"/>
        <v>0</v>
      </c>
      <c r="N130" s="35">
        <f t="shared" si="94"/>
        <v>0</v>
      </c>
      <c r="O130" s="35">
        <f t="shared" si="94"/>
        <v>0</v>
      </c>
      <c r="P130" s="35">
        <f t="shared" si="94"/>
        <v>0</v>
      </c>
      <c r="Q130" s="35">
        <f t="shared" si="94"/>
        <v>0</v>
      </c>
      <c r="R130" s="35">
        <f t="shared" si="94"/>
        <v>0</v>
      </c>
      <c r="S130" s="35">
        <f t="shared" si="94"/>
        <v>0</v>
      </c>
      <c r="T130" s="35">
        <f t="shared" si="94"/>
        <v>0</v>
      </c>
      <c r="U130" s="35">
        <f t="shared" si="94"/>
        <v>0</v>
      </c>
      <c r="V130" s="135"/>
      <c r="W130" s="93" t="str">
        <f t="shared" si="55"/>
        <v>오픈구</v>
      </c>
      <c r="X130" s="146">
        <f t="shared" si="85"/>
        <v>0</v>
      </c>
      <c r="Y130" s="75"/>
      <c r="Z130" s="135"/>
      <c r="AA130" s="76" t="str">
        <f t="shared" si="64"/>
        <v>오픈구</v>
      </c>
      <c r="AB130" s="35">
        <f t="shared" si="87"/>
        <v>0</v>
      </c>
    </row>
    <row r="131" spans="1:29" ht="20.100000000000001" customHeight="1" thickBot="1" x14ac:dyDescent="0.35">
      <c r="A131" s="185"/>
      <c r="B131" s="37" t="s">
        <v>129</v>
      </c>
      <c r="C131" s="35">
        <f t="shared" si="82"/>
        <v>0</v>
      </c>
      <c r="D131" s="35">
        <f t="shared" ref="D131:U131" si="95">D105</f>
        <v>0</v>
      </c>
      <c r="E131" s="35">
        <f t="shared" si="95"/>
        <v>0</v>
      </c>
      <c r="F131" s="35">
        <f t="shared" si="95"/>
        <v>0</v>
      </c>
      <c r="G131" s="35">
        <f t="shared" si="95"/>
        <v>0</v>
      </c>
      <c r="H131" s="35">
        <f t="shared" si="95"/>
        <v>0</v>
      </c>
      <c r="I131" s="35">
        <f t="shared" si="95"/>
        <v>0</v>
      </c>
      <c r="J131" s="35">
        <f t="shared" si="95"/>
        <v>0</v>
      </c>
      <c r="K131" s="35">
        <f t="shared" si="95"/>
        <v>0</v>
      </c>
      <c r="L131" s="35">
        <f t="shared" si="95"/>
        <v>0</v>
      </c>
      <c r="M131" s="35">
        <f t="shared" si="95"/>
        <v>0</v>
      </c>
      <c r="N131" s="35">
        <f t="shared" si="95"/>
        <v>0</v>
      </c>
      <c r="O131" s="35">
        <f t="shared" si="95"/>
        <v>0</v>
      </c>
      <c r="P131" s="35">
        <f t="shared" si="95"/>
        <v>0</v>
      </c>
      <c r="Q131" s="35">
        <f t="shared" si="95"/>
        <v>0</v>
      </c>
      <c r="R131" s="35">
        <f t="shared" si="95"/>
        <v>0</v>
      </c>
      <c r="S131" s="35">
        <f t="shared" si="95"/>
        <v>0</v>
      </c>
      <c r="T131" s="35">
        <f t="shared" si="95"/>
        <v>0</v>
      </c>
      <c r="U131" s="35">
        <f t="shared" si="95"/>
        <v>0</v>
      </c>
      <c r="V131" s="135"/>
      <c r="W131" s="147" t="str">
        <f t="shared" si="55"/>
        <v>차열재마감</v>
      </c>
      <c r="X131" s="148">
        <f t="shared" si="85"/>
        <v>0</v>
      </c>
      <c r="Y131" s="75"/>
      <c r="Z131" s="135"/>
      <c r="AA131" s="76" t="str">
        <f t="shared" si="64"/>
        <v>차열재마감</v>
      </c>
      <c r="AB131" s="35">
        <f t="shared" si="87"/>
        <v>0</v>
      </c>
    </row>
    <row r="132" spans="1:29" s="25" customFormat="1" ht="20.100000000000001" customHeight="1" thickBot="1" x14ac:dyDescent="0.35">
      <c r="C132" s="75"/>
      <c r="D132" s="75"/>
      <c r="E132" s="75"/>
      <c r="F132" s="75"/>
      <c r="G132" s="75"/>
      <c r="H132" s="75"/>
      <c r="I132" s="75"/>
      <c r="J132" s="75"/>
      <c r="K132" s="75"/>
      <c r="L132" s="75"/>
      <c r="M132" s="75"/>
      <c r="N132" s="75"/>
      <c r="O132" s="75"/>
      <c r="P132" s="75"/>
      <c r="Q132" s="75"/>
      <c r="R132" s="75"/>
      <c r="S132" s="75"/>
      <c r="T132" s="75"/>
      <c r="U132" s="75"/>
      <c r="V132" s="77"/>
      <c r="W132" s="77"/>
      <c r="X132" s="75"/>
      <c r="Y132" s="75"/>
      <c r="Z132" s="75"/>
      <c r="AA132" s="77"/>
      <c r="AB132" s="75"/>
    </row>
    <row r="133" spans="1:29" s="25" customFormat="1" ht="20.100000000000001" customHeight="1" x14ac:dyDescent="0.3">
      <c r="B133" s="37" t="s">
        <v>161</v>
      </c>
      <c r="C133" s="35">
        <f>C109</f>
        <v>0</v>
      </c>
      <c r="D133" s="35">
        <f t="shared" ref="D133:U133" si="96">D109</f>
        <v>0</v>
      </c>
      <c r="E133" s="35">
        <f t="shared" si="96"/>
        <v>0</v>
      </c>
      <c r="F133" s="35">
        <f t="shared" si="96"/>
        <v>0</v>
      </c>
      <c r="G133" s="35">
        <f t="shared" si="96"/>
        <v>0</v>
      </c>
      <c r="H133" s="35">
        <f t="shared" si="96"/>
        <v>0</v>
      </c>
      <c r="I133" s="35">
        <f t="shared" si="96"/>
        <v>0</v>
      </c>
      <c r="J133" s="35">
        <f t="shared" si="96"/>
        <v>0</v>
      </c>
      <c r="K133" s="35">
        <f t="shared" si="96"/>
        <v>0</v>
      </c>
      <c r="L133" s="35">
        <f t="shared" si="96"/>
        <v>0</v>
      </c>
      <c r="M133" s="35">
        <f t="shared" si="96"/>
        <v>0</v>
      </c>
      <c r="N133" s="35">
        <f t="shared" si="96"/>
        <v>0</v>
      </c>
      <c r="O133" s="35">
        <f t="shared" si="96"/>
        <v>0</v>
      </c>
      <c r="P133" s="35">
        <f t="shared" si="96"/>
        <v>0</v>
      </c>
      <c r="Q133" s="35">
        <f t="shared" si="96"/>
        <v>0</v>
      </c>
      <c r="R133" s="35">
        <f t="shared" si="96"/>
        <v>0</v>
      </c>
      <c r="S133" s="35">
        <f t="shared" si="96"/>
        <v>0</v>
      </c>
      <c r="T133" s="35">
        <f t="shared" si="96"/>
        <v>0</v>
      </c>
      <c r="U133" s="35">
        <f t="shared" si="96"/>
        <v>0</v>
      </c>
      <c r="V133" s="77"/>
      <c r="W133" s="92" t="str">
        <f t="shared" ref="W133" si="97">B133</f>
        <v>금속관 입상차열</v>
      </c>
      <c r="X133" s="145">
        <f>X109</f>
        <v>0</v>
      </c>
      <c r="Y133" s="75"/>
      <c r="Z133" s="75"/>
      <c r="AA133" s="76" t="str">
        <f>W133</f>
        <v>금속관 입상차열</v>
      </c>
      <c r="AB133" s="35">
        <f>AB109</f>
        <v>0</v>
      </c>
    </row>
    <row r="134" spans="1:29" s="25" customFormat="1" ht="20.100000000000001" customHeight="1" x14ac:dyDescent="0.3">
      <c r="B134" s="37" t="s">
        <v>68</v>
      </c>
      <c r="C134" s="35">
        <f>SUM(C110:C112)</f>
        <v>0</v>
      </c>
      <c r="D134" s="35">
        <f t="shared" ref="D134:U134" si="98">SUM(D110:D112)</f>
        <v>0</v>
      </c>
      <c r="E134" s="35">
        <f t="shared" si="98"/>
        <v>0</v>
      </c>
      <c r="F134" s="35">
        <f t="shared" si="98"/>
        <v>0</v>
      </c>
      <c r="G134" s="35">
        <f t="shared" si="98"/>
        <v>0</v>
      </c>
      <c r="H134" s="35">
        <f t="shared" si="98"/>
        <v>0</v>
      </c>
      <c r="I134" s="35">
        <f t="shared" si="98"/>
        <v>0</v>
      </c>
      <c r="J134" s="35">
        <f t="shared" si="98"/>
        <v>0</v>
      </c>
      <c r="K134" s="35">
        <f t="shared" si="98"/>
        <v>0</v>
      </c>
      <c r="L134" s="35">
        <f t="shared" si="98"/>
        <v>0</v>
      </c>
      <c r="M134" s="35">
        <f t="shared" si="98"/>
        <v>0</v>
      </c>
      <c r="N134" s="35">
        <f t="shared" si="98"/>
        <v>0</v>
      </c>
      <c r="O134" s="35">
        <f t="shared" si="98"/>
        <v>0</v>
      </c>
      <c r="P134" s="35">
        <f t="shared" si="98"/>
        <v>0</v>
      </c>
      <c r="Q134" s="35">
        <f t="shared" si="98"/>
        <v>0</v>
      </c>
      <c r="R134" s="35">
        <f t="shared" si="98"/>
        <v>0</v>
      </c>
      <c r="S134" s="35">
        <f t="shared" si="98"/>
        <v>0</v>
      </c>
      <c r="T134" s="35">
        <f t="shared" si="98"/>
        <v>0</v>
      </c>
      <c r="U134" s="35">
        <f t="shared" si="98"/>
        <v>0</v>
      </c>
      <c r="V134" s="77"/>
      <c r="W134" s="93" t="str">
        <f t="shared" ref="W134:W138" si="99">B134</f>
        <v>금속관 입상</v>
      </c>
      <c r="X134" s="146">
        <f>SUM(X110:X112)</f>
        <v>0</v>
      </c>
      <c r="Y134" s="75"/>
      <c r="Z134" s="75"/>
      <c r="AA134" s="76" t="str">
        <f>W134</f>
        <v>금속관 입상</v>
      </c>
      <c r="AB134" s="35">
        <f>SUM(AB110:AB112)</f>
        <v>0</v>
      </c>
    </row>
    <row r="135" spans="1:29" s="25" customFormat="1" ht="20.100000000000001" customHeight="1" x14ac:dyDescent="0.3">
      <c r="B135" s="37" t="s">
        <v>69</v>
      </c>
      <c r="C135" s="35">
        <f t="shared" ref="C135:U135" si="100">SUM(C113:C115)</f>
        <v>0</v>
      </c>
      <c r="D135" s="35">
        <f t="shared" si="100"/>
        <v>0</v>
      </c>
      <c r="E135" s="35">
        <f t="shared" si="100"/>
        <v>0</v>
      </c>
      <c r="F135" s="35">
        <f t="shared" si="100"/>
        <v>0</v>
      </c>
      <c r="G135" s="35">
        <f t="shared" si="100"/>
        <v>0</v>
      </c>
      <c r="H135" s="35">
        <f t="shared" si="100"/>
        <v>0</v>
      </c>
      <c r="I135" s="35">
        <f t="shared" si="100"/>
        <v>0</v>
      </c>
      <c r="J135" s="35">
        <f t="shared" si="100"/>
        <v>0</v>
      </c>
      <c r="K135" s="35">
        <f t="shared" si="100"/>
        <v>0</v>
      </c>
      <c r="L135" s="35">
        <f t="shared" si="100"/>
        <v>0</v>
      </c>
      <c r="M135" s="35">
        <f t="shared" si="100"/>
        <v>0</v>
      </c>
      <c r="N135" s="35">
        <f t="shared" si="100"/>
        <v>0</v>
      </c>
      <c r="O135" s="35">
        <f t="shared" si="100"/>
        <v>0</v>
      </c>
      <c r="P135" s="35">
        <f t="shared" si="100"/>
        <v>0</v>
      </c>
      <c r="Q135" s="35">
        <f t="shared" si="100"/>
        <v>0</v>
      </c>
      <c r="R135" s="35">
        <f t="shared" si="100"/>
        <v>0</v>
      </c>
      <c r="S135" s="35">
        <f t="shared" si="100"/>
        <v>0</v>
      </c>
      <c r="T135" s="35">
        <f t="shared" si="100"/>
        <v>0</v>
      </c>
      <c r="U135" s="35">
        <f t="shared" si="100"/>
        <v>0</v>
      </c>
      <c r="V135" s="77"/>
      <c r="W135" s="93" t="str">
        <f t="shared" si="99"/>
        <v>금속관 벽체</v>
      </c>
      <c r="X135" s="146">
        <f>SUM(X113:X115)</f>
        <v>0</v>
      </c>
      <c r="Y135" s="75"/>
      <c r="Z135" s="75"/>
      <c r="AA135" s="76" t="str">
        <f t="shared" ref="AA135:AA138" si="101">W135</f>
        <v>금속관 벽체</v>
      </c>
      <c r="AB135" s="35">
        <f>SUM(AB113:AB115)</f>
        <v>0</v>
      </c>
      <c r="AC135" s="154"/>
    </row>
    <row r="136" spans="1:29" s="25" customFormat="1" ht="20.100000000000001" customHeight="1" x14ac:dyDescent="0.3">
      <c r="B136" s="37" t="s">
        <v>70</v>
      </c>
      <c r="C136" s="35">
        <f t="shared" ref="C136:U136" si="102">C116</f>
        <v>0</v>
      </c>
      <c r="D136" s="35">
        <f t="shared" si="102"/>
        <v>0</v>
      </c>
      <c r="E136" s="35">
        <f t="shared" si="102"/>
        <v>0</v>
      </c>
      <c r="F136" s="35">
        <f t="shared" si="102"/>
        <v>0</v>
      </c>
      <c r="G136" s="35">
        <f t="shared" si="102"/>
        <v>0</v>
      </c>
      <c r="H136" s="35">
        <f t="shared" si="102"/>
        <v>0</v>
      </c>
      <c r="I136" s="35">
        <f t="shared" si="102"/>
        <v>0</v>
      </c>
      <c r="J136" s="35">
        <f t="shared" si="102"/>
        <v>0</v>
      </c>
      <c r="K136" s="35">
        <f t="shared" si="102"/>
        <v>0</v>
      </c>
      <c r="L136" s="35">
        <f t="shared" si="102"/>
        <v>0</v>
      </c>
      <c r="M136" s="35">
        <f t="shared" si="102"/>
        <v>0</v>
      </c>
      <c r="N136" s="35">
        <f t="shared" si="102"/>
        <v>0</v>
      </c>
      <c r="O136" s="35">
        <f t="shared" si="102"/>
        <v>0</v>
      </c>
      <c r="P136" s="35">
        <f t="shared" si="102"/>
        <v>0</v>
      </c>
      <c r="Q136" s="35">
        <f t="shared" si="102"/>
        <v>0</v>
      </c>
      <c r="R136" s="35">
        <f t="shared" si="102"/>
        <v>0</v>
      </c>
      <c r="S136" s="35">
        <f t="shared" si="102"/>
        <v>0</v>
      </c>
      <c r="T136" s="35">
        <f t="shared" si="102"/>
        <v>0</v>
      </c>
      <c r="U136" s="35">
        <f t="shared" si="102"/>
        <v>0</v>
      </c>
      <c r="V136" s="77"/>
      <c r="W136" s="93" t="str">
        <f t="shared" si="99"/>
        <v>PVC 입상</v>
      </c>
      <c r="X136" s="146">
        <f>X116</f>
        <v>0</v>
      </c>
      <c r="Y136" s="75"/>
      <c r="Z136" s="75"/>
      <c r="AA136" s="76" t="str">
        <f t="shared" si="101"/>
        <v>PVC 입상</v>
      </c>
      <c r="AB136" s="35">
        <f>AB116</f>
        <v>0</v>
      </c>
      <c r="AC136" s="155"/>
    </row>
    <row r="137" spans="1:29" s="25" customFormat="1" ht="20.100000000000001" customHeight="1" x14ac:dyDescent="0.3">
      <c r="B137" s="37" t="s">
        <v>125</v>
      </c>
      <c r="C137" s="35">
        <f t="shared" ref="C137:U137" si="103">C117</f>
        <v>0</v>
      </c>
      <c r="D137" s="35">
        <f t="shared" si="103"/>
        <v>0</v>
      </c>
      <c r="E137" s="35">
        <f t="shared" si="103"/>
        <v>0</v>
      </c>
      <c r="F137" s="35">
        <f t="shared" si="103"/>
        <v>0</v>
      </c>
      <c r="G137" s="35">
        <f t="shared" si="103"/>
        <v>0</v>
      </c>
      <c r="H137" s="35">
        <f t="shared" si="103"/>
        <v>0</v>
      </c>
      <c r="I137" s="35">
        <f t="shared" si="103"/>
        <v>0</v>
      </c>
      <c r="J137" s="35">
        <f t="shared" si="103"/>
        <v>0</v>
      </c>
      <c r="K137" s="35">
        <f t="shared" si="103"/>
        <v>0</v>
      </c>
      <c r="L137" s="35">
        <f t="shared" si="103"/>
        <v>0</v>
      </c>
      <c r="M137" s="35">
        <f t="shared" si="103"/>
        <v>0</v>
      </c>
      <c r="N137" s="35">
        <f t="shared" si="103"/>
        <v>0</v>
      </c>
      <c r="O137" s="35">
        <f t="shared" si="103"/>
        <v>0</v>
      </c>
      <c r="P137" s="35">
        <f t="shared" si="103"/>
        <v>0</v>
      </c>
      <c r="Q137" s="35">
        <f t="shared" si="103"/>
        <v>0</v>
      </c>
      <c r="R137" s="35">
        <f t="shared" si="103"/>
        <v>0</v>
      </c>
      <c r="S137" s="35">
        <f t="shared" si="103"/>
        <v>0</v>
      </c>
      <c r="T137" s="35">
        <f t="shared" si="103"/>
        <v>0</v>
      </c>
      <c r="U137" s="35">
        <f t="shared" si="103"/>
        <v>0</v>
      </c>
      <c r="V137" s="77"/>
      <c r="W137" s="93" t="str">
        <f t="shared" si="99"/>
        <v>세대SP</v>
      </c>
      <c r="X137" s="146">
        <f>X117</f>
        <v>0</v>
      </c>
      <c r="Y137" s="75"/>
      <c r="Z137" s="75"/>
      <c r="AA137" s="76" t="str">
        <f t="shared" si="101"/>
        <v>세대SP</v>
      </c>
      <c r="AB137" s="35">
        <f>AB117</f>
        <v>0</v>
      </c>
    </row>
    <row r="138" spans="1:29" s="25" customFormat="1" ht="20.100000000000001" customHeight="1" x14ac:dyDescent="0.3">
      <c r="B138" s="37" t="s">
        <v>71</v>
      </c>
      <c r="C138" s="35">
        <f t="shared" ref="C138:U138" si="104">C118</f>
        <v>0</v>
      </c>
      <c r="D138" s="35">
        <f t="shared" si="104"/>
        <v>0</v>
      </c>
      <c r="E138" s="35">
        <f t="shared" si="104"/>
        <v>0</v>
      </c>
      <c r="F138" s="35">
        <f t="shared" si="104"/>
        <v>0</v>
      </c>
      <c r="G138" s="35">
        <f t="shared" si="104"/>
        <v>0</v>
      </c>
      <c r="H138" s="35">
        <f t="shared" si="104"/>
        <v>0</v>
      </c>
      <c r="I138" s="35">
        <f t="shared" si="104"/>
        <v>0</v>
      </c>
      <c r="J138" s="35">
        <f t="shared" si="104"/>
        <v>0</v>
      </c>
      <c r="K138" s="35">
        <f t="shared" si="104"/>
        <v>0</v>
      </c>
      <c r="L138" s="35">
        <f t="shared" si="104"/>
        <v>0</v>
      </c>
      <c r="M138" s="35">
        <f t="shared" si="104"/>
        <v>0</v>
      </c>
      <c r="N138" s="35">
        <f t="shared" si="104"/>
        <v>0</v>
      </c>
      <c r="O138" s="35">
        <f t="shared" si="104"/>
        <v>0</v>
      </c>
      <c r="P138" s="35">
        <f t="shared" si="104"/>
        <v>0</v>
      </c>
      <c r="Q138" s="35">
        <f t="shared" si="104"/>
        <v>0</v>
      </c>
      <c r="R138" s="35">
        <f t="shared" si="104"/>
        <v>0</v>
      </c>
      <c r="S138" s="35">
        <f t="shared" si="104"/>
        <v>0</v>
      </c>
      <c r="T138" s="35">
        <f t="shared" si="104"/>
        <v>0</v>
      </c>
      <c r="U138" s="35">
        <f t="shared" si="104"/>
        <v>0</v>
      </c>
      <c r="V138" s="77"/>
      <c r="W138" s="93" t="str">
        <f t="shared" si="99"/>
        <v>PVC 벽체</v>
      </c>
      <c r="X138" s="146">
        <f>X118</f>
        <v>0</v>
      </c>
      <c r="Y138" s="75"/>
      <c r="Z138" s="75"/>
      <c r="AA138" s="76" t="str">
        <f t="shared" si="101"/>
        <v>PVC 벽체</v>
      </c>
      <c r="AB138" s="35">
        <f>AB118</f>
        <v>0</v>
      </c>
      <c r="AC138" s="154"/>
    </row>
    <row r="139" spans="1:29" s="25" customFormat="1" ht="20.100000000000001" customHeight="1" x14ac:dyDescent="0.3">
      <c r="B139" s="37" t="s">
        <v>124</v>
      </c>
      <c r="C139" s="35">
        <f t="shared" ref="C139:U139" si="105">SUM(C119:C120)</f>
        <v>0</v>
      </c>
      <c r="D139" s="35">
        <f t="shared" si="105"/>
        <v>0</v>
      </c>
      <c r="E139" s="35">
        <f t="shared" si="105"/>
        <v>0</v>
      </c>
      <c r="F139" s="35">
        <f t="shared" si="105"/>
        <v>0</v>
      </c>
      <c r="G139" s="35">
        <f t="shared" si="105"/>
        <v>0</v>
      </c>
      <c r="H139" s="35">
        <f t="shared" si="105"/>
        <v>0</v>
      </c>
      <c r="I139" s="35">
        <f t="shared" si="105"/>
        <v>0</v>
      </c>
      <c r="J139" s="35">
        <f t="shared" si="105"/>
        <v>0</v>
      </c>
      <c r="K139" s="35">
        <f t="shared" si="105"/>
        <v>0</v>
      </c>
      <c r="L139" s="35">
        <f t="shared" si="105"/>
        <v>0</v>
      </c>
      <c r="M139" s="35">
        <f t="shared" si="105"/>
        <v>0</v>
      </c>
      <c r="N139" s="35">
        <f t="shared" si="105"/>
        <v>0</v>
      </c>
      <c r="O139" s="35">
        <f t="shared" si="105"/>
        <v>0</v>
      </c>
      <c r="P139" s="35">
        <f t="shared" si="105"/>
        <v>0</v>
      </c>
      <c r="Q139" s="35">
        <f t="shared" si="105"/>
        <v>0</v>
      </c>
      <c r="R139" s="35">
        <f t="shared" si="105"/>
        <v>0</v>
      </c>
      <c r="S139" s="35">
        <f t="shared" si="105"/>
        <v>0</v>
      </c>
      <c r="T139" s="35">
        <f t="shared" si="105"/>
        <v>0</v>
      </c>
      <c r="U139" s="35">
        <f t="shared" si="105"/>
        <v>0</v>
      </c>
      <c r="V139" s="77"/>
      <c r="W139" s="93" t="str">
        <f>B139</f>
        <v>대구경추가차열</v>
      </c>
      <c r="X139" s="146">
        <f>SUM(X119:X120)</f>
        <v>0</v>
      </c>
      <c r="Y139" s="75"/>
      <c r="Z139" s="75"/>
      <c r="AA139" s="76" t="str">
        <f>W139</f>
        <v>대구경추가차열</v>
      </c>
      <c r="AB139" s="35">
        <f>SUM(AB119:AB120)</f>
        <v>0</v>
      </c>
    </row>
    <row r="140" spans="1:29" s="25" customFormat="1" ht="20.100000000000001" customHeight="1" x14ac:dyDescent="0.3">
      <c r="B140" s="37" t="s">
        <v>119</v>
      </c>
      <c r="C140" s="35">
        <f t="shared" ref="C140:U140" si="106">SUM(C121:C122)</f>
        <v>0</v>
      </c>
      <c r="D140" s="35">
        <f t="shared" si="106"/>
        <v>0</v>
      </c>
      <c r="E140" s="35">
        <f t="shared" si="106"/>
        <v>0</v>
      </c>
      <c r="F140" s="35">
        <f t="shared" si="106"/>
        <v>0</v>
      </c>
      <c r="G140" s="35">
        <f t="shared" si="106"/>
        <v>0</v>
      </c>
      <c r="H140" s="35">
        <f t="shared" si="106"/>
        <v>0</v>
      </c>
      <c r="I140" s="35">
        <f t="shared" si="106"/>
        <v>0</v>
      </c>
      <c r="J140" s="35">
        <f t="shared" si="106"/>
        <v>0</v>
      </c>
      <c r="K140" s="35">
        <f t="shared" si="106"/>
        <v>0</v>
      </c>
      <c r="L140" s="35">
        <f t="shared" si="106"/>
        <v>0</v>
      </c>
      <c r="M140" s="35">
        <f t="shared" si="106"/>
        <v>0</v>
      </c>
      <c r="N140" s="35">
        <f t="shared" si="106"/>
        <v>0</v>
      </c>
      <c r="O140" s="35">
        <f t="shared" si="106"/>
        <v>0</v>
      </c>
      <c r="P140" s="35">
        <f t="shared" si="106"/>
        <v>0</v>
      </c>
      <c r="Q140" s="35">
        <f t="shared" si="106"/>
        <v>0</v>
      </c>
      <c r="R140" s="35">
        <f t="shared" si="106"/>
        <v>0</v>
      </c>
      <c r="S140" s="35">
        <f t="shared" si="106"/>
        <v>0</v>
      </c>
      <c r="T140" s="35">
        <f t="shared" si="106"/>
        <v>0</v>
      </c>
      <c r="U140" s="35">
        <f t="shared" si="106"/>
        <v>0</v>
      </c>
      <c r="V140" s="77"/>
      <c r="W140" s="93" t="str">
        <f>B140</f>
        <v>실란트마감</v>
      </c>
      <c r="X140" s="146">
        <f>SUM(X121:X122)</f>
        <v>0</v>
      </c>
      <c r="Y140" s="75"/>
      <c r="Z140" s="75"/>
      <c r="AA140" s="76" t="str">
        <f>W140</f>
        <v>실란트마감</v>
      </c>
      <c r="AB140" s="35">
        <f>SUM(AB121:AB122)</f>
        <v>0</v>
      </c>
    </row>
    <row r="141" spans="1:29" s="25" customFormat="1" ht="20.100000000000001" customHeight="1" x14ac:dyDescent="0.3">
      <c r="B141" s="37" t="s">
        <v>118</v>
      </c>
      <c r="C141" s="35">
        <f t="shared" ref="C141:U141" si="107">C123</f>
        <v>0</v>
      </c>
      <c r="D141" s="35">
        <f t="shared" si="107"/>
        <v>0</v>
      </c>
      <c r="E141" s="35">
        <f t="shared" si="107"/>
        <v>0</v>
      </c>
      <c r="F141" s="35">
        <f t="shared" si="107"/>
        <v>0</v>
      </c>
      <c r="G141" s="35">
        <f t="shared" si="107"/>
        <v>0</v>
      </c>
      <c r="H141" s="35">
        <f t="shared" si="107"/>
        <v>0</v>
      </c>
      <c r="I141" s="35">
        <f t="shared" si="107"/>
        <v>0</v>
      </c>
      <c r="J141" s="35">
        <f t="shared" si="107"/>
        <v>0</v>
      </c>
      <c r="K141" s="35">
        <f t="shared" si="107"/>
        <v>0</v>
      </c>
      <c r="L141" s="35">
        <f t="shared" si="107"/>
        <v>0</v>
      </c>
      <c r="M141" s="35">
        <f t="shared" si="107"/>
        <v>0</v>
      </c>
      <c r="N141" s="35">
        <f t="shared" si="107"/>
        <v>0</v>
      </c>
      <c r="O141" s="35">
        <f t="shared" si="107"/>
        <v>0</v>
      </c>
      <c r="P141" s="35">
        <f t="shared" si="107"/>
        <v>0</v>
      </c>
      <c r="Q141" s="35">
        <f t="shared" si="107"/>
        <v>0</v>
      </c>
      <c r="R141" s="35">
        <f t="shared" si="107"/>
        <v>0</v>
      </c>
      <c r="S141" s="35">
        <f t="shared" si="107"/>
        <v>0</v>
      </c>
      <c r="T141" s="35">
        <f t="shared" si="107"/>
        <v>0</v>
      </c>
      <c r="U141" s="35">
        <f t="shared" si="107"/>
        <v>0</v>
      </c>
      <c r="V141" s="77"/>
      <c r="W141" s="93" t="str">
        <f>B141</f>
        <v>슬리브</v>
      </c>
      <c r="X141" s="146">
        <f>X123</f>
        <v>0</v>
      </c>
      <c r="Y141" s="75"/>
      <c r="Z141" s="75"/>
      <c r="AA141" s="76" t="str">
        <f>W141</f>
        <v>슬리브</v>
      </c>
      <c r="AB141" s="35">
        <f>AB123</f>
        <v>0</v>
      </c>
    </row>
    <row r="142" spans="1:29" s="25" customFormat="1" ht="20.100000000000001" customHeight="1" x14ac:dyDescent="0.3">
      <c r="A142" s="183" t="s">
        <v>80</v>
      </c>
      <c r="B142" s="37" t="s">
        <v>130</v>
      </c>
      <c r="C142" s="35">
        <f t="shared" ref="C142:U142" si="108">SUM(C124:C125)</f>
        <v>0</v>
      </c>
      <c r="D142" s="35">
        <f t="shared" si="108"/>
        <v>0</v>
      </c>
      <c r="E142" s="35">
        <f t="shared" si="108"/>
        <v>0</v>
      </c>
      <c r="F142" s="35">
        <f t="shared" si="108"/>
        <v>0</v>
      </c>
      <c r="G142" s="35">
        <f t="shared" si="108"/>
        <v>0</v>
      </c>
      <c r="H142" s="35">
        <f t="shared" si="108"/>
        <v>0</v>
      </c>
      <c r="I142" s="35">
        <f t="shared" si="108"/>
        <v>0</v>
      </c>
      <c r="J142" s="35">
        <f t="shared" si="108"/>
        <v>0</v>
      </c>
      <c r="K142" s="35">
        <f t="shared" si="108"/>
        <v>0</v>
      </c>
      <c r="L142" s="35">
        <f t="shared" si="108"/>
        <v>0</v>
      </c>
      <c r="M142" s="35">
        <f t="shared" si="108"/>
        <v>0</v>
      </c>
      <c r="N142" s="35">
        <f t="shared" si="108"/>
        <v>0</v>
      </c>
      <c r="O142" s="35">
        <f t="shared" si="108"/>
        <v>0</v>
      </c>
      <c r="P142" s="35">
        <f t="shared" si="108"/>
        <v>0</v>
      </c>
      <c r="Q142" s="35">
        <f t="shared" si="108"/>
        <v>0</v>
      </c>
      <c r="R142" s="35">
        <f t="shared" si="108"/>
        <v>0</v>
      </c>
      <c r="S142" s="35">
        <f t="shared" si="108"/>
        <v>0</v>
      </c>
      <c r="T142" s="35">
        <f t="shared" si="108"/>
        <v>0</v>
      </c>
      <c r="U142" s="35">
        <f t="shared" si="108"/>
        <v>0</v>
      </c>
      <c r="V142" s="135"/>
      <c r="W142" s="93" t="str">
        <f t="shared" ref="W142:W147" si="109">B142</f>
        <v>덕트입상</v>
      </c>
      <c r="X142" s="146">
        <f>SUM(X124:X125)</f>
        <v>0</v>
      </c>
      <c r="Y142" s="75"/>
      <c r="Z142" s="135"/>
      <c r="AA142" s="76" t="str">
        <f t="shared" ref="AA142:AA147" si="110">W142</f>
        <v>덕트입상</v>
      </c>
      <c r="AB142" s="35">
        <f>SUM(AB124:AB125)</f>
        <v>0</v>
      </c>
    </row>
    <row r="143" spans="1:29" s="25" customFormat="1" ht="20.100000000000001" customHeight="1" x14ac:dyDescent="0.3">
      <c r="A143" s="184"/>
      <c r="B143" s="37" t="s">
        <v>131</v>
      </c>
      <c r="C143" s="35">
        <f t="shared" ref="C143:U143" si="111">SUM(C126:C127)</f>
        <v>0</v>
      </c>
      <c r="D143" s="35">
        <f t="shared" si="111"/>
        <v>0</v>
      </c>
      <c r="E143" s="35">
        <f t="shared" si="111"/>
        <v>0</v>
      </c>
      <c r="F143" s="35">
        <f t="shared" si="111"/>
        <v>0</v>
      </c>
      <c r="G143" s="35">
        <f t="shared" si="111"/>
        <v>0</v>
      </c>
      <c r="H143" s="35">
        <f t="shared" si="111"/>
        <v>0</v>
      </c>
      <c r="I143" s="35">
        <f t="shared" si="111"/>
        <v>0</v>
      </c>
      <c r="J143" s="35">
        <f t="shared" si="111"/>
        <v>0</v>
      </c>
      <c r="K143" s="35">
        <f t="shared" si="111"/>
        <v>0</v>
      </c>
      <c r="L143" s="35">
        <f t="shared" si="111"/>
        <v>0</v>
      </c>
      <c r="M143" s="35">
        <f t="shared" si="111"/>
        <v>0</v>
      </c>
      <c r="N143" s="35">
        <f t="shared" si="111"/>
        <v>0</v>
      </c>
      <c r="O143" s="35">
        <f t="shared" si="111"/>
        <v>0</v>
      </c>
      <c r="P143" s="35">
        <f t="shared" si="111"/>
        <v>0</v>
      </c>
      <c r="Q143" s="35">
        <f t="shared" si="111"/>
        <v>0</v>
      </c>
      <c r="R143" s="35">
        <f t="shared" si="111"/>
        <v>0</v>
      </c>
      <c r="S143" s="35">
        <f t="shared" si="111"/>
        <v>0</v>
      </c>
      <c r="T143" s="35">
        <f t="shared" si="111"/>
        <v>0</v>
      </c>
      <c r="U143" s="35">
        <f t="shared" si="111"/>
        <v>0</v>
      </c>
      <c r="V143" s="135"/>
      <c r="W143" s="93" t="str">
        <f t="shared" si="109"/>
        <v>덕트벽체</v>
      </c>
      <c r="X143" s="146">
        <f>SUM(X126:X127)</f>
        <v>0</v>
      </c>
      <c r="Y143" s="75"/>
      <c r="Z143" s="135"/>
      <c r="AA143" s="76" t="str">
        <f t="shared" si="110"/>
        <v>덕트벽체</v>
      </c>
      <c r="AB143" s="35">
        <f>SUM(AB126:AB127)</f>
        <v>0</v>
      </c>
    </row>
    <row r="144" spans="1:29" s="25" customFormat="1" ht="20.100000000000001" customHeight="1" x14ac:dyDescent="0.3">
      <c r="A144" s="184"/>
      <c r="B144" s="37" t="s">
        <v>126</v>
      </c>
      <c r="C144" s="35">
        <f t="shared" ref="C144:U144" si="112">C128</f>
        <v>0</v>
      </c>
      <c r="D144" s="35">
        <f t="shared" si="112"/>
        <v>0</v>
      </c>
      <c r="E144" s="35">
        <f t="shared" si="112"/>
        <v>0</v>
      </c>
      <c r="F144" s="35">
        <f t="shared" si="112"/>
        <v>0</v>
      </c>
      <c r="G144" s="35">
        <f t="shared" si="112"/>
        <v>0</v>
      </c>
      <c r="H144" s="35">
        <f t="shared" si="112"/>
        <v>0</v>
      </c>
      <c r="I144" s="35">
        <f t="shared" si="112"/>
        <v>0</v>
      </c>
      <c r="J144" s="35">
        <f t="shared" si="112"/>
        <v>0</v>
      </c>
      <c r="K144" s="35">
        <f t="shared" si="112"/>
        <v>0</v>
      </c>
      <c r="L144" s="35">
        <f t="shared" si="112"/>
        <v>0</v>
      </c>
      <c r="M144" s="35">
        <f t="shared" si="112"/>
        <v>0</v>
      </c>
      <c r="N144" s="35">
        <f t="shared" si="112"/>
        <v>0</v>
      </c>
      <c r="O144" s="35">
        <f t="shared" si="112"/>
        <v>0</v>
      </c>
      <c r="P144" s="35">
        <f t="shared" si="112"/>
        <v>0</v>
      </c>
      <c r="Q144" s="35">
        <f t="shared" si="112"/>
        <v>0</v>
      </c>
      <c r="R144" s="35">
        <f t="shared" si="112"/>
        <v>0</v>
      </c>
      <c r="S144" s="35">
        <f t="shared" si="112"/>
        <v>0</v>
      </c>
      <c r="T144" s="35">
        <f t="shared" si="112"/>
        <v>0</v>
      </c>
      <c r="U144" s="35">
        <f t="shared" si="112"/>
        <v>0</v>
      </c>
      <c r="V144" s="135"/>
      <c r="W144" s="93" t="str">
        <f t="shared" si="109"/>
        <v>댐퍼팽창테이프</v>
      </c>
      <c r="X144" s="146">
        <f>X128</f>
        <v>0</v>
      </c>
      <c r="Y144" s="75"/>
      <c r="Z144" s="135"/>
      <c r="AA144" s="76" t="str">
        <f t="shared" si="110"/>
        <v>댐퍼팽창테이프</v>
      </c>
      <c r="AB144" s="35">
        <f>AB128</f>
        <v>0</v>
      </c>
    </row>
    <row r="145" spans="1:28" s="25" customFormat="1" ht="20.100000000000001" customHeight="1" x14ac:dyDescent="0.3">
      <c r="A145" s="184"/>
      <c r="B145" s="37" t="s">
        <v>127</v>
      </c>
      <c r="C145" s="35">
        <f t="shared" ref="C145:U145" si="113">C129</f>
        <v>0</v>
      </c>
      <c r="D145" s="35">
        <f t="shared" si="113"/>
        <v>0</v>
      </c>
      <c r="E145" s="35">
        <f t="shared" si="113"/>
        <v>0</v>
      </c>
      <c r="F145" s="35">
        <f t="shared" si="113"/>
        <v>0</v>
      </c>
      <c r="G145" s="35">
        <f t="shared" si="113"/>
        <v>0</v>
      </c>
      <c r="H145" s="35">
        <f t="shared" si="113"/>
        <v>0</v>
      </c>
      <c r="I145" s="35">
        <f t="shared" si="113"/>
        <v>0</v>
      </c>
      <c r="J145" s="35">
        <f t="shared" si="113"/>
        <v>0</v>
      </c>
      <c r="K145" s="35">
        <f t="shared" si="113"/>
        <v>0</v>
      </c>
      <c r="L145" s="35">
        <f t="shared" si="113"/>
        <v>0</v>
      </c>
      <c r="M145" s="35">
        <f t="shared" si="113"/>
        <v>0</v>
      </c>
      <c r="N145" s="35">
        <f t="shared" si="113"/>
        <v>0</v>
      </c>
      <c r="O145" s="35">
        <f t="shared" si="113"/>
        <v>0</v>
      </c>
      <c r="P145" s="35">
        <f t="shared" si="113"/>
        <v>0</v>
      </c>
      <c r="Q145" s="35">
        <f t="shared" si="113"/>
        <v>0</v>
      </c>
      <c r="R145" s="35">
        <f t="shared" si="113"/>
        <v>0</v>
      </c>
      <c r="S145" s="35">
        <f t="shared" si="113"/>
        <v>0</v>
      </c>
      <c r="T145" s="35">
        <f t="shared" si="113"/>
        <v>0</v>
      </c>
      <c r="U145" s="35">
        <f t="shared" si="113"/>
        <v>0</v>
      </c>
      <c r="V145" s="135"/>
      <c r="W145" s="93" t="str">
        <f t="shared" si="109"/>
        <v>덕트마감</v>
      </c>
      <c r="X145" s="146">
        <f>X129</f>
        <v>0</v>
      </c>
      <c r="Y145" s="75"/>
      <c r="Z145" s="135"/>
      <c r="AA145" s="76" t="str">
        <f t="shared" si="110"/>
        <v>덕트마감</v>
      </c>
      <c r="AB145" s="35">
        <f>AB129</f>
        <v>0</v>
      </c>
    </row>
    <row r="146" spans="1:28" s="25" customFormat="1" ht="20.100000000000001" customHeight="1" x14ac:dyDescent="0.3">
      <c r="A146" s="184"/>
      <c r="B146" s="37" t="s">
        <v>128</v>
      </c>
      <c r="C146" s="35">
        <f t="shared" ref="C146:U146" si="114">C130</f>
        <v>0</v>
      </c>
      <c r="D146" s="35">
        <f t="shared" si="114"/>
        <v>0</v>
      </c>
      <c r="E146" s="35">
        <f t="shared" si="114"/>
        <v>0</v>
      </c>
      <c r="F146" s="35">
        <f t="shared" si="114"/>
        <v>0</v>
      </c>
      <c r="G146" s="35">
        <f t="shared" si="114"/>
        <v>0</v>
      </c>
      <c r="H146" s="35">
        <f t="shared" si="114"/>
        <v>0</v>
      </c>
      <c r="I146" s="35">
        <f t="shared" si="114"/>
        <v>0</v>
      </c>
      <c r="J146" s="35">
        <f t="shared" si="114"/>
        <v>0</v>
      </c>
      <c r="K146" s="35">
        <f t="shared" si="114"/>
        <v>0</v>
      </c>
      <c r="L146" s="35">
        <f t="shared" si="114"/>
        <v>0</v>
      </c>
      <c r="M146" s="35">
        <f t="shared" si="114"/>
        <v>0</v>
      </c>
      <c r="N146" s="35">
        <f t="shared" si="114"/>
        <v>0</v>
      </c>
      <c r="O146" s="35">
        <f t="shared" si="114"/>
        <v>0</v>
      </c>
      <c r="P146" s="35">
        <f t="shared" si="114"/>
        <v>0</v>
      </c>
      <c r="Q146" s="35">
        <f t="shared" si="114"/>
        <v>0</v>
      </c>
      <c r="R146" s="35">
        <f t="shared" si="114"/>
        <v>0</v>
      </c>
      <c r="S146" s="35">
        <f t="shared" si="114"/>
        <v>0</v>
      </c>
      <c r="T146" s="35">
        <f t="shared" si="114"/>
        <v>0</v>
      </c>
      <c r="U146" s="35">
        <f t="shared" si="114"/>
        <v>0</v>
      </c>
      <c r="V146" s="135"/>
      <c r="W146" s="93" t="str">
        <f t="shared" si="109"/>
        <v>오픈구</v>
      </c>
      <c r="X146" s="146">
        <f>X130</f>
        <v>0</v>
      </c>
      <c r="Y146" s="75"/>
      <c r="Z146" s="135"/>
      <c r="AA146" s="76" t="str">
        <f t="shared" si="110"/>
        <v>오픈구</v>
      </c>
      <c r="AB146" s="35">
        <f>AB130</f>
        <v>0</v>
      </c>
    </row>
    <row r="147" spans="1:28" s="25" customFormat="1" ht="20.100000000000001" customHeight="1" thickBot="1" x14ac:dyDescent="0.35">
      <c r="A147" s="185"/>
      <c r="B147" s="37" t="s">
        <v>129</v>
      </c>
      <c r="C147" s="35">
        <f t="shared" ref="C147:U147" si="115">C131</f>
        <v>0</v>
      </c>
      <c r="D147" s="35">
        <f t="shared" si="115"/>
        <v>0</v>
      </c>
      <c r="E147" s="35">
        <f t="shared" si="115"/>
        <v>0</v>
      </c>
      <c r="F147" s="35">
        <f t="shared" si="115"/>
        <v>0</v>
      </c>
      <c r="G147" s="35">
        <f t="shared" si="115"/>
        <v>0</v>
      </c>
      <c r="H147" s="35">
        <f t="shared" si="115"/>
        <v>0</v>
      </c>
      <c r="I147" s="35">
        <f t="shared" si="115"/>
        <v>0</v>
      </c>
      <c r="J147" s="35">
        <f t="shared" si="115"/>
        <v>0</v>
      </c>
      <c r="K147" s="35">
        <f t="shared" si="115"/>
        <v>0</v>
      </c>
      <c r="L147" s="35">
        <f t="shared" si="115"/>
        <v>0</v>
      </c>
      <c r="M147" s="35">
        <f t="shared" si="115"/>
        <v>0</v>
      </c>
      <c r="N147" s="35">
        <f t="shared" si="115"/>
        <v>0</v>
      </c>
      <c r="O147" s="35">
        <f t="shared" si="115"/>
        <v>0</v>
      </c>
      <c r="P147" s="35">
        <f t="shared" si="115"/>
        <v>0</v>
      </c>
      <c r="Q147" s="35">
        <f t="shared" si="115"/>
        <v>0</v>
      </c>
      <c r="R147" s="35">
        <f t="shared" si="115"/>
        <v>0</v>
      </c>
      <c r="S147" s="35">
        <f t="shared" si="115"/>
        <v>0</v>
      </c>
      <c r="T147" s="35">
        <f t="shared" si="115"/>
        <v>0</v>
      </c>
      <c r="U147" s="35">
        <f t="shared" si="115"/>
        <v>0</v>
      </c>
      <c r="V147" s="135"/>
      <c r="W147" s="147" t="str">
        <f t="shared" si="109"/>
        <v>차열재마감</v>
      </c>
      <c r="X147" s="148">
        <f>X131</f>
        <v>0</v>
      </c>
      <c r="Y147" s="75"/>
      <c r="Z147" s="135"/>
      <c r="AA147" s="76" t="str">
        <f t="shared" si="110"/>
        <v>차열재마감</v>
      </c>
      <c r="AB147" s="35">
        <f>AB131</f>
        <v>0</v>
      </c>
    </row>
    <row r="148" spans="1:28" s="25" customFormat="1" ht="20.100000000000001" customHeight="1" x14ac:dyDescent="0.3">
      <c r="C148" s="75"/>
      <c r="D148" s="75"/>
      <c r="E148" s="75"/>
      <c r="F148" s="75"/>
      <c r="G148" s="75"/>
      <c r="H148" s="75"/>
      <c r="I148" s="75"/>
      <c r="J148" s="75"/>
      <c r="K148" s="75"/>
      <c r="L148" s="75"/>
      <c r="M148" s="75"/>
      <c r="N148" s="75"/>
      <c r="O148" s="75"/>
      <c r="P148" s="75"/>
      <c r="Q148" s="75"/>
      <c r="R148" s="75"/>
      <c r="S148" s="75"/>
      <c r="T148" s="75"/>
      <c r="U148" s="75"/>
      <c r="V148" s="77"/>
      <c r="W148" s="77"/>
      <c r="X148" s="75"/>
      <c r="Y148" s="75"/>
      <c r="Z148" s="75"/>
      <c r="AA148" s="77"/>
      <c r="AB148" s="75"/>
    </row>
    <row r="149" spans="1:28" ht="20.100000000000001" customHeight="1" thickBot="1" x14ac:dyDescent="0.35">
      <c r="A149" s="142" t="s">
        <v>132</v>
      </c>
      <c r="B149" s="137"/>
      <c r="C149" s="138"/>
      <c r="D149" s="138"/>
      <c r="E149" s="138"/>
      <c r="F149" s="138"/>
      <c r="G149" s="138"/>
      <c r="H149" s="138"/>
      <c r="I149" s="138"/>
      <c r="J149" s="138"/>
      <c r="K149" s="138"/>
      <c r="L149" s="138"/>
      <c r="M149" s="138"/>
      <c r="N149" s="138"/>
      <c r="O149" s="138"/>
      <c r="P149" s="138"/>
      <c r="Q149" s="138"/>
      <c r="R149" s="138"/>
      <c r="S149" s="138"/>
      <c r="T149" s="138"/>
      <c r="U149" s="138"/>
      <c r="V149" s="138"/>
      <c r="W149" s="138"/>
      <c r="X149" s="138"/>
      <c r="Y149" s="138"/>
      <c r="Z149" s="138"/>
      <c r="AA149" s="138"/>
      <c r="AB149" s="138"/>
    </row>
    <row r="150" spans="1:28" s="25" customFormat="1" ht="20.100000000000001" customHeight="1" x14ac:dyDescent="0.3">
      <c r="B150" s="37" t="s">
        <v>162</v>
      </c>
      <c r="C150" s="35">
        <f>C109</f>
        <v>0</v>
      </c>
      <c r="D150" s="35">
        <f t="shared" ref="D150:U150" si="116">D109</f>
        <v>0</v>
      </c>
      <c r="E150" s="35">
        <f t="shared" si="116"/>
        <v>0</v>
      </c>
      <c r="F150" s="35">
        <f t="shared" si="116"/>
        <v>0</v>
      </c>
      <c r="G150" s="35">
        <f t="shared" si="116"/>
        <v>0</v>
      </c>
      <c r="H150" s="35">
        <f t="shared" si="116"/>
        <v>0</v>
      </c>
      <c r="I150" s="35">
        <f t="shared" si="116"/>
        <v>0</v>
      </c>
      <c r="J150" s="35">
        <f t="shared" si="116"/>
        <v>0</v>
      </c>
      <c r="K150" s="35">
        <f t="shared" si="116"/>
        <v>0</v>
      </c>
      <c r="L150" s="35">
        <f t="shared" si="116"/>
        <v>0</v>
      </c>
      <c r="M150" s="35">
        <f t="shared" si="116"/>
        <v>0</v>
      </c>
      <c r="N150" s="35">
        <f t="shared" si="116"/>
        <v>0</v>
      </c>
      <c r="O150" s="35">
        <f t="shared" si="116"/>
        <v>0</v>
      </c>
      <c r="P150" s="35">
        <f t="shared" si="116"/>
        <v>0</v>
      </c>
      <c r="Q150" s="35">
        <f t="shared" si="116"/>
        <v>0</v>
      </c>
      <c r="R150" s="35">
        <f t="shared" si="116"/>
        <v>0</v>
      </c>
      <c r="S150" s="35">
        <f t="shared" si="116"/>
        <v>0</v>
      </c>
      <c r="T150" s="35">
        <f t="shared" si="116"/>
        <v>0</v>
      </c>
      <c r="U150" s="35">
        <f t="shared" si="116"/>
        <v>0</v>
      </c>
      <c r="V150" s="77"/>
      <c r="W150" s="92" t="str">
        <f t="shared" ref="W150" si="117">B150</f>
        <v>HB 금속관 입상차열</v>
      </c>
      <c r="X150" s="145">
        <f>X109</f>
        <v>0</v>
      </c>
      <c r="Y150" s="75"/>
      <c r="Z150" s="75"/>
      <c r="AA150" s="76" t="str">
        <f t="shared" ref="AA150" si="118">W150</f>
        <v>HB 금속관 입상차열</v>
      </c>
      <c r="AB150" s="35">
        <f>AB109</f>
        <v>0</v>
      </c>
    </row>
    <row r="151" spans="1:28" s="25" customFormat="1" ht="20.100000000000001" customHeight="1" x14ac:dyDescent="0.3">
      <c r="B151" s="37" t="s">
        <v>133</v>
      </c>
      <c r="C151" s="35">
        <f t="shared" ref="C151:U151" si="119">(C110+C112+C116)+(C113+C115+C118)*2</f>
        <v>0</v>
      </c>
      <c r="D151" s="35">
        <f t="shared" si="119"/>
        <v>0</v>
      </c>
      <c r="E151" s="35">
        <f t="shared" si="119"/>
        <v>0</v>
      </c>
      <c r="F151" s="35">
        <f t="shared" si="119"/>
        <v>0</v>
      </c>
      <c r="G151" s="35">
        <f t="shared" si="119"/>
        <v>0</v>
      </c>
      <c r="H151" s="35">
        <f t="shared" si="119"/>
        <v>0</v>
      </c>
      <c r="I151" s="35">
        <f t="shared" si="119"/>
        <v>0</v>
      </c>
      <c r="J151" s="35">
        <f t="shared" si="119"/>
        <v>0</v>
      </c>
      <c r="K151" s="35">
        <f t="shared" si="119"/>
        <v>0</v>
      </c>
      <c r="L151" s="35">
        <f t="shared" si="119"/>
        <v>0</v>
      </c>
      <c r="M151" s="35">
        <f t="shared" si="119"/>
        <v>0</v>
      </c>
      <c r="N151" s="35">
        <f t="shared" si="119"/>
        <v>0</v>
      </c>
      <c r="O151" s="35">
        <f t="shared" si="119"/>
        <v>0</v>
      </c>
      <c r="P151" s="35">
        <f t="shared" si="119"/>
        <v>0</v>
      </c>
      <c r="Q151" s="35">
        <f t="shared" si="119"/>
        <v>0</v>
      </c>
      <c r="R151" s="35">
        <f t="shared" si="119"/>
        <v>0</v>
      </c>
      <c r="S151" s="35">
        <f t="shared" si="119"/>
        <v>0</v>
      </c>
      <c r="T151" s="35">
        <f t="shared" si="119"/>
        <v>0</v>
      </c>
      <c r="U151" s="35">
        <f t="shared" si="119"/>
        <v>0</v>
      </c>
      <c r="V151" s="77"/>
      <c r="W151" s="93" t="str">
        <f t="shared" ref="W151:W155" si="120">B151</f>
        <v>HB 배관(소구경)</v>
      </c>
      <c r="X151" s="146">
        <f>(X110+X112+X116)+(X113+X115+X118)*2</f>
        <v>0</v>
      </c>
      <c r="Y151" s="75"/>
      <c r="Z151" s="75"/>
      <c r="AA151" s="76" t="str">
        <f t="shared" ref="AA151:AA156" si="121">W151</f>
        <v>HB 배관(소구경)</v>
      </c>
      <c r="AB151" s="35">
        <f>(AB110+AB112+AB116)+(AB113+AB115+AB118)*2</f>
        <v>0</v>
      </c>
    </row>
    <row r="152" spans="1:28" s="25" customFormat="1" ht="20.100000000000001" customHeight="1" x14ac:dyDescent="0.3">
      <c r="B152" s="37" t="s">
        <v>139</v>
      </c>
      <c r="C152" s="35">
        <f t="shared" ref="C152:U152" si="122">+(C111)+(C114)*2</f>
        <v>0</v>
      </c>
      <c r="D152" s="35">
        <f t="shared" si="122"/>
        <v>0</v>
      </c>
      <c r="E152" s="35">
        <f t="shared" si="122"/>
        <v>0</v>
      </c>
      <c r="F152" s="35">
        <f t="shared" si="122"/>
        <v>0</v>
      </c>
      <c r="G152" s="35">
        <f t="shared" si="122"/>
        <v>0</v>
      </c>
      <c r="H152" s="35">
        <f t="shared" si="122"/>
        <v>0</v>
      </c>
      <c r="I152" s="35">
        <f t="shared" si="122"/>
        <v>0</v>
      </c>
      <c r="J152" s="35">
        <f t="shared" si="122"/>
        <v>0</v>
      </c>
      <c r="K152" s="35">
        <f t="shared" si="122"/>
        <v>0</v>
      </c>
      <c r="L152" s="35">
        <f t="shared" si="122"/>
        <v>0</v>
      </c>
      <c r="M152" s="35">
        <f t="shared" si="122"/>
        <v>0</v>
      </c>
      <c r="N152" s="35">
        <f t="shared" si="122"/>
        <v>0</v>
      </c>
      <c r="O152" s="35">
        <f t="shared" si="122"/>
        <v>0</v>
      </c>
      <c r="P152" s="35">
        <f t="shared" si="122"/>
        <v>0</v>
      </c>
      <c r="Q152" s="35">
        <f t="shared" si="122"/>
        <v>0</v>
      </c>
      <c r="R152" s="35">
        <f t="shared" si="122"/>
        <v>0</v>
      </c>
      <c r="S152" s="35">
        <f t="shared" si="122"/>
        <v>0</v>
      </c>
      <c r="T152" s="35">
        <f t="shared" si="122"/>
        <v>0</v>
      </c>
      <c r="U152" s="35">
        <f t="shared" si="122"/>
        <v>0</v>
      </c>
      <c r="V152" s="77"/>
      <c r="W152" s="93" t="str">
        <f t="shared" si="120"/>
        <v>HB 배관(대구경)</v>
      </c>
      <c r="X152" s="146">
        <f>+(X111)+(X114)*2</f>
        <v>0</v>
      </c>
      <c r="Y152" s="75"/>
      <c r="Z152" s="75"/>
      <c r="AA152" s="76" t="str">
        <f t="shared" si="121"/>
        <v>HB 배관(대구경)</v>
      </c>
      <c r="AB152" s="35">
        <f>+(AB111)+(AB114)*2</f>
        <v>0</v>
      </c>
    </row>
    <row r="153" spans="1:28" s="25" customFormat="1" ht="20.100000000000001" customHeight="1" x14ac:dyDescent="0.3">
      <c r="B153" s="37" t="s">
        <v>138</v>
      </c>
      <c r="C153" s="35">
        <f t="shared" ref="C153:U153" si="123">+C117*2</f>
        <v>0</v>
      </c>
      <c r="D153" s="35">
        <f t="shared" si="123"/>
        <v>0</v>
      </c>
      <c r="E153" s="143">
        <f t="shared" si="123"/>
        <v>0</v>
      </c>
      <c r="F153" s="35">
        <f t="shared" si="123"/>
        <v>0</v>
      </c>
      <c r="G153" s="35">
        <f t="shared" si="123"/>
        <v>0</v>
      </c>
      <c r="H153" s="35">
        <f t="shared" si="123"/>
        <v>0</v>
      </c>
      <c r="I153" s="35">
        <f t="shared" si="123"/>
        <v>0</v>
      </c>
      <c r="J153" s="35">
        <f t="shared" si="123"/>
        <v>0</v>
      </c>
      <c r="K153" s="35">
        <f t="shared" si="123"/>
        <v>0</v>
      </c>
      <c r="L153" s="35">
        <f t="shared" si="123"/>
        <v>0</v>
      </c>
      <c r="M153" s="35">
        <f t="shared" si="123"/>
        <v>0</v>
      </c>
      <c r="N153" s="35">
        <f t="shared" si="123"/>
        <v>0</v>
      </c>
      <c r="O153" s="35">
        <f t="shared" si="123"/>
        <v>0</v>
      </c>
      <c r="P153" s="35">
        <f t="shared" si="123"/>
        <v>0</v>
      </c>
      <c r="Q153" s="35">
        <f t="shared" si="123"/>
        <v>0</v>
      </c>
      <c r="R153" s="35">
        <f t="shared" si="123"/>
        <v>0</v>
      </c>
      <c r="S153" s="35">
        <f t="shared" si="123"/>
        <v>0</v>
      </c>
      <c r="T153" s="35">
        <f t="shared" si="123"/>
        <v>0</v>
      </c>
      <c r="U153" s="35">
        <f t="shared" si="123"/>
        <v>0</v>
      </c>
      <c r="V153" s="77"/>
      <c r="W153" s="93" t="str">
        <f t="shared" si="120"/>
        <v>HB 세대SP</v>
      </c>
      <c r="X153" s="146">
        <f>+X117*2</f>
        <v>0</v>
      </c>
      <c r="Y153" s="75"/>
      <c r="Z153" s="75"/>
      <c r="AA153" s="76" t="str">
        <f t="shared" si="121"/>
        <v>HB 세대SP</v>
      </c>
      <c r="AB153" s="35">
        <f>+AB117*2</f>
        <v>0</v>
      </c>
    </row>
    <row r="154" spans="1:28" s="25" customFormat="1" ht="20.100000000000001" customHeight="1" x14ac:dyDescent="0.3">
      <c r="B154" s="37" t="s">
        <v>140</v>
      </c>
      <c r="C154" s="35">
        <f t="shared" ref="C154:U154" si="124">+C119+C120*2</f>
        <v>0</v>
      </c>
      <c r="D154" s="35">
        <f t="shared" si="124"/>
        <v>0</v>
      </c>
      <c r="E154" s="35">
        <f t="shared" si="124"/>
        <v>0</v>
      </c>
      <c r="F154" s="35">
        <f t="shared" si="124"/>
        <v>0</v>
      </c>
      <c r="G154" s="35">
        <f t="shared" si="124"/>
        <v>0</v>
      </c>
      <c r="H154" s="35">
        <f t="shared" si="124"/>
        <v>0</v>
      </c>
      <c r="I154" s="35">
        <f t="shared" si="124"/>
        <v>0</v>
      </c>
      <c r="J154" s="35">
        <f t="shared" si="124"/>
        <v>0</v>
      </c>
      <c r="K154" s="35">
        <f t="shared" si="124"/>
        <v>0</v>
      </c>
      <c r="L154" s="35">
        <f t="shared" si="124"/>
        <v>0</v>
      </c>
      <c r="M154" s="35">
        <f t="shared" si="124"/>
        <v>0</v>
      </c>
      <c r="N154" s="35">
        <f t="shared" si="124"/>
        <v>0</v>
      </c>
      <c r="O154" s="35">
        <f t="shared" si="124"/>
        <v>0</v>
      </c>
      <c r="P154" s="35">
        <f t="shared" si="124"/>
        <v>0</v>
      </c>
      <c r="Q154" s="35">
        <f t="shared" si="124"/>
        <v>0</v>
      </c>
      <c r="R154" s="35">
        <f t="shared" si="124"/>
        <v>0</v>
      </c>
      <c r="S154" s="35">
        <f t="shared" si="124"/>
        <v>0</v>
      </c>
      <c r="T154" s="35">
        <f t="shared" si="124"/>
        <v>0</v>
      </c>
      <c r="U154" s="35">
        <f t="shared" si="124"/>
        <v>0</v>
      </c>
      <c r="V154" s="77"/>
      <c r="W154" s="93" t="str">
        <f t="shared" ref="W154" si="125">B154</f>
        <v>HB 대구경추가차열</v>
      </c>
      <c r="X154" s="146">
        <f>+X119+X120*2</f>
        <v>0</v>
      </c>
      <c r="Y154" s="75"/>
      <c r="Z154" s="75"/>
      <c r="AA154" s="76" t="str">
        <f t="shared" si="121"/>
        <v>HB 대구경추가차열</v>
      </c>
      <c r="AB154" s="35">
        <f>+AB119+AB120*2</f>
        <v>0</v>
      </c>
    </row>
    <row r="155" spans="1:28" s="25" customFormat="1" ht="20.100000000000001" customHeight="1" x14ac:dyDescent="0.3">
      <c r="B155" s="37" t="s">
        <v>141</v>
      </c>
      <c r="C155" s="35">
        <f t="shared" ref="C155:U155" si="126">C121+C122*2</f>
        <v>0</v>
      </c>
      <c r="D155" s="35">
        <f t="shared" si="126"/>
        <v>0</v>
      </c>
      <c r="E155" s="35">
        <f t="shared" si="126"/>
        <v>0</v>
      </c>
      <c r="F155" s="35">
        <f t="shared" si="126"/>
        <v>0</v>
      </c>
      <c r="G155" s="35">
        <f t="shared" si="126"/>
        <v>0</v>
      </c>
      <c r="H155" s="35">
        <f t="shared" si="126"/>
        <v>0</v>
      </c>
      <c r="I155" s="35">
        <f t="shared" si="126"/>
        <v>0</v>
      </c>
      <c r="J155" s="35">
        <f t="shared" si="126"/>
        <v>0</v>
      </c>
      <c r="K155" s="35">
        <f t="shared" si="126"/>
        <v>0</v>
      </c>
      <c r="L155" s="35">
        <f t="shared" si="126"/>
        <v>0</v>
      </c>
      <c r="M155" s="35">
        <f t="shared" si="126"/>
        <v>0</v>
      </c>
      <c r="N155" s="35">
        <f t="shared" si="126"/>
        <v>0</v>
      </c>
      <c r="O155" s="35">
        <f t="shared" si="126"/>
        <v>0</v>
      </c>
      <c r="P155" s="35">
        <f t="shared" si="126"/>
        <v>0</v>
      </c>
      <c r="Q155" s="35">
        <f t="shared" si="126"/>
        <v>0</v>
      </c>
      <c r="R155" s="35">
        <f t="shared" si="126"/>
        <v>0</v>
      </c>
      <c r="S155" s="35">
        <f t="shared" si="126"/>
        <v>0</v>
      </c>
      <c r="T155" s="35">
        <f t="shared" si="126"/>
        <v>0</v>
      </c>
      <c r="U155" s="35">
        <f t="shared" si="126"/>
        <v>0</v>
      </c>
      <c r="V155" s="77"/>
      <c r="W155" s="93" t="str">
        <f t="shared" si="120"/>
        <v>HB 실란트마감</v>
      </c>
      <c r="X155" s="146">
        <f>X121+X122*2</f>
        <v>0</v>
      </c>
      <c r="Y155" s="75"/>
      <c r="Z155" s="75"/>
      <c r="AA155" s="76" t="str">
        <f t="shared" si="121"/>
        <v>HB 실란트마감</v>
      </c>
      <c r="AB155" s="35">
        <f>AB121+AB122*2</f>
        <v>0</v>
      </c>
    </row>
    <row r="156" spans="1:28" ht="20.100000000000001" customHeight="1" x14ac:dyDescent="0.3">
      <c r="A156" s="25"/>
      <c r="B156" s="37" t="s">
        <v>142</v>
      </c>
      <c r="C156" s="35">
        <f t="shared" ref="C156:U156" si="127">C123</f>
        <v>0</v>
      </c>
      <c r="D156" s="35">
        <f t="shared" si="127"/>
        <v>0</v>
      </c>
      <c r="E156" s="35">
        <f t="shared" si="127"/>
        <v>0</v>
      </c>
      <c r="F156" s="35">
        <f t="shared" si="127"/>
        <v>0</v>
      </c>
      <c r="G156" s="35">
        <f t="shared" si="127"/>
        <v>0</v>
      </c>
      <c r="H156" s="35">
        <f t="shared" si="127"/>
        <v>0</v>
      </c>
      <c r="I156" s="35">
        <f t="shared" si="127"/>
        <v>0</v>
      </c>
      <c r="J156" s="35">
        <f t="shared" si="127"/>
        <v>0</v>
      </c>
      <c r="K156" s="35">
        <f t="shared" si="127"/>
        <v>0</v>
      </c>
      <c r="L156" s="35">
        <f t="shared" si="127"/>
        <v>0</v>
      </c>
      <c r="M156" s="35">
        <f t="shared" si="127"/>
        <v>0</v>
      </c>
      <c r="N156" s="35">
        <f t="shared" si="127"/>
        <v>0</v>
      </c>
      <c r="O156" s="35">
        <f t="shared" si="127"/>
        <v>0</v>
      </c>
      <c r="P156" s="35">
        <f t="shared" si="127"/>
        <v>0</v>
      </c>
      <c r="Q156" s="35">
        <f t="shared" si="127"/>
        <v>0</v>
      </c>
      <c r="R156" s="35">
        <f t="shared" si="127"/>
        <v>0</v>
      </c>
      <c r="S156" s="35">
        <f t="shared" si="127"/>
        <v>0</v>
      </c>
      <c r="T156" s="35">
        <f t="shared" si="127"/>
        <v>0</v>
      </c>
      <c r="U156" s="35">
        <f t="shared" si="127"/>
        <v>0</v>
      </c>
      <c r="V156" s="77"/>
      <c r="W156" s="93" t="str">
        <f t="shared" ref="W156:W161" si="128">B156</f>
        <v>HB 슬리브</v>
      </c>
      <c r="X156" s="146">
        <f>X123</f>
        <v>0</v>
      </c>
      <c r="Y156" s="75"/>
      <c r="Z156" s="75"/>
      <c r="AA156" s="76" t="str">
        <f t="shared" si="121"/>
        <v>HB 슬리브</v>
      </c>
      <c r="AB156" s="35">
        <f>AB123</f>
        <v>0</v>
      </c>
    </row>
    <row r="157" spans="1:28" ht="20.100000000000001" customHeight="1" x14ac:dyDescent="0.3">
      <c r="A157" s="183" t="s">
        <v>80</v>
      </c>
      <c r="B157" s="37" t="s">
        <v>143</v>
      </c>
      <c r="C157" s="35">
        <f t="shared" ref="C157:U157" si="129">(C124+C125+C126+C127)*2</f>
        <v>0</v>
      </c>
      <c r="D157" s="35">
        <f t="shared" si="129"/>
        <v>0</v>
      </c>
      <c r="E157" s="35">
        <f t="shared" si="129"/>
        <v>0</v>
      </c>
      <c r="F157" s="35">
        <f t="shared" si="129"/>
        <v>0</v>
      </c>
      <c r="G157" s="35">
        <f t="shared" si="129"/>
        <v>0</v>
      </c>
      <c r="H157" s="35">
        <f t="shared" si="129"/>
        <v>0</v>
      </c>
      <c r="I157" s="35">
        <f t="shared" si="129"/>
        <v>0</v>
      </c>
      <c r="J157" s="35">
        <f t="shared" si="129"/>
        <v>0</v>
      </c>
      <c r="K157" s="35">
        <f t="shared" si="129"/>
        <v>0</v>
      </c>
      <c r="L157" s="35">
        <f t="shared" si="129"/>
        <v>0</v>
      </c>
      <c r="M157" s="35">
        <f t="shared" si="129"/>
        <v>0</v>
      </c>
      <c r="N157" s="35">
        <f t="shared" si="129"/>
        <v>0</v>
      </c>
      <c r="O157" s="35">
        <f t="shared" si="129"/>
        <v>0</v>
      </c>
      <c r="P157" s="35">
        <f t="shared" si="129"/>
        <v>0</v>
      </c>
      <c r="Q157" s="35">
        <f t="shared" si="129"/>
        <v>0</v>
      </c>
      <c r="R157" s="35">
        <f t="shared" si="129"/>
        <v>0</v>
      </c>
      <c r="S157" s="35">
        <f t="shared" si="129"/>
        <v>0</v>
      </c>
      <c r="T157" s="35">
        <f t="shared" si="129"/>
        <v>0</v>
      </c>
      <c r="U157" s="35">
        <f t="shared" si="129"/>
        <v>0</v>
      </c>
      <c r="V157" s="135"/>
      <c r="W157" s="93" t="str">
        <f t="shared" si="128"/>
        <v>HB 덕트</v>
      </c>
      <c r="X157" s="146">
        <f>(X124+X125+X126+X127)*2</f>
        <v>0</v>
      </c>
      <c r="Y157" s="75"/>
      <c r="Z157" s="135"/>
      <c r="AA157" s="76" t="str">
        <f t="shared" ref="AA157:AA161" si="130">W157</f>
        <v>HB 덕트</v>
      </c>
      <c r="AB157" s="35">
        <f>(AB124+AB125+AB126+AB127)*2</f>
        <v>0</v>
      </c>
    </row>
    <row r="158" spans="1:28" s="25" customFormat="1" ht="20.100000000000001" customHeight="1" x14ac:dyDescent="0.3">
      <c r="A158" s="184"/>
      <c r="B158" s="37" t="s">
        <v>144</v>
      </c>
      <c r="C158" s="35">
        <f t="shared" ref="C158:U158" si="131">+C128*2</f>
        <v>0</v>
      </c>
      <c r="D158" s="35">
        <f t="shared" si="131"/>
        <v>0</v>
      </c>
      <c r="E158" s="35">
        <f t="shared" si="131"/>
        <v>0</v>
      </c>
      <c r="F158" s="35">
        <f t="shared" si="131"/>
        <v>0</v>
      </c>
      <c r="G158" s="35">
        <f t="shared" si="131"/>
        <v>0</v>
      </c>
      <c r="H158" s="35">
        <f t="shared" si="131"/>
        <v>0</v>
      </c>
      <c r="I158" s="35">
        <f t="shared" si="131"/>
        <v>0</v>
      </c>
      <c r="J158" s="35">
        <f t="shared" si="131"/>
        <v>0</v>
      </c>
      <c r="K158" s="35">
        <f t="shared" si="131"/>
        <v>0</v>
      </c>
      <c r="L158" s="35">
        <f t="shared" si="131"/>
        <v>0</v>
      </c>
      <c r="M158" s="35">
        <f t="shared" si="131"/>
        <v>0</v>
      </c>
      <c r="N158" s="35">
        <f t="shared" si="131"/>
        <v>0</v>
      </c>
      <c r="O158" s="35">
        <f t="shared" si="131"/>
        <v>0</v>
      </c>
      <c r="P158" s="35">
        <f t="shared" si="131"/>
        <v>0</v>
      </c>
      <c r="Q158" s="35">
        <f t="shared" si="131"/>
        <v>0</v>
      </c>
      <c r="R158" s="35">
        <f t="shared" si="131"/>
        <v>0</v>
      </c>
      <c r="S158" s="35">
        <f t="shared" si="131"/>
        <v>0</v>
      </c>
      <c r="T158" s="35">
        <f t="shared" si="131"/>
        <v>0</v>
      </c>
      <c r="U158" s="35">
        <f t="shared" si="131"/>
        <v>0</v>
      </c>
      <c r="V158" s="135"/>
      <c r="W158" s="139" t="str">
        <f t="shared" ref="W158" si="132">B158</f>
        <v>HB 댐퍼팽창테이프</v>
      </c>
      <c r="X158" s="146">
        <f>+X128*2</f>
        <v>0</v>
      </c>
      <c r="Y158" s="75"/>
      <c r="Z158" s="135"/>
      <c r="AA158" s="141" t="str">
        <f t="shared" ref="AA158" si="133">W158</f>
        <v>HB 댐퍼팽창테이프</v>
      </c>
      <c r="AB158" s="35">
        <f>+AB128*2</f>
        <v>0</v>
      </c>
    </row>
    <row r="159" spans="1:28" ht="20.100000000000001" customHeight="1" x14ac:dyDescent="0.3">
      <c r="A159" s="184"/>
      <c r="B159" s="37" t="s">
        <v>145</v>
      </c>
      <c r="C159" s="35">
        <f>+C129*2</f>
        <v>0</v>
      </c>
      <c r="D159" s="35">
        <f t="shared" ref="D159:U159" si="134">+D129*2</f>
        <v>0</v>
      </c>
      <c r="E159" s="35">
        <f t="shared" si="134"/>
        <v>0</v>
      </c>
      <c r="F159" s="35">
        <f t="shared" si="134"/>
        <v>0</v>
      </c>
      <c r="G159" s="35">
        <f t="shared" si="134"/>
        <v>0</v>
      </c>
      <c r="H159" s="35">
        <f t="shared" si="134"/>
        <v>0</v>
      </c>
      <c r="I159" s="35">
        <f t="shared" si="134"/>
        <v>0</v>
      </c>
      <c r="J159" s="35">
        <f t="shared" si="134"/>
        <v>0</v>
      </c>
      <c r="K159" s="35">
        <f t="shared" si="134"/>
        <v>0</v>
      </c>
      <c r="L159" s="35">
        <f t="shared" si="134"/>
        <v>0</v>
      </c>
      <c r="M159" s="35">
        <f t="shared" si="134"/>
        <v>0</v>
      </c>
      <c r="N159" s="35">
        <f t="shared" si="134"/>
        <v>0</v>
      </c>
      <c r="O159" s="35">
        <f t="shared" si="134"/>
        <v>0</v>
      </c>
      <c r="P159" s="35">
        <f t="shared" si="134"/>
        <v>0</v>
      </c>
      <c r="Q159" s="35">
        <f t="shared" si="134"/>
        <v>0</v>
      </c>
      <c r="R159" s="35">
        <f t="shared" si="134"/>
        <v>0</v>
      </c>
      <c r="S159" s="35">
        <f t="shared" si="134"/>
        <v>0</v>
      </c>
      <c r="T159" s="35">
        <f t="shared" si="134"/>
        <v>0</v>
      </c>
      <c r="U159" s="35">
        <f t="shared" si="134"/>
        <v>0</v>
      </c>
      <c r="V159" s="135"/>
      <c r="W159" s="139" t="str">
        <f t="shared" si="128"/>
        <v>HB 덕트마감</v>
      </c>
      <c r="X159" s="146">
        <f>+X129*2</f>
        <v>0</v>
      </c>
      <c r="Y159" s="75"/>
      <c r="Z159" s="135"/>
      <c r="AA159" s="141" t="str">
        <f t="shared" si="130"/>
        <v>HB 덕트마감</v>
      </c>
      <c r="AB159" s="35">
        <f>+AB129*2</f>
        <v>0</v>
      </c>
    </row>
    <row r="160" spans="1:28" ht="20.100000000000001" customHeight="1" x14ac:dyDescent="0.3">
      <c r="A160" s="184"/>
      <c r="B160" s="37" t="s">
        <v>146</v>
      </c>
      <c r="C160" s="35">
        <f>+C130*2</f>
        <v>0</v>
      </c>
      <c r="D160" s="35">
        <f t="shared" ref="D160:U160" si="135">+D130*2</f>
        <v>0</v>
      </c>
      <c r="E160" s="35">
        <f t="shared" si="135"/>
        <v>0</v>
      </c>
      <c r="F160" s="35">
        <f t="shared" si="135"/>
        <v>0</v>
      </c>
      <c r="G160" s="35">
        <f t="shared" si="135"/>
        <v>0</v>
      </c>
      <c r="H160" s="35">
        <f t="shared" si="135"/>
        <v>0</v>
      </c>
      <c r="I160" s="35">
        <f t="shared" si="135"/>
        <v>0</v>
      </c>
      <c r="J160" s="35">
        <f t="shared" si="135"/>
        <v>0</v>
      </c>
      <c r="K160" s="35">
        <f t="shared" si="135"/>
        <v>0</v>
      </c>
      <c r="L160" s="35">
        <f t="shared" si="135"/>
        <v>0</v>
      </c>
      <c r="M160" s="35">
        <f t="shared" si="135"/>
        <v>0</v>
      </c>
      <c r="N160" s="35">
        <f t="shared" si="135"/>
        <v>0</v>
      </c>
      <c r="O160" s="35">
        <f t="shared" si="135"/>
        <v>0</v>
      </c>
      <c r="P160" s="35">
        <f t="shared" si="135"/>
        <v>0</v>
      </c>
      <c r="Q160" s="35">
        <f t="shared" si="135"/>
        <v>0</v>
      </c>
      <c r="R160" s="35">
        <f t="shared" si="135"/>
        <v>0</v>
      </c>
      <c r="S160" s="35">
        <f t="shared" si="135"/>
        <v>0</v>
      </c>
      <c r="T160" s="35">
        <f t="shared" si="135"/>
        <v>0</v>
      </c>
      <c r="U160" s="35">
        <f t="shared" si="135"/>
        <v>0</v>
      </c>
      <c r="V160" s="135"/>
      <c r="W160" s="93" t="str">
        <f t="shared" si="128"/>
        <v>HB 오픈구</v>
      </c>
      <c r="X160" s="146">
        <f>+X130*2</f>
        <v>0</v>
      </c>
      <c r="Y160" s="75"/>
      <c r="Z160" s="135"/>
      <c r="AA160" s="76" t="str">
        <f t="shared" si="130"/>
        <v>HB 오픈구</v>
      </c>
      <c r="AB160" s="35">
        <f>+AB130*2</f>
        <v>0</v>
      </c>
    </row>
    <row r="161" spans="1:28" ht="20.100000000000001" customHeight="1" thickBot="1" x14ac:dyDescent="0.35">
      <c r="A161" s="185"/>
      <c r="B161" s="37" t="s">
        <v>147</v>
      </c>
      <c r="C161" s="35">
        <f>+C131*2</f>
        <v>0</v>
      </c>
      <c r="D161" s="35">
        <f t="shared" ref="D161:U161" si="136">+D131*2</f>
        <v>0</v>
      </c>
      <c r="E161" s="35">
        <f t="shared" si="136"/>
        <v>0</v>
      </c>
      <c r="F161" s="35">
        <f t="shared" si="136"/>
        <v>0</v>
      </c>
      <c r="G161" s="35">
        <f t="shared" si="136"/>
        <v>0</v>
      </c>
      <c r="H161" s="35">
        <f t="shared" si="136"/>
        <v>0</v>
      </c>
      <c r="I161" s="35">
        <f t="shared" si="136"/>
        <v>0</v>
      </c>
      <c r="J161" s="35">
        <f t="shared" si="136"/>
        <v>0</v>
      </c>
      <c r="K161" s="35">
        <f t="shared" si="136"/>
        <v>0</v>
      </c>
      <c r="L161" s="35">
        <f t="shared" si="136"/>
        <v>0</v>
      </c>
      <c r="M161" s="35">
        <f t="shared" si="136"/>
        <v>0</v>
      </c>
      <c r="N161" s="35">
        <f t="shared" si="136"/>
        <v>0</v>
      </c>
      <c r="O161" s="35">
        <f t="shared" si="136"/>
        <v>0</v>
      </c>
      <c r="P161" s="35">
        <f t="shared" si="136"/>
        <v>0</v>
      </c>
      <c r="Q161" s="35">
        <f t="shared" si="136"/>
        <v>0</v>
      </c>
      <c r="R161" s="35">
        <f t="shared" si="136"/>
        <v>0</v>
      </c>
      <c r="S161" s="35">
        <f t="shared" si="136"/>
        <v>0</v>
      </c>
      <c r="T161" s="35">
        <f t="shared" si="136"/>
        <v>0</v>
      </c>
      <c r="U161" s="35">
        <f t="shared" si="136"/>
        <v>0</v>
      </c>
      <c r="V161" s="135"/>
      <c r="W161" s="140" t="str">
        <f t="shared" si="128"/>
        <v>HB 차열재마감</v>
      </c>
      <c r="X161" s="148">
        <f>+X131*2</f>
        <v>0</v>
      </c>
      <c r="Y161" s="75"/>
      <c r="Z161" s="135"/>
      <c r="AA161" s="76" t="str">
        <f t="shared" si="130"/>
        <v>HB 차열재마감</v>
      </c>
      <c r="AB161" s="35">
        <f>+AB131*2</f>
        <v>0</v>
      </c>
    </row>
  </sheetData>
  <mergeCells count="8">
    <mergeCell ref="AA2:AB2"/>
    <mergeCell ref="B2:B3"/>
    <mergeCell ref="A98:A105"/>
    <mergeCell ref="A124:A131"/>
    <mergeCell ref="A157:A161"/>
    <mergeCell ref="W2:X2"/>
    <mergeCell ref="C3:U3"/>
    <mergeCell ref="A142:A147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11"/>
  <sheetViews>
    <sheetView zoomScale="85" zoomScaleNormal="85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4" sqref="C4"/>
    </sheetView>
  </sheetViews>
  <sheetFormatPr defaultRowHeight="17.25" x14ac:dyDescent="0.3"/>
  <cols>
    <col min="1" max="1" width="10.625" style="25" customWidth="1"/>
    <col min="2" max="2" width="19.25" bestFit="1" customWidth="1"/>
    <col min="12" max="12" width="15.625" style="36" customWidth="1"/>
  </cols>
  <sheetData>
    <row r="1" spans="2:12" s="25" customFormat="1" ht="20.100000000000001" customHeight="1" x14ac:dyDescent="0.3">
      <c r="L1" s="36"/>
    </row>
    <row r="2" spans="2:12" ht="39.950000000000003" customHeight="1" thickBot="1" x14ac:dyDescent="0.35">
      <c r="B2" s="49" t="s">
        <v>48</v>
      </c>
      <c r="C2" s="25"/>
    </row>
    <row r="3" spans="2:12" s="25" customFormat="1" ht="20.100000000000001" customHeight="1" x14ac:dyDescent="0.3">
      <c r="B3" s="45" t="s">
        <v>76</v>
      </c>
      <c r="C3" s="45"/>
      <c r="D3" s="45"/>
      <c r="E3" s="45"/>
      <c r="F3" s="45"/>
      <c r="G3" s="45"/>
      <c r="H3" s="45"/>
      <c r="I3" s="45"/>
      <c r="J3" s="45"/>
      <c r="K3" s="50"/>
      <c r="L3" s="52">
        <f>SUM(C3:K3)</f>
        <v>0</v>
      </c>
    </row>
    <row r="4" spans="2:12" ht="30" customHeight="1" thickBot="1" x14ac:dyDescent="0.35">
      <c r="B4" s="32" t="s">
        <v>0</v>
      </c>
      <c r="C4" s="33"/>
      <c r="D4" s="33"/>
      <c r="E4" s="33"/>
      <c r="F4" s="33"/>
      <c r="G4" s="33"/>
      <c r="H4" s="33"/>
      <c r="I4" s="33"/>
      <c r="J4" s="33"/>
      <c r="K4" s="51"/>
      <c r="L4" s="53" t="s">
        <v>47</v>
      </c>
    </row>
    <row r="5" spans="2:12" ht="20.100000000000001" customHeight="1" thickTop="1" x14ac:dyDescent="0.3">
      <c r="B5" s="156" t="str">
        <f>집계표!B5</f>
        <v>금속관입상차열15</v>
      </c>
      <c r="C5" s="157">
        <v>0</v>
      </c>
      <c r="D5" s="157">
        <v>0</v>
      </c>
      <c r="E5" s="157">
        <v>0</v>
      </c>
      <c r="F5" s="157">
        <v>0</v>
      </c>
      <c r="G5" s="157">
        <v>0</v>
      </c>
      <c r="H5" s="157">
        <v>0</v>
      </c>
      <c r="I5" s="157">
        <v>0</v>
      </c>
      <c r="J5" s="157">
        <v>0</v>
      </c>
      <c r="K5" s="158">
        <v>0</v>
      </c>
      <c r="L5" s="159">
        <f>SUM(C5:K5)</f>
        <v>0</v>
      </c>
    </row>
    <row r="6" spans="2:12" ht="20.100000000000001" customHeight="1" x14ac:dyDescent="0.3">
      <c r="B6" s="67" t="str">
        <f>집계표!B6</f>
        <v>금속관입상차열20</v>
      </c>
      <c r="C6" s="111">
        <v>0</v>
      </c>
      <c r="D6" s="111">
        <v>0</v>
      </c>
      <c r="E6" s="111">
        <v>0</v>
      </c>
      <c r="F6" s="111">
        <v>0</v>
      </c>
      <c r="G6" s="111">
        <v>0</v>
      </c>
      <c r="H6" s="111">
        <v>0</v>
      </c>
      <c r="I6" s="111">
        <v>0</v>
      </c>
      <c r="J6" s="111">
        <v>0</v>
      </c>
      <c r="K6" s="112">
        <v>0</v>
      </c>
      <c r="L6" s="113">
        <f t="shared" ref="L6:L104" si="0">SUM(C6:K6)</f>
        <v>0</v>
      </c>
    </row>
    <row r="7" spans="2:12" ht="20.100000000000001" customHeight="1" x14ac:dyDescent="0.3">
      <c r="B7" s="67" t="str">
        <f>집계표!B7</f>
        <v>금속관입상차열25</v>
      </c>
      <c r="C7" s="111">
        <v>0</v>
      </c>
      <c r="D7" s="111">
        <v>0</v>
      </c>
      <c r="E7" s="111">
        <v>0</v>
      </c>
      <c r="F7" s="111">
        <v>0</v>
      </c>
      <c r="G7" s="111">
        <v>0</v>
      </c>
      <c r="H7" s="111">
        <v>0</v>
      </c>
      <c r="I7" s="111">
        <v>0</v>
      </c>
      <c r="J7" s="111">
        <v>0</v>
      </c>
      <c r="K7" s="112">
        <v>0</v>
      </c>
      <c r="L7" s="113">
        <f t="shared" si="0"/>
        <v>0</v>
      </c>
    </row>
    <row r="8" spans="2:12" ht="20.100000000000001" customHeight="1" x14ac:dyDescent="0.3">
      <c r="B8" s="67" t="str">
        <f>집계표!B8</f>
        <v>금속관입상차열32</v>
      </c>
      <c r="C8" s="111">
        <v>0</v>
      </c>
      <c r="D8" s="111">
        <v>0</v>
      </c>
      <c r="E8" s="111">
        <v>0</v>
      </c>
      <c r="F8" s="111">
        <v>0</v>
      </c>
      <c r="G8" s="111">
        <v>0</v>
      </c>
      <c r="H8" s="111">
        <v>0</v>
      </c>
      <c r="I8" s="111">
        <v>0</v>
      </c>
      <c r="J8" s="111">
        <v>0</v>
      </c>
      <c r="K8" s="112">
        <v>0</v>
      </c>
      <c r="L8" s="113">
        <f t="shared" si="0"/>
        <v>0</v>
      </c>
    </row>
    <row r="9" spans="2:12" ht="20.100000000000001" customHeight="1" x14ac:dyDescent="0.3">
      <c r="B9" s="67" t="str">
        <f>집계표!B9</f>
        <v>금속관입상차열40</v>
      </c>
      <c r="C9" s="111">
        <v>0</v>
      </c>
      <c r="D9" s="111">
        <v>0</v>
      </c>
      <c r="E9" s="111">
        <v>0</v>
      </c>
      <c r="F9" s="111">
        <v>0</v>
      </c>
      <c r="G9" s="111">
        <v>0</v>
      </c>
      <c r="H9" s="111">
        <v>0</v>
      </c>
      <c r="I9" s="111">
        <v>0</v>
      </c>
      <c r="J9" s="111">
        <v>0</v>
      </c>
      <c r="K9" s="112">
        <v>0</v>
      </c>
      <c r="L9" s="113">
        <f t="shared" si="0"/>
        <v>0</v>
      </c>
    </row>
    <row r="10" spans="2:12" ht="20.100000000000001" customHeight="1" x14ac:dyDescent="0.3">
      <c r="B10" s="67" t="str">
        <f>집계표!B10</f>
        <v>금속관입상차열50</v>
      </c>
      <c r="C10" s="111">
        <v>0</v>
      </c>
      <c r="D10" s="111">
        <v>0</v>
      </c>
      <c r="E10" s="111">
        <v>0</v>
      </c>
      <c r="F10" s="111">
        <v>0</v>
      </c>
      <c r="G10" s="111">
        <v>0</v>
      </c>
      <c r="H10" s="111">
        <v>0</v>
      </c>
      <c r="I10" s="111">
        <v>0</v>
      </c>
      <c r="J10" s="111">
        <v>0</v>
      </c>
      <c r="K10" s="112">
        <v>0</v>
      </c>
      <c r="L10" s="113">
        <f t="shared" si="0"/>
        <v>0</v>
      </c>
    </row>
    <row r="11" spans="2:12" ht="20.100000000000001" customHeight="1" x14ac:dyDescent="0.3">
      <c r="B11" s="67" t="str">
        <f>집계표!B11</f>
        <v>금속관입상차열65</v>
      </c>
      <c r="C11" s="111">
        <v>0</v>
      </c>
      <c r="D11" s="111">
        <v>0</v>
      </c>
      <c r="E11" s="111">
        <v>0</v>
      </c>
      <c r="F11" s="111">
        <v>0</v>
      </c>
      <c r="G11" s="111">
        <v>0</v>
      </c>
      <c r="H11" s="111">
        <v>0</v>
      </c>
      <c r="I11" s="111">
        <v>0</v>
      </c>
      <c r="J11" s="111">
        <v>0</v>
      </c>
      <c r="K11" s="112">
        <v>0</v>
      </c>
      <c r="L11" s="113">
        <f t="shared" si="0"/>
        <v>0</v>
      </c>
    </row>
    <row r="12" spans="2:12" ht="20.100000000000001" customHeight="1" x14ac:dyDescent="0.3">
      <c r="B12" s="67" t="str">
        <f>집계표!B12</f>
        <v>금속관입상차열80</v>
      </c>
      <c r="C12" s="111">
        <v>0</v>
      </c>
      <c r="D12" s="111">
        <v>0</v>
      </c>
      <c r="E12" s="111">
        <v>0</v>
      </c>
      <c r="F12" s="111">
        <v>0</v>
      </c>
      <c r="G12" s="111">
        <v>0</v>
      </c>
      <c r="H12" s="111">
        <v>0</v>
      </c>
      <c r="I12" s="111">
        <v>0</v>
      </c>
      <c r="J12" s="111">
        <v>0</v>
      </c>
      <c r="K12" s="112">
        <v>0</v>
      </c>
      <c r="L12" s="113">
        <f t="shared" si="0"/>
        <v>0</v>
      </c>
    </row>
    <row r="13" spans="2:12" ht="20.100000000000001" customHeight="1" x14ac:dyDescent="0.3">
      <c r="B13" s="67" t="str">
        <f>집계표!B13</f>
        <v>금속관입상차열100</v>
      </c>
      <c r="C13" s="111">
        <v>0</v>
      </c>
      <c r="D13" s="111">
        <v>0</v>
      </c>
      <c r="E13" s="111">
        <v>0</v>
      </c>
      <c r="F13" s="111">
        <v>0</v>
      </c>
      <c r="G13" s="111">
        <v>0</v>
      </c>
      <c r="H13" s="111">
        <v>0</v>
      </c>
      <c r="I13" s="111">
        <v>0</v>
      </c>
      <c r="J13" s="111">
        <v>0</v>
      </c>
      <c r="K13" s="112">
        <v>0</v>
      </c>
      <c r="L13" s="113">
        <f t="shared" si="0"/>
        <v>0</v>
      </c>
    </row>
    <row r="14" spans="2:12" ht="20.100000000000001" customHeight="1" x14ac:dyDescent="0.3">
      <c r="B14" s="67" t="str">
        <f>집계표!B14</f>
        <v>금속관입상차열125</v>
      </c>
      <c r="C14" s="111">
        <v>0</v>
      </c>
      <c r="D14" s="111">
        <v>0</v>
      </c>
      <c r="E14" s="111">
        <v>0</v>
      </c>
      <c r="F14" s="111">
        <v>0</v>
      </c>
      <c r="G14" s="111">
        <v>0</v>
      </c>
      <c r="H14" s="111">
        <v>0</v>
      </c>
      <c r="I14" s="111">
        <v>0</v>
      </c>
      <c r="J14" s="111">
        <v>0</v>
      </c>
      <c r="K14" s="112">
        <v>0</v>
      </c>
      <c r="L14" s="113">
        <f t="shared" si="0"/>
        <v>0</v>
      </c>
    </row>
    <row r="15" spans="2:12" ht="20.100000000000001" customHeight="1" x14ac:dyDescent="0.3">
      <c r="B15" s="67" t="str">
        <f>집계표!B15</f>
        <v>금속관입상차열150</v>
      </c>
      <c r="C15" s="111">
        <v>0</v>
      </c>
      <c r="D15" s="111">
        <v>0</v>
      </c>
      <c r="E15" s="111">
        <v>0</v>
      </c>
      <c r="F15" s="111">
        <v>0</v>
      </c>
      <c r="G15" s="111">
        <v>0</v>
      </c>
      <c r="H15" s="111">
        <v>0</v>
      </c>
      <c r="I15" s="111">
        <v>0</v>
      </c>
      <c r="J15" s="111">
        <v>0</v>
      </c>
      <c r="K15" s="112">
        <v>0</v>
      </c>
      <c r="L15" s="113">
        <f t="shared" si="0"/>
        <v>0</v>
      </c>
    </row>
    <row r="16" spans="2:12" s="25" customFormat="1" ht="20.100000000000001" customHeight="1" x14ac:dyDescent="0.3">
      <c r="B16" s="65" t="str">
        <f>집계표!B16</f>
        <v>금속관입상15</v>
      </c>
      <c r="C16" s="105">
        <v>0</v>
      </c>
      <c r="D16" s="105">
        <v>0</v>
      </c>
      <c r="E16" s="105">
        <v>0</v>
      </c>
      <c r="F16" s="105">
        <v>0</v>
      </c>
      <c r="G16" s="105">
        <v>0</v>
      </c>
      <c r="H16" s="105">
        <v>0</v>
      </c>
      <c r="I16" s="105">
        <v>0</v>
      </c>
      <c r="J16" s="105">
        <v>0</v>
      </c>
      <c r="K16" s="106">
        <v>0</v>
      </c>
      <c r="L16" s="107">
        <f>SUM(C16:K16)</f>
        <v>0</v>
      </c>
    </row>
    <row r="17" spans="2:15" s="25" customFormat="1" ht="20.100000000000001" customHeight="1" x14ac:dyDescent="0.3">
      <c r="B17" s="66" t="str">
        <f>집계표!B17</f>
        <v>금속관입상20</v>
      </c>
      <c r="C17" s="108">
        <v>0</v>
      </c>
      <c r="D17" s="108">
        <v>0</v>
      </c>
      <c r="E17" s="108">
        <v>0</v>
      </c>
      <c r="F17" s="108">
        <v>0</v>
      </c>
      <c r="G17" s="108">
        <v>0</v>
      </c>
      <c r="H17" s="108">
        <v>0</v>
      </c>
      <c r="I17" s="108">
        <v>0</v>
      </c>
      <c r="J17" s="108">
        <v>0</v>
      </c>
      <c r="K17" s="109">
        <v>0</v>
      </c>
      <c r="L17" s="110">
        <f t="shared" ref="L17:L26" si="1">SUM(C17:K17)</f>
        <v>0</v>
      </c>
    </row>
    <row r="18" spans="2:15" s="25" customFormat="1" ht="20.100000000000001" customHeight="1" x14ac:dyDescent="0.3">
      <c r="B18" s="66" t="str">
        <f>집계표!B18</f>
        <v>금속관입상25</v>
      </c>
      <c r="C18" s="108">
        <v>0</v>
      </c>
      <c r="D18" s="108">
        <v>0</v>
      </c>
      <c r="E18" s="108">
        <v>0</v>
      </c>
      <c r="F18" s="108">
        <v>0</v>
      </c>
      <c r="G18" s="108">
        <v>0</v>
      </c>
      <c r="H18" s="108">
        <v>0</v>
      </c>
      <c r="I18" s="108">
        <v>0</v>
      </c>
      <c r="J18" s="108">
        <v>0</v>
      </c>
      <c r="K18" s="109">
        <v>0</v>
      </c>
      <c r="L18" s="110">
        <f t="shared" si="1"/>
        <v>0</v>
      </c>
    </row>
    <row r="19" spans="2:15" s="25" customFormat="1" ht="20.100000000000001" customHeight="1" x14ac:dyDescent="0.3">
      <c r="B19" s="66" t="str">
        <f>집계표!B19</f>
        <v>금속관입상32</v>
      </c>
      <c r="C19" s="108">
        <v>0</v>
      </c>
      <c r="D19" s="108">
        <v>0</v>
      </c>
      <c r="E19" s="108">
        <v>0</v>
      </c>
      <c r="F19" s="108">
        <v>0</v>
      </c>
      <c r="G19" s="108">
        <v>0</v>
      </c>
      <c r="H19" s="108">
        <v>0</v>
      </c>
      <c r="I19" s="108">
        <v>0</v>
      </c>
      <c r="J19" s="108">
        <v>0</v>
      </c>
      <c r="K19" s="109">
        <v>0</v>
      </c>
      <c r="L19" s="110">
        <f t="shared" si="1"/>
        <v>0</v>
      </c>
    </row>
    <row r="20" spans="2:15" s="25" customFormat="1" ht="20.100000000000001" customHeight="1" x14ac:dyDescent="0.3">
      <c r="B20" s="66" t="str">
        <f>집계표!B20</f>
        <v>금속관입상40</v>
      </c>
      <c r="C20" s="108">
        <v>0</v>
      </c>
      <c r="D20" s="108">
        <v>0</v>
      </c>
      <c r="E20" s="108">
        <v>0</v>
      </c>
      <c r="F20" s="108">
        <v>0</v>
      </c>
      <c r="G20" s="108">
        <v>0</v>
      </c>
      <c r="H20" s="108">
        <v>0</v>
      </c>
      <c r="I20" s="108">
        <v>0</v>
      </c>
      <c r="J20" s="108">
        <v>0</v>
      </c>
      <c r="K20" s="109">
        <v>0</v>
      </c>
      <c r="L20" s="110">
        <f t="shared" si="1"/>
        <v>0</v>
      </c>
    </row>
    <row r="21" spans="2:15" s="25" customFormat="1" ht="20.100000000000001" customHeight="1" x14ac:dyDescent="0.3">
      <c r="B21" s="66" t="str">
        <f>집계표!B21</f>
        <v>금속관입상50</v>
      </c>
      <c r="C21" s="108">
        <v>0</v>
      </c>
      <c r="D21" s="108">
        <v>0</v>
      </c>
      <c r="E21" s="108">
        <v>0</v>
      </c>
      <c r="F21" s="108">
        <v>0</v>
      </c>
      <c r="G21" s="108">
        <v>0</v>
      </c>
      <c r="H21" s="108">
        <v>0</v>
      </c>
      <c r="I21" s="108">
        <v>0</v>
      </c>
      <c r="J21" s="108">
        <v>0</v>
      </c>
      <c r="K21" s="109">
        <v>0</v>
      </c>
      <c r="L21" s="110">
        <f t="shared" si="1"/>
        <v>0</v>
      </c>
    </row>
    <row r="22" spans="2:15" s="25" customFormat="1" ht="20.100000000000001" customHeight="1" x14ac:dyDescent="0.3">
      <c r="B22" s="66" t="str">
        <f>집계표!B22</f>
        <v>금속관입상65</v>
      </c>
      <c r="C22" s="108">
        <v>0</v>
      </c>
      <c r="D22" s="108">
        <v>0</v>
      </c>
      <c r="E22" s="108">
        <v>0</v>
      </c>
      <c r="F22" s="108">
        <v>0</v>
      </c>
      <c r="G22" s="108">
        <v>0</v>
      </c>
      <c r="H22" s="108">
        <v>0</v>
      </c>
      <c r="I22" s="108">
        <v>0</v>
      </c>
      <c r="J22" s="108">
        <v>0</v>
      </c>
      <c r="K22" s="109">
        <v>0</v>
      </c>
      <c r="L22" s="110">
        <f t="shared" si="1"/>
        <v>0</v>
      </c>
    </row>
    <row r="23" spans="2:15" s="25" customFormat="1" ht="20.100000000000001" customHeight="1" x14ac:dyDescent="0.3">
      <c r="B23" s="66" t="str">
        <f>집계표!B23</f>
        <v>금속관입상80</v>
      </c>
      <c r="C23" s="108">
        <v>0</v>
      </c>
      <c r="D23" s="108">
        <v>0</v>
      </c>
      <c r="E23" s="108">
        <v>0</v>
      </c>
      <c r="F23" s="108">
        <v>0</v>
      </c>
      <c r="G23" s="108">
        <v>0</v>
      </c>
      <c r="H23" s="108">
        <v>0</v>
      </c>
      <c r="I23" s="108">
        <v>0</v>
      </c>
      <c r="J23" s="108">
        <v>0</v>
      </c>
      <c r="K23" s="109">
        <v>0</v>
      </c>
      <c r="L23" s="110">
        <f t="shared" si="1"/>
        <v>0</v>
      </c>
    </row>
    <row r="24" spans="2:15" s="25" customFormat="1" ht="20.100000000000001" customHeight="1" x14ac:dyDescent="0.3">
      <c r="B24" s="66" t="str">
        <f>집계표!B24</f>
        <v>금속관입상100</v>
      </c>
      <c r="C24" s="108">
        <v>0</v>
      </c>
      <c r="D24" s="108">
        <v>0</v>
      </c>
      <c r="E24" s="108">
        <v>0</v>
      </c>
      <c r="F24" s="108">
        <v>0</v>
      </c>
      <c r="G24" s="108">
        <v>0</v>
      </c>
      <c r="H24" s="108">
        <v>0</v>
      </c>
      <c r="I24" s="108">
        <v>0</v>
      </c>
      <c r="J24" s="108">
        <v>0</v>
      </c>
      <c r="K24" s="109">
        <v>0</v>
      </c>
      <c r="L24" s="110">
        <f t="shared" si="1"/>
        <v>0</v>
      </c>
    </row>
    <row r="25" spans="2:15" s="25" customFormat="1" ht="20.100000000000001" customHeight="1" x14ac:dyDescent="0.3">
      <c r="B25" s="66" t="str">
        <f>집계표!B25</f>
        <v>금속관입상125</v>
      </c>
      <c r="C25" s="108">
        <v>0</v>
      </c>
      <c r="D25" s="108">
        <v>0</v>
      </c>
      <c r="E25" s="108">
        <v>0</v>
      </c>
      <c r="F25" s="108">
        <v>0</v>
      </c>
      <c r="G25" s="108">
        <v>0</v>
      </c>
      <c r="H25" s="108">
        <v>0</v>
      </c>
      <c r="I25" s="108">
        <v>0</v>
      </c>
      <c r="J25" s="108">
        <v>0</v>
      </c>
      <c r="K25" s="109">
        <v>0</v>
      </c>
      <c r="L25" s="110">
        <f t="shared" si="1"/>
        <v>0</v>
      </c>
    </row>
    <row r="26" spans="2:15" s="25" customFormat="1" ht="20.100000000000001" customHeight="1" x14ac:dyDescent="0.3">
      <c r="B26" s="66" t="str">
        <f>집계표!B26</f>
        <v>금속관입상150</v>
      </c>
      <c r="C26" s="108">
        <v>0</v>
      </c>
      <c r="D26" s="108">
        <v>0</v>
      </c>
      <c r="E26" s="108">
        <v>0</v>
      </c>
      <c r="F26" s="108">
        <v>0</v>
      </c>
      <c r="G26" s="108">
        <v>0</v>
      </c>
      <c r="H26" s="108">
        <v>0</v>
      </c>
      <c r="I26" s="108">
        <v>0</v>
      </c>
      <c r="J26" s="108">
        <v>0</v>
      </c>
      <c r="K26" s="109">
        <v>0</v>
      </c>
      <c r="L26" s="110">
        <f t="shared" si="1"/>
        <v>0</v>
      </c>
    </row>
    <row r="27" spans="2:15" ht="20.100000000000001" customHeight="1" x14ac:dyDescent="0.3">
      <c r="B27" s="66" t="str">
        <f>집계표!B27</f>
        <v>금속관입상200</v>
      </c>
      <c r="C27" s="108">
        <v>0</v>
      </c>
      <c r="D27" s="108">
        <v>0</v>
      </c>
      <c r="E27" s="108">
        <v>0</v>
      </c>
      <c r="F27" s="108">
        <v>0</v>
      </c>
      <c r="G27" s="108">
        <v>0</v>
      </c>
      <c r="H27" s="108">
        <v>0</v>
      </c>
      <c r="I27" s="108">
        <v>0</v>
      </c>
      <c r="J27" s="108">
        <v>0</v>
      </c>
      <c r="K27" s="109">
        <v>0</v>
      </c>
      <c r="L27" s="110">
        <f t="shared" si="0"/>
        <v>0</v>
      </c>
    </row>
    <row r="28" spans="2:15" ht="20.100000000000001" customHeight="1" x14ac:dyDescent="0.3">
      <c r="B28" s="66" t="str">
        <f>집계표!B28</f>
        <v>금속관입상250</v>
      </c>
      <c r="C28" s="108">
        <v>0</v>
      </c>
      <c r="D28" s="108">
        <v>0</v>
      </c>
      <c r="E28" s="108">
        <v>0</v>
      </c>
      <c r="F28" s="108">
        <v>0</v>
      </c>
      <c r="G28" s="108">
        <v>0</v>
      </c>
      <c r="H28" s="108">
        <v>0</v>
      </c>
      <c r="I28" s="108">
        <v>0</v>
      </c>
      <c r="J28" s="108">
        <v>0</v>
      </c>
      <c r="K28" s="109">
        <v>0</v>
      </c>
      <c r="L28" s="110">
        <f t="shared" si="0"/>
        <v>0</v>
      </c>
    </row>
    <row r="29" spans="2:15" ht="20.100000000000001" customHeight="1" x14ac:dyDescent="0.3">
      <c r="B29" s="66" t="str">
        <f>집계표!B29</f>
        <v>금속관입상300</v>
      </c>
      <c r="C29" s="108">
        <v>0</v>
      </c>
      <c r="D29" s="108">
        <v>0</v>
      </c>
      <c r="E29" s="108">
        <v>0</v>
      </c>
      <c r="F29" s="108">
        <v>0</v>
      </c>
      <c r="G29" s="108">
        <v>0</v>
      </c>
      <c r="H29" s="108">
        <v>0</v>
      </c>
      <c r="I29" s="108">
        <v>0</v>
      </c>
      <c r="J29" s="108">
        <v>0</v>
      </c>
      <c r="K29" s="109">
        <v>0</v>
      </c>
      <c r="L29" s="110">
        <f t="shared" si="0"/>
        <v>0</v>
      </c>
    </row>
    <row r="30" spans="2:15" ht="20.100000000000001" customHeight="1" x14ac:dyDescent="0.3">
      <c r="B30" s="66" t="str">
        <f>집계표!B30</f>
        <v>금속관입상350</v>
      </c>
      <c r="C30" s="108">
        <v>0</v>
      </c>
      <c r="D30" s="108">
        <v>0</v>
      </c>
      <c r="E30" s="108">
        <v>0</v>
      </c>
      <c r="F30" s="108">
        <v>0</v>
      </c>
      <c r="G30" s="108">
        <v>0</v>
      </c>
      <c r="H30" s="108">
        <v>0</v>
      </c>
      <c r="I30" s="108">
        <v>0</v>
      </c>
      <c r="J30" s="108">
        <v>0</v>
      </c>
      <c r="K30" s="109">
        <v>0</v>
      </c>
      <c r="L30" s="110">
        <f t="shared" si="0"/>
        <v>0</v>
      </c>
    </row>
    <row r="31" spans="2:15" s="25" customFormat="1" ht="20.100000000000001" customHeight="1" x14ac:dyDescent="0.3">
      <c r="B31" s="66" t="str">
        <f>집계표!B31</f>
        <v>금속관입상400</v>
      </c>
      <c r="C31" s="108">
        <v>0</v>
      </c>
      <c r="D31" s="108">
        <v>0</v>
      </c>
      <c r="E31" s="108">
        <v>0</v>
      </c>
      <c r="F31" s="108">
        <v>0</v>
      </c>
      <c r="G31" s="108">
        <v>0</v>
      </c>
      <c r="H31" s="108">
        <v>0</v>
      </c>
      <c r="I31" s="108">
        <v>0</v>
      </c>
      <c r="J31" s="108">
        <v>0</v>
      </c>
      <c r="K31" s="109">
        <v>0</v>
      </c>
      <c r="L31" s="110">
        <f t="shared" ref="L31:L32" si="2">SUM(C31:K31)</f>
        <v>0</v>
      </c>
      <c r="O31" s="25" t="s">
        <v>49</v>
      </c>
    </row>
    <row r="32" spans="2:15" s="25" customFormat="1" ht="20.100000000000001" customHeight="1" x14ac:dyDescent="0.3">
      <c r="B32" s="66" t="str">
        <f>집계표!B32</f>
        <v>금속관입상450</v>
      </c>
      <c r="C32" s="108">
        <v>0</v>
      </c>
      <c r="D32" s="108">
        <v>0</v>
      </c>
      <c r="E32" s="108">
        <v>0</v>
      </c>
      <c r="F32" s="108">
        <v>0</v>
      </c>
      <c r="G32" s="108">
        <v>0</v>
      </c>
      <c r="H32" s="108">
        <v>0</v>
      </c>
      <c r="I32" s="108">
        <v>0</v>
      </c>
      <c r="J32" s="108">
        <v>0</v>
      </c>
      <c r="K32" s="109">
        <v>0</v>
      </c>
      <c r="L32" s="110">
        <f t="shared" si="2"/>
        <v>0</v>
      </c>
      <c r="O32" s="25" t="s">
        <v>49</v>
      </c>
    </row>
    <row r="33" spans="2:15" ht="20.100000000000001" customHeight="1" x14ac:dyDescent="0.3">
      <c r="B33" s="66" t="str">
        <f>집계표!B33</f>
        <v>금속관입상500</v>
      </c>
      <c r="C33" s="108">
        <v>0</v>
      </c>
      <c r="D33" s="108">
        <v>0</v>
      </c>
      <c r="E33" s="108">
        <v>0</v>
      </c>
      <c r="F33" s="108">
        <v>0</v>
      </c>
      <c r="G33" s="108">
        <v>0</v>
      </c>
      <c r="H33" s="108">
        <v>0</v>
      </c>
      <c r="I33" s="108">
        <v>0</v>
      </c>
      <c r="J33" s="108">
        <v>0</v>
      </c>
      <c r="K33" s="109">
        <v>0</v>
      </c>
      <c r="L33" s="110">
        <f t="shared" si="0"/>
        <v>0</v>
      </c>
      <c r="O33" t="s">
        <v>49</v>
      </c>
    </row>
    <row r="34" spans="2:15" ht="20.100000000000001" customHeight="1" x14ac:dyDescent="0.3">
      <c r="B34" s="66" t="str">
        <f>집계표!B34</f>
        <v>스파이럴입상100</v>
      </c>
      <c r="C34" s="108">
        <v>0</v>
      </c>
      <c r="D34" s="108">
        <v>0</v>
      </c>
      <c r="E34" s="108">
        <v>0</v>
      </c>
      <c r="F34" s="108">
        <v>0</v>
      </c>
      <c r="G34" s="108">
        <v>0</v>
      </c>
      <c r="H34" s="108">
        <v>0</v>
      </c>
      <c r="I34" s="108">
        <v>0</v>
      </c>
      <c r="J34" s="108">
        <v>0</v>
      </c>
      <c r="K34" s="109">
        <v>0</v>
      </c>
      <c r="L34" s="110">
        <f t="shared" si="0"/>
        <v>0</v>
      </c>
    </row>
    <row r="35" spans="2:15" ht="20.100000000000001" customHeight="1" x14ac:dyDescent="0.3">
      <c r="B35" s="66" t="str">
        <f>집계표!B35</f>
        <v>스파이럴입상150</v>
      </c>
      <c r="C35" s="108">
        <v>0</v>
      </c>
      <c r="D35" s="108">
        <v>0</v>
      </c>
      <c r="E35" s="108">
        <v>0</v>
      </c>
      <c r="F35" s="108">
        <v>0</v>
      </c>
      <c r="G35" s="108">
        <v>0</v>
      </c>
      <c r="H35" s="108">
        <v>0</v>
      </c>
      <c r="I35" s="108">
        <v>0</v>
      </c>
      <c r="J35" s="108">
        <v>0</v>
      </c>
      <c r="K35" s="109">
        <v>0</v>
      </c>
      <c r="L35" s="110">
        <f t="shared" si="0"/>
        <v>0</v>
      </c>
    </row>
    <row r="36" spans="2:15" ht="20.100000000000001" customHeight="1" x14ac:dyDescent="0.3">
      <c r="B36" s="66" t="str">
        <f>집계표!B36</f>
        <v>스파이럴입상200</v>
      </c>
      <c r="C36" s="108">
        <v>0</v>
      </c>
      <c r="D36" s="108">
        <v>0</v>
      </c>
      <c r="E36" s="108">
        <v>0</v>
      </c>
      <c r="F36" s="108">
        <v>0</v>
      </c>
      <c r="G36" s="108">
        <v>0</v>
      </c>
      <c r="H36" s="108">
        <v>0</v>
      </c>
      <c r="I36" s="108">
        <v>0</v>
      </c>
      <c r="J36" s="108">
        <v>0</v>
      </c>
      <c r="K36" s="109">
        <v>0</v>
      </c>
      <c r="L36" s="110">
        <f t="shared" si="0"/>
        <v>0</v>
      </c>
    </row>
    <row r="37" spans="2:15" ht="20.100000000000001" customHeight="1" x14ac:dyDescent="0.3">
      <c r="B37" s="66" t="str">
        <f>집계표!B37</f>
        <v>스파이럴입상250</v>
      </c>
      <c r="C37" s="108">
        <v>0</v>
      </c>
      <c r="D37" s="108">
        <v>0</v>
      </c>
      <c r="E37" s="108">
        <v>0</v>
      </c>
      <c r="F37" s="108">
        <v>0</v>
      </c>
      <c r="G37" s="108">
        <v>0</v>
      </c>
      <c r="H37" s="108">
        <v>0</v>
      </c>
      <c r="I37" s="108">
        <v>0</v>
      </c>
      <c r="J37" s="108">
        <v>0</v>
      </c>
      <c r="K37" s="109">
        <v>0</v>
      </c>
      <c r="L37" s="110">
        <f t="shared" si="0"/>
        <v>0</v>
      </c>
    </row>
    <row r="38" spans="2:15" ht="20.100000000000001" customHeight="1" x14ac:dyDescent="0.3">
      <c r="B38" s="66" t="str">
        <f>집계표!B38</f>
        <v>스파이럴입상300</v>
      </c>
      <c r="C38" s="108">
        <v>0</v>
      </c>
      <c r="D38" s="108">
        <v>0</v>
      </c>
      <c r="E38" s="108">
        <v>0</v>
      </c>
      <c r="F38" s="108">
        <v>0</v>
      </c>
      <c r="G38" s="108">
        <v>0</v>
      </c>
      <c r="H38" s="108">
        <v>0</v>
      </c>
      <c r="I38" s="108">
        <v>0</v>
      </c>
      <c r="J38" s="108">
        <v>0</v>
      </c>
      <c r="K38" s="109">
        <v>0</v>
      </c>
      <c r="L38" s="110">
        <f t="shared" si="0"/>
        <v>0</v>
      </c>
    </row>
    <row r="39" spans="2:15" ht="20.100000000000001" customHeight="1" x14ac:dyDescent="0.3">
      <c r="B39" s="67" t="str">
        <f>집계표!B39</f>
        <v>금속관벽체15</v>
      </c>
      <c r="C39" s="111">
        <v>0</v>
      </c>
      <c r="D39" s="111">
        <v>0</v>
      </c>
      <c r="E39" s="111">
        <v>0</v>
      </c>
      <c r="F39" s="111">
        <v>0</v>
      </c>
      <c r="G39" s="111">
        <v>0</v>
      </c>
      <c r="H39" s="111">
        <v>0</v>
      </c>
      <c r="I39" s="111">
        <v>0</v>
      </c>
      <c r="J39" s="111">
        <v>0</v>
      </c>
      <c r="K39" s="112">
        <v>0</v>
      </c>
      <c r="L39" s="113">
        <f t="shared" si="0"/>
        <v>0</v>
      </c>
    </row>
    <row r="40" spans="2:15" ht="20.100000000000001" customHeight="1" x14ac:dyDescent="0.3">
      <c r="B40" s="67" t="str">
        <f>집계표!B40</f>
        <v>금속관벽체20</v>
      </c>
      <c r="C40" s="111">
        <v>0</v>
      </c>
      <c r="D40" s="111">
        <v>0</v>
      </c>
      <c r="E40" s="111">
        <v>0</v>
      </c>
      <c r="F40" s="111">
        <v>0</v>
      </c>
      <c r="G40" s="111">
        <v>0</v>
      </c>
      <c r="H40" s="111">
        <v>0</v>
      </c>
      <c r="I40" s="111">
        <v>0</v>
      </c>
      <c r="J40" s="111">
        <v>0</v>
      </c>
      <c r="K40" s="112">
        <v>0</v>
      </c>
      <c r="L40" s="113">
        <f t="shared" si="0"/>
        <v>0</v>
      </c>
    </row>
    <row r="41" spans="2:15" ht="20.100000000000001" customHeight="1" x14ac:dyDescent="0.3">
      <c r="B41" s="67" t="str">
        <f>집계표!B41</f>
        <v>금속관벽체25</v>
      </c>
      <c r="C41" s="111">
        <v>0</v>
      </c>
      <c r="D41" s="111">
        <v>0</v>
      </c>
      <c r="E41" s="111">
        <v>0</v>
      </c>
      <c r="F41" s="111">
        <v>0</v>
      </c>
      <c r="G41" s="111">
        <v>0</v>
      </c>
      <c r="H41" s="111">
        <v>0</v>
      </c>
      <c r="I41" s="111">
        <v>0</v>
      </c>
      <c r="J41" s="111">
        <v>0</v>
      </c>
      <c r="K41" s="112">
        <v>0</v>
      </c>
      <c r="L41" s="113">
        <f t="shared" si="0"/>
        <v>0</v>
      </c>
    </row>
    <row r="42" spans="2:15" ht="20.100000000000001" customHeight="1" x14ac:dyDescent="0.3">
      <c r="B42" s="67" t="str">
        <f>집계표!B42</f>
        <v>금속관벽체32</v>
      </c>
      <c r="C42" s="111">
        <v>0</v>
      </c>
      <c r="D42" s="111">
        <v>0</v>
      </c>
      <c r="E42" s="111">
        <v>0</v>
      </c>
      <c r="F42" s="111">
        <v>0</v>
      </c>
      <c r="G42" s="111">
        <v>0</v>
      </c>
      <c r="H42" s="111">
        <v>0</v>
      </c>
      <c r="I42" s="111">
        <v>0</v>
      </c>
      <c r="J42" s="111">
        <v>0</v>
      </c>
      <c r="K42" s="112">
        <v>0</v>
      </c>
      <c r="L42" s="113">
        <f t="shared" si="0"/>
        <v>0</v>
      </c>
    </row>
    <row r="43" spans="2:15" ht="20.100000000000001" customHeight="1" x14ac:dyDescent="0.3">
      <c r="B43" s="67" t="str">
        <f>집계표!B43</f>
        <v>금속관벽체40</v>
      </c>
      <c r="C43" s="111">
        <v>0</v>
      </c>
      <c r="D43" s="111">
        <v>0</v>
      </c>
      <c r="E43" s="111">
        <v>0</v>
      </c>
      <c r="F43" s="111">
        <v>0</v>
      </c>
      <c r="G43" s="111">
        <v>0</v>
      </c>
      <c r="H43" s="111">
        <v>0</v>
      </c>
      <c r="I43" s="111">
        <v>0</v>
      </c>
      <c r="J43" s="111">
        <v>0</v>
      </c>
      <c r="K43" s="112">
        <v>0</v>
      </c>
      <c r="L43" s="113">
        <f t="shared" si="0"/>
        <v>0</v>
      </c>
    </row>
    <row r="44" spans="2:15" ht="20.100000000000001" customHeight="1" x14ac:dyDescent="0.3">
      <c r="B44" s="67" t="str">
        <f>집계표!B44</f>
        <v>금속관벽체50</v>
      </c>
      <c r="C44" s="111">
        <v>0</v>
      </c>
      <c r="D44" s="111">
        <v>0</v>
      </c>
      <c r="E44" s="111">
        <v>0</v>
      </c>
      <c r="F44" s="111">
        <v>0</v>
      </c>
      <c r="G44" s="111">
        <v>0</v>
      </c>
      <c r="H44" s="111">
        <v>0</v>
      </c>
      <c r="I44" s="111">
        <v>0</v>
      </c>
      <c r="J44" s="111">
        <v>0</v>
      </c>
      <c r="K44" s="112">
        <v>0</v>
      </c>
      <c r="L44" s="113">
        <f t="shared" si="0"/>
        <v>0</v>
      </c>
    </row>
    <row r="45" spans="2:15" ht="20.100000000000001" customHeight="1" x14ac:dyDescent="0.3">
      <c r="B45" s="67" t="str">
        <f>집계표!B45</f>
        <v>금속관벽체65</v>
      </c>
      <c r="C45" s="111">
        <v>0</v>
      </c>
      <c r="D45" s="111">
        <v>0</v>
      </c>
      <c r="E45" s="111">
        <v>0</v>
      </c>
      <c r="F45" s="111">
        <v>0</v>
      </c>
      <c r="G45" s="111">
        <v>0</v>
      </c>
      <c r="H45" s="111">
        <v>0</v>
      </c>
      <c r="I45" s="111">
        <v>0</v>
      </c>
      <c r="J45" s="111">
        <v>0</v>
      </c>
      <c r="K45" s="112">
        <v>0</v>
      </c>
      <c r="L45" s="113">
        <f t="shared" si="0"/>
        <v>0</v>
      </c>
    </row>
    <row r="46" spans="2:15" ht="20.100000000000001" customHeight="1" x14ac:dyDescent="0.3">
      <c r="B46" s="67" t="str">
        <f>집계표!B46</f>
        <v>금속관벽체80</v>
      </c>
      <c r="C46" s="111">
        <v>0</v>
      </c>
      <c r="D46" s="111">
        <v>0</v>
      </c>
      <c r="E46" s="111">
        <v>0</v>
      </c>
      <c r="F46" s="111">
        <v>0</v>
      </c>
      <c r="G46" s="111">
        <v>0</v>
      </c>
      <c r="H46" s="111">
        <v>0</v>
      </c>
      <c r="I46" s="111">
        <v>0</v>
      </c>
      <c r="J46" s="111">
        <v>0</v>
      </c>
      <c r="K46" s="112">
        <v>0</v>
      </c>
      <c r="L46" s="113">
        <f t="shared" si="0"/>
        <v>0</v>
      </c>
    </row>
    <row r="47" spans="2:15" ht="20.100000000000001" customHeight="1" x14ac:dyDescent="0.3">
      <c r="B47" s="67" t="str">
        <f>집계표!B47</f>
        <v>금속관벽체100</v>
      </c>
      <c r="C47" s="111">
        <v>0</v>
      </c>
      <c r="D47" s="111">
        <v>0</v>
      </c>
      <c r="E47" s="111">
        <v>0</v>
      </c>
      <c r="F47" s="111">
        <v>0</v>
      </c>
      <c r="G47" s="111">
        <v>0</v>
      </c>
      <c r="H47" s="111">
        <v>0</v>
      </c>
      <c r="I47" s="111">
        <v>0</v>
      </c>
      <c r="J47" s="111">
        <v>0</v>
      </c>
      <c r="K47" s="112">
        <v>0</v>
      </c>
      <c r="L47" s="113">
        <f t="shared" si="0"/>
        <v>0</v>
      </c>
    </row>
    <row r="48" spans="2:15" ht="20.100000000000001" customHeight="1" x14ac:dyDescent="0.3">
      <c r="B48" s="67" t="str">
        <f>집계표!B48</f>
        <v>금속관벽체125</v>
      </c>
      <c r="C48" s="111">
        <v>0</v>
      </c>
      <c r="D48" s="111">
        <v>0</v>
      </c>
      <c r="E48" s="111">
        <v>0</v>
      </c>
      <c r="F48" s="111">
        <v>0</v>
      </c>
      <c r="G48" s="111">
        <v>0</v>
      </c>
      <c r="H48" s="111">
        <v>0</v>
      </c>
      <c r="I48" s="111">
        <v>0</v>
      </c>
      <c r="J48" s="111">
        <v>0</v>
      </c>
      <c r="K48" s="112">
        <v>0</v>
      </c>
      <c r="L48" s="113">
        <f t="shared" si="0"/>
        <v>0</v>
      </c>
    </row>
    <row r="49" spans="2:12" ht="20.100000000000001" customHeight="1" x14ac:dyDescent="0.3">
      <c r="B49" s="67" t="str">
        <f>집계표!B49</f>
        <v>금속관벽체150</v>
      </c>
      <c r="C49" s="111">
        <v>0</v>
      </c>
      <c r="D49" s="111">
        <v>0</v>
      </c>
      <c r="E49" s="111">
        <v>0</v>
      </c>
      <c r="F49" s="111">
        <v>0</v>
      </c>
      <c r="G49" s="111">
        <v>0</v>
      </c>
      <c r="H49" s="111">
        <v>0</v>
      </c>
      <c r="I49" s="111">
        <v>0</v>
      </c>
      <c r="J49" s="111">
        <v>0</v>
      </c>
      <c r="K49" s="112">
        <v>0</v>
      </c>
      <c r="L49" s="113">
        <f t="shared" si="0"/>
        <v>0</v>
      </c>
    </row>
    <row r="50" spans="2:12" s="25" customFormat="1" ht="20.100000000000001" customHeight="1" x14ac:dyDescent="0.3">
      <c r="B50" s="67" t="str">
        <f>집계표!B50</f>
        <v>금속관벽체200</v>
      </c>
      <c r="C50" s="111">
        <v>0</v>
      </c>
      <c r="D50" s="111">
        <v>0</v>
      </c>
      <c r="E50" s="111">
        <v>0</v>
      </c>
      <c r="F50" s="111">
        <v>0</v>
      </c>
      <c r="G50" s="111">
        <v>0</v>
      </c>
      <c r="H50" s="111">
        <v>0</v>
      </c>
      <c r="I50" s="111">
        <v>0</v>
      </c>
      <c r="J50" s="111">
        <v>0</v>
      </c>
      <c r="K50" s="112">
        <v>0</v>
      </c>
      <c r="L50" s="113">
        <f t="shared" ref="L50" si="3">SUM(C50:K50)</f>
        <v>0</v>
      </c>
    </row>
    <row r="51" spans="2:12" ht="20.100000000000001" customHeight="1" x14ac:dyDescent="0.3">
      <c r="B51" s="67" t="str">
        <f>집계표!B51</f>
        <v>금속관벽체250</v>
      </c>
      <c r="C51" s="111">
        <v>0</v>
      </c>
      <c r="D51" s="111">
        <v>0</v>
      </c>
      <c r="E51" s="111">
        <v>0</v>
      </c>
      <c r="F51" s="111">
        <v>0</v>
      </c>
      <c r="G51" s="111">
        <v>0</v>
      </c>
      <c r="H51" s="111">
        <v>0</v>
      </c>
      <c r="I51" s="111">
        <v>0</v>
      </c>
      <c r="J51" s="111">
        <v>0</v>
      </c>
      <c r="K51" s="112">
        <v>0</v>
      </c>
      <c r="L51" s="113">
        <f t="shared" si="0"/>
        <v>0</v>
      </c>
    </row>
    <row r="52" spans="2:12" ht="20.100000000000001" customHeight="1" x14ac:dyDescent="0.3">
      <c r="B52" s="67" t="str">
        <f>집계표!B52</f>
        <v>금속관벽체300</v>
      </c>
      <c r="C52" s="111">
        <v>0</v>
      </c>
      <c r="D52" s="111">
        <v>0</v>
      </c>
      <c r="E52" s="111">
        <v>0</v>
      </c>
      <c r="F52" s="111">
        <v>0</v>
      </c>
      <c r="G52" s="111">
        <v>0</v>
      </c>
      <c r="H52" s="111">
        <v>0</v>
      </c>
      <c r="I52" s="111">
        <v>0</v>
      </c>
      <c r="J52" s="111">
        <v>0</v>
      </c>
      <c r="K52" s="112">
        <v>0</v>
      </c>
      <c r="L52" s="113">
        <f t="shared" si="0"/>
        <v>0</v>
      </c>
    </row>
    <row r="53" spans="2:12" ht="20.100000000000001" customHeight="1" x14ac:dyDescent="0.3">
      <c r="B53" s="67" t="str">
        <f>집계표!B53</f>
        <v>금속관벽체350</v>
      </c>
      <c r="C53" s="111">
        <v>0</v>
      </c>
      <c r="D53" s="111">
        <v>0</v>
      </c>
      <c r="E53" s="111">
        <v>0</v>
      </c>
      <c r="F53" s="111">
        <v>0</v>
      </c>
      <c r="G53" s="111">
        <v>0</v>
      </c>
      <c r="H53" s="111">
        <v>0</v>
      </c>
      <c r="I53" s="111">
        <v>0</v>
      </c>
      <c r="J53" s="111">
        <v>0</v>
      </c>
      <c r="K53" s="112">
        <v>0</v>
      </c>
      <c r="L53" s="113">
        <f t="shared" si="0"/>
        <v>0</v>
      </c>
    </row>
    <row r="54" spans="2:12" ht="20.100000000000001" customHeight="1" x14ac:dyDescent="0.3">
      <c r="B54" s="67" t="str">
        <f>집계표!B54</f>
        <v>금속관벽체400</v>
      </c>
      <c r="C54" s="111">
        <v>0</v>
      </c>
      <c r="D54" s="111">
        <v>0</v>
      </c>
      <c r="E54" s="111">
        <v>0</v>
      </c>
      <c r="F54" s="111">
        <v>0</v>
      </c>
      <c r="G54" s="111">
        <v>0</v>
      </c>
      <c r="H54" s="111">
        <v>0</v>
      </c>
      <c r="I54" s="111">
        <v>0</v>
      </c>
      <c r="J54" s="111">
        <v>0</v>
      </c>
      <c r="K54" s="112">
        <v>0</v>
      </c>
      <c r="L54" s="113">
        <f t="shared" si="0"/>
        <v>0</v>
      </c>
    </row>
    <row r="55" spans="2:12" ht="20.100000000000001" customHeight="1" x14ac:dyDescent="0.3">
      <c r="B55" s="67" t="str">
        <f>집계표!B55</f>
        <v>금속관벽체450</v>
      </c>
      <c r="C55" s="111">
        <v>0</v>
      </c>
      <c r="D55" s="111">
        <v>0</v>
      </c>
      <c r="E55" s="111">
        <v>0</v>
      </c>
      <c r="F55" s="111">
        <v>0</v>
      </c>
      <c r="G55" s="111">
        <v>0</v>
      </c>
      <c r="H55" s="111">
        <v>0</v>
      </c>
      <c r="I55" s="111">
        <v>0</v>
      </c>
      <c r="J55" s="111">
        <v>0</v>
      </c>
      <c r="K55" s="112">
        <v>0</v>
      </c>
      <c r="L55" s="113">
        <f t="shared" si="0"/>
        <v>0</v>
      </c>
    </row>
    <row r="56" spans="2:12" ht="20.100000000000001" customHeight="1" x14ac:dyDescent="0.3">
      <c r="B56" s="67" t="str">
        <f>집계표!B56</f>
        <v>금속관벽체500</v>
      </c>
      <c r="C56" s="111">
        <v>0</v>
      </c>
      <c r="D56" s="111">
        <v>0</v>
      </c>
      <c r="E56" s="111">
        <v>0</v>
      </c>
      <c r="F56" s="111">
        <v>0</v>
      </c>
      <c r="G56" s="111">
        <v>0</v>
      </c>
      <c r="H56" s="111">
        <v>0</v>
      </c>
      <c r="I56" s="111">
        <v>0</v>
      </c>
      <c r="J56" s="111">
        <v>0</v>
      </c>
      <c r="K56" s="112">
        <v>0</v>
      </c>
      <c r="L56" s="113">
        <f t="shared" si="0"/>
        <v>0</v>
      </c>
    </row>
    <row r="57" spans="2:12" ht="20.100000000000001" customHeight="1" x14ac:dyDescent="0.3">
      <c r="B57" s="67" t="str">
        <f>집계표!B57</f>
        <v>스파이럴벽체100</v>
      </c>
      <c r="C57" s="111">
        <v>0</v>
      </c>
      <c r="D57" s="111">
        <v>0</v>
      </c>
      <c r="E57" s="111">
        <v>0</v>
      </c>
      <c r="F57" s="111">
        <v>0</v>
      </c>
      <c r="G57" s="111">
        <v>0</v>
      </c>
      <c r="H57" s="111">
        <v>0</v>
      </c>
      <c r="I57" s="111">
        <v>0</v>
      </c>
      <c r="J57" s="111">
        <v>0</v>
      </c>
      <c r="K57" s="112">
        <v>0</v>
      </c>
      <c r="L57" s="113">
        <f t="shared" si="0"/>
        <v>0</v>
      </c>
    </row>
    <row r="58" spans="2:12" ht="20.100000000000001" customHeight="1" x14ac:dyDescent="0.3">
      <c r="B58" s="67" t="str">
        <f>집계표!B58</f>
        <v>스파이럴벽체125</v>
      </c>
      <c r="C58" s="111">
        <v>0</v>
      </c>
      <c r="D58" s="111">
        <v>0</v>
      </c>
      <c r="E58" s="111">
        <v>0</v>
      </c>
      <c r="F58" s="111">
        <v>0</v>
      </c>
      <c r="G58" s="111">
        <v>0</v>
      </c>
      <c r="H58" s="111">
        <v>0</v>
      </c>
      <c r="I58" s="111">
        <v>0</v>
      </c>
      <c r="J58" s="111">
        <v>0</v>
      </c>
      <c r="K58" s="112">
        <v>0</v>
      </c>
      <c r="L58" s="113">
        <f t="shared" si="0"/>
        <v>0</v>
      </c>
    </row>
    <row r="59" spans="2:12" ht="20.100000000000001" customHeight="1" x14ac:dyDescent="0.3">
      <c r="B59" s="67" t="str">
        <f>집계표!B59</f>
        <v>스파이럴벽체150</v>
      </c>
      <c r="C59" s="111">
        <v>0</v>
      </c>
      <c r="D59" s="111">
        <v>0</v>
      </c>
      <c r="E59" s="111">
        <v>0</v>
      </c>
      <c r="F59" s="111">
        <v>0</v>
      </c>
      <c r="G59" s="111">
        <v>0</v>
      </c>
      <c r="H59" s="111">
        <v>0</v>
      </c>
      <c r="I59" s="111">
        <v>0</v>
      </c>
      <c r="J59" s="111">
        <v>0</v>
      </c>
      <c r="K59" s="112">
        <v>0</v>
      </c>
      <c r="L59" s="113">
        <f t="shared" si="0"/>
        <v>0</v>
      </c>
    </row>
    <row r="60" spans="2:12" ht="19.5" customHeight="1" x14ac:dyDescent="0.3">
      <c r="B60" s="67" t="str">
        <f>집계표!B60</f>
        <v>스파이럴벽체200</v>
      </c>
      <c r="C60" s="111">
        <v>0</v>
      </c>
      <c r="D60" s="111">
        <v>0</v>
      </c>
      <c r="E60" s="111">
        <v>0</v>
      </c>
      <c r="F60" s="111">
        <v>0</v>
      </c>
      <c r="G60" s="111">
        <v>0</v>
      </c>
      <c r="H60" s="111">
        <v>0</v>
      </c>
      <c r="I60" s="111">
        <v>0</v>
      </c>
      <c r="J60" s="111">
        <v>0</v>
      </c>
      <c r="K60" s="112">
        <v>0</v>
      </c>
      <c r="L60" s="113">
        <f t="shared" si="0"/>
        <v>0</v>
      </c>
    </row>
    <row r="61" spans="2:12" s="25" customFormat="1" ht="20.100000000000001" customHeight="1" x14ac:dyDescent="0.3">
      <c r="B61" s="67" t="str">
        <f>집계표!B61</f>
        <v>스파이럴벽체250</v>
      </c>
      <c r="C61" s="111">
        <v>0</v>
      </c>
      <c r="D61" s="111">
        <v>0</v>
      </c>
      <c r="E61" s="111">
        <v>0</v>
      </c>
      <c r="F61" s="111">
        <v>0</v>
      </c>
      <c r="G61" s="111">
        <v>0</v>
      </c>
      <c r="H61" s="111">
        <v>0</v>
      </c>
      <c r="I61" s="111">
        <v>0</v>
      </c>
      <c r="J61" s="111">
        <v>0</v>
      </c>
      <c r="K61" s="112">
        <v>0</v>
      </c>
      <c r="L61" s="113">
        <f t="shared" ref="L61" si="4">SUM(C61:K61)</f>
        <v>0</v>
      </c>
    </row>
    <row r="62" spans="2:12" ht="20.100000000000001" customHeight="1" x14ac:dyDescent="0.3">
      <c r="B62" s="67" t="str">
        <f>집계표!B62</f>
        <v>스파이럴벽체300</v>
      </c>
      <c r="C62" s="111">
        <v>0</v>
      </c>
      <c r="D62" s="111">
        <v>0</v>
      </c>
      <c r="E62" s="111">
        <v>0</v>
      </c>
      <c r="F62" s="111">
        <v>0</v>
      </c>
      <c r="G62" s="111">
        <v>0</v>
      </c>
      <c r="H62" s="111">
        <v>0</v>
      </c>
      <c r="I62" s="111">
        <v>0</v>
      </c>
      <c r="J62" s="111">
        <v>0</v>
      </c>
      <c r="K62" s="112">
        <v>0</v>
      </c>
      <c r="L62" s="113">
        <f t="shared" si="0"/>
        <v>0</v>
      </c>
    </row>
    <row r="63" spans="2:12" s="25" customFormat="1" ht="20.100000000000001" customHeight="1" x14ac:dyDescent="0.3">
      <c r="B63" s="66" t="str">
        <f>집계표!B63</f>
        <v>PVC입상30</v>
      </c>
      <c r="C63" s="108">
        <v>0</v>
      </c>
      <c r="D63" s="108">
        <v>0</v>
      </c>
      <c r="E63" s="108">
        <v>0</v>
      </c>
      <c r="F63" s="108">
        <v>0</v>
      </c>
      <c r="G63" s="108">
        <v>0</v>
      </c>
      <c r="H63" s="108">
        <v>0</v>
      </c>
      <c r="I63" s="108">
        <v>0</v>
      </c>
      <c r="J63" s="108">
        <v>0</v>
      </c>
      <c r="K63" s="109">
        <v>0</v>
      </c>
      <c r="L63" s="110">
        <f t="shared" si="0"/>
        <v>0</v>
      </c>
    </row>
    <row r="64" spans="2:12" s="25" customFormat="1" ht="20.100000000000001" customHeight="1" x14ac:dyDescent="0.3">
      <c r="B64" s="66" t="str">
        <f>집계표!B64</f>
        <v>PVC입상40</v>
      </c>
      <c r="C64" s="108">
        <v>0</v>
      </c>
      <c r="D64" s="108">
        <v>0</v>
      </c>
      <c r="E64" s="108">
        <v>0</v>
      </c>
      <c r="F64" s="108">
        <v>0</v>
      </c>
      <c r="G64" s="108">
        <v>0</v>
      </c>
      <c r="H64" s="108">
        <v>0</v>
      </c>
      <c r="I64" s="108">
        <v>0</v>
      </c>
      <c r="J64" s="108">
        <v>0</v>
      </c>
      <c r="K64" s="109">
        <v>0</v>
      </c>
      <c r="L64" s="110">
        <f t="shared" ref="L64" si="5">SUM(C64:K64)</f>
        <v>0</v>
      </c>
    </row>
    <row r="65" spans="2:12" s="25" customFormat="1" ht="20.100000000000001" customHeight="1" x14ac:dyDescent="0.3">
      <c r="B65" s="66" t="str">
        <f>집계표!B65</f>
        <v>PVC입상50</v>
      </c>
      <c r="C65" s="108">
        <v>0</v>
      </c>
      <c r="D65" s="108">
        <v>0</v>
      </c>
      <c r="E65" s="108">
        <v>0</v>
      </c>
      <c r="F65" s="108">
        <v>0</v>
      </c>
      <c r="G65" s="108">
        <v>0</v>
      </c>
      <c r="H65" s="108">
        <v>0</v>
      </c>
      <c r="I65" s="108">
        <v>0</v>
      </c>
      <c r="J65" s="108">
        <v>0</v>
      </c>
      <c r="K65" s="109">
        <v>0</v>
      </c>
      <c r="L65" s="110">
        <f t="shared" si="0"/>
        <v>0</v>
      </c>
    </row>
    <row r="66" spans="2:12" s="25" customFormat="1" ht="20.100000000000001" customHeight="1" x14ac:dyDescent="0.3">
      <c r="B66" s="66" t="str">
        <f>집계표!B66</f>
        <v>PVC입상75</v>
      </c>
      <c r="C66" s="108">
        <v>0</v>
      </c>
      <c r="D66" s="108">
        <v>0</v>
      </c>
      <c r="E66" s="108">
        <v>0</v>
      </c>
      <c r="F66" s="108">
        <v>0</v>
      </c>
      <c r="G66" s="108">
        <v>0</v>
      </c>
      <c r="H66" s="108">
        <v>0</v>
      </c>
      <c r="I66" s="108">
        <v>0</v>
      </c>
      <c r="J66" s="108">
        <v>0</v>
      </c>
      <c r="K66" s="109">
        <v>0</v>
      </c>
      <c r="L66" s="110">
        <f t="shared" ref="L66" si="6">SUM(C66:K66)</f>
        <v>0</v>
      </c>
    </row>
    <row r="67" spans="2:12" ht="20.100000000000001" customHeight="1" x14ac:dyDescent="0.3">
      <c r="B67" s="66" t="str">
        <f>집계표!B67</f>
        <v>PVC입상100</v>
      </c>
      <c r="C67" s="108">
        <v>0</v>
      </c>
      <c r="D67" s="108">
        <v>0</v>
      </c>
      <c r="E67" s="108">
        <v>0</v>
      </c>
      <c r="F67" s="108">
        <v>0</v>
      </c>
      <c r="G67" s="108">
        <v>0</v>
      </c>
      <c r="H67" s="108">
        <v>0</v>
      </c>
      <c r="I67" s="108">
        <v>0</v>
      </c>
      <c r="J67" s="108">
        <v>0</v>
      </c>
      <c r="K67" s="109">
        <v>0</v>
      </c>
      <c r="L67" s="110">
        <f t="shared" si="0"/>
        <v>0</v>
      </c>
    </row>
    <row r="68" spans="2:12" ht="20.100000000000001" customHeight="1" x14ac:dyDescent="0.3">
      <c r="B68" s="66" t="str">
        <f>집계표!B68</f>
        <v>PVC입상125</v>
      </c>
      <c r="C68" s="108">
        <v>0</v>
      </c>
      <c r="D68" s="108">
        <v>0</v>
      </c>
      <c r="E68" s="108">
        <v>0</v>
      </c>
      <c r="F68" s="108">
        <v>0</v>
      </c>
      <c r="G68" s="108">
        <v>0</v>
      </c>
      <c r="H68" s="108">
        <v>0</v>
      </c>
      <c r="I68" s="108">
        <v>0</v>
      </c>
      <c r="J68" s="108">
        <v>0</v>
      </c>
      <c r="K68" s="109">
        <v>0</v>
      </c>
      <c r="L68" s="110">
        <f t="shared" si="0"/>
        <v>0</v>
      </c>
    </row>
    <row r="69" spans="2:12" ht="20.100000000000001" customHeight="1" x14ac:dyDescent="0.3">
      <c r="B69" s="66" t="str">
        <f>집계표!B69</f>
        <v>PVC입상150</v>
      </c>
      <c r="C69" s="108">
        <v>0</v>
      </c>
      <c r="D69" s="108">
        <v>0</v>
      </c>
      <c r="E69" s="108">
        <v>0</v>
      </c>
      <c r="F69" s="108">
        <v>0</v>
      </c>
      <c r="G69" s="108">
        <v>0</v>
      </c>
      <c r="H69" s="108">
        <v>0</v>
      </c>
      <c r="I69" s="108">
        <v>0</v>
      </c>
      <c r="J69" s="108">
        <v>0</v>
      </c>
      <c r="K69" s="109">
        <v>0</v>
      </c>
      <c r="L69" s="110">
        <f t="shared" si="0"/>
        <v>0</v>
      </c>
    </row>
    <row r="70" spans="2:12" ht="20.100000000000001" customHeight="1" x14ac:dyDescent="0.3">
      <c r="B70" s="66" t="str">
        <f>집계표!B70</f>
        <v>PVC입상200</v>
      </c>
      <c r="C70" s="108">
        <v>0</v>
      </c>
      <c r="D70" s="108">
        <v>0</v>
      </c>
      <c r="E70" s="108">
        <v>0</v>
      </c>
      <c r="F70" s="108">
        <v>0</v>
      </c>
      <c r="G70" s="108">
        <v>0</v>
      </c>
      <c r="H70" s="108">
        <v>0</v>
      </c>
      <c r="I70" s="108">
        <v>0</v>
      </c>
      <c r="J70" s="108">
        <v>0</v>
      </c>
      <c r="K70" s="109">
        <v>0</v>
      </c>
      <c r="L70" s="110">
        <f t="shared" si="0"/>
        <v>0</v>
      </c>
    </row>
    <row r="71" spans="2:12" ht="20.100000000000001" customHeight="1" x14ac:dyDescent="0.3">
      <c r="B71" s="66" t="str">
        <f>집계표!B71</f>
        <v>PVC입상250</v>
      </c>
      <c r="C71" s="108">
        <v>0</v>
      </c>
      <c r="D71" s="108">
        <v>0</v>
      </c>
      <c r="E71" s="108">
        <v>0</v>
      </c>
      <c r="F71" s="108">
        <v>0</v>
      </c>
      <c r="G71" s="108">
        <v>0</v>
      </c>
      <c r="H71" s="108">
        <v>0</v>
      </c>
      <c r="I71" s="108">
        <v>0</v>
      </c>
      <c r="J71" s="108">
        <v>0</v>
      </c>
      <c r="K71" s="109">
        <v>0</v>
      </c>
      <c r="L71" s="110">
        <f t="shared" si="0"/>
        <v>0</v>
      </c>
    </row>
    <row r="72" spans="2:12" s="25" customFormat="1" ht="20.100000000000001" customHeight="1" x14ac:dyDescent="0.3">
      <c r="B72" s="66" t="str">
        <f>집계표!B72</f>
        <v>PVC입상300</v>
      </c>
      <c r="C72" s="108">
        <v>0</v>
      </c>
      <c r="D72" s="108">
        <v>0</v>
      </c>
      <c r="E72" s="108">
        <v>0</v>
      </c>
      <c r="F72" s="108">
        <v>0</v>
      </c>
      <c r="G72" s="108">
        <v>0</v>
      </c>
      <c r="H72" s="108">
        <v>0</v>
      </c>
      <c r="I72" s="108">
        <v>0</v>
      </c>
      <c r="J72" s="108">
        <v>0</v>
      </c>
      <c r="K72" s="109">
        <v>0</v>
      </c>
      <c r="L72" s="110">
        <f t="shared" ref="L72" si="7">SUM(C72:K72)</f>
        <v>0</v>
      </c>
    </row>
    <row r="73" spans="2:12" ht="20.100000000000001" customHeight="1" x14ac:dyDescent="0.3">
      <c r="B73" s="66" t="str">
        <f>집계표!B73</f>
        <v>PVC입상350</v>
      </c>
      <c r="C73" s="108">
        <v>0</v>
      </c>
      <c r="D73" s="108">
        <v>0</v>
      </c>
      <c r="E73" s="108">
        <v>0</v>
      </c>
      <c r="F73" s="108">
        <v>0</v>
      </c>
      <c r="G73" s="108">
        <v>0</v>
      </c>
      <c r="H73" s="108">
        <v>0</v>
      </c>
      <c r="I73" s="108">
        <v>0</v>
      </c>
      <c r="J73" s="108">
        <v>0</v>
      </c>
      <c r="K73" s="109">
        <v>0</v>
      </c>
      <c r="L73" s="110">
        <f t="shared" si="0"/>
        <v>0</v>
      </c>
    </row>
    <row r="74" spans="2:12" ht="20.100000000000001" customHeight="1" x14ac:dyDescent="0.3">
      <c r="B74" s="66" t="str">
        <f>집계표!B74</f>
        <v>PVC입상400</v>
      </c>
      <c r="C74" s="108">
        <v>0</v>
      </c>
      <c r="D74" s="108">
        <v>0</v>
      </c>
      <c r="E74" s="108">
        <v>0</v>
      </c>
      <c r="F74" s="108">
        <v>0</v>
      </c>
      <c r="G74" s="108">
        <v>0</v>
      </c>
      <c r="H74" s="108">
        <v>0</v>
      </c>
      <c r="I74" s="108">
        <v>0</v>
      </c>
      <c r="J74" s="108">
        <v>0</v>
      </c>
      <c r="K74" s="109">
        <v>0</v>
      </c>
      <c r="L74" s="110">
        <f t="shared" si="0"/>
        <v>0</v>
      </c>
    </row>
    <row r="75" spans="2:12" ht="20.100000000000001" customHeight="1" x14ac:dyDescent="0.3">
      <c r="B75" s="121" t="str">
        <f>집계표!B75</f>
        <v>세대SP25</v>
      </c>
      <c r="C75" s="122">
        <v>0</v>
      </c>
      <c r="D75" s="122">
        <v>0</v>
      </c>
      <c r="E75" s="122">
        <v>0</v>
      </c>
      <c r="F75" s="122">
        <v>0</v>
      </c>
      <c r="G75" s="122">
        <v>0</v>
      </c>
      <c r="H75" s="122">
        <v>0</v>
      </c>
      <c r="I75" s="122">
        <v>0</v>
      </c>
      <c r="J75" s="122">
        <v>0</v>
      </c>
      <c r="K75" s="123">
        <v>0</v>
      </c>
      <c r="L75" s="124">
        <f t="shared" si="0"/>
        <v>0</v>
      </c>
    </row>
    <row r="76" spans="2:12" ht="20.100000000000001" customHeight="1" x14ac:dyDescent="0.3">
      <c r="B76" s="121" t="str">
        <f>집계표!B76</f>
        <v>세대SP40</v>
      </c>
      <c r="C76" s="122">
        <v>0</v>
      </c>
      <c r="D76" s="122">
        <v>0</v>
      </c>
      <c r="E76" s="122">
        <v>0</v>
      </c>
      <c r="F76" s="122">
        <v>0</v>
      </c>
      <c r="G76" s="122">
        <v>0</v>
      </c>
      <c r="H76" s="122">
        <v>0</v>
      </c>
      <c r="I76" s="122">
        <v>0</v>
      </c>
      <c r="J76" s="122">
        <v>0</v>
      </c>
      <c r="K76" s="123">
        <v>0</v>
      </c>
      <c r="L76" s="124">
        <f t="shared" si="0"/>
        <v>0</v>
      </c>
    </row>
    <row r="77" spans="2:12" ht="20.100000000000001" customHeight="1" x14ac:dyDescent="0.3">
      <c r="B77" s="121" t="str">
        <f>집계표!B77</f>
        <v>세대SP50</v>
      </c>
      <c r="C77" s="122">
        <v>0</v>
      </c>
      <c r="D77" s="122">
        <v>0</v>
      </c>
      <c r="E77" s="122">
        <v>0</v>
      </c>
      <c r="F77" s="122">
        <v>0</v>
      </c>
      <c r="G77" s="122">
        <v>0</v>
      </c>
      <c r="H77" s="122">
        <v>0</v>
      </c>
      <c r="I77" s="122">
        <v>0</v>
      </c>
      <c r="J77" s="122">
        <v>0</v>
      </c>
      <c r="K77" s="123">
        <v>0</v>
      </c>
      <c r="L77" s="124">
        <f t="shared" si="0"/>
        <v>0</v>
      </c>
    </row>
    <row r="78" spans="2:12" ht="20.100000000000001" customHeight="1" x14ac:dyDescent="0.3">
      <c r="B78" s="121" t="str">
        <f>집계표!B78</f>
        <v>세대SP60</v>
      </c>
      <c r="C78" s="122">
        <v>0</v>
      </c>
      <c r="D78" s="122">
        <v>0</v>
      </c>
      <c r="E78" s="122">
        <v>0</v>
      </c>
      <c r="F78" s="122">
        <v>0</v>
      </c>
      <c r="G78" s="122">
        <v>0</v>
      </c>
      <c r="H78" s="122">
        <v>0</v>
      </c>
      <c r="I78" s="122">
        <v>0</v>
      </c>
      <c r="J78" s="122">
        <v>0</v>
      </c>
      <c r="K78" s="123">
        <v>0</v>
      </c>
      <c r="L78" s="124">
        <f t="shared" si="0"/>
        <v>0</v>
      </c>
    </row>
    <row r="79" spans="2:12" ht="20.100000000000001" customHeight="1" x14ac:dyDescent="0.3">
      <c r="B79" s="67" t="str">
        <f>집계표!B79</f>
        <v>PVC벽체25</v>
      </c>
      <c r="C79" s="111">
        <v>0</v>
      </c>
      <c r="D79" s="111">
        <v>0</v>
      </c>
      <c r="E79" s="111">
        <v>0</v>
      </c>
      <c r="F79" s="111">
        <v>0</v>
      </c>
      <c r="G79" s="111">
        <v>0</v>
      </c>
      <c r="H79" s="111">
        <v>0</v>
      </c>
      <c r="I79" s="111">
        <v>0</v>
      </c>
      <c r="J79" s="111">
        <v>0</v>
      </c>
      <c r="K79" s="112">
        <v>0</v>
      </c>
      <c r="L79" s="113">
        <f t="shared" si="0"/>
        <v>0</v>
      </c>
    </row>
    <row r="80" spans="2:12" s="25" customFormat="1" ht="20.100000000000001" customHeight="1" x14ac:dyDescent="0.3">
      <c r="B80" s="67" t="str">
        <f>집계표!B80</f>
        <v>PVC벽체30</v>
      </c>
      <c r="C80" s="111">
        <v>0</v>
      </c>
      <c r="D80" s="111">
        <v>0</v>
      </c>
      <c r="E80" s="111">
        <v>0</v>
      </c>
      <c r="F80" s="111">
        <v>0</v>
      </c>
      <c r="G80" s="111">
        <v>0</v>
      </c>
      <c r="H80" s="111">
        <v>0</v>
      </c>
      <c r="I80" s="111">
        <v>0</v>
      </c>
      <c r="J80" s="111">
        <v>0</v>
      </c>
      <c r="K80" s="112">
        <v>0</v>
      </c>
      <c r="L80" s="113">
        <f t="shared" ref="L80" si="8">SUM(C80:K80)</f>
        <v>0</v>
      </c>
    </row>
    <row r="81" spans="2:12" ht="20.100000000000001" customHeight="1" x14ac:dyDescent="0.3">
      <c r="B81" s="67" t="str">
        <f>집계표!B81</f>
        <v>PVC벽체40</v>
      </c>
      <c r="C81" s="111">
        <v>0</v>
      </c>
      <c r="D81" s="111">
        <v>0</v>
      </c>
      <c r="E81" s="111">
        <v>0</v>
      </c>
      <c r="F81" s="111">
        <v>0</v>
      </c>
      <c r="G81" s="111">
        <v>0</v>
      </c>
      <c r="H81" s="111">
        <v>0</v>
      </c>
      <c r="I81" s="111">
        <v>0</v>
      </c>
      <c r="J81" s="111">
        <v>0</v>
      </c>
      <c r="K81" s="112">
        <v>0</v>
      </c>
      <c r="L81" s="113">
        <f t="shared" si="0"/>
        <v>0</v>
      </c>
    </row>
    <row r="82" spans="2:12" s="25" customFormat="1" ht="20.100000000000001" customHeight="1" x14ac:dyDescent="0.3">
      <c r="B82" s="67" t="str">
        <f>집계표!B82</f>
        <v>PVC벽체50</v>
      </c>
      <c r="C82" s="111">
        <v>0</v>
      </c>
      <c r="D82" s="111">
        <v>0</v>
      </c>
      <c r="E82" s="111">
        <v>0</v>
      </c>
      <c r="F82" s="111">
        <v>0</v>
      </c>
      <c r="G82" s="111">
        <v>0</v>
      </c>
      <c r="H82" s="111">
        <v>0</v>
      </c>
      <c r="I82" s="111">
        <v>0</v>
      </c>
      <c r="J82" s="111">
        <v>0</v>
      </c>
      <c r="K82" s="112">
        <v>0</v>
      </c>
      <c r="L82" s="113">
        <f t="shared" ref="L82" si="9">SUM(C82:K82)</f>
        <v>0</v>
      </c>
    </row>
    <row r="83" spans="2:12" ht="20.100000000000001" customHeight="1" x14ac:dyDescent="0.3">
      <c r="B83" s="67" t="str">
        <f>집계표!B83</f>
        <v>PVC벽체65</v>
      </c>
      <c r="C83" s="111">
        <v>0</v>
      </c>
      <c r="D83" s="111">
        <v>0</v>
      </c>
      <c r="E83" s="111">
        <v>0</v>
      </c>
      <c r="F83" s="111">
        <v>0</v>
      </c>
      <c r="G83" s="111">
        <v>0</v>
      </c>
      <c r="H83" s="111">
        <v>0</v>
      </c>
      <c r="I83" s="111">
        <v>0</v>
      </c>
      <c r="J83" s="111">
        <v>0</v>
      </c>
      <c r="K83" s="112">
        <v>0</v>
      </c>
      <c r="L83" s="113">
        <f t="shared" si="0"/>
        <v>0</v>
      </c>
    </row>
    <row r="84" spans="2:12" s="25" customFormat="1" ht="20.100000000000001" customHeight="1" x14ac:dyDescent="0.3">
      <c r="B84" s="67" t="str">
        <f>집계표!B84</f>
        <v>PVC벽체75</v>
      </c>
      <c r="C84" s="111">
        <v>0</v>
      </c>
      <c r="D84" s="111">
        <v>0</v>
      </c>
      <c r="E84" s="111">
        <v>0</v>
      </c>
      <c r="F84" s="111">
        <v>0</v>
      </c>
      <c r="G84" s="111">
        <v>0</v>
      </c>
      <c r="H84" s="111">
        <v>0</v>
      </c>
      <c r="I84" s="111">
        <v>0</v>
      </c>
      <c r="J84" s="111">
        <v>0</v>
      </c>
      <c r="K84" s="112">
        <v>0</v>
      </c>
      <c r="L84" s="113">
        <f t="shared" si="0"/>
        <v>0</v>
      </c>
    </row>
    <row r="85" spans="2:12" s="25" customFormat="1" ht="20.100000000000001" customHeight="1" x14ac:dyDescent="0.3">
      <c r="B85" s="67" t="str">
        <f>집계표!B85</f>
        <v>PVC벽체100</v>
      </c>
      <c r="C85" s="111">
        <v>0</v>
      </c>
      <c r="D85" s="111">
        <v>0</v>
      </c>
      <c r="E85" s="111">
        <v>0</v>
      </c>
      <c r="F85" s="111">
        <v>0</v>
      </c>
      <c r="G85" s="111">
        <v>0</v>
      </c>
      <c r="H85" s="111">
        <v>0</v>
      </c>
      <c r="I85" s="111">
        <v>0</v>
      </c>
      <c r="J85" s="111">
        <v>0</v>
      </c>
      <c r="K85" s="112">
        <v>0</v>
      </c>
      <c r="L85" s="113">
        <f t="shared" ref="L85" si="10">SUM(C85:K85)</f>
        <v>0</v>
      </c>
    </row>
    <row r="86" spans="2:12" ht="20.100000000000001" customHeight="1" x14ac:dyDescent="0.3">
      <c r="B86" s="67" t="str">
        <f>집계표!B86</f>
        <v>PVC벽체125</v>
      </c>
      <c r="C86" s="111">
        <v>0</v>
      </c>
      <c r="D86" s="111">
        <v>0</v>
      </c>
      <c r="E86" s="111">
        <v>0</v>
      </c>
      <c r="F86" s="111">
        <v>0</v>
      </c>
      <c r="G86" s="111">
        <v>0</v>
      </c>
      <c r="H86" s="111">
        <v>0</v>
      </c>
      <c r="I86" s="111">
        <v>0</v>
      </c>
      <c r="J86" s="111">
        <v>0</v>
      </c>
      <c r="K86" s="112">
        <v>0</v>
      </c>
      <c r="L86" s="113">
        <f t="shared" si="0"/>
        <v>0</v>
      </c>
    </row>
    <row r="87" spans="2:12" s="25" customFormat="1" ht="20.100000000000001" customHeight="1" x14ac:dyDescent="0.3">
      <c r="B87" s="67" t="str">
        <f>집계표!B87</f>
        <v>PVC벽체150</v>
      </c>
      <c r="C87" s="111">
        <v>0</v>
      </c>
      <c r="D87" s="111">
        <v>0</v>
      </c>
      <c r="E87" s="111">
        <v>0</v>
      </c>
      <c r="F87" s="111">
        <v>0</v>
      </c>
      <c r="G87" s="111">
        <v>0</v>
      </c>
      <c r="H87" s="111">
        <v>0</v>
      </c>
      <c r="I87" s="111">
        <v>0</v>
      </c>
      <c r="J87" s="111">
        <v>0</v>
      </c>
      <c r="K87" s="112">
        <v>0</v>
      </c>
      <c r="L87" s="113">
        <f t="shared" ref="L87" si="11">SUM(C87:K87)</f>
        <v>0</v>
      </c>
    </row>
    <row r="88" spans="2:12" ht="20.100000000000001" customHeight="1" x14ac:dyDescent="0.3">
      <c r="B88" s="67" t="str">
        <f>집계표!B88</f>
        <v>PVC벽체200</v>
      </c>
      <c r="C88" s="111">
        <v>0</v>
      </c>
      <c r="D88" s="111">
        <v>0</v>
      </c>
      <c r="E88" s="111">
        <v>0</v>
      </c>
      <c r="F88" s="111">
        <v>0</v>
      </c>
      <c r="G88" s="111">
        <v>0</v>
      </c>
      <c r="H88" s="111">
        <v>0</v>
      </c>
      <c r="I88" s="111">
        <v>0</v>
      </c>
      <c r="J88" s="111">
        <v>0</v>
      </c>
      <c r="K88" s="112">
        <v>0</v>
      </c>
      <c r="L88" s="113">
        <f t="shared" si="0"/>
        <v>0</v>
      </c>
    </row>
    <row r="89" spans="2:12" s="25" customFormat="1" ht="20.100000000000001" customHeight="1" x14ac:dyDescent="0.3">
      <c r="B89" s="67" t="str">
        <f>집계표!B89</f>
        <v>PVC벽체250</v>
      </c>
      <c r="C89" s="111">
        <v>0</v>
      </c>
      <c r="D89" s="111">
        <v>0</v>
      </c>
      <c r="E89" s="111">
        <v>0</v>
      </c>
      <c r="F89" s="111">
        <v>0</v>
      </c>
      <c r="G89" s="111">
        <v>0</v>
      </c>
      <c r="H89" s="111">
        <v>0</v>
      </c>
      <c r="I89" s="111">
        <v>0</v>
      </c>
      <c r="J89" s="111">
        <v>0</v>
      </c>
      <c r="K89" s="112">
        <v>0</v>
      </c>
      <c r="L89" s="113">
        <f t="shared" ref="L89" si="12">SUM(C89:K89)</f>
        <v>0</v>
      </c>
    </row>
    <row r="90" spans="2:12" ht="20.100000000000001" customHeight="1" x14ac:dyDescent="0.3">
      <c r="B90" s="67" t="str">
        <f>집계표!B90</f>
        <v>PVC벽체300</v>
      </c>
      <c r="C90" s="111">
        <v>0</v>
      </c>
      <c r="D90" s="111">
        <v>0</v>
      </c>
      <c r="E90" s="111">
        <v>0</v>
      </c>
      <c r="F90" s="111">
        <v>0</v>
      </c>
      <c r="G90" s="111">
        <v>0</v>
      </c>
      <c r="H90" s="111">
        <v>0</v>
      </c>
      <c r="I90" s="111">
        <v>0</v>
      </c>
      <c r="J90" s="111">
        <v>0</v>
      </c>
      <c r="K90" s="112">
        <v>0</v>
      </c>
      <c r="L90" s="113">
        <f t="shared" si="0"/>
        <v>0</v>
      </c>
    </row>
    <row r="91" spans="2:12" s="25" customFormat="1" ht="20.100000000000001" customHeight="1" x14ac:dyDescent="0.3">
      <c r="B91" s="67" t="str">
        <f>집계표!B91</f>
        <v>PVC벽체350</v>
      </c>
      <c r="C91" s="111">
        <v>0</v>
      </c>
      <c r="D91" s="111">
        <v>0</v>
      </c>
      <c r="E91" s="111">
        <v>0</v>
      </c>
      <c r="F91" s="111">
        <v>0</v>
      </c>
      <c r="G91" s="111">
        <v>0</v>
      </c>
      <c r="H91" s="111">
        <v>0</v>
      </c>
      <c r="I91" s="111">
        <v>0</v>
      </c>
      <c r="J91" s="111">
        <v>0</v>
      </c>
      <c r="K91" s="112">
        <v>0</v>
      </c>
      <c r="L91" s="113">
        <f t="shared" ref="L91:L96" si="13">SUM(C91:K91)</f>
        <v>0</v>
      </c>
    </row>
    <row r="92" spans="2:12" s="25" customFormat="1" ht="20.100000000000001" customHeight="1" x14ac:dyDescent="0.3">
      <c r="B92" s="67" t="str">
        <f>집계표!B92</f>
        <v>PVC벽체400</v>
      </c>
      <c r="C92" s="111">
        <v>0</v>
      </c>
      <c r="D92" s="111">
        <v>0</v>
      </c>
      <c r="E92" s="111">
        <v>0</v>
      </c>
      <c r="F92" s="111">
        <v>0</v>
      </c>
      <c r="G92" s="111">
        <v>0</v>
      </c>
      <c r="H92" s="111">
        <v>0</v>
      </c>
      <c r="I92" s="111">
        <v>0</v>
      </c>
      <c r="J92" s="111">
        <v>0</v>
      </c>
      <c r="K92" s="112">
        <v>0</v>
      </c>
      <c r="L92" s="113">
        <f t="shared" si="13"/>
        <v>0</v>
      </c>
    </row>
    <row r="93" spans="2:12" s="25" customFormat="1" ht="20.100000000000001" customHeight="1" x14ac:dyDescent="0.3">
      <c r="B93" s="121" t="str">
        <f>집계표!B93</f>
        <v>대구경추가차열입상</v>
      </c>
      <c r="C93" s="122">
        <v>0</v>
      </c>
      <c r="D93" s="122">
        <v>0</v>
      </c>
      <c r="E93" s="122">
        <v>0</v>
      </c>
      <c r="F93" s="122">
        <v>0</v>
      </c>
      <c r="G93" s="122">
        <v>0</v>
      </c>
      <c r="H93" s="122">
        <v>0</v>
      </c>
      <c r="I93" s="122">
        <v>0</v>
      </c>
      <c r="J93" s="122">
        <v>0</v>
      </c>
      <c r="K93" s="123">
        <v>0</v>
      </c>
      <c r="L93" s="124">
        <f t="shared" ref="L93" si="14">SUM(C93:K93)</f>
        <v>0</v>
      </c>
    </row>
    <row r="94" spans="2:12" s="25" customFormat="1" ht="20.100000000000001" customHeight="1" x14ac:dyDescent="0.3">
      <c r="B94" s="121" t="str">
        <f>집계표!B94</f>
        <v>대구경추가차열벽체</v>
      </c>
      <c r="C94" s="122">
        <v>0</v>
      </c>
      <c r="D94" s="122">
        <v>0</v>
      </c>
      <c r="E94" s="122">
        <v>0</v>
      </c>
      <c r="F94" s="122">
        <v>0</v>
      </c>
      <c r="G94" s="122">
        <v>0</v>
      </c>
      <c r="H94" s="122">
        <v>0</v>
      </c>
      <c r="I94" s="122">
        <v>0</v>
      </c>
      <c r="J94" s="122">
        <v>0</v>
      </c>
      <c r="K94" s="123">
        <v>0</v>
      </c>
      <c r="L94" s="124">
        <f t="shared" si="13"/>
        <v>0</v>
      </c>
    </row>
    <row r="95" spans="2:12" s="25" customFormat="1" ht="20.100000000000001" customHeight="1" x14ac:dyDescent="0.3">
      <c r="B95" s="67" t="str">
        <f>집계표!B95</f>
        <v>실란트마감입상</v>
      </c>
      <c r="C95" s="111">
        <v>0</v>
      </c>
      <c r="D95" s="111">
        <v>0</v>
      </c>
      <c r="E95" s="111">
        <v>0</v>
      </c>
      <c r="F95" s="111">
        <v>0</v>
      </c>
      <c r="G95" s="111">
        <v>0</v>
      </c>
      <c r="H95" s="111">
        <v>0</v>
      </c>
      <c r="I95" s="111">
        <v>0</v>
      </c>
      <c r="J95" s="111">
        <v>0</v>
      </c>
      <c r="K95" s="112">
        <v>0</v>
      </c>
      <c r="L95" s="113">
        <f t="shared" ref="L95" si="15">SUM(C95:K95)</f>
        <v>0</v>
      </c>
    </row>
    <row r="96" spans="2:12" s="25" customFormat="1" ht="20.100000000000001" customHeight="1" x14ac:dyDescent="0.3">
      <c r="B96" s="67" t="str">
        <f>집계표!B96</f>
        <v>실란트마감벽체</v>
      </c>
      <c r="C96" s="111">
        <v>0</v>
      </c>
      <c r="D96" s="111">
        <v>0</v>
      </c>
      <c r="E96" s="111">
        <v>0</v>
      </c>
      <c r="F96" s="111">
        <v>0</v>
      </c>
      <c r="G96" s="111">
        <v>0</v>
      </c>
      <c r="H96" s="111">
        <v>0</v>
      </c>
      <c r="I96" s="111">
        <v>0</v>
      </c>
      <c r="J96" s="111">
        <v>0</v>
      </c>
      <c r="K96" s="112">
        <v>0</v>
      </c>
      <c r="L96" s="113">
        <f t="shared" si="13"/>
        <v>0</v>
      </c>
    </row>
    <row r="97" spans="1:12" ht="20.100000000000001" customHeight="1" x14ac:dyDescent="0.3">
      <c r="B97" s="67" t="str">
        <f>집계표!B97</f>
        <v>슬리브</v>
      </c>
      <c r="C97" s="111">
        <v>0</v>
      </c>
      <c r="D97" s="111">
        <v>0</v>
      </c>
      <c r="E97" s="111">
        <v>0</v>
      </c>
      <c r="F97" s="111">
        <v>0</v>
      </c>
      <c r="G97" s="111">
        <v>0</v>
      </c>
      <c r="H97" s="111">
        <v>0</v>
      </c>
      <c r="I97" s="111">
        <v>0</v>
      </c>
      <c r="J97" s="111">
        <v>0</v>
      </c>
      <c r="K97" s="112">
        <v>0</v>
      </c>
      <c r="L97" s="113">
        <f t="shared" si="0"/>
        <v>0</v>
      </c>
    </row>
    <row r="98" spans="1:12" ht="20.100000000000001" customHeight="1" x14ac:dyDescent="0.3">
      <c r="A98" s="180" t="s">
        <v>46</v>
      </c>
      <c r="B98" s="66" t="str">
        <f>집계표!B98</f>
        <v>무보온덕트입상</v>
      </c>
      <c r="C98" s="108">
        <v>0</v>
      </c>
      <c r="D98" s="108">
        <v>0</v>
      </c>
      <c r="E98" s="108">
        <v>0</v>
      </c>
      <c r="F98" s="108">
        <v>0</v>
      </c>
      <c r="G98" s="108">
        <v>0</v>
      </c>
      <c r="H98" s="108">
        <v>0</v>
      </c>
      <c r="I98" s="108">
        <v>0</v>
      </c>
      <c r="J98" s="108">
        <v>0</v>
      </c>
      <c r="K98" s="109">
        <v>0</v>
      </c>
      <c r="L98" s="110">
        <f t="shared" si="0"/>
        <v>0</v>
      </c>
    </row>
    <row r="99" spans="1:12" s="25" customFormat="1" ht="20.100000000000001" customHeight="1" x14ac:dyDescent="0.3">
      <c r="A99" s="181"/>
      <c r="B99" s="66" t="str">
        <f>집계표!B99</f>
        <v>보온덕트입상</v>
      </c>
      <c r="C99" s="108">
        <v>0</v>
      </c>
      <c r="D99" s="108">
        <v>0</v>
      </c>
      <c r="E99" s="108">
        <v>0</v>
      </c>
      <c r="F99" s="108">
        <v>0</v>
      </c>
      <c r="G99" s="108">
        <v>0</v>
      </c>
      <c r="H99" s="108">
        <v>0</v>
      </c>
      <c r="I99" s="108">
        <v>0</v>
      </c>
      <c r="J99" s="108">
        <v>0</v>
      </c>
      <c r="K99" s="109">
        <v>0</v>
      </c>
      <c r="L99" s="110">
        <f t="shared" si="0"/>
        <v>0</v>
      </c>
    </row>
    <row r="100" spans="1:12" s="25" customFormat="1" ht="20.100000000000001" customHeight="1" x14ac:dyDescent="0.3">
      <c r="A100" s="181"/>
      <c r="B100" s="67" t="str">
        <f>집계표!B100</f>
        <v>무보온덕트벽체</v>
      </c>
      <c r="C100" s="111">
        <v>0</v>
      </c>
      <c r="D100" s="111">
        <v>0</v>
      </c>
      <c r="E100" s="111">
        <v>0</v>
      </c>
      <c r="F100" s="111">
        <v>0</v>
      </c>
      <c r="G100" s="111">
        <v>0</v>
      </c>
      <c r="H100" s="111">
        <v>0</v>
      </c>
      <c r="I100" s="111">
        <v>0</v>
      </c>
      <c r="J100" s="111">
        <v>0</v>
      </c>
      <c r="K100" s="112">
        <v>0</v>
      </c>
      <c r="L100" s="113">
        <f t="shared" ref="L100" si="16">SUM(C100:K100)</f>
        <v>0</v>
      </c>
    </row>
    <row r="101" spans="1:12" ht="20.100000000000001" customHeight="1" x14ac:dyDescent="0.3">
      <c r="A101" s="181"/>
      <c r="B101" s="67" t="str">
        <f>집계표!B101</f>
        <v>보온덕트벽체</v>
      </c>
      <c r="C101" s="111">
        <v>0</v>
      </c>
      <c r="D101" s="111">
        <v>0</v>
      </c>
      <c r="E101" s="111">
        <v>0</v>
      </c>
      <c r="F101" s="111">
        <v>0</v>
      </c>
      <c r="G101" s="111">
        <v>0</v>
      </c>
      <c r="H101" s="111">
        <v>0</v>
      </c>
      <c r="I101" s="111">
        <v>0</v>
      </c>
      <c r="J101" s="111">
        <v>0</v>
      </c>
      <c r="K101" s="112">
        <v>0</v>
      </c>
      <c r="L101" s="113">
        <f t="shared" si="0"/>
        <v>0</v>
      </c>
    </row>
    <row r="102" spans="1:12" s="25" customFormat="1" ht="20.100000000000001" customHeight="1" x14ac:dyDescent="0.3">
      <c r="A102" s="181"/>
      <c r="B102" s="131" t="str">
        <f>집계표!B102</f>
        <v>댐퍼팽창테이프</v>
      </c>
      <c r="C102" s="122">
        <v>0</v>
      </c>
      <c r="D102" s="122">
        <v>0</v>
      </c>
      <c r="E102" s="122">
        <v>0</v>
      </c>
      <c r="F102" s="122">
        <v>0</v>
      </c>
      <c r="G102" s="122">
        <v>0</v>
      </c>
      <c r="H102" s="122">
        <v>0</v>
      </c>
      <c r="I102" s="122">
        <v>0</v>
      </c>
      <c r="J102" s="122">
        <v>0</v>
      </c>
      <c r="K102" s="123">
        <v>0</v>
      </c>
      <c r="L102" s="124">
        <f t="shared" si="0"/>
        <v>0</v>
      </c>
    </row>
    <row r="103" spans="1:12" s="25" customFormat="1" ht="20.100000000000001" customHeight="1" x14ac:dyDescent="0.3">
      <c r="A103" s="181"/>
      <c r="B103" s="68" t="str">
        <f>집계표!B103</f>
        <v>덕트마감</v>
      </c>
      <c r="C103" s="111">
        <v>0</v>
      </c>
      <c r="D103" s="111">
        <v>0</v>
      </c>
      <c r="E103" s="111">
        <v>0</v>
      </c>
      <c r="F103" s="111">
        <v>0</v>
      </c>
      <c r="G103" s="111">
        <v>0</v>
      </c>
      <c r="H103" s="111">
        <v>0</v>
      </c>
      <c r="I103" s="111">
        <v>0</v>
      </c>
      <c r="J103" s="111">
        <v>0</v>
      </c>
      <c r="K103" s="112">
        <v>0</v>
      </c>
      <c r="L103" s="113">
        <f t="shared" ref="L103" si="17">SUM(C103:K103)</f>
        <v>0</v>
      </c>
    </row>
    <row r="104" spans="1:12" s="25" customFormat="1" ht="20.100000000000001" customHeight="1" x14ac:dyDescent="0.3">
      <c r="A104" s="181"/>
      <c r="B104" s="69" t="str">
        <f>집계표!B104</f>
        <v>오픈구</v>
      </c>
      <c r="C104" s="108">
        <v>0</v>
      </c>
      <c r="D104" s="108">
        <v>0</v>
      </c>
      <c r="E104" s="108">
        <v>0</v>
      </c>
      <c r="F104" s="108">
        <v>0</v>
      </c>
      <c r="G104" s="108">
        <v>0</v>
      </c>
      <c r="H104" s="108">
        <v>0</v>
      </c>
      <c r="I104" s="108">
        <v>0</v>
      </c>
      <c r="J104" s="108">
        <v>0</v>
      </c>
      <c r="K104" s="109">
        <v>0</v>
      </c>
      <c r="L104" s="110">
        <f t="shared" si="0"/>
        <v>0</v>
      </c>
    </row>
    <row r="105" spans="1:12" s="25" customFormat="1" ht="20.100000000000001" customHeight="1" x14ac:dyDescent="0.3">
      <c r="A105" s="182"/>
      <c r="B105" s="131" t="str">
        <f>집계표!B105</f>
        <v>차열재마감</v>
      </c>
      <c r="C105" s="122">
        <v>0</v>
      </c>
      <c r="D105" s="122">
        <v>0</v>
      </c>
      <c r="E105" s="122">
        <v>0</v>
      </c>
      <c r="F105" s="122">
        <v>0</v>
      </c>
      <c r="G105" s="122">
        <v>0</v>
      </c>
      <c r="H105" s="122">
        <v>0</v>
      </c>
      <c r="I105" s="122">
        <v>0</v>
      </c>
      <c r="J105" s="122">
        <v>0</v>
      </c>
      <c r="K105" s="123">
        <v>0</v>
      </c>
      <c r="L105" s="124">
        <f t="shared" ref="L105" si="18">SUM(C105:K105)</f>
        <v>0</v>
      </c>
    </row>
    <row r="106" spans="1:12" ht="20.100000000000001" customHeight="1" thickBot="1" x14ac:dyDescent="0.35">
      <c r="B106" s="38" t="s">
        <v>79</v>
      </c>
      <c r="C106" s="114">
        <f t="shared" ref="C106:L106" si="19">SUM(C5:C105)</f>
        <v>0</v>
      </c>
      <c r="D106" s="114">
        <f t="shared" si="19"/>
        <v>0</v>
      </c>
      <c r="E106" s="114">
        <f t="shared" si="19"/>
        <v>0</v>
      </c>
      <c r="F106" s="114">
        <f t="shared" si="19"/>
        <v>0</v>
      </c>
      <c r="G106" s="114">
        <f t="shared" si="19"/>
        <v>0</v>
      </c>
      <c r="H106" s="114">
        <f t="shared" si="19"/>
        <v>0</v>
      </c>
      <c r="I106" s="114">
        <f t="shared" si="19"/>
        <v>0</v>
      </c>
      <c r="J106" s="114">
        <f t="shared" si="19"/>
        <v>0</v>
      </c>
      <c r="K106" s="115">
        <f t="shared" si="19"/>
        <v>0</v>
      </c>
      <c r="L106" s="116">
        <f t="shared" si="19"/>
        <v>0</v>
      </c>
    </row>
    <row r="107" spans="1:12" s="25" customFormat="1" ht="20.100000000000001" customHeight="1" x14ac:dyDescent="0.3">
      <c r="B107" s="70"/>
      <c r="C107" s="117"/>
      <c r="D107" s="117"/>
      <c r="E107" s="117"/>
      <c r="F107" s="117"/>
      <c r="G107" s="117"/>
      <c r="H107" s="117"/>
      <c r="I107" s="117"/>
      <c r="J107" s="117"/>
      <c r="K107" s="117"/>
      <c r="L107" s="118"/>
    </row>
    <row r="108" spans="1:12" ht="20.100000000000001" customHeight="1" x14ac:dyDescent="0.3">
      <c r="B108" s="70"/>
      <c r="C108" s="117"/>
      <c r="D108" s="117"/>
      <c r="E108" s="117"/>
      <c r="F108" s="117"/>
      <c r="G108" s="117"/>
      <c r="H108" s="117"/>
      <c r="I108" s="117"/>
      <c r="J108" s="117"/>
      <c r="K108" s="117"/>
      <c r="L108" s="118"/>
    </row>
    <row r="109" spans="1:12" ht="20.100000000000001" customHeight="1" x14ac:dyDescent="0.3"/>
    <row r="110" spans="1:12" ht="20.100000000000001" customHeight="1" x14ac:dyDescent="0.3"/>
    <row r="111" spans="1:12" ht="20.100000000000001" customHeight="1" x14ac:dyDescent="0.3"/>
  </sheetData>
  <mergeCells count="1">
    <mergeCell ref="A98:A105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2</vt:i4>
      </vt:variant>
    </vt:vector>
  </HeadingPairs>
  <TitlesOfParts>
    <vt:vector size="5" baseType="lpstr">
      <vt:lpstr>사진대지</vt:lpstr>
      <vt:lpstr>집계표</vt:lpstr>
      <vt:lpstr>누계</vt:lpstr>
      <vt:lpstr>사진대지!Print_Area</vt:lpstr>
      <vt:lpstr>사진대지!Print_Titles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Windows 사용자</cp:lastModifiedBy>
  <cp:lastPrinted>2020-08-26T07:55:30Z</cp:lastPrinted>
  <dcterms:created xsi:type="dcterms:W3CDTF">2016-11-23T06:47:05Z</dcterms:created>
  <dcterms:modified xsi:type="dcterms:W3CDTF">2021-12-29T06:54:36Z</dcterms:modified>
</cp:coreProperties>
</file>